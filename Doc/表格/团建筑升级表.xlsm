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-120" yWindow="5520" windowWidth="19290" windowHeight="6945"/>
  </bookViews>
  <sheets>
    <sheet name="Sheet1" sheetId="2" r:id="rId1"/>
    <sheet name="说明" sheetId="3" r:id="rId2"/>
  </sheets>
  <calcPr calcId="144525"/>
</workbook>
</file>

<file path=xl/calcChain.xml><?xml version="1.0" encoding="utf-8"?>
<calcChain xmlns="http://schemas.openxmlformats.org/spreadsheetml/2006/main"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2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" i="2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2" i="2"/>
  <c r="G22" i="2" s="1"/>
  <c r="F23" i="2"/>
  <c r="G23" i="2" s="1"/>
  <c r="F24" i="2"/>
  <c r="G24" i="2" s="1"/>
  <c r="F25" i="2"/>
  <c r="G25" i="2" s="1"/>
  <c r="F26" i="2"/>
  <c r="G26" i="2" s="1"/>
  <c r="F27" i="2"/>
  <c r="G27" i="2" s="1"/>
  <c r="F28" i="2"/>
  <c r="G28" i="2" s="1"/>
  <c r="F29" i="2"/>
  <c r="G29" i="2" s="1"/>
  <c r="F30" i="2"/>
  <c r="G30" i="2" s="1"/>
  <c r="F31" i="2"/>
  <c r="G31" i="2" s="1"/>
  <c r="F32" i="2"/>
  <c r="G32" i="2" s="1"/>
  <c r="F33" i="2"/>
  <c r="G33" i="2" s="1"/>
  <c r="F34" i="2"/>
  <c r="G34" i="2" s="1"/>
  <c r="F35" i="2"/>
  <c r="G35" i="2" s="1"/>
  <c r="F36" i="2"/>
  <c r="G36" i="2" s="1"/>
  <c r="F37" i="2"/>
  <c r="G37" i="2" s="1"/>
  <c r="F38" i="2"/>
  <c r="G38" i="2" s="1"/>
  <c r="F39" i="2"/>
  <c r="G39" i="2" s="1"/>
  <c r="F40" i="2"/>
  <c r="G40" i="2" s="1"/>
  <c r="F41" i="2"/>
  <c r="G41" i="2" s="1"/>
  <c r="F42" i="2"/>
  <c r="G42" i="2" s="1"/>
  <c r="F43" i="2"/>
  <c r="G43" i="2" s="1"/>
  <c r="F44" i="2"/>
  <c r="G44" i="2" s="1"/>
  <c r="F45" i="2"/>
  <c r="G45" i="2" s="1"/>
  <c r="F46" i="2"/>
  <c r="G46" i="2" s="1"/>
  <c r="F47" i="2"/>
  <c r="G47" i="2" s="1"/>
  <c r="F48" i="2"/>
  <c r="G48" i="2" s="1"/>
  <c r="F49" i="2"/>
  <c r="G49" i="2" s="1"/>
  <c r="F50" i="2"/>
  <c r="G50" i="2" s="1"/>
  <c r="F51" i="2"/>
  <c r="G51" i="2" s="1"/>
  <c r="F52" i="2"/>
  <c r="G52" i="2" s="1"/>
  <c r="F53" i="2"/>
  <c r="G53" i="2" s="1"/>
  <c r="F54" i="2"/>
  <c r="G54" i="2" s="1"/>
  <c r="F55" i="2"/>
  <c r="G55" i="2" s="1"/>
  <c r="F56" i="2"/>
  <c r="G56" i="2" s="1"/>
  <c r="F57" i="2"/>
  <c r="G57" i="2" s="1"/>
  <c r="F58" i="2"/>
  <c r="G58" i="2" s="1"/>
  <c r="F59" i="2"/>
  <c r="G59" i="2" s="1"/>
  <c r="F60" i="2"/>
  <c r="G60" i="2" s="1"/>
  <c r="F61" i="2"/>
  <c r="G61" i="2" s="1"/>
  <c r="F4" i="2" l="1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F11" i="2"/>
  <c r="G11" i="2" s="1"/>
  <c r="G2" i="2"/>
  <c r="F3" i="2"/>
  <c r="G3" i="2" s="1"/>
</calcChain>
</file>

<file path=xl/sharedStrings.xml><?xml version="1.0" encoding="utf-8"?>
<sst xmlns="http://schemas.openxmlformats.org/spreadsheetml/2006/main" count="93" uniqueCount="32">
  <si>
    <t>指挥所</t>
    <phoneticPr fontId="2" type="noConversion"/>
  </si>
  <si>
    <t>类型</t>
    <phoneticPr fontId="2" type="noConversion"/>
  </si>
  <si>
    <t>等级</t>
    <phoneticPr fontId="2" type="noConversion"/>
  </si>
  <si>
    <t>维护费</t>
    <phoneticPr fontId="2" type="noConversion"/>
  </si>
  <si>
    <t>建筑NPC</t>
    <phoneticPr fontId="2" type="noConversion"/>
  </si>
  <si>
    <t>建筑对应NPC ID</t>
    <phoneticPr fontId="2" type="noConversion"/>
  </si>
  <si>
    <t>位置Y</t>
    <phoneticPr fontId="2" type="noConversion"/>
  </si>
  <si>
    <t>升级到下一级所需资金，不需要配0</t>
    <phoneticPr fontId="2" type="noConversion"/>
  </si>
  <si>
    <t>升级到下一级所需繁荣度，不需要配0</t>
    <phoneticPr fontId="2" type="noConversion"/>
  </si>
  <si>
    <t>升级到下一级所需人气度，不需要配0</t>
    <phoneticPr fontId="2" type="noConversion"/>
  </si>
  <si>
    <t>指挥所</t>
    <phoneticPr fontId="2" type="noConversion"/>
  </si>
  <si>
    <t>名称</t>
    <phoneticPr fontId="2" type="noConversion"/>
  </si>
  <si>
    <t>位置X</t>
    <phoneticPr fontId="2" type="noConversion"/>
  </si>
  <si>
    <t>建筑等级，从0级开始</t>
    <phoneticPr fontId="2" type="noConversion"/>
  </si>
  <si>
    <t>对应等级的建筑维护消耗</t>
    <phoneticPr fontId="2" type="noConversion"/>
  </si>
  <si>
    <t>资金</t>
    <phoneticPr fontId="2" type="noConversion"/>
  </si>
  <si>
    <t>繁荣度</t>
    <phoneticPr fontId="2" type="noConversion"/>
  </si>
  <si>
    <t>人气度</t>
    <phoneticPr fontId="2" type="noConversion"/>
  </si>
  <si>
    <t>升级繁荣度</t>
    <phoneticPr fontId="2" type="noConversion"/>
  </si>
  <si>
    <t>升级团资金</t>
    <phoneticPr fontId="2" type="noConversion"/>
  </si>
  <si>
    <t>维护繁荣度</t>
    <phoneticPr fontId="2" type="noConversion"/>
  </si>
  <si>
    <t>营养指数上限</t>
    <phoneticPr fontId="2" type="noConversion"/>
  </si>
  <si>
    <t>人数上限</t>
    <phoneticPr fontId="2" type="noConversion"/>
  </si>
  <si>
    <t>维护团资金</t>
    <phoneticPr fontId="2" type="noConversion"/>
  </si>
  <si>
    <t>繁荣度上限</t>
    <phoneticPr fontId="2" type="noConversion"/>
  </si>
  <si>
    <t>下一级可购买物品</t>
    <phoneticPr fontId="2" type="noConversion"/>
  </si>
  <si>
    <t>资金上限</t>
    <phoneticPr fontId="2" type="noConversion"/>
  </si>
  <si>
    <t>团维护资金</t>
    <phoneticPr fontId="2" type="noConversion"/>
  </si>
  <si>
    <t>奖箱格子</t>
    <phoneticPr fontId="2" type="noConversion"/>
  </si>
  <si>
    <t>团包裹格子</t>
    <phoneticPr fontId="2" type="noConversion"/>
  </si>
  <si>
    <t xml:space="preserve">用来区分建筑类型，从1开始 最大255
//建筑类型
    Building_Command        = 1,    //指挥所
    Building_Service        = 2,    //后勤部
    Building_Science        = 3,    //科技馆
</t>
    <phoneticPr fontId="2" type="noConversion"/>
  </si>
  <si>
    <t>总繁荣度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</si>
</sst>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2"/>
      <name val="宋体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b/>
      <sz val="11"/>
      <name val="宋体"/>
      <family val="3"/>
      <charset val="134"/>
    </font>
    <font>
      <sz val="1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6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0" sqref="D10"/>
    </sheetView>
  </sheetViews>
  <sheetFormatPr defaultRowHeight="16.5"/>
  <cols>
    <col min="1" max="1" width="4.5" style="5" customWidth="1"/>
    <col min="2" max="2" width="4.875" style="5" customWidth="1"/>
    <col min="3" max="3" width="8" style="5" bestFit="1" customWidth="1"/>
    <col min="4" max="6" width="9" style="5"/>
    <col min="7" max="7" width="8.625" style="5" customWidth="1"/>
    <col min="8" max="8" width="7.375" style="5" customWidth="1"/>
    <col min="9" max="9" width="5.5" style="5" customWidth="1"/>
    <col min="10" max="10" width="6.25" style="5" customWidth="1"/>
    <col min="11" max="11" width="7.375" style="5" customWidth="1"/>
    <col min="12" max="12" width="10.75" style="5" customWidth="1"/>
    <col min="13" max="13" width="9" style="5"/>
    <col min="14" max="14" width="7.75" style="5" customWidth="1"/>
    <col min="15" max="15" width="8.625" style="5" customWidth="1"/>
    <col min="16" max="16" width="9.875" style="5" customWidth="1"/>
    <col min="17" max="17" width="10.625" style="5" customWidth="1"/>
    <col min="18" max="18" width="9.25" style="5" customWidth="1"/>
    <col min="19" max="19" width="15" style="5" bestFit="1" customWidth="1"/>
    <col min="20" max="16384" width="9" style="5"/>
  </cols>
  <sheetData>
    <row r="1" spans="1:19">
      <c r="A1" s="5" t="s">
        <v>1</v>
      </c>
      <c r="B1" s="5" t="s">
        <v>2</v>
      </c>
      <c r="C1" s="5" t="s">
        <v>31</v>
      </c>
      <c r="D1" s="5" t="s">
        <v>18</v>
      </c>
      <c r="E1" s="5" t="s">
        <v>19</v>
      </c>
      <c r="F1" s="5" t="s">
        <v>20</v>
      </c>
      <c r="G1" s="5" t="s">
        <v>23</v>
      </c>
      <c r="H1" s="5" t="s">
        <v>4</v>
      </c>
      <c r="I1" s="5" t="s">
        <v>12</v>
      </c>
      <c r="J1" s="5" t="s">
        <v>6</v>
      </c>
      <c r="K1" s="5" t="s">
        <v>11</v>
      </c>
      <c r="L1" s="5" t="s">
        <v>27</v>
      </c>
      <c r="M1" s="5" t="s">
        <v>22</v>
      </c>
      <c r="N1" s="5" t="s">
        <v>28</v>
      </c>
      <c r="O1" s="5" t="s">
        <v>29</v>
      </c>
      <c r="P1" s="5" t="s">
        <v>26</v>
      </c>
      <c r="Q1" s="5" t="s">
        <v>21</v>
      </c>
      <c r="R1" s="5" t="s">
        <v>24</v>
      </c>
      <c r="S1" s="5" t="s">
        <v>25</v>
      </c>
    </row>
    <row r="2" spans="1:19">
      <c r="A2" s="5">
        <v>1</v>
      </c>
      <c r="B2" s="5">
        <v>1</v>
      </c>
      <c r="C2" s="6">
        <v>60</v>
      </c>
      <c r="D2" s="6">
        <v>60</v>
      </c>
      <c r="E2" s="6">
        <v>500</v>
      </c>
      <c r="F2" s="5">
        <v>0</v>
      </c>
      <c r="G2" s="5">
        <f>F2*20</f>
        <v>0</v>
      </c>
      <c r="H2" s="5">
        <v>45001</v>
      </c>
      <c r="I2" s="5">
        <v>85</v>
      </c>
      <c r="J2" s="5">
        <v>80</v>
      </c>
      <c r="K2" s="5" t="s">
        <v>0</v>
      </c>
      <c r="L2" s="5">
        <f>E2*0.5</f>
        <v>250</v>
      </c>
      <c r="M2" s="5">
        <v>20</v>
      </c>
      <c r="N2" s="5">
        <v>12</v>
      </c>
      <c r="O2" s="5">
        <v>12</v>
      </c>
      <c r="P2" s="5">
        <f>E2*10</f>
        <v>5000</v>
      </c>
      <c r="Q2" s="5">
        <v>330</v>
      </c>
      <c r="R2" s="5">
        <f>E2*5</f>
        <v>2500</v>
      </c>
    </row>
    <row r="3" spans="1:19">
      <c r="A3" s="5">
        <v>1</v>
      </c>
      <c r="B3" s="5">
        <v>2</v>
      </c>
      <c r="C3" s="6">
        <v>180</v>
      </c>
      <c r="D3" s="6">
        <v>180</v>
      </c>
      <c r="E3" s="6">
        <v>560</v>
      </c>
      <c r="F3" s="5">
        <f>ROUND(D2*0.08,0)</f>
        <v>5</v>
      </c>
      <c r="G3" s="5">
        <f>F3*20</f>
        <v>100</v>
      </c>
      <c r="H3" s="5">
        <v>45012</v>
      </c>
      <c r="I3" s="5">
        <v>85</v>
      </c>
      <c r="J3" s="5">
        <v>80</v>
      </c>
      <c r="K3" s="5" t="s">
        <v>0</v>
      </c>
      <c r="L3" s="5">
        <f t="shared" ref="L3:L61" si="0">E3*0.5</f>
        <v>280</v>
      </c>
      <c r="M3" s="5">
        <v>20</v>
      </c>
      <c r="N3" s="5">
        <v>12</v>
      </c>
      <c r="O3" s="5">
        <v>24</v>
      </c>
      <c r="P3" s="5">
        <f t="shared" ref="P3:P20" si="1">E3*10</f>
        <v>5600</v>
      </c>
      <c r="Q3" s="5">
        <v>390</v>
      </c>
      <c r="R3" s="5">
        <f t="shared" ref="R3:R61" si="2">E3*5</f>
        <v>2800</v>
      </c>
    </row>
    <row r="4" spans="1:19">
      <c r="A4" s="5">
        <v>1</v>
      </c>
      <c r="B4" s="5">
        <v>3</v>
      </c>
      <c r="C4" s="6">
        <v>360</v>
      </c>
      <c r="D4" s="6">
        <v>360</v>
      </c>
      <c r="E4" s="6">
        <v>630</v>
      </c>
      <c r="F4" s="5">
        <f t="shared" ref="F4:F61" si="3">ROUND(D3*0.08,0)</f>
        <v>14</v>
      </c>
      <c r="G4" s="5">
        <f t="shared" ref="G4:G61" si="4">F4*20</f>
        <v>280</v>
      </c>
      <c r="H4" s="5">
        <v>45012</v>
      </c>
      <c r="I4" s="5">
        <v>85</v>
      </c>
      <c r="J4" s="5">
        <v>80</v>
      </c>
      <c r="K4" s="5" t="s">
        <v>0</v>
      </c>
      <c r="L4" s="5">
        <f t="shared" si="0"/>
        <v>315</v>
      </c>
      <c r="M4" s="5">
        <v>20</v>
      </c>
      <c r="N4" s="5">
        <v>12</v>
      </c>
      <c r="O4" s="5">
        <v>36</v>
      </c>
      <c r="P4" s="5">
        <f t="shared" si="1"/>
        <v>6300</v>
      </c>
      <c r="Q4" s="5">
        <v>460</v>
      </c>
      <c r="R4" s="5">
        <f t="shared" si="2"/>
        <v>3150</v>
      </c>
    </row>
    <row r="5" spans="1:19">
      <c r="A5" s="5">
        <v>1</v>
      </c>
      <c r="B5" s="5">
        <v>4</v>
      </c>
      <c r="C5" s="6">
        <v>600</v>
      </c>
      <c r="D5" s="6">
        <v>600</v>
      </c>
      <c r="E5" s="6">
        <v>710</v>
      </c>
      <c r="F5" s="5">
        <f t="shared" si="3"/>
        <v>29</v>
      </c>
      <c r="G5" s="5">
        <f t="shared" si="4"/>
        <v>580</v>
      </c>
      <c r="H5" s="5">
        <v>45013</v>
      </c>
      <c r="I5" s="5">
        <v>85</v>
      </c>
      <c r="J5" s="5">
        <v>80</v>
      </c>
      <c r="K5" s="5" t="s">
        <v>0</v>
      </c>
      <c r="L5" s="5">
        <f t="shared" si="0"/>
        <v>355</v>
      </c>
      <c r="M5" s="5">
        <v>25</v>
      </c>
      <c r="N5" s="5">
        <v>12</v>
      </c>
      <c r="O5" s="5">
        <v>48</v>
      </c>
      <c r="P5" s="5">
        <f t="shared" si="1"/>
        <v>7100</v>
      </c>
      <c r="Q5" s="5">
        <v>540</v>
      </c>
      <c r="R5" s="5">
        <f t="shared" si="2"/>
        <v>3550</v>
      </c>
    </row>
    <row r="6" spans="1:19">
      <c r="A6" s="5">
        <v>1</v>
      </c>
      <c r="B6" s="5">
        <v>5</v>
      </c>
      <c r="C6" s="6">
        <v>900</v>
      </c>
      <c r="D6" s="6">
        <v>900</v>
      </c>
      <c r="E6" s="6">
        <v>800</v>
      </c>
      <c r="F6" s="5">
        <f t="shared" si="3"/>
        <v>48</v>
      </c>
      <c r="G6" s="5">
        <f t="shared" si="4"/>
        <v>960</v>
      </c>
      <c r="H6" s="5">
        <v>45013</v>
      </c>
      <c r="I6" s="5">
        <v>85</v>
      </c>
      <c r="J6" s="5">
        <v>80</v>
      </c>
      <c r="K6" s="5" t="s">
        <v>0</v>
      </c>
      <c r="L6" s="5">
        <f t="shared" si="0"/>
        <v>400</v>
      </c>
      <c r="M6" s="5">
        <v>25</v>
      </c>
      <c r="N6" s="5">
        <v>12</v>
      </c>
      <c r="O6" s="5">
        <v>60</v>
      </c>
      <c r="P6" s="5">
        <f t="shared" si="1"/>
        <v>8000</v>
      </c>
      <c r="Q6" s="5">
        <v>670</v>
      </c>
      <c r="R6" s="5">
        <f t="shared" si="2"/>
        <v>4000</v>
      </c>
    </row>
    <row r="7" spans="1:19">
      <c r="A7" s="5">
        <v>1</v>
      </c>
      <c r="B7" s="5">
        <v>6</v>
      </c>
      <c r="C7" s="6">
        <v>1260</v>
      </c>
      <c r="D7" s="6">
        <v>1260</v>
      </c>
      <c r="E7" s="6">
        <v>900</v>
      </c>
      <c r="F7" s="5">
        <f t="shared" si="3"/>
        <v>72</v>
      </c>
      <c r="G7" s="5">
        <f t="shared" si="4"/>
        <v>1440</v>
      </c>
      <c r="H7" s="5">
        <v>45014</v>
      </c>
      <c r="I7" s="5">
        <v>85</v>
      </c>
      <c r="J7" s="5">
        <v>80</v>
      </c>
      <c r="K7" s="5" t="s">
        <v>0</v>
      </c>
      <c r="L7" s="5">
        <f t="shared" si="0"/>
        <v>450</v>
      </c>
      <c r="M7" s="5">
        <v>25</v>
      </c>
      <c r="N7" s="5">
        <v>12</v>
      </c>
      <c r="O7" s="5">
        <v>72</v>
      </c>
      <c r="P7" s="5">
        <f t="shared" si="1"/>
        <v>9000</v>
      </c>
      <c r="Q7" s="5">
        <v>810</v>
      </c>
      <c r="R7" s="5">
        <f t="shared" si="2"/>
        <v>4500</v>
      </c>
    </row>
    <row r="8" spans="1:19">
      <c r="A8" s="5">
        <v>1</v>
      </c>
      <c r="B8" s="5">
        <v>7</v>
      </c>
      <c r="C8" s="6">
        <v>1680</v>
      </c>
      <c r="D8" s="6">
        <v>1680</v>
      </c>
      <c r="E8" s="6">
        <v>1010</v>
      </c>
      <c r="F8" s="5">
        <f t="shared" si="3"/>
        <v>101</v>
      </c>
      <c r="G8" s="5">
        <f t="shared" si="4"/>
        <v>2020</v>
      </c>
      <c r="H8" s="5">
        <v>45014</v>
      </c>
      <c r="I8" s="5">
        <v>85</v>
      </c>
      <c r="J8" s="5">
        <v>80</v>
      </c>
      <c r="K8" s="5" t="s">
        <v>0</v>
      </c>
      <c r="L8" s="5">
        <f t="shared" si="0"/>
        <v>505</v>
      </c>
      <c r="M8" s="5">
        <v>30</v>
      </c>
      <c r="N8" s="5">
        <v>12</v>
      </c>
      <c r="O8" s="5">
        <v>84</v>
      </c>
      <c r="P8" s="5">
        <f t="shared" si="1"/>
        <v>10100</v>
      </c>
      <c r="Q8" s="5">
        <v>960</v>
      </c>
      <c r="R8" s="5">
        <f t="shared" si="2"/>
        <v>5050</v>
      </c>
    </row>
    <row r="9" spans="1:19">
      <c r="A9" s="5">
        <v>1</v>
      </c>
      <c r="B9" s="5">
        <v>8</v>
      </c>
      <c r="C9" s="6">
        <v>2160</v>
      </c>
      <c r="D9" s="6">
        <v>2160</v>
      </c>
      <c r="E9" s="6">
        <v>1130</v>
      </c>
      <c r="F9" s="5">
        <f t="shared" si="3"/>
        <v>134</v>
      </c>
      <c r="G9" s="5">
        <f t="shared" si="4"/>
        <v>2680</v>
      </c>
      <c r="H9" s="5">
        <v>45015</v>
      </c>
      <c r="I9" s="5">
        <v>85</v>
      </c>
      <c r="J9" s="5">
        <v>80</v>
      </c>
      <c r="K9" s="5" t="s">
        <v>10</v>
      </c>
      <c r="L9" s="5">
        <f t="shared" si="0"/>
        <v>565</v>
      </c>
      <c r="M9" s="5">
        <v>30</v>
      </c>
      <c r="N9" s="5">
        <v>12</v>
      </c>
      <c r="O9" s="5">
        <v>96</v>
      </c>
      <c r="P9" s="5">
        <f t="shared" si="1"/>
        <v>11300</v>
      </c>
      <c r="Q9" s="5">
        <v>1130</v>
      </c>
      <c r="R9" s="5">
        <f t="shared" si="2"/>
        <v>5650</v>
      </c>
    </row>
    <row r="10" spans="1:19">
      <c r="A10" s="5">
        <v>1</v>
      </c>
      <c r="B10" s="5">
        <v>9</v>
      </c>
      <c r="C10" s="6">
        <v>2700</v>
      </c>
      <c r="D10" s="6">
        <v>2700</v>
      </c>
      <c r="E10" s="6">
        <v>1280</v>
      </c>
      <c r="F10" s="5">
        <f t="shared" si="3"/>
        <v>173</v>
      </c>
      <c r="G10" s="5">
        <f t="shared" si="4"/>
        <v>3460</v>
      </c>
      <c r="H10" s="5">
        <v>45015</v>
      </c>
      <c r="I10" s="5">
        <v>85</v>
      </c>
      <c r="J10" s="5">
        <v>80</v>
      </c>
      <c r="K10" s="5" t="s">
        <v>10</v>
      </c>
      <c r="L10" s="5">
        <f t="shared" si="0"/>
        <v>640</v>
      </c>
      <c r="M10" s="5">
        <v>30</v>
      </c>
      <c r="N10" s="5">
        <v>12</v>
      </c>
      <c r="O10" s="5">
        <v>108</v>
      </c>
      <c r="P10" s="5">
        <f t="shared" si="1"/>
        <v>12800</v>
      </c>
      <c r="Q10" s="5">
        <v>1360</v>
      </c>
      <c r="R10" s="5">
        <f t="shared" si="2"/>
        <v>6400</v>
      </c>
    </row>
    <row r="11" spans="1:19">
      <c r="A11" s="5">
        <v>1</v>
      </c>
      <c r="B11" s="5">
        <v>10</v>
      </c>
      <c r="C11" s="6">
        <v>3300</v>
      </c>
      <c r="D11" s="6">
        <v>3300</v>
      </c>
      <c r="E11" s="6">
        <v>1430</v>
      </c>
      <c r="F11" s="5">
        <f t="shared" si="3"/>
        <v>216</v>
      </c>
      <c r="G11" s="5">
        <f t="shared" si="4"/>
        <v>4320</v>
      </c>
      <c r="H11" s="5">
        <v>45016</v>
      </c>
      <c r="I11" s="5">
        <v>85</v>
      </c>
      <c r="J11" s="5">
        <v>80</v>
      </c>
      <c r="K11" s="5" t="s">
        <v>10</v>
      </c>
      <c r="L11" s="5">
        <f t="shared" si="0"/>
        <v>715</v>
      </c>
      <c r="M11" s="5">
        <v>35</v>
      </c>
      <c r="N11" s="5">
        <v>12</v>
      </c>
      <c r="O11" s="5">
        <v>120</v>
      </c>
      <c r="P11" s="5">
        <f t="shared" si="1"/>
        <v>14300</v>
      </c>
      <c r="Q11" s="5">
        <v>1620</v>
      </c>
      <c r="R11" s="5">
        <f t="shared" si="2"/>
        <v>7150</v>
      </c>
    </row>
    <row r="12" spans="1:19">
      <c r="A12" s="5">
        <v>1</v>
      </c>
      <c r="B12" s="5">
        <v>11</v>
      </c>
      <c r="C12" s="6">
        <v>3960</v>
      </c>
      <c r="D12" s="6">
        <v>3960</v>
      </c>
      <c r="E12" s="6">
        <v>1610</v>
      </c>
      <c r="F12" s="5">
        <f t="shared" si="3"/>
        <v>264</v>
      </c>
      <c r="G12" s="5">
        <f t="shared" si="4"/>
        <v>5280</v>
      </c>
      <c r="H12" s="5">
        <v>45016</v>
      </c>
      <c r="I12" s="5">
        <v>85</v>
      </c>
      <c r="J12" s="5">
        <v>80</v>
      </c>
      <c r="K12" s="5" t="s">
        <v>0</v>
      </c>
      <c r="L12" s="5">
        <f t="shared" si="0"/>
        <v>805</v>
      </c>
      <c r="M12" s="5">
        <v>35</v>
      </c>
      <c r="N12" s="5">
        <v>12</v>
      </c>
      <c r="O12" s="5">
        <v>120</v>
      </c>
      <c r="P12" s="5">
        <f t="shared" si="1"/>
        <v>16100</v>
      </c>
      <c r="Q12" s="5">
        <v>1620</v>
      </c>
      <c r="R12" s="5">
        <f t="shared" si="2"/>
        <v>8050</v>
      </c>
    </row>
    <row r="13" spans="1:19">
      <c r="A13" s="5">
        <v>1</v>
      </c>
      <c r="B13" s="5">
        <v>12</v>
      </c>
      <c r="C13" s="6">
        <v>4680</v>
      </c>
      <c r="D13" s="6">
        <v>4680</v>
      </c>
      <c r="E13" s="6">
        <v>1810</v>
      </c>
      <c r="F13" s="5">
        <f t="shared" si="3"/>
        <v>317</v>
      </c>
      <c r="G13" s="5">
        <f t="shared" si="4"/>
        <v>6340</v>
      </c>
      <c r="H13" s="5">
        <v>45016</v>
      </c>
      <c r="I13" s="5">
        <v>85</v>
      </c>
      <c r="J13" s="5">
        <v>80</v>
      </c>
      <c r="K13" s="5" t="s">
        <v>0</v>
      </c>
      <c r="L13" s="5">
        <f t="shared" si="0"/>
        <v>905</v>
      </c>
      <c r="M13" s="5">
        <v>35</v>
      </c>
      <c r="N13" s="5">
        <v>12</v>
      </c>
      <c r="O13" s="5">
        <v>120</v>
      </c>
      <c r="P13" s="5">
        <f t="shared" si="1"/>
        <v>18100</v>
      </c>
      <c r="Q13" s="5">
        <v>1620</v>
      </c>
      <c r="R13" s="5">
        <f t="shared" si="2"/>
        <v>9050</v>
      </c>
    </row>
    <row r="14" spans="1:19">
      <c r="A14" s="5">
        <v>1</v>
      </c>
      <c r="B14" s="5">
        <v>13</v>
      </c>
      <c r="C14" s="6">
        <v>5460</v>
      </c>
      <c r="D14" s="6">
        <v>5460</v>
      </c>
      <c r="E14" s="6">
        <v>2040</v>
      </c>
      <c r="F14" s="5">
        <f t="shared" si="3"/>
        <v>374</v>
      </c>
      <c r="G14" s="5">
        <f t="shared" si="4"/>
        <v>7480</v>
      </c>
      <c r="H14" s="5">
        <v>45016</v>
      </c>
      <c r="I14" s="5">
        <v>85</v>
      </c>
      <c r="J14" s="5">
        <v>80</v>
      </c>
      <c r="K14" s="5" t="s">
        <v>0</v>
      </c>
      <c r="L14" s="5">
        <f t="shared" si="0"/>
        <v>1020</v>
      </c>
      <c r="M14" s="5">
        <v>40</v>
      </c>
      <c r="N14" s="5">
        <v>12</v>
      </c>
      <c r="O14" s="5">
        <v>120</v>
      </c>
      <c r="P14" s="5">
        <f t="shared" si="1"/>
        <v>20400</v>
      </c>
      <c r="Q14" s="5">
        <v>1620</v>
      </c>
      <c r="R14" s="5">
        <f t="shared" si="2"/>
        <v>10200</v>
      </c>
    </row>
    <row r="15" spans="1:19">
      <c r="A15" s="5">
        <v>1</v>
      </c>
      <c r="B15" s="5">
        <v>14</v>
      </c>
      <c r="C15" s="6">
        <v>6300</v>
      </c>
      <c r="D15" s="6">
        <v>6300</v>
      </c>
      <c r="E15" s="6">
        <v>2290</v>
      </c>
      <c r="F15" s="5">
        <f t="shared" si="3"/>
        <v>437</v>
      </c>
      <c r="G15" s="5">
        <f t="shared" si="4"/>
        <v>8740</v>
      </c>
      <c r="H15" s="5">
        <v>45016</v>
      </c>
      <c r="I15" s="5">
        <v>85</v>
      </c>
      <c r="J15" s="5">
        <v>80</v>
      </c>
      <c r="K15" s="5" t="s">
        <v>0</v>
      </c>
      <c r="L15" s="5">
        <f t="shared" si="0"/>
        <v>1145</v>
      </c>
      <c r="M15" s="5">
        <v>40</v>
      </c>
      <c r="N15" s="5">
        <v>12</v>
      </c>
      <c r="O15" s="5">
        <v>120</v>
      </c>
      <c r="P15" s="5">
        <f t="shared" si="1"/>
        <v>22900</v>
      </c>
      <c r="Q15" s="5">
        <v>1620</v>
      </c>
      <c r="R15" s="5">
        <f t="shared" si="2"/>
        <v>11450</v>
      </c>
    </row>
    <row r="16" spans="1:19">
      <c r="A16" s="5">
        <v>1</v>
      </c>
      <c r="B16" s="5">
        <v>15</v>
      </c>
      <c r="C16" s="6">
        <v>7200</v>
      </c>
      <c r="D16" s="6">
        <v>7200</v>
      </c>
      <c r="E16" s="6">
        <v>2580</v>
      </c>
      <c r="F16" s="5">
        <f t="shared" si="3"/>
        <v>504</v>
      </c>
      <c r="G16" s="5">
        <f t="shared" si="4"/>
        <v>10080</v>
      </c>
      <c r="H16" s="5">
        <v>45016</v>
      </c>
      <c r="I16" s="5">
        <v>85</v>
      </c>
      <c r="J16" s="5">
        <v>80</v>
      </c>
      <c r="K16" s="5" t="s">
        <v>0</v>
      </c>
      <c r="L16" s="5">
        <f t="shared" si="0"/>
        <v>1290</v>
      </c>
      <c r="M16" s="5">
        <v>40</v>
      </c>
      <c r="N16" s="5">
        <v>12</v>
      </c>
      <c r="O16" s="5">
        <v>120</v>
      </c>
      <c r="P16" s="5">
        <f t="shared" si="1"/>
        <v>25800</v>
      </c>
      <c r="Q16" s="5">
        <v>1620</v>
      </c>
      <c r="R16" s="5">
        <f t="shared" si="2"/>
        <v>12900</v>
      </c>
    </row>
    <row r="17" spans="1:18">
      <c r="A17" s="5">
        <v>1</v>
      </c>
      <c r="B17" s="5">
        <v>16</v>
      </c>
      <c r="C17" s="6">
        <v>8160</v>
      </c>
      <c r="D17" s="6">
        <v>8160</v>
      </c>
      <c r="E17" s="6">
        <v>2900</v>
      </c>
      <c r="F17" s="5">
        <f t="shared" si="3"/>
        <v>576</v>
      </c>
      <c r="G17" s="5">
        <f t="shared" si="4"/>
        <v>11520</v>
      </c>
      <c r="H17" s="5">
        <v>45016</v>
      </c>
      <c r="I17" s="5">
        <v>85</v>
      </c>
      <c r="J17" s="5">
        <v>80</v>
      </c>
      <c r="K17" s="5" t="s">
        <v>0</v>
      </c>
      <c r="L17" s="5">
        <f t="shared" si="0"/>
        <v>1450</v>
      </c>
      <c r="M17" s="5">
        <v>40</v>
      </c>
      <c r="N17" s="5">
        <v>12</v>
      </c>
      <c r="O17" s="5">
        <v>120</v>
      </c>
      <c r="P17" s="5">
        <f t="shared" si="1"/>
        <v>29000</v>
      </c>
      <c r="Q17" s="5">
        <v>1620</v>
      </c>
      <c r="R17" s="5">
        <f t="shared" si="2"/>
        <v>14500</v>
      </c>
    </row>
    <row r="18" spans="1:18">
      <c r="A18" s="5">
        <v>1</v>
      </c>
      <c r="B18" s="5">
        <v>17</v>
      </c>
      <c r="C18" s="6">
        <v>9180</v>
      </c>
      <c r="D18" s="6">
        <v>9180</v>
      </c>
      <c r="E18" s="6">
        <v>3250</v>
      </c>
      <c r="F18" s="5">
        <f t="shared" si="3"/>
        <v>653</v>
      </c>
      <c r="G18" s="5">
        <f t="shared" si="4"/>
        <v>13060</v>
      </c>
      <c r="H18" s="5">
        <v>45016</v>
      </c>
      <c r="I18" s="5">
        <v>85</v>
      </c>
      <c r="J18" s="5">
        <v>80</v>
      </c>
      <c r="K18" s="5" t="s">
        <v>0</v>
      </c>
      <c r="L18" s="5">
        <f t="shared" si="0"/>
        <v>1625</v>
      </c>
      <c r="M18" s="5">
        <v>40</v>
      </c>
      <c r="N18" s="5">
        <v>12</v>
      </c>
      <c r="O18" s="5">
        <v>120</v>
      </c>
      <c r="P18" s="5">
        <f t="shared" si="1"/>
        <v>32500</v>
      </c>
      <c r="Q18" s="5">
        <v>1620</v>
      </c>
      <c r="R18" s="5">
        <f t="shared" si="2"/>
        <v>16250</v>
      </c>
    </row>
    <row r="19" spans="1:18">
      <c r="A19" s="5">
        <v>1</v>
      </c>
      <c r="B19" s="5">
        <v>18</v>
      </c>
      <c r="C19" s="6">
        <v>10260</v>
      </c>
      <c r="D19" s="6">
        <v>10260</v>
      </c>
      <c r="E19" s="6">
        <v>3660</v>
      </c>
      <c r="F19" s="5">
        <f t="shared" si="3"/>
        <v>734</v>
      </c>
      <c r="G19" s="5">
        <f t="shared" si="4"/>
        <v>14680</v>
      </c>
      <c r="H19" s="5">
        <v>45016</v>
      </c>
      <c r="I19" s="5">
        <v>85</v>
      </c>
      <c r="J19" s="5">
        <v>80</v>
      </c>
      <c r="K19" s="5" t="s">
        <v>0</v>
      </c>
      <c r="L19" s="5">
        <f t="shared" si="0"/>
        <v>1830</v>
      </c>
      <c r="M19" s="5">
        <v>40</v>
      </c>
      <c r="N19" s="5">
        <v>12</v>
      </c>
      <c r="O19" s="5">
        <v>120</v>
      </c>
      <c r="P19" s="5">
        <f t="shared" si="1"/>
        <v>36600</v>
      </c>
      <c r="Q19" s="5">
        <v>1620</v>
      </c>
      <c r="R19" s="5">
        <f t="shared" si="2"/>
        <v>18300</v>
      </c>
    </row>
    <row r="20" spans="1:18">
      <c r="A20" s="5">
        <v>1</v>
      </c>
      <c r="B20" s="5">
        <v>19</v>
      </c>
      <c r="C20" s="6">
        <v>11400</v>
      </c>
      <c r="D20" s="6">
        <v>11400</v>
      </c>
      <c r="E20" s="6">
        <v>4110</v>
      </c>
      <c r="F20" s="5">
        <f t="shared" si="3"/>
        <v>821</v>
      </c>
      <c r="G20" s="5">
        <f t="shared" si="4"/>
        <v>16420</v>
      </c>
      <c r="H20" s="5">
        <v>45016</v>
      </c>
      <c r="I20" s="5">
        <v>85</v>
      </c>
      <c r="J20" s="5">
        <v>80</v>
      </c>
      <c r="K20" s="5" t="s">
        <v>0</v>
      </c>
      <c r="L20" s="5">
        <f t="shared" si="0"/>
        <v>2055</v>
      </c>
      <c r="M20" s="5">
        <v>40</v>
      </c>
      <c r="N20" s="5">
        <v>12</v>
      </c>
      <c r="O20" s="5">
        <v>120</v>
      </c>
      <c r="P20" s="5">
        <f t="shared" si="1"/>
        <v>41100</v>
      </c>
      <c r="Q20" s="5">
        <v>1620</v>
      </c>
      <c r="R20" s="5">
        <f t="shared" si="2"/>
        <v>20550</v>
      </c>
    </row>
    <row r="21" spans="1:18">
      <c r="A21" s="5">
        <v>1</v>
      </c>
      <c r="B21" s="5">
        <v>20</v>
      </c>
      <c r="C21" s="6">
        <v>12600</v>
      </c>
      <c r="D21" s="6">
        <v>12600</v>
      </c>
      <c r="E21" s="6">
        <v>4620</v>
      </c>
      <c r="F21" s="5">
        <f t="shared" si="3"/>
        <v>912</v>
      </c>
      <c r="G21" s="5">
        <f t="shared" si="4"/>
        <v>18240</v>
      </c>
      <c r="H21" s="5">
        <v>45016</v>
      </c>
      <c r="I21" s="5">
        <v>85</v>
      </c>
      <c r="J21" s="5">
        <v>80</v>
      </c>
      <c r="K21" s="5" t="s">
        <v>0</v>
      </c>
      <c r="L21" s="5">
        <f t="shared" si="0"/>
        <v>2310</v>
      </c>
      <c r="M21" s="5">
        <v>40</v>
      </c>
      <c r="N21" s="5">
        <v>12</v>
      </c>
      <c r="O21" s="5">
        <v>120</v>
      </c>
      <c r="P21" s="5">
        <v>50000</v>
      </c>
      <c r="Q21" s="5">
        <v>1620</v>
      </c>
      <c r="R21" s="5">
        <f t="shared" si="2"/>
        <v>23100</v>
      </c>
    </row>
    <row r="22" spans="1:18">
      <c r="A22" s="5">
        <v>1</v>
      </c>
      <c r="B22" s="5">
        <v>21</v>
      </c>
      <c r="C22" s="6">
        <v>13860</v>
      </c>
      <c r="D22" s="6">
        <v>13860</v>
      </c>
      <c r="E22" s="6">
        <v>5200</v>
      </c>
      <c r="F22" s="5">
        <f t="shared" si="3"/>
        <v>1008</v>
      </c>
      <c r="G22" s="5">
        <f t="shared" si="4"/>
        <v>20160</v>
      </c>
      <c r="H22" s="5">
        <v>45016</v>
      </c>
      <c r="I22" s="5">
        <v>85</v>
      </c>
      <c r="J22" s="5">
        <v>80</v>
      </c>
      <c r="K22" s="5" t="s">
        <v>0</v>
      </c>
      <c r="L22" s="5">
        <f t="shared" si="0"/>
        <v>2600</v>
      </c>
      <c r="M22" s="5">
        <v>40</v>
      </c>
      <c r="N22" s="5">
        <v>12</v>
      </c>
      <c r="O22" s="5">
        <v>120</v>
      </c>
      <c r="P22" s="5">
        <v>50000</v>
      </c>
      <c r="Q22" s="5">
        <v>1620</v>
      </c>
      <c r="R22" s="5">
        <f t="shared" si="2"/>
        <v>26000</v>
      </c>
    </row>
    <row r="23" spans="1:18">
      <c r="A23" s="5">
        <v>1</v>
      </c>
      <c r="B23" s="5">
        <v>22</v>
      </c>
      <c r="C23" s="6">
        <v>15180</v>
      </c>
      <c r="D23" s="6">
        <v>15180</v>
      </c>
      <c r="E23" s="6">
        <v>5840</v>
      </c>
      <c r="F23" s="5">
        <f t="shared" si="3"/>
        <v>1109</v>
      </c>
      <c r="G23" s="5">
        <f t="shared" si="4"/>
        <v>22180</v>
      </c>
      <c r="H23" s="5">
        <v>45016</v>
      </c>
      <c r="I23" s="5">
        <v>85</v>
      </c>
      <c r="J23" s="5">
        <v>80</v>
      </c>
      <c r="K23" s="5" t="s">
        <v>0</v>
      </c>
      <c r="L23" s="5">
        <f t="shared" si="0"/>
        <v>2920</v>
      </c>
      <c r="M23" s="5">
        <v>40</v>
      </c>
      <c r="N23" s="5">
        <v>12</v>
      </c>
      <c r="O23" s="5">
        <v>120</v>
      </c>
      <c r="P23" s="5">
        <v>50000</v>
      </c>
      <c r="Q23" s="5">
        <v>1620</v>
      </c>
      <c r="R23" s="5">
        <f t="shared" si="2"/>
        <v>29200</v>
      </c>
    </row>
    <row r="24" spans="1:18">
      <c r="A24" s="5">
        <v>1</v>
      </c>
      <c r="B24" s="5">
        <v>23</v>
      </c>
      <c r="C24" s="6">
        <v>16560</v>
      </c>
      <c r="D24" s="6">
        <v>16560</v>
      </c>
      <c r="E24" s="6">
        <v>6570</v>
      </c>
      <c r="F24" s="5">
        <f t="shared" si="3"/>
        <v>1214</v>
      </c>
      <c r="G24" s="5">
        <f t="shared" si="4"/>
        <v>24280</v>
      </c>
      <c r="H24" s="5">
        <v>45016</v>
      </c>
      <c r="I24" s="5">
        <v>85</v>
      </c>
      <c r="J24" s="5">
        <v>80</v>
      </c>
      <c r="K24" s="5" t="s">
        <v>0</v>
      </c>
      <c r="L24" s="5">
        <f t="shared" si="0"/>
        <v>3285</v>
      </c>
      <c r="M24" s="5">
        <v>40</v>
      </c>
      <c r="N24" s="5">
        <v>12</v>
      </c>
      <c r="O24" s="5">
        <v>120</v>
      </c>
      <c r="P24" s="5">
        <v>50000</v>
      </c>
      <c r="Q24" s="5">
        <v>1620</v>
      </c>
      <c r="R24" s="5">
        <f t="shared" si="2"/>
        <v>32850</v>
      </c>
    </row>
    <row r="25" spans="1:18">
      <c r="A25" s="5">
        <v>1</v>
      </c>
      <c r="B25" s="5">
        <v>24</v>
      </c>
      <c r="C25" s="6">
        <v>18000</v>
      </c>
      <c r="D25" s="6">
        <v>18000</v>
      </c>
      <c r="E25" s="6">
        <v>7390</v>
      </c>
      <c r="F25" s="5">
        <f t="shared" si="3"/>
        <v>1325</v>
      </c>
      <c r="G25" s="5">
        <f t="shared" si="4"/>
        <v>26500</v>
      </c>
      <c r="H25" s="5">
        <v>45016</v>
      </c>
      <c r="I25" s="5">
        <v>85</v>
      </c>
      <c r="J25" s="5">
        <v>80</v>
      </c>
      <c r="K25" s="5" t="s">
        <v>0</v>
      </c>
      <c r="L25" s="5">
        <f t="shared" si="0"/>
        <v>3695</v>
      </c>
      <c r="M25" s="5">
        <v>40</v>
      </c>
      <c r="N25" s="5">
        <v>12</v>
      </c>
      <c r="O25" s="5">
        <v>120</v>
      </c>
      <c r="P25" s="5">
        <v>50000</v>
      </c>
      <c r="Q25" s="5">
        <v>1620</v>
      </c>
      <c r="R25" s="5">
        <f t="shared" si="2"/>
        <v>36950</v>
      </c>
    </row>
    <row r="26" spans="1:18">
      <c r="A26" s="5">
        <v>1</v>
      </c>
      <c r="B26" s="5">
        <v>25</v>
      </c>
      <c r="C26" s="6">
        <v>19500</v>
      </c>
      <c r="D26" s="6">
        <v>19500</v>
      </c>
      <c r="E26" s="6">
        <v>8300</v>
      </c>
      <c r="F26" s="5">
        <f t="shared" si="3"/>
        <v>1440</v>
      </c>
      <c r="G26" s="5">
        <f t="shared" si="4"/>
        <v>28800</v>
      </c>
      <c r="H26" s="5">
        <v>45016</v>
      </c>
      <c r="I26" s="5">
        <v>85</v>
      </c>
      <c r="J26" s="5">
        <v>80</v>
      </c>
      <c r="K26" s="5" t="s">
        <v>0</v>
      </c>
      <c r="L26" s="5">
        <f t="shared" si="0"/>
        <v>4150</v>
      </c>
      <c r="M26" s="5">
        <v>40</v>
      </c>
      <c r="N26" s="5">
        <v>12</v>
      </c>
      <c r="O26" s="5">
        <v>120</v>
      </c>
      <c r="P26" s="5">
        <v>50000</v>
      </c>
      <c r="Q26" s="5">
        <v>1620</v>
      </c>
      <c r="R26" s="5">
        <f t="shared" si="2"/>
        <v>41500</v>
      </c>
    </row>
    <row r="27" spans="1:18">
      <c r="A27" s="5">
        <v>1</v>
      </c>
      <c r="B27" s="5">
        <v>26</v>
      </c>
      <c r="C27" s="6">
        <v>21060</v>
      </c>
      <c r="D27" s="6">
        <v>21060</v>
      </c>
      <c r="E27" s="6">
        <v>9340</v>
      </c>
      <c r="F27" s="5">
        <f t="shared" si="3"/>
        <v>1560</v>
      </c>
      <c r="G27" s="5">
        <f t="shared" si="4"/>
        <v>31200</v>
      </c>
      <c r="H27" s="5">
        <v>45016</v>
      </c>
      <c r="I27" s="5">
        <v>85</v>
      </c>
      <c r="J27" s="5">
        <v>80</v>
      </c>
      <c r="K27" s="5" t="s">
        <v>0</v>
      </c>
      <c r="L27" s="5">
        <f t="shared" si="0"/>
        <v>4670</v>
      </c>
      <c r="M27" s="5">
        <v>40</v>
      </c>
      <c r="N27" s="5">
        <v>12</v>
      </c>
      <c r="O27" s="5">
        <v>120</v>
      </c>
      <c r="P27" s="5">
        <v>50000</v>
      </c>
      <c r="Q27" s="5">
        <v>1620</v>
      </c>
      <c r="R27" s="5">
        <f t="shared" si="2"/>
        <v>46700</v>
      </c>
    </row>
    <row r="28" spans="1:18">
      <c r="A28" s="5">
        <v>1</v>
      </c>
      <c r="B28" s="5">
        <v>27</v>
      </c>
      <c r="C28" s="6">
        <v>22680</v>
      </c>
      <c r="D28" s="6">
        <v>22680</v>
      </c>
      <c r="E28" s="6">
        <v>10500</v>
      </c>
      <c r="F28" s="5">
        <f t="shared" si="3"/>
        <v>1685</v>
      </c>
      <c r="G28" s="5">
        <f t="shared" si="4"/>
        <v>33700</v>
      </c>
      <c r="H28" s="5">
        <v>45016</v>
      </c>
      <c r="I28" s="5">
        <v>85</v>
      </c>
      <c r="J28" s="5">
        <v>80</v>
      </c>
      <c r="K28" s="5" t="s">
        <v>0</v>
      </c>
      <c r="L28" s="5">
        <f t="shared" si="0"/>
        <v>5250</v>
      </c>
      <c r="M28" s="5">
        <v>40</v>
      </c>
      <c r="N28" s="5">
        <v>12</v>
      </c>
      <c r="O28" s="5">
        <v>120</v>
      </c>
      <c r="P28" s="5">
        <v>50000</v>
      </c>
      <c r="Q28" s="5">
        <v>1620</v>
      </c>
      <c r="R28" s="5">
        <f t="shared" si="2"/>
        <v>52500</v>
      </c>
    </row>
    <row r="29" spans="1:18">
      <c r="A29" s="5">
        <v>1</v>
      </c>
      <c r="B29" s="5">
        <v>28</v>
      </c>
      <c r="C29" s="6">
        <v>24360</v>
      </c>
      <c r="D29" s="6">
        <v>24360</v>
      </c>
      <c r="E29" s="6">
        <v>11800</v>
      </c>
      <c r="F29" s="5">
        <f t="shared" si="3"/>
        <v>1814</v>
      </c>
      <c r="G29" s="5">
        <f t="shared" si="4"/>
        <v>36280</v>
      </c>
      <c r="H29" s="5">
        <v>45016</v>
      </c>
      <c r="I29" s="5">
        <v>85</v>
      </c>
      <c r="J29" s="5">
        <v>80</v>
      </c>
      <c r="K29" s="5" t="s">
        <v>0</v>
      </c>
      <c r="L29" s="5">
        <f t="shared" si="0"/>
        <v>5900</v>
      </c>
      <c r="M29" s="5">
        <v>40</v>
      </c>
      <c r="N29" s="5">
        <v>12</v>
      </c>
      <c r="O29" s="5">
        <v>120</v>
      </c>
      <c r="P29" s="5">
        <v>50000</v>
      </c>
      <c r="Q29" s="5">
        <v>1620</v>
      </c>
      <c r="R29" s="5">
        <f t="shared" si="2"/>
        <v>59000</v>
      </c>
    </row>
    <row r="30" spans="1:18">
      <c r="A30" s="5">
        <v>1</v>
      </c>
      <c r="B30" s="5">
        <v>29</v>
      </c>
      <c r="C30" s="6">
        <v>26100</v>
      </c>
      <c r="D30" s="6">
        <v>26100</v>
      </c>
      <c r="E30" s="6">
        <v>13260</v>
      </c>
      <c r="F30" s="5">
        <f t="shared" si="3"/>
        <v>1949</v>
      </c>
      <c r="G30" s="5">
        <f t="shared" si="4"/>
        <v>38980</v>
      </c>
      <c r="H30" s="5">
        <v>45016</v>
      </c>
      <c r="I30" s="5">
        <v>85</v>
      </c>
      <c r="J30" s="5">
        <v>80</v>
      </c>
      <c r="K30" s="5" t="s">
        <v>0</v>
      </c>
      <c r="L30" s="5">
        <f t="shared" si="0"/>
        <v>6630</v>
      </c>
      <c r="M30" s="5">
        <v>40</v>
      </c>
      <c r="N30" s="5">
        <v>12</v>
      </c>
      <c r="O30" s="5">
        <v>120</v>
      </c>
      <c r="P30" s="5">
        <v>50000</v>
      </c>
      <c r="Q30" s="5">
        <v>1620</v>
      </c>
      <c r="R30" s="5">
        <f t="shared" si="2"/>
        <v>66300</v>
      </c>
    </row>
    <row r="31" spans="1:18">
      <c r="A31" s="5">
        <v>1</v>
      </c>
      <c r="B31" s="5">
        <v>30</v>
      </c>
      <c r="C31" s="6">
        <v>27900</v>
      </c>
      <c r="D31" s="6">
        <v>27900</v>
      </c>
      <c r="E31" s="6">
        <v>14910</v>
      </c>
      <c r="F31" s="5">
        <f t="shared" si="3"/>
        <v>2088</v>
      </c>
      <c r="G31" s="5">
        <f t="shared" si="4"/>
        <v>41760</v>
      </c>
      <c r="H31" s="5">
        <v>45016</v>
      </c>
      <c r="I31" s="5">
        <v>85</v>
      </c>
      <c r="J31" s="5">
        <v>80</v>
      </c>
      <c r="K31" s="5" t="s">
        <v>0</v>
      </c>
      <c r="L31" s="5">
        <f t="shared" si="0"/>
        <v>7455</v>
      </c>
      <c r="M31" s="5">
        <v>40</v>
      </c>
      <c r="N31" s="5">
        <v>12</v>
      </c>
      <c r="O31" s="5">
        <v>120</v>
      </c>
      <c r="P31" s="5">
        <v>50000</v>
      </c>
      <c r="Q31" s="5">
        <v>1620</v>
      </c>
      <c r="R31" s="5">
        <f t="shared" si="2"/>
        <v>74550</v>
      </c>
    </row>
    <row r="32" spans="1:18">
      <c r="A32" s="5">
        <v>1</v>
      </c>
      <c r="B32" s="5">
        <v>31</v>
      </c>
      <c r="C32" s="6">
        <v>29760</v>
      </c>
      <c r="D32" s="6">
        <v>29760</v>
      </c>
      <c r="E32" s="6">
        <v>16760</v>
      </c>
      <c r="F32" s="5">
        <f t="shared" si="3"/>
        <v>2232</v>
      </c>
      <c r="G32" s="5">
        <f t="shared" si="4"/>
        <v>44640</v>
      </c>
      <c r="H32" s="5">
        <v>45016</v>
      </c>
      <c r="I32" s="5">
        <v>85</v>
      </c>
      <c r="J32" s="5">
        <v>80</v>
      </c>
      <c r="K32" s="5" t="s">
        <v>0</v>
      </c>
      <c r="L32" s="5">
        <f t="shared" si="0"/>
        <v>8380</v>
      </c>
      <c r="M32" s="5">
        <v>40</v>
      </c>
      <c r="N32" s="5">
        <v>12</v>
      </c>
      <c r="O32" s="5">
        <v>120</v>
      </c>
      <c r="P32" s="5">
        <v>50000</v>
      </c>
      <c r="Q32" s="5">
        <v>1620</v>
      </c>
      <c r="R32" s="5">
        <f t="shared" si="2"/>
        <v>83800</v>
      </c>
    </row>
    <row r="33" spans="1:18">
      <c r="A33" s="5">
        <v>1</v>
      </c>
      <c r="B33" s="5">
        <v>32</v>
      </c>
      <c r="C33" s="6">
        <v>31680</v>
      </c>
      <c r="D33" s="6">
        <v>31680</v>
      </c>
      <c r="E33" s="6">
        <v>18850</v>
      </c>
      <c r="F33" s="5">
        <f t="shared" si="3"/>
        <v>2381</v>
      </c>
      <c r="G33" s="5">
        <f t="shared" si="4"/>
        <v>47620</v>
      </c>
      <c r="H33" s="5">
        <v>45016</v>
      </c>
      <c r="I33" s="5">
        <v>85</v>
      </c>
      <c r="J33" s="5">
        <v>80</v>
      </c>
      <c r="K33" s="5" t="s">
        <v>0</v>
      </c>
      <c r="L33" s="5">
        <f t="shared" si="0"/>
        <v>9425</v>
      </c>
      <c r="M33" s="5">
        <v>40</v>
      </c>
      <c r="N33" s="5">
        <v>12</v>
      </c>
      <c r="O33" s="5">
        <v>120</v>
      </c>
      <c r="P33" s="5">
        <v>50000</v>
      </c>
      <c r="Q33" s="5">
        <v>1620</v>
      </c>
      <c r="R33" s="5">
        <f t="shared" si="2"/>
        <v>94250</v>
      </c>
    </row>
    <row r="34" spans="1:18">
      <c r="A34" s="5">
        <v>1</v>
      </c>
      <c r="B34" s="5">
        <v>33</v>
      </c>
      <c r="C34" s="6">
        <v>33660</v>
      </c>
      <c r="D34" s="6">
        <v>33660</v>
      </c>
      <c r="E34" s="6">
        <v>21190</v>
      </c>
      <c r="F34" s="5">
        <f t="shared" si="3"/>
        <v>2534</v>
      </c>
      <c r="G34" s="5">
        <f t="shared" si="4"/>
        <v>50680</v>
      </c>
      <c r="H34" s="5">
        <v>45016</v>
      </c>
      <c r="I34" s="5">
        <v>85</v>
      </c>
      <c r="J34" s="5">
        <v>80</v>
      </c>
      <c r="K34" s="5" t="s">
        <v>0</v>
      </c>
      <c r="L34" s="5">
        <f t="shared" si="0"/>
        <v>10595</v>
      </c>
      <c r="M34" s="5">
        <v>40</v>
      </c>
      <c r="N34" s="5">
        <v>12</v>
      </c>
      <c r="O34" s="5">
        <v>120</v>
      </c>
      <c r="P34" s="5">
        <v>50000</v>
      </c>
      <c r="Q34" s="5">
        <v>1620</v>
      </c>
      <c r="R34" s="5">
        <f>E34*5</f>
        <v>105950</v>
      </c>
    </row>
    <row r="35" spans="1:18">
      <c r="A35" s="5">
        <v>1</v>
      </c>
      <c r="B35" s="5">
        <v>34</v>
      </c>
      <c r="C35" s="6">
        <v>35700</v>
      </c>
      <c r="D35" s="6">
        <v>35700</v>
      </c>
      <c r="E35" s="6">
        <v>23820</v>
      </c>
      <c r="F35" s="5">
        <f t="shared" si="3"/>
        <v>2693</v>
      </c>
      <c r="G35" s="5">
        <f t="shared" si="4"/>
        <v>53860</v>
      </c>
      <c r="H35" s="5">
        <v>45016</v>
      </c>
      <c r="I35" s="5">
        <v>85</v>
      </c>
      <c r="J35" s="5">
        <v>80</v>
      </c>
      <c r="K35" s="5" t="s">
        <v>0</v>
      </c>
      <c r="L35" s="5">
        <f t="shared" si="0"/>
        <v>11910</v>
      </c>
      <c r="M35" s="5">
        <v>40</v>
      </c>
      <c r="N35" s="5">
        <v>12</v>
      </c>
      <c r="O35" s="5">
        <v>120</v>
      </c>
      <c r="P35" s="5">
        <v>50000</v>
      </c>
      <c r="Q35" s="5">
        <v>1620</v>
      </c>
      <c r="R35" s="5">
        <f t="shared" si="2"/>
        <v>119100</v>
      </c>
    </row>
    <row r="36" spans="1:18">
      <c r="A36" s="5">
        <v>1</v>
      </c>
      <c r="B36" s="5">
        <v>35</v>
      </c>
      <c r="C36" s="6">
        <v>37800</v>
      </c>
      <c r="D36" s="6">
        <v>37800</v>
      </c>
      <c r="E36" s="6">
        <v>26780</v>
      </c>
      <c r="F36" s="5">
        <f t="shared" si="3"/>
        <v>2856</v>
      </c>
      <c r="G36" s="5">
        <f t="shared" si="4"/>
        <v>57120</v>
      </c>
      <c r="H36" s="5">
        <v>45016</v>
      </c>
      <c r="I36" s="5">
        <v>85</v>
      </c>
      <c r="J36" s="5">
        <v>80</v>
      </c>
      <c r="K36" s="5" t="s">
        <v>0</v>
      </c>
      <c r="L36" s="5">
        <f t="shared" si="0"/>
        <v>13390</v>
      </c>
      <c r="M36" s="5">
        <v>40</v>
      </c>
      <c r="N36" s="5">
        <v>12</v>
      </c>
      <c r="O36" s="5">
        <v>120</v>
      </c>
      <c r="P36" s="5">
        <v>50000</v>
      </c>
      <c r="Q36" s="5">
        <v>1620</v>
      </c>
      <c r="R36" s="5">
        <f t="shared" si="2"/>
        <v>133900</v>
      </c>
    </row>
    <row r="37" spans="1:18">
      <c r="A37" s="5">
        <v>1</v>
      </c>
      <c r="B37" s="5">
        <v>36</v>
      </c>
      <c r="C37" s="6">
        <v>39960</v>
      </c>
      <c r="D37" s="6">
        <v>39960</v>
      </c>
      <c r="E37" s="6">
        <v>30100</v>
      </c>
      <c r="F37" s="5">
        <f t="shared" si="3"/>
        <v>3024</v>
      </c>
      <c r="G37" s="5">
        <f t="shared" si="4"/>
        <v>60480</v>
      </c>
      <c r="H37" s="5">
        <v>45016</v>
      </c>
      <c r="I37" s="5">
        <v>85</v>
      </c>
      <c r="J37" s="5">
        <v>80</v>
      </c>
      <c r="K37" s="5" t="s">
        <v>0</v>
      </c>
      <c r="L37" s="5">
        <f t="shared" si="0"/>
        <v>15050</v>
      </c>
      <c r="M37" s="5">
        <v>40</v>
      </c>
      <c r="N37" s="5">
        <v>12</v>
      </c>
      <c r="O37" s="5">
        <v>120</v>
      </c>
      <c r="P37" s="5">
        <v>100000</v>
      </c>
      <c r="Q37" s="5">
        <v>1620</v>
      </c>
      <c r="R37" s="5">
        <f t="shared" si="2"/>
        <v>150500</v>
      </c>
    </row>
    <row r="38" spans="1:18">
      <c r="A38" s="5">
        <v>1</v>
      </c>
      <c r="B38" s="5">
        <v>37</v>
      </c>
      <c r="C38" s="6">
        <v>42180</v>
      </c>
      <c r="D38" s="6">
        <v>42180</v>
      </c>
      <c r="E38" s="6">
        <v>33840</v>
      </c>
      <c r="F38" s="5">
        <f t="shared" si="3"/>
        <v>3197</v>
      </c>
      <c r="G38" s="5">
        <f t="shared" si="4"/>
        <v>63940</v>
      </c>
      <c r="H38" s="5">
        <v>45016</v>
      </c>
      <c r="I38" s="5">
        <v>85</v>
      </c>
      <c r="J38" s="5">
        <v>80</v>
      </c>
      <c r="K38" s="5" t="s">
        <v>0</v>
      </c>
      <c r="L38" s="5">
        <f t="shared" si="0"/>
        <v>16920</v>
      </c>
      <c r="M38" s="5">
        <v>40</v>
      </c>
      <c r="N38" s="5">
        <v>12</v>
      </c>
      <c r="O38" s="5">
        <v>120</v>
      </c>
      <c r="P38" s="5">
        <v>100000</v>
      </c>
      <c r="Q38" s="5">
        <v>1620</v>
      </c>
      <c r="R38" s="5">
        <f t="shared" si="2"/>
        <v>169200</v>
      </c>
    </row>
    <row r="39" spans="1:18">
      <c r="A39" s="5">
        <v>1</v>
      </c>
      <c r="B39" s="5">
        <v>38</v>
      </c>
      <c r="C39" s="6">
        <v>44460</v>
      </c>
      <c r="D39" s="6">
        <v>44460</v>
      </c>
      <c r="E39" s="6">
        <v>38050</v>
      </c>
      <c r="F39" s="5">
        <f t="shared" si="3"/>
        <v>3374</v>
      </c>
      <c r="G39" s="5">
        <f t="shared" si="4"/>
        <v>67480</v>
      </c>
      <c r="H39" s="5">
        <v>45016</v>
      </c>
      <c r="I39" s="5">
        <v>85</v>
      </c>
      <c r="J39" s="5">
        <v>80</v>
      </c>
      <c r="K39" s="5" t="s">
        <v>0</v>
      </c>
      <c r="L39" s="5">
        <f t="shared" si="0"/>
        <v>19025</v>
      </c>
      <c r="M39" s="5">
        <v>40</v>
      </c>
      <c r="N39" s="5">
        <v>12</v>
      </c>
      <c r="O39" s="5">
        <v>120</v>
      </c>
      <c r="P39" s="5">
        <v>100000</v>
      </c>
      <c r="Q39" s="5">
        <v>1620</v>
      </c>
      <c r="R39" s="5">
        <f t="shared" si="2"/>
        <v>190250</v>
      </c>
    </row>
    <row r="40" spans="1:18">
      <c r="A40" s="5">
        <v>1</v>
      </c>
      <c r="B40" s="5">
        <v>39</v>
      </c>
      <c r="C40" s="6">
        <v>46800</v>
      </c>
      <c r="D40" s="6">
        <v>46800</v>
      </c>
      <c r="E40" s="6">
        <v>42770</v>
      </c>
      <c r="F40" s="5">
        <f t="shared" si="3"/>
        <v>3557</v>
      </c>
      <c r="G40" s="5">
        <f t="shared" si="4"/>
        <v>71140</v>
      </c>
      <c r="H40" s="5">
        <v>45016</v>
      </c>
      <c r="I40" s="5">
        <v>85</v>
      </c>
      <c r="J40" s="5">
        <v>80</v>
      </c>
      <c r="K40" s="5" t="s">
        <v>0</v>
      </c>
      <c r="L40" s="5">
        <f t="shared" si="0"/>
        <v>21385</v>
      </c>
      <c r="M40" s="5">
        <v>40</v>
      </c>
      <c r="N40" s="5">
        <v>12</v>
      </c>
      <c r="O40" s="5">
        <v>120</v>
      </c>
      <c r="P40" s="5">
        <v>100000</v>
      </c>
      <c r="Q40" s="5">
        <v>1620</v>
      </c>
      <c r="R40" s="5">
        <f t="shared" si="2"/>
        <v>213850</v>
      </c>
    </row>
    <row r="41" spans="1:18">
      <c r="A41" s="5">
        <v>1</v>
      </c>
      <c r="B41" s="5">
        <v>40</v>
      </c>
      <c r="C41" s="6">
        <v>49200</v>
      </c>
      <c r="D41" s="6">
        <v>49200</v>
      </c>
      <c r="E41" s="6">
        <v>48090</v>
      </c>
      <c r="F41" s="5">
        <f t="shared" si="3"/>
        <v>3744</v>
      </c>
      <c r="G41" s="5">
        <f t="shared" si="4"/>
        <v>74880</v>
      </c>
      <c r="H41" s="5">
        <v>45016</v>
      </c>
      <c r="I41" s="5">
        <v>85</v>
      </c>
      <c r="J41" s="5">
        <v>80</v>
      </c>
      <c r="K41" s="5" t="s">
        <v>0</v>
      </c>
      <c r="L41" s="5">
        <f t="shared" si="0"/>
        <v>24045</v>
      </c>
      <c r="M41" s="5">
        <v>40</v>
      </c>
      <c r="N41" s="5">
        <v>12</v>
      </c>
      <c r="O41" s="5">
        <v>120</v>
      </c>
      <c r="P41" s="5">
        <v>100000</v>
      </c>
      <c r="Q41" s="5">
        <v>1620</v>
      </c>
      <c r="R41" s="5">
        <f t="shared" si="2"/>
        <v>240450</v>
      </c>
    </row>
    <row r="42" spans="1:18">
      <c r="A42" s="5">
        <v>1</v>
      </c>
      <c r="B42" s="5">
        <v>41</v>
      </c>
      <c r="C42" s="6">
        <v>51660</v>
      </c>
      <c r="D42" s="6">
        <v>51660</v>
      </c>
      <c r="E42" s="6">
        <v>54060</v>
      </c>
      <c r="F42" s="5">
        <f t="shared" si="3"/>
        <v>3936</v>
      </c>
      <c r="G42" s="5">
        <f t="shared" si="4"/>
        <v>78720</v>
      </c>
      <c r="H42" s="5">
        <v>45016</v>
      </c>
      <c r="I42" s="5">
        <v>85</v>
      </c>
      <c r="J42" s="5">
        <v>80</v>
      </c>
      <c r="K42" s="5" t="s">
        <v>0</v>
      </c>
      <c r="L42" s="5">
        <f t="shared" si="0"/>
        <v>27030</v>
      </c>
      <c r="M42" s="5">
        <v>40</v>
      </c>
      <c r="N42" s="5">
        <v>12</v>
      </c>
      <c r="O42" s="5">
        <v>120</v>
      </c>
      <c r="P42" s="5">
        <v>100000</v>
      </c>
      <c r="Q42" s="5">
        <v>1620</v>
      </c>
      <c r="R42" s="5">
        <f t="shared" si="2"/>
        <v>270300</v>
      </c>
    </row>
    <row r="43" spans="1:18">
      <c r="A43" s="5">
        <v>1</v>
      </c>
      <c r="B43" s="5">
        <v>42</v>
      </c>
      <c r="C43" s="6">
        <v>54180</v>
      </c>
      <c r="D43" s="6">
        <v>54180</v>
      </c>
      <c r="E43" s="6">
        <v>60770</v>
      </c>
      <c r="F43" s="5">
        <f t="shared" si="3"/>
        <v>4133</v>
      </c>
      <c r="G43" s="5">
        <f t="shared" si="4"/>
        <v>82660</v>
      </c>
      <c r="H43" s="5">
        <v>45016</v>
      </c>
      <c r="I43" s="5">
        <v>85</v>
      </c>
      <c r="J43" s="5">
        <v>80</v>
      </c>
      <c r="K43" s="5" t="s">
        <v>0</v>
      </c>
      <c r="L43" s="5">
        <f t="shared" si="0"/>
        <v>30385</v>
      </c>
      <c r="M43" s="5">
        <v>40</v>
      </c>
      <c r="N43" s="5">
        <v>12</v>
      </c>
      <c r="O43" s="5">
        <v>120</v>
      </c>
      <c r="P43" s="5">
        <v>100000</v>
      </c>
      <c r="Q43" s="5">
        <v>1620</v>
      </c>
      <c r="R43" s="5">
        <f t="shared" si="2"/>
        <v>303850</v>
      </c>
    </row>
    <row r="44" spans="1:18">
      <c r="A44" s="5">
        <v>1</v>
      </c>
      <c r="B44" s="5">
        <v>43</v>
      </c>
      <c r="C44" s="6">
        <v>56760</v>
      </c>
      <c r="D44" s="6">
        <v>56760</v>
      </c>
      <c r="E44" s="6">
        <v>68320</v>
      </c>
      <c r="F44" s="5">
        <f t="shared" si="3"/>
        <v>4334</v>
      </c>
      <c r="G44" s="5">
        <f t="shared" si="4"/>
        <v>86680</v>
      </c>
      <c r="H44" s="5">
        <v>45016</v>
      </c>
      <c r="I44" s="5">
        <v>85</v>
      </c>
      <c r="J44" s="5">
        <v>80</v>
      </c>
      <c r="K44" s="5" t="s">
        <v>0</v>
      </c>
      <c r="L44" s="5">
        <f t="shared" si="0"/>
        <v>34160</v>
      </c>
      <c r="M44" s="5">
        <v>40</v>
      </c>
      <c r="N44" s="5">
        <v>12</v>
      </c>
      <c r="O44" s="5">
        <v>120</v>
      </c>
      <c r="P44" s="5">
        <v>100000</v>
      </c>
      <c r="Q44" s="5">
        <v>1620</v>
      </c>
      <c r="R44" s="5">
        <f t="shared" si="2"/>
        <v>341600</v>
      </c>
    </row>
    <row r="45" spans="1:18">
      <c r="A45" s="5">
        <v>1</v>
      </c>
      <c r="B45" s="5">
        <v>44</v>
      </c>
      <c r="C45" s="6">
        <v>59400</v>
      </c>
      <c r="D45" s="6">
        <v>59400</v>
      </c>
      <c r="E45" s="6">
        <v>76810</v>
      </c>
      <c r="F45" s="5">
        <f t="shared" si="3"/>
        <v>4541</v>
      </c>
      <c r="G45" s="5">
        <f t="shared" si="4"/>
        <v>90820</v>
      </c>
      <c r="H45" s="5">
        <v>45016</v>
      </c>
      <c r="I45" s="5">
        <v>85</v>
      </c>
      <c r="J45" s="5">
        <v>80</v>
      </c>
      <c r="K45" s="5" t="s">
        <v>0</v>
      </c>
      <c r="L45" s="5">
        <f t="shared" si="0"/>
        <v>38405</v>
      </c>
      <c r="M45" s="5">
        <v>40</v>
      </c>
      <c r="N45" s="5">
        <v>12</v>
      </c>
      <c r="O45" s="5">
        <v>120</v>
      </c>
      <c r="P45" s="5">
        <v>100000</v>
      </c>
      <c r="Q45" s="5">
        <v>1620</v>
      </c>
      <c r="R45" s="5">
        <f t="shared" si="2"/>
        <v>384050</v>
      </c>
    </row>
    <row r="46" spans="1:18">
      <c r="A46" s="5">
        <v>1</v>
      </c>
      <c r="B46" s="5">
        <v>45</v>
      </c>
      <c r="C46" s="6">
        <v>62100</v>
      </c>
      <c r="D46" s="6">
        <v>62100</v>
      </c>
      <c r="E46" s="6">
        <v>86350</v>
      </c>
      <c r="F46" s="5">
        <f t="shared" si="3"/>
        <v>4752</v>
      </c>
      <c r="G46" s="5">
        <f t="shared" si="4"/>
        <v>95040</v>
      </c>
      <c r="H46" s="5">
        <v>45016</v>
      </c>
      <c r="I46" s="5">
        <v>85</v>
      </c>
      <c r="J46" s="5">
        <v>80</v>
      </c>
      <c r="K46" s="5" t="s">
        <v>0</v>
      </c>
      <c r="L46" s="5">
        <f t="shared" si="0"/>
        <v>43175</v>
      </c>
      <c r="M46" s="5">
        <v>40</v>
      </c>
      <c r="N46" s="5">
        <v>12</v>
      </c>
      <c r="O46" s="5">
        <v>120</v>
      </c>
      <c r="P46" s="5">
        <v>100000</v>
      </c>
      <c r="Q46" s="5">
        <v>1620</v>
      </c>
      <c r="R46" s="5">
        <f t="shared" si="2"/>
        <v>431750</v>
      </c>
    </row>
    <row r="47" spans="1:18">
      <c r="A47" s="5">
        <v>1</v>
      </c>
      <c r="B47" s="5">
        <v>46</v>
      </c>
      <c r="C47" s="6">
        <v>64860</v>
      </c>
      <c r="D47" s="6">
        <v>64860</v>
      </c>
      <c r="E47" s="6">
        <v>97070</v>
      </c>
      <c r="F47" s="5">
        <f t="shared" si="3"/>
        <v>4968</v>
      </c>
      <c r="G47" s="5">
        <f t="shared" si="4"/>
        <v>99360</v>
      </c>
      <c r="H47" s="5">
        <v>45016</v>
      </c>
      <c r="I47" s="5">
        <v>85</v>
      </c>
      <c r="J47" s="5">
        <v>80</v>
      </c>
      <c r="K47" s="5" t="s">
        <v>0</v>
      </c>
      <c r="L47" s="5">
        <f t="shared" si="0"/>
        <v>48535</v>
      </c>
      <c r="M47" s="5">
        <v>40</v>
      </c>
      <c r="N47" s="5">
        <v>12</v>
      </c>
      <c r="O47" s="5">
        <v>120</v>
      </c>
      <c r="P47" s="5">
        <v>100000</v>
      </c>
      <c r="Q47" s="5">
        <v>1620</v>
      </c>
      <c r="R47" s="5">
        <f t="shared" si="2"/>
        <v>485350</v>
      </c>
    </row>
    <row r="48" spans="1:18">
      <c r="A48" s="5">
        <v>1</v>
      </c>
      <c r="B48" s="5">
        <v>47</v>
      </c>
      <c r="C48" s="6">
        <v>67680</v>
      </c>
      <c r="D48" s="6">
        <v>67680</v>
      </c>
      <c r="E48" s="6">
        <v>109130</v>
      </c>
      <c r="F48" s="5">
        <f t="shared" si="3"/>
        <v>5189</v>
      </c>
      <c r="G48" s="5">
        <f t="shared" si="4"/>
        <v>103780</v>
      </c>
      <c r="H48" s="5">
        <v>45016</v>
      </c>
      <c r="I48" s="5">
        <v>85</v>
      </c>
      <c r="J48" s="5">
        <v>80</v>
      </c>
      <c r="K48" s="5" t="s">
        <v>0</v>
      </c>
      <c r="L48" s="5">
        <f t="shared" si="0"/>
        <v>54565</v>
      </c>
      <c r="M48" s="5">
        <v>40</v>
      </c>
      <c r="N48" s="5">
        <v>12</v>
      </c>
      <c r="O48" s="5">
        <v>120</v>
      </c>
      <c r="P48" s="5">
        <v>100000</v>
      </c>
      <c r="Q48" s="5">
        <v>1620</v>
      </c>
      <c r="R48" s="5">
        <f t="shared" si="2"/>
        <v>545650</v>
      </c>
    </row>
    <row r="49" spans="1:18">
      <c r="A49" s="5">
        <v>1</v>
      </c>
      <c r="B49" s="5">
        <v>48</v>
      </c>
      <c r="C49" s="6">
        <v>70560</v>
      </c>
      <c r="D49" s="6">
        <v>70560</v>
      </c>
      <c r="E49" s="6">
        <v>122690</v>
      </c>
      <c r="F49" s="5">
        <f t="shared" si="3"/>
        <v>5414</v>
      </c>
      <c r="G49" s="5">
        <f t="shared" si="4"/>
        <v>108280</v>
      </c>
      <c r="H49" s="5">
        <v>45016</v>
      </c>
      <c r="I49" s="5">
        <v>85</v>
      </c>
      <c r="J49" s="5">
        <v>80</v>
      </c>
      <c r="K49" s="5" t="s">
        <v>0</v>
      </c>
      <c r="L49" s="5">
        <f t="shared" si="0"/>
        <v>61345</v>
      </c>
      <c r="M49" s="5">
        <v>40</v>
      </c>
      <c r="N49" s="5">
        <v>12</v>
      </c>
      <c r="O49" s="5">
        <v>120</v>
      </c>
      <c r="P49" s="5">
        <v>100000</v>
      </c>
      <c r="Q49" s="5">
        <v>1620</v>
      </c>
      <c r="R49" s="5">
        <f t="shared" si="2"/>
        <v>613450</v>
      </c>
    </row>
    <row r="50" spans="1:18">
      <c r="A50" s="5">
        <v>1</v>
      </c>
      <c r="B50" s="5">
        <v>49</v>
      </c>
      <c r="C50" s="6">
        <v>73500</v>
      </c>
      <c r="D50" s="6">
        <v>73500</v>
      </c>
      <c r="E50" s="6">
        <v>137930</v>
      </c>
      <c r="F50" s="5">
        <f t="shared" si="3"/>
        <v>5645</v>
      </c>
      <c r="G50" s="5">
        <f t="shared" si="4"/>
        <v>112900</v>
      </c>
      <c r="H50" s="5">
        <v>45016</v>
      </c>
      <c r="I50" s="5">
        <v>85</v>
      </c>
      <c r="J50" s="5">
        <v>80</v>
      </c>
      <c r="K50" s="5" t="s">
        <v>0</v>
      </c>
      <c r="L50" s="5">
        <f t="shared" si="0"/>
        <v>68965</v>
      </c>
      <c r="M50" s="5">
        <v>40</v>
      </c>
      <c r="N50" s="5">
        <v>12</v>
      </c>
      <c r="O50" s="5">
        <v>120</v>
      </c>
      <c r="P50" s="5">
        <v>100000</v>
      </c>
      <c r="Q50" s="5">
        <v>1620</v>
      </c>
      <c r="R50" s="5">
        <f t="shared" si="2"/>
        <v>689650</v>
      </c>
    </row>
    <row r="51" spans="1:18">
      <c r="A51" s="5">
        <v>1</v>
      </c>
      <c r="B51" s="5">
        <v>50</v>
      </c>
      <c r="C51" s="6">
        <v>76500</v>
      </c>
      <c r="D51" s="6">
        <v>76500</v>
      </c>
      <c r="E51" s="6">
        <v>155060</v>
      </c>
      <c r="F51" s="5">
        <f t="shared" si="3"/>
        <v>5880</v>
      </c>
      <c r="G51" s="5">
        <f t="shared" si="4"/>
        <v>117600</v>
      </c>
      <c r="H51" s="5">
        <v>45016</v>
      </c>
      <c r="I51" s="5">
        <v>85</v>
      </c>
      <c r="J51" s="5">
        <v>80</v>
      </c>
      <c r="K51" s="5" t="s">
        <v>0</v>
      </c>
      <c r="L51" s="5">
        <f t="shared" si="0"/>
        <v>77530</v>
      </c>
      <c r="M51" s="5">
        <v>40</v>
      </c>
      <c r="N51" s="5">
        <v>12</v>
      </c>
      <c r="O51" s="5">
        <v>120</v>
      </c>
      <c r="P51" s="5">
        <v>100000</v>
      </c>
      <c r="Q51" s="5">
        <v>1620</v>
      </c>
      <c r="R51" s="5">
        <f t="shared" si="2"/>
        <v>775300</v>
      </c>
    </row>
    <row r="52" spans="1:18">
      <c r="A52" s="5">
        <v>1</v>
      </c>
      <c r="B52" s="5">
        <v>51</v>
      </c>
      <c r="C52" s="6">
        <v>79560</v>
      </c>
      <c r="D52" s="6">
        <v>79560</v>
      </c>
      <c r="E52" s="6">
        <v>174320</v>
      </c>
      <c r="F52" s="5">
        <f t="shared" si="3"/>
        <v>6120</v>
      </c>
      <c r="G52" s="5">
        <f t="shared" si="4"/>
        <v>122400</v>
      </c>
      <c r="H52" s="5">
        <v>45016</v>
      </c>
      <c r="I52" s="5">
        <v>85</v>
      </c>
      <c r="J52" s="5">
        <v>80</v>
      </c>
      <c r="K52" s="5" t="s">
        <v>0</v>
      </c>
      <c r="L52" s="5">
        <f t="shared" si="0"/>
        <v>87160</v>
      </c>
      <c r="M52" s="5">
        <v>40</v>
      </c>
      <c r="N52" s="5">
        <v>12</v>
      </c>
      <c r="O52" s="5">
        <v>120</v>
      </c>
      <c r="P52" s="5">
        <v>100000</v>
      </c>
      <c r="Q52" s="5">
        <v>1620</v>
      </c>
      <c r="R52" s="5">
        <f t="shared" si="2"/>
        <v>871600</v>
      </c>
    </row>
    <row r="53" spans="1:18">
      <c r="A53" s="5">
        <v>1</v>
      </c>
      <c r="B53" s="5">
        <v>52</v>
      </c>
      <c r="C53" s="6">
        <v>82680</v>
      </c>
      <c r="D53" s="6">
        <v>82680</v>
      </c>
      <c r="E53" s="6">
        <v>195970</v>
      </c>
      <c r="F53" s="5">
        <f t="shared" si="3"/>
        <v>6365</v>
      </c>
      <c r="G53" s="5">
        <f t="shared" si="4"/>
        <v>127300</v>
      </c>
      <c r="H53" s="5">
        <v>45016</v>
      </c>
      <c r="I53" s="5">
        <v>85</v>
      </c>
      <c r="J53" s="5">
        <v>80</v>
      </c>
      <c r="K53" s="5" t="s">
        <v>0</v>
      </c>
      <c r="L53" s="5">
        <f t="shared" si="0"/>
        <v>97985</v>
      </c>
      <c r="M53" s="5">
        <v>40</v>
      </c>
      <c r="N53" s="5">
        <v>12</v>
      </c>
      <c r="O53" s="5">
        <v>120</v>
      </c>
      <c r="P53" s="5">
        <v>100000</v>
      </c>
      <c r="Q53" s="5">
        <v>1620</v>
      </c>
      <c r="R53" s="5">
        <f t="shared" si="2"/>
        <v>979850</v>
      </c>
    </row>
    <row r="54" spans="1:18">
      <c r="A54" s="5">
        <v>1</v>
      </c>
      <c r="B54" s="5">
        <v>53</v>
      </c>
      <c r="C54" s="6">
        <v>85860</v>
      </c>
      <c r="D54" s="6">
        <v>85860</v>
      </c>
      <c r="E54" s="6">
        <v>220310</v>
      </c>
      <c r="F54" s="5">
        <f t="shared" si="3"/>
        <v>6614</v>
      </c>
      <c r="G54" s="5">
        <f t="shared" si="4"/>
        <v>132280</v>
      </c>
      <c r="H54" s="5">
        <v>45016</v>
      </c>
      <c r="I54" s="5">
        <v>85</v>
      </c>
      <c r="J54" s="5">
        <v>80</v>
      </c>
      <c r="K54" s="5" t="s">
        <v>0</v>
      </c>
      <c r="L54" s="5">
        <f t="shared" si="0"/>
        <v>110155</v>
      </c>
      <c r="M54" s="5">
        <v>40</v>
      </c>
      <c r="N54" s="5">
        <v>12</v>
      </c>
      <c r="O54" s="5">
        <v>120</v>
      </c>
      <c r="P54" s="5">
        <v>100000</v>
      </c>
      <c r="Q54" s="5">
        <v>1620</v>
      </c>
      <c r="R54" s="5">
        <f t="shared" si="2"/>
        <v>1101550</v>
      </c>
    </row>
    <row r="55" spans="1:18">
      <c r="A55" s="5">
        <v>1</v>
      </c>
      <c r="B55" s="5">
        <v>54</v>
      </c>
      <c r="C55" s="6">
        <v>89100</v>
      </c>
      <c r="D55" s="6">
        <v>89100</v>
      </c>
      <c r="E55" s="6">
        <v>247680</v>
      </c>
      <c r="F55" s="5">
        <f t="shared" si="3"/>
        <v>6869</v>
      </c>
      <c r="G55" s="5">
        <f t="shared" si="4"/>
        <v>137380</v>
      </c>
      <c r="H55" s="5">
        <v>45016</v>
      </c>
      <c r="I55" s="5">
        <v>85</v>
      </c>
      <c r="J55" s="5">
        <v>80</v>
      </c>
      <c r="K55" s="5" t="s">
        <v>0</v>
      </c>
      <c r="L55" s="5">
        <f t="shared" si="0"/>
        <v>123840</v>
      </c>
      <c r="M55" s="5">
        <v>40</v>
      </c>
      <c r="N55" s="5">
        <v>12</v>
      </c>
      <c r="O55" s="5">
        <v>120</v>
      </c>
      <c r="P55" s="5">
        <v>100000</v>
      </c>
      <c r="Q55" s="5">
        <v>1620</v>
      </c>
      <c r="R55" s="5">
        <f t="shared" si="2"/>
        <v>1238400</v>
      </c>
    </row>
    <row r="56" spans="1:18">
      <c r="A56" s="5">
        <v>1</v>
      </c>
      <c r="B56" s="5">
        <v>55</v>
      </c>
      <c r="C56" s="6">
        <v>92400</v>
      </c>
      <c r="D56" s="6">
        <v>92400</v>
      </c>
      <c r="E56" s="6">
        <v>278440</v>
      </c>
      <c r="F56" s="5">
        <f t="shared" si="3"/>
        <v>7128</v>
      </c>
      <c r="G56" s="5">
        <f t="shared" si="4"/>
        <v>142560</v>
      </c>
      <c r="H56" s="5">
        <v>45016</v>
      </c>
      <c r="I56" s="5">
        <v>85</v>
      </c>
      <c r="J56" s="5">
        <v>80</v>
      </c>
      <c r="K56" s="5" t="s">
        <v>0</v>
      </c>
      <c r="L56" s="5">
        <f t="shared" si="0"/>
        <v>139220</v>
      </c>
      <c r="M56" s="5">
        <v>40</v>
      </c>
      <c r="N56" s="5">
        <v>12</v>
      </c>
      <c r="O56" s="5">
        <v>120</v>
      </c>
      <c r="P56" s="5">
        <v>100000</v>
      </c>
      <c r="Q56" s="5">
        <v>1620</v>
      </c>
      <c r="R56" s="5">
        <f t="shared" si="2"/>
        <v>1392200</v>
      </c>
    </row>
    <row r="57" spans="1:18">
      <c r="A57" s="5">
        <v>1</v>
      </c>
      <c r="B57" s="5">
        <v>56</v>
      </c>
      <c r="C57" s="6">
        <v>95760</v>
      </c>
      <c r="D57" s="6">
        <v>95760</v>
      </c>
      <c r="E57" s="6">
        <v>313030</v>
      </c>
      <c r="F57" s="5">
        <f t="shared" si="3"/>
        <v>7392</v>
      </c>
      <c r="G57" s="5">
        <f t="shared" si="4"/>
        <v>147840</v>
      </c>
      <c r="H57" s="5">
        <v>45016</v>
      </c>
      <c r="I57" s="5">
        <v>85</v>
      </c>
      <c r="J57" s="5">
        <v>80</v>
      </c>
      <c r="K57" s="5" t="s">
        <v>0</v>
      </c>
      <c r="L57" s="5">
        <f t="shared" si="0"/>
        <v>156515</v>
      </c>
      <c r="M57" s="5">
        <v>40</v>
      </c>
      <c r="N57" s="5">
        <v>12</v>
      </c>
      <c r="O57" s="5">
        <v>120</v>
      </c>
      <c r="P57" s="5">
        <v>100000</v>
      </c>
      <c r="Q57" s="5">
        <v>1620</v>
      </c>
      <c r="R57" s="5">
        <f t="shared" si="2"/>
        <v>1565150</v>
      </c>
    </row>
    <row r="58" spans="1:18">
      <c r="A58" s="5">
        <v>1</v>
      </c>
      <c r="B58" s="5">
        <v>57</v>
      </c>
      <c r="C58" s="6">
        <v>99180</v>
      </c>
      <c r="D58" s="6">
        <v>99180</v>
      </c>
      <c r="E58" s="6">
        <v>351910</v>
      </c>
      <c r="F58" s="5">
        <f t="shared" si="3"/>
        <v>7661</v>
      </c>
      <c r="G58" s="5">
        <f t="shared" si="4"/>
        <v>153220</v>
      </c>
      <c r="H58" s="5">
        <v>45016</v>
      </c>
      <c r="I58" s="5">
        <v>85</v>
      </c>
      <c r="J58" s="5">
        <v>80</v>
      </c>
      <c r="K58" s="5" t="s">
        <v>0</v>
      </c>
      <c r="L58" s="5">
        <f t="shared" si="0"/>
        <v>175955</v>
      </c>
      <c r="M58" s="5">
        <v>40</v>
      </c>
      <c r="N58" s="5">
        <v>12</v>
      </c>
      <c r="O58" s="5">
        <v>120</v>
      </c>
      <c r="P58" s="5">
        <v>100000</v>
      </c>
      <c r="Q58" s="5">
        <v>1620</v>
      </c>
      <c r="R58" s="5">
        <f t="shared" si="2"/>
        <v>1759550</v>
      </c>
    </row>
    <row r="59" spans="1:18">
      <c r="A59" s="5">
        <v>1</v>
      </c>
      <c r="B59" s="5">
        <v>58</v>
      </c>
      <c r="C59" s="6">
        <v>102660</v>
      </c>
      <c r="D59" s="6">
        <v>102660</v>
      </c>
      <c r="E59" s="6">
        <v>395620</v>
      </c>
      <c r="F59" s="5">
        <f t="shared" si="3"/>
        <v>7934</v>
      </c>
      <c r="G59" s="5">
        <f t="shared" si="4"/>
        <v>158680</v>
      </c>
      <c r="H59" s="5">
        <v>45016</v>
      </c>
      <c r="I59" s="5">
        <v>85</v>
      </c>
      <c r="J59" s="5">
        <v>80</v>
      </c>
      <c r="K59" s="5" t="s">
        <v>0</v>
      </c>
      <c r="L59" s="5">
        <f t="shared" si="0"/>
        <v>197810</v>
      </c>
      <c r="M59" s="5">
        <v>40</v>
      </c>
      <c r="N59" s="5">
        <v>12</v>
      </c>
      <c r="O59" s="5">
        <v>120</v>
      </c>
      <c r="P59" s="5">
        <v>100000</v>
      </c>
      <c r="Q59" s="5">
        <v>1620</v>
      </c>
      <c r="R59" s="5">
        <f t="shared" si="2"/>
        <v>1978100</v>
      </c>
    </row>
    <row r="60" spans="1:18">
      <c r="A60" s="5">
        <v>1</v>
      </c>
      <c r="B60" s="5">
        <v>59</v>
      </c>
      <c r="C60" s="6">
        <v>106200</v>
      </c>
      <c r="D60" s="6">
        <v>106200</v>
      </c>
      <c r="E60" s="6">
        <v>444760</v>
      </c>
      <c r="F60" s="5">
        <f t="shared" si="3"/>
        <v>8213</v>
      </c>
      <c r="G60" s="5">
        <f t="shared" si="4"/>
        <v>164260</v>
      </c>
      <c r="H60" s="5">
        <v>45016</v>
      </c>
      <c r="I60" s="5">
        <v>85</v>
      </c>
      <c r="J60" s="5">
        <v>80</v>
      </c>
      <c r="K60" s="5" t="s">
        <v>0</v>
      </c>
      <c r="L60" s="5">
        <f t="shared" si="0"/>
        <v>222380</v>
      </c>
      <c r="M60" s="5">
        <v>40</v>
      </c>
      <c r="N60" s="5">
        <v>12</v>
      </c>
      <c r="O60" s="5">
        <v>120</v>
      </c>
      <c r="P60" s="5">
        <v>100000</v>
      </c>
      <c r="Q60" s="5">
        <v>1620</v>
      </c>
      <c r="R60" s="5">
        <f t="shared" si="2"/>
        <v>2223800</v>
      </c>
    </row>
    <row r="61" spans="1:18">
      <c r="A61" s="5">
        <v>1</v>
      </c>
      <c r="B61" s="5">
        <v>60</v>
      </c>
      <c r="C61" s="6">
        <v>109800</v>
      </c>
      <c r="D61" s="6">
        <v>109800</v>
      </c>
      <c r="E61" s="6">
        <v>500000</v>
      </c>
      <c r="F61" s="5">
        <f t="shared" si="3"/>
        <v>8496</v>
      </c>
      <c r="G61" s="5">
        <f t="shared" si="4"/>
        <v>169920</v>
      </c>
      <c r="H61" s="5">
        <v>45016</v>
      </c>
      <c r="I61" s="5">
        <v>85</v>
      </c>
      <c r="J61" s="5">
        <v>80</v>
      </c>
      <c r="K61" s="5" t="s">
        <v>0</v>
      </c>
      <c r="L61" s="5">
        <f t="shared" si="0"/>
        <v>250000</v>
      </c>
      <c r="M61" s="5">
        <v>40</v>
      </c>
      <c r="N61" s="5">
        <v>12</v>
      </c>
      <c r="O61" s="5">
        <v>120</v>
      </c>
      <c r="P61" s="5">
        <v>100000</v>
      </c>
      <c r="Q61" s="5">
        <v>1620</v>
      </c>
      <c r="R61" s="5">
        <f t="shared" si="2"/>
        <v>2500000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F3:F1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B6" sqref="B6"/>
    </sheetView>
  </sheetViews>
  <sheetFormatPr defaultRowHeight="14.25"/>
  <cols>
    <col min="2" max="2" width="68.75" customWidth="1"/>
  </cols>
  <sheetData>
    <row r="1" spans="1:2" ht="76.5" customHeight="1">
      <c r="A1" s="4" t="s">
        <v>1</v>
      </c>
      <c r="B1" s="2" t="s">
        <v>30</v>
      </c>
    </row>
    <row r="2" spans="1:2" ht="25.5" customHeight="1">
      <c r="A2" s="4" t="s">
        <v>2</v>
      </c>
      <c r="B2" s="3" t="s">
        <v>13</v>
      </c>
    </row>
    <row r="3" spans="1:2" ht="19.5" customHeight="1">
      <c r="A3" s="4" t="s">
        <v>15</v>
      </c>
      <c r="B3" s="3" t="s">
        <v>7</v>
      </c>
    </row>
    <row r="4" spans="1:2" ht="21" customHeight="1">
      <c r="A4" s="4" t="s">
        <v>16</v>
      </c>
      <c r="B4" s="3" t="s">
        <v>8</v>
      </c>
    </row>
    <row r="5" spans="1:2" ht="21" customHeight="1">
      <c r="A5" s="4" t="s">
        <v>17</v>
      </c>
      <c r="B5" s="3" t="s">
        <v>9</v>
      </c>
    </row>
    <row r="6" spans="1:2">
      <c r="A6" s="4" t="s">
        <v>3</v>
      </c>
      <c r="B6" s="3" t="s">
        <v>14</v>
      </c>
    </row>
    <row r="7" spans="1:2">
      <c r="A7" s="4" t="s">
        <v>4</v>
      </c>
      <c r="B7" s="3" t="s">
        <v>5</v>
      </c>
    </row>
    <row r="8" spans="1:2">
      <c r="A8" s="1"/>
    </row>
    <row r="9" spans="1:2">
      <c r="A9" s="1"/>
    </row>
    <row r="10" spans="1:2">
      <c r="A10" s="1"/>
    </row>
    <row r="11" spans="1:2">
      <c r="A11" s="1"/>
    </row>
    <row r="12" spans="1:2">
      <c r="A12" s="1"/>
    </row>
    <row r="13" spans="1:2">
      <c r="A13" s="1"/>
    </row>
    <row r="14" spans="1:2">
      <c r="A14" s="1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说明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蒋波娜</cp:lastModifiedBy>
  <dcterms:created xsi:type="dcterms:W3CDTF">2009-06-01T08:27:35Z</dcterms:created>
  <dcterms:modified xsi:type="dcterms:W3CDTF">2014-01-06T03:50:58Z</dcterms:modified>
</cp:coreProperties>
</file>
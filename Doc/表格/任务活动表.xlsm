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-60" yWindow="165" windowWidth="19035" windowHeight="11310" tabRatio="518"/>
  </bookViews>
  <sheets>
    <sheet name="Sheet1" sheetId="1" r:id="rId1"/>
    <sheet name="字段说明" sheetId="2" r:id="rId2"/>
    <sheet name="ID段划分备注" sheetId="3" r:id="rId3"/>
  </sheets>
  <definedNames>
    <definedName name="_xlnm._FilterDatabase" localSheetId="0" hidden="1">Sheet1!$A$1:$B$1</definedName>
    <definedName name="不可叠加" localSheetId="2">ID段划分备注!$A$5:$B$6</definedName>
  </definedNames>
  <calcPr calcId="145621"/>
</workbook>
</file>

<file path=xl/calcChain.xml><?xml version="1.0" encoding="utf-8"?>
<calcChain xmlns="http://schemas.openxmlformats.org/spreadsheetml/2006/main">
  <c r="D47" i="1" l="1"/>
  <c r="U32" i="1" l="1"/>
  <c r="R32" i="1"/>
  <c r="J32" i="1"/>
  <c r="D32" i="1"/>
  <c r="U10" i="1" l="1"/>
  <c r="R10" i="1"/>
  <c r="J10" i="1"/>
  <c r="D10" i="1"/>
  <c r="U50" i="1" l="1"/>
  <c r="R50" i="1"/>
  <c r="J50" i="1"/>
  <c r="D50" i="1"/>
  <c r="U49" i="1"/>
  <c r="R49" i="1"/>
  <c r="J49" i="1"/>
  <c r="D49" i="1"/>
  <c r="U48" i="1"/>
  <c r="R48" i="1"/>
  <c r="J48" i="1"/>
  <c r="D48" i="1"/>
  <c r="U62" i="1" l="1"/>
  <c r="R62" i="1"/>
  <c r="J62" i="1"/>
  <c r="U56" i="1"/>
  <c r="R56" i="1"/>
  <c r="J56" i="1"/>
  <c r="U61" i="1"/>
  <c r="R61" i="1"/>
  <c r="J61" i="1"/>
  <c r="U60" i="1"/>
  <c r="R60" i="1"/>
  <c r="J60" i="1"/>
  <c r="U59" i="1"/>
  <c r="R59" i="1"/>
  <c r="J59" i="1"/>
  <c r="U58" i="1"/>
  <c r="R58" i="1"/>
  <c r="J58" i="1"/>
  <c r="U57" i="1"/>
  <c r="R57" i="1"/>
  <c r="J57" i="1"/>
  <c r="U55" i="1"/>
  <c r="R55" i="1"/>
  <c r="J55" i="1"/>
  <c r="U54" i="1"/>
  <c r="R54" i="1"/>
  <c r="J54" i="1"/>
  <c r="U53" i="1"/>
  <c r="R53" i="1"/>
  <c r="J53" i="1"/>
  <c r="U52" i="1"/>
  <c r="R52" i="1"/>
  <c r="J52" i="1"/>
  <c r="U51" i="1"/>
  <c r="R51" i="1"/>
  <c r="J51" i="1"/>
  <c r="J8" i="1"/>
  <c r="U9" i="1"/>
  <c r="R9" i="1"/>
  <c r="J9" i="1"/>
  <c r="D9" i="1"/>
  <c r="D29" i="1"/>
  <c r="D7" i="1"/>
  <c r="D8" i="1"/>
  <c r="R29" i="1"/>
  <c r="U29" i="1"/>
  <c r="J29" i="1"/>
  <c r="U8" i="1"/>
  <c r="R8" i="1"/>
  <c r="J7" i="1"/>
  <c r="U7" i="1"/>
  <c r="R7" i="1"/>
  <c r="R6" i="1"/>
  <c r="J6" i="1"/>
  <c r="U6" i="1"/>
  <c r="D6" i="1"/>
  <c r="U47" i="1"/>
  <c r="R47" i="1"/>
  <c r="J47" i="1"/>
  <c r="R45" i="1"/>
  <c r="R46" i="1"/>
  <c r="U16" i="1"/>
  <c r="R16" i="1"/>
  <c r="J16" i="1"/>
  <c r="D16" i="1"/>
  <c r="U15" i="1"/>
  <c r="R15" i="1"/>
  <c r="J15" i="1"/>
  <c r="D15" i="1"/>
  <c r="U46" i="1"/>
  <c r="J46" i="1"/>
  <c r="D46" i="1"/>
  <c r="U45" i="1"/>
  <c r="J45" i="1"/>
  <c r="D45" i="1"/>
  <c r="U44" i="1"/>
  <c r="R44" i="1"/>
  <c r="J44" i="1"/>
  <c r="D44" i="1"/>
  <c r="U43" i="1"/>
  <c r="R43" i="1"/>
  <c r="J43" i="1"/>
  <c r="D43" i="1"/>
  <c r="U42" i="1"/>
  <c r="R42" i="1"/>
  <c r="J42" i="1"/>
  <c r="D42" i="1"/>
  <c r="U41" i="1"/>
  <c r="R41" i="1"/>
  <c r="J41" i="1"/>
  <c r="D41" i="1"/>
  <c r="U40" i="1"/>
  <c r="R40" i="1"/>
  <c r="J40" i="1"/>
  <c r="D40" i="1"/>
  <c r="U39" i="1"/>
  <c r="R39" i="1"/>
  <c r="J39" i="1"/>
  <c r="D39" i="1"/>
  <c r="U3" i="1"/>
  <c r="U4" i="1"/>
  <c r="U5" i="1"/>
  <c r="U11" i="1"/>
  <c r="U12" i="1"/>
  <c r="U13" i="1"/>
  <c r="U14" i="1"/>
  <c r="U19" i="1"/>
  <c r="U20" i="1"/>
  <c r="U21" i="1"/>
  <c r="U22" i="1"/>
  <c r="U23" i="1"/>
  <c r="U24" i="1"/>
  <c r="U2" i="1"/>
  <c r="R14" i="1"/>
  <c r="J14" i="1"/>
  <c r="D14" i="1"/>
  <c r="R13" i="1"/>
  <c r="J13" i="1"/>
  <c r="D13" i="1"/>
  <c r="R12" i="1"/>
  <c r="J12" i="1"/>
  <c r="D12" i="1"/>
  <c r="R11" i="1"/>
  <c r="J11" i="1"/>
  <c r="D11" i="1"/>
  <c r="R5" i="1"/>
  <c r="J5" i="1"/>
  <c r="D5" i="1"/>
  <c r="R4" i="1"/>
  <c r="J4" i="1"/>
  <c r="D4" i="1"/>
  <c r="R24" i="1"/>
  <c r="J24" i="1"/>
  <c r="D24" i="1"/>
  <c r="J19" i="1"/>
  <c r="R23" i="1"/>
  <c r="J23" i="1"/>
  <c r="D23" i="1"/>
  <c r="R22" i="1"/>
  <c r="J22" i="1"/>
  <c r="D22" i="1"/>
  <c r="R21" i="1"/>
  <c r="J21" i="1"/>
  <c r="D21" i="1"/>
  <c r="J3" i="1"/>
  <c r="J20" i="1"/>
  <c r="J2" i="1"/>
  <c r="D3" i="1"/>
  <c r="D19" i="1"/>
  <c r="D20" i="1"/>
  <c r="D2" i="1"/>
  <c r="R3" i="1"/>
  <c r="R19" i="1"/>
  <c r="R20" i="1"/>
  <c r="R2" i="1"/>
</calcChain>
</file>

<file path=xl/connections.xml><?xml version="1.0" encoding="utf-8"?>
<connections xmlns="http://schemas.openxmlformats.org/spreadsheetml/2006/main">
  <connection id="1" name="不可叠加" type="6" refreshedVersion="2" background="1" saveData="1">
    <textPr codePage="936" sourceFile="C:\Documents and Settings\user\桌面\不可叠加.txt" space="1" consecutive="1">
      <textFields count="2">
        <textField/>
        <textField/>
      </textFields>
    </textPr>
  </connection>
</connections>
</file>

<file path=xl/sharedStrings.xml><?xml version="1.0" encoding="utf-8"?>
<sst xmlns="http://schemas.openxmlformats.org/spreadsheetml/2006/main" count="197" uniqueCount="167">
  <si>
    <t>字符串</t>
    <phoneticPr fontId="1" type="noConversion"/>
  </si>
  <si>
    <t>格式</t>
  </si>
  <si>
    <t>类型</t>
  </si>
  <si>
    <t>数字</t>
    <phoneticPr fontId="1" type="noConversion"/>
  </si>
  <si>
    <t>编号</t>
  </si>
  <si>
    <t>名称</t>
  </si>
  <si>
    <t>说明</t>
  </si>
  <si>
    <t>描述</t>
    <phoneticPr fontId="1" type="noConversion"/>
  </si>
  <si>
    <t>名称</t>
    <phoneticPr fontId="1" type="noConversion"/>
  </si>
  <si>
    <t>图标编号</t>
    <phoneticPr fontId="1" type="noConversion"/>
  </si>
  <si>
    <t>= 1&lt;&lt;0,</t>
  </si>
  <si>
    <t>= 1&lt;&lt;1,</t>
  </si>
  <si>
    <t>= 1&lt;&lt;2,</t>
  </si>
  <si>
    <t>类型</t>
    <phoneticPr fontId="1" type="noConversion"/>
  </si>
  <si>
    <t>= 1&lt;&lt;4,</t>
  </si>
  <si>
    <t>= 1&lt;&lt;3,</t>
  </si>
  <si>
    <t>1-100</t>
    <phoneticPr fontId="1" type="noConversion"/>
  </si>
  <si>
    <t>= 1&lt;&lt;5,</t>
  </si>
  <si>
    <t>无限时间</t>
    <phoneticPr fontId="1" type="noConversion"/>
  </si>
  <si>
    <t>无限时间</t>
    <phoneticPr fontId="1" type="noConversion"/>
  </si>
  <si>
    <t>开始时间</t>
    <phoneticPr fontId="1" type="noConversion"/>
  </si>
  <si>
    <t>需要发布</t>
    <phoneticPr fontId="1" type="noConversion"/>
  </si>
  <si>
    <t>每天</t>
    <phoneticPr fontId="1" type="noConversion"/>
  </si>
  <si>
    <t>每周</t>
    <phoneticPr fontId="1" type="noConversion"/>
  </si>
  <si>
    <t>持续时间</t>
    <phoneticPr fontId="1" type="noConversion"/>
  </si>
  <si>
    <t>系统保留</t>
    <phoneticPr fontId="1" type="noConversion"/>
  </si>
  <si>
    <t>系统自动触发的全服活动</t>
    <phoneticPr fontId="1" type="noConversion"/>
  </si>
  <si>
    <t>活动相应编号</t>
    <phoneticPr fontId="1" type="noConversion"/>
  </si>
  <si>
    <t>活动名称</t>
    <phoneticPr fontId="1" type="noConversion"/>
  </si>
  <si>
    <t>包括需发布、每日、每周几种类型</t>
    <phoneticPr fontId="1" type="noConversion"/>
  </si>
  <si>
    <t>需发布</t>
    <phoneticPr fontId="1" type="noConversion"/>
  </si>
  <si>
    <t>每日</t>
    <phoneticPr fontId="1" type="noConversion"/>
  </si>
  <si>
    <t>1，无时间显示，0表示有时间限制</t>
    <phoneticPr fontId="1" type="noConversion"/>
  </si>
  <si>
    <t>101-10000</t>
    <phoneticPr fontId="1" type="noConversion"/>
  </si>
  <si>
    <t>10001-</t>
    <phoneticPr fontId="1" type="noConversion"/>
  </si>
  <si>
    <t>其他需要发布的</t>
    <phoneticPr fontId="1" type="noConversion"/>
  </si>
  <si>
    <t>每周天</t>
    <phoneticPr fontId="1" type="noConversion"/>
  </si>
  <si>
    <t>所属关系</t>
    <phoneticPr fontId="1" type="noConversion"/>
  </si>
  <si>
    <t>事件所涉及的关系类型(全区\国家\军团)</t>
    <phoneticPr fontId="1" type="noConversion"/>
  </si>
  <si>
    <t>国家</t>
    <phoneticPr fontId="1" type="noConversion"/>
  </si>
  <si>
    <t>军团</t>
    <phoneticPr fontId="1" type="noConversion"/>
  </si>
  <si>
    <t>开始时间</t>
    <phoneticPr fontId="1" type="noConversion"/>
  </si>
  <si>
    <t>事件在每日的触发时间</t>
    <phoneticPr fontId="1" type="noConversion"/>
  </si>
  <si>
    <t>如果类型为需要发布的，则开始时间无效</t>
    <phoneticPr fontId="1" type="noConversion"/>
  </si>
  <si>
    <t>全区和国家事件的时间精度为秒，
军团时间精度为分钟</t>
    <phoneticPr fontId="1" type="noConversion"/>
  </si>
  <si>
    <t>时</t>
    <phoneticPr fontId="1" type="noConversion"/>
  </si>
  <si>
    <t>分</t>
    <phoneticPr fontId="1" type="noConversion"/>
  </si>
  <si>
    <t>一</t>
    <phoneticPr fontId="1" type="noConversion"/>
  </si>
  <si>
    <t>二</t>
    <phoneticPr fontId="1" type="noConversion"/>
  </si>
  <si>
    <t>三</t>
    <phoneticPr fontId="1" type="noConversion"/>
  </si>
  <si>
    <t>四</t>
    <phoneticPr fontId="1" type="noConversion"/>
  </si>
  <si>
    <t>五</t>
    <phoneticPr fontId="1" type="noConversion"/>
  </si>
  <si>
    <t>六</t>
    <phoneticPr fontId="1" type="noConversion"/>
  </si>
  <si>
    <t>日</t>
    <phoneticPr fontId="1" type="noConversion"/>
  </si>
  <si>
    <t>结束删除</t>
    <phoneticPr fontId="1" type="noConversion"/>
  </si>
  <si>
    <t>触发</t>
    <phoneticPr fontId="1" type="noConversion"/>
  </si>
  <si>
    <t>全区触发</t>
    <phoneticPr fontId="1" type="noConversion"/>
  </si>
  <si>
    <t>事件的持续时间，单位分钟，最小1</t>
    <phoneticPr fontId="1" type="noConversion"/>
  </si>
  <si>
    <t>0 不删除 进入等待状态  1删除</t>
    <phoneticPr fontId="1" type="noConversion"/>
  </si>
  <si>
    <t>每周天</t>
    <phoneticPr fontId="1" type="noConversion"/>
  </si>
  <si>
    <t>如果类型是每周的话，在此选择每周执行的天</t>
    <phoneticPr fontId="1" type="noConversion"/>
  </si>
  <si>
    <t>只触发不发送</t>
    <phoneticPr fontId="1" type="noConversion"/>
  </si>
  <si>
    <t>在后面填写时、分</t>
    <phoneticPr fontId="1" type="noConversion"/>
  </si>
  <si>
    <t>签到幸运号码开奖</t>
    <phoneticPr fontId="1" type="noConversion"/>
  </si>
  <si>
    <t>开奖</t>
    <phoneticPr fontId="1" type="noConversion"/>
  </si>
  <si>
    <t>可买彩票时间</t>
    <phoneticPr fontId="1" type="noConversion"/>
  </si>
  <si>
    <t>持续小时</t>
    <phoneticPr fontId="1" type="noConversion"/>
  </si>
  <si>
    <t>持续分钟</t>
    <phoneticPr fontId="1" type="noConversion"/>
  </si>
  <si>
    <t>异性同骑会带来好运</t>
    <phoneticPr fontId="1" type="noConversion"/>
  </si>
  <si>
    <t>王者试炼报名</t>
    <phoneticPr fontId="1" type="noConversion"/>
  </si>
  <si>
    <t>王者试炼提示</t>
    <phoneticPr fontId="1" type="noConversion"/>
  </si>
  <si>
    <t>幸运卡片兑奖</t>
    <phoneticPr fontId="1" type="noConversion"/>
  </si>
  <si>
    <t>威慑与掠夺</t>
  </si>
  <si>
    <t>每天23:30公布抽奖结果</t>
    <phoneticPr fontId="1" type="noConversion"/>
  </si>
  <si>
    <t>国王发布后击杀敌国人功勋翻倍</t>
    <phoneticPr fontId="1" type="noConversion"/>
  </si>
  <si>
    <t>定时炸弹</t>
    <phoneticPr fontId="1" type="noConversion"/>
  </si>
  <si>
    <t>图标组</t>
    <phoneticPr fontId="1" type="noConversion"/>
  </si>
  <si>
    <t>国王竞选战</t>
    <phoneticPr fontId="1" type="noConversion"/>
  </si>
  <si>
    <t>国王竞选战</t>
    <phoneticPr fontId="1" type="noConversion"/>
  </si>
  <si>
    <t>国战倒计</t>
    <phoneticPr fontId="1" type="noConversion"/>
  </si>
  <si>
    <t>需二人组队报名(31级以上玩家可参与)</t>
    <phoneticPr fontId="1" type="noConversion"/>
  </si>
  <si>
    <t>国王争夺</t>
    <phoneticPr fontId="1" type="noConversion"/>
  </si>
  <si>
    <t>国家宣战</t>
    <phoneticPr fontId="1" type="noConversion"/>
  </si>
  <si>
    <t>国战正式开始，一决雌雄，真剑胜负！</t>
    <phoneticPr fontId="1" type="noConversion"/>
  </si>
  <si>
    <t>沙国战神</t>
    <phoneticPr fontId="1" type="noConversion"/>
  </si>
  <si>
    <t>风国战神</t>
    <phoneticPr fontId="1" type="noConversion"/>
  </si>
  <si>
    <t>沙国入侵</t>
    <phoneticPr fontId="1" type="noConversion"/>
  </si>
  <si>
    <t>风国入侵</t>
    <phoneticPr fontId="1" type="noConversion"/>
  </si>
  <si>
    <t>沙国入侵，占领了本国战神</t>
    <phoneticPr fontId="1" type="noConversion"/>
  </si>
  <si>
    <t>风国入侵，占领了本国战神</t>
    <phoneticPr fontId="1" type="noConversion"/>
  </si>
  <si>
    <t>花国战神</t>
    <phoneticPr fontId="1" type="noConversion"/>
  </si>
  <si>
    <t>花国入侵</t>
    <phoneticPr fontId="1" type="noConversion"/>
  </si>
  <si>
    <t>花国入侵，占领了本国战神</t>
    <phoneticPr fontId="1" type="noConversion"/>
  </si>
  <si>
    <t>系统国家活动</t>
    <phoneticPr fontId="1" type="noConversion"/>
  </si>
  <si>
    <t>组队争夺战</t>
    <phoneticPr fontId="1" type="noConversion"/>
  </si>
  <si>
    <t>帝都争夺战</t>
    <phoneticPr fontId="1" type="noConversion"/>
  </si>
  <si>
    <t>帝都战倒计</t>
    <phoneticPr fontId="1" type="noConversion"/>
  </si>
  <si>
    <t>帝都战正式开始，一决雌雄，真剑胜负！</t>
    <phoneticPr fontId="1" type="noConversion"/>
  </si>
  <si>
    <t>家族战</t>
    <phoneticPr fontId="1" type="noConversion"/>
  </si>
  <si>
    <t>帮会战</t>
    <phoneticPr fontId="1" type="noConversion"/>
  </si>
  <si>
    <t>国王争夺</t>
    <phoneticPr fontId="1" type="noConversion"/>
  </si>
  <si>
    <t>家族战报名</t>
    <phoneticPr fontId="1" type="noConversion"/>
  </si>
  <si>
    <t>家族挑战报名</t>
    <phoneticPr fontId="1" type="noConversion"/>
  </si>
  <si>
    <t>帮会战报名</t>
  </si>
  <si>
    <t>帮会战报名</t>
    <phoneticPr fontId="1" type="noConversion"/>
  </si>
  <si>
    <t>家族挑衅开始</t>
    <phoneticPr fontId="1" type="noConversion"/>
  </si>
  <si>
    <t>家族挑衅准备</t>
    <phoneticPr fontId="1" type="noConversion"/>
  </si>
  <si>
    <t>定时炸弹</t>
    <phoneticPr fontId="1" type="noConversion"/>
  </si>
  <si>
    <t>家族训练时间</t>
    <phoneticPr fontId="1" type="noConversion"/>
  </si>
  <si>
    <t>家族突袭时间</t>
    <phoneticPr fontId="1" type="noConversion"/>
  </si>
  <si>
    <t>刺探任务</t>
    <phoneticPr fontId="1" type="noConversion"/>
  </si>
  <si>
    <t>远征任务</t>
    <phoneticPr fontId="1" type="noConversion"/>
  </si>
  <si>
    <t>国运任务</t>
    <phoneticPr fontId="1" type="noConversion"/>
  </si>
  <si>
    <t>家族解散</t>
    <phoneticPr fontId="1" type="noConversion"/>
  </si>
  <si>
    <t>木牛流马报名</t>
    <phoneticPr fontId="1" type="noConversion"/>
  </si>
  <si>
    <t>木牛流马</t>
    <phoneticPr fontId="1" type="noConversion"/>
  </si>
  <si>
    <t>木牛流马报名</t>
    <phoneticPr fontId="1" type="noConversion"/>
  </si>
  <si>
    <t>家族战提示</t>
    <phoneticPr fontId="1" type="noConversion"/>
  </si>
  <si>
    <t>家族战提示</t>
    <phoneticPr fontId="1" type="noConversion"/>
  </si>
  <si>
    <t>魏国战神</t>
    <phoneticPr fontId="1" type="noConversion"/>
  </si>
  <si>
    <t>蜀国战神</t>
    <phoneticPr fontId="1" type="noConversion"/>
  </si>
  <si>
    <t>吴国战神</t>
    <phoneticPr fontId="1" type="noConversion"/>
  </si>
  <si>
    <t>魏国入侵</t>
    <phoneticPr fontId="1" type="noConversion"/>
  </si>
  <si>
    <t>蜀国入侵</t>
    <phoneticPr fontId="1" type="noConversion"/>
  </si>
  <si>
    <t>吴国入侵</t>
    <phoneticPr fontId="1" type="noConversion"/>
  </si>
  <si>
    <t>魏国入侵，占领了本国战神</t>
  </si>
  <si>
    <t>蜀国入侵，占领了本国战神</t>
  </si>
  <si>
    <t>吴国入侵，占领了本国战神</t>
  </si>
  <si>
    <t>本国占领了魏国战神，可以在魏国五丈原安全复活</t>
  </si>
  <si>
    <t>本国占领了蜀国战神，可以在蜀国五丈原安全复活</t>
  </si>
  <si>
    <t>本国占领了吴国战神，可以在吴国五丈原安全复活</t>
  </si>
  <si>
    <t>本国占领了沙国战神，可以在沙国五丈原安全复活</t>
  </si>
  <si>
    <t>本国占领了风国战神，可以在风国五丈原安全复活</t>
  </si>
  <si>
    <t>本国占领了花国战神，可以在花国五丈原安全复活</t>
  </si>
  <si>
    <t>家族战时间</t>
  </si>
  <si>
    <t>家族战报名时间</t>
  </si>
  <si>
    <t>家族战开始前1小时</t>
  </si>
  <si>
    <t>家族战开始前30分钟</t>
  </si>
  <si>
    <t>家族战开始前10分钟</t>
  </si>
  <si>
    <t>帮会战时间</t>
  </si>
  <si>
    <t>神之守护帮会战</t>
  </si>
  <si>
    <t>帮会战开始前1小时</t>
  </si>
  <si>
    <t>帮会战开始前30分钟</t>
  </si>
  <si>
    <t>帮会战开始前10分钟</t>
  </si>
  <si>
    <t>家族称号争夺</t>
    <phoneticPr fontId="1" type="noConversion"/>
  </si>
  <si>
    <t>家族挑衅开始触发</t>
    <phoneticPr fontId="1" type="noConversion"/>
  </si>
  <si>
    <t>家族挑衅任务准备时间</t>
    <phoneticPr fontId="1" type="noConversion"/>
  </si>
  <si>
    <t>家族突袭任务时间</t>
    <phoneticPr fontId="1" type="noConversion"/>
  </si>
  <si>
    <t>家族训练任务时间</t>
    <phoneticPr fontId="1" type="noConversion"/>
  </si>
  <si>
    <t>本家族已经解散</t>
    <phoneticPr fontId="1" type="noConversion"/>
  </si>
  <si>
    <t>产出</t>
    <phoneticPr fontId="1" type="noConversion"/>
  </si>
  <si>
    <t>本周日晚20:00约战中立区帝都，期待诸君的卓越战功！
（如果攻方获胜，国民战功总和最高的国王将成为新任帝皇）</t>
    <phoneticPr fontId="1" type="noConversion"/>
  </si>
  <si>
    <t>帮会战</t>
    <phoneticPr fontId="1" type="noConversion"/>
  </si>
  <si>
    <t>国战即将开始，期待诸君血战沙场！
（交战国家与交战时间可去太尉处查询）</t>
    <phoneticPr fontId="1" type="noConversion"/>
  </si>
  <si>
    <t>族长在对方家族府邸中放置的暴雷,爆炸后全家族可获得额外经验</t>
    <phoneticPr fontId="1" type="noConversion"/>
  </si>
  <si>
    <t>突袭方在本家族放置的暴雷,爆炸后会造成本家族大量家族资金损失</t>
    <phoneticPr fontId="1" type="noConversion"/>
  </si>
  <si>
    <t>国家刺探任务时间将得到50%的经验加成</t>
    <phoneticPr fontId="1" type="noConversion"/>
  </si>
  <si>
    <t>国家战阵夺营时间完成远征任务将获得50%经验加成</t>
    <phoneticPr fontId="1" type="noConversion"/>
  </si>
  <si>
    <t>国运期间完成运镖任务将获得50%经验加成</t>
    <phoneticPr fontId="1" type="noConversion"/>
  </si>
  <si>
    <t>真三国王者试炼报名时间(41级以上玩家可参与)</t>
    <phoneticPr fontId="1" type="noConversion"/>
  </si>
  <si>
    <t>真三国王者试炼报名前1小时</t>
    <phoneticPr fontId="1" type="noConversion"/>
  </si>
  <si>
    <t>真三国王者试炼报名前30分钟</t>
    <phoneticPr fontId="1" type="noConversion"/>
  </si>
  <si>
    <t>真三国王者试炼报名前10分钟</t>
    <phoneticPr fontId="1" type="noConversion"/>
  </si>
  <si>
    <t>国王发布后在打坐增加50%经验</t>
    <phoneticPr fontId="1" type="noConversion"/>
  </si>
  <si>
    <t>完成刺探、战阵夺营、运镖享受经验加成</t>
    <phoneticPr fontId="1" type="noConversion"/>
  </si>
  <si>
    <t>国家打坐</t>
    <phoneticPr fontId="1" type="noConversion"/>
  </si>
  <si>
    <t>六人组队PK副本，可获真气丹、羽灵
参与等级：61级以上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</si>
</sst>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2"/>
      <name val="宋体"/>
      <charset val="134"/>
    </font>
    <font>
      <sz val="9"/>
      <name val="宋体"/>
      <family val="3"/>
      <charset val="134"/>
    </font>
    <font>
      <sz val="10"/>
      <name val="宋体"/>
      <family val="3"/>
      <charset val="134"/>
    </font>
    <font>
      <b/>
      <sz val="12"/>
      <name val="宋体"/>
      <family val="3"/>
      <charset val="134"/>
    </font>
    <font>
      <sz val="10"/>
      <color indexed="54"/>
      <name val="宋体"/>
      <family val="3"/>
      <charset val="134"/>
    </font>
    <font>
      <sz val="9"/>
      <color indexed="54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23">
    <xf numFmtId="0" fontId="0" fillId="0" borderId="0" xfId="0">
      <alignment vertical="center"/>
    </xf>
    <xf numFmtId="0" fontId="0" fillId="0" borderId="0" xfId="0" applyAlignment="1">
      <alignment vertical="center" wrapText="1"/>
    </xf>
    <xf numFmtId="0" fontId="2" fillId="0" borderId="0" xfId="0" applyFont="1" applyBorder="1" applyAlignment="1">
      <alignment horizontal="left" vertical="center"/>
    </xf>
    <xf numFmtId="0" fontId="2" fillId="2" borderId="1" xfId="0" applyFont="1" applyFill="1" applyBorder="1" applyAlignment="1">
      <alignment horizontal="left" vertical="center" wrapText="1"/>
    </xf>
    <xf numFmtId="0" fontId="0" fillId="0" borderId="0" xfId="0" quotePrefix="1">
      <alignment vertical="center"/>
    </xf>
    <xf numFmtId="0" fontId="3" fillId="0" borderId="0" xfId="0" applyFont="1">
      <alignment vertical="center"/>
    </xf>
    <xf numFmtId="0" fontId="2" fillId="0" borderId="0" xfId="0" applyFont="1" applyFill="1" applyBorder="1" applyAlignment="1">
      <alignment horizontal="left" vertical="center"/>
    </xf>
    <xf numFmtId="0" fontId="2" fillId="0" borderId="1" xfId="0" applyFont="1" applyBorder="1" applyAlignment="1">
      <alignment horizontal="left" vertical="center"/>
    </xf>
    <xf numFmtId="0" fontId="1" fillId="3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/>
    </xf>
    <xf numFmtId="0" fontId="1" fillId="0" borderId="0" xfId="0" applyFont="1" applyBorder="1" applyAlignment="1">
      <alignment horizontal="left" vertical="center"/>
    </xf>
    <xf numFmtId="0" fontId="5" fillId="0" borderId="0" xfId="0" applyFont="1" applyBorder="1" applyAlignment="1">
      <alignment horizontal="left" vertical="center"/>
    </xf>
    <xf numFmtId="0" fontId="1" fillId="4" borderId="0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vertical="center" wrapText="1"/>
    </xf>
    <xf numFmtId="0" fontId="1" fillId="0" borderId="0" xfId="0" applyNumberFormat="1" applyFont="1" applyBorder="1" applyAlignment="1">
      <alignment horizontal="left" vertical="center"/>
    </xf>
    <xf numFmtId="0" fontId="2" fillId="0" borderId="0" xfId="0" applyNumberFormat="1" applyFont="1" applyBorder="1" applyAlignment="1">
      <alignment horizontal="left" vertical="center"/>
    </xf>
    <xf numFmtId="0" fontId="4" fillId="3" borderId="1" xfId="0" applyFont="1" applyFill="1" applyBorder="1" applyAlignment="1">
      <alignment horizontal="left" vertical="center" wrapText="1"/>
    </xf>
    <xf numFmtId="0" fontId="4" fillId="3" borderId="1" xfId="0" applyNumberFormat="1" applyFont="1" applyFill="1" applyBorder="1" applyAlignment="1">
      <alignment horizontal="left" vertical="center" wrapText="1"/>
    </xf>
    <xf numFmtId="0" fontId="5" fillId="3" borderId="0" xfId="0" applyFont="1" applyFill="1" applyBorder="1" applyAlignment="1">
      <alignment horizontal="left" vertical="center"/>
    </xf>
    <xf numFmtId="0" fontId="1" fillId="5" borderId="0" xfId="0" applyFont="1" applyFill="1" applyBorder="1" applyAlignment="1">
      <alignment horizontal="left" vertical="center"/>
    </xf>
    <xf numFmtId="0" fontId="1" fillId="0" borderId="0" xfId="0" applyFont="1" applyFill="1" applyBorder="1" applyAlignment="1">
      <alignment horizontal="left" vertical="center" wrapText="1"/>
    </xf>
    <xf numFmtId="0" fontId="1" fillId="0" borderId="0" xfId="0" applyFont="1" applyBorder="1" applyAlignment="1">
      <alignment horizontal="left" vertical="center" wrapText="1"/>
    </xf>
  </cellXfs>
  <cellStyles count="1">
    <cellStyle name="常规" xfId="0" builtinId="0"/>
  </cellStyles>
  <dxfs count="9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connections" Target="connection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190500</xdr:colOff>
      <xdr:row>23</xdr:row>
      <xdr:rowOff>9525</xdr:rowOff>
    </xdr:from>
    <xdr:to>
      <xdr:col>1</xdr:col>
      <xdr:colOff>342900</xdr:colOff>
      <xdr:row>23</xdr:row>
      <xdr:rowOff>161925</xdr:rowOff>
    </xdr:to>
    <xdr:pic>
      <xdr:nvPicPr>
        <xdr:cNvPr id="1224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552450" y="4391025"/>
          <a:ext cx="152400" cy="152400"/>
        </a:xfrm>
        <a:prstGeom prst="rect">
          <a:avLst/>
        </a:prstGeom>
        <a:noFill/>
        <a:ln w="1">
          <a:noFill/>
          <a:miter lim="800000"/>
          <a:headEnd/>
          <a:tailEnd/>
        </a:ln>
      </xdr:spPr>
    </xdr:pic>
    <xdr:clientData/>
  </xdr:twoCellAnchor>
</xdr:wsDr>
</file>

<file path=xl/queryTables/queryTable1.xml><?xml version="1.0" encoding="utf-8"?>
<queryTable xmlns="http://schemas.openxmlformats.org/spreadsheetml/2006/main" name="不可叠加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B230"/>
  <sheetViews>
    <sheetView tabSelected="1" zoomScale="115" zoomScaleNormal="115" workbookViewId="0">
      <pane xSplit="2" ySplit="1" topLeftCell="Q2" activePane="bottomRight" state="frozenSplit"/>
      <selection activeCell="A260" sqref="A260:IV260"/>
      <selection pane="topRight" activeCell="F258" sqref="F258"/>
      <selection pane="bottomLeft" activeCell="E549" sqref="E524:E549"/>
      <selection pane="bottomRight" activeCell="AA44" sqref="AA44"/>
    </sheetView>
  </sheetViews>
  <sheetFormatPr defaultRowHeight="15" customHeight="1" x14ac:dyDescent="0.15"/>
  <cols>
    <col min="1" max="1" width="5.875" style="2" customWidth="1"/>
    <col min="2" max="2" width="14.75" style="2" customWidth="1"/>
    <col min="3" max="3" width="4.5" style="2" customWidth="1"/>
    <col min="4" max="4" width="4.875" style="2" customWidth="1"/>
    <col min="5" max="5" width="4.5" style="2" customWidth="1"/>
    <col min="6" max="6" width="2.25" style="2" customWidth="1"/>
    <col min="7" max="7" width="7.25" style="2" customWidth="1"/>
    <col min="8" max="8" width="5.5" style="2" customWidth="1"/>
    <col min="9" max="9" width="8" style="2" customWidth="1"/>
    <col min="10" max="10" width="6.25" style="2" customWidth="1"/>
    <col min="11" max="11" width="2.125" style="2" customWidth="1"/>
    <col min="12" max="12" width="2.25" style="2" customWidth="1"/>
    <col min="13" max="14" width="2.125" style="2" customWidth="1"/>
    <col min="15" max="15" width="2.25" style="2" customWidth="1"/>
    <col min="16" max="17" width="2.125" style="2" customWidth="1"/>
    <col min="18" max="18" width="8.25" style="2" customWidth="1"/>
    <col min="19" max="19" width="2.625" style="16" customWidth="1"/>
    <col min="20" max="20" width="3" style="16" customWidth="1"/>
    <col min="21" max="21" width="8" style="2" customWidth="1"/>
    <col min="22" max="22" width="4.875" style="16" customWidth="1"/>
    <col min="23" max="23" width="3.875" style="16" customWidth="1"/>
    <col min="24" max="24" width="8" style="2" customWidth="1"/>
    <col min="25" max="26" width="8.5" style="6" customWidth="1"/>
    <col min="27" max="27" width="44.75" style="2" bestFit="1" customWidth="1"/>
    <col min="28" max="16384" width="9" style="2"/>
  </cols>
  <sheetData>
    <row r="1" spans="1:28" s="7" customFormat="1" ht="31.5" customHeight="1" x14ac:dyDescent="0.15">
      <c r="A1" s="3" t="s">
        <v>4</v>
      </c>
      <c r="B1" s="3" t="s">
        <v>8</v>
      </c>
      <c r="C1" s="3" t="s">
        <v>37</v>
      </c>
      <c r="D1" s="3" t="s">
        <v>13</v>
      </c>
      <c r="E1" s="17" t="s">
        <v>21</v>
      </c>
      <c r="F1" s="17" t="s">
        <v>22</v>
      </c>
      <c r="G1" s="17" t="s">
        <v>23</v>
      </c>
      <c r="H1" s="17" t="s">
        <v>55</v>
      </c>
      <c r="I1" s="3" t="s">
        <v>18</v>
      </c>
      <c r="J1" s="3" t="s">
        <v>36</v>
      </c>
      <c r="K1" s="17" t="s">
        <v>47</v>
      </c>
      <c r="L1" s="17" t="s">
        <v>48</v>
      </c>
      <c r="M1" s="17" t="s">
        <v>49</v>
      </c>
      <c r="N1" s="17" t="s">
        <v>50</v>
      </c>
      <c r="O1" s="17" t="s">
        <v>51</v>
      </c>
      <c r="P1" s="17" t="s">
        <v>52</v>
      </c>
      <c r="Q1" s="17" t="s">
        <v>53</v>
      </c>
      <c r="R1" s="3" t="s">
        <v>20</v>
      </c>
      <c r="S1" s="18" t="s">
        <v>45</v>
      </c>
      <c r="T1" s="18" t="s">
        <v>46</v>
      </c>
      <c r="U1" s="3" t="s">
        <v>24</v>
      </c>
      <c r="V1" s="18" t="s">
        <v>66</v>
      </c>
      <c r="W1" s="18" t="s">
        <v>67</v>
      </c>
      <c r="X1" s="3" t="s">
        <v>54</v>
      </c>
      <c r="Y1" s="3" t="s">
        <v>9</v>
      </c>
      <c r="Z1" s="3" t="s">
        <v>76</v>
      </c>
      <c r="AA1" s="7" t="s">
        <v>7</v>
      </c>
      <c r="AB1" s="7" t="s">
        <v>150</v>
      </c>
    </row>
    <row r="2" spans="1:28" s="9" customFormat="1" ht="15.75" customHeight="1" x14ac:dyDescent="0.15">
      <c r="A2" s="8">
        <v>1</v>
      </c>
      <c r="B2" s="9" t="s">
        <v>98</v>
      </c>
      <c r="C2" s="9">
        <v>10</v>
      </c>
      <c r="D2" s="10">
        <f>E2+F2*2+G2*4+H2*8</f>
        <v>4</v>
      </c>
      <c r="E2" s="19">
        <v>0</v>
      </c>
      <c r="F2" s="19">
        <v>0</v>
      </c>
      <c r="G2" s="19">
        <v>1</v>
      </c>
      <c r="H2" s="19">
        <v>0</v>
      </c>
      <c r="I2" s="10">
        <v>0</v>
      </c>
      <c r="J2" s="9">
        <f>K2*2+L2*4+M2*8+N2*16+O2*32+P2*64+Q2</f>
        <v>36</v>
      </c>
      <c r="K2" s="19">
        <v>0</v>
      </c>
      <c r="L2" s="19">
        <v>1</v>
      </c>
      <c r="M2" s="19">
        <v>0</v>
      </c>
      <c r="N2" s="19">
        <v>0</v>
      </c>
      <c r="O2" s="19">
        <v>1</v>
      </c>
      <c r="P2" s="19">
        <v>0</v>
      </c>
      <c r="Q2" s="19">
        <v>0</v>
      </c>
      <c r="R2" s="10">
        <f>IF(E2=1,0,S2*3600+T2*60)</f>
        <v>73800</v>
      </c>
      <c r="S2" s="19">
        <v>20</v>
      </c>
      <c r="T2" s="19">
        <v>30</v>
      </c>
      <c r="U2" s="9">
        <f>V2*3600+W2*60</f>
        <v>600</v>
      </c>
      <c r="V2" s="19">
        <v>0</v>
      </c>
      <c r="W2" s="19">
        <v>10</v>
      </c>
      <c r="X2" s="9">
        <v>0</v>
      </c>
      <c r="Y2" s="9">
        <v>32</v>
      </c>
      <c r="Z2" s="9">
        <v>13</v>
      </c>
      <c r="AA2" s="9" t="s">
        <v>134</v>
      </c>
    </row>
    <row r="3" spans="1:28" s="9" customFormat="1" ht="15.75" customHeight="1" x14ac:dyDescent="0.15">
      <c r="A3" s="8">
        <v>2</v>
      </c>
      <c r="B3" s="9" t="s">
        <v>98</v>
      </c>
      <c r="C3" s="9">
        <v>10</v>
      </c>
      <c r="D3" s="10">
        <f>E3+F3*2+G3*4+H3*8</f>
        <v>2</v>
      </c>
      <c r="E3" s="19">
        <v>0</v>
      </c>
      <c r="F3" s="19">
        <v>1</v>
      </c>
      <c r="G3" s="19">
        <v>0</v>
      </c>
      <c r="H3" s="19">
        <v>0</v>
      </c>
      <c r="I3" s="10">
        <v>0</v>
      </c>
      <c r="J3" s="9">
        <f>K3*2+L3*4+M3*8+N3*16+O3*32+P3*64+Q3</f>
        <v>36</v>
      </c>
      <c r="K3" s="19">
        <v>0</v>
      </c>
      <c r="L3" s="19">
        <v>1</v>
      </c>
      <c r="M3" s="19">
        <v>0</v>
      </c>
      <c r="N3" s="19">
        <v>0</v>
      </c>
      <c r="O3" s="19">
        <v>1</v>
      </c>
      <c r="P3" s="19">
        <v>0</v>
      </c>
      <c r="Q3" s="19">
        <v>0</v>
      </c>
      <c r="R3" s="10">
        <f>IF(E3=1,0,S3*3600+T3*60)</f>
        <v>68400</v>
      </c>
      <c r="S3" s="19">
        <v>19</v>
      </c>
      <c r="T3" s="19">
        <v>0</v>
      </c>
      <c r="U3" s="9">
        <f t="shared" ref="U3:U28" si="0">V3*3600+W3*60</f>
        <v>600</v>
      </c>
      <c r="V3" s="19">
        <v>0</v>
      </c>
      <c r="W3" s="19">
        <v>10</v>
      </c>
      <c r="X3" s="9">
        <v>0</v>
      </c>
      <c r="Y3" s="9">
        <v>31</v>
      </c>
      <c r="Z3" s="9">
        <v>13</v>
      </c>
      <c r="AA3" s="9" t="s">
        <v>144</v>
      </c>
    </row>
    <row r="4" spans="1:28" s="9" customFormat="1" ht="15.75" customHeight="1" x14ac:dyDescent="0.15">
      <c r="A4" s="8">
        <v>3</v>
      </c>
      <c r="B4" s="9" t="s">
        <v>63</v>
      </c>
      <c r="C4" s="9">
        <v>10</v>
      </c>
      <c r="D4" s="10">
        <f>E4+F4*2+G4*4+H4*8</f>
        <v>10</v>
      </c>
      <c r="E4" s="19">
        <v>0</v>
      </c>
      <c r="F4" s="19">
        <v>1</v>
      </c>
      <c r="G4" s="19">
        <v>0</v>
      </c>
      <c r="H4" s="19">
        <v>1</v>
      </c>
      <c r="I4" s="10">
        <v>0</v>
      </c>
      <c r="J4" s="9">
        <f>K4*2+L4*4+M4*8+N4*16+O4*32+P4*64+Q4</f>
        <v>0</v>
      </c>
      <c r="K4" s="19">
        <v>0</v>
      </c>
      <c r="L4" s="19">
        <v>0</v>
      </c>
      <c r="M4" s="19">
        <v>0</v>
      </c>
      <c r="N4" s="19">
        <v>0</v>
      </c>
      <c r="O4" s="19">
        <v>0</v>
      </c>
      <c r="P4" s="19">
        <v>0</v>
      </c>
      <c r="Q4" s="19">
        <v>0</v>
      </c>
      <c r="R4" s="10">
        <f>IF(E4=1,0,S4*3600+T4*60)</f>
        <v>84600</v>
      </c>
      <c r="S4" s="19">
        <v>23</v>
      </c>
      <c r="T4" s="19">
        <v>30</v>
      </c>
      <c r="U4" s="9">
        <f t="shared" si="0"/>
        <v>60</v>
      </c>
      <c r="V4" s="19">
        <v>0</v>
      </c>
      <c r="W4" s="19">
        <v>1</v>
      </c>
      <c r="X4" s="9">
        <v>0</v>
      </c>
      <c r="Y4" s="9">
        <v>27</v>
      </c>
      <c r="Z4" s="9">
        <v>13</v>
      </c>
      <c r="AA4" s="9" t="s">
        <v>64</v>
      </c>
    </row>
    <row r="5" spans="1:28" s="9" customFormat="1" ht="15.75" customHeight="1" x14ac:dyDescent="0.15">
      <c r="A5" s="8">
        <v>4</v>
      </c>
      <c r="B5" s="9" t="s">
        <v>99</v>
      </c>
      <c r="C5" s="9">
        <v>10</v>
      </c>
      <c r="D5" s="10">
        <f t="shared" ref="D5:D14" si="1">E5+F5*2+G5*4+H5*8</f>
        <v>4</v>
      </c>
      <c r="E5" s="19">
        <v>0</v>
      </c>
      <c r="F5" s="19">
        <v>0</v>
      </c>
      <c r="G5" s="19">
        <v>1</v>
      </c>
      <c r="H5" s="19">
        <v>0</v>
      </c>
      <c r="I5" s="10">
        <v>0</v>
      </c>
      <c r="J5" s="9">
        <f t="shared" ref="J5:J14" si="2">K5*2+L5*4+M5*8+N5*16+O5*32+P5*64+Q5</f>
        <v>0</v>
      </c>
      <c r="K5" s="19">
        <v>0</v>
      </c>
      <c r="L5" s="19">
        <v>0</v>
      </c>
      <c r="M5" s="19">
        <v>0</v>
      </c>
      <c r="N5" s="19">
        <v>0</v>
      </c>
      <c r="O5" s="19">
        <v>0</v>
      </c>
      <c r="P5" s="19">
        <v>0</v>
      </c>
      <c r="Q5" s="19">
        <v>0</v>
      </c>
      <c r="R5" s="10">
        <f t="shared" ref="R5:R14" si="3">IF(E5=1,0,S5*3600+T5*60)</f>
        <v>73800</v>
      </c>
      <c r="S5" s="19">
        <v>20</v>
      </c>
      <c r="T5" s="19">
        <v>30</v>
      </c>
      <c r="U5" s="9">
        <f t="shared" si="0"/>
        <v>1800</v>
      </c>
      <c r="V5" s="19">
        <v>0</v>
      </c>
      <c r="W5" s="19">
        <v>30</v>
      </c>
      <c r="X5" s="9">
        <v>0</v>
      </c>
      <c r="Y5" s="9">
        <v>24</v>
      </c>
      <c r="Z5" s="9">
        <v>13</v>
      </c>
      <c r="AA5" s="9" t="s">
        <v>139</v>
      </c>
    </row>
    <row r="6" spans="1:28" s="9" customFormat="1" ht="15.75" customHeight="1" x14ac:dyDescent="0.15">
      <c r="A6" s="8">
        <v>6</v>
      </c>
      <c r="B6" s="9" t="s">
        <v>100</v>
      </c>
      <c r="C6" s="9">
        <v>10</v>
      </c>
      <c r="D6" s="10">
        <f t="shared" si="1"/>
        <v>4</v>
      </c>
      <c r="E6" s="19">
        <v>0</v>
      </c>
      <c r="F6" s="19">
        <v>0</v>
      </c>
      <c r="G6" s="19">
        <v>1</v>
      </c>
      <c r="H6" s="19">
        <v>0</v>
      </c>
      <c r="I6" s="10">
        <v>0</v>
      </c>
      <c r="J6" s="9">
        <f>K6*2+L6*4+M6*8+N6*16+O6*32+P6*64+Q6</f>
        <v>72</v>
      </c>
      <c r="K6" s="19">
        <v>0</v>
      </c>
      <c r="L6" s="19">
        <v>0</v>
      </c>
      <c r="M6" s="19">
        <v>1</v>
      </c>
      <c r="N6" s="19">
        <v>0</v>
      </c>
      <c r="O6" s="19">
        <v>0</v>
      </c>
      <c r="P6" s="19">
        <v>1</v>
      </c>
      <c r="Q6" s="19">
        <v>0</v>
      </c>
      <c r="R6" s="10">
        <f>IF(E6=1,0,S6*3600+T6*60)</f>
        <v>77400</v>
      </c>
      <c r="S6" s="19">
        <v>21</v>
      </c>
      <c r="T6" s="19">
        <v>30</v>
      </c>
      <c r="U6" s="9">
        <f>V6*3600+W6*60</f>
        <v>1800</v>
      </c>
      <c r="V6" s="19">
        <v>0</v>
      </c>
      <c r="W6" s="19">
        <v>30</v>
      </c>
      <c r="X6" s="9">
        <v>0</v>
      </c>
      <c r="Y6" s="9">
        <v>19</v>
      </c>
      <c r="Z6" s="9">
        <v>13</v>
      </c>
      <c r="AA6" s="9" t="s">
        <v>81</v>
      </c>
    </row>
    <row r="7" spans="1:28" s="9" customFormat="1" ht="22.5" x14ac:dyDescent="0.15">
      <c r="A7" s="8">
        <v>7</v>
      </c>
      <c r="B7" s="9" t="s">
        <v>82</v>
      </c>
      <c r="C7" s="9">
        <v>10</v>
      </c>
      <c r="D7" s="10">
        <f t="shared" si="1"/>
        <v>2</v>
      </c>
      <c r="E7" s="19">
        <v>0</v>
      </c>
      <c r="F7" s="19">
        <v>1</v>
      </c>
      <c r="G7" s="19">
        <v>0</v>
      </c>
      <c r="H7" s="19">
        <v>0</v>
      </c>
      <c r="I7" s="10">
        <v>0</v>
      </c>
      <c r="J7" s="9">
        <f>K7*2+L7*4+M7*8+N7*16+O7*32+P7*64+Q7</f>
        <v>0</v>
      </c>
      <c r="K7" s="19">
        <v>0</v>
      </c>
      <c r="L7" s="19">
        <v>0</v>
      </c>
      <c r="M7" s="19">
        <v>0</v>
      </c>
      <c r="N7" s="19">
        <v>0</v>
      </c>
      <c r="O7" s="19">
        <v>0</v>
      </c>
      <c r="P7" s="19">
        <v>0</v>
      </c>
      <c r="Q7" s="19">
        <v>0</v>
      </c>
      <c r="R7" s="10">
        <f>IF(E7=1,0,S7*3600+T7*60)</f>
        <v>0</v>
      </c>
      <c r="S7" s="19">
        <v>0</v>
      </c>
      <c r="T7" s="19">
        <v>0</v>
      </c>
      <c r="U7" s="9">
        <f>V7*3600+W7*60</f>
        <v>0</v>
      </c>
      <c r="V7" s="19">
        <v>0</v>
      </c>
      <c r="W7" s="19">
        <v>0</v>
      </c>
      <c r="X7" s="9">
        <v>0</v>
      </c>
      <c r="Y7" s="9">
        <v>29</v>
      </c>
      <c r="Z7" s="9">
        <v>13</v>
      </c>
      <c r="AA7" s="21" t="s">
        <v>153</v>
      </c>
    </row>
    <row r="8" spans="1:28" s="9" customFormat="1" ht="15.75" customHeight="1" x14ac:dyDescent="0.15">
      <c r="A8" s="8">
        <v>8</v>
      </c>
      <c r="B8" s="9" t="s">
        <v>77</v>
      </c>
      <c r="C8" s="9">
        <v>10</v>
      </c>
      <c r="D8" s="10">
        <f t="shared" si="1"/>
        <v>2</v>
      </c>
      <c r="E8" s="19">
        <v>0</v>
      </c>
      <c r="F8" s="19">
        <v>1</v>
      </c>
      <c r="G8" s="19">
        <v>0</v>
      </c>
      <c r="H8" s="19">
        <v>0</v>
      </c>
      <c r="I8" s="10">
        <v>0</v>
      </c>
      <c r="J8" s="9">
        <f>K8*2+L8*4+M8*8+N8*16+O8*32+P8*64+Q8</f>
        <v>0</v>
      </c>
      <c r="K8" s="19">
        <v>0</v>
      </c>
      <c r="L8" s="19">
        <v>0</v>
      </c>
      <c r="M8" s="19">
        <v>0</v>
      </c>
      <c r="N8" s="19">
        <v>0</v>
      </c>
      <c r="O8" s="19">
        <v>0</v>
      </c>
      <c r="P8" s="19">
        <v>0</v>
      </c>
      <c r="Q8" s="19">
        <v>0</v>
      </c>
      <c r="R8" s="10">
        <f>IF(E8=1,0,S8*3600+T8*60)</f>
        <v>77400</v>
      </c>
      <c r="S8" s="19">
        <v>21</v>
      </c>
      <c r="T8" s="19">
        <v>30</v>
      </c>
      <c r="U8" s="9">
        <f>V8*3600+W8*60</f>
        <v>1800</v>
      </c>
      <c r="V8" s="19">
        <v>0</v>
      </c>
      <c r="W8" s="19">
        <v>30</v>
      </c>
      <c r="X8" s="9">
        <v>0</v>
      </c>
      <c r="Y8" s="9">
        <v>19</v>
      </c>
      <c r="Z8" s="9">
        <v>13</v>
      </c>
      <c r="AA8" s="9" t="s">
        <v>78</v>
      </c>
    </row>
    <row r="9" spans="1:28" s="9" customFormat="1" ht="15.75" customHeight="1" x14ac:dyDescent="0.15">
      <c r="A9" s="8">
        <v>9</v>
      </c>
      <c r="B9" s="9" t="s">
        <v>140</v>
      </c>
      <c r="C9" s="9">
        <v>10</v>
      </c>
      <c r="D9" s="10">
        <f>E9+F9*2+G9*4+H9*8</f>
        <v>4</v>
      </c>
      <c r="E9" s="19">
        <v>0</v>
      </c>
      <c r="F9" s="19">
        <v>0</v>
      </c>
      <c r="G9" s="19">
        <v>1</v>
      </c>
      <c r="H9" s="19">
        <v>0</v>
      </c>
      <c r="I9" s="10">
        <v>0</v>
      </c>
      <c r="J9" s="9">
        <f>K9*2+L9*4+M9*8+N9*16+O9*32+P9*64+Q9</f>
        <v>0</v>
      </c>
      <c r="K9" s="19">
        <v>0</v>
      </c>
      <c r="L9" s="19">
        <v>0</v>
      </c>
      <c r="M9" s="19">
        <v>0</v>
      </c>
      <c r="N9" s="19">
        <v>0</v>
      </c>
      <c r="O9" s="19">
        <v>0</v>
      </c>
      <c r="P9" s="19">
        <v>0</v>
      </c>
      <c r="Q9" s="19">
        <v>0</v>
      </c>
      <c r="R9" s="10">
        <f>IF(E9=1,0,S9*3600+T9*60)</f>
        <v>73800</v>
      </c>
      <c r="S9" s="19">
        <v>20</v>
      </c>
      <c r="T9" s="19">
        <v>30</v>
      </c>
      <c r="U9" s="9">
        <f>V9*3600+W9*60</f>
        <v>1800</v>
      </c>
      <c r="V9" s="19">
        <v>0</v>
      </c>
      <c r="W9" s="19">
        <v>30</v>
      </c>
      <c r="X9" s="9">
        <v>0</v>
      </c>
      <c r="Y9" s="9">
        <v>24</v>
      </c>
      <c r="Z9" s="9">
        <v>13</v>
      </c>
      <c r="AA9" s="9" t="s">
        <v>152</v>
      </c>
    </row>
    <row r="10" spans="1:28" s="9" customFormat="1" ht="22.5" x14ac:dyDescent="0.15">
      <c r="A10" s="8">
        <v>10</v>
      </c>
      <c r="B10" s="9" t="s">
        <v>95</v>
      </c>
      <c r="C10" s="9">
        <v>10</v>
      </c>
      <c r="D10" s="10">
        <f t="shared" ref="D10" si="4">E10+F10*2+G10*4+H10*8</f>
        <v>2</v>
      </c>
      <c r="E10" s="19">
        <v>0</v>
      </c>
      <c r="F10" s="19">
        <v>1</v>
      </c>
      <c r="G10" s="19">
        <v>0</v>
      </c>
      <c r="H10" s="19">
        <v>0</v>
      </c>
      <c r="I10" s="10">
        <v>0</v>
      </c>
      <c r="J10" s="9">
        <f>K10*2+L10*4+M10*8+N10*16+O10*32+P10*64+Q10</f>
        <v>0</v>
      </c>
      <c r="K10" s="19">
        <v>0</v>
      </c>
      <c r="L10" s="19">
        <v>0</v>
      </c>
      <c r="M10" s="19">
        <v>0</v>
      </c>
      <c r="N10" s="19">
        <v>0</v>
      </c>
      <c r="O10" s="19">
        <v>0</v>
      </c>
      <c r="P10" s="19">
        <v>0</v>
      </c>
      <c r="Q10" s="19">
        <v>0</v>
      </c>
      <c r="R10" s="10">
        <f>IF(E10=1,0,S10*3600+T10*60)</f>
        <v>0</v>
      </c>
      <c r="S10" s="19">
        <v>0</v>
      </c>
      <c r="T10" s="19">
        <v>0</v>
      </c>
      <c r="U10" s="9">
        <f>V10*3600+W10*60</f>
        <v>0</v>
      </c>
      <c r="V10" s="19">
        <v>0</v>
      </c>
      <c r="W10" s="19">
        <v>0</v>
      </c>
      <c r="X10" s="9">
        <v>0</v>
      </c>
      <c r="Y10" s="9">
        <v>19</v>
      </c>
      <c r="Z10" s="9">
        <v>13</v>
      </c>
      <c r="AA10" s="21" t="s">
        <v>151</v>
      </c>
    </row>
    <row r="11" spans="1:28" s="9" customFormat="1" ht="15.75" customHeight="1" x14ac:dyDescent="0.15">
      <c r="A11" s="20">
        <v>1001</v>
      </c>
      <c r="B11" s="9" t="s">
        <v>101</v>
      </c>
      <c r="C11" s="9">
        <v>10</v>
      </c>
      <c r="D11" s="10">
        <f t="shared" si="1"/>
        <v>12</v>
      </c>
      <c r="E11" s="19">
        <v>0</v>
      </c>
      <c r="F11" s="19">
        <v>0</v>
      </c>
      <c r="G11" s="19">
        <v>1</v>
      </c>
      <c r="H11" s="19">
        <v>1</v>
      </c>
      <c r="I11" s="10">
        <v>0</v>
      </c>
      <c r="J11" s="9">
        <f t="shared" si="2"/>
        <v>36</v>
      </c>
      <c r="K11" s="19">
        <v>0</v>
      </c>
      <c r="L11" s="19">
        <v>1</v>
      </c>
      <c r="M11" s="19">
        <v>0</v>
      </c>
      <c r="N11" s="19">
        <v>0</v>
      </c>
      <c r="O11" s="19">
        <v>1</v>
      </c>
      <c r="P11" s="19">
        <v>0</v>
      </c>
      <c r="Q11" s="19">
        <v>0</v>
      </c>
      <c r="R11" s="10">
        <f t="shared" si="3"/>
        <v>0</v>
      </c>
      <c r="S11" s="19">
        <v>0</v>
      </c>
      <c r="T11" s="19">
        <v>0</v>
      </c>
      <c r="U11" s="9">
        <f t="shared" si="0"/>
        <v>72000</v>
      </c>
      <c r="V11" s="19">
        <v>20</v>
      </c>
      <c r="W11" s="19">
        <v>0</v>
      </c>
      <c r="X11" s="9">
        <v>0</v>
      </c>
      <c r="Y11" s="9">
        <v>32</v>
      </c>
      <c r="Z11" s="9">
        <v>13</v>
      </c>
      <c r="AA11" s="9" t="s">
        <v>135</v>
      </c>
    </row>
    <row r="12" spans="1:28" s="9" customFormat="1" ht="15.75" customHeight="1" x14ac:dyDescent="0.15">
      <c r="A12" s="20">
        <v>1002</v>
      </c>
      <c r="B12" s="9" t="s">
        <v>102</v>
      </c>
      <c r="C12" s="9">
        <v>10</v>
      </c>
      <c r="D12" s="10">
        <f t="shared" si="1"/>
        <v>10</v>
      </c>
      <c r="E12" s="19">
        <v>0</v>
      </c>
      <c r="F12" s="19">
        <v>1</v>
      </c>
      <c r="G12" s="19">
        <v>0</v>
      </c>
      <c r="H12" s="19">
        <v>1</v>
      </c>
      <c r="I12" s="10">
        <v>0</v>
      </c>
      <c r="J12" s="9">
        <f t="shared" si="2"/>
        <v>36</v>
      </c>
      <c r="K12" s="19">
        <v>0</v>
      </c>
      <c r="L12" s="19">
        <v>1</v>
      </c>
      <c r="M12" s="19">
        <v>0</v>
      </c>
      <c r="N12" s="19">
        <v>0</v>
      </c>
      <c r="O12" s="19">
        <v>1</v>
      </c>
      <c r="P12" s="19">
        <v>0</v>
      </c>
      <c r="Q12" s="19">
        <v>0</v>
      </c>
      <c r="R12" s="10">
        <f t="shared" si="3"/>
        <v>0</v>
      </c>
      <c r="S12" s="19">
        <v>0</v>
      </c>
      <c r="T12" s="19">
        <v>0</v>
      </c>
      <c r="U12" s="9">
        <f t="shared" si="0"/>
        <v>64800</v>
      </c>
      <c r="V12" s="19">
        <v>18</v>
      </c>
      <c r="W12" s="19">
        <v>0</v>
      </c>
      <c r="X12" s="9">
        <v>0</v>
      </c>
      <c r="Y12" s="9">
        <v>31</v>
      </c>
      <c r="Z12" s="9">
        <v>13</v>
      </c>
      <c r="AA12" s="9" t="s">
        <v>102</v>
      </c>
    </row>
    <row r="13" spans="1:28" s="9" customFormat="1" ht="15.75" customHeight="1" x14ac:dyDescent="0.15">
      <c r="A13" s="20">
        <v>1003</v>
      </c>
      <c r="B13" s="9" t="s">
        <v>65</v>
      </c>
      <c r="C13" s="9">
        <v>10</v>
      </c>
      <c r="D13" s="10">
        <f t="shared" si="1"/>
        <v>10</v>
      </c>
      <c r="E13" s="19">
        <v>0</v>
      </c>
      <c r="F13" s="19">
        <v>1</v>
      </c>
      <c r="G13" s="19">
        <v>0</v>
      </c>
      <c r="H13" s="19">
        <v>1</v>
      </c>
      <c r="I13" s="10">
        <v>0</v>
      </c>
      <c r="J13" s="9">
        <f t="shared" si="2"/>
        <v>0</v>
      </c>
      <c r="K13" s="19">
        <v>0</v>
      </c>
      <c r="L13" s="19">
        <v>0</v>
      </c>
      <c r="M13" s="19">
        <v>0</v>
      </c>
      <c r="N13" s="19">
        <v>0</v>
      </c>
      <c r="O13" s="19">
        <v>0</v>
      </c>
      <c r="P13" s="19">
        <v>0</v>
      </c>
      <c r="Q13" s="19">
        <v>0</v>
      </c>
      <c r="R13" s="10">
        <f t="shared" si="3"/>
        <v>0</v>
      </c>
      <c r="S13" s="19">
        <v>0</v>
      </c>
      <c r="T13" s="19">
        <v>0</v>
      </c>
      <c r="U13" s="9">
        <f t="shared" si="0"/>
        <v>82800</v>
      </c>
      <c r="V13" s="19">
        <v>23</v>
      </c>
      <c r="W13" s="19">
        <v>0</v>
      </c>
      <c r="X13" s="9">
        <v>0</v>
      </c>
      <c r="Y13" s="9">
        <v>27</v>
      </c>
      <c r="Z13" s="9">
        <v>13</v>
      </c>
      <c r="AA13" s="9" t="s">
        <v>65</v>
      </c>
    </row>
    <row r="14" spans="1:28" s="9" customFormat="1" ht="15.75" customHeight="1" x14ac:dyDescent="0.15">
      <c r="A14" s="20">
        <v>1004</v>
      </c>
      <c r="B14" s="9" t="s">
        <v>104</v>
      </c>
      <c r="C14" s="9">
        <v>10</v>
      </c>
      <c r="D14" s="10">
        <f t="shared" si="1"/>
        <v>12</v>
      </c>
      <c r="E14" s="19">
        <v>0</v>
      </c>
      <c r="F14" s="19">
        <v>0</v>
      </c>
      <c r="G14" s="19">
        <v>1</v>
      </c>
      <c r="H14" s="19">
        <v>1</v>
      </c>
      <c r="I14" s="10">
        <v>0</v>
      </c>
      <c r="J14" s="9">
        <f t="shared" si="2"/>
        <v>0</v>
      </c>
      <c r="K14" s="19">
        <v>0</v>
      </c>
      <c r="L14" s="19">
        <v>0</v>
      </c>
      <c r="M14" s="19">
        <v>0</v>
      </c>
      <c r="N14" s="19">
        <v>0</v>
      </c>
      <c r="O14" s="19">
        <v>0</v>
      </c>
      <c r="P14" s="19">
        <v>0</v>
      </c>
      <c r="Q14" s="19">
        <v>0</v>
      </c>
      <c r="R14" s="10">
        <f t="shared" si="3"/>
        <v>0</v>
      </c>
      <c r="S14" s="19">
        <v>0</v>
      </c>
      <c r="T14" s="19">
        <v>0</v>
      </c>
      <c r="U14" s="9">
        <f t="shared" si="0"/>
        <v>72000</v>
      </c>
      <c r="V14" s="19">
        <v>20</v>
      </c>
      <c r="W14" s="19">
        <v>0</v>
      </c>
      <c r="X14" s="9">
        <v>0</v>
      </c>
      <c r="Y14" s="9">
        <v>24</v>
      </c>
      <c r="Z14" s="9">
        <v>13</v>
      </c>
      <c r="AA14" s="9" t="s">
        <v>103</v>
      </c>
    </row>
    <row r="15" spans="1:28" s="9" customFormat="1" ht="15.75" customHeight="1" x14ac:dyDescent="0.15">
      <c r="A15" s="20">
        <v>1006</v>
      </c>
      <c r="B15" s="9" t="s">
        <v>105</v>
      </c>
      <c r="C15" s="9">
        <v>10</v>
      </c>
      <c r="D15" s="10">
        <f>E15+F15*2+G15*4+H15*8</f>
        <v>10</v>
      </c>
      <c r="E15" s="19">
        <v>0</v>
      </c>
      <c r="F15" s="19">
        <v>1</v>
      </c>
      <c r="G15" s="19">
        <v>0</v>
      </c>
      <c r="H15" s="19">
        <v>1</v>
      </c>
      <c r="I15" s="10">
        <v>0</v>
      </c>
      <c r="J15" s="9">
        <f>K15*2+L15*4+M15*8+N15*16+O15*32+P15*64+Q15</f>
        <v>0</v>
      </c>
      <c r="K15" s="19">
        <v>0</v>
      </c>
      <c r="L15" s="19">
        <v>0</v>
      </c>
      <c r="M15" s="19">
        <v>0</v>
      </c>
      <c r="N15" s="19">
        <v>0</v>
      </c>
      <c r="O15" s="19">
        <v>0</v>
      </c>
      <c r="P15" s="19">
        <v>0</v>
      </c>
      <c r="Q15" s="19">
        <v>0</v>
      </c>
      <c r="R15" s="10">
        <f>IF(E15=1,0,S15*3600+T15*60)</f>
        <v>64800</v>
      </c>
      <c r="S15" s="19">
        <v>18</v>
      </c>
      <c r="T15" s="19">
        <v>0</v>
      </c>
      <c r="U15" s="9">
        <f>V15*3600+W15*60</f>
        <v>7200</v>
      </c>
      <c r="V15" s="19">
        <v>2</v>
      </c>
      <c r="W15" s="19">
        <v>0</v>
      </c>
      <c r="X15" s="9">
        <v>0</v>
      </c>
      <c r="Y15" s="9">
        <v>37</v>
      </c>
      <c r="Z15" s="9">
        <v>13</v>
      </c>
      <c r="AA15" s="9" t="s">
        <v>145</v>
      </c>
    </row>
    <row r="16" spans="1:28" s="10" customFormat="1" ht="15" customHeight="1" x14ac:dyDescent="0.15">
      <c r="A16" s="20">
        <v>1007</v>
      </c>
      <c r="B16" s="10" t="s">
        <v>106</v>
      </c>
      <c r="C16" s="10">
        <v>7</v>
      </c>
      <c r="D16" s="10">
        <f>E16+F16*2+G16*4+H16*8</f>
        <v>0</v>
      </c>
      <c r="E16" s="19">
        <v>0</v>
      </c>
      <c r="F16" s="19">
        <v>0</v>
      </c>
      <c r="G16" s="19">
        <v>0</v>
      </c>
      <c r="H16" s="19">
        <v>0</v>
      </c>
      <c r="I16" s="10">
        <v>0</v>
      </c>
      <c r="J16" s="9">
        <f>K16*2+L16*4+M16*8+N16*16+O16*32+P16*64+Q16</f>
        <v>0</v>
      </c>
      <c r="K16" s="19">
        <v>0</v>
      </c>
      <c r="L16" s="19">
        <v>0</v>
      </c>
      <c r="M16" s="19">
        <v>0</v>
      </c>
      <c r="N16" s="19">
        <v>0</v>
      </c>
      <c r="O16" s="19">
        <v>0</v>
      </c>
      <c r="P16" s="19">
        <v>0</v>
      </c>
      <c r="Q16" s="19">
        <v>0</v>
      </c>
      <c r="R16" s="10">
        <f>IF(E16=1,0,S16*3600+T16*60)</f>
        <v>0</v>
      </c>
      <c r="S16" s="19">
        <v>0</v>
      </c>
      <c r="T16" s="19">
        <v>0</v>
      </c>
      <c r="U16" s="9">
        <f>V16*3600+W16*60</f>
        <v>600</v>
      </c>
      <c r="V16" s="19">
        <v>0</v>
      </c>
      <c r="W16" s="19">
        <v>10</v>
      </c>
      <c r="X16" s="10">
        <v>1</v>
      </c>
      <c r="Y16" s="9">
        <v>11</v>
      </c>
      <c r="Z16" s="9">
        <v>13</v>
      </c>
      <c r="AA16" s="10" t="s">
        <v>146</v>
      </c>
    </row>
    <row r="17" spans="1:27" s="9" customFormat="1" ht="15.75" customHeight="1" x14ac:dyDescent="0.15">
      <c r="A17" s="20">
        <v>1008</v>
      </c>
      <c r="B17" s="9" t="s">
        <v>107</v>
      </c>
      <c r="C17" s="9">
        <v>7</v>
      </c>
      <c r="D17" s="10">
        <v>1</v>
      </c>
      <c r="E17" s="19">
        <v>0</v>
      </c>
      <c r="F17" s="19">
        <v>0</v>
      </c>
      <c r="G17" s="19">
        <v>0</v>
      </c>
      <c r="H17" s="19">
        <v>0</v>
      </c>
      <c r="I17" s="10">
        <v>0</v>
      </c>
      <c r="J17" s="9">
        <v>0</v>
      </c>
      <c r="K17" s="19">
        <v>0</v>
      </c>
      <c r="L17" s="19">
        <v>0</v>
      </c>
      <c r="M17" s="19">
        <v>0</v>
      </c>
      <c r="N17" s="19">
        <v>0</v>
      </c>
      <c r="O17" s="19">
        <v>0</v>
      </c>
      <c r="P17" s="19">
        <v>0</v>
      </c>
      <c r="Q17" s="19">
        <v>0</v>
      </c>
      <c r="R17" s="10">
        <v>0</v>
      </c>
      <c r="S17" s="19">
        <v>0</v>
      </c>
      <c r="T17" s="19">
        <v>0</v>
      </c>
      <c r="U17" s="9">
        <v>600</v>
      </c>
      <c r="V17" s="19">
        <v>0</v>
      </c>
      <c r="W17" s="19">
        <v>10</v>
      </c>
      <c r="X17" s="9">
        <v>1</v>
      </c>
      <c r="Y17" s="9">
        <v>1</v>
      </c>
      <c r="Z17" s="9">
        <v>13</v>
      </c>
      <c r="AA17" s="9" t="s">
        <v>154</v>
      </c>
    </row>
    <row r="18" spans="1:27" s="9" customFormat="1" ht="15.75" customHeight="1" x14ac:dyDescent="0.15">
      <c r="A18" s="20">
        <v>1009</v>
      </c>
      <c r="B18" s="9" t="s">
        <v>75</v>
      </c>
      <c r="C18" s="9">
        <v>7</v>
      </c>
      <c r="D18" s="10">
        <v>1</v>
      </c>
      <c r="E18" s="19">
        <v>0</v>
      </c>
      <c r="F18" s="19">
        <v>0</v>
      </c>
      <c r="G18" s="19">
        <v>0</v>
      </c>
      <c r="H18" s="19">
        <v>0</v>
      </c>
      <c r="I18" s="10">
        <v>0</v>
      </c>
      <c r="J18" s="9">
        <v>0</v>
      </c>
      <c r="K18" s="19">
        <v>0</v>
      </c>
      <c r="L18" s="19">
        <v>0</v>
      </c>
      <c r="M18" s="19">
        <v>0</v>
      </c>
      <c r="N18" s="19">
        <v>0</v>
      </c>
      <c r="O18" s="19">
        <v>0</v>
      </c>
      <c r="P18" s="19">
        <v>0</v>
      </c>
      <c r="Q18" s="19">
        <v>0</v>
      </c>
      <c r="R18" s="10">
        <v>0</v>
      </c>
      <c r="S18" s="19">
        <v>0</v>
      </c>
      <c r="T18" s="19">
        <v>0</v>
      </c>
      <c r="U18" s="9">
        <v>600</v>
      </c>
      <c r="V18" s="19">
        <v>0</v>
      </c>
      <c r="W18" s="19">
        <v>10</v>
      </c>
      <c r="X18" s="9">
        <v>1</v>
      </c>
      <c r="Y18" s="9">
        <v>1</v>
      </c>
      <c r="Z18" s="9">
        <v>13</v>
      </c>
      <c r="AA18" s="9" t="s">
        <v>155</v>
      </c>
    </row>
    <row r="19" spans="1:27" s="10" customFormat="1" ht="15" customHeight="1" x14ac:dyDescent="0.15">
      <c r="A19" s="12">
        <v>10001</v>
      </c>
      <c r="B19" s="10" t="s">
        <v>109</v>
      </c>
      <c r="C19" s="10">
        <v>7</v>
      </c>
      <c r="D19" s="10">
        <f t="shared" ref="D19:D29" si="5">E19+F19*2+G19*4+H19*8</f>
        <v>0</v>
      </c>
      <c r="E19" s="19">
        <v>0</v>
      </c>
      <c r="F19" s="19">
        <v>0</v>
      </c>
      <c r="G19" s="19">
        <v>0</v>
      </c>
      <c r="H19" s="19">
        <v>0</v>
      </c>
      <c r="I19" s="10">
        <v>0</v>
      </c>
      <c r="J19" s="9">
        <f t="shared" ref="J19:J28" si="6">K19*2+L19*4+M19*8+N19*16+O19*32+P19*64+Q19</f>
        <v>0</v>
      </c>
      <c r="K19" s="19">
        <v>0</v>
      </c>
      <c r="L19" s="19">
        <v>0</v>
      </c>
      <c r="M19" s="19">
        <v>0</v>
      </c>
      <c r="N19" s="19">
        <v>0</v>
      </c>
      <c r="O19" s="19">
        <v>0</v>
      </c>
      <c r="P19" s="19">
        <v>0</v>
      </c>
      <c r="Q19" s="19">
        <v>0</v>
      </c>
      <c r="R19" s="10">
        <f t="shared" ref="R19:R24" si="7">IF(E19=1,0,S19*3600+T19*60)</f>
        <v>0</v>
      </c>
      <c r="S19" s="19">
        <v>0</v>
      </c>
      <c r="T19" s="19">
        <v>0</v>
      </c>
      <c r="U19" s="9">
        <f t="shared" si="0"/>
        <v>3600</v>
      </c>
      <c r="V19" s="19">
        <v>1</v>
      </c>
      <c r="W19" s="19">
        <v>0</v>
      </c>
      <c r="X19" s="10">
        <v>1</v>
      </c>
      <c r="Y19" s="9">
        <v>5</v>
      </c>
      <c r="Z19" s="9">
        <v>13</v>
      </c>
      <c r="AA19" s="10" t="s">
        <v>147</v>
      </c>
    </row>
    <row r="20" spans="1:27" s="10" customFormat="1" ht="15" customHeight="1" x14ac:dyDescent="0.15">
      <c r="A20" s="12">
        <v>10002</v>
      </c>
      <c r="B20" s="10" t="s">
        <v>108</v>
      </c>
      <c r="C20" s="10">
        <v>7</v>
      </c>
      <c r="D20" s="10">
        <f t="shared" si="5"/>
        <v>0</v>
      </c>
      <c r="E20" s="19">
        <v>0</v>
      </c>
      <c r="F20" s="19">
        <v>0</v>
      </c>
      <c r="G20" s="19">
        <v>0</v>
      </c>
      <c r="H20" s="19">
        <v>0</v>
      </c>
      <c r="I20" s="10">
        <v>0</v>
      </c>
      <c r="J20" s="9">
        <f t="shared" si="6"/>
        <v>0</v>
      </c>
      <c r="K20" s="19">
        <v>0</v>
      </c>
      <c r="L20" s="19">
        <v>0</v>
      </c>
      <c r="M20" s="19">
        <v>0</v>
      </c>
      <c r="N20" s="19">
        <v>0</v>
      </c>
      <c r="O20" s="19">
        <v>0</v>
      </c>
      <c r="P20" s="19">
        <v>0</v>
      </c>
      <c r="Q20" s="19">
        <v>0</v>
      </c>
      <c r="R20" s="10">
        <f t="shared" si="7"/>
        <v>0</v>
      </c>
      <c r="S20" s="19">
        <v>0</v>
      </c>
      <c r="T20" s="19">
        <v>0</v>
      </c>
      <c r="U20" s="9">
        <f t="shared" si="0"/>
        <v>7200</v>
      </c>
      <c r="V20" s="19">
        <v>2</v>
      </c>
      <c r="W20" s="19">
        <v>0</v>
      </c>
      <c r="X20" s="10">
        <v>1</v>
      </c>
      <c r="Y20" s="9">
        <v>4</v>
      </c>
      <c r="Z20" s="9">
        <v>13</v>
      </c>
      <c r="AA20" s="10" t="s">
        <v>148</v>
      </c>
    </row>
    <row r="21" spans="1:27" s="10" customFormat="1" ht="15" customHeight="1" x14ac:dyDescent="0.15">
      <c r="A21" s="12">
        <v>10003</v>
      </c>
      <c r="B21" s="10" t="s">
        <v>110</v>
      </c>
      <c r="C21" s="10">
        <v>9</v>
      </c>
      <c r="D21" s="10">
        <f t="shared" si="5"/>
        <v>0</v>
      </c>
      <c r="E21" s="19">
        <v>0</v>
      </c>
      <c r="F21" s="19">
        <v>0</v>
      </c>
      <c r="G21" s="19">
        <v>0</v>
      </c>
      <c r="H21" s="19">
        <v>0</v>
      </c>
      <c r="I21" s="10">
        <v>0</v>
      </c>
      <c r="J21" s="9">
        <f t="shared" si="6"/>
        <v>0</v>
      </c>
      <c r="K21" s="19">
        <v>0</v>
      </c>
      <c r="L21" s="19">
        <v>0</v>
      </c>
      <c r="M21" s="19">
        <v>0</v>
      </c>
      <c r="N21" s="19">
        <v>0</v>
      </c>
      <c r="O21" s="19">
        <v>0</v>
      </c>
      <c r="P21" s="19">
        <v>0</v>
      </c>
      <c r="Q21" s="19">
        <v>0</v>
      </c>
      <c r="R21" s="10">
        <f t="shared" si="7"/>
        <v>0</v>
      </c>
      <c r="S21" s="19">
        <v>0</v>
      </c>
      <c r="T21" s="19">
        <v>0</v>
      </c>
      <c r="U21" s="9">
        <f t="shared" si="0"/>
        <v>3600</v>
      </c>
      <c r="V21" s="19">
        <v>1</v>
      </c>
      <c r="W21" s="19">
        <v>0</v>
      </c>
      <c r="X21" s="10">
        <v>1</v>
      </c>
      <c r="Y21" s="9">
        <v>16</v>
      </c>
      <c r="Z21" s="9">
        <v>13</v>
      </c>
      <c r="AA21" s="10" t="s">
        <v>156</v>
      </c>
    </row>
    <row r="22" spans="1:27" s="10" customFormat="1" ht="15" customHeight="1" x14ac:dyDescent="0.15">
      <c r="A22" s="12">
        <v>10004</v>
      </c>
      <c r="B22" s="10" t="s">
        <v>111</v>
      </c>
      <c r="C22" s="10">
        <v>9</v>
      </c>
      <c r="D22" s="10">
        <f t="shared" si="5"/>
        <v>0</v>
      </c>
      <c r="E22" s="19">
        <v>0</v>
      </c>
      <c r="F22" s="19">
        <v>0</v>
      </c>
      <c r="G22" s="19">
        <v>0</v>
      </c>
      <c r="H22" s="19">
        <v>0</v>
      </c>
      <c r="I22" s="10">
        <v>0</v>
      </c>
      <c r="J22" s="9">
        <f t="shared" si="6"/>
        <v>0</v>
      </c>
      <c r="K22" s="19">
        <v>0</v>
      </c>
      <c r="L22" s="19">
        <v>0</v>
      </c>
      <c r="M22" s="19">
        <v>0</v>
      </c>
      <c r="N22" s="19">
        <v>0</v>
      </c>
      <c r="O22" s="19">
        <v>0</v>
      </c>
      <c r="P22" s="19">
        <v>0</v>
      </c>
      <c r="Q22" s="19">
        <v>0</v>
      </c>
      <c r="R22" s="10">
        <f t="shared" si="7"/>
        <v>0</v>
      </c>
      <c r="S22" s="19">
        <v>0</v>
      </c>
      <c r="T22" s="19">
        <v>0</v>
      </c>
      <c r="U22" s="9">
        <f t="shared" si="0"/>
        <v>3600</v>
      </c>
      <c r="V22" s="19">
        <v>1</v>
      </c>
      <c r="W22" s="19">
        <v>0</v>
      </c>
      <c r="X22" s="10">
        <v>1</v>
      </c>
      <c r="Y22" s="9">
        <v>18</v>
      </c>
      <c r="Z22" s="9">
        <v>13</v>
      </c>
      <c r="AA22" s="10" t="s">
        <v>157</v>
      </c>
    </row>
    <row r="23" spans="1:27" s="10" customFormat="1" ht="15" customHeight="1" x14ac:dyDescent="0.15">
      <c r="A23" s="12">
        <v>10005</v>
      </c>
      <c r="B23" s="10" t="s">
        <v>112</v>
      </c>
      <c r="C23" s="10">
        <v>9</v>
      </c>
      <c r="D23" s="10">
        <f t="shared" si="5"/>
        <v>0</v>
      </c>
      <c r="E23" s="19">
        <v>0</v>
      </c>
      <c r="F23" s="19">
        <v>0</v>
      </c>
      <c r="G23" s="19">
        <v>0</v>
      </c>
      <c r="H23" s="19">
        <v>0</v>
      </c>
      <c r="I23" s="10">
        <v>0</v>
      </c>
      <c r="J23" s="9">
        <f t="shared" si="6"/>
        <v>0</v>
      </c>
      <c r="K23" s="19">
        <v>0</v>
      </c>
      <c r="L23" s="19">
        <v>0</v>
      </c>
      <c r="M23" s="19">
        <v>0</v>
      </c>
      <c r="N23" s="19">
        <v>0</v>
      </c>
      <c r="O23" s="19">
        <v>0</v>
      </c>
      <c r="P23" s="19">
        <v>0</v>
      </c>
      <c r="Q23" s="19">
        <v>0</v>
      </c>
      <c r="R23" s="10">
        <f t="shared" si="7"/>
        <v>0</v>
      </c>
      <c r="S23" s="19">
        <v>0</v>
      </c>
      <c r="T23" s="19">
        <v>0</v>
      </c>
      <c r="U23" s="9">
        <f t="shared" si="0"/>
        <v>3600</v>
      </c>
      <c r="V23" s="19">
        <v>1</v>
      </c>
      <c r="W23" s="19">
        <v>0</v>
      </c>
      <c r="X23" s="10">
        <v>1</v>
      </c>
      <c r="Y23" s="9">
        <v>8</v>
      </c>
      <c r="Z23" s="9">
        <v>13</v>
      </c>
      <c r="AA23" s="10" t="s">
        <v>158</v>
      </c>
    </row>
    <row r="24" spans="1:27" s="10" customFormat="1" ht="15" customHeight="1" x14ac:dyDescent="0.15">
      <c r="A24" s="12">
        <v>10006</v>
      </c>
      <c r="B24" s="10" t="s">
        <v>113</v>
      </c>
      <c r="C24" s="10">
        <v>7</v>
      </c>
      <c r="D24" s="10">
        <f t="shared" si="5"/>
        <v>0</v>
      </c>
      <c r="E24" s="19">
        <v>0</v>
      </c>
      <c r="F24" s="19">
        <v>0</v>
      </c>
      <c r="G24" s="19">
        <v>0</v>
      </c>
      <c r="H24" s="19">
        <v>0</v>
      </c>
      <c r="I24" s="10">
        <v>1</v>
      </c>
      <c r="J24" s="9">
        <f t="shared" si="6"/>
        <v>0</v>
      </c>
      <c r="K24" s="19">
        <v>0</v>
      </c>
      <c r="L24" s="19">
        <v>0</v>
      </c>
      <c r="M24" s="19">
        <v>0</v>
      </c>
      <c r="N24" s="19">
        <v>0</v>
      </c>
      <c r="O24" s="19">
        <v>0</v>
      </c>
      <c r="P24" s="19">
        <v>0</v>
      </c>
      <c r="Q24" s="19">
        <v>0</v>
      </c>
      <c r="R24" s="10">
        <f t="shared" si="7"/>
        <v>0</v>
      </c>
      <c r="S24" s="19">
        <v>0</v>
      </c>
      <c r="T24" s="19">
        <v>0</v>
      </c>
      <c r="U24" s="9">
        <f t="shared" si="0"/>
        <v>3600</v>
      </c>
      <c r="V24" s="19">
        <v>1</v>
      </c>
      <c r="W24" s="19">
        <v>0</v>
      </c>
      <c r="X24" s="10">
        <v>1</v>
      </c>
      <c r="Y24" s="9">
        <v>12</v>
      </c>
      <c r="Z24" s="9">
        <v>13</v>
      </c>
      <c r="AA24" s="10" t="s">
        <v>149</v>
      </c>
    </row>
    <row r="25" spans="1:27" s="10" customFormat="1" ht="15" customHeight="1" x14ac:dyDescent="0.15">
      <c r="A25" s="12">
        <v>10007</v>
      </c>
      <c r="B25" s="10" t="s">
        <v>114</v>
      </c>
      <c r="C25" s="9">
        <v>7</v>
      </c>
      <c r="D25" s="10">
        <v>1</v>
      </c>
      <c r="E25" s="19">
        <v>1</v>
      </c>
      <c r="F25" s="19">
        <v>0</v>
      </c>
      <c r="G25" s="19">
        <v>0</v>
      </c>
      <c r="H25" s="19">
        <v>0</v>
      </c>
      <c r="I25" s="10">
        <v>0</v>
      </c>
      <c r="J25" s="9">
        <v>0</v>
      </c>
      <c r="K25" s="19">
        <v>0</v>
      </c>
      <c r="L25" s="19">
        <v>0</v>
      </c>
      <c r="M25" s="19">
        <v>0</v>
      </c>
      <c r="N25" s="19">
        <v>0</v>
      </c>
      <c r="O25" s="19">
        <v>0</v>
      </c>
      <c r="P25" s="19">
        <v>0</v>
      </c>
      <c r="Q25" s="19">
        <v>0</v>
      </c>
      <c r="R25" s="10">
        <v>0</v>
      </c>
      <c r="S25" s="19">
        <v>0</v>
      </c>
      <c r="T25" s="19">
        <v>0</v>
      </c>
      <c r="U25" s="9">
        <v>0</v>
      </c>
      <c r="V25" s="19">
        <v>0</v>
      </c>
      <c r="W25" s="19">
        <v>0</v>
      </c>
      <c r="X25" s="9">
        <v>1</v>
      </c>
      <c r="Y25" s="9">
        <v>23</v>
      </c>
      <c r="Z25" s="9">
        <v>13</v>
      </c>
      <c r="AA25" s="10" t="s">
        <v>80</v>
      </c>
    </row>
    <row r="26" spans="1:27" s="10" customFormat="1" ht="15" customHeight="1" x14ac:dyDescent="0.15">
      <c r="A26" s="12">
        <v>10008</v>
      </c>
      <c r="B26" s="10" t="s">
        <v>115</v>
      </c>
      <c r="C26" s="9">
        <v>7</v>
      </c>
      <c r="D26" s="10">
        <v>1</v>
      </c>
      <c r="E26" s="19">
        <v>1</v>
      </c>
      <c r="F26" s="19">
        <v>0</v>
      </c>
      <c r="G26" s="19">
        <v>0</v>
      </c>
      <c r="H26" s="19">
        <v>0</v>
      </c>
      <c r="I26" s="10">
        <v>0</v>
      </c>
      <c r="J26" s="9">
        <v>0</v>
      </c>
      <c r="K26" s="19">
        <v>0</v>
      </c>
      <c r="L26" s="19">
        <v>0</v>
      </c>
      <c r="M26" s="19">
        <v>0</v>
      </c>
      <c r="N26" s="19">
        <v>0</v>
      </c>
      <c r="O26" s="19">
        <v>0</v>
      </c>
      <c r="P26" s="19">
        <v>0</v>
      </c>
      <c r="Q26" s="19">
        <v>0</v>
      </c>
      <c r="R26" s="10">
        <v>0</v>
      </c>
      <c r="S26" s="19">
        <v>0</v>
      </c>
      <c r="T26" s="19">
        <v>0</v>
      </c>
      <c r="U26" s="9">
        <v>0</v>
      </c>
      <c r="V26" s="19">
        <v>0</v>
      </c>
      <c r="W26" s="19">
        <v>0</v>
      </c>
      <c r="X26" s="9">
        <v>1</v>
      </c>
      <c r="Y26" s="9">
        <v>23</v>
      </c>
      <c r="Z26" s="9">
        <v>13</v>
      </c>
      <c r="AA26" s="10" t="s">
        <v>68</v>
      </c>
    </row>
    <row r="27" spans="1:27" s="10" customFormat="1" ht="15" customHeight="1" x14ac:dyDescent="0.15">
      <c r="A27" s="12">
        <v>10009</v>
      </c>
      <c r="B27" s="10" t="s">
        <v>116</v>
      </c>
      <c r="C27" s="9">
        <v>7</v>
      </c>
      <c r="D27" s="10">
        <v>1</v>
      </c>
      <c r="E27" s="19">
        <v>1</v>
      </c>
      <c r="F27" s="19">
        <v>0</v>
      </c>
      <c r="G27" s="19">
        <v>0</v>
      </c>
      <c r="H27" s="19">
        <v>0</v>
      </c>
      <c r="I27" s="10">
        <v>0</v>
      </c>
      <c r="J27" s="9">
        <v>0</v>
      </c>
      <c r="K27" s="19">
        <v>0</v>
      </c>
      <c r="L27" s="19">
        <v>0</v>
      </c>
      <c r="M27" s="19">
        <v>0</v>
      </c>
      <c r="N27" s="19">
        <v>0</v>
      </c>
      <c r="O27" s="19">
        <v>0</v>
      </c>
      <c r="P27" s="19">
        <v>0</v>
      </c>
      <c r="Q27" s="19">
        <v>0</v>
      </c>
      <c r="R27" s="10">
        <v>0</v>
      </c>
      <c r="S27" s="19">
        <v>0</v>
      </c>
      <c r="T27" s="19">
        <v>0</v>
      </c>
      <c r="U27" s="9">
        <v>0</v>
      </c>
      <c r="V27" s="19">
        <v>0</v>
      </c>
      <c r="W27" s="19">
        <v>0</v>
      </c>
      <c r="X27" s="9">
        <v>1</v>
      </c>
      <c r="Y27" s="9">
        <v>23</v>
      </c>
      <c r="Z27" s="9">
        <v>13</v>
      </c>
      <c r="AA27" s="10" t="s">
        <v>80</v>
      </c>
    </row>
    <row r="28" spans="1:27" s="10" customFormat="1" ht="15" customHeight="1" x14ac:dyDescent="0.15">
      <c r="A28" s="12">
        <v>10010</v>
      </c>
      <c r="B28" s="10" t="s">
        <v>115</v>
      </c>
      <c r="C28" s="9">
        <v>7</v>
      </c>
      <c r="D28" s="10">
        <v>1</v>
      </c>
      <c r="E28" s="19">
        <v>1</v>
      </c>
      <c r="F28" s="19">
        <v>0</v>
      </c>
      <c r="G28" s="19">
        <v>0</v>
      </c>
      <c r="H28" s="19">
        <v>0</v>
      </c>
      <c r="I28" s="10">
        <v>0</v>
      </c>
      <c r="J28" s="9">
        <v>0</v>
      </c>
      <c r="K28" s="19">
        <v>0</v>
      </c>
      <c r="L28" s="19">
        <v>0</v>
      </c>
      <c r="M28" s="19">
        <v>0</v>
      </c>
      <c r="N28" s="19">
        <v>0</v>
      </c>
      <c r="O28" s="19">
        <v>0</v>
      </c>
      <c r="P28" s="19">
        <v>0</v>
      </c>
      <c r="Q28" s="19">
        <v>0</v>
      </c>
      <c r="R28" s="10">
        <v>0</v>
      </c>
      <c r="S28" s="19">
        <v>0</v>
      </c>
      <c r="T28" s="19">
        <v>0</v>
      </c>
      <c r="U28" s="9">
        <v>0</v>
      </c>
      <c r="V28" s="19">
        <v>0</v>
      </c>
      <c r="W28" s="19">
        <v>0</v>
      </c>
      <c r="X28" s="9">
        <v>1</v>
      </c>
      <c r="Y28" s="9">
        <v>23</v>
      </c>
      <c r="Z28" s="9">
        <v>13</v>
      </c>
      <c r="AA28" s="10" t="s">
        <v>68</v>
      </c>
    </row>
    <row r="29" spans="1:27" s="10" customFormat="1" ht="15" customHeight="1" x14ac:dyDescent="0.15">
      <c r="A29" s="12">
        <v>10018</v>
      </c>
      <c r="B29" s="10" t="s">
        <v>79</v>
      </c>
      <c r="C29" s="10">
        <v>10</v>
      </c>
      <c r="D29" s="10">
        <f t="shared" si="5"/>
        <v>2</v>
      </c>
      <c r="E29" s="19">
        <v>0</v>
      </c>
      <c r="F29" s="19">
        <v>1</v>
      </c>
      <c r="G29" s="19">
        <v>0</v>
      </c>
      <c r="H29" s="19">
        <v>0</v>
      </c>
      <c r="I29" s="10">
        <v>0</v>
      </c>
      <c r="J29" s="9">
        <f>K29*2+L29*4+M29*8+N29*16+O29*32+P29*64+Q29</f>
        <v>0</v>
      </c>
      <c r="K29" s="19">
        <v>0</v>
      </c>
      <c r="L29" s="19">
        <v>0</v>
      </c>
      <c r="M29" s="19">
        <v>0</v>
      </c>
      <c r="N29" s="19">
        <v>0</v>
      </c>
      <c r="O29" s="19">
        <v>0</v>
      </c>
      <c r="P29" s="19">
        <v>0</v>
      </c>
      <c r="Q29" s="19">
        <v>0</v>
      </c>
      <c r="R29" s="10">
        <f>IF(E29=1,0,S29*3600+T29*60)</f>
        <v>0</v>
      </c>
      <c r="S29" s="19">
        <v>0</v>
      </c>
      <c r="T29" s="19">
        <v>0</v>
      </c>
      <c r="U29" s="9">
        <f>V29*3600+W29*60</f>
        <v>0</v>
      </c>
      <c r="V29" s="19">
        <v>0</v>
      </c>
      <c r="W29" s="19">
        <v>0</v>
      </c>
      <c r="X29" s="10">
        <v>0</v>
      </c>
      <c r="Y29" s="9">
        <v>19</v>
      </c>
      <c r="Z29" s="9">
        <v>13</v>
      </c>
      <c r="AA29" s="10" t="s">
        <v>83</v>
      </c>
    </row>
    <row r="30" spans="1:27" s="10" customFormat="1" ht="15" customHeight="1" x14ac:dyDescent="0.15">
      <c r="A30" s="10">
        <v>10020</v>
      </c>
      <c r="B30" s="10" t="s">
        <v>69</v>
      </c>
      <c r="C30" s="9">
        <v>7</v>
      </c>
      <c r="D30" s="10">
        <v>1</v>
      </c>
      <c r="E30" s="19">
        <v>1</v>
      </c>
      <c r="F30" s="19">
        <v>0</v>
      </c>
      <c r="G30" s="19">
        <v>0</v>
      </c>
      <c r="H30" s="19">
        <v>0</v>
      </c>
      <c r="I30" s="10">
        <v>0</v>
      </c>
      <c r="J30" s="9">
        <v>0</v>
      </c>
      <c r="K30" s="19">
        <v>0</v>
      </c>
      <c r="L30" s="19">
        <v>0</v>
      </c>
      <c r="M30" s="19">
        <v>0</v>
      </c>
      <c r="N30" s="19">
        <v>0</v>
      </c>
      <c r="O30" s="19">
        <v>0</v>
      </c>
      <c r="P30" s="19">
        <v>0</v>
      </c>
      <c r="Q30" s="19">
        <v>0</v>
      </c>
      <c r="R30" s="10">
        <v>0</v>
      </c>
      <c r="S30" s="19">
        <v>0</v>
      </c>
      <c r="T30" s="19">
        <v>0</v>
      </c>
      <c r="U30" s="9">
        <v>0</v>
      </c>
      <c r="V30" s="19">
        <v>0</v>
      </c>
      <c r="W30" s="19">
        <v>0</v>
      </c>
      <c r="X30" s="9">
        <v>1</v>
      </c>
      <c r="Y30" s="9">
        <v>33</v>
      </c>
      <c r="Z30" s="9">
        <v>13</v>
      </c>
      <c r="AA30" s="10" t="s">
        <v>159</v>
      </c>
    </row>
    <row r="31" spans="1:27" s="10" customFormat="1" ht="15" customHeight="1" x14ac:dyDescent="0.15">
      <c r="A31" s="10">
        <v>10022</v>
      </c>
      <c r="B31" s="10" t="s">
        <v>69</v>
      </c>
      <c r="C31" s="9">
        <v>7</v>
      </c>
      <c r="D31" s="10">
        <v>1</v>
      </c>
      <c r="E31" s="19">
        <v>1</v>
      </c>
      <c r="F31" s="19">
        <v>0</v>
      </c>
      <c r="G31" s="19">
        <v>0</v>
      </c>
      <c r="H31" s="19">
        <v>0</v>
      </c>
      <c r="I31" s="10">
        <v>0</v>
      </c>
      <c r="J31" s="9">
        <v>0</v>
      </c>
      <c r="K31" s="19">
        <v>0</v>
      </c>
      <c r="L31" s="19">
        <v>0</v>
      </c>
      <c r="M31" s="19">
        <v>0</v>
      </c>
      <c r="N31" s="19">
        <v>0</v>
      </c>
      <c r="O31" s="19">
        <v>0</v>
      </c>
      <c r="P31" s="19">
        <v>0</v>
      </c>
      <c r="Q31" s="19">
        <v>0</v>
      </c>
      <c r="R31" s="10">
        <v>0</v>
      </c>
      <c r="S31" s="19">
        <v>0</v>
      </c>
      <c r="T31" s="19">
        <v>0</v>
      </c>
      <c r="U31" s="9">
        <v>0</v>
      </c>
      <c r="V31" s="19">
        <v>0</v>
      </c>
      <c r="W31" s="19">
        <v>0</v>
      </c>
      <c r="X31" s="9">
        <v>1</v>
      </c>
      <c r="Y31" s="9">
        <v>33</v>
      </c>
      <c r="Z31" s="9">
        <v>13</v>
      </c>
      <c r="AA31" s="10" t="s">
        <v>159</v>
      </c>
    </row>
    <row r="32" spans="1:27" s="10" customFormat="1" ht="15" customHeight="1" x14ac:dyDescent="0.15">
      <c r="A32" s="12">
        <v>10023</v>
      </c>
      <c r="B32" s="10" t="s">
        <v>96</v>
      </c>
      <c r="C32" s="10">
        <v>10</v>
      </c>
      <c r="D32" s="10">
        <f t="shared" ref="D30:D45" si="8">E32+F32*2+G32*4+H32*8</f>
        <v>2</v>
      </c>
      <c r="E32" s="19">
        <v>0</v>
      </c>
      <c r="F32" s="19">
        <v>1</v>
      </c>
      <c r="G32" s="19">
        <v>0</v>
      </c>
      <c r="H32" s="19">
        <v>0</v>
      </c>
      <c r="I32" s="10">
        <v>0</v>
      </c>
      <c r="J32" s="9">
        <f>K32*2+L32*4+M32*8+N32*16+O32*32+P32*64+Q32</f>
        <v>0</v>
      </c>
      <c r="K32" s="19">
        <v>0</v>
      </c>
      <c r="L32" s="19">
        <v>0</v>
      </c>
      <c r="M32" s="19">
        <v>0</v>
      </c>
      <c r="N32" s="19">
        <v>0</v>
      </c>
      <c r="O32" s="19">
        <v>0</v>
      </c>
      <c r="P32" s="19">
        <v>0</v>
      </c>
      <c r="Q32" s="19">
        <v>0</v>
      </c>
      <c r="R32" s="10">
        <f>IF(E32=1,0,S32*3600+T32*60)</f>
        <v>0</v>
      </c>
      <c r="S32" s="19">
        <v>0</v>
      </c>
      <c r="T32" s="19">
        <v>0</v>
      </c>
      <c r="U32" s="9">
        <f>V32*3600+W32*60</f>
        <v>0</v>
      </c>
      <c r="V32" s="19">
        <v>0</v>
      </c>
      <c r="W32" s="19">
        <v>0</v>
      </c>
      <c r="X32" s="10">
        <v>0</v>
      </c>
      <c r="Y32" s="9">
        <v>19</v>
      </c>
      <c r="Z32" s="9">
        <v>13</v>
      </c>
      <c r="AA32" s="10" t="s">
        <v>97</v>
      </c>
    </row>
    <row r="33" spans="1:27" s="10" customFormat="1" ht="15" customHeight="1" x14ac:dyDescent="0.15">
      <c r="A33" s="10">
        <v>20020</v>
      </c>
      <c r="B33" s="10" t="s">
        <v>70</v>
      </c>
      <c r="C33" s="9">
        <v>7</v>
      </c>
      <c r="D33" s="10">
        <v>1</v>
      </c>
      <c r="E33" s="19">
        <v>1</v>
      </c>
      <c r="F33" s="19">
        <v>0</v>
      </c>
      <c r="G33" s="19">
        <v>0</v>
      </c>
      <c r="H33" s="19">
        <v>0</v>
      </c>
      <c r="I33" s="10">
        <v>0</v>
      </c>
      <c r="J33" s="9">
        <v>0</v>
      </c>
      <c r="K33" s="19">
        <v>0</v>
      </c>
      <c r="L33" s="19">
        <v>0</v>
      </c>
      <c r="M33" s="19">
        <v>0</v>
      </c>
      <c r="N33" s="19">
        <v>0</v>
      </c>
      <c r="O33" s="19">
        <v>0</v>
      </c>
      <c r="P33" s="19">
        <v>0</v>
      </c>
      <c r="Q33" s="19">
        <v>0</v>
      </c>
      <c r="R33" s="10">
        <v>0</v>
      </c>
      <c r="S33" s="19">
        <v>0</v>
      </c>
      <c r="T33" s="19">
        <v>0</v>
      </c>
      <c r="U33" s="9">
        <v>0</v>
      </c>
      <c r="V33" s="19">
        <v>0</v>
      </c>
      <c r="W33" s="19">
        <v>0</v>
      </c>
      <c r="X33" s="9">
        <v>1</v>
      </c>
      <c r="Y33" s="9">
        <v>33</v>
      </c>
      <c r="Z33" s="9">
        <v>13</v>
      </c>
      <c r="AA33" s="10" t="s">
        <v>160</v>
      </c>
    </row>
    <row r="34" spans="1:27" s="10" customFormat="1" ht="15" customHeight="1" x14ac:dyDescent="0.15">
      <c r="A34" s="10">
        <v>20021</v>
      </c>
      <c r="B34" s="10" t="s">
        <v>70</v>
      </c>
      <c r="C34" s="9">
        <v>7</v>
      </c>
      <c r="D34" s="10">
        <v>1</v>
      </c>
      <c r="E34" s="19">
        <v>1</v>
      </c>
      <c r="F34" s="19">
        <v>0</v>
      </c>
      <c r="G34" s="19">
        <v>0</v>
      </c>
      <c r="H34" s="19">
        <v>0</v>
      </c>
      <c r="I34" s="10">
        <v>0</v>
      </c>
      <c r="J34" s="9">
        <v>0</v>
      </c>
      <c r="K34" s="19">
        <v>0</v>
      </c>
      <c r="L34" s="19">
        <v>0</v>
      </c>
      <c r="M34" s="19">
        <v>0</v>
      </c>
      <c r="N34" s="19">
        <v>0</v>
      </c>
      <c r="O34" s="19">
        <v>0</v>
      </c>
      <c r="P34" s="19">
        <v>0</v>
      </c>
      <c r="Q34" s="19">
        <v>0</v>
      </c>
      <c r="R34" s="10">
        <v>0</v>
      </c>
      <c r="S34" s="19">
        <v>0</v>
      </c>
      <c r="T34" s="19">
        <v>0</v>
      </c>
      <c r="U34" s="9">
        <v>0</v>
      </c>
      <c r="V34" s="19">
        <v>0</v>
      </c>
      <c r="W34" s="19">
        <v>0</v>
      </c>
      <c r="X34" s="9">
        <v>1</v>
      </c>
      <c r="Y34" s="9">
        <v>33</v>
      </c>
      <c r="Z34" s="9">
        <v>13</v>
      </c>
      <c r="AA34" s="10" t="s">
        <v>161</v>
      </c>
    </row>
    <row r="35" spans="1:27" s="10" customFormat="1" ht="14.25" customHeight="1" x14ac:dyDescent="0.15">
      <c r="A35" s="10">
        <v>20022</v>
      </c>
      <c r="B35" s="10" t="s">
        <v>70</v>
      </c>
      <c r="C35" s="9">
        <v>7</v>
      </c>
      <c r="D35" s="10">
        <v>1</v>
      </c>
      <c r="E35" s="19">
        <v>1</v>
      </c>
      <c r="F35" s="19">
        <v>0</v>
      </c>
      <c r="G35" s="19">
        <v>0</v>
      </c>
      <c r="H35" s="19">
        <v>0</v>
      </c>
      <c r="I35" s="10">
        <v>0</v>
      </c>
      <c r="J35" s="9">
        <v>0</v>
      </c>
      <c r="K35" s="19">
        <v>0</v>
      </c>
      <c r="L35" s="19">
        <v>0</v>
      </c>
      <c r="M35" s="19">
        <v>0</v>
      </c>
      <c r="N35" s="19">
        <v>0</v>
      </c>
      <c r="O35" s="19">
        <v>0</v>
      </c>
      <c r="P35" s="19">
        <v>0</v>
      </c>
      <c r="Q35" s="19">
        <v>0</v>
      </c>
      <c r="R35" s="10">
        <v>0</v>
      </c>
      <c r="S35" s="19">
        <v>0</v>
      </c>
      <c r="T35" s="19">
        <v>0</v>
      </c>
      <c r="U35" s="9">
        <v>0</v>
      </c>
      <c r="V35" s="19">
        <v>0</v>
      </c>
      <c r="W35" s="19">
        <v>0</v>
      </c>
      <c r="X35" s="9">
        <v>1</v>
      </c>
      <c r="Y35" s="9">
        <v>33</v>
      </c>
      <c r="Z35" s="9">
        <v>13</v>
      </c>
      <c r="AA35" s="10" t="s">
        <v>162</v>
      </c>
    </row>
    <row r="36" spans="1:27" s="10" customFormat="1" ht="15" customHeight="1" x14ac:dyDescent="0.15">
      <c r="A36" s="10">
        <v>20026</v>
      </c>
      <c r="B36" s="10" t="s">
        <v>70</v>
      </c>
      <c r="C36" s="9">
        <v>7</v>
      </c>
      <c r="D36" s="10">
        <v>1</v>
      </c>
      <c r="E36" s="19">
        <v>1</v>
      </c>
      <c r="F36" s="19">
        <v>0</v>
      </c>
      <c r="G36" s="19">
        <v>0</v>
      </c>
      <c r="H36" s="19">
        <v>0</v>
      </c>
      <c r="I36" s="10">
        <v>0</v>
      </c>
      <c r="J36" s="9">
        <v>0</v>
      </c>
      <c r="K36" s="19">
        <v>0</v>
      </c>
      <c r="L36" s="19">
        <v>0</v>
      </c>
      <c r="M36" s="19">
        <v>0</v>
      </c>
      <c r="N36" s="19">
        <v>0</v>
      </c>
      <c r="O36" s="19">
        <v>0</v>
      </c>
      <c r="P36" s="19">
        <v>0</v>
      </c>
      <c r="Q36" s="19">
        <v>0</v>
      </c>
      <c r="R36" s="10">
        <v>0</v>
      </c>
      <c r="S36" s="19">
        <v>0</v>
      </c>
      <c r="T36" s="19">
        <v>0</v>
      </c>
      <c r="U36" s="9">
        <v>0</v>
      </c>
      <c r="V36" s="19">
        <v>0</v>
      </c>
      <c r="W36" s="19">
        <v>0</v>
      </c>
      <c r="X36" s="9">
        <v>1</v>
      </c>
      <c r="Y36" s="9">
        <v>33</v>
      </c>
      <c r="Z36" s="9">
        <v>13</v>
      </c>
      <c r="AA36" s="10" t="s">
        <v>160</v>
      </c>
    </row>
    <row r="37" spans="1:27" s="10" customFormat="1" ht="15" customHeight="1" x14ac:dyDescent="0.15">
      <c r="A37" s="10">
        <v>20027</v>
      </c>
      <c r="B37" s="10" t="s">
        <v>70</v>
      </c>
      <c r="C37" s="9">
        <v>7</v>
      </c>
      <c r="D37" s="10">
        <v>1</v>
      </c>
      <c r="E37" s="19">
        <v>1</v>
      </c>
      <c r="F37" s="19">
        <v>0</v>
      </c>
      <c r="G37" s="19">
        <v>0</v>
      </c>
      <c r="H37" s="19">
        <v>0</v>
      </c>
      <c r="I37" s="10">
        <v>0</v>
      </c>
      <c r="J37" s="9">
        <v>0</v>
      </c>
      <c r="K37" s="19">
        <v>0</v>
      </c>
      <c r="L37" s="19">
        <v>0</v>
      </c>
      <c r="M37" s="19">
        <v>0</v>
      </c>
      <c r="N37" s="19">
        <v>0</v>
      </c>
      <c r="O37" s="19">
        <v>0</v>
      </c>
      <c r="P37" s="19">
        <v>0</v>
      </c>
      <c r="Q37" s="19">
        <v>0</v>
      </c>
      <c r="R37" s="10">
        <v>0</v>
      </c>
      <c r="S37" s="19">
        <v>0</v>
      </c>
      <c r="T37" s="19">
        <v>0</v>
      </c>
      <c r="U37" s="9">
        <v>0</v>
      </c>
      <c r="V37" s="19">
        <v>0</v>
      </c>
      <c r="W37" s="19">
        <v>0</v>
      </c>
      <c r="X37" s="9">
        <v>1</v>
      </c>
      <c r="Y37" s="9">
        <v>33</v>
      </c>
      <c r="Z37" s="9">
        <v>13</v>
      </c>
      <c r="AA37" s="10" t="s">
        <v>161</v>
      </c>
    </row>
    <row r="38" spans="1:27" s="10" customFormat="1" ht="15" customHeight="1" x14ac:dyDescent="0.15">
      <c r="A38" s="10">
        <v>20028</v>
      </c>
      <c r="B38" s="10" t="s">
        <v>70</v>
      </c>
      <c r="C38" s="9">
        <v>7</v>
      </c>
      <c r="D38" s="10">
        <v>1</v>
      </c>
      <c r="E38" s="19">
        <v>1</v>
      </c>
      <c r="F38" s="19">
        <v>0</v>
      </c>
      <c r="G38" s="19">
        <v>0</v>
      </c>
      <c r="H38" s="19">
        <v>0</v>
      </c>
      <c r="I38" s="10">
        <v>0</v>
      </c>
      <c r="J38" s="9">
        <v>0</v>
      </c>
      <c r="K38" s="19">
        <v>0</v>
      </c>
      <c r="L38" s="19">
        <v>0</v>
      </c>
      <c r="M38" s="19">
        <v>0</v>
      </c>
      <c r="N38" s="19">
        <v>0</v>
      </c>
      <c r="O38" s="19">
        <v>0</v>
      </c>
      <c r="P38" s="19">
        <v>0</v>
      </c>
      <c r="Q38" s="19">
        <v>0</v>
      </c>
      <c r="R38" s="10">
        <v>0</v>
      </c>
      <c r="S38" s="19">
        <v>0</v>
      </c>
      <c r="T38" s="19">
        <v>0</v>
      </c>
      <c r="U38" s="9">
        <v>0</v>
      </c>
      <c r="V38" s="19">
        <v>0</v>
      </c>
      <c r="W38" s="19">
        <v>0</v>
      </c>
      <c r="X38" s="9">
        <v>1</v>
      </c>
      <c r="Y38" s="9">
        <v>33</v>
      </c>
      <c r="Z38" s="9">
        <v>13</v>
      </c>
      <c r="AA38" s="10" t="s">
        <v>162</v>
      </c>
    </row>
    <row r="39" spans="1:27" s="9" customFormat="1" ht="15.75" customHeight="1" x14ac:dyDescent="0.15">
      <c r="A39" s="8">
        <v>20030</v>
      </c>
      <c r="B39" s="9" t="s">
        <v>117</v>
      </c>
      <c r="C39" s="9">
        <v>10</v>
      </c>
      <c r="D39" s="10">
        <f t="shared" si="8"/>
        <v>12</v>
      </c>
      <c r="E39" s="19">
        <v>0</v>
      </c>
      <c r="F39" s="19">
        <v>0</v>
      </c>
      <c r="G39" s="19">
        <v>1</v>
      </c>
      <c r="H39" s="19">
        <v>1</v>
      </c>
      <c r="I39" s="10">
        <v>0</v>
      </c>
      <c r="J39" s="9">
        <f t="shared" ref="J31:J44" si="9">K39*2+L39*4+M39*8+N39*16+O39*32+P39*64+Q39</f>
        <v>0</v>
      </c>
      <c r="K39" s="19">
        <v>0</v>
      </c>
      <c r="L39" s="19">
        <v>0</v>
      </c>
      <c r="M39" s="19">
        <v>0</v>
      </c>
      <c r="N39" s="19">
        <v>0</v>
      </c>
      <c r="O39" s="19">
        <v>0</v>
      </c>
      <c r="P39" s="19">
        <v>0</v>
      </c>
      <c r="Q39" s="19">
        <v>0</v>
      </c>
      <c r="R39" s="10">
        <f t="shared" ref="R30:R46" si="10">IF(E39=1,0,S39*3600+T39*60)</f>
        <v>70200</v>
      </c>
      <c r="S39" s="19">
        <v>19</v>
      </c>
      <c r="T39" s="19">
        <v>30</v>
      </c>
      <c r="U39" s="9">
        <f t="shared" ref="U33:U44" si="11">V39*3600+W39*60</f>
        <v>0</v>
      </c>
      <c r="V39" s="19">
        <v>0</v>
      </c>
      <c r="W39" s="19">
        <v>0</v>
      </c>
      <c r="X39" s="9">
        <v>0</v>
      </c>
      <c r="Y39" s="9">
        <v>32</v>
      </c>
      <c r="Z39" s="9">
        <v>13</v>
      </c>
      <c r="AA39" s="9" t="s">
        <v>136</v>
      </c>
    </row>
    <row r="40" spans="1:27" s="9" customFormat="1" ht="15.75" customHeight="1" x14ac:dyDescent="0.15">
      <c r="A40" s="8">
        <v>20031</v>
      </c>
      <c r="B40" s="9" t="s">
        <v>118</v>
      </c>
      <c r="C40" s="9">
        <v>10</v>
      </c>
      <c r="D40" s="10">
        <f t="shared" si="8"/>
        <v>12</v>
      </c>
      <c r="E40" s="19">
        <v>0</v>
      </c>
      <c r="F40" s="19">
        <v>0</v>
      </c>
      <c r="G40" s="19">
        <v>1</v>
      </c>
      <c r="H40" s="19">
        <v>1</v>
      </c>
      <c r="I40" s="10">
        <v>0</v>
      </c>
      <c r="J40" s="9">
        <f t="shared" si="9"/>
        <v>0</v>
      </c>
      <c r="K40" s="19">
        <v>0</v>
      </c>
      <c r="L40" s="19">
        <v>0</v>
      </c>
      <c r="M40" s="19">
        <v>0</v>
      </c>
      <c r="N40" s="19">
        <v>0</v>
      </c>
      <c r="O40" s="19">
        <v>0</v>
      </c>
      <c r="P40" s="19">
        <v>0</v>
      </c>
      <c r="Q40" s="19">
        <v>0</v>
      </c>
      <c r="R40" s="10">
        <f t="shared" si="10"/>
        <v>72000</v>
      </c>
      <c r="S40" s="19">
        <v>20</v>
      </c>
      <c r="T40" s="19">
        <v>0</v>
      </c>
      <c r="U40" s="9">
        <f t="shared" si="11"/>
        <v>0</v>
      </c>
      <c r="V40" s="19">
        <v>0</v>
      </c>
      <c r="W40" s="19">
        <v>0</v>
      </c>
      <c r="X40" s="9">
        <v>0</v>
      </c>
      <c r="Y40" s="9">
        <v>32</v>
      </c>
      <c r="Z40" s="9">
        <v>13</v>
      </c>
      <c r="AA40" s="9" t="s">
        <v>137</v>
      </c>
    </row>
    <row r="41" spans="1:27" s="9" customFormat="1" ht="15.75" customHeight="1" x14ac:dyDescent="0.15">
      <c r="A41" s="8">
        <v>20032</v>
      </c>
      <c r="B41" s="9" t="s">
        <v>117</v>
      </c>
      <c r="C41" s="9">
        <v>10</v>
      </c>
      <c r="D41" s="10">
        <f t="shared" si="8"/>
        <v>12</v>
      </c>
      <c r="E41" s="19">
        <v>0</v>
      </c>
      <c r="F41" s="19">
        <v>0</v>
      </c>
      <c r="G41" s="19">
        <v>1</v>
      </c>
      <c r="H41" s="19">
        <v>1</v>
      </c>
      <c r="I41" s="10">
        <v>0</v>
      </c>
      <c r="J41" s="9">
        <f t="shared" si="9"/>
        <v>0</v>
      </c>
      <c r="K41" s="19">
        <v>0</v>
      </c>
      <c r="L41" s="19">
        <v>0</v>
      </c>
      <c r="M41" s="19">
        <v>0</v>
      </c>
      <c r="N41" s="19">
        <v>0</v>
      </c>
      <c r="O41" s="19">
        <v>0</v>
      </c>
      <c r="P41" s="19">
        <v>0</v>
      </c>
      <c r="Q41" s="19">
        <v>0</v>
      </c>
      <c r="R41" s="10">
        <f t="shared" si="10"/>
        <v>73200</v>
      </c>
      <c r="S41" s="19">
        <v>20</v>
      </c>
      <c r="T41" s="19">
        <v>20</v>
      </c>
      <c r="U41" s="9">
        <f t="shared" si="11"/>
        <v>0</v>
      </c>
      <c r="V41" s="19">
        <v>0</v>
      </c>
      <c r="W41" s="19">
        <v>0</v>
      </c>
      <c r="X41" s="9">
        <v>0</v>
      </c>
      <c r="Y41" s="9">
        <v>32</v>
      </c>
      <c r="Z41" s="9">
        <v>13</v>
      </c>
      <c r="AA41" s="9" t="s">
        <v>138</v>
      </c>
    </row>
    <row r="42" spans="1:27" s="9" customFormat="1" ht="15.75" customHeight="1" x14ac:dyDescent="0.15">
      <c r="A42" s="8">
        <v>20033</v>
      </c>
      <c r="B42" s="9" t="s">
        <v>117</v>
      </c>
      <c r="C42" s="9">
        <v>10</v>
      </c>
      <c r="D42" s="10">
        <f t="shared" si="8"/>
        <v>12</v>
      </c>
      <c r="E42" s="19">
        <v>0</v>
      </c>
      <c r="F42" s="19">
        <v>0</v>
      </c>
      <c r="G42" s="19">
        <v>1</v>
      </c>
      <c r="H42" s="19">
        <v>1</v>
      </c>
      <c r="I42" s="10">
        <v>0</v>
      </c>
      <c r="J42" s="9">
        <f t="shared" si="9"/>
        <v>0</v>
      </c>
      <c r="K42" s="19">
        <v>0</v>
      </c>
      <c r="L42" s="19">
        <v>0</v>
      </c>
      <c r="M42" s="19">
        <v>0</v>
      </c>
      <c r="N42" s="19">
        <v>0</v>
      </c>
      <c r="O42" s="19">
        <v>0</v>
      </c>
      <c r="P42" s="19">
        <v>0</v>
      </c>
      <c r="Q42" s="19">
        <v>0</v>
      </c>
      <c r="R42" s="10">
        <f t="shared" si="10"/>
        <v>70200</v>
      </c>
      <c r="S42" s="19">
        <v>19</v>
      </c>
      <c r="T42" s="19">
        <v>30</v>
      </c>
      <c r="U42" s="9">
        <f t="shared" si="11"/>
        <v>0</v>
      </c>
      <c r="V42" s="19">
        <v>0</v>
      </c>
      <c r="W42" s="19">
        <v>0</v>
      </c>
      <c r="X42" s="9">
        <v>0</v>
      </c>
      <c r="Y42" s="9">
        <v>32</v>
      </c>
      <c r="Z42" s="9">
        <v>13</v>
      </c>
      <c r="AA42" s="9" t="s">
        <v>141</v>
      </c>
    </row>
    <row r="43" spans="1:27" s="10" customFormat="1" ht="15" customHeight="1" x14ac:dyDescent="0.15">
      <c r="A43" s="8">
        <v>20034</v>
      </c>
      <c r="B43" s="9" t="s">
        <v>117</v>
      </c>
      <c r="C43" s="9">
        <v>10</v>
      </c>
      <c r="D43" s="10">
        <f t="shared" si="8"/>
        <v>12</v>
      </c>
      <c r="E43" s="19">
        <v>0</v>
      </c>
      <c r="F43" s="19">
        <v>0</v>
      </c>
      <c r="G43" s="19">
        <v>1</v>
      </c>
      <c r="H43" s="19">
        <v>1</v>
      </c>
      <c r="I43" s="10">
        <v>0</v>
      </c>
      <c r="J43" s="9">
        <f t="shared" si="9"/>
        <v>0</v>
      </c>
      <c r="K43" s="19">
        <v>0</v>
      </c>
      <c r="L43" s="19">
        <v>0</v>
      </c>
      <c r="M43" s="19">
        <v>0</v>
      </c>
      <c r="N43" s="19">
        <v>0</v>
      </c>
      <c r="O43" s="19">
        <v>0</v>
      </c>
      <c r="P43" s="19">
        <v>0</v>
      </c>
      <c r="Q43" s="19">
        <v>0</v>
      </c>
      <c r="R43" s="10">
        <f t="shared" si="10"/>
        <v>72000</v>
      </c>
      <c r="S43" s="19">
        <v>20</v>
      </c>
      <c r="T43" s="19">
        <v>0</v>
      </c>
      <c r="U43" s="9">
        <f t="shared" si="11"/>
        <v>0</v>
      </c>
      <c r="V43" s="19">
        <v>0</v>
      </c>
      <c r="W43" s="19">
        <v>0</v>
      </c>
      <c r="X43" s="9">
        <v>0</v>
      </c>
      <c r="Y43" s="9">
        <v>32</v>
      </c>
      <c r="Z43" s="9">
        <v>13</v>
      </c>
      <c r="AA43" s="9" t="s">
        <v>142</v>
      </c>
    </row>
    <row r="44" spans="1:27" s="10" customFormat="1" ht="15" customHeight="1" x14ac:dyDescent="0.15">
      <c r="A44" s="8">
        <v>20035</v>
      </c>
      <c r="B44" s="9" t="s">
        <v>117</v>
      </c>
      <c r="C44" s="9">
        <v>10</v>
      </c>
      <c r="D44" s="10">
        <f t="shared" si="8"/>
        <v>12</v>
      </c>
      <c r="E44" s="19">
        <v>0</v>
      </c>
      <c r="F44" s="19">
        <v>0</v>
      </c>
      <c r="G44" s="19">
        <v>1</v>
      </c>
      <c r="H44" s="19">
        <v>1</v>
      </c>
      <c r="I44" s="10">
        <v>0</v>
      </c>
      <c r="J44" s="9">
        <f t="shared" si="9"/>
        <v>0</v>
      </c>
      <c r="K44" s="19">
        <v>0</v>
      </c>
      <c r="L44" s="19">
        <v>0</v>
      </c>
      <c r="M44" s="19">
        <v>0</v>
      </c>
      <c r="N44" s="19">
        <v>0</v>
      </c>
      <c r="O44" s="19">
        <v>0</v>
      </c>
      <c r="P44" s="19">
        <v>0</v>
      </c>
      <c r="Q44" s="19">
        <v>0</v>
      </c>
      <c r="R44" s="10">
        <f t="shared" si="10"/>
        <v>73200</v>
      </c>
      <c r="S44" s="19">
        <v>20</v>
      </c>
      <c r="T44" s="19">
        <v>20</v>
      </c>
      <c r="U44" s="9">
        <f t="shared" si="11"/>
        <v>0</v>
      </c>
      <c r="V44" s="19">
        <v>0</v>
      </c>
      <c r="W44" s="19">
        <v>0</v>
      </c>
      <c r="X44" s="9">
        <v>0</v>
      </c>
      <c r="Y44" s="9">
        <v>32</v>
      </c>
      <c r="Z44" s="9">
        <v>13</v>
      </c>
      <c r="AA44" s="9" t="s">
        <v>143</v>
      </c>
    </row>
    <row r="45" spans="1:27" s="10" customFormat="1" ht="15" customHeight="1" x14ac:dyDescent="0.15">
      <c r="A45" s="12">
        <v>20040</v>
      </c>
      <c r="B45" s="10" t="s">
        <v>71</v>
      </c>
      <c r="C45" s="10">
        <v>10</v>
      </c>
      <c r="D45" s="10">
        <f t="shared" si="8"/>
        <v>4</v>
      </c>
      <c r="E45" s="19">
        <v>0</v>
      </c>
      <c r="F45" s="19">
        <v>0</v>
      </c>
      <c r="G45" s="19">
        <v>1</v>
      </c>
      <c r="H45" s="19">
        <v>0</v>
      </c>
      <c r="I45" s="10">
        <v>0</v>
      </c>
      <c r="J45" s="9">
        <f t="shared" ref="J45:J61" si="12">K45*2+L45*4+M45*8+N45*16+O45*32+P45*64+Q45</f>
        <v>0</v>
      </c>
      <c r="K45" s="19">
        <v>0</v>
      </c>
      <c r="L45" s="19">
        <v>0</v>
      </c>
      <c r="M45" s="19">
        <v>0</v>
      </c>
      <c r="N45" s="19">
        <v>0</v>
      </c>
      <c r="O45" s="19">
        <v>0</v>
      </c>
      <c r="P45" s="19">
        <v>0</v>
      </c>
      <c r="Q45" s="19">
        <v>0</v>
      </c>
      <c r="R45" s="10">
        <f t="shared" si="10"/>
        <v>72000</v>
      </c>
      <c r="S45" s="19">
        <v>20</v>
      </c>
      <c r="T45" s="19">
        <v>0</v>
      </c>
      <c r="U45" s="9">
        <f t="shared" ref="U45:U61" si="13">V45*3600+W45*60</f>
        <v>14400</v>
      </c>
      <c r="V45" s="19">
        <v>4</v>
      </c>
      <c r="W45" s="19">
        <v>0</v>
      </c>
      <c r="X45" s="10">
        <v>0</v>
      </c>
      <c r="Y45" s="9">
        <v>27</v>
      </c>
      <c r="Z45" s="9">
        <v>13</v>
      </c>
      <c r="AA45" s="10" t="s">
        <v>73</v>
      </c>
    </row>
    <row r="46" spans="1:27" s="10" customFormat="1" ht="15" customHeight="1" x14ac:dyDescent="0.15">
      <c r="A46" s="12">
        <v>20041</v>
      </c>
      <c r="B46" s="10" t="s">
        <v>72</v>
      </c>
      <c r="C46" s="10">
        <v>9</v>
      </c>
      <c r="D46" s="10">
        <f>E46+F46*2+G46*4+H46*8</f>
        <v>0</v>
      </c>
      <c r="E46" s="19">
        <v>0</v>
      </c>
      <c r="F46" s="19">
        <v>0</v>
      </c>
      <c r="G46" s="19">
        <v>0</v>
      </c>
      <c r="H46" s="19">
        <v>0</v>
      </c>
      <c r="I46" s="10">
        <v>0</v>
      </c>
      <c r="J46" s="9">
        <f t="shared" si="12"/>
        <v>0</v>
      </c>
      <c r="K46" s="19">
        <v>0</v>
      </c>
      <c r="L46" s="19">
        <v>0</v>
      </c>
      <c r="M46" s="19">
        <v>0</v>
      </c>
      <c r="N46" s="19">
        <v>0</v>
      </c>
      <c r="O46" s="19">
        <v>0</v>
      </c>
      <c r="P46" s="19">
        <v>0</v>
      </c>
      <c r="Q46" s="19">
        <v>0</v>
      </c>
      <c r="R46" s="10">
        <f t="shared" si="10"/>
        <v>72000</v>
      </c>
      <c r="S46" s="19">
        <v>20</v>
      </c>
      <c r="T46" s="19">
        <v>0</v>
      </c>
      <c r="U46" s="9">
        <f t="shared" si="13"/>
        <v>1800</v>
      </c>
      <c r="V46" s="19">
        <v>0</v>
      </c>
      <c r="W46" s="19">
        <v>30</v>
      </c>
      <c r="X46" s="10">
        <v>1</v>
      </c>
      <c r="Y46" s="9">
        <v>37</v>
      </c>
      <c r="Z46" s="9">
        <v>13</v>
      </c>
      <c r="AA46" s="10" t="s">
        <v>74</v>
      </c>
    </row>
    <row r="47" spans="1:27" s="10" customFormat="1" ht="15" customHeight="1" x14ac:dyDescent="0.15">
      <c r="A47" s="12">
        <v>20042</v>
      </c>
      <c r="B47" s="10" t="s">
        <v>165</v>
      </c>
      <c r="C47" s="10">
        <v>9</v>
      </c>
      <c r="D47" s="10">
        <f>E47+F47*2+G47*4+H47*8</f>
        <v>1</v>
      </c>
      <c r="E47" s="19">
        <v>1</v>
      </c>
      <c r="F47" s="19">
        <v>0</v>
      </c>
      <c r="G47" s="19">
        <v>0</v>
      </c>
      <c r="H47" s="19">
        <v>0</v>
      </c>
      <c r="I47" s="10">
        <v>0</v>
      </c>
      <c r="J47" s="9">
        <f t="shared" si="12"/>
        <v>0</v>
      </c>
      <c r="K47" s="19">
        <v>0</v>
      </c>
      <c r="L47" s="19">
        <v>0</v>
      </c>
      <c r="M47" s="19">
        <v>0</v>
      </c>
      <c r="N47" s="19">
        <v>0</v>
      </c>
      <c r="O47" s="19">
        <v>0</v>
      </c>
      <c r="P47" s="19">
        <v>0</v>
      </c>
      <c r="Q47" s="19">
        <v>0</v>
      </c>
      <c r="R47" s="10">
        <f t="shared" ref="R47:R61" si="14">IF(E47=1,0,S47*3600+T47*60)</f>
        <v>0</v>
      </c>
      <c r="S47" s="19">
        <v>0</v>
      </c>
      <c r="T47" s="19">
        <v>0</v>
      </c>
      <c r="U47" s="9">
        <f t="shared" si="13"/>
        <v>1800</v>
      </c>
      <c r="V47" s="19">
        <v>0</v>
      </c>
      <c r="W47" s="19">
        <v>30</v>
      </c>
      <c r="X47" s="10">
        <v>1</v>
      </c>
      <c r="Y47" s="9">
        <v>44</v>
      </c>
      <c r="Z47" s="9">
        <v>13</v>
      </c>
      <c r="AA47" s="10" t="s">
        <v>163</v>
      </c>
    </row>
    <row r="48" spans="1:27" s="10" customFormat="1" ht="15" customHeight="1" x14ac:dyDescent="0.15">
      <c r="A48" s="12">
        <v>20043</v>
      </c>
      <c r="B48" s="10" t="s">
        <v>93</v>
      </c>
      <c r="C48" s="10">
        <v>10</v>
      </c>
      <c r="D48" s="10">
        <f t="shared" ref="D48" si="15">E48+F48*2+G48*4+H48*8</f>
        <v>2</v>
      </c>
      <c r="E48" s="19">
        <v>0</v>
      </c>
      <c r="F48" s="19">
        <v>1</v>
      </c>
      <c r="G48" s="19">
        <v>0</v>
      </c>
      <c r="H48" s="19">
        <v>0</v>
      </c>
      <c r="I48" s="10">
        <v>0</v>
      </c>
      <c r="J48" s="9">
        <f t="shared" si="12"/>
        <v>0</v>
      </c>
      <c r="K48" s="19">
        <v>0</v>
      </c>
      <c r="L48" s="19">
        <v>0</v>
      </c>
      <c r="M48" s="19">
        <v>0</v>
      </c>
      <c r="N48" s="19">
        <v>0</v>
      </c>
      <c r="O48" s="19">
        <v>0</v>
      </c>
      <c r="P48" s="19">
        <v>0</v>
      </c>
      <c r="Q48" s="19">
        <v>0</v>
      </c>
      <c r="R48" s="10">
        <f>IF(E48=1,0,S48*3600+T48*60)</f>
        <v>77400</v>
      </c>
      <c r="S48" s="19">
        <v>21</v>
      </c>
      <c r="T48" s="19">
        <v>30</v>
      </c>
      <c r="U48" s="9">
        <f>V48*3600+W48*60</f>
        <v>7200</v>
      </c>
      <c r="V48" s="19">
        <v>2</v>
      </c>
      <c r="W48" s="19">
        <v>0</v>
      </c>
      <c r="X48" s="10">
        <v>0</v>
      </c>
      <c r="Y48" s="9">
        <v>43</v>
      </c>
      <c r="Z48" s="9">
        <v>13</v>
      </c>
      <c r="AA48" s="10" t="s">
        <v>164</v>
      </c>
    </row>
    <row r="49" spans="1:27" s="10" customFormat="1" ht="15" customHeight="1" x14ac:dyDescent="0.15">
      <c r="A49" s="12">
        <v>20044</v>
      </c>
      <c r="B49" s="10" t="s">
        <v>94</v>
      </c>
      <c r="C49" s="10">
        <v>10</v>
      </c>
      <c r="D49" s="10">
        <f t="shared" ref="D49" si="16">E49+F49*2+G49*4+H49*8</f>
        <v>2</v>
      </c>
      <c r="E49" s="19">
        <v>0</v>
      </c>
      <c r="F49" s="19">
        <v>1</v>
      </c>
      <c r="G49" s="19">
        <v>0</v>
      </c>
      <c r="H49" s="19">
        <v>0</v>
      </c>
      <c r="I49" s="10">
        <v>0</v>
      </c>
      <c r="J49" s="9">
        <f t="shared" ref="J49" si="17">K49*2+L49*4+M49*8+N49*16+O49*32+P49*64+Q49</f>
        <v>0</v>
      </c>
      <c r="K49" s="19">
        <v>0</v>
      </c>
      <c r="L49" s="19">
        <v>0</v>
      </c>
      <c r="M49" s="19">
        <v>0</v>
      </c>
      <c r="N49" s="19">
        <v>0</v>
      </c>
      <c r="O49" s="19">
        <v>0</v>
      </c>
      <c r="P49" s="19">
        <v>0</v>
      </c>
      <c r="Q49" s="19">
        <v>0</v>
      </c>
      <c r="R49" s="10">
        <f>IF(E49=1,0,S49*3600+T49*60)</f>
        <v>51600</v>
      </c>
      <c r="S49" s="19">
        <v>14</v>
      </c>
      <c r="T49" s="19">
        <v>20</v>
      </c>
      <c r="U49" s="9">
        <f>V49*3600+W49*60</f>
        <v>7200</v>
      </c>
      <c r="V49" s="19">
        <v>2</v>
      </c>
      <c r="W49" s="19">
        <v>0</v>
      </c>
      <c r="X49" s="10">
        <v>0</v>
      </c>
      <c r="Y49" s="9">
        <v>29</v>
      </c>
      <c r="Z49" s="9">
        <v>13</v>
      </c>
      <c r="AA49" s="22" t="s">
        <v>166</v>
      </c>
    </row>
    <row r="50" spans="1:27" s="10" customFormat="1" ht="15" customHeight="1" x14ac:dyDescent="0.15">
      <c r="A50" s="12">
        <v>20045</v>
      </c>
      <c r="B50" s="10" t="s">
        <v>94</v>
      </c>
      <c r="C50" s="10">
        <v>10</v>
      </c>
      <c r="D50" s="10">
        <f t="shared" ref="D50" si="18">E50+F50*2+G50*4+H50*8</f>
        <v>2</v>
      </c>
      <c r="E50" s="19">
        <v>0</v>
      </c>
      <c r="F50" s="19">
        <v>1</v>
      </c>
      <c r="G50" s="19">
        <v>0</v>
      </c>
      <c r="H50" s="19">
        <v>0</v>
      </c>
      <c r="I50" s="10">
        <v>0</v>
      </c>
      <c r="J50" s="9">
        <f t="shared" ref="J50" si="19">K50*2+L50*4+M50*8+N50*16+O50*32+P50*64+Q50</f>
        <v>0</v>
      </c>
      <c r="K50" s="19">
        <v>0</v>
      </c>
      <c r="L50" s="19">
        <v>0</v>
      </c>
      <c r="M50" s="19">
        <v>0</v>
      </c>
      <c r="N50" s="19">
        <v>0</v>
      </c>
      <c r="O50" s="19">
        <v>0</v>
      </c>
      <c r="P50" s="19">
        <v>0</v>
      </c>
      <c r="Q50" s="19">
        <v>0</v>
      </c>
      <c r="R50" s="10">
        <f>IF(E50=1,0,S50*3600+T50*60)</f>
        <v>77400</v>
      </c>
      <c r="S50" s="19">
        <v>21</v>
      </c>
      <c r="T50" s="19">
        <v>30</v>
      </c>
      <c r="U50" s="9">
        <f>V50*3600+W50*60</f>
        <v>7200</v>
      </c>
      <c r="V50" s="19">
        <v>2</v>
      </c>
      <c r="W50" s="19">
        <v>0</v>
      </c>
      <c r="X50" s="10">
        <v>0</v>
      </c>
      <c r="Y50" s="9">
        <v>29</v>
      </c>
      <c r="Z50" s="9">
        <v>13</v>
      </c>
      <c r="AA50" s="22" t="s">
        <v>166</v>
      </c>
    </row>
    <row r="51" spans="1:27" s="10" customFormat="1" ht="15" customHeight="1" x14ac:dyDescent="0.15">
      <c r="A51" s="12">
        <v>30001</v>
      </c>
      <c r="B51" s="10" t="s">
        <v>119</v>
      </c>
      <c r="C51" s="10">
        <v>9</v>
      </c>
      <c r="D51" s="10">
        <v>2</v>
      </c>
      <c r="E51" s="19">
        <v>0</v>
      </c>
      <c r="F51" s="19">
        <v>0</v>
      </c>
      <c r="G51" s="19">
        <v>0</v>
      </c>
      <c r="H51" s="19">
        <v>0</v>
      </c>
      <c r="I51" s="10">
        <v>0</v>
      </c>
      <c r="J51" s="9">
        <f t="shared" si="12"/>
        <v>0</v>
      </c>
      <c r="K51" s="19">
        <v>0</v>
      </c>
      <c r="L51" s="19">
        <v>0</v>
      </c>
      <c r="M51" s="19">
        <v>0</v>
      </c>
      <c r="N51" s="19">
        <v>0</v>
      </c>
      <c r="O51" s="19">
        <v>0</v>
      </c>
      <c r="P51" s="19">
        <v>0</v>
      </c>
      <c r="Q51" s="19">
        <v>0</v>
      </c>
      <c r="R51" s="10">
        <f t="shared" si="14"/>
        <v>0</v>
      </c>
      <c r="S51" s="19">
        <v>0</v>
      </c>
      <c r="T51" s="19">
        <v>0</v>
      </c>
      <c r="U51" s="9">
        <f t="shared" si="13"/>
        <v>3600</v>
      </c>
      <c r="V51" s="19">
        <v>1</v>
      </c>
      <c r="W51" s="19">
        <v>0</v>
      </c>
      <c r="X51" s="10">
        <v>1</v>
      </c>
      <c r="Y51" s="9">
        <v>46</v>
      </c>
      <c r="Z51" s="9">
        <v>13</v>
      </c>
      <c r="AA51" s="10" t="s">
        <v>128</v>
      </c>
    </row>
    <row r="52" spans="1:27" s="10" customFormat="1" ht="15" customHeight="1" x14ac:dyDescent="0.15">
      <c r="A52" s="12">
        <v>30002</v>
      </c>
      <c r="B52" s="10" t="s">
        <v>120</v>
      </c>
      <c r="C52" s="10">
        <v>9</v>
      </c>
      <c r="D52" s="10">
        <v>2</v>
      </c>
      <c r="E52" s="19">
        <v>0</v>
      </c>
      <c r="F52" s="19">
        <v>0</v>
      </c>
      <c r="G52" s="19">
        <v>0</v>
      </c>
      <c r="H52" s="19">
        <v>0</v>
      </c>
      <c r="I52" s="10">
        <v>0</v>
      </c>
      <c r="J52" s="9">
        <f t="shared" si="12"/>
        <v>0</v>
      </c>
      <c r="K52" s="19">
        <v>0</v>
      </c>
      <c r="L52" s="19">
        <v>0</v>
      </c>
      <c r="M52" s="19">
        <v>0</v>
      </c>
      <c r="N52" s="19">
        <v>0</v>
      </c>
      <c r="O52" s="19">
        <v>0</v>
      </c>
      <c r="P52" s="19">
        <v>0</v>
      </c>
      <c r="Q52" s="19">
        <v>0</v>
      </c>
      <c r="R52" s="10">
        <f t="shared" si="14"/>
        <v>0</v>
      </c>
      <c r="S52" s="19">
        <v>0</v>
      </c>
      <c r="T52" s="19">
        <v>0</v>
      </c>
      <c r="U52" s="9">
        <f t="shared" si="13"/>
        <v>3600</v>
      </c>
      <c r="V52" s="19">
        <v>1</v>
      </c>
      <c r="W52" s="19">
        <v>0</v>
      </c>
      <c r="X52" s="10">
        <v>1</v>
      </c>
      <c r="Y52" s="9">
        <v>46</v>
      </c>
      <c r="Z52" s="9">
        <v>13</v>
      </c>
      <c r="AA52" s="10" t="s">
        <v>129</v>
      </c>
    </row>
    <row r="53" spans="1:27" s="10" customFormat="1" ht="15" customHeight="1" x14ac:dyDescent="0.15">
      <c r="A53" s="12">
        <v>30003</v>
      </c>
      <c r="B53" s="10" t="s">
        <v>121</v>
      </c>
      <c r="C53" s="10">
        <v>9</v>
      </c>
      <c r="D53" s="10">
        <v>2</v>
      </c>
      <c r="E53" s="19">
        <v>0</v>
      </c>
      <c r="F53" s="19">
        <v>0</v>
      </c>
      <c r="G53" s="19">
        <v>0</v>
      </c>
      <c r="H53" s="19">
        <v>0</v>
      </c>
      <c r="I53" s="10">
        <v>0</v>
      </c>
      <c r="J53" s="9">
        <f t="shared" si="12"/>
        <v>0</v>
      </c>
      <c r="K53" s="19">
        <v>0</v>
      </c>
      <c r="L53" s="19">
        <v>0</v>
      </c>
      <c r="M53" s="19">
        <v>0</v>
      </c>
      <c r="N53" s="19">
        <v>0</v>
      </c>
      <c r="O53" s="19">
        <v>0</v>
      </c>
      <c r="P53" s="19">
        <v>0</v>
      </c>
      <c r="Q53" s="19">
        <v>0</v>
      </c>
      <c r="R53" s="10">
        <f t="shared" si="14"/>
        <v>0</v>
      </c>
      <c r="S53" s="19">
        <v>0</v>
      </c>
      <c r="T53" s="19">
        <v>0</v>
      </c>
      <c r="U53" s="9">
        <f t="shared" si="13"/>
        <v>3600</v>
      </c>
      <c r="V53" s="19">
        <v>1</v>
      </c>
      <c r="W53" s="19">
        <v>0</v>
      </c>
      <c r="X53" s="10">
        <v>1</v>
      </c>
      <c r="Y53" s="9">
        <v>46</v>
      </c>
      <c r="Z53" s="9">
        <v>13</v>
      </c>
      <c r="AA53" s="10" t="s">
        <v>130</v>
      </c>
    </row>
    <row r="54" spans="1:27" s="10" customFormat="1" ht="15" customHeight="1" x14ac:dyDescent="0.15">
      <c r="A54" s="12">
        <v>30004</v>
      </c>
      <c r="B54" s="10" t="s">
        <v>84</v>
      </c>
      <c r="C54" s="10">
        <v>9</v>
      </c>
      <c r="D54" s="10">
        <v>2</v>
      </c>
      <c r="E54" s="19">
        <v>0</v>
      </c>
      <c r="F54" s="19">
        <v>0</v>
      </c>
      <c r="G54" s="19">
        <v>0</v>
      </c>
      <c r="H54" s="19">
        <v>0</v>
      </c>
      <c r="I54" s="10">
        <v>0</v>
      </c>
      <c r="J54" s="9">
        <f t="shared" si="12"/>
        <v>0</v>
      </c>
      <c r="K54" s="19">
        <v>0</v>
      </c>
      <c r="L54" s="19">
        <v>0</v>
      </c>
      <c r="M54" s="19">
        <v>0</v>
      </c>
      <c r="N54" s="19">
        <v>0</v>
      </c>
      <c r="O54" s="19">
        <v>0</v>
      </c>
      <c r="P54" s="19">
        <v>0</v>
      </c>
      <c r="Q54" s="19">
        <v>0</v>
      </c>
      <c r="R54" s="10">
        <f t="shared" si="14"/>
        <v>0</v>
      </c>
      <c r="S54" s="19">
        <v>0</v>
      </c>
      <c r="T54" s="19">
        <v>0</v>
      </c>
      <c r="U54" s="9">
        <f t="shared" si="13"/>
        <v>3600</v>
      </c>
      <c r="V54" s="19">
        <v>1</v>
      </c>
      <c r="W54" s="19">
        <v>0</v>
      </c>
      <c r="X54" s="10">
        <v>1</v>
      </c>
      <c r="Y54" s="9">
        <v>46</v>
      </c>
      <c r="Z54" s="9">
        <v>13</v>
      </c>
      <c r="AA54" s="10" t="s">
        <v>131</v>
      </c>
    </row>
    <row r="55" spans="1:27" s="10" customFormat="1" ht="15" customHeight="1" x14ac:dyDescent="0.15">
      <c r="A55" s="12">
        <v>30005</v>
      </c>
      <c r="B55" s="10" t="s">
        <v>85</v>
      </c>
      <c r="C55" s="10">
        <v>9</v>
      </c>
      <c r="D55" s="10">
        <v>2</v>
      </c>
      <c r="E55" s="19">
        <v>0</v>
      </c>
      <c r="F55" s="19">
        <v>0</v>
      </c>
      <c r="G55" s="19">
        <v>0</v>
      </c>
      <c r="H55" s="19">
        <v>0</v>
      </c>
      <c r="I55" s="10">
        <v>0</v>
      </c>
      <c r="J55" s="9">
        <f t="shared" si="12"/>
        <v>0</v>
      </c>
      <c r="K55" s="19">
        <v>0</v>
      </c>
      <c r="L55" s="19">
        <v>0</v>
      </c>
      <c r="M55" s="19">
        <v>0</v>
      </c>
      <c r="N55" s="19">
        <v>0</v>
      </c>
      <c r="O55" s="19">
        <v>0</v>
      </c>
      <c r="P55" s="19">
        <v>0</v>
      </c>
      <c r="Q55" s="19">
        <v>0</v>
      </c>
      <c r="R55" s="10">
        <f t="shared" si="14"/>
        <v>0</v>
      </c>
      <c r="S55" s="19">
        <v>0</v>
      </c>
      <c r="T55" s="19">
        <v>0</v>
      </c>
      <c r="U55" s="9">
        <f t="shared" si="13"/>
        <v>3600</v>
      </c>
      <c r="V55" s="19">
        <v>1</v>
      </c>
      <c r="W55" s="19">
        <v>0</v>
      </c>
      <c r="X55" s="10">
        <v>1</v>
      </c>
      <c r="Y55" s="9">
        <v>46</v>
      </c>
      <c r="Z55" s="9">
        <v>13</v>
      </c>
      <c r="AA55" s="10" t="s">
        <v>132</v>
      </c>
    </row>
    <row r="56" spans="1:27" s="10" customFormat="1" ht="15" customHeight="1" x14ac:dyDescent="0.15">
      <c r="A56" s="12">
        <v>30006</v>
      </c>
      <c r="B56" s="10" t="s">
        <v>90</v>
      </c>
      <c r="C56" s="10">
        <v>9</v>
      </c>
      <c r="D56" s="10">
        <v>2</v>
      </c>
      <c r="E56" s="19">
        <v>0</v>
      </c>
      <c r="F56" s="19">
        <v>0</v>
      </c>
      <c r="G56" s="19">
        <v>0</v>
      </c>
      <c r="H56" s="19">
        <v>0</v>
      </c>
      <c r="I56" s="10">
        <v>0</v>
      </c>
      <c r="J56" s="9">
        <f>K56*2+L56*4+M56*8+N56*16+O56*32+P56*64+Q56</f>
        <v>0</v>
      </c>
      <c r="K56" s="19">
        <v>0</v>
      </c>
      <c r="L56" s="19">
        <v>0</v>
      </c>
      <c r="M56" s="19">
        <v>0</v>
      </c>
      <c r="N56" s="19">
        <v>0</v>
      </c>
      <c r="O56" s="19">
        <v>0</v>
      </c>
      <c r="P56" s="19">
        <v>0</v>
      </c>
      <c r="Q56" s="19">
        <v>0</v>
      </c>
      <c r="R56" s="10">
        <f>IF(E56=1,0,S56*3600+T56*60)</f>
        <v>0</v>
      </c>
      <c r="S56" s="19">
        <v>0</v>
      </c>
      <c r="T56" s="19">
        <v>0</v>
      </c>
      <c r="U56" s="9">
        <f>V56*3600+W56*60</f>
        <v>3600</v>
      </c>
      <c r="V56" s="19">
        <v>1</v>
      </c>
      <c r="W56" s="19">
        <v>0</v>
      </c>
      <c r="X56" s="10">
        <v>1</v>
      </c>
      <c r="Y56" s="9">
        <v>46</v>
      </c>
      <c r="Z56" s="9">
        <v>13</v>
      </c>
      <c r="AA56" s="10" t="s">
        <v>133</v>
      </c>
    </row>
    <row r="57" spans="1:27" s="10" customFormat="1" ht="15" customHeight="1" x14ac:dyDescent="0.15">
      <c r="A57" s="12">
        <v>30011</v>
      </c>
      <c r="B57" s="10" t="s">
        <v>122</v>
      </c>
      <c r="C57" s="10">
        <v>9</v>
      </c>
      <c r="D57" s="10">
        <v>2</v>
      </c>
      <c r="E57" s="19">
        <v>0</v>
      </c>
      <c r="F57" s="19">
        <v>0</v>
      </c>
      <c r="G57" s="19">
        <v>0</v>
      </c>
      <c r="H57" s="19">
        <v>0</v>
      </c>
      <c r="I57" s="10">
        <v>0</v>
      </c>
      <c r="J57" s="9">
        <f t="shared" si="12"/>
        <v>0</v>
      </c>
      <c r="K57" s="19">
        <v>0</v>
      </c>
      <c r="L57" s="19">
        <v>0</v>
      </c>
      <c r="M57" s="19">
        <v>0</v>
      </c>
      <c r="N57" s="19">
        <v>0</v>
      </c>
      <c r="O57" s="19">
        <v>0</v>
      </c>
      <c r="P57" s="19">
        <v>0</v>
      </c>
      <c r="Q57" s="19">
        <v>0</v>
      </c>
      <c r="R57" s="10">
        <f t="shared" si="14"/>
        <v>0</v>
      </c>
      <c r="S57" s="19">
        <v>0</v>
      </c>
      <c r="T57" s="19">
        <v>0</v>
      </c>
      <c r="U57" s="9">
        <f t="shared" si="13"/>
        <v>3600</v>
      </c>
      <c r="V57" s="19">
        <v>1</v>
      </c>
      <c r="W57" s="19">
        <v>0</v>
      </c>
      <c r="X57" s="10">
        <v>1</v>
      </c>
      <c r="Y57" s="9">
        <v>45</v>
      </c>
      <c r="Z57" s="9">
        <v>13</v>
      </c>
      <c r="AA57" s="10" t="s">
        <v>125</v>
      </c>
    </row>
    <row r="58" spans="1:27" s="10" customFormat="1" ht="15" customHeight="1" x14ac:dyDescent="0.15">
      <c r="A58" s="12">
        <v>30012</v>
      </c>
      <c r="B58" s="10" t="s">
        <v>123</v>
      </c>
      <c r="C58" s="10">
        <v>9</v>
      </c>
      <c r="D58" s="10">
        <v>2</v>
      </c>
      <c r="E58" s="19">
        <v>0</v>
      </c>
      <c r="F58" s="19">
        <v>0</v>
      </c>
      <c r="G58" s="19">
        <v>0</v>
      </c>
      <c r="H58" s="19">
        <v>0</v>
      </c>
      <c r="I58" s="10">
        <v>0</v>
      </c>
      <c r="J58" s="9">
        <f t="shared" si="12"/>
        <v>0</v>
      </c>
      <c r="K58" s="19">
        <v>0</v>
      </c>
      <c r="L58" s="19">
        <v>0</v>
      </c>
      <c r="M58" s="19">
        <v>0</v>
      </c>
      <c r="N58" s="19">
        <v>0</v>
      </c>
      <c r="O58" s="19">
        <v>0</v>
      </c>
      <c r="P58" s="19">
        <v>0</v>
      </c>
      <c r="Q58" s="19">
        <v>0</v>
      </c>
      <c r="R58" s="10">
        <f t="shared" si="14"/>
        <v>0</v>
      </c>
      <c r="S58" s="19">
        <v>0</v>
      </c>
      <c r="T58" s="19">
        <v>0</v>
      </c>
      <c r="U58" s="9">
        <f t="shared" si="13"/>
        <v>3600</v>
      </c>
      <c r="V58" s="19">
        <v>1</v>
      </c>
      <c r="W58" s="19">
        <v>0</v>
      </c>
      <c r="X58" s="10">
        <v>1</v>
      </c>
      <c r="Y58" s="9">
        <v>45</v>
      </c>
      <c r="Z58" s="9">
        <v>13</v>
      </c>
      <c r="AA58" s="10" t="s">
        <v>126</v>
      </c>
    </row>
    <row r="59" spans="1:27" s="10" customFormat="1" ht="15" customHeight="1" x14ac:dyDescent="0.15">
      <c r="A59" s="12">
        <v>30013</v>
      </c>
      <c r="B59" s="10" t="s">
        <v>124</v>
      </c>
      <c r="C59" s="10">
        <v>9</v>
      </c>
      <c r="D59" s="10">
        <v>2</v>
      </c>
      <c r="E59" s="19">
        <v>0</v>
      </c>
      <c r="F59" s="19">
        <v>0</v>
      </c>
      <c r="G59" s="19">
        <v>0</v>
      </c>
      <c r="H59" s="19">
        <v>0</v>
      </c>
      <c r="I59" s="10">
        <v>0</v>
      </c>
      <c r="J59" s="9">
        <f t="shared" si="12"/>
        <v>0</v>
      </c>
      <c r="K59" s="19">
        <v>0</v>
      </c>
      <c r="L59" s="19">
        <v>0</v>
      </c>
      <c r="M59" s="19">
        <v>0</v>
      </c>
      <c r="N59" s="19">
        <v>0</v>
      </c>
      <c r="O59" s="19">
        <v>0</v>
      </c>
      <c r="P59" s="19">
        <v>0</v>
      </c>
      <c r="Q59" s="19">
        <v>0</v>
      </c>
      <c r="R59" s="10">
        <f t="shared" si="14"/>
        <v>0</v>
      </c>
      <c r="S59" s="19">
        <v>0</v>
      </c>
      <c r="T59" s="19">
        <v>0</v>
      </c>
      <c r="U59" s="9">
        <f t="shared" si="13"/>
        <v>3600</v>
      </c>
      <c r="V59" s="19">
        <v>1</v>
      </c>
      <c r="W59" s="19">
        <v>0</v>
      </c>
      <c r="X59" s="10">
        <v>1</v>
      </c>
      <c r="Y59" s="9">
        <v>45</v>
      </c>
      <c r="Z59" s="9">
        <v>13</v>
      </c>
      <c r="AA59" s="10" t="s">
        <v>127</v>
      </c>
    </row>
    <row r="60" spans="1:27" s="10" customFormat="1" ht="15" customHeight="1" x14ac:dyDescent="0.15">
      <c r="A60" s="12">
        <v>30014</v>
      </c>
      <c r="B60" s="10" t="s">
        <v>86</v>
      </c>
      <c r="C60" s="10">
        <v>9</v>
      </c>
      <c r="D60" s="10">
        <v>2</v>
      </c>
      <c r="E60" s="19">
        <v>0</v>
      </c>
      <c r="F60" s="19">
        <v>0</v>
      </c>
      <c r="G60" s="19">
        <v>0</v>
      </c>
      <c r="H60" s="19">
        <v>0</v>
      </c>
      <c r="I60" s="10">
        <v>0</v>
      </c>
      <c r="J60" s="9">
        <f t="shared" si="12"/>
        <v>0</v>
      </c>
      <c r="K60" s="19">
        <v>0</v>
      </c>
      <c r="L60" s="19">
        <v>0</v>
      </c>
      <c r="M60" s="19">
        <v>0</v>
      </c>
      <c r="N60" s="19">
        <v>0</v>
      </c>
      <c r="O60" s="19">
        <v>0</v>
      </c>
      <c r="P60" s="19">
        <v>0</v>
      </c>
      <c r="Q60" s="19">
        <v>0</v>
      </c>
      <c r="R60" s="10">
        <f t="shared" si="14"/>
        <v>0</v>
      </c>
      <c r="S60" s="19">
        <v>0</v>
      </c>
      <c r="T60" s="19">
        <v>0</v>
      </c>
      <c r="U60" s="9">
        <f t="shared" si="13"/>
        <v>3600</v>
      </c>
      <c r="V60" s="19">
        <v>1</v>
      </c>
      <c r="W60" s="19">
        <v>0</v>
      </c>
      <c r="X60" s="10">
        <v>1</v>
      </c>
      <c r="Y60" s="9">
        <v>45</v>
      </c>
      <c r="Z60" s="9">
        <v>13</v>
      </c>
      <c r="AA60" s="10" t="s">
        <v>88</v>
      </c>
    </row>
    <row r="61" spans="1:27" s="10" customFormat="1" ht="15" customHeight="1" x14ac:dyDescent="0.15">
      <c r="A61" s="12">
        <v>30015</v>
      </c>
      <c r="B61" s="10" t="s">
        <v>87</v>
      </c>
      <c r="C61" s="10">
        <v>9</v>
      </c>
      <c r="D61" s="10">
        <v>2</v>
      </c>
      <c r="E61" s="19">
        <v>0</v>
      </c>
      <c r="F61" s="19">
        <v>0</v>
      </c>
      <c r="G61" s="19">
        <v>0</v>
      </c>
      <c r="H61" s="19">
        <v>0</v>
      </c>
      <c r="I61" s="10">
        <v>0</v>
      </c>
      <c r="J61" s="9">
        <f t="shared" si="12"/>
        <v>0</v>
      </c>
      <c r="K61" s="19">
        <v>0</v>
      </c>
      <c r="L61" s="19">
        <v>0</v>
      </c>
      <c r="M61" s="19">
        <v>0</v>
      </c>
      <c r="N61" s="19">
        <v>0</v>
      </c>
      <c r="O61" s="19">
        <v>0</v>
      </c>
      <c r="P61" s="19">
        <v>0</v>
      </c>
      <c r="Q61" s="19">
        <v>0</v>
      </c>
      <c r="R61" s="10">
        <f t="shared" si="14"/>
        <v>0</v>
      </c>
      <c r="S61" s="19">
        <v>0</v>
      </c>
      <c r="T61" s="19">
        <v>0</v>
      </c>
      <c r="U61" s="9">
        <f t="shared" si="13"/>
        <v>3600</v>
      </c>
      <c r="V61" s="19">
        <v>1</v>
      </c>
      <c r="W61" s="19">
        <v>0</v>
      </c>
      <c r="X61" s="10">
        <v>1</v>
      </c>
      <c r="Y61" s="9">
        <v>45</v>
      </c>
      <c r="Z61" s="9">
        <v>13</v>
      </c>
      <c r="AA61" s="10" t="s">
        <v>89</v>
      </c>
    </row>
    <row r="62" spans="1:27" s="10" customFormat="1" ht="15" customHeight="1" x14ac:dyDescent="0.15">
      <c r="A62" s="12">
        <v>30016</v>
      </c>
      <c r="B62" s="10" t="s">
        <v>91</v>
      </c>
      <c r="C62" s="10">
        <v>9</v>
      </c>
      <c r="D62" s="10">
        <v>2</v>
      </c>
      <c r="E62" s="19">
        <v>0</v>
      </c>
      <c r="F62" s="19">
        <v>0</v>
      </c>
      <c r="G62" s="19">
        <v>0</v>
      </c>
      <c r="H62" s="19">
        <v>0</v>
      </c>
      <c r="I62" s="10">
        <v>0</v>
      </c>
      <c r="J62" s="9">
        <f>K62*2+L62*4+M62*8+N62*16+O62*32+P62*64+Q62</f>
        <v>0</v>
      </c>
      <c r="K62" s="19">
        <v>0</v>
      </c>
      <c r="L62" s="19">
        <v>0</v>
      </c>
      <c r="M62" s="19">
        <v>0</v>
      </c>
      <c r="N62" s="19">
        <v>0</v>
      </c>
      <c r="O62" s="19">
        <v>0</v>
      </c>
      <c r="P62" s="19">
        <v>0</v>
      </c>
      <c r="Q62" s="19">
        <v>0</v>
      </c>
      <c r="R62" s="10">
        <f>IF(E62=1,0,S62*3600+T62*60)</f>
        <v>0</v>
      </c>
      <c r="S62" s="19">
        <v>0</v>
      </c>
      <c r="T62" s="19">
        <v>0</v>
      </c>
      <c r="U62" s="9">
        <f>V62*3600+W62*60</f>
        <v>3600</v>
      </c>
      <c r="V62" s="19">
        <v>1</v>
      </c>
      <c r="W62" s="19">
        <v>0</v>
      </c>
      <c r="X62" s="10">
        <v>1</v>
      </c>
      <c r="Y62" s="9">
        <v>45</v>
      </c>
      <c r="Z62" s="9">
        <v>13</v>
      </c>
      <c r="AA62" s="10" t="s">
        <v>92</v>
      </c>
    </row>
    <row r="63" spans="1:27" s="10" customFormat="1" ht="15" customHeight="1" x14ac:dyDescent="0.15">
      <c r="K63" s="11"/>
      <c r="L63" s="11"/>
      <c r="M63" s="11"/>
      <c r="N63" s="11"/>
      <c r="O63" s="11"/>
      <c r="P63" s="11"/>
      <c r="Q63" s="11"/>
      <c r="S63" s="11"/>
      <c r="T63" s="11"/>
      <c r="V63" s="11"/>
      <c r="W63" s="11"/>
      <c r="Y63" s="9"/>
      <c r="Z63" s="9"/>
    </row>
    <row r="64" spans="1:27" s="10" customFormat="1" ht="15" customHeight="1" x14ac:dyDescent="0.15">
      <c r="K64" s="11"/>
      <c r="L64" s="11"/>
      <c r="M64" s="11"/>
      <c r="N64" s="11"/>
      <c r="O64" s="11"/>
      <c r="P64" s="11"/>
      <c r="Q64" s="11"/>
      <c r="S64" s="11"/>
      <c r="T64" s="11"/>
      <c r="V64" s="11"/>
      <c r="W64" s="11"/>
      <c r="Y64" s="9"/>
      <c r="Z64" s="9"/>
    </row>
    <row r="65" spans="11:26" s="10" customFormat="1" ht="15" customHeight="1" x14ac:dyDescent="0.15">
      <c r="K65" s="11"/>
      <c r="L65" s="11"/>
      <c r="M65" s="11"/>
      <c r="N65" s="11"/>
      <c r="O65" s="11"/>
      <c r="P65" s="11"/>
      <c r="Q65" s="11"/>
      <c r="S65" s="11"/>
      <c r="T65" s="11"/>
      <c r="V65" s="11"/>
      <c r="W65" s="11"/>
      <c r="Y65" s="9"/>
      <c r="Z65" s="9"/>
    </row>
    <row r="66" spans="11:26" s="10" customFormat="1" ht="15" customHeight="1" x14ac:dyDescent="0.15">
      <c r="K66" s="11"/>
      <c r="L66" s="11"/>
      <c r="M66" s="11"/>
      <c r="N66" s="11"/>
      <c r="O66" s="11"/>
      <c r="P66" s="11"/>
      <c r="Q66" s="11"/>
      <c r="S66" s="11"/>
      <c r="T66" s="11"/>
      <c r="V66" s="11"/>
      <c r="W66" s="11"/>
      <c r="Y66" s="9"/>
      <c r="Z66" s="9"/>
    </row>
    <row r="67" spans="11:26" s="10" customFormat="1" ht="15" customHeight="1" x14ac:dyDescent="0.15">
      <c r="K67" s="11"/>
      <c r="L67" s="11"/>
      <c r="M67" s="11"/>
      <c r="N67" s="11"/>
      <c r="O67" s="11"/>
      <c r="P67" s="11"/>
      <c r="Q67" s="11"/>
      <c r="S67" s="11"/>
      <c r="T67" s="11"/>
      <c r="V67" s="11"/>
      <c r="W67" s="11"/>
      <c r="Y67" s="9"/>
      <c r="Z67" s="9"/>
    </row>
    <row r="68" spans="11:26" s="10" customFormat="1" ht="15" customHeight="1" x14ac:dyDescent="0.15">
      <c r="K68" s="11"/>
      <c r="L68" s="11"/>
      <c r="M68" s="11"/>
      <c r="N68" s="11"/>
      <c r="O68" s="11"/>
      <c r="P68" s="11"/>
      <c r="Q68" s="11"/>
      <c r="S68" s="11"/>
      <c r="T68" s="11"/>
      <c r="V68" s="11"/>
      <c r="W68" s="11"/>
      <c r="Y68" s="9"/>
      <c r="Z68" s="9"/>
    </row>
    <row r="69" spans="11:26" s="10" customFormat="1" ht="15" customHeight="1" x14ac:dyDescent="0.15">
      <c r="K69" s="11"/>
      <c r="L69" s="11"/>
      <c r="M69" s="11"/>
      <c r="N69" s="11"/>
      <c r="O69" s="11"/>
      <c r="P69" s="11"/>
      <c r="Q69" s="11"/>
      <c r="S69" s="11"/>
      <c r="T69" s="11"/>
      <c r="V69" s="11"/>
      <c r="W69" s="11"/>
      <c r="Y69" s="9"/>
      <c r="Z69" s="9"/>
    </row>
    <row r="70" spans="11:26" s="10" customFormat="1" ht="15" customHeight="1" x14ac:dyDescent="0.15">
      <c r="K70" s="11"/>
      <c r="L70" s="11"/>
      <c r="M70" s="11"/>
      <c r="N70" s="11"/>
      <c r="O70" s="11"/>
      <c r="P70" s="11"/>
      <c r="Q70" s="11"/>
      <c r="S70" s="11"/>
      <c r="T70" s="11"/>
      <c r="V70" s="11"/>
      <c r="W70" s="11"/>
      <c r="Y70" s="9"/>
      <c r="Z70" s="9"/>
    </row>
    <row r="71" spans="11:26" s="10" customFormat="1" ht="15" customHeight="1" x14ac:dyDescent="0.15">
      <c r="K71" s="11"/>
      <c r="L71" s="11"/>
      <c r="M71" s="11"/>
      <c r="N71" s="11"/>
      <c r="O71" s="11"/>
      <c r="P71" s="11"/>
      <c r="Q71" s="11"/>
      <c r="S71" s="11"/>
      <c r="T71" s="11"/>
      <c r="V71" s="11"/>
      <c r="W71" s="11"/>
      <c r="Y71" s="9"/>
      <c r="Z71" s="9"/>
    </row>
    <row r="72" spans="11:26" s="10" customFormat="1" ht="15" customHeight="1" x14ac:dyDescent="0.15">
      <c r="K72" s="11"/>
      <c r="L72" s="11"/>
      <c r="M72" s="11"/>
      <c r="N72" s="11"/>
      <c r="O72" s="11"/>
      <c r="P72" s="11"/>
      <c r="Q72" s="11"/>
      <c r="S72" s="11"/>
      <c r="T72" s="11"/>
      <c r="V72" s="11"/>
      <c r="W72" s="11"/>
      <c r="Y72" s="9"/>
      <c r="Z72" s="9"/>
    </row>
    <row r="73" spans="11:26" s="10" customFormat="1" ht="15" customHeight="1" x14ac:dyDescent="0.15">
      <c r="K73" s="11"/>
      <c r="L73" s="11"/>
      <c r="M73" s="11"/>
      <c r="N73" s="11"/>
      <c r="O73" s="11"/>
      <c r="P73" s="11"/>
      <c r="Q73" s="11"/>
      <c r="S73" s="11"/>
      <c r="T73" s="11"/>
      <c r="V73" s="11"/>
      <c r="W73" s="11"/>
      <c r="Y73" s="9"/>
      <c r="Z73" s="9"/>
    </row>
    <row r="74" spans="11:26" s="10" customFormat="1" ht="15" customHeight="1" x14ac:dyDescent="0.15">
      <c r="K74" s="11"/>
      <c r="L74" s="11"/>
      <c r="M74" s="11"/>
      <c r="N74" s="11"/>
      <c r="O74" s="11"/>
      <c r="P74" s="11"/>
      <c r="Q74" s="11"/>
      <c r="S74" s="11"/>
      <c r="T74" s="11"/>
      <c r="V74" s="11"/>
      <c r="W74" s="11"/>
      <c r="Y74" s="9"/>
      <c r="Z74" s="9"/>
    </row>
    <row r="75" spans="11:26" s="10" customFormat="1" ht="15" customHeight="1" x14ac:dyDescent="0.15">
      <c r="K75" s="11"/>
      <c r="L75" s="11"/>
      <c r="M75" s="11"/>
      <c r="N75" s="11"/>
      <c r="O75" s="11"/>
      <c r="P75" s="11"/>
      <c r="Q75" s="11"/>
      <c r="S75" s="11"/>
      <c r="T75" s="11"/>
      <c r="V75" s="11"/>
      <c r="W75" s="11"/>
      <c r="Y75" s="9"/>
      <c r="Z75" s="9"/>
    </row>
    <row r="76" spans="11:26" s="10" customFormat="1" ht="15" customHeight="1" x14ac:dyDescent="0.15">
      <c r="K76" s="11"/>
      <c r="L76" s="11"/>
      <c r="M76" s="11"/>
      <c r="N76" s="11"/>
      <c r="O76" s="11"/>
      <c r="P76" s="11"/>
      <c r="Q76" s="11"/>
      <c r="S76" s="11"/>
      <c r="T76" s="11"/>
      <c r="V76" s="11"/>
      <c r="W76" s="11"/>
      <c r="Y76" s="9"/>
      <c r="Z76" s="9"/>
    </row>
    <row r="77" spans="11:26" s="10" customFormat="1" ht="15" customHeight="1" x14ac:dyDescent="0.15">
      <c r="K77" s="11"/>
      <c r="L77" s="11"/>
      <c r="M77" s="11"/>
      <c r="N77" s="11"/>
      <c r="O77" s="11"/>
      <c r="P77" s="11"/>
      <c r="Q77" s="11"/>
      <c r="S77" s="11"/>
      <c r="T77" s="11"/>
      <c r="V77" s="11"/>
      <c r="W77" s="11"/>
      <c r="Y77" s="9"/>
      <c r="Z77" s="9"/>
    </row>
    <row r="78" spans="11:26" s="10" customFormat="1" ht="15" customHeight="1" x14ac:dyDescent="0.15">
      <c r="K78" s="11"/>
      <c r="L78" s="11"/>
      <c r="M78" s="11"/>
      <c r="N78" s="11"/>
      <c r="O78" s="11"/>
      <c r="P78" s="11"/>
      <c r="Q78" s="11"/>
      <c r="S78" s="11"/>
      <c r="T78" s="11"/>
      <c r="V78" s="11"/>
      <c r="W78" s="11"/>
      <c r="Y78" s="9"/>
      <c r="Z78" s="9"/>
    </row>
    <row r="79" spans="11:26" s="10" customFormat="1" ht="15" customHeight="1" x14ac:dyDescent="0.15">
      <c r="K79" s="11"/>
      <c r="L79" s="11"/>
      <c r="M79" s="11"/>
      <c r="N79" s="11"/>
      <c r="O79" s="11"/>
      <c r="P79" s="11"/>
      <c r="Q79" s="11"/>
      <c r="S79" s="11"/>
      <c r="T79" s="11"/>
      <c r="V79" s="11"/>
      <c r="W79" s="11"/>
      <c r="Y79" s="9"/>
      <c r="Z79" s="9"/>
    </row>
    <row r="80" spans="11:26" s="10" customFormat="1" ht="15" customHeight="1" x14ac:dyDescent="0.15">
      <c r="K80" s="11"/>
      <c r="L80" s="11"/>
      <c r="M80" s="11"/>
      <c r="N80" s="11"/>
      <c r="O80" s="11"/>
      <c r="P80" s="11"/>
      <c r="Q80" s="11"/>
      <c r="S80" s="11"/>
      <c r="T80" s="11"/>
      <c r="V80" s="11"/>
      <c r="W80" s="11"/>
      <c r="Y80" s="9"/>
      <c r="Z80" s="9"/>
    </row>
    <row r="81" spans="11:26" s="10" customFormat="1" ht="15" customHeight="1" x14ac:dyDescent="0.15">
      <c r="K81" s="11"/>
      <c r="L81" s="11"/>
      <c r="M81" s="11"/>
      <c r="N81" s="11"/>
      <c r="O81" s="11"/>
      <c r="P81" s="11"/>
      <c r="Q81" s="11"/>
      <c r="S81" s="11"/>
      <c r="T81" s="11"/>
      <c r="V81" s="11"/>
      <c r="W81" s="11"/>
      <c r="Y81" s="9"/>
      <c r="Z81" s="9"/>
    </row>
    <row r="82" spans="11:26" s="10" customFormat="1" ht="15" customHeight="1" x14ac:dyDescent="0.15">
      <c r="K82" s="11"/>
      <c r="L82" s="11"/>
      <c r="M82" s="11"/>
      <c r="N82" s="11"/>
      <c r="O82" s="11"/>
      <c r="P82" s="11"/>
      <c r="Q82" s="11"/>
      <c r="S82" s="11"/>
      <c r="T82" s="11"/>
      <c r="V82" s="11"/>
      <c r="W82" s="11"/>
      <c r="Y82" s="9"/>
      <c r="Z82" s="9"/>
    </row>
    <row r="83" spans="11:26" s="10" customFormat="1" ht="15" customHeight="1" x14ac:dyDescent="0.15">
      <c r="K83" s="11"/>
      <c r="L83" s="11"/>
      <c r="M83" s="11"/>
      <c r="N83" s="11"/>
      <c r="O83" s="11"/>
      <c r="P83" s="11"/>
      <c r="Q83" s="11"/>
      <c r="S83" s="11"/>
      <c r="T83" s="11"/>
      <c r="V83" s="11"/>
      <c r="W83" s="11"/>
      <c r="Y83" s="9"/>
      <c r="Z83" s="9"/>
    </row>
    <row r="84" spans="11:26" s="10" customFormat="1" ht="15" customHeight="1" x14ac:dyDescent="0.15">
      <c r="K84" s="11"/>
      <c r="L84" s="11"/>
      <c r="M84" s="11"/>
      <c r="N84" s="11"/>
      <c r="O84" s="11"/>
      <c r="P84" s="11"/>
      <c r="Q84" s="11"/>
      <c r="S84" s="11"/>
      <c r="T84" s="11"/>
      <c r="V84" s="11"/>
      <c r="W84" s="11"/>
      <c r="Y84" s="9"/>
      <c r="Z84" s="9"/>
    </row>
    <row r="85" spans="11:26" s="10" customFormat="1" ht="15" customHeight="1" x14ac:dyDescent="0.15">
      <c r="K85" s="11"/>
      <c r="L85" s="11"/>
      <c r="M85" s="11"/>
      <c r="N85" s="11"/>
      <c r="O85" s="11"/>
      <c r="P85" s="11"/>
      <c r="Q85" s="11"/>
      <c r="S85" s="11"/>
      <c r="T85" s="11"/>
      <c r="V85" s="11"/>
      <c r="W85" s="11"/>
      <c r="Y85" s="9"/>
      <c r="Z85" s="9"/>
    </row>
    <row r="86" spans="11:26" s="10" customFormat="1" ht="15" customHeight="1" x14ac:dyDescent="0.15">
      <c r="K86" s="11"/>
      <c r="L86" s="11"/>
      <c r="M86" s="11"/>
      <c r="N86" s="11"/>
      <c r="O86" s="11"/>
      <c r="P86" s="11"/>
      <c r="Q86" s="11"/>
      <c r="S86" s="11"/>
      <c r="T86" s="11"/>
      <c r="V86" s="11"/>
      <c r="W86" s="11"/>
      <c r="Y86" s="9"/>
      <c r="Z86" s="9"/>
    </row>
    <row r="87" spans="11:26" s="10" customFormat="1" ht="15" customHeight="1" x14ac:dyDescent="0.15">
      <c r="K87" s="11"/>
      <c r="L87" s="11"/>
      <c r="M87" s="11"/>
      <c r="N87" s="11"/>
      <c r="O87" s="11"/>
      <c r="P87" s="11"/>
      <c r="Q87" s="11"/>
      <c r="S87" s="11"/>
      <c r="T87" s="11"/>
      <c r="V87" s="11"/>
      <c r="W87" s="11"/>
      <c r="Y87" s="9"/>
      <c r="Z87" s="9"/>
    </row>
    <row r="88" spans="11:26" s="10" customFormat="1" ht="15" customHeight="1" x14ac:dyDescent="0.15">
      <c r="K88" s="11"/>
      <c r="L88" s="11"/>
      <c r="M88" s="11"/>
      <c r="N88" s="11"/>
      <c r="O88" s="11"/>
      <c r="P88" s="11"/>
      <c r="Q88" s="11"/>
      <c r="S88" s="11"/>
      <c r="T88" s="11"/>
      <c r="V88" s="11"/>
      <c r="W88" s="11"/>
      <c r="Y88" s="9"/>
      <c r="Z88" s="9"/>
    </row>
    <row r="89" spans="11:26" s="10" customFormat="1" ht="15" customHeight="1" x14ac:dyDescent="0.15">
      <c r="K89" s="11"/>
      <c r="L89" s="11"/>
      <c r="M89" s="11"/>
      <c r="N89" s="11"/>
      <c r="O89" s="11"/>
      <c r="P89" s="11"/>
      <c r="Q89" s="11"/>
      <c r="S89" s="11"/>
      <c r="T89" s="11"/>
      <c r="V89" s="11"/>
      <c r="W89" s="11"/>
      <c r="Y89" s="9"/>
      <c r="Z89" s="9"/>
    </row>
    <row r="90" spans="11:26" s="10" customFormat="1" ht="15" customHeight="1" x14ac:dyDescent="0.15">
      <c r="K90" s="11"/>
      <c r="L90" s="11"/>
      <c r="M90" s="11"/>
      <c r="N90" s="11"/>
      <c r="O90" s="11"/>
      <c r="P90" s="11"/>
      <c r="Q90" s="11"/>
      <c r="S90" s="11"/>
      <c r="T90" s="11"/>
      <c r="V90" s="11"/>
      <c r="W90" s="11"/>
      <c r="Y90" s="9"/>
      <c r="Z90" s="9"/>
    </row>
    <row r="91" spans="11:26" s="10" customFormat="1" ht="15" customHeight="1" x14ac:dyDescent="0.15">
      <c r="K91" s="11"/>
      <c r="L91" s="11"/>
      <c r="M91" s="11"/>
      <c r="N91" s="11"/>
      <c r="O91" s="11"/>
      <c r="P91" s="11"/>
      <c r="Q91" s="11"/>
      <c r="S91" s="11"/>
      <c r="T91" s="11"/>
      <c r="V91" s="11"/>
      <c r="W91" s="11"/>
      <c r="Y91" s="9"/>
      <c r="Z91" s="9"/>
    </row>
    <row r="92" spans="11:26" s="10" customFormat="1" ht="15" customHeight="1" x14ac:dyDescent="0.15">
      <c r="K92" s="11"/>
      <c r="L92" s="11"/>
      <c r="M92" s="11"/>
      <c r="N92" s="11"/>
      <c r="O92" s="11"/>
      <c r="P92" s="11"/>
      <c r="Q92" s="11"/>
      <c r="S92" s="11"/>
      <c r="T92" s="11"/>
      <c r="V92" s="11"/>
      <c r="W92" s="11"/>
      <c r="Y92" s="9"/>
      <c r="Z92" s="9"/>
    </row>
    <row r="93" spans="11:26" s="10" customFormat="1" ht="15" customHeight="1" x14ac:dyDescent="0.15">
      <c r="K93" s="11"/>
      <c r="L93" s="11"/>
      <c r="M93" s="11"/>
      <c r="N93" s="11"/>
      <c r="O93" s="11"/>
      <c r="P93" s="11"/>
      <c r="Q93" s="11"/>
      <c r="S93" s="11"/>
      <c r="T93" s="11"/>
      <c r="V93" s="11"/>
      <c r="W93" s="11"/>
      <c r="Y93" s="9"/>
      <c r="Z93" s="9"/>
    </row>
    <row r="94" spans="11:26" s="10" customFormat="1" ht="15" customHeight="1" x14ac:dyDescent="0.15">
      <c r="K94" s="11"/>
      <c r="L94" s="11"/>
      <c r="M94" s="11"/>
      <c r="N94" s="11"/>
      <c r="O94" s="11"/>
      <c r="P94" s="11"/>
      <c r="Q94" s="11"/>
      <c r="S94" s="11"/>
      <c r="T94" s="11"/>
      <c r="V94" s="11"/>
      <c r="W94" s="11"/>
      <c r="Y94" s="9"/>
      <c r="Z94" s="9"/>
    </row>
    <row r="95" spans="11:26" s="10" customFormat="1" ht="15" customHeight="1" x14ac:dyDescent="0.15">
      <c r="K95" s="11"/>
      <c r="L95" s="11"/>
      <c r="M95" s="11"/>
      <c r="N95" s="11"/>
      <c r="O95" s="11"/>
      <c r="P95" s="11"/>
      <c r="Q95" s="11"/>
      <c r="S95" s="11"/>
      <c r="T95" s="11"/>
      <c r="V95" s="11"/>
      <c r="W95" s="11"/>
      <c r="Y95" s="9"/>
      <c r="Z95" s="9"/>
    </row>
    <row r="96" spans="11:26" s="10" customFormat="1" ht="15" customHeight="1" x14ac:dyDescent="0.15">
      <c r="K96" s="11"/>
      <c r="L96" s="11"/>
      <c r="M96" s="11"/>
      <c r="N96" s="11"/>
      <c r="O96" s="11"/>
      <c r="P96" s="11"/>
      <c r="Q96" s="11"/>
      <c r="S96" s="11"/>
      <c r="T96" s="11"/>
      <c r="V96" s="11"/>
      <c r="W96" s="11"/>
      <c r="Y96" s="9"/>
      <c r="Z96" s="9"/>
    </row>
    <row r="97" spans="11:26" s="10" customFormat="1" ht="15" customHeight="1" x14ac:dyDescent="0.15">
      <c r="K97" s="11"/>
      <c r="L97" s="11"/>
      <c r="M97" s="11"/>
      <c r="N97" s="11"/>
      <c r="O97" s="11"/>
      <c r="P97" s="11"/>
      <c r="Q97" s="11"/>
      <c r="S97" s="11"/>
      <c r="T97" s="11"/>
      <c r="V97" s="11"/>
      <c r="W97" s="11"/>
      <c r="Y97" s="9"/>
      <c r="Z97" s="9"/>
    </row>
    <row r="98" spans="11:26" s="10" customFormat="1" ht="15" customHeight="1" x14ac:dyDescent="0.15">
      <c r="K98" s="11"/>
      <c r="L98" s="11"/>
      <c r="M98" s="11"/>
      <c r="N98" s="11"/>
      <c r="O98" s="11"/>
      <c r="P98" s="11"/>
      <c r="Q98" s="11"/>
      <c r="S98" s="11"/>
      <c r="T98" s="11"/>
      <c r="V98" s="11"/>
      <c r="W98" s="11"/>
      <c r="Y98" s="9"/>
      <c r="Z98" s="9"/>
    </row>
    <row r="99" spans="11:26" s="10" customFormat="1" ht="15" customHeight="1" x14ac:dyDescent="0.15">
      <c r="K99" s="11"/>
      <c r="L99" s="11"/>
      <c r="M99" s="11"/>
      <c r="N99" s="11"/>
      <c r="O99" s="11"/>
      <c r="P99" s="11"/>
      <c r="Q99" s="11"/>
      <c r="S99" s="11"/>
      <c r="T99" s="11"/>
      <c r="V99" s="11"/>
      <c r="W99" s="11"/>
      <c r="Y99" s="9"/>
      <c r="Z99" s="9"/>
    </row>
    <row r="100" spans="11:26" s="10" customFormat="1" ht="15" customHeight="1" x14ac:dyDescent="0.15">
      <c r="K100" s="11"/>
      <c r="L100" s="11"/>
      <c r="M100" s="11"/>
      <c r="N100" s="11"/>
      <c r="O100" s="11"/>
      <c r="P100" s="11"/>
      <c r="Q100" s="11"/>
      <c r="S100" s="11"/>
      <c r="T100" s="11"/>
      <c r="V100" s="11"/>
      <c r="W100" s="11"/>
      <c r="Y100" s="9"/>
      <c r="Z100" s="9"/>
    </row>
    <row r="101" spans="11:26" s="10" customFormat="1" ht="15" customHeight="1" x14ac:dyDescent="0.15">
      <c r="K101" s="11"/>
      <c r="L101" s="11"/>
      <c r="M101" s="11"/>
      <c r="N101" s="11"/>
      <c r="O101" s="11"/>
      <c r="P101" s="11"/>
      <c r="Q101" s="11"/>
      <c r="S101" s="11"/>
      <c r="T101" s="11"/>
      <c r="V101" s="11"/>
      <c r="W101" s="11"/>
      <c r="Y101" s="9"/>
      <c r="Z101" s="9"/>
    </row>
    <row r="102" spans="11:26" s="10" customFormat="1" ht="15" customHeight="1" x14ac:dyDescent="0.15">
      <c r="K102" s="11"/>
      <c r="L102" s="11"/>
      <c r="M102" s="11"/>
      <c r="N102" s="11"/>
      <c r="O102" s="11"/>
      <c r="P102" s="11"/>
      <c r="Q102" s="11"/>
      <c r="S102" s="11"/>
      <c r="T102" s="11"/>
      <c r="V102" s="11"/>
      <c r="W102" s="11"/>
      <c r="Y102" s="9"/>
      <c r="Z102" s="9"/>
    </row>
    <row r="103" spans="11:26" s="10" customFormat="1" ht="15" customHeight="1" x14ac:dyDescent="0.15">
      <c r="K103" s="11"/>
      <c r="L103" s="11"/>
      <c r="M103" s="11"/>
      <c r="N103" s="11"/>
      <c r="O103" s="11"/>
      <c r="P103" s="11"/>
      <c r="Q103" s="11"/>
      <c r="S103" s="11"/>
      <c r="T103" s="11"/>
      <c r="V103" s="11"/>
      <c r="W103" s="11"/>
      <c r="Y103" s="9"/>
      <c r="Z103" s="9"/>
    </row>
    <row r="104" spans="11:26" s="10" customFormat="1" ht="15" customHeight="1" x14ac:dyDescent="0.15">
      <c r="K104" s="11"/>
      <c r="L104" s="11"/>
      <c r="M104" s="11"/>
      <c r="N104" s="11"/>
      <c r="O104" s="11"/>
      <c r="P104" s="11"/>
      <c r="Q104" s="11"/>
      <c r="S104" s="11"/>
      <c r="T104" s="11"/>
      <c r="V104" s="11"/>
      <c r="W104" s="11"/>
      <c r="Y104" s="9"/>
      <c r="Z104" s="9"/>
    </row>
    <row r="105" spans="11:26" s="10" customFormat="1" ht="15" customHeight="1" x14ac:dyDescent="0.15">
      <c r="K105" s="11"/>
      <c r="L105" s="11"/>
      <c r="M105" s="11"/>
      <c r="N105" s="11"/>
      <c r="O105" s="11"/>
      <c r="P105" s="11"/>
      <c r="Q105" s="11"/>
      <c r="S105" s="11"/>
      <c r="T105" s="11"/>
      <c r="V105" s="11"/>
      <c r="W105" s="11"/>
      <c r="Y105" s="9"/>
      <c r="Z105" s="9"/>
    </row>
    <row r="106" spans="11:26" s="10" customFormat="1" ht="15" customHeight="1" x14ac:dyDescent="0.15">
      <c r="K106" s="11"/>
      <c r="L106" s="11"/>
      <c r="M106" s="11"/>
      <c r="N106" s="11"/>
      <c r="O106" s="11"/>
      <c r="P106" s="11"/>
      <c r="Q106" s="11"/>
      <c r="S106" s="11"/>
      <c r="T106" s="11"/>
      <c r="V106" s="11"/>
      <c r="W106" s="11"/>
      <c r="Y106" s="9"/>
      <c r="Z106" s="9"/>
    </row>
    <row r="107" spans="11:26" s="10" customFormat="1" ht="15" customHeight="1" x14ac:dyDescent="0.15">
      <c r="K107" s="11"/>
      <c r="L107" s="11"/>
      <c r="M107" s="11"/>
      <c r="N107" s="11"/>
      <c r="O107" s="11"/>
      <c r="P107" s="11"/>
      <c r="Q107" s="11"/>
      <c r="S107" s="11"/>
      <c r="T107" s="11"/>
      <c r="V107" s="11"/>
      <c r="W107" s="11"/>
      <c r="Y107" s="9"/>
      <c r="Z107" s="9"/>
    </row>
    <row r="108" spans="11:26" s="10" customFormat="1" ht="15" customHeight="1" x14ac:dyDescent="0.15">
      <c r="K108" s="11"/>
      <c r="L108" s="11"/>
      <c r="M108" s="11"/>
      <c r="N108" s="11"/>
      <c r="O108" s="11"/>
      <c r="P108" s="11"/>
      <c r="Q108" s="11"/>
      <c r="S108" s="11"/>
      <c r="T108" s="11"/>
      <c r="V108" s="11"/>
      <c r="W108" s="11"/>
      <c r="Y108" s="9"/>
      <c r="Z108" s="9"/>
    </row>
    <row r="109" spans="11:26" s="10" customFormat="1" ht="15" customHeight="1" x14ac:dyDescent="0.15">
      <c r="K109" s="11"/>
      <c r="L109" s="11"/>
      <c r="M109" s="11"/>
      <c r="N109" s="11"/>
      <c r="O109" s="11"/>
      <c r="P109" s="11"/>
      <c r="Q109" s="11"/>
      <c r="S109" s="11"/>
      <c r="T109" s="11"/>
      <c r="V109" s="11"/>
      <c r="W109" s="11"/>
      <c r="Y109" s="9"/>
      <c r="Z109" s="9"/>
    </row>
    <row r="110" spans="11:26" s="10" customFormat="1" ht="15" customHeight="1" x14ac:dyDescent="0.15">
      <c r="K110" s="11"/>
      <c r="L110" s="11"/>
      <c r="M110" s="11"/>
      <c r="N110" s="11"/>
      <c r="O110" s="11"/>
      <c r="P110" s="11"/>
      <c r="Q110" s="11"/>
      <c r="S110" s="11"/>
      <c r="T110" s="11"/>
      <c r="V110" s="11"/>
      <c r="W110" s="11"/>
      <c r="Y110" s="9"/>
      <c r="Z110" s="9"/>
    </row>
    <row r="111" spans="11:26" s="10" customFormat="1" ht="15" customHeight="1" x14ac:dyDescent="0.15">
      <c r="K111" s="11"/>
      <c r="L111" s="11"/>
      <c r="M111" s="11"/>
      <c r="N111" s="11"/>
      <c r="O111" s="11"/>
      <c r="P111" s="11"/>
      <c r="Q111" s="11"/>
      <c r="S111" s="11"/>
      <c r="T111" s="11"/>
      <c r="V111" s="11"/>
      <c r="W111" s="11"/>
      <c r="Y111" s="9"/>
      <c r="Z111" s="9"/>
    </row>
    <row r="112" spans="11:26" s="10" customFormat="1" ht="15" customHeight="1" x14ac:dyDescent="0.15">
      <c r="K112" s="11"/>
      <c r="L112" s="11"/>
      <c r="M112" s="11"/>
      <c r="N112" s="11"/>
      <c r="O112" s="11"/>
      <c r="P112" s="11"/>
      <c r="Q112" s="11"/>
      <c r="S112" s="11"/>
      <c r="T112" s="11"/>
      <c r="V112" s="11"/>
      <c r="W112" s="11"/>
      <c r="Y112" s="9"/>
      <c r="Z112" s="9"/>
    </row>
    <row r="113" spans="19:26" s="10" customFormat="1" ht="15" customHeight="1" x14ac:dyDescent="0.15">
      <c r="S113" s="11"/>
      <c r="T113" s="11"/>
      <c r="V113" s="11"/>
      <c r="W113" s="11"/>
      <c r="Y113" s="9"/>
      <c r="Z113" s="9"/>
    </row>
    <row r="114" spans="19:26" s="10" customFormat="1" ht="15" customHeight="1" x14ac:dyDescent="0.15">
      <c r="S114" s="11"/>
      <c r="T114" s="11"/>
      <c r="V114" s="11"/>
      <c r="W114" s="11"/>
      <c r="Y114" s="9"/>
      <c r="Z114" s="9"/>
    </row>
    <row r="115" spans="19:26" s="10" customFormat="1" ht="15" customHeight="1" x14ac:dyDescent="0.15">
      <c r="S115" s="11"/>
      <c r="T115" s="11"/>
      <c r="V115" s="11"/>
      <c r="W115" s="11"/>
      <c r="Y115" s="9"/>
      <c r="Z115" s="9"/>
    </row>
    <row r="116" spans="19:26" s="10" customFormat="1" ht="15" customHeight="1" x14ac:dyDescent="0.15">
      <c r="S116" s="11"/>
      <c r="T116" s="11"/>
      <c r="V116" s="11"/>
      <c r="W116" s="11"/>
      <c r="Y116" s="9"/>
      <c r="Z116" s="9"/>
    </row>
    <row r="117" spans="19:26" s="10" customFormat="1" ht="15" customHeight="1" x14ac:dyDescent="0.15">
      <c r="S117" s="11"/>
      <c r="T117" s="11"/>
      <c r="V117" s="11"/>
      <c r="W117" s="11"/>
      <c r="Y117" s="9"/>
      <c r="Z117" s="9"/>
    </row>
    <row r="118" spans="19:26" s="10" customFormat="1" ht="15" customHeight="1" x14ac:dyDescent="0.15">
      <c r="S118" s="11"/>
      <c r="T118" s="11"/>
      <c r="V118" s="11"/>
      <c r="W118" s="11"/>
      <c r="Y118" s="9"/>
      <c r="Z118" s="9"/>
    </row>
    <row r="119" spans="19:26" s="10" customFormat="1" ht="15" customHeight="1" x14ac:dyDescent="0.15">
      <c r="S119" s="11"/>
      <c r="T119" s="11"/>
      <c r="V119" s="11"/>
      <c r="W119" s="11"/>
      <c r="Y119" s="9"/>
      <c r="Z119" s="9"/>
    </row>
    <row r="120" spans="19:26" s="10" customFormat="1" ht="15" customHeight="1" x14ac:dyDescent="0.15">
      <c r="S120" s="11"/>
      <c r="T120" s="11"/>
      <c r="V120" s="11"/>
      <c r="W120" s="11"/>
      <c r="Y120" s="9"/>
      <c r="Z120" s="9"/>
    </row>
    <row r="121" spans="19:26" s="10" customFormat="1" ht="15" customHeight="1" x14ac:dyDescent="0.15">
      <c r="S121" s="11"/>
      <c r="T121" s="11"/>
      <c r="V121" s="11"/>
      <c r="W121" s="11"/>
      <c r="Y121" s="9"/>
      <c r="Z121" s="9"/>
    </row>
    <row r="122" spans="19:26" s="10" customFormat="1" ht="15" customHeight="1" x14ac:dyDescent="0.15">
      <c r="S122" s="11"/>
      <c r="T122" s="11"/>
      <c r="V122" s="11"/>
      <c r="W122" s="11"/>
      <c r="Y122" s="9"/>
      <c r="Z122" s="9"/>
    </row>
    <row r="123" spans="19:26" s="10" customFormat="1" ht="15" customHeight="1" x14ac:dyDescent="0.15">
      <c r="S123" s="11"/>
      <c r="T123" s="11"/>
      <c r="V123" s="11"/>
      <c r="W123" s="11"/>
      <c r="Y123" s="9"/>
      <c r="Z123" s="9"/>
    </row>
    <row r="124" spans="19:26" s="10" customFormat="1" ht="15" customHeight="1" x14ac:dyDescent="0.15">
      <c r="S124" s="15"/>
      <c r="T124" s="15"/>
      <c r="V124" s="15"/>
      <c r="W124" s="15"/>
      <c r="Y124" s="9"/>
      <c r="Z124" s="9"/>
    </row>
    <row r="125" spans="19:26" s="10" customFormat="1" ht="15" customHeight="1" x14ac:dyDescent="0.15">
      <c r="S125" s="15"/>
      <c r="T125" s="15"/>
      <c r="V125" s="15"/>
      <c r="W125" s="15"/>
      <c r="Y125" s="9"/>
      <c r="Z125" s="9"/>
    </row>
    <row r="126" spans="19:26" s="10" customFormat="1" ht="15" customHeight="1" x14ac:dyDescent="0.15">
      <c r="S126" s="15"/>
      <c r="T126" s="15"/>
      <c r="V126" s="15"/>
      <c r="W126" s="15"/>
      <c r="Y126" s="9"/>
      <c r="Z126" s="9"/>
    </row>
    <row r="127" spans="19:26" s="10" customFormat="1" ht="15" customHeight="1" x14ac:dyDescent="0.15">
      <c r="S127" s="15"/>
      <c r="T127" s="15"/>
      <c r="V127" s="15"/>
      <c r="W127" s="15"/>
      <c r="Y127" s="9"/>
      <c r="Z127" s="9"/>
    </row>
    <row r="128" spans="19:26" s="10" customFormat="1" ht="15" customHeight="1" x14ac:dyDescent="0.15">
      <c r="S128" s="15"/>
      <c r="T128" s="15"/>
      <c r="V128" s="15"/>
      <c r="W128" s="15"/>
      <c r="Y128" s="9"/>
      <c r="Z128" s="9"/>
    </row>
    <row r="129" spans="19:26" s="10" customFormat="1" ht="15" customHeight="1" x14ac:dyDescent="0.15">
      <c r="S129" s="15"/>
      <c r="T129" s="15"/>
      <c r="V129" s="15"/>
      <c r="W129" s="15"/>
      <c r="Y129" s="9"/>
      <c r="Z129" s="9"/>
    </row>
    <row r="130" spans="19:26" s="10" customFormat="1" ht="15" customHeight="1" x14ac:dyDescent="0.15">
      <c r="S130" s="15"/>
      <c r="T130" s="15"/>
      <c r="V130" s="15"/>
      <c r="W130" s="15"/>
      <c r="Y130" s="9"/>
      <c r="Z130" s="9"/>
    </row>
    <row r="131" spans="19:26" s="10" customFormat="1" ht="15" customHeight="1" x14ac:dyDescent="0.15">
      <c r="S131" s="15"/>
      <c r="T131" s="15"/>
      <c r="V131" s="15"/>
      <c r="W131" s="15"/>
      <c r="Y131" s="9"/>
      <c r="Z131" s="9"/>
    </row>
    <row r="132" spans="19:26" s="10" customFormat="1" ht="15" customHeight="1" x14ac:dyDescent="0.15">
      <c r="S132" s="15"/>
      <c r="T132" s="15"/>
      <c r="V132" s="15"/>
      <c r="W132" s="15"/>
      <c r="Y132" s="9"/>
      <c r="Z132" s="9"/>
    </row>
    <row r="133" spans="19:26" s="10" customFormat="1" ht="15" customHeight="1" x14ac:dyDescent="0.15">
      <c r="S133" s="15"/>
      <c r="T133" s="15"/>
      <c r="V133" s="15"/>
      <c r="W133" s="15"/>
      <c r="Y133" s="9"/>
      <c r="Z133" s="9"/>
    </row>
    <row r="134" spans="19:26" s="10" customFormat="1" ht="15" customHeight="1" x14ac:dyDescent="0.15">
      <c r="S134" s="15"/>
      <c r="T134" s="15"/>
      <c r="V134" s="15"/>
      <c r="W134" s="15"/>
      <c r="Y134" s="9"/>
      <c r="Z134" s="9"/>
    </row>
    <row r="135" spans="19:26" s="10" customFormat="1" ht="15" customHeight="1" x14ac:dyDescent="0.15">
      <c r="S135" s="15"/>
      <c r="T135" s="15"/>
      <c r="V135" s="15"/>
      <c r="W135" s="15"/>
      <c r="Y135" s="9"/>
      <c r="Z135" s="9"/>
    </row>
    <row r="136" spans="19:26" s="10" customFormat="1" ht="15" customHeight="1" x14ac:dyDescent="0.15">
      <c r="S136" s="15"/>
      <c r="T136" s="15"/>
      <c r="V136" s="15"/>
      <c r="W136" s="15"/>
      <c r="Y136" s="9"/>
      <c r="Z136" s="9"/>
    </row>
    <row r="137" spans="19:26" s="10" customFormat="1" ht="15" customHeight="1" x14ac:dyDescent="0.15">
      <c r="S137" s="15"/>
      <c r="T137" s="15"/>
      <c r="V137" s="15"/>
      <c r="W137" s="15"/>
      <c r="Y137" s="9"/>
      <c r="Z137" s="9"/>
    </row>
    <row r="138" spans="19:26" s="10" customFormat="1" ht="15" customHeight="1" x14ac:dyDescent="0.15">
      <c r="S138" s="15"/>
      <c r="T138" s="15"/>
      <c r="V138" s="15"/>
      <c r="W138" s="15"/>
      <c r="Y138" s="9"/>
      <c r="Z138" s="9"/>
    </row>
    <row r="139" spans="19:26" s="10" customFormat="1" ht="15" customHeight="1" x14ac:dyDescent="0.15">
      <c r="S139" s="15"/>
      <c r="T139" s="15"/>
      <c r="V139" s="15"/>
      <c r="W139" s="15"/>
      <c r="Y139" s="9"/>
      <c r="Z139" s="9"/>
    </row>
    <row r="140" spans="19:26" s="10" customFormat="1" ht="15" customHeight="1" x14ac:dyDescent="0.15">
      <c r="S140" s="15"/>
      <c r="T140" s="15"/>
      <c r="V140" s="15"/>
      <c r="W140" s="15"/>
      <c r="Y140" s="9"/>
      <c r="Z140" s="9"/>
    </row>
    <row r="141" spans="19:26" s="10" customFormat="1" ht="15" customHeight="1" x14ac:dyDescent="0.15">
      <c r="S141" s="15"/>
      <c r="T141" s="15"/>
      <c r="V141" s="15"/>
      <c r="W141" s="15"/>
      <c r="Y141" s="9"/>
      <c r="Z141" s="9"/>
    </row>
    <row r="142" spans="19:26" s="10" customFormat="1" ht="15" customHeight="1" x14ac:dyDescent="0.15">
      <c r="S142" s="15"/>
      <c r="T142" s="15"/>
      <c r="V142" s="15"/>
      <c r="W142" s="15"/>
      <c r="Y142" s="9"/>
      <c r="Z142" s="9"/>
    </row>
    <row r="143" spans="19:26" s="10" customFormat="1" ht="15" customHeight="1" x14ac:dyDescent="0.15">
      <c r="S143" s="15"/>
      <c r="T143" s="15"/>
      <c r="V143" s="15"/>
      <c r="W143" s="15"/>
      <c r="Y143" s="9"/>
      <c r="Z143" s="9"/>
    </row>
    <row r="144" spans="19:26" s="10" customFormat="1" ht="15" customHeight="1" x14ac:dyDescent="0.15">
      <c r="S144" s="15"/>
      <c r="T144" s="15"/>
      <c r="V144" s="15"/>
      <c r="W144" s="15"/>
      <c r="Y144" s="9"/>
      <c r="Z144" s="9"/>
    </row>
    <row r="145" spans="19:26" s="10" customFormat="1" ht="15" customHeight="1" x14ac:dyDescent="0.15">
      <c r="S145" s="15"/>
      <c r="T145" s="15"/>
      <c r="V145" s="15"/>
      <c r="W145" s="15"/>
      <c r="Y145" s="9"/>
      <c r="Z145" s="9"/>
    </row>
    <row r="146" spans="19:26" s="10" customFormat="1" ht="15" customHeight="1" x14ac:dyDescent="0.15">
      <c r="S146" s="15"/>
      <c r="T146" s="15"/>
      <c r="V146" s="15"/>
      <c r="W146" s="15"/>
      <c r="Y146" s="9"/>
      <c r="Z146" s="9"/>
    </row>
    <row r="147" spans="19:26" s="10" customFormat="1" ht="15" customHeight="1" x14ac:dyDescent="0.15">
      <c r="S147" s="15"/>
      <c r="T147" s="15"/>
      <c r="V147" s="15"/>
      <c r="W147" s="15"/>
      <c r="Y147" s="9"/>
      <c r="Z147" s="9"/>
    </row>
    <row r="148" spans="19:26" s="10" customFormat="1" ht="15" customHeight="1" x14ac:dyDescent="0.15">
      <c r="S148" s="15"/>
      <c r="T148" s="15"/>
      <c r="V148" s="15"/>
      <c r="W148" s="15"/>
      <c r="Y148" s="9"/>
      <c r="Z148" s="9"/>
    </row>
    <row r="149" spans="19:26" s="10" customFormat="1" ht="15" customHeight="1" x14ac:dyDescent="0.15">
      <c r="S149" s="15"/>
      <c r="T149" s="15"/>
      <c r="V149" s="15"/>
      <c r="W149" s="15"/>
      <c r="Y149" s="9"/>
      <c r="Z149" s="9"/>
    </row>
    <row r="150" spans="19:26" s="10" customFormat="1" ht="15" customHeight="1" x14ac:dyDescent="0.15">
      <c r="S150" s="15"/>
      <c r="T150" s="15"/>
      <c r="V150" s="15"/>
      <c r="W150" s="15"/>
      <c r="Y150" s="9"/>
      <c r="Z150" s="9"/>
    </row>
    <row r="151" spans="19:26" s="10" customFormat="1" ht="15" customHeight="1" x14ac:dyDescent="0.15">
      <c r="S151" s="15"/>
      <c r="T151" s="15"/>
      <c r="V151" s="15"/>
      <c r="W151" s="15"/>
      <c r="Y151" s="9"/>
      <c r="Z151" s="9"/>
    </row>
    <row r="152" spans="19:26" s="10" customFormat="1" ht="15" customHeight="1" x14ac:dyDescent="0.15">
      <c r="S152" s="15"/>
      <c r="T152" s="15"/>
      <c r="V152" s="15"/>
      <c r="W152" s="15"/>
      <c r="Y152" s="9"/>
      <c r="Z152" s="9"/>
    </row>
    <row r="153" spans="19:26" s="10" customFormat="1" ht="15" customHeight="1" x14ac:dyDescent="0.15">
      <c r="S153" s="15"/>
      <c r="T153" s="15"/>
      <c r="V153" s="15"/>
      <c r="W153" s="15"/>
      <c r="Y153" s="9"/>
      <c r="Z153" s="9"/>
    </row>
    <row r="154" spans="19:26" s="10" customFormat="1" ht="15" customHeight="1" x14ac:dyDescent="0.15">
      <c r="S154" s="15"/>
      <c r="T154" s="15"/>
      <c r="V154" s="15"/>
      <c r="W154" s="15"/>
      <c r="Y154" s="9"/>
      <c r="Z154" s="9"/>
    </row>
    <row r="155" spans="19:26" s="10" customFormat="1" ht="15" customHeight="1" x14ac:dyDescent="0.15">
      <c r="S155" s="15"/>
      <c r="T155" s="15"/>
      <c r="V155" s="15"/>
      <c r="W155" s="15"/>
      <c r="Y155" s="9"/>
      <c r="Z155" s="9"/>
    </row>
    <row r="156" spans="19:26" s="10" customFormat="1" ht="15" customHeight="1" x14ac:dyDescent="0.15">
      <c r="S156" s="15"/>
      <c r="T156" s="15"/>
      <c r="V156" s="15"/>
      <c r="W156" s="15"/>
      <c r="Y156" s="9"/>
      <c r="Z156" s="9"/>
    </row>
    <row r="157" spans="19:26" s="10" customFormat="1" ht="15" customHeight="1" x14ac:dyDescent="0.15">
      <c r="S157" s="15"/>
      <c r="T157" s="15"/>
      <c r="V157" s="15"/>
      <c r="W157" s="15"/>
      <c r="Y157" s="9"/>
      <c r="Z157" s="9"/>
    </row>
    <row r="158" spans="19:26" s="10" customFormat="1" ht="15" customHeight="1" x14ac:dyDescent="0.15">
      <c r="S158" s="15"/>
      <c r="T158" s="15"/>
      <c r="V158" s="15"/>
      <c r="W158" s="15"/>
      <c r="Y158" s="9"/>
      <c r="Z158" s="9"/>
    </row>
    <row r="159" spans="19:26" s="10" customFormat="1" ht="15" customHeight="1" x14ac:dyDescent="0.15">
      <c r="S159" s="15"/>
      <c r="T159" s="15"/>
      <c r="V159" s="15"/>
      <c r="W159" s="15"/>
      <c r="Y159" s="9"/>
      <c r="Z159" s="9"/>
    </row>
    <row r="160" spans="19:26" s="10" customFormat="1" ht="15" customHeight="1" x14ac:dyDescent="0.15">
      <c r="S160" s="15"/>
      <c r="T160" s="15"/>
      <c r="V160" s="15"/>
      <c r="W160" s="15"/>
      <c r="Y160" s="9"/>
      <c r="Z160" s="9"/>
    </row>
    <row r="161" spans="19:26" s="10" customFormat="1" ht="15" customHeight="1" x14ac:dyDescent="0.15">
      <c r="S161" s="15"/>
      <c r="T161" s="15"/>
      <c r="V161" s="15"/>
      <c r="W161" s="15"/>
      <c r="Y161" s="9"/>
      <c r="Z161" s="9"/>
    </row>
    <row r="162" spans="19:26" s="10" customFormat="1" ht="15" customHeight="1" x14ac:dyDescent="0.15">
      <c r="S162" s="15"/>
      <c r="T162" s="15"/>
      <c r="V162" s="15"/>
      <c r="W162" s="15"/>
      <c r="Y162" s="9"/>
      <c r="Z162" s="9"/>
    </row>
    <row r="163" spans="19:26" s="10" customFormat="1" ht="15" customHeight="1" x14ac:dyDescent="0.15">
      <c r="S163" s="15"/>
      <c r="T163" s="15"/>
      <c r="V163" s="15"/>
      <c r="W163" s="15"/>
      <c r="Y163" s="9"/>
      <c r="Z163" s="9"/>
    </row>
    <row r="164" spans="19:26" s="10" customFormat="1" ht="15" customHeight="1" x14ac:dyDescent="0.15">
      <c r="S164" s="15"/>
      <c r="T164" s="15"/>
      <c r="V164" s="15"/>
      <c r="W164" s="15"/>
      <c r="Y164" s="9"/>
      <c r="Z164" s="9"/>
    </row>
    <row r="165" spans="19:26" s="10" customFormat="1" ht="15" customHeight="1" x14ac:dyDescent="0.15">
      <c r="S165" s="15"/>
      <c r="T165" s="15"/>
      <c r="V165" s="15"/>
      <c r="W165" s="15"/>
      <c r="Y165" s="9"/>
      <c r="Z165" s="9"/>
    </row>
    <row r="166" spans="19:26" s="10" customFormat="1" ht="15" customHeight="1" x14ac:dyDescent="0.15">
      <c r="S166" s="15"/>
      <c r="T166" s="15"/>
      <c r="V166" s="15"/>
      <c r="W166" s="15"/>
      <c r="Y166" s="9"/>
      <c r="Z166" s="9"/>
    </row>
    <row r="167" spans="19:26" s="10" customFormat="1" ht="15" customHeight="1" x14ac:dyDescent="0.15">
      <c r="S167" s="15"/>
      <c r="T167" s="15"/>
      <c r="V167" s="15"/>
      <c r="W167" s="15"/>
      <c r="Y167" s="9"/>
      <c r="Z167" s="9"/>
    </row>
    <row r="168" spans="19:26" s="10" customFormat="1" ht="15" customHeight="1" x14ac:dyDescent="0.15">
      <c r="S168" s="15"/>
      <c r="T168" s="15"/>
      <c r="V168" s="15"/>
      <c r="W168" s="15"/>
      <c r="Y168" s="9"/>
      <c r="Z168" s="9"/>
    </row>
    <row r="169" spans="19:26" s="10" customFormat="1" ht="15" customHeight="1" x14ac:dyDescent="0.15">
      <c r="S169" s="15"/>
      <c r="T169" s="15"/>
      <c r="V169" s="15"/>
      <c r="W169" s="15"/>
      <c r="Y169" s="9"/>
      <c r="Z169" s="9"/>
    </row>
    <row r="170" spans="19:26" s="10" customFormat="1" ht="15" customHeight="1" x14ac:dyDescent="0.15">
      <c r="S170" s="15"/>
      <c r="T170" s="15"/>
      <c r="V170" s="15"/>
      <c r="W170" s="15"/>
      <c r="Y170" s="9"/>
      <c r="Z170" s="9"/>
    </row>
    <row r="171" spans="19:26" s="10" customFormat="1" ht="15" customHeight="1" x14ac:dyDescent="0.15">
      <c r="S171" s="15"/>
      <c r="T171" s="15"/>
      <c r="V171" s="15"/>
      <c r="W171" s="15"/>
      <c r="Y171" s="9"/>
      <c r="Z171" s="9"/>
    </row>
    <row r="172" spans="19:26" s="10" customFormat="1" ht="15" customHeight="1" x14ac:dyDescent="0.15">
      <c r="S172" s="15"/>
      <c r="T172" s="15"/>
      <c r="V172" s="15"/>
      <c r="W172" s="15"/>
      <c r="Y172" s="9"/>
      <c r="Z172" s="9"/>
    </row>
    <row r="173" spans="19:26" s="10" customFormat="1" ht="15" customHeight="1" x14ac:dyDescent="0.15">
      <c r="S173" s="15"/>
      <c r="T173" s="15"/>
      <c r="V173" s="15"/>
      <c r="W173" s="15"/>
      <c r="Y173" s="9"/>
      <c r="Z173" s="9"/>
    </row>
    <row r="174" spans="19:26" s="10" customFormat="1" ht="15" customHeight="1" x14ac:dyDescent="0.15">
      <c r="S174" s="15"/>
      <c r="T174" s="15"/>
      <c r="V174" s="15"/>
      <c r="W174" s="15"/>
      <c r="Y174" s="9"/>
      <c r="Z174" s="9"/>
    </row>
    <row r="175" spans="19:26" s="10" customFormat="1" ht="15" customHeight="1" x14ac:dyDescent="0.15">
      <c r="S175" s="15"/>
      <c r="T175" s="15"/>
      <c r="V175" s="15"/>
      <c r="W175" s="15"/>
      <c r="Y175" s="9"/>
      <c r="Z175" s="9"/>
    </row>
    <row r="176" spans="19:26" s="10" customFormat="1" ht="15" customHeight="1" x14ac:dyDescent="0.15">
      <c r="S176" s="15"/>
      <c r="T176" s="15"/>
      <c r="V176" s="15"/>
      <c r="W176" s="15"/>
      <c r="Y176" s="9"/>
      <c r="Z176" s="9"/>
    </row>
    <row r="177" spans="19:26" s="10" customFormat="1" ht="15" customHeight="1" x14ac:dyDescent="0.15">
      <c r="S177" s="15"/>
      <c r="T177" s="15"/>
      <c r="V177" s="15"/>
      <c r="W177" s="15"/>
      <c r="Y177" s="9"/>
      <c r="Z177" s="9"/>
    </row>
    <row r="178" spans="19:26" s="10" customFormat="1" ht="15" customHeight="1" x14ac:dyDescent="0.15">
      <c r="S178" s="15"/>
      <c r="T178" s="15"/>
      <c r="V178" s="15"/>
      <c r="W178" s="15"/>
      <c r="Y178" s="9"/>
      <c r="Z178" s="9"/>
    </row>
    <row r="179" spans="19:26" s="10" customFormat="1" ht="15" customHeight="1" x14ac:dyDescent="0.15">
      <c r="S179" s="15"/>
      <c r="T179" s="15"/>
      <c r="V179" s="15"/>
      <c r="W179" s="15"/>
      <c r="Y179" s="9"/>
      <c r="Z179" s="9"/>
    </row>
    <row r="180" spans="19:26" s="10" customFormat="1" ht="15" customHeight="1" x14ac:dyDescent="0.15">
      <c r="S180" s="15"/>
      <c r="T180" s="15"/>
      <c r="V180" s="15"/>
      <c r="W180" s="15"/>
      <c r="Y180" s="9"/>
      <c r="Z180" s="9"/>
    </row>
    <row r="181" spans="19:26" s="10" customFormat="1" ht="15" customHeight="1" x14ac:dyDescent="0.15">
      <c r="S181" s="15"/>
      <c r="T181" s="15"/>
      <c r="V181" s="15"/>
      <c r="W181" s="15"/>
      <c r="Y181" s="9"/>
      <c r="Z181" s="9"/>
    </row>
    <row r="182" spans="19:26" s="10" customFormat="1" ht="15" customHeight="1" x14ac:dyDescent="0.15">
      <c r="S182" s="15"/>
      <c r="T182" s="15"/>
      <c r="V182" s="15"/>
      <c r="W182" s="15"/>
      <c r="Y182" s="9"/>
      <c r="Z182" s="9"/>
    </row>
    <row r="183" spans="19:26" s="10" customFormat="1" ht="15" customHeight="1" x14ac:dyDescent="0.15">
      <c r="S183" s="15"/>
      <c r="T183" s="15"/>
      <c r="V183" s="15"/>
      <c r="W183" s="15"/>
      <c r="Y183" s="9"/>
      <c r="Z183" s="9"/>
    </row>
    <row r="184" spans="19:26" s="10" customFormat="1" ht="15" customHeight="1" x14ac:dyDescent="0.15">
      <c r="S184" s="15"/>
      <c r="T184" s="15"/>
      <c r="V184" s="15"/>
      <c r="W184" s="15"/>
      <c r="Y184" s="9"/>
      <c r="Z184" s="9"/>
    </row>
    <row r="185" spans="19:26" s="10" customFormat="1" ht="15" customHeight="1" x14ac:dyDescent="0.15">
      <c r="S185" s="15"/>
      <c r="T185" s="15"/>
      <c r="V185" s="15"/>
      <c r="W185" s="15"/>
      <c r="Y185" s="9"/>
      <c r="Z185" s="9"/>
    </row>
    <row r="186" spans="19:26" s="10" customFormat="1" ht="15" customHeight="1" x14ac:dyDescent="0.15">
      <c r="S186" s="15"/>
      <c r="T186" s="15"/>
      <c r="V186" s="15"/>
      <c r="W186" s="15"/>
      <c r="Y186" s="9"/>
      <c r="Z186" s="9"/>
    </row>
    <row r="187" spans="19:26" s="10" customFormat="1" ht="15" customHeight="1" x14ac:dyDescent="0.15">
      <c r="S187" s="15"/>
      <c r="T187" s="15"/>
      <c r="V187" s="15"/>
      <c r="W187" s="15"/>
      <c r="Y187" s="9"/>
      <c r="Z187" s="9"/>
    </row>
    <row r="188" spans="19:26" s="10" customFormat="1" ht="15" customHeight="1" x14ac:dyDescent="0.15">
      <c r="S188" s="15"/>
      <c r="T188" s="15"/>
      <c r="V188" s="15"/>
      <c r="W188" s="15"/>
      <c r="Y188" s="9"/>
      <c r="Z188" s="9"/>
    </row>
    <row r="189" spans="19:26" s="10" customFormat="1" ht="15" customHeight="1" x14ac:dyDescent="0.15">
      <c r="S189" s="15"/>
      <c r="T189" s="15"/>
      <c r="V189" s="15"/>
      <c r="W189" s="15"/>
      <c r="Y189" s="9"/>
      <c r="Z189" s="9"/>
    </row>
    <row r="190" spans="19:26" s="10" customFormat="1" ht="15" customHeight="1" x14ac:dyDescent="0.15">
      <c r="S190" s="15"/>
      <c r="T190" s="15"/>
      <c r="V190" s="15"/>
      <c r="W190" s="15"/>
      <c r="Y190" s="9"/>
      <c r="Z190" s="9"/>
    </row>
    <row r="191" spans="19:26" s="10" customFormat="1" ht="15" customHeight="1" x14ac:dyDescent="0.15">
      <c r="S191" s="15"/>
      <c r="T191" s="15"/>
      <c r="V191" s="15"/>
      <c r="W191" s="15"/>
      <c r="Y191" s="9"/>
      <c r="Z191" s="9"/>
    </row>
    <row r="192" spans="19:26" s="10" customFormat="1" ht="15" customHeight="1" x14ac:dyDescent="0.15">
      <c r="S192" s="15"/>
      <c r="T192" s="15"/>
      <c r="V192" s="15"/>
      <c r="W192" s="15"/>
      <c r="Y192" s="9"/>
      <c r="Z192" s="9"/>
    </row>
    <row r="193" spans="19:26" s="10" customFormat="1" ht="15" customHeight="1" x14ac:dyDescent="0.15">
      <c r="S193" s="15"/>
      <c r="T193" s="15"/>
      <c r="V193" s="15"/>
      <c r="W193" s="15"/>
      <c r="Y193" s="9"/>
      <c r="Z193" s="9"/>
    </row>
    <row r="194" spans="19:26" s="10" customFormat="1" ht="15" customHeight="1" x14ac:dyDescent="0.15">
      <c r="S194" s="15"/>
      <c r="T194" s="15"/>
      <c r="V194" s="15"/>
      <c r="W194" s="15"/>
      <c r="Y194" s="9"/>
      <c r="Z194" s="9"/>
    </row>
    <row r="195" spans="19:26" s="10" customFormat="1" ht="15" customHeight="1" x14ac:dyDescent="0.15">
      <c r="S195" s="15"/>
      <c r="T195" s="15"/>
      <c r="V195" s="15"/>
      <c r="W195" s="15"/>
      <c r="Y195" s="9"/>
      <c r="Z195" s="9"/>
    </row>
    <row r="196" spans="19:26" s="10" customFormat="1" ht="15" customHeight="1" x14ac:dyDescent="0.15">
      <c r="S196" s="15"/>
      <c r="T196" s="15"/>
      <c r="V196" s="15"/>
      <c r="W196" s="15"/>
      <c r="Y196" s="9"/>
      <c r="Z196" s="9"/>
    </row>
    <row r="197" spans="19:26" s="10" customFormat="1" ht="15" customHeight="1" x14ac:dyDescent="0.15">
      <c r="S197" s="15"/>
      <c r="T197" s="15"/>
      <c r="V197" s="15"/>
      <c r="W197" s="15"/>
      <c r="Y197" s="9"/>
      <c r="Z197" s="9"/>
    </row>
    <row r="198" spans="19:26" s="10" customFormat="1" ht="15" customHeight="1" x14ac:dyDescent="0.15">
      <c r="S198" s="15"/>
      <c r="T198" s="15"/>
      <c r="V198" s="15"/>
      <c r="W198" s="15"/>
      <c r="Y198" s="9"/>
      <c r="Z198" s="9"/>
    </row>
    <row r="199" spans="19:26" s="10" customFormat="1" ht="15" customHeight="1" x14ac:dyDescent="0.15">
      <c r="S199" s="15"/>
      <c r="T199" s="15"/>
      <c r="V199" s="15"/>
      <c r="W199" s="15"/>
      <c r="Y199" s="9"/>
      <c r="Z199" s="9"/>
    </row>
    <row r="200" spans="19:26" s="10" customFormat="1" ht="15" customHeight="1" x14ac:dyDescent="0.15">
      <c r="S200" s="15"/>
      <c r="T200" s="15"/>
      <c r="V200" s="15"/>
      <c r="W200" s="15"/>
      <c r="Y200" s="9"/>
      <c r="Z200" s="9"/>
    </row>
    <row r="201" spans="19:26" s="10" customFormat="1" ht="15" customHeight="1" x14ac:dyDescent="0.15">
      <c r="S201" s="15"/>
      <c r="T201" s="15"/>
      <c r="V201" s="15"/>
      <c r="W201" s="15"/>
      <c r="Y201" s="9"/>
      <c r="Z201" s="9"/>
    </row>
    <row r="202" spans="19:26" s="10" customFormat="1" ht="15" customHeight="1" x14ac:dyDescent="0.15">
      <c r="S202" s="15"/>
      <c r="T202" s="15"/>
      <c r="V202" s="15"/>
      <c r="W202" s="15"/>
      <c r="Y202" s="9"/>
      <c r="Z202" s="9"/>
    </row>
    <row r="203" spans="19:26" s="10" customFormat="1" ht="15" customHeight="1" x14ac:dyDescent="0.15">
      <c r="S203" s="15"/>
      <c r="T203" s="15"/>
      <c r="V203" s="15"/>
      <c r="W203" s="15"/>
      <c r="Y203" s="9"/>
      <c r="Z203" s="9"/>
    </row>
    <row r="204" spans="19:26" s="10" customFormat="1" ht="15" customHeight="1" x14ac:dyDescent="0.15">
      <c r="S204" s="15"/>
      <c r="T204" s="15"/>
      <c r="V204" s="15"/>
      <c r="W204" s="15"/>
      <c r="Y204" s="9"/>
      <c r="Z204" s="9"/>
    </row>
    <row r="205" spans="19:26" s="10" customFormat="1" ht="15" customHeight="1" x14ac:dyDescent="0.15">
      <c r="S205" s="15"/>
      <c r="T205" s="15"/>
      <c r="V205" s="15"/>
      <c r="W205" s="15"/>
      <c r="Y205" s="9"/>
      <c r="Z205" s="9"/>
    </row>
    <row r="206" spans="19:26" s="10" customFormat="1" ht="15" customHeight="1" x14ac:dyDescent="0.15">
      <c r="S206" s="15"/>
      <c r="T206" s="15"/>
      <c r="V206" s="15"/>
      <c r="W206" s="15"/>
      <c r="Y206" s="9"/>
      <c r="Z206" s="9"/>
    </row>
    <row r="207" spans="19:26" s="10" customFormat="1" ht="15" customHeight="1" x14ac:dyDescent="0.15">
      <c r="S207" s="15"/>
      <c r="T207" s="15"/>
      <c r="V207" s="15"/>
      <c r="W207" s="15"/>
      <c r="Y207" s="9"/>
      <c r="Z207" s="9"/>
    </row>
    <row r="208" spans="19:26" s="10" customFormat="1" ht="15" customHeight="1" x14ac:dyDescent="0.15">
      <c r="S208" s="15"/>
      <c r="T208" s="15"/>
      <c r="V208" s="15"/>
      <c r="W208" s="15"/>
      <c r="Y208" s="9"/>
      <c r="Z208" s="9"/>
    </row>
    <row r="209" spans="19:26" s="10" customFormat="1" ht="15" customHeight="1" x14ac:dyDescent="0.15">
      <c r="S209" s="15"/>
      <c r="T209" s="15"/>
      <c r="V209" s="15"/>
      <c r="W209" s="15"/>
      <c r="Y209" s="9"/>
      <c r="Z209" s="9"/>
    </row>
    <row r="210" spans="19:26" s="10" customFormat="1" ht="15" customHeight="1" x14ac:dyDescent="0.15">
      <c r="S210" s="15"/>
      <c r="T210" s="15"/>
      <c r="V210" s="15"/>
      <c r="W210" s="15"/>
      <c r="Y210" s="9"/>
      <c r="Z210" s="9"/>
    </row>
    <row r="211" spans="19:26" s="10" customFormat="1" ht="15" customHeight="1" x14ac:dyDescent="0.15">
      <c r="S211" s="15"/>
      <c r="T211" s="15"/>
      <c r="V211" s="15"/>
      <c r="W211" s="15"/>
      <c r="Y211" s="9"/>
      <c r="Z211" s="9"/>
    </row>
    <row r="212" spans="19:26" s="10" customFormat="1" ht="15" customHeight="1" x14ac:dyDescent="0.15">
      <c r="S212" s="15"/>
      <c r="T212" s="15"/>
      <c r="V212" s="15"/>
      <c r="W212" s="15"/>
      <c r="Y212" s="9"/>
      <c r="Z212" s="9"/>
    </row>
    <row r="213" spans="19:26" s="10" customFormat="1" ht="15" customHeight="1" x14ac:dyDescent="0.15">
      <c r="S213" s="15"/>
      <c r="T213" s="15"/>
      <c r="V213" s="15"/>
      <c r="W213" s="15"/>
      <c r="Y213" s="9"/>
      <c r="Z213" s="9"/>
    </row>
    <row r="214" spans="19:26" s="10" customFormat="1" ht="15" customHeight="1" x14ac:dyDescent="0.15">
      <c r="S214" s="15"/>
      <c r="T214" s="15"/>
      <c r="V214" s="15"/>
      <c r="W214" s="15"/>
      <c r="Y214" s="9"/>
      <c r="Z214" s="9"/>
    </row>
    <row r="215" spans="19:26" s="10" customFormat="1" ht="15" customHeight="1" x14ac:dyDescent="0.15">
      <c r="S215" s="15"/>
      <c r="T215" s="15"/>
      <c r="V215" s="15"/>
      <c r="W215" s="15"/>
      <c r="Y215" s="9"/>
      <c r="Z215" s="9"/>
    </row>
    <row r="216" spans="19:26" s="10" customFormat="1" ht="15" customHeight="1" x14ac:dyDescent="0.15">
      <c r="S216" s="15"/>
      <c r="T216" s="15"/>
      <c r="V216" s="15"/>
      <c r="W216" s="15"/>
      <c r="Y216" s="9"/>
      <c r="Z216" s="9"/>
    </row>
    <row r="217" spans="19:26" s="10" customFormat="1" ht="15" customHeight="1" x14ac:dyDescent="0.15">
      <c r="S217" s="15"/>
      <c r="T217" s="15"/>
      <c r="V217" s="15"/>
      <c r="W217" s="15"/>
      <c r="Y217" s="9"/>
      <c r="Z217" s="9"/>
    </row>
    <row r="218" spans="19:26" s="10" customFormat="1" ht="15" customHeight="1" x14ac:dyDescent="0.15">
      <c r="S218" s="15"/>
      <c r="T218" s="15"/>
      <c r="V218" s="15"/>
      <c r="W218" s="15"/>
      <c r="Y218" s="9"/>
      <c r="Z218" s="9"/>
    </row>
    <row r="219" spans="19:26" s="10" customFormat="1" ht="15" customHeight="1" x14ac:dyDescent="0.15">
      <c r="S219" s="15"/>
      <c r="T219" s="15"/>
      <c r="V219" s="15"/>
      <c r="W219" s="15"/>
      <c r="Y219" s="9"/>
      <c r="Z219" s="9"/>
    </row>
    <row r="220" spans="19:26" s="10" customFormat="1" ht="15" customHeight="1" x14ac:dyDescent="0.15">
      <c r="S220" s="15"/>
      <c r="T220" s="15"/>
      <c r="V220" s="15"/>
      <c r="W220" s="15"/>
      <c r="Y220" s="9"/>
      <c r="Z220" s="9"/>
    </row>
    <row r="221" spans="19:26" s="10" customFormat="1" ht="15" customHeight="1" x14ac:dyDescent="0.15">
      <c r="S221" s="15"/>
      <c r="T221" s="15"/>
      <c r="V221" s="15"/>
      <c r="W221" s="15"/>
      <c r="Y221" s="9"/>
      <c r="Z221" s="9"/>
    </row>
    <row r="222" spans="19:26" s="10" customFormat="1" ht="15" customHeight="1" x14ac:dyDescent="0.15">
      <c r="S222" s="15"/>
      <c r="T222" s="15"/>
      <c r="V222" s="15"/>
      <c r="W222" s="15"/>
      <c r="Y222" s="9"/>
      <c r="Z222" s="9"/>
    </row>
    <row r="223" spans="19:26" s="10" customFormat="1" ht="15" customHeight="1" x14ac:dyDescent="0.15">
      <c r="S223" s="15"/>
      <c r="T223" s="15"/>
      <c r="V223" s="15"/>
      <c r="W223" s="15"/>
      <c r="Y223" s="9"/>
      <c r="Z223" s="9"/>
    </row>
    <row r="224" spans="19:26" s="10" customFormat="1" ht="15" customHeight="1" x14ac:dyDescent="0.15">
      <c r="S224" s="15"/>
      <c r="T224" s="15"/>
      <c r="V224" s="15"/>
      <c r="W224" s="15"/>
      <c r="Y224" s="9"/>
      <c r="Z224" s="9"/>
    </row>
    <row r="225" spans="19:26" s="10" customFormat="1" ht="15" customHeight="1" x14ac:dyDescent="0.15">
      <c r="S225" s="15"/>
      <c r="T225" s="15"/>
      <c r="V225" s="15"/>
      <c r="W225" s="15"/>
      <c r="Y225" s="9"/>
      <c r="Z225" s="9"/>
    </row>
    <row r="226" spans="19:26" s="10" customFormat="1" ht="15" customHeight="1" x14ac:dyDescent="0.15">
      <c r="S226" s="15"/>
      <c r="T226" s="15"/>
      <c r="V226" s="15"/>
      <c r="W226" s="15"/>
      <c r="Y226" s="9"/>
      <c r="Z226" s="9"/>
    </row>
    <row r="227" spans="19:26" s="10" customFormat="1" ht="15" customHeight="1" x14ac:dyDescent="0.15">
      <c r="S227" s="15"/>
      <c r="T227" s="15"/>
      <c r="V227" s="15"/>
      <c r="W227" s="15"/>
      <c r="Y227" s="9"/>
      <c r="Z227" s="9"/>
    </row>
    <row r="228" spans="19:26" s="10" customFormat="1" ht="15" customHeight="1" x14ac:dyDescent="0.15">
      <c r="S228" s="15"/>
      <c r="T228" s="15"/>
      <c r="V228" s="15"/>
      <c r="W228" s="15"/>
      <c r="Y228" s="9"/>
      <c r="Z228" s="9"/>
    </row>
    <row r="229" spans="19:26" s="10" customFormat="1" ht="15" customHeight="1" x14ac:dyDescent="0.15">
      <c r="S229" s="15"/>
      <c r="T229" s="15"/>
      <c r="V229" s="15"/>
      <c r="W229" s="15"/>
      <c r="Y229" s="9"/>
      <c r="Z229" s="9"/>
    </row>
    <row r="230" spans="19:26" s="10" customFormat="1" ht="15" customHeight="1" x14ac:dyDescent="0.15">
      <c r="S230" s="15"/>
      <c r="T230" s="15"/>
      <c r="V230" s="15"/>
      <c r="W230" s="15"/>
      <c r="Y230" s="9"/>
      <c r="Z230" s="9"/>
    </row>
  </sheetData>
  <phoneticPr fontId="1" type="noConversion"/>
  <conditionalFormatting sqref="A51:A1048576 A1:A9 A11:A31 A33:A48">
    <cfRule type="duplicateValues" dxfId="8" priority="9"/>
  </conditionalFormatting>
  <conditionalFormatting sqref="A49">
    <cfRule type="duplicateValues" dxfId="7" priority="8"/>
  </conditionalFormatting>
  <conditionalFormatting sqref="A50">
    <cfRule type="duplicateValues" dxfId="6" priority="7"/>
  </conditionalFormatting>
  <conditionalFormatting sqref="A1:A9 A11:A31 A33:A1048576">
    <cfRule type="duplicateValues" dxfId="5" priority="6"/>
  </conditionalFormatting>
  <conditionalFormatting sqref="A10">
    <cfRule type="duplicateValues" dxfId="4" priority="5"/>
  </conditionalFormatting>
  <conditionalFormatting sqref="A10">
    <cfRule type="duplicateValues" dxfId="3" priority="4"/>
  </conditionalFormatting>
  <conditionalFormatting sqref="A32">
    <cfRule type="duplicateValues" dxfId="2" priority="3"/>
  </conditionalFormatting>
  <conditionalFormatting sqref="A32">
    <cfRule type="duplicateValues" dxfId="1" priority="2"/>
  </conditionalFormatting>
  <conditionalFormatting sqref="A1:A1048576">
    <cfRule type="duplicateValues" dxfId="0" priority="1"/>
  </conditionalFormatting>
  <pageMargins left="0.75" right="0.75" top="1" bottom="1" header="0.5" footer="0.5"/>
  <pageSetup paperSize="9" orientation="portrait" horizontalDpi="300" verticalDpi="30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E24"/>
  <sheetViews>
    <sheetView workbookViewId="0">
      <selection activeCell="C11" sqref="C11:D16"/>
    </sheetView>
  </sheetViews>
  <sheetFormatPr defaultRowHeight="14.25" x14ac:dyDescent="0.15"/>
  <cols>
    <col min="1" max="1" width="4.75" customWidth="1"/>
    <col min="2" max="2" width="14.125" customWidth="1"/>
    <col min="3" max="3" width="49.625" customWidth="1"/>
    <col min="4" max="4" width="25" customWidth="1"/>
    <col min="5" max="5" width="23.625" customWidth="1"/>
    <col min="7" max="7" width="25.125" customWidth="1"/>
    <col min="8" max="8" width="18.375" customWidth="1"/>
  </cols>
  <sheetData>
    <row r="1" spans="1:5" ht="28.5" x14ac:dyDescent="0.15">
      <c r="C1" s="14" t="s">
        <v>44</v>
      </c>
    </row>
    <row r="3" spans="1:5" x14ac:dyDescent="0.15">
      <c r="A3" t="s">
        <v>4</v>
      </c>
      <c r="B3" t="s">
        <v>5</v>
      </c>
      <c r="C3" t="s">
        <v>6</v>
      </c>
      <c r="D3" t="s">
        <v>1</v>
      </c>
      <c r="E3" t="s">
        <v>2</v>
      </c>
    </row>
    <row r="4" spans="1:5" x14ac:dyDescent="0.15">
      <c r="A4">
        <v>1</v>
      </c>
      <c r="B4" t="s">
        <v>4</v>
      </c>
      <c r="C4" t="s">
        <v>27</v>
      </c>
      <c r="E4" t="s">
        <v>3</v>
      </c>
    </row>
    <row r="5" spans="1:5" x14ac:dyDescent="0.15">
      <c r="B5" t="s">
        <v>5</v>
      </c>
      <c r="C5" t="s">
        <v>28</v>
      </c>
      <c r="E5" t="s">
        <v>0</v>
      </c>
    </row>
    <row r="6" spans="1:5" x14ac:dyDescent="0.15">
      <c r="B6" t="s">
        <v>37</v>
      </c>
      <c r="C6" t="s">
        <v>38</v>
      </c>
    </row>
    <row r="7" spans="1:5" x14ac:dyDescent="0.15">
      <c r="C7" t="s">
        <v>56</v>
      </c>
      <c r="D7" s="13">
        <v>10</v>
      </c>
    </row>
    <row r="8" spans="1:5" x14ac:dyDescent="0.15">
      <c r="C8" t="s">
        <v>39</v>
      </c>
      <c r="D8" s="13">
        <v>9</v>
      </c>
    </row>
    <row r="9" spans="1:5" x14ac:dyDescent="0.15">
      <c r="C9" t="s">
        <v>40</v>
      </c>
      <c r="D9" s="13">
        <v>7</v>
      </c>
    </row>
    <row r="10" spans="1:5" x14ac:dyDescent="0.15">
      <c r="B10" t="s">
        <v>13</v>
      </c>
      <c r="C10" s="1" t="s">
        <v>29</v>
      </c>
      <c r="D10" s="4"/>
    </row>
    <row r="11" spans="1:5" x14ac:dyDescent="0.15">
      <c r="C11" t="s">
        <v>30</v>
      </c>
      <c r="D11" t="s">
        <v>10</v>
      </c>
    </row>
    <row r="12" spans="1:5" x14ac:dyDescent="0.15">
      <c r="C12" t="s">
        <v>31</v>
      </c>
      <c r="D12" t="s">
        <v>11</v>
      </c>
    </row>
    <row r="13" spans="1:5" x14ac:dyDescent="0.15">
      <c r="C13" t="s">
        <v>23</v>
      </c>
      <c r="D13" t="s">
        <v>12</v>
      </c>
    </row>
    <row r="14" spans="1:5" x14ac:dyDescent="0.15">
      <c r="C14" t="s">
        <v>61</v>
      </c>
      <c r="D14" t="s">
        <v>15</v>
      </c>
      <c r="E14" s="5"/>
    </row>
    <row r="15" spans="1:5" ht="15.75" customHeight="1" x14ac:dyDescent="0.15">
      <c r="D15" s="4" t="s">
        <v>14</v>
      </c>
    </row>
    <row r="16" spans="1:5" ht="15.75" customHeight="1" x14ac:dyDescent="0.15">
      <c r="D16" s="4" t="s">
        <v>17</v>
      </c>
    </row>
    <row r="17" spans="2:4" x14ac:dyDescent="0.15">
      <c r="B17" t="s">
        <v>19</v>
      </c>
      <c r="C17" t="s">
        <v>32</v>
      </c>
    </row>
    <row r="18" spans="2:4" x14ac:dyDescent="0.15">
      <c r="B18" t="s">
        <v>59</v>
      </c>
      <c r="C18" t="s">
        <v>60</v>
      </c>
    </row>
    <row r="19" spans="2:4" x14ac:dyDescent="0.15">
      <c r="B19" t="s">
        <v>41</v>
      </c>
      <c r="C19" t="s">
        <v>42</v>
      </c>
      <c r="D19" t="s">
        <v>62</v>
      </c>
    </row>
    <row r="20" spans="2:4" x14ac:dyDescent="0.15">
      <c r="C20" t="s">
        <v>43</v>
      </c>
    </row>
    <row r="21" spans="2:4" x14ac:dyDescent="0.15">
      <c r="B21" t="s">
        <v>24</v>
      </c>
      <c r="C21" s="1" t="s">
        <v>57</v>
      </c>
    </row>
    <row r="22" spans="2:4" x14ac:dyDescent="0.15">
      <c r="B22" t="s">
        <v>54</v>
      </c>
      <c r="C22" t="s">
        <v>58</v>
      </c>
    </row>
    <row r="24" spans="2:4" ht="13.5" customHeight="1" x14ac:dyDescent="0.15"/>
  </sheetData>
  <phoneticPr fontId="1" type="noConversion"/>
  <pageMargins left="0.75" right="0.75" top="1" bottom="1" header="0.5" footer="0.5"/>
  <pageSetup paperSize="9" orientation="portrait" horizontalDpi="300" verticalDpi="300" r:id="rId1"/>
  <headerFooter alignWithMargins="0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B3"/>
  <sheetViews>
    <sheetView workbookViewId="0">
      <selection activeCell="A3" sqref="A3:IV3"/>
    </sheetView>
  </sheetViews>
  <sheetFormatPr defaultRowHeight="14.25" x14ac:dyDescent="0.15"/>
  <cols>
    <col min="1" max="1" width="15" customWidth="1"/>
    <col min="2" max="2" width="34.75" customWidth="1"/>
  </cols>
  <sheetData>
    <row r="1" spans="1:2" x14ac:dyDescent="0.15">
      <c r="A1" t="s">
        <v>16</v>
      </c>
      <c r="B1" t="s">
        <v>25</v>
      </c>
    </row>
    <row r="2" spans="1:2" x14ac:dyDescent="0.15">
      <c r="A2" t="s">
        <v>33</v>
      </c>
      <c r="B2" t="s">
        <v>26</v>
      </c>
    </row>
    <row r="3" spans="1:2" x14ac:dyDescent="0.15">
      <c r="A3" t="s">
        <v>34</v>
      </c>
      <c r="B3" t="s">
        <v>35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3</vt:i4>
      </vt:variant>
      <vt:variant>
        <vt:lpstr>命名范围</vt:lpstr>
      </vt:variant>
      <vt:variant>
        <vt:i4>1</vt:i4>
      </vt:variant>
    </vt:vector>
  </HeadingPairs>
  <TitlesOfParts>
    <vt:vector size="4" baseType="lpstr">
      <vt:lpstr>Sheet1</vt:lpstr>
      <vt:lpstr>字段说明</vt:lpstr>
      <vt:lpstr>ID段划分备注</vt:lpstr>
      <vt:lpstr>ID段划分备注!不可叠加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zt</dc:creator>
  <cp:lastModifiedBy>user</cp:lastModifiedBy>
  <dcterms:created xsi:type="dcterms:W3CDTF">2006-11-01T06:28:03Z</dcterms:created>
  <dcterms:modified xsi:type="dcterms:W3CDTF">2013-12-05T06:44:30Z</dcterms:modified>
</cp:coreProperties>
</file>
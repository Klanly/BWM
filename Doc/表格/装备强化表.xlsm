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70" windowWidth="12165" windowHeight="13530"/>
  </bookViews>
  <sheets>
    <sheet name="Sheet1" sheetId="2" r:id="rId1"/>
    <sheet name="装备参照" sheetId="4" r:id="rId2"/>
    <sheet name="字段说明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Y1080" i="2" l="1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52" i="2"/>
  <c r="AC2254" i="2" l="1"/>
  <c r="AC2258" i="2"/>
  <c r="AC2279" i="2"/>
  <c r="AC2311" i="2"/>
  <c r="AC2339" i="2"/>
  <c r="AC2343" i="2"/>
  <c r="AC2371" i="2"/>
  <c r="AC2372" i="2"/>
  <c r="AC2373" i="2"/>
  <c r="AC2374" i="2"/>
  <c r="AC2375" i="2"/>
  <c r="AC2376" i="2"/>
  <c r="AC2377" i="2"/>
  <c r="AC2378" i="2"/>
  <c r="AC2389" i="2"/>
  <c r="AC2399" i="2"/>
  <c r="AC2400" i="2"/>
  <c r="AC2401" i="2"/>
  <c r="AC2252" i="2"/>
  <c r="AC2276" i="2"/>
  <c r="AC1679" i="2"/>
  <c r="AC2280" i="2"/>
  <c r="AC2281" i="2"/>
  <c r="AC1653" i="2"/>
  <c r="AC2253" i="2" s="1"/>
  <c r="AC1654" i="2"/>
  <c r="AC1655" i="2"/>
  <c r="AC2255" i="2" s="1"/>
  <c r="AC1656" i="2"/>
  <c r="AC2256" i="2" s="1"/>
  <c r="AC1657" i="2"/>
  <c r="AC2257" i="2" s="1"/>
  <c r="AC1658" i="2"/>
  <c r="AC2260" i="2"/>
  <c r="AC1669" i="2"/>
  <c r="AC2269" i="2" s="1"/>
  <c r="AC1652" i="2"/>
  <c r="AB1955" i="2"/>
  <c r="AB1979" i="2"/>
  <c r="AB1983" i="2"/>
  <c r="AB1987" i="2"/>
  <c r="AB1989" i="2"/>
  <c r="AB1993" i="2"/>
  <c r="AB2014" i="2"/>
  <c r="AB2041" i="2"/>
  <c r="AB2052" i="2"/>
  <c r="AB2072" i="2"/>
  <c r="AB2073" i="2"/>
  <c r="AB2074" i="2"/>
  <c r="AB2075" i="2"/>
  <c r="AB2076" i="2"/>
  <c r="AB2077" i="2"/>
  <c r="AB2078" i="2"/>
  <c r="AB2082" i="2"/>
  <c r="AB2086" i="2"/>
  <c r="AB2090" i="2"/>
  <c r="AB2096" i="2"/>
  <c r="AB2099" i="2"/>
  <c r="AB2100" i="2"/>
  <c r="AB2101" i="2"/>
  <c r="AB1893" i="2"/>
  <c r="AB2043" i="2" s="1"/>
  <c r="AB1894" i="2"/>
  <c r="AB2044" i="2" s="1"/>
  <c r="AB1895" i="2"/>
  <c r="AB2045" i="2" s="1"/>
  <c r="AB1896" i="2"/>
  <c r="AB2046" i="2" s="1"/>
  <c r="AB1897" i="2"/>
  <c r="AB2047" i="2" s="1"/>
  <c r="AB1898" i="2"/>
  <c r="AB2048" i="2" s="1"/>
  <c r="AB1899" i="2"/>
  <c r="AB2049" i="2" s="1"/>
  <c r="AB2050" i="2"/>
  <c r="AB1904" i="2"/>
  <c r="AB2054" i="2" s="1"/>
  <c r="AB2056" i="2"/>
  <c r="AB2058" i="2"/>
  <c r="AB2060" i="2"/>
  <c r="AB2061" i="2"/>
  <c r="AB2066" i="2"/>
  <c r="AB1919" i="2"/>
  <c r="AB2069" i="2" s="1"/>
  <c r="AB2070" i="2"/>
  <c r="AB2071" i="2"/>
  <c r="AB1892" i="2"/>
  <c r="AB2042" i="2" s="1"/>
  <c r="AB1863" i="2"/>
  <c r="AB2013" i="2" s="1"/>
  <c r="AB1864" i="2"/>
  <c r="AB1865" i="2"/>
  <c r="AB2015" i="2" s="1"/>
  <c r="AB1866" i="2"/>
  <c r="AB2016" i="2" s="1"/>
  <c r="AB1867" i="2"/>
  <c r="AB2017" i="2" s="1"/>
  <c r="AB1868" i="2"/>
  <c r="AB2018" i="2" s="1"/>
  <c r="AB2020" i="2"/>
  <c r="AB2022" i="2"/>
  <c r="AB1874" i="2"/>
  <c r="AB2024" i="2" s="1"/>
  <c r="AB2025" i="2"/>
  <c r="AB2026" i="2"/>
  <c r="AB2028" i="2"/>
  <c r="AB2030" i="2"/>
  <c r="AB2036" i="2"/>
  <c r="AB1889" i="2"/>
  <c r="AB2039" i="2" s="1"/>
  <c r="AB2040" i="2"/>
  <c r="AB1862" i="2"/>
  <c r="AB2012" i="2" s="1"/>
  <c r="AB1833" i="2"/>
  <c r="AB1834" i="2"/>
  <c r="AB1984" i="2" s="1"/>
  <c r="AB1835" i="2"/>
  <c r="AB1985" i="2" s="1"/>
  <c r="AB1836" i="2"/>
  <c r="AB1986" i="2" s="1"/>
  <c r="AB1837" i="2"/>
  <c r="AB1838" i="2"/>
  <c r="AB1988" i="2" s="1"/>
  <c r="AB1839" i="2"/>
  <c r="AB1992" i="2"/>
  <c r="AB1996" i="2"/>
  <c r="AB1998" i="2"/>
  <c r="AB2000" i="2"/>
  <c r="AB2001" i="2"/>
  <c r="AB1854" i="2"/>
  <c r="AB2004" i="2" s="1"/>
  <c r="AB2006" i="2"/>
  <c r="AB1859" i="2"/>
  <c r="AB2009" i="2" s="1"/>
  <c r="AB2010" i="2"/>
  <c r="AB2011" i="2"/>
  <c r="AB1832" i="2"/>
  <c r="AB1982" i="2" s="1"/>
  <c r="AB1803" i="2"/>
  <c r="AB1953" i="2" s="1"/>
  <c r="AB1804" i="2"/>
  <c r="AB1954" i="2" s="1"/>
  <c r="AB1805" i="2"/>
  <c r="AB1806" i="2"/>
  <c r="AB1956" i="2" s="1"/>
  <c r="AB1807" i="2"/>
  <c r="AB1957" i="2" s="1"/>
  <c r="AB1808" i="2"/>
  <c r="AB1958" i="2" s="1"/>
  <c r="AB1962" i="2"/>
  <c r="AB1966" i="2"/>
  <c r="AB1968" i="2"/>
  <c r="AB1970" i="2"/>
  <c r="AB1973" i="2"/>
  <c r="AB1976" i="2"/>
  <c r="AB1978" i="2"/>
  <c r="AB1829" i="2"/>
  <c r="AB1980" i="2"/>
  <c r="AB1981" i="2"/>
  <c r="AB1802" i="2"/>
  <c r="AB1952" i="2" s="1"/>
  <c r="AB2021" i="2"/>
  <c r="AB1929" i="2"/>
  <c r="AB2079" i="2" s="1"/>
  <c r="AB1938" i="2"/>
  <c r="AB2088" i="2" s="1"/>
  <c r="AB1937" i="2"/>
  <c r="AB1997" i="2" s="1"/>
  <c r="AB1934" i="2"/>
  <c r="AB2084" i="2" s="1"/>
  <c r="AB1943" i="2"/>
  <c r="AB2093" i="2" s="1"/>
  <c r="AB1942" i="2"/>
  <c r="AB2092" i="2" s="1"/>
  <c r="AB1939" i="2"/>
  <c r="AB1879" i="2" s="1"/>
  <c r="AB2029" i="2" s="1"/>
  <c r="AB1948" i="2"/>
  <c r="AB2038" i="2" s="1"/>
  <c r="AB1944" i="2"/>
  <c r="AB1914" i="2" s="1"/>
  <c r="AB2064" i="2" s="1"/>
  <c r="AC1743" i="2"/>
  <c r="AC1744" i="2"/>
  <c r="AC2344" i="2" s="1"/>
  <c r="AC1745" i="2"/>
  <c r="AC2345" i="2" s="1"/>
  <c r="AC1746" i="2"/>
  <c r="AC2346" i="2" s="1"/>
  <c r="AC1747" i="2"/>
  <c r="AC2347" i="2" s="1"/>
  <c r="AC1748" i="2"/>
  <c r="AC2348" i="2" s="1"/>
  <c r="AC2350" i="2"/>
  <c r="AC2353" i="2"/>
  <c r="AC2356" i="2"/>
  <c r="AC2358" i="2"/>
  <c r="AC2361" i="2"/>
  <c r="AC1764" i="2"/>
  <c r="AC2364" i="2" s="1"/>
  <c r="AC2366" i="2"/>
  <c r="AC1769" i="2"/>
  <c r="AC2369" i="2" s="1"/>
  <c r="AC2370" i="2"/>
  <c r="AC1742" i="2"/>
  <c r="AC2342" i="2" s="1"/>
  <c r="AC1713" i="2"/>
  <c r="AC2313" i="2" s="1"/>
  <c r="AC1714" i="2"/>
  <c r="AC2314" i="2" s="1"/>
  <c r="AC1715" i="2"/>
  <c r="AC2315" i="2" s="1"/>
  <c r="AC1716" i="2"/>
  <c r="AC2316" i="2" s="1"/>
  <c r="AC1717" i="2"/>
  <c r="AC2317" i="2" s="1"/>
  <c r="AC1718" i="2"/>
  <c r="AC2318" i="2" s="1"/>
  <c r="AC2320" i="2"/>
  <c r="AC2321" i="2"/>
  <c r="AC2322" i="2"/>
  <c r="AC2326" i="2"/>
  <c r="AC2328" i="2"/>
  <c r="AC1729" i="2"/>
  <c r="AC2329" i="2" s="1"/>
  <c r="AC2336" i="2"/>
  <c r="AC2338" i="2"/>
  <c r="AC1739" i="2"/>
  <c r="AC2340" i="2"/>
  <c r="AC2341" i="2"/>
  <c r="AC1712" i="2"/>
  <c r="AC2312" i="2" s="1"/>
  <c r="AC1683" i="2"/>
  <c r="AC2283" i="2" s="1"/>
  <c r="AC1684" i="2"/>
  <c r="AC2284" i="2" s="1"/>
  <c r="AC1685" i="2"/>
  <c r="AC2285" i="2" s="1"/>
  <c r="AC1686" i="2"/>
  <c r="AC2286" i="2" s="1"/>
  <c r="AC1687" i="2"/>
  <c r="AC2287" i="2" s="1"/>
  <c r="AC1688" i="2"/>
  <c r="AC2288" i="2" s="1"/>
  <c r="AC1689" i="2"/>
  <c r="AC2289" i="2" s="1"/>
  <c r="AC2292" i="2"/>
  <c r="AC2295" i="2"/>
  <c r="AC1699" i="2"/>
  <c r="AC2299" i="2" s="1"/>
  <c r="AC2305" i="2"/>
  <c r="AC2308" i="2"/>
  <c r="AC1709" i="2"/>
  <c r="AC2309" i="2" s="1"/>
  <c r="AC2310" i="2"/>
  <c r="AC1682" i="2"/>
  <c r="AC2282" i="2" s="1"/>
  <c r="AC2293" i="2"/>
  <c r="AC2380" i="2"/>
  <c r="AC1779" i="2"/>
  <c r="AC1749" i="2" s="1"/>
  <c r="AC2349" i="2" s="1"/>
  <c r="AC1784" i="2"/>
  <c r="AC1754" i="2" s="1"/>
  <c r="AC2354" i="2" s="1"/>
  <c r="AC1789" i="2"/>
  <c r="AC1759" i="2" s="1"/>
  <c r="AC2359" i="2" s="1"/>
  <c r="AC2396" i="2"/>
  <c r="AC1794" i="2"/>
  <c r="AC1734" i="2" s="1"/>
  <c r="AC2334" i="2" s="1"/>
  <c r="AA1415" i="2"/>
  <c r="AA1565" i="2" s="1"/>
  <c r="Z1322" i="2"/>
  <c r="Z1323" i="2"/>
  <c r="Z1326" i="2"/>
  <c r="Y872" i="2"/>
  <c r="Y873" i="2"/>
  <c r="Y874" i="2"/>
  <c r="Z1324" i="2" s="1"/>
  <c r="Y875" i="2"/>
  <c r="Z1325" i="2" s="1"/>
  <c r="Y876" i="2"/>
  <c r="Y877" i="2"/>
  <c r="Z1327" i="2" s="1"/>
  <c r="Y878" i="2"/>
  <c r="Z1328" i="2" s="1"/>
  <c r="Y879" i="2"/>
  <c r="Z1329" i="2" s="1"/>
  <c r="Y880" i="2"/>
  <c r="Z1330" i="2" s="1"/>
  <c r="Y881" i="2"/>
  <c r="Z1331" i="2" s="1"/>
  <c r="Y882" i="2"/>
  <c r="Z1332" i="2" s="1"/>
  <c r="Y883" i="2"/>
  <c r="Z1333" i="2" s="1"/>
  <c r="AA603" i="2"/>
  <c r="AA604" i="2"/>
  <c r="AA2104" i="2" s="1"/>
  <c r="AA607" i="2"/>
  <c r="AA608" i="2"/>
  <c r="AA631" i="2"/>
  <c r="AA634" i="2"/>
  <c r="AA635" i="2"/>
  <c r="AA636" i="2"/>
  <c r="AA663" i="2"/>
  <c r="AA690" i="2"/>
  <c r="AA722" i="2"/>
  <c r="AA723" i="2"/>
  <c r="AA724" i="2"/>
  <c r="AA725" i="2"/>
  <c r="AA2225" i="2" s="1"/>
  <c r="AA726" i="2"/>
  <c r="AA2226" i="2" s="1"/>
  <c r="AA727" i="2"/>
  <c r="AA728" i="2"/>
  <c r="AA1478" i="2" s="1"/>
  <c r="AA1628" i="2" s="1"/>
  <c r="AA730" i="2"/>
  <c r="AA731" i="2"/>
  <c r="AA2231" i="2" s="1"/>
  <c r="AA735" i="2"/>
  <c r="AA736" i="2"/>
  <c r="AA739" i="2"/>
  <c r="AA746" i="2"/>
  <c r="AA749" i="2"/>
  <c r="AA2249" i="2" s="1"/>
  <c r="AA750" i="2"/>
  <c r="AA751" i="2"/>
  <c r="AA543" i="2"/>
  <c r="AA693" i="2" s="1"/>
  <c r="AA544" i="2"/>
  <c r="AA694" i="2" s="1"/>
  <c r="AA545" i="2"/>
  <c r="AA695" i="2" s="1"/>
  <c r="AA546" i="2"/>
  <c r="AA696" i="2" s="1"/>
  <c r="AA547" i="2"/>
  <c r="AA697" i="2" s="1"/>
  <c r="AA548" i="2"/>
  <c r="AA698" i="2" s="1"/>
  <c r="AA549" i="2"/>
  <c r="AA699" i="2" s="1"/>
  <c r="AA710" i="2"/>
  <c r="AA564" i="2"/>
  <c r="AA714" i="2" s="1"/>
  <c r="AA569" i="2"/>
  <c r="AA719" i="2" s="1"/>
  <c r="AA720" i="2"/>
  <c r="AA721" i="2"/>
  <c r="AA2221" i="2" s="1"/>
  <c r="AA542" i="2"/>
  <c r="AA692" i="2" s="1"/>
  <c r="AA513" i="2"/>
  <c r="AA514" i="2"/>
  <c r="AA664" i="2" s="1"/>
  <c r="AA515" i="2"/>
  <c r="AA665" i="2" s="1"/>
  <c r="AA2165" i="2" s="1"/>
  <c r="AA516" i="2"/>
  <c r="AA666" i="2" s="1"/>
  <c r="AA517" i="2"/>
  <c r="AA667" i="2" s="1"/>
  <c r="AA518" i="2"/>
  <c r="AA668" i="2" s="1"/>
  <c r="AA529" i="2"/>
  <c r="AA679" i="2" s="1"/>
  <c r="AA534" i="2"/>
  <c r="AA684" i="2" s="1"/>
  <c r="AA688" i="2"/>
  <c r="AA539" i="2"/>
  <c r="AA689" i="2" s="1"/>
  <c r="AA2189" i="2" s="1"/>
  <c r="AA691" i="2"/>
  <c r="AA512" i="2"/>
  <c r="AA662" i="2" s="1"/>
  <c r="AA483" i="2"/>
  <c r="AA633" i="2" s="1"/>
  <c r="AA484" i="2"/>
  <c r="AA485" i="2"/>
  <c r="AA486" i="2"/>
  <c r="AA487" i="2"/>
  <c r="AA637" i="2" s="1"/>
  <c r="AA488" i="2"/>
  <c r="AA638" i="2" s="1"/>
  <c r="AA640" i="2"/>
  <c r="AA656" i="2"/>
  <c r="AA658" i="2"/>
  <c r="AA509" i="2"/>
  <c r="AA659" i="2" s="1"/>
  <c r="AA660" i="2"/>
  <c r="AA661" i="2"/>
  <c r="AA482" i="2"/>
  <c r="AA632" i="2" s="1"/>
  <c r="AA453" i="2"/>
  <c r="AA454" i="2"/>
  <c r="AA455" i="2"/>
  <c r="AA605" i="2" s="1"/>
  <c r="AA456" i="2"/>
  <c r="AA606" i="2" s="1"/>
  <c r="AA457" i="2"/>
  <c r="AA458" i="2"/>
  <c r="AA610" i="2"/>
  <c r="AA626" i="2"/>
  <c r="AA479" i="2"/>
  <c r="AA629" i="2" s="1"/>
  <c r="AA630" i="2"/>
  <c r="AA452" i="2"/>
  <c r="AA602" i="2" s="1"/>
  <c r="AA703" i="2"/>
  <c r="AA702" i="2"/>
  <c r="AA700" i="2"/>
  <c r="AA611" i="2"/>
  <c r="AA579" i="2"/>
  <c r="AA618" i="2"/>
  <c r="AA646" i="2"/>
  <c r="AA584" i="2"/>
  <c r="AA734" i="2" s="1"/>
  <c r="AA650" i="2"/>
  <c r="AA711" i="2"/>
  <c r="AA589" i="2"/>
  <c r="AA718" i="2"/>
  <c r="AA716" i="2"/>
  <c r="AA594" i="2"/>
  <c r="AA474" i="2" s="1"/>
  <c r="AA624" i="2" s="1"/>
  <c r="AB2098" i="2" l="1"/>
  <c r="AA2216" i="2"/>
  <c r="AA1466" i="2"/>
  <c r="AA1616" i="2" s="1"/>
  <c r="AA2211" i="2"/>
  <c r="AA1461" i="2"/>
  <c r="AA1611" i="2" s="1"/>
  <c r="AA2200" i="2"/>
  <c r="AA1450" i="2"/>
  <c r="AA1600" i="2" s="1"/>
  <c r="AA2110" i="2"/>
  <c r="AA1360" i="2"/>
  <c r="AA1510" i="2" s="1"/>
  <c r="AA2156" i="2"/>
  <c r="AA1406" i="2"/>
  <c r="AA1556" i="2" s="1"/>
  <c r="AA2162" i="2"/>
  <c r="AA1412" i="2"/>
  <c r="AA1562" i="2" s="1"/>
  <c r="AA2188" i="2"/>
  <c r="AA1438" i="2"/>
  <c r="AA1588" i="2" s="1"/>
  <c r="AA2167" i="2"/>
  <c r="AA1417" i="2"/>
  <c r="AA1567" i="2" s="1"/>
  <c r="AA2219" i="2"/>
  <c r="AA1469" i="2"/>
  <c r="AA1619" i="2" s="1"/>
  <c r="AA2198" i="2"/>
  <c r="AA1448" i="2"/>
  <c r="AA1598" i="2" s="1"/>
  <c r="AA2194" i="2"/>
  <c r="AA1444" i="2"/>
  <c r="AA1594" i="2" s="1"/>
  <c r="AA2150" i="2"/>
  <c r="AA1400" i="2"/>
  <c r="AA1550" i="2" s="1"/>
  <c r="AA2118" i="2"/>
  <c r="AA1368" i="2"/>
  <c r="AA1518" i="2" s="1"/>
  <c r="AA2202" i="2"/>
  <c r="AA1452" i="2"/>
  <c r="AA1602" i="2" s="1"/>
  <c r="AA2130" i="2"/>
  <c r="AA1380" i="2"/>
  <c r="AA1530" i="2" s="1"/>
  <c r="AA2160" i="2"/>
  <c r="AA1410" i="2"/>
  <c r="AA1560" i="2" s="1"/>
  <c r="AA2140" i="2"/>
  <c r="AA1390" i="2"/>
  <c r="AA1540" i="2" s="1"/>
  <c r="AA2191" i="2"/>
  <c r="AA1441" i="2"/>
  <c r="AA1591" i="2" s="1"/>
  <c r="AA2184" i="2"/>
  <c r="AA1434" i="2"/>
  <c r="AA1584" i="2" s="1"/>
  <c r="AA2166" i="2"/>
  <c r="AA1416" i="2"/>
  <c r="AA1566" i="2" s="1"/>
  <c r="AA2192" i="2"/>
  <c r="AA1442" i="2"/>
  <c r="AA1592" i="2" s="1"/>
  <c r="AA2214" i="2"/>
  <c r="AA1464" i="2"/>
  <c r="AA1614" i="2" s="1"/>
  <c r="AA2218" i="2"/>
  <c r="AA1468" i="2"/>
  <c r="AA1618" i="2" s="1"/>
  <c r="AA2234" i="2"/>
  <c r="AA1484" i="2"/>
  <c r="AA1634" i="2" s="1"/>
  <c r="AA2203" i="2"/>
  <c r="AA1453" i="2"/>
  <c r="AA1603" i="2" s="1"/>
  <c r="AA2159" i="2"/>
  <c r="AA1409" i="2"/>
  <c r="AA1559" i="2" s="1"/>
  <c r="AA2138" i="2"/>
  <c r="AA1388" i="2"/>
  <c r="AA1538" i="2" s="1"/>
  <c r="AA2179" i="2"/>
  <c r="AA1429" i="2"/>
  <c r="AA1579" i="2" s="1"/>
  <c r="AA2210" i="2"/>
  <c r="AA1460" i="2"/>
  <c r="AA1610" i="2" s="1"/>
  <c r="AA2196" i="2"/>
  <c r="AA1446" i="2"/>
  <c r="AA1596" i="2" s="1"/>
  <c r="AA2124" i="2"/>
  <c r="AA1374" i="2"/>
  <c r="AA1524" i="2" s="1"/>
  <c r="AA2146" i="2"/>
  <c r="AA1396" i="2"/>
  <c r="AA1546" i="2" s="1"/>
  <c r="AA2111" i="2"/>
  <c r="AA1361" i="2"/>
  <c r="AA1511" i="2" s="1"/>
  <c r="AA2102" i="2"/>
  <c r="AA1352" i="2"/>
  <c r="AA1502" i="2" s="1"/>
  <c r="AA2126" i="2"/>
  <c r="AA1376" i="2"/>
  <c r="AA1526" i="2" s="1"/>
  <c r="AA2106" i="2"/>
  <c r="AA1356" i="2"/>
  <c r="AA1506" i="2" s="1"/>
  <c r="AA2132" i="2"/>
  <c r="AA1382" i="2"/>
  <c r="AA1532" i="2" s="1"/>
  <c r="AA2158" i="2"/>
  <c r="AA1408" i="2"/>
  <c r="AA1558" i="2" s="1"/>
  <c r="AA2168" i="2"/>
  <c r="AA1418" i="2"/>
  <c r="AA1568" i="2" s="1"/>
  <c r="AA2164" i="2"/>
  <c r="AA1414" i="2"/>
  <c r="AA1564" i="2" s="1"/>
  <c r="AA2220" i="2"/>
  <c r="AA1470" i="2"/>
  <c r="AA1620" i="2" s="1"/>
  <c r="AA2199" i="2"/>
  <c r="AA1449" i="2"/>
  <c r="AA1599" i="2" s="1"/>
  <c r="AA2195" i="2"/>
  <c r="AA1445" i="2"/>
  <c r="AA1595" i="2" s="1"/>
  <c r="AA745" i="2"/>
  <c r="AA685" i="2"/>
  <c r="AA464" i="2"/>
  <c r="AA614" i="2" s="1"/>
  <c r="AA2133" i="2"/>
  <c r="AA1383" i="2"/>
  <c r="AA1533" i="2" s="1"/>
  <c r="AA715" i="2"/>
  <c r="AA2222" i="2"/>
  <c r="AA1472" i="2"/>
  <c r="AA1622" i="2" s="1"/>
  <c r="AA2190" i="2"/>
  <c r="AA1440" i="2"/>
  <c r="AA1590" i="2" s="1"/>
  <c r="AA2131" i="2"/>
  <c r="AA1381" i="2"/>
  <c r="AA1531" i="2" s="1"/>
  <c r="AA729" i="2"/>
  <c r="AA519" i="2"/>
  <c r="AA669" i="2" s="1"/>
  <c r="AA625" i="2"/>
  <c r="AA621" i="2"/>
  <c r="AA613" i="2"/>
  <c r="AA459" i="2"/>
  <c r="AA609" i="2" s="1"/>
  <c r="AA708" i="2"/>
  <c r="AA2246" i="2"/>
  <c r="AA1496" i="2"/>
  <c r="AA1646" i="2" s="1"/>
  <c r="AA2230" i="2"/>
  <c r="AA1480" i="2"/>
  <c r="AA1630" i="2" s="1"/>
  <c r="AA2108" i="2"/>
  <c r="AA1358" i="2"/>
  <c r="AA1508" i="2" s="1"/>
  <c r="AB2095" i="2"/>
  <c r="AB2035" i="2"/>
  <c r="AB1975" i="2"/>
  <c r="AB1947" i="2"/>
  <c r="AB2065" i="2"/>
  <c r="AB2005" i="2"/>
  <c r="AA705" i="2"/>
  <c r="AA645" i="2"/>
  <c r="AA628" i="2"/>
  <c r="AA620" i="2"/>
  <c r="AA616" i="2"/>
  <c r="AA612" i="2"/>
  <c r="AA655" i="2"/>
  <c r="AA494" i="2"/>
  <c r="AA644" i="2" s="1"/>
  <c r="AA489" i="2"/>
  <c r="AA639" i="2" s="1"/>
  <c r="AA676" i="2"/>
  <c r="AA671" i="2"/>
  <c r="AA2197" i="2"/>
  <c r="AA1447" i="2"/>
  <c r="AA1597" i="2" s="1"/>
  <c r="AA744" i="2"/>
  <c r="AA2224" i="2"/>
  <c r="AA1474" i="2"/>
  <c r="AA1624" i="2" s="1"/>
  <c r="AA559" i="2"/>
  <c r="AA709" i="2" s="1"/>
  <c r="AA499" i="2"/>
  <c r="AA649" i="2" s="1"/>
  <c r="AA469" i="2"/>
  <c r="AA619" i="2" s="1"/>
  <c r="AA615" i="2"/>
  <c r="AA504" i="2"/>
  <c r="AA654" i="2" s="1"/>
  <c r="AA648" i="2"/>
  <c r="AA643" i="2"/>
  <c r="AA686" i="2"/>
  <c r="AA680" i="2"/>
  <c r="AA675" i="2"/>
  <c r="AA670" i="2"/>
  <c r="AA706" i="2"/>
  <c r="AA748" i="2"/>
  <c r="AA738" i="2"/>
  <c r="AA732" i="2"/>
  <c r="AA2227" i="2"/>
  <c r="AA1477" i="2"/>
  <c r="AA1627" i="2" s="1"/>
  <c r="AA2223" i="2"/>
  <c r="AA1473" i="2"/>
  <c r="AA1623" i="2" s="1"/>
  <c r="AA1471" i="2"/>
  <c r="AA1621" i="2" s="1"/>
  <c r="AA741" i="2"/>
  <c r="AA681" i="2"/>
  <c r="AA642" i="2"/>
  <c r="AA2163" i="2"/>
  <c r="AA1413" i="2"/>
  <c r="AA1563" i="2" s="1"/>
  <c r="AA2129" i="2"/>
  <c r="AA1379" i="2"/>
  <c r="AA1529" i="2" s="1"/>
  <c r="AA2105" i="2"/>
  <c r="AA1355" i="2"/>
  <c r="AA1505" i="2" s="1"/>
  <c r="AA651" i="2"/>
  <c r="AA678" i="2"/>
  <c r="AA2250" i="2"/>
  <c r="AA1500" i="2"/>
  <c r="AA1650" i="2" s="1"/>
  <c r="AA2235" i="2"/>
  <c r="AA1485" i="2"/>
  <c r="AA1635" i="2" s="1"/>
  <c r="AA2135" i="2"/>
  <c r="AA1385" i="2"/>
  <c r="AA1535" i="2" s="1"/>
  <c r="AA1481" i="2"/>
  <c r="AA1631" i="2" s="1"/>
  <c r="AA2137" i="2"/>
  <c r="AA1387" i="2"/>
  <c r="AA1537" i="2" s="1"/>
  <c r="AA524" i="2"/>
  <c r="AA674" i="2" s="1"/>
  <c r="AA554" i="2"/>
  <c r="AA704" i="2" s="1"/>
  <c r="AA2251" i="2"/>
  <c r="AA1501" i="2"/>
  <c r="AA1651" i="2" s="1"/>
  <c r="AA1486" i="2"/>
  <c r="AA1636" i="2" s="1"/>
  <c r="AA2236" i="2"/>
  <c r="AA2136" i="2"/>
  <c r="AA1386" i="2"/>
  <c r="AA1536" i="2" s="1"/>
  <c r="AA733" i="2"/>
  <c r="AA673" i="2"/>
  <c r="AA2161" i="2"/>
  <c r="AA1411" i="2"/>
  <c r="AA1561" i="2" s="1"/>
  <c r="AA672" i="2"/>
  <c r="AA740" i="2"/>
  <c r="AA2103" i="2"/>
  <c r="AA1353" i="2"/>
  <c r="AA1503" i="2" s="1"/>
  <c r="AA1354" i="2"/>
  <c r="AA1504" i="2" s="1"/>
  <c r="AA1439" i="2"/>
  <c r="AA1589" i="2" s="1"/>
  <c r="AA701" i="2"/>
  <c r="AA641" i="2"/>
  <c r="AA2193" i="2"/>
  <c r="AA1443" i="2"/>
  <c r="AA1593" i="2" s="1"/>
  <c r="AA2239" i="2"/>
  <c r="AA1489" i="2"/>
  <c r="AA1639" i="2" s="1"/>
  <c r="AA2134" i="2"/>
  <c r="AA1384" i="2"/>
  <c r="AA1534" i="2" s="1"/>
  <c r="AA2107" i="2"/>
  <c r="AA1357" i="2"/>
  <c r="AA1507" i="2" s="1"/>
  <c r="AA1476" i="2"/>
  <c r="AA1626" i="2" s="1"/>
  <c r="AA2228" i="2"/>
  <c r="AA1499" i="2"/>
  <c r="AA1649" i="2" s="1"/>
  <c r="AA1475" i="2"/>
  <c r="AA1625" i="2" s="1"/>
  <c r="AC2277" i="2"/>
  <c r="AC2397" i="2"/>
  <c r="AC2367" i="2"/>
  <c r="AC2337" i="2"/>
  <c r="AC2307" i="2"/>
  <c r="AC2270" i="2"/>
  <c r="AC2390" i="2"/>
  <c r="AC2330" i="2"/>
  <c r="AC2360" i="2"/>
  <c r="AC2385" i="2"/>
  <c r="AC2265" i="2"/>
  <c r="AC2355" i="2"/>
  <c r="AC2325" i="2"/>
  <c r="AC2300" i="2"/>
  <c r="AC2275" i="2"/>
  <c r="AC2395" i="2"/>
  <c r="AC2335" i="2"/>
  <c r="AC2271" i="2"/>
  <c r="AC2391" i="2"/>
  <c r="AC2331" i="2"/>
  <c r="AC2266" i="2"/>
  <c r="AC2386" i="2"/>
  <c r="AC2381" i="2"/>
  <c r="AC2261" i="2"/>
  <c r="AC2351" i="2"/>
  <c r="AC2301" i="2"/>
  <c r="AC2296" i="2"/>
  <c r="AC2291" i="2"/>
  <c r="AC1724" i="2"/>
  <c r="AC2324" i="2" s="1"/>
  <c r="AC2365" i="2"/>
  <c r="AB2091" i="2"/>
  <c r="AB2031" i="2"/>
  <c r="AB1971" i="2"/>
  <c r="AB1824" i="2"/>
  <c r="AB1974" i="2" s="1"/>
  <c r="AB1819" i="2"/>
  <c r="AB1969" i="2" s="1"/>
  <c r="AB1814" i="2"/>
  <c r="AB1964" i="2" s="1"/>
  <c r="AB1844" i="2"/>
  <c r="AB1994" i="2" s="1"/>
  <c r="AB2032" i="2"/>
  <c r="AB2068" i="2"/>
  <c r="AB2062" i="2"/>
  <c r="AB2057" i="2"/>
  <c r="AB2094" i="2"/>
  <c r="AB2089" i="2"/>
  <c r="AC2394" i="2"/>
  <c r="AC1674" i="2"/>
  <c r="AC2274" i="2" s="1"/>
  <c r="AC2278" i="2"/>
  <c r="AC2398" i="2"/>
  <c r="AC2392" i="2"/>
  <c r="AC2272" i="2"/>
  <c r="AC2302" i="2"/>
  <c r="AC2388" i="2"/>
  <c r="AC2268" i="2"/>
  <c r="AC2298" i="2"/>
  <c r="AC2262" i="2"/>
  <c r="AC2382" i="2"/>
  <c r="AC1704" i="2"/>
  <c r="AC2304" i="2" s="1"/>
  <c r="AC2332" i="2"/>
  <c r="AC2368" i="2"/>
  <c r="AC2362" i="2"/>
  <c r="AC2352" i="2"/>
  <c r="AB2055" i="2"/>
  <c r="AB1995" i="2"/>
  <c r="AB2051" i="2"/>
  <c r="AB1991" i="2"/>
  <c r="AB1972" i="2"/>
  <c r="AB1961" i="2"/>
  <c r="AB2008" i="2"/>
  <c r="AB2002" i="2"/>
  <c r="AB1884" i="2"/>
  <c r="AB2034" i="2" s="1"/>
  <c r="AB2081" i="2"/>
  <c r="AC2384" i="2"/>
  <c r="AC1664" i="2"/>
  <c r="AC2264" i="2" s="1"/>
  <c r="AC1694" i="2"/>
  <c r="AC2294" i="2" s="1"/>
  <c r="AC1659" i="2"/>
  <c r="AC2259" i="2" s="1"/>
  <c r="AC2379" i="2"/>
  <c r="AC1719" i="2"/>
  <c r="AC2319" i="2" s="1"/>
  <c r="AC2383" i="2"/>
  <c r="AC2263" i="2"/>
  <c r="AC2323" i="2"/>
  <c r="AB1909" i="2"/>
  <c r="AB2059" i="2" s="1"/>
  <c r="AB1849" i="2"/>
  <c r="AB1999" i="2" s="1"/>
  <c r="AB2063" i="2"/>
  <c r="AB2003" i="2"/>
  <c r="AB2087" i="2"/>
  <c r="AB2027" i="2"/>
  <c r="AB1967" i="2"/>
  <c r="AB2083" i="2"/>
  <c r="AB2023" i="2"/>
  <c r="AB1963" i="2"/>
  <c r="AB1965" i="2"/>
  <c r="AB1960" i="2"/>
  <c r="AB1990" i="2"/>
  <c r="AB2033" i="2"/>
  <c r="AB2053" i="2"/>
  <c r="AB2085" i="2"/>
  <c r="AB2080" i="2"/>
  <c r="AC2306" i="2"/>
  <c r="AC2290" i="2"/>
  <c r="AB1809" i="2"/>
  <c r="AB1959" i="2" s="1"/>
  <c r="AB1869" i="2"/>
  <c r="AB2019" i="2" s="1"/>
  <c r="AA2204" i="2" l="1"/>
  <c r="AA1454" i="2"/>
  <c r="AA1604" i="2" s="1"/>
  <c r="AA2141" i="2"/>
  <c r="AA1391" i="2"/>
  <c r="AA1541" i="2" s="1"/>
  <c r="AA2174" i="2"/>
  <c r="AA1424" i="2"/>
  <c r="AA1574" i="2" s="1"/>
  <c r="AA2181" i="2"/>
  <c r="AA1431" i="2"/>
  <c r="AA1581" i="2" s="1"/>
  <c r="AA2175" i="2"/>
  <c r="AA1425" i="2"/>
  <c r="AA1575" i="2" s="1"/>
  <c r="AA2148" i="2"/>
  <c r="AA1398" i="2"/>
  <c r="AA1548" i="2" s="1"/>
  <c r="AA2144" i="2"/>
  <c r="AA1394" i="2"/>
  <c r="AA1544" i="2" s="1"/>
  <c r="AA2120" i="2"/>
  <c r="AA1370" i="2"/>
  <c r="AA1520" i="2" s="1"/>
  <c r="AA2208" i="2"/>
  <c r="AA1458" i="2"/>
  <c r="AA1608" i="2" s="1"/>
  <c r="AA2125" i="2"/>
  <c r="AA1375" i="2"/>
  <c r="AA1525" i="2" s="1"/>
  <c r="AA2201" i="2"/>
  <c r="AA1451" i="2"/>
  <c r="AA1601" i="2" s="1"/>
  <c r="AA2241" i="2"/>
  <c r="AA1491" i="2"/>
  <c r="AA1641" i="2" s="1"/>
  <c r="AA2248" i="2"/>
  <c r="AA1498" i="2"/>
  <c r="AA1648" i="2" s="1"/>
  <c r="AA2180" i="2"/>
  <c r="AA1430" i="2"/>
  <c r="AA1580" i="2" s="1"/>
  <c r="AA2154" i="2"/>
  <c r="AA1404" i="2"/>
  <c r="AA1554" i="2" s="1"/>
  <c r="AA713" i="2"/>
  <c r="AA653" i="2"/>
  <c r="AA743" i="2"/>
  <c r="AA623" i="2"/>
  <c r="AA683" i="2"/>
  <c r="AA2171" i="2"/>
  <c r="AA1421" i="2"/>
  <c r="AA1571" i="2" s="1"/>
  <c r="AA2155" i="2"/>
  <c r="AA1405" i="2"/>
  <c r="AA1555" i="2" s="1"/>
  <c r="AA2128" i="2"/>
  <c r="AA1378" i="2"/>
  <c r="AA1528" i="2" s="1"/>
  <c r="AA2109" i="2"/>
  <c r="AA1359" i="2"/>
  <c r="AA1509" i="2" s="1"/>
  <c r="AA2169" i="2"/>
  <c r="AA1419" i="2"/>
  <c r="AA1569" i="2" s="1"/>
  <c r="AA2215" i="2"/>
  <c r="AA1465" i="2"/>
  <c r="AA1615" i="2" s="1"/>
  <c r="AA2185" i="2"/>
  <c r="AA1435" i="2"/>
  <c r="AA1585" i="2" s="1"/>
  <c r="AC2267" i="2"/>
  <c r="AC2387" i="2"/>
  <c r="AC2327" i="2"/>
  <c r="AC2297" i="2"/>
  <c r="AC2357" i="2"/>
  <c r="AA682" i="2"/>
  <c r="AA652" i="2"/>
  <c r="AA742" i="2"/>
  <c r="AA712" i="2"/>
  <c r="AA622" i="2"/>
  <c r="AA2178" i="2"/>
  <c r="AA1428" i="2"/>
  <c r="AA1578" i="2" s="1"/>
  <c r="AA2206" i="2"/>
  <c r="AA1456" i="2"/>
  <c r="AA1606" i="2" s="1"/>
  <c r="AA2186" i="2"/>
  <c r="AA1436" i="2"/>
  <c r="AA1586" i="2" s="1"/>
  <c r="AA2115" i="2"/>
  <c r="AA1365" i="2"/>
  <c r="AA1515" i="2" s="1"/>
  <c r="AA2149" i="2"/>
  <c r="AA1399" i="2"/>
  <c r="AA1549" i="2" s="1"/>
  <c r="AA1494" i="2"/>
  <c r="AA1644" i="2" s="1"/>
  <c r="AA2244" i="2"/>
  <c r="AA2176" i="2"/>
  <c r="AA1426" i="2"/>
  <c r="AA1576" i="2" s="1"/>
  <c r="AA2112" i="2"/>
  <c r="AA1362" i="2"/>
  <c r="AA1512" i="2" s="1"/>
  <c r="AA2145" i="2"/>
  <c r="AA1395" i="2"/>
  <c r="AA1545" i="2" s="1"/>
  <c r="AB2067" i="2"/>
  <c r="AB2007" i="2"/>
  <c r="AB2097" i="2"/>
  <c r="AB1977" i="2"/>
  <c r="AB2037" i="2"/>
  <c r="AA2113" i="2"/>
  <c r="AA1363" i="2"/>
  <c r="AA1513" i="2" s="1"/>
  <c r="AA2229" i="2"/>
  <c r="AA1479" i="2"/>
  <c r="AA1629" i="2" s="1"/>
  <c r="AA2245" i="2"/>
  <c r="AA1495" i="2"/>
  <c r="AA1645" i="2" s="1"/>
  <c r="AA2173" i="2"/>
  <c r="AA1423" i="2"/>
  <c r="AA1573" i="2" s="1"/>
  <c r="AA2151" i="2"/>
  <c r="AA1401" i="2"/>
  <c r="AA1551" i="2" s="1"/>
  <c r="AA2142" i="2"/>
  <c r="AA1392" i="2"/>
  <c r="AA1542" i="2" s="1"/>
  <c r="AA2232" i="2"/>
  <c r="AA1482" i="2"/>
  <c r="AA1632" i="2" s="1"/>
  <c r="AA2170" i="2"/>
  <c r="AA1420" i="2"/>
  <c r="AA1570" i="2" s="1"/>
  <c r="AA2143" i="2"/>
  <c r="AA1393" i="2"/>
  <c r="AA1543" i="2" s="1"/>
  <c r="AA2119" i="2"/>
  <c r="AA1369" i="2"/>
  <c r="AA1519" i="2" s="1"/>
  <c r="AA2209" i="2"/>
  <c r="AA1459" i="2"/>
  <c r="AA1609" i="2" s="1"/>
  <c r="AA2139" i="2"/>
  <c r="AA1389" i="2"/>
  <c r="AA1539" i="2" s="1"/>
  <c r="AA2116" i="2"/>
  <c r="AA1366" i="2"/>
  <c r="AA1516" i="2" s="1"/>
  <c r="AA2205" i="2"/>
  <c r="AA1455" i="2"/>
  <c r="AA1605" i="2" s="1"/>
  <c r="AA2121" i="2"/>
  <c r="AA1371" i="2"/>
  <c r="AA1521" i="2" s="1"/>
  <c r="AA2240" i="2"/>
  <c r="AA1490" i="2"/>
  <c r="AA1640" i="2" s="1"/>
  <c r="AC2273" i="2"/>
  <c r="AC2393" i="2"/>
  <c r="AC2363" i="2"/>
  <c r="AC2303" i="2"/>
  <c r="AC2333" i="2"/>
  <c r="AA2172" i="2"/>
  <c r="AA1422" i="2"/>
  <c r="AA1572" i="2" s="1"/>
  <c r="AA2233" i="2"/>
  <c r="AA1483" i="2"/>
  <c r="AA1633" i="2" s="1"/>
  <c r="AA717" i="2"/>
  <c r="AA657" i="2"/>
  <c r="AA627" i="2"/>
  <c r="AA687" i="2"/>
  <c r="AA747" i="2"/>
  <c r="AA2238" i="2"/>
  <c r="AA1488" i="2"/>
  <c r="AA1638" i="2" s="1"/>
  <c r="AA737" i="2"/>
  <c r="AA677" i="2"/>
  <c r="AA617" i="2"/>
  <c r="AA707" i="2"/>
  <c r="AA647" i="2"/>
  <c r="AA2114" i="2"/>
  <c r="AA1364" i="2"/>
  <c r="AA1514" i="2" s="1"/>
  <c r="AA2147" i="2" l="1"/>
  <c r="AA1397" i="2"/>
  <c r="AA1547" i="2" s="1"/>
  <c r="AA2237" i="2"/>
  <c r="AA1487" i="2"/>
  <c r="AA1637" i="2" s="1"/>
  <c r="AA2187" i="2"/>
  <c r="AA1437" i="2"/>
  <c r="AA1587" i="2" s="1"/>
  <c r="AA2122" i="2"/>
  <c r="AA1372" i="2"/>
  <c r="AA1522" i="2" s="1"/>
  <c r="AA2182" i="2"/>
  <c r="AA1432" i="2"/>
  <c r="AA1582" i="2" s="1"/>
  <c r="AA2183" i="2"/>
  <c r="AA1433" i="2"/>
  <c r="AA1583" i="2" s="1"/>
  <c r="AA2213" i="2"/>
  <c r="AA1463" i="2"/>
  <c r="AA1613" i="2" s="1"/>
  <c r="AA1457" i="2"/>
  <c r="AA1607" i="2" s="1"/>
  <c r="AA2207" i="2"/>
  <c r="AA2127" i="2"/>
  <c r="AA1377" i="2"/>
  <c r="AA1527" i="2" s="1"/>
  <c r="AA2212" i="2"/>
  <c r="AA1462" i="2"/>
  <c r="AA1612" i="2" s="1"/>
  <c r="AA2123" i="2"/>
  <c r="AA1373" i="2"/>
  <c r="AA1523" i="2" s="1"/>
  <c r="AA2117" i="2"/>
  <c r="AA1367" i="2"/>
  <c r="AA1517" i="2" s="1"/>
  <c r="AA2157" i="2"/>
  <c r="AA1407" i="2"/>
  <c r="AA1557" i="2" s="1"/>
  <c r="AA2242" i="2"/>
  <c r="AA1492" i="2"/>
  <c r="AA1642" i="2" s="1"/>
  <c r="AA2243" i="2"/>
  <c r="AA1493" i="2"/>
  <c r="AA1643" i="2" s="1"/>
  <c r="AA2177" i="2"/>
  <c r="AA1427" i="2"/>
  <c r="AA1577" i="2" s="1"/>
  <c r="AA2247" i="2"/>
  <c r="AA1497" i="2"/>
  <c r="AA1647" i="2" s="1"/>
  <c r="AA2217" i="2"/>
  <c r="AA1467" i="2"/>
  <c r="AA1617" i="2" s="1"/>
  <c r="AA2152" i="2"/>
  <c r="AA1402" i="2"/>
  <c r="AA1552" i="2" s="1"/>
  <c r="AA2153" i="2"/>
  <c r="AA1403" i="2"/>
  <c r="AA1553" i="2" s="1"/>
  <c r="Z272" i="2" l="1"/>
  <c r="Z422" i="2" s="1"/>
  <c r="Z273" i="2"/>
  <c r="Z423" i="2" s="1"/>
  <c r="Z274" i="2"/>
  <c r="Z424" i="2" s="1"/>
  <c r="Z275" i="2"/>
  <c r="Z425" i="2" s="1"/>
  <c r="Z276" i="2"/>
  <c r="Z426" i="2" s="1"/>
  <c r="Z277" i="2"/>
  <c r="Z427" i="2" s="1"/>
  <c r="Z278" i="2"/>
  <c r="Z428" i="2" s="1"/>
  <c r="Z279" i="2"/>
  <c r="Z429" i="2" s="1"/>
  <c r="Z280" i="2"/>
  <c r="Z430" i="2" s="1"/>
  <c r="Z281" i="2"/>
  <c r="Z431" i="2" s="1"/>
  <c r="Z282" i="2"/>
  <c r="Z432" i="2" s="1"/>
  <c r="Z283" i="2"/>
  <c r="Z433" i="2" s="1"/>
  <c r="Y93" i="2"/>
  <c r="Y843" i="2" s="1"/>
  <c r="Z1293" i="2" s="1"/>
  <c r="Y94" i="2"/>
  <c r="Y844" i="2" s="1"/>
  <c r="Z1294" i="2" s="1"/>
  <c r="Y95" i="2"/>
  <c r="Y845" i="2" s="1"/>
  <c r="Z1295" i="2" s="1"/>
  <c r="Y96" i="2"/>
  <c r="Y846" i="2" s="1"/>
  <c r="Z1296" i="2" s="1"/>
  <c r="Y97" i="2"/>
  <c r="Y847" i="2" s="1"/>
  <c r="Z1297" i="2" s="1"/>
  <c r="Y98" i="2"/>
  <c r="Y848" i="2" s="1"/>
  <c r="Z1298" i="2" s="1"/>
  <c r="Y99" i="2"/>
  <c r="Y849" i="2" s="1"/>
  <c r="Z1299" i="2" s="1"/>
  <c r="Y850" i="2"/>
  <c r="Z1300" i="2" s="1"/>
  <c r="Y851" i="2"/>
  <c r="Z1301" i="2" s="1"/>
  <c r="Y852" i="2"/>
  <c r="Z1302" i="2" s="1"/>
  <c r="Y853" i="2"/>
  <c r="Z1303" i="2" s="1"/>
  <c r="Y92" i="2"/>
  <c r="Y842" i="2" s="1"/>
  <c r="Z1292" i="2" s="1"/>
  <c r="Y63" i="2"/>
  <c r="Y813" i="2" s="1"/>
  <c r="Z1263" i="2" s="1"/>
  <c r="Y64" i="2"/>
  <c r="Y814" i="2" s="1"/>
  <c r="Z1264" i="2" s="1"/>
  <c r="Y65" i="2"/>
  <c r="Y815" i="2" s="1"/>
  <c r="Z1265" i="2" s="1"/>
  <c r="Y66" i="2"/>
  <c r="Y816" i="2" s="1"/>
  <c r="Z1266" i="2" s="1"/>
  <c r="Y67" i="2"/>
  <c r="Y817" i="2" s="1"/>
  <c r="Z1267" i="2" s="1"/>
  <c r="Y68" i="2"/>
  <c r="Y818" i="2" s="1"/>
  <c r="Z1268" i="2" s="1"/>
  <c r="Y69" i="2"/>
  <c r="Y819" i="2" s="1"/>
  <c r="Z1269" i="2" s="1"/>
  <c r="Y820" i="2"/>
  <c r="Z1270" i="2" s="1"/>
  <c r="Y821" i="2"/>
  <c r="Z1271" i="2" s="1"/>
  <c r="Y822" i="2"/>
  <c r="Z1272" i="2" s="1"/>
  <c r="Y823" i="2"/>
  <c r="Z1273" i="2" s="1"/>
  <c r="Y62" i="2"/>
  <c r="Y812" i="2" s="1"/>
  <c r="Z1262" i="2" s="1"/>
  <c r="Y33" i="2"/>
  <c r="Y783" i="2" s="1"/>
  <c r="Z1233" i="2" s="1"/>
  <c r="Y34" i="2"/>
  <c r="Y784" i="2" s="1"/>
  <c r="Z1234" i="2" s="1"/>
  <c r="Y35" i="2"/>
  <c r="Y785" i="2" s="1"/>
  <c r="Z1235" i="2" s="1"/>
  <c r="Y36" i="2"/>
  <c r="Y786" i="2" s="1"/>
  <c r="Z1236" i="2" s="1"/>
  <c r="Y37" i="2"/>
  <c r="Y787" i="2" s="1"/>
  <c r="Z1237" i="2" s="1"/>
  <c r="Y38" i="2"/>
  <c r="Y788" i="2" s="1"/>
  <c r="Z1238" i="2" s="1"/>
  <c r="Y39" i="2"/>
  <c r="Y789" i="2" s="1"/>
  <c r="Z1239" i="2" s="1"/>
  <c r="Y790" i="2"/>
  <c r="Z1240" i="2" s="1"/>
  <c r="Y791" i="2"/>
  <c r="Z1241" i="2" s="1"/>
  <c r="Y792" i="2"/>
  <c r="Z1242" i="2" s="1"/>
  <c r="Y793" i="2"/>
  <c r="Z1243" i="2" s="1"/>
  <c r="Y32" i="2"/>
  <c r="Y782" i="2" s="1"/>
  <c r="Z1232" i="2" s="1"/>
  <c r="Y3" i="2"/>
  <c r="Y4" i="2"/>
  <c r="Y754" i="2" s="1"/>
  <c r="Z1204" i="2" s="1"/>
  <c r="Y5" i="2"/>
  <c r="Y6" i="2"/>
  <c r="Y756" i="2" s="1"/>
  <c r="Z1206" i="2" s="1"/>
  <c r="Y7" i="2"/>
  <c r="Y8" i="2"/>
  <c r="Y9" i="2"/>
  <c r="Y29" i="2"/>
  <c r="Y2" i="2"/>
  <c r="Y150" i="2"/>
  <c r="Y151" i="2"/>
  <c r="Y149" i="2"/>
  <c r="Y145" i="2"/>
  <c r="Y146" i="2"/>
  <c r="Y147" i="2"/>
  <c r="Y148" i="2"/>
  <c r="Y144" i="2"/>
  <c r="Y140" i="2"/>
  <c r="Y141" i="2"/>
  <c r="Y142" i="2"/>
  <c r="Y143" i="2"/>
  <c r="Y139" i="2"/>
  <c r="Y19" i="2" s="1"/>
  <c r="Y135" i="2"/>
  <c r="Y136" i="2"/>
  <c r="Y137" i="2"/>
  <c r="Y138" i="2"/>
  <c r="Y134" i="2"/>
  <c r="Y801" i="2" l="1"/>
  <c r="Z1251" i="2" s="1"/>
  <c r="Z201" i="2"/>
  <c r="Z351" i="2" s="1"/>
  <c r="Y777" i="2"/>
  <c r="Z1227" i="2" s="1"/>
  <c r="Z177" i="2"/>
  <c r="Z327" i="2" s="1"/>
  <c r="Y781" i="2"/>
  <c r="Z1231" i="2" s="1"/>
  <c r="Z181" i="2"/>
  <c r="Z331" i="2" s="1"/>
  <c r="Y776" i="2"/>
  <c r="Z1226" i="2" s="1"/>
  <c r="Z176" i="2"/>
  <c r="Z326" i="2" s="1"/>
  <c r="Y765" i="2"/>
  <c r="Z1215" i="2" s="1"/>
  <c r="Z165" i="2"/>
  <c r="Z315" i="2" s="1"/>
  <c r="Y775" i="2"/>
  <c r="Z1225" i="2" s="1"/>
  <c r="Z175" i="2"/>
  <c r="Z325" i="2" s="1"/>
  <c r="Y769" i="2"/>
  <c r="Z1219" i="2" s="1"/>
  <c r="Z169" i="2"/>
  <c r="Z319" i="2" s="1"/>
  <c r="Y773" i="2"/>
  <c r="Z1223" i="2" s="1"/>
  <c r="Z173" i="2"/>
  <c r="Z323" i="2" s="1"/>
  <c r="Y884" i="2"/>
  <c r="Z1334" i="2" s="1"/>
  <c r="Y104" i="2"/>
  <c r="Y44" i="2"/>
  <c r="Z284" i="2"/>
  <c r="Z434" i="2" s="1"/>
  <c r="Y74" i="2"/>
  <c r="Y888" i="2"/>
  <c r="Z1338" i="2" s="1"/>
  <c r="Z288" i="2"/>
  <c r="Z438" i="2" s="1"/>
  <c r="Y887" i="2"/>
  <c r="Z1337" i="2" s="1"/>
  <c r="Z287" i="2"/>
  <c r="Z437" i="2" s="1"/>
  <c r="Y894" i="2"/>
  <c r="Z1344" i="2" s="1"/>
  <c r="Z294" i="2"/>
  <c r="Z444" i="2" s="1"/>
  <c r="Y84" i="2"/>
  <c r="Y114" i="2"/>
  <c r="Y54" i="2"/>
  <c r="Y752" i="2"/>
  <c r="Z1202" i="2" s="1"/>
  <c r="Z152" i="2"/>
  <c r="Z302" i="2" s="1"/>
  <c r="Y886" i="2"/>
  <c r="Z1336" i="2" s="1"/>
  <c r="Z286" i="2"/>
  <c r="Z436" i="2" s="1"/>
  <c r="Y892" i="2"/>
  <c r="Z1342" i="2" s="1"/>
  <c r="Z292" i="2"/>
  <c r="Z442" i="2" s="1"/>
  <c r="Y898" i="2"/>
  <c r="Z1348" i="2" s="1"/>
  <c r="Z298" i="2"/>
  <c r="Z448" i="2" s="1"/>
  <c r="Y899" i="2"/>
  <c r="Z1349" i="2" s="1"/>
  <c r="Y119" i="2"/>
  <c r="Z299" i="2"/>
  <c r="Z449" i="2" s="1"/>
  <c r="Y89" i="2"/>
  <c r="Y761" i="2"/>
  <c r="Z1211" i="2" s="1"/>
  <c r="Z161" i="2"/>
  <c r="Z311" i="2" s="1"/>
  <c r="Y757" i="2"/>
  <c r="Z1207" i="2" s="1"/>
  <c r="Z157" i="2"/>
  <c r="Z307" i="2" s="1"/>
  <c r="Y753" i="2"/>
  <c r="Z1203" i="2" s="1"/>
  <c r="Z153" i="2"/>
  <c r="Z303" i="2" s="1"/>
  <c r="Y897" i="2"/>
  <c r="Z1347" i="2" s="1"/>
  <c r="Z297" i="2"/>
  <c r="Z447" i="2" s="1"/>
  <c r="Y901" i="2"/>
  <c r="Z1351" i="2" s="1"/>
  <c r="Z301" i="2"/>
  <c r="Z451" i="2" s="1"/>
  <c r="Y780" i="2"/>
  <c r="Z1230" i="2" s="1"/>
  <c r="Z180" i="2"/>
  <c r="Z330" i="2" s="1"/>
  <c r="Y772" i="2"/>
  <c r="Z1222" i="2" s="1"/>
  <c r="Z172" i="2"/>
  <c r="Z322" i="2" s="1"/>
  <c r="Y14" i="2"/>
  <c r="Y760" i="2"/>
  <c r="Z1210" i="2" s="1"/>
  <c r="Z160" i="2"/>
  <c r="Z310" i="2" s="1"/>
  <c r="Y891" i="2"/>
  <c r="Z1341" i="2" s="1"/>
  <c r="Z291" i="2"/>
  <c r="Z441" i="2" s="1"/>
  <c r="Y889" i="2"/>
  <c r="Z1339" i="2" s="1"/>
  <c r="Z289" i="2"/>
  <c r="Z439" i="2" s="1"/>
  <c r="Y79" i="2"/>
  <c r="Y109" i="2"/>
  <c r="Y49" i="2"/>
  <c r="Y890" i="2"/>
  <c r="Z1340" i="2" s="1"/>
  <c r="Z290" i="2"/>
  <c r="Z440" i="2" s="1"/>
  <c r="Y896" i="2"/>
  <c r="Z1346" i="2" s="1"/>
  <c r="Z296" i="2"/>
  <c r="Z446" i="2" s="1"/>
  <c r="Y900" i="2"/>
  <c r="Z1350" i="2" s="1"/>
  <c r="Z300" i="2"/>
  <c r="Z450" i="2" s="1"/>
  <c r="Y779" i="2"/>
  <c r="Z1229" i="2" s="1"/>
  <c r="Z179" i="2"/>
  <c r="Z329" i="2" s="1"/>
  <c r="Y763" i="2"/>
  <c r="Z1213" i="2" s="1"/>
  <c r="Z163" i="2"/>
  <c r="Z313" i="2" s="1"/>
  <c r="Y759" i="2"/>
  <c r="Z1209" i="2" s="1"/>
  <c r="Z159" i="2"/>
  <c r="Z309" i="2" s="1"/>
  <c r="Y755" i="2"/>
  <c r="Z1205" i="2" s="1"/>
  <c r="Z155" i="2"/>
  <c r="Z305" i="2" s="1"/>
  <c r="Y885" i="2"/>
  <c r="Z1335" i="2" s="1"/>
  <c r="Z285" i="2"/>
  <c r="Z435" i="2" s="1"/>
  <c r="Y893" i="2"/>
  <c r="Z1343" i="2" s="1"/>
  <c r="Z293" i="2"/>
  <c r="Z443" i="2" s="1"/>
  <c r="Y895" i="2"/>
  <c r="Z1345" i="2" s="1"/>
  <c r="Z295" i="2"/>
  <c r="Z445" i="2" s="1"/>
  <c r="Y778" i="2"/>
  <c r="Z1228" i="2" s="1"/>
  <c r="Z178" i="2"/>
  <c r="Z328" i="2" s="1"/>
  <c r="Y24" i="2"/>
  <c r="Y762" i="2"/>
  <c r="Z1212" i="2" s="1"/>
  <c r="Z162" i="2"/>
  <c r="Z312" i="2" s="1"/>
  <c r="Y758" i="2"/>
  <c r="Z1208" i="2" s="1"/>
  <c r="Z158" i="2"/>
  <c r="Z308" i="2" s="1"/>
  <c r="Y59" i="2"/>
  <c r="Z252" i="2"/>
  <c r="Z402" i="2" s="1"/>
  <c r="Z248" i="2"/>
  <c r="Z398" i="2" s="1"/>
  <c r="Z244" i="2"/>
  <c r="Z394" i="2" s="1"/>
  <c r="Z220" i="2"/>
  <c r="Z370" i="2" s="1"/>
  <c r="Z216" i="2"/>
  <c r="Z366" i="2" s="1"/>
  <c r="Z212" i="2"/>
  <c r="Z362" i="2" s="1"/>
  <c r="Z192" i="2"/>
  <c r="Z342" i="2" s="1"/>
  <c r="Z188" i="2"/>
  <c r="Z338" i="2" s="1"/>
  <c r="Z184" i="2"/>
  <c r="Z334" i="2" s="1"/>
  <c r="Z156" i="2"/>
  <c r="Z306" i="2" s="1"/>
  <c r="Z251" i="2"/>
  <c r="Z401" i="2" s="1"/>
  <c r="Z247" i="2"/>
  <c r="Z397" i="2" s="1"/>
  <c r="Z243" i="2"/>
  <c r="Z393" i="2" s="1"/>
  <c r="Z223" i="2"/>
  <c r="Z373" i="2" s="1"/>
  <c r="Z219" i="2"/>
  <c r="Z369" i="2" s="1"/>
  <c r="Z215" i="2"/>
  <c r="Z365" i="2" s="1"/>
  <c r="Z191" i="2"/>
  <c r="Z341" i="2" s="1"/>
  <c r="Z187" i="2"/>
  <c r="Z337" i="2" s="1"/>
  <c r="Z183" i="2"/>
  <c r="Z333" i="2" s="1"/>
  <c r="Z250" i="2"/>
  <c r="Z400" i="2" s="1"/>
  <c r="Z246" i="2"/>
  <c r="Z396" i="2" s="1"/>
  <c r="Z242" i="2"/>
  <c r="Z392" i="2" s="1"/>
  <c r="Z222" i="2"/>
  <c r="Z372" i="2" s="1"/>
  <c r="Z218" i="2"/>
  <c r="Z368" i="2" s="1"/>
  <c r="Z214" i="2"/>
  <c r="Z364" i="2" s="1"/>
  <c r="Z190" i="2"/>
  <c r="Z340" i="2" s="1"/>
  <c r="Z186" i="2"/>
  <c r="Z336" i="2" s="1"/>
  <c r="Z182" i="2"/>
  <c r="Z332" i="2" s="1"/>
  <c r="Z154" i="2"/>
  <c r="Z304" i="2" s="1"/>
  <c r="Z253" i="2"/>
  <c r="Z403" i="2" s="1"/>
  <c r="Z249" i="2"/>
  <c r="Z399" i="2" s="1"/>
  <c r="Z245" i="2"/>
  <c r="Z395" i="2" s="1"/>
  <c r="Z221" i="2"/>
  <c r="Z371" i="2" s="1"/>
  <c r="Z217" i="2"/>
  <c r="Z367" i="2" s="1"/>
  <c r="Z213" i="2"/>
  <c r="Z363" i="2" s="1"/>
  <c r="Z193" i="2"/>
  <c r="Z343" i="2" s="1"/>
  <c r="Z189" i="2"/>
  <c r="Z339" i="2" s="1"/>
  <c r="Z185" i="2"/>
  <c r="Z335" i="2" s="1"/>
  <c r="AD33" i="2"/>
  <c r="AE33" i="2"/>
  <c r="AD34" i="2"/>
  <c r="AE34" i="2"/>
  <c r="AD35" i="2"/>
  <c r="AE35" i="2"/>
  <c r="AD36" i="2"/>
  <c r="AE36" i="2"/>
  <c r="AD37" i="2"/>
  <c r="AE37" i="2"/>
  <c r="AD38" i="2"/>
  <c r="AE38" i="2"/>
  <c r="AD39" i="2"/>
  <c r="AE39" i="2"/>
  <c r="AD40" i="2"/>
  <c r="AE40" i="2"/>
  <c r="AD41" i="2"/>
  <c r="AE41" i="2"/>
  <c r="AD42" i="2"/>
  <c r="AE42" i="2"/>
  <c r="AD43" i="2"/>
  <c r="AE43" i="2"/>
  <c r="AD44" i="2"/>
  <c r="AE44" i="2"/>
  <c r="AD45" i="2"/>
  <c r="AE45" i="2"/>
  <c r="AD46" i="2"/>
  <c r="AE46" i="2"/>
  <c r="AD47" i="2"/>
  <c r="AE47" i="2"/>
  <c r="AD48" i="2"/>
  <c r="AE48" i="2"/>
  <c r="AD49" i="2"/>
  <c r="AE49" i="2"/>
  <c r="AD50" i="2"/>
  <c r="AE50" i="2"/>
  <c r="AD51" i="2"/>
  <c r="AE51" i="2"/>
  <c r="AD52" i="2"/>
  <c r="AE52" i="2"/>
  <c r="AD53" i="2"/>
  <c r="AE53" i="2"/>
  <c r="AD54" i="2"/>
  <c r="AE54" i="2"/>
  <c r="AD55" i="2"/>
  <c r="AE55" i="2"/>
  <c r="AD56" i="2"/>
  <c r="AE56" i="2"/>
  <c r="AD57" i="2"/>
  <c r="AE57" i="2"/>
  <c r="AD58" i="2"/>
  <c r="AE58" i="2"/>
  <c r="AD59" i="2"/>
  <c r="AE59" i="2"/>
  <c r="AD60" i="2"/>
  <c r="AE60" i="2"/>
  <c r="AD61" i="2"/>
  <c r="AE61" i="2"/>
  <c r="AD63" i="2"/>
  <c r="AE63" i="2"/>
  <c r="AD64" i="2"/>
  <c r="AE64" i="2"/>
  <c r="AD65" i="2"/>
  <c r="AE65" i="2"/>
  <c r="AD66" i="2"/>
  <c r="AE66" i="2"/>
  <c r="AD67" i="2"/>
  <c r="AE67" i="2"/>
  <c r="AD68" i="2"/>
  <c r="AE68" i="2"/>
  <c r="AD69" i="2"/>
  <c r="AE69" i="2"/>
  <c r="AD70" i="2"/>
  <c r="AE70" i="2"/>
  <c r="AD71" i="2"/>
  <c r="AE71" i="2"/>
  <c r="AD72" i="2"/>
  <c r="AE72" i="2"/>
  <c r="AD73" i="2"/>
  <c r="AE73" i="2"/>
  <c r="AD74" i="2"/>
  <c r="AE74" i="2"/>
  <c r="AD75" i="2"/>
  <c r="AE75" i="2"/>
  <c r="AD76" i="2"/>
  <c r="AE76" i="2"/>
  <c r="AD77" i="2"/>
  <c r="AE77" i="2"/>
  <c r="AD78" i="2"/>
  <c r="AE78" i="2"/>
  <c r="AD79" i="2"/>
  <c r="AE79" i="2"/>
  <c r="AD80" i="2"/>
  <c r="AE80" i="2"/>
  <c r="AD81" i="2"/>
  <c r="AE81" i="2"/>
  <c r="AD82" i="2"/>
  <c r="AE82" i="2"/>
  <c r="AD83" i="2"/>
  <c r="AE83" i="2"/>
  <c r="AD84" i="2"/>
  <c r="AE84" i="2"/>
  <c r="AD85" i="2"/>
  <c r="AE85" i="2"/>
  <c r="AD86" i="2"/>
  <c r="AE86" i="2"/>
  <c r="AD87" i="2"/>
  <c r="AE87" i="2"/>
  <c r="AD88" i="2"/>
  <c r="AE88" i="2"/>
  <c r="AD89" i="2"/>
  <c r="AE89" i="2"/>
  <c r="AD90" i="2"/>
  <c r="AE90" i="2"/>
  <c r="AD91" i="2"/>
  <c r="AE91" i="2"/>
  <c r="AD93" i="2"/>
  <c r="AE93" i="2"/>
  <c r="AD94" i="2"/>
  <c r="AE94" i="2"/>
  <c r="AD95" i="2"/>
  <c r="AE95" i="2"/>
  <c r="AD96" i="2"/>
  <c r="AE96" i="2"/>
  <c r="AD97" i="2"/>
  <c r="AE97" i="2"/>
  <c r="AD98" i="2"/>
  <c r="AE98" i="2"/>
  <c r="AD99" i="2"/>
  <c r="AE99" i="2"/>
  <c r="AD100" i="2"/>
  <c r="AE100" i="2"/>
  <c r="AD101" i="2"/>
  <c r="AE101" i="2"/>
  <c r="AD102" i="2"/>
  <c r="AE102" i="2"/>
  <c r="AD103" i="2"/>
  <c r="AE103" i="2"/>
  <c r="AD104" i="2"/>
  <c r="AE104" i="2"/>
  <c r="AD105" i="2"/>
  <c r="AE105" i="2"/>
  <c r="AD106" i="2"/>
  <c r="AE106" i="2"/>
  <c r="AD107" i="2"/>
  <c r="AE107" i="2"/>
  <c r="AD108" i="2"/>
  <c r="AE108" i="2"/>
  <c r="AD109" i="2"/>
  <c r="AE109" i="2"/>
  <c r="AD110" i="2"/>
  <c r="AE110" i="2"/>
  <c r="AD111" i="2"/>
  <c r="AE111" i="2"/>
  <c r="AD112" i="2"/>
  <c r="AE112" i="2"/>
  <c r="AD113" i="2"/>
  <c r="AE113" i="2"/>
  <c r="AD114" i="2"/>
  <c r="AE114" i="2"/>
  <c r="AD115" i="2"/>
  <c r="AE115" i="2"/>
  <c r="AD116" i="2"/>
  <c r="AE116" i="2"/>
  <c r="AD117" i="2"/>
  <c r="AE117" i="2"/>
  <c r="AD118" i="2"/>
  <c r="AE118" i="2"/>
  <c r="AD119" i="2"/>
  <c r="AE119" i="2"/>
  <c r="AD120" i="2"/>
  <c r="AE120" i="2"/>
  <c r="AD121" i="2"/>
  <c r="AE121" i="2"/>
  <c r="AD123" i="2"/>
  <c r="AE123" i="2"/>
  <c r="AD124" i="2"/>
  <c r="AE124" i="2"/>
  <c r="AD125" i="2"/>
  <c r="AE125" i="2"/>
  <c r="AD126" i="2"/>
  <c r="AE126" i="2"/>
  <c r="AD127" i="2"/>
  <c r="AE127" i="2"/>
  <c r="AD128" i="2"/>
  <c r="AE128" i="2"/>
  <c r="AD129" i="2"/>
  <c r="AE129" i="2"/>
  <c r="AD130" i="2"/>
  <c r="AE130" i="2"/>
  <c r="AD131" i="2"/>
  <c r="AE131" i="2"/>
  <c r="AD132" i="2"/>
  <c r="AE132" i="2"/>
  <c r="AD133" i="2"/>
  <c r="AE133" i="2"/>
  <c r="AD134" i="2"/>
  <c r="AE134" i="2"/>
  <c r="AD135" i="2"/>
  <c r="AE135" i="2"/>
  <c r="AD136" i="2"/>
  <c r="AE136" i="2"/>
  <c r="AD137" i="2"/>
  <c r="AE137" i="2"/>
  <c r="AD138" i="2"/>
  <c r="AE138" i="2"/>
  <c r="AD139" i="2"/>
  <c r="AE139" i="2"/>
  <c r="AD140" i="2"/>
  <c r="AE140" i="2"/>
  <c r="AD141" i="2"/>
  <c r="AE141" i="2"/>
  <c r="AD142" i="2"/>
  <c r="AE142" i="2"/>
  <c r="AD143" i="2"/>
  <c r="AE143" i="2"/>
  <c r="AD144" i="2"/>
  <c r="AE144" i="2"/>
  <c r="AD145" i="2"/>
  <c r="AE145" i="2"/>
  <c r="AD146" i="2"/>
  <c r="AE146" i="2"/>
  <c r="AD147" i="2"/>
  <c r="AE147" i="2"/>
  <c r="AD148" i="2"/>
  <c r="AE148" i="2"/>
  <c r="AD149" i="2"/>
  <c r="AE149" i="2"/>
  <c r="AD150" i="2"/>
  <c r="AE150" i="2"/>
  <c r="AD151" i="2"/>
  <c r="AE151" i="2"/>
  <c r="AD153" i="2"/>
  <c r="AE153" i="2"/>
  <c r="AD154" i="2"/>
  <c r="AE154" i="2"/>
  <c r="AD155" i="2"/>
  <c r="AE155" i="2"/>
  <c r="AD156" i="2"/>
  <c r="AE156" i="2"/>
  <c r="AD157" i="2"/>
  <c r="AE157" i="2"/>
  <c r="AD158" i="2"/>
  <c r="AE158" i="2"/>
  <c r="AD159" i="2"/>
  <c r="AE159" i="2"/>
  <c r="AD160" i="2"/>
  <c r="AE160" i="2"/>
  <c r="AD161" i="2"/>
  <c r="AE161" i="2"/>
  <c r="AD162" i="2"/>
  <c r="AE162" i="2"/>
  <c r="AD163" i="2"/>
  <c r="AE163" i="2"/>
  <c r="AD164" i="2"/>
  <c r="AE164" i="2"/>
  <c r="AD165" i="2"/>
  <c r="AE165" i="2"/>
  <c r="AD166" i="2"/>
  <c r="AE166" i="2"/>
  <c r="AD167" i="2"/>
  <c r="AE167" i="2"/>
  <c r="AD168" i="2"/>
  <c r="AE168" i="2"/>
  <c r="AD169" i="2"/>
  <c r="AE169" i="2"/>
  <c r="AD170" i="2"/>
  <c r="AE170" i="2"/>
  <c r="AD171" i="2"/>
  <c r="AE171" i="2"/>
  <c r="AD172" i="2"/>
  <c r="AE172" i="2"/>
  <c r="AD173" i="2"/>
  <c r="AE173" i="2"/>
  <c r="AD174" i="2"/>
  <c r="AE174" i="2"/>
  <c r="AD175" i="2"/>
  <c r="AE175" i="2"/>
  <c r="AD176" i="2"/>
  <c r="AE176" i="2"/>
  <c r="AD177" i="2"/>
  <c r="AE177" i="2"/>
  <c r="AD178" i="2"/>
  <c r="AE178" i="2"/>
  <c r="AD179" i="2"/>
  <c r="AE179" i="2"/>
  <c r="AD180" i="2"/>
  <c r="AE180" i="2"/>
  <c r="AD181" i="2"/>
  <c r="AE181" i="2"/>
  <c r="AD183" i="2"/>
  <c r="AE183" i="2"/>
  <c r="AD184" i="2"/>
  <c r="AE184" i="2"/>
  <c r="AD185" i="2"/>
  <c r="AE185" i="2"/>
  <c r="AD186" i="2"/>
  <c r="AE186" i="2"/>
  <c r="AD187" i="2"/>
  <c r="AE187" i="2"/>
  <c r="AD188" i="2"/>
  <c r="AE188" i="2"/>
  <c r="AD189" i="2"/>
  <c r="AE189" i="2"/>
  <c r="AD190" i="2"/>
  <c r="AE190" i="2"/>
  <c r="AD191" i="2"/>
  <c r="AE191" i="2"/>
  <c r="AD192" i="2"/>
  <c r="AE192" i="2"/>
  <c r="AD193" i="2"/>
  <c r="AE193" i="2"/>
  <c r="AD194" i="2"/>
  <c r="AE194" i="2"/>
  <c r="AD195" i="2"/>
  <c r="AE195" i="2"/>
  <c r="AD196" i="2"/>
  <c r="AE196" i="2"/>
  <c r="AD197" i="2"/>
  <c r="AE197" i="2"/>
  <c r="AD198" i="2"/>
  <c r="AE198" i="2"/>
  <c r="AD199" i="2"/>
  <c r="AE199" i="2"/>
  <c r="AD200" i="2"/>
  <c r="AE200" i="2"/>
  <c r="AD201" i="2"/>
  <c r="AE201" i="2"/>
  <c r="AD202" i="2"/>
  <c r="AE202" i="2"/>
  <c r="AD203" i="2"/>
  <c r="AE203" i="2"/>
  <c r="AD204" i="2"/>
  <c r="AE204" i="2"/>
  <c r="AD205" i="2"/>
  <c r="AE205" i="2"/>
  <c r="AD206" i="2"/>
  <c r="AE206" i="2"/>
  <c r="AD207" i="2"/>
  <c r="AE207" i="2"/>
  <c r="AD208" i="2"/>
  <c r="AE208" i="2"/>
  <c r="AD209" i="2"/>
  <c r="AE209" i="2"/>
  <c r="AD210" i="2"/>
  <c r="AE210" i="2"/>
  <c r="AD211" i="2"/>
  <c r="AE211" i="2"/>
  <c r="AD213" i="2"/>
  <c r="AE213" i="2"/>
  <c r="AD214" i="2"/>
  <c r="AE214" i="2"/>
  <c r="AD215" i="2"/>
  <c r="AE215" i="2"/>
  <c r="AD216" i="2"/>
  <c r="AE216" i="2"/>
  <c r="AD217" i="2"/>
  <c r="AE217" i="2"/>
  <c r="AD218" i="2"/>
  <c r="AE218" i="2"/>
  <c r="AD219" i="2"/>
  <c r="AE219" i="2"/>
  <c r="AD220" i="2"/>
  <c r="AE220" i="2"/>
  <c r="AD221" i="2"/>
  <c r="AE221" i="2"/>
  <c r="AD222" i="2"/>
  <c r="AE222" i="2"/>
  <c r="AD223" i="2"/>
  <c r="AE223" i="2"/>
  <c r="AD224" i="2"/>
  <c r="AE224" i="2"/>
  <c r="AD225" i="2"/>
  <c r="AE225" i="2"/>
  <c r="AD226" i="2"/>
  <c r="AE226" i="2"/>
  <c r="AD227" i="2"/>
  <c r="AE227" i="2"/>
  <c r="AD228" i="2"/>
  <c r="AE228" i="2"/>
  <c r="AD229" i="2"/>
  <c r="AE229" i="2"/>
  <c r="AD230" i="2"/>
  <c r="AE230" i="2"/>
  <c r="AD231" i="2"/>
  <c r="AE231" i="2"/>
  <c r="AD232" i="2"/>
  <c r="AE232" i="2"/>
  <c r="AD233" i="2"/>
  <c r="AE233" i="2"/>
  <c r="AD234" i="2"/>
  <c r="AE234" i="2"/>
  <c r="AD235" i="2"/>
  <c r="AE235" i="2"/>
  <c r="AD236" i="2"/>
  <c r="AE236" i="2"/>
  <c r="AD237" i="2"/>
  <c r="AE237" i="2"/>
  <c r="AD238" i="2"/>
  <c r="AE238" i="2"/>
  <c r="AD239" i="2"/>
  <c r="AE239" i="2"/>
  <c r="AD240" i="2"/>
  <c r="AE240" i="2"/>
  <c r="AD241" i="2"/>
  <c r="AE241" i="2"/>
  <c r="AD243" i="2"/>
  <c r="AE243" i="2"/>
  <c r="AD244" i="2"/>
  <c r="AE244" i="2"/>
  <c r="AD245" i="2"/>
  <c r="AE245" i="2"/>
  <c r="AD246" i="2"/>
  <c r="AE246" i="2"/>
  <c r="AD247" i="2"/>
  <c r="AE247" i="2"/>
  <c r="AD248" i="2"/>
  <c r="AE248" i="2"/>
  <c r="AD249" i="2"/>
  <c r="AE249" i="2"/>
  <c r="AD250" i="2"/>
  <c r="AE250" i="2"/>
  <c r="AD251" i="2"/>
  <c r="AE251" i="2"/>
  <c r="AD252" i="2"/>
  <c r="AE252" i="2"/>
  <c r="AD253" i="2"/>
  <c r="AE253" i="2"/>
  <c r="AD254" i="2"/>
  <c r="AE254" i="2"/>
  <c r="AD255" i="2"/>
  <c r="AE255" i="2"/>
  <c r="AD256" i="2"/>
  <c r="AE256" i="2"/>
  <c r="AD257" i="2"/>
  <c r="AE257" i="2"/>
  <c r="AD258" i="2"/>
  <c r="AE258" i="2"/>
  <c r="AD259" i="2"/>
  <c r="AE259" i="2"/>
  <c r="AD260" i="2"/>
  <c r="AE260" i="2"/>
  <c r="AD261" i="2"/>
  <c r="AE261" i="2"/>
  <c r="AD262" i="2"/>
  <c r="AE262" i="2"/>
  <c r="AD263" i="2"/>
  <c r="AE263" i="2"/>
  <c r="AD264" i="2"/>
  <c r="AE264" i="2"/>
  <c r="AD265" i="2"/>
  <c r="AE265" i="2"/>
  <c r="AD266" i="2"/>
  <c r="AE266" i="2"/>
  <c r="AD267" i="2"/>
  <c r="AE267" i="2"/>
  <c r="AD268" i="2"/>
  <c r="AE268" i="2"/>
  <c r="AD269" i="2"/>
  <c r="AE269" i="2"/>
  <c r="AD270" i="2"/>
  <c r="AE270" i="2"/>
  <c r="AD271" i="2"/>
  <c r="AE271" i="2"/>
  <c r="AD273" i="2"/>
  <c r="AE273" i="2"/>
  <c r="AD274" i="2"/>
  <c r="AE274" i="2"/>
  <c r="AD275" i="2"/>
  <c r="AE275" i="2"/>
  <c r="AD276" i="2"/>
  <c r="AE276" i="2"/>
  <c r="AD277" i="2"/>
  <c r="AE277" i="2"/>
  <c r="AD278" i="2"/>
  <c r="AE278" i="2"/>
  <c r="AD279" i="2"/>
  <c r="AE279" i="2"/>
  <c r="AD280" i="2"/>
  <c r="AE280" i="2"/>
  <c r="AD281" i="2"/>
  <c r="AE281" i="2"/>
  <c r="AD282" i="2"/>
  <c r="AE282" i="2"/>
  <c r="AD283" i="2"/>
  <c r="AE283" i="2"/>
  <c r="AD284" i="2"/>
  <c r="AE284" i="2"/>
  <c r="AD285" i="2"/>
  <c r="AE285" i="2"/>
  <c r="AD286" i="2"/>
  <c r="AE286" i="2"/>
  <c r="AD287" i="2"/>
  <c r="AE287" i="2"/>
  <c r="AD288" i="2"/>
  <c r="AE288" i="2"/>
  <c r="AD289" i="2"/>
  <c r="AE289" i="2"/>
  <c r="AD290" i="2"/>
  <c r="AE290" i="2"/>
  <c r="AD291" i="2"/>
  <c r="AE291" i="2"/>
  <c r="AD292" i="2"/>
  <c r="AE292" i="2"/>
  <c r="AD293" i="2"/>
  <c r="AE293" i="2"/>
  <c r="AD294" i="2"/>
  <c r="AE294" i="2"/>
  <c r="AD295" i="2"/>
  <c r="AE295" i="2"/>
  <c r="AD296" i="2"/>
  <c r="AE296" i="2"/>
  <c r="AD297" i="2"/>
  <c r="AE297" i="2"/>
  <c r="AD298" i="2"/>
  <c r="AE298" i="2"/>
  <c r="AD299" i="2"/>
  <c r="AE299" i="2"/>
  <c r="AD300" i="2"/>
  <c r="AE300" i="2"/>
  <c r="AD301" i="2"/>
  <c r="AE301" i="2"/>
  <c r="AD303" i="2"/>
  <c r="AE303" i="2"/>
  <c r="AD304" i="2"/>
  <c r="AE304" i="2"/>
  <c r="AD305" i="2"/>
  <c r="AE305" i="2"/>
  <c r="AD306" i="2"/>
  <c r="AE306" i="2"/>
  <c r="AD307" i="2"/>
  <c r="AE307" i="2"/>
  <c r="AD308" i="2"/>
  <c r="AE308" i="2"/>
  <c r="AD309" i="2"/>
  <c r="AE309" i="2"/>
  <c r="AD310" i="2"/>
  <c r="AE310" i="2"/>
  <c r="AD311" i="2"/>
  <c r="AE311" i="2"/>
  <c r="AD312" i="2"/>
  <c r="AE312" i="2"/>
  <c r="AD313" i="2"/>
  <c r="AE313" i="2"/>
  <c r="AD314" i="2"/>
  <c r="AE314" i="2"/>
  <c r="AD315" i="2"/>
  <c r="AE315" i="2"/>
  <c r="AD316" i="2"/>
  <c r="AE316" i="2"/>
  <c r="AD317" i="2"/>
  <c r="AE317" i="2"/>
  <c r="AD318" i="2"/>
  <c r="AE318" i="2"/>
  <c r="AD319" i="2"/>
  <c r="AE319" i="2"/>
  <c r="AD320" i="2"/>
  <c r="AE320" i="2"/>
  <c r="AD321" i="2"/>
  <c r="AE321" i="2"/>
  <c r="AD322" i="2"/>
  <c r="AE322" i="2"/>
  <c r="AD323" i="2"/>
  <c r="AE323" i="2"/>
  <c r="AD324" i="2"/>
  <c r="AE324" i="2"/>
  <c r="AD325" i="2"/>
  <c r="AE325" i="2"/>
  <c r="AD326" i="2"/>
  <c r="AE326" i="2"/>
  <c r="AD327" i="2"/>
  <c r="AE327" i="2"/>
  <c r="AD328" i="2"/>
  <c r="AE328" i="2"/>
  <c r="AD329" i="2"/>
  <c r="AE329" i="2"/>
  <c r="AD330" i="2"/>
  <c r="AE330" i="2"/>
  <c r="AD331" i="2"/>
  <c r="AE331" i="2"/>
  <c r="AD333" i="2"/>
  <c r="AE333" i="2"/>
  <c r="AD334" i="2"/>
  <c r="AE334" i="2"/>
  <c r="AD335" i="2"/>
  <c r="AE335" i="2"/>
  <c r="AD336" i="2"/>
  <c r="AE336" i="2"/>
  <c r="AD337" i="2"/>
  <c r="AE337" i="2"/>
  <c r="AD338" i="2"/>
  <c r="AE338" i="2"/>
  <c r="AD339" i="2"/>
  <c r="AE339" i="2"/>
  <c r="AD340" i="2"/>
  <c r="AE340" i="2"/>
  <c r="AD341" i="2"/>
  <c r="AE341" i="2"/>
  <c r="AD342" i="2"/>
  <c r="AE342" i="2"/>
  <c r="AD343" i="2"/>
  <c r="AE343" i="2"/>
  <c r="AD344" i="2"/>
  <c r="AE344" i="2"/>
  <c r="AD345" i="2"/>
  <c r="AE345" i="2"/>
  <c r="AD346" i="2"/>
  <c r="AE346" i="2"/>
  <c r="AD347" i="2"/>
  <c r="AE347" i="2"/>
  <c r="AD348" i="2"/>
  <c r="AE348" i="2"/>
  <c r="AD349" i="2"/>
  <c r="AE349" i="2"/>
  <c r="AD350" i="2"/>
  <c r="AE350" i="2"/>
  <c r="AD351" i="2"/>
  <c r="AE351" i="2"/>
  <c r="AD352" i="2"/>
  <c r="AE352" i="2"/>
  <c r="AD353" i="2"/>
  <c r="AE353" i="2"/>
  <c r="AD354" i="2"/>
  <c r="AE354" i="2"/>
  <c r="AD355" i="2"/>
  <c r="AE355" i="2"/>
  <c r="AD356" i="2"/>
  <c r="AE356" i="2"/>
  <c r="AD357" i="2"/>
  <c r="AE357" i="2"/>
  <c r="AD358" i="2"/>
  <c r="AE358" i="2"/>
  <c r="AD359" i="2"/>
  <c r="AE359" i="2"/>
  <c r="AD360" i="2"/>
  <c r="AE360" i="2"/>
  <c r="AD361" i="2"/>
  <c r="AE361" i="2"/>
  <c r="AD363" i="2"/>
  <c r="AE363" i="2"/>
  <c r="AD364" i="2"/>
  <c r="AE364" i="2"/>
  <c r="AD365" i="2"/>
  <c r="AE365" i="2"/>
  <c r="AD366" i="2"/>
  <c r="AE366" i="2"/>
  <c r="AD367" i="2"/>
  <c r="AE367" i="2"/>
  <c r="AD368" i="2"/>
  <c r="AE368" i="2"/>
  <c r="AD369" i="2"/>
  <c r="AE369" i="2"/>
  <c r="AD370" i="2"/>
  <c r="AE370" i="2"/>
  <c r="AD371" i="2"/>
  <c r="AE371" i="2"/>
  <c r="AD372" i="2"/>
  <c r="AE372" i="2"/>
  <c r="AD373" i="2"/>
  <c r="AE373" i="2"/>
  <c r="AD374" i="2"/>
  <c r="AE374" i="2"/>
  <c r="AD375" i="2"/>
  <c r="AE375" i="2"/>
  <c r="AD376" i="2"/>
  <c r="AE376" i="2"/>
  <c r="AD377" i="2"/>
  <c r="AE377" i="2"/>
  <c r="AD378" i="2"/>
  <c r="AE378" i="2"/>
  <c r="AD379" i="2"/>
  <c r="AE379" i="2"/>
  <c r="AD380" i="2"/>
  <c r="AE380" i="2"/>
  <c r="AD381" i="2"/>
  <c r="AE381" i="2"/>
  <c r="AD382" i="2"/>
  <c r="AE382" i="2"/>
  <c r="AD383" i="2"/>
  <c r="AE383" i="2"/>
  <c r="AD384" i="2"/>
  <c r="AE384" i="2"/>
  <c r="AD385" i="2"/>
  <c r="AE385" i="2"/>
  <c r="AD386" i="2"/>
  <c r="AE386" i="2"/>
  <c r="AD387" i="2"/>
  <c r="AE387" i="2"/>
  <c r="AD388" i="2"/>
  <c r="AE388" i="2"/>
  <c r="AD389" i="2"/>
  <c r="AE389" i="2"/>
  <c r="AD390" i="2"/>
  <c r="AE390" i="2"/>
  <c r="AD391" i="2"/>
  <c r="AE391" i="2"/>
  <c r="AD393" i="2"/>
  <c r="AE393" i="2"/>
  <c r="AD394" i="2"/>
  <c r="AE394" i="2"/>
  <c r="AD395" i="2"/>
  <c r="AE395" i="2"/>
  <c r="AD396" i="2"/>
  <c r="AE396" i="2"/>
  <c r="AD397" i="2"/>
  <c r="AE397" i="2"/>
  <c r="AD398" i="2"/>
  <c r="AE398" i="2"/>
  <c r="AD399" i="2"/>
  <c r="AE399" i="2"/>
  <c r="AD400" i="2"/>
  <c r="AE400" i="2"/>
  <c r="AD401" i="2"/>
  <c r="AE401" i="2"/>
  <c r="AD402" i="2"/>
  <c r="AE402" i="2"/>
  <c r="AD403" i="2"/>
  <c r="AE403" i="2"/>
  <c r="AD404" i="2"/>
  <c r="AE404" i="2"/>
  <c r="AD405" i="2"/>
  <c r="AE405" i="2"/>
  <c r="AD406" i="2"/>
  <c r="AE406" i="2"/>
  <c r="AD407" i="2"/>
  <c r="AE407" i="2"/>
  <c r="AD408" i="2"/>
  <c r="AE408" i="2"/>
  <c r="AD409" i="2"/>
  <c r="AE409" i="2"/>
  <c r="AD410" i="2"/>
  <c r="AE410" i="2"/>
  <c r="AD411" i="2"/>
  <c r="AE411" i="2"/>
  <c r="AD412" i="2"/>
  <c r="AE412" i="2"/>
  <c r="AD413" i="2"/>
  <c r="AE413" i="2"/>
  <c r="AD414" i="2"/>
  <c r="AE414" i="2"/>
  <c r="AD415" i="2"/>
  <c r="AE415" i="2"/>
  <c r="AD416" i="2"/>
  <c r="AE416" i="2"/>
  <c r="AD417" i="2"/>
  <c r="AE417" i="2"/>
  <c r="AD418" i="2"/>
  <c r="AE418" i="2"/>
  <c r="AD419" i="2"/>
  <c r="AE419" i="2"/>
  <c r="AD420" i="2"/>
  <c r="AE420" i="2"/>
  <c r="AD421" i="2"/>
  <c r="AE421" i="2"/>
  <c r="AD423" i="2"/>
  <c r="AE423" i="2"/>
  <c r="AD424" i="2"/>
  <c r="AE424" i="2"/>
  <c r="AD425" i="2"/>
  <c r="AE425" i="2"/>
  <c r="AD426" i="2"/>
  <c r="AE426" i="2"/>
  <c r="AD427" i="2"/>
  <c r="AE427" i="2"/>
  <c r="AD428" i="2"/>
  <c r="AE428" i="2"/>
  <c r="AD429" i="2"/>
  <c r="AE429" i="2"/>
  <c r="AD430" i="2"/>
  <c r="AE430" i="2"/>
  <c r="AD431" i="2"/>
  <c r="AE431" i="2"/>
  <c r="AD432" i="2"/>
  <c r="AE432" i="2"/>
  <c r="AD433" i="2"/>
  <c r="AE433" i="2"/>
  <c r="AD434" i="2"/>
  <c r="AE434" i="2"/>
  <c r="AD435" i="2"/>
  <c r="AE435" i="2"/>
  <c r="AD436" i="2"/>
  <c r="AE436" i="2"/>
  <c r="AD437" i="2"/>
  <c r="AE437" i="2"/>
  <c r="AD438" i="2"/>
  <c r="AE438" i="2"/>
  <c r="AD439" i="2"/>
  <c r="AE439" i="2"/>
  <c r="AD440" i="2"/>
  <c r="AE440" i="2"/>
  <c r="AD441" i="2"/>
  <c r="AE441" i="2"/>
  <c r="AD442" i="2"/>
  <c r="AE442" i="2"/>
  <c r="AD443" i="2"/>
  <c r="AE443" i="2"/>
  <c r="AD444" i="2"/>
  <c r="AE444" i="2"/>
  <c r="AD445" i="2"/>
  <c r="AE445" i="2"/>
  <c r="AD446" i="2"/>
  <c r="AE446" i="2"/>
  <c r="AD447" i="2"/>
  <c r="AE447" i="2"/>
  <c r="AD448" i="2"/>
  <c r="AE448" i="2"/>
  <c r="AD449" i="2"/>
  <c r="AE449" i="2"/>
  <c r="AD450" i="2"/>
  <c r="AE450" i="2"/>
  <c r="AD451" i="2"/>
  <c r="AE451" i="2"/>
  <c r="AD453" i="2"/>
  <c r="AE453" i="2"/>
  <c r="AD454" i="2"/>
  <c r="AE454" i="2"/>
  <c r="AD455" i="2"/>
  <c r="AE455" i="2"/>
  <c r="AD456" i="2"/>
  <c r="AE456" i="2"/>
  <c r="AD457" i="2"/>
  <c r="AE457" i="2"/>
  <c r="AD458" i="2"/>
  <c r="AE458" i="2"/>
  <c r="AD459" i="2"/>
  <c r="AE459" i="2"/>
  <c r="AD460" i="2"/>
  <c r="AE460" i="2"/>
  <c r="AD461" i="2"/>
  <c r="AE461" i="2"/>
  <c r="AD462" i="2"/>
  <c r="AE462" i="2"/>
  <c r="AD463" i="2"/>
  <c r="AE463" i="2"/>
  <c r="AD464" i="2"/>
  <c r="AE464" i="2"/>
  <c r="AD465" i="2"/>
  <c r="AE465" i="2"/>
  <c r="AD466" i="2"/>
  <c r="AE466" i="2"/>
  <c r="AD467" i="2"/>
  <c r="AE467" i="2"/>
  <c r="AD468" i="2"/>
  <c r="AE468" i="2"/>
  <c r="AD469" i="2"/>
  <c r="AE469" i="2"/>
  <c r="AD470" i="2"/>
  <c r="AE470" i="2"/>
  <c r="AD471" i="2"/>
  <c r="AE471" i="2"/>
  <c r="AD472" i="2"/>
  <c r="AE472" i="2"/>
  <c r="AD473" i="2"/>
  <c r="AE473" i="2"/>
  <c r="AD474" i="2"/>
  <c r="AE474" i="2"/>
  <c r="AD475" i="2"/>
  <c r="AE475" i="2"/>
  <c r="AD476" i="2"/>
  <c r="AE476" i="2"/>
  <c r="AD477" i="2"/>
  <c r="AE477" i="2"/>
  <c r="AD478" i="2"/>
  <c r="AE478" i="2"/>
  <c r="AD479" i="2"/>
  <c r="AE479" i="2"/>
  <c r="AD480" i="2"/>
  <c r="AE480" i="2"/>
  <c r="AD481" i="2"/>
  <c r="AE481" i="2"/>
  <c r="AD483" i="2"/>
  <c r="AE483" i="2"/>
  <c r="AD484" i="2"/>
  <c r="AE484" i="2"/>
  <c r="AD485" i="2"/>
  <c r="AE485" i="2"/>
  <c r="AD486" i="2"/>
  <c r="AE486" i="2"/>
  <c r="AD487" i="2"/>
  <c r="AE487" i="2"/>
  <c r="AD488" i="2"/>
  <c r="AE488" i="2"/>
  <c r="AD489" i="2"/>
  <c r="AE489" i="2"/>
  <c r="AD490" i="2"/>
  <c r="AE490" i="2"/>
  <c r="AD491" i="2"/>
  <c r="AE491" i="2"/>
  <c r="AD492" i="2"/>
  <c r="AE492" i="2"/>
  <c r="AD493" i="2"/>
  <c r="AE493" i="2"/>
  <c r="AD494" i="2"/>
  <c r="AE494" i="2"/>
  <c r="AD495" i="2"/>
  <c r="AE495" i="2"/>
  <c r="AD496" i="2"/>
  <c r="AE496" i="2"/>
  <c r="AD497" i="2"/>
  <c r="AE497" i="2"/>
  <c r="AD498" i="2"/>
  <c r="AE498" i="2"/>
  <c r="AD499" i="2"/>
  <c r="AE499" i="2"/>
  <c r="AD500" i="2"/>
  <c r="AE500" i="2"/>
  <c r="AD501" i="2"/>
  <c r="AE501" i="2"/>
  <c r="AD502" i="2"/>
  <c r="AE502" i="2"/>
  <c r="AD503" i="2"/>
  <c r="AE503" i="2"/>
  <c r="AD504" i="2"/>
  <c r="AE504" i="2"/>
  <c r="AD505" i="2"/>
  <c r="AE505" i="2"/>
  <c r="AD506" i="2"/>
  <c r="AE506" i="2"/>
  <c r="AD507" i="2"/>
  <c r="AE507" i="2"/>
  <c r="AD508" i="2"/>
  <c r="AE508" i="2"/>
  <c r="AD509" i="2"/>
  <c r="AE509" i="2"/>
  <c r="AD510" i="2"/>
  <c r="AE510" i="2"/>
  <c r="AD511" i="2"/>
  <c r="AE511" i="2"/>
  <c r="AD513" i="2"/>
  <c r="AE513" i="2"/>
  <c r="AD514" i="2"/>
  <c r="AE514" i="2"/>
  <c r="AD515" i="2"/>
  <c r="AE515" i="2"/>
  <c r="AD516" i="2"/>
  <c r="AE516" i="2"/>
  <c r="AD517" i="2"/>
  <c r="AE517" i="2"/>
  <c r="AD518" i="2"/>
  <c r="AE518" i="2"/>
  <c r="AD519" i="2"/>
  <c r="AE519" i="2"/>
  <c r="AD520" i="2"/>
  <c r="AE520" i="2"/>
  <c r="AD521" i="2"/>
  <c r="AE521" i="2"/>
  <c r="AD522" i="2"/>
  <c r="AE522" i="2"/>
  <c r="AD523" i="2"/>
  <c r="AE523" i="2"/>
  <c r="AD524" i="2"/>
  <c r="AE524" i="2"/>
  <c r="AD525" i="2"/>
  <c r="AE525" i="2"/>
  <c r="AD526" i="2"/>
  <c r="AE526" i="2"/>
  <c r="AD527" i="2"/>
  <c r="AE527" i="2"/>
  <c r="AD528" i="2"/>
  <c r="AE528" i="2"/>
  <c r="AD529" i="2"/>
  <c r="AE529" i="2"/>
  <c r="AD530" i="2"/>
  <c r="AE530" i="2"/>
  <c r="AD531" i="2"/>
  <c r="AE531" i="2"/>
  <c r="AD532" i="2"/>
  <c r="AE532" i="2"/>
  <c r="AD533" i="2"/>
  <c r="AE533" i="2"/>
  <c r="AD534" i="2"/>
  <c r="AE534" i="2"/>
  <c r="AD535" i="2"/>
  <c r="AE535" i="2"/>
  <c r="AD536" i="2"/>
  <c r="AE536" i="2"/>
  <c r="AD537" i="2"/>
  <c r="AE537" i="2"/>
  <c r="AD538" i="2"/>
  <c r="AE538" i="2"/>
  <c r="AD539" i="2"/>
  <c r="AE539" i="2"/>
  <c r="AD540" i="2"/>
  <c r="AE540" i="2"/>
  <c r="AD541" i="2"/>
  <c r="AE541" i="2"/>
  <c r="AD543" i="2"/>
  <c r="AE543" i="2"/>
  <c r="AD544" i="2"/>
  <c r="AE544" i="2"/>
  <c r="AD545" i="2"/>
  <c r="AE545" i="2"/>
  <c r="AD546" i="2"/>
  <c r="AE546" i="2"/>
  <c r="AD547" i="2"/>
  <c r="AE547" i="2"/>
  <c r="AD548" i="2"/>
  <c r="AE548" i="2"/>
  <c r="AD549" i="2"/>
  <c r="AE549" i="2"/>
  <c r="AD550" i="2"/>
  <c r="AE550" i="2"/>
  <c r="AD551" i="2"/>
  <c r="AE551" i="2"/>
  <c r="AD552" i="2"/>
  <c r="AE552" i="2"/>
  <c r="AD553" i="2"/>
  <c r="AE553" i="2"/>
  <c r="AD554" i="2"/>
  <c r="AE554" i="2"/>
  <c r="AD555" i="2"/>
  <c r="AE555" i="2"/>
  <c r="AD556" i="2"/>
  <c r="AE556" i="2"/>
  <c r="AD557" i="2"/>
  <c r="AE557" i="2"/>
  <c r="AD558" i="2"/>
  <c r="AE558" i="2"/>
  <c r="AD559" i="2"/>
  <c r="AE559" i="2"/>
  <c r="AD560" i="2"/>
  <c r="AE560" i="2"/>
  <c r="AD561" i="2"/>
  <c r="AE561" i="2"/>
  <c r="AD562" i="2"/>
  <c r="AE562" i="2"/>
  <c r="AD563" i="2"/>
  <c r="AE563" i="2"/>
  <c r="AD564" i="2"/>
  <c r="AE564" i="2"/>
  <c r="AD565" i="2"/>
  <c r="AE565" i="2"/>
  <c r="AD566" i="2"/>
  <c r="AE566" i="2"/>
  <c r="AD567" i="2"/>
  <c r="AE567" i="2"/>
  <c r="AD568" i="2"/>
  <c r="AE568" i="2"/>
  <c r="AD569" i="2"/>
  <c r="AE569" i="2"/>
  <c r="AD570" i="2"/>
  <c r="AE570" i="2"/>
  <c r="AD571" i="2"/>
  <c r="AE571" i="2"/>
  <c r="AD573" i="2"/>
  <c r="AE573" i="2"/>
  <c r="AD574" i="2"/>
  <c r="AE574" i="2"/>
  <c r="AD575" i="2"/>
  <c r="AE575" i="2"/>
  <c r="AD576" i="2"/>
  <c r="AE576" i="2"/>
  <c r="AD577" i="2"/>
  <c r="AE577" i="2"/>
  <c r="AD578" i="2"/>
  <c r="AE578" i="2"/>
  <c r="AD579" i="2"/>
  <c r="AE579" i="2"/>
  <c r="AD580" i="2"/>
  <c r="AE580" i="2"/>
  <c r="AD581" i="2"/>
  <c r="AE581" i="2"/>
  <c r="AD582" i="2"/>
  <c r="AE582" i="2"/>
  <c r="AD583" i="2"/>
  <c r="AE583" i="2"/>
  <c r="AD584" i="2"/>
  <c r="AE584" i="2"/>
  <c r="AD585" i="2"/>
  <c r="AE585" i="2"/>
  <c r="AD586" i="2"/>
  <c r="AE586" i="2"/>
  <c r="AD587" i="2"/>
  <c r="AE587" i="2"/>
  <c r="AD588" i="2"/>
  <c r="AE588" i="2"/>
  <c r="AD589" i="2"/>
  <c r="AE589" i="2"/>
  <c r="AD590" i="2"/>
  <c r="AE590" i="2"/>
  <c r="AD591" i="2"/>
  <c r="AE591" i="2"/>
  <c r="AD592" i="2"/>
  <c r="AE592" i="2"/>
  <c r="AD593" i="2"/>
  <c r="AE593" i="2"/>
  <c r="AD594" i="2"/>
  <c r="AE594" i="2"/>
  <c r="AD595" i="2"/>
  <c r="AE595" i="2"/>
  <c r="AD596" i="2"/>
  <c r="AE596" i="2"/>
  <c r="AD597" i="2"/>
  <c r="AE597" i="2"/>
  <c r="AD598" i="2"/>
  <c r="AE598" i="2"/>
  <c r="AD599" i="2"/>
  <c r="AE599" i="2"/>
  <c r="AD600" i="2"/>
  <c r="AE600" i="2"/>
  <c r="AD601" i="2"/>
  <c r="AE601" i="2"/>
  <c r="AD603" i="2"/>
  <c r="AE603" i="2"/>
  <c r="AD604" i="2"/>
  <c r="AE604" i="2"/>
  <c r="AD605" i="2"/>
  <c r="AE605" i="2"/>
  <c r="AD606" i="2"/>
  <c r="AE606" i="2"/>
  <c r="AD607" i="2"/>
  <c r="AE607" i="2"/>
  <c r="AD608" i="2"/>
  <c r="AE608" i="2"/>
  <c r="AD609" i="2"/>
  <c r="AE609" i="2"/>
  <c r="AD610" i="2"/>
  <c r="AE610" i="2"/>
  <c r="AD611" i="2"/>
  <c r="AE611" i="2"/>
  <c r="AD612" i="2"/>
  <c r="AE612" i="2"/>
  <c r="AD613" i="2"/>
  <c r="AE613" i="2"/>
  <c r="AD614" i="2"/>
  <c r="AE614" i="2"/>
  <c r="AD615" i="2"/>
  <c r="AE615" i="2"/>
  <c r="AD616" i="2"/>
  <c r="AE616" i="2"/>
  <c r="AD617" i="2"/>
  <c r="AE617" i="2"/>
  <c r="AD618" i="2"/>
  <c r="AE618" i="2"/>
  <c r="AD619" i="2"/>
  <c r="AE619" i="2"/>
  <c r="AD620" i="2"/>
  <c r="AE620" i="2"/>
  <c r="AD621" i="2"/>
  <c r="AE621" i="2"/>
  <c r="AD622" i="2"/>
  <c r="AE622" i="2"/>
  <c r="AD623" i="2"/>
  <c r="AE623" i="2"/>
  <c r="AD624" i="2"/>
  <c r="AE624" i="2"/>
  <c r="AD625" i="2"/>
  <c r="AE625" i="2"/>
  <c r="AD626" i="2"/>
  <c r="AE626" i="2"/>
  <c r="AD627" i="2"/>
  <c r="AE627" i="2"/>
  <c r="AD628" i="2"/>
  <c r="AE628" i="2"/>
  <c r="AD629" i="2"/>
  <c r="AE629" i="2"/>
  <c r="AD630" i="2"/>
  <c r="AE630" i="2"/>
  <c r="AD631" i="2"/>
  <c r="AE631" i="2"/>
  <c r="AD633" i="2"/>
  <c r="AE633" i="2"/>
  <c r="AD634" i="2"/>
  <c r="AE634" i="2"/>
  <c r="AD635" i="2"/>
  <c r="AE635" i="2"/>
  <c r="AD636" i="2"/>
  <c r="AE636" i="2"/>
  <c r="AD637" i="2"/>
  <c r="AE637" i="2"/>
  <c r="AD638" i="2"/>
  <c r="AE638" i="2"/>
  <c r="AD639" i="2"/>
  <c r="AE639" i="2"/>
  <c r="AD640" i="2"/>
  <c r="AE640" i="2"/>
  <c r="AD641" i="2"/>
  <c r="AE641" i="2"/>
  <c r="AD642" i="2"/>
  <c r="AE642" i="2"/>
  <c r="AD643" i="2"/>
  <c r="AE643" i="2"/>
  <c r="AD644" i="2"/>
  <c r="AE644" i="2"/>
  <c r="AD645" i="2"/>
  <c r="AE645" i="2"/>
  <c r="AD646" i="2"/>
  <c r="AE646" i="2"/>
  <c r="AD647" i="2"/>
  <c r="AE647" i="2"/>
  <c r="AD648" i="2"/>
  <c r="AE648" i="2"/>
  <c r="AD649" i="2"/>
  <c r="AE649" i="2"/>
  <c r="AD650" i="2"/>
  <c r="AE650" i="2"/>
  <c r="AD651" i="2"/>
  <c r="AE651" i="2"/>
  <c r="AD652" i="2"/>
  <c r="AE652" i="2"/>
  <c r="AD653" i="2"/>
  <c r="AE653" i="2"/>
  <c r="AD654" i="2"/>
  <c r="AE654" i="2"/>
  <c r="AD655" i="2"/>
  <c r="AE655" i="2"/>
  <c r="AD656" i="2"/>
  <c r="AE656" i="2"/>
  <c r="AD657" i="2"/>
  <c r="AE657" i="2"/>
  <c r="AD658" i="2"/>
  <c r="AE658" i="2"/>
  <c r="AD659" i="2"/>
  <c r="AE659" i="2"/>
  <c r="AD660" i="2"/>
  <c r="AE660" i="2"/>
  <c r="AD661" i="2"/>
  <c r="AE661" i="2"/>
  <c r="AD663" i="2"/>
  <c r="AE663" i="2"/>
  <c r="AD664" i="2"/>
  <c r="AE664" i="2"/>
  <c r="AD665" i="2"/>
  <c r="AE665" i="2"/>
  <c r="AD666" i="2"/>
  <c r="AE666" i="2"/>
  <c r="AD667" i="2"/>
  <c r="AE667" i="2"/>
  <c r="AD668" i="2"/>
  <c r="AE668" i="2"/>
  <c r="AD669" i="2"/>
  <c r="AE669" i="2"/>
  <c r="AD670" i="2"/>
  <c r="AE670" i="2"/>
  <c r="AD671" i="2"/>
  <c r="AE671" i="2"/>
  <c r="AD672" i="2"/>
  <c r="AE672" i="2"/>
  <c r="AD673" i="2"/>
  <c r="AE673" i="2"/>
  <c r="AD674" i="2"/>
  <c r="AE674" i="2"/>
  <c r="AD675" i="2"/>
  <c r="AE675" i="2"/>
  <c r="AD676" i="2"/>
  <c r="AE676" i="2"/>
  <c r="AD677" i="2"/>
  <c r="AE677" i="2"/>
  <c r="AD678" i="2"/>
  <c r="AE678" i="2"/>
  <c r="AD679" i="2"/>
  <c r="AE679" i="2"/>
  <c r="AD680" i="2"/>
  <c r="AE680" i="2"/>
  <c r="AD681" i="2"/>
  <c r="AE681" i="2"/>
  <c r="AD682" i="2"/>
  <c r="AE682" i="2"/>
  <c r="AD683" i="2"/>
  <c r="AE683" i="2"/>
  <c r="AD684" i="2"/>
  <c r="AE684" i="2"/>
  <c r="AD685" i="2"/>
  <c r="AE685" i="2"/>
  <c r="AD686" i="2"/>
  <c r="AE686" i="2"/>
  <c r="AD687" i="2"/>
  <c r="AE687" i="2"/>
  <c r="AD688" i="2"/>
  <c r="AE688" i="2"/>
  <c r="AD689" i="2"/>
  <c r="AE689" i="2"/>
  <c r="AD690" i="2"/>
  <c r="AE690" i="2"/>
  <c r="AD691" i="2"/>
  <c r="AE691" i="2"/>
  <c r="AD693" i="2"/>
  <c r="AE693" i="2"/>
  <c r="AD694" i="2"/>
  <c r="AE694" i="2"/>
  <c r="AD695" i="2"/>
  <c r="AE695" i="2"/>
  <c r="AD696" i="2"/>
  <c r="AE696" i="2"/>
  <c r="AD697" i="2"/>
  <c r="AE697" i="2"/>
  <c r="AD698" i="2"/>
  <c r="AE698" i="2"/>
  <c r="AD699" i="2"/>
  <c r="AE699" i="2"/>
  <c r="AD700" i="2"/>
  <c r="AE700" i="2"/>
  <c r="AD701" i="2"/>
  <c r="AE701" i="2"/>
  <c r="AD702" i="2"/>
  <c r="AE702" i="2"/>
  <c r="AD703" i="2"/>
  <c r="AE703" i="2"/>
  <c r="AD704" i="2"/>
  <c r="AE704" i="2"/>
  <c r="AD705" i="2"/>
  <c r="AE705" i="2"/>
  <c r="AD706" i="2"/>
  <c r="AE706" i="2"/>
  <c r="AD707" i="2"/>
  <c r="AE707" i="2"/>
  <c r="AD708" i="2"/>
  <c r="AE708" i="2"/>
  <c r="AD709" i="2"/>
  <c r="AE709" i="2"/>
  <c r="AD710" i="2"/>
  <c r="AE710" i="2"/>
  <c r="AD711" i="2"/>
  <c r="AE711" i="2"/>
  <c r="AD712" i="2"/>
  <c r="AE712" i="2"/>
  <c r="AD713" i="2"/>
  <c r="AE713" i="2"/>
  <c r="AD714" i="2"/>
  <c r="AE714" i="2"/>
  <c r="AD715" i="2"/>
  <c r="AE715" i="2"/>
  <c r="AD716" i="2"/>
  <c r="AE716" i="2"/>
  <c r="AD717" i="2"/>
  <c r="AE717" i="2"/>
  <c r="AD718" i="2"/>
  <c r="AE718" i="2"/>
  <c r="AD719" i="2"/>
  <c r="AE719" i="2"/>
  <c r="AD720" i="2"/>
  <c r="AE720" i="2"/>
  <c r="AD721" i="2"/>
  <c r="AE721" i="2"/>
  <c r="AD723" i="2"/>
  <c r="AE723" i="2"/>
  <c r="AD724" i="2"/>
  <c r="AE724" i="2"/>
  <c r="AD725" i="2"/>
  <c r="AE725" i="2"/>
  <c r="AD726" i="2"/>
  <c r="AE726" i="2"/>
  <c r="AD727" i="2"/>
  <c r="AE727" i="2"/>
  <c r="AD728" i="2"/>
  <c r="AE728" i="2"/>
  <c r="AD729" i="2"/>
  <c r="AE729" i="2"/>
  <c r="AD730" i="2"/>
  <c r="AE730" i="2"/>
  <c r="AD731" i="2"/>
  <c r="AE731" i="2"/>
  <c r="AD732" i="2"/>
  <c r="AE732" i="2"/>
  <c r="AD733" i="2"/>
  <c r="AE733" i="2"/>
  <c r="AD734" i="2"/>
  <c r="AE734" i="2"/>
  <c r="AD735" i="2"/>
  <c r="AE735" i="2"/>
  <c r="AD736" i="2"/>
  <c r="AE736" i="2"/>
  <c r="AD737" i="2"/>
  <c r="AE737" i="2"/>
  <c r="AD738" i="2"/>
  <c r="AE738" i="2"/>
  <c r="AD739" i="2"/>
  <c r="AE739" i="2"/>
  <c r="AD740" i="2"/>
  <c r="AE740" i="2"/>
  <c r="AD741" i="2"/>
  <c r="AE741" i="2"/>
  <c r="AD742" i="2"/>
  <c r="AE742" i="2"/>
  <c r="AD743" i="2"/>
  <c r="AE743" i="2"/>
  <c r="AD744" i="2"/>
  <c r="AE744" i="2"/>
  <c r="AD745" i="2"/>
  <c r="AE745" i="2"/>
  <c r="AD746" i="2"/>
  <c r="AE746" i="2"/>
  <c r="AD747" i="2"/>
  <c r="AE747" i="2"/>
  <c r="AD748" i="2"/>
  <c r="AE748" i="2"/>
  <c r="AD749" i="2"/>
  <c r="AE749" i="2"/>
  <c r="AD750" i="2"/>
  <c r="AE750" i="2"/>
  <c r="AD751" i="2"/>
  <c r="AE751" i="2"/>
  <c r="AD753" i="2"/>
  <c r="AE753" i="2"/>
  <c r="AD754" i="2"/>
  <c r="AE754" i="2"/>
  <c r="AD755" i="2"/>
  <c r="AE755" i="2"/>
  <c r="AD756" i="2"/>
  <c r="AE756" i="2"/>
  <c r="AD757" i="2"/>
  <c r="AE757" i="2"/>
  <c r="AD758" i="2"/>
  <c r="AE758" i="2"/>
  <c r="AD759" i="2"/>
  <c r="AE759" i="2"/>
  <c r="AD760" i="2"/>
  <c r="AE760" i="2"/>
  <c r="AD761" i="2"/>
  <c r="AE761" i="2"/>
  <c r="AD762" i="2"/>
  <c r="AE762" i="2"/>
  <c r="AD763" i="2"/>
  <c r="AE763" i="2"/>
  <c r="AD764" i="2"/>
  <c r="AE764" i="2"/>
  <c r="AD765" i="2"/>
  <c r="AE765" i="2"/>
  <c r="AD766" i="2"/>
  <c r="AE766" i="2"/>
  <c r="AD767" i="2"/>
  <c r="AE767" i="2"/>
  <c r="AD768" i="2"/>
  <c r="AE768" i="2"/>
  <c r="AD769" i="2"/>
  <c r="AE769" i="2"/>
  <c r="AD770" i="2"/>
  <c r="AE770" i="2"/>
  <c r="AD771" i="2"/>
  <c r="AE771" i="2"/>
  <c r="AD772" i="2"/>
  <c r="AE772" i="2"/>
  <c r="AD773" i="2"/>
  <c r="AE773" i="2"/>
  <c r="AD774" i="2"/>
  <c r="AE774" i="2"/>
  <c r="AD775" i="2"/>
  <c r="AE775" i="2"/>
  <c r="AD776" i="2"/>
  <c r="AE776" i="2"/>
  <c r="AD777" i="2"/>
  <c r="AE777" i="2"/>
  <c r="AD778" i="2"/>
  <c r="AE778" i="2"/>
  <c r="AD779" i="2"/>
  <c r="AE779" i="2"/>
  <c r="AD780" i="2"/>
  <c r="AE780" i="2"/>
  <c r="AD781" i="2"/>
  <c r="AE781" i="2"/>
  <c r="AD783" i="2"/>
  <c r="AE783" i="2"/>
  <c r="AD784" i="2"/>
  <c r="AE784" i="2"/>
  <c r="AD785" i="2"/>
  <c r="AE785" i="2"/>
  <c r="AD786" i="2"/>
  <c r="AE786" i="2"/>
  <c r="AD787" i="2"/>
  <c r="AE787" i="2"/>
  <c r="AD788" i="2"/>
  <c r="AE788" i="2"/>
  <c r="AD789" i="2"/>
  <c r="AE789" i="2"/>
  <c r="AD790" i="2"/>
  <c r="AE790" i="2"/>
  <c r="AD791" i="2"/>
  <c r="AE791" i="2"/>
  <c r="AD792" i="2"/>
  <c r="AE792" i="2"/>
  <c r="AD793" i="2"/>
  <c r="AE793" i="2"/>
  <c r="AD794" i="2"/>
  <c r="AE794" i="2"/>
  <c r="AD795" i="2"/>
  <c r="AE795" i="2"/>
  <c r="AD796" i="2"/>
  <c r="AE796" i="2"/>
  <c r="AD797" i="2"/>
  <c r="AE797" i="2"/>
  <c r="AD798" i="2"/>
  <c r="AE798" i="2"/>
  <c r="AD799" i="2"/>
  <c r="AE799" i="2"/>
  <c r="AD800" i="2"/>
  <c r="AE800" i="2"/>
  <c r="AD801" i="2"/>
  <c r="AE801" i="2"/>
  <c r="AD802" i="2"/>
  <c r="AE802" i="2"/>
  <c r="AD803" i="2"/>
  <c r="AE803" i="2"/>
  <c r="AD804" i="2"/>
  <c r="AE804" i="2"/>
  <c r="AD805" i="2"/>
  <c r="AE805" i="2"/>
  <c r="AD806" i="2"/>
  <c r="AE806" i="2"/>
  <c r="AD807" i="2"/>
  <c r="AE807" i="2"/>
  <c r="AD808" i="2"/>
  <c r="AE808" i="2"/>
  <c r="AD809" i="2"/>
  <c r="AE809" i="2"/>
  <c r="AD810" i="2"/>
  <c r="AE810" i="2"/>
  <c r="AD811" i="2"/>
  <c r="AE811" i="2"/>
  <c r="AD813" i="2"/>
  <c r="AE813" i="2"/>
  <c r="AD814" i="2"/>
  <c r="AE814" i="2"/>
  <c r="AD815" i="2"/>
  <c r="AE815" i="2"/>
  <c r="AD816" i="2"/>
  <c r="AE816" i="2"/>
  <c r="AD817" i="2"/>
  <c r="AE817" i="2"/>
  <c r="AD818" i="2"/>
  <c r="AE818" i="2"/>
  <c r="AD819" i="2"/>
  <c r="AE819" i="2"/>
  <c r="AD820" i="2"/>
  <c r="AE820" i="2"/>
  <c r="AD821" i="2"/>
  <c r="AE821" i="2"/>
  <c r="AD822" i="2"/>
  <c r="AE822" i="2"/>
  <c r="AD823" i="2"/>
  <c r="AE823" i="2"/>
  <c r="AD824" i="2"/>
  <c r="AE824" i="2"/>
  <c r="AD825" i="2"/>
  <c r="AE825" i="2"/>
  <c r="AD826" i="2"/>
  <c r="AE826" i="2"/>
  <c r="AD827" i="2"/>
  <c r="AE827" i="2"/>
  <c r="AD828" i="2"/>
  <c r="AE828" i="2"/>
  <c r="AD829" i="2"/>
  <c r="AE829" i="2"/>
  <c r="AD830" i="2"/>
  <c r="AE830" i="2"/>
  <c r="AD831" i="2"/>
  <c r="AD861" i="2" s="1"/>
  <c r="AD891" i="2" s="1"/>
  <c r="AD921" i="2" s="1"/>
  <c r="AD951" i="2" s="1"/>
  <c r="AD981" i="2" s="1"/>
  <c r="AD1011" i="2" s="1"/>
  <c r="AD1041" i="2" s="1"/>
  <c r="AD1071" i="2" s="1"/>
  <c r="AD1101" i="2" s="1"/>
  <c r="AD1131" i="2" s="1"/>
  <c r="AD1161" i="2" s="1"/>
  <c r="AD1191" i="2" s="1"/>
  <c r="AD1221" i="2" s="1"/>
  <c r="AD1251" i="2" s="1"/>
  <c r="AD1281" i="2" s="1"/>
  <c r="AD1311" i="2" s="1"/>
  <c r="AD1341" i="2" s="1"/>
  <c r="AD1371" i="2" s="1"/>
  <c r="AD1401" i="2" s="1"/>
  <c r="AD1431" i="2" s="1"/>
  <c r="AD1461" i="2" s="1"/>
  <c r="AD1491" i="2" s="1"/>
  <c r="AD1521" i="2" s="1"/>
  <c r="AD1551" i="2" s="1"/>
  <c r="AD1581" i="2" s="1"/>
  <c r="AD1611" i="2" s="1"/>
  <c r="AD1641" i="2" s="1"/>
  <c r="AD1671" i="2" s="1"/>
  <c r="AD1701" i="2" s="1"/>
  <c r="AD1731" i="2" s="1"/>
  <c r="AD1761" i="2" s="1"/>
  <c r="AD1791" i="2" s="1"/>
  <c r="AD1821" i="2" s="1"/>
  <c r="AD1851" i="2" s="1"/>
  <c r="AD1881" i="2" s="1"/>
  <c r="AD1911" i="2" s="1"/>
  <c r="AD1941" i="2" s="1"/>
  <c r="AD1971" i="2" s="1"/>
  <c r="AD2001" i="2" s="1"/>
  <c r="AD2031" i="2" s="1"/>
  <c r="AD2061" i="2" s="1"/>
  <c r="AD2091" i="2" s="1"/>
  <c r="AD2121" i="2" s="1"/>
  <c r="AD2151" i="2" s="1"/>
  <c r="AD2181" i="2" s="1"/>
  <c r="AD2211" i="2" s="1"/>
  <c r="AD2241" i="2" s="1"/>
  <c r="AD2271" i="2" s="1"/>
  <c r="AD2301" i="2" s="1"/>
  <c r="AD2331" i="2" s="1"/>
  <c r="AD2361" i="2" s="1"/>
  <c r="AD2391" i="2" s="1"/>
  <c r="AE831" i="2"/>
  <c r="AD832" i="2"/>
  <c r="AE832" i="2"/>
  <c r="AD833" i="2"/>
  <c r="AD863" i="2" s="1"/>
  <c r="AD893" i="2" s="1"/>
  <c r="AD923" i="2" s="1"/>
  <c r="AD953" i="2" s="1"/>
  <c r="AD983" i="2" s="1"/>
  <c r="AD1013" i="2" s="1"/>
  <c r="AD1043" i="2" s="1"/>
  <c r="AD1073" i="2" s="1"/>
  <c r="AD1103" i="2" s="1"/>
  <c r="AD1133" i="2" s="1"/>
  <c r="AE833" i="2"/>
  <c r="AD834" i="2"/>
  <c r="AE834" i="2"/>
  <c r="AD835" i="2"/>
  <c r="AD865" i="2" s="1"/>
  <c r="AD895" i="2" s="1"/>
  <c r="AD925" i="2" s="1"/>
  <c r="AD955" i="2" s="1"/>
  <c r="AD985" i="2" s="1"/>
  <c r="AD1015" i="2" s="1"/>
  <c r="AD1045" i="2" s="1"/>
  <c r="AD1075" i="2" s="1"/>
  <c r="AD1105" i="2" s="1"/>
  <c r="AD1135" i="2" s="1"/>
  <c r="AE835" i="2"/>
  <c r="AD836" i="2"/>
  <c r="AE836" i="2"/>
  <c r="AD837" i="2"/>
  <c r="AD867" i="2" s="1"/>
  <c r="AD897" i="2" s="1"/>
  <c r="AD927" i="2" s="1"/>
  <c r="AD957" i="2" s="1"/>
  <c r="AD987" i="2" s="1"/>
  <c r="AD1017" i="2" s="1"/>
  <c r="AD1047" i="2" s="1"/>
  <c r="AD1077" i="2" s="1"/>
  <c r="AD1107" i="2" s="1"/>
  <c r="AD1137" i="2" s="1"/>
  <c r="AE837" i="2"/>
  <c r="AD838" i="2"/>
  <c r="AE838" i="2"/>
  <c r="AD839" i="2"/>
  <c r="AD869" i="2" s="1"/>
  <c r="AD899" i="2" s="1"/>
  <c r="AD929" i="2" s="1"/>
  <c r="AD959" i="2" s="1"/>
  <c r="AD989" i="2" s="1"/>
  <c r="AD1019" i="2" s="1"/>
  <c r="AD1049" i="2" s="1"/>
  <c r="AD1079" i="2" s="1"/>
  <c r="AD1109" i="2" s="1"/>
  <c r="AD1139" i="2" s="1"/>
  <c r="AE839" i="2"/>
  <c r="AD840" i="2"/>
  <c r="AE840" i="2"/>
  <c r="AD841" i="2"/>
  <c r="AD871" i="2" s="1"/>
  <c r="AD901" i="2" s="1"/>
  <c r="AD931" i="2" s="1"/>
  <c r="AD961" i="2" s="1"/>
  <c r="AD991" i="2" s="1"/>
  <c r="AD1021" i="2" s="1"/>
  <c r="AD1051" i="2" s="1"/>
  <c r="AD1081" i="2" s="1"/>
  <c r="AD1111" i="2" s="1"/>
  <c r="AD1141" i="2" s="1"/>
  <c r="AE841" i="2"/>
  <c r="AD843" i="2"/>
  <c r="AD873" i="2" s="1"/>
  <c r="AD903" i="2" s="1"/>
  <c r="AD933" i="2" s="1"/>
  <c r="AD963" i="2" s="1"/>
  <c r="AD993" i="2" s="1"/>
  <c r="AD1023" i="2" s="1"/>
  <c r="AD1053" i="2" s="1"/>
  <c r="AD1083" i="2" s="1"/>
  <c r="AD1113" i="2" s="1"/>
  <c r="AD1143" i="2" s="1"/>
  <c r="AE843" i="2"/>
  <c r="AD844" i="2"/>
  <c r="AE844" i="2"/>
  <c r="AD845" i="2"/>
  <c r="AD875" i="2" s="1"/>
  <c r="AD905" i="2" s="1"/>
  <c r="AD935" i="2" s="1"/>
  <c r="AD965" i="2" s="1"/>
  <c r="AD995" i="2" s="1"/>
  <c r="AD1025" i="2" s="1"/>
  <c r="AD1055" i="2" s="1"/>
  <c r="AD1085" i="2" s="1"/>
  <c r="AD1115" i="2" s="1"/>
  <c r="AE845" i="2"/>
  <c r="AD846" i="2"/>
  <c r="AE846" i="2"/>
  <c r="AD847" i="2"/>
  <c r="AD877" i="2" s="1"/>
  <c r="AD907" i="2" s="1"/>
  <c r="AD937" i="2" s="1"/>
  <c r="AD967" i="2" s="1"/>
  <c r="AD997" i="2" s="1"/>
  <c r="AD1027" i="2" s="1"/>
  <c r="AD1057" i="2" s="1"/>
  <c r="AD1087" i="2" s="1"/>
  <c r="AD1117" i="2" s="1"/>
  <c r="AE847" i="2"/>
  <c r="AD848" i="2"/>
  <c r="AE848" i="2"/>
  <c r="AD849" i="2"/>
  <c r="AD879" i="2" s="1"/>
  <c r="AD909" i="2" s="1"/>
  <c r="AD939" i="2" s="1"/>
  <c r="AD969" i="2" s="1"/>
  <c r="AD999" i="2" s="1"/>
  <c r="AD1029" i="2" s="1"/>
  <c r="AD1059" i="2" s="1"/>
  <c r="AD1089" i="2" s="1"/>
  <c r="AD1119" i="2" s="1"/>
  <c r="AE849" i="2"/>
  <c r="AD850" i="2"/>
  <c r="AE850" i="2"/>
  <c r="AD851" i="2"/>
  <c r="AD881" i="2" s="1"/>
  <c r="AD911" i="2" s="1"/>
  <c r="AD941" i="2" s="1"/>
  <c r="AD971" i="2" s="1"/>
  <c r="AD1001" i="2" s="1"/>
  <c r="AD1031" i="2" s="1"/>
  <c r="AD1061" i="2" s="1"/>
  <c r="AD1091" i="2" s="1"/>
  <c r="AD1121" i="2" s="1"/>
  <c r="AE851" i="2"/>
  <c r="AD852" i="2"/>
  <c r="AE852" i="2"/>
  <c r="AD853" i="2"/>
  <c r="AD883" i="2" s="1"/>
  <c r="AD913" i="2" s="1"/>
  <c r="AD943" i="2" s="1"/>
  <c r="AD973" i="2" s="1"/>
  <c r="AD1003" i="2" s="1"/>
  <c r="AD1033" i="2" s="1"/>
  <c r="AD1063" i="2" s="1"/>
  <c r="AD1093" i="2" s="1"/>
  <c r="AD1123" i="2" s="1"/>
  <c r="AE853" i="2"/>
  <c r="AD854" i="2"/>
  <c r="AE854" i="2"/>
  <c r="AD855" i="2"/>
  <c r="AD885" i="2" s="1"/>
  <c r="AD915" i="2" s="1"/>
  <c r="AD945" i="2" s="1"/>
  <c r="AD975" i="2" s="1"/>
  <c r="AD1005" i="2" s="1"/>
  <c r="AD1035" i="2" s="1"/>
  <c r="AD1065" i="2" s="1"/>
  <c r="AD1095" i="2" s="1"/>
  <c r="AD1125" i="2" s="1"/>
  <c r="AE855" i="2"/>
  <c r="AD856" i="2"/>
  <c r="AE856" i="2"/>
  <c r="AD857" i="2"/>
  <c r="AD887" i="2" s="1"/>
  <c r="AD917" i="2" s="1"/>
  <c r="AD947" i="2" s="1"/>
  <c r="AD977" i="2" s="1"/>
  <c r="AD1007" i="2" s="1"/>
  <c r="AD1037" i="2" s="1"/>
  <c r="AD1067" i="2" s="1"/>
  <c r="AD1097" i="2" s="1"/>
  <c r="AD1127" i="2" s="1"/>
  <c r="AE857" i="2"/>
  <c r="AD858" i="2"/>
  <c r="AE858" i="2"/>
  <c r="AD859" i="2"/>
  <c r="AD889" i="2" s="1"/>
  <c r="AD919" i="2" s="1"/>
  <c r="AD949" i="2" s="1"/>
  <c r="AD979" i="2" s="1"/>
  <c r="AD1009" i="2" s="1"/>
  <c r="AD1039" i="2" s="1"/>
  <c r="AD1069" i="2" s="1"/>
  <c r="AD1099" i="2" s="1"/>
  <c r="AD1129" i="2" s="1"/>
  <c r="AE859" i="2"/>
  <c r="AD860" i="2"/>
  <c r="AE860" i="2"/>
  <c r="AE861" i="2"/>
  <c r="AE891" i="2" s="1"/>
  <c r="AE921" i="2" s="1"/>
  <c r="AE951" i="2" s="1"/>
  <c r="AE981" i="2" s="1"/>
  <c r="AE1011" i="2" s="1"/>
  <c r="AE1041" i="2" s="1"/>
  <c r="AE1071" i="2" s="1"/>
  <c r="AE1101" i="2" s="1"/>
  <c r="AE1131" i="2" s="1"/>
  <c r="AD862" i="2"/>
  <c r="AE862" i="2"/>
  <c r="AE863" i="2"/>
  <c r="AE893" i="2" s="1"/>
  <c r="AE923" i="2" s="1"/>
  <c r="AE953" i="2" s="1"/>
  <c r="AE983" i="2" s="1"/>
  <c r="AE1013" i="2" s="1"/>
  <c r="AE1043" i="2" s="1"/>
  <c r="AE1073" i="2" s="1"/>
  <c r="AE1103" i="2" s="1"/>
  <c r="AE1133" i="2" s="1"/>
  <c r="AD864" i="2"/>
  <c r="AE864" i="2"/>
  <c r="AE865" i="2"/>
  <c r="AE895" i="2" s="1"/>
  <c r="AE925" i="2" s="1"/>
  <c r="AE955" i="2" s="1"/>
  <c r="AE985" i="2" s="1"/>
  <c r="AE1015" i="2" s="1"/>
  <c r="AE1045" i="2" s="1"/>
  <c r="AE1075" i="2" s="1"/>
  <c r="AE1105" i="2" s="1"/>
  <c r="AE1135" i="2" s="1"/>
  <c r="AD866" i="2"/>
  <c r="AE866" i="2"/>
  <c r="AE867" i="2"/>
  <c r="AE897" i="2" s="1"/>
  <c r="AE927" i="2" s="1"/>
  <c r="AE957" i="2" s="1"/>
  <c r="AE987" i="2" s="1"/>
  <c r="AE1017" i="2" s="1"/>
  <c r="AE1047" i="2" s="1"/>
  <c r="AE1077" i="2" s="1"/>
  <c r="AE1107" i="2" s="1"/>
  <c r="AE1137" i="2" s="1"/>
  <c r="AD868" i="2"/>
  <c r="AE868" i="2"/>
  <c r="AE869" i="2"/>
  <c r="AE899" i="2" s="1"/>
  <c r="AE929" i="2" s="1"/>
  <c r="AE959" i="2" s="1"/>
  <c r="AE989" i="2" s="1"/>
  <c r="AE1019" i="2" s="1"/>
  <c r="AE1049" i="2" s="1"/>
  <c r="AE1079" i="2" s="1"/>
  <c r="AE1109" i="2" s="1"/>
  <c r="AE1139" i="2" s="1"/>
  <c r="AD870" i="2"/>
  <c r="AE870" i="2"/>
  <c r="AE871" i="2"/>
  <c r="AE901" i="2" s="1"/>
  <c r="AE931" i="2" s="1"/>
  <c r="AE961" i="2" s="1"/>
  <c r="AE991" i="2" s="1"/>
  <c r="AE1021" i="2" s="1"/>
  <c r="AE1051" i="2" s="1"/>
  <c r="AE1081" i="2" s="1"/>
  <c r="AE1111" i="2" s="1"/>
  <c r="AE1141" i="2" s="1"/>
  <c r="AE873" i="2"/>
  <c r="AE903" i="2" s="1"/>
  <c r="AE933" i="2" s="1"/>
  <c r="AE963" i="2" s="1"/>
  <c r="AE993" i="2" s="1"/>
  <c r="AE1023" i="2" s="1"/>
  <c r="AE1053" i="2" s="1"/>
  <c r="AE1083" i="2" s="1"/>
  <c r="AE1113" i="2" s="1"/>
  <c r="AD874" i="2"/>
  <c r="AE874" i="2"/>
  <c r="AE875" i="2"/>
  <c r="AE905" i="2" s="1"/>
  <c r="AE935" i="2" s="1"/>
  <c r="AE965" i="2" s="1"/>
  <c r="AE995" i="2" s="1"/>
  <c r="AE1025" i="2" s="1"/>
  <c r="AE1055" i="2" s="1"/>
  <c r="AE1085" i="2" s="1"/>
  <c r="AE1115" i="2" s="1"/>
  <c r="AD876" i="2"/>
  <c r="AE876" i="2"/>
  <c r="AE877" i="2"/>
  <c r="AE907" i="2" s="1"/>
  <c r="AE937" i="2" s="1"/>
  <c r="AE967" i="2" s="1"/>
  <c r="AE997" i="2" s="1"/>
  <c r="AE1027" i="2" s="1"/>
  <c r="AE1057" i="2" s="1"/>
  <c r="AE1087" i="2" s="1"/>
  <c r="AE1117" i="2" s="1"/>
  <c r="AD878" i="2"/>
  <c r="AE878" i="2"/>
  <c r="AE879" i="2"/>
  <c r="AE909" i="2" s="1"/>
  <c r="AE939" i="2" s="1"/>
  <c r="AE969" i="2" s="1"/>
  <c r="AE999" i="2" s="1"/>
  <c r="AE1029" i="2" s="1"/>
  <c r="AE1059" i="2" s="1"/>
  <c r="AE1089" i="2" s="1"/>
  <c r="AE1119" i="2" s="1"/>
  <c r="AD880" i="2"/>
  <c r="AE880" i="2"/>
  <c r="AE881" i="2"/>
  <c r="AE911" i="2" s="1"/>
  <c r="AE941" i="2" s="1"/>
  <c r="AE971" i="2" s="1"/>
  <c r="AE1001" i="2" s="1"/>
  <c r="AE1031" i="2" s="1"/>
  <c r="AE1061" i="2" s="1"/>
  <c r="AE1091" i="2" s="1"/>
  <c r="AE1121" i="2" s="1"/>
  <c r="AD882" i="2"/>
  <c r="AE882" i="2"/>
  <c r="AE883" i="2"/>
  <c r="AE913" i="2" s="1"/>
  <c r="AE943" i="2" s="1"/>
  <c r="AE973" i="2" s="1"/>
  <c r="AE1003" i="2" s="1"/>
  <c r="AE1033" i="2" s="1"/>
  <c r="AE1063" i="2" s="1"/>
  <c r="AE1093" i="2" s="1"/>
  <c r="AE1123" i="2" s="1"/>
  <c r="AD884" i="2"/>
  <c r="AE884" i="2"/>
  <c r="AE885" i="2"/>
  <c r="AE915" i="2" s="1"/>
  <c r="AE945" i="2" s="1"/>
  <c r="AE975" i="2" s="1"/>
  <c r="AE1005" i="2" s="1"/>
  <c r="AE1035" i="2" s="1"/>
  <c r="AE1065" i="2" s="1"/>
  <c r="AE1095" i="2" s="1"/>
  <c r="AD886" i="2"/>
  <c r="AE886" i="2"/>
  <c r="AE887" i="2"/>
  <c r="AE917" i="2" s="1"/>
  <c r="AE947" i="2" s="1"/>
  <c r="AE977" i="2" s="1"/>
  <c r="AE1007" i="2" s="1"/>
  <c r="AE1037" i="2" s="1"/>
  <c r="AE1067" i="2" s="1"/>
  <c r="AE1097" i="2" s="1"/>
  <c r="AD888" i="2"/>
  <c r="AE888" i="2"/>
  <c r="AE889" i="2"/>
  <c r="AE919" i="2" s="1"/>
  <c r="AE949" i="2" s="1"/>
  <c r="AE979" i="2" s="1"/>
  <c r="AE1009" i="2" s="1"/>
  <c r="AE1039" i="2" s="1"/>
  <c r="AE1069" i="2" s="1"/>
  <c r="AE1099" i="2" s="1"/>
  <c r="AD890" i="2"/>
  <c r="AE890" i="2"/>
  <c r="AD892" i="2"/>
  <c r="AD922" i="2" s="1"/>
  <c r="AD952" i="2" s="1"/>
  <c r="AD982" i="2" s="1"/>
  <c r="AD1012" i="2" s="1"/>
  <c r="AD1042" i="2" s="1"/>
  <c r="AD1072" i="2" s="1"/>
  <c r="AD1102" i="2" s="1"/>
  <c r="AD1132" i="2" s="1"/>
  <c r="AD1162" i="2" s="1"/>
  <c r="AD1192" i="2" s="1"/>
  <c r="AD1222" i="2" s="1"/>
  <c r="AD1252" i="2" s="1"/>
  <c r="AD1282" i="2" s="1"/>
  <c r="AD1312" i="2" s="1"/>
  <c r="AD1342" i="2" s="1"/>
  <c r="AD1372" i="2" s="1"/>
  <c r="AD1402" i="2" s="1"/>
  <c r="AD1432" i="2" s="1"/>
  <c r="AD1462" i="2" s="1"/>
  <c r="AD1492" i="2" s="1"/>
  <c r="AD1522" i="2" s="1"/>
  <c r="AD1552" i="2" s="1"/>
  <c r="AD1582" i="2" s="1"/>
  <c r="AD1612" i="2" s="1"/>
  <c r="AD1642" i="2" s="1"/>
  <c r="AD1672" i="2" s="1"/>
  <c r="AD1702" i="2" s="1"/>
  <c r="AD1732" i="2" s="1"/>
  <c r="AD1762" i="2" s="1"/>
  <c r="AD1792" i="2" s="1"/>
  <c r="AD1822" i="2" s="1"/>
  <c r="AD1852" i="2" s="1"/>
  <c r="AD1882" i="2" s="1"/>
  <c r="AD1912" i="2" s="1"/>
  <c r="AD1942" i="2" s="1"/>
  <c r="AD1972" i="2" s="1"/>
  <c r="AD2002" i="2" s="1"/>
  <c r="AD2032" i="2" s="1"/>
  <c r="AD2062" i="2" s="1"/>
  <c r="AE892" i="2"/>
  <c r="AD894" i="2"/>
  <c r="AD924" i="2" s="1"/>
  <c r="AD954" i="2" s="1"/>
  <c r="AD984" i="2" s="1"/>
  <c r="AD1014" i="2" s="1"/>
  <c r="AD1044" i="2" s="1"/>
  <c r="AD1074" i="2" s="1"/>
  <c r="AD1104" i="2" s="1"/>
  <c r="AE894" i="2"/>
  <c r="AD896" i="2"/>
  <c r="AD926" i="2" s="1"/>
  <c r="AD956" i="2" s="1"/>
  <c r="AD986" i="2" s="1"/>
  <c r="AD1016" i="2" s="1"/>
  <c r="AD1046" i="2" s="1"/>
  <c r="AD1076" i="2" s="1"/>
  <c r="AD1106" i="2" s="1"/>
  <c r="AE896" i="2"/>
  <c r="AD898" i="2"/>
  <c r="AD928" i="2" s="1"/>
  <c r="AD958" i="2" s="1"/>
  <c r="AD988" i="2" s="1"/>
  <c r="AD1018" i="2" s="1"/>
  <c r="AD1048" i="2" s="1"/>
  <c r="AD1078" i="2" s="1"/>
  <c r="AD1108" i="2" s="1"/>
  <c r="AE898" i="2"/>
  <c r="AD900" i="2"/>
  <c r="AD930" i="2" s="1"/>
  <c r="AD960" i="2" s="1"/>
  <c r="AD990" i="2" s="1"/>
  <c r="AD1020" i="2" s="1"/>
  <c r="AD1050" i="2" s="1"/>
  <c r="AD1080" i="2" s="1"/>
  <c r="AD1110" i="2" s="1"/>
  <c r="AD1140" i="2" s="1"/>
  <c r="AD1170" i="2" s="1"/>
  <c r="AD1200" i="2" s="1"/>
  <c r="AD1230" i="2" s="1"/>
  <c r="AD1260" i="2" s="1"/>
  <c r="AD1290" i="2" s="1"/>
  <c r="AD1320" i="2" s="1"/>
  <c r="AD1350" i="2" s="1"/>
  <c r="AD1380" i="2" s="1"/>
  <c r="AD1410" i="2" s="1"/>
  <c r="AD1440" i="2" s="1"/>
  <c r="AD1470" i="2" s="1"/>
  <c r="AD1500" i="2" s="1"/>
  <c r="AD1530" i="2" s="1"/>
  <c r="AD1560" i="2" s="1"/>
  <c r="AD1590" i="2" s="1"/>
  <c r="AD1620" i="2" s="1"/>
  <c r="AD1650" i="2" s="1"/>
  <c r="AD1680" i="2" s="1"/>
  <c r="AD1710" i="2" s="1"/>
  <c r="AD1740" i="2" s="1"/>
  <c r="AD1770" i="2" s="1"/>
  <c r="AD1800" i="2" s="1"/>
  <c r="AD1830" i="2" s="1"/>
  <c r="AD1860" i="2" s="1"/>
  <c r="AD1890" i="2" s="1"/>
  <c r="AD1920" i="2" s="1"/>
  <c r="AD1950" i="2" s="1"/>
  <c r="AD1980" i="2" s="1"/>
  <c r="AD2010" i="2" s="1"/>
  <c r="AD2040" i="2" s="1"/>
  <c r="AD2070" i="2" s="1"/>
  <c r="AE900" i="2"/>
  <c r="AD904" i="2"/>
  <c r="AD934" i="2" s="1"/>
  <c r="AD964" i="2" s="1"/>
  <c r="AD994" i="2" s="1"/>
  <c r="AD1024" i="2" s="1"/>
  <c r="AD1054" i="2" s="1"/>
  <c r="AD1084" i="2" s="1"/>
  <c r="AD1114" i="2" s="1"/>
  <c r="AE904" i="2"/>
  <c r="AD906" i="2"/>
  <c r="AD936" i="2" s="1"/>
  <c r="AD966" i="2" s="1"/>
  <c r="AD996" i="2" s="1"/>
  <c r="AD1026" i="2" s="1"/>
  <c r="AD1056" i="2" s="1"/>
  <c r="AD1086" i="2" s="1"/>
  <c r="AD1116" i="2" s="1"/>
  <c r="AE906" i="2"/>
  <c r="AD908" i="2"/>
  <c r="AD938" i="2" s="1"/>
  <c r="AD968" i="2" s="1"/>
  <c r="AD998" i="2" s="1"/>
  <c r="AD1028" i="2" s="1"/>
  <c r="AD1058" i="2" s="1"/>
  <c r="AD1088" i="2" s="1"/>
  <c r="AD1118" i="2" s="1"/>
  <c r="AE908" i="2"/>
  <c r="AD910" i="2"/>
  <c r="AD940" i="2" s="1"/>
  <c r="AD970" i="2" s="1"/>
  <c r="AD1000" i="2" s="1"/>
  <c r="AD1030" i="2" s="1"/>
  <c r="AD1060" i="2" s="1"/>
  <c r="AD1090" i="2" s="1"/>
  <c r="AD1120" i="2" s="1"/>
  <c r="AE910" i="2"/>
  <c r="AD912" i="2"/>
  <c r="AD942" i="2" s="1"/>
  <c r="AD972" i="2" s="1"/>
  <c r="AD1002" i="2" s="1"/>
  <c r="AD1032" i="2" s="1"/>
  <c r="AD1062" i="2" s="1"/>
  <c r="AD1092" i="2" s="1"/>
  <c r="AD1122" i="2" s="1"/>
  <c r="AE912" i="2"/>
  <c r="AD914" i="2"/>
  <c r="AD944" i="2" s="1"/>
  <c r="AD974" i="2" s="1"/>
  <c r="AD1004" i="2" s="1"/>
  <c r="AD1034" i="2" s="1"/>
  <c r="AD1064" i="2" s="1"/>
  <c r="AD1094" i="2" s="1"/>
  <c r="AD1124" i="2" s="1"/>
  <c r="AE914" i="2"/>
  <c r="AD916" i="2"/>
  <c r="AD946" i="2" s="1"/>
  <c r="AD976" i="2" s="1"/>
  <c r="AD1006" i="2" s="1"/>
  <c r="AD1036" i="2" s="1"/>
  <c r="AD1066" i="2" s="1"/>
  <c r="AD1096" i="2" s="1"/>
  <c r="AD1126" i="2" s="1"/>
  <c r="AE916" i="2"/>
  <c r="AD918" i="2"/>
  <c r="AD948" i="2" s="1"/>
  <c r="AD978" i="2" s="1"/>
  <c r="AD1008" i="2" s="1"/>
  <c r="AD1038" i="2" s="1"/>
  <c r="AD1068" i="2" s="1"/>
  <c r="AD1098" i="2" s="1"/>
  <c r="AD1128" i="2" s="1"/>
  <c r="AE918" i="2"/>
  <c r="AD920" i="2"/>
  <c r="AD950" i="2" s="1"/>
  <c r="AD980" i="2" s="1"/>
  <c r="AD1010" i="2" s="1"/>
  <c r="AD1040" i="2" s="1"/>
  <c r="AD1070" i="2" s="1"/>
  <c r="AD1100" i="2" s="1"/>
  <c r="AD1130" i="2" s="1"/>
  <c r="AE920" i="2"/>
  <c r="AE922" i="2"/>
  <c r="AE952" i="2" s="1"/>
  <c r="AE982" i="2" s="1"/>
  <c r="AE1012" i="2" s="1"/>
  <c r="AE1042" i="2" s="1"/>
  <c r="AE1072" i="2" s="1"/>
  <c r="AE1102" i="2" s="1"/>
  <c r="AE1132" i="2" s="1"/>
  <c r="AE924" i="2"/>
  <c r="AE954" i="2" s="1"/>
  <c r="AE984" i="2" s="1"/>
  <c r="AE1014" i="2" s="1"/>
  <c r="AE1044" i="2" s="1"/>
  <c r="AE1074" i="2" s="1"/>
  <c r="AE1104" i="2" s="1"/>
  <c r="AE1134" i="2" s="1"/>
  <c r="AE926" i="2"/>
  <c r="AE956" i="2" s="1"/>
  <c r="AE986" i="2" s="1"/>
  <c r="AE1016" i="2" s="1"/>
  <c r="AE1046" i="2" s="1"/>
  <c r="AE1076" i="2" s="1"/>
  <c r="AE1106" i="2" s="1"/>
  <c r="AE1136" i="2" s="1"/>
  <c r="AE928" i="2"/>
  <c r="AE958" i="2" s="1"/>
  <c r="AE988" i="2" s="1"/>
  <c r="AE1018" i="2" s="1"/>
  <c r="AE1048" i="2" s="1"/>
  <c r="AE1078" i="2" s="1"/>
  <c r="AE1108" i="2" s="1"/>
  <c r="AE1138" i="2" s="1"/>
  <c r="AE930" i="2"/>
  <c r="AE960" i="2" s="1"/>
  <c r="AE990" i="2" s="1"/>
  <c r="AE1020" i="2" s="1"/>
  <c r="AE1050" i="2" s="1"/>
  <c r="AE1080" i="2" s="1"/>
  <c r="AE1110" i="2" s="1"/>
  <c r="AE1140" i="2" s="1"/>
  <c r="AE934" i="2"/>
  <c r="AE964" i="2" s="1"/>
  <c r="AE994" i="2" s="1"/>
  <c r="AE1024" i="2" s="1"/>
  <c r="AE1054" i="2" s="1"/>
  <c r="AE1084" i="2" s="1"/>
  <c r="AE1114" i="2" s="1"/>
  <c r="AE936" i="2"/>
  <c r="AE966" i="2" s="1"/>
  <c r="AE996" i="2" s="1"/>
  <c r="AE1026" i="2" s="1"/>
  <c r="AE1056" i="2" s="1"/>
  <c r="AE1086" i="2" s="1"/>
  <c r="AE1116" i="2" s="1"/>
  <c r="AE1146" i="2" s="1"/>
  <c r="AE1176" i="2" s="1"/>
  <c r="AE1206" i="2" s="1"/>
  <c r="AE1236" i="2" s="1"/>
  <c r="AE1266" i="2" s="1"/>
  <c r="AE1296" i="2" s="1"/>
  <c r="AE1326" i="2" s="1"/>
  <c r="AE1356" i="2" s="1"/>
  <c r="AE1386" i="2" s="1"/>
  <c r="AE1416" i="2" s="1"/>
  <c r="AE1446" i="2" s="1"/>
  <c r="AE1476" i="2" s="1"/>
  <c r="AE1506" i="2" s="1"/>
  <c r="AE1536" i="2" s="1"/>
  <c r="AE1566" i="2" s="1"/>
  <c r="AE1596" i="2" s="1"/>
  <c r="AE1626" i="2" s="1"/>
  <c r="AE1656" i="2" s="1"/>
  <c r="AE1686" i="2" s="1"/>
  <c r="AE1716" i="2" s="1"/>
  <c r="AE1746" i="2" s="1"/>
  <c r="AE1776" i="2" s="1"/>
  <c r="AE1806" i="2" s="1"/>
  <c r="AE1836" i="2" s="1"/>
  <c r="AE1866" i="2" s="1"/>
  <c r="AE1896" i="2" s="1"/>
  <c r="AE1926" i="2" s="1"/>
  <c r="AE1956" i="2" s="1"/>
  <c r="AE1986" i="2" s="1"/>
  <c r="AE2016" i="2" s="1"/>
  <c r="AE2046" i="2" s="1"/>
  <c r="AE2076" i="2" s="1"/>
  <c r="AE938" i="2"/>
  <c r="AE968" i="2" s="1"/>
  <c r="AE998" i="2" s="1"/>
  <c r="AE1028" i="2" s="1"/>
  <c r="AE1058" i="2" s="1"/>
  <c r="AE1088" i="2" s="1"/>
  <c r="AE1118" i="2" s="1"/>
  <c r="AE1148" i="2" s="1"/>
  <c r="AE1178" i="2" s="1"/>
  <c r="AE1208" i="2" s="1"/>
  <c r="AE1238" i="2" s="1"/>
  <c r="AE1268" i="2" s="1"/>
  <c r="AE1298" i="2" s="1"/>
  <c r="AE1328" i="2" s="1"/>
  <c r="AE1358" i="2" s="1"/>
  <c r="AE1388" i="2" s="1"/>
  <c r="AE1418" i="2" s="1"/>
  <c r="AE1448" i="2" s="1"/>
  <c r="AE1478" i="2" s="1"/>
  <c r="AE1508" i="2" s="1"/>
  <c r="AE1538" i="2" s="1"/>
  <c r="AE1568" i="2" s="1"/>
  <c r="AE1598" i="2" s="1"/>
  <c r="AE1628" i="2" s="1"/>
  <c r="AE1658" i="2" s="1"/>
  <c r="AE1688" i="2" s="1"/>
  <c r="AE1718" i="2" s="1"/>
  <c r="AE1748" i="2" s="1"/>
  <c r="AE1778" i="2" s="1"/>
  <c r="AE1808" i="2" s="1"/>
  <c r="AE1838" i="2" s="1"/>
  <c r="AE1868" i="2" s="1"/>
  <c r="AE1898" i="2" s="1"/>
  <c r="AE1928" i="2" s="1"/>
  <c r="AE1958" i="2" s="1"/>
  <c r="AE1988" i="2" s="1"/>
  <c r="AE2018" i="2" s="1"/>
  <c r="AE2048" i="2" s="1"/>
  <c r="AE2078" i="2" s="1"/>
  <c r="AE940" i="2"/>
  <c r="AE970" i="2" s="1"/>
  <c r="AE1000" i="2" s="1"/>
  <c r="AE1030" i="2" s="1"/>
  <c r="AE1060" i="2" s="1"/>
  <c r="AE1090" i="2" s="1"/>
  <c r="AE1120" i="2" s="1"/>
  <c r="AE1150" i="2" s="1"/>
  <c r="AE1180" i="2" s="1"/>
  <c r="AE1210" i="2" s="1"/>
  <c r="AE1240" i="2" s="1"/>
  <c r="AE1270" i="2" s="1"/>
  <c r="AE1300" i="2" s="1"/>
  <c r="AE1330" i="2" s="1"/>
  <c r="AE1360" i="2" s="1"/>
  <c r="AE1390" i="2" s="1"/>
  <c r="AE1420" i="2" s="1"/>
  <c r="AE1450" i="2" s="1"/>
  <c r="AE1480" i="2" s="1"/>
  <c r="AE1510" i="2" s="1"/>
  <c r="AE1540" i="2" s="1"/>
  <c r="AE1570" i="2" s="1"/>
  <c r="AE1600" i="2" s="1"/>
  <c r="AE1630" i="2" s="1"/>
  <c r="AE1660" i="2" s="1"/>
  <c r="AE1690" i="2" s="1"/>
  <c r="AE1720" i="2" s="1"/>
  <c r="AE1750" i="2" s="1"/>
  <c r="AE1780" i="2" s="1"/>
  <c r="AE1810" i="2" s="1"/>
  <c r="AE1840" i="2" s="1"/>
  <c r="AE1870" i="2" s="1"/>
  <c r="AE1900" i="2" s="1"/>
  <c r="AE1930" i="2" s="1"/>
  <c r="AE1960" i="2" s="1"/>
  <c r="AE1990" i="2" s="1"/>
  <c r="AE2020" i="2" s="1"/>
  <c r="AE2050" i="2" s="1"/>
  <c r="AE2080" i="2" s="1"/>
  <c r="AE942" i="2"/>
  <c r="AE972" i="2" s="1"/>
  <c r="AE1002" i="2" s="1"/>
  <c r="AE1032" i="2" s="1"/>
  <c r="AE1062" i="2" s="1"/>
  <c r="AE1092" i="2" s="1"/>
  <c r="AE1122" i="2" s="1"/>
  <c r="AE944" i="2"/>
  <c r="AE974" i="2" s="1"/>
  <c r="AE1004" i="2" s="1"/>
  <c r="AE1034" i="2" s="1"/>
  <c r="AE1064" i="2" s="1"/>
  <c r="AE1094" i="2" s="1"/>
  <c r="AE1124" i="2" s="1"/>
  <c r="AE1154" i="2" s="1"/>
  <c r="AE1184" i="2" s="1"/>
  <c r="AE1214" i="2" s="1"/>
  <c r="AE1244" i="2" s="1"/>
  <c r="AE1274" i="2" s="1"/>
  <c r="AE1304" i="2" s="1"/>
  <c r="AE1334" i="2" s="1"/>
  <c r="AE1364" i="2" s="1"/>
  <c r="AE1394" i="2" s="1"/>
  <c r="AE1424" i="2" s="1"/>
  <c r="AE1454" i="2" s="1"/>
  <c r="AE1484" i="2" s="1"/>
  <c r="AE1514" i="2" s="1"/>
  <c r="AE1544" i="2" s="1"/>
  <c r="AE1574" i="2" s="1"/>
  <c r="AE1604" i="2" s="1"/>
  <c r="AE1634" i="2" s="1"/>
  <c r="AE1664" i="2" s="1"/>
  <c r="AE1694" i="2" s="1"/>
  <c r="AE1724" i="2" s="1"/>
  <c r="AE1754" i="2" s="1"/>
  <c r="AE1784" i="2" s="1"/>
  <c r="AE1814" i="2" s="1"/>
  <c r="AE1844" i="2" s="1"/>
  <c r="AE1874" i="2" s="1"/>
  <c r="AE1904" i="2" s="1"/>
  <c r="AE1934" i="2" s="1"/>
  <c r="AE1964" i="2" s="1"/>
  <c r="AE1994" i="2" s="1"/>
  <c r="AE2024" i="2" s="1"/>
  <c r="AE2054" i="2" s="1"/>
  <c r="AE946" i="2"/>
  <c r="AE976" i="2" s="1"/>
  <c r="AE1006" i="2" s="1"/>
  <c r="AE1036" i="2" s="1"/>
  <c r="AE1066" i="2" s="1"/>
  <c r="AE1096" i="2" s="1"/>
  <c r="AE1126" i="2" s="1"/>
  <c r="AE1156" i="2" s="1"/>
  <c r="AE1186" i="2" s="1"/>
  <c r="AE1216" i="2" s="1"/>
  <c r="AE1246" i="2" s="1"/>
  <c r="AE1276" i="2" s="1"/>
  <c r="AE1306" i="2" s="1"/>
  <c r="AE1336" i="2" s="1"/>
  <c r="AE1366" i="2" s="1"/>
  <c r="AE1396" i="2" s="1"/>
  <c r="AE1426" i="2" s="1"/>
  <c r="AE1456" i="2" s="1"/>
  <c r="AE1486" i="2" s="1"/>
  <c r="AE1516" i="2" s="1"/>
  <c r="AE1546" i="2" s="1"/>
  <c r="AE1576" i="2" s="1"/>
  <c r="AE1606" i="2" s="1"/>
  <c r="AE1636" i="2" s="1"/>
  <c r="AE1666" i="2" s="1"/>
  <c r="AE1696" i="2" s="1"/>
  <c r="AE1726" i="2" s="1"/>
  <c r="AE1756" i="2" s="1"/>
  <c r="AE1786" i="2" s="1"/>
  <c r="AE1816" i="2" s="1"/>
  <c r="AE1846" i="2" s="1"/>
  <c r="AE1876" i="2" s="1"/>
  <c r="AE1906" i="2" s="1"/>
  <c r="AE1936" i="2" s="1"/>
  <c r="AE1966" i="2" s="1"/>
  <c r="AE1996" i="2" s="1"/>
  <c r="AE2026" i="2" s="1"/>
  <c r="AE2056" i="2" s="1"/>
  <c r="AE948" i="2"/>
  <c r="AE978" i="2" s="1"/>
  <c r="AE1008" i="2" s="1"/>
  <c r="AE1038" i="2" s="1"/>
  <c r="AE1068" i="2" s="1"/>
  <c r="AE1098" i="2" s="1"/>
  <c r="AE1128" i="2" s="1"/>
  <c r="AE1158" i="2" s="1"/>
  <c r="AE1188" i="2" s="1"/>
  <c r="AE1218" i="2" s="1"/>
  <c r="AE1248" i="2" s="1"/>
  <c r="AE1278" i="2" s="1"/>
  <c r="AE1308" i="2" s="1"/>
  <c r="AE1338" i="2" s="1"/>
  <c r="AE1368" i="2" s="1"/>
  <c r="AE1398" i="2" s="1"/>
  <c r="AE1428" i="2" s="1"/>
  <c r="AE1458" i="2" s="1"/>
  <c r="AE1488" i="2" s="1"/>
  <c r="AE1518" i="2" s="1"/>
  <c r="AE1548" i="2" s="1"/>
  <c r="AE1578" i="2" s="1"/>
  <c r="AE1608" i="2" s="1"/>
  <c r="AE1638" i="2" s="1"/>
  <c r="AE1668" i="2" s="1"/>
  <c r="AE1698" i="2" s="1"/>
  <c r="AE1728" i="2" s="1"/>
  <c r="AE1758" i="2" s="1"/>
  <c r="AE1788" i="2" s="1"/>
  <c r="AE1818" i="2" s="1"/>
  <c r="AE1848" i="2" s="1"/>
  <c r="AE1878" i="2" s="1"/>
  <c r="AE1908" i="2" s="1"/>
  <c r="AE1938" i="2" s="1"/>
  <c r="AE1968" i="2" s="1"/>
  <c r="AE1998" i="2" s="1"/>
  <c r="AE2028" i="2" s="1"/>
  <c r="AE2058" i="2" s="1"/>
  <c r="AE950" i="2"/>
  <c r="AE980" i="2" s="1"/>
  <c r="AE1010" i="2" s="1"/>
  <c r="AE1040" i="2" s="1"/>
  <c r="AE1070" i="2" s="1"/>
  <c r="AE1100" i="2" s="1"/>
  <c r="AE1130" i="2" s="1"/>
  <c r="AE1125" i="2"/>
  <c r="AE1127" i="2"/>
  <c r="AE1129" i="2"/>
  <c r="AD1134" i="2"/>
  <c r="AD1136" i="2"/>
  <c r="AD1138" i="2"/>
  <c r="AE1143" i="2"/>
  <c r="AD1144" i="2"/>
  <c r="AE1144" i="2"/>
  <c r="AD1145" i="2"/>
  <c r="AD1175" i="2" s="1"/>
  <c r="AD1205" i="2" s="1"/>
  <c r="AD1235" i="2" s="1"/>
  <c r="AD1265" i="2" s="1"/>
  <c r="AD1295" i="2" s="1"/>
  <c r="AD1325" i="2" s="1"/>
  <c r="AD1355" i="2" s="1"/>
  <c r="AD1385" i="2" s="1"/>
  <c r="AD1415" i="2" s="1"/>
  <c r="AD1445" i="2" s="1"/>
  <c r="AD1475" i="2" s="1"/>
  <c r="AD1505" i="2" s="1"/>
  <c r="AD1535" i="2" s="1"/>
  <c r="AD1565" i="2" s="1"/>
  <c r="AD1595" i="2" s="1"/>
  <c r="AD1625" i="2" s="1"/>
  <c r="AD1655" i="2" s="1"/>
  <c r="AD1685" i="2" s="1"/>
  <c r="AD1715" i="2" s="1"/>
  <c r="AD1745" i="2" s="1"/>
  <c r="AD1775" i="2" s="1"/>
  <c r="AD1805" i="2" s="1"/>
  <c r="AD1835" i="2" s="1"/>
  <c r="AD1865" i="2" s="1"/>
  <c r="AD1895" i="2" s="1"/>
  <c r="AD1925" i="2" s="1"/>
  <c r="AD1955" i="2" s="1"/>
  <c r="AD1985" i="2" s="1"/>
  <c r="AD2015" i="2" s="1"/>
  <c r="AD2045" i="2" s="1"/>
  <c r="AD2075" i="2" s="1"/>
  <c r="AE1145" i="2"/>
  <c r="AD1146" i="2"/>
  <c r="AD1147" i="2"/>
  <c r="AD1177" i="2" s="1"/>
  <c r="AD1207" i="2" s="1"/>
  <c r="AD1237" i="2" s="1"/>
  <c r="AD1267" i="2" s="1"/>
  <c r="AD1297" i="2" s="1"/>
  <c r="AD1327" i="2" s="1"/>
  <c r="AD1357" i="2" s="1"/>
  <c r="AD1387" i="2" s="1"/>
  <c r="AD1417" i="2" s="1"/>
  <c r="AD1447" i="2" s="1"/>
  <c r="AD1477" i="2" s="1"/>
  <c r="AD1507" i="2" s="1"/>
  <c r="AD1537" i="2" s="1"/>
  <c r="AD1567" i="2" s="1"/>
  <c r="AD1597" i="2" s="1"/>
  <c r="AD1627" i="2" s="1"/>
  <c r="AD1657" i="2" s="1"/>
  <c r="AD1687" i="2" s="1"/>
  <c r="AD1717" i="2" s="1"/>
  <c r="AD1747" i="2" s="1"/>
  <c r="AD1777" i="2" s="1"/>
  <c r="AD1807" i="2" s="1"/>
  <c r="AD1837" i="2" s="1"/>
  <c r="AD1867" i="2" s="1"/>
  <c r="AD1897" i="2" s="1"/>
  <c r="AD1927" i="2" s="1"/>
  <c r="AD1957" i="2" s="1"/>
  <c r="AD1987" i="2" s="1"/>
  <c r="AD2017" i="2" s="1"/>
  <c r="AD2047" i="2" s="1"/>
  <c r="AD2077" i="2" s="1"/>
  <c r="AE1147" i="2"/>
  <c r="AD1148" i="2"/>
  <c r="AD1149" i="2"/>
  <c r="AD1179" i="2" s="1"/>
  <c r="AD1209" i="2" s="1"/>
  <c r="AD1239" i="2" s="1"/>
  <c r="AD1269" i="2" s="1"/>
  <c r="AD1299" i="2" s="1"/>
  <c r="AD1329" i="2" s="1"/>
  <c r="AD1359" i="2" s="1"/>
  <c r="AD1389" i="2" s="1"/>
  <c r="AD1419" i="2" s="1"/>
  <c r="AD1449" i="2" s="1"/>
  <c r="AD1479" i="2" s="1"/>
  <c r="AD1509" i="2" s="1"/>
  <c r="AD1539" i="2" s="1"/>
  <c r="AD1569" i="2" s="1"/>
  <c r="AD1599" i="2" s="1"/>
  <c r="AD1629" i="2" s="1"/>
  <c r="AD1659" i="2" s="1"/>
  <c r="AD1689" i="2" s="1"/>
  <c r="AD1719" i="2" s="1"/>
  <c r="AD1749" i="2" s="1"/>
  <c r="AD1779" i="2" s="1"/>
  <c r="AD1809" i="2" s="1"/>
  <c r="AD1839" i="2" s="1"/>
  <c r="AD1869" i="2" s="1"/>
  <c r="AD1899" i="2" s="1"/>
  <c r="AD1929" i="2" s="1"/>
  <c r="AD1959" i="2" s="1"/>
  <c r="AD1989" i="2" s="1"/>
  <c r="AD2019" i="2" s="1"/>
  <c r="AD2049" i="2" s="1"/>
  <c r="AD2079" i="2" s="1"/>
  <c r="AE1149" i="2"/>
  <c r="AD1150" i="2"/>
  <c r="AD1151" i="2"/>
  <c r="AD1181" i="2" s="1"/>
  <c r="AD1211" i="2" s="1"/>
  <c r="AD1241" i="2" s="1"/>
  <c r="AD1271" i="2" s="1"/>
  <c r="AD1301" i="2" s="1"/>
  <c r="AD1331" i="2" s="1"/>
  <c r="AD1361" i="2" s="1"/>
  <c r="AD1391" i="2" s="1"/>
  <c r="AD1421" i="2" s="1"/>
  <c r="AD1451" i="2" s="1"/>
  <c r="AD1481" i="2" s="1"/>
  <c r="AD1511" i="2" s="1"/>
  <c r="AD1541" i="2" s="1"/>
  <c r="AD1571" i="2" s="1"/>
  <c r="AD1601" i="2" s="1"/>
  <c r="AD1631" i="2" s="1"/>
  <c r="AD1661" i="2" s="1"/>
  <c r="AD1691" i="2" s="1"/>
  <c r="AD1721" i="2" s="1"/>
  <c r="AD1751" i="2" s="1"/>
  <c r="AD1781" i="2" s="1"/>
  <c r="AD1811" i="2" s="1"/>
  <c r="AD1841" i="2" s="1"/>
  <c r="AD1871" i="2" s="1"/>
  <c r="AD1901" i="2" s="1"/>
  <c r="AD1931" i="2" s="1"/>
  <c r="AD1961" i="2" s="1"/>
  <c r="AD1991" i="2" s="1"/>
  <c r="AD2021" i="2" s="1"/>
  <c r="AD2051" i="2" s="1"/>
  <c r="AD2081" i="2" s="1"/>
  <c r="AE1151" i="2"/>
  <c r="AD1152" i="2"/>
  <c r="AE1152" i="2"/>
  <c r="AD1153" i="2"/>
  <c r="AD1183" i="2" s="1"/>
  <c r="AD1213" i="2" s="1"/>
  <c r="AD1243" i="2" s="1"/>
  <c r="AD1273" i="2" s="1"/>
  <c r="AD1303" i="2" s="1"/>
  <c r="AD1333" i="2" s="1"/>
  <c r="AD1363" i="2" s="1"/>
  <c r="AD1393" i="2" s="1"/>
  <c r="AD1423" i="2" s="1"/>
  <c r="AD1453" i="2" s="1"/>
  <c r="AD1483" i="2" s="1"/>
  <c r="AD1513" i="2" s="1"/>
  <c r="AD1543" i="2" s="1"/>
  <c r="AD1573" i="2" s="1"/>
  <c r="AD1603" i="2" s="1"/>
  <c r="AD1633" i="2" s="1"/>
  <c r="AD1663" i="2" s="1"/>
  <c r="AD1693" i="2" s="1"/>
  <c r="AD1723" i="2" s="1"/>
  <c r="AD1753" i="2" s="1"/>
  <c r="AD1783" i="2" s="1"/>
  <c r="AD1813" i="2" s="1"/>
  <c r="AD1843" i="2" s="1"/>
  <c r="AD1873" i="2" s="1"/>
  <c r="AD1903" i="2" s="1"/>
  <c r="AD1933" i="2" s="1"/>
  <c r="AD1963" i="2" s="1"/>
  <c r="AD1993" i="2" s="1"/>
  <c r="AD2023" i="2" s="1"/>
  <c r="AD2053" i="2" s="1"/>
  <c r="AE1153" i="2"/>
  <c r="AD1154" i="2"/>
  <c r="AD1155" i="2"/>
  <c r="AD1185" i="2" s="1"/>
  <c r="AD1215" i="2" s="1"/>
  <c r="AD1245" i="2" s="1"/>
  <c r="AD1275" i="2" s="1"/>
  <c r="AD1305" i="2" s="1"/>
  <c r="AD1335" i="2" s="1"/>
  <c r="AD1365" i="2" s="1"/>
  <c r="AD1395" i="2" s="1"/>
  <c r="AD1425" i="2" s="1"/>
  <c r="AD1455" i="2" s="1"/>
  <c r="AD1485" i="2" s="1"/>
  <c r="AD1515" i="2" s="1"/>
  <c r="AD1545" i="2" s="1"/>
  <c r="AD1575" i="2" s="1"/>
  <c r="AD1605" i="2" s="1"/>
  <c r="AD1635" i="2" s="1"/>
  <c r="AD1665" i="2" s="1"/>
  <c r="AD1695" i="2" s="1"/>
  <c r="AD1725" i="2" s="1"/>
  <c r="AD1755" i="2" s="1"/>
  <c r="AD1785" i="2" s="1"/>
  <c r="AD1815" i="2" s="1"/>
  <c r="AD1845" i="2" s="1"/>
  <c r="AD1875" i="2" s="1"/>
  <c r="AD1905" i="2" s="1"/>
  <c r="AD1935" i="2" s="1"/>
  <c r="AD1965" i="2" s="1"/>
  <c r="AD1995" i="2" s="1"/>
  <c r="AD2025" i="2" s="1"/>
  <c r="AD2055" i="2" s="1"/>
  <c r="AE1155" i="2"/>
  <c r="AD1156" i="2"/>
  <c r="AD1157" i="2"/>
  <c r="AD1187" i="2" s="1"/>
  <c r="AD1217" i="2" s="1"/>
  <c r="AD1247" i="2" s="1"/>
  <c r="AD1277" i="2" s="1"/>
  <c r="AD1307" i="2" s="1"/>
  <c r="AD1337" i="2" s="1"/>
  <c r="AD1367" i="2" s="1"/>
  <c r="AD1397" i="2" s="1"/>
  <c r="AD1427" i="2" s="1"/>
  <c r="AD1457" i="2" s="1"/>
  <c r="AD1487" i="2" s="1"/>
  <c r="AD1517" i="2" s="1"/>
  <c r="AD1547" i="2" s="1"/>
  <c r="AD1577" i="2" s="1"/>
  <c r="AD1607" i="2" s="1"/>
  <c r="AD1637" i="2" s="1"/>
  <c r="AD1667" i="2" s="1"/>
  <c r="AD1697" i="2" s="1"/>
  <c r="AD1727" i="2" s="1"/>
  <c r="AD1757" i="2" s="1"/>
  <c r="AD1787" i="2" s="1"/>
  <c r="AD1817" i="2" s="1"/>
  <c r="AD1847" i="2" s="1"/>
  <c r="AD1877" i="2" s="1"/>
  <c r="AD1907" i="2" s="1"/>
  <c r="AD1937" i="2" s="1"/>
  <c r="AD1967" i="2" s="1"/>
  <c r="AD1997" i="2" s="1"/>
  <c r="AD2027" i="2" s="1"/>
  <c r="AD2057" i="2" s="1"/>
  <c r="AE1157" i="2"/>
  <c r="AD1158" i="2"/>
  <c r="AD1159" i="2"/>
  <c r="AD1189" i="2" s="1"/>
  <c r="AD1219" i="2" s="1"/>
  <c r="AD1249" i="2" s="1"/>
  <c r="AD1279" i="2" s="1"/>
  <c r="AD1309" i="2" s="1"/>
  <c r="AD1339" i="2" s="1"/>
  <c r="AD1369" i="2" s="1"/>
  <c r="AD1399" i="2" s="1"/>
  <c r="AD1429" i="2" s="1"/>
  <c r="AD1459" i="2" s="1"/>
  <c r="AD1489" i="2" s="1"/>
  <c r="AD1519" i="2" s="1"/>
  <c r="AD1549" i="2" s="1"/>
  <c r="AD1579" i="2" s="1"/>
  <c r="AD1609" i="2" s="1"/>
  <c r="AD1639" i="2" s="1"/>
  <c r="AD1669" i="2" s="1"/>
  <c r="AD1699" i="2" s="1"/>
  <c r="AD1729" i="2" s="1"/>
  <c r="AD1759" i="2" s="1"/>
  <c r="AD1789" i="2" s="1"/>
  <c r="AD1819" i="2" s="1"/>
  <c r="AD1849" i="2" s="1"/>
  <c r="AD1879" i="2" s="1"/>
  <c r="AD1909" i="2" s="1"/>
  <c r="AD1939" i="2" s="1"/>
  <c r="AD1969" i="2" s="1"/>
  <c r="AD1999" i="2" s="1"/>
  <c r="AD2029" i="2" s="1"/>
  <c r="AD2059" i="2" s="1"/>
  <c r="AE1159" i="2"/>
  <c r="AD1160" i="2"/>
  <c r="AE1160" i="2"/>
  <c r="AE1161" i="2"/>
  <c r="AE1191" i="2" s="1"/>
  <c r="AE1221" i="2" s="1"/>
  <c r="AE1251" i="2" s="1"/>
  <c r="AE1281" i="2" s="1"/>
  <c r="AE1311" i="2" s="1"/>
  <c r="AE1341" i="2" s="1"/>
  <c r="AE1371" i="2" s="1"/>
  <c r="AE1401" i="2" s="1"/>
  <c r="AE1431" i="2" s="1"/>
  <c r="AE1461" i="2" s="1"/>
  <c r="AE1491" i="2" s="1"/>
  <c r="AE1521" i="2" s="1"/>
  <c r="AE1551" i="2" s="1"/>
  <c r="AE1581" i="2" s="1"/>
  <c r="AE1611" i="2" s="1"/>
  <c r="AE1641" i="2" s="1"/>
  <c r="AE1671" i="2" s="1"/>
  <c r="AE1701" i="2" s="1"/>
  <c r="AE1731" i="2" s="1"/>
  <c r="AE1761" i="2" s="1"/>
  <c r="AE1791" i="2" s="1"/>
  <c r="AE1821" i="2" s="1"/>
  <c r="AE1851" i="2" s="1"/>
  <c r="AE1881" i="2" s="1"/>
  <c r="AE1911" i="2" s="1"/>
  <c r="AE1941" i="2" s="1"/>
  <c r="AE1971" i="2" s="1"/>
  <c r="AE2001" i="2" s="1"/>
  <c r="AE2031" i="2" s="1"/>
  <c r="AE2061" i="2" s="1"/>
  <c r="AE1162" i="2"/>
  <c r="AD1163" i="2"/>
  <c r="AE1163" i="2"/>
  <c r="AD1164" i="2"/>
  <c r="AE1164" i="2"/>
  <c r="AD1165" i="2"/>
  <c r="AE1165" i="2"/>
  <c r="AD1166" i="2"/>
  <c r="AE1166" i="2"/>
  <c r="AD1167" i="2"/>
  <c r="AE1167" i="2"/>
  <c r="AD1168" i="2"/>
  <c r="AE1168" i="2"/>
  <c r="AD1169" i="2"/>
  <c r="AE1169" i="2"/>
  <c r="AE1170" i="2"/>
  <c r="AD1171" i="2"/>
  <c r="AE1171" i="2"/>
  <c r="AD1173" i="2"/>
  <c r="AE1173" i="2"/>
  <c r="AD1174" i="2"/>
  <c r="AE1174" i="2"/>
  <c r="AE1175" i="2"/>
  <c r="AD1176" i="2"/>
  <c r="AE1177" i="2"/>
  <c r="AD1178" i="2"/>
  <c r="AE1179" i="2"/>
  <c r="AD1180" i="2"/>
  <c r="AE1181" i="2"/>
  <c r="AD1182" i="2"/>
  <c r="AE1182" i="2"/>
  <c r="AE1183" i="2"/>
  <c r="AD1184" i="2"/>
  <c r="AE1185" i="2"/>
  <c r="AD1186" i="2"/>
  <c r="AE1187" i="2"/>
  <c r="AD1188" i="2"/>
  <c r="AE1189" i="2"/>
  <c r="AD1190" i="2"/>
  <c r="AE1190" i="2"/>
  <c r="AE1192" i="2"/>
  <c r="AD1193" i="2"/>
  <c r="AE1193" i="2"/>
  <c r="AD1194" i="2"/>
  <c r="AE1194" i="2"/>
  <c r="AD1195" i="2"/>
  <c r="AE1195" i="2"/>
  <c r="AD1196" i="2"/>
  <c r="AE1196" i="2"/>
  <c r="AD1197" i="2"/>
  <c r="AE1197" i="2"/>
  <c r="AD1198" i="2"/>
  <c r="AE1198" i="2"/>
  <c r="AD1199" i="2"/>
  <c r="AE1199" i="2"/>
  <c r="AE1200" i="2"/>
  <c r="AD1201" i="2"/>
  <c r="AE1201" i="2"/>
  <c r="AD1203" i="2"/>
  <c r="AE1203" i="2"/>
  <c r="AD1204" i="2"/>
  <c r="AE1204" i="2"/>
  <c r="AE1205" i="2"/>
  <c r="AD1206" i="2"/>
  <c r="AE1207" i="2"/>
  <c r="AD1208" i="2"/>
  <c r="AE1209" i="2"/>
  <c r="AD1210" i="2"/>
  <c r="AE1211" i="2"/>
  <c r="AD1212" i="2"/>
  <c r="AE1212" i="2"/>
  <c r="AE1213" i="2"/>
  <c r="AD1214" i="2"/>
  <c r="AE1215" i="2"/>
  <c r="AD1216" i="2"/>
  <c r="AE1217" i="2"/>
  <c r="AD1218" i="2"/>
  <c r="AE1219" i="2"/>
  <c r="AD1220" i="2"/>
  <c r="AE1220" i="2"/>
  <c r="AE1222" i="2"/>
  <c r="AD1223" i="2"/>
  <c r="AE1223" i="2"/>
  <c r="AD1224" i="2"/>
  <c r="AE1224" i="2"/>
  <c r="AD1225" i="2"/>
  <c r="AE1225" i="2"/>
  <c r="AD1226" i="2"/>
  <c r="AE1226" i="2"/>
  <c r="AD1227" i="2"/>
  <c r="AE1227" i="2"/>
  <c r="AD1228" i="2"/>
  <c r="AE1228" i="2"/>
  <c r="AD1229" i="2"/>
  <c r="AE1229" i="2"/>
  <c r="AE1230" i="2"/>
  <c r="AD1231" i="2"/>
  <c r="AE1231" i="2"/>
  <c r="AD1233" i="2"/>
  <c r="AE1233" i="2"/>
  <c r="AD1234" i="2"/>
  <c r="AE1234" i="2"/>
  <c r="AE1235" i="2"/>
  <c r="AD1236" i="2"/>
  <c r="AE1237" i="2"/>
  <c r="AD1238" i="2"/>
  <c r="AE1239" i="2"/>
  <c r="AD1240" i="2"/>
  <c r="AE1241" i="2"/>
  <c r="AD1242" i="2"/>
  <c r="AE1242" i="2"/>
  <c r="AE1243" i="2"/>
  <c r="AD1244" i="2"/>
  <c r="AE1245" i="2"/>
  <c r="AD1246" i="2"/>
  <c r="AE1247" i="2"/>
  <c r="AD1248" i="2"/>
  <c r="AE1249" i="2"/>
  <c r="AD1250" i="2"/>
  <c r="AE1250" i="2"/>
  <c r="AE1252" i="2"/>
  <c r="AD1253" i="2"/>
  <c r="AE1253" i="2"/>
  <c r="AD1254" i="2"/>
  <c r="AE1254" i="2"/>
  <c r="AD1255" i="2"/>
  <c r="AE1255" i="2"/>
  <c r="AD1256" i="2"/>
  <c r="AE1256" i="2"/>
  <c r="AD1257" i="2"/>
  <c r="AE1257" i="2"/>
  <c r="AD1258" i="2"/>
  <c r="AE1258" i="2"/>
  <c r="AD1259" i="2"/>
  <c r="AE1259" i="2"/>
  <c r="AE1260" i="2"/>
  <c r="AD1261" i="2"/>
  <c r="AE1261" i="2"/>
  <c r="AD1263" i="2"/>
  <c r="AE1263" i="2"/>
  <c r="AD1264" i="2"/>
  <c r="AE1264" i="2"/>
  <c r="AE1265" i="2"/>
  <c r="AD1266" i="2"/>
  <c r="AE1267" i="2"/>
  <c r="AD1268" i="2"/>
  <c r="AE1269" i="2"/>
  <c r="AD1270" i="2"/>
  <c r="AE1271" i="2"/>
  <c r="AD1272" i="2"/>
  <c r="AE1272" i="2"/>
  <c r="AE1273" i="2"/>
  <c r="AD1274" i="2"/>
  <c r="AE1275" i="2"/>
  <c r="AD1276" i="2"/>
  <c r="AE1277" i="2"/>
  <c r="AD1278" i="2"/>
  <c r="AE1279" i="2"/>
  <c r="AD1280" i="2"/>
  <c r="AE1280" i="2"/>
  <c r="AE1282" i="2"/>
  <c r="AD1283" i="2"/>
  <c r="AE1283" i="2"/>
  <c r="AD1284" i="2"/>
  <c r="AE1284" i="2"/>
  <c r="AD1285" i="2"/>
  <c r="AE1285" i="2"/>
  <c r="AD1286" i="2"/>
  <c r="AE1286" i="2"/>
  <c r="AD1287" i="2"/>
  <c r="AE1287" i="2"/>
  <c r="AD1288" i="2"/>
  <c r="AE1288" i="2"/>
  <c r="AD1289" i="2"/>
  <c r="AE1289" i="2"/>
  <c r="AE1290" i="2"/>
  <c r="AD1291" i="2"/>
  <c r="AE1291" i="2"/>
  <c r="AD1293" i="2"/>
  <c r="AE1293" i="2"/>
  <c r="AD1294" i="2"/>
  <c r="AE1294" i="2"/>
  <c r="AE1295" i="2"/>
  <c r="AD1296" i="2"/>
  <c r="AE1297" i="2"/>
  <c r="AD1298" i="2"/>
  <c r="AE1299" i="2"/>
  <c r="AD1300" i="2"/>
  <c r="AE1301" i="2"/>
  <c r="AD1302" i="2"/>
  <c r="AE1302" i="2"/>
  <c r="AE1303" i="2"/>
  <c r="AD1304" i="2"/>
  <c r="AE1305" i="2"/>
  <c r="AD1306" i="2"/>
  <c r="AE1307" i="2"/>
  <c r="AD1308" i="2"/>
  <c r="AE1309" i="2"/>
  <c r="AD1310" i="2"/>
  <c r="AE1310" i="2"/>
  <c r="AE1312" i="2"/>
  <c r="AD1313" i="2"/>
  <c r="AE1313" i="2"/>
  <c r="AD1314" i="2"/>
  <c r="AE1314" i="2"/>
  <c r="AD1315" i="2"/>
  <c r="AE1315" i="2"/>
  <c r="AD1316" i="2"/>
  <c r="AE1316" i="2"/>
  <c r="AD1317" i="2"/>
  <c r="AE1317" i="2"/>
  <c r="AD1318" i="2"/>
  <c r="AE1318" i="2"/>
  <c r="AD1319" i="2"/>
  <c r="AE1319" i="2"/>
  <c r="AE1320" i="2"/>
  <c r="AD1321" i="2"/>
  <c r="AE1321" i="2"/>
  <c r="AD1323" i="2"/>
  <c r="AE1323" i="2"/>
  <c r="AD1324" i="2"/>
  <c r="AE1324" i="2"/>
  <c r="AE1325" i="2"/>
  <c r="AD1326" i="2"/>
  <c r="AE1327" i="2"/>
  <c r="AD1328" i="2"/>
  <c r="AE1329" i="2"/>
  <c r="AD1330" i="2"/>
  <c r="AE1331" i="2"/>
  <c r="AD1332" i="2"/>
  <c r="AE1332" i="2"/>
  <c r="AE1333" i="2"/>
  <c r="AD1334" i="2"/>
  <c r="AE1335" i="2"/>
  <c r="AD1336" i="2"/>
  <c r="AE1337" i="2"/>
  <c r="AD1338" i="2"/>
  <c r="AE1339" i="2"/>
  <c r="AD1340" i="2"/>
  <c r="AE1340" i="2"/>
  <c r="AE1342" i="2"/>
  <c r="AD1343" i="2"/>
  <c r="AE1343" i="2"/>
  <c r="AD1344" i="2"/>
  <c r="AE1344" i="2"/>
  <c r="AD1345" i="2"/>
  <c r="AE1345" i="2"/>
  <c r="AD1346" i="2"/>
  <c r="AE1346" i="2"/>
  <c r="AD1347" i="2"/>
  <c r="AE1347" i="2"/>
  <c r="AD1348" i="2"/>
  <c r="AE1348" i="2"/>
  <c r="AD1349" i="2"/>
  <c r="AE1349" i="2"/>
  <c r="AE1350" i="2"/>
  <c r="AD1351" i="2"/>
  <c r="AE1351" i="2"/>
  <c r="AD1353" i="2"/>
  <c r="AE1353" i="2"/>
  <c r="AD1354" i="2"/>
  <c r="AE1354" i="2"/>
  <c r="AE1355" i="2"/>
  <c r="AD1356" i="2"/>
  <c r="AE1357" i="2"/>
  <c r="AD1358" i="2"/>
  <c r="AE1359" i="2"/>
  <c r="AD1360" i="2"/>
  <c r="AE1361" i="2"/>
  <c r="AD1362" i="2"/>
  <c r="AE1362" i="2"/>
  <c r="AE1363" i="2"/>
  <c r="AD1364" i="2"/>
  <c r="AE1365" i="2"/>
  <c r="AD1366" i="2"/>
  <c r="AE1367" i="2"/>
  <c r="AD1368" i="2"/>
  <c r="AE1369" i="2"/>
  <c r="AD1370" i="2"/>
  <c r="AE1370" i="2"/>
  <c r="AE1372" i="2"/>
  <c r="AD1373" i="2"/>
  <c r="AE1373" i="2"/>
  <c r="AD1374" i="2"/>
  <c r="AE1374" i="2"/>
  <c r="AD1375" i="2"/>
  <c r="AE1375" i="2"/>
  <c r="AD1376" i="2"/>
  <c r="AE1376" i="2"/>
  <c r="AD1377" i="2"/>
  <c r="AE1377" i="2"/>
  <c r="AD1378" i="2"/>
  <c r="AE1378" i="2"/>
  <c r="AD1379" i="2"/>
  <c r="AE1379" i="2"/>
  <c r="AE1380" i="2"/>
  <c r="AD1381" i="2"/>
  <c r="AE1381" i="2"/>
  <c r="AD1383" i="2"/>
  <c r="AE1383" i="2"/>
  <c r="AD1384" i="2"/>
  <c r="AE1384" i="2"/>
  <c r="AE1385" i="2"/>
  <c r="AD1386" i="2"/>
  <c r="AE1387" i="2"/>
  <c r="AD1388" i="2"/>
  <c r="AE1389" i="2"/>
  <c r="AD1390" i="2"/>
  <c r="AE1391" i="2"/>
  <c r="AD1392" i="2"/>
  <c r="AE1392" i="2"/>
  <c r="AE1393" i="2"/>
  <c r="AD1394" i="2"/>
  <c r="AE1395" i="2"/>
  <c r="AD1396" i="2"/>
  <c r="AE1397" i="2"/>
  <c r="AD1398" i="2"/>
  <c r="AE1399" i="2"/>
  <c r="AD1400" i="2"/>
  <c r="AE1400" i="2"/>
  <c r="AE1402" i="2"/>
  <c r="AD1403" i="2"/>
  <c r="AE1403" i="2"/>
  <c r="AD1404" i="2"/>
  <c r="AE1404" i="2"/>
  <c r="AD1405" i="2"/>
  <c r="AE1405" i="2"/>
  <c r="AD1406" i="2"/>
  <c r="AE1406" i="2"/>
  <c r="AD1407" i="2"/>
  <c r="AE1407" i="2"/>
  <c r="AD1408" i="2"/>
  <c r="AE1408" i="2"/>
  <c r="AD1409" i="2"/>
  <c r="AE1409" i="2"/>
  <c r="AE1410" i="2"/>
  <c r="AD1411" i="2"/>
  <c r="AE1411" i="2"/>
  <c r="AD1413" i="2"/>
  <c r="AE1413" i="2"/>
  <c r="AD1414" i="2"/>
  <c r="AE1414" i="2"/>
  <c r="AE1415" i="2"/>
  <c r="AD1416" i="2"/>
  <c r="AE1417" i="2"/>
  <c r="AD1418" i="2"/>
  <c r="AE1419" i="2"/>
  <c r="AD1420" i="2"/>
  <c r="AE1421" i="2"/>
  <c r="AD1422" i="2"/>
  <c r="AE1422" i="2"/>
  <c r="AE1423" i="2"/>
  <c r="AD1424" i="2"/>
  <c r="AE1425" i="2"/>
  <c r="AD1426" i="2"/>
  <c r="AE1427" i="2"/>
  <c r="AD1428" i="2"/>
  <c r="AE1429" i="2"/>
  <c r="AD1430" i="2"/>
  <c r="AE1430" i="2"/>
  <c r="AE1432" i="2"/>
  <c r="AD1433" i="2"/>
  <c r="AE1433" i="2"/>
  <c r="AD1434" i="2"/>
  <c r="AE1434" i="2"/>
  <c r="AD1435" i="2"/>
  <c r="AE1435" i="2"/>
  <c r="AD1436" i="2"/>
  <c r="AE1436" i="2"/>
  <c r="AD1437" i="2"/>
  <c r="AE1437" i="2"/>
  <c r="AD1438" i="2"/>
  <c r="AE1438" i="2"/>
  <c r="AD1439" i="2"/>
  <c r="AE1439" i="2"/>
  <c r="AE1440" i="2"/>
  <c r="AD1441" i="2"/>
  <c r="AE1441" i="2"/>
  <c r="AD1443" i="2"/>
  <c r="AE1443" i="2"/>
  <c r="AD1444" i="2"/>
  <c r="AE1444" i="2"/>
  <c r="AE1445" i="2"/>
  <c r="AD1446" i="2"/>
  <c r="AE1447" i="2"/>
  <c r="AD1448" i="2"/>
  <c r="AE1449" i="2"/>
  <c r="AD1450" i="2"/>
  <c r="AE1451" i="2"/>
  <c r="AD1452" i="2"/>
  <c r="AE1452" i="2"/>
  <c r="AE1453" i="2"/>
  <c r="AD1454" i="2"/>
  <c r="AE1455" i="2"/>
  <c r="AD1456" i="2"/>
  <c r="AE1457" i="2"/>
  <c r="AD1458" i="2"/>
  <c r="AE1459" i="2"/>
  <c r="AD1460" i="2"/>
  <c r="AE1460" i="2"/>
  <c r="AE1462" i="2"/>
  <c r="AD1463" i="2"/>
  <c r="AE1463" i="2"/>
  <c r="AD1464" i="2"/>
  <c r="AE1464" i="2"/>
  <c r="AD1465" i="2"/>
  <c r="AE1465" i="2"/>
  <c r="AD1466" i="2"/>
  <c r="AE1466" i="2"/>
  <c r="AD1467" i="2"/>
  <c r="AE1467" i="2"/>
  <c r="AD1468" i="2"/>
  <c r="AE1468" i="2"/>
  <c r="AD1469" i="2"/>
  <c r="AE1469" i="2"/>
  <c r="AE1470" i="2"/>
  <c r="AD1471" i="2"/>
  <c r="AE1471" i="2"/>
  <c r="AD1473" i="2"/>
  <c r="AE1473" i="2"/>
  <c r="AD1474" i="2"/>
  <c r="AE1474" i="2"/>
  <c r="AE1475" i="2"/>
  <c r="AD1476" i="2"/>
  <c r="AE1477" i="2"/>
  <c r="AD1478" i="2"/>
  <c r="AE1479" i="2"/>
  <c r="AD1480" i="2"/>
  <c r="AE1481" i="2"/>
  <c r="AD1482" i="2"/>
  <c r="AE1482" i="2"/>
  <c r="AE1483" i="2"/>
  <c r="AD1484" i="2"/>
  <c r="AE1485" i="2"/>
  <c r="AD1486" i="2"/>
  <c r="AE1487" i="2"/>
  <c r="AD1488" i="2"/>
  <c r="AE1489" i="2"/>
  <c r="AD1490" i="2"/>
  <c r="AE1490" i="2"/>
  <c r="AE1492" i="2"/>
  <c r="AD1493" i="2"/>
  <c r="AE1493" i="2"/>
  <c r="AD1494" i="2"/>
  <c r="AE1494" i="2"/>
  <c r="AD1495" i="2"/>
  <c r="AE1495" i="2"/>
  <c r="AD1496" i="2"/>
  <c r="AE1496" i="2"/>
  <c r="AD1497" i="2"/>
  <c r="AE1497" i="2"/>
  <c r="AD1498" i="2"/>
  <c r="AE1498" i="2"/>
  <c r="AD1499" i="2"/>
  <c r="AE1499" i="2"/>
  <c r="AE1500" i="2"/>
  <c r="AD1501" i="2"/>
  <c r="AE1501" i="2"/>
  <c r="AD1503" i="2"/>
  <c r="AE1503" i="2"/>
  <c r="AD1504" i="2"/>
  <c r="AE1504" i="2"/>
  <c r="AE1505" i="2"/>
  <c r="AD1506" i="2"/>
  <c r="AE1507" i="2"/>
  <c r="AD1508" i="2"/>
  <c r="AE1509" i="2"/>
  <c r="AD1510" i="2"/>
  <c r="AE1511" i="2"/>
  <c r="AD1512" i="2"/>
  <c r="AE1512" i="2"/>
  <c r="AE1513" i="2"/>
  <c r="AD1514" i="2"/>
  <c r="AE1515" i="2"/>
  <c r="AD1516" i="2"/>
  <c r="AE1517" i="2"/>
  <c r="AD1518" i="2"/>
  <c r="AE1519" i="2"/>
  <c r="AD1520" i="2"/>
  <c r="AE1520" i="2"/>
  <c r="AE1522" i="2"/>
  <c r="AD1523" i="2"/>
  <c r="AE1523" i="2"/>
  <c r="AD1524" i="2"/>
  <c r="AE1524" i="2"/>
  <c r="AD1525" i="2"/>
  <c r="AE1525" i="2"/>
  <c r="AD1526" i="2"/>
  <c r="AE1526" i="2"/>
  <c r="AD1527" i="2"/>
  <c r="AE1527" i="2"/>
  <c r="AD1528" i="2"/>
  <c r="AE1528" i="2"/>
  <c r="AD1529" i="2"/>
  <c r="AE1529" i="2"/>
  <c r="AE1530" i="2"/>
  <c r="AD1531" i="2"/>
  <c r="AE1531" i="2"/>
  <c r="AD1533" i="2"/>
  <c r="AE1533" i="2"/>
  <c r="AD1534" i="2"/>
  <c r="AE1534" i="2"/>
  <c r="AE1535" i="2"/>
  <c r="AD1536" i="2"/>
  <c r="AE1537" i="2"/>
  <c r="AD1538" i="2"/>
  <c r="AE1539" i="2"/>
  <c r="AD1540" i="2"/>
  <c r="AE1541" i="2"/>
  <c r="AD1542" i="2"/>
  <c r="AE1542" i="2"/>
  <c r="AE1543" i="2"/>
  <c r="AD1544" i="2"/>
  <c r="AE1545" i="2"/>
  <c r="AD1546" i="2"/>
  <c r="AE1547" i="2"/>
  <c r="AD1548" i="2"/>
  <c r="AE1549" i="2"/>
  <c r="AD1550" i="2"/>
  <c r="AE1550" i="2"/>
  <c r="AE1552" i="2"/>
  <c r="AD1553" i="2"/>
  <c r="AE1553" i="2"/>
  <c r="AD1554" i="2"/>
  <c r="AE1554" i="2"/>
  <c r="AD1555" i="2"/>
  <c r="AE1555" i="2"/>
  <c r="AD1556" i="2"/>
  <c r="AE1556" i="2"/>
  <c r="AD1557" i="2"/>
  <c r="AE1557" i="2"/>
  <c r="AD1558" i="2"/>
  <c r="AE1558" i="2"/>
  <c r="AD1559" i="2"/>
  <c r="AE1559" i="2"/>
  <c r="AE1560" i="2"/>
  <c r="AD1561" i="2"/>
  <c r="AE1561" i="2"/>
  <c r="AD1563" i="2"/>
  <c r="AE1563" i="2"/>
  <c r="AD1564" i="2"/>
  <c r="AE1564" i="2"/>
  <c r="AE1565" i="2"/>
  <c r="AD1566" i="2"/>
  <c r="AE1567" i="2"/>
  <c r="AD1568" i="2"/>
  <c r="AE1569" i="2"/>
  <c r="AD1570" i="2"/>
  <c r="AE1571" i="2"/>
  <c r="AD1572" i="2"/>
  <c r="AE1572" i="2"/>
  <c r="AE1573" i="2"/>
  <c r="AD1574" i="2"/>
  <c r="AE1575" i="2"/>
  <c r="AD1576" i="2"/>
  <c r="AE1577" i="2"/>
  <c r="AD1578" i="2"/>
  <c r="AE1579" i="2"/>
  <c r="AD1580" i="2"/>
  <c r="AE1580" i="2"/>
  <c r="AE1582" i="2"/>
  <c r="AD1583" i="2"/>
  <c r="AE1583" i="2"/>
  <c r="AD1584" i="2"/>
  <c r="AE1584" i="2"/>
  <c r="AD1585" i="2"/>
  <c r="AE1585" i="2"/>
  <c r="AD1586" i="2"/>
  <c r="AE1586" i="2"/>
  <c r="AD1587" i="2"/>
  <c r="AE1587" i="2"/>
  <c r="AD1588" i="2"/>
  <c r="AE1588" i="2"/>
  <c r="AD1589" i="2"/>
  <c r="AE1589" i="2"/>
  <c r="AE1590" i="2"/>
  <c r="AD1591" i="2"/>
  <c r="AE1591" i="2"/>
  <c r="AD1593" i="2"/>
  <c r="AE1593" i="2"/>
  <c r="AD1594" i="2"/>
  <c r="AE1594" i="2"/>
  <c r="AE1595" i="2"/>
  <c r="AD1596" i="2"/>
  <c r="AE1597" i="2"/>
  <c r="AD1598" i="2"/>
  <c r="AE1599" i="2"/>
  <c r="AD1600" i="2"/>
  <c r="AE1601" i="2"/>
  <c r="AD1602" i="2"/>
  <c r="AE1602" i="2"/>
  <c r="AE1603" i="2"/>
  <c r="AD1604" i="2"/>
  <c r="AE1605" i="2"/>
  <c r="AD1606" i="2"/>
  <c r="AE1607" i="2"/>
  <c r="AD1608" i="2"/>
  <c r="AE1609" i="2"/>
  <c r="AD1610" i="2"/>
  <c r="AE1610" i="2"/>
  <c r="AE1612" i="2"/>
  <c r="AD1613" i="2"/>
  <c r="AE1613" i="2"/>
  <c r="AD1614" i="2"/>
  <c r="AE1614" i="2"/>
  <c r="AD1615" i="2"/>
  <c r="AE1615" i="2"/>
  <c r="AD1616" i="2"/>
  <c r="AE1616" i="2"/>
  <c r="AD1617" i="2"/>
  <c r="AE1617" i="2"/>
  <c r="AD1618" i="2"/>
  <c r="AE1618" i="2"/>
  <c r="AD1619" i="2"/>
  <c r="AE1619" i="2"/>
  <c r="AE1620" i="2"/>
  <c r="AD1621" i="2"/>
  <c r="AE1621" i="2"/>
  <c r="AD1623" i="2"/>
  <c r="AE1623" i="2"/>
  <c r="AD1624" i="2"/>
  <c r="AE1624" i="2"/>
  <c r="AE1625" i="2"/>
  <c r="AD1626" i="2"/>
  <c r="AE1627" i="2"/>
  <c r="AD1628" i="2"/>
  <c r="AE1629" i="2"/>
  <c r="AD1630" i="2"/>
  <c r="AE1631" i="2"/>
  <c r="AD1632" i="2"/>
  <c r="AE1632" i="2"/>
  <c r="AE1633" i="2"/>
  <c r="AD1634" i="2"/>
  <c r="AE1635" i="2"/>
  <c r="AD1636" i="2"/>
  <c r="AE1637" i="2"/>
  <c r="AD1638" i="2"/>
  <c r="AE1639" i="2"/>
  <c r="AD1640" i="2"/>
  <c r="AE1640" i="2"/>
  <c r="AE1642" i="2"/>
  <c r="AD1643" i="2"/>
  <c r="AE1643" i="2"/>
  <c r="AD1644" i="2"/>
  <c r="AE1644" i="2"/>
  <c r="AD1645" i="2"/>
  <c r="AE1645" i="2"/>
  <c r="AD1646" i="2"/>
  <c r="AE1646" i="2"/>
  <c r="AD1647" i="2"/>
  <c r="AE1647" i="2"/>
  <c r="AD1648" i="2"/>
  <c r="AE1648" i="2"/>
  <c r="AD1649" i="2"/>
  <c r="AE1649" i="2"/>
  <c r="AE1650" i="2"/>
  <c r="AD1651" i="2"/>
  <c r="AE1651" i="2"/>
  <c r="AD1653" i="2"/>
  <c r="AE1653" i="2"/>
  <c r="AD1654" i="2"/>
  <c r="AE1654" i="2"/>
  <c r="AE1655" i="2"/>
  <c r="AD1656" i="2"/>
  <c r="AE1657" i="2"/>
  <c r="AD1658" i="2"/>
  <c r="AE1659" i="2"/>
  <c r="AD1660" i="2"/>
  <c r="AE1661" i="2"/>
  <c r="AD1662" i="2"/>
  <c r="AE1662" i="2"/>
  <c r="AE1663" i="2"/>
  <c r="AD1664" i="2"/>
  <c r="AE1665" i="2"/>
  <c r="AD1666" i="2"/>
  <c r="AE1667" i="2"/>
  <c r="AD1668" i="2"/>
  <c r="AE1669" i="2"/>
  <c r="AD1670" i="2"/>
  <c r="AE1670" i="2"/>
  <c r="AE1672" i="2"/>
  <c r="AD1673" i="2"/>
  <c r="AE1673" i="2"/>
  <c r="AD1674" i="2"/>
  <c r="AE1674" i="2"/>
  <c r="AD1675" i="2"/>
  <c r="AE1675" i="2"/>
  <c r="AD1676" i="2"/>
  <c r="AE1676" i="2"/>
  <c r="AD1677" i="2"/>
  <c r="AE1677" i="2"/>
  <c r="AD1678" i="2"/>
  <c r="AE1678" i="2"/>
  <c r="AD1679" i="2"/>
  <c r="AE1679" i="2"/>
  <c r="AE1680" i="2"/>
  <c r="AD1681" i="2"/>
  <c r="AE1681" i="2"/>
  <c r="AD1683" i="2"/>
  <c r="AE1683" i="2"/>
  <c r="AD1684" i="2"/>
  <c r="AE1684" i="2"/>
  <c r="AE1685" i="2"/>
  <c r="AD1686" i="2"/>
  <c r="AE1687" i="2"/>
  <c r="AD1688" i="2"/>
  <c r="AE1689" i="2"/>
  <c r="AD1690" i="2"/>
  <c r="AE1691" i="2"/>
  <c r="AD1692" i="2"/>
  <c r="AE1692" i="2"/>
  <c r="AE1693" i="2"/>
  <c r="AD1694" i="2"/>
  <c r="AE1695" i="2"/>
  <c r="AD1696" i="2"/>
  <c r="AE1697" i="2"/>
  <c r="AD1698" i="2"/>
  <c r="AE1699" i="2"/>
  <c r="AD1700" i="2"/>
  <c r="AE1700" i="2"/>
  <c r="AE1702" i="2"/>
  <c r="AD1703" i="2"/>
  <c r="AE1703" i="2"/>
  <c r="AD1704" i="2"/>
  <c r="AE1704" i="2"/>
  <c r="AD1705" i="2"/>
  <c r="AE1705" i="2"/>
  <c r="AD1706" i="2"/>
  <c r="AE1706" i="2"/>
  <c r="AD1707" i="2"/>
  <c r="AE1707" i="2"/>
  <c r="AD1708" i="2"/>
  <c r="AE1708" i="2"/>
  <c r="AD1709" i="2"/>
  <c r="AE1709" i="2"/>
  <c r="AE1710" i="2"/>
  <c r="AD1711" i="2"/>
  <c r="AE1711" i="2"/>
  <c r="AD1713" i="2"/>
  <c r="AE1713" i="2"/>
  <c r="AD1714" i="2"/>
  <c r="AE1714" i="2"/>
  <c r="AE1715" i="2"/>
  <c r="AD1716" i="2"/>
  <c r="AE1717" i="2"/>
  <c r="AD1718" i="2"/>
  <c r="AE1719" i="2"/>
  <c r="AD1720" i="2"/>
  <c r="AE1721" i="2"/>
  <c r="AD1722" i="2"/>
  <c r="AE1722" i="2"/>
  <c r="AE1723" i="2"/>
  <c r="AD1724" i="2"/>
  <c r="AE1725" i="2"/>
  <c r="AD1726" i="2"/>
  <c r="AE1727" i="2"/>
  <c r="AD1728" i="2"/>
  <c r="AE1729" i="2"/>
  <c r="AD1730" i="2"/>
  <c r="AE1730" i="2"/>
  <c r="AE1732" i="2"/>
  <c r="AD1733" i="2"/>
  <c r="AE1733" i="2"/>
  <c r="AD1734" i="2"/>
  <c r="AE1734" i="2"/>
  <c r="AD1735" i="2"/>
  <c r="AE1735" i="2"/>
  <c r="AD1736" i="2"/>
  <c r="AE1736" i="2"/>
  <c r="AD1737" i="2"/>
  <c r="AE1737" i="2"/>
  <c r="AD1738" i="2"/>
  <c r="AE1738" i="2"/>
  <c r="AD1739" i="2"/>
  <c r="AE1739" i="2"/>
  <c r="AE1740" i="2"/>
  <c r="AD1741" i="2"/>
  <c r="AE1741" i="2"/>
  <c r="AD1743" i="2"/>
  <c r="AE1743" i="2"/>
  <c r="AD1744" i="2"/>
  <c r="AE1744" i="2"/>
  <c r="AE1745" i="2"/>
  <c r="AD1746" i="2"/>
  <c r="AE1747" i="2"/>
  <c r="AD1748" i="2"/>
  <c r="AE1749" i="2"/>
  <c r="AD1750" i="2"/>
  <c r="AE1751" i="2"/>
  <c r="AD1752" i="2"/>
  <c r="AE1752" i="2"/>
  <c r="AE1753" i="2"/>
  <c r="AD1754" i="2"/>
  <c r="AE1755" i="2"/>
  <c r="AD1756" i="2"/>
  <c r="AE1757" i="2"/>
  <c r="AD1758" i="2"/>
  <c r="AE1759" i="2"/>
  <c r="AD1760" i="2"/>
  <c r="AE1760" i="2"/>
  <c r="AE1762" i="2"/>
  <c r="AD1763" i="2"/>
  <c r="AE1763" i="2"/>
  <c r="AD1764" i="2"/>
  <c r="AE1764" i="2"/>
  <c r="AD1765" i="2"/>
  <c r="AE1765" i="2"/>
  <c r="AD1766" i="2"/>
  <c r="AE1766" i="2"/>
  <c r="AD1767" i="2"/>
  <c r="AE1767" i="2"/>
  <c r="AD1768" i="2"/>
  <c r="AE1768" i="2"/>
  <c r="AD1769" i="2"/>
  <c r="AE1769" i="2"/>
  <c r="AE1770" i="2"/>
  <c r="AD1771" i="2"/>
  <c r="AE1771" i="2"/>
  <c r="AD1773" i="2"/>
  <c r="AE1773" i="2"/>
  <c r="AD1774" i="2"/>
  <c r="AE1774" i="2"/>
  <c r="AE1775" i="2"/>
  <c r="AD1776" i="2"/>
  <c r="AE1777" i="2"/>
  <c r="AD1778" i="2"/>
  <c r="AE1779" i="2"/>
  <c r="AD1780" i="2"/>
  <c r="AE1781" i="2"/>
  <c r="AD1782" i="2"/>
  <c r="AE1782" i="2"/>
  <c r="AE1783" i="2"/>
  <c r="AD1784" i="2"/>
  <c r="AE1785" i="2"/>
  <c r="AD1786" i="2"/>
  <c r="AE1787" i="2"/>
  <c r="AD1788" i="2"/>
  <c r="AE1789" i="2"/>
  <c r="AD1790" i="2"/>
  <c r="AE1790" i="2"/>
  <c r="AE1792" i="2"/>
  <c r="AD1793" i="2"/>
  <c r="AE1793" i="2"/>
  <c r="AD1794" i="2"/>
  <c r="AE1794" i="2"/>
  <c r="AD1795" i="2"/>
  <c r="AE1795" i="2"/>
  <c r="AD1796" i="2"/>
  <c r="AE1796" i="2"/>
  <c r="AD1797" i="2"/>
  <c r="AE1797" i="2"/>
  <c r="AD1798" i="2"/>
  <c r="AE1798" i="2"/>
  <c r="AD1799" i="2"/>
  <c r="AE1799" i="2"/>
  <c r="AE1800" i="2"/>
  <c r="AD1801" i="2"/>
  <c r="AE1801" i="2"/>
  <c r="AD1803" i="2"/>
  <c r="AE1803" i="2"/>
  <c r="AD1804" i="2"/>
  <c r="AE1804" i="2"/>
  <c r="AE1805" i="2"/>
  <c r="AD1806" i="2"/>
  <c r="AE1807" i="2"/>
  <c r="AD1808" i="2"/>
  <c r="AE1809" i="2"/>
  <c r="AD1810" i="2"/>
  <c r="AE1811" i="2"/>
  <c r="AD1812" i="2"/>
  <c r="AE1812" i="2"/>
  <c r="AE1813" i="2"/>
  <c r="AD1814" i="2"/>
  <c r="AE1815" i="2"/>
  <c r="AD1816" i="2"/>
  <c r="AE1817" i="2"/>
  <c r="AD1818" i="2"/>
  <c r="AE1819" i="2"/>
  <c r="AD1820" i="2"/>
  <c r="AE1820" i="2"/>
  <c r="AE1822" i="2"/>
  <c r="AD1823" i="2"/>
  <c r="AE1823" i="2"/>
  <c r="AD1824" i="2"/>
  <c r="AE1824" i="2"/>
  <c r="AD1825" i="2"/>
  <c r="AE1825" i="2"/>
  <c r="AD1826" i="2"/>
  <c r="AE1826" i="2"/>
  <c r="AD1827" i="2"/>
  <c r="AE1827" i="2"/>
  <c r="AD1828" i="2"/>
  <c r="AE1828" i="2"/>
  <c r="AD1829" i="2"/>
  <c r="AE1829" i="2"/>
  <c r="AE1830" i="2"/>
  <c r="AD1831" i="2"/>
  <c r="AE1831" i="2"/>
  <c r="AD1833" i="2"/>
  <c r="AE1833" i="2"/>
  <c r="AD1834" i="2"/>
  <c r="AE1834" i="2"/>
  <c r="AE1835" i="2"/>
  <c r="AD1836" i="2"/>
  <c r="AE1837" i="2"/>
  <c r="AD1838" i="2"/>
  <c r="AE1839" i="2"/>
  <c r="AD1840" i="2"/>
  <c r="AE1841" i="2"/>
  <c r="AD1842" i="2"/>
  <c r="AE1842" i="2"/>
  <c r="AE1843" i="2"/>
  <c r="AD1844" i="2"/>
  <c r="AE1845" i="2"/>
  <c r="AD1846" i="2"/>
  <c r="AE1847" i="2"/>
  <c r="AD1848" i="2"/>
  <c r="AE1849" i="2"/>
  <c r="AD1850" i="2"/>
  <c r="AE1850" i="2"/>
  <c r="AE1852" i="2"/>
  <c r="AD1853" i="2"/>
  <c r="AE1853" i="2"/>
  <c r="AD1854" i="2"/>
  <c r="AE1854" i="2"/>
  <c r="AD1855" i="2"/>
  <c r="AE1855" i="2"/>
  <c r="AD1856" i="2"/>
  <c r="AE1856" i="2"/>
  <c r="AD1857" i="2"/>
  <c r="AE1857" i="2"/>
  <c r="AD1858" i="2"/>
  <c r="AE1858" i="2"/>
  <c r="AD1859" i="2"/>
  <c r="AE1859" i="2"/>
  <c r="AE1860" i="2"/>
  <c r="AD1861" i="2"/>
  <c r="AE1861" i="2"/>
  <c r="AD1863" i="2"/>
  <c r="AE1863" i="2"/>
  <c r="AD1864" i="2"/>
  <c r="AE1864" i="2"/>
  <c r="AE1865" i="2"/>
  <c r="AD1866" i="2"/>
  <c r="AE1867" i="2"/>
  <c r="AD1868" i="2"/>
  <c r="AE1869" i="2"/>
  <c r="AD1870" i="2"/>
  <c r="AE1871" i="2"/>
  <c r="AD1872" i="2"/>
  <c r="AE1872" i="2"/>
  <c r="AE1873" i="2"/>
  <c r="AD1874" i="2"/>
  <c r="AE1875" i="2"/>
  <c r="AD1876" i="2"/>
  <c r="AE1877" i="2"/>
  <c r="AD1878" i="2"/>
  <c r="AE1879" i="2"/>
  <c r="AD1880" i="2"/>
  <c r="AE1880" i="2"/>
  <c r="AE1882" i="2"/>
  <c r="AD1883" i="2"/>
  <c r="AE1883" i="2"/>
  <c r="AD1884" i="2"/>
  <c r="AE1884" i="2"/>
  <c r="AD1885" i="2"/>
  <c r="AE1885" i="2"/>
  <c r="AD1886" i="2"/>
  <c r="AE1886" i="2"/>
  <c r="AD1887" i="2"/>
  <c r="AE1887" i="2"/>
  <c r="AD1888" i="2"/>
  <c r="AE1888" i="2"/>
  <c r="AD1889" i="2"/>
  <c r="AE1889" i="2"/>
  <c r="AE1890" i="2"/>
  <c r="AD1891" i="2"/>
  <c r="AE1891" i="2"/>
  <c r="AD1893" i="2"/>
  <c r="AE1893" i="2"/>
  <c r="AD1894" i="2"/>
  <c r="AE1894" i="2"/>
  <c r="AE1895" i="2"/>
  <c r="AD1896" i="2"/>
  <c r="AE1897" i="2"/>
  <c r="AE1927" i="2" s="1"/>
  <c r="AE1957" i="2" s="1"/>
  <c r="AE1987" i="2" s="1"/>
  <c r="AE2017" i="2" s="1"/>
  <c r="AE2047" i="2" s="1"/>
  <c r="AE2077" i="2" s="1"/>
  <c r="AE2107" i="2" s="1"/>
  <c r="AE2137" i="2" s="1"/>
  <c r="AE2167" i="2" s="1"/>
  <c r="AE2197" i="2" s="1"/>
  <c r="AE2227" i="2" s="1"/>
  <c r="AE2257" i="2" s="1"/>
  <c r="AE2287" i="2" s="1"/>
  <c r="AE2317" i="2" s="1"/>
  <c r="AE2347" i="2" s="1"/>
  <c r="AE2377" i="2" s="1"/>
  <c r="AD1898" i="2"/>
  <c r="AE1899" i="2"/>
  <c r="AD1900" i="2"/>
  <c r="AE1901" i="2"/>
  <c r="AD1902" i="2"/>
  <c r="AE1902" i="2"/>
  <c r="AE1903" i="2"/>
  <c r="AD1904" i="2"/>
  <c r="AE1905" i="2"/>
  <c r="AD1906" i="2"/>
  <c r="AE1907" i="2"/>
  <c r="AD1908" i="2"/>
  <c r="AE1909" i="2"/>
  <c r="AD1910" i="2"/>
  <c r="AE1910" i="2"/>
  <c r="AE1912" i="2"/>
  <c r="AD1913" i="2"/>
  <c r="AE1913" i="2"/>
  <c r="AD1914" i="2"/>
  <c r="AE1914" i="2"/>
  <c r="AD1915" i="2"/>
  <c r="AE1915" i="2"/>
  <c r="AD1916" i="2"/>
  <c r="AE1916" i="2"/>
  <c r="AD1917" i="2"/>
  <c r="AE1917" i="2"/>
  <c r="AD1918" i="2"/>
  <c r="AE1918" i="2"/>
  <c r="AD1919" i="2"/>
  <c r="AD1949" i="2" s="1"/>
  <c r="AD1979" i="2" s="1"/>
  <c r="AD2009" i="2" s="1"/>
  <c r="AD2039" i="2" s="1"/>
  <c r="AD2069" i="2" s="1"/>
  <c r="AD2099" i="2" s="1"/>
  <c r="AD2129" i="2" s="1"/>
  <c r="AD2159" i="2" s="1"/>
  <c r="AD2189" i="2" s="1"/>
  <c r="AD2219" i="2" s="1"/>
  <c r="AD2249" i="2" s="1"/>
  <c r="AD2279" i="2" s="1"/>
  <c r="AD2309" i="2" s="1"/>
  <c r="AD2339" i="2" s="1"/>
  <c r="AD2369" i="2" s="1"/>
  <c r="AD2399" i="2" s="1"/>
  <c r="AE1919" i="2"/>
  <c r="AE1920" i="2"/>
  <c r="AD1921" i="2"/>
  <c r="AD1951" i="2" s="1"/>
  <c r="AD1981" i="2" s="1"/>
  <c r="AD2011" i="2" s="1"/>
  <c r="AD2041" i="2" s="1"/>
  <c r="AD2071" i="2" s="1"/>
  <c r="AE1921" i="2"/>
  <c r="AD1923" i="2"/>
  <c r="AD1953" i="2" s="1"/>
  <c r="AD1983" i="2" s="1"/>
  <c r="AD2013" i="2" s="1"/>
  <c r="AD2043" i="2" s="1"/>
  <c r="AD2073" i="2" s="1"/>
  <c r="AE1923" i="2"/>
  <c r="AD1924" i="2"/>
  <c r="AD1954" i="2" s="1"/>
  <c r="AD1984" i="2" s="1"/>
  <c r="AD2014" i="2" s="1"/>
  <c r="AD2044" i="2" s="1"/>
  <c r="AD2074" i="2" s="1"/>
  <c r="AE1924" i="2"/>
  <c r="AE1925" i="2"/>
  <c r="AD1926" i="2"/>
  <c r="AD1956" i="2" s="1"/>
  <c r="AD1986" i="2" s="1"/>
  <c r="AD2016" i="2" s="1"/>
  <c r="AD2046" i="2" s="1"/>
  <c r="AD2076" i="2" s="1"/>
  <c r="AD1928" i="2"/>
  <c r="AE1929" i="2"/>
  <c r="AE1959" i="2" s="1"/>
  <c r="AE1989" i="2" s="1"/>
  <c r="AE2019" i="2" s="1"/>
  <c r="AE2049" i="2" s="1"/>
  <c r="AE2079" i="2" s="1"/>
  <c r="AD1930" i="2"/>
  <c r="AE1931" i="2"/>
  <c r="AE1961" i="2" s="1"/>
  <c r="AE1991" i="2" s="1"/>
  <c r="AE2021" i="2" s="1"/>
  <c r="AE2051" i="2" s="1"/>
  <c r="AD1932" i="2"/>
  <c r="AE1932" i="2"/>
  <c r="AE1962" i="2" s="1"/>
  <c r="AE1992" i="2" s="1"/>
  <c r="AE2022" i="2" s="1"/>
  <c r="AE2052" i="2" s="1"/>
  <c r="AE1933" i="2"/>
  <c r="AE1963" i="2" s="1"/>
  <c r="AE1993" i="2" s="1"/>
  <c r="AE2023" i="2" s="1"/>
  <c r="AE2053" i="2" s="1"/>
  <c r="AE2083" i="2" s="1"/>
  <c r="AE2113" i="2" s="1"/>
  <c r="AE2143" i="2" s="1"/>
  <c r="AE2173" i="2" s="1"/>
  <c r="AE2203" i="2" s="1"/>
  <c r="AE2233" i="2" s="1"/>
  <c r="AE2263" i="2" s="1"/>
  <c r="AE2293" i="2" s="1"/>
  <c r="AE2323" i="2" s="1"/>
  <c r="AE2353" i="2" s="1"/>
  <c r="AE2383" i="2" s="1"/>
  <c r="AD1934" i="2"/>
  <c r="AE1935" i="2"/>
  <c r="AE1965" i="2" s="1"/>
  <c r="AE1995" i="2" s="1"/>
  <c r="AE2025" i="2" s="1"/>
  <c r="AE2055" i="2" s="1"/>
  <c r="AD1936" i="2"/>
  <c r="AE1937" i="2"/>
  <c r="AE1967" i="2" s="1"/>
  <c r="AE1997" i="2" s="1"/>
  <c r="AE2027" i="2" s="1"/>
  <c r="AE2057" i="2" s="1"/>
  <c r="AE2087" i="2" s="1"/>
  <c r="AE2117" i="2" s="1"/>
  <c r="AE2147" i="2" s="1"/>
  <c r="AE2177" i="2" s="1"/>
  <c r="AE2207" i="2" s="1"/>
  <c r="AE2237" i="2" s="1"/>
  <c r="AE2267" i="2" s="1"/>
  <c r="AE2297" i="2" s="1"/>
  <c r="AE2327" i="2" s="1"/>
  <c r="AE2357" i="2" s="1"/>
  <c r="AE2387" i="2" s="1"/>
  <c r="AD1938" i="2"/>
  <c r="AE1939" i="2"/>
  <c r="AE1969" i="2" s="1"/>
  <c r="AE1999" i="2" s="1"/>
  <c r="AE2029" i="2" s="1"/>
  <c r="AE2059" i="2" s="1"/>
  <c r="AD1940" i="2"/>
  <c r="AE1940" i="2"/>
  <c r="AE1970" i="2" s="1"/>
  <c r="AE2000" i="2" s="1"/>
  <c r="AE2030" i="2" s="1"/>
  <c r="AE2060" i="2" s="1"/>
  <c r="AE1942" i="2"/>
  <c r="AD1943" i="2"/>
  <c r="AE1943" i="2"/>
  <c r="AD1944" i="2"/>
  <c r="AD1974" i="2" s="1"/>
  <c r="AD2004" i="2" s="1"/>
  <c r="AD2034" i="2" s="1"/>
  <c r="AD2064" i="2" s="1"/>
  <c r="AD2094" i="2" s="1"/>
  <c r="AD2124" i="2" s="1"/>
  <c r="AD2154" i="2" s="1"/>
  <c r="AD2184" i="2" s="1"/>
  <c r="AD2214" i="2" s="1"/>
  <c r="AD2244" i="2" s="1"/>
  <c r="AD2274" i="2" s="1"/>
  <c r="AD2304" i="2" s="1"/>
  <c r="AD2334" i="2" s="1"/>
  <c r="AD2364" i="2" s="1"/>
  <c r="AD2394" i="2" s="1"/>
  <c r="AE1944" i="2"/>
  <c r="AD1945" i="2"/>
  <c r="AE1945" i="2"/>
  <c r="AD1946" i="2"/>
  <c r="AD1976" i="2" s="1"/>
  <c r="AD2006" i="2" s="1"/>
  <c r="AD2036" i="2" s="1"/>
  <c r="AD2066" i="2" s="1"/>
  <c r="AD2096" i="2" s="1"/>
  <c r="AD2126" i="2" s="1"/>
  <c r="AD2156" i="2" s="1"/>
  <c r="AD2186" i="2" s="1"/>
  <c r="AD2216" i="2" s="1"/>
  <c r="AD2246" i="2" s="1"/>
  <c r="AD2276" i="2" s="1"/>
  <c r="AD2306" i="2" s="1"/>
  <c r="AD2336" i="2" s="1"/>
  <c r="AD2366" i="2" s="1"/>
  <c r="AD2396" i="2" s="1"/>
  <c r="AE1946" i="2"/>
  <c r="AD1947" i="2"/>
  <c r="AE1947" i="2"/>
  <c r="AD1948" i="2"/>
  <c r="AD1978" i="2" s="1"/>
  <c r="AD2008" i="2" s="1"/>
  <c r="AD2038" i="2" s="1"/>
  <c r="AD2068" i="2" s="1"/>
  <c r="AD2098" i="2" s="1"/>
  <c r="AD2128" i="2" s="1"/>
  <c r="AD2158" i="2" s="1"/>
  <c r="AD2188" i="2" s="1"/>
  <c r="AD2218" i="2" s="1"/>
  <c r="AD2248" i="2" s="1"/>
  <c r="AD2278" i="2" s="1"/>
  <c r="AD2308" i="2" s="1"/>
  <c r="AD2338" i="2" s="1"/>
  <c r="AD2368" i="2" s="1"/>
  <c r="AD2398" i="2" s="1"/>
  <c r="AE1948" i="2"/>
  <c r="AE1949" i="2"/>
  <c r="AE1950" i="2"/>
  <c r="AE1951" i="2"/>
  <c r="AE1953" i="2"/>
  <c r="AE1954" i="2"/>
  <c r="AE1955" i="2"/>
  <c r="AD1958" i="2"/>
  <c r="AD1960" i="2"/>
  <c r="AD1962" i="2"/>
  <c r="AD1964" i="2"/>
  <c r="AD1966" i="2"/>
  <c r="AD1968" i="2"/>
  <c r="AD1970" i="2"/>
  <c r="AE1972" i="2"/>
  <c r="AD1973" i="2"/>
  <c r="AE1973" i="2"/>
  <c r="AE1974" i="2"/>
  <c r="AD1975" i="2"/>
  <c r="AE1975" i="2"/>
  <c r="AE1976" i="2"/>
  <c r="AD1977" i="2"/>
  <c r="AE1977" i="2"/>
  <c r="AE1978" i="2"/>
  <c r="AE1979" i="2"/>
  <c r="AE1980" i="2"/>
  <c r="AE1981" i="2"/>
  <c r="AE1983" i="2"/>
  <c r="AE1984" i="2"/>
  <c r="AE1985" i="2"/>
  <c r="AD1988" i="2"/>
  <c r="AD1990" i="2"/>
  <c r="AD1992" i="2"/>
  <c r="AD1994" i="2"/>
  <c r="AD1996" i="2"/>
  <c r="AD1998" i="2"/>
  <c r="AD2000" i="2"/>
  <c r="AE2002" i="2"/>
  <c r="AD2003" i="2"/>
  <c r="AE2003" i="2"/>
  <c r="AE2004" i="2"/>
  <c r="AD2005" i="2"/>
  <c r="AE2005" i="2"/>
  <c r="AE2006" i="2"/>
  <c r="AD2007" i="2"/>
  <c r="AE2007" i="2"/>
  <c r="AE2008" i="2"/>
  <c r="AE2009" i="2"/>
  <c r="AE2010" i="2"/>
  <c r="AE2011" i="2"/>
  <c r="AE2013" i="2"/>
  <c r="AE2014" i="2"/>
  <c r="AE2015" i="2"/>
  <c r="AD2018" i="2"/>
  <c r="AD2020" i="2"/>
  <c r="AD2022" i="2"/>
  <c r="AD2024" i="2"/>
  <c r="AD2026" i="2"/>
  <c r="AD2028" i="2"/>
  <c r="AD2030" i="2"/>
  <c r="AE2032" i="2"/>
  <c r="AD2033" i="2"/>
  <c r="AE2033" i="2"/>
  <c r="AE2034" i="2"/>
  <c r="AD2035" i="2"/>
  <c r="AE2035" i="2"/>
  <c r="AE2036" i="2"/>
  <c r="AD2037" i="2"/>
  <c r="AE2037" i="2"/>
  <c r="AE2038" i="2"/>
  <c r="AE2039" i="2"/>
  <c r="AE2040" i="2"/>
  <c r="AE2041" i="2"/>
  <c r="AE2043" i="2"/>
  <c r="AE2044" i="2"/>
  <c r="AE2045" i="2"/>
  <c r="AD2048" i="2"/>
  <c r="AD2050" i="2"/>
  <c r="AD2052" i="2"/>
  <c r="AD2054" i="2"/>
  <c r="AD2056" i="2"/>
  <c r="AD2058" i="2"/>
  <c r="AD2060" i="2"/>
  <c r="AE2062" i="2"/>
  <c r="AD2063" i="2"/>
  <c r="AE2063" i="2"/>
  <c r="AE2064" i="2"/>
  <c r="AD2065" i="2"/>
  <c r="AE2065" i="2"/>
  <c r="AE2066" i="2"/>
  <c r="AD2067" i="2"/>
  <c r="AE2067" i="2"/>
  <c r="AE2068" i="2"/>
  <c r="AE2069" i="2"/>
  <c r="AE2070" i="2"/>
  <c r="AE2071" i="2"/>
  <c r="AE2073" i="2"/>
  <c r="AE2074" i="2"/>
  <c r="AE2075" i="2"/>
  <c r="AE2105" i="2" s="1"/>
  <c r="AE2135" i="2" s="1"/>
  <c r="AE2165" i="2" s="1"/>
  <c r="AE2195" i="2" s="1"/>
  <c r="AE2225" i="2" s="1"/>
  <c r="AE2255" i="2" s="1"/>
  <c r="AE2285" i="2" s="1"/>
  <c r="AE2315" i="2" s="1"/>
  <c r="AE2345" i="2" s="1"/>
  <c r="AE2375" i="2" s="1"/>
  <c r="AD2078" i="2"/>
  <c r="AD2080" i="2"/>
  <c r="AE2081" i="2"/>
  <c r="AD2082" i="2"/>
  <c r="AE2082" i="2"/>
  <c r="AD2083" i="2"/>
  <c r="AD2084" i="2"/>
  <c r="AE2084" i="2"/>
  <c r="AD2085" i="2"/>
  <c r="AE2085" i="2"/>
  <c r="AD2086" i="2"/>
  <c r="AE2086" i="2"/>
  <c r="AD2087" i="2"/>
  <c r="AD2088" i="2"/>
  <c r="AE2088" i="2"/>
  <c r="AD2089" i="2"/>
  <c r="AE2089" i="2"/>
  <c r="AD2090" i="2"/>
  <c r="AE2090" i="2"/>
  <c r="AE2091" i="2"/>
  <c r="AD2092" i="2"/>
  <c r="AE2092" i="2"/>
  <c r="AD2093" i="2"/>
  <c r="AE2093" i="2"/>
  <c r="AE2094" i="2"/>
  <c r="AD2095" i="2"/>
  <c r="AE2095" i="2"/>
  <c r="AE2096" i="2"/>
  <c r="AD2097" i="2"/>
  <c r="AE2097" i="2"/>
  <c r="AE2098" i="2"/>
  <c r="AE2099" i="2"/>
  <c r="AD2100" i="2"/>
  <c r="AE2100" i="2"/>
  <c r="AD2101" i="2"/>
  <c r="AE2101" i="2"/>
  <c r="AD2103" i="2"/>
  <c r="AE2103" i="2"/>
  <c r="AD2104" i="2"/>
  <c r="AE2104" i="2"/>
  <c r="AD2105" i="2"/>
  <c r="AD2106" i="2"/>
  <c r="AE2106" i="2"/>
  <c r="AD2107" i="2"/>
  <c r="AD2108" i="2"/>
  <c r="AE2108" i="2"/>
  <c r="AD2109" i="2"/>
  <c r="AE2109" i="2"/>
  <c r="AD2110" i="2"/>
  <c r="AE2110" i="2"/>
  <c r="AD2111" i="2"/>
  <c r="AE2111" i="2"/>
  <c r="AD2112" i="2"/>
  <c r="AE2112" i="2"/>
  <c r="AD2113" i="2"/>
  <c r="AD2114" i="2"/>
  <c r="AE2114" i="2"/>
  <c r="AD2115" i="2"/>
  <c r="AE2115" i="2"/>
  <c r="AD2116" i="2"/>
  <c r="AE2116" i="2"/>
  <c r="AD2117" i="2"/>
  <c r="AD2118" i="2"/>
  <c r="AE2118" i="2"/>
  <c r="AD2119" i="2"/>
  <c r="AE2119" i="2"/>
  <c r="AD2120" i="2"/>
  <c r="AE2120" i="2"/>
  <c r="AE2121" i="2"/>
  <c r="AD2122" i="2"/>
  <c r="AE2122" i="2"/>
  <c r="AD2123" i="2"/>
  <c r="AE2123" i="2"/>
  <c r="AE2124" i="2"/>
  <c r="AD2125" i="2"/>
  <c r="AE2125" i="2"/>
  <c r="AE2126" i="2"/>
  <c r="AD2127" i="2"/>
  <c r="AE2127" i="2"/>
  <c r="AE2128" i="2"/>
  <c r="AE2129" i="2"/>
  <c r="AD2130" i="2"/>
  <c r="AE2130" i="2"/>
  <c r="AD2131" i="2"/>
  <c r="AE2131" i="2"/>
  <c r="AD2133" i="2"/>
  <c r="AE2133" i="2"/>
  <c r="AD2134" i="2"/>
  <c r="AE2134" i="2"/>
  <c r="AD2135" i="2"/>
  <c r="AD2136" i="2"/>
  <c r="AE2136" i="2"/>
  <c r="AD2137" i="2"/>
  <c r="AD2138" i="2"/>
  <c r="AE2138" i="2"/>
  <c r="AD2139" i="2"/>
  <c r="AE2139" i="2"/>
  <c r="AD2140" i="2"/>
  <c r="AE2140" i="2"/>
  <c r="AD2141" i="2"/>
  <c r="AE2141" i="2"/>
  <c r="AD2142" i="2"/>
  <c r="AE2142" i="2"/>
  <c r="AD2143" i="2"/>
  <c r="AD2144" i="2"/>
  <c r="AE2144" i="2"/>
  <c r="AD2145" i="2"/>
  <c r="AE2145" i="2"/>
  <c r="AD2146" i="2"/>
  <c r="AE2146" i="2"/>
  <c r="AD2147" i="2"/>
  <c r="AD2148" i="2"/>
  <c r="AE2148" i="2"/>
  <c r="AD2149" i="2"/>
  <c r="AE2149" i="2"/>
  <c r="AD2150" i="2"/>
  <c r="AE2150" i="2"/>
  <c r="AE2151" i="2"/>
  <c r="AD2152" i="2"/>
  <c r="AE2152" i="2"/>
  <c r="AD2153" i="2"/>
  <c r="AE2153" i="2"/>
  <c r="AE2154" i="2"/>
  <c r="AD2155" i="2"/>
  <c r="AE2155" i="2"/>
  <c r="AE2156" i="2"/>
  <c r="AD2157" i="2"/>
  <c r="AE2157" i="2"/>
  <c r="AE2158" i="2"/>
  <c r="AE2159" i="2"/>
  <c r="AD2160" i="2"/>
  <c r="AE2160" i="2"/>
  <c r="AD2161" i="2"/>
  <c r="AE2161" i="2"/>
  <c r="AD2163" i="2"/>
  <c r="AE2163" i="2"/>
  <c r="AD2164" i="2"/>
  <c r="AE2164" i="2"/>
  <c r="AD2165" i="2"/>
  <c r="AD2166" i="2"/>
  <c r="AE2166" i="2"/>
  <c r="AD2167" i="2"/>
  <c r="AD2168" i="2"/>
  <c r="AE2168" i="2"/>
  <c r="AD2169" i="2"/>
  <c r="AE2169" i="2"/>
  <c r="AD2170" i="2"/>
  <c r="AE2170" i="2"/>
  <c r="AD2171" i="2"/>
  <c r="AE2171" i="2"/>
  <c r="AD2172" i="2"/>
  <c r="AE2172" i="2"/>
  <c r="AD2173" i="2"/>
  <c r="AD2174" i="2"/>
  <c r="AE2174" i="2"/>
  <c r="AD2175" i="2"/>
  <c r="AE2175" i="2"/>
  <c r="AD2176" i="2"/>
  <c r="AE2176" i="2"/>
  <c r="AD2177" i="2"/>
  <c r="AD2178" i="2"/>
  <c r="AE2178" i="2"/>
  <c r="AD2179" i="2"/>
  <c r="AE2179" i="2"/>
  <c r="AD2180" i="2"/>
  <c r="AE2180" i="2"/>
  <c r="AE2181" i="2"/>
  <c r="AD2182" i="2"/>
  <c r="AE2182" i="2"/>
  <c r="AD2183" i="2"/>
  <c r="AE2183" i="2"/>
  <c r="AE2184" i="2"/>
  <c r="AD2185" i="2"/>
  <c r="AE2185" i="2"/>
  <c r="AE2186" i="2"/>
  <c r="AD2187" i="2"/>
  <c r="AE2187" i="2"/>
  <c r="AE2188" i="2"/>
  <c r="AE2189" i="2"/>
  <c r="AD2190" i="2"/>
  <c r="AE2190" i="2"/>
  <c r="AD2191" i="2"/>
  <c r="AE2191" i="2"/>
  <c r="AD2193" i="2"/>
  <c r="AE2193" i="2"/>
  <c r="AD2194" i="2"/>
  <c r="AE2194" i="2"/>
  <c r="AD2195" i="2"/>
  <c r="AD2196" i="2"/>
  <c r="AE2196" i="2"/>
  <c r="AD2197" i="2"/>
  <c r="AD2198" i="2"/>
  <c r="AE2198" i="2"/>
  <c r="AD2199" i="2"/>
  <c r="AE2199" i="2"/>
  <c r="AD2200" i="2"/>
  <c r="AE2200" i="2"/>
  <c r="AD2201" i="2"/>
  <c r="AE2201" i="2"/>
  <c r="AD2202" i="2"/>
  <c r="AE2202" i="2"/>
  <c r="AD2203" i="2"/>
  <c r="AD2204" i="2"/>
  <c r="AE2204" i="2"/>
  <c r="AD2205" i="2"/>
  <c r="AE2205" i="2"/>
  <c r="AD2206" i="2"/>
  <c r="AE2206" i="2"/>
  <c r="AD2207" i="2"/>
  <c r="AD2208" i="2"/>
  <c r="AE2208" i="2"/>
  <c r="AD2209" i="2"/>
  <c r="AE2209" i="2"/>
  <c r="AD2210" i="2"/>
  <c r="AE2210" i="2"/>
  <c r="AE2211" i="2"/>
  <c r="AD2212" i="2"/>
  <c r="AE2212" i="2"/>
  <c r="AD2213" i="2"/>
  <c r="AE2213" i="2"/>
  <c r="AE2214" i="2"/>
  <c r="AD2215" i="2"/>
  <c r="AE2215" i="2"/>
  <c r="AE2216" i="2"/>
  <c r="AD2217" i="2"/>
  <c r="AE2217" i="2"/>
  <c r="AE2218" i="2"/>
  <c r="AE2219" i="2"/>
  <c r="AD2220" i="2"/>
  <c r="AE2220" i="2"/>
  <c r="AD2221" i="2"/>
  <c r="AE2221" i="2"/>
  <c r="AD2223" i="2"/>
  <c r="AE2223" i="2"/>
  <c r="AD2224" i="2"/>
  <c r="AE2224" i="2"/>
  <c r="AD2225" i="2"/>
  <c r="AD2226" i="2"/>
  <c r="AE2226" i="2"/>
  <c r="AD2227" i="2"/>
  <c r="AD2228" i="2"/>
  <c r="AE2228" i="2"/>
  <c r="AD2229" i="2"/>
  <c r="AE2229" i="2"/>
  <c r="AD2230" i="2"/>
  <c r="AE2230" i="2"/>
  <c r="AD2231" i="2"/>
  <c r="AE2231" i="2"/>
  <c r="AD2232" i="2"/>
  <c r="AE2232" i="2"/>
  <c r="AD2233" i="2"/>
  <c r="AD2234" i="2"/>
  <c r="AE2234" i="2"/>
  <c r="AD2235" i="2"/>
  <c r="AE2235" i="2"/>
  <c r="AD2236" i="2"/>
  <c r="AE2236" i="2"/>
  <c r="AD2237" i="2"/>
  <c r="AD2238" i="2"/>
  <c r="AE2238" i="2"/>
  <c r="AD2239" i="2"/>
  <c r="AE2239" i="2"/>
  <c r="AD2240" i="2"/>
  <c r="AE2240" i="2"/>
  <c r="AE2241" i="2"/>
  <c r="AD2242" i="2"/>
  <c r="AE2242" i="2"/>
  <c r="AD2243" i="2"/>
  <c r="AE2243" i="2"/>
  <c r="AE2244" i="2"/>
  <c r="AD2245" i="2"/>
  <c r="AE2245" i="2"/>
  <c r="AE2246" i="2"/>
  <c r="AD2247" i="2"/>
  <c r="AE2247" i="2"/>
  <c r="AE2248" i="2"/>
  <c r="AE2249" i="2"/>
  <c r="AD2250" i="2"/>
  <c r="AE2250" i="2"/>
  <c r="AD2251" i="2"/>
  <c r="AE2251" i="2"/>
  <c r="AD2253" i="2"/>
  <c r="AE2253" i="2"/>
  <c r="AD2254" i="2"/>
  <c r="AE2254" i="2"/>
  <c r="AD2255" i="2"/>
  <c r="AD2256" i="2"/>
  <c r="AE2256" i="2"/>
  <c r="AD2257" i="2"/>
  <c r="AD2258" i="2"/>
  <c r="AE2258" i="2"/>
  <c r="AD2259" i="2"/>
  <c r="AE2259" i="2"/>
  <c r="AD2260" i="2"/>
  <c r="AE2260" i="2"/>
  <c r="AD2261" i="2"/>
  <c r="AE2261" i="2"/>
  <c r="AD2262" i="2"/>
  <c r="AE2262" i="2"/>
  <c r="AD2263" i="2"/>
  <c r="AD2264" i="2"/>
  <c r="AE2264" i="2"/>
  <c r="AD2265" i="2"/>
  <c r="AE2265" i="2"/>
  <c r="AD2266" i="2"/>
  <c r="AE2266" i="2"/>
  <c r="AD2267" i="2"/>
  <c r="AD2268" i="2"/>
  <c r="AE2268" i="2"/>
  <c r="AD2269" i="2"/>
  <c r="AE2269" i="2"/>
  <c r="AD2270" i="2"/>
  <c r="AE2270" i="2"/>
  <c r="AE2271" i="2"/>
  <c r="AD2272" i="2"/>
  <c r="AE2272" i="2"/>
  <c r="AD2273" i="2"/>
  <c r="AE2273" i="2"/>
  <c r="AE2274" i="2"/>
  <c r="AD2275" i="2"/>
  <c r="AE2275" i="2"/>
  <c r="AE2276" i="2"/>
  <c r="AD2277" i="2"/>
  <c r="AE2277" i="2"/>
  <c r="AE2278" i="2"/>
  <c r="AE2279" i="2"/>
  <c r="AD2280" i="2"/>
  <c r="AE2280" i="2"/>
  <c r="AD2281" i="2"/>
  <c r="AE2281" i="2"/>
  <c r="AD2283" i="2"/>
  <c r="AE2283" i="2"/>
  <c r="AD2284" i="2"/>
  <c r="AE2284" i="2"/>
  <c r="AD2285" i="2"/>
  <c r="AD2286" i="2"/>
  <c r="AE2286" i="2"/>
  <c r="AD2287" i="2"/>
  <c r="AD2288" i="2"/>
  <c r="AE2288" i="2"/>
  <c r="AD2289" i="2"/>
  <c r="AE2289" i="2"/>
  <c r="AD2290" i="2"/>
  <c r="AE2290" i="2"/>
  <c r="AD2291" i="2"/>
  <c r="AE2291" i="2"/>
  <c r="AD2292" i="2"/>
  <c r="AE2292" i="2"/>
  <c r="AD2293" i="2"/>
  <c r="AD2294" i="2"/>
  <c r="AE2294" i="2"/>
  <c r="AD2295" i="2"/>
  <c r="AE2295" i="2"/>
  <c r="AD2296" i="2"/>
  <c r="AE2296" i="2"/>
  <c r="AD2297" i="2"/>
  <c r="AD2298" i="2"/>
  <c r="AE2298" i="2"/>
  <c r="AD2299" i="2"/>
  <c r="AE2299" i="2"/>
  <c r="AD2300" i="2"/>
  <c r="AE2300" i="2"/>
  <c r="AE2301" i="2"/>
  <c r="AD2302" i="2"/>
  <c r="AE2302" i="2"/>
  <c r="AD2303" i="2"/>
  <c r="AE2303" i="2"/>
  <c r="AE2304" i="2"/>
  <c r="AD2305" i="2"/>
  <c r="AE2305" i="2"/>
  <c r="AE2306" i="2"/>
  <c r="AD2307" i="2"/>
  <c r="AE2307" i="2"/>
  <c r="AE2308" i="2"/>
  <c r="AE2309" i="2"/>
  <c r="AD2310" i="2"/>
  <c r="AE2310" i="2"/>
  <c r="AD2311" i="2"/>
  <c r="AE2311" i="2"/>
  <c r="AD2313" i="2"/>
  <c r="AE2313" i="2"/>
  <c r="AD2314" i="2"/>
  <c r="AE2314" i="2"/>
  <c r="AD2315" i="2"/>
  <c r="AD2316" i="2"/>
  <c r="AE2316" i="2"/>
  <c r="AD2317" i="2"/>
  <c r="AD2318" i="2"/>
  <c r="AE2318" i="2"/>
  <c r="AD2319" i="2"/>
  <c r="AE2319" i="2"/>
  <c r="AD2320" i="2"/>
  <c r="AE2320" i="2"/>
  <c r="AD2321" i="2"/>
  <c r="AE2321" i="2"/>
  <c r="AD2322" i="2"/>
  <c r="AE2322" i="2"/>
  <c r="AD2323" i="2"/>
  <c r="AD2324" i="2"/>
  <c r="AE2324" i="2"/>
  <c r="AD2325" i="2"/>
  <c r="AE2325" i="2"/>
  <c r="AD2326" i="2"/>
  <c r="AE2326" i="2"/>
  <c r="AD2327" i="2"/>
  <c r="AD2328" i="2"/>
  <c r="AE2328" i="2"/>
  <c r="AD2329" i="2"/>
  <c r="AE2329" i="2"/>
  <c r="AD2330" i="2"/>
  <c r="AE2330" i="2"/>
  <c r="AE2331" i="2"/>
  <c r="AD2332" i="2"/>
  <c r="AE2332" i="2"/>
  <c r="AD2333" i="2"/>
  <c r="AE2333" i="2"/>
  <c r="AE2334" i="2"/>
  <c r="AD2335" i="2"/>
  <c r="AE2335" i="2"/>
  <c r="AE2336" i="2"/>
  <c r="AD2337" i="2"/>
  <c r="AE2337" i="2"/>
  <c r="AE2338" i="2"/>
  <c r="AE2339" i="2"/>
  <c r="AD2340" i="2"/>
  <c r="AE2340" i="2"/>
  <c r="AD2341" i="2"/>
  <c r="AE2341" i="2"/>
  <c r="AD2343" i="2"/>
  <c r="AE2343" i="2"/>
  <c r="AD2344" i="2"/>
  <c r="AE2344" i="2"/>
  <c r="AD2345" i="2"/>
  <c r="AD2346" i="2"/>
  <c r="AE2346" i="2"/>
  <c r="AD2347" i="2"/>
  <c r="AD2348" i="2"/>
  <c r="AE2348" i="2"/>
  <c r="AD2349" i="2"/>
  <c r="AE2349" i="2"/>
  <c r="AD2350" i="2"/>
  <c r="AE2350" i="2"/>
  <c r="AD2351" i="2"/>
  <c r="AE2351" i="2"/>
  <c r="AD2352" i="2"/>
  <c r="AE2352" i="2"/>
  <c r="AD2353" i="2"/>
  <c r="AD2354" i="2"/>
  <c r="AE2354" i="2"/>
  <c r="AD2355" i="2"/>
  <c r="AE2355" i="2"/>
  <c r="AD2356" i="2"/>
  <c r="AE2356" i="2"/>
  <c r="AD2357" i="2"/>
  <c r="AD2358" i="2"/>
  <c r="AE2358" i="2"/>
  <c r="AD2359" i="2"/>
  <c r="AE2359" i="2"/>
  <c r="AD2360" i="2"/>
  <c r="AE2360" i="2"/>
  <c r="AE2361" i="2"/>
  <c r="AD2362" i="2"/>
  <c r="AE2362" i="2"/>
  <c r="AD2363" i="2"/>
  <c r="AE2363" i="2"/>
  <c r="AE2364" i="2"/>
  <c r="AD2365" i="2"/>
  <c r="AE2365" i="2"/>
  <c r="AE2366" i="2"/>
  <c r="AD2367" i="2"/>
  <c r="AE2367" i="2"/>
  <c r="AE2368" i="2"/>
  <c r="AE2369" i="2"/>
  <c r="AD2370" i="2"/>
  <c r="AE2370" i="2"/>
  <c r="AD2371" i="2"/>
  <c r="AE2371" i="2"/>
  <c r="AD2373" i="2"/>
  <c r="AE2373" i="2"/>
  <c r="AD2374" i="2"/>
  <c r="AE2374" i="2"/>
  <c r="AD2375" i="2"/>
  <c r="AD2376" i="2"/>
  <c r="AE2376" i="2"/>
  <c r="AD2377" i="2"/>
  <c r="AD2378" i="2"/>
  <c r="AE2378" i="2"/>
  <c r="AD2379" i="2"/>
  <c r="AE2379" i="2"/>
  <c r="AD2380" i="2"/>
  <c r="AE2380" i="2"/>
  <c r="AD2381" i="2"/>
  <c r="AE2381" i="2"/>
  <c r="AD2382" i="2"/>
  <c r="AE2382" i="2"/>
  <c r="AD2383" i="2"/>
  <c r="AD2384" i="2"/>
  <c r="AE2384" i="2"/>
  <c r="AD2385" i="2"/>
  <c r="AE2385" i="2"/>
  <c r="AD2386" i="2"/>
  <c r="AE2386" i="2"/>
  <c r="AD2387" i="2"/>
  <c r="AD2388" i="2"/>
  <c r="AE2388" i="2"/>
  <c r="AD2389" i="2"/>
  <c r="AE2389" i="2"/>
  <c r="AD2390" i="2"/>
  <c r="AE2390" i="2"/>
  <c r="AE2391" i="2"/>
  <c r="AD2392" i="2"/>
  <c r="AE2392" i="2"/>
  <c r="AD2393" i="2"/>
  <c r="AE2393" i="2"/>
  <c r="AE2394" i="2"/>
  <c r="AD2395" i="2"/>
  <c r="AE2395" i="2"/>
  <c r="AE2396" i="2"/>
  <c r="AD2397" i="2"/>
  <c r="AE2397" i="2"/>
  <c r="AE2398" i="2"/>
  <c r="AE2399" i="2"/>
  <c r="AD2400" i="2"/>
  <c r="AE2400" i="2"/>
  <c r="AD2401" i="2"/>
  <c r="AE2401" i="2"/>
  <c r="AE32" i="2"/>
  <c r="AE62" i="2" s="1"/>
  <c r="AE92" i="2" s="1"/>
  <c r="AE122" i="2" s="1"/>
  <c r="AE152" i="2" s="1"/>
  <c r="AE182" i="2" s="1"/>
  <c r="AE212" i="2" s="1"/>
  <c r="AE242" i="2" s="1"/>
  <c r="AE272" i="2" s="1"/>
  <c r="AE302" i="2" s="1"/>
  <c r="AE332" i="2" s="1"/>
  <c r="AE362" i="2" s="1"/>
  <c r="AE392" i="2" s="1"/>
  <c r="AE422" i="2" s="1"/>
  <c r="AE452" i="2" s="1"/>
  <c r="AE482" i="2" s="1"/>
  <c r="AE512" i="2" s="1"/>
  <c r="AE542" i="2" s="1"/>
  <c r="AE572" i="2" s="1"/>
  <c r="AE602" i="2" s="1"/>
  <c r="AE632" i="2" s="1"/>
  <c r="AE662" i="2" s="1"/>
  <c r="AE692" i="2" s="1"/>
  <c r="AE722" i="2" s="1"/>
  <c r="AE752" i="2" s="1"/>
  <c r="AE782" i="2" s="1"/>
  <c r="AE812" i="2" s="1"/>
  <c r="AE842" i="2" s="1"/>
  <c r="AE872" i="2" s="1"/>
  <c r="AE902" i="2" s="1"/>
  <c r="AE932" i="2" s="1"/>
  <c r="AE962" i="2" s="1"/>
  <c r="AE992" i="2" s="1"/>
  <c r="AE1022" i="2" s="1"/>
  <c r="AE1052" i="2" s="1"/>
  <c r="AE1082" i="2" s="1"/>
  <c r="AE1112" i="2" s="1"/>
  <c r="AE1142" i="2" s="1"/>
  <c r="AE1172" i="2" s="1"/>
  <c r="AE1202" i="2" s="1"/>
  <c r="AE1232" i="2" s="1"/>
  <c r="AE1262" i="2" s="1"/>
  <c r="AE1292" i="2" s="1"/>
  <c r="AE1322" i="2" s="1"/>
  <c r="AE1352" i="2" s="1"/>
  <c r="AE1382" i="2" s="1"/>
  <c r="AE1412" i="2" s="1"/>
  <c r="AE1442" i="2" s="1"/>
  <c r="AE1472" i="2" s="1"/>
  <c r="AE1502" i="2" s="1"/>
  <c r="AE1532" i="2" s="1"/>
  <c r="AE1562" i="2" s="1"/>
  <c r="AE1592" i="2" s="1"/>
  <c r="AE1622" i="2" s="1"/>
  <c r="AE1652" i="2" s="1"/>
  <c r="AE1682" i="2" s="1"/>
  <c r="AE1712" i="2" s="1"/>
  <c r="AE1742" i="2" s="1"/>
  <c r="AE1772" i="2" s="1"/>
  <c r="AE1802" i="2" s="1"/>
  <c r="AE1832" i="2" s="1"/>
  <c r="AE1862" i="2" s="1"/>
  <c r="AE1892" i="2" s="1"/>
  <c r="AE1922" i="2" s="1"/>
  <c r="AE1952" i="2" s="1"/>
  <c r="AE1982" i="2" s="1"/>
  <c r="AE2012" i="2" s="1"/>
  <c r="AE2042" i="2" s="1"/>
  <c r="AE2072" i="2" s="1"/>
  <c r="AE2102" i="2" s="1"/>
  <c r="AE2132" i="2" s="1"/>
  <c r="AE2162" i="2" s="1"/>
  <c r="AE2192" i="2" s="1"/>
  <c r="AE2222" i="2" s="1"/>
  <c r="AE2252" i="2" s="1"/>
  <c r="AE2282" i="2" s="1"/>
  <c r="AE2312" i="2" s="1"/>
  <c r="AE2342" i="2" s="1"/>
  <c r="AE2372" i="2" s="1"/>
  <c r="AD32" i="2"/>
  <c r="AD62" i="2" s="1"/>
  <c r="AD92" i="2" s="1"/>
  <c r="AD122" i="2" s="1"/>
  <c r="AD152" i="2" s="1"/>
  <c r="AD182" i="2" s="1"/>
  <c r="AD212" i="2" s="1"/>
  <c r="AD242" i="2" s="1"/>
  <c r="AD272" i="2" s="1"/>
  <c r="AD302" i="2" s="1"/>
  <c r="AD332" i="2" s="1"/>
  <c r="AD362" i="2" s="1"/>
  <c r="AD392" i="2" s="1"/>
  <c r="AD422" i="2" s="1"/>
  <c r="AD452" i="2" s="1"/>
  <c r="AD482" i="2" s="1"/>
  <c r="AD512" i="2" s="1"/>
  <c r="AD542" i="2" s="1"/>
  <c r="AD572" i="2" s="1"/>
  <c r="AD602" i="2" s="1"/>
  <c r="AD632" i="2" s="1"/>
  <c r="AD662" i="2" s="1"/>
  <c r="AD692" i="2" s="1"/>
  <c r="AD722" i="2" s="1"/>
  <c r="AD752" i="2" s="1"/>
  <c r="AD782" i="2" s="1"/>
  <c r="AD812" i="2" s="1"/>
  <c r="AD842" i="2" s="1"/>
  <c r="AD872" i="2" s="1"/>
  <c r="AD902" i="2" s="1"/>
  <c r="AD932" i="2" s="1"/>
  <c r="AD962" i="2" s="1"/>
  <c r="AD992" i="2" s="1"/>
  <c r="AD1022" i="2" s="1"/>
  <c r="AD1052" i="2" s="1"/>
  <c r="AD1082" i="2" s="1"/>
  <c r="AD1112" i="2" s="1"/>
  <c r="AD1142" i="2" s="1"/>
  <c r="AD1172" i="2" s="1"/>
  <c r="AD1202" i="2" s="1"/>
  <c r="AD1232" i="2" s="1"/>
  <c r="AD1262" i="2" s="1"/>
  <c r="AD1292" i="2" s="1"/>
  <c r="AD1322" i="2" s="1"/>
  <c r="AD1352" i="2" s="1"/>
  <c r="AD1382" i="2" s="1"/>
  <c r="AD1412" i="2" s="1"/>
  <c r="AD1442" i="2" s="1"/>
  <c r="AD1472" i="2" s="1"/>
  <c r="AD1502" i="2" s="1"/>
  <c r="AD1532" i="2" s="1"/>
  <c r="AD1562" i="2" s="1"/>
  <c r="AD1592" i="2" s="1"/>
  <c r="AD1622" i="2" s="1"/>
  <c r="AD1652" i="2" s="1"/>
  <c r="AD1682" i="2" s="1"/>
  <c r="AD1712" i="2" s="1"/>
  <c r="AD1742" i="2" s="1"/>
  <c r="AD1772" i="2" s="1"/>
  <c r="AD1802" i="2" s="1"/>
  <c r="AD1832" i="2" s="1"/>
  <c r="AD1862" i="2" s="1"/>
  <c r="AD1892" i="2" s="1"/>
  <c r="AD1922" i="2" s="1"/>
  <c r="AD1952" i="2" s="1"/>
  <c r="AD1982" i="2" s="1"/>
  <c r="AD2012" i="2" s="1"/>
  <c r="AD2042" i="2" s="1"/>
  <c r="AD2072" i="2" s="1"/>
  <c r="AD2102" i="2" s="1"/>
  <c r="AD2132" i="2" s="1"/>
  <c r="AD2162" i="2" s="1"/>
  <c r="AD2192" i="2" s="1"/>
  <c r="AD2222" i="2" s="1"/>
  <c r="AD2252" i="2" s="1"/>
  <c r="AD2282" i="2" s="1"/>
  <c r="AD2312" i="2" s="1"/>
  <c r="AD2342" i="2" s="1"/>
  <c r="AD2372" i="2" s="1"/>
  <c r="Y809" i="2" l="1"/>
  <c r="Z1259" i="2" s="1"/>
  <c r="Z209" i="2"/>
  <c r="Z359" i="2" s="1"/>
  <c r="Y865" i="2"/>
  <c r="Z1315" i="2" s="1"/>
  <c r="Z265" i="2"/>
  <c r="Z415" i="2" s="1"/>
  <c r="Y833" i="2"/>
  <c r="Z1283" i="2" s="1"/>
  <c r="Z233" i="2"/>
  <c r="Z383" i="2" s="1"/>
  <c r="Y855" i="2"/>
  <c r="Z1305" i="2" s="1"/>
  <c r="Z255" i="2"/>
  <c r="Z405" i="2" s="1"/>
  <c r="Y797" i="2"/>
  <c r="Z1247" i="2" s="1"/>
  <c r="Z197" i="2"/>
  <c r="Z347" i="2" s="1"/>
  <c r="Y767" i="2"/>
  <c r="Z1217" i="2" s="1"/>
  <c r="Z167" i="2"/>
  <c r="Z317" i="2" s="1"/>
  <c r="Y840" i="2"/>
  <c r="Z1290" i="2" s="1"/>
  <c r="Z240" i="2"/>
  <c r="Z390" i="2" s="1"/>
  <c r="Y866" i="2"/>
  <c r="Z1316" i="2" s="1"/>
  <c r="Z266" i="2"/>
  <c r="Z416" i="2" s="1"/>
  <c r="Y830" i="2"/>
  <c r="Z1280" i="2" s="1"/>
  <c r="Z230" i="2"/>
  <c r="Z380" i="2" s="1"/>
  <c r="Y859" i="2"/>
  <c r="Z1309" i="2" s="1"/>
  <c r="Z259" i="2"/>
  <c r="Z409" i="2" s="1"/>
  <c r="Y831" i="2"/>
  <c r="Z1281" i="2" s="1"/>
  <c r="Z231" i="2"/>
  <c r="Z381" i="2" s="1"/>
  <c r="Y871" i="2"/>
  <c r="Z1321" i="2" s="1"/>
  <c r="Z271" i="2"/>
  <c r="Z421" i="2" s="1"/>
  <c r="Y807" i="2"/>
  <c r="Z1257" i="2" s="1"/>
  <c r="Z207" i="2"/>
  <c r="Z357" i="2" s="1"/>
  <c r="Y839" i="2"/>
  <c r="Z1289" i="2" s="1"/>
  <c r="Z239" i="2"/>
  <c r="Z389" i="2" s="1"/>
  <c r="Y808" i="2"/>
  <c r="Z1258" i="2" s="1"/>
  <c r="Z208" i="2"/>
  <c r="Z358" i="2" s="1"/>
  <c r="Y862" i="2"/>
  <c r="Z1312" i="2" s="1"/>
  <c r="Z262" i="2"/>
  <c r="Z412" i="2" s="1"/>
  <c r="Y826" i="2"/>
  <c r="Z1276" i="2" s="1"/>
  <c r="Z226" i="2"/>
  <c r="Z376" i="2" s="1"/>
  <c r="Y857" i="2"/>
  <c r="Z1307" i="2" s="1"/>
  <c r="Z257" i="2"/>
  <c r="Z407" i="2" s="1"/>
  <c r="Y798" i="2"/>
  <c r="Z1248" i="2" s="1"/>
  <c r="Z198" i="2"/>
  <c r="Z348" i="2" s="1"/>
  <c r="Y766" i="2"/>
  <c r="Z1216" i="2" s="1"/>
  <c r="Z166" i="2"/>
  <c r="Z316" i="2" s="1"/>
  <c r="Y825" i="2"/>
  <c r="Z1275" i="2" s="1"/>
  <c r="Z225" i="2"/>
  <c r="Z375" i="2" s="1"/>
  <c r="Y811" i="2"/>
  <c r="Z1261" i="2" s="1"/>
  <c r="Z211" i="2"/>
  <c r="Z361" i="2" s="1"/>
  <c r="Y771" i="2"/>
  <c r="Z1221" i="2" s="1"/>
  <c r="Z171" i="2"/>
  <c r="Z321" i="2" s="1"/>
  <c r="Y836" i="2"/>
  <c r="Z1286" i="2" s="1"/>
  <c r="Z236" i="2"/>
  <c r="Z386" i="2" s="1"/>
  <c r="Y829" i="2"/>
  <c r="Z1279" i="2" s="1"/>
  <c r="Z229" i="2"/>
  <c r="Z379" i="2" s="1"/>
  <c r="Y841" i="2"/>
  <c r="Z1291" i="2" s="1"/>
  <c r="Z241" i="2"/>
  <c r="Z391" i="2" s="1"/>
  <c r="Y867" i="2"/>
  <c r="Z1317" i="2" s="1"/>
  <c r="Z267" i="2"/>
  <c r="Z417" i="2" s="1"/>
  <c r="Y805" i="2"/>
  <c r="Z1255" i="2" s="1"/>
  <c r="Z205" i="2"/>
  <c r="Z355" i="2" s="1"/>
  <c r="Y868" i="2"/>
  <c r="Z1318" i="2" s="1"/>
  <c r="Z268" i="2"/>
  <c r="Z418" i="2" s="1"/>
  <c r="Y832" i="2"/>
  <c r="Z1282" i="2" s="1"/>
  <c r="Z232" i="2"/>
  <c r="Z382" i="2" s="1"/>
  <c r="Y804" i="2"/>
  <c r="Z1254" i="2" s="1"/>
  <c r="Z204" i="2"/>
  <c r="Z354" i="2" s="1"/>
  <c r="Y858" i="2"/>
  <c r="Z1308" i="2" s="1"/>
  <c r="Z258" i="2"/>
  <c r="Z408" i="2" s="1"/>
  <c r="Y794" i="2"/>
  <c r="Z1244" i="2" s="1"/>
  <c r="Z194" i="2"/>
  <c r="Z344" i="2" s="1"/>
  <c r="Y770" i="2"/>
  <c r="Z1220" i="2" s="1"/>
  <c r="Z170" i="2"/>
  <c r="Z320" i="2" s="1"/>
  <c r="Y835" i="2"/>
  <c r="Z1285" i="2" s="1"/>
  <c r="Z235" i="2"/>
  <c r="Z385" i="2" s="1"/>
  <c r="Y803" i="2"/>
  <c r="Z1253" i="2" s="1"/>
  <c r="Z203" i="2"/>
  <c r="Z353" i="2" s="1"/>
  <c r="Y810" i="2"/>
  <c r="Z1260" i="2" s="1"/>
  <c r="Z210" i="2"/>
  <c r="Z360" i="2" s="1"/>
  <c r="Y800" i="2"/>
  <c r="Z1250" i="2" s="1"/>
  <c r="Z200" i="2"/>
  <c r="Z350" i="2" s="1"/>
  <c r="Y861" i="2"/>
  <c r="Z1311" i="2" s="1"/>
  <c r="Z261" i="2"/>
  <c r="Z411" i="2" s="1"/>
  <c r="Y764" i="2"/>
  <c r="Z1214" i="2" s="1"/>
  <c r="Z164" i="2"/>
  <c r="Z314" i="2" s="1"/>
  <c r="Y837" i="2"/>
  <c r="Z1287" i="2" s="1"/>
  <c r="Z237" i="2"/>
  <c r="Z387" i="2" s="1"/>
  <c r="Y869" i="2"/>
  <c r="Z1319" i="2" s="1"/>
  <c r="Z269" i="2"/>
  <c r="Z419" i="2" s="1"/>
  <c r="Y838" i="2"/>
  <c r="Z1288" i="2" s="1"/>
  <c r="Z238" i="2"/>
  <c r="Z388" i="2" s="1"/>
  <c r="Y796" i="2"/>
  <c r="Z1246" i="2" s="1"/>
  <c r="Z196" i="2"/>
  <c r="Z346" i="2" s="1"/>
  <c r="Y864" i="2"/>
  <c r="Z1314" i="2" s="1"/>
  <c r="Z264" i="2"/>
  <c r="Z414" i="2" s="1"/>
  <c r="Y827" i="2"/>
  <c r="Z1277" i="2" s="1"/>
  <c r="Z227" i="2"/>
  <c r="Z377" i="2" s="1"/>
  <c r="Y828" i="2"/>
  <c r="Z1278" i="2" s="1"/>
  <c r="Z228" i="2"/>
  <c r="Z378" i="2" s="1"/>
  <c r="Y854" i="2"/>
  <c r="Z1304" i="2" s="1"/>
  <c r="Z254" i="2"/>
  <c r="Z404" i="2" s="1"/>
  <c r="Y774" i="2"/>
  <c r="Z1224" i="2" s="1"/>
  <c r="Z174" i="2"/>
  <c r="Z324" i="2" s="1"/>
  <c r="Y863" i="2"/>
  <c r="Z1313" i="2" s="1"/>
  <c r="Z263" i="2"/>
  <c r="Z413" i="2" s="1"/>
  <c r="Y795" i="2"/>
  <c r="Z1245" i="2" s="1"/>
  <c r="Z195" i="2"/>
  <c r="Z345" i="2" s="1"/>
  <c r="Y870" i="2"/>
  <c r="Z1320" i="2" s="1"/>
  <c r="Z270" i="2"/>
  <c r="Z420" i="2" s="1"/>
  <c r="Y806" i="2"/>
  <c r="Z1256" i="2" s="1"/>
  <c r="Z206" i="2"/>
  <c r="Z356" i="2" s="1"/>
  <c r="Y860" i="2"/>
  <c r="Z1310" i="2" s="1"/>
  <c r="Z260" i="2"/>
  <c r="Z410" i="2" s="1"/>
  <c r="Y799" i="2"/>
  <c r="Z1249" i="2" s="1"/>
  <c r="Z199" i="2"/>
  <c r="Z349" i="2" s="1"/>
  <c r="Y768" i="2"/>
  <c r="Z1218" i="2" s="1"/>
  <c r="Z168" i="2"/>
  <c r="Z318" i="2" s="1"/>
  <c r="Y802" i="2"/>
  <c r="Z1252" i="2" s="1"/>
  <c r="Z202" i="2"/>
  <c r="Z352" i="2" s="1"/>
  <c r="Y856" i="2"/>
  <c r="Z1306" i="2" s="1"/>
  <c r="Z256" i="2"/>
  <c r="Z406" i="2" s="1"/>
  <c r="Y834" i="2"/>
  <c r="Z1284" i="2" s="1"/>
  <c r="Z234" i="2"/>
  <c r="Z384" i="2" s="1"/>
  <c r="Y824" i="2"/>
  <c r="Z1274" i="2" s="1"/>
  <c r="Z224" i="2"/>
  <c r="Z374" i="2" s="1"/>
  <c r="F2102" i="2"/>
  <c r="G1952" i="2"/>
  <c r="H1802" i="2"/>
  <c r="H1652" i="2"/>
  <c r="G1802" i="2"/>
  <c r="F1652" i="2"/>
  <c r="F1352" i="2"/>
  <c r="D2" i="2" l="1"/>
  <c r="X33" i="2" l="1"/>
  <c r="X34" i="2"/>
  <c r="X35" i="2"/>
  <c r="X65" i="2" s="1"/>
  <c r="X36" i="2"/>
  <c r="X66" i="2" s="1"/>
  <c r="X96" i="2" s="1"/>
  <c r="X126" i="2" s="1"/>
  <c r="X156" i="2" s="1"/>
  <c r="X186" i="2" s="1"/>
  <c r="X216" i="2" s="1"/>
  <c r="X246" i="2" s="1"/>
  <c r="X276" i="2" s="1"/>
  <c r="X306" i="2" s="1"/>
  <c r="X37" i="2"/>
  <c r="X38" i="2"/>
  <c r="X39" i="2"/>
  <c r="X69" i="2" s="1"/>
  <c r="X40" i="2"/>
  <c r="X70" i="2" s="1"/>
  <c r="X100" i="2" s="1"/>
  <c r="X130" i="2" s="1"/>
  <c r="X41" i="2"/>
  <c r="X42" i="2"/>
  <c r="X43" i="2"/>
  <c r="X73" i="2" s="1"/>
  <c r="X44" i="2"/>
  <c r="X74" i="2" s="1"/>
  <c r="X104" i="2" s="1"/>
  <c r="X134" i="2" s="1"/>
  <c r="X45" i="2"/>
  <c r="X46" i="2"/>
  <c r="X47" i="2"/>
  <c r="X77" i="2" s="1"/>
  <c r="X48" i="2"/>
  <c r="X78" i="2" s="1"/>
  <c r="X108" i="2" s="1"/>
  <c r="X138" i="2" s="1"/>
  <c r="X49" i="2"/>
  <c r="X50" i="2"/>
  <c r="X51" i="2"/>
  <c r="X81" i="2" s="1"/>
  <c r="X52" i="2"/>
  <c r="X82" i="2" s="1"/>
  <c r="X112" i="2" s="1"/>
  <c r="X142" i="2" s="1"/>
  <c r="X172" i="2" s="1"/>
  <c r="X202" i="2" s="1"/>
  <c r="X232" i="2" s="1"/>
  <c r="X262" i="2" s="1"/>
  <c r="X292" i="2" s="1"/>
  <c r="X322" i="2" s="1"/>
  <c r="X53" i="2"/>
  <c r="X54" i="2"/>
  <c r="X55" i="2"/>
  <c r="X85" i="2" s="1"/>
  <c r="X56" i="2"/>
  <c r="X86" i="2" s="1"/>
  <c r="X116" i="2" s="1"/>
  <c r="X146" i="2" s="1"/>
  <c r="X57" i="2"/>
  <c r="X58" i="2"/>
  <c r="X59" i="2"/>
  <c r="X89" i="2" s="1"/>
  <c r="X60" i="2"/>
  <c r="X90" i="2" s="1"/>
  <c r="X120" i="2" s="1"/>
  <c r="X150" i="2" s="1"/>
  <c r="X61" i="2"/>
  <c r="X63" i="2"/>
  <c r="X93" i="2" s="1"/>
  <c r="X64" i="2"/>
  <c r="X94" i="2" s="1"/>
  <c r="X124" i="2" s="1"/>
  <c r="X154" i="2" s="1"/>
  <c r="X184" i="2" s="1"/>
  <c r="X214" i="2" s="1"/>
  <c r="X244" i="2" s="1"/>
  <c r="X274" i="2" s="1"/>
  <c r="X304" i="2" s="1"/>
  <c r="X334" i="2" s="1"/>
  <c r="X364" i="2" s="1"/>
  <c r="X394" i="2" s="1"/>
  <c r="X424" i="2" s="1"/>
  <c r="X454" i="2" s="1"/>
  <c r="X484" i="2" s="1"/>
  <c r="X514" i="2" s="1"/>
  <c r="X544" i="2" s="1"/>
  <c r="X574" i="2" s="1"/>
  <c r="X604" i="2" s="1"/>
  <c r="X634" i="2" s="1"/>
  <c r="X664" i="2" s="1"/>
  <c r="X694" i="2" s="1"/>
  <c r="X724" i="2" s="1"/>
  <c r="X754" i="2" s="1"/>
  <c r="X784" i="2" s="1"/>
  <c r="X814" i="2" s="1"/>
  <c r="X844" i="2" s="1"/>
  <c r="X874" i="2" s="1"/>
  <c r="X904" i="2" s="1"/>
  <c r="X934" i="2" s="1"/>
  <c r="X964" i="2" s="1"/>
  <c r="X994" i="2" s="1"/>
  <c r="X1024" i="2" s="1"/>
  <c r="X1054" i="2" s="1"/>
  <c r="X1084" i="2" s="1"/>
  <c r="X1114" i="2" s="1"/>
  <c r="X1144" i="2" s="1"/>
  <c r="X1174" i="2" s="1"/>
  <c r="X1204" i="2" s="1"/>
  <c r="X1234" i="2" s="1"/>
  <c r="X1264" i="2" s="1"/>
  <c r="X1294" i="2" s="1"/>
  <c r="X1324" i="2" s="1"/>
  <c r="X1354" i="2" s="1"/>
  <c r="X1384" i="2" s="1"/>
  <c r="X1414" i="2" s="1"/>
  <c r="X1444" i="2" s="1"/>
  <c r="X1474" i="2" s="1"/>
  <c r="X1504" i="2" s="1"/>
  <c r="X1534" i="2" s="1"/>
  <c r="X1564" i="2" s="1"/>
  <c r="X1594" i="2" s="1"/>
  <c r="X1624" i="2" s="1"/>
  <c r="X1654" i="2" s="1"/>
  <c r="X1684" i="2" s="1"/>
  <c r="X1714" i="2" s="1"/>
  <c r="X1744" i="2" s="1"/>
  <c r="X1774" i="2" s="1"/>
  <c r="X1804" i="2" s="1"/>
  <c r="X1834" i="2" s="1"/>
  <c r="X1864" i="2" s="1"/>
  <c r="X1894" i="2" s="1"/>
  <c r="X1924" i="2" s="1"/>
  <c r="X1954" i="2" s="1"/>
  <c r="X1984" i="2" s="1"/>
  <c r="X2014" i="2" s="1"/>
  <c r="X2044" i="2" s="1"/>
  <c r="X2074" i="2" s="1"/>
  <c r="X2104" i="2" s="1"/>
  <c r="X2134" i="2" s="1"/>
  <c r="X2164" i="2" s="1"/>
  <c r="X2194" i="2" s="1"/>
  <c r="X2224" i="2" s="1"/>
  <c r="X2254" i="2" s="1"/>
  <c r="X2284" i="2" s="1"/>
  <c r="X2314" i="2" s="1"/>
  <c r="X2344" i="2" s="1"/>
  <c r="X2374" i="2" s="1"/>
  <c r="X67" i="2"/>
  <c r="X97" i="2" s="1"/>
  <c r="X127" i="2" s="1"/>
  <c r="X157" i="2" s="1"/>
  <c r="X187" i="2" s="1"/>
  <c r="X217" i="2" s="1"/>
  <c r="X247" i="2" s="1"/>
  <c r="X277" i="2" s="1"/>
  <c r="X307" i="2" s="1"/>
  <c r="X337" i="2" s="1"/>
  <c r="X367" i="2" s="1"/>
  <c r="X397" i="2" s="1"/>
  <c r="X427" i="2" s="1"/>
  <c r="X457" i="2" s="1"/>
  <c r="X68" i="2"/>
  <c r="X98" i="2" s="1"/>
  <c r="X128" i="2" s="1"/>
  <c r="X158" i="2" s="1"/>
  <c r="X188" i="2" s="1"/>
  <c r="X218" i="2" s="1"/>
  <c r="X248" i="2" s="1"/>
  <c r="X278" i="2" s="1"/>
  <c r="X308" i="2" s="1"/>
  <c r="X338" i="2" s="1"/>
  <c r="X71" i="2"/>
  <c r="X101" i="2" s="1"/>
  <c r="X72" i="2"/>
  <c r="X102" i="2" s="1"/>
  <c r="X132" i="2" s="1"/>
  <c r="X162" i="2" s="1"/>
  <c r="X75" i="2"/>
  <c r="X105" i="2" s="1"/>
  <c r="X135" i="2" s="1"/>
  <c r="X165" i="2" s="1"/>
  <c r="X195" i="2" s="1"/>
  <c r="X225" i="2" s="1"/>
  <c r="X255" i="2" s="1"/>
  <c r="X285" i="2" s="1"/>
  <c r="X315" i="2" s="1"/>
  <c r="X345" i="2" s="1"/>
  <c r="X375" i="2" s="1"/>
  <c r="X405" i="2" s="1"/>
  <c r="X435" i="2" s="1"/>
  <c r="X465" i="2" s="1"/>
  <c r="X495" i="2" s="1"/>
  <c r="X525" i="2" s="1"/>
  <c r="X555" i="2" s="1"/>
  <c r="X585" i="2" s="1"/>
  <c r="X615" i="2" s="1"/>
  <c r="X645" i="2" s="1"/>
  <c r="X675" i="2" s="1"/>
  <c r="X705" i="2" s="1"/>
  <c r="X735" i="2" s="1"/>
  <c r="X765" i="2" s="1"/>
  <c r="X795" i="2" s="1"/>
  <c r="X825" i="2" s="1"/>
  <c r="X855" i="2" s="1"/>
  <c r="X885" i="2" s="1"/>
  <c r="X915" i="2" s="1"/>
  <c r="X945" i="2" s="1"/>
  <c r="X975" i="2" s="1"/>
  <c r="X1005" i="2" s="1"/>
  <c r="X1035" i="2" s="1"/>
  <c r="X1065" i="2" s="1"/>
  <c r="X1095" i="2" s="1"/>
  <c r="X1125" i="2" s="1"/>
  <c r="X1155" i="2" s="1"/>
  <c r="X1185" i="2" s="1"/>
  <c r="X1215" i="2" s="1"/>
  <c r="X1245" i="2" s="1"/>
  <c r="X1275" i="2" s="1"/>
  <c r="X1305" i="2" s="1"/>
  <c r="X1335" i="2" s="1"/>
  <c r="X1365" i="2" s="1"/>
  <c r="X1395" i="2" s="1"/>
  <c r="X1425" i="2" s="1"/>
  <c r="X1455" i="2" s="1"/>
  <c r="X1485" i="2" s="1"/>
  <c r="X1515" i="2" s="1"/>
  <c r="X1545" i="2" s="1"/>
  <c r="X1575" i="2" s="1"/>
  <c r="X1605" i="2" s="1"/>
  <c r="X1635" i="2" s="1"/>
  <c r="X1665" i="2" s="1"/>
  <c r="X1695" i="2" s="1"/>
  <c r="X1725" i="2" s="1"/>
  <c r="X1755" i="2" s="1"/>
  <c r="X1785" i="2" s="1"/>
  <c r="X1815" i="2" s="1"/>
  <c r="X1845" i="2" s="1"/>
  <c r="X1875" i="2" s="1"/>
  <c r="X1905" i="2" s="1"/>
  <c r="X1935" i="2" s="1"/>
  <c r="X1965" i="2" s="1"/>
  <c r="X1995" i="2" s="1"/>
  <c r="X2025" i="2" s="1"/>
  <c r="X2055" i="2" s="1"/>
  <c r="X2085" i="2" s="1"/>
  <c r="X2115" i="2" s="1"/>
  <c r="X2145" i="2" s="1"/>
  <c r="X2175" i="2" s="1"/>
  <c r="X2205" i="2" s="1"/>
  <c r="X2235" i="2" s="1"/>
  <c r="X2265" i="2" s="1"/>
  <c r="X2295" i="2" s="1"/>
  <c r="X2325" i="2" s="1"/>
  <c r="X2355" i="2" s="1"/>
  <c r="X2385" i="2" s="1"/>
  <c r="X76" i="2"/>
  <c r="X106" i="2" s="1"/>
  <c r="X136" i="2" s="1"/>
  <c r="X166" i="2" s="1"/>
  <c r="X196" i="2" s="1"/>
  <c r="X226" i="2" s="1"/>
  <c r="X79" i="2"/>
  <c r="X109" i="2" s="1"/>
  <c r="X80" i="2"/>
  <c r="X110" i="2" s="1"/>
  <c r="X140" i="2" s="1"/>
  <c r="X170" i="2" s="1"/>
  <c r="X200" i="2" s="1"/>
  <c r="X230" i="2" s="1"/>
  <c r="X260" i="2" s="1"/>
  <c r="X290" i="2" s="1"/>
  <c r="X320" i="2" s="1"/>
  <c r="X350" i="2" s="1"/>
  <c r="X380" i="2" s="1"/>
  <c r="X410" i="2" s="1"/>
  <c r="X440" i="2" s="1"/>
  <c r="X470" i="2" s="1"/>
  <c r="X500" i="2" s="1"/>
  <c r="X530" i="2" s="1"/>
  <c r="X560" i="2" s="1"/>
  <c r="X590" i="2" s="1"/>
  <c r="X620" i="2" s="1"/>
  <c r="X650" i="2" s="1"/>
  <c r="X680" i="2" s="1"/>
  <c r="X710" i="2" s="1"/>
  <c r="X740" i="2" s="1"/>
  <c r="X770" i="2" s="1"/>
  <c r="X800" i="2" s="1"/>
  <c r="X830" i="2" s="1"/>
  <c r="X860" i="2" s="1"/>
  <c r="X890" i="2" s="1"/>
  <c r="X920" i="2" s="1"/>
  <c r="X950" i="2" s="1"/>
  <c r="X980" i="2" s="1"/>
  <c r="X1010" i="2" s="1"/>
  <c r="X1040" i="2" s="1"/>
  <c r="X1070" i="2" s="1"/>
  <c r="X1100" i="2" s="1"/>
  <c r="X1130" i="2" s="1"/>
  <c r="X1160" i="2" s="1"/>
  <c r="X1190" i="2" s="1"/>
  <c r="X1220" i="2" s="1"/>
  <c r="X1250" i="2" s="1"/>
  <c r="X1280" i="2" s="1"/>
  <c r="X1310" i="2" s="1"/>
  <c r="X1340" i="2" s="1"/>
  <c r="X1370" i="2" s="1"/>
  <c r="X1400" i="2" s="1"/>
  <c r="X1430" i="2" s="1"/>
  <c r="X1460" i="2" s="1"/>
  <c r="X1490" i="2" s="1"/>
  <c r="X1520" i="2" s="1"/>
  <c r="X1550" i="2" s="1"/>
  <c r="X1580" i="2" s="1"/>
  <c r="X1610" i="2" s="1"/>
  <c r="X1640" i="2" s="1"/>
  <c r="X1670" i="2" s="1"/>
  <c r="X1700" i="2" s="1"/>
  <c r="X1730" i="2" s="1"/>
  <c r="X1760" i="2" s="1"/>
  <c r="X1790" i="2" s="1"/>
  <c r="X1820" i="2" s="1"/>
  <c r="X1850" i="2" s="1"/>
  <c r="X1880" i="2" s="1"/>
  <c r="X1910" i="2" s="1"/>
  <c r="X1940" i="2" s="1"/>
  <c r="X1970" i="2" s="1"/>
  <c r="X2000" i="2" s="1"/>
  <c r="X2030" i="2" s="1"/>
  <c r="X2060" i="2" s="1"/>
  <c r="X2090" i="2" s="1"/>
  <c r="X2120" i="2" s="1"/>
  <c r="X2150" i="2" s="1"/>
  <c r="X2180" i="2" s="1"/>
  <c r="X2210" i="2" s="1"/>
  <c r="X2240" i="2" s="1"/>
  <c r="X2270" i="2" s="1"/>
  <c r="X2300" i="2" s="1"/>
  <c r="X2330" i="2" s="1"/>
  <c r="X2360" i="2" s="1"/>
  <c r="X2390" i="2" s="1"/>
  <c r="X83" i="2"/>
  <c r="X113" i="2" s="1"/>
  <c r="X143" i="2" s="1"/>
  <c r="X173" i="2" s="1"/>
  <c r="X203" i="2" s="1"/>
  <c r="X233" i="2" s="1"/>
  <c r="X263" i="2" s="1"/>
  <c r="X293" i="2" s="1"/>
  <c r="X323" i="2" s="1"/>
  <c r="X353" i="2" s="1"/>
  <c r="X383" i="2" s="1"/>
  <c r="X413" i="2" s="1"/>
  <c r="X443" i="2" s="1"/>
  <c r="X473" i="2" s="1"/>
  <c r="X84" i="2"/>
  <c r="X114" i="2" s="1"/>
  <c r="X144" i="2" s="1"/>
  <c r="X174" i="2" s="1"/>
  <c r="X204" i="2" s="1"/>
  <c r="X234" i="2" s="1"/>
  <c r="X264" i="2" s="1"/>
  <c r="X294" i="2" s="1"/>
  <c r="X324" i="2" s="1"/>
  <c r="X354" i="2" s="1"/>
  <c r="X87" i="2"/>
  <c r="X117" i="2" s="1"/>
  <c r="X88" i="2"/>
  <c r="X118" i="2" s="1"/>
  <c r="X148" i="2" s="1"/>
  <c r="X178" i="2" s="1"/>
  <c r="X208" i="2" s="1"/>
  <c r="X238" i="2" s="1"/>
  <c r="X268" i="2" s="1"/>
  <c r="X298" i="2" s="1"/>
  <c r="X328" i="2" s="1"/>
  <c r="X358" i="2" s="1"/>
  <c r="X388" i="2" s="1"/>
  <c r="X418" i="2" s="1"/>
  <c r="X448" i="2" s="1"/>
  <c r="X478" i="2" s="1"/>
  <c r="X508" i="2" s="1"/>
  <c r="X538" i="2" s="1"/>
  <c r="X568" i="2" s="1"/>
  <c r="X598" i="2" s="1"/>
  <c r="X628" i="2" s="1"/>
  <c r="X658" i="2" s="1"/>
  <c r="X688" i="2" s="1"/>
  <c r="X718" i="2" s="1"/>
  <c r="X748" i="2" s="1"/>
  <c r="X778" i="2" s="1"/>
  <c r="X808" i="2" s="1"/>
  <c r="X838" i="2" s="1"/>
  <c r="X868" i="2" s="1"/>
  <c r="X898" i="2" s="1"/>
  <c r="X928" i="2" s="1"/>
  <c r="X958" i="2" s="1"/>
  <c r="X988" i="2" s="1"/>
  <c r="X1018" i="2" s="1"/>
  <c r="X1048" i="2" s="1"/>
  <c r="X1078" i="2" s="1"/>
  <c r="X1108" i="2" s="1"/>
  <c r="X1138" i="2" s="1"/>
  <c r="X1168" i="2" s="1"/>
  <c r="X1198" i="2" s="1"/>
  <c r="X1228" i="2" s="1"/>
  <c r="X1258" i="2" s="1"/>
  <c r="X1288" i="2" s="1"/>
  <c r="X1318" i="2" s="1"/>
  <c r="X1348" i="2" s="1"/>
  <c r="X1378" i="2" s="1"/>
  <c r="X1408" i="2" s="1"/>
  <c r="X1438" i="2" s="1"/>
  <c r="X1468" i="2" s="1"/>
  <c r="X1498" i="2" s="1"/>
  <c r="X1528" i="2" s="1"/>
  <c r="X1558" i="2" s="1"/>
  <c r="X1588" i="2" s="1"/>
  <c r="X1618" i="2" s="1"/>
  <c r="X1648" i="2" s="1"/>
  <c r="X1678" i="2" s="1"/>
  <c r="X1708" i="2" s="1"/>
  <c r="X1738" i="2" s="1"/>
  <c r="X1768" i="2" s="1"/>
  <c r="X1798" i="2" s="1"/>
  <c r="X1828" i="2" s="1"/>
  <c r="X1858" i="2" s="1"/>
  <c r="X1888" i="2" s="1"/>
  <c r="X1918" i="2" s="1"/>
  <c r="X1948" i="2" s="1"/>
  <c r="X1978" i="2" s="1"/>
  <c r="X2008" i="2" s="1"/>
  <c r="X2038" i="2" s="1"/>
  <c r="X2068" i="2" s="1"/>
  <c r="X2098" i="2" s="1"/>
  <c r="X2128" i="2" s="1"/>
  <c r="X2158" i="2" s="1"/>
  <c r="X2188" i="2" s="1"/>
  <c r="X2218" i="2" s="1"/>
  <c r="X2248" i="2" s="1"/>
  <c r="X2278" i="2" s="1"/>
  <c r="X2308" i="2" s="1"/>
  <c r="X2338" i="2" s="1"/>
  <c r="X2368" i="2" s="1"/>
  <c r="X2398" i="2" s="1"/>
  <c r="X91" i="2"/>
  <c r="X121" i="2" s="1"/>
  <c r="X151" i="2" s="1"/>
  <c r="X181" i="2" s="1"/>
  <c r="X211" i="2" s="1"/>
  <c r="X241" i="2" s="1"/>
  <c r="X271" i="2" s="1"/>
  <c r="X301" i="2" s="1"/>
  <c r="X331" i="2" s="1"/>
  <c r="X361" i="2" s="1"/>
  <c r="X391" i="2" s="1"/>
  <c r="X421" i="2" s="1"/>
  <c r="X451" i="2" s="1"/>
  <c r="X481" i="2" s="1"/>
  <c r="X511" i="2" s="1"/>
  <c r="X541" i="2" s="1"/>
  <c r="X571" i="2" s="1"/>
  <c r="X601" i="2" s="1"/>
  <c r="X631" i="2" s="1"/>
  <c r="X661" i="2" s="1"/>
  <c r="X691" i="2" s="1"/>
  <c r="X721" i="2" s="1"/>
  <c r="X751" i="2" s="1"/>
  <c r="X781" i="2" s="1"/>
  <c r="X811" i="2" s="1"/>
  <c r="X841" i="2" s="1"/>
  <c r="X871" i="2" s="1"/>
  <c r="X901" i="2" s="1"/>
  <c r="X931" i="2" s="1"/>
  <c r="X961" i="2" s="1"/>
  <c r="X991" i="2" s="1"/>
  <c r="X1021" i="2" s="1"/>
  <c r="X1051" i="2" s="1"/>
  <c r="X1081" i="2" s="1"/>
  <c r="X1111" i="2" s="1"/>
  <c r="X1141" i="2" s="1"/>
  <c r="X1171" i="2" s="1"/>
  <c r="X1201" i="2" s="1"/>
  <c r="X1231" i="2" s="1"/>
  <c r="X1261" i="2" s="1"/>
  <c r="X1291" i="2" s="1"/>
  <c r="X1321" i="2" s="1"/>
  <c r="X1351" i="2" s="1"/>
  <c r="X1381" i="2" s="1"/>
  <c r="X1411" i="2" s="1"/>
  <c r="X1441" i="2" s="1"/>
  <c r="X1471" i="2" s="1"/>
  <c r="X1501" i="2" s="1"/>
  <c r="X1531" i="2" s="1"/>
  <c r="X1561" i="2" s="1"/>
  <c r="X1591" i="2" s="1"/>
  <c r="X1621" i="2" s="1"/>
  <c r="X1651" i="2" s="1"/>
  <c r="X1681" i="2" s="1"/>
  <c r="X1711" i="2" s="1"/>
  <c r="X1741" i="2" s="1"/>
  <c r="X1771" i="2" s="1"/>
  <c r="X1801" i="2" s="1"/>
  <c r="X1831" i="2" s="1"/>
  <c r="X1861" i="2" s="1"/>
  <c r="X1891" i="2" s="1"/>
  <c r="X1921" i="2" s="1"/>
  <c r="X1951" i="2" s="1"/>
  <c r="X1981" i="2" s="1"/>
  <c r="X2011" i="2" s="1"/>
  <c r="X2041" i="2" s="1"/>
  <c r="X2071" i="2" s="1"/>
  <c r="X2101" i="2" s="1"/>
  <c r="X2131" i="2" s="1"/>
  <c r="X2161" i="2" s="1"/>
  <c r="X2191" i="2" s="1"/>
  <c r="X2221" i="2" s="1"/>
  <c r="X2251" i="2" s="1"/>
  <c r="X2281" i="2" s="1"/>
  <c r="X2311" i="2" s="1"/>
  <c r="X2341" i="2" s="1"/>
  <c r="X2371" i="2" s="1"/>
  <c r="X2401" i="2" s="1"/>
  <c r="X95" i="2"/>
  <c r="X125" i="2" s="1"/>
  <c r="X99" i="2"/>
  <c r="X129" i="2" s="1"/>
  <c r="X159" i="2" s="1"/>
  <c r="X189" i="2" s="1"/>
  <c r="X103" i="2"/>
  <c r="X133" i="2" s="1"/>
  <c r="X107" i="2"/>
  <c r="X137" i="2" s="1"/>
  <c r="X167" i="2" s="1"/>
  <c r="X111" i="2"/>
  <c r="X141" i="2" s="1"/>
  <c r="X115" i="2"/>
  <c r="X145" i="2" s="1"/>
  <c r="X175" i="2" s="1"/>
  <c r="X205" i="2" s="1"/>
  <c r="X119" i="2"/>
  <c r="X149" i="2" s="1"/>
  <c r="X179" i="2" s="1"/>
  <c r="X209" i="2" s="1"/>
  <c r="X239" i="2" s="1"/>
  <c r="X269" i="2" s="1"/>
  <c r="X299" i="2" s="1"/>
  <c r="X329" i="2" s="1"/>
  <c r="X359" i="2" s="1"/>
  <c r="X389" i="2" s="1"/>
  <c r="X419" i="2" s="1"/>
  <c r="X449" i="2" s="1"/>
  <c r="X479" i="2" s="1"/>
  <c r="X509" i="2" s="1"/>
  <c r="X539" i="2" s="1"/>
  <c r="X569" i="2" s="1"/>
  <c r="X599" i="2" s="1"/>
  <c r="X629" i="2" s="1"/>
  <c r="X659" i="2" s="1"/>
  <c r="X689" i="2" s="1"/>
  <c r="X719" i="2" s="1"/>
  <c r="X749" i="2" s="1"/>
  <c r="X779" i="2" s="1"/>
  <c r="X809" i="2" s="1"/>
  <c r="X839" i="2" s="1"/>
  <c r="X869" i="2" s="1"/>
  <c r="X899" i="2" s="1"/>
  <c r="X929" i="2" s="1"/>
  <c r="X959" i="2" s="1"/>
  <c r="X989" i="2" s="1"/>
  <c r="X1019" i="2" s="1"/>
  <c r="X1049" i="2" s="1"/>
  <c r="X1079" i="2" s="1"/>
  <c r="X1109" i="2" s="1"/>
  <c r="X1139" i="2" s="1"/>
  <c r="X1169" i="2" s="1"/>
  <c r="X1199" i="2" s="1"/>
  <c r="X1229" i="2" s="1"/>
  <c r="X1259" i="2" s="1"/>
  <c r="X1289" i="2" s="1"/>
  <c r="X1319" i="2" s="1"/>
  <c r="X1349" i="2" s="1"/>
  <c r="X1379" i="2" s="1"/>
  <c r="X1409" i="2" s="1"/>
  <c r="X1439" i="2" s="1"/>
  <c r="X1469" i="2" s="1"/>
  <c r="X1499" i="2" s="1"/>
  <c r="X1529" i="2" s="1"/>
  <c r="X1559" i="2" s="1"/>
  <c r="X1589" i="2" s="1"/>
  <c r="X1619" i="2" s="1"/>
  <c r="X1649" i="2" s="1"/>
  <c r="X1679" i="2" s="1"/>
  <c r="X1709" i="2" s="1"/>
  <c r="X1739" i="2" s="1"/>
  <c r="X1769" i="2" s="1"/>
  <c r="X1799" i="2" s="1"/>
  <c r="X1829" i="2" s="1"/>
  <c r="X1859" i="2" s="1"/>
  <c r="X1889" i="2" s="1"/>
  <c r="X1919" i="2" s="1"/>
  <c r="X1949" i="2" s="1"/>
  <c r="X1979" i="2" s="1"/>
  <c r="X2009" i="2" s="1"/>
  <c r="X2039" i="2" s="1"/>
  <c r="X2069" i="2" s="1"/>
  <c r="X2099" i="2" s="1"/>
  <c r="X2129" i="2" s="1"/>
  <c r="X2159" i="2" s="1"/>
  <c r="X2189" i="2" s="1"/>
  <c r="X2219" i="2" s="1"/>
  <c r="X2249" i="2" s="1"/>
  <c r="X2279" i="2" s="1"/>
  <c r="X2309" i="2" s="1"/>
  <c r="X2339" i="2" s="1"/>
  <c r="X2369" i="2" s="1"/>
  <c r="X2399" i="2" s="1"/>
  <c r="X123" i="2"/>
  <c r="X153" i="2" s="1"/>
  <c r="X183" i="2" s="1"/>
  <c r="X213" i="2" s="1"/>
  <c r="X243" i="2" s="1"/>
  <c r="X273" i="2" s="1"/>
  <c r="X303" i="2" s="1"/>
  <c r="X333" i="2" s="1"/>
  <c r="X363" i="2" s="1"/>
  <c r="X393" i="2" s="1"/>
  <c r="X423" i="2" s="1"/>
  <c r="X453" i="2" s="1"/>
  <c r="X483" i="2" s="1"/>
  <c r="X513" i="2" s="1"/>
  <c r="X543" i="2" s="1"/>
  <c r="X573" i="2" s="1"/>
  <c r="X603" i="2" s="1"/>
  <c r="X633" i="2" s="1"/>
  <c r="X663" i="2" s="1"/>
  <c r="X693" i="2" s="1"/>
  <c r="X723" i="2" s="1"/>
  <c r="X753" i="2" s="1"/>
  <c r="X783" i="2" s="1"/>
  <c r="X813" i="2" s="1"/>
  <c r="X843" i="2" s="1"/>
  <c r="X873" i="2" s="1"/>
  <c r="X903" i="2" s="1"/>
  <c r="X933" i="2" s="1"/>
  <c r="X963" i="2" s="1"/>
  <c r="X993" i="2" s="1"/>
  <c r="X1023" i="2" s="1"/>
  <c r="X1053" i="2" s="1"/>
  <c r="X1083" i="2" s="1"/>
  <c r="X1113" i="2" s="1"/>
  <c r="X1143" i="2" s="1"/>
  <c r="X1173" i="2" s="1"/>
  <c r="X1203" i="2" s="1"/>
  <c r="X1233" i="2" s="1"/>
  <c r="X1263" i="2" s="1"/>
  <c r="X1293" i="2" s="1"/>
  <c r="X1323" i="2" s="1"/>
  <c r="X1353" i="2" s="1"/>
  <c r="X1383" i="2" s="1"/>
  <c r="X1413" i="2" s="1"/>
  <c r="X1443" i="2" s="1"/>
  <c r="X1473" i="2" s="1"/>
  <c r="X1503" i="2" s="1"/>
  <c r="X1533" i="2" s="1"/>
  <c r="X1563" i="2" s="1"/>
  <c r="X1593" i="2" s="1"/>
  <c r="X1623" i="2" s="1"/>
  <c r="X1653" i="2" s="1"/>
  <c r="X1683" i="2" s="1"/>
  <c r="X1713" i="2" s="1"/>
  <c r="X1743" i="2" s="1"/>
  <c r="X1773" i="2" s="1"/>
  <c r="X1803" i="2" s="1"/>
  <c r="X1833" i="2" s="1"/>
  <c r="X1863" i="2" s="1"/>
  <c r="X1893" i="2" s="1"/>
  <c r="X1923" i="2" s="1"/>
  <c r="X1953" i="2" s="1"/>
  <c r="X1983" i="2" s="1"/>
  <c r="X2013" i="2" s="1"/>
  <c r="X2043" i="2" s="1"/>
  <c r="X2073" i="2" s="1"/>
  <c r="X2103" i="2" s="1"/>
  <c r="X2133" i="2" s="1"/>
  <c r="X2163" i="2" s="1"/>
  <c r="X2193" i="2" s="1"/>
  <c r="X2223" i="2" s="1"/>
  <c r="X2253" i="2" s="1"/>
  <c r="X2283" i="2" s="1"/>
  <c r="X2313" i="2" s="1"/>
  <c r="X2343" i="2" s="1"/>
  <c r="X2373" i="2" s="1"/>
  <c r="X131" i="2"/>
  <c r="X161" i="2" s="1"/>
  <c r="X191" i="2" s="1"/>
  <c r="X221" i="2" s="1"/>
  <c r="X139" i="2"/>
  <c r="X169" i="2" s="1"/>
  <c r="X199" i="2" s="1"/>
  <c r="X229" i="2" s="1"/>
  <c r="X259" i="2" s="1"/>
  <c r="X289" i="2" s="1"/>
  <c r="X319" i="2" s="1"/>
  <c r="X349" i="2" s="1"/>
  <c r="X379" i="2" s="1"/>
  <c r="X409" i="2" s="1"/>
  <c r="X439" i="2" s="1"/>
  <c r="X469" i="2" s="1"/>
  <c r="X499" i="2" s="1"/>
  <c r="X529" i="2" s="1"/>
  <c r="X559" i="2" s="1"/>
  <c r="X589" i="2" s="1"/>
  <c r="X619" i="2" s="1"/>
  <c r="X649" i="2" s="1"/>
  <c r="X679" i="2" s="1"/>
  <c r="X709" i="2" s="1"/>
  <c r="X739" i="2" s="1"/>
  <c r="X769" i="2" s="1"/>
  <c r="X799" i="2" s="1"/>
  <c r="X829" i="2" s="1"/>
  <c r="X859" i="2" s="1"/>
  <c r="X889" i="2" s="1"/>
  <c r="X919" i="2" s="1"/>
  <c r="X949" i="2" s="1"/>
  <c r="X979" i="2" s="1"/>
  <c r="X1009" i="2" s="1"/>
  <c r="X1039" i="2" s="1"/>
  <c r="X1069" i="2" s="1"/>
  <c r="X1099" i="2" s="1"/>
  <c r="X1129" i="2" s="1"/>
  <c r="X1159" i="2" s="1"/>
  <c r="X1189" i="2" s="1"/>
  <c r="X1219" i="2" s="1"/>
  <c r="X1249" i="2" s="1"/>
  <c r="X1279" i="2" s="1"/>
  <c r="X1309" i="2" s="1"/>
  <c r="X1339" i="2" s="1"/>
  <c r="X1369" i="2" s="1"/>
  <c r="X1399" i="2" s="1"/>
  <c r="X1429" i="2" s="1"/>
  <c r="X1459" i="2" s="1"/>
  <c r="X1489" i="2" s="1"/>
  <c r="X1519" i="2" s="1"/>
  <c r="X1549" i="2" s="1"/>
  <c r="X1579" i="2" s="1"/>
  <c r="X1609" i="2" s="1"/>
  <c r="X1639" i="2" s="1"/>
  <c r="X1669" i="2" s="1"/>
  <c r="X1699" i="2" s="1"/>
  <c r="X1729" i="2" s="1"/>
  <c r="X1759" i="2" s="1"/>
  <c r="X1789" i="2" s="1"/>
  <c r="X1819" i="2" s="1"/>
  <c r="X1849" i="2" s="1"/>
  <c r="X1879" i="2" s="1"/>
  <c r="X1909" i="2" s="1"/>
  <c r="X1939" i="2" s="1"/>
  <c r="X1969" i="2" s="1"/>
  <c r="X1999" i="2" s="1"/>
  <c r="X2029" i="2" s="1"/>
  <c r="X2059" i="2" s="1"/>
  <c r="X2089" i="2" s="1"/>
  <c r="X2119" i="2" s="1"/>
  <c r="X2149" i="2" s="1"/>
  <c r="X2179" i="2" s="1"/>
  <c r="X2209" i="2" s="1"/>
  <c r="X2239" i="2" s="1"/>
  <c r="X2269" i="2" s="1"/>
  <c r="X2299" i="2" s="1"/>
  <c r="X2329" i="2" s="1"/>
  <c r="X2359" i="2" s="1"/>
  <c r="X2389" i="2" s="1"/>
  <c r="X147" i="2"/>
  <c r="X177" i="2" s="1"/>
  <c r="X207" i="2" s="1"/>
  <c r="X237" i="2" s="1"/>
  <c r="X267" i="2" s="1"/>
  <c r="X297" i="2" s="1"/>
  <c r="X327" i="2" s="1"/>
  <c r="X357" i="2" s="1"/>
  <c r="X387" i="2" s="1"/>
  <c r="X417" i="2" s="1"/>
  <c r="X447" i="2" s="1"/>
  <c r="X477" i="2" s="1"/>
  <c r="X507" i="2" s="1"/>
  <c r="X537" i="2" s="1"/>
  <c r="X567" i="2" s="1"/>
  <c r="X597" i="2" s="1"/>
  <c r="X627" i="2" s="1"/>
  <c r="X657" i="2" s="1"/>
  <c r="X687" i="2" s="1"/>
  <c r="X717" i="2" s="1"/>
  <c r="X747" i="2" s="1"/>
  <c r="X777" i="2" s="1"/>
  <c r="X807" i="2" s="1"/>
  <c r="X837" i="2" s="1"/>
  <c r="X867" i="2" s="1"/>
  <c r="X897" i="2" s="1"/>
  <c r="X927" i="2" s="1"/>
  <c r="X957" i="2" s="1"/>
  <c r="X987" i="2" s="1"/>
  <c r="X1017" i="2" s="1"/>
  <c r="X1047" i="2" s="1"/>
  <c r="X1077" i="2" s="1"/>
  <c r="X1107" i="2" s="1"/>
  <c r="X1137" i="2" s="1"/>
  <c r="X1167" i="2" s="1"/>
  <c r="X1197" i="2" s="1"/>
  <c r="X1227" i="2" s="1"/>
  <c r="X1257" i="2" s="1"/>
  <c r="X1287" i="2" s="1"/>
  <c r="X1317" i="2" s="1"/>
  <c r="X1347" i="2" s="1"/>
  <c r="X1377" i="2" s="1"/>
  <c r="X1407" i="2" s="1"/>
  <c r="X1437" i="2" s="1"/>
  <c r="X1467" i="2" s="1"/>
  <c r="X1497" i="2" s="1"/>
  <c r="X1527" i="2" s="1"/>
  <c r="X1557" i="2" s="1"/>
  <c r="X1587" i="2" s="1"/>
  <c r="X1617" i="2" s="1"/>
  <c r="X1647" i="2" s="1"/>
  <c r="X1677" i="2" s="1"/>
  <c r="X1707" i="2" s="1"/>
  <c r="X1737" i="2" s="1"/>
  <c r="X1767" i="2" s="1"/>
  <c r="X1797" i="2" s="1"/>
  <c r="X1827" i="2" s="1"/>
  <c r="X1857" i="2" s="1"/>
  <c r="X1887" i="2" s="1"/>
  <c r="X155" i="2"/>
  <c r="X185" i="2" s="1"/>
  <c r="X215" i="2" s="1"/>
  <c r="X160" i="2"/>
  <c r="X190" i="2" s="1"/>
  <c r="X220" i="2" s="1"/>
  <c r="X250" i="2" s="1"/>
  <c r="X163" i="2"/>
  <c r="X193" i="2" s="1"/>
  <c r="X223" i="2" s="1"/>
  <c r="X253" i="2" s="1"/>
  <c r="X283" i="2" s="1"/>
  <c r="X313" i="2" s="1"/>
  <c r="X343" i="2" s="1"/>
  <c r="X373" i="2" s="1"/>
  <c r="X403" i="2" s="1"/>
  <c r="X433" i="2" s="1"/>
  <c r="X463" i="2" s="1"/>
  <c r="X493" i="2" s="1"/>
  <c r="X523" i="2" s="1"/>
  <c r="X553" i="2" s="1"/>
  <c r="X583" i="2" s="1"/>
  <c r="X613" i="2" s="1"/>
  <c r="X643" i="2" s="1"/>
  <c r="X673" i="2" s="1"/>
  <c r="X703" i="2" s="1"/>
  <c r="X733" i="2" s="1"/>
  <c r="X763" i="2" s="1"/>
  <c r="X793" i="2" s="1"/>
  <c r="X823" i="2" s="1"/>
  <c r="X853" i="2" s="1"/>
  <c r="X883" i="2" s="1"/>
  <c r="X913" i="2" s="1"/>
  <c r="X943" i="2" s="1"/>
  <c r="X973" i="2" s="1"/>
  <c r="X1003" i="2" s="1"/>
  <c r="X1033" i="2" s="1"/>
  <c r="X1063" i="2" s="1"/>
  <c r="X1093" i="2" s="1"/>
  <c r="X1123" i="2" s="1"/>
  <c r="X1153" i="2" s="1"/>
  <c r="X1183" i="2" s="1"/>
  <c r="X1213" i="2" s="1"/>
  <c r="X1243" i="2" s="1"/>
  <c r="X1273" i="2" s="1"/>
  <c r="X1303" i="2" s="1"/>
  <c r="X1333" i="2" s="1"/>
  <c r="X1363" i="2" s="1"/>
  <c r="X1393" i="2" s="1"/>
  <c r="X1423" i="2" s="1"/>
  <c r="X1453" i="2" s="1"/>
  <c r="X1483" i="2" s="1"/>
  <c r="X1513" i="2" s="1"/>
  <c r="X1543" i="2" s="1"/>
  <c r="X1573" i="2" s="1"/>
  <c r="X1603" i="2" s="1"/>
  <c r="X1633" i="2" s="1"/>
  <c r="X1663" i="2" s="1"/>
  <c r="X1693" i="2" s="1"/>
  <c r="X1723" i="2" s="1"/>
  <c r="X1753" i="2" s="1"/>
  <c r="X1783" i="2" s="1"/>
  <c r="X1813" i="2" s="1"/>
  <c r="X1843" i="2" s="1"/>
  <c r="X1873" i="2" s="1"/>
  <c r="X1903" i="2" s="1"/>
  <c r="X1933" i="2" s="1"/>
  <c r="X1963" i="2" s="1"/>
  <c r="X1993" i="2" s="1"/>
  <c r="X2023" i="2" s="1"/>
  <c r="X2053" i="2" s="1"/>
  <c r="X2083" i="2" s="1"/>
  <c r="X2113" i="2" s="1"/>
  <c r="X2143" i="2" s="1"/>
  <c r="X2173" i="2" s="1"/>
  <c r="X2203" i="2" s="1"/>
  <c r="X2233" i="2" s="1"/>
  <c r="X2263" i="2" s="1"/>
  <c r="X2293" i="2" s="1"/>
  <c r="X2323" i="2" s="1"/>
  <c r="X2353" i="2" s="1"/>
  <c r="X2383" i="2" s="1"/>
  <c r="X164" i="2"/>
  <c r="X194" i="2" s="1"/>
  <c r="X168" i="2"/>
  <c r="X198" i="2" s="1"/>
  <c r="X228" i="2" s="1"/>
  <c r="X258" i="2" s="1"/>
  <c r="X288" i="2" s="1"/>
  <c r="X318" i="2" s="1"/>
  <c r="X348" i="2" s="1"/>
  <c r="X378" i="2" s="1"/>
  <c r="X408" i="2" s="1"/>
  <c r="X438" i="2" s="1"/>
  <c r="X468" i="2" s="1"/>
  <c r="X498" i="2" s="1"/>
  <c r="X171" i="2"/>
  <c r="X201" i="2" s="1"/>
  <c r="X231" i="2" s="1"/>
  <c r="X261" i="2" s="1"/>
  <c r="X291" i="2" s="1"/>
  <c r="X321" i="2" s="1"/>
  <c r="X351" i="2" s="1"/>
  <c r="X381" i="2" s="1"/>
  <c r="X411" i="2" s="1"/>
  <c r="X441" i="2" s="1"/>
  <c r="X471" i="2" s="1"/>
  <c r="X501" i="2" s="1"/>
  <c r="X531" i="2" s="1"/>
  <c r="X561" i="2" s="1"/>
  <c r="X591" i="2" s="1"/>
  <c r="X621" i="2" s="1"/>
  <c r="X651" i="2" s="1"/>
  <c r="X681" i="2" s="1"/>
  <c r="X711" i="2" s="1"/>
  <c r="X741" i="2" s="1"/>
  <c r="X771" i="2" s="1"/>
  <c r="X801" i="2" s="1"/>
  <c r="X831" i="2" s="1"/>
  <c r="X861" i="2" s="1"/>
  <c r="X891" i="2" s="1"/>
  <c r="X921" i="2" s="1"/>
  <c r="X951" i="2" s="1"/>
  <c r="X981" i="2" s="1"/>
  <c r="X1011" i="2" s="1"/>
  <c r="X1041" i="2" s="1"/>
  <c r="X1071" i="2" s="1"/>
  <c r="X1101" i="2" s="1"/>
  <c r="X1131" i="2" s="1"/>
  <c r="X1161" i="2" s="1"/>
  <c r="X1191" i="2" s="1"/>
  <c r="X1221" i="2" s="1"/>
  <c r="X1251" i="2" s="1"/>
  <c r="X1281" i="2" s="1"/>
  <c r="X1311" i="2" s="1"/>
  <c r="X1341" i="2" s="1"/>
  <c r="X1371" i="2" s="1"/>
  <c r="X1401" i="2" s="1"/>
  <c r="X1431" i="2" s="1"/>
  <c r="X1461" i="2" s="1"/>
  <c r="X1491" i="2" s="1"/>
  <c r="X1521" i="2" s="1"/>
  <c r="X1551" i="2" s="1"/>
  <c r="X1581" i="2" s="1"/>
  <c r="X1611" i="2" s="1"/>
  <c r="X1641" i="2" s="1"/>
  <c r="X1671" i="2" s="1"/>
  <c r="X1701" i="2" s="1"/>
  <c r="X1731" i="2" s="1"/>
  <c r="X1761" i="2" s="1"/>
  <c r="X1791" i="2" s="1"/>
  <c r="X1821" i="2" s="1"/>
  <c r="X1851" i="2" s="1"/>
  <c r="X1881" i="2" s="1"/>
  <c r="X1911" i="2" s="1"/>
  <c r="X1941" i="2" s="1"/>
  <c r="X1971" i="2" s="1"/>
  <c r="X2001" i="2" s="1"/>
  <c r="X2031" i="2" s="1"/>
  <c r="X2061" i="2" s="1"/>
  <c r="X2091" i="2" s="1"/>
  <c r="X2121" i="2" s="1"/>
  <c r="X2151" i="2" s="1"/>
  <c r="X2181" i="2" s="1"/>
  <c r="X2211" i="2" s="1"/>
  <c r="X2241" i="2" s="1"/>
  <c r="X2271" i="2" s="1"/>
  <c r="X2301" i="2" s="1"/>
  <c r="X2331" i="2" s="1"/>
  <c r="X2361" i="2" s="1"/>
  <c r="X2391" i="2" s="1"/>
  <c r="X176" i="2"/>
  <c r="X206" i="2" s="1"/>
  <c r="X236" i="2" s="1"/>
  <c r="X266" i="2" s="1"/>
  <c r="X296" i="2" s="1"/>
  <c r="X326" i="2" s="1"/>
  <c r="X356" i="2" s="1"/>
  <c r="X386" i="2" s="1"/>
  <c r="X416" i="2" s="1"/>
  <c r="X446" i="2" s="1"/>
  <c r="X476" i="2" s="1"/>
  <c r="X506" i="2" s="1"/>
  <c r="X536" i="2" s="1"/>
  <c r="X566" i="2" s="1"/>
  <c r="X596" i="2" s="1"/>
  <c r="X626" i="2" s="1"/>
  <c r="X656" i="2" s="1"/>
  <c r="X686" i="2" s="1"/>
  <c r="X716" i="2" s="1"/>
  <c r="X746" i="2" s="1"/>
  <c r="X776" i="2" s="1"/>
  <c r="X806" i="2" s="1"/>
  <c r="X836" i="2" s="1"/>
  <c r="X866" i="2" s="1"/>
  <c r="X896" i="2" s="1"/>
  <c r="X926" i="2" s="1"/>
  <c r="X956" i="2" s="1"/>
  <c r="X986" i="2" s="1"/>
  <c r="X1016" i="2" s="1"/>
  <c r="X1046" i="2" s="1"/>
  <c r="X1076" i="2" s="1"/>
  <c r="X1106" i="2" s="1"/>
  <c r="X1136" i="2" s="1"/>
  <c r="X1166" i="2" s="1"/>
  <c r="X1196" i="2" s="1"/>
  <c r="X1226" i="2" s="1"/>
  <c r="X1256" i="2" s="1"/>
  <c r="X1286" i="2" s="1"/>
  <c r="X1316" i="2" s="1"/>
  <c r="X1346" i="2" s="1"/>
  <c r="X1376" i="2" s="1"/>
  <c r="X1406" i="2" s="1"/>
  <c r="X1436" i="2" s="1"/>
  <c r="X1466" i="2" s="1"/>
  <c r="X1496" i="2" s="1"/>
  <c r="X1526" i="2" s="1"/>
  <c r="X1556" i="2" s="1"/>
  <c r="X1586" i="2" s="1"/>
  <c r="X1616" i="2" s="1"/>
  <c r="X1646" i="2" s="1"/>
  <c r="X1676" i="2" s="1"/>
  <c r="X1706" i="2" s="1"/>
  <c r="X1736" i="2" s="1"/>
  <c r="X1766" i="2" s="1"/>
  <c r="X1796" i="2" s="1"/>
  <c r="X1826" i="2" s="1"/>
  <c r="X1856" i="2" s="1"/>
  <c r="X1886" i="2" s="1"/>
  <c r="X1916" i="2" s="1"/>
  <c r="X1946" i="2" s="1"/>
  <c r="X1976" i="2" s="1"/>
  <c r="X2006" i="2" s="1"/>
  <c r="X2036" i="2" s="1"/>
  <c r="X2066" i="2" s="1"/>
  <c r="X2096" i="2" s="1"/>
  <c r="X2126" i="2" s="1"/>
  <c r="X2156" i="2" s="1"/>
  <c r="X2186" i="2" s="1"/>
  <c r="X2216" i="2" s="1"/>
  <c r="X2246" i="2" s="1"/>
  <c r="X2276" i="2" s="1"/>
  <c r="X2306" i="2" s="1"/>
  <c r="X2336" i="2" s="1"/>
  <c r="X2366" i="2" s="1"/>
  <c r="X2396" i="2" s="1"/>
  <c r="X180" i="2"/>
  <c r="X210" i="2" s="1"/>
  <c r="X192" i="2"/>
  <c r="X222" i="2" s="1"/>
  <c r="X252" i="2" s="1"/>
  <c r="X282" i="2" s="1"/>
  <c r="X197" i="2"/>
  <c r="X227" i="2" s="1"/>
  <c r="X257" i="2" s="1"/>
  <c r="X287" i="2" s="1"/>
  <c r="X317" i="2" s="1"/>
  <c r="X347" i="2" s="1"/>
  <c r="X377" i="2" s="1"/>
  <c r="X407" i="2" s="1"/>
  <c r="X437" i="2" s="1"/>
  <c r="X467" i="2" s="1"/>
  <c r="X497" i="2" s="1"/>
  <c r="X527" i="2" s="1"/>
  <c r="X557" i="2" s="1"/>
  <c r="X587" i="2" s="1"/>
  <c r="X617" i="2" s="1"/>
  <c r="X647" i="2" s="1"/>
  <c r="X677" i="2" s="1"/>
  <c r="X707" i="2" s="1"/>
  <c r="X737" i="2" s="1"/>
  <c r="X767" i="2" s="1"/>
  <c r="X797" i="2" s="1"/>
  <c r="X827" i="2" s="1"/>
  <c r="X857" i="2" s="1"/>
  <c r="X887" i="2" s="1"/>
  <c r="X917" i="2" s="1"/>
  <c r="X947" i="2" s="1"/>
  <c r="X977" i="2" s="1"/>
  <c r="X1007" i="2" s="1"/>
  <c r="X1037" i="2" s="1"/>
  <c r="X1067" i="2" s="1"/>
  <c r="X1097" i="2" s="1"/>
  <c r="X1127" i="2" s="1"/>
  <c r="X1157" i="2" s="1"/>
  <c r="X1187" i="2" s="1"/>
  <c r="X1217" i="2" s="1"/>
  <c r="X1247" i="2" s="1"/>
  <c r="X1277" i="2" s="1"/>
  <c r="X1307" i="2" s="1"/>
  <c r="X1337" i="2" s="1"/>
  <c r="X1367" i="2" s="1"/>
  <c r="X1397" i="2" s="1"/>
  <c r="X1427" i="2" s="1"/>
  <c r="X1457" i="2" s="1"/>
  <c r="X1487" i="2" s="1"/>
  <c r="X1517" i="2" s="1"/>
  <c r="X1547" i="2" s="1"/>
  <c r="X1577" i="2" s="1"/>
  <c r="X1607" i="2" s="1"/>
  <c r="X1637" i="2" s="1"/>
  <c r="X1667" i="2" s="1"/>
  <c r="X1697" i="2" s="1"/>
  <c r="X1727" i="2" s="1"/>
  <c r="X1757" i="2" s="1"/>
  <c r="X1787" i="2" s="1"/>
  <c r="X1817" i="2" s="1"/>
  <c r="X1847" i="2" s="1"/>
  <c r="X1877" i="2" s="1"/>
  <c r="X1907" i="2" s="1"/>
  <c r="X1937" i="2" s="1"/>
  <c r="X1967" i="2" s="1"/>
  <c r="X1997" i="2" s="1"/>
  <c r="X2027" i="2" s="1"/>
  <c r="X2057" i="2" s="1"/>
  <c r="X2087" i="2" s="1"/>
  <c r="X2117" i="2" s="1"/>
  <c r="X2147" i="2" s="1"/>
  <c r="X2177" i="2" s="1"/>
  <c r="X2207" i="2" s="1"/>
  <c r="X2237" i="2" s="1"/>
  <c r="X2267" i="2" s="1"/>
  <c r="X2297" i="2" s="1"/>
  <c r="X2327" i="2" s="1"/>
  <c r="X2357" i="2" s="1"/>
  <c r="X2387" i="2" s="1"/>
  <c r="X219" i="2"/>
  <c r="X249" i="2" s="1"/>
  <c r="X279" i="2" s="1"/>
  <c r="X309" i="2" s="1"/>
  <c r="X339" i="2" s="1"/>
  <c r="X369" i="2" s="1"/>
  <c r="X399" i="2" s="1"/>
  <c r="X429" i="2" s="1"/>
  <c r="X459" i="2" s="1"/>
  <c r="X489" i="2" s="1"/>
  <c r="X519" i="2" s="1"/>
  <c r="X549" i="2" s="1"/>
  <c r="X579" i="2" s="1"/>
  <c r="X609" i="2" s="1"/>
  <c r="X639" i="2" s="1"/>
  <c r="X669" i="2" s="1"/>
  <c r="X699" i="2" s="1"/>
  <c r="X729" i="2" s="1"/>
  <c r="X759" i="2" s="1"/>
  <c r="X789" i="2" s="1"/>
  <c r="X819" i="2" s="1"/>
  <c r="X849" i="2" s="1"/>
  <c r="X879" i="2" s="1"/>
  <c r="X909" i="2" s="1"/>
  <c r="X939" i="2" s="1"/>
  <c r="X969" i="2" s="1"/>
  <c r="X999" i="2" s="1"/>
  <c r="X1029" i="2" s="1"/>
  <c r="X1059" i="2" s="1"/>
  <c r="X1089" i="2" s="1"/>
  <c r="X1119" i="2" s="1"/>
  <c r="X1149" i="2" s="1"/>
  <c r="X1179" i="2" s="1"/>
  <c r="X1209" i="2" s="1"/>
  <c r="X1239" i="2" s="1"/>
  <c r="X1269" i="2" s="1"/>
  <c r="X1299" i="2" s="1"/>
  <c r="X1329" i="2" s="1"/>
  <c r="X1359" i="2" s="1"/>
  <c r="X1389" i="2" s="1"/>
  <c r="X1419" i="2" s="1"/>
  <c r="X1449" i="2" s="1"/>
  <c r="X1479" i="2" s="1"/>
  <c r="X1509" i="2" s="1"/>
  <c r="X1539" i="2" s="1"/>
  <c r="X1569" i="2" s="1"/>
  <c r="X1599" i="2" s="1"/>
  <c r="X1629" i="2" s="1"/>
  <c r="X1659" i="2" s="1"/>
  <c r="X1689" i="2" s="1"/>
  <c r="X1719" i="2" s="1"/>
  <c r="X1749" i="2" s="1"/>
  <c r="X1779" i="2" s="1"/>
  <c r="X1809" i="2" s="1"/>
  <c r="X1839" i="2" s="1"/>
  <c r="X1869" i="2" s="1"/>
  <c r="X1899" i="2" s="1"/>
  <c r="X1929" i="2" s="1"/>
  <c r="X1959" i="2" s="1"/>
  <c r="X1989" i="2" s="1"/>
  <c r="X2019" i="2" s="1"/>
  <c r="X2049" i="2" s="1"/>
  <c r="X2079" i="2" s="1"/>
  <c r="X2109" i="2" s="1"/>
  <c r="X2139" i="2" s="1"/>
  <c r="X2169" i="2" s="1"/>
  <c r="X2199" i="2" s="1"/>
  <c r="X2229" i="2" s="1"/>
  <c r="X2259" i="2" s="1"/>
  <c r="X2289" i="2" s="1"/>
  <c r="X2319" i="2" s="1"/>
  <c r="X2349" i="2" s="1"/>
  <c r="X2379" i="2" s="1"/>
  <c r="X224" i="2"/>
  <c r="X254" i="2" s="1"/>
  <c r="X284" i="2" s="1"/>
  <c r="X314" i="2" s="1"/>
  <c r="X344" i="2" s="1"/>
  <c r="X374" i="2" s="1"/>
  <c r="X404" i="2" s="1"/>
  <c r="X434" i="2" s="1"/>
  <c r="X464" i="2" s="1"/>
  <c r="X494" i="2" s="1"/>
  <c r="X524" i="2" s="1"/>
  <c r="X554" i="2" s="1"/>
  <c r="X584" i="2" s="1"/>
  <c r="X614" i="2" s="1"/>
  <c r="X644" i="2" s="1"/>
  <c r="X674" i="2" s="1"/>
  <c r="X704" i="2" s="1"/>
  <c r="X734" i="2" s="1"/>
  <c r="X764" i="2" s="1"/>
  <c r="X794" i="2" s="1"/>
  <c r="X824" i="2" s="1"/>
  <c r="X854" i="2" s="1"/>
  <c r="X884" i="2" s="1"/>
  <c r="X914" i="2" s="1"/>
  <c r="X944" i="2" s="1"/>
  <c r="X974" i="2" s="1"/>
  <c r="X1004" i="2" s="1"/>
  <c r="X1034" i="2" s="1"/>
  <c r="X1064" i="2" s="1"/>
  <c r="X1094" i="2" s="1"/>
  <c r="X1124" i="2" s="1"/>
  <c r="X1154" i="2" s="1"/>
  <c r="X1184" i="2" s="1"/>
  <c r="X1214" i="2" s="1"/>
  <c r="X1244" i="2" s="1"/>
  <c r="X1274" i="2" s="1"/>
  <c r="X1304" i="2" s="1"/>
  <c r="X1334" i="2" s="1"/>
  <c r="X1364" i="2" s="1"/>
  <c r="X1394" i="2" s="1"/>
  <c r="X1424" i="2" s="1"/>
  <c r="X1454" i="2" s="1"/>
  <c r="X1484" i="2" s="1"/>
  <c r="X1514" i="2" s="1"/>
  <c r="X1544" i="2" s="1"/>
  <c r="X1574" i="2" s="1"/>
  <c r="X1604" i="2" s="1"/>
  <c r="X1634" i="2" s="1"/>
  <c r="X1664" i="2" s="1"/>
  <c r="X1694" i="2" s="1"/>
  <c r="X1724" i="2" s="1"/>
  <c r="X1754" i="2" s="1"/>
  <c r="X1784" i="2" s="1"/>
  <c r="X1814" i="2" s="1"/>
  <c r="X1844" i="2" s="1"/>
  <c r="X1874" i="2" s="1"/>
  <c r="X1904" i="2" s="1"/>
  <c r="X1934" i="2" s="1"/>
  <c r="X1964" i="2" s="1"/>
  <c r="X1994" i="2" s="1"/>
  <c r="X2024" i="2" s="1"/>
  <c r="X2054" i="2" s="1"/>
  <c r="X2084" i="2" s="1"/>
  <c r="X2114" i="2" s="1"/>
  <c r="X2144" i="2" s="1"/>
  <c r="X2174" i="2" s="1"/>
  <c r="X2204" i="2" s="1"/>
  <c r="X2234" i="2" s="1"/>
  <c r="X2264" i="2" s="1"/>
  <c r="X2294" i="2" s="1"/>
  <c r="X2324" i="2" s="1"/>
  <c r="X2354" i="2" s="1"/>
  <c r="X2384" i="2" s="1"/>
  <c r="X235" i="2"/>
  <c r="X265" i="2" s="1"/>
  <c r="X295" i="2" s="1"/>
  <c r="X240" i="2"/>
  <c r="X270" i="2" s="1"/>
  <c r="X300" i="2" s="1"/>
  <c r="X330" i="2" s="1"/>
  <c r="X360" i="2" s="1"/>
  <c r="X390" i="2" s="1"/>
  <c r="X420" i="2" s="1"/>
  <c r="X450" i="2" s="1"/>
  <c r="X480" i="2" s="1"/>
  <c r="X510" i="2" s="1"/>
  <c r="X540" i="2" s="1"/>
  <c r="X570" i="2" s="1"/>
  <c r="X600" i="2" s="1"/>
  <c r="X630" i="2" s="1"/>
  <c r="X660" i="2" s="1"/>
  <c r="X690" i="2" s="1"/>
  <c r="X720" i="2" s="1"/>
  <c r="X750" i="2" s="1"/>
  <c r="X780" i="2" s="1"/>
  <c r="X810" i="2" s="1"/>
  <c r="X840" i="2" s="1"/>
  <c r="X870" i="2" s="1"/>
  <c r="X900" i="2" s="1"/>
  <c r="X930" i="2" s="1"/>
  <c r="X960" i="2" s="1"/>
  <c r="X990" i="2" s="1"/>
  <c r="X1020" i="2" s="1"/>
  <c r="X1050" i="2" s="1"/>
  <c r="X1080" i="2" s="1"/>
  <c r="X1110" i="2" s="1"/>
  <c r="X1140" i="2" s="1"/>
  <c r="X1170" i="2" s="1"/>
  <c r="X1200" i="2" s="1"/>
  <c r="X1230" i="2" s="1"/>
  <c r="X1260" i="2" s="1"/>
  <c r="X1290" i="2" s="1"/>
  <c r="X1320" i="2" s="1"/>
  <c r="X1350" i="2" s="1"/>
  <c r="X1380" i="2" s="1"/>
  <c r="X1410" i="2" s="1"/>
  <c r="X1440" i="2" s="1"/>
  <c r="X1470" i="2" s="1"/>
  <c r="X1500" i="2" s="1"/>
  <c r="X1530" i="2" s="1"/>
  <c r="X1560" i="2" s="1"/>
  <c r="X1590" i="2" s="1"/>
  <c r="X1620" i="2" s="1"/>
  <c r="X1650" i="2" s="1"/>
  <c r="X1680" i="2" s="1"/>
  <c r="X1710" i="2" s="1"/>
  <c r="X1740" i="2" s="1"/>
  <c r="X1770" i="2" s="1"/>
  <c r="X1800" i="2" s="1"/>
  <c r="X1830" i="2" s="1"/>
  <c r="X1860" i="2" s="1"/>
  <c r="X1890" i="2" s="1"/>
  <c r="X1920" i="2" s="1"/>
  <c r="X1950" i="2" s="1"/>
  <c r="X1980" i="2" s="1"/>
  <c r="X2010" i="2" s="1"/>
  <c r="X2040" i="2" s="1"/>
  <c r="X2070" i="2" s="1"/>
  <c r="X2100" i="2" s="1"/>
  <c r="X2130" i="2" s="1"/>
  <c r="X2160" i="2" s="1"/>
  <c r="X2190" i="2" s="1"/>
  <c r="X2220" i="2" s="1"/>
  <c r="X2250" i="2" s="1"/>
  <c r="X2280" i="2" s="1"/>
  <c r="X2310" i="2" s="1"/>
  <c r="X2340" i="2" s="1"/>
  <c r="X2370" i="2" s="1"/>
  <c r="X2400" i="2" s="1"/>
  <c r="X245" i="2"/>
  <c r="X275" i="2" s="1"/>
  <c r="X305" i="2" s="1"/>
  <c r="X335" i="2" s="1"/>
  <c r="X365" i="2" s="1"/>
  <c r="X395" i="2" s="1"/>
  <c r="X425" i="2" s="1"/>
  <c r="X455" i="2" s="1"/>
  <c r="X485" i="2" s="1"/>
  <c r="X515" i="2" s="1"/>
  <c r="X545" i="2" s="1"/>
  <c r="X575" i="2" s="1"/>
  <c r="X605" i="2" s="1"/>
  <c r="X635" i="2" s="1"/>
  <c r="X665" i="2" s="1"/>
  <c r="X695" i="2" s="1"/>
  <c r="X725" i="2" s="1"/>
  <c r="X755" i="2" s="1"/>
  <c r="X785" i="2" s="1"/>
  <c r="X815" i="2" s="1"/>
  <c r="X845" i="2" s="1"/>
  <c r="X875" i="2" s="1"/>
  <c r="X905" i="2" s="1"/>
  <c r="X935" i="2" s="1"/>
  <c r="X965" i="2" s="1"/>
  <c r="X995" i="2" s="1"/>
  <c r="X1025" i="2" s="1"/>
  <c r="X1055" i="2" s="1"/>
  <c r="X1085" i="2" s="1"/>
  <c r="X1115" i="2" s="1"/>
  <c r="X1145" i="2" s="1"/>
  <c r="X1175" i="2" s="1"/>
  <c r="X1205" i="2" s="1"/>
  <c r="X1235" i="2" s="1"/>
  <c r="X1265" i="2" s="1"/>
  <c r="X1295" i="2" s="1"/>
  <c r="X1325" i="2" s="1"/>
  <c r="X1355" i="2" s="1"/>
  <c r="X1385" i="2" s="1"/>
  <c r="X1415" i="2" s="1"/>
  <c r="X1445" i="2" s="1"/>
  <c r="X1475" i="2" s="1"/>
  <c r="X1505" i="2" s="1"/>
  <c r="X1535" i="2" s="1"/>
  <c r="X1565" i="2" s="1"/>
  <c r="X1595" i="2" s="1"/>
  <c r="X1625" i="2" s="1"/>
  <c r="X1655" i="2" s="1"/>
  <c r="X1685" i="2" s="1"/>
  <c r="X1715" i="2" s="1"/>
  <c r="X1745" i="2" s="1"/>
  <c r="X1775" i="2" s="1"/>
  <c r="X1805" i="2" s="1"/>
  <c r="X1835" i="2" s="1"/>
  <c r="X1865" i="2" s="1"/>
  <c r="X1895" i="2" s="1"/>
  <c r="X1925" i="2" s="1"/>
  <c r="X1955" i="2" s="1"/>
  <c r="X1985" i="2" s="1"/>
  <c r="X2015" i="2" s="1"/>
  <c r="X2045" i="2" s="1"/>
  <c r="X2075" i="2" s="1"/>
  <c r="X2105" i="2" s="1"/>
  <c r="X2135" i="2" s="1"/>
  <c r="X2165" i="2" s="1"/>
  <c r="X2195" i="2" s="1"/>
  <c r="X2225" i="2" s="1"/>
  <c r="X2255" i="2" s="1"/>
  <c r="X2285" i="2" s="1"/>
  <c r="X2315" i="2" s="1"/>
  <c r="X2345" i="2" s="1"/>
  <c r="X2375" i="2" s="1"/>
  <c r="X251" i="2"/>
  <c r="X281" i="2" s="1"/>
  <c r="X311" i="2" s="1"/>
  <c r="X341" i="2" s="1"/>
  <c r="X371" i="2" s="1"/>
  <c r="X401" i="2" s="1"/>
  <c r="X431" i="2" s="1"/>
  <c r="X461" i="2" s="1"/>
  <c r="X491" i="2" s="1"/>
  <c r="X521" i="2" s="1"/>
  <c r="X551" i="2" s="1"/>
  <c r="X581" i="2" s="1"/>
  <c r="X611" i="2" s="1"/>
  <c r="X641" i="2" s="1"/>
  <c r="X671" i="2" s="1"/>
  <c r="X701" i="2" s="1"/>
  <c r="X731" i="2" s="1"/>
  <c r="X761" i="2" s="1"/>
  <c r="X791" i="2" s="1"/>
  <c r="X821" i="2" s="1"/>
  <c r="X851" i="2" s="1"/>
  <c r="X881" i="2" s="1"/>
  <c r="X911" i="2" s="1"/>
  <c r="X941" i="2" s="1"/>
  <c r="X971" i="2" s="1"/>
  <c r="X1001" i="2" s="1"/>
  <c r="X1031" i="2" s="1"/>
  <c r="X1061" i="2" s="1"/>
  <c r="X1091" i="2" s="1"/>
  <c r="X1121" i="2" s="1"/>
  <c r="X1151" i="2" s="1"/>
  <c r="X1181" i="2" s="1"/>
  <c r="X1211" i="2" s="1"/>
  <c r="X1241" i="2" s="1"/>
  <c r="X1271" i="2" s="1"/>
  <c r="X1301" i="2" s="1"/>
  <c r="X1331" i="2" s="1"/>
  <c r="X1361" i="2" s="1"/>
  <c r="X1391" i="2" s="1"/>
  <c r="X1421" i="2" s="1"/>
  <c r="X1451" i="2" s="1"/>
  <c r="X1481" i="2" s="1"/>
  <c r="X1511" i="2" s="1"/>
  <c r="X1541" i="2" s="1"/>
  <c r="X1571" i="2" s="1"/>
  <c r="X1601" i="2" s="1"/>
  <c r="X1631" i="2" s="1"/>
  <c r="X1661" i="2" s="1"/>
  <c r="X1691" i="2" s="1"/>
  <c r="X1721" i="2" s="1"/>
  <c r="X1751" i="2" s="1"/>
  <c r="X1781" i="2" s="1"/>
  <c r="X1811" i="2" s="1"/>
  <c r="X1841" i="2" s="1"/>
  <c r="X1871" i="2" s="1"/>
  <c r="X1901" i="2" s="1"/>
  <c r="X1931" i="2" s="1"/>
  <c r="X1961" i="2" s="1"/>
  <c r="X1991" i="2" s="1"/>
  <c r="X2021" i="2" s="1"/>
  <c r="X2051" i="2" s="1"/>
  <c r="X2081" i="2" s="1"/>
  <c r="X2111" i="2" s="1"/>
  <c r="X2141" i="2" s="1"/>
  <c r="X2171" i="2" s="1"/>
  <c r="X2201" i="2" s="1"/>
  <c r="X2231" i="2" s="1"/>
  <c r="X2261" i="2" s="1"/>
  <c r="X2291" i="2" s="1"/>
  <c r="X2321" i="2" s="1"/>
  <c r="X2351" i="2" s="1"/>
  <c r="X2381" i="2" s="1"/>
  <c r="X256" i="2"/>
  <c r="X286" i="2" s="1"/>
  <c r="X316" i="2" s="1"/>
  <c r="X346" i="2" s="1"/>
  <c r="X376" i="2" s="1"/>
  <c r="X406" i="2" s="1"/>
  <c r="X436" i="2" s="1"/>
  <c r="X466" i="2" s="1"/>
  <c r="X496" i="2" s="1"/>
  <c r="X526" i="2" s="1"/>
  <c r="X556" i="2" s="1"/>
  <c r="X586" i="2" s="1"/>
  <c r="X616" i="2" s="1"/>
  <c r="X646" i="2" s="1"/>
  <c r="X676" i="2" s="1"/>
  <c r="X706" i="2" s="1"/>
  <c r="X736" i="2" s="1"/>
  <c r="X766" i="2" s="1"/>
  <c r="X796" i="2" s="1"/>
  <c r="X826" i="2" s="1"/>
  <c r="X856" i="2" s="1"/>
  <c r="X886" i="2" s="1"/>
  <c r="X916" i="2" s="1"/>
  <c r="X946" i="2" s="1"/>
  <c r="X976" i="2" s="1"/>
  <c r="X1006" i="2" s="1"/>
  <c r="X1036" i="2" s="1"/>
  <c r="X1066" i="2" s="1"/>
  <c r="X1096" i="2" s="1"/>
  <c r="X1126" i="2" s="1"/>
  <c r="X1156" i="2" s="1"/>
  <c r="X1186" i="2" s="1"/>
  <c r="X1216" i="2" s="1"/>
  <c r="X1246" i="2" s="1"/>
  <c r="X1276" i="2" s="1"/>
  <c r="X1306" i="2" s="1"/>
  <c r="X1336" i="2" s="1"/>
  <c r="X1366" i="2" s="1"/>
  <c r="X1396" i="2" s="1"/>
  <c r="X1426" i="2" s="1"/>
  <c r="X1456" i="2" s="1"/>
  <c r="X1486" i="2" s="1"/>
  <c r="X1516" i="2" s="1"/>
  <c r="X1546" i="2" s="1"/>
  <c r="X1576" i="2" s="1"/>
  <c r="X1606" i="2" s="1"/>
  <c r="X1636" i="2" s="1"/>
  <c r="X1666" i="2" s="1"/>
  <c r="X1696" i="2" s="1"/>
  <c r="X1726" i="2" s="1"/>
  <c r="X1756" i="2" s="1"/>
  <c r="X1786" i="2" s="1"/>
  <c r="X1816" i="2" s="1"/>
  <c r="X1846" i="2" s="1"/>
  <c r="X1876" i="2" s="1"/>
  <c r="X1906" i="2" s="1"/>
  <c r="X1936" i="2" s="1"/>
  <c r="X1966" i="2" s="1"/>
  <c r="X1996" i="2" s="1"/>
  <c r="X2026" i="2" s="1"/>
  <c r="X2056" i="2" s="1"/>
  <c r="X2086" i="2" s="1"/>
  <c r="X2116" i="2" s="1"/>
  <c r="X2146" i="2" s="1"/>
  <c r="X2176" i="2" s="1"/>
  <c r="X2206" i="2" s="1"/>
  <c r="X2236" i="2" s="1"/>
  <c r="X2266" i="2" s="1"/>
  <c r="X2296" i="2" s="1"/>
  <c r="X2326" i="2" s="1"/>
  <c r="X2356" i="2" s="1"/>
  <c r="X2386" i="2" s="1"/>
  <c r="X280" i="2"/>
  <c r="X310" i="2" s="1"/>
  <c r="X340" i="2" s="1"/>
  <c r="X370" i="2" s="1"/>
  <c r="X312" i="2"/>
  <c r="X342" i="2" s="1"/>
  <c r="X372" i="2" s="1"/>
  <c r="X402" i="2" s="1"/>
  <c r="X432" i="2" s="1"/>
  <c r="X462" i="2" s="1"/>
  <c r="X492" i="2" s="1"/>
  <c r="X522" i="2" s="1"/>
  <c r="X552" i="2" s="1"/>
  <c r="X582" i="2" s="1"/>
  <c r="X612" i="2" s="1"/>
  <c r="X642" i="2" s="1"/>
  <c r="X672" i="2" s="1"/>
  <c r="X702" i="2" s="1"/>
  <c r="X732" i="2" s="1"/>
  <c r="X762" i="2" s="1"/>
  <c r="X792" i="2" s="1"/>
  <c r="X822" i="2" s="1"/>
  <c r="X852" i="2" s="1"/>
  <c r="X882" i="2" s="1"/>
  <c r="X912" i="2" s="1"/>
  <c r="X942" i="2" s="1"/>
  <c r="X972" i="2" s="1"/>
  <c r="X1002" i="2" s="1"/>
  <c r="X1032" i="2" s="1"/>
  <c r="X1062" i="2" s="1"/>
  <c r="X1092" i="2" s="1"/>
  <c r="X1122" i="2" s="1"/>
  <c r="X1152" i="2" s="1"/>
  <c r="X1182" i="2" s="1"/>
  <c r="X1212" i="2" s="1"/>
  <c r="X1242" i="2" s="1"/>
  <c r="X1272" i="2" s="1"/>
  <c r="X1302" i="2" s="1"/>
  <c r="X1332" i="2" s="1"/>
  <c r="X1362" i="2" s="1"/>
  <c r="X1392" i="2" s="1"/>
  <c r="X1422" i="2" s="1"/>
  <c r="X1452" i="2" s="1"/>
  <c r="X1482" i="2" s="1"/>
  <c r="X1512" i="2" s="1"/>
  <c r="X1542" i="2" s="1"/>
  <c r="X1572" i="2" s="1"/>
  <c r="X1602" i="2" s="1"/>
  <c r="X1632" i="2" s="1"/>
  <c r="X1662" i="2" s="1"/>
  <c r="X1692" i="2" s="1"/>
  <c r="X1722" i="2" s="1"/>
  <c r="X1752" i="2" s="1"/>
  <c r="X1782" i="2" s="1"/>
  <c r="X1812" i="2" s="1"/>
  <c r="X1842" i="2" s="1"/>
  <c r="X1872" i="2" s="1"/>
  <c r="X1902" i="2" s="1"/>
  <c r="X1932" i="2" s="1"/>
  <c r="X1962" i="2" s="1"/>
  <c r="X1992" i="2" s="1"/>
  <c r="X2022" i="2" s="1"/>
  <c r="X2052" i="2" s="1"/>
  <c r="X2082" i="2" s="1"/>
  <c r="X2112" i="2" s="1"/>
  <c r="X2142" i="2" s="1"/>
  <c r="X2172" i="2" s="1"/>
  <c r="X2202" i="2" s="1"/>
  <c r="X2232" i="2" s="1"/>
  <c r="X2262" i="2" s="1"/>
  <c r="X2292" i="2" s="1"/>
  <c r="X2322" i="2" s="1"/>
  <c r="X2352" i="2" s="1"/>
  <c r="X2382" i="2" s="1"/>
  <c r="X325" i="2"/>
  <c r="X355" i="2" s="1"/>
  <c r="X385" i="2" s="1"/>
  <c r="X415" i="2" s="1"/>
  <c r="X445" i="2" s="1"/>
  <c r="X475" i="2" s="1"/>
  <c r="X505" i="2" s="1"/>
  <c r="X535" i="2" s="1"/>
  <c r="X565" i="2" s="1"/>
  <c r="X595" i="2" s="1"/>
  <c r="X625" i="2" s="1"/>
  <c r="X655" i="2" s="1"/>
  <c r="X685" i="2" s="1"/>
  <c r="X715" i="2" s="1"/>
  <c r="X745" i="2" s="1"/>
  <c r="X775" i="2" s="1"/>
  <c r="X805" i="2" s="1"/>
  <c r="X835" i="2" s="1"/>
  <c r="X865" i="2" s="1"/>
  <c r="X895" i="2" s="1"/>
  <c r="X925" i="2" s="1"/>
  <c r="X955" i="2" s="1"/>
  <c r="X985" i="2" s="1"/>
  <c r="X1015" i="2" s="1"/>
  <c r="X1045" i="2" s="1"/>
  <c r="X1075" i="2" s="1"/>
  <c r="X1105" i="2" s="1"/>
  <c r="X1135" i="2" s="1"/>
  <c r="X1165" i="2" s="1"/>
  <c r="X1195" i="2" s="1"/>
  <c r="X1225" i="2" s="1"/>
  <c r="X1255" i="2" s="1"/>
  <c r="X1285" i="2" s="1"/>
  <c r="X1315" i="2" s="1"/>
  <c r="X1345" i="2" s="1"/>
  <c r="X1375" i="2" s="1"/>
  <c r="X1405" i="2" s="1"/>
  <c r="X1435" i="2" s="1"/>
  <c r="X1465" i="2" s="1"/>
  <c r="X1495" i="2" s="1"/>
  <c r="X1525" i="2" s="1"/>
  <c r="X1555" i="2" s="1"/>
  <c r="X1585" i="2" s="1"/>
  <c r="X1615" i="2" s="1"/>
  <c r="X1645" i="2" s="1"/>
  <c r="X1675" i="2" s="1"/>
  <c r="X1705" i="2" s="1"/>
  <c r="X1735" i="2" s="1"/>
  <c r="X1765" i="2" s="1"/>
  <c r="X1795" i="2" s="1"/>
  <c r="X1825" i="2" s="1"/>
  <c r="X1855" i="2" s="1"/>
  <c r="X1885" i="2" s="1"/>
  <c r="X1915" i="2" s="1"/>
  <c r="X1945" i="2" s="1"/>
  <c r="X1975" i="2" s="1"/>
  <c r="X2005" i="2" s="1"/>
  <c r="X2035" i="2" s="1"/>
  <c r="X2065" i="2" s="1"/>
  <c r="X2095" i="2" s="1"/>
  <c r="X2125" i="2" s="1"/>
  <c r="X2155" i="2" s="1"/>
  <c r="X2185" i="2" s="1"/>
  <c r="X2215" i="2" s="1"/>
  <c r="X2245" i="2" s="1"/>
  <c r="X2275" i="2" s="1"/>
  <c r="X2305" i="2" s="1"/>
  <c r="X2335" i="2" s="1"/>
  <c r="X2365" i="2" s="1"/>
  <c r="X2395" i="2" s="1"/>
  <c r="X336" i="2"/>
  <c r="X366" i="2" s="1"/>
  <c r="X396" i="2" s="1"/>
  <c r="X426" i="2" s="1"/>
  <c r="X456" i="2" s="1"/>
  <c r="X486" i="2" s="1"/>
  <c r="X516" i="2" s="1"/>
  <c r="X546" i="2" s="1"/>
  <c r="X576" i="2" s="1"/>
  <c r="X606" i="2" s="1"/>
  <c r="X636" i="2" s="1"/>
  <c r="X666" i="2" s="1"/>
  <c r="X696" i="2" s="1"/>
  <c r="X726" i="2" s="1"/>
  <c r="X756" i="2" s="1"/>
  <c r="X786" i="2" s="1"/>
  <c r="X816" i="2" s="1"/>
  <c r="X846" i="2" s="1"/>
  <c r="X876" i="2" s="1"/>
  <c r="X352" i="2"/>
  <c r="X382" i="2" s="1"/>
  <c r="X412" i="2" s="1"/>
  <c r="X442" i="2" s="1"/>
  <c r="X472" i="2" s="1"/>
  <c r="X502" i="2" s="1"/>
  <c r="X532" i="2" s="1"/>
  <c r="X562" i="2" s="1"/>
  <c r="X592" i="2" s="1"/>
  <c r="X622" i="2" s="1"/>
  <c r="X652" i="2" s="1"/>
  <c r="X682" i="2" s="1"/>
  <c r="X712" i="2" s="1"/>
  <c r="X742" i="2" s="1"/>
  <c r="X772" i="2" s="1"/>
  <c r="X802" i="2" s="1"/>
  <c r="X832" i="2" s="1"/>
  <c r="X862" i="2" s="1"/>
  <c r="X892" i="2" s="1"/>
  <c r="X922" i="2" s="1"/>
  <c r="X952" i="2" s="1"/>
  <c r="X982" i="2" s="1"/>
  <c r="X1012" i="2" s="1"/>
  <c r="X1042" i="2" s="1"/>
  <c r="X1072" i="2" s="1"/>
  <c r="X1102" i="2" s="1"/>
  <c r="X1132" i="2" s="1"/>
  <c r="X1162" i="2" s="1"/>
  <c r="X1192" i="2" s="1"/>
  <c r="X1222" i="2" s="1"/>
  <c r="X1252" i="2" s="1"/>
  <c r="X1282" i="2" s="1"/>
  <c r="X1312" i="2" s="1"/>
  <c r="X1342" i="2" s="1"/>
  <c r="X1372" i="2" s="1"/>
  <c r="X1402" i="2" s="1"/>
  <c r="X1432" i="2" s="1"/>
  <c r="X1462" i="2" s="1"/>
  <c r="X1492" i="2" s="1"/>
  <c r="X1522" i="2" s="1"/>
  <c r="X1552" i="2" s="1"/>
  <c r="X1582" i="2" s="1"/>
  <c r="X1612" i="2" s="1"/>
  <c r="X1642" i="2" s="1"/>
  <c r="X1672" i="2" s="1"/>
  <c r="X1702" i="2" s="1"/>
  <c r="X1732" i="2" s="1"/>
  <c r="X1762" i="2" s="1"/>
  <c r="X1792" i="2" s="1"/>
  <c r="X1822" i="2" s="1"/>
  <c r="X1852" i="2" s="1"/>
  <c r="X1882" i="2" s="1"/>
  <c r="X1912" i="2" s="1"/>
  <c r="X1942" i="2" s="1"/>
  <c r="X1972" i="2" s="1"/>
  <c r="X2002" i="2" s="1"/>
  <c r="X2032" i="2" s="1"/>
  <c r="X2062" i="2" s="1"/>
  <c r="X2092" i="2" s="1"/>
  <c r="X2122" i="2" s="1"/>
  <c r="X2152" i="2" s="1"/>
  <c r="X2182" i="2" s="1"/>
  <c r="X2212" i="2" s="1"/>
  <c r="X2242" i="2" s="1"/>
  <c r="X2272" i="2" s="1"/>
  <c r="X2302" i="2" s="1"/>
  <c r="X2332" i="2" s="1"/>
  <c r="X2362" i="2" s="1"/>
  <c r="X2392" i="2" s="1"/>
  <c r="X368" i="2"/>
  <c r="X398" i="2" s="1"/>
  <c r="X428" i="2" s="1"/>
  <c r="X458" i="2" s="1"/>
  <c r="X488" i="2" s="1"/>
  <c r="X518" i="2" s="1"/>
  <c r="X548" i="2" s="1"/>
  <c r="X578" i="2" s="1"/>
  <c r="X608" i="2" s="1"/>
  <c r="X638" i="2" s="1"/>
  <c r="X668" i="2" s="1"/>
  <c r="X698" i="2" s="1"/>
  <c r="X728" i="2" s="1"/>
  <c r="X758" i="2" s="1"/>
  <c r="X788" i="2" s="1"/>
  <c r="X818" i="2" s="1"/>
  <c r="X848" i="2" s="1"/>
  <c r="X878" i="2" s="1"/>
  <c r="X908" i="2" s="1"/>
  <c r="X938" i="2" s="1"/>
  <c r="X968" i="2" s="1"/>
  <c r="X998" i="2" s="1"/>
  <c r="X1028" i="2" s="1"/>
  <c r="X1058" i="2" s="1"/>
  <c r="X1088" i="2" s="1"/>
  <c r="X1118" i="2" s="1"/>
  <c r="X1148" i="2" s="1"/>
  <c r="X1178" i="2" s="1"/>
  <c r="X1208" i="2" s="1"/>
  <c r="X1238" i="2" s="1"/>
  <c r="X1268" i="2" s="1"/>
  <c r="X1298" i="2" s="1"/>
  <c r="X1328" i="2" s="1"/>
  <c r="X1358" i="2" s="1"/>
  <c r="X1388" i="2" s="1"/>
  <c r="X1418" i="2" s="1"/>
  <c r="X1448" i="2" s="1"/>
  <c r="X1478" i="2" s="1"/>
  <c r="X1508" i="2" s="1"/>
  <c r="X1538" i="2" s="1"/>
  <c r="X1568" i="2" s="1"/>
  <c r="X1598" i="2" s="1"/>
  <c r="X1628" i="2" s="1"/>
  <c r="X1658" i="2" s="1"/>
  <c r="X1688" i="2" s="1"/>
  <c r="X1718" i="2" s="1"/>
  <c r="X1748" i="2" s="1"/>
  <c r="X1778" i="2" s="1"/>
  <c r="X1808" i="2" s="1"/>
  <c r="X1838" i="2" s="1"/>
  <c r="X1868" i="2" s="1"/>
  <c r="X1898" i="2" s="1"/>
  <c r="X1928" i="2" s="1"/>
  <c r="X1958" i="2" s="1"/>
  <c r="X1988" i="2" s="1"/>
  <c r="X2018" i="2" s="1"/>
  <c r="X2048" i="2" s="1"/>
  <c r="X2078" i="2" s="1"/>
  <c r="X2108" i="2" s="1"/>
  <c r="X2138" i="2" s="1"/>
  <c r="X2168" i="2" s="1"/>
  <c r="X2198" i="2" s="1"/>
  <c r="X2228" i="2" s="1"/>
  <c r="X2258" i="2" s="1"/>
  <c r="X2288" i="2" s="1"/>
  <c r="X2318" i="2" s="1"/>
  <c r="X2348" i="2" s="1"/>
  <c r="X2378" i="2" s="1"/>
  <c r="X384" i="2"/>
  <c r="X414" i="2" s="1"/>
  <c r="X400" i="2"/>
  <c r="X430" i="2" s="1"/>
  <c r="X460" i="2" s="1"/>
  <c r="X490" i="2" s="1"/>
  <c r="X520" i="2" s="1"/>
  <c r="X550" i="2" s="1"/>
  <c r="X580" i="2" s="1"/>
  <c r="X610" i="2" s="1"/>
  <c r="X640" i="2" s="1"/>
  <c r="X670" i="2" s="1"/>
  <c r="X700" i="2" s="1"/>
  <c r="X730" i="2" s="1"/>
  <c r="X760" i="2" s="1"/>
  <c r="X790" i="2" s="1"/>
  <c r="X820" i="2" s="1"/>
  <c r="X850" i="2" s="1"/>
  <c r="X880" i="2" s="1"/>
  <c r="X910" i="2" s="1"/>
  <c r="X940" i="2" s="1"/>
  <c r="X970" i="2" s="1"/>
  <c r="X1000" i="2" s="1"/>
  <c r="X1030" i="2" s="1"/>
  <c r="X1060" i="2" s="1"/>
  <c r="X1090" i="2" s="1"/>
  <c r="X1120" i="2" s="1"/>
  <c r="X1150" i="2" s="1"/>
  <c r="X1180" i="2" s="1"/>
  <c r="X1210" i="2" s="1"/>
  <c r="X1240" i="2" s="1"/>
  <c r="X1270" i="2" s="1"/>
  <c r="X1300" i="2" s="1"/>
  <c r="X1330" i="2" s="1"/>
  <c r="X1360" i="2" s="1"/>
  <c r="X1390" i="2" s="1"/>
  <c r="X1420" i="2" s="1"/>
  <c r="X1450" i="2" s="1"/>
  <c r="X1480" i="2" s="1"/>
  <c r="X1510" i="2" s="1"/>
  <c r="X1540" i="2" s="1"/>
  <c r="X1570" i="2" s="1"/>
  <c r="X1600" i="2" s="1"/>
  <c r="X1630" i="2" s="1"/>
  <c r="X1660" i="2" s="1"/>
  <c r="X1690" i="2" s="1"/>
  <c r="X1720" i="2" s="1"/>
  <c r="X1750" i="2" s="1"/>
  <c r="X1780" i="2" s="1"/>
  <c r="X1810" i="2" s="1"/>
  <c r="X1840" i="2" s="1"/>
  <c r="X1870" i="2" s="1"/>
  <c r="X1900" i="2" s="1"/>
  <c r="X1930" i="2" s="1"/>
  <c r="X1960" i="2" s="1"/>
  <c r="X1990" i="2" s="1"/>
  <c r="X2020" i="2" s="1"/>
  <c r="X2050" i="2" s="1"/>
  <c r="X2080" i="2" s="1"/>
  <c r="X2110" i="2" s="1"/>
  <c r="X2140" i="2" s="1"/>
  <c r="X2170" i="2" s="1"/>
  <c r="X2200" i="2" s="1"/>
  <c r="X2230" i="2" s="1"/>
  <c r="X2260" i="2" s="1"/>
  <c r="X2290" i="2" s="1"/>
  <c r="X2320" i="2" s="1"/>
  <c r="X2350" i="2" s="1"/>
  <c r="X2380" i="2" s="1"/>
  <c r="X444" i="2"/>
  <c r="X474" i="2" s="1"/>
  <c r="X504" i="2" s="1"/>
  <c r="X534" i="2" s="1"/>
  <c r="X564" i="2" s="1"/>
  <c r="X487" i="2"/>
  <c r="X503" i="2"/>
  <c r="X533" i="2" s="1"/>
  <c r="X563" i="2" s="1"/>
  <c r="X593" i="2" s="1"/>
  <c r="X623" i="2" s="1"/>
  <c r="X653" i="2" s="1"/>
  <c r="X683" i="2" s="1"/>
  <c r="X713" i="2" s="1"/>
  <c r="X743" i="2" s="1"/>
  <c r="X773" i="2" s="1"/>
  <c r="X803" i="2" s="1"/>
  <c r="X833" i="2" s="1"/>
  <c r="X863" i="2" s="1"/>
  <c r="X893" i="2" s="1"/>
  <c r="X923" i="2" s="1"/>
  <c r="X953" i="2" s="1"/>
  <c r="X983" i="2" s="1"/>
  <c r="X1013" i="2" s="1"/>
  <c r="X1043" i="2" s="1"/>
  <c r="X1073" i="2" s="1"/>
  <c r="X1103" i="2" s="1"/>
  <c r="X1133" i="2" s="1"/>
  <c r="X1163" i="2" s="1"/>
  <c r="X1193" i="2" s="1"/>
  <c r="X1223" i="2" s="1"/>
  <c r="X1253" i="2" s="1"/>
  <c r="X1283" i="2" s="1"/>
  <c r="X1313" i="2" s="1"/>
  <c r="X1343" i="2" s="1"/>
  <c r="X1373" i="2" s="1"/>
  <c r="X1403" i="2" s="1"/>
  <c r="X1433" i="2" s="1"/>
  <c r="X1463" i="2" s="1"/>
  <c r="X1493" i="2" s="1"/>
  <c r="X1523" i="2" s="1"/>
  <c r="X1553" i="2" s="1"/>
  <c r="X1583" i="2" s="1"/>
  <c r="X1613" i="2" s="1"/>
  <c r="X1643" i="2" s="1"/>
  <c r="X1673" i="2" s="1"/>
  <c r="X1703" i="2" s="1"/>
  <c r="X1733" i="2" s="1"/>
  <c r="X1763" i="2" s="1"/>
  <c r="X1793" i="2" s="1"/>
  <c r="X1823" i="2" s="1"/>
  <c r="X1853" i="2" s="1"/>
  <c r="X1883" i="2" s="1"/>
  <c r="X1913" i="2" s="1"/>
  <c r="X1943" i="2" s="1"/>
  <c r="X1973" i="2" s="1"/>
  <c r="X2003" i="2" s="1"/>
  <c r="X2033" i="2" s="1"/>
  <c r="X2063" i="2" s="1"/>
  <c r="X2093" i="2" s="1"/>
  <c r="X2123" i="2" s="1"/>
  <c r="X2153" i="2" s="1"/>
  <c r="X2183" i="2" s="1"/>
  <c r="X2213" i="2" s="1"/>
  <c r="X2243" i="2" s="1"/>
  <c r="X2273" i="2" s="1"/>
  <c r="X2303" i="2" s="1"/>
  <c r="X2333" i="2" s="1"/>
  <c r="X2363" i="2" s="1"/>
  <c r="X2393" i="2" s="1"/>
  <c r="X517" i="2"/>
  <c r="X547" i="2" s="1"/>
  <c r="X577" i="2" s="1"/>
  <c r="X607" i="2" s="1"/>
  <c r="X637" i="2" s="1"/>
  <c r="X667" i="2" s="1"/>
  <c r="X697" i="2" s="1"/>
  <c r="X727" i="2" s="1"/>
  <c r="X757" i="2" s="1"/>
  <c r="X787" i="2" s="1"/>
  <c r="X817" i="2" s="1"/>
  <c r="X847" i="2" s="1"/>
  <c r="X877" i="2" s="1"/>
  <c r="X907" i="2" s="1"/>
  <c r="X937" i="2" s="1"/>
  <c r="X967" i="2" s="1"/>
  <c r="X997" i="2" s="1"/>
  <c r="X1027" i="2" s="1"/>
  <c r="X1057" i="2" s="1"/>
  <c r="X1087" i="2" s="1"/>
  <c r="X1117" i="2" s="1"/>
  <c r="X1147" i="2" s="1"/>
  <c r="X1177" i="2" s="1"/>
  <c r="X1207" i="2" s="1"/>
  <c r="X1237" i="2" s="1"/>
  <c r="X1267" i="2" s="1"/>
  <c r="X1297" i="2" s="1"/>
  <c r="X1327" i="2" s="1"/>
  <c r="X1357" i="2" s="1"/>
  <c r="X1387" i="2" s="1"/>
  <c r="X1417" i="2" s="1"/>
  <c r="X1447" i="2" s="1"/>
  <c r="X1477" i="2" s="1"/>
  <c r="X1507" i="2" s="1"/>
  <c r="X1537" i="2" s="1"/>
  <c r="X1567" i="2" s="1"/>
  <c r="X1597" i="2" s="1"/>
  <c r="X1627" i="2" s="1"/>
  <c r="X1657" i="2" s="1"/>
  <c r="X1687" i="2" s="1"/>
  <c r="X1717" i="2" s="1"/>
  <c r="X1747" i="2" s="1"/>
  <c r="X1777" i="2" s="1"/>
  <c r="X1807" i="2" s="1"/>
  <c r="X1837" i="2" s="1"/>
  <c r="X1867" i="2" s="1"/>
  <c r="X1897" i="2" s="1"/>
  <c r="X1927" i="2" s="1"/>
  <c r="X1957" i="2" s="1"/>
  <c r="X1987" i="2" s="1"/>
  <c r="X2017" i="2" s="1"/>
  <c r="X2047" i="2" s="1"/>
  <c r="X2077" i="2" s="1"/>
  <c r="X2107" i="2" s="1"/>
  <c r="X2137" i="2" s="1"/>
  <c r="X2167" i="2" s="1"/>
  <c r="X2197" i="2" s="1"/>
  <c r="X2227" i="2" s="1"/>
  <c r="X2257" i="2" s="1"/>
  <c r="X2287" i="2" s="1"/>
  <c r="X2317" i="2" s="1"/>
  <c r="X2347" i="2" s="1"/>
  <c r="X2377" i="2" s="1"/>
  <c r="X528" i="2"/>
  <c r="X558" i="2" s="1"/>
  <c r="X588" i="2" s="1"/>
  <c r="X618" i="2" s="1"/>
  <c r="X648" i="2" s="1"/>
  <c r="X678" i="2" s="1"/>
  <c r="X708" i="2" s="1"/>
  <c r="X738" i="2" s="1"/>
  <c r="X768" i="2" s="1"/>
  <c r="X798" i="2" s="1"/>
  <c r="X828" i="2" s="1"/>
  <c r="X858" i="2" s="1"/>
  <c r="X888" i="2" s="1"/>
  <c r="X918" i="2" s="1"/>
  <c r="X948" i="2" s="1"/>
  <c r="X978" i="2" s="1"/>
  <c r="X1008" i="2" s="1"/>
  <c r="X1038" i="2" s="1"/>
  <c r="X1068" i="2" s="1"/>
  <c r="X1098" i="2" s="1"/>
  <c r="X1128" i="2" s="1"/>
  <c r="X1158" i="2" s="1"/>
  <c r="X1188" i="2" s="1"/>
  <c r="X1218" i="2" s="1"/>
  <c r="X1248" i="2" s="1"/>
  <c r="X1278" i="2" s="1"/>
  <c r="X1308" i="2" s="1"/>
  <c r="X1338" i="2" s="1"/>
  <c r="X1368" i="2" s="1"/>
  <c r="X1398" i="2" s="1"/>
  <c r="X1428" i="2" s="1"/>
  <c r="X1458" i="2" s="1"/>
  <c r="X1488" i="2" s="1"/>
  <c r="X1518" i="2" s="1"/>
  <c r="X1548" i="2" s="1"/>
  <c r="X1578" i="2" s="1"/>
  <c r="X1608" i="2" s="1"/>
  <c r="X1638" i="2" s="1"/>
  <c r="X1668" i="2" s="1"/>
  <c r="X1698" i="2" s="1"/>
  <c r="X1728" i="2" s="1"/>
  <c r="X1758" i="2" s="1"/>
  <c r="X1788" i="2" s="1"/>
  <c r="X1818" i="2" s="1"/>
  <c r="X1848" i="2" s="1"/>
  <c r="X1878" i="2" s="1"/>
  <c r="X1908" i="2" s="1"/>
  <c r="X1938" i="2" s="1"/>
  <c r="X1968" i="2" s="1"/>
  <c r="X1998" i="2" s="1"/>
  <c r="X2028" i="2" s="1"/>
  <c r="X2058" i="2" s="1"/>
  <c r="X2088" i="2" s="1"/>
  <c r="X2118" i="2" s="1"/>
  <c r="X2148" i="2" s="1"/>
  <c r="X2178" i="2" s="1"/>
  <c r="X2208" i="2" s="1"/>
  <c r="X2238" i="2" s="1"/>
  <c r="X2268" i="2" s="1"/>
  <c r="X2298" i="2" s="1"/>
  <c r="X2328" i="2" s="1"/>
  <c r="X2358" i="2" s="1"/>
  <c r="X2388" i="2" s="1"/>
  <c r="X594" i="2"/>
  <c r="X624" i="2" s="1"/>
  <c r="X654" i="2" s="1"/>
  <c r="X684" i="2" s="1"/>
  <c r="X714" i="2" s="1"/>
  <c r="X744" i="2" s="1"/>
  <c r="X774" i="2" s="1"/>
  <c r="X804" i="2" s="1"/>
  <c r="X834" i="2" s="1"/>
  <c r="X864" i="2" s="1"/>
  <c r="X894" i="2" s="1"/>
  <c r="X924" i="2" s="1"/>
  <c r="X954" i="2" s="1"/>
  <c r="X984" i="2" s="1"/>
  <c r="X1014" i="2" s="1"/>
  <c r="X1044" i="2" s="1"/>
  <c r="X1074" i="2" s="1"/>
  <c r="X1104" i="2" s="1"/>
  <c r="X1134" i="2" s="1"/>
  <c r="X1164" i="2" s="1"/>
  <c r="X1194" i="2" s="1"/>
  <c r="X1224" i="2" s="1"/>
  <c r="X1254" i="2" s="1"/>
  <c r="X1284" i="2" s="1"/>
  <c r="X1314" i="2" s="1"/>
  <c r="X1344" i="2" s="1"/>
  <c r="X1374" i="2" s="1"/>
  <c r="X1404" i="2" s="1"/>
  <c r="X1434" i="2" s="1"/>
  <c r="X1464" i="2" s="1"/>
  <c r="X1494" i="2" s="1"/>
  <c r="X1524" i="2" s="1"/>
  <c r="X1554" i="2" s="1"/>
  <c r="X1584" i="2" s="1"/>
  <c r="X1614" i="2" s="1"/>
  <c r="X1644" i="2" s="1"/>
  <c r="X1674" i="2" s="1"/>
  <c r="X1704" i="2" s="1"/>
  <c r="X1734" i="2" s="1"/>
  <c r="X1764" i="2" s="1"/>
  <c r="X1794" i="2" s="1"/>
  <c r="X1824" i="2" s="1"/>
  <c r="X1854" i="2" s="1"/>
  <c r="X1884" i="2" s="1"/>
  <c r="X1914" i="2" s="1"/>
  <c r="X1944" i="2" s="1"/>
  <c r="X1974" i="2" s="1"/>
  <c r="X2004" i="2" s="1"/>
  <c r="X2034" i="2" s="1"/>
  <c r="X2064" i="2" s="1"/>
  <c r="X2094" i="2" s="1"/>
  <c r="X2124" i="2" s="1"/>
  <c r="X2154" i="2" s="1"/>
  <c r="X2184" i="2" s="1"/>
  <c r="X2214" i="2" s="1"/>
  <c r="X2244" i="2" s="1"/>
  <c r="X2274" i="2" s="1"/>
  <c r="X2304" i="2" s="1"/>
  <c r="X2334" i="2" s="1"/>
  <c r="X2364" i="2" s="1"/>
  <c r="X2394" i="2" s="1"/>
  <c r="X906" i="2"/>
  <c r="X936" i="2" s="1"/>
  <c r="X966" i="2" s="1"/>
  <c r="X996" i="2" s="1"/>
  <c r="X1026" i="2" s="1"/>
  <c r="X1056" i="2" s="1"/>
  <c r="X1086" i="2" s="1"/>
  <c r="X1116" i="2" s="1"/>
  <c r="X1146" i="2" s="1"/>
  <c r="X1176" i="2" s="1"/>
  <c r="X1206" i="2" s="1"/>
  <c r="X1236" i="2" s="1"/>
  <c r="X1266" i="2" s="1"/>
  <c r="X1296" i="2" s="1"/>
  <c r="X1326" i="2" s="1"/>
  <c r="X1356" i="2" s="1"/>
  <c r="X1386" i="2" s="1"/>
  <c r="X1416" i="2" s="1"/>
  <c r="X1446" i="2" s="1"/>
  <c r="X1476" i="2" s="1"/>
  <c r="X1506" i="2" s="1"/>
  <c r="X1536" i="2" s="1"/>
  <c r="X1566" i="2" s="1"/>
  <c r="X1596" i="2" s="1"/>
  <c r="X1626" i="2" s="1"/>
  <c r="X1656" i="2" s="1"/>
  <c r="X1686" i="2" s="1"/>
  <c r="X1716" i="2" s="1"/>
  <c r="X1746" i="2" s="1"/>
  <c r="X1776" i="2" s="1"/>
  <c r="X1806" i="2" s="1"/>
  <c r="X1836" i="2" s="1"/>
  <c r="X1866" i="2" s="1"/>
  <c r="X1896" i="2" s="1"/>
  <c r="X1926" i="2" s="1"/>
  <c r="X1956" i="2" s="1"/>
  <c r="X1986" i="2" s="1"/>
  <c r="X2016" i="2" s="1"/>
  <c r="X2046" i="2" s="1"/>
  <c r="X2076" i="2" s="1"/>
  <c r="X2106" i="2" s="1"/>
  <c r="X2136" i="2" s="1"/>
  <c r="X2166" i="2" s="1"/>
  <c r="X2196" i="2" s="1"/>
  <c r="X2226" i="2" s="1"/>
  <c r="X2256" i="2" s="1"/>
  <c r="X2286" i="2" s="1"/>
  <c r="X2316" i="2" s="1"/>
  <c r="X2346" i="2" s="1"/>
  <c r="X2376" i="2" s="1"/>
  <c r="X1917" i="2"/>
  <c r="X1947" i="2" s="1"/>
  <c r="X1977" i="2" s="1"/>
  <c r="X2007" i="2" s="1"/>
  <c r="X2037" i="2"/>
  <c r="X2067" i="2" s="1"/>
  <c r="X2097" i="2" s="1"/>
  <c r="X2127" i="2" s="1"/>
  <c r="X2157" i="2" s="1"/>
  <c r="X2187" i="2" s="1"/>
  <c r="X2217" i="2" s="1"/>
  <c r="X2247" i="2" s="1"/>
  <c r="X2277" i="2" s="1"/>
  <c r="X2307" i="2" s="1"/>
  <c r="X2337" i="2" s="1"/>
  <c r="X2367" i="2" s="1"/>
  <c r="X2397" i="2" s="1"/>
  <c r="X32" i="2"/>
  <c r="X62" i="2" s="1"/>
  <c r="X92" i="2" s="1"/>
  <c r="X122" i="2" s="1"/>
  <c r="X152" i="2" s="1"/>
  <c r="X182" i="2" s="1"/>
  <c r="X212" i="2" s="1"/>
  <c r="X242" i="2" s="1"/>
  <c r="X272" i="2" s="1"/>
  <c r="X302" i="2" s="1"/>
  <c r="X332" i="2" s="1"/>
  <c r="X362" i="2" s="1"/>
  <c r="X392" i="2" s="1"/>
  <c r="X422" i="2" s="1"/>
  <c r="X452" i="2" s="1"/>
  <c r="X482" i="2" s="1"/>
  <c r="X512" i="2" s="1"/>
  <c r="X542" i="2" s="1"/>
  <c r="X572" i="2" s="1"/>
  <c r="X602" i="2" s="1"/>
  <c r="X632" i="2" s="1"/>
  <c r="X662" i="2" s="1"/>
  <c r="X692" i="2" s="1"/>
  <c r="X722" i="2" s="1"/>
  <c r="X752" i="2" s="1"/>
  <c r="X782" i="2" s="1"/>
  <c r="X812" i="2" s="1"/>
  <c r="X842" i="2" s="1"/>
  <c r="X872" i="2" s="1"/>
  <c r="X902" i="2" s="1"/>
  <c r="X932" i="2" s="1"/>
  <c r="X962" i="2" s="1"/>
  <c r="X992" i="2" s="1"/>
  <c r="X1022" i="2" s="1"/>
  <c r="X1052" i="2" s="1"/>
  <c r="X1082" i="2" s="1"/>
  <c r="X1112" i="2" s="1"/>
  <c r="X1142" i="2" s="1"/>
  <c r="X1172" i="2" s="1"/>
  <c r="X1202" i="2" s="1"/>
  <c r="X1232" i="2" s="1"/>
  <c r="X1262" i="2" s="1"/>
  <c r="X1292" i="2" s="1"/>
  <c r="X1322" i="2" s="1"/>
  <c r="X1352" i="2" s="1"/>
  <c r="X1382" i="2" s="1"/>
  <c r="X1412" i="2" s="1"/>
  <c r="X1442" i="2" s="1"/>
  <c r="X1472" i="2" s="1"/>
  <c r="X1502" i="2" s="1"/>
  <c r="X1532" i="2" s="1"/>
  <c r="X1562" i="2" s="1"/>
  <c r="X1592" i="2" s="1"/>
  <c r="X1622" i="2" s="1"/>
  <c r="X1652" i="2" s="1"/>
  <c r="X1682" i="2" s="1"/>
  <c r="X1712" i="2" s="1"/>
  <c r="X1742" i="2" s="1"/>
  <c r="X1772" i="2" s="1"/>
  <c r="X1802" i="2" s="1"/>
  <c r="X1832" i="2" s="1"/>
  <c r="X1862" i="2" s="1"/>
  <c r="X1892" i="2" s="1"/>
  <c r="X1922" i="2" s="1"/>
  <c r="X1952" i="2" s="1"/>
  <c r="X1982" i="2" s="1"/>
  <c r="X2012" i="2" s="1"/>
  <c r="X2042" i="2" s="1"/>
  <c r="X2072" i="2" s="1"/>
  <c r="X2102" i="2" s="1"/>
  <c r="X2132" i="2" s="1"/>
  <c r="X2162" i="2" s="1"/>
  <c r="X2192" i="2" s="1"/>
  <c r="X2222" i="2" s="1"/>
  <c r="X2252" i="2" s="1"/>
  <c r="X2282" i="2" s="1"/>
  <c r="X2312" i="2" s="1"/>
  <c r="X2342" i="2" s="1"/>
  <c r="X2372" i="2" s="1"/>
  <c r="U33" i="2"/>
  <c r="U63" i="2" s="1"/>
  <c r="U93" i="2" s="1"/>
  <c r="U123" i="2" s="1"/>
  <c r="U153" i="2" s="1"/>
  <c r="U183" i="2" s="1"/>
  <c r="U213" i="2" s="1"/>
  <c r="U243" i="2" s="1"/>
  <c r="V33" i="2"/>
  <c r="W33" i="2"/>
  <c r="W63" i="2" s="1"/>
  <c r="W93" i="2" s="1"/>
  <c r="W123" i="2" s="1"/>
  <c r="W153" i="2" s="1"/>
  <c r="W183" i="2" s="1"/>
  <c r="W213" i="2" s="1"/>
  <c r="U34" i="2"/>
  <c r="U64" i="2" s="1"/>
  <c r="U94" i="2" s="1"/>
  <c r="V34" i="2"/>
  <c r="W34" i="2"/>
  <c r="U35" i="2"/>
  <c r="U65" i="2" s="1"/>
  <c r="U95" i="2" s="1"/>
  <c r="U125" i="2" s="1"/>
  <c r="U155" i="2" s="1"/>
  <c r="U185" i="2" s="1"/>
  <c r="U215" i="2" s="1"/>
  <c r="U245" i="2" s="1"/>
  <c r="U275" i="2" s="1"/>
  <c r="U305" i="2" s="1"/>
  <c r="U335" i="2" s="1"/>
  <c r="U365" i="2" s="1"/>
  <c r="U395" i="2" s="1"/>
  <c r="U425" i="2" s="1"/>
  <c r="U455" i="2" s="1"/>
  <c r="U485" i="2" s="1"/>
  <c r="U515" i="2" s="1"/>
  <c r="U545" i="2" s="1"/>
  <c r="U575" i="2" s="1"/>
  <c r="U605" i="2" s="1"/>
  <c r="U635" i="2" s="1"/>
  <c r="U665" i="2" s="1"/>
  <c r="U695" i="2" s="1"/>
  <c r="U725" i="2" s="1"/>
  <c r="U755" i="2" s="1"/>
  <c r="U785" i="2" s="1"/>
  <c r="U815" i="2" s="1"/>
  <c r="U845" i="2" s="1"/>
  <c r="U875" i="2" s="1"/>
  <c r="U905" i="2" s="1"/>
  <c r="U935" i="2" s="1"/>
  <c r="U965" i="2" s="1"/>
  <c r="U995" i="2" s="1"/>
  <c r="U1025" i="2" s="1"/>
  <c r="U1055" i="2" s="1"/>
  <c r="U1085" i="2" s="1"/>
  <c r="U1115" i="2" s="1"/>
  <c r="U1145" i="2" s="1"/>
  <c r="U1175" i="2" s="1"/>
  <c r="U1205" i="2" s="1"/>
  <c r="U1235" i="2" s="1"/>
  <c r="U1265" i="2" s="1"/>
  <c r="U1295" i="2" s="1"/>
  <c r="U1325" i="2" s="1"/>
  <c r="U1355" i="2" s="1"/>
  <c r="U1385" i="2" s="1"/>
  <c r="U1415" i="2" s="1"/>
  <c r="U1445" i="2" s="1"/>
  <c r="U1475" i="2" s="1"/>
  <c r="U1505" i="2" s="1"/>
  <c r="U1535" i="2" s="1"/>
  <c r="U1565" i="2" s="1"/>
  <c r="U1595" i="2" s="1"/>
  <c r="U1625" i="2" s="1"/>
  <c r="U1655" i="2" s="1"/>
  <c r="U1685" i="2" s="1"/>
  <c r="U1715" i="2" s="1"/>
  <c r="U1745" i="2" s="1"/>
  <c r="U1775" i="2" s="1"/>
  <c r="U1805" i="2" s="1"/>
  <c r="U1835" i="2" s="1"/>
  <c r="U1865" i="2" s="1"/>
  <c r="U1895" i="2" s="1"/>
  <c r="U1925" i="2" s="1"/>
  <c r="U1955" i="2" s="1"/>
  <c r="U1985" i="2" s="1"/>
  <c r="U2015" i="2" s="1"/>
  <c r="U2045" i="2" s="1"/>
  <c r="U2075" i="2" s="1"/>
  <c r="U2105" i="2" s="1"/>
  <c r="U2135" i="2" s="1"/>
  <c r="U2165" i="2" s="1"/>
  <c r="U2195" i="2" s="1"/>
  <c r="U2225" i="2" s="1"/>
  <c r="U2255" i="2" s="1"/>
  <c r="U2285" i="2" s="1"/>
  <c r="U2315" i="2" s="1"/>
  <c r="U2345" i="2" s="1"/>
  <c r="U2375" i="2" s="1"/>
  <c r="V35" i="2"/>
  <c r="W35" i="2"/>
  <c r="W65" i="2" s="1"/>
  <c r="W95" i="2" s="1"/>
  <c r="W125" i="2" s="1"/>
  <c r="W155" i="2" s="1"/>
  <c r="W185" i="2" s="1"/>
  <c r="W215" i="2" s="1"/>
  <c r="W245" i="2" s="1"/>
  <c r="W275" i="2" s="1"/>
  <c r="W305" i="2" s="1"/>
  <c r="W335" i="2" s="1"/>
  <c r="W365" i="2" s="1"/>
  <c r="W395" i="2" s="1"/>
  <c r="W425" i="2" s="1"/>
  <c r="W455" i="2" s="1"/>
  <c r="W485" i="2" s="1"/>
  <c r="W515" i="2" s="1"/>
  <c r="W545" i="2" s="1"/>
  <c r="W575" i="2" s="1"/>
  <c r="W605" i="2" s="1"/>
  <c r="W635" i="2" s="1"/>
  <c r="W665" i="2" s="1"/>
  <c r="W695" i="2" s="1"/>
  <c r="W725" i="2" s="1"/>
  <c r="W755" i="2" s="1"/>
  <c r="W785" i="2" s="1"/>
  <c r="W815" i="2" s="1"/>
  <c r="W845" i="2" s="1"/>
  <c r="W875" i="2" s="1"/>
  <c r="W905" i="2" s="1"/>
  <c r="W935" i="2" s="1"/>
  <c r="W965" i="2" s="1"/>
  <c r="W995" i="2" s="1"/>
  <c r="W1025" i="2" s="1"/>
  <c r="W1055" i="2" s="1"/>
  <c r="W1085" i="2" s="1"/>
  <c r="W1115" i="2" s="1"/>
  <c r="W1145" i="2" s="1"/>
  <c r="W1175" i="2" s="1"/>
  <c r="W1205" i="2" s="1"/>
  <c r="W1235" i="2" s="1"/>
  <c r="W1265" i="2" s="1"/>
  <c r="W1295" i="2" s="1"/>
  <c r="W1325" i="2" s="1"/>
  <c r="W1355" i="2" s="1"/>
  <c r="W1385" i="2" s="1"/>
  <c r="W1415" i="2" s="1"/>
  <c r="W1445" i="2" s="1"/>
  <c r="W1475" i="2" s="1"/>
  <c r="W1505" i="2" s="1"/>
  <c r="W1535" i="2" s="1"/>
  <c r="W1565" i="2" s="1"/>
  <c r="W1595" i="2" s="1"/>
  <c r="W1625" i="2" s="1"/>
  <c r="W1655" i="2" s="1"/>
  <c r="W1685" i="2" s="1"/>
  <c r="W1715" i="2" s="1"/>
  <c r="W1745" i="2" s="1"/>
  <c r="W1775" i="2" s="1"/>
  <c r="W1805" i="2" s="1"/>
  <c r="W1835" i="2" s="1"/>
  <c r="W1865" i="2" s="1"/>
  <c r="W1895" i="2" s="1"/>
  <c r="W1925" i="2" s="1"/>
  <c r="W1955" i="2" s="1"/>
  <c r="W1985" i="2" s="1"/>
  <c r="W2015" i="2" s="1"/>
  <c r="W2045" i="2" s="1"/>
  <c r="W2075" i="2" s="1"/>
  <c r="W2105" i="2" s="1"/>
  <c r="W2135" i="2" s="1"/>
  <c r="W2165" i="2" s="1"/>
  <c r="W2195" i="2" s="1"/>
  <c r="W2225" i="2" s="1"/>
  <c r="W2255" i="2" s="1"/>
  <c r="W2285" i="2" s="1"/>
  <c r="W2315" i="2" s="1"/>
  <c r="W2345" i="2" s="1"/>
  <c r="W2375" i="2" s="1"/>
  <c r="U36" i="2"/>
  <c r="U66" i="2" s="1"/>
  <c r="U96" i="2" s="1"/>
  <c r="U126" i="2" s="1"/>
  <c r="U156" i="2" s="1"/>
  <c r="U186" i="2" s="1"/>
  <c r="U216" i="2" s="1"/>
  <c r="U246" i="2" s="1"/>
  <c r="U276" i="2" s="1"/>
  <c r="V36" i="2"/>
  <c r="V66" i="2" s="1"/>
  <c r="V96" i="2" s="1"/>
  <c r="V126" i="2" s="1"/>
  <c r="V156" i="2" s="1"/>
  <c r="V186" i="2" s="1"/>
  <c r="V216" i="2" s="1"/>
  <c r="V246" i="2" s="1"/>
  <c r="V276" i="2" s="1"/>
  <c r="V306" i="2" s="1"/>
  <c r="V336" i="2" s="1"/>
  <c r="V366" i="2" s="1"/>
  <c r="V396" i="2" s="1"/>
  <c r="V426" i="2" s="1"/>
  <c r="V456" i="2" s="1"/>
  <c r="V486" i="2" s="1"/>
  <c r="V516" i="2" s="1"/>
  <c r="V546" i="2" s="1"/>
  <c r="V576" i="2" s="1"/>
  <c r="V606" i="2" s="1"/>
  <c r="V636" i="2" s="1"/>
  <c r="V666" i="2" s="1"/>
  <c r="V696" i="2" s="1"/>
  <c r="V726" i="2" s="1"/>
  <c r="V756" i="2" s="1"/>
  <c r="W36" i="2"/>
  <c r="W66" i="2" s="1"/>
  <c r="W96" i="2" s="1"/>
  <c r="W126" i="2" s="1"/>
  <c r="W156" i="2" s="1"/>
  <c r="W186" i="2" s="1"/>
  <c r="W216" i="2" s="1"/>
  <c r="W246" i="2" s="1"/>
  <c r="W276" i="2" s="1"/>
  <c r="W306" i="2" s="1"/>
  <c r="W336" i="2" s="1"/>
  <c r="W366" i="2" s="1"/>
  <c r="W396" i="2" s="1"/>
  <c r="W426" i="2" s="1"/>
  <c r="W456" i="2" s="1"/>
  <c r="W486" i="2" s="1"/>
  <c r="W516" i="2" s="1"/>
  <c r="U37" i="2"/>
  <c r="U67" i="2" s="1"/>
  <c r="U97" i="2" s="1"/>
  <c r="U127" i="2" s="1"/>
  <c r="U157" i="2" s="1"/>
  <c r="U187" i="2" s="1"/>
  <c r="U217" i="2" s="1"/>
  <c r="U247" i="2" s="1"/>
  <c r="U277" i="2" s="1"/>
  <c r="U307" i="2" s="1"/>
  <c r="U337" i="2" s="1"/>
  <c r="U367" i="2" s="1"/>
  <c r="U397" i="2" s="1"/>
  <c r="U427" i="2" s="1"/>
  <c r="U457" i="2" s="1"/>
  <c r="U487" i="2" s="1"/>
  <c r="V37" i="2"/>
  <c r="V67" i="2" s="1"/>
  <c r="W37" i="2"/>
  <c r="W67" i="2" s="1"/>
  <c r="W97" i="2" s="1"/>
  <c r="W127" i="2" s="1"/>
  <c r="W157" i="2" s="1"/>
  <c r="W187" i="2" s="1"/>
  <c r="W217" i="2" s="1"/>
  <c r="W247" i="2" s="1"/>
  <c r="W277" i="2" s="1"/>
  <c r="W307" i="2" s="1"/>
  <c r="W337" i="2" s="1"/>
  <c r="W367" i="2" s="1"/>
  <c r="W397" i="2" s="1"/>
  <c r="W427" i="2" s="1"/>
  <c r="W457" i="2" s="1"/>
  <c r="W487" i="2" s="1"/>
  <c r="W517" i="2" s="1"/>
  <c r="U38" i="2"/>
  <c r="V38" i="2"/>
  <c r="W38" i="2"/>
  <c r="U39" i="2"/>
  <c r="U69" i="2" s="1"/>
  <c r="U99" i="2" s="1"/>
  <c r="U129" i="2" s="1"/>
  <c r="U159" i="2" s="1"/>
  <c r="U189" i="2" s="1"/>
  <c r="U219" i="2" s="1"/>
  <c r="U249" i="2" s="1"/>
  <c r="U279" i="2" s="1"/>
  <c r="U309" i="2" s="1"/>
  <c r="U339" i="2" s="1"/>
  <c r="U369" i="2" s="1"/>
  <c r="U399" i="2" s="1"/>
  <c r="U429" i="2" s="1"/>
  <c r="U459" i="2" s="1"/>
  <c r="U489" i="2" s="1"/>
  <c r="U519" i="2" s="1"/>
  <c r="U549" i="2" s="1"/>
  <c r="U579" i="2" s="1"/>
  <c r="U609" i="2" s="1"/>
  <c r="U639" i="2" s="1"/>
  <c r="U669" i="2" s="1"/>
  <c r="U699" i="2" s="1"/>
  <c r="U729" i="2" s="1"/>
  <c r="U759" i="2" s="1"/>
  <c r="U789" i="2" s="1"/>
  <c r="U819" i="2" s="1"/>
  <c r="U849" i="2" s="1"/>
  <c r="U879" i="2" s="1"/>
  <c r="U909" i="2" s="1"/>
  <c r="U939" i="2" s="1"/>
  <c r="U969" i="2" s="1"/>
  <c r="U999" i="2" s="1"/>
  <c r="U1029" i="2" s="1"/>
  <c r="U1059" i="2" s="1"/>
  <c r="U1089" i="2" s="1"/>
  <c r="U1119" i="2" s="1"/>
  <c r="U1149" i="2" s="1"/>
  <c r="U1179" i="2" s="1"/>
  <c r="U1209" i="2" s="1"/>
  <c r="U1239" i="2" s="1"/>
  <c r="U1269" i="2" s="1"/>
  <c r="U1299" i="2" s="1"/>
  <c r="U1329" i="2" s="1"/>
  <c r="U1359" i="2" s="1"/>
  <c r="U1389" i="2" s="1"/>
  <c r="U1419" i="2" s="1"/>
  <c r="U1449" i="2" s="1"/>
  <c r="U1479" i="2" s="1"/>
  <c r="U1509" i="2" s="1"/>
  <c r="U1539" i="2" s="1"/>
  <c r="U1569" i="2" s="1"/>
  <c r="U1599" i="2" s="1"/>
  <c r="U1629" i="2" s="1"/>
  <c r="U1659" i="2" s="1"/>
  <c r="U1689" i="2" s="1"/>
  <c r="U1719" i="2" s="1"/>
  <c r="U1749" i="2" s="1"/>
  <c r="U1779" i="2" s="1"/>
  <c r="U1809" i="2" s="1"/>
  <c r="U1839" i="2" s="1"/>
  <c r="U1869" i="2" s="1"/>
  <c r="U1899" i="2" s="1"/>
  <c r="U1929" i="2" s="1"/>
  <c r="U1959" i="2" s="1"/>
  <c r="U1989" i="2" s="1"/>
  <c r="U2019" i="2" s="1"/>
  <c r="U2049" i="2" s="1"/>
  <c r="U2079" i="2" s="1"/>
  <c r="U2109" i="2" s="1"/>
  <c r="U2139" i="2" s="1"/>
  <c r="U2169" i="2" s="1"/>
  <c r="U2199" i="2" s="1"/>
  <c r="U2229" i="2" s="1"/>
  <c r="U2259" i="2" s="1"/>
  <c r="U2289" i="2" s="1"/>
  <c r="U2319" i="2" s="1"/>
  <c r="U2349" i="2" s="1"/>
  <c r="U2379" i="2" s="1"/>
  <c r="V39" i="2"/>
  <c r="V69" i="2" s="1"/>
  <c r="V99" i="2" s="1"/>
  <c r="V129" i="2" s="1"/>
  <c r="V159" i="2" s="1"/>
  <c r="V189" i="2" s="1"/>
  <c r="V219" i="2" s="1"/>
  <c r="V249" i="2" s="1"/>
  <c r="V279" i="2" s="1"/>
  <c r="V309" i="2" s="1"/>
  <c r="V339" i="2" s="1"/>
  <c r="V369" i="2" s="1"/>
  <c r="V399" i="2" s="1"/>
  <c r="V429" i="2" s="1"/>
  <c r="V459" i="2" s="1"/>
  <c r="V489" i="2" s="1"/>
  <c r="V519" i="2" s="1"/>
  <c r="V549" i="2" s="1"/>
  <c r="V579" i="2" s="1"/>
  <c r="V609" i="2" s="1"/>
  <c r="V639" i="2" s="1"/>
  <c r="V669" i="2" s="1"/>
  <c r="V699" i="2" s="1"/>
  <c r="V729" i="2" s="1"/>
  <c r="V759" i="2" s="1"/>
  <c r="V789" i="2" s="1"/>
  <c r="V819" i="2" s="1"/>
  <c r="V849" i="2" s="1"/>
  <c r="V879" i="2" s="1"/>
  <c r="V909" i="2" s="1"/>
  <c r="V939" i="2" s="1"/>
  <c r="V969" i="2" s="1"/>
  <c r="V999" i="2" s="1"/>
  <c r="V1029" i="2" s="1"/>
  <c r="V1059" i="2" s="1"/>
  <c r="V1089" i="2" s="1"/>
  <c r="V1119" i="2" s="1"/>
  <c r="V1149" i="2" s="1"/>
  <c r="V1179" i="2" s="1"/>
  <c r="V1209" i="2" s="1"/>
  <c r="V1239" i="2" s="1"/>
  <c r="V1269" i="2" s="1"/>
  <c r="V1299" i="2" s="1"/>
  <c r="V1329" i="2" s="1"/>
  <c r="V1359" i="2" s="1"/>
  <c r="V1389" i="2" s="1"/>
  <c r="V1419" i="2" s="1"/>
  <c r="V1449" i="2" s="1"/>
  <c r="V1479" i="2" s="1"/>
  <c r="V1509" i="2" s="1"/>
  <c r="V1539" i="2" s="1"/>
  <c r="V1569" i="2" s="1"/>
  <c r="V1599" i="2" s="1"/>
  <c r="V1629" i="2" s="1"/>
  <c r="V1659" i="2" s="1"/>
  <c r="V1689" i="2" s="1"/>
  <c r="V1719" i="2" s="1"/>
  <c r="V1749" i="2" s="1"/>
  <c r="V1779" i="2" s="1"/>
  <c r="V1809" i="2" s="1"/>
  <c r="V1839" i="2" s="1"/>
  <c r="V1869" i="2" s="1"/>
  <c r="V1899" i="2" s="1"/>
  <c r="V1929" i="2" s="1"/>
  <c r="V1959" i="2" s="1"/>
  <c r="V1989" i="2" s="1"/>
  <c r="V2019" i="2" s="1"/>
  <c r="V2049" i="2" s="1"/>
  <c r="V2079" i="2" s="1"/>
  <c r="V2109" i="2" s="1"/>
  <c r="V2139" i="2" s="1"/>
  <c r="V2169" i="2" s="1"/>
  <c r="V2199" i="2" s="1"/>
  <c r="V2229" i="2" s="1"/>
  <c r="V2259" i="2" s="1"/>
  <c r="W39" i="2"/>
  <c r="W69" i="2" s="1"/>
  <c r="W99" i="2" s="1"/>
  <c r="W129" i="2" s="1"/>
  <c r="W159" i="2" s="1"/>
  <c r="W189" i="2" s="1"/>
  <c r="W219" i="2" s="1"/>
  <c r="W249" i="2" s="1"/>
  <c r="W279" i="2" s="1"/>
  <c r="W309" i="2" s="1"/>
  <c r="W339" i="2" s="1"/>
  <c r="W369" i="2" s="1"/>
  <c r="W399" i="2" s="1"/>
  <c r="W429" i="2" s="1"/>
  <c r="W459" i="2" s="1"/>
  <c r="W489" i="2" s="1"/>
  <c r="W519" i="2" s="1"/>
  <c r="W549" i="2" s="1"/>
  <c r="W579" i="2" s="1"/>
  <c r="W609" i="2" s="1"/>
  <c r="W639" i="2" s="1"/>
  <c r="W669" i="2" s="1"/>
  <c r="W699" i="2" s="1"/>
  <c r="W729" i="2" s="1"/>
  <c r="W759" i="2" s="1"/>
  <c r="W789" i="2" s="1"/>
  <c r="W819" i="2" s="1"/>
  <c r="W849" i="2" s="1"/>
  <c r="W879" i="2" s="1"/>
  <c r="W909" i="2" s="1"/>
  <c r="W939" i="2" s="1"/>
  <c r="W969" i="2" s="1"/>
  <c r="W999" i="2" s="1"/>
  <c r="W1029" i="2" s="1"/>
  <c r="W1059" i="2" s="1"/>
  <c r="W1089" i="2" s="1"/>
  <c r="W1119" i="2" s="1"/>
  <c r="W1149" i="2" s="1"/>
  <c r="W1179" i="2" s="1"/>
  <c r="W1209" i="2" s="1"/>
  <c r="W1239" i="2" s="1"/>
  <c r="W1269" i="2" s="1"/>
  <c r="W1299" i="2" s="1"/>
  <c r="W1329" i="2" s="1"/>
  <c r="W1359" i="2" s="1"/>
  <c r="W1389" i="2" s="1"/>
  <c r="W1419" i="2" s="1"/>
  <c r="W1449" i="2" s="1"/>
  <c r="W1479" i="2" s="1"/>
  <c r="W1509" i="2" s="1"/>
  <c r="W1539" i="2" s="1"/>
  <c r="W1569" i="2" s="1"/>
  <c r="W1599" i="2" s="1"/>
  <c r="W1629" i="2" s="1"/>
  <c r="W1659" i="2" s="1"/>
  <c r="W1689" i="2" s="1"/>
  <c r="W1719" i="2" s="1"/>
  <c r="W1749" i="2" s="1"/>
  <c r="W1779" i="2" s="1"/>
  <c r="W1809" i="2" s="1"/>
  <c r="W1839" i="2" s="1"/>
  <c r="W1869" i="2" s="1"/>
  <c r="W1899" i="2" s="1"/>
  <c r="W1929" i="2" s="1"/>
  <c r="W1959" i="2" s="1"/>
  <c r="W1989" i="2" s="1"/>
  <c r="W2019" i="2" s="1"/>
  <c r="W2049" i="2" s="1"/>
  <c r="W2079" i="2" s="1"/>
  <c r="W2109" i="2" s="1"/>
  <c r="W2139" i="2" s="1"/>
  <c r="W2169" i="2" s="1"/>
  <c r="W2199" i="2" s="1"/>
  <c r="W2229" i="2" s="1"/>
  <c r="W2259" i="2" s="1"/>
  <c r="W2289" i="2" s="1"/>
  <c r="W2319" i="2" s="1"/>
  <c r="W2349" i="2" s="1"/>
  <c r="W2379" i="2" s="1"/>
  <c r="U40" i="2"/>
  <c r="V40" i="2"/>
  <c r="V70" i="2" s="1"/>
  <c r="V100" i="2" s="1"/>
  <c r="V130" i="2" s="1"/>
  <c r="V160" i="2" s="1"/>
  <c r="V190" i="2" s="1"/>
  <c r="V220" i="2" s="1"/>
  <c r="V250" i="2" s="1"/>
  <c r="V280" i="2" s="1"/>
  <c r="V310" i="2" s="1"/>
  <c r="V340" i="2" s="1"/>
  <c r="V370" i="2" s="1"/>
  <c r="V400" i="2" s="1"/>
  <c r="V430" i="2" s="1"/>
  <c r="V460" i="2" s="1"/>
  <c r="V490" i="2" s="1"/>
  <c r="V520" i="2" s="1"/>
  <c r="V550" i="2" s="1"/>
  <c r="V580" i="2" s="1"/>
  <c r="V610" i="2" s="1"/>
  <c r="V640" i="2" s="1"/>
  <c r="V670" i="2" s="1"/>
  <c r="V700" i="2" s="1"/>
  <c r="V730" i="2" s="1"/>
  <c r="V760" i="2" s="1"/>
  <c r="V790" i="2" s="1"/>
  <c r="V820" i="2" s="1"/>
  <c r="V850" i="2" s="1"/>
  <c r="V880" i="2" s="1"/>
  <c r="V910" i="2" s="1"/>
  <c r="V940" i="2" s="1"/>
  <c r="V970" i="2" s="1"/>
  <c r="V1000" i="2" s="1"/>
  <c r="V1030" i="2" s="1"/>
  <c r="V1060" i="2" s="1"/>
  <c r="V1090" i="2" s="1"/>
  <c r="V1120" i="2" s="1"/>
  <c r="V1150" i="2" s="1"/>
  <c r="V1180" i="2" s="1"/>
  <c r="V1210" i="2" s="1"/>
  <c r="V1240" i="2" s="1"/>
  <c r="V1270" i="2" s="1"/>
  <c r="V1300" i="2" s="1"/>
  <c r="V1330" i="2" s="1"/>
  <c r="V1360" i="2" s="1"/>
  <c r="V1390" i="2" s="1"/>
  <c r="V1420" i="2" s="1"/>
  <c r="V1450" i="2" s="1"/>
  <c r="V1480" i="2" s="1"/>
  <c r="V1510" i="2" s="1"/>
  <c r="V1540" i="2" s="1"/>
  <c r="V1570" i="2" s="1"/>
  <c r="V1600" i="2" s="1"/>
  <c r="V1630" i="2" s="1"/>
  <c r="V1660" i="2" s="1"/>
  <c r="V1690" i="2" s="1"/>
  <c r="V1720" i="2" s="1"/>
  <c r="V1750" i="2" s="1"/>
  <c r="V1780" i="2" s="1"/>
  <c r="V1810" i="2" s="1"/>
  <c r="V1840" i="2" s="1"/>
  <c r="V1870" i="2" s="1"/>
  <c r="V1900" i="2" s="1"/>
  <c r="V1930" i="2" s="1"/>
  <c r="V1960" i="2" s="1"/>
  <c r="V1990" i="2" s="1"/>
  <c r="V2020" i="2" s="1"/>
  <c r="V2050" i="2" s="1"/>
  <c r="V2080" i="2" s="1"/>
  <c r="V2110" i="2" s="1"/>
  <c r="V2140" i="2" s="1"/>
  <c r="V2170" i="2" s="1"/>
  <c r="V2200" i="2" s="1"/>
  <c r="V2230" i="2" s="1"/>
  <c r="V2260" i="2" s="1"/>
  <c r="V2290" i="2" s="1"/>
  <c r="V2320" i="2" s="1"/>
  <c r="V2350" i="2" s="1"/>
  <c r="V2380" i="2" s="1"/>
  <c r="W40" i="2"/>
  <c r="W70" i="2" s="1"/>
  <c r="W100" i="2" s="1"/>
  <c r="W130" i="2" s="1"/>
  <c r="W160" i="2" s="1"/>
  <c r="W190" i="2" s="1"/>
  <c r="W220" i="2" s="1"/>
  <c r="W250" i="2" s="1"/>
  <c r="W280" i="2" s="1"/>
  <c r="W310" i="2" s="1"/>
  <c r="W340" i="2" s="1"/>
  <c r="W370" i="2" s="1"/>
  <c r="W400" i="2" s="1"/>
  <c r="W430" i="2" s="1"/>
  <c r="W460" i="2" s="1"/>
  <c r="U41" i="2"/>
  <c r="U71" i="2" s="1"/>
  <c r="U101" i="2" s="1"/>
  <c r="U131" i="2" s="1"/>
  <c r="U161" i="2" s="1"/>
  <c r="U191" i="2" s="1"/>
  <c r="U221" i="2" s="1"/>
  <c r="U251" i="2" s="1"/>
  <c r="V41" i="2"/>
  <c r="W41" i="2"/>
  <c r="W71" i="2" s="1"/>
  <c r="W101" i="2" s="1"/>
  <c r="W131" i="2" s="1"/>
  <c r="W161" i="2" s="1"/>
  <c r="W191" i="2" s="1"/>
  <c r="W221" i="2" s="1"/>
  <c r="W251" i="2" s="1"/>
  <c r="W281" i="2" s="1"/>
  <c r="W311" i="2" s="1"/>
  <c r="W341" i="2" s="1"/>
  <c r="W371" i="2" s="1"/>
  <c r="W401" i="2" s="1"/>
  <c r="W431" i="2" s="1"/>
  <c r="W461" i="2" s="1"/>
  <c r="W491" i="2" s="1"/>
  <c r="W521" i="2" s="1"/>
  <c r="W551" i="2" s="1"/>
  <c r="W581" i="2" s="1"/>
  <c r="U42" i="2"/>
  <c r="U72" i="2" s="1"/>
  <c r="U102" i="2" s="1"/>
  <c r="U132" i="2" s="1"/>
  <c r="U162" i="2" s="1"/>
  <c r="U192" i="2" s="1"/>
  <c r="U222" i="2" s="1"/>
  <c r="U252" i="2" s="1"/>
  <c r="U282" i="2" s="1"/>
  <c r="U312" i="2" s="1"/>
  <c r="U342" i="2" s="1"/>
  <c r="U372" i="2" s="1"/>
  <c r="U402" i="2" s="1"/>
  <c r="U432" i="2" s="1"/>
  <c r="U462" i="2" s="1"/>
  <c r="U492" i="2" s="1"/>
  <c r="U522" i="2" s="1"/>
  <c r="U552" i="2" s="1"/>
  <c r="U582" i="2" s="1"/>
  <c r="U612" i="2" s="1"/>
  <c r="U642" i="2" s="1"/>
  <c r="U672" i="2" s="1"/>
  <c r="U702" i="2" s="1"/>
  <c r="U732" i="2" s="1"/>
  <c r="U762" i="2" s="1"/>
  <c r="U792" i="2" s="1"/>
  <c r="U822" i="2" s="1"/>
  <c r="U852" i="2" s="1"/>
  <c r="U882" i="2" s="1"/>
  <c r="U912" i="2" s="1"/>
  <c r="U942" i="2" s="1"/>
  <c r="U972" i="2" s="1"/>
  <c r="U1002" i="2" s="1"/>
  <c r="U1032" i="2" s="1"/>
  <c r="U1062" i="2" s="1"/>
  <c r="U1092" i="2" s="1"/>
  <c r="U1122" i="2" s="1"/>
  <c r="U1152" i="2" s="1"/>
  <c r="U1182" i="2" s="1"/>
  <c r="U1212" i="2" s="1"/>
  <c r="U1242" i="2" s="1"/>
  <c r="U1272" i="2" s="1"/>
  <c r="U1302" i="2" s="1"/>
  <c r="U1332" i="2" s="1"/>
  <c r="U1362" i="2" s="1"/>
  <c r="U1392" i="2" s="1"/>
  <c r="U1422" i="2" s="1"/>
  <c r="U1452" i="2" s="1"/>
  <c r="U1482" i="2" s="1"/>
  <c r="U1512" i="2" s="1"/>
  <c r="U1542" i="2" s="1"/>
  <c r="U1572" i="2" s="1"/>
  <c r="U1602" i="2" s="1"/>
  <c r="U1632" i="2" s="1"/>
  <c r="U1662" i="2" s="1"/>
  <c r="U1692" i="2" s="1"/>
  <c r="U1722" i="2" s="1"/>
  <c r="U1752" i="2" s="1"/>
  <c r="U1782" i="2" s="1"/>
  <c r="U1812" i="2" s="1"/>
  <c r="U1842" i="2" s="1"/>
  <c r="U1872" i="2" s="1"/>
  <c r="U1902" i="2" s="1"/>
  <c r="U1932" i="2" s="1"/>
  <c r="U1962" i="2" s="1"/>
  <c r="U1992" i="2" s="1"/>
  <c r="U2022" i="2" s="1"/>
  <c r="U2052" i="2" s="1"/>
  <c r="U2082" i="2" s="1"/>
  <c r="U2112" i="2" s="1"/>
  <c r="U2142" i="2" s="1"/>
  <c r="U2172" i="2" s="1"/>
  <c r="U2202" i="2" s="1"/>
  <c r="U2232" i="2" s="1"/>
  <c r="U2262" i="2" s="1"/>
  <c r="U2292" i="2" s="1"/>
  <c r="U2322" i="2" s="1"/>
  <c r="U2352" i="2" s="1"/>
  <c r="U2382" i="2" s="1"/>
  <c r="V42" i="2"/>
  <c r="V72" i="2" s="1"/>
  <c r="V102" i="2" s="1"/>
  <c r="V132" i="2" s="1"/>
  <c r="V162" i="2" s="1"/>
  <c r="V192" i="2" s="1"/>
  <c r="V222" i="2" s="1"/>
  <c r="V252" i="2" s="1"/>
  <c r="V282" i="2" s="1"/>
  <c r="V312" i="2" s="1"/>
  <c r="V342" i="2" s="1"/>
  <c r="V372" i="2" s="1"/>
  <c r="V402" i="2" s="1"/>
  <c r="V432" i="2" s="1"/>
  <c r="V462" i="2" s="1"/>
  <c r="V492" i="2" s="1"/>
  <c r="V522" i="2" s="1"/>
  <c r="V552" i="2" s="1"/>
  <c r="V582" i="2" s="1"/>
  <c r="V612" i="2" s="1"/>
  <c r="V642" i="2" s="1"/>
  <c r="V672" i="2" s="1"/>
  <c r="V702" i="2" s="1"/>
  <c r="V732" i="2" s="1"/>
  <c r="V762" i="2" s="1"/>
  <c r="V792" i="2" s="1"/>
  <c r="V822" i="2" s="1"/>
  <c r="V852" i="2" s="1"/>
  <c r="V882" i="2" s="1"/>
  <c r="V912" i="2" s="1"/>
  <c r="V942" i="2" s="1"/>
  <c r="V972" i="2" s="1"/>
  <c r="V1002" i="2" s="1"/>
  <c r="V1032" i="2" s="1"/>
  <c r="V1062" i="2" s="1"/>
  <c r="V1092" i="2" s="1"/>
  <c r="V1122" i="2" s="1"/>
  <c r="V1152" i="2" s="1"/>
  <c r="V1182" i="2" s="1"/>
  <c r="V1212" i="2" s="1"/>
  <c r="V1242" i="2" s="1"/>
  <c r="V1272" i="2" s="1"/>
  <c r="V1302" i="2" s="1"/>
  <c r="V1332" i="2" s="1"/>
  <c r="V1362" i="2" s="1"/>
  <c r="V1392" i="2" s="1"/>
  <c r="V1422" i="2" s="1"/>
  <c r="V1452" i="2" s="1"/>
  <c r="V1482" i="2" s="1"/>
  <c r="V1512" i="2" s="1"/>
  <c r="V1542" i="2" s="1"/>
  <c r="V1572" i="2" s="1"/>
  <c r="V1602" i="2" s="1"/>
  <c r="V1632" i="2" s="1"/>
  <c r="V1662" i="2" s="1"/>
  <c r="V1692" i="2" s="1"/>
  <c r="V1722" i="2" s="1"/>
  <c r="V1752" i="2" s="1"/>
  <c r="V1782" i="2" s="1"/>
  <c r="V1812" i="2" s="1"/>
  <c r="V1842" i="2" s="1"/>
  <c r="V1872" i="2" s="1"/>
  <c r="V1902" i="2" s="1"/>
  <c r="V1932" i="2" s="1"/>
  <c r="V1962" i="2" s="1"/>
  <c r="V1992" i="2" s="1"/>
  <c r="V2022" i="2" s="1"/>
  <c r="V2052" i="2" s="1"/>
  <c r="V2082" i="2" s="1"/>
  <c r="V2112" i="2" s="1"/>
  <c r="V2142" i="2" s="1"/>
  <c r="V2172" i="2" s="1"/>
  <c r="V2202" i="2" s="1"/>
  <c r="V2232" i="2" s="1"/>
  <c r="V2262" i="2" s="1"/>
  <c r="V2292" i="2" s="1"/>
  <c r="V2322" i="2" s="1"/>
  <c r="V2352" i="2" s="1"/>
  <c r="V2382" i="2" s="1"/>
  <c r="W42" i="2"/>
  <c r="W72" i="2" s="1"/>
  <c r="W102" i="2" s="1"/>
  <c r="W132" i="2" s="1"/>
  <c r="W162" i="2" s="1"/>
  <c r="W192" i="2" s="1"/>
  <c r="W222" i="2" s="1"/>
  <c r="W252" i="2" s="1"/>
  <c r="W282" i="2" s="1"/>
  <c r="W312" i="2" s="1"/>
  <c r="W342" i="2" s="1"/>
  <c r="W372" i="2" s="1"/>
  <c r="W402" i="2" s="1"/>
  <c r="W432" i="2" s="1"/>
  <c r="W462" i="2" s="1"/>
  <c r="W492" i="2" s="1"/>
  <c r="W522" i="2" s="1"/>
  <c r="W552" i="2" s="1"/>
  <c r="W582" i="2" s="1"/>
  <c r="W612" i="2" s="1"/>
  <c r="W642" i="2" s="1"/>
  <c r="W672" i="2" s="1"/>
  <c r="W702" i="2" s="1"/>
  <c r="W732" i="2" s="1"/>
  <c r="W762" i="2" s="1"/>
  <c r="W792" i="2" s="1"/>
  <c r="W822" i="2" s="1"/>
  <c r="W852" i="2" s="1"/>
  <c r="W882" i="2" s="1"/>
  <c r="W912" i="2" s="1"/>
  <c r="W942" i="2" s="1"/>
  <c r="W972" i="2" s="1"/>
  <c r="W1002" i="2" s="1"/>
  <c r="W1032" i="2" s="1"/>
  <c r="W1062" i="2" s="1"/>
  <c r="W1092" i="2" s="1"/>
  <c r="W1122" i="2" s="1"/>
  <c r="W1152" i="2" s="1"/>
  <c r="W1182" i="2" s="1"/>
  <c r="W1212" i="2" s="1"/>
  <c r="W1242" i="2" s="1"/>
  <c r="W1272" i="2" s="1"/>
  <c r="W1302" i="2" s="1"/>
  <c r="W1332" i="2" s="1"/>
  <c r="W1362" i="2" s="1"/>
  <c r="W1392" i="2" s="1"/>
  <c r="W1422" i="2" s="1"/>
  <c r="W1452" i="2" s="1"/>
  <c r="W1482" i="2" s="1"/>
  <c r="W1512" i="2" s="1"/>
  <c r="W1542" i="2" s="1"/>
  <c r="W1572" i="2" s="1"/>
  <c r="W1602" i="2" s="1"/>
  <c r="W1632" i="2" s="1"/>
  <c r="W1662" i="2" s="1"/>
  <c r="W1692" i="2" s="1"/>
  <c r="W1722" i="2" s="1"/>
  <c r="W1752" i="2" s="1"/>
  <c r="W1782" i="2" s="1"/>
  <c r="W1812" i="2" s="1"/>
  <c r="W1842" i="2" s="1"/>
  <c r="W1872" i="2" s="1"/>
  <c r="W1902" i="2" s="1"/>
  <c r="W1932" i="2" s="1"/>
  <c r="W1962" i="2" s="1"/>
  <c r="W1992" i="2" s="1"/>
  <c r="W2022" i="2" s="1"/>
  <c r="W2052" i="2" s="1"/>
  <c r="W2082" i="2" s="1"/>
  <c r="W2112" i="2" s="1"/>
  <c r="W2142" i="2" s="1"/>
  <c r="W2172" i="2" s="1"/>
  <c r="W2202" i="2" s="1"/>
  <c r="W2232" i="2" s="1"/>
  <c r="W2262" i="2" s="1"/>
  <c r="W2292" i="2" s="1"/>
  <c r="W2322" i="2" s="1"/>
  <c r="W2352" i="2" s="1"/>
  <c r="W2382" i="2" s="1"/>
  <c r="U43" i="2"/>
  <c r="U73" i="2" s="1"/>
  <c r="U103" i="2" s="1"/>
  <c r="U133" i="2" s="1"/>
  <c r="V43" i="2"/>
  <c r="V73" i="2" s="1"/>
  <c r="V103" i="2" s="1"/>
  <c r="V133" i="2" s="1"/>
  <c r="V163" i="2" s="1"/>
  <c r="V193" i="2" s="1"/>
  <c r="V223" i="2" s="1"/>
  <c r="V253" i="2" s="1"/>
  <c r="V283" i="2" s="1"/>
  <c r="V313" i="2" s="1"/>
  <c r="V343" i="2" s="1"/>
  <c r="V373" i="2" s="1"/>
  <c r="V403" i="2" s="1"/>
  <c r="V433" i="2" s="1"/>
  <c r="V463" i="2" s="1"/>
  <c r="V493" i="2" s="1"/>
  <c r="V523" i="2" s="1"/>
  <c r="V553" i="2" s="1"/>
  <c r="V583" i="2" s="1"/>
  <c r="V613" i="2" s="1"/>
  <c r="V643" i="2" s="1"/>
  <c r="V673" i="2" s="1"/>
  <c r="V703" i="2" s="1"/>
  <c r="V733" i="2" s="1"/>
  <c r="V763" i="2" s="1"/>
  <c r="V793" i="2" s="1"/>
  <c r="V823" i="2" s="1"/>
  <c r="V853" i="2" s="1"/>
  <c r="V883" i="2" s="1"/>
  <c r="V913" i="2" s="1"/>
  <c r="V943" i="2" s="1"/>
  <c r="V973" i="2" s="1"/>
  <c r="V1003" i="2" s="1"/>
  <c r="V1033" i="2" s="1"/>
  <c r="V1063" i="2" s="1"/>
  <c r="V1093" i="2" s="1"/>
  <c r="V1123" i="2" s="1"/>
  <c r="V1153" i="2" s="1"/>
  <c r="V1183" i="2" s="1"/>
  <c r="V1213" i="2" s="1"/>
  <c r="V1243" i="2" s="1"/>
  <c r="V1273" i="2" s="1"/>
  <c r="V1303" i="2" s="1"/>
  <c r="V1333" i="2" s="1"/>
  <c r="V1363" i="2" s="1"/>
  <c r="V1393" i="2" s="1"/>
  <c r="V1423" i="2" s="1"/>
  <c r="V1453" i="2" s="1"/>
  <c r="V1483" i="2" s="1"/>
  <c r="V1513" i="2" s="1"/>
  <c r="V1543" i="2" s="1"/>
  <c r="V1573" i="2" s="1"/>
  <c r="V1603" i="2" s="1"/>
  <c r="V1633" i="2" s="1"/>
  <c r="V1663" i="2" s="1"/>
  <c r="V1693" i="2" s="1"/>
  <c r="V1723" i="2" s="1"/>
  <c r="V1753" i="2" s="1"/>
  <c r="V1783" i="2" s="1"/>
  <c r="V1813" i="2" s="1"/>
  <c r="V1843" i="2" s="1"/>
  <c r="V1873" i="2" s="1"/>
  <c r="V1903" i="2" s="1"/>
  <c r="V1933" i="2" s="1"/>
  <c r="V1963" i="2" s="1"/>
  <c r="V1993" i="2" s="1"/>
  <c r="V2023" i="2" s="1"/>
  <c r="V2053" i="2" s="1"/>
  <c r="V2083" i="2" s="1"/>
  <c r="V2113" i="2" s="1"/>
  <c r="V2143" i="2" s="1"/>
  <c r="V2173" i="2" s="1"/>
  <c r="V2203" i="2" s="1"/>
  <c r="V2233" i="2" s="1"/>
  <c r="V2263" i="2" s="1"/>
  <c r="V2293" i="2" s="1"/>
  <c r="V2323" i="2" s="1"/>
  <c r="V2353" i="2" s="1"/>
  <c r="V2383" i="2" s="1"/>
  <c r="W43" i="2"/>
  <c r="W73" i="2" s="1"/>
  <c r="W103" i="2" s="1"/>
  <c r="W133" i="2" s="1"/>
  <c r="W163" i="2" s="1"/>
  <c r="W193" i="2" s="1"/>
  <c r="W223" i="2" s="1"/>
  <c r="W253" i="2" s="1"/>
  <c r="W283" i="2" s="1"/>
  <c r="W313" i="2" s="1"/>
  <c r="W343" i="2" s="1"/>
  <c r="W373" i="2" s="1"/>
  <c r="W403" i="2" s="1"/>
  <c r="W433" i="2" s="1"/>
  <c r="W463" i="2" s="1"/>
  <c r="W493" i="2" s="1"/>
  <c r="W523" i="2" s="1"/>
  <c r="W553" i="2" s="1"/>
  <c r="W583" i="2" s="1"/>
  <c r="W613" i="2" s="1"/>
  <c r="W643" i="2" s="1"/>
  <c r="W673" i="2" s="1"/>
  <c r="W703" i="2" s="1"/>
  <c r="W733" i="2" s="1"/>
  <c r="W763" i="2" s="1"/>
  <c r="W793" i="2" s="1"/>
  <c r="W823" i="2" s="1"/>
  <c r="W853" i="2" s="1"/>
  <c r="W883" i="2" s="1"/>
  <c r="W913" i="2" s="1"/>
  <c r="W943" i="2" s="1"/>
  <c r="W973" i="2" s="1"/>
  <c r="W1003" i="2" s="1"/>
  <c r="W1033" i="2" s="1"/>
  <c r="W1063" i="2" s="1"/>
  <c r="W1093" i="2" s="1"/>
  <c r="W1123" i="2" s="1"/>
  <c r="W1153" i="2" s="1"/>
  <c r="W1183" i="2" s="1"/>
  <c r="W1213" i="2" s="1"/>
  <c r="W1243" i="2" s="1"/>
  <c r="W1273" i="2" s="1"/>
  <c r="W1303" i="2" s="1"/>
  <c r="W1333" i="2" s="1"/>
  <c r="W1363" i="2" s="1"/>
  <c r="W1393" i="2" s="1"/>
  <c r="W1423" i="2" s="1"/>
  <c r="W1453" i="2" s="1"/>
  <c r="W1483" i="2" s="1"/>
  <c r="W1513" i="2" s="1"/>
  <c r="W1543" i="2" s="1"/>
  <c r="W1573" i="2" s="1"/>
  <c r="W1603" i="2" s="1"/>
  <c r="W1633" i="2" s="1"/>
  <c r="W1663" i="2" s="1"/>
  <c r="W1693" i="2" s="1"/>
  <c r="W1723" i="2" s="1"/>
  <c r="W1753" i="2" s="1"/>
  <c r="W1783" i="2" s="1"/>
  <c r="W1813" i="2" s="1"/>
  <c r="W1843" i="2" s="1"/>
  <c r="W1873" i="2" s="1"/>
  <c r="W1903" i="2" s="1"/>
  <c r="W1933" i="2" s="1"/>
  <c r="W1963" i="2" s="1"/>
  <c r="W1993" i="2" s="1"/>
  <c r="W2023" i="2" s="1"/>
  <c r="W2053" i="2" s="1"/>
  <c r="W2083" i="2" s="1"/>
  <c r="W2113" i="2" s="1"/>
  <c r="W2143" i="2" s="1"/>
  <c r="W2173" i="2" s="1"/>
  <c r="W2203" i="2" s="1"/>
  <c r="W2233" i="2" s="1"/>
  <c r="W2263" i="2" s="1"/>
  <c r="W2293" i="2" s="1"/>
  <c r="W2323" i="2" s="1"/>
  <c r="W2353" i="2" s="1"/>
  <c r="W2383" i="2" s="1"/>
  <c r="U44" i="2"/>
  <c r="V44" i="2"/>
  <c r="V74" i="2" s="1"/>
  <c r="W44" i="2"/>
  <c r="W74" i="2" s="1"/>
  <c r="W104" i="2" s="1"/>
  <c r="U45" i="2"/>
  <c r="U75" i="2" s="1"/>
  <c r="U105" i="2" s="1"/>
  <c r="U135" i="2" s="1"/>
  <c r="U165" i="2" s="1"/>
  <c r="U195" i="2" s="1"/>
  <c r="U225" i="2" s="1"/>
  <c r="U255" i="2" s="1"/>
  <c r="U285" i="2" s="1"/>
  <c r="U315" i="2" s="1"/>
  <c r="V45" i="2"/>
  <c r="W45" i="2"/>
  <c r="W75" i="2" s="1"/>
  <c r="W105" i="2" s="1"/>
  <c r="W135" i="2" s="1"/>
  <c r="W165" i="2" s="1"/>
  <c r="W195" i="2" s="1"/>
  <c r="U46" i="2"/>
  <c r="V46" i="2"/>
  <c r="W46" i="2"/>
  <c r="W76" i="2" s="1"/>
  <c r="W106" i="2" s="1"/>
  <c r="W136" i="2" s="1"/>
  <c r="W166" i="2" s="1"/>
  <c r="W196" i="2" s="1"/>
  <c r="W226" i="2" s="1"/>
  <c r="W256" i="2" s="1"/>
  <c r="W286" i="2" s="1"/>
  <c r="W316" i="2" s="1"/>
  <c r="W346" i="2" s="1"/>
  <c r="W376" i="2" s="1"/>
  <c r="W406" i="2" s="1"/>
  <c r="W436" i="2" s="1"/>
  <c r="W466" i="2" s="1"/>
  <c r="W496" i="2" s="1"/>
  <c r="W526" i="2" s="1"/>
  <c r="W556" i="2" s="1"/>
  <c r="W586" i="2" s="1"/>
  <c r="W616" i="2" s="1"/>
  <c r="W646" i="2" s="1"/>
  <c r="W676" i="2" s="1"/>
  <c r="W706" i="2" s="1"/>
  <c r="W736" i="2" s="1"/>
  <c r="W766" i="2" s="1"/>
  <c r="W796" i="2" s="1"/>
  <c r="W826" i="2" s="1"/>
  <c r="W856" i="2" s="1"/>
  <c r="W886" i="2" s="1"/>
  <c r="W916" i="2" s="1"/>
  <c r="W946" i="2" s="1"/>
  <c r="W976" i="2" s="1"/>
  <c r="W1006" i="2" s="1"/>
  <c r="W1036" i="2" s="1"/>
  <c r="W1066" i="2" s="1"/>
  <c r="W1096" i="2" s="1"/>
  <c r="W1126" i="2" s="1"/>
  <c r="W1156" i="2" s="1"/>
  <c r="W1186" i="2" s="1"/>
  <c r="W1216" i="2" s="1"/>
  <c r="W1246" i="2" s="1"/>
  <c r="W1276" i="2" s="1"/>
  <c r="W1306" i="2" s="1"/>
  <c r="W1336" i="2" s="1"/>
  <c r="W1366" i="2" s="1"/>
  <c r="W1396" i="2" s="1"/>
  <c r="W1426" i="2" s="1"/>
  <c r="W1456" i="2" s="1"/>
  <c r="W1486" i="2" s="1"/>
  <c r="W1516" i="2" s="1"/>
  <c r="W1546" i="2" s="1"/>
  <c r="W1576" i="2" s="1"/>
  <c r="W1606" i="2" s="1"/>
  <c r="W1636" i="2" s="1"/>
  <c r="W1666" i="2" s="1"/>
  <c r="W1696" i="2" s="1"/>
  <c r="W1726" i="2" s="1"/>
  <c r="W1756" i="2" s="1"/>
  <c r="W1786" i="2" s="1"/>
  <c r="W1816" i="2" s="1"/>
  <c r="W1846" i="2" s="1"/>
  <c r="W1876" i="2" s="1"/>
  <c r="W1906" i="2" s="1"/>
  <c r="W1936" i="2" s="1"/>
  <c r="W1966" i="2" s="1"/>
  <c r="W1996" i="2" s="1"/>
  <c r="W2026" i="2" s="1"/>
  <c r="W2056" i="2" s="1"/>
  <c r="W2086" i="2" s="1"/>
  <c r="W2116" i="2" s="1"/>
  <c r="W2146" i="2" s="1"/>
  <c r="W2176" i="2" s="1"/>
  <c r="W2206" i="2" s="1"/>
  <c r="W2236" i="2" s="1"/>
  <c r="W2266" i="2" s="1"/>
  <c r="W2296" i="2" s="1"/>
  <c r="W2326" i="2" s="1"/>
  <c r="W2356" i="2" s="1"/>
  <c r="W2386" i="2" s="1"/>
  <c r="U47" i="2"/>
  <c r="U77" i="2" s="1"/>
  <c r="U107" i="2" s="1"/>
  <c r="U137" i="2" s="1"/>
  <c r="U167" i="2" s="1"/>
  <c r="U197" i="2" s="1"/>
  <c r="U227" i="2" s="1"/>
  <c r="U257" i="2" s="1"/>
  <c r="U287" i="2" s="1"/>
  <c r="U317" i="2" s="1"/>
  <c r="U347" i="2" s="1"/>
  <c r="U377" i="2" s="1"/>
  <c r="U407" i="2" s="1"/>
  <c r="U437" i="2" s="1"/>
  <c r="U467" i="2" s="1"/>
  <c r="U497" i="2" s="1"/>
  <c r="U527" i="2" s="1"/>
  <c r="U557" i="2" s="1"/>
  <c r="U587" i="2" s="1"/>
  <c r="U617" i="2" s="1"/>
  <c r="U647" i="2" s="1"/>
  <c r="U677" i="2" s="1"/>
  <c r="U707" i="2" s="1"/>
  <c r="U737" i="2" s="1"/>
  <c r="U767" i="2" s="1"/>
  <c r="U797" i="2" s="1"/>
  <c r="U827" i="2" s="1"/>
  <c r="U857" i="2" s="1"/>
  <c r="U887" i="2" s="1"/>
  <c r="U917" i="2" s="1"/>
  <c r="U947" i="2" s="1"/>
  <c r="U977" i="2" s="1"/>
  <c r="U1007" i="2" s="1"/>
  <c r="U1037" i="2" s="1"/>
  <c r="U1067" i="2" s="1"/>
  <c r="U1097" i="2" s="1"/>
  <c r="U1127" i="2" s="1"/>
  <c r="U1157" i="2" s="1"/>
  <c r="U1187" i="2" s="1"/>
  <c r="U1217" i="2" s="1"/>
  <c r="U1247" i="2" s="1"/>
  <c r="U1277" i="2" s="1"/>
  <c r="U1307" i="2" s="1"/>
  <c r="U1337" i="2" s="1"/>
  <c r="U1367" i="2" s="1"/>
  <c r="U1397" i="2" s="1"/>
  <c r="U1427" i="2" s="1"/>
  <c r="U1457" i="2" s="1"/>
  <c r="U1487" i="2" s="1"/>
  <c r="U1517" i="2" s="1"/>
  <c r="U1547" i="2" s="1"/>
  <c r="U1577" i="2" s="1"/>
  <c r="U1607" i="2" s="1"/>
  <c r="U1637" i="2" s="1"/>
  <c r="U1667" i="2" s="1"/>
  <c r="U1697" i="2" s="1"/>
  <c r="U1727" i="2" s="1"/>
  <c r="U1757" i="2" s="1"/>
  <c r="U1787" i="2" s="1"/>
  <c r="U1817" i="2" s="1"/>
  <c r="U1847" i="2" s="1"/>
  <c r="U1877" i="2" s="1"/>
  <c r="U1907" i="2" s="1"/>
  <c r="U1937" i="2" s="1"/>
  <c r="U1967" i="2" s="1"/>
  <c r="U1997" i="2" s="1"/>
  <c r="U2027" i="2" s="1"/>
  <c r="U2057" i="2" s="1"/>
  <c r="U2087" i="2" s="1"/>
  <c r="U2117" i="2" s="1"/>
  <c r="U2147" i="2" s="1"/>
  <c r="U2177" i="2" s="1"/>
  <c r="U2207" i="2" s="1"/>
  <c r="U2237" i="2" s="1"/>
  <c r="U2267" i="2" s="1"/>
  <c r="U2297" i="2" s="1"/>
  <c r="U2327" i="2" s="1"/>
  <c r="U2357" i="2" s="1"/>
  <c r="U2387" i="2" s="1"/>
  <c r="V47" i="2"/>
  <c r="V77" i="2" s="1"/>
  <c r="V107" i="2" s="1"/>
  <c r="V137" i="2" s="1"/>
  <c r="V167" i="2" s="1"/>
  <c r="V197" i="2" s="1"/>
  <c r="V227" i="2" s="1"/>
  <c r="V257" i="2" s="1"/>
  <c r="V287" i="2" s="1"/>
  <c r="V317" i="2" s="1"/>
  <c r="V347" i="2" s="1"/>
  <c r="V377" i="2" s="1"/>
  <c r="V407" i="2" s="1"/>
  <c r="V437" i="2" s="1"/>
  <c r="V467" i="2" s="1"/>
  <c r="V497" i="2" s="1"/>
  <c r="V527" i="2" s="1"/>
  <c r="V557" i="2" s="1"/>
  <c r="V587" i="2" s="1"/>
  <c r="V617" i="2" s="1"/>
  <c r="V647" i="2" s="1"/>
  <c r="V677" i="2" s="1"/>
  <c r="V707" i="2" s="1"/>
  <c r="V737" i="2" s="1"/>
  <c r="V767" i="2" s="1"/>
  <c r="V797" i="2" s="1"/>
  <c r="V827" i="2" s="1"/>
  <c r="V857" i="2" s="1"/>
  <c r="V887" i="2" s="1"/>
  <c r="V917" i="2" s="1"/>
  <c r="V947" i="2" s="1"/>
  <c r="V977" i="2" s="1"/>
  <c r="V1007" i="2" s="1"/>
  <c r="V1037" i="2" s="1"/>
  <c r="V1067" i="2" s="1"/>
  <c r="V1097" i="2" s="1"/>
  <c r="V1127" i="2" s="1"/>
  <c r="V1157" i="2" s="1"/>
  <c r="V1187" i="2" s="1"/>
  <c r="V1217" i="2" s="1"/>
  <c r="V1247" i="2" s="1"/>
  <c r="V1277" i="2" s="1"/>
  <c r="V1307" i="2" s="1"/>
  <c r="V1337" i="2" s="1"/>
  <c r="V1367" i="2" s="1"/>
  <c r="V1397" i="2" s="1"/>
  <c r="V1427" i="2" s="1"/>
  <c r="V1457" i="2" s="1"/>
  <c r="V1487" i="2" s="1"/>
  <c r="V1517" i="2" s="1"/>
  <c r="V1547" i="2" s="1"/>
  <c r="V1577" i="2" s="1"/>
  <c r="V1607" i="2" s="1"/>
  <c r="V1637" i="2" s="1"/>
  <c r="V1667" i="2" s="1"/>
  <c r="V1697" i="2" s="1"/>
  <c r="V1727" i="2" s="1"/>
  <c r="V1757" i="2" s="1"/>
  <c r="V1787" i="2" s="1"/>
  <c r="V1817" i="2" s="1"/>
  <c r="V1847" i="2" s="1"/>
  <c r="V1877" i="2" s="1"/>
  <c r="V1907" i="2" s="1"/>
  <c r="V1937" i="2" s="1"/>
  <c r="V1967" i="2" s="1"/>
  <c r="V1997" i="2" s="1"/>
  <c r="V2027" i="2" s="1"/>
  <c r="V2057" i="2" s="1"/>
  <c r="V2087" i="2" s="1"/>
  <c r="V2117" i="2" s="1"/>
  <c r="V2147" i="2" s="1"/>
  <c r="V2177" i="2" s="1"/>
  <c r="V2207" i="2" s="1"/>
  <c r="V2237" i="2" s="1"/>
  <c r="V2267" i="2" s="1"/>
  <c r="V2297" i="2" s="1"/>
  <c r="V2327" i="2" s="1"/>
  <c r="V2357" i="2" s="1"/>
  <c r="V2387" i="2" s="1"/>
  <c r="W47" i="2"/>
  <c r="W77" i="2" s="1"/>
  <c r="W107" i="2" s="1"/>
  <c r="W137" i="2" s="1"/>
  <c r="W167" i="2" s="1"/>
  <c r="W197" i="2" s="1"/>
  <c r="W227" i="2" s="1"/>
  <c r="W257" i="2" s="1"/>
  <c r="W287" i="2" s="1"/>
  <c r="W317" i="2" s="1"/>
  <c r="W347" i="2" s="1"/>
  <c r="W377" i="2" s="1"/>
  <c r="W407" i="2" s="1"/>
  <c r="W437" i="2" s="1"/>
  <c r="W467" i="2" s="1"/>
  <c r="W497" i="2" s="1"/>
  <c r="W527" i="2" s="1"/>
  <c r="W557" i="2" s="1"/>
  <c r="W587" i="2" s="1"/>
  <c r="W617" i="2" s="1"/>
  <c r="W647" i="2" s="1"/>
  <c r="W677" i="2" s="1"/>
  <c r="W707" i="2" s="1"/>
  <c r="W737" i="2" s="1"/>
  <c r="W767" i="2" s="1"/>
  <c r="W797" i="2" s="1"/>
  <c r="W827" i="2" s="1"/>
  <c r="W857" i="2" s="1"/>
  <c r="W887" i="2" s="1"/>
  <c r="W917" i="2" s="1"/>
  <c r="W947" i="2" s="1"/>
  <c r="W977" i="2" s="1"/>
  <c r="W1007" i="2" s="1"/>
  <c r="W1037" i="2" s="1"/>
  <c r="W1067" i="2" s="1"/>
  <c r="W1097" i="2" s="1"/>
  <c r="W1127" i="2" s="1"/>
  <c r="W1157" i="2" s="1"/>
  <c r="W1187" i="2" s="1"/>
  <c r="W1217" i="2" s="1"/>
  <c r="W1247" i="2" s="1"/>
  <c r="W1277" i="2" s="1"/>
  <c r="W1307" i="2" s="1"/>
  <c r="W1337" i="2" s="1"/>
  <c r="W1367" i="2" s="1"/>
  <c r="W1397" i="2" s="1"/>
  <c r="W1427" i="2" s="1"/>
  <c r="W1457" i="2" s="1"/>
  <c r="W1487" i="2" s="1"/>
  <c r="W1517" i="2" s="1"/>
  <c r="W1547" i="2" s="1"/>
  <c r="W1577" i="2" s="1"/>
  <c r="W1607" i="2" s="1"/>
  <c r="W1637" i="2" s="1"/>
  <c r="W1667" i="2" s="1"/>
  <c r="W1697" i="2" s="1"/>
  <c r="W1727" i="2" s="1"/>
  <c r="W1757" i="2" s="1"/>
  <c r="W1787" i="2" s="1"/>
  <c r="W1817" i="2" s="1"/>
  <c r="W1847" i="2" s="1"/>
  <c r="W1877" i="2" s="1"/>
  <c r="W1907" i="2" s="1"/>
  <c r="W1937" i="2" s="1"/>
  <c r="W1967" i="2" s="1"/>
  <c r="W1997" i="2" s="1"/>
  <c r="W2027" i="2" s="1"/>
  <c r="W2057" i="2" s="1"/>
  <c r="W2087" i="2" s="1"/>
  <c r="W2117" i="2" s="1"/>
  <c r="W2147" i="2" s="1"/>
  <c r="W2177" i="2" s="1"/>
  <c r="W2207" i="2" s="1"/>
  <c r="W2237" i="2" s="1"/>
  <c r="W2267" i="2" s="1"/>
  <c r="W2297" i="2" s="1"/>
  <c r="W2327" i="2" s="1"/>
  <c r="W2357" i="2" s="1"/>
  <c r="W2387" i="2" s="1"/>
  <c r="U48" i="2"/>
  <c r="U78" i="2" s="1"/>
  <c r="U108" i="2" s="1"/>
  <c r="U138" i="2" s="1"/>
  <c r="U168" i="2" s="1"/>
  <c r="U198" i="2" s="1"/>
  <c r="U228" i="2" s="1"/>
  <c r="V48" i="2"/>
  <c r="V78" i="2" s="1"/>
  <c r="V108" i="2" s="1"/>
  <c r="V138" i="2" s="1"/>
  <c r="V168" i="2" s="1"/>
  <c r="V198" i="2" s="1"/>
  <c r="V228" i="2" s="1"/>
  <c r="V258" i="2" s="1"/>
  <c r="V288" i="2" s="1"/>
  <c r="V318" i="2" s="1"/>
  <c r="V348" i="2" s="1"/>
  <c r="V378" i="2" s="1"/>
  <c r="V408" i="2" s="1"/>
  <c r="V438" i="2" s="1"/>
  <c r="V468" i="2" s="1"/>
  <c r="V498" i="2" s="1"/>
  <c r="V528" i="2" s="1"/>
  <c r="V558" i="2" s="1"/>
  <c r="V588" i="2" s="1"/>
  <c r="V618" i="2" s="1"/>
  <c r="V648" i="2" s="1"/>
  <c r="V678" i="2" s="1"/>
  <c r="V708" i="2" s="1"/>
  <c r="V738" i="2" s="1"/>
  <c r="V768" i="2" s="1"/>
  <c r="V798" i="2" s="1"/>
  <c r="V828" i="2" s="1"/>
  <c r="V858" i="2" s="1"/>
  <c r="V888" i="2" s="1"/>
  <c r="V918" i="2" s="1"/>
  <c r="V948" i="2" s="1"/>
  <c r="V978" i="2" s="1"/>
  <c r="V1008" i="2" s="1"/>
  <c r="V1038" i="2" s="1"/>
  <c r="V1068" i="2" s="1"/>
  <c r="V1098" i="2" s="1"/>
  <c r="V1128" i="2" s="1"/>
  <c r="V1158" i="2" s="1"/>
  <c r="V1188" i="2" s="1"/>
  <c r="V1218" i="2" s="1"/>
  <c r="V1248" i="2" s="1"/>
  <c r="V1278" i="2" s="1"/>
  <c r="V1308" i="2" s="1"/>
  <c r="V1338" i="2" s="1"/>
  <c r="V1368" i="2" s="1"/>
  <c r="V1398" i="2" s="1"/>
  <c r="V1428" i="2" s="1"/>
  <c r="V1458" i="2" s="1"/>
  <c r="V1488" i="2" s="1"/>
  <c r="V1518" i="2" s="1"/>
  <c r="V1548" i="2" s="1"/>
  <c r="V1578" i="2" s="1"/>
  <c r="V1608" i="2" s="1"/>
  <c r="V1638" i="2" s="1"/>
  <c r="V1668" i="2" s="1"/>
  <c r="V1698" i="2" s="1"/>
  <c r="V1728" i="2" s="1"/>
  <c r="V1758" i="2" s="1"/>
  <c r="V1788" i="2" s="1"/>
  <c r="V1818" i="2" s="1"/>
  <c r="V1848" i="2" s="1"/>
  <c r="V1878" i="2" s="1"/>
  <c r="V1908" i="2" s="1"/>
  <c r="V1938" i="2" s="1"/>
  <c r="V1968" i="2" s="1"/>
  <c r="V1998" i="2" s="1"/>
  <c r="V2028" i="2" s="1"/>
  <c r="V2058" i="2" s="1"/>
  <c r="V2088" i="2" s="1"/>
  <c r="V2118" i="2" s="1"/>
  <c r="V2148" i="2" s="1"/>
  <c r="V2178" i="2" s="1"/>
  <c r="V2208" i="2" s="1"/>
  <c r="V2238" i="2" s="1"/>
  <c r="V2268" i="2" s="1"/>
  <c r="V2298" i="2" s="1"/>
  <c r="V2328" i="2" s="1"/>
  <c r="V2358" i="2" s="1"/>
  <c r="V2388" i="2" s="1"/>
  <c r="W48" i="2"/>
  <c r="W78" i="2" s="1"/>
  <c r="W108" i="2" s="1"/>
  <c r="W138" i="2" s="1"/>
  <c r="W168" i="2" s="1"/>
  <c r="W198" i="2" s="1"/>
  <c r="W228" i="2" s="1"/>
  <c r="W258" i="2" s="1"/>
  <c r="W288" i="2" s="1"/>
  <c r="W318" i="2" s="1"/>
  <c r="W348" i="2" s="1"/>
  <c r="W378" i="2" s="1"/>
  <c r="W408" i="2" s="1"/>
  <c r="W438" i="2" s="1"/>
  <c r="W468" i="2" s="1"/>
  <c r="W498" i="2" s="1"/>
  <c r="W528" i="2" s="1"/>
  <c r="W558" i="2" s="1"/>
  <c r="W588" i="2" s="1"/>
  <c r="W618" i="2" s="1"/>
  <c r="W648" i="2" s="1"/>
  <c r="W678" i="2" s="1"/>
  <c r="W708" i="2" s="1"/>
  <c r="W738" i="2" s="1"/>
  <c r="W768" i="2" s="1"/>
  <c r="W798" i="2" s="1"/>
  <c r="W828" i="2" s="1"/>
  <c r="W858" i="2" s="1"/>
  <c r="W888" i="2" s="1"/>
  <c r="W918" i="2" s="1"/>
  <c r="W948" i="2" s="1"/>
  <c r="W978" i="2" s="1"/>
  <c r="W1008" i="2" s="1"/>
  <c r="W1038" i="2" s="1"/>
  <c r="W1068" i="2" s="1"/>
  <c r="W1098" i="2" s="1"/>
  <c r="W1128" i="2" s="1"/>
  <c r="W1158" i="2" s="1"/>
  <c r="W1188" i="2" s="1"/>
  <c r="W1218" i="2" s="1"/>
  <c r="W1248" i="2" s="1"/>
  <c r="W1278" i="2" s="1"/>
  <c r="W1308" i="2" s="1"/>
  <c r="W1338" i="2" s="1"/>
  <c r="W1368" i="2" s="1"/>
  <c r="W1398" i="2" s="1"/>
  <c r="W1428" i="2" s="1"/>
  <c r="W1458" i="2" s="1"/>
  <c r="W1488" i="2" s="1"/>
  <c r="W1518" i="2" s="1"/>
  <c r="W1548" i="2" s="1"/>
  <c r="W1578" i="2" s="1"/>
  <c r="W1608" i="2" s="1"/>
  <c r="W1638" i="2" s="1"/>
  <c r="W1668" i="2" s="1"/>
  <c r="W1698" i="2" s="1"/>
  <c r="W1728" i="2" s="1"/>
  <c r="W1758" i="2" s="1"/>
  <c r="W1788" i="2" s="1"/>
  <c r="W1818" i="2" s="1"/>
  <c r="W1848" i="2" s="1"/>
  <c r="W1878" i="2" s="1"/>
  <c r="W1908" i="2" s="1"/>
  <c r="W1938" i="2" s="1"/>
  <c r="W1968" i="2" s="1"/>
  <c r="W1998" i="2" s="1"/>
  <c r="W2028" i="2" s="1"/>
  <c r="W2058" i="2" s="1"/>
  <c r="W2088" i="2" s="1"/>
  <c r="W2118" i="2" s="1"/>
  <c r="W2148" i="2" s="1"/>
  <c r="W2178" i="2" s="1"/>
  <c r="W2208" i="2" s="1"/>
  <c r="W2238" i="2" s="1"/>
  <c r="W2268" i="2" s="1"/>
  <c r="W2298" i="2" s="1"/>
  <c r="W2328" i="2" s="1"/>
  <c r="W2358" i="2" s="1"/>
  <c r="W2388" i="2" s="1"/>
  <c r="U49" i="2"/>
  <c r="U79" i="2" s="1"/>
  <c r="U109" i="2" s="1"/>
  <c r="U139" i="2" s="1"/>
  <c r="U169" i="2" s="1"/>
  <c r="U199" i="2" s="1"/>
  <c r="U229" i="2" s="1"/>
  <c r="U259" i="2" s="1"/>
  <c r="U289" i="2" s="1"/>
  <c r="U319" i="2" s="1"/>
  <c r="U349" i="2" s="1"/>
  <c r="U379" i="2" s="1"/>
  <c r="U409" i="2" s="1"/>
  <c r="U439" i="2" s="1"/>
  <c r="U469" i="2" s="1"/>
  <c r="U499" i="2" s="1"/>
  <c r="U529" i="2" s="1"/>
  <c r="U559" i="2" s="1"/>
  <c r="U589" i="2" s="1"/>
  <c r="U619" i="2" s="1"/>
  <c r="U649" i="2" s="1"/>
  <c r="U679" i="2" s="1"/>
  <c r="U709" i="2" s="1"/>
  <c r="U739" i="2" s="1"/>
  <c r="U769" i="2" s="1"/>
  <c r="U799" i="2" s="1"/>
  <c r="U829" i="2" s="1"/>
  <c r="U859" i="2" s="1"/>
  <c r="U889" i="2" s="1"/>
  <c r="U919" i="2" s="1"/>
  <c r="U949" i="2" s="1"/>
  <c r="U979" i="2" s="1"/>
  <c r="U1009" i="2" s="1"/>
  <c r="U1039" i="2" s="1"/>
  <c r="U1069" i="2" s="1"/>
  <c r="U1099" i="2" s="1"/>
  <c r="U1129" i="2" s="1"/>
  <c r="U1159" i="2" s="1"/>
  <c r="U1189" i="2" s="1"/>
  <c r="U1219" i="2" s="1"/>
  <c r="U1249" i="2" s="1"/>
  <c r="U1279" i="2" s="1"/>
  <c r="U1309" i="2" s="1"/>
  <c r="U1339" i="2" s="1"/>
  <c r="U1369" i="2" s="1"/>
  <c r="U1399" i="2" s="1"/>
  <c r="U1429" i="2" s="1"/>
  <c r="U1459" i="2" s="1"/>
  <c r="U1489" i="2" s="1"/>
  <c r="U1519" i="2" s="1"/>
  <c r="U1549" i="2" s="1"/>
  <c r="U1579" i="2" s="1"/>
  <c r="U1609" i="2" s="1"/>
  <c r="U1639" i="2" s="1"/>
  <c r="U1669" i="2" s="1"/>
  <c r="U1699" i="2" s="1"/>
  <c r="U1729" i="2" s="1"/>
  <c r="U1759" i="2" s="1"/>
  <c r="U1789" i="2" s="1"/>
  <c r="U1819" i="2" s="1"/>
  <c r="U1849" i="2" s="1"/>
  <c r="U1879" i="2" s="1"/>
  <c r="U1909" i="2" s="1"/>
  <c r="U1939" i="2" s="1"/>
  <c r="U1969" i="2" s="1"/>
  <c r="U1999" i="2" s="1"/>
  <c r="U2029" i="2" s="1"/>
  <c r="U2059" i="2" s="1"/>
  <c r="U2089" i="2" s="1"/>
  <c r="U2119" i="2" s="1"/>
  <c r="U2149" i="2" s="1"/>
  <c r="U2179" i="2" s="1"/>
  <c r="U2209" i="2" s="1"/>
  <c r="U2239" i="2" s="1"/>
  <c r="U2269" i="2" s="1"/>
  <c r="U2299" i="2" s="1"/>
  <c r="U2329" i="2" s="1"/>
  <c r="U2359" i="2" s="1"/>
  <c r="U2389" i="2" s="1"/>
  <c r="V49" i="2"/>
  <c r="W49" i="2"/>
  <c r="W79" i="2" s="1"/>
  <c r="W109" i="2" s="1"/>
  <c r="W139" i="2" s="1"/>
  <c r="W169" i="2" s="1"/>
  <c r="W199" i="2" s="1"/>
  <c r="W229" i="2" s="1"/>
  <c r="W259" i="2" s="1"/>
  <c r="U50" i="2"/>
  <c r="U80" i="2" s="1"/>
  <c r="U110" i="2" s="1"/>
  <c r="V50" i="2"/>
  <c r="V80" i="2" s="1"/>
  <c r="V110" i="2" s="1"/>
  <c r="V140" i="2" s="1"/>
  <c r="V170" i="2" s="1"/>
  <c r="V200" i="2" s="1"/>
  <c r="W50" i="2"/>
  <c r="U51" i="2"/>
  <c r="U81" i="2" s="1"/>
  <c r="U111" i="2" s="1"/>
  <c r="U141" i="2" s="1"/>
  <c r="U171" i="2" s="1"/>
  <c r="U201" i="2" s="1"/>
  <c r="U231" i="2" s="1"/>
  <c r="U261" i="2" s="1"/>
  <c r="U291" i="2" s="1"/>
  <c r="U321" i="2" s="1"/>
  <c r="U351" i="2" s="1"/>
  <c r="U381" i="2" s="1"/>
  <c r="U411" i="2" s="1"/>
  <c r="U441" i="2" s="1"/>
  <c r="U471" i="2" s="1"/>
  <c r="U501" i="2" s="1"/>
  <c r="U531" i="2" s="1"/>
  <c r="U561" i="2" s="1"/>
  <c r="U591" i="2" s="1"/>
  <c r="U621" i="2" s="1"/>
  <c r="U651" i="2" s="1"/>
  <c r="U681" i="2" s="1"/>
  <c r="U711" i="2" s="1"/>
  <c r="U741" i="2" s="1"/>
  <c r="U771" i="2" s="1"/>
  <c r="U801" i="2" s="1"/>
  <c r="U831" i="2" s="1"/>
  <c r="U861" i="2" s="1"/>
  <c r="U891" i="2" s="1"/>
  <c r="U921" i="2" s="1"/>
  <c r="U951" i="2" s="1"/>
  <c r="U981" i="2" s="1"/>
  <c r="U1011" i="2" s="1"/>
  <c r="U1041" i="2" s="1"/>
  <c r="U1071" i="2" s="1"/>
  <c r="U1101" i="2" s="1"/>
  <c r="U1131" i="2" s="1"/>
  <c r="U1161" i="2" s="1"/>
  <c r="U1191" i="2" s="1"/>
  <c r="U1221" i="2" s="1"/>
  <c r="U1251" i="2" s="1"/>
  <c r="U1281" i="2" s="1"/>
  <c r="U1311" i="2" s="1"/>
  <c r="U1341" i="2" s="1"/>
  <c r="U1371" i="2" s="1"/>
  <c r="U1401" i="2" s="1"/>
  <c r="U1431" i="2" s="1"/>
  <c r="U1461" i="2" s="1"/>
  <c r="U1491" i="2" s="1"/>
  <c r="U1521" i="2" s="1"/>
  <c r="U1551" i="2" s="1"/>
  <c r="U1581" i="2" s="1"/>
  <c r="U1611" i="2" s="1"/>
  <c r="U1641" i="2" s="1"/>
  <c r="U1671" i="2" s="1"/>
  <c r="U1701" i="2" s="1"/>
  <c r="U1731" i="2" s="1"/>
  <c r="U1761" i="2" s="1"/>
  <c r="U1791" i="2" s="1"/>
  <c r="U1821" i="2" s="1"/>
  <c r="U1851" i="2" s="1"/>
  <c r="U1881" i="2" s="1"/>
  <c r="U1911" i="2" s="1"/>
  <c r="U1941" i="2" s="1"/>
  <c r="U1971" i="2" s="1"/>
  <c r="U2001" i="2" s="1"/>
  <c r="U2031" i="2" s="1"/>
  <c r="U2061" i="2" s="1"/>
  <c r="U2091" i="2" s="1"/>
  <c r="U2121" i="2" s="1"/>
  <c r="U2151" i="2" s="1"/>
  <c r="U2181" i="2" s="1"/>
  <c r="U2211" i="2" s="1"/>
  <c r="U2241" i="2" s="1"/>
  <c r="U2271" i="2" s="1"/>
  <c r="U2301" i="2" s="1"/>
  <c r="U2331" i="2" s="1"/>
  <c r="U2361" i="2" s="1"/>
  <c r="U2391" i="2" s="1"/>
  <c r="V51" i="2"/>
  <c r="V81" i="2" s="1"/>
  <c r="V111" i="2" s="1"/>
  <c r="V141" i="2" s="1"/>
  <c r="V171" i="2" s="1"/>
  <c r="V201" i="2" s="1"/>
  <c r="V231" i="2" s="1"/>
  <c r="V261" i="2" s="1"/>
  <c r="V291" i="2" s="1"/>
  <c r="V321" i="2" s="1"/>
  <c r="V351" i="2" s="1"/>
  <c r="V381" i="2" s="1"/>
  <c r="V411" i="2" s="1"/>
  <c r="V441" i="2" s="1"/>
  <c r="V471" i="2" s="1"/>
  <c r="V501" i="2" s="1"/>
  <c r="V531" i="2" s="1"/>
  <c r="V561" i="2" s="1"/>
  <c r="V591" i="2" s="1"/>
  <c r="V621" i="2" s="1"/>
  <c r="V651" i="2" s="1"/>
  <c r="V681" i="2" s="1"/>
  <c r="V711" i="2" s="1"/>
  <c r="V741" i="2" s="1"/>
  <c r="V771" i="2" s="1"/>
  <c r="V801" i="2" s="1"/>
  <c r="V831" i="2" s="1"/>
  <c r="V861" i="2" s="1"/>
  <c r="V891" i="2" s="1"/>
  <c r="V921" i="2" s="1"/>
  <c r="V951" i="2" s="1"/>
  <c r="V981" i="2" s="1"/>
  <c r="V1011" i="2" s="1"/>
  <c r="V1041" i="2" s="1"/>
  <c r="V1071" i="2" s="1"/>
  <c r="V1101" i="2" s="1"/>
  <c r="V1131" i="2" s="1"/>
  <c r="V1161" i="2" s="1"/>
  <c r="V1191" i="2" s="1"/>
  <c r="V1221" i="2" s="1"/>
  <c r="V1251" i="2" s="1"/>
  <c r="V1281" i="2" s="1"/>
  <c r="V1311" i="2" s="1"/>
  <c r="V1341" i="2" s="1"/>
  <c r="V1371" i="2" s="1"/>
  <c r="V1401" i="2" s="1"/>
  <c r="V1431" i="2" s="1"/>
  <c r="V1461" i="2" s="1"/>
  <c r="V1491" i="2" s="1"/>
  <c r="V1521" i="2" s="1"/>
  <c r="V1551" i="2" s="1"/>
  <c r="V1581" i="2" s="1"/>
  <c r="V1611" i="2" s="1"/>
  <c r="V1641" i="2" s="1"/>
  <c r="V1671" i="2" s="1"/>
  <c r="V1701" i="2" s="1"/>
  <c r="V1731" i="2" s="1"/>
  <c r="V1761" i="2" s="1"/>
  <c r="V1791" i="2" s="1"/>
  <c r="V1821" i="2" s="1"/>
  <c r="V1851" i="2" s="1"/>
  <c r="V1881" i="2" s="1"/>
  <c r="V1911" i="2" s="1"/>
  <c r="V1941" i="2" s="1"/>
  <c r="V1971" i="2" s="1"/>
  <c r="V2001" i="2" s="1"/>
  <c r="V2031" i="2" s="1"/>
  <c r="V2061" i="2" s="1"/>
  <c r="V2091" i="2" s="1"/>
  <c r="V2121" i="2" s="1"/>
  <c r="V2151" i="2" s="1"/>
  <c r="V2181" i="2" s="1"/>
  <c r="V2211" i="2" s="1"/>
  <c r="V2241" i="2" s="1"/>
  <c r="V2271" i="2" s="1"/>
  <c r="V2301" i="2" s="1"/>
  <c r="V2331" i="2" s="1"/>
  <c r="V2361" i="2" s="1"/>
  <c r="V2391" i="2" s="1"/>
  <c r="W51" i="2"/>
  <c r="W81" i="2" s="1"/>
  <c r="W111" i="2" s="1"/>
  <c r="W141" i="2" s="1"/>
  <c r="W171" i="2" s="1"/>
  <c r="W201" i="2" s="1"/>
  <c r="W231" i="2" s="1"/>
  <c r="W261" i="2" s="1"/>
  <c r="W291" i="2" s="1"/>
  <c r="W321" i="2" s="1"/>
  <c r="W351" i="2" s="1"/>
  <c r="W381" i="2" s="1"/>
  <c r="W411" i="2" s="1"/>
  <c r="W441" i="2" s="1"/>
  <c r="W471" i="2" s="1"/>
  <c r="W501" i="2" s="1"/>
  <c r="W531" i="2" s="1"/>
  <c r="W561" i="2" s="1"/>
  <c r="W591" i="2" s="1"/>
  <c r="W621" i="2" s="1"/>
  <c r="W651" i="2" s="1"/>
  <c r="W681" i="2" s="1"/>
  <c r="W711" i="2" s="1"/>
  <c r="W741" i="2" s="1"/>
  <c r="W771" i="2" s="1"/>
  <c r="W801" i="2" s="1"/>
  <c r="W831" i="2" s="1"/>
  <c r="W861" i="2" s="1"/>
  <c r="W891" i="2" s="1"/>
  <c r="W921" i="2" s="1"/>
  <c r="W951" i="2" s="1"/>
  <c r="W981" i="2" s="1"/>
  <c r="W1011" i="2" s="1"/>
  <c r="W1041" i="2" s="1"/>
  <c r="W1071" i="2" s="1"/>
  <c r="W1101" i="2" s="1"/>
  <c r="W1131" i="2" s="1"/>
  <c r="W1161" i="2" s="1"/>
  <c r="W1191" i="2" s="1"/>
  <c r="W1221" i="2" s="1"/>
  <c r="W1251" i="2" s="1"/>
  <c r="W1281" i="2" s="1"/>
  <c r="W1311" i="2" s="1"/>
  <c r="W1341" i="2" s="1"/>
  <c r="W1371" i="2" s="1"/>
  <c r="W1401" i="2" s="1"/>
  <c r="W1431" i="2" s="1"/>
  <c r="W1461" i="2" s="1"/>
  <c r="W1491" i="2" s="1"/>
  <c r="W1521" i="2" s="1"/>
  <c r="W1551" i="2" s="1"/>
  <c r="W1581" i="2" s="1"/>
  <c r="W1611" i="2" s="1"/>
  <c r="W1641" i="2" s="1"/>
  <c r="W1671" i="2" s="1"/>
  <c r="W1701" i="2" s="1"/>
  <c r="W1731" i="2" s="1"/>
  <c r="W1761" i="2" s="1"/>
  <c r="W1791" i="2" s="1"/>
  <c r="W1821" i="2" s="1"/>
  <c r="W1851" i="2" s="1"/>
  <c r="W1881" i="2" s="1"/>
  <c r="W1911" i="2" s="1"/>
  <c r="W1941" i="2" s="1"/>
  <c r="W1971" i="2" s="1"/>
  <c r="W2001" i="2" s="1"/>
  <c r="W2031" i="2" s="1"/>
  <c r="W2061" i="2" s="1"/>
  <c r="W2091" i="2" s="1"/>
  <c r="W2121" i="2" s="1"/>
  <c r="W2151" i="2" s="1"/>
  <c r="W2181" i="2" s="1"/>
  <c r="W2211" i="2" s="1"/>
  <c r="W2241" i="2" s="1"/>
  <c r="W2271" i="2" s="1"/>
  <c r="W2301" i="2" s="1"/>
  <c r="W2331" i="2" s="1"/>
  <c r="W2361" i="2" s="1"/>
  <c r="W2391" i="2" s="1"/>
  <c r="U52" i="2"/>
  <c r="V52" i="2"/>
  <c r="V82" i="2" s="1"/>
  <c r="W52" i="2"/>
  <c r="U53" i="2"/>
  <c r="U83" i="2" s="1"/>
  <c r="U113" i="2" s="1"/>
  <c r="U143" i="2" s="1"/>
  <c r="U173" i="2" s="1"/>
  <c r="U203" i="2" s="1"/>
  <c r="U233" i="2" s="1"/>
  <c r="U263" i="2" s="1"/>
  <c r="U293" i="2" s="1"/>
  <c r="U323" i="2" s="1"/>
  <c r="U353" i="2" s="1"/>
  <c r="U383" i="2" s="1"/>
  <c r="U413" i="2" s="1"/>
  <c r="U443" i="2" s="1"/>
  <c r="V53" i="2"/>
  <c r="V83" i="2" s="1"/>
  <c r="W53" i="2"/>
  <c r="W83" i="2" s="1"/>
  <c r="W113" i="2" s="1"/>
  <c r="W143" i="2" s="1"/>
  <c r="U54" i="2"/>
  <c r="U84" i="2" s="1"/>
  <c r="U114" i="2" s="1"/>
  <c r="U144" i="2" s="1"/>
  <c r="U174" i="2" s="1"/>
  <c r="U204" i="2" s="1"/>
  <c r="U234" i="2" s="1"/>
  <c r="U264" i="2" s="1"/>
  <c r="U294" i="2" s="1"/>
  <c r="U324" i="2" s="1"/>
  <c r="U354" i="2" s="1"/>
  <c r="U384" i="2" s="1"/>
  <c r="U414" i="2" s="1"/>
  <c r="U444" i="2" s="1"/>
  <c r="U474" i="2" s="1"/>
  <c r="U504" i="2" s="1"/>
  <c r="U534" i="2" s="1"/>
  <c r="U564" i="2" s="1"/>
  <c r="U594" i="2" s="1"/>
  <c r="U624" i="2" s="1"/>
  <c r="U654" i="2" s="1"/>
  <c r="U684" i="2" s="1"/>
  <c r="U714" i="2" s="1"/>
  <c r="U744" i="2" s="1"/>
  <c r="U774" i="2" s="1"/>
  <c r="U804" i="2" s="1"/>
  <c r="U834" i="2" s="1"/>
  <c r="U864" i="2" s="1"/>
  <c r="U894" i="2" s="1"/>
  <c r="U924" i="2" s="1"/>
  <c r="U954" i="2" s="1"/>
  <c r="U984" i="2" s="1"/>
  <c r="U1014" i="2" s="1"/>
  <c r="U1044" i="2" s="1"/>
  <c r="U1074" i="2" s="1"/>
  <c r="U1104" i="2" s="1"/>
  <c r="U1134" i="2" s="1"/>
  <c r="U1164" i="2" s="1"/>
  <c r="U1194" i="2" s="1"/>
  <c r="U1224" i="2" s="1"/>
  <c r="U1254" i="2" s="1"/>
  <c r="U1284" i="2" s="1"/>
  <c r="U1314" i="2" s="1"/>
  <c r="U1344" i="2" s="1"/>
  <c r="U1374" i="2" s="1"/>
  <c r="U1404" i="2" s="1"/>
  <c r="U1434" i="2" s="1"/>
  <c r="U1464" i="2" s="1"/>
  <c r="U1494" i="2" s="1"/>
  <c r="U1524" i="2" s="1"/>
  <c r="U1554" i="2" s="1"/>
  <c r="U1584" i="2" s="1"/>
  <c r="U1614" i="2" s="1"/>
  <c r="U1644" i="2" s="1"/>
  <c r="U1674" i="2" s="1"/>
  <c r="U1704" i="2" s="1"/>
  <c r="U1734" i="2" s="1"/>
  <c r="U1764" i="2" s="1"/>
  <c r="U1794" i="2" s="1"/>
  <c r="U1824" i="2" s="1"/>
  <c r="U1854" i="2" s="1"/>
  <c r="U1884" i="2" s="1"/>
  <c r="U1914" i="2" s="1"/>
  <c r="U1944" i="2" s="1"/>
  <c r="U1974" i="2" s="1"/>
  <c r="U2004" i="2" s="1"/>
  <c r="U2034" i="2" s="1"/>
  <c r="U2064" i="2" s="1"/>
  <c r="U2094" i="2" s="1"/>
  <c r="U2124" i="2" s="1"/>
  <c r="U2154" i="2" s="1"/>
  <c r="U2184" i="2" s="1"/>
  <c r="U2214" i="2" s="1"/>
  <c r="U2244" i="2" s="1"/>
  <c r="U2274" i="2" s="1"/>
  <c r="U2304" i="2" s="1"/>
  <c r="U2334" i="2" s="1"/>
  <c r="U2364" i="2" s="1"/>
  <c r="U2394" i="2" s="1"/>
  <c r="V54" i="2"/>
  <c r="W54" i="2"/>
  <c r="U55" i="2"/>
  <c r="U85" i="2" s="1"/>
  <c r="U115" i="2" s="1"/>
  <c r="U145" i="2" s="1"/>
  <c r="U175" i="2" s="1"/>
  <c r="U205" i="2" s="1"/>
  <c r="U235" i="2" s="1"/>
  <c r="U265" i="2" s="1"/>
  <c r="U295" i="2" s="1"/>
  <c r="U325" i="2" s="1"/>
  <c r="U355" i="2" s="1"/>
  <c r="U385" i="2" s="1"/>
  <c r="U415" i="2" s="1"/>
  <c r="U445" i="2" s="1"/>
  <c r="U475" i="2" s="1"/>
  <c r="U505" i="2" s="1"/>
  <c r="U535" i="2" s="1"/>
  <c r="U565" i="2" s="1"/>
  <c r="U595" i="2" s="1"/>
  <c r="U625" i="2" s="1"/>
  <c r="U655" i="2" s="1"/>
  <c r="U685" i="2" s="1"/>
  <c r="U715" i="2" s="1"/>
  <c r="U745" i="2" s="1"/>
  <c r="U775" i="2" s="1"/>
  <c r="U805" i="2" s="1"/>
  <c r="U835" i="2" s="1"/>
  <c r="U865" i="2" s="1"/>
  <c r="U895" i="2" s="1"/>
  <c r="U925" i="2" s="1"/>
  <c r="U955" i="2" s="1"/>
  <c r="U985" i="2" s="1"/>
  <c r="U1015" i="2" s="1"/>
  <c r="U1045" i="2" s="1"/>
  <c r="U1075" i="2" s="1"/>
  <c r="U1105" i="2" s="1"/>
  <c r="U1135" i="2" s="1"/>
  <c r="U1165" i="2" s="1"/>
  <c r="U1195" i="2" s="1"/>
  <c r="U1225" i="2" s="1"/>
  <c r="U1255" i="2" s="1"/>
  <c r="U1285" i="2" s="1"/>
  <c r="U1315" i="2" s="1"/>
  <c r="U1345" i="2" s="1"/>
  <c r="U1375" i="2" s="1"/>
  <c r="U1405" i="2" s="1"/>
  <c r="U1435" i="2" s="1"/>
  <c r="U1465" i="2" s="1"/>
  <c r="U1495" i="2" s="1"/>
  <c r="U1525" i="2" s="1"/>
  <c r="U1555" i="2" s="1"/>
  <c r="U1585" i="2" s="1"/>
  <c r="U1615" i="2" s="1"/>
  <c r="U1645" i="2" s="1"/>
  <c r="U1675" i="2" s="1"/>
  <c r="U1705" i="2" s="1"/>
  <c r="U1735" i="2" s="1"/>
  <c r="U1765" i="2" s="1"/>
  <c r="U1795" i="2" s="1"/>
  <c r="U1825" i="2" s="1"/>
  <c r="U1855" i="2" s="1"/>
  <c r="U1885" i="2" s="1"/>
  <c r="U1915" i="2" s="1"/>
  <c r="U1945" i="2" s="1"/>
  <c r="U1975" i="2" s="1"/>
  <c r="U2005" i="2" s="1"/>
  <c r="U2035" i="2" s="1"/>
  <c r="U2065" i="2" s="1"/>
  <c r="U2095" i="2" s="1"/>
  <c r="U2125" i="2" s="1"/>
  <c r="U2155" i="2" s="1"/>
  <c r="U2185" i="2" s="1"/>
  <c r="U2215" i="2" s="1"/>
  <c r="U2245" i="2" s="1"/>
  <c r="U2275" i="2" s="1"/>
  <c r="U2305" i="2" s="1"/>
  <c r="U2335" i="2" s="1"/>
  <c r="U2365" i="2" s="1"/>
  <c r="U2395" i="2" s="1"/>
  <c r="V55" i="2"/>
  <c r="V85" i="2" s="1"/>
  <c r="V115" i="2" s="1"/>
  <c r="V145" i="2" s="1"/>
  <c r="V175" i="2" s="1"/>
  <c r="V205" i="2" s="1"/>
  <c r="V235" i="2" s="1"/>
  <c r="V265" i="2" s="1"/>
  <c r="V295" i="2" s="1"/>
  <c r="V325" i="2" s="1"/>
  <c r="V355" i="2" s="1"/>
  <c r="V385" i="2" s="1"/>
  <c r="V415" i="2" s="1"/>
  <c r="V445" i="2" s="1"/>
  <c r="V475" i="2" s="1"/>
  <c r="V505" i="2" s="1"/>
  <c r="V535" i="2" s="1"/>
  <c r="V565" i="2" s="1"/>
  <c r="V595" i="2" s="1"/>
  <c r="V625" i="2" s="1"/>
  <c r="V655" i="2" s="1"/>
  <c r="V685" i="2" s="1"/>
  <c r="V715" i="2" s="1"/>
  <c r="V745" i="2" s="1"/>
  <c r="V775" i="2" s="1"/>
  <c r="V805" i="2" s="1"/>
  <c r="V835" i="2" s="1"/>
  <c r="V865" i="2" s="1"/>
  <c r="V895" i="2" s="1"/>
  <c r="V925" i="2" s="1"/>
  <c r="V955" i="2" s="1"/>
  <c r="V985" i="2" s="1"/>
  <c r="V1015" i="2" s="1"/>
  <c r="V1045" i="2" s="1"/>
  <c r="V1075" i="2" s="1"/>
  <c r="V1105" i="2" s="1"/>
  <c r="V1135" i="2" s="1"/>
  <c r="V1165" i="2" s="1"/>
  <c r="V1195" i="2" s="1"/>
  <c r="V1225" i="2" s="1"/>
  <c r="V1255" i="2" s="1"/>
  <c r="V1285" i="2" s="1"/>
  <c r="V1315" i="2" s="1"/>
  <c r="V1345" i="2" s="1"/>
  <c r="V1375" i="2" s="1"/>
  <c r="V1405" i="2" s="1"/>
  <c r="V1435" i="2" s="1"/>
  <c r="V1465" i="2" s="1"/>
  <c r="V1495" i="2" s="1"/>
  <c r="V1525" i="2" s="1"/>
  <c r="V1555" i="2" s="1"/>
  <c r="V1585" i="2" s="1"/>
  <c r="V1615" i="2" s="1"/>
  <c r="V1645" i="2" s="1"/>
  <c r="V1675" i="2" s="1"/>
  <c r="V1705" i="2" s="1"/>
  <c r="V1735" i="2" s="1"/>
  <c r="V1765" i="2" s="1"/>
  <c r="V1795" i="2" s="1"/>
  <c r="V1825" i="2" s="1"/>
  <c r="V1855" i="2" s="1"/>
  <c r="V1885" i="2" s="1"/>
  <c r="V1915" i="2" s="1"/>
  <c r="V1945" i="2" s="1"/>
  <c r="V1975" i="2" s="1"/>
  <c r="V2005" i="2" s="1"/>
  <c r="V2035" i="2" s="1"/>
  <c r="V2065" i="2" s="1"/>
  <c r="V2095" i="2" s="1"/>
  <c r="V2125" i="2" s="1"/>
  <c r="V2155" i="2" s="1"/>
  <c r="V2185" i="2" s="1"/>
  <c r="V2215" i="2" s="1"/>
  <c r="V2245" i="2" s="1"/>
  <c r="V2275" i="2" s="1"/>
  <c r="V2305" i="2" s="1"/>
  <c r="V2335" i="2" s="1"/>
  <c r="V2365" i="2" s="1"/>
  <c r="V2395" i="2" s="1"/>
  <c r="W55" i="2"/>
  <c r="W85" i="2" s="1"/>
  <c r="W115" i="2" s="1"/>
  <c r="W145" i="2" s="1"/>
  <c r="W175" i="2" s="1"/>
  <c r="W205" i="2" s="1"/>
  <c r="W235" i="2" s="1"/>
  <c r="W265" i="2" s="1"/>
  <c r="W295" i="2" s="1"/>
  <c r="W325" i="2" s="1"/>
  <c r="W355" i="2" s="1"/>
  <c r="W385" i="2" s="1"/>
  <c r="W415" i="2" s="1"/>
  <c r="W445" i="2" s="1"/>
  <c r="W475" i="2" s="1"/>
  <c r="W505" i="2" s="1"/>
  <c r="W535" i="2" s="1"/>
  <c r="W565" i="2" s="1"/>
  <c r="W595" i="2" s="1"/>
  <c r="W625" i="2" s="1"/>
  <c r="W655" i="2" s="1"/>
  <c r="W685" i="2" s="1"/>
  <c r="W715" i="2" s="1"/>
  <c r="W745" i="2" s="1"/>
  <c r="W775" i="2" s="1"/>
  <c r="W805" i="2" s="1"/>
  <c r="W835" i="2" s="1"/>
  <c r="W865" i="2" s="1"/>
  <c r="W895" i="2" s="1"/>
  <c r="W925" i="2" s="1"/>
  <c r="W955" i="2" s="1"/>
  <c r="W985" i="2" s="1"/>
  <c r="W1015" i="2" s="1"/>
  <c r="W1045" i="2" s="1"/>
  <c r="W1075" i="2" s="1"/>
  <c r="W1105" i="2" s="1"/>
  <c r="W1135" i="2" s="1"/>
  <c r="W1165" i="2" s="1"/>
  <c r="W1195" i="2" s="1"/>
  <c r="W1225" i="2" s="1"/>
  <c r="W1255" i="2" s="1"/>
  <c r="W1285" i="2" s="1"/>
  <c r="W1315" i="2" s="1"/>
  <c r="W1345" i="2" s="1"/>
  <c r="W1375" i="2" s="1"/>
  <c r="W1405" i="2" s="1"/>
  <c r="W1435" i="2" s="1"/>
  <c r="W1465" i="2" s="1"/>
  <c r="W1495" i="2" s="1"/>
  <c r="W1525" i="2" s="1"/>
  <c r="W1555" i="2" s="1"/>
  <c r="W1585" i="2" s="1"/>
  <c r="W1615" i="2" s="1"/>
  <c r="W1645" i="2" s="1"/>
  <c r="W1675" i="2" s="1"/>
  <c r="W1705" i="2" s="1"/>
  <c r="W1735" i="2" s="1"/>
  <c r="W1765" i="2" s="1"/>
  <c r="W1795" i="2" s="1"/>
  <c r="W1825" i="2" s="1"/>
  <c r="W1855" i="2" s="1"/>
  <c r="W1885" i="2" s="1"/>
  <c r="W1915" i="2" s="1"/>
  <c r="W1945" i="2" s="1"/>
  <c r="W1975" i="2" s="1"/>
  <c r="W2005" i="2" s="1"/>
  <c r="W2035" i="2" s="1"/>
  <c r="W2065" i="2" s="1"/>
  <c r="W2095" i="2" s="1"/>
  <c r="W2125" i="2" s="1"/>
  <c r="W2155" i="2" s="1"/>
  <c r="W2185" i="2" s="1"/>
  <c r="W2215" i="2" s="1"/>
  <c r="W2245" i="2" s="1"/>
  <c r="W2275" i="2" s="1"/>
  <c r="W2305" i="2" s="1"/>
  <c r="W2335" i="2" s="1"/>
  <c r="W2365" i="2" s="1"/>
  <c r="W2395" i="2" s="1"/>
  <c r="U56" i="2"/>
  <c r="V56" i="2"/>
  <c r="V86" i="2" s="1"/>
  <c r="V116" i="2" s="1"/>
  <c r="V146" i="2" s="1"/>
  <c r="V176" i="2" s="1"/>
  <c r="V206" i="2" s="1"/>
  <c r="V236" i="2" s="1"/>
  <c r="V266" i="2" s="1"/>
  <c r="V296" i="2" s="1"/>
  <c r="V326" i="2" s="1"/>
  <c r="V356" i="2" s="1"/>
  <c r="V386" i="2" s="1"/>
  <c r="V416" i="2" s="1"/>
  <c r="V446" i="2" s="1"/>
  <c r="V476" i="2" s="1"/>
  <c r="V506" i="2" s="1"/>
  <c r="V536" i="2" s="1"/>
  <c r="V566" i="2" s="1"/>
  <c r="V596" i="2" s="1"/>
  <c r="V626" i="2" s="1"/>
  <c r="V656" i="2" s="1"/>
  <c r="V686" i="2" s="1"/>
  <c r="V716" i="2" s="1"/>
  <c r="V746" i="2" s="1"/>
  <c r="V776" i="2" s="1"/>
  <c r="V806" i="2" s="1"/>
  <c r="V836" i="2" s="1"/>
  <c r="V866" i="2" s="1"/>
  <c r="V896" i="2" s="1"/>
  <c r="V926" i="2" s="1"/>
  <c r="V956" i="2" s="1"/>
  <c r="V986" i="2" s="1"/>
  <c r="V1016" i="2" s="1"/>
  <c r="V1046" i="2" s="1"/>
  <c r="V1076" i="2" s="1"/>
  <c r="V1106" i="2" s="1"/>
  <c r="V1136" i="2" s="1"/>
  <c r="V1166" i="2" s="1"/>
  <c r="V1196" i="2" s="1"/>
  <c r="V1226" i="2" s="1"/>
  <c r="V1256" i="2" s="1"/>
  <c r="V1286" i="2" s="1"/>
  <c r="V1316" i="2" s="1"/>
  <c r="V1346" i="2" s="1"/>
  <c r="V1376" i="2" s="1"/>
  <c r="V1406" i="2" s="1"/>
  <c r="V1436" i="2" s="1"/>
  <c r="V1466" i="2" s="1"/>
  <c r="V1496" i="2" s="1"/>
  <c r="V1526" i="2" s="1"/>
  <c r="V1556" i="2" s="1"/>
  <c r="V1586" i="2" s="1"/>
  <c r="V1616" i="2" s="1"/>
  <c r="V1646" i="2" s="1"/>
  <c r="V1676" i="2" s="1"/>
  <c r="V1706" i="2" s="1"/>
  <c r="V1736" i="2" s="1"/>
  <c r="V1766" i="2" s="1"/>
  <c r="V1796" i="2" s="1"/>
  <c r="V1826" i="2" s="1"/>
  <c r="V1856" i="2" s="1"/>
  <c r="V1886" i="2" s="1"/>
  <c r="V1916" i="2" s="1"/>
  <c r="V1946" i="2" s="1"/>
  <c r="V1976" i="2" s="1"/>
  <c r="V2006" i="2" s="1"/>
  <c r="V2036" i="2" s="1"/>
  <c r="V2066" i="2" s="1"/>
  <c r="V2096" i="2" s="1"/>
  <c r="V2126" i="2" s="1"/>
  <c r="V2156" i="2" s="1"/>
  <c r="V2186" i="2" s="1"/>
  <c r="V2216" i="2" s="1"/>
  <c r="V2246" i="2" s="1"/>
  <c r="V2276" i="2" s="1"/>
  <c r="V2306" i="2" s="1"/>
  <c r="V2336" i="2" s="1"/>
  <c r="V2366" i="2" s="1"/>
  <c r="V2396" i="2" s="1"/>
  <c r="W56" i="2"/>
  <c r="W86" i="2" s="1"/>
  <c r="W116" i="2" s="1"/>
  <c r="W146" i="2" s="1"/>
  <c r="W176" i="2" s="1"/>
  <c r="W206" i="2" s="1"/>
  <c r="W236" i="2" s="1"/>
  <c r="W266" i="2" s="1"/>
  <c r="W296" i="2" s="1"/>
  <c r="W326" i="2" s="1"/>
  <c r="W356" i="2" s="1"/>
  <c r="W386" i="2" s="1"/>
  <c r="W416" i="2" s="1"/>
  <c r="W446" i="2" s="1"/>
  <c r="W476" i="2" s="1"/>
  <c r="W506" i="2" s="1"/>
  <c r="W536" i="2" s="1"/>
  <c r="W566" i="2" s="1"/>
  <c r="W596" i="2" s="1"/>
  <c r="W626" i="2" s="1"/>
  <c r="W656" i="2" s="1"/>
  <c r="W686" i="2" s="1"/>
  <c r="W716" i="2" s="1"/>
  <c r="W746" i="2" s="1"/>
  <c r="W776" i="2" s="1"/>
  <c r="W806" i="2" s="1"/>
  <c r="W836" i="2" s="1"/>
  <c r="W866" i="2" s="1"/>
  <c r="W896" i="2" s="1"/>
  <c r="W926" i="2" s="1"/>
  <c r="W956" i="2" s="1"/>
  <c r="W986" i="2" s="1"/>
  <c r="W1016" i="2" s="1"/>
  <c r="W1046" i="2" s="1"/>
  <c r="W1076" i="2" s="1"/>
  <c r="W1106" i="2" s="1"/>
  <c r="W1136" i="2" s="1"/>
  <c r="W1166" i="2" s="1"/>
  <c r="W1196" i="2" s="1"/>
  <c r="W1226" i="2" s="1"/>
  <c r="W1256" i="2" s="1"/>
  <c r="W1286" i="2" s="1"/>
  <c r="W1316" i="2" s="1"/>
  <c r="W1346" i="2" s="1"/>
  <c r="W1376" i="2" s="1"/>
  <c r="W1406" i="2" s="1"/>
  <c r="W1436" i="2" s="1"/>
  <c r="W1466" i="2" s="1"/>
  <c r="W1496" i="2" s="1"/>
  <c r="W1526" i="2" s="1"/>
  <c r="W1556" i="2" s="1"/>
  <c r="W1586" i="2" s="1"/>
  <c r="W1616" i="2" s="1"/>
  <c r="W1646" i="2" s="1"/>
  <c r="W1676" i="2" s="1"/>
  <c r="W1706" i="2" s="1"/>
  <c r="W1736" i="2" s="1"/>
  <c r="W1766" i="2" s="1"/>
  <c r="W1796" i="2" s="1"/>
  <c r="W1826" i="2" s="1"/>
  <c r="W1856" i="2" s="1"/>
  <c r="W1886" i="2" s="1"/>
  <c r="W1916" i="2" s="1"/>
  <c r="W1946" i="2" s="1"/>
  <c r="W1976" i="2" s="1"/>
  <c r="W2006" i="2" s="1"/>
  <c r="W2036" i="2" s="1"/>
  <c r="W2066" i="2" s="1"/>
  <c r="W2096" i="2" s="1"/>
  <c r="W2126" i="2" s="1"/>
  <c r="W2156" i="2" s="1"/>
  <c r="W2186" i="2" s="1"/>
  <c r="W2216" i="2" s="1"/>
  <c r="W2246" i="2" s="1"/>
  <c r="W2276" i="2" s="1"/>
  <c r="W2306" i="2" s="1"/>
  <c r="W2336" i="2" s="1"/>
  <c r="W2366" i="2" s="1"/>
  <c r="W2396" i="2" s="1"/>
  <c r="U57" i="2"/>
  <c r="U87" i="2" s="1"/>
  <c r="U117" i="2" s="1"/>
  <c r="U147" i="2" s="1"/>
  <c r="U177" i="2" s="1"/>
  <c r="U207" i="2" s="1"/>
  <c r="U237" i="2" s="1"/>
  <c r="V57" i="2"/>
  <c r="V87" i="2" s="1"/>
  <c r="V117" i="2" s="1"/>
  <c r="V147" i="2" s="1"/>
  <c r="V177" i="2" s="1"/>
  <c r="V207" i="2" s="1"/>
  <c r="V237" i="2" s="1"/>
  <c r="V267" i="2" s="1"/>
  <c r="V297" i="2" s="1"/>
  <c r="V327" i="2" s="1"/>
  <c r="W57" i="2"/>
  <c r="W87" i="2" s="1"/>
  <c r="W117" i="2" s="1"/>
  <c r="W147" i="2" s="1"/>
  <c r="W177" i="2" s="1"/>
  <c r="W207" i="2" s="1"/>
  <c r="W237" i="2" s="1"/>
  <c r="W267" i="2" s="1"/>
  <c r="W297" i="2" s="1"/>
  <c r="W327" i="2" s="1"/>
  <c r="W357" i="2" s="1"/>
  <c r="W387" i="2" s="1"/>
  <c r="W417" i="2" s="1"/>
  <c r="W447" i="2" s="1"/>
  <c r="W477" i="2" s="1"/>
  <c r="W507" i="2" s="1"/>
  <c r="W537" i="2" s="1"/>
  <c r="W567" i="2" s="1"/>
  <c r="W597" i="2" s="1"/>
  <c r="W627" i="2" s="1"/>
  <c r="W657" i="2" s="1"/>
  <c r="W687" i="2" s="1"/>
  <c r="W717" i="2" s="1"/>
  <c r="W747" i="2" s="1"/>
  <c r="W777" i="2" s="1"/>
  <c r="W807" i="2" s="1"/>
  <c r="W837" i="2" s="1"/>
  <c r="W867" i="2" s="1"/>
  <c r="W897" i="2" s="1"/>
  <c r="W927" i="2" s="1"/>
  <c r="W957" i="2" s="1"/>
  <c r="W987" i="2" s="1"/>
  <c r="W1017" i="2" s="1"/>
  <c r="W1047" i="2" s="1"/>
  <c r="W1077" i="2" s="1"/>
  <c r="W1107" i="2" s="1"/>
  <c r="W1137" i="2" s="1"/>
  <c r="W1167" i="2" s="1"/>
  <c r="W1197" i="2" s="1"/>
  <c r="W1227" i="2" s="1"/>
  <c r="W1257" i="2" s="1"/>
  <c r="W1287" i="2" s="1"/>
  <c r="W1317" i="2" s="1"/>
  <c r="W1347" i="2" s="1"/>
  <c r="W1377" i="2" s="1"/>
  <c r="U58" i="2"/>
  <c r="U88" i="2" s="1"/>
  <c r="U118" i="2" s="1"/>
  <c r="U148" i="2" s="1"/>
  <c r="U178" i="2" s="1"/>
  <c r="U208" i="2" s="1"/>
  <c r="U238" i="2" s="1"/>
  <c r="U268" i="2" s="1"/>
  <c r="U298" i="2" s="1"/>
  <c r="U328" i="2" s="1"/>
  <c r="U358" i="2" s="1"/>
  <c r="U388" i="2" s="1"/>
  <c r="U418" i="2" s="1"/>
  <c r="U448" i="2" s="1"/>
  <c r="U478" i="2" s="1"/>
  <c r="V58" i="2"/>
  <c r="V88" i="2" s="1"/>
  <c r="V118" i="2" s="1"/>
  <c r="V148" i="2" s="1"/>
  <c r="V178" i="2" s="1"/>
  <c r="V208" i="2" s="1"/>
  <c r="V238" i="2" s="1"/>
  <c r="V268" i="2" s="1"/>
  <c r="V298" i="2" s="1"/>
  <c r="V328" i="2" s="1"/>
  <c r="V358" i="2" s="1"/>
  <c r="V388" i="2" s="1"/>
  <c r="V418" i="2" s="1"/>
  <c r="V448" i="2" s="1"/>
  <c r="V478" i="2" s="1"/>
  <c r="V508" i="2" s="1"/>
  <c r="V538" i="2" s="1"/>
  <c r="V568" i="2" s="1"/>
  <c r="V598" i="2" s="1"/>
  <c r="V628" i="2" s="1"/>
  <c r="V658" i="2" s="1"/>
  <c r="V688" i="2" s="1"/>
  <c r="V718" i="2" s="1"/>
  <c r="V748" i="2" s="1"/>
  <c r="V778" i="2" s="1"/>
  <c r="V808" i="2" s="1"/>
  <c r="V838" i="2" s="1"/>
  <c r="V868" i="2" s="1"/>
  <c r="V898" i="2" s="1"/>
  <c r="V928" i="2" s="1"/>
  <c r="V958" i="2" s="1"/>
  <c r="V988" i="2" s="1"/>
  <c r="V1018" i="2" s="1"/>
  <c r="V1048" i="2" s="1"/>
  <c r="V1078" i="2" s="1"/>
  <c r="V1108" i="2" s="1"/>
  <c r="V1138" i="2" s="1"/>
  <c r="V1168" i="2" s="1"/>
  <c r="V1198" i="2" s="1"/>
  <c r="V1228" i="2" s="1"/>
  <c r="V1258" i="2" s="1"/>
  <c r="V1288" i="2" s="1"/>
  <c r="V1318" i="2" s="1"/>
  <c r="V1348" i="2" s="1"/>
  <c r="V1378" i="2" s="1"/>
  <c r="V1408" i="2" s="1"/>
  <c r="V1438" i="2" s="1"/>
  <c r="V1468" i="2" s="1"/>
  <c r="V1498" i="2" s="1"/>
  <c r="V1528" i="2" s="1"/>
  <c r="V1558" i="2" s="1"/>
  <c r="V1588" i="2" s="1"/>
  <c r="V1618" i="2" s="1"/>
  <c r="V1648" i="2" s="1"/>
  <c r="V1678" i="2" s="1"/>
  <c r="V1708" i="2" s="1"/>
  <c r="V1738" i="2" s="1"/>
  <c r="V1768" i="2" s="1"/>
  <c r="V1798" i="2" s="1"/>
  <c r="V1828" i="2" s="1"/>
  <c r="V1858" i="2" s="1"/>
  <c r="V1888" i="2" s="1"/>
  <c r="V1918" i="2" s="1"/>
  <c r="V1948" i="2" s="1"/>
  <c r="V1978" i="2" s="1"/>
  <c r="V2008" i="2" s="1"/>
  <c r="V2038" i="2" s="1"/>
  <c r="V2068" i="2" s="1"/>
  <c r="V2098" i="2" s="1"/>
  <c r="V2128" i="2" s="1"/>
  <c r="V2158" i="2" s="1"/>
  <c r="V2188" i="2" s="1"/>
  <c r="V2218" i="2" s="1"/>
  <c r="V2248" i="2" s="1"/>
  <c r="V2278" i="2" s="1"/>
  <c r="V2308" i="2" s="1"/>
  <c r="V2338" i="2" s="1"/>
  <c r="V2368" i="2" s="1"/>
  <c r="V2398" i="2" s="1"/>
  <c r="W58" i="2"/>
  <c r="W88" i="2" s="1"/>
  <c r="W118" i="2" s="1"/>
  <c r="W148" i="2" s="1"/>
  <c r="W178" i="2" s="1"/>
  <c r="W208" i="2" s="1"/>
  <c r="W238" i="2" s="1"/>
  <c r="W268" i="2" s="1"/>
  <c r="W298" i="2" s="1"/>
  <c r="W328" i="2" s="1"/>
  <c r="W358" i="2" s="1"/>
  <c r="W388" i="2" s="1"/>
  <c r="W418" i="2" s="1"/>
  <c r="W448" i="2" s="1"/>
  <c r="W478" i="2" s="1"/>
  <c r="W508" i="2" s="1"/>
  <c r="W538" i="2" s="1"/>
  <c r="W568" i="2" s="1"/>
  <c r="W598" i="2" s="1"/>
  <c r="W628" i="2" s="1"/>
  <c r="W658" i="2" s="1"/>
  <c r="W688" i="2" s="1"/>
  <c r="W718" i="2" s="1"/>
  <c r="W748" i="2" s="1"/>
  <c r="W778" i="2" s="1"/>
  <c r="W808" i="2" s="1"/>
  <c r="W838" i="2" s="1"/>
  <c r="W868" i="2" s="1"/>
  <c r="W898" i="2" s="1"/>
  <c r="W928" i="2" s="1"/>
  <c r="W958" i="2" s="1"/>
  <c r="W988" i="2" s="1"/>
  <c r="W1018" i="2" s="1"/>
  <c r="W1048" i="2" s="1"/>
  <c r="W1078" i="2" s="1"/>
  <c r="W1108" i="2" s="1"/>
  <c r="W1138" i="2" s="1"/>
  <c r="W1168" i="2" s="1"/>
  <c r="W1198" i="2" s="1"/>
  <c r="W1228" i="2" s="1"/>
  <c r="W1258" i="2" s="1"/>
  <c r="W1288" i="2" s="1"/>
  <c r="W1318" i="2" s="1"/>
  <c r="W1348" i="2" s="1"/>
  <c r="W1378" i="2" s="1"/>
  <c r="W1408" i="2" s="1"/>
  <c r="W1438" i="2" s="1"/>
  <c r="W1468" i="2" s="1"/>
  <c r="W1498" i="2" s="1"/>
  <c r="W1528" i="2" s="1"/>
  <c r="W1558" i="2" s="1"/>
  <c r="W1588" i="2" s="1"/>
  <c r="W1618" i="2" s="1"/>
  <c r="W1648" i="2" s="1"/>
  <c r="W1678" i="2" s="1"/>
  <c r="W1708" i="2" s="1"/>
  <c r="W1738" i="2" s="1"/>
  <c r="W1768" i="2" s="1"/>
  <c r="W1798" i="2" s="1"/>
  <c r="W1828" i="2" s="1"/>
  <c r="W1858" i="2" s="1"/>
  <c r="W1888" i="2" s="1"/>
  <c r="W1918" i="2" s="1"/>
  <c r="W1948" i="2" s="1"/>
  <c r="W1978" i="2" s="1"/>
  <c r="W2008" i="2" s="1"/>
  <c r="W2038" i="2" s="1"/>
  <c r="W2068" i="2" s="1"/>
  <c r="W2098" i="2" s="1"/>
  <c r="W2128" i="2" s="1"/>
  <c r="W2158" i="2" s="1"/>
  <c r="W2188" i="2" s="1"/>
  <c r="W2218" i="2" s="1"/>
  <c r="W2248" i="2" s="1"/>
  <c r="W2278" i="2" s="1"/>
  <c r="W2308" i="2" s="1"/>
  <c r="W2338" i="2" s="1"/>
  <c r="W2368" i="2" s="1"/>
  <c r="W2398" i="2" s="1"/>
  <c r="U59" i="2"/>
  <c r="U89" i="2" s="1"/>
  <c r="U119" i="2" s="1"/>
  <c r="U149" i="2" s="1"/>
  <c r="U179" i="2" s="1"/>
  <c r="U209" i="2" s="1"/>
  <c r="U239" i="2" s="1"/>
  <c r="U269" i="2" s="1"/>
  <c r="U299" i="2" s="1"/>
  <c r="U329" i="2" s="1"/>
  <c r="U359" i="2" s="1"/>
  <c r="U389" i="2" s="1"/>
  <c r="U419" i="2" s="1"/>
  <c r="U449" i="2" s="1"/>
  <c r="U479" i="2" s="1"/>
  <c r="U509" i="2" s="1"/>
  <c r="U539" i="2" s="1"/>
  <c r="U569" i="2" s="1"/>
  <c r="U599" i="2" s="1"/>
  <c r="U629" i="2" s="1"/>
  <c r="U659" i="2" s="1"/>
  <c r="U689" i="2" s="1"/>
  <c r="U719" i="2" s="1"/>
  <c r="U749" i="2" s="1"/>
  <c r="U779" i="2" s="1"/>
  <c r="U809" i="2" s="1"/>
  <c r="U839" i="2" s="1"/>
  <c r="U869" i="2" s="1"/>
  <c r="U899" i="2" s="1"/>
  <c r="U929" i="2" s="1"/>
  <c r="U959" i="2" s="1"/>
  <c r="U989" i="2" s="1"/>
  <c r="U1019" i="2" s="1"/>
  <c r="U1049" i="2" s="1"/>
  <c r="U1079" i="2" s="1"/>
  <c r="U1109" i="2" s="1"/>
  <c r="U1139" i="2" s="1"/>
  <c r="U1169" i="2" s="1"/>
  <c r="U1199" i="2" s="1"/>
  <c r="U1229" i="2" s="1"/>
  <c r="U1259" i="2" s="1"/>
  <c r="U1289" i="2" s="1"/>
  <c r="U1319" i="2" s="1"/>
  <c r="U1349" i="2" s="1"/>
  <c r="U1379" i="2" s="1"/>
  <c r="U1409" i="2" s="1"/>
  <c r="U1439" i="2" s="1"/>
  <c r="U1469" i="2" s="1"/>
  <c r="U1499" i="2" s="1"/>
  <c r="U1529" i="2" s="1"/>
  <c r="U1559" i="2" s="1"/>
  <c r="U1589" i="2" s="1"/>
  <c r="U1619" i="2" s="1"/>
  <c r="U1649" i="2" s="1"/>
  <c r="U1679" i="2" s="1"/>
  <c r="U1709" i="2" s="1"/>
  <c r="U1739" i="2" s="1"/>
  <c r="U1769" i="2" s="1"/>
  <c r="U1799" i="2" s="1"/>
  <c r="U1829" i="2" s="1"/>
  <c r="U1859" i="2" s="1"/>
  <c r="U1889" i="2" s="1"/>
  <c r="U1919" i="2" s="1"/>
  <c r="U1949" i="2" s="1"/>
  <c r="U1979" i="2" s="1"/>
  <c r="U2009" i="2" s="1"/>
  <c r="U2039" i="2" s="1"/>
  <c r="U2069" i="2" s="1"/>
  <c r="U2099" i="2" s="1"/>
  <c r="U2129" i="2" s="1"/>
  <c r="U2159" i="2" s="1"/>
  <c r="U2189" i="2" s="1"/>
  <c r="U2219" i="2" s="1"/>
  <c r="U2249" i="2" s="1"/>
  <c r="U2279" i="2" s="1"/>
  <c r="U2309" i="2" s="1"/>
  <c r="U2339" i="2" s="1"/>
  <c r="U2369" i="2" s="1"/>
  <c r="U2399" i="2" s="1"/>
  <c r="V59" i="2"/>
  <c r="V89" i="2" s="1"/>
  <c r="V119" i="2" s="1"/>
  <c r="V149" i="2" s="1"/>
  <c r="V179" i="2" s="1"/>
  <c r="V209" i="2" s="1"/>
  <c r="V239" i="2" s="1"/>
  <c r="V269" i="2" s="1"/>
  <c r="V299" i="2" s="1"/>
  <c r="V329" i="2" s="1"/>
  <c r="V359" i="2" s="1"/>
  <c r="V389" i="2" s="1"/>
  <c r="V419" i="2" s="1"/>
  <c r="V449" i="2" s="1"/>
  <c r="V479" i="2" s="1"/>
  <c r="V509" i="2" s="1"/>
  <c r="V539" i="2" s="1"/>
  <c r="V569" i="2" s="1"/>
  <c r="V599" i="2" s="1"/>
  <c r="V629" i="2" s="1"/>
  <c r="V659" i="2" s="1"/>
  <c r="V689" i="2" s="1"/>
  <c r="V719" i="2" s="1"/>
  <c r="V749" i="2" s="1"/>
  <c r="V779" i="2" s="1"/>
  <c r="V809" i="2" s="1"/>
  <c r="V839" i="2" s="1"/>
  <c r="V869" i="2" s="1"/>
  <c r="V899" i="2" s="1"/>
  <c r="V929" i="2" s="1"/>
  <c r="V959" i="2" s="1"/>
  <c r="V989" i="2" s="1"/>
  <c r="V1019" i="2" s="1"/>
  <c r="V1049" i="2" s="1"/>
  <c r="V1079" i="2" s="1"/>
  <c r="V1109" i="2" s="1"/>
  <c r="V1139" i="2" s="1"/>
  <c r="V1169" i="2" s="1"/>
  <c r="V1199" i="2" s="1"/>
  <c r="V1229" i="2" s="1"/>
  <c r="V1259" i="2" s="1"/>
  <c r="V1289" i="2" s="1"/>
  <c r="V1319" i="2" s="1"/>
  <c r="V1349" i="2" s="1"/>
  <c r="V1379" i="2" s="1"/>
  <c r="V1409" i="2" s="1"/>
  <c r="V1439" i="2" s="1"/>
  <c r="V1469" i="2" s="1"/>
  <c r="V1499" i="2" s="1"/>
  <c r="V1529" i="2" s="1"/>
  <c r="V1559" i="2" s="1"/>
  <c r="V1589" i="2" s="1"/>
  <c r="V1619" i="2" s="1"/>
  <c r="V1649" i="2" s="1"/>
  <c r="V1679" i="2" s="1"/>
  <c r="V1709" i="2" s="1"/>
  <c r="V1739" i="2" s="1"/>
  <c r="V1769" i="2" s="1"/>
  <c r="V1799" i="2" s="1"/>
  <c r="V1829" i="2" s="1"/>
  <c r="V1859" i="2" s="1"/>
  <c r="V1889" i="2" s="1"/>
  <c r="V1919" i="2" s="1"/>
  <c r="W59" i="2"/>
  <c r="W89" i="2" s="1"/>
  <c r="W119" i="2" s="1"/>
  <c r="W149" i="2" s="1"/>
  <c r="W179" i="2" s="1"/>
  <c r="W209" i="2" s="1"/>
  <c r="W239" i="2" s="1"/>
  <c r="W269" i="2" s="1"/>
  <c r="W299" i="2" s="1"/>
  <c r="W329" i="2" s="1"/>
  <c r="W359" i="2" s="1"/>
  <c r="W389" i="2" s="1"/>
  <c r="W419" i="2" s="1"/>
  <c r="W449" i="2" s="1"/>
  <c r="W479" i="2" s="1"/>
  <c r="W509" i="2" s="1"/>
  <c r="W539" i="2" s="1"/>
  <c r="W569" i="2" s="1"/>
  <c r="W599" i="2" s="1"/>
  <c r="W629" i="2" s="1"/>
  <c r="W659" i="2" s="1"/>
  <c r="W689" i="2" s="1"/>
  <c r="W719" i="2" s="1"/>
  <c r="W749" i="2" s="1"/>
  <c r="W779" i="2" s="1"/>
  <c r="W809" i="2" s="1"/>
  <c r="W839" i="2" s="1"/>
  <c r="W869" i="2" s="1"/>
  <c r="W899" i="2" s="1"/>
  <c r="W929" i="2" s="1"/>
  <c r="W959" i="2" s="1"/>
  <c r="W989" i="2" s="1"/>
  <c r="W1019" i="2" s="1"/>
  <c r="W1049" i="2" s="1"/>
  <c r="W1079" i="2" s="1"/>
  <c r="W1109" i="2" s="1"/>
  <c r="W1139" i="2" s="1"/>
  <c r="W1169" i="2" s="1"/>
  <c r="W1199" i="2" s="1"/>
  <c r="W1229" i="2" s="1"/>
  <c r="W1259" i="2" s="1"/>
  <c r="W1289" i="2" s="1"/>
  <c r="W1319" i="2" s="1"/>
  <c r="W1349" i="2" s="1"/>
  <c r="W1379" i="2" s="1"/>
  <c r="W1409" i="2" s="1"/>
  <c r="W1439" i="2" s="1"/>
  <c r="W1469" i="2" s="1"/>
  <c r="W1499" i="2" s="1"/>
  <c r="W1529" i="2" s="1"/>
  <c r="W1559" i="2" s="1"/>
  <c r="W1589" i="2" s="1"/>
  <c r="W1619" i="2" s="1"/>
  <c r="W1649" i="2" s="1"/>
  <c r="W1679" i="2" s="1"/>
  <c r="W1709" i="2" s="1"/>
  <c r="W1739" i="2" s="1"/>
  <c r="W1769" i="2" s="1"/>
  <c r="W1799" i="2" s="1"/>
  <c r="W1829" i="2" s="1"/>
  <c r="W1859" i="2" s="1"/>
  <c r="W1889" i="2" s="1"/>
  <c r="W1919" i="2" s="1"/>
  <c r="W1949" i="2" s="1"/>
  <c r="W1979" i="2" s="1"/>
  <c r="W2009" i="2" s="1"/>
  <c r="W2039" i="2" s="1"/>
  <c r="W2069" i="2" s="1"/>
  <c r="W2099" i="2" s="1"/>
  <c r="W2129" i="2" s="1"/>
  <c r="W2159" i="2" s="1"/>
  <c r="W2189" i="2" s="1"/>
  <c r="W2219" i="2" s="1"/>
  <c r="W2249" i="2" s="1"/>
  <c r="W2279" i="2" s="1"/>
  <c r="W2309" i="2" s="1"/>
  <c r="W2339" i="2" s="1"/>
  <c r="W2369" i="2" s="1"/>
  <c r="W2399" i="2" s="1"/>
  <c r="U60" i="2"/>
  <c r="V60" i="2"/>
  <c r="V90" i="2" s="1"/>
  <c r="V120" i="2" s="1"/>
  <c r="V150" i="2" s="1"/>
  <c r="V180" i="2" s="1"/>
  <c r="V210" i="2" s="1"/>
  <c r="V240" i="2" s="1"/>
  <c r="V270" i="2" s="1"/>
  <c r="V300" i="2" s="1"/>
  <c r="V330" i="2" s="1"/>
  <c r="V360" i="2" s="1"/>
  <c r="V390" i="2" s="1"/>
  <c r="V420" i="2" s="1"/>
  <c r="V450" i="2" s="1"/>
  <c r="V480" i="2" s="1"/>
  <c r="V510" i="2" s="1"/>
  <c r="V540" i="2" s="1"/>
  <c r="V570" i="2" s="1"/>
  <c r="V600" i="2" s="1"/>
  <c r="V630" i="2" s="1"/>
  <c r="V660" i="2" s="1"/>
  <c r="V690" i="2" s="1"/>
  <c r="V720" i="2" s="1"/>
  <c r="V750" i="2" s="1"/>
  <c r="V780" i="2" s="1"/>
  <c r="V810" i="2" s="1"/>
  <c r="V840" i="2" s="1"/>
  <c r="V870" i="2" s="1"/>
  <c r="V900" i="2" s="1"/>
  <c r="V930" i="2" s="1"/>
  <c r="V960" i="2" s="1"/>
  <c r="V990" i="2" s="1"/>
  <c r="V1020" i="2" s="1"/>
  <c r="V1050" i="2" s="1"/>
  <c r="V1080" i="2" s="1"/>
  <c r="V1110" i="2" s="1"/>
  <c r="V1140" i="2" s="1"/>
  <c r="V1170" i="2" s="1"/>
  <c r="V1200" i="2" s="1"/>
  <c r="V1230" i="2" s="1"/>
  <c r="V1260" i="2" s="1"/>
  <c r="V1290" i="2" s="1"/>
  <c r="V1320" i="2" s="1"/>
  <c r="V1350" i="2" s="1"/>
  <c r="V1380" i="2" s="1"/>
  <c r="V1410" i="2" s="1"/>
  <c r="V1440" i="2" s="1"/>
  <c r="V1470" i="2" s="1"/>
  <c r="V1500" i="2" s="1"/>
  <c r="V1530" i="2" s="1"/>
  <c r="V1560" i="2" s="1"/>
  <c r="V1590" i="2" s="1"/>
  <c r="V1620" i="2" s="1"/>
  <c r="V1650" i="2" s="1"/>
  <c r="V1680" i="2" s="1"/>
  <c r="V1710" i="2" s="1"/>
  <c r="V1740" i="2" s="1"/>
  <c r="V1770" i="2" s="1"/>
  <c r="V1800" i="2" s="1"/>
  <c r="V1830" i="2" s="1"/>
  <c r="V1860" i="2" s="1"/>
  <c r="V1890" i="2" s="1"/>
  <c r="V1920" i="2" s="1"/>
  <c r="V1950" i="2" s="1"/>
  <c r="V1980" i="2" s="1"/>
  <c r="V2010" i="2" s="1"/>
  <c r="V2040" i="2" s="1"/>
  <c r="V2070" i="2" s="1"/>
  <c r="V2100" i="2" s="1"/>
  <c r="V2130" i="2" s="1"/>
  <c r="V2160" i="2" s="1"/>
  <c r="V2190" i="2" s="1"/>
  <c r="V2220" i="2" s="1"/>
  <c r="V2250" i="2" s="1"/>
  <c r="V2280" i="2" s="1"/>
  <c r="V2310" i="2" s="1"/>
  <c r="V2340" i="2" s="1"/>
  <c r="V2370" i="2" s="1"/>
  <c r="V2400" i="2" s="1"/>
  <c r="W60" i="2"/>
  <c r="W90" i="2" s="1"/>
  <c r="W120" i="2" s="1"/>
  <c r="W150" i="2" s="1"/>
  <c r="W180" i="2" s="1"/>
  <c r="W210" i="2" s="1"/>
  <c r="W240" i="2" s="1"/>
  <c r="W270" i="2" s="1"/>
  <c r="W300" i="2" s="1"/>
  <c r="W330" i="2" s="1"/>
  <c r="W360" i="2" s="1"/>
  <c r="W390" i="2" s="1"/>
  <c r="W420" i="2" s="1"/>
  <c r="W450" i="2" s="1"/>
  <c r="W480" i="2" s="1"/>
  <c r="W510" i="2" s="1"/>
  <c r="W540" i="2" s="1"/>
  <c r="W570" i="2" s="1"/>
  <c r="W600" i="2" s="1"/>
  <c r="W630" i="2" s="1"/>
  <c r="W660" i="2" s="1"/>
  <c r="W690" i="2" s="1"/>
  <c r="W720" i="2" s="1"/>
  <c r="W750" i="2" s="1"/>
  <c r="W780" i="2" s="1"/>
  <c r="W810" i="2" s="1"/>
  <c r="W840" i="2" s="1"/>
  <c r="W870" i="2" s="1"/>
  <c r="W900" i="2" s="1"/>
  <c r="W930" i="2" s="1"/>
  <c r="W960" i="2" s="1"/>
  <c r="W990" i="2" s="1"/>
  <c r="W1020" i="2" s="1"/>
  <c r="W1050" i="2" s="1"/>
  <c r="W1080" i="2" s="1"/>
  <c r="W1110" i="2" s="1"/>
  <c r="W1140" i="2" s="1"/>
  <c r="W1170" i="2" s="1"/>
  <c r="W1200" i="2" s="1"/>
  <c r="W1230" i="2" s="1"/>
  <c r="W1260" i="2" s="1"/>
  <c r="W1290" i="2" s="1"/>
  <c r="W1320" i="2" s="1"/>
  <c r="W1350" i="2" s="1"/>
  <c r="W1380" i="2" s="1"/>
  <c r="W1410" i="2" s="1"/>
  <c r="W1440" i="2" s="1"/>
  <c r="W1470" i="2" s="1"/>
  <c r="W1500" i="2" s="1"/>
  <c r="W1530" i="2" s="1"/>
  <c r="W1560" i="2" s="1"/>
  <c r="W1590" i="2" s="1"/>
  <c r="W1620" i="2" s="1"/>
  <c r="W1650" i="2" s="1"/>
  <c r="W1680" i="2" s="1"/>
  <c r="W1710" i="2" s="1"/>
  <c r="W1740" i="2" s="1"/>
  <c r="W1770" i="2" s="1"/>
  <c r="W1800" i="2" s="1"/>
  <c r="W1830" i="2" s="1"/>
  <c r="W1860" i="2" s="1"/>
  <c r="W1890" i="2" s="1"/>
  <c r="W1920" i="2" s="1"/>
  <c r="W1950" i="2" s="1"/>
  <c r="W1980" i="2" s="1"/>
  <c r="W2010" i="2" s="1"/>
  <c r="W2040" i="2" s="1"/>
  <c r="W2070" i="2" s="1"/>
  <c r="W2100" i="2" s="1"/>
  <c r="W2130" i="2" s="1"/>
  <c r="W2160" i="2" s="1"/>
  <c r="W2190" i="2" s="1"/>
  <c r="W2220" i="2" s="1"/>
  <c r="W2250" i="2" s="1"/>
  <c r="W2280" i="2" s="1"/>
  <c r="W2310" i="2" s="1"/>
  <c r="W2340" i="2" s="1"/>
  <c r="W2370" i="2" s="1"/>
  <c r="W2400" i="2" s="1"/>
  <c r="U61" i="2"/>
  <c r="U91" i="2" s="1"/>
  <c r="U121" i="2" s="1"/>
  <c r="U151" i="2" s="1"/>
  <c r="U181" i="2" s="1"/>
  <c r="U211" i="2" s="1"/>
  <c r="U241" i="2" s="1"/>
  <c r="U271" i="2" s="1"/>
  <c r="U301" i="2" s="1"/>
  <c r="U331" i="2" s="1"/>
  <c r="U361" i="2" s="1"/>
  <c r="U391" i="2" s="1"/>
  <c r="U421" i="2" s="1"/>
  <c r="U451" i="2" s="1"/>
  <c r="U481" i="2" s="1"/>
  <c r="U511" i="2" s="1"/>
  <c r="U541" i="2" s="1"/>
  <c r="U571" i="2" s="1"/>
  <c r="U601" i="2" s="1"/>
  <c r="U631" i="2" s="1"/>
  <c r="U661" i="2" s="1"/>
  <c r="U691" i="2" s="1"/>
  <c r="U721" i="2" s="1"/>
  <c r="U751" i="2" s="1"/>
  <c r="U781" i="2" s="1"/>
  <c r="U811" i="2" s="1"/>
  <c r="U841" i="2" s="1"/>
  <c r="U871" i="2" s="1"/>
  <c r="U901" i="2" s="1"/>
  <c r="U931" i="2" s="1"/>
  <c r="U961" i="2" s="1"/>
  <c r="U991" i="2" s="1"/>
  <c r="U1021" i="2" s="1"/>
  <c r="U1051" i="2" s="1"/>
  <c r="U1081" i="2" s="1"/>
  <c r="U1111" i="2" s="1"/>
  <c r="U1141" i="2" s="1"/>
  <c r="U1171" i="2" s="1"/>
  <c r="U1201" i="2" s="1"/>
  <c r="U1231" i="2" s="1"/>
  <c r="U1261" i="2" s="1"/>
  <c r="U1291" i="2" s="1"/>
  <c r="U1321" i="2" s="1"/>
  <c r="U1351" i="2" s="1"/>
  <c r="U1381" i="2" s="1"/>
  <c r="U1411" i="2" s="1"/>
  <c r="U1441" i="2" s="1"/>
  <c r="U1471" i="2" s="1"/>
  <c r="U1501" i="2" s="1"/>
  <c r="U1531" i="2" s="1"/>
  <c r="U1561" i="2" s="1"/>
  <c r="U1591" i="2" s="1"/>
  <c r="U1621" i="2" s="1"/>
  <c r="U1651" i="2" s="1"/>
  <c r="U1681" i="2" s="1"/>
  <c r="U1711" i="2" s="1"/>
  <c r="U1741" i="2" s="1"/>
  <c r="U1771" i="2" s="1"/>
  <c r="U1801" i="2" s="1"/>
  <c r="U1831" i="2" s="1"/>
  <c r="U1861" i="2" s="1"/>
  <c r="U1891" i="2" s="1"/>
  <c r="U1921" i="2" s="1"/>
  <c r="U1951" i="2" s="1"/>
  <c r="U1981" i="2" s="1"/>
  <c r="U2011" i="2" s="1"/>
  <c r="U2041" i="2" s="1"/>
  <c r="U2071" i="2" s="1"/>
  <c r="U2101" i="2" s="1"/>
  <c r="U2131" i="2" s="1"/>
  <c r="U2161" i="2" s="1"/>
  <c r="U2191" i="2" s="1"/>
  <c r="U2221" i="2" s="1"/>
  <c r="U2251" i="2" s="1"/>
  <c r="U2281" i="2" s="1"/>
  <c r="U2311" i="2" s="1"/>
  <c r="U2341" i="2" s="1"/>
  <c r="U2371" i="2" s="1"/>
  <c r="U2401" i="2" s="1"/>
  <c r="V61" i="2"/>
  <c r="W61" i="2"/>
  <c r="W91" i="2" s="1"/>
  <c r="W121" i="2" s="1"/>
  <c r="W151" i="2" s="1"/>
  <c r="W181" i="2" s="1"/>
  <c r="V63" i="2"/>
  <c r="V93" i="2" s="1"/>
  <c r="V123" i="2" s="1"/>
  <c r="V153" i="2" s="1"/>
  <c r="V183" i="2" s="1"/>
  <c r="V213" i="2" s="1"/>
  <c r="V243" i="2" s="1"/>
  <c r="V273" i="2" s="1"/>
  <c r="V303" i="2" s="1"/>
  <c r="V333" i="2" s="1"/>
  <c r="V363" i="2" s="1"/>
  <c r="V393" i="2" s="1"/>
  <c r="V423" i="2" s="1"/>
  <c r="V453" i="2" s="1"/>
  <c r="V483" i="2" s="1"/>
  <c r="V513" i="2" s="1"/>
  <c r="V543" i="2" s="1"/>
  <c r="V573" i="2" s="1"/>
  <c r="V603" i="2" s="1"/>
  <c r="V633" i="2" s="1"/>
  <c r="V663" i="2" s="1"/>
  <c r="V693" i="2" s="1"/>
  <c r="V723" i="2" s="1"/>
  <c r="V753" i="2" s="1"/>
  <c r="V783" i="2" s="1"/>
  <c r="V813" i="2" s="1"/>
  <c r="V843" i="2" s="1"/>
  <c r="V873" i="2" s="1"/>
  <c r="V903" i="2" s="1"/>
  <c r="V933" i="2" s="1"/>
  <c r="V963" i="2" s="1"/>
  <c r="V993" i="2" s="1"/>
  <c r="V1023" i="2" s="1"/>
  <c r="V1053" i="2" s="1"/>
  <c r="V1083" i="2" s="1"/>
  <c r="V1113" i="2" s="1"/>
  <c r="V1143" i="2" s="1"/>
  <c r="V1173" i="2" s="1"/>
  <c r="V1203" i="2" s="1"/>
  <c r="V1233" i="2" s="1"/>
  <c r="V1263" i="2" s="1"/>
  <c r="V1293" i="2" s="1"/>
  <c r="V1323" i="2" s="1"/>
  <c r="V1353" i="2" s="1"/>
  <c r="V1383" i="2" s="1"/>
  <c r="V1413" i="2" s="1"/>
  <c r="V1443" i="2" s="1"/>
  <c r="V1473" i="2" s="1"/>
  <c r="V1503" i="2" s="1"/>
  <c r="V1533" i="2" s="1"/>
  <c r="V1563" i="2" s="1"/>
  <c r="V1593" i="2" s="1"/>
  <c r="V1623" i="2" s="1"/>
  <c r="V1653" i="2" s="1"/>
  <c r="V1683" i="2" s="1"/>
  <c r="V1713" i="2" s="1"/>
  <c r="V1743" i="2" s="1"/>
  <c r="V1773" i="2" s="1"/>
  <c r="V1803" i="2" s="1"/>
  <c r="V1833" i="2" s="1"/>
  <c r="V1863" i="2" s="1"/>
  <c r="V1893" i="2" s="1"/>
  <c r="V1923" i="2" s="1"/>
  <c r="V1953" i="2" s="1"/>
  <c r="V1983" i="2" s="1"/>
  <c r="V2013" i="2" s="1"/>
  <c r="V2043" i="2" s="1"/>
  <c r="V2073" i="2" s="1"/>
  <c r="V2103" i="2" s="1"/>
  <c r="V2133" i="2" s="1"/>
  <c r="V2163" i="2" s="1"/>
  <c r="V2193" i="2" s="1"/>
  <c r="V2223" i="2" s="1"/>
  <c r="V2253" i="2" s="1"/>
  <c r="V2283" i="2" s="1"/>
  <c r="V2313" i="2" s="1"/>
  <c r="V2343" i="2" s="1"/>
  <c r="V2373" i="2" s="1"/>
  <c r="V64" i="2"/>
  <c r="V94" i="2" s="1"/>
  <c r="V124" i="2" s="1"/>
  <c r="V154" i="2" s="1"/>
  <c r="W64" i="2"/>
  <c r="W94" i="2" s="1"/>
  <c r="W124" i="2" s="1"/>
  <c r="W154" i="2" s="1"/>
  <c r="W184" i="2" s="1"/>
  <c r="W214" i="2" s="1"/>
  <c r="W244" i="2" s="1"/>
  <c r="W274" i="2" s="1"/>
  <c r="W304" i="2" s="1"/>
  <c r="W334" i="2" s="1"/>
  <c r="W364" i="2" s="1"/>
  <c r="W394" i="2" s="1"/>
  <c r="W424" i="2" s="1"/>
  <c r="W454" i="2" s="1"/>
  <c r="W484" i="2" s="1"/>
  <c r="W514" i="2" s="1"/>
  <c r="W544" i="2" s="1"/>
  <c r="W574" i="2" s="1"/>
  <c r="W604" i="2" s="1"/>
  <c r="W634" i="2" s="1"/>
  <c r="W664" i="2" s="1"/>
  <c r="W694" i="2" s="1"/>
  <c r="W724" i="2" s="1"/>
  <c r="W754" i="2" s="1"/>
  <c r="W784" i="2" s="1"/>
  <c r="W814" i="2" s="1"/>
  <c r="W844" i="2" s="1"/>
  <c r="W874" i="2" s="1"/>
  <c r="W904" i="2" s="1"/>
  <c r="W934" i="2" s="1"/>
  <c r="W964" i="2" s="1"/>
  <c r="W994" i="2" s="1"/>
  <c r="W1024" i="2" s="1"/>
  <c r="W1054" i="2" s="1"/>
  <c r="W1084" i="2" s="1"/>
  <c r="W1114" i="2" s="1"/>
  <c r="W1144" i="2" s="1"/>
  <c r="W1174" i="2" s="1"/>
  <c r="W1204" i="2" s="1"/>
  <c r="W1234" i="2" s="1"/>
  <c r="W1264" i="2" s="1"/>
  <c r="W1294" i="2" s="1"/>
  <c r="W1324" i="2" s="1"/>
  <c r="W1354" i="2" s="1"/>
  <c r="W1384" i="2" s="1"/>
  <c r="W1414" i="2" s="1"/>
  <c r="W1444" i="2" s="1"/>
  <c r="W1474" i="2" s="1"/>
  <c r="W1504" i="2" s="1"/>
  <c r="W1534" i="2" s="1"/>
  <c r="W1564" i="2" s="1"/>
  <c r="W1594" i="2" s="1"/>
  <c r="W1624" i="2" s="1"/>
  <c r="W1654" i="2" s="1"/>
  <c r="W1684" i="2" s="1"/>
  <c r="W1714" i="2" s="1"/>
  <c r="W1744" i="2" s="1"/>
  <c r="W1774" i="2" s="1"/>
  <c r="W1804" i="2" s="1"/>
  <c r="W1834" i="2" s="1"/>
  <c r="W1864" i="2" s="1"/>
  <c r="W1894" i="2" s="1"/>
  <c r="W1924" i="2" s="1"/>
  <c r="W1954" i="2" s="1"/>
  <c r="W1984" i="2" s="1"/>
  <c r="W2014" i="2" s="1"/>
  <c r="W2044" i="2" s="1"/>
  <c r="W2074" i="2" s="1"/>
  <c r="W2104" i="2" s="1"/>
  <c r="W2134" i="2" s="1"/>
  <c r="W2164" i="2" s="1"/>
  <c r="W2194" i="2" s="1"/>
  <c r="W2224" i="2" s="1"/>
  <c r="W2254" i="2" s="1"/>
  <c r="W2284" i="2" s="1"/>
  <c r="W2314" i="2" s="1"/>
  <c r="W2344" i="2" s="1"/>
  <c r="W2374" i="2" s="1"/>
  <c r="V65" i="2"/>
  <c r="V95" i="2" s="1"/>
  <c r="U68" i="2"/>
  <c r="U98" i="2" s="1"/>
  <c r="U128" i="2" s="1"/>
  <c r="U158" i="2" s="1"/>
  <c r="U188" i="2" s="1"/>
  <c r="U218" i="2" s="1"/>
  <c r="U248" i="2" s="1"/>
  <c r="U278" i="2" s="1"/>
  <c r="U308" i="2" s="1"/>
  <c r="U338" i="2" s="1"/>
  <c r="U368" i="2" s="1"/>
  <c r="U398" i="2" s="1"/>
  <c r="U428" i="2" s="1"/>
  <c r="U458" i="2" s="1"/>
  <c r="U488" i="2" s="1"/>
  <c r="U518" i="2" s="1"/>
  <c r="U548" i="2" s="1"/>
  <c r="U578" i="2" s="1"/>
  <c r="U608" i="2" s="1"/>
  <c r="U638" i="2" s="1"/>
  <c r="U668" i="2" s="1"/>
  <c r="U698" i="2" s="1"/>
  <c r="U728" i="2" s="1"/>
  <c r="U758" i="2" s="1"/>
  <c r="U788" i="2" s="1"/>
  <c r="U818" i="2" s="1"/>
  <c r="U848" i="2" s="1"/>
  <c r="U878" i="2" s="1"/>
  <c r="U908" i="2" s="1"/>
  <c r="U938" i="2" s="1"/>
  <c r="U968" i="2" s="1"/>
  <c r="U998" i="2" s="1"/>
  <c r="U1028" i="2" s="1"/>
  <c r="U1058" i="2" s="1"/>
  <c r="U1088" i="2" s="1"/>
  <c r="U1118" i="2" s="1"/>
  <c r="U1148" i="2" s="1"/>
  <c r="U1178" i="2" s="1"/>
  <c r="U1208" i="2" s="1"/>
  <c r="U1238" i="2" s="1"/>
  <c r="U1268" i="2" s="1"/>
  <c r="U1298" i="2" s="1"/>
  <c r="U1328" i="2" s="1"/>
  <c r="U1358" i="2" s="1"/>
  <c r="U1388" i="2" s="1"/>
  <c r="U1418" i="2" s="1"/>
  <c r="U1448" i="2" s="1"/>
  <c r="U1478" i="2" s="1"/>
  <c r="U1508" i="2" s="1"/>
  <c r="U1538" i="2" s="1"/>
  <c r="U1568" i="2" s="1"/>
  <c r="U1598" i="2" s="1"/>
  <c r="U1628" i="2" s="1"/>
  <c r="U1658" i="2" s="1"/>
  <c r="U1688" i="2" s="1"/>
  <c r="U1718" i="2" s="1"/>
  <c r="U1748" i="2" s="1"/>
  <c r="U1778" i="2" s="1"/>
  <c r="U1808" i="2" s="1"/>
  <c r="U1838" i="2" s="1"/>
  <c r="U1868" i="2" s="1"/>
  <c r="U1898" i="2" s="1"/>
  <c r="U1928" i="2" s="1"/>
  <c r="U1958" i="2" s="1"/>
  <c r="U1988" i="2" s="1"/>
  <c r="U2018" i="2" s="1"/>
  <c r="U2048" i="2" s="1"/>
  <c r="U2078" i="2" s="1"/>
  <c r="U2108" i="2" s="1"/>
  <c r="U2138" i="2" s="1"/>
  <c r="U2168" i="2" s="1"/>
  <c r="U2198" i="2" s="1"/>
  <c r="U2228" i="2" s="1"/>
  <c r="U2258" i="2" s="1"/>
  <c r="U2288" i="2" s="1"/>
  <c r="U2318" i="2" s="1"/>
  <c r="U2348" i="2" s="1"/>
  <c r="U2378" i="2" s="1"/>
  <c r="V68" i="2"/>
  <c r="V98" i="2" s="1"/>
  <c r="V128" i="2" s="1"/>
  <c r="V158" i="2" s="1"/>
  <c r="V188" i="2" s="1"/>
  <c r="V218" i="2" s="1"/>
  <c r="V248" i="2" s="1"/>
  <c r="V278" i="2" s="1"/>
  <c r="V308" i="2" s="1"/>
  <c r="V338" i="2" s="1"/>
  <c r="V368" i="2" s="1"/>
  <c r="V398" i="2" s="1"/>
  <c r="V428" i="2" s="1"/>
  <c r="V458" i="2" s="1"/>
  <c r="V488" i="2" s="1"/>
  <c r="V518" i="2" s="1"/>
  <c r="V548" i="2" s="1"/>
  <c r="V578" i="2" s="1"/>
  <c r="V608" i="2" s="1"/>
  <c r="V638" i="2" s="1"/>
  <c r="V668" i="2" s="1"/>
  <c r="V698" i="2" s="1"/>
  <c r="V728" i="2" s="1"/>
  <c r="V758" i="2" s="1"/>
  <c r="V788" i="2" s="1"/>
  <c r="V818" i="2" s="1"/>
  <c r="V848" i="2" s="1"/>
  <c r="V878" i="2" s="1"/>
  <c r="V908" i="2" s="1"/>
  <c r="V938" i="2" s="1"/>
  <c r="V968" i="2" s="1"/>
  <c r="V998" i="2" s="1"/>
  <c r="V1028" i="2" s="1"/>
  <c r="V1058" i="2" s="1"/>
  <c r="V1088" i="2" s="1"/>
  <c r="V1118" i="2" s="1"/>
  <c r="V1148" i="2" s="1"/>
  <c r="V1178" i="2" s="1"/>
  <c r="V1208" i="2" s="1"/>
  <c r="V1238" i="2" s="1"/>
  <c r="V1268" i="2" s="1"/>
  <c r="V1298" i="2" s="1"/>
  <c r="V1328" i="2" s="1"/>
  <c r="V1358" i="2" s="1"/>
  <c r="V1388" i="2" s="1"/>
  <c r="V1418" i="2" s="1"/>
  <c r="V1448" i="2" s="1"/>
  <c r="V1478" i="2" s="1"/>
  <c r="V1508" i="2" s="1"/>
  <c r="V1538" i="2" s="1"/>
  <c r="V1568" i="2" s="1"/>
  <c r="V1598" i="2" s="1"/>
  <c r="V1628" i="2" s="1"/>
  <c r="V1658" i="2" s="1"/>
  <c r="V1688" i="2" s="1"/>
  <c r="V1718" i="2" s="1"/>
  <c r="V1748" i="2" s="1"/>
  <c r="V1778" i="2" s="1"/>
  <c r="V1808" i="2" s="1"/>
  <c r="V1838" i="2" s="1"/>
  <c r="V1868" i="2" s="1"/>
  <c r="V1898" i="2" s="1"/>
  <c r="V1928" i="2" s="1"/>
  <c r="V1958" i="2" s="1"/>
  <c r="V1988" i="2" s="1"/>
  <c r="V2018" i="2" s="1"/>
  <c r="V2048" i="2" s="1"/>
  <c r="V2078" i="2" s="1"/>
  <c r="V2108" i="2" s="1"/>
  <c r="V2138" i="2" s="1"/>
  <c r="V2168" i="2" s="1"/>
  <c r="V2198" i="2" s="1"/>
  <c r="V2228" i="2" s="1"/>
  <c r="V2258" i="2" s="1"/>
  <c r="V2288" i="2" s="1"/>
  <c r="V2318" i="2" s="1"/>
  <c r="V2348" i="2" s="1"/>
  <c r="V2378" i="2" s="1"/>
  <c r="W68" i="2"/>
  <c r="W98" i="2" s="1"/>
  <c r="W128" i="2" s="1"/>
  <c r="W158" i="2" s="1"/>
  <c r="W188" i="2" s="1"/>
  <c r="W218" i="2" s="1"/>
  <c r="W248" i="2" s="1"/>
  <c r="W278" i="2" s="1"/>
  <c r="W308" i="2" s="1"/>
  <c r="W338" i="2" s="1"/>
  <c r="W368" i="2" s="1"/>
  <c r="W398" i="2" s="1"/>
  <c r="W428" i="2" s="1"/>
  <c r="W458" i="2" s="1"/>
  <c r="W488" i="2" s="1"/>
  <c r="W518" i="2" s="1"/>
  <c r="W548" i="2" s="1"/>
  <c r="W578" i="2" s="1"/>
  <c r="W608" i="2" s="1"/>
  <c r="W638" i="2" s="1"/>
  <c r="W668" i="2" s="1"/>
  <c r="W698" i="2" s="1"/>
  <c r="W728" i="2" s="1"/>
  <c r="W758" i="2" s="1"/>
  <c r="W788" i="2" s="1"/>
  <c r="W818" i="2" s="1"/>
  <c r="W848" i="2" s="1"/>
  <c r="W878" i="2" s="1"/>
  <c r="W908" i="2" s="1"/>
  <c r="W938" i="2" s="1"/>
  <c r="W968" i="2" s="1"/>
  <c r="W998" i="2" s="1"/>
  <c r="W1028" i="2" s="1"/>
  <c r="W1058" i="2" s="1"/>
  <c r="W1088" i="2" s="1"/>
  <c r="W1118" i="2" s="1"/>
  <c r="W1148" i="2" s="1"/>
  <c r="W1178" i="2" s="1"/>
  <c r="W1208" i="2" s="1"/>
  <c r="W1238" i="2" s="1"/>
  <c r="W1268" i="2" s="1"/>
  <c r="W1298" i="2" s="1"/>
  <c r="W1328" i="2" s="1"/>
  <c r="W1358" i="2" s="1"/>
  <c r="W1388" i="2" s="1"/>
  <c r="W1418" i="2" s="1"/>
  <c r="W1448" i="2" s="1"/>
  <c r="W1478" i="2" s="1"/>
  <c r="W1508" i="2" s="1"/>
  <c r="W1538" i="2" s="1"/>
  <c r="W1568" i="2" s="1"/>
  <c r="W1598" i="2" s="1"/>
  <c r="W1628" i="2" s="1"/>
  <c r="W1658" i="2" s="1"/>
  <c r="W1688" i="2" s="1"/>
  <c r="W1718" i="2" s="1"/>
  <c r="W1748" i="2" s="1"/>
  <c r="W1778" i="2" s="1"/>
  <c r="W1808" i="2" s="1"/>
  <c r="W1838" i="2" s="1"/>
  <c r="W1868" i="2" s="1"/>
  <c r="W1898" i="2" s="1"/>
  <c r="W1928" i="2" s="1"/>
  <c r="W1958" i="2" s="1"/>
  <c r="W1988" i="2" s="1"/>
  <c r="W2018" i="2" s="1"/>
  <c r="W2048" i="2" s="1"/>
  <c r="W2078" i="2" s="1"/>
  <c r="W2108" i="2" s="1"/>
  <c r="W2138" i="2" s="1"/>
  <c r="W2168" i="2" s="1"/>
  <c r="W2198" i="2" s="1"/>
  <c r="W2228" i="2" s="1"/>
  <c r="W2258" i="2" s="1"/>
  <c r="W2288" i="2" s="1"/>
  <c r="W2318" i="2" s="1"/>
  <c r="W2348" i="2" s="1"/>
  <c r="W2378" i="2" s="1"/>
  <c r="U70" i="2"/>
  <c r="U100" i="2" s="1"/>
  <c r="U130" i="2" s="1"/>
  <c r="U160" i="2" s="1"/>
  <c r="U190" i="2" s="1"/>
  <c r="U220" i="2" s="1"/>
  <c r="U250" i="2" s="1"/>
  <c r="U280" i="2" s="1"/>
  <c r="U310" i="2" s="1"/>
  <c r="U340" i="2" s="1"/>
  <c r="U370" i="2" s="1"/>
  <c r="U400" i="2" s="1"/>
  <c r="U430" i="2" s="1"/>
  <c r="U460" i="2" s="1"/>
  <c r="U490" i="2" s="1"/>
  <c r="U520" i="2" s="1"/>
  <c r="U550" i="2" s="1"/>
  <c r="U580" i="2" s="1"/>
  <c r="U610" i="2" s="1"/>
  <c r="U640" i="2" s="1"/>
  <c r="U670" i="2" s="1"/>
  <c r="U700" i="2" s="1"/>
  <c r="U730" i="2" s="1"/>
  <c r="U760" i="2" s="1"/>
  <c r="U790" i="2" s="1"/>
  <c r="U820" i="2" s="1"/>
  <c r="U850" i="2" s="1"/>
  <c r="U880" i="2" s="1"/>
  <c r="U910" i="2" s="1"/>
  <c r="U940" i="2" s="1"/>
  <c r="U970" i="2" s="1"/>
  <c r="U1000" i="2" s="1"/>
  <c r="U1030" i="2" s="1"/>
  <c r="U1060" i="2" s="1"/>
  <c r="U1090" i="2" s="1"/>
  <c r="U1120" i="2" s="1"/>
  <c r="U1150" i="2" s="1"/>
  <c r="U1180" i="2" s="1"/>
  <c r="U1210" i="2" s="1"/>
  <c r="U1240" i="2" s="1"/>
  <c r="U1270" i="2" s="1"/>
  <c r="U1300" i="2" s="1"/>
  <c r="U1330" i="2" s="1"/>
  <c r="U1360" i="2" s="1"/>
  <c r="U1390" i="2" s="1"/>
  <c r="U1420" i="2" s="1"/>
  <c r="U1450" i="2" s="1"/>
  <c r="U1480" i="2" s="1"/>
  <c r="U1510" i="2" s="1"/>
  <c r="U1540" i="2" s="1"/>
  <c r="U1570" i="2" s="1"/>
  <c r="U1600" i="2" s="1"/>
  <c r="U1630" i="2" s="1"/>
  <c r="U1660" i="2" s="1"/>
  <c r="U1690" i="2" s="1"/>
  <c r="U1720" i="2" s="1"/>
  <c r="U1750" i="2" s="1"/>
  <c r="U1780" i="2" s="1"/>
  <c r="U1810" i="2" s="1"/>
  <c r="U1840" i="2" s="1"/>
  <c r="U1870" i="2" s="1"/>
  <c r="U1900" i="2" s="1"/>
  <c r="U1930" i="2" s="1"/>
  <c r="U1960" i="2" s="1"/>
  <c r="U1990" i="2" s="1"/>
  <c r="U2020" i="2" s="1"/>
  <c r="U2050" i="2" s="1"/>
  <c r="U2080" i="2" s="1"/>
  <c r="U2110" i="2" s="1"/>
  <c r="U2140" i="2" s="1"/>
  <c r="U2170" i="2" s="1"/>
  <c r="U2200" i="2" s="1"/>
  <c r="U2230" i="2" s="1"/>
  <c r="U2260" i="2" s="1"/>
  <c r="U2290" i="2" s="1"/>
  <c r="U2320" i="2" s="1"/>
  <c r="U2350" i="2" s="1"/>
  <c r="U2380" i="2" s="1"/>
  <c r="V71" i="2"/>
  <c r="V101" i="2" s="1"/>
  <c r="V131" i="2" s="1"/>
  <c r="V161" i="2" s="1"/>
  <c r="V191" i="2" s="1"/>
  <c r="V221" i="2" s="1"/>
  <c r="V251" i="2" s="1"/>
  <c r="V281" i="2" s="1"/>
  <c r="V311" i="2" s="1"/>
  <c r="V341" i="2" s="1"/>
  <c r="V371" i="2" s="1"/>
  <c r="V401" i="2" s="1"/>
  <c r="V431" i="2" s="1"/>
  <c r="V461" i="2" s="1"/>
  <c r="V491" i="2" s="1"/>
  <c r="V521" i="2" s="1"/>
  <c r="V551" i="2" s="1"/>
  <c r="V581" i="2" s="1"/>
  <c r="V611" i="2" s="1"/>
  <c r="V641" i="2" s="1"/>
  <c r="V671" i="2" s="1"/>
  <c r="V701" i="2" s="1"/>
  <c r="V731" i="2" s="1"/>
  <c r="V761" i="2" s="1"/>
  <c r="V791" i="2" s="1"/>
  <c r="V821" i="2" s="1"/>
  <c r="V851" i="2" s="1"/>
  <c r="V881" i="2" s="1"/>
  <c r="V911" i="2" s="1"/>
  <c r="V941" i="2" s="1"/>
  <c r="V971" i="2" s="1"/>
  <c r="V1001" i="2" s="1"/>
  <c r="V1031" i="2" s="1"/>
  <c r="V1061" i="2" s="1"/>
  <c r="V1091" i="2" s="1"/>
  <c r="V1121" i="2" s="1"/>
  <c r="V1151" i="2" s="1"/>
  <c r="V1181" i="2" s="1"/>
  <c r="V1211" i="2" s="1"/>
  <c r="V1241" i="2" s="1"/>
  <c r="V1271" i="2" s="1"/>
  <c r="V1301" i="2" s="1"/>
  <c r="V1331" i="2" s="1"/>
  <c r="V1361" i="2" s="1"/>
  <c r="V1391" i="2" s="1"/>
  <c r="V1421" i="2" s="1"/>
  <c r="V1451" i="2" s="1"/>
  <c r="V1481" i="2" s="1"/>
  <c r="V1511" i="2" s="1"/>
  <c r="V1541" i="2" s="1"/>
  <c r="V1571" i="2" s="1"/>
  <c r="V1601" i="2" s="1"/>
  <c r="V1631" i="2" s="1"/>
  <c r="V1661" i="2" s="1"/>
  <c r="V1691" i="2" s="1"/>
  <c r="V1721" i="2" s="1"/>
  <c r="V1751" i="2" s="1"/>
  <c r="V1781" i="2" s="1"/>
  <c r="V1811" i="2" s="1"/>
  <c r="V1841" i="2" s="1"/>
  <c r="V1871" i="2" s="1"/>
  <c r="V1901" i="2" s="1"/>
  <c r="V1931" i="2" s="1"/>
  <c r="V1961" i="2" s="1"/>
  <c r="V1991" i="2" s="1"/>
  <c r="V2021" i="2" s="1"/>
  <c r="V2051" i="2" s="1"/>
  <c r="V2081" i="2" s="1"/>
  <c r="V2111" i="2" s="1"/>
  <c r="V2141" i="2" s="1"/>
  <c r="V2171" i="2" s="1"/>
  <c r="V2201" i="2" s="1"/>
  <c r="V2231" i="2" s="1"/>
  <c r="V2261" i="2" s="1"/>
  <c r="V2291" i="2" s="1"/>
  <c r="V2321" i="2" s="1"/>
  <c r="V2351" i="2" s="1"/>
  <c r="V2381" i="2" s="1"/>
  <c r="U74" i="2"/>
  <c r="U104" i="2" s="1"/>
  <c r="U134" i="2" s="1"/>
  <c r="U164" i="2" s="1"/>
  <c r="U194" i="2" s="1"/>
  <c r="U224" i="2" s="1"/>
  <c r="U254" i="2" s="1"/>
  <c r="U284" i="2" s="1"/>
  <c r="U314" i="2" s="1"/>
  <c r="U344" i="2" s="1"/>
  <c r="U374" i="2" s="1"/>
  <c r="U404" i="2" s="1"/>
  <c r="U434" i="2" s="1"/>
  <c r="U464" i="2" s="1"/>
  <c r="U494" i="2" s="1"/>
  <c r="V75" i="2"/>
  <c r="U76" i="2"/>
  <c r="U106" i="2" s="1"/>
  <c r="U136" i="2" s="1"/>
  <c r="U166" i="2" s="1"/>
  <c r="U196" i="2" s="1"/>
  <c r="U226" i="2" s="1"/>
  <c r="U256" i="2" s="1"/>
  <c r="U286" i="2" s="1"/>
  <c r="U316" i="2" s="1"/>
  <c r="U346" i="2" s="1"/>
  <c r="U376" i="2" s="1"/>
  <c r="U406" i="2" s="1"/>
  <c r="U436" i="2" s="1"/>
  <c r="U466" i="2" s="1"/>
  <c r="U496" i="2" s="1"/>
  <c r="U526" i="2" s="1"/>
  <c r="U556" i="2" s="1"/>
  <c r="U586" i="2" s="1"/>
  <c r="U616" i="2" s="1"/>
  <c r="U646" i="2" s="1"/>
  <c r="U676" i="2" s="1"/>
  <c r="U706" i="2" s="1"/>
  <c r="U736" i="2" s="1"/>
  <c r="U766" i="2" s="1"/>
  <c r="U796" i="2" s="1"/>
  <c r="U826" i="2" s="1"/>
  <c r="U856" i="2" s="1"/>
  <c r="U886" i="2" s="1"/>
  <c r="U916" i="2" s="1"/>
  <c r="U946" i="2" s="1"/>
  <c r="U976" i="2" s="1"/>
  <c r="U1006" i="2" s="1"/>
  <c r="U1036" i="2" s="1"/>
  <c r="U1066" i="2" s="1"/>
  <c r="U1096" i="2" s="1"/>
  <c r="U1126" i="2" s="1"/>
  <c r="U1156" i="2" s="1"/>
  <c r="U1186" i="2" s="1"/>
  <c r="U1216" i="2" s="1"/>
  <c r="U1246" i="2" s="1"/>
  <c r="U1276" i="2" s="1"/>
  <c r="U1306" i="2" s="1"/>
  <c r="U1336" i="2" s="1"/>
  <c r="U1366" i="2" s="1"/>
  <c r="U1396" i="2" s="1"/>
  <c r="U1426" i="2" s="1"/>
  <c r="U1456" i="2" s="1"/>
  <c r="U1486" i="2" s="1"/>
  <c r="U1516" i="2" s="1"/>
  <c r="U1546" i="2" s="1"/>
  <c r="U1576" i="2" s="1"/>
  <c r="U1606" i="2" s="1"/>
  <c r="U1636" i="2" s="1"/>
  <c r="U1666" i="2" s="1"/>
  <c r="U1696" i="2" s="1"/>
  <c r="U1726" i="2" s="1"/>
  <c r="U1756" i="2" s="1"/>
  <c r="U1786" i="2" s="1"/>
  <c r="U1816" i="2" s="1"/>
  <c r="U1846" i="2" s="1"/>
  <c r="U1876" i="2" s="1"/>
  <c r="U1906" i="2" s="1"/>
  <c r="U1936" i="2" s="1"/>
  <c r="U1966" i="2" s="1"/>
  <c r="U1996" i="2" s="1"/>
  <c r="U2026" i="2" s="1"/>
  <c r="U2056" i="2" s="1"/>
  <c r="U2086" i="2" s="1"/>
  <c r="U2116" i="2" s="1"/>
  <c r="U2146" i="2" s="1"/>
  <c r="U2176" i="2" s="1"/>
  <c r="U2206" i="2" s="1"/>
  <c r="U2236" i="2" s="1"/>
  <c r="U2266" i="2" s="1"/>
  <c r="U2296" i="2" s="1"/>
  <c r="U2326" i="2" s="1"/>
  <c r="U2356" i="2" s="1"/>
  <c r="U2386" i="2" s="1"/>
  <c r="V76" i="2"/>
  <c r="V106" i="2" s="1"/>
  <c r="V136" i="2" s="1"/>
  <c r="V166" i="2" s="1"/>
  <c r="V196" i="2" s="1"/>
  <c r="V226" i="2" s="1"/>
  <c r="V256" i="2" s="1"/>
  <c r="V286" i="2" s="1"/>
  <c r="V316" i="2" s="1"/>
  <c r="V346" i="2" s="1"/>
  <c r="V376" i="2" s="1"/>
  <c r="V406" i="2" s="1"/>
  <c r="V436" i="2" s="1"/>
  <c r="V466" i="2" s="1"/>
  <c r="V496" i="2" s="1"/>
  <c r="V526" i="2" s="1"/>
  <c r="V556" i="2" s="1"/>
  <c r="V586" i="2" s="1"/>
  <c r="V616" i="2" s="1"/>
  <c r="V646" i="2" s="1"/>
  <c r="V676" i="2" s="1"/>
  <c r="V706" i="2" s="1"/>
  <c r="V736" i="2" s="1"/>
  <c r="V766" i="2" s="1"/>
  <c r="V796" i="2" s="1"/>
  <c r="V826" i="2" s="1"/>
  <c r="V856" i="2" s="1"/>
  <c r="V886" i="2" s="1"/>
  <c r="V916" i="2" s="1"/>
  <c r="V946" i="2" s="1"/>
  <c r="V976" i="2" s="1"/>
  <c r="V1006" i="2" s="1"/>
  <c r="V1036" i="2" s="1"/>
  <c r="V1066" i="2" s="1"/>
  <c r="V1096" i="2" s="1"/>
  <c r="V1126" i="2" s="1"/>
  <c r="V1156" i="2" s="1"/>
  <c r="V1186" i="2" s="1"/>
  <c r="V1216" i="2" s="1"/>
  <c r="V1246" i="2" s="1"/>
  <c r="V1276" i="2" s="1"/>
  <c r="V1306" i="2" s="1"/>
  <c r="V1336" i="2" s="1"/>
  <c r="V1366" i="2" s="1"/>
  <c r="V1396" i="2" s="1"/>
  <c r="V1426" i="2" s="1"/>
  <c r="V1456" i="2" s="1"/>
  <c r="V1486" i="2" s="1"/>
  <c r="V1516" i="2" s="1"/>
  <c r="V1546" i="2" s="1"/>
  <c r="V1576" i="2" s="1"/>
  <c r="V1606" i="2" s="1"/>
  <c r="V1636" i="2" s="1"/>
  <c r="V1666" i="2" s="1"/>
  <c r="V1696" i="2" s="1"/>
  <c r="V1726" i="2" s="1"/>
  <c r="V1756" i="2" s="1"/>
  <c r="V1786" i="2" s="1"/>
  <c r="V1816" i="2" s="1"/>
  <c r="V1846" i="2" s="1"/>
  <c r="V1876" i="2" s="1"/>
  <c r="V1906" i="2" s="1"/>
  <c r="V1936" i="2" s="1"/>
  <c r="V1966" i="2" s="1"/>
  <c r="V1996" i="2" s="1"/>
  <c r="V2026" i="2" s="1"/>
  <c r="V2056" i="2" s="1"/>
  <c r="V2086" i="2" s="1"/>
  <c r="V2116" i="2" s="1"/>
  <c r="V2146" i="2" s="1"/>
  <c r="V2176" i="2" s="1"/>
  <c r="V2206" i="2" s="1"/>
  <c r="V2236" i="2" s="1"/>
  <c r="V2266" i="2" s="1"/>
  <c r="V79" i="2"/>
  <c r="V109" i="2" s="1"/>
  <c r="V139" i="2" s="1"/>
  <c r="V169" i="2" s="1"/>
  <c r="V199" i="2" s="1"/>
  <c r="V229" i="2" s="1"/>
  <c r="V259" i="2" s="1"/>
  <c r="V289" i="2" s="1"/>
  <c r="V319" i="2" s="1"/>
  <c r="V349" i="2" s="1"/>
  <c r="V379" i="2" s="1"/>
  <c r="V409" i="2" s="1"/>
  <c r="V439" i="2" s="1"/>
  <c r="V469" i="2" s="1"/>
  <c r="V499" i="2" s="1"/>
  <c r="V529" i="2" s="1"/>
  <c r="V559" i="2" s="1"/>
  <c r="V589" i="2" s="1"/>
  <c r="V619" i="2" s="1"/>
  <c r="V649" i="2" s="1"/>
  <c r="V679" i="2" s="1"/>
  <c r="V709" i="2" s="1"/>
  <c r="V739" i="2" s="1"/>
  <c r="V769" i="2" s="1"/>
  <c r="V799" i="2" s="1"/>
  <c r="V829" i="2" s="1"/>
  <c r="V859" i="2" s="1"/>
  <c r="V889" i="2" s="1"/>
  <c r="V919" i="2" s="1"/>
  <c r="V949" i="2" s="1"/>
  <c r="V979" i="2" s="1"/>
  <c r="V1009" i="2" s="1"/>
  <c r="V1039" i="2" s="1"/>
  <c r="V1069" i="2" s="1"/>
  <c r="V1099" i="2" s="1"/>
  <c r="V1129" i="2" s="1"/>
  <c r="V1159" i="2" s="1"/>
  <c r="V1189" i="2" s="1"/>
  <c r="V1219" i="2" s="1"/>
  <c r="V1249" i="2" s="1"/>
  <c r="V1279" i="2" s="1"/>
  <c r="V1309" i="2" s="1"/>
  <c r="V1339" i="2" s="1"/>
  <c r="V1369" i="2" s="1"/>
  <c r="V1399" i="2" s="1"/>
  <c r="V1429" i="2" s="1"/>
  <c r="V1459" i="2" s="1"/>
  <c r="V1489" i="2" s="1"/>
  <c r="V1519" i="2" s="1"/>
  <c r="V1549" i="2" s="1"/>
  <c r="V1579" i="2" s="1"/>
  <c r="V1609" i="2" s="1"/>
  <c r="V1639" i="2" s="1"/>
  <c r="V1669" i="2" s="1"/>
  <c r="V1699" i="2" s="1"/>
  <c r="V1729" i="2" s="1"/>
  <c r="V1759" i="2" s="1"/>
  <c r="V1789" i="2" s="1"/>
  <c r="V1819" i="2" s="1"/>
  <c r="W80" i="2"/>
  <c r="W110" i="2" s="1"/>
  <c r="W140" i="2" s="1"/>
  <c r="W170" i="2" s="1"/>
  <c r="W200" i="2" s="1"/>
  <c r="W230" i="2" s="1"/>
  <c r="W260" i="2" s="1"/>
  <c r="W290" i="2" s="1"/>
  <c r="W320" i="2" s="1"/>
  <c r="W350" i="2" s="1"/>
  <c r="W380" i="2" s="1"/>
  <c r="W410" i="2" s="1"/>
  <c r="W440" i="2" s="1"/>
  <c r="W470" i="2" s="1"/>
  <c r="W500" i="2" s="1"/>
  <c r="W530" i="2" s="1"/>
  <c r="W560" i="2" s="1"/>
  <c r="W590" i="2" s="1"/>
  <c r="W620" i="2" s="1"/>
  <c r="W650" i="2" s="1"/>
  <c r="W680" i="2" s="1"/>
  <c r="W710" i="2" s="1"/>
  <c r="W740" i="2" s="1"/>
  <c r="W770" i="2" s="1"/>
  <c r="W800" i="2" s="1"/>
  <c r="W830" i="2" s="1"/>
  <c r="W860" i="2" s="1"/>
  <c r="W890" i="2" s="1"/>
  <c r="W920" i="2" s="1"/>
  <c r="W950" i="2" s="1"/>
  <c r="W980" i="2" s="1"/>
  <c r="W1010" i="2" s="1"/>
  <c r="W1040" i="2" s="1"/>
  <c r="W1070" i="2" s="1"/>
  <c r="W1100" i="2" s="1"/>
  <c r="W1130" i="2" s="1"/>
  <c r="W1160" i="2" s="1"/>
  <c r="W1190" i="2" s="1"/>
  <c r="W1220" i="2" s="1"/>
  <c r="W1250" i="2" s="1"/>
  <c r="W1280" i="2" s="1"/>
  <c r="W1310" i="2" s="1"/>
  <c r="W1340" i="2" s="1"/>
  <c r="W1370" i="2" s="1"/>
  <c r="W1400" i="2" s="1"/>
  <c r="W1430" i="2" s="1"/>
  <c r="W1460" i="2" s="1"/>
  <c r="W1490" i="2" s="1"/>
  <c r="W1520" i="2" s="1"/>
  <c r="W1550" i="2" s="1"/>
  <c r="W1580" i="2" s="1"/>
  <c r="W1610" i="2" s="1"/>
  <c r="W1640" i="2" s="1"/>
  <c r="W1670" i="2" s="1"/>
  <c r="W1700" i="2" s="1"/>
  <c r="W1730" i="2" s="1"/>
  <c r="W1760" i="2" s="1"/>
  <c r="W1790" i="2" s="1"/>
  <c r="W1820" i="2" s="1"/>
  <c r="W1850" i="2" s="1"/>
  <c r="W1880" i="2" s="1"/>
  <c r="W1910" i="2" s="1"/>
  <c r="W1940" i="2" s="1"/>
  <c r="W1970" i="2" s="1"/>
  <c r="W2000" i="2" s="1"/>
  <c r="W2030" i="2" s="1"/>
  <c r="W2060" i="2" s="1"/>
  <c r="W2090" i="2" s="1"/>
  <c r="W2120" i="2" s="1"/>
  <c r="W2150" i="2" s="1"/>
  <c r="W2180" i="2" s="1"/>
  <c r="W2210" i="2" s="1"/>
  <c r="W2240" i="2" s="1"/>
  <c r="W2270" i="2" s="1"/>
  <c r="W2300" i="2" s="1"/>
  <c r="W2330" i="2" s="1"/>
  <c r="W2360" i="2" s="1"/>
  <c r="W2390" i="2" s="1"/>
  <c r="U82" i="2"/>
  <c r="U112" i="2" s="1"/>
  <c r="U142" i="2" s="1"/>
  <c r="U172" i="2" s="1"/>
  <c r="U202" i="2" s="1"/>
  <c r="U232" i="2" s="1"/>
  <c r="U262" i="2" s="1"/>
  <c r="U292" i="2" s="1"/>
  <c r="W82" i="2"/>
  <c r="W112" i="2" s="1"/>
  <c r="W142" i="2" s="1"/>
  <c r="W172" i="2" s="1"/>
  <c r="W202" i="2" s="1"/>
  <c r="W232" i="2" s="1"/>
  <c r="W262" i="2" s="1"/>
  <c r="W292" i="2" s="1"/>
  <c r="W322" i="2" s="1"/>
  <c r="W352" i="2" s="1"/>
  <c r="W382" i="2" s="1"/>
  <c r="W412" i="2" s="1"/>
  <c r="W442" i="2" s="1"/>
  <c r="W472" i="2" s="1"/>
  <c r="V84" i="2"/>
  <c r="V114" i="2" s="1"/>
  <c r="V144" i="2" s="1"/>
  <c r="V174" i="2" s="1"/>
  <c r="W84" i="2"/>
  <c r="W114" i="2" s="1"/>
  <c r="W144" i="2" s="1"/>
  <c r="W174" i="2" s="1"/>
  <c r="W204" i="2" s="1"/>
  <c r="W234" i="2" s="1"/>
  <c r="W264" i="2" s="1"/>
  <c r="W294" i="2" s="1"/>
  <c r="W324" i="2" s="1"/>
  <c r="W354" i="2" s="1"/>
  <c r="W384" i="2" s="1"/>
  <c r="W414" i="2" s="1"/>
  <c r="W444" i="2" s="1"/>
  <c r="W474" i="2" s="1"/>
  <c r="W504" i="2" s="1"/>
  <c r="W534" i="2" s="1"/>
  <c r="W564" i="2" s="1"/>
  <c r="W594" i="2" s="1"/>
  <c r="W624" i="2" s="1"/>
  <c r="W654" i="2" s="1"/>
  <c r="W684" i="2" s="1"/>
  <c r="W714" i="2" s="1"/>
  <c r="W744" i="2" s="1"/>
  <c r="W774" i="2" s="1"/>
  <c r="W804" i="2" s="1"/>
  <c r="W834" i="2" s="1"/>
  <c r="W864" i="2" s="1"/>
  <c r="W894" i="2" s="1"/>
  <c r="W924" i="2" s="1"/>
  <c r="W954" i="2" s="1"/>
  <c r="W984" i="2" s="1"/>
  <c r="W1014" i="2" s="1"/>
  <c r="W1044" i="2" s="1"/>
  <c r="W1074" i="2" s="1"/>
  <c r="W1104" i="2" s="1"/>
  <c r="W1134" i="2" s="1"/>
  <c r="W1164" i="2" s="1"/>
  <c r="W1194" i="2" s="1"/>
  <c r="W1224" i="2" s="1"/>
  <c r="W1254" i="2" s="1"/>
  <c r="W1284" i="2" s="1"/>
  <c r="U86" i="2"/>
  <c r="U116" i="2" s="1"/>
  <c r="U146" i="2" s="1"/>
  <c r="U176" i="2" s="1"/>
  <c r="U206" i="2" s="1"/>
  <c r="U236" i="2" s="1"/>
  <c r="U266" i="2" s="1"/>
  <c r="U296" i="2" s="1"/>
  <c r="U326" i="2" s="1"/>
  <c r="U356" i="2" s="1"/>
  <c r="U386" i="2" s="1"/>
  <c r="U416" i="2" s="1"/>
  <c r="U446" i="2" s="1"/>
  <c r="U476" i="2" s="1"/>
  <c r="U506" i="2" s="1"/>
  <c r="U536" i="2" s="1"/>
  <c r="U566" i="2" s="1"/>
  <c r="U596" i="2" s="1"/>
  <c r="U626" i="2" s="1"/>
  <c r="U656" i="2" s="1"/>
  <c r="U686" i="2" s="1"/>
  <c r="U716" i="2" s="1"/>
  <c r="U746" i="2" s="1"/>
  <c r="U776" i="2" s="1"/>
  <c r="U806" i="2" s="1"/>
  <c r="U836" i="2" s="1"/>
  <c r="U866" i="2" s="1"/>
  <c r="U896" i="2" s="1"/>
  <c r="U926" i="2" s="1"/>
  <c r="U956" i="2" s="1"/>
  <c r="U986" i="2" s="1"/>
  <c r="U1016" i="2" s="1"/>
  <c r="U1046" i="2" s="1"/>
  <c r="U1076" i="2" s="1"/>
  <c r="U1106" i="2" s="1"/>
  <c r="U1136" i="2" s="1"/>
  <c r="U1166" i="2" s="1"/>
  <c r="U1196" i="2" s="1"/>
  <c r="U1226" i="2" s="1"/>
  <c r="U1256" i="2" s="1"/>
  <c r="U1286" i="2" s="1"/>
  <c r="U1316" i="2" s="1"/>
  <c r="U1346" i="2" s="1"/>
  <c r="U1376" i="2" s="1"/>
  <c r="U1406" i="2" s="1"/>
  <c r="U1436" i="2" s="1"/>
  <c r="U1466" i="2" s="1"/>
  <c r="U1496" i="2" s="1"/>
  <c r="U1526" i="2" s="1"/>
  <c r="U1556" i="2" s="1"/>
  <c r="U1586" i="2" s="1"/>
  <c r="U1616" i="2" s="1"/>
  <c r="U1646" i="2" s="1"/>
  <c r="U1676" i="2" s="1"/>
  <c r="U1706" i="2" s="1"/>
  <c r="U1736" i="2" s="1"/>
  <c r="U1766" i="2" s="1"/>
  <c r="U1796" i="2" s="1"/>
  <c r="U1826" i="2" s="1"/>
  <c r="U1856" i="2" s="1"/>
  <c r="U1886" i="2" s="1"/>
  <c r="U1916" i="2" s="1"/>
  <c r="U1946" i="2" s="1"/>
  <c r="U1976" i="2" s="1"/>
  <c r="U2006" i="2" s="1"/>
  <c r="U2036" i="2" s="1"/>
  <c r="U2066" i="2" s="1"/>
  <c r="U2096" i="2" s="1"/>
  <c r="U2126" i="2" s="1"/>
  <c r="U2156" i="2" s="1"/>
  <c r="U2186" i="2" s="1"/>
  <c r="U2216" i="2" s="1"/>
  <c r="U2246" i="2" s="1"/>
  <c r="U2276" i="2" s="1"/>
  <c r="U2306" i="2" s="1"/>
  <c r="U2336" i="2" s="1"/>
  <c r="U2366" i="2" s="1"/>
  <c r="U2396" i="2" s="1"/>
  <c r="U90" i="2"/>
  <c r="U120" i="2" s="1"/>
  <c r="U150" i="2" s="1"/>
  <c r="U180" i="2" s="1"/>
  <c r="U210" i="2" s="1"/>
  <c r="U240" i="2" s="1"/>
  <c r="V91" i="2"/>
  <c r="V97" i="2"/>
  <c r="V127" i="2" s="1"/>
  <c r="V157" i="2" s="1"/>
  <c r="V187" i="2" s="1"/>
  <c r="V217" i="2" s="1"/>
  <c r="V247" i="2" s="1"/>
  <c r="V277" i="2" s="1"/>
  <c r="V307" i="2" s="1"/>
  <c r="V337" i="2" s="1"/>
  <c r="V367" i="2" s="1"/>
  <c r="V397" i="2" s="1"/>
  <c r="V427" i="2" s="1"/>
  <c r="V457" i="2" s="1"/>
  <c r="V487" i="2" s="1"/>
  <c r="V517" i="2" s="1"/>
  <c r="V547" i="2" s="1"/>
  <c r="V577" i="2" s="1"/>
  <c r="V607" i="2" s="1"/>
  <c r="V637" i="2" s="1"/>
  <c r="V667" i="2" s="1"/>
  <c r="V697" i="2" s="1"/>
  <c r="V727" i="2" s="1"/>
  <c r="V757" i="2" s="1"/>
  <c r="V787" i="2" s="1"/>
  <c r="V817" i="2" s="1"/>
  <c r="V847" i="2" s="1"/>
  <c r="V877" i="2" s="1"/>
  <c r="V907" i="2" s="1"/>
  <c r="V937" i="2" s="1"/>
  <c r="V967" i="2" s="1"/>
  <c r="V997" i="2" s="1"/>
  <c r="V1027" i="2" s="1"/>
  <c r="V1057" i="2" s="1"/>
  <c r="V1087" i="2" s="1"/>
  <c r="V1117" i="2" s="1"/>
  <c r="V1147" i="2" s="1"/>
  <c r="V1177" i="2" s="1"/>
  <c r="V1207" i="2" s="1"/>
  <c r="V1237" i="2" s="1"/>
  <c r="V1267" i="2" s="1"/>
  <c r="V1297" i="2" s="1"/>
  <c r="V1327" i="2" s="1"/>
  <c r="V1357" i="2" s="1"/>
  <c r="V1387" i="2" s="1"/>
  <c r="V1417" i="2" s="1"/>
  <c r="V1447" i="2" s="1"/>
  <c r="V1477" i="2" s="1"/>
  <c r="V1507" i="2" s="1"/>
  <c r="V1537" i="2" s="1"/>
  <c r="V1567" i="2" s="1"/>
  <c r="V1597" i="2" s="1"/>
  <c r="V1627" i="2" s="1"/>
  <c r="V1657" i="2" s="1"/>
  <c r="V1687" i="2" s="1"/>
  <c r="V1717" i="2" s="1"/>
  <c r="V1747" i="2" s="1"/>
  <c r="V1777" i="2" s="1"/>
  <c r="V1807" i="2" s="1"/>
  <c r="V1837" i="2" s="1"/>
  <c r="V1867" i="2" s="1"/>
  <c r="V1897" i="2" s="1"/>
  <c r="V1927" i="2" s="1"/>
  <c r="V1957" i="2" s="1"/>
  <c r="V1987" i="2" s="1"/>
  <c r="V2017" i="2" s="1"/>
  <c r="V2047" i="2" s="1"/>
  <c r="V2077" i="2" s="1"/>
  <c r="V2107" i="2" s="1"/>
  <c r="V2137" i="2" s="1"/>
  <c r="V2167" i="2" s="1"/>
  <c r="V2197" i="2" s="1"/>
  <c r="V2227" i="2" s="1"/>
  <c r="V2257" i="2" s="1"/>
  <c r="V2287" i="2" s="1"/>
  <c r="V2317" i="2" s="1"/>
  <c r="V2347" i="2" s="1"/>
  <c r="V2377" i="2" s="1"/>
  <c r="V104" i="2"/>
  <c r="V134" i="2" s="1"/>
  <c r="V164" i="2" s="1"/>
  <c r="V194" i="2" s="1"/>
  <c r="V224" i="2" s="1"/>
  <c r="V254" i="2" s="1"/>
  <c r="V284" i="2" s="1"/>
  <c r="V314" i="2" s="1"/>
  <c r="V344" i="2" s="1"/>
  <c r="V374" i="2" s="1"/>
  <c r="V404" i="2" s="1"/>
  <c r="V434" i="2" s="1"/>
  <c r="V464" i="2" s="1"/>
  <c r="V494" i="2" s="1"/>
  <c r="V524" i="2" s="1"/>
  <c r="V554" i="2" s="1"/>
  <c r="V584" i="2" s="1"/>
  <c r="V614" i="2" s="1"/>
  <c r="V644" i="2" s="1"/>
  <c r="V674" i="2" s="1"/>
  <c r="V704" i="2" s="1"/>
  <c r="V734" i="2" s="1"/>
  <c r="V764" i="2" s="1"/>
  <c r="V794" i="2" s="1"/>
  <c r="V824" i="2" s="1"/>
  <c r="V854" i="2" s="1"/>
  <c r="V884" i="2" s="1"/>
  <c r="V914" i="2" s="1"/>
  <c r="V944" i="2" s="1"/>
  <c r="V974" i="2" s="1"/>
  <c r="V1004" i="2" s="1"/>
  <c r="V1034" i="2" s="1"/>
  <c r="V1064" i="2" s="1"/>
  <c r="V1094" i="2" s="1"/>
  <c r="V1124" i="2" s="1"/>
  <c r="V1154" i="2" s="1"/>
  <c r="V1184" i="2" s="1"/>
  <c r="V1214" i="2" s="1"/>
  <c r="V1244" i="2" s="1"/>
  <c r="V1274" i="2" s="1"/>
  <c r="V1304" i="2" s="1"/>
  <c r="V1334" i="2" s="1"/>
  <c r="V1364" i="2" s="1"/>
  <c r="V1394" i="2" s="1"/>
  <c r="V1424" i="2" s="1"/>
  <c r="V1454" i="2" s="1"/>
  <c r="V1484" i="2" s="1"/>
  <c r="V1514" i="2" s="1"/>
  <c r="V1544" i="2" s="1"/>
  <c r="V1574" i="2" s="1"/>
  <c r="V1604" i="2" s="1"/>
  <c r="V1634" i="2" s="1"/>
  <c r="V1664" i="2" s="1"/>
  <c r="V1694" i="2" s="1"/>
  <c r="V1724" i="2" s="1"/>
  <c r="V1754" i="2" s="1"/>
  <c r="V1784" i="2" s="1"/>
  <c r="V1814" i="2" s="1"/>
  <c r="V1844" i="2" s="1"/>
  <c r="V1874" i="2" s="1"/>
  <c r="V1904" i="2" s="1"/>
  <c r="V1934" i="2" s="1"/>
  <c r="V1964" i="2" s="1"/>
  <c r="V1994" i="2" s="1"/>
  <c r="V2024" i="2" s="1"/>
  <c r="V2054" i="2" s="1"/>
  <c r="V2084" i="2" s="1"/>
  <c r="V2114" i="2" s="1"/>
  <c r="V2144" i="2" s="1"/>
  <c r="V2174" i="2" s="1"/>
  <c r="V2204" i="2" s="1"/>
  <c r="V2234" i="2" s="1"/>
  <c r="V2264" i="2" s="1"/>
  <c r="V2294" i="2" s="1"/>
  <c r="V2324" i="2" s="1"/>
  <c r="V2354" i="2" s="1"/>
  <c r="V2384" i="2" s="1"/>
  <c r="V105" i="2"/>
  <c r="V135" i="2" s="1"/>
  <c r="V165" i="2" s="1"/>
  <c r="V195" i="2" s="1"/>
  <c r="V225" i="2" s="1"/>
  <c r="V255" i="2" s="1"/>
  <c r="V285" i="2" s="1"/>
  <c r="V315" i="2" s="1"/>
  <c r="V345" i="2" s="1"/>
  <c r="V375" i="2" s="1"/>
  <c r="V405" i="2" s="1"/>
  <c r="V435" i="2" s="1"/>
  <c r="V465" i="2" s="1"/>
  <c r="V495" i="2" s="1"/>
  <c r="V525" i="2" s="1"/>
  <c r="V555" i="2" s="1"/>
  <c r="V585" i="2" s="1"/>
  <c r="V615" i="2" s="1"/>
  <c r="V645" i="2" s="1"/>
  <c r="V675" i="2" s="1"/>
  <c r="V705" i="2" s="1"/>
  <c r="V735" i="2" s="1"/>
  <c r="V765" i="2" s="1"/>
  <c r="V795" i="2" s="1"/>
  <c r="V825" i="2" s="1"/>
  <c r="V855" i="2" s="1"/>
  <c r="V885" i="2" s="1"/>
  <c r="V915" i="2" s="1"/>
  <c r="V945" i="2" s="1"/>
  <c r="V975" i="2" s="1"/>
  <c r="V1005" i="2" s="1"/>
  <c r="V1035" i="2" s="1"/>
  <c r="V1065" i="2" s="1"/>
  <c r="V1095" i="2" s="1"/>
  <c r="V1125" i="2" s="1"/>
  <c r="V1155" i="2" s="1"/>
  <c r="V1185" i="2" s="1"/>
  <c r="V1215" i="2" s="1"/>
  <c r="V1245" i="2" s="1"/>
  <c r="V1275" i="2" s="1"/>
  <c r="V1305" i="2" s="1"/>
  <c r="V1335" i="2" s="1"/>
  <c r="V1365" i="2" s="1"/>
  <c r="V1395" i="2" s="1"/>
  <c r="V1425" i="2" s="1"/>
  <c r="V1455" i="2" s="1"/>
  <c r="V1485" i="2" s="1"/>
  <c r="V1515" i="2" s="1"/>
  <c r="V1545" i="2" s="1"/>
  <c r="V1575" i="2" s="1"/>
  <c r="V1605" i="2" s="1"/>
  <c r="V1635" i="2" s="1"/>
  <c r="V1665" i="2" s="1"/>
  <c r="V1695" i="2" s="1"/>
  <c r="V1725" i="2" s="1"/>
  <c r="V1755" i="2" s="1"/>
  <c r="V1785" i="2" s="1"/>
  <c r="V1815" i="2" s="1"/>
  <c r="V1845" i="2" s="1"/>
  <c r="V1875" i="2" s="1"/>
  <c r="V1905" i="2" s="1"/>
  <c r="V1935" i="2" s="1"/>
  <c r="V1965" i="2" s="1"/>
  <c r="V1995" i="2" s="1"/>
  <c r="V2025" i="2" s="1"/>
  <c r="V2055" i="2" s="1"/>
  <c r="V2085" i="2" s="1"/>
  <c r="V2115" i="2" s="1"/>
  <c r="V2145" i="2" s="1"/>
  <c r="V2175" i="2" s="1"/>
  <c r="V2205" i="2" s="1"/>
  <c r="V2235" i="2" s="1"/>
  <c r="V2265" i="2" s="1"/>
  <c r="V2295" i="2" s="1"/>
  <c r="V2325" i="2" s="1"/>
  <c r="V2355" i="2" s="1"/>
  <c r="V2385" i="2" s="1"/>
  <c r="V112" i="2"/>
  <c r="V142" i="2" s="1"/>
  <c r="V172" i="2" s="1"/>
  <c r="V202" i="2" s="1"/>
  <c r="V232" i="2" s="1"/>
  <c r="V262" i="2" s="1"/>
  <c r="V292" i="2" s="1"/>
  <c r="V322" i="2" s="1"/>
  <c r="V352" i="2" s="1"/>
  <c r="V382" i="2" s="1"/>
  <c r="V412" i="2" s="1"/>
  <c r="V442" i="2" s="1"/>
  <c r="V472" i="2" s="1"/>
  <c r="V502" i="2" s="1"/>
  <c r="V532" i="2" s="1"/>
  <c r="V562" i="2" s="1"/>
  <c r="V592" i="2" s="1"/>
  <c r="V622" i="2" s="1"/>
  <c r="V652" i="2" s="1"/>
  <c r="V682" i="2" s="1"/>
  <c r="V712" i="2" s="1"/>
  <c r="V742" i="2" s="1"/>
  <c r="V772" i="2" s="1"/>
  <c r="V802" i="2" s="1"/>
  <c r="V832" i="2" s="1"/>
  <c r="V862" i="2" s="1"/>
  <c r="V892" i="2" s="1"/>
  <c r="V922" i="2" s="1"/>
  <c r="V952" i="2" s="1"/>
  <c r="V982" i="2" s="1"/>
  <c r="V1012" i="2" s="1"/>
  <c r="V1042" i="2" s="1"/>
  <c r="V1072" i="2" s="1"/>
  <c r="V1102" i="2" s="1"/>
  <c r="V1132" i="2" s="1"/>
  <c r="V1162" i="2" s="1"/>
  <c r="V1192" i="2" s="1"/>
  <c r="V1222" i="2" s="1"/>
  <c r="V1252" i="2" s="1"/>
  <c r="V1282" i="2" s="1"/>
  <c r="V1312" i="2" s="1"/>
  <c r="V1342" i="2" s="1"/>
  <c r="V1372" i="2" s="1"/>
  <c r="V1402" i="2" s="1"/>
  <c r="V1432" i="2" s="1"/>
  <c r="V1462" i="2" s="1"/>
  <c r="V1492" i="2" s="1"/>
  <c r="V1522" i="2" s="1"/>
  <c r="V1552" i="2" s="1"/>
  <c r="V1582" i="2" s="1"/>
  <c r="V1612" i="2" s="1"/>
  <c r="V1642" i="2" s="1"/>
  <c r="V1672" i="2" s="1"/>
  <c r="V1702" i="2" s="1"/>
  <c r="V1732" i="2" s="1"/>
  <c r="V1762" i="2" s="1"/>
  <c r="V1792" i="2" s="1"/>
  <c r="V1822" i="2" s="1"/>
  <c r="V1852" i="2" s="1"/>
  <c r="V1882" i="2" s="1"/>
  <c r="V1912" i="2" s="1"/>
  <c r="V1942" i="2" s="1"/>
  <c r="V1972" i="2" s="1"/>
  <c r="V2002" i="2" s="1"/>
  <c r="V2032" i="2" s="1"/>
  <c r="V2062" i="2" s="1"/>
  <c r="V2092" i="2" s="1"/>
  <c r="V2122" i="2" s="1"/>
  <c r="V2152" i="2" s="1"/>
  <c r="V2182" i="2" s="1"/>
  <c r="V2212" i="2" s="1"/>
  <c r="V2242" i="2" s="1"/>
  <c r="V2272" i="2" s="1"/>
  <c r="V2302" i="2" s="1"/>
  <c r="V2332" i="2" s="1"/>
  <c r="V2362" i="2" s="1"/>
  <c r="V2392" i="2" s="1"/>
  <c r="V113" i="2"/>
  <c r="V143" i="2" s="1"/>
  <c r="V173" i="2" s="1"/>
  <c r="V203" i="2" s="1"/>
  <c r="V233" i="2" s="1"/>
  <c r="V263" i="2" s="1"/>
  <c r="V293" i="2" s="1"/>
  <c r="V323" i="2" s="1"/>
  <c r="V353" i="2" s="1"/>
  <c r="V383" i="2" s="1"/>
  <c r="V413" i="2" s="1"/>
  <c r="V443" i="2" s="1"/>
  <c r="V473" i="2" s="1"/>
  <c r="V503" i="2" s="1"/>
  <c r="V533" i="2" s="1"/>
  <c r="V563" i="2" s="1"/>
  <c r="V593" i="2" s="1"/>
  <c r="V623" i="2" s="1"/>
  <c r="V653" i="2" s="1"/>
  <c r="V683" i="2" s="1"/>
  <c r="V713" i="2" s="1"/>
  <c r="V743" i="2" s="1"/>
  <c r="V773" i="2" s="1"/>
  <c r="V803" i="2" s="1"/>
  <c r="V833" i="2" s="1"/>
  <c r="V863" i="2" s="1"/>
  <c r="V893" i="2" s="1"/>
  <c r="V923" i="2" s="1"/>
  <c r="V953" i="2" s="1"/>
  <c r="V983" i="2" s="1"/>
  <c r="V1013" i="2" s="1"/>
  <c r="V1043" i="2" s="1"/>
  <c r="V1073" i="2" s="1"/>
  <c r="V1103" i="2" s="1"/>
  <c r="V1133" i="2" s="1"/>
  <c r="V1163" i="2" s="1"/>
  <c r="V1193" i="2" s="1"/>
  <c r="V1223" i="2" s="1"/>
  <c r="V1253" i="2" s="1"/>
  <c r="V1283" i="2" s="1"/>
  <c r="V1313" i="2" s="1"/>
  <c r="V1343" i="2" s="1"/>
  <c r="V1373" i="2" s="1"/>
  <c r="V1403" i="2" s="1"/>
  <c r="V1433" i="2" s="1"/>
  <c r="V1463" i="2" s="1"/>
  <c r="V1493" i="2" s="1"/>
  <c r="V1523" i="2" s="1"/>
  <c r="V1553" i="2" s="1"/>
  <c r="V1583" i="2" s="1"/>
  <c r="V1613" i="2" s="1"/>
  <c r="V1643" i="2" s="1"/>
  <c r="V1673" i="2" s="1"/>
  <c r="V1703" i="2" s="1"/>
  <c r="V1733" i="2" s="1"/>
  <c r="V1763" i="2" s="1"/>
  <c r="V1793" i="2" s="1"/>
  <c r="V1823" i="2" s="1"/>
  <c r="V1853" i="2" s="1"/>
  <c r="V1883" i="2" s="1"/>
  <c r="V1913" i="2" s="1"/>
  <c r="V1943" i="2" s="1"/>
  <c r="V1973" i="2" s="1"/>
  <c r="V2003" i="2" s="1"/>
  <c r="V2033" i="2" s="1"/>
  <c r="V2063" i="2" s="1"/>
  <c r="V2093" i="2" s="1"/>
  <c r="V2123" i="2" s="1"/>
  <c r="V2153" i="2" s="1"/>
  <c r="V2183" i="2" s="1"/>
  <c r="V2213" i="2" s="1"/>
  <c r="V2243" i="2" s="1"/>
  <c r="V2273" i="2" s="1"/>
  <c r="V2303" i="2" s="1"/>
  <c r="V2333" i="2" s="1"/>
  <c r="V2363" i="2" s="1"/>
  <c r="V2393" i="2" s="1"/>
  <c r="V121" i="2"/>
  <c r="V151" i="2" s="1"/>
  <c r="V181" i="2" s="1"/>
  <c r="V211" i="2" s="1"/>
  <c r="V241" i="2" s="1"/>
  <c r="V271" i="2" s="1"/>
  <c r="V301" i="2" s="1"/>
  <c r="V331" i="2" s="1"/>
  <c r="V361" i="2" s="1"/>
  <c r="V391" i="2" s="1"/>
  <c r="V421" i="2" s="1"/>
  <c r="V451" i="2" s="1"/>
  <c r="V481" i="2" s="1"/>
  <c r="V511" i="2" s="1"/>
  <c r="V541" i="2" s="1"/>
  <c r="V571" i="2" s="1"/>
  <c r="V601" i="2" s="1"/>
  <c r="V631" i="2" s="1"/>
  <c r="V661" i="2" s="1"/>
  <c r="V691" i="2" s="1"/>
  <c r="V721" i="2" s="1"/>
  <c r="V751" i="2" s="1"/>
  <c r="V781" i="2" s="1"/>
  <c r="V811" i="2" s="1"/>
  <c r="V841" i="2" s="1"/>
  <c r="V871" i="2" s="1"/>
  <c r="V901" i="2" s="1"/>
  <c r="V931" i="2" s="1"/>
  <c r="V961" i="2" s="1"/>
  <c r="V991" i="2" s="1"/>
  <c r="V1021" i="2" s="1"/>
  <c r="V1051" i="2" s="1"/>
  <c r="V1081" i="2" s="1"/>
  <c r="V1111" i="2" s="1"/>
  <c r="V1141" i="2" s="1"/>
  <c r="V1171" i="2" s="1"/>
  <c r="V1201" i="2" s="1"/>
  <c r="V1231" i="2" s="1"/>
  <c r="V1261" i="2" s="1"/>
  <c r="V1291" i="2" s="1"/>
  <c r="V1321" i="2" s="1"/>
  <c r="V1351" i="2" s="1"/>
  <c r="V1381" i="2" s="1"/>
  <c r="V1411" i="2" s="1"/>
  <c r="V1441" i="2" s="1"/>
  <c r="V1471" i="2" s="1"/>
  <c r="V1501" i="2" s="1"/>
  <c r="V1531" i="2" s="1"/>
  <c r="V1561" i="2" s="1"/>
  <c r="V1591" i="2" s="1"/>
  <c r="V1621" i="2" s="1"/>
  <c r="V1651" i="2" s="1"/>
  <c r="V1681" i="2" s="1"/>
  <c r="V1711" i="2" s="1"/>
  <c r="V1741" i="2" s="1"/>
  <c r="V1771" i="2" s="1"/>
  <c r="V1801" i="2" s="1"/>
  <c r="V1831" i="2" s="1"/>
  <c r="V1861" i="2" s="1"/>
  <c r="V1891" i="2" s="1"/>
  <c r="V1921" i="2" s="1"/>
  <c r="V1951" i="2" s="1"/>
  <c r="V1981" i="2" s="1"/>
  <c r="V2011" i="2" s="1"/>
  <c r="V2041" i="2" s="1"/>
  <c r="V2071" i="2" s="1"/>
  <c r="V2101" i="2" s="1"/>
  <c r="V2131" i="2" s="1"/>
  <c r="V2161" i="2" s="1"/>
  <c r="V2191" i="2" s="1"/>
  <c r="V2221" i="2" s="1"/>
  <c r="V2251" i="2" s="1"/>
  <c r="V2281" i="2" s="1"/>
  <c r="V2311" i="2" s="1"/>
  <c r="V2341" i="2" s="1"/>
  <c r="V2371" i="2" s="1"/>
  <c r="V2401" i="2" s="1"/>
  <c r="U124" i="2"/>
  <c r="U154" i="2" s="1"/>
  <c r="U184" i="2" s="1"/>
  <c r="U214" i="2" s="1"/>
  <c r="U244" i="2" s="1"/>
  <c r="U274" i="2" s="1"/>
  <c r="U304" i="2" s="1"/>
  <c r="U334" i="2" s="1"/>
  <c r="U364" i="2" s="1"/>
  <c r="U394" i="2" s="1"/>
  <c r="U424" i="2" s="1"/>
  <c r="U454" i="2" s="1"/>
  <c r="U484" i="2" s="1"/>
  <c r="U514" i="2" s="1"/>
  <c r="U544" i="2" s="1"/>
  <c r="U574" i="2" s="1"/>
  <c r="U604" i="2" s="1"/>
  <c r="U634" i="2" s="1"/>
  <c r="U664" i="2" s="1"/>
  <c r="U694" i="2" s="1"/>
  <c r="U724" i="2" s="1"/>
  <c r="U754" i="2" s="1"/>
  <c r="U784" i="2" s="1"/>
  <c r="U814" i="2" s="1"/>
  <c r="U844" i="2" s="1"/>
  <c r="U874" i="2" s="1"/>
  <c r="U904" i="2" s="1"/>
  <c r="U934" i="2" s="1"/>
  <c r="U964" i="2" s="1"/>
  <c r="U994" i="2" s="1"/>
  <c r="U1024" i="2" s="1"/>
  <c r="U1054" i="2" s="1"/>
  <c r="U1084" i="2" s="1"/>
  <c r="U1114" i="2" s="1"/>
  <c r="U1144" i="2" s="1"/>
  <c r="U1174" i="2" s="1"/>
  <c r="U1204" i="2" s="1"/>
  <c r="U1234" i="2" s="1"/>
  <c r="U1264" i="2" s="1"/>
  <c r="U1294" i="2" s="1"/>
  <c r="U1324" i="2" s="1"/>
  <c r="U1354" i="2" s="1"/>
  <c r="U1384" i="2" s="1"/>
  <c r="U1414" i="2" s="1"/>
  <c r="U1444" i="2" s="1"/>
  <c r="U1474" i="2" s="1"/>
  <c r="U1504" i="2" s="1"/>
  <c r="U1534" i="2" s="1"/>
  <c r="U1564" i="2" s="1"/>
  <c r="U1594" i="2" s="1"/>
  <c r="U1624" i="2" s="1"/>
  <c r="U1654" i="2" s="1"/>
  <c r="U1684" i="2" s="1"/>
  <c r="U1714" i="2" s="1"/>
  <c r="U1744" i="2" s="1"/>
  <c r="U1774" i="2" s="1"/>
  <c r="U1804" i="2" s="1"/>
  <c r="U1834" i="2" s="1"/>
  <c r="U1864" i="2" s="1"/>
  <c r="U1894" i="2" s="1"/>
  <c r="U1924" i="2" s="1"/>
  <c r="U1954" i="2" s="1"/>
  <c r="U1984" i="2" s="1"/>
  <c r="U2014" i="2" s="1"/>
  <c r="U2044" i="2" s="1"/>
  <c r="U2074" i="2" s="1"/>
  <c r="U2104" i="2" s="1"/>
  <c r="U2134" i="2" s="1"/>
  <c r="U2164" i="2" s="1"/>
  <c r="U2194" i="2" s="1"/>
  <c r="U2224" i="2" s="1"/>
  <c r="U2254" i="2" s="1"/>
  <c r="U2284" i="2" s="1"/>
  <c r="U2314" i="2" s="1"/>
  <c r="U2344" i="2" s="1"/>
  <c r="U2374" i="2" s="1"/>
  <c r="V125" i="2"/>
  <c r="V155" i="2" s="1"/>
  <c r="V185" i="2" s="1"/>
  <c r="V215" i="2" s="1"/>
  <c r="V245" i="2" s="1"/>
  <c r="V275" i="2" s="1"/>
  <c r="V305" i="2" s="1"/>
  <c r="V335" i="2" s="1"/>
  <c r="V365" i="2" s="1"/>
  <c r="V395" i="2" s="1"/>
  <c r="V425" i="2" s="1"/>
  <c r="V455" i="2" s="1"/>
  <c r="V485" i="2" s="1"/>
  <c r="V515" i="2" s="1"/>
  <c r="V545" i="2" s="1"/>
  <c r="V575" i="2" s="1"/>
  <c r="V605" i="2" s="1"/>
  <c r="V635" i="2" s="1"/>
  <c r="V665" i="2" s="1"/>
  <c r="V695" i="2" s="1"/>
  <c r="V725" i="2" s="1"/>
  <c r="V755" i="2" s="1"/>
  <c r="V785" i="2" s="1"/>
  <c r="V815" i="2" s="1"/>
  <c r="V845" i="2" s="1"/>
  <c r="V875" i="2" s="1"/>
  <c r="V905" i="2" s="1"/>
  <c r="V935" i="2" s="1"/>
  <c r="V965" i="2" s="1"/>
  <c r="V995" i="2" s="1"/>
  <c r="V1025" i="2" s="1"/>
  <c r="V1055" i="2" s="1"/>
  <c r="V1085" i="2" s="1"/>
  <c r="V1115" i="2" s="1"/>
  <c r="V1145" i="2" s="1"/>
  <c r="V1175" i="2" s="1"/>
  <c r="V1205" i="2" s="1"/>
  <c r="V1235" i="2" s="1"/>
  <c r="V1265" i="2" s="1"/>
  <c r="V1295" i="2" s="1"/>
  <c r="V1325" i="2" s="1"/>
  <c r="V1355" i="2" s="1"/>
  <c r="V1385" i="2" s="1"/>
  <c r="V1415" i="2" s="1"/>
  <c r="V1445" i="2" s="1"/>
  <c r="V1475" i="2" s="1"/>
  <c r="V1505" i="2" s="1"/>
  <c r="V1535" i="2" s="1"/>
  <c r="V1565" i="2" s="1"/>
  <c r="V1595" i="2" s="1"/>
  <c r="V1625" i="2" s="1"/>
  <c r="V1655" i="2" s="1"/>
  <c r="V1685" i="2" s="1"/>
  <c r="V1715" i="2" s="1"/>
  <c r="V1745" i="2" s="1"/>
  <c r="V1775" i="2" s="1"/>
  <c r="V1805" i="2" s="1"/>
  <c r="V1835" i="2" s="1"/>
  <c r="V1865" i="2" s="1"/>
  <c r="V1895" i="2" s="1"/>
  <c r="V1925" i="2" s="1"/>
  <c r="V1955" i="2" s="1"/>
  <c r="V1985" i="2" s="1"/>
  <c r="V2015" i="2" s="1"/>
  <c r="V2045" i="2" s="1"/>
  <c r="V2075" i="2" s="1"/>
  <c r="V2105" i="2" s="1"/>
  <c r="V2135" i="2" s="1"/>
  <c r="V2165" i="2" s="1"/>
  <c r="V2195" i="2" s="1"/>
  <c r="V2225" i="2" s="1"/>
  <c r="V2255" i="2" s="1"/>
  <c r="V2285" i="2" s="1"/>
  <c r="V2315" i="2" s="1"/>
  <c r="V2345" i="2" s="1"/>
  <c r="V2375" i="2" s="1"/>
  <c r="W134" i="2"/>
  <c r="W164" i="2" s="1"/>
  <c r="W194" i="2" s="1"/>
  <c r="W224" i="2" s="1"/>
  <c r="W254" i="2" s="1"/>
  <c r="W284" i="2" s="1"/>
  <c r="W314" i="2" s="1"/>
  <c r="W344" i="2" s="1"/>
  <c r="W374" i="2" s="1"/>
  <c r="W404" i="2" s="1"/>
  <c r="W434" i="2" s="1"/>
  <c r="W464" i="2" s="1"/>
  <c r="W494" i="2" s="1"/>
  <c r="W524" i="2" s="1"/>
  <c r="W554" i="2" s="1"/>
  <c r="W584" i="2" s="1"/>
  <c r="W614" i="2" s="1"/>
  <c r="W644" i="2" s="1"/>
  <c r="W674" i="2" s="1"/>
  <c r="W704" i="2" s="1"/>
  <c r="W734" i="2" s="1"/>
  <c r="W764" i="2" s="1"/>
  <c r="W794" i="2" s="1"/>
  <c r="W824" i="2" s="1"/>
  <c r="W854" i="2" s="1"/>
  <c r="W884" i="2" s="1"/>
  <c r="W914" i="2" s="1"/>
  <c r="W944" i="2" s="1"/>
  <c r="W974" i="2" s="1"/>
  <c r="W1004" i="2" s="1"/>
  <c r="W1034" i="2" s="1"/>
  <c r="W1064" i="2" s="1"/>
  <c r="W1094" i="2" s="1"/>
  <c r="W1124" i="2" s="1"/>
  <c r="W1154" i="2" s="1"/>
  <c r="W1184" i="2" s="1"/>
  <c r="W1214" i="2" s="1"/>
  <c r="W1244" i="2" s="1"/>
  <c r="W1274" i="2" s="1"/>
  <c r="W1304" i="2" s="1"/>
  <c r="W1334" i="2" s="1"/>
  <c r="W1364" i="2" s="1"/>
  <c r="W1394" i="2" s="1"/>
  <c r="W1424" i="2" s="1"/>
  <c r="W1454" i="2" s="1"/>
  <c r="W1484" i="2" s="1"/>
  <c r="W1514" i="2" s="1"/>
  <c r="W1544" i="2" s="1"/>
  <c r="W1574" i="2" s="1"/>
  <c r="W1604" i="2" s="1"/>
  <c r="W1634" i="2" s="1"/>
  <c r="W1664" i="2" s="1"/>
  <c r="W1694" i="2" s="1"/>
  <c r="W1724" i="2" s="1"/>
  <c r="W1754" i="2" s="1"/>
  <c r="W1784" i="2" s="1"/>
  <c r="W1814" i="2" s="1"/>
  <c r="W1844" i="2" s="1"/>
  <c r="W1874" i="2" s="1"/>
  <c r="W1904" i="2" s="1"/>
  <c r="W1934" i="2" s="1"/>
  <c r="W1964" i="2" s="1"/>
  <c r="W1994" i="2" s="1"/>
  <c r="W2024" i="2" s="1"/>
  <c r="W2054" i="2" s="1"/>
  <c r="W2084" i="2" s="1"/>
  <c r="W2114" i="2" s="1"/>
  <c r="W2144" i="2" s="1"/>
  <c r="W2174" i="2" s="1"/>
  <c r="W2204" i="2" s="1"/>
  <c r="W2234" i="2" s="1"/>
  <c r="W2264" i="2" s="1"/>
  <c r="W2294" i="2" s="1"/>
  <c r="W2324" i="2" s="1"/>
  <c r="W2354" i="2" s="1"/>
  <c r="W2384" i="2" s="1"/>
  <c r="U140" i="2"/>
  <c r="U170" i="2" s="1"/>
  <c r="U200" i="2" s="1"/>
  <c r="U230" i="2" s="1"/>
  <c r="U260" i="2" s="1"/>
  <c r="U290" i="2" s="1"/>
  <c r="U320" i="2" s="1"/>
  <c r="U350" i="2" s="1"/>
  <c r="U380" i="2" s="1"/>
  <c r="U410" i="2" s="1"/>
  <c r="U440" i="2" s="1"/>
  <c r="U470" i="2" s="1"/>
  <c r="U500" i="2" s="1"/>
  <c r="U530" i="2" s="1"/>
  <c r="U560" i="2" s="1"/>
  <c r="U590" i="2" s="1"/>
  <c r="U620" i="2" s="1"/>
  <c r="U650" i="2" s="1"/>
  <c r="U680" i="2" s="1"/>
  <c r="U710" i="2" s="1"/>
  <c r="U740" i="2" s="1"/>
  <c r="U770" i="2" s="1"/>
  <c r="U800" i="2" s="1"/>
  <c r="U830" i="2" s="1"/>
  <c r="U860" i="2" s="1"/>
  <c r="U890" i="2" s="1"/>
  <c r="U920" i="2" s="1"/>
  <c r="U950" i="2" s="1"/>
  <c r="U980" i="2" s="1"/>
  <c r="U1010" i="2" s="1"/>
  <c r="U1040" i="2" s="1"/>
  <c r="U1070" i="2" s="1"/>
  <c r="U1100" i="2" s="1"/>
  <c r="U1130" i="2" s="1"/>
  <c r="U1160" i="2" s="1"/>
  <c r="U1190" i="2" s="1"/>
  <c r="U1220" i="2" s="1"/>
  <c r="U1250" i="2" s="1"/>
  <c r="U1280" i="2" s="1"/>
  <c r="U1310" i="2" s="1"/>
  <c r="U1340" i="2" s="1"/>
  <c r="U1370" i="2" s="1"/>
  <c r="U1400" i="2" s="1"/>
  <c r="U1430" i="2" s="1"/>
  <c r="U1460" i="2" s="1"/>
  <c r="U1490" i="2" s="1"/>
  <c r="U1520" i="2" s="1"/>
  <c r="U1550" i="2" s="1"/>
  <c r="U1580" i="2" s="1"/>
  <c r="U1610" i="2" s="1"/>
  <c r="U1640" i="2" s="1"/>
  <c r="U1670" i="2" s="1"/>
  <c r="U1700" i="2" s="1"/>
  <c r="U1730" i="2" s="1"/>
  <c r="U1760" i="2" s="1"/>
  <c r="U1790" i="2" s="1"/>
  <c r="U1820" i="2" s="1"/>
  <c r="U1850" i="2" s="1"/>
  <c r="U1880" i="2" s="1"/>
  <c r="U1910" i="2" s="1"/>
  <c r="U1940" i="2" s="1"/>
  <c r="U1970" i="2" s="1"/>
  <c r="U2000" i="2" s="1"/>
  <c r="U2030" i="2" s="1"/>
  <c r="U2060" i="2" s="1"/>
  <c r="U2090" i="2" s="1"/>
  <c r="U2120" i="2" s="1"/>
  <c r="U2150" i="2" s="1"/>
  <c r="U2180" i="2" s="1"/>
  <c r="U2210" i="2" s="1"/>
  <c r="U2240" i="2" s="1"/>
  <c r="U2270" i="2" s="1"/>
  <c r="U2300" i="2" s="1"/>
  <c r="U2330" i="2" s="1"/>
  <c r="U2360" i="2" s="1"/>
  <c r="U2390" i="2" s="1"/>
  <c r="U163" i="2"/>
  <c r="U193" i="2" s="1"/>
  <c r="U223" i="2" s="1"/>
  <c r="U253" i="2" s="1"/>
  <c r="U283" i="2" s="1"/>
  <c r="U313" i="2" s="1"/>
  <c r="U343" i="2" s="1"/>
  <c r="U373" i="2" s="1"/>
  <c r="U403" i="2" s="1"/>
  <c r="U433" i="2" s="1"/>
  <c r="U463" i="2" s="1"/>
  <c r="U493" i="2" s="1"/>
  <c r="U523" i="2" s="1"/>
  <c r="U553" i="2" s="1"/>
  <c r="U583" i="2" s="1"/>
  <c r="U613" i="2" s="1"/>
  <c r="U643" i="2" s="1"/>
  <c r="U673" i="2" s="1"/>
  <c r="U703" i="2" s="1"/>
  <c r="U733" i="2" s="1"/>
  <c r="U763" i="2" s="1"/>
  <c r="U793" i="2" s="1"/>
  <c r="U823" i="2" s="1"/>
  <c r="U853" i="2" s="1"/>
  <c r="U883" i="2" s="1"/>
  <c r="U913" i="2" s="1"/>
  <c r="U943" i="2" s="1"/>
  <c r="U973" i="2" s="1"/>
  <c r="U1003" i="2" s="1"/>
  <c r="U1033" i="2" s="1"/>
  <c r="U1063" i="2" s="1"/>
  <c r="U1093" i="2" s="1"/>
  <c r="U1123" i="2" s="1"/>
  <c r="U1153" i="2" s="1"/>
  <c r="U1183" i="2" s="1"/>
  <c r="U1213" i="2" s="1"/>
  <c r="U1243" i="2" s="1"/>
  <c r="U1273" i="2" s="1"/>
  <c r="U1303" i="2" s="1"/>
  <c r="U1333" i="2" s="1"/>
  <c r="U1363" i="2" s="1"/>
  <c r="U1393" i="2" s="1"/>
  <c r="U1423" i="2" s="1"/>
  <c r="U1453" i="2" s="1"/>
  <c r="U1483" i="2" s="1"/>
  <c r="U1513" i="2" s="1"/>
  <c r="U1543" i="2" s="1"/>
  <c r="U1573" i="2" s="1"/>
  <c r="U1603" i="2" s="1"/>
  <c r="U1633" i="2" s="1"/>
  <c r="U1663" i="2" s="1"/>
  <c r="U1693" i="2" s="1"/>
  <c r="U1723" i="2" s="1"/>
  <c r="U1753" i="2" s="1"/>
  <c r="U1783" i="2" s="1"/>
  <c r="U1813" i="2" s="1"/>
  <c r="U1843" i="2" s="1"/>
  <c r="U1873" i="2" s="1"/>
  <c r="U1903" i="2" s="1"/>
  <c r="U1933" i="2" s="1"/>
  <c r="U1963" i="2" s="1"/>
  <c r="U1993" i="2" s="1"/>
  <c r="U2023" i="2" s="1"/>
  <c r="U2053" i="2" s="1"/>
  <c r="U2083" i="2" s="1"/>
  <c r="U2113" i="2" s="1"/>
  <c r="U2143" i="2" s="1"/>
  <c r="U2173" i="2" s="1"/>
  <c r="U2203" i="2" s="1"/>
  <c r="U2233" i="2" s="1"/>
  <c r="U2263" i="2" s="1"/>
  <c r="U2293" i="2" s="1"/>
  <c r="U2323" i="2" s="1"/>
  <c r="U2353" i="2" s="1"/>
  <c r="U2383" i="2" s="1"/>
  <c r="W173" i="2"/>
  <c r="W203" i="2" s="1"/>
  <c r="W233" i="2" s="1"/>
  <c r="W263" i="2" s="1"/>
  <c r="W293" i="2" s="1"/>
  <c r="V184" i="2"/>
  <c r="V214" i="2" s="1"/>
  <c r="V244" i="2" s="1"/>
  <c r="V274" i="2" s="1"/>
  <c r="V204" i="2"/>
  <c r="V234" i="2" s="1"/>
  <c r="V264" i="2" s="1"/>
  <c r="V294" i="2" s="1"/>
  <c r="V324" i="2" s="1"/>
  <c r="V354" i="2" s="1"/>
  <c r="V384" i="2" s="1"/>
  <c r="V414" i="2" s="1"/>
  <c r="V444" i="2" s="1"/>
  <c r="V474" i="2" s="1"/>
  <c r="V504" i="2" s="1"/>
  <c r="V534" i="2" s="1"/>
  <c r="V564" i="2" s="1"/>
  <c r="V594" i="2" s="1"/>
  <c r="V624" i="2" s="1"/>
  <c r="V654" i="2" s="1"/>
  <c r="V684" i="2" s="1"/>
  <c r="V714" i="2" s="1"/>
  <c r="V744" i="2" s="1"/>
  <c r="V774" i="2" s="1"/>
  <c r="V804" i="2" s="1"/>
  <c r="V834" i="2" s="1"/>
  <c r="V864" i="2" s="1"/>
  <c r="V894" i="2" s="1"/>
  <c r="V924" i="2" s="1"/>
  <c r="V954" i="2" s="1"/>
  <c r="V984" i="2" s="1"/>
  <c r="V1014" i="2" s="1"/>
  <c r="V1044" i="2" s="1"/>
  <c r="V1074" i="2" s="1"/>
  <c r="V1104" i="2" s="1"/>
  <c r="V1134" i="2" s="1"/>
  <c r="V1164" i="2" s="1"/>
  <c r="V1194" i="2" s="1"/>
  <c r="V1224" i="2" s="1"/>
  <c r="V1254" i="2" s="1"/>
  <c r="V1284" i="2" s="1"/>
  <c r="V1314" i="2" s="1"/>
  <c r="V1344" i="2" s="1"/>
  <c r="V1374" i="2" s="1"/>
  <c r="V1404" i="2" s="1"/>
  <c r="V1434" i="2" s="1"/>
  <c r="V1464" i="2" s="1"/>
  <c r="V1494" i="2" s="1"/>
  <c r="V1524" i="2" s="1"/>
  <c r="V1554" i="2" s="1"/>
  <c r="V1584" i="2" s="1"/>
  <c r="V1614" i="2" s="1"/>
  <c r="V1644" i="2" s="1"/>
  <c r="V1674" i="2" s="1"/>
  <c r="V1704" i="2" s="1"/>
  <c r="V1734" i="2" s="1"/>
  <c r="V1764" i="2" s="1"/>
  <c r="V1794" i="2" s="1"/>
  <c r="V1824" i="2" s="1"/>
  <c r="V1854" i="2" s="1"/>
  <c r="V1884" i="2" s="1"/>
  <c r="V1914" i="2" s="1"/>
  <c r="V1944" i="2" s="1"/>
  <c r="V1974" i="2" s="1"/>
  <c r="V2004" i="2" s="1"/>
  <c r="V2034" i="2" s="1"/>
  <c r="V2064" i="2" s="1"/>
  <c r="V2094" i="2" s="1"/>
  <c r="V2124" i="2" s="1"/>
  <c r="V2154" i="2" s="1"/>
  <c r="V2184" i="2" s="1"/>
  <c r="V2214" i="2" s="1"/>
  <c r="V2244" i="2" s="1"/>
  <c r="V2274" i="2" s="1"/>
  <c r="V2304" i="2" s="1"/>
  <c r="V2334" i="2" s="1"/>
  <c r="V2364" i="2" s="1"/>
  <c r="V2394" i="2" s="1"/>
  <c r="W211" i="2"/>
  <c r="W241" i="2" s="1"/>
  <c r="W271" i="2" s="1"/>
  <c r="W301" i="2" s="1"/>
  <c r="W331" i="2" s="1"/>
  <c r="W361" i="2" s="1"/>
  <c r="W391" i="2" s="1"/>
  <c r="W421" i="2" s="1"/>
  <c r="W451" i="2" s="1"/>
  <c r="W481" i="2" s="1"/>
  <c r="W511" i="2" s="1"/>
  <c r="W541" i="2" s="1"/>
  <c r="W571" i="2" s="1"/>
  <c r="W601" i="2" s="1"/>
  <c r="W631" i="2" s="1"/>
  <c r="W661" i="2" s="1"/>
  <c r="W691" i="2" s="1"/>
  <c r="W721" i="2" s="1"/>
  <c r="W751" i="2" s="1"/>
  <c r="W781" i="2" s="1"/>
  <c r="W811" i="2" s="1"/>
  <c r="W841" i="2" s="1"/>
  <c r="W871" i="2" s="1"/>
  <c r="W901" i="2" s="1"/>
  <c r="W931" i="2" s="1"/>
  <c r="W961" i="2" s="1"/>
  <c r="W991" i="2" s="1"/>
  <c r="W1021" i="2" s="1"/>
  <c r="W1051" i="2" s="1"/>
  <c r="W1081" i="2" s="1"/>
  <c r="W1111" i="2" s="1"/>
  <c r="W1141" i="2" s="1"/>
  <c r="W1171" i="2" s="1"/>
  <c r="W1201" i="2" s="1"/>
  <c r="W1231" i="2" s="1"/>
  <c r="W1261" i="2" s="1"/>
  <c r="W1291" i="2" s="1"/>
  <c r="W1321" i="2" s="1"/>
  <c r="W1351" i="2" s="1"/>
  <c r="W1381" i="2" s="1"/>
  <c r="W1411" i="2" s="1"/>
  <c r="W1441" i="2" s="1"/>
  <c r="W1471" i="2" s="1"/>
  <c r="W1501" i="2" s="1"/>
  <c r="W1531" i="2" s="1"/>
  <c r="W1561" i="2" s="1"/>
  <c r="W1591" i="2" s="1"/>
  <c r="W1621" i="2" s="1"/>
  <c r="W1651" i="2" s="1"/>
  <c r="W1681" i="2" s="1"/>
  <c r="W1711" i="2" s="1"/>
  <c r="W1741" i="2" s="1"/>
  <c r="W1771" i="2" s="1"/>
  <c r="W1801" i="2" s="1"/>
  <c r="W1831" i="2" s="1"/>
  <c r="W1861" i="2" s="1"/>
  <c r="W1891" i="2" s="1"/>
  <c r="W1921" i="2" s="1"/>
  <c r="W1951" i="2" s="1"/>
  <c r="W1981" i="2" s="1"/>
  <c r="W2011" i="2" s="1"/>
  <c r="W2041" i="2" s="1"/>
  <c r="W2071" i="2" s="1"/>
  <c r="W2101" i="2" s="1"/>
  <c r="W2131" i="2" s="1"/>
  <c r="W2161" i="2" s="1"/>
  <c r="W2191" i="2" s="1"/>
  <c r="W2221" i="2" s="1"/>
  <c r="W2251" i="2" s="1"/>
  <c r="W2281" i="2" s="1"/>
  <c r="W2311" i="2" s="1"/>
  <c r="W2341" i="2" s="1"/>
  <c r="W2371" i="2" s="1"/>
  <c r="W2401" i="2" s="1"/>
  <c r="W225" i="2"/>
  <c r="W255" i="2" s="1"/>
  <c r="W285" i="2" s="1"/>
  <c r="W315" i="2" s="1"/>
  <c r="W345" i="2" s="1"/>
  <c r="W375" i="2" s="1"/>
  <c r="W405" i="2" s="1"/>
  <c r="W435" i="2" s="1"/>
  <c r="W465" i="2" s="1"/>
  <c r="V230" i="2"/>
  <c r="V260" i="2" s="1"/>
  <c r="V290" i="2" s="1"/>
  <c r="V320" i="2" s="1"/>
  <c r="V350" i="2" s="1"/>
  <c r="V380" i="2" s="1"/>
  <c r="V410" i="2" s="1"/>
  <c r="V440" i="2" s="1"/>
  <c r="V470" i="2" s="1"/>
  <c r="V500" i="2" s="1"/>
  <c r="V530" i="2" s="1"/>
  <c r="V560" i="2" s="1"/>
  <c r="V590" i="2" s="1"/>
  <c r="V620" i="2" s="1"/>
  <c r="V650" i="2" s="1"/>
  <c r="V680" i="2" s="1"/>
  <c r="V710" i="2" s="1"/>
  <c r="V740" i="2" s="1"/>
  <c r="V770" i="2" s="1"/>
  <c r="V800" i="2" s="1"/>
  <c r="V830" i="2" s="1"/>
  <c r="V860" i="2" s="1"/>
  <c r="V890" i="2" s="1"/>
  <c r="V920" i="2" s="1"/>
  <c r="V950" i="2" s="1"/>
  <c r="V980" i="2" s="1"/>
  <c r="V1010" i="2" s="1"/>
  <c r="V1040" i="2" s="1"/>
  <c r="V1070" i="2" s="1"/>
  <c r="V1100" i="2" s="1"/>
  <c r="V1130" i="2" s="1"/>
  <c r="V1160" i="2" s="1"/>
  <c r="V1190" i="2" s="1"/>
  <c r="V1220" i="2" s="1"/>
  <c r="V1250" i="2" s="1"/>
  <c r="V1280" i="2" s="1"/>
  <c r="V1310" i="2" s="1"/>
  <c r="V1340" i="2" s="1"/>
  <c r="V1370" i="2" s="1"/>
  <c r="V1400" i="2" s="1"/>
  <c r="V1430" i="2" s="1"/>
  <c r="V1460" i="2" s="1"/>
  <c r="V1490" i="2" s="1"/>
  <c r="V1520" i="2" s="1"/>
  <c r="V1550" i="2" s="1"/>
  <c r="V1580" i="2" s="1"/>
  <c r="V1610" i="2" s="1"/>
  <c r="V1640" i="2" s="1"/>
  <c r="V1670" i="2" s="1"/>
  <c r="V1700" i="2" s="1"/>
  <c r="V1730" i="2" s="1"/>
  <c r="V1760" i="2" s="1"/>
  <c r="V1790" i="2" s="1"/>
  <c r="V1820" i="2" s="1"/>
  <c r="V1850" i="2" s="1"/>
  <c r="V1880" i="2" s="1"/>
  <c r="V1910" i="2" s="1"/>
  <c r="V1940" i="2" s="1"/>
  <c r="V1970" i="2" s="1"/>
  <c r="V2000" i="2" s="1"/>
  <c r="V2030" i="2" s="1"/>
  <c r="V2060" i="2" s="1"/>
  <c r="V2090" i="2" s="1"/>
  <c r="V2120" i="2" s="1"/>
  <c r="V2150" i="2" s="1"/>
  <c r="V2180" i="2" s="1"/>
  <c r="V2210" i="2" s="1"/>
  <c r="V2240" i="2" s="1"/>
  <c r="V2270" i="2" s="1"/>
  <c r="V2300" i="2" s="1"/>
  <c r="V2330" i="2" s="1"/>
  <c r="V2360" i="2" s="1"/>
  <c r="V2390" i="2" s="1"/>
  <c r="W243" i="2"/>
  <c r="W273" i="2" s="1"/>
  <c r="W303" i="2" s="1"/>
  <c r="W333" i="2" s="1"/>
  <c r="W363" i="2" s="1"/>
  <c r="W393" i="2" s="1"/>
  <c r="W423" i="2" s="1"/>
  <c r="W453" i="2" s="1"/>
  <c r="W483" i="2" s="1"/>
  <c r="W513" i="2" s="1"/>
  <c r="W543" i="2" s="1"/>
  <c r="W573" i="2" s="1"/>
  <c r="W603" i="2" s="1"/>
  <c r="W633" i="2" s="1"/>
  <c r="W663" i="2" s="1"/>
  <c r="W693" i="2" s="1"/>
  <c r="W723" i="2" s="1"/>
  <c r="W753" i="2" s="1"/>
  <c r="W783" i="2" s="1"/>
  <c r="W813" i="2" s="1"/>
  <c r="W843" i="2" s="1"/>
  <c r="W873" i="2" s="1"/>
  <c r="W903" i="2" s="1"/>
  <c r="W933" i="2" s="1"/>
  <c r="W963" i="2" s="1"/>
  <c r="W993" i="2" s="1"/>
  <c r="W1023" i="2" s="1"/>
  <c r="W1053" i="2" s="1"/>
  <c r="W1083" i="2" s="1"/>
  <c r="W1113" i="2" s="1"/>
  <c r="W1143" i="2" s="1"/>
  <c r="W1173" i="2" s="1"/>
  <c r="W1203" i="2" s="1"/>
  <c r="W1233" i="2" s="1"/>
  <c r="W1263" i="2" s="1"/>
  <c r="W1293" i="2" s="1"/>
  <c r="W1323" i="2" s="1"/>
  <c r="W1353" i="2" s="1"/>
  <c r="W1383" i="2" s="1"/>
  <c r="W1413" i="2" s="1"/>
  <c r="W1443" i="2" s="1"/>
  <c r="W1473" i="2" s="1"/>
  <c r="W1503" i="2" s="1"/>
  <c r="W1533" i="2" s="1"/>
  <c r="W1563" i="2" s="1"/>
  <c r="W1593" i="2" s="1"/>
  <c r="W1623" i="2" s="1"/>
  <c r="W1653" i="2" s="1"/>
  <c r="W1683" i="2" s="1"/>
  <c r="W1713" i="2" s="1"/>
  <c r="W1743" i="2" s="1"/>
  <c r="W1773" i="2" s="1"/>
  <c r="W1803" i="2" s="1"/>
  <c r="W1833" i="2" s="1"/>
  <c r="W1863" i="2" s="1"/>
  <c r="W1893" i="2" s="1"/>
  <c r="W1923" i="2" s="1"/>
  <c r="W1953" i="2" s="1"/>
  <c r="W1983" i="2" s="1"/>
  <c r="W2013" i="2" s="1"/>
  <c r="W2043" i="2" s="1"/>
  <c r="W2073" i="2" s="1"/>
  <c r="W2103" i="2" s="1"/>
  <c r="W2133" i="2" s="1"/>
  <c r="W2163" i="2" s="1"/>
  <c r="W2193" i="2" s="1"/>
  <c r="W2223" i="2" s="1"/>
  <c r="W2253" i="2" s="1"/>
  <c r="W2283" i="2" s="1"/>
  <c r="W2313" i="2" s="1"/>
  <c r="W2343" i="2" s="1"/>
  <c r="W2373" i="2" s="1"/>
  <c r="U258" i="2"/>
  <c r="U288" i="2" s="1"/>
  <c r="U318" i="2" s="1"/>
  <c r="U348" i="2" s="1"/>
  <c r="U378" i="2" s="1"/>
  <c r="U408" i="2" s="1"/>
  <c r="U438" i="2" s="1"/>
  <c r="U468" i="2" s="1"/>
  <c r="U498" i="2" s="1"/>
  <c r="U528" i="2" s="1"/>
  <c r="U558" i="2" s="1"/>
  <c r="U588" i="2" s="1"/>
  <c r="U618" i="2" s="1"/>
  <c r="U648" i="2" s="1"/>
  <c r="U678" i="2" s="1"/>
  <c r="U708" i="2" s="1"/>
  <c r="U738" i="2" s="1"/>
  <c r="U768" i="2" s="1"/>
  <c r="U798" i="2" s="1"/>
  <c r="U828" i="2" s="1"/>
  <c r="U858" i="2" s="1"/>
  <c r="U888" i="2" s="1"/>
  <c r="U918" i="2" s="1"/>
  <c r="U948" i="2" s="1"/>
  <c r="U978" i="2" s="1"/>
  <c r="U1008" i="2" s="1"/>
  <c r="U1038" i="2" s="1"/>
  <c r="U1068" i="2" s="1"/>
  <c r="U1098" i="2" s="1"/>
  <c r="U1128" i="2" s="1"/>
  <c r="U1158" i="2" s="1"/>
  <c r="U1188" i="2" s="1"/>
  <c r="U1218" i="2" s="1"/>
  <c r="U1248" i="2" s="1"/>
  <c r="U1278" i="2" s="1"/>
  <c r="U1308" i="2" s="1"/>
  <c r="U1338" i="2" s="1"/>
  <c r="U1368" i="2" s="1"/>
  <c r="U1398" i="2" s="1"/>
  <c r="U1428" i="2" s="1"/>
  <c r="U1458" i="2" s="1"/>
  <c r="U1488" i="2" s="1"/>
  <c r="U1518" i="2" s="1"/>
  <c r="U1548" i="2" s="1"/>
  <c r="U1578" i="2" s="1"/>
  <c r="U1608" i="2" s="1"/>
  <c r="U1638" i="2" s="1"/>
  <c r="U1668" i="2" s="1"/>
  <c r="U1698" i="2" s="1"/>
  <c r="U1728" i="2" s="1"/>
  <c r="U1758" i="2" s="1"/>
  <c r="U1788" i="2" s="1"/>
  <c r="U1818" i="2" s="1"/>
  <c r="U1848" i="2" s="1"/>
  <c r="U1878" i="2" s="1"/>
  <c r="U1908" i="2" s="1"/>
  <c r="U1938" i="2" s="1"/>
  <c r="U1968" i="2" s="1"/>
  <c r="U1998" i="2" s="1"/>
  <c r="U2028" i="2" s="1"/>
  <c r="U2058" i="2" s="1"/>
  <c r="U2088" i="2" s="1"/>
  <c r="U2118" i="2" s="1"/>
  <c r="U2148" i="2" s="1"/>
  <c r="U2178" i="2" s="1"/>
  <c r="U2208" i="2" s="1"/>
  <c r="U2238" i="2" s="1"/>
  <c r="U2268" i="2" s="1"/>
  <c r="U2298" i="2" s="1"/>
  <c r="U2328" i="2" s="1"/>
  <c r="U2358" i="2" s="1"/>
  <c r="U2388" i="2" s="1"/>
  <c r="U267" i="2"/>
  <c r="U297" i="2" s="1"/>
  <c r="U327" i="2" s="1"/>
  <c r="U357" i="2" s="1"/>
  <c r="U387" i="2" s="1"/>
  <c r="U417" i="2" s="1"/>
  <c r="U447" i="2" s="1"/>
  <c r="U477" i="2" s="1"/>
  <c r="U507" i="2" s="1"/>
  <c r="U537" i="2" s="1"/>
  <c r="U567" i="2" s="1"/>
  <c r="U597" i="2" s="1"/>
  <c r="U627" i="2" s="1"/>
  <c r="U657" i="2" s="1"/>
  <c r="U687" i="2" s="1"/>
  <c r="U717" i="2" s="1"/>
  <c r="U747" i="2" s="1"/>
  <c r="U777" i="2" s="1"/>
  <c r="U807" i="2" s="1"/>
  <c r="U837" i="2" s="1"/>
  <c r="U867" i="2" s="1"/>
  <c r="U897" i="2" s="1"/>
  <c r="U927" i="2" s="1"/>
  <c r="U957" i="2" s="1"/>
  <c r="U987" i="2" s="1"/>
  <c r="U1017" i="2" s="1"/>
  <c r="U1047" i="2" s="1"/>
  <c r="U1077" i="2" s="1"/>
  <c r="U1107" i="2" s="1"/>
  <c r="U1137" i="2" s="1"/>
  <c r="U1167" i="2" s="1"/>
  <c r="U1197" i="2" s="1"/>
  <c r="U1227" i="2" s="1"/>
  <c r="U1257" i="2" s="1"/>
  <c r="U1287" i="2" s="1"/>
  <c r="U1317" i="2" s="1"/>
  <c r="U1347" i="2" s="1"/>
  <c r="U1377" i="2" s="1"/>
  <c r="U1407" i="2" s="1"/>
  <c r="U1437" i="2" s="1"/>
  <c r="U1467" i="2" s="1"/>
  <c r="U1497" i="2" s="1"/>
  <c r="U1527" i="2" s="1"/>
  <c r="U1557" i="2" s="1"/>
  <c r="U1587" i="2" s="1"/>
  <c r="U1617" i="2" s="1"/>
  <c r="U1647" i="2" s="1"/>
  <c r="U1677" i="2" s="1"/>
  <c r="U1707" i="2" s="1"/>
  <c r="U1737" i="2" s="1"/>
  <c r="U1767" i="2" s="1"/>
  <c r="U1797" i="2" s="1"/>
  <c r="U1827" i="2" s="1"/>
  <c r="U1857" i="2" s="1"/>
  <c r="U1887" i="2" s="1"/>
  <c r="U1917" i="2" s="1"/>
  <c r="U1947" i="2" s="1"/>
  <c r="U1977" i="2" s="1"/>
  <c r="U2007" i="2" s="1"/>
  <c r="U2037" i="2" s="1"/>
  <c r="U2067" i="2" s="1"/>
  <c r="U2097" i="2" s="1"/>
  <c r="U2127" i="2" s="1"/>
  <c r="U2157" i="2" s="1"/>
  <c r="U2187" i="2" s="1"/>
  <c r="U2217" i="2" s="1"/>
  <c r="U2247" i="2" s="1"/>
  <c r="U2277" i="2" s="1"/>
  <c r="U2307" i="2" s="1"/>
  <c r="U2337" i="2" s="1"/>
  <c r="U2367" i="2" s="1"/>
  <c r="U2397" i="2" s="1"/>
  <c r="U270" i="2"/>
  <c r="U300" i="2" s="1"/>
  <c r="U330" i="2" s="1"/>
  <c r="U360" i="2" s="1"/>
  <c r="U390" i="2" s="1"/>
  <c r="U420" i="2" s="1"/>
  <c r="U450" i="2" s="1"/>
  <c r="U480" i="2" s="1"/>
  <c r="U510" i="2" s="1"/>
  <c r="U540" i="2" s="1"/>
  <c r="U570" i="2" s="1"/>
  <c r="U600" i="2" s="1"/>
  <c r="U630" i="2" s="1"/>
  <c r="U660" i="2" s="1"/>
  <c r="U690" i="2" s="1"/>
  <c r="U720" i="2" s="1"/>
  <c r="U750" i="2" s="1"/>
  <c r="U780" i="2" s="1"/>
  <c r="U810" i="2" s="1"/>
  <c r="U840" i="2" s="1"/>
  <c r="U870" i="2" s="1"/>
  <c r="U900" i="2" s="1"/>
  <c r="U930" i="2" s="1"/>
  <c r="U960" i="2" s="1"/>
  <c r="U990" i="2" s="1"/>
  <c r="U1020" i="2" s="1"/>
  <c r="U1050" i="2" s="1"/>
  <c r="U1080" i="2" s="1"/>
  <c r="U1110" i="2" s="1"/>
  <c r="U1140" i="2" s="1"/>
  <c r="U1170" i="2" s="1"/>
  <c r="U1200" i="2" s="1"/>
  <c r="U1230" i="2" s="1"/>
  <c r="U1260" i="2" s="1"/>
  <c r="U1290" i="2" s="1"/>
  <c r="U1320" i="2" s="1"/>
  <c r="U1350" i="2" s="1"/>
  <c r="U1380" i="2" s="1"/>
  <c r="U1410" i="2" s="1"/>
  <c r="U1440" i="2" s="1"/>
  <c r="U1470" i="2" s="1"/>
  <c r="U1500" i="2" s="1"/>
  <c r="U1530" i="2" s="1"/>
  <c r="U1560" i="2" s="1"/>
  <c r="U1590" i="2" s="1"/>
  <c r="U1620" i="2" s="1"/>
  <c r="U1650" i="2" s="1"/>
  <c r="U1680" i="2" s="1"/>
  <c r="U1710" i="2" s="1"/>
  <c r="U1740" i="2" s="1"/>
  <c r="U1770" i="2" s="1"/>
  <c r="U1800" i="2" s="1"/>
  <c r="U1830" i="2" s="1"/>
  <c r="U1860" i="2" s="1"/>
  <c r="U1890" i="2" s="1"/>
  <c r="U1920" i="2" s="1"/>
  <c r="U1950" i="2" s="1"/>
  <c r="U1980" i="2" s="1"/>
  <c r="U2010" i="2" s="1"/>
  <c r="U2040" i="2" s="1"/>
  <c r="U2070" i="2" s="1"/>
  <c r="U2100" i="2" s="1"/>
  <c r="U2130" i="2" s="1"/>
  <c r="U2160" i="2" s="1"/>
  <c r="U2190" i="2" s="1"/>
  <c r="U2220" i="2" s="1"/>
  <c r="U2250" i="2" s="1"/>
  <c r="U2280" i="2" s="1"/>
  <c r="U2310" i="2" s="1"/>
  <c r="U2340" i="2" s="1"/>
  <c r="U2370" i="2" s="1"/>
  <c r="U2400" i="2" s="1"/>
  <c r="U273" i="2"/>
  <c r="U303" i="2" s="1"/>
  <c r="U333" i="2" s="1"/>
  <c r="U363" i="2" s="1"/>
  <c r="U393" i="2" s="1"/>
  <c r="U423" i="2" s="1"/>
  <c r="U453" i="2" s="1"/>
  <c r="U483" i="2" s="1"/>
  <c r="U513" i="2" s="1"/>
  <c r="U543" i="2" s="1"/>
  <c r="U573" i="2" s="1"/>
  <c r="U603" i="2" s="1"/>
  <c r="U281" i="2"/>
  <c r="U311" i="2" s="1"/>
  <c r="U341" i="2" s="1"/>
  <c r="U371" i="2" s="1"/>
  <c r="U401" i="2" s="1"/>
  <c r="U431" i="2" s="1"/>
  <c r="U461" i="2" s="1"/>
  <c r="U491" i="2" s="1"/>
  <c r="U521" i="2" s="1"/>
  <c r="U551" i="2" s="1"/>
  <c r="U581" i="2" s="1"/>
  <c r="U611" i="2" s="1"/>
  <c r="U641" i="2" s="1"/>
  <c r="U671" i="2" s="1"/>
  <c r="U701" i="2" s="1"/>
  <c r="U731" i="2" s="1"/>
  <c r="U761" i="2" s="1"/>
  <c r="U791" i="2" s="1"/>
  <c r="U821" i="2" s="1"/>
  <c r="U851" i="2" s="1"/>
  <c r="W289" i="2"/>
  <c r="W319" i="2" s="1"/>
  <c r="W349" i="2" s="1"/>
  <c r="W379" i="2" s="1"/>
  <c r="W409" i="2" s="1"/>
  <c r="W439" i="2" s="1"/>
  <c r="W469" i="2" s="1"/>
  <c r="W499" i="2" s="1"/>
  <c r="W529" i="2" s="1"/>
  <c r="W559" i="2" s="1"/>
  <c r="W589" i="2" s="1"/>
  <c r="W619" i="2" s="1"/>
  <c r="W649" i="2" s="1"/>
  <c r="W679" i="2" s="1"/>
  <c r="W709" i="2" s="1"/>
  <c r="W739" i="2" s="1"/>
  <c r="W769" i="2" s="1"/>
  <c r="W799" i="2" s="1"/>
  <c r="W829" i="2" s="1"/>
  <c r="W859" i="2" s="1"/>
  <c r="W889" i="2" s="1"/>
  <c r="W919" i="2" s="1"/>
  <c r="W949" i="2" s="1"/>
  <c r="W979" i="2" s="1"/>
  <c r="W1009" i="2" s="1"/>
  <c r="W1039" i="2" s="1"/>
  <c r="W1069" i="2" s="1"/>
  <c r="W1099" i="2" s="1"/>
  <c r="W1129" i="2" s="1"/>
  <c r="W1159" i="2" s="1"/>
  <c r="W1189" i="2" s="1"/>
  <c r="W1219" i="2" s="1"/>
  <c r="W1249" i="2" s="1"/>
  <c r="W1279" i="2" s="1"/>
  <c r="W1309" i="2" s="1"/>
  <c r="W1339" i="2" s="1"/>
  <c r="W1369" i="2" s="1"/>
  <c r="W1399" i="2" s="1"/>
  <c r="W1429" i="2" s="1"/>
  <c r="W1459" i="2" s="1"/>
  <c r="W1489" i="2" s="1"/>
  <c r="W1519" i="2" s="1"/>
  <c r="W1549" i="2" s="1"/>
  <c r="W1579" i="2" s="1"/>
  <c r="W1609" i="2" s="1"/>
  <c r="W1639" i="2" s="1"/>
  <c r="W1669" i="2" s="1"/>
  <c r="W1699" i="2" s="1"/>
  <c r="W1729" i="2" s="1"/>
  <c r="W1759" i="2" s="1"/>
  <c r="W1789" i="2" s="1"/>
  <c r="W1819" i="2" s="1"/>
  <c r="W1849" i="2" s="1"/>
  <c r="W1879" i="2" s="1"/>
  <c r="W1909" i="2" s="1"/>
  <c r="W1939" i="2" s="1"/>
  <c r="W1969" i="2" s="1"/>
  <c r="W1999" i="2" s="1"/>
  <c r="W2029" i="2" s="1"/>
  <c r="W2059" i="2" s="1"/>
  <c r="W2089" i="2" s="1"/>
  <c r="W2119" i="2" s="1"/>
  <c r="W2149" i="2" s="1"/>
  <c r="W2179" i="2" s="1"/>
  <c r="W2209" i="2" s="1"/>
  <c r="W2239" i="2" s="1"/>
  <c r="W2269" i="2" s="1"/>
  <c r="W2299" i="2" s="1"/>
  <c r="W2329" i="2" s="1"/>
  <c r="W2359" i="2" s="1"/>
  <c r="W2389" i="2" s="1"/>
  <c r="V304" i="2"/>
  <c r="V334" i="2" s="1"/>
  <c r="U306" i="2"/>
  <c r="U336" i="2" s="1"/>
  <c r="U366" i="2" s="1"/>
  <c r="U396" i="2" s="1"/>
  <c r="U426" i="2" s="1"/>
  <c r="U456" i="2" s="1"/>
  <c r="U486" i="2" s="1"/>
  <c r="U516" i="2" s="1"/>
  <c r="U546" i="2" s="1"/>
  <c r="U576" i="2" s="1"/>
  <c r="U606" i="2" s="1"/>
  <c r="U636" i="2" s="1"/>
  <c r="U666" i="2" s="1"/>
  <c r="U696" i="2" s="1"/>
  <c r="U726" i="2" s="1"/>
  <c r="U756" i="2" s="1"/>
  <c r="U786" i="2" s="1"/>
  <c r="U816" i="2" s="1"/>
  <c r="U846" i="2" s="1"/>
  <c r="U876" i="2" s="1"/>
  <c r="U906" i="2" s="1"/>
  <c r="U936" i="2" s="1"/>
  <c r="U966" i="2" s="1"/>
  <c r="U996" i="2" s="1"/>
  <c r="U1026" i="2" s="1"/>
  <c r="U1056" i="2" s="1"/>
  <c r="U1086" i="2" s="1"/>
  <c r="U1116" i="2" s="1"/>
  <c r="U1146" i="2" s="1"/>
  <c r="U1176" i="2" s="1"/>
  <c r="U1206" i="2" s="1"/>
  <c r="U1236" i="2" s="1"/>
  <c r="U1266" i="2" s="1"/>
  <c r="U1296" i="2" s="1"/>
  <c r="U1326" i="2" s="1"/>
  <c r="U1356" i="2" s="1"/>
  <c r="U1386" i="2" s="1"/>
  <c r="U1416" i="2" s="1"/>
  <c r="U1446" i="2" s="1"/>
  <c r="U1476" i="2" s="1"/>
  <c r="U1506" i="2" s="1"/>
  <c r="U1536" i="2" s="1"/>
  <c r="U1566" i="2" s="1"/>
  <c r="U1596" i="2" s="1"/>
  <c r="U1626" i="2" s="1"/>
  <c r="U1656" i="2" s="1"/>
  <c r="U1686" i="2" s="1"/>
  <c r="U1716" i="2" s="1"/>
  <c r="U1746" i="2" s="1"/>
  <c r="U1776" i="2" s="1"/>
  <c r="U1806" i="2" s="1"/>
  <c r="U1836" i="2" s="1"/>
  <c r="U1866" i="2" s="1"/>
  <c r="U1896" i="2" s="1"/>
  <c r="U1926" i="2" s="1"/>
  <c r="U1956" i="2" s="1"/>
  <c r="U1986" i="2" s="1"/>
  <c r="U2016" i="2" s="1"/>
  <c r="U2046" i="2" s="1"/>
  <c r="U2076" i="2" s="1"/>
  <c r="U2106" i="2" s="1"/>
  <c r="U2136" i="2" s="1"/>
  <c r="U2166" i="2" s="1"/>
  <c r="U2196" i="2" s="1"/>
  <c r="U2226" i="2" s="1"/>
  <c r="U2256" i="2" s="1"/>
  <c r="U2286" i="2" s="1"/>
  <c r="U2316" i="2" s="1"/>
  <c r="U2346" i="2" s="1"/>
  <c r="U2376" i="2" s="1"/>
  <c r="U322" i="2"/>
  <c r="U352" i="2" s="1"/>
  <c r="U382" i="2" s="1"/>
  <c r="U412" i="2" s="1"/>
  <c r="U442" i="2" s="1"/>
  <c r="U472" i="2" s="1"/>
  <c r="U502" i="2" s="1"/>
  <c r="U532" i="2" s="1"/>
  <c r="U562" i="2" s="1"/>
  <c r="U592" i="2" s="1"/>
  <c r="U622" i="2" s="1"/>
  <c r="U652" i="2" s="1"/>
  <c r="U682" i="2" s="1"/>
  <c r="U712" i="2" s="1"/>
  <c r="U742" i="2" s="1"/>
  <c r="U772" i="2" s="1"/>
  <c r="U802" i="2" s="1"/>
  <c r="U832" i="2" s="1"/>
  <c r="U862" i="2" s="1"/>
  <c r="U892" i="2" s="1"/>
  <c r="U922" i="2" s="1"/>
  <c r="U952" i="2" s="1"/>
  <c r="U982" i="2" s="1"/>
  <c r="U1012" i="2" s="1"/>
  <c r="U1042" i="2" s="1"/>
  <c r="U1072" i="2" s="1"/>
  <c r="U1102" i="2" s="1"/>
  <c r="U1132" i="2" s="1"/>
  <c r="U1162" i="2" s="1"/>
  <c r="U1192" i="2" s="1"/>
  <c r="U1222" i="2" s="1"/>
  <c r="U1252" i="2" s="1"/>
  <c r="U1282" i="2" s="1"/>
  <c r="U1312" i="2" s="1"/>
  <c r="U1342" i="2" s="1"/>
  <c r="U1372" i="2" s="1"/>
  <c r="U1402" i="2" s="1"/>
  <c r="U1432" i="2" s="1"/>
  <c r="U1462" i="2" s="1"/>
  <c r="U1492" i="2" s="1"/>
  <c r="U1522" i="2" s="1"/>
  <c r="U1552" i="2" s="1"/>
  <c r="U1582" i="2" s="1"/>
  <c r="U1612" i="2" s="1"/>
  <c r="U1642" i="2" s="1"/>
  <c r="U1672" i="2" s="1"/>
  <c r="U1702" i="2" s="1"/>
  <c r="U1732" i="2" s="1"/>
  <c r="U1762" i="2" s="1"/>
  <c r="U1792" i="2" s="1"/>
  <c r="U1822" i="2" s="1"/>
  <c r="U1852" i="2" s="1"/>
  <c r="U1882" i="2" s="1"/>
  <c r="U1912" i="2" s="1"/>
  <c r="U1942" i="2" s="1"/>
  <c r="U1972" i="2" s="1"/>
  <c r="U2002" i="2" s="1"/>
  <c r="U2032" i="2" s="1"/>
  <c r="U2062" i="2" s="1"/>
  <c r="U2092" i="2" s="1"/>
  <c r="U2122" i="2" s="1"/>
  <c r="U2152" i="2" s="1"/>
  <c r="U2182" i="2" s="1"/>
  <c r="U2212" i="2" s="1"/>
  <c r="U2242" i="2" s="1"/>
  <c r="U2272" i="2" s="1"/>
  <c r="U2302" i="2" s="1"/>
  <c r="U2332" i="2" s="1"/>
  <c r="U2362" i="2" s="1"/>
  <c r="U2392" i="2" s="1"/>
  <c r="W323" i="2"/>
  <c r="W353" i="2" s="1"/>
  <c r="W383" i="2" s="1"/>
  <c r="W413" i="2" s="1"/>
  <c r="W443" i="2" s="1"/>
  <c r="W473" i="2" s="1"/>
  <c r="W503" i="2" s="1"/>
  <c r="W533" i="2" s="1"/>
  <c r="W563" i="2" s="1"/>
  <c r="W593" i="2" s="1"/>
  <c r="W623" i="2" s="1"/>
  <c r="W653" i="2" s="1"/>
  <c r="W683" i="2" s="1"/>
  <c r="W713" i="2" s="1"/>
  <c r="W743" i="2" s="1"/>
  <c r="W773" i="2" s="1"/>
  <c r="W803" i="2" s="1"/>
  <c r="W833" i="2" s="1"/>
  <c r="W863" i="2" s="1"/>
  <c r="W893" i="2" s="1"/>
  <c r="W923" i="2" s="1"/>
  <c r="W953" i="2" s="1"/>
  <c r="W983" i="2" s="1"/>
  <c r="W1013" i="2" s="1"/>
  <c r="W1043" i="2" s="1"/>
  <c r="W1073" i="2" s="1"/>
  <c r="W1103" i="2" s="1"/>
  <c r="W1133" i="2" s="1"/>
  <c r="W1163" i="2" s="1"/>
  <c r="W1193" i="2" s="1"/>
  <c r="W1223" i="2" s="1"/>
  <c r="W1253" i="2" s="1"/>
  <c r="W1283" i="2" s="1"/>
  <c r="W1313" i="2" s="1"/>
  <c r="W1343" i="2" s="1"/>
  <c r="W1373" i="2" s="1"/>
  <c r="W1403" i="2" s="1"/>
  <c r="W1433" i="2" s="1"/>
  <c r="W1463" i="2" s="1"/>
  <c r="W1493" i="2" s="1"/>
  <c r="W1523" i="2" s="1"/>
  <c r="W1553" i="2" s="1"/>
  <c r="W1583" i="2" s="1"/>
  <c r="W1613" i="2" s="1"/>
  <c r="W1643" i="2" s="1"/>
  <c r="W1673" i="2" s="1"/>
  <c r="W1703" i="2" s="1"/>
  <c r="W1733" i="2" s="1"/>
  <c r="W1763" i="2" s="1"/>
  <c r="W1793" i="2" s="1"/>
  <c r="W1823" i="2" s="1"/>
  <c r="W1853" i="2" s="1"/>
  <c r="W1883" i="2" s="1"/>
  <c r="W1913" i="2" s="1"/>
  <c r="W1943" i="2" s="1"/>
  <c r="W1973" i="2" s="1"/>
  <c r="W2003" i="2" s="1"/>
  <c r="W2033" i="2" s="1"/>
  <c r="W2063" i="2" s="1"/>
  <c r="W2093" i="2" s="1"/>
  <c r="W2123" i="2" s="1"/>
  <c r="W2153" i="2" s="1"/>
  <c r="W2183" i="2" s="1"/>
  <c r="W2213" i="2" s="1"/>
  <c r="W2243" i="2" s="1"/>
  <c r="W2273" i="2" s="1"/>
  <c r="W2303" i="2" s="1"/>
  <c r="W2333" i="2" s="1"/>
  <c r="W2363" i="2" s="1"/>
  <c r="W2393" i="2" s="1"/>
  <c r="U345" i="2"/>
  <c r="U375" i="2" s="1"/>
  <c r="U405" i="2" s="1"/>
  <c r="U435" i="2" s="1"/>
  <c r="U465" i="2" s="1"/>
  <c r="U495" i="2" s="1"/>
  <c r="U525" i="2" s="1"/>
  <c r="U555" i="2" s="1"/>
  <c r="U585" i="2" s="1"/>
  <c r="U615" i="2" s="1"/>
  <c r="U645" i="2" s="1"/>
  <c r="U675" i="2" s="1"/>
  <c r="U705" i="2" s="1"/>
  <c r="U735" i="2" s="1"/>
  <c r="U765" i="2" s="1"/>
  <c r="U795" i="2" s="1"/>
  <c r="U825" i="2" s="1"/>
  <c r="U855" i="2" s="1"/>
  <c r="U885" i="2" s="1"/>
  <c r="U915" i="2" s="1"/>
  <c r="U945" i="2" s="1"/>
  <c r="U975" i="2" s="1"/>
  <c r="U1005" i="2" s="1"/>
  <c r="U1035" i="2" s="1"/>
  <c r="U1065" i="2" s="1"/>
  <c r="U1095" i="2" s="1"/>
  <c r="U1125" i="2" s="1"/>
  <c r="U1155" i="2" s="1"/>
  <c r="U1185" i="2" s="1"/>
  <c r="U1215" i="2" s="1"/>
  <c r="U1245" i="2" s="1"/>
  <c r="U1275" i="2" s="1"/>
  <c r="U1305" i="2" s="1"/>
  <c r="U1335" i="2" s="1"/>
  <c r="U1365" i="2" s="1"/>
  <c r="U1395" i="2" s="1"/>
  <c r="U1425" i="2" s="1"/>
  <c r="U1455" i="2" s="1"/>
  <c r="U1485" i="2" s="1"/>
  <c r="U1515" i="2" s="1"/>
  <c r="U1545" i="2" s="1"/>
  <c r="U1575" i="2" s="1"/>
  <c r="U1605" i="2" s="1"/>
  <c r="U1635" i="2" s="1"/>
  <c r="U1665" i="2" s="1"/>
  <c r="U1695" i="2" s="1"/>
  <c r="U1725" i="2" s="1"/>
  <c r="U1755" i="2" s="1"/>
  <c r="U1785" i="2" s="1"/>
  <c r="U1815" i="2" s="1"/>
  <c r="U1845" i="2" s="1"/>
  <c r="U1875" i="2" s="1"/>
  <c r="U1905" i="2" s="1"/>
  <c r="U1935" i="2" s="1"/>
  <c r="U1965" i="2" s="1"/>
  <c r="U1995" i="2" s="1"/>
  <c r="U2025" i="2" s="1"/>
  <c r="U2055" i="2" s="1"/>
  <c r="U2085" i="2" s="1"/>
  <c r="U2115" i="2" s="1"/>
  <c r="U2145" i="2" s="1"/>
  <c r="U2175" i="2" s="1"/>
  <c r="U2205" i="2" s="1"/>
  <c r="U2235" i="2" s="1"/>
  <c r="U2265" i="2" s="1"/>
  <c r="U2295" i="2" s="1"/>
  <c r="U2325" i="2" s="1"/>
  <c r="U2355" i="2" s="1"/>
  <c r="U2385" i="2" s="1"/>
  <c r="V357" i="2"/>
  <c r="V387" i="2" s="1"/>
  <c r="V417" i="2" s="1"/>
  <c r="V447" i="2" s="1"/>
  <c r="V477" i="2" s="1"/>
  <c r="V507" i="2" s="1"/>
  <c r="V537" i="2" s="1"/>
  <c r="V567" i="2" s="1"/>
  <c r="V597" i="2" s="1"/>
  <c r="V627" i="2" s="1"/>
  <c r="V657" i="2" s="1"/>
  <c r="V687" i="2" s="1"/>
  <c r="V717" i="2" s="1"/>
  <c r="V747" i="2" s="1"/>
  <c r="V777" i="2" s="1"/>
  <c r="V807" i="2" s="1"/>
  <c r="V837" i="2" s="1"/>
  <c r="V867" i="2" s="1"/>
  <c r="V897" i="2" s="1"/>
  <c r="V927" i="2" s="1"/>
  <c r="V957" i="2" s="1"/>
  <c r="V987" i="2" s="1"/>
  <c r="V1017" i="2" s="1"/>
  <c r="V1047" i="2" s="1"/>
  <c r="V1077" i="2" s="1"/>
  <c r="V1107" i="2" s="1"/>
  <c r="V1137" i="2" s="1"/>
  <c r="V1167" i="2" s="1"/>
  <c r="V1197" i="2" s="1"/>
  <c r="V1227" i="2" s="1"/>
  <c r="V1257" i="2" s="1"/>
  <c r="V1287" i="2" s="1"/>
  <c r="V1317" i="2" s="1"/>
  <c r="V1347" i="2" s="1"/>
  <c r="V1377" i="2" s="1"/>
  <c r="V1407" i="2" s="1"/>
  <c r="V1437" i="2" s="1"/>
  <c r="V1467" i="2" s="1"/>
  <c r="V1497" i="2" s="1"/>
  <c r="V1527" i="2" s="1"/>
  <c r="V1557" i="2" s="1"/>
  <c r="V1587" i="2" s="1"/>
  <c r="V1617" i="2" s="1"/>
  <c r="V1647" i="2" s="1"/>
  <c r="V1677" i="2" s="1"/>
  <c r="V1707" i="2" s="1"/>
  <c r="V1737" i="2" s="1"/>
  <c r="V1767" i="2" s="1"/>
  <c r="V1797" i="2" s="1"/>
  <c r="V1827" i="2" s="1"/>
  <c r="V1857" i="2" s="1"/>
  <c r="V1887" i="2" s="1"/>
  <c r="V1917" i="2" s="1"/>
  <c r="V1947" i="2" s="1"/>
  <c r="V1977" i="2" s="1"/>
  <c r="V2007" i="2" s="1"/>
  <c r="V2037" i="2" s="1"/>
  <c r="V2067" i="2" s="1"/>
  <c r="V2097" i="2" s="1"/>
  <c r="V2127" i="2" s="1"/>
  <c r="V2157" i="2" s="1"/>
  <c r="V2187" i="2" s="1"/>
  <c r="V2217" i="2" s="1"/>
  <c r="V2247" i="2" s="1"/>
  <c r="V2277" i="2" s="1"/>
  <c r="V2307" i="2" s="1"/>
  <c r="V2337" i="2" s="1"/>
  <c r="V2367" i="2" s="1"/>
  <c r="V2397" i="2" s="1"/>
  <c r="V364" i="2"/>
  <c r="V394" i="2" s="1"/>
  <c r="V424" i="2" s="1"/>
  <c r="V454" i="2" s="1"/>
  <c r="V484" i="2" s="1"/>
  <c r="V514" i="2" s="1"/>
  <c r="V544" i="2" s="1"/>
  <c r="V574" i="2" s="1"/>
  <c r="V604" i="2" s="1"/>
  <c r="V634" i="2" s="1"/>
  <c r="V664" i="2" s="1"/>
  <c r="V694" i="2" s="1"/>
  <c r="V724" i="2" s="1"/>
  <c r="V754" i="2" s="1"/>
  <c r="V784" i="2" s="1"/>
  <c r="V814" i="2" s="1"/>
  <c r="V844" i="2" s="1"/>
  <c r="V874" i="2" s="1"/>
  <c r="V904" i="2" s="1"/>
  <c r="V934" i="2" s="1"/>
  <c r="V964" i="2" s="1"/>
  <c r="V994" i="2" s="1"/>
  <c r="V1024" i="2" s="1"/>
  <c r="V1054" i="2" s="1"/>
  <c r="V1084" i="2" s="1"/>
  <c r="V1114" i="2" s="1"/>
  <c r="V1144" i="2" s="1"/>
  <c r="V1174" i="2" s="1"/>
  <c r="V1204" i="2" s="1"/>
  <c r="V1234" i="2" s="1"/>
  <c r="V1264" i="2" s="1"/>
  <c r="V1294" i="2" s="1"/>
  <c r="V1324" i="2" s="1"/>
  <c r="V1354" i="2" s="1"/>
  <c r="V1384" i="2" s="1"/>
  <c r="V1414" i="2" s="1"/>
  <c r="V1444" i="2" s="1"/>
  <c r="V1474" i="2" s="1"/>
  <c r="V1504" i="2" s="1"/>
  <c r="V1534" i="2" s="1"/>
  <c r="V1564" i="2" s="1"/>
  <c r="V1594" i="2" s="1"/>
  <c r="V1624" i="2" s="1"/>
  <c r="V1654" i="2" s="1"/>
  <c r="V1684" i="2" s="1"/>
  <c r="V1714" i="2" s="1"/>
  <c r="V1744" i="2" s="1"/>
  <c r="V1774" i="2" s="1"/>
  <c r="V1804" i="2" s="1"/>
  <c r="V1834" i="2" s="1"/>
  <c r="V1864" i="2" s="1"/>
  <c r="V1894" i="2" s="1"/>
  <c r="V1924" i="2" s="1"/>
  <c r="V1954" i="2" s="1"/>
  <c r="V1984" i="2" s="1"/>
  <c r="V2014" i="2" s="1"/>
  <c r="V2044" i="2" s="1"/>
  <c r="V2074" i="2" s="1"/>
  <c r="V2104" i="2" s="1"/>
  <c r="V2134" i="2" s="1"/>
  <c r="V2164" i="2" s="1"/>
  <c r="V2194" i="2" s="1"/>
  <c r="V2224" i="2" s="1"/>
  <c r="V2254" i="2" s="1"/>
  <c r="V2284" i="2" s="1"/>
  <c r="V2314" i="2" s="1"/>
  <c r="V2344" i="2" s="1"/>
  <c r="V2374" i="2" s="1"/>
  <c r="U473" i="2"/>
  <c r="U503" i="2" s="1"/>
  <c r="U533" i="2" s="1"/>
  <c r="U563" i="2" s="1"/>
  <c r="U593" i="2" s="1"/>
  <c r="U623" i="2" s="1"/>
  <c r="U653" i="2" s="1"/>
  <c r="U683" i="2" s="1"/>
  <c r="U713" i="2" s="1"/>
  <c r="U743" i="2" s="1"/>
  <c r="U773" i="2" s="1"/>
  <c r="U803" i="2" s="1"/>
  <c r="U833" i="2" s="1"/>
  <c r="U863" i="2" s="1"/>
  <c r="W490" i="2"/>
  <c r="W520" i="2" s="1"/>
  <c r="W550" i="2" s="1"/>
  <c r="W580" i="2" s="1"/>
  <c r="W610" i="2" s="1"/>
  <c r="W640" i="2" s="1"/>
  <c r="W670" i="2" s="1"/>
  <c r="W700" i="2" s="1"/>
  <c r="W730" i="2" s="1"/>
  <c r="W760" i="2" s="1"/>
  <c r="W790" i="2" s="1"/>
  <c r="W820" i="2" s="1"/>
  <c r="W850" i="2" s="1"/>
  <c r="W880" i="2" s="1"/>
  <c r="W910" i="2" s="1"/>
  <c r="W940" i="2" s="1"/>
  <c r="W970" i="2" s="1"/>
  <c r="W1000" i="2" s="1"/>
  <c r="W1030" i="2" s="1"/>
  <c r="W1060" i="2" s="1"/>
  <c r="W1090" i="2" s="1"/>
  <c r="W1120" i="2" s="1"/>
  <c r="W1150" i="2" s="1"/>
  <c r="W1180" i="2" s="1"/>
  <c r="W1210" i="2" s="1"/>
  <c r="W1240" i="2" s="1"/>
  <c r="W1270" i="2" s="1"/>
  <c r="W1300" i="2" s="1"/>
  <c r="W1330" i="2" s="1"/>
  <c r="W1360" i="2" s="1"/>
  <c r="W1390" i="2" s="1"/>
  <c r="W1420" i="2" s="1"/>
  <c r="W1450" i="2" s="1"/>
  <c r="W1480" i="2" s="1"/>
  <c r="W1510" i="2" s="1"/>
  <c r="W1540" i="2" s="1"/>
  <c r="W1570" i="2" s="1"/>
  <c r="W1600" i="2" s="1"/>
  <c r="W1630" i="2" s="1"/>
  <c r="W1660" i="2" s="1"/>
  <c r="W1690" i="2" s="1"/>
  <c r="W1720" i="2" s="1"/>
  <c r="W1750" i="2" s="1"/>
  <c r="W1780" i="2" s="1"/>
  <c r="W1810" i="2" s="1"/>
  <c r="W1840" i="2" s="1"/>
  <c r="W1870" i="2" s="1"/>
  <c r="W1900" i="2" s="1"/>
  <c r="W1930" i="2" s="1"/>
  <c r="W1960" i="2" s="1"/>
  <c r="W1990" i="2" s="1"/>
  <c r="W2020" i="2" s="1"/>
  <c r="W2050" i="2" s="1"/>
  <c r="W2080" i="2" s="1"/>
  <c r="W2110" i="2" s="1"/>
  <c r="W2140" i="2" s="1"/>
  <c r="W2170" i="2" s="1"/>
  <c r="W2200" i="2" s="1"/>
  <c r="W2230" i="2" s="1"/>
  <c r="W2260" i="2" s="1"/>
  <c r="W2290" i="2" s="1"/>
  <c r="W2320" i="2" s="1"/>
  <c r="W2350" i="2" s="1"/>
  <c r="W2380" i="2" s="1"/>
  <c r="W495" i="2"/>
  <c r="W525" i="2" s="1"/>
  <c r="W555" i="2" s="1"/>
  <c r="W585" i="2" s="1"/>
  <c r="W615" i="2" s="1"/>
  <c r="W645" i="2" s="1"/>
  <c r="W675" i="2" s="1"/>
  <c r="W705" i="2" s="1"/>
  <c r="W735" i="2" s="1"/>
  <c r="W765" i="2" s="1"/>
  <c r="W795" i="2" s="1"/>
  <c r="W825" i="2" s="1"/>
  <c r="W855" i="2" s="1"/>
  <c r="W885" i="2" s="1"/>
  <c r="W915" i="2" s="1"/>
  <c r="W945" i="2" s="1"/>
  <c r="W975" i="2" s="1"/>
  <c r="W1005" i="2" s="1"/>
  <c r="W1035" i="2" s="1"/>
  <c r="W1065" i="2" s="1"/>
  <c r="W1095" i="2" s="1"/>
  <c r="W1125" i="2" s="1"/>
  <c r="W1155" i="2" s="1"/>
  <c r="W1185" i="2" s="1"/>
  <c r="W1215" i="2" s="1"/>
  <c r="W1245" i="2" s="1"/>
  <c r="W1275" i="2" s="1"/>
  <c r="W1305" i="2" s="1"/>
  <c r="W1335" i="2" s="1"/>
  <c r="W1365" i="2" s="1"/>
  <c r="W1395" i="2" s="1"/>
  <c r="W1425" i="2" s="1"/>
  <c r="W1455" i="2" s="1"/>
  <c r="W1485" i="2" s="1"/>
  <c r="W1515" i="2" s="1"/>
  <c r="W1545" i="2" s="1"/>
  <c r="W1575" i="2" s="1"/>
  <c r="W1605" i="2" s="1"/>
  <c r="W1635" i="2" s="1"/>
  <c r="W1665" i="2" s="1"/>
  <c r="W1695" i="2" s="1"/>
  <c r="W1725" i="2" s="1"/>
  <c r="W1755" i="2" s="1"/>
  <c r="W1785" i="2" s="1"/>
  <c r="W1815" i="2" s="1"/>
  <c r="W1845" i="2" s="1"/>
  <c r="W1875" i="2" s="1"/>
  <c r="W1905" i="2" s="1"/>
  <c r="W1935" i="2" s="1"/>
  <c r="W1965" i="2" s="1"/>
  <c r="W1995" i="2" s="1"/>
  <c r="W2025" i="2" s="1"/>
  <c r="W2055" i="2" s="1"/>
  <c r="W2085" i="2" s="1"/>
  <c r="W2115" i="2" s="1"/>
  <c r="W2145" i="2" s="1"/>
  <c r="W2175" i="2" s="1"/>
  <c r="W2205" i="2" s="1"/>
  <c r="W2235" i="2" s="1"/>
  <c r="W2265" i="2" s="1"/>
  <c r="W2295" i="2" s="1"/>
  <c r="W2325" i="2" s="1"/>
  <c r="W2355" i="2" s="1"/>
  <c r="W2385" i="2" s="1"/>
  <c r="W502" i="2"/>
  <c r="W532" i="2" s="1"/>
  <c r="W562" i="2" s="1"/>
  <c r="W592" i="2" s="1"/>
  <c r="W622" i="2" s="1"/>
  <c r="W652" i="2" s="1"/>
  <c r="W682" i="2" s="1"/>
  <c r="W712" i="2" s="1"/>
  <c r="W742" i="2" s="1"/>
  <c r="W772" i="2" s="1"/>
  <c r="W802" i="2" s="1"/>
  <c r="W832" i="2" s="1"/>
  <c r="W862" i="2" s="1"/>
  <c r="W892" i="2" s="1"/>
  <c r="W922" i="2" s="1"/>
  <c r="W952" i="2" s="1"/>
  <c r="W982" i="2" s="1"/>
  <c r="W1012" i="2" s="1"/>
  <c r="W1042" i="2" s="1"/>
  <c r="W1072" i="2" s="1"/>
  <c r="W1102" i="2" s="1"/>
  <c r="W1132" i="2" s="1"/>
  <c r="W1162" i="2" s="1"/>
  <c r="W1192" i="2" s="1"/>
  <c r="W1222" i="2" s="1"/>
  <c r="W1252" i="2" s="1"/>
  <c r="W1282" i="2" s="1"/>
  <c r="W1312" i="2" s="1"/>
  <c r="W1342" i="2" s="1"/>
  <c r="W1372" i="2" s="1"/>
  <c r="W1402" i="2" s="1"/>
  <c r="W1432" i="2" s="1"/>
  <c r="W1462" i="2" s="1"/>
  <c r="W1492" i="2" s="1"/>
  <c r="W1522" i="2" s="1"/>
  <c r="W1552" i="2" s="1"/>
  <c r="W1582" i="2" s="1"/>
  <c r="W1612" i="2" s="1"/>
  <c r="W1642" i="2" s="1"/>
  <c r="W1672" i="2" s="1"/>
  <c r="W1702" i="2" s="1"/>
  <c r="W1732" i="2" s="1"/>
  <c r="W1762" i="2" s="1"/>
  <c r="W1792" i="2" s="1"/>
  <c r="W1822" i="2" s="1"/>
  <c r="W1852" i="2" s="1"/>
  <c r="W1882" i="2" s="1"/>
  <c r="W1912" i="2" s="1"/>
  <c r="W1942" i="2" s="1"/>
  <c r="W1972" i="2" s="1"/>
  <c r="W2002" i="2" s="1"/>
  <c r="W2032" i="2" s="1"/>
  <c r="W2062" i="2" s="1"/>
  <c r="W2092" i="2" s="1"/>
  <c r="W2122" i="2" s="1"/>
  <c r="W2152" i="2" s="1"/>
  <c r="W2182" i="2" s="1"/>
  <c r="W2212" i="2" s="1"/>
  <c r="W2242" i="2" s="1"/>
  <c r="W2272" i="2" s="1"/>
  <c r="W2302" i="2" s="1"/>
  <c r="W2332" i="2" s="1"/>
  <c r="W2362" i="2" s="1"/>
  <c r="W2392" i="2" s="1"/>
  <c r="U508" i="2"/>
  <c r="U538" i="2" s="1"/>
  <c r="U568" i="2" s="1"/>
  <c r="U598" i="2" s="1"/>
  <c r="U628" i="2" s="1"/>
  <c r="U517" i="2"/>
  <c r="U547" i="2" s="1"/>
  <c r="U577" i="2" s="1"/>
  <c r="U607" i="2" s="1"/>
  <c r="U637" i="2" s="1"/>
  <c r="U667" i="2" s="1"/>
  <c r="U697" i="2" s="1"/>
  <c r="U727" i="2" s="1"/>
  <c r="U757" i="2" s="1"/>
  <c r="U787" i="2" s="1"/>
  <c r="U817" i="2" s="1"/>
  <c r="U847" i="2" s="1"/>
  <c r="U877" i="2" s="1"/>
  <c r="U907" i="2" s="1"/>
  <c r="U937" i="2" s="1"/>
  <c r="U967" i="2" s="1"/>
  <c r="U997" i="2" s="1"/>
  <c r="U1027" i="2" s="1"/>
  <c r="U1057" i="2" s="1"/>
  <c r="U1087" i="2" s="1"/>
  <c r="U1117" i="2" s="1"/>
  <c r="U1147" i="2" s="1"/>
  <c r="U1177" i="2" s="1"/>
  <c r="U1207" i="2" s="1"/>
  <c r="U1237" i="2" s="1"/>
  <c r="U1267" i="2" s="1"/>
  <c r="U1297" i="2" s="1"/>
  <c r="U1327" i="2" s="1"/>
  <c r="U1357" i="2" s="1"/>
  <c r="U1387" i="2" s="1"/>
  <c r="U1417" i="2" s="1"/>
  <c r="U1447" i="2" s="1"/>
  <c r="U524" i="2"/>
  <c r="U554" i="2" s="1"/>
  <c r="U584" i="2" s="1"/>
  <c r="U614" i="2" s="1"/>
  <c r="U644" i="2" s="1"/>
  <c r="U674" i="2" s="1"/>
  <c r="U704" i="2" s="1"/>
  <c r="U734" i="2" s="1"/>
  <c r="U764" i="2" s="1"/>
  <c r="U794" i="2" s="1"/>
  <c r="U824" i="2" s="1"/>
  <c r="U854" i="2" s="1"/>
  <c r="U884" i="2" s="1"/>
  <c r="U914" i="2" s="1"/>
  <c r="U944" i="2" s="1"/>
  <c r="U974" i="2" s="1"/>
  <c r="U1004" i="2" s="1"/>
  <c r="U1034" i="2" s="1"/>
  <c r="U1064" i="2" s="1"/>
  <c r="U1094" i="2" s="1"/>
  <c r="U1124" i="2" s="1"/>
  <c r="U1154" i="2" s="1"/>
  <c r="U1184" i="2" s="1"/>
  <c r="U1214" i="2" s="1"/>
  <c r="U1244" i="2" s="1"/>
  <c r="U1274" i="2" s="1"/>
  <c r="U1304" i="2" s="1"/>
  <c r="U1334" i="2" s="1"/>
  <c r="U1364" i="2" s="1"/>
  <c r="U1394" i="2" s="1"/>
  <c r="U1424" i="2" s="1"/>
  <c r="U1454" i="2" s="1"/>
  <c r="U1484" i="2" s="1"/>
  <c r="U1514" i="2" s="1"/>
  <c r="U1544" i="2" s="1"/>
  <c r="U1574" i="2" s="1"/>
  <c r="U1604" i="2" s="1"/>
  <c r="U1634" i="2" s="1"/>
  <c r="U1664" i="2" s="1"/>
  <c r="U1694" i="2" s="1"/>
  <c r="U1724" i="2" s="1"/>
  <c r="U1754" i="2" s="1"/>
  <c r="U1784" i="2" s="1"/>
  <c r="U1814" i="2" s="1"/>
  <c r="U1844" i="2" s="1"/>
  <c r="U1874" i="2" s="1"/>
  <c r="U1904" i="2" s="1"/>
  <c r="U1934" i="2" s="1"/>
  <c r="U1964" i="2" s="1"/>
  <c r="U1994" i="2" s="1"/>
  <c r="U2024" i="2" s="1"/>
  <c r="U2054" i="2" s="1"/>
  <c r="U2084" i="2" s="1"/>
  <c r="U2114" i="2" s="1"/>
  <c r="U2144" i="2" s="1"/>
  <c r="U2174" i="2" s="1"/>
  <c r="U2204" i="2" s="1"/>
  <c r="U2234" i="2" s="1"/>
  <c r="U2264" i="2" s="1"/>
  <c r="U2294" i="2" s="1"/>
  <c r="U2324" i="2" s="1"/>
  <c r="U2354" i="2" s="1"/>
  <c r="U2384" i="2" s="1"/>
  <c r="W546" i="2"/>
  <c r="W576" i="2" s="1"/>
  <c r="W606" i="2" s="1"/>
  <c r="W636" i="2" s="1"/>
  <c r="W666" i="2" s="1"/>
  <c r="W696" i="2" s="1"/>
  <c r="W726" i="2" s="1"/>
  <c r="W756" i="2" s="1"/>
  <c r="W786" i="2" s="1"/>
  <c r="W816" i="2" s="1"/>
  <c r="W846" i="2" s="1"/>
  <c r="W876" i="2" s="1"/>
  <c r="W906" i="2" s="1"/>
  <c r="W936" i="2" s="1"/>
  <c r="W966" i="2" s="1"/>
  <c r="W996" i="2" s="1"/>
  <c r="W1026" i="2" s="1"/>
  <c r="W1056" i="2" s="1"/>
  <c r="W1086" i="2" s="1"/>
  <c r="W1116" i="2" s="1"/>
  <c r="W1146" i="2" s="1"/>
  <c r="W1176" i="2" s="1"/>
  <c r="W1206" i="2" s="1"/>
  <c r="W1236" i="2" s="1"/>
  <c r="W1266" i="2" s="1"/>
  <c r="W1296" i="2" s="1"/>
  <c r="W1326" i="2" s="1"/>
  <c r="W1356" i="2" s="1"/>
  <c r="W1386" i="2" s="1"/>
  <c r="W1416" i="2" s="1"/>
  <c r="W1446" i="2" s="1"/>
  <c r="W1476" i="2" s="1"/>
  <c r="W1506" i="2" s="1"/>
  <c r="W1536" i="2" s="1"/>
  <c r="W1566" i="2" s="1"/>
  <c r="W1596" i="2" s="1"/>
  <c r="W1626" i="2" s="1"/>
  <c r="W1656" i="2" s="1"/>
  <c r="W1686" i="2" s="1"/>
  <c r="W1716" i="2" s="1"/>
  <c r="W1746" i="2" s="1"/>
  <c r="W1776" i="2" s="1"/>
  <c r="W1806" i="2" s="1"/>
  <c r="W1836" i="2" s="1"/>
  <c r="W1866" i="2" s="1"/>
  <c r="W1896" i="2" s="1"/>
  <c r="W1926" i="2" s="1"/>
  <c r="W1956" i="2" s="1"/>
  <c r="W1986" i="2" s="1"/>
  <c r="W2016" i="2" s="1"/>
  <c r="W2046" i="2" s="1"/>
  <c r="W2076" i="2" s="1"/>
  <c r="W2106" i="2" s="1"/>
  <c r="W2136" i="2" s="1"/>
  <c r="W2166" i="2" s="1"/>
  <c r="W2196" i="2" s="1"/>
  <c r="W2226" i="2" s="1"/>
  <c r="W2256" i="2" s="1"/>
  <c r="W2286" i="2" s="1"/>
  <c r="W2316" i="2" s="1"/>
  <c r="W2346" i="2" s="1"/>
  <c r="W2376" i="2" s="1"/>
  <c r="W547" i="2"/>
  <c r="W577" i="2" s="1"/>
  <c r="W607" i="2" s="1"/>
  <c r="W637" i="2" s="1"/>
  <c r="W667" i="2" s="1"/>
  <c r="W697" i="2" s="1"/>
  <c r="W727" i="2" s="1"/>
  <c r="W757" i="2" s="1"/>
  <c r="W787" i="2" s="1"/>
  <c r="W817" i="2" s="1"/>
  <c r="W847" i="2" s="1"/>
  <c r="W877" i="2" s="1"/>
  <c r="W907" i="2" s="1"/>
  <c r="W937" i="2" s="1"/>
  <c r="W967" i="2" s="1"/>
  <c r="W997" i="2" s="1"/>
  <c r="W1027" i="2" s="1"/>
  <c r="W1057" i="2" s="1"/>
  <c r="W1087" i="2" s="1"/>
  <c r="W1117" i="2" s="1"/>
  <c r="W1147" i="2" s="1"/>
  <c r="W1177" i="2" s="1"/>
  <c r="W1207" i="2" s="1"/>
  <c r="W1237" i="2" s="1"/>
  <c r="W1267" i="2" s="1"/>
  <c r="W1297" i="2" s="1"/>
  <c r="W1327" i="2" s="1"/>
  <c r="W1357" i="2" s="1"/>
  <c r="W1387" i="2" s="1"/>
  <c r="W1417" i="2" s="1"/>
  <c r="W1447" i="2" s="1"/>
  <c r="W1477" i="2" s="1"/>
  <c r="W1507" i="2" s="1"/>
  <c r="W1537" i="2" s="1"/>
  <c r="W1567" i="2" s="1"/>
  <c r="W1597" i="2" s="1"/>
  <c r="W1627" i="2" s="1"/>
  <c r="W1657" i="2" s="1"/>
  <c r="W1687" i="2" s="1"/>
  <c r="W1717" i="2" s="1"/>
  <c r="W1747" i="2" s="1"/>
  <c r="W1777" i="2" s="1"/>
  <c r="W1807" i="2" s="1"/>
  <c r="W1837" i="2" s="1"/>
  <c r="W1867" i="2" s="1"/>
  <c r="W1897" i="2" s="1"/>
  <c r="W1927" i="2" s="1"/>
  <c r="W1957" i="2" s="1"/>
  <c r="W1987" i="2" s="1"/>
  <c r="W2017" i="2" s="1"/>
  <c r="W2047" i="2" s="1"/>
  <c r="W2077" i="2" s="1"/>
  <c r="W2107" i="2" s="1"/>
  <c r="W2137" i="2" s="1"/>
  <c r="W2167" i="2" s="1"/>
  <c r="W2197" i="2" s="1"/>
  <c r="W2227" i="2" s="1"/>
  <c r="W2257" i="2" s="1"/>
  <c r="W2287" i="2" s="1"/>
  <c r="W2317" i="2" s="1"/>
  <c r="W2347" i="2" s="1"/>
  <c r="W2377" i="2" s="1"/>
  <c r="W611" i="2"/>
  <c r="W641" i="2" s="1"/>
  <c r="W671" i="2" s="1"/>
  <c r="W701" i="2" s="1"/>
  <c r="W731" i="2" s="1"/>
  <c r="W761" i="2" s="1"/>
  <c r="W791" i="2" s="1"/>
  <c r="W821" i="2" s="1"/>
  <c r="W851" i="2" s="1"/>
  <c r="W881" i="2" s="1"/>
  <c r="W911" i="2" s="1"/>
  <c r="W941" i="2" s="1"/>
  <c r="W971" i="2" s="1"/>
  <c r="W1001" i="2" s="1"/>
  <c r="W1031" i="2" s="1"/>
  <c r="W1061" i="2" s="1"/>
  <c r="W1091" i="2" s="1"/>
  <c r="W1121" i="2" s="1"/>
  <c r="W1151" i="2" s="1"/>
  <c r="W1181" i="2" s="1"/>
  <c r="W1211" i="2" s="1"/>
  <c r="W1241" i="2" s="1"/>
  <c r="W1271" i="2" s="1"/>
  <c r="W1301" i="2" s="1"/>
  <c r="W1331" i="2" s="1"/>
  <c r="W1361" i="2" s="1"/>
  <c r="W1391" i="2" s="1"/>
  <c r="W1421" i="2" s="1"/>
  <c r="W1451" i="2" s="1"/>
  <c r="W1481" i="2" s="1"/>
  <c r="W1511" i="2" s="1"/>
  <c r="W1541" i="2" s="1"/>
  <c r="W1571" i="2" s="1"/>
  <c r="W1601" i="2" s="1"/>
  <c r="W1631" i="2" s="1"/>
  <c r="W1661" i="2" s="1"/>
  <c r="W1691" i="2" s="1"/>
  <c r="W1721" i="2" s="1"/>
  <c r="W1751" i="2" s="1"/>
  <c r="W1781" i="2" s="1"/>
  <c r="W1811" i="2" s="1"/>
  <c r="W1841" i="2" s="1"/>
  <c r="W1871" i="2" s="1"/>
  <c r="W1901" i="2" s="1"/>
  <c r="W1931" i="2" s="1"/>
  <c r="W1961" i="2" s="1"/>
  <c r="W1991" i="2" s="1"/>
  <c r="W2021" i="2" s="1"/>
  <c r="W2051" i="2" s="1"/>
  <c r="W2081" i="2" s="1"/>
  <c r="W2111" i="2" s="1"/>
  <c r="W2141" i="2" s="1"/>
  <c r="W2171" i="2" s="1"/>
  <c r="W2201" i="2" s="1"/>
  <c r="W2231" i="2" s="1"/>
  <c r="W2261" i="2" s="1"/>
  <c r="W2291" i="2" s="1"/>
  <c r="W2321" i="2" s="1"/>
  <c r="W2351" i="2" s="1"/>
  <c r="W2381" i="2" s="1"/>
  <c r="U633" i="2"/>
  <c r="U663" i="2" s="1"/>
  <c r="U693" i="2" s="1"/>
  <c r="U723" i="2" s="1"/>
  <c r="U753" i="2" s="1"/>
  <c r="U783" i="2" s="1"/>
  <c r="U813" i="2" s="1"/>
  <c r="U843" i="2" s="1"/>
  <c r="U873" i="2" s="1"/>
  <c r="U903" i="2" s="1"/>
  <c r="U933" i="2" s="1"/>
  <c r="U963" i="2" s="1"/>
  <c r="U993" i="2" s="1"/>
  <c r="U1023" i="2" s="1"/>
  <c r="U1053" i="2" s="1"/>
  <c r="U1083" i="2" s="1"/>
  <c r="U1113" i="2" s="1"/>
  <c r="U1143" i="2" s="1"/>
  <c r="U1173" i="2" s="1"/>
  <c r="U1203" i="2" s="1"/>
  <c r="U1233" i="2" s="1"/>
  <c r="U1263" i="2" s="1"/>
  <c r="U1293" i="2" s="1"/>
  <c r="U1323" i="2" s="1"/>
  <c r="U1353" i="2" s="1"/>
  <c r="U1383" i="2" s="1"/>
  <c r="U1413" i="2" s="1"/>
  <c r="U1443" i="2" s="1"/>
  <c r="U1473" i="2" s="1"/>
  <c r="U1503" i="2" s="1"/>
  <c r="U1533" i="2" s="1"/>
  <c r="U1563" i="2" s="1"/>
  <c r="U1593" i="2" s="1"/>
  <c r="U1623" i="2" s="1"/>
  <c r="U1653" i="2" s="1"/>
  <c r="U1683" i="2" s="1"/>
  <c r="U1713" i="2" s="1"/>
  <c r="U1743" i="2" s="1"/>
  <c r="U1773" i="2" s="1"/>
  <c r="U1803" i="2" s="1"/>
  <c r="U1833" i="2" s="1"/>
  <c r="U1863" i="2" s="1"/>
  <c r="U1893" i="2" s="1"/>
  <c r="U1923" i="2" s="1"/>
  <c r="U1953" i="2" s="1"/>
  <c r="U1983" i="2" s="1"/>
  <c r="U2013" i="2" s="1"/>
  <c r="U2043" i="2" s="1"/>
  <c r="U2073" i="2" s="1"/>
  <c r="U2103" i="2" s="1"/>
  <c r="U2133" i="2" s="1"/>
  <c r="U2163" i="2" s="1"/>
  <c r="U2193" i="2" s="1"/>
  <c r="U2223" i="2" s="1"/>
  <c r="U2253" i="2" s="1"/>
  <c r="U2283" i="2" s="1"/>
  <c r="U2313" i="2" s="1"/>
  <c r="U2343" i="2" s="1"/>
  <c r="U2373" i="2" s="1"/>
  <c r="U658" i="2"/>
  <c r="U688" i="2" s="1"/>
  <c r="U718" i="2" s="1"/>
  <c r="U748" i="2" s="1"/>
  <c r="U778" i="2" s="1"/>
  <c r="U808" i="2" s="1"/>
  <c r="U838" i="2" s="1"/>
  <c r="U868" i="2" s="1"/>
  <c r="U898" i="2" s="1"/>
  <c r="U928" i="2" s="1"/>
  <c r="U958" i="2" s="1"/>
  <c r="U988" i="2" s="1"/>
  <c r="U1018" i="2" s="1"/>
  <c r="U1048" i="2" s="1"/>
  <c r="U1078" i="2" s="1"/>
  <c r="U1108" i="2" s="1"/>
  <c r="U1138" i="2" s="1"/>
  <c r="U1168" i="2" s="1"/>
  <c r="U1198" i="2" s="1"/>
  <c r="U1228" i="2" s="1"/>
  <c r="U1258" i="2" s="1"/>
  <c r="U1288" i="2" s="1"/>
  <c r="U1318" i="2" s="1"/>
  <c r="U1348" i="2" s="1"/>
  <c r="U1378" i="2" s="1"/>
  <c r="U1408" i="2" s="1"/>
  <c r="U1438" i="2" s="1"/>
  <c r="U1468" i="2" s="1"/>
  <c r="U1498" i="2" s="1"/>
  <c r="U1528" i="2" s="1"/>
  <c r="U1558" i="2" s="1"/>
  <c r="U1588" i="2" s="1"/>
  <c r="U1618" i="2" s="1"/>
  <c r="U1648" i="2" s="1"/>
  <c r="U1678" i="2" s="1"/>
  <c r="U1708" i="2" s="1"/>
  <c r="U1738" i="2" s="1"/>
  <c r="U1768" i="2" s="1"/>
  <c r="U1798" i="2" s="1"/>
  <c r="U1828" i="2" s="1"/>
  <c r="U1858" i="2" s="1"/>
  <c r="U1888" i="2" s="1"/>
  <c r="U1918" i="2" s="1"/>
  <c r="U1948" i="2" s="1"/>
  <c r="U1978" i="2" s="1"/>
  <c r="U2008" i="2" s="1"/>
  <c r="U2038" i="2" s="1"/>
  <c r="U2068" i="2" s="1"/>
  <c r="U2098" i="2" s="1"/>
  <c r="U2128" i="2" s="1"/>
  <c r="U2158" i="2" s="1"/>
  <c r="U2188" i="2" s="1"/>
  <c r="U2218" i="2" s="1"/>
  <c r="U2248" i="2" s="1"/>
  <c r="U2278" i="2" s="1"/>
  <c r="U2308" i="2" s="1"/>
  <c r="U2338" i="2" s="1"/>
  <c r="U2368" i="2" s="1"/>
  <c r="U2398" i="2" s="1"/>
  <c r="V786" i="2"/>
  <c r="V816" i="2" s="1"/>
  <c r="V846" i="2" s="1"/>
  <c r="V876" i="2" s="1"/>
  <c r="V906" i="2" s="1"/>
  <c r="V936" i="2" s="1"/>
  <c r="V966" i="2" s="1"/>
  <c r="V996" i="2" s="1"/>
  <c r="V1026" i="2" s="1"/>
  <c r="V1056" i="2" s="1"/>
  <c r="V1086" i="2" s="1"/>
  <c r="V1116" i="2" s="1"/>
  <c r="V1146" i="2" s="1"/>
  <c r="V1176" i="2" s="1"/>
  <c r="V1206" i="2" s="1"/>
  <c r="V1236" i="2" s="1"/>
  <c r="V1266" i="2" s="1"/>
  <c r="V1296" i="2" s="1"/>
  <c r="V1326" i="2" s="1"/>
  <c r="V1356" i="2" s="1"/>
  <c r="V1386" i="2" s="1"/>
  <c r="V1416" i="2" s="1"/>
  <c r="V1446" i="2" s="1"/>
  <c r="V1476" i="2" s="1"/>
  <c r="V1506" i="2" s="1"/>
  <c r="V1536" i="2" s="1"/>
  <c r="V1566" i="2" s="1"/>
  <c r="V1596" i="2" s="1"/>
  <c r="V1626" i="2" s="1"/>
  <c r="V1656" i="2" s="1"/>
  <c r="V1686" i="2" s="1"/>
  <c r="V1716" i="2" s="1"/>
  <c r="V1746" i="2" s="1"/>
  <c r="V1776" i="2" s="1"/>
  <c r="V1806" i="2" s="1"/>
  <c r="V1836" i="2" s="1"/>
  <c r="V1866" i="2" s="1"/>
  <c r="V1896" i="2" s="1"/>
  <c r="V1926" i="2" s="1"/>
  <c r="V1956" i="2" s="1"/>
  <c r="V1986" i="2" s="1"/>
  <c r="V2016" i="2" s="1"/>
  <c r="V2046" i="2" s="1"/>
  <c r="V2076" i="2" s="1"/>
  <c r="V2106" i="2" s="1"/>
  <c r="V2136" i="2" s="1"/>
  <c r="V2166" i="2" s="1"/>
  <c r="V2196" i="2" s="1"/>
  <c r="V2226" i="2" s="1"/>
  <c r="V2256" i="2" s="1"/>
  <c r="V2286" i="2" s="1"/>
  <c r="V2316" i="2" s="1"/>
  <c r="V2346" i="2" s="1"/>
  <c r="V2376" i="2" s="1"/>
  <c r="U881" i="2"/>
  <c r="U911" i="2" s="1"/>
  <c r="U941" i="2" s="1"/>
  <c r="U971" i="2" s="1"/>
  <c r="U1001" i="2" s="1"/>
  <c r="U1031" i="2" s="1"/>
  <c r="U1061" i="2" s="1"/>
  <c r="U1091" i="2" s="1"/>
  <c r="U1121" i="2" s="1"/>
  <c r="U1151" i="2" s="1"/>
  <c r="U1181" i="2" s="1"/>
  <c r="U1211" i="2" s="1"/>
  <c r="U1241" i="2" s="1"/>
  <c r="U1271" i="2" s="1"/>
  <c r="U1301" i="2" s="1"/>
  <c r="U1331" i="2" s="1"/>
  <c r="U1361" i="2" s="1"/>
  <c r="U1391" i="2" s="1"/>
  <c r="U1421" i="2" s="1"/>
  <c r="U1451" i="2" s="1"/>
  <c r="U1481" i="2" s="1"/>
  <c r="U1511" i="2" s="1"/>
  <c r="U1541" i="2" s="1"/>
  <c r="U1571" i="2" s="1"/>
  <c r="U1601" i="2" s="1"/>
  <c r="U1631" i="2" s="1"/>
  <c r="U1661" i="2" s="1"/>
  <c r="U1691" i="2" s="1"/>
  <c r="U1721" i="2" s="1"/>
  <c r="U1751" i="2" s="1"/>
  <c r="U1781" i="2" s="1"/>
  <c r="U1811" i="2" s="1"/>
  <c r="U1841" i="2" s="1"/>
  <c r="U1871" i="2" s="1"/>
  <c r="U1901" i="2" s="1"/>
  <c r="U1931" i="2" s="1"/>
  <c r="U1961" i="2" s="1"/>
  <c r="U1991" i="2" s="1"/>
  <c r="U2021" i="2" s="1"/>
  <c r="U2051" i="2" s="1"/>
  <c r="U2081" i="2" s="1"/>
  <c r="U2111" i="2" s="1"/>
  <c r="U2141" i="2" s="1"/>
  <c r="U2171" i="2" s="1"/>
  <c r="U2201" i="2" s="1"/>
  <c r="U2231" i="2" s="1"/>
  <c r="U2261" i="2" s="1"/>
  <c r="U2291" i="2" s="1"/>
  <c r="U2321" i="2" s="1"/>
  <c r="U2351" i="2" s="1"/>
  <c r="U2381" i="2" s="1"/>
  <c r="U893" i="2"/>
  <c r="U923" i="2" s="1"/>
  <c r="U953" i="2" s="1"/>
  <c r="U983" i="2" s="1"/>
  <c r="U1013" i="2" s="1"/>
  <c r="U1043" i="2" s="1"/>
  <c r="U1073" i="2" s="1"/>
  <c r="U1103" i="2" s="1"/>
  <c r="U1133" i="2" s="1"/>
  <c r="U1163" i="2" s="1"/>
  <c r="U1193" i="2" s="1"/>
  <c r="U1223" i="2" s="1"/>
  <c r="U1253" i="2" s="1"/>
  <c r="U1283" i="2" s="1"/>
  <c r="U1313" i="2" s="1"/>
  <c r="U1343" i="2" s="1"/>
  <c r="U1373" i="2" s="1"/>
  <c r="U1403" i="2" s="1"/>
  <c r="U1433" i="2" s="1"/>
  <c r="U1463" i="2" s="1"/>
  <c r="U1493" i="2" s="1"/>
  <c r="U1523" i="2" s="1"/>
  <c r="U1553" i="2" s="1"/>
  <c r="U1583" i="2" s="1"/>
  <c r="U1613" i="2" s="1"/>
  <c r="U1643" i="2" s="1"/>
  <c r="U1673" i="2" s="1"/>
  <c r="U1703" i="2" s="1"/>
  <c r="U1733" i="2" s="1"/>
  <c r="U1763" i="2" s="1"/>
  <c r="U1793" i="2" s="1"/>
  <c r="U1823" i="2" s="1"/>
  <c r="U1853" i="2" s="1"/>
  <c r="U1883" i="2" s="1"/>
  <c r="U1913" i="2" s="1"/>
  <c r="U1943" i="2" s="1"/>
  <c r="U1973" i="2" s="1"/>
  <c r="U2003" i="2" s="1"/>
  <c r="U2033" i="2" s="1"/>
  <c r="U2063" i="2" s="1"/>
  <c r="U2093" i="2" s="1"/>
  <c r="U2123" i="2" s="1"/>
  <c r="U2153" i="2" s="1"/>
  <c r="U2183" i="2" s="1"/>
  <c r="W1314" i="2"/>
  <c r="W1344" i="2" s="1"/>
  <c r="W1374" i="2" s="1"/>
  <c r="W1404" i="2" s="1"/>
  <c r="W1434" i="2" s="1"/>
  <c r="W1464" i="2" s="1"/>
  <c r="W1494" i="2" s="1"/>
  <c r="W1524" i="2" s="1"/>
  <c r="W1554" i="2" s="1"/>
  <c r="W1584" i="2" s="1"/>
  <c r="W1614" i="2" s="1"/>
  <c r="W1644" i="2" s="1"/>
  <c r="W1674" i="2" s="1"/>
  <c r="W1704" i="2" s="1"/>
  <c r="W1734" i="2" s="1"/>
  <c r="W1764" i="2" s="1"/>
  <c r="W1794" i="2" s="1"/>
  <c r="W1824" i="2" s="1"/>
  <c r="W1854" i="2" s="1"/>
  <c r="W1884" i="2" s="1"/>
  <c r="W1914" i="2" s="1"/>
  <c r="W1944" i="2" s="1"/>
  <c r="W1974" i="2" s="1"/>
  <c r="W2004" i="2" s="1"/>
  <c r="W2034" i="2" s="1"/>
  <c r="W2064" i="2" s="1"/>
  <c r="W2094" i="2" s="1"/>
  <c r="W2124" i="2" s="1"/>
  <c r="W2154" i="2" s="1"/>
  <c r="W2184" i="2" s="1"/>
  <c r="W2214" i="2" s="1"/>
  <c r="W2244" i="2" s="1"/>
  <c r="W2274" i="2" s="1"/>
  <c r="W2304" i="2" s="1"/>
  <c r="W2334" i="2" s="1"/>
  <c r="W2364" i="2" s="1"/>
  <c r="W2394" i="2" s="1"/>
  <c r="W1407" i="2"/>
  <c r="W1437" i="2" s="1"/>
  <c r="W1467" i="2" s="1"/>
  <c r="W1497" i="2" s="1"/>
  <c r="W1527" i="2" s="1"/>
  <c r="W1557" i="2" s="1"/>
  <c r="W1587" i="2" s="1"/>
  <c r="W1617" i="2" s="1"/>
  <c r="W1647" i="2" s="1"/>
  <c r="W1677" i="2" s="1"/>
  <c r="W1707" i="2" s="1"/>
  <c r="W1737" i="2" s="1"/>
  <c r="W1767" i="2" s="1"/>
  <c r="W1797" i="2" s="1"/>
  <c r="W1827" i="2" s="1"/>
  <c r="W1857" i="2" s="1"/>
  <c r="W1887" i="2" s="1"/>
  <c r="W1917" i="2" s="1"/>
  <c r="W1947" i="2" s="1"/>
  <c r="W1977" i="2" s="1"/>
  <c r="W2007" i="2" s="1"/>
  <c r="W2037" i="2" s="1"/>
  <c r="W2067" i="2" s="1"/>
  <c r="W2097" i="2" s="1"/>
  <c r="W2127" i="2" s="1"/>
  <c r="W2157" i="2" s="1"/>
  <c r="W2187" i="2" s="1"/>
  <c r="W2217" i="2" s="1"/>
  <c r="W2247" i="2" s="1"/>
  <c r="W2277" i="2" s="1"/>
  <c r="W2307" i="2" s="1"/>
  <c r="W2337" i="2" s="1"/>
  <c r="W2367" i="2" s="1"/>
  <c r="W2397" i="2" s="1"/>
  <c r="U1477" i="2"/>
  <c r="U1507" i="2" s="1"/>
  <c r="U1537" i="2" s="1"/>
  <c r="U1567" i="2" s="1"/>
  <c r="U1597" i="2" s="1"/>
  <c r="U1627" i="2" s="1"/>
  <c r="U1657" i="2" s="1"/>
  <c r="U1687" i="2" s="1"/>
  <c r="U1717" i="2" s="1"/>
  <c r="U1747" i="2" s="1"/>
  <c r="U1777" i="2" s="1"/>
  <c r="U1807" i="2" s="1"/>
  <c r="U1837" i="2" s="1"/>
  <c r="U1867" i="2" s="1"/>
  <c r="U1897" i="2" s="1"/>
  <c r="U1927" i="2" s="1"/>
  <c r="U1957" i="2" s="1"/>
  <c r="U1987" i="2" s="1"/>
  <c r="U2017" i="2" s="1"/>
  <c r="U2047" i="2" s="1"/>
  <c r="U2077" i="2" s="1"/>
  <c r="U2107" i="2" s="1"/>
  <c r="U2137" i="2" s="1"/>
  <c r="U2167" i="2" s="1"/>
  <c r="U2197" i="2" s="1"/>
  <c r="U2227" i="2" s="1"/>
  <c r="U2257" i="2" s="1"/>
  <c r="U2287" i="2" s="1"/>
  <c r="U2317" i="2" s="1"/>
  <c r="U2347" i="2" s="1"/>
  <c r="U2377" i="2" s="1"/>
  <c r="V1849" i="2"/>
  <c r="V1879" i="2" s="1"/>
  <c r="V1909" i="2" s="1"/>
  <c r="V1939" i="2" s="1"/>
  <c r="V1969" i="2" s="1"/>
  <c r="V1999" i="2" s="1"/>
  <c r="V2029" i="2" s="1"/>
  <c r="V2059" i="2" s="1"/>
  <c r="V2089" i="2" s="1"/>
  <c r="V2119" i="2" s="1"/>
  <c r="V2149" i="2" s="1"/>
  <c r="V2179" i="2" s="1"/>
  <c r="V2209" i="2" s="1"/>
  <c r="V2239" i="2" s="1"/>
  <c r="V2269" i="2" s="1"/>
  <c r="V2299" i="2" s="1"/>
  <c r="V2329" i="2" s="1"/>
  <c r="V2359" i="2" s="1"/>
  <c r="V2389" i="2" s="1"/>
  <c r="V1949" i="2"/>
  <c r="V1979" i="2" s="1"/>
  <c r="V2009" i="2" s="1"/>
  <c r="V2039" i="2" s="1"/>
  <c r="V2069" i="2" s="1"/>
  <c r="V2099" i="2" s="1"/>
  <c r="V2129" i="2" s="1"/>
  <c r="V2159" i="2" s="1"/>
  <c r="V2189" i="2" s="1"/>
  <c r="V2219" i="2" s="1"/>
  <c r="V2249" i="2" s="1"/>
  <c r="V2279" i="2" s="1"/>
  <c r="V2309" i="2" s="1"/>
  <c r="V2339" i="2" s="1"/>
  <c r="V2369" i="2" s="1"/>
  <c r="V2399" i="2" s="1"/>
  <c r="U2213" i="2"/>
  <c r="U2243" i="2" s="1"/>
  <c r="U2273" i="2" s="1"/>
  <c r="U2303" i="2" s="1"/>
  <c r="U2333" i="2" s="1"/>
  <c r="U2363" i="2" s="1"/>
  <c r="U2393" i="2" s="1"/>
  <c r="V2289" i="2"/>
  <c r="V2319" i="2" s="1"/>
  <c r="V2349" i="2" s="1"/>
  <c r="V2379" i="2" s="1"/>
  <c r="V2296" i="2"/>
  <c r="V2326" i="2" s="1"/>
  <c r="V2356" i="2" s="1"/>
  <c r="V2386" i="2" s="1"/>
  <c r="V32" i="2"/>
  <c r="V62" i="2" s="1"/>
  <c r="V92" i="2" s="1"/>
  <c r="V122" i="2" s="1"/>
  <c r="V152" i="2" s="1"/>
  <c r="V182" i="2" s="1"/>
  <c r="V212" i="2" s="1"/>
  <c r="V242" i="2" s="1"/>
  <c r="V272" i="2" s="1"/>
  <c r="V302" i="2" s="1"/>
  <c r="V332" i="2" s="1"/>
  <c r="V362" i="2" s="1"/>
  <c r="V392" i="2" s="1"/>
  <c r="V422" i="2" s="1"/>
  <c r="V452" i="2" s="1"/>
  <c r="V482" i="2" s="1"/>
  <c r="V512" i="2" s="1"/>
  <c r="V542" i="2" s="1"/>
  <c r="V572" i="2" s="1"/>
  <c r="V602" i="2" s="1"/>
  <c r="V632" i="2" s="1"/>
  <c r="V662" i="2" s="1"/>
  <c r="V692" i="2" s="1"/>
  <c r="V722" i="2" s="1"/>
  <c r="V752" i="2" s="1"/>
  <c r="V782" i="2" s="1"/>
  <c r="V812" i="2" s="1"/>
  <c r="V842" i="2" s="1"/>
  <c r="V872" i="2" s="1"/>
  <c r="V902" i="2" s="1"/>
  <c r="V932" i="2" s="1"/>
  <c r="V962" i="2" s="1"/>
  <c r="V992" i="2" s="1"/>
  <c r="V1022" i="2" s="1"/>
  <c r="V1052" i="2" s="1"/>
  <c r="V1082" i="2" s="1"/>
  <c r="V1112" i="2" s="1"/>
  <c r="V1142" i="2" s="1"/>
  <c r="V1172" i="2" s="1"/>
  <c r="V1202" i="2" s="1"/>
  <c r="V1232" i="2" s="1"/>
  <c r="V1262" i="2" s="1"/>
  <c r="V1292" i="2" s="1"/>
  <c r="V1322" i="2" s="1"/>
  <c r="V1352" i="2" s="1"/>
  <c r="V1382" i="2" s="1"/>
  <c r="V1412" i="2" s="1"/>
  <c r="V1442" i="2" s="1"/>
  <c r="V1472" i="2" s="1"/>
  <c r="V1502" i="2" s="1"/>
  <c r="V1532" i="2" s="1"/>
  <c r="V1562" i="2" s="1"/>
  <c r="V1592" i="2" s="1"/>
  <c r="V1622" i="2" s="1"/>
  <c r="V1652" i="2" s="1"/>
  <c r="V1682" i="2" s="1"/>
  <c r="V1712" i="2" s="1"/>
  <c r="V1742" i="2" s="1"/>
  <c r="V1772" i="2" s="1"/>
  <c r="V1802" i="2" s="1"/>
  <c r="V1832" i="2" s="1"/>
  <c r="V1862" i="2" s="1"/>
  <c r="V1892" i="2" s="1"/>
  <c r="V1922" i="2" s="1"/>
  <c r="V1952" i="2" s="1"/>
  <c r="V1982" i="2" s="1"/>
  <c r="V2012" i="2" s="1"/>
  <c r="V2042" i="2" s="1"/>
  <c r="V2072" i="2" s="1"/>
  <c r="V2102" i="2" s="1"/>
  <c r="V2132" i="2" s="1"/>
  <c r="V2162" i="2" s="1"/>
  <c r="V2192" i="2" s="1"/>
  <c r="V2222" i="2" s="1"/>
  <c r="V2252" i="2" s="1"/>
  <c r="V2282" i="2" s="1"/>
  <c r="V2312" i="2" s="1"/>
  <c r="V2342" i="2" s="1"/>
  <c r="V2372" i="2" s="1"/>
  <c r="W32" i="2"/>
  <c r="W62" i="2" s="1"/>
  <c r="W92" i="2" s="1"/>
  <c r="W122" i="2" s="1"/>
  <c r="W152" i="2" s="1"/>
  <c r="W182" i="2" s="1"/>
  <c r="W212" i="2" s="1"/>
  <c r="W242" i="2" s="1"/>
  <c r="W272" i="2" s="1"/>
  <c r="W302" i="2" s="1"/>
  <c r="W332" i="2" s="1"/>
  <c r="W362" i="2" s="1"/>
  <c r="W392" i="2" s="1"/>
  <c r="W422" i="2" s="1"/>
  <c r="W452" i="2" s="1"/>
  <c r="W482" i="2" s="1"/>
  <c r="W512" i="2" s="1"/>
  <c r="W542" i="2" s="1"/>
  <c r="W572" i="2" s="1"/>
  <c r="W602" i="2" s="1"/>
  <c r="W632" i="2" s="1"/>
  <c r="W662" i="2" s="1"/>
  <c r="W692" i="2" s="1"/>
  <c r="W722" i="2" s="1"/>
  <c r="W752" i="2" s="1"/>
  <c r="W782" i="2" s="1"/>
  <c r="W812" i="2" s="1"/>
  <c r="W842" i="2" s="1"/>
  <c r="W872" i="2" s="1"/>
  <c r="W902" i="2" s="1"/>
  <c r="W932" i="2" s="1"/>
  <c r="W962" i="2" s="1"/>
  <c r="W992" i="2" s="1"/>
  <c r="W1022" i="2" s="1"/>
  <c r="W1052" i="2" s="1"/>
  <c r="W1082" i="2" s="1"/>
  <c r="W1112" i="2" s="1"/>
  <c r="W1142" i="2" s="1"/>
  <c r="W1172" i="2" s="1"/>
  <c r="W1202" i="2" s="1"/>
  <c r="W1232" i="2" s="1"/>
  <c r="W1262" i="2" s="1"/>
  <c r="W1292" i="2" s="1"/>
  <c r="W1322" i="2" s="1"/>
  <c r="W1352" i="2" s="1"/>
  <c r="W1382" i="2" s="1"/>
  <c r="W1412" i="2" s="1"/>
  <c r="W1442" i="2" s="1"/>
  <c r="W1472" i="2" s="1"/>
  <c r="W1502" i="2" s="1"/>
  <c r="W1532" i="2" s="1"/>
  <c r="W1562" i="2" s="1"/>
  <c r="W1592" i="2" s="1"/>
  <c r="W1622" i="2" s="1"/>
  <c r="W1652" i="2" s="1"/>
  <c r="W1682" i="2" s="1"/>
  <c r="W1712" i="2" s="1"/>
  <c r="W1742" i="2" s="1"/>
  <c r="W1772" i="2" s="1"/>
  <c r="W1802" i="2" s="1"/>
  <c r="W1832" i="2" s="1"/>
  <c r="W1862" i="2" s="1"/>
  <c r="W1892" i="2" s="1"/>
  <c r="W1922" i="2" s="1"/>
  <c r="W1952" i="2" s="1"/>
  <c r="W1982" i="2" s="1"/>
  <c r="W2012" i="2" s="1"/>
  <c r="W2042" i="2" s="1"/>
  <c r="W2072" i="2" s="1"/>
  <c r="W2102" i="2" s="1"/>
  <c r="W2132" i="2" s="1"/>
  <c r="W2162" i="2" s="1"/>
  <c r="W2192" i="2" s="1"/>
  <c r="W2222" i="2" s="1"/>
  <c r="W2252" i="2" s="1"/>
  <c r="W2282" i="2" s="1"/>
  <c r="W2312" i="2" s="1"/>
  <c r="W2342" i="2" s="1"/>
  <c r="W2372" i="2" s="1"/>
  <c r="U32" i="2"/>
  <c r="U62" i="2" s="1"/>
  <c r="U92" i="2" s="1"/>
  <c r="U122" i="2" s="1"/>
  <c r="U152" i="2" s="1"/>
  <c r="U182" i="2" s="1"/>
  <c r="U212" i="2" s="1"/>
  <c r="U242" i="2" s="1"/>
  <c r="U272" i="2" s="1"/>
  <c r="U302" i="2" s="1"/>
  <c r="U332" i="2" s="1"/>
  <c r="U362" i="2" s="1"/>
  <c r="U392" i="2" s="1"/>
  <c r="U422" i="2" s="1"/>
  <c r="U452" i="2" s="1"/>
  <c r="U482" i="2" s="1"/>
  <c r="U512" i="2" s="1"/>
  <c r="U542" i="2" s="1"/>
  <c r="U572" i="2" s="1"/>
  <c r="U602" i="2" s="1"/>
  <c r="U632" i="2" s="1"/>
  <c r="U662" i="2" s="1"/>
  <c r="U692" i="2" s="1"/>
  <c r="U722" i="2" s="1"/>
  <c r="U752" i="2" s="1"/>
  <c r="U782" i="2" s="1"/>
  <c r="U812" i="2" s="1"/>
  <c r="U842" i="2" s="1"/>
  <c r="U872" i="2" s="1"/>
  <c r="U902" i="2" s="1"/>
  <c r="U932" i="2" s="1"/>
  <c r="U962" i="2" s="1"/>
  <c r="U992" i="2" s="1"/>
  <c r="U1022" i="2" s="1"/>
  <c r="U1052" i="2" s="1"/>
  <c r="U1082" i="2" s="1"/>
  <c r="U1112" i="2" s="1"/>
  <c r="U1142" i="2" s="1"/>
  <c r="U1172" i="2" s="1"/>
  <c r="U1202" i="2" s="1"/>
  <c r="U1232" i="2" s="1"/>
  <c r="U1262" i="2" s="1"/>
  <c r="U1292" i="2" s="1"/>
  <c r="U1322" i="2" s="1"/>
  <c r="U1352" i="2" s="1"/>
  <c r="U1382" i="2" s="1"/>
  <c r="U1412" i="2" s="1"/>
  <c r="U1442" i="2" s="1"/>
  <c r="U1472" i="2" s="1"/>
  <c r="U1502" i="2" s="1"/>
  <c r="U1532" i="2" s="1"/>
  <c r="U1562" i="2" s="1"/>
  <c r="U1592" i="2" s="1"/>
  <c r="U1622" i="2" s="1"/>
  <c r="U1652" i="2" s="1"/>
  <c r="U1682" i="2" s="1"/>
  <c r="U1712" i="2" s="1"/>
  <c r="U1742" i="2" s="1"/>
  <c r="U1772" i="2" s="1"/>
  <c r="U1802" i="2" s="1"/>
  <c r="U1832" i="2" s="1"/>
  <c r="U1862" i="2" s="1"/>
  <c r="U1892" i="2" s="1"/>
  <c r="U1922" i="2" s="1"/>
  <c r="U1952" i="2" s="1"/>
  <c r="U1982" i="2" s="1"/>
  <c r="U2012" i="2" s="1"/>
  <c r="U2042" i="2" s="1"/>
  <c r="U2072" i="2" s="1"/>
  <c r="U2102" i="2" s="1"/>
  <c r="U2132" i="2" s="1"/>
  <c r="U2162" i="2" s="1"/>
  <c r="U2192" i="2" s="1"/>
  <c r="U2222" i="2" s="1"/>
  <c r="U2252" i="2" s="1"/>
  <c r="U2282" i="2" s="1"/>
  <c r="U2312" i="2" s="1"/>
  <c r="U2342" i="2" s="1"/>
  <c r="U2372" i="2" s="1"/>
  <c r="I33" i="2"/>
  <c r="I34" i="2"/>
  <c r="I64" i="2" s="1"/>
  <c r="I94" i="2" s="1"/>
  <c r="I124" i="2" s="1"/>
  <c r="I154" i="2" s="1"/>
  <c r="I184" i="2" s="1"/>
  <c r="I214" i="2" s="1"/>
  <c r="I244" i="2" s="1"/>
  <c r="I274" i="2" s="1"/>
  <c r="I304" i="2" s="1"/>
  <c r="I334" i="2" s="1"/>
  <c r="I364" i="2" s="1"/>
  <c r="I394" i="2" s="1"/>
  <c r="I424" i="2" s="1"/>
  <c r="I454" i="2" s="1"/>
  <c r="I484" i="2" s="1"/>
  <c r="I514" i="2" s="1"/>
  <c r="I544" i="2" s="1"/>
  <c r="I574" i="2" s="1"/>
  <c r="I604" i="2" s="1"/>
  <c r="I634" i="2" s="1"/>
  <c r="I664" i="2" s="1"/>
  <c r="I694" i="2" s="1"/>
  <c r="I724" i="2" s="1"/>
  <c r="I754" i="2" s="1"/>
  <c r="I784" i="2" s="1"/>
  <c r="I814" i="2" s="1"/>
  <c r="I844" i="2" s="1"/>
  <c r="I874" i="2" s="1"/>
  <c r="I904" i="2" s="1"/>
  <c r="I934" i="2" s="1"/>
  <c r="I964" i="2" s="1"/>
  <c r="I994" i="2" s="1"/>
  <c r="I1024" i="2" s="1"/>
  <c r="I1054" i="2" s="1"/>
  <c r="I1084" i="2" s="1"/>
  <c r="I1114" i="2" s="1"/>
  <c r="I1144" i="2" s="1"/>
  <c r="I1174" i="2" s="1"/>
  <c r="I1204" i="2" s="1"/>
  <c r="I1234" i="2" s="1"/>
  <c r="I1264" i="2" s="1"/>
  <c r="I1294" i="2" s="1"/>
  <c r="I1324" i="2" s="1"/>
  <c r="I1354" i="2" s="1"/>
  <c r="I1384" i="2" s="1"/>
  <c r="I1414" i="2" s="1"/>
  <c r="I1444" i="2" s="1"/>
  <c r="I1474" i="2" s="1"/>
  <c r="I1504" i="2" s="1"/>
  <c r="I1534" i="2" s="1"/>
  <c r="I1564" i="2" s="1"/>
  <c r="I1594" i="2" s="1"/>
  <c r="I1624" i="2" s="1"/>
  <c r="I1654" i="2" s="1"/>
  <c r="I1684" i="2" s="1"/>
  <c r="I1714" i="2" s="1"/>
  <c r="I1744" i="2" s="1"/>
  <c r="I1774" i="2" s="1"/>
  <c r="I1804" i="2" s="1"/>
  <c r="I1834" i="2" s="1"/>
  <c r="I1864" i="2" s="1"/>
  <c r="I1894" i="2" s="1"/>
  <c r="I1924" i="2" s="1"/>
  <c r="I1954" i="2" s="1"/>
  <c r="I1984" i="2" s="1"/>
  <c r="I2014" i="2" s="1"/>
  <c r="I2044" i="2" s="1"/>
  <c r="I2074" i="2" s="1"/>
  <c r="I2104" i="2" s="1"/>
  <c r="I2134" i="2" s="1"/>
  <c r="I2164" i="2" s="1"/>
  <c r="I2194" i="2" s="1"/>
  <c r="I2224" i="2" s="1"/>
  <c r="I2254" i="2" s="1"/>
  <c r="I2284" i="2" s="1"/>
  <c r="I2314" i="2" s="1"/>
  <c r="I2344" i="2" s="1"/>
  <c r="I2374" i="2" s="1"/>
  <c r="I35" i="2"/>
  <c r="I65" i="2" s="1"/>
  <c r="I95" i="2" s="1"/>
  <c r="I125" i="2" s="1"/>
  <c r="I155" i="2" s="1"/>
  <c r="I185" i="2" s="1"/>
  <c r="I215" i="2" s="1"/>
  <c r="I245" i="2" s="1"/>
  <c r="I275" i="2" s="1"/>
  <c r="I305" i="2" s="1"/>
  <c r="I335" i="2" s="1"/>
  <c r="I365" i="2" s="1"/>
  <c r="I395" i="2" s="1"/>
  <c r="I425" i="2" s="1"/>
  <c r="I455" i="2" s="1"/>
  <c r="I485" i="2" s="1"/>
  <c r="I515" i="2" s="1"/>
  <c r="I545" i="2" s="1"/>
  <c r="I575" i="2" s="1"/>
  <c r="I605" i="2" s="1"/>
  <c r="I635" i="2" s="1"/>
  <c r="I665" i="2" s="1"/>
  <c r="I695" i="2" s="1"/>
  <c r="I725" i="2" s="1"/>
  <c r="I755" i="2" s="1"/>
  <c r="I785" i="2" s="1"/>
  <c r="I815" i="2" s="1"/>
  <c r="I845" i="2" s="1"/>
  <c r="I875" i="2" s="1"/>
  <c r="I905" i="2" s="1"/>
  <c r="I935" i="2" s="1"/>
  <c r="I965" i="2" s="1"/>
  <c r="I995" i="2" s="1"/>
  <c r="I1025" i="2" s="1"/>
  <c r="I1055" i="2" s="1"/>
  <c r="I1085" i="2" s="1"/>
  <c r="I1115" i="2" s="1"/>
  <c r="I1145" i="2" s="1"/>
  <c r="I1175" i="2" s="1"/>
  <c r="I1205" i="2" s="1"/>
  <c r="I1235" i="2" s="1"/>
  <c r="I1265" i="2" s="1"/>
  <c r="I1295" i="2" s="1"/>
  <c r="I1325" i="2" s="1"/>
  <c r="I1355" i="2" s="1"/>
  <c r="I1385" i="2" s="1"/>
  <c r="I1415" i="2" s="1"/>
  <c r="I1445" i="2" s="1"/>
  <c r="I1475" i="2" s="1"/>
  <c r="I1505" i="2" s="1"/>
  <c r="I1535" i="2" s="1"/>
  <c r="I1565" i="2" s="1"/>
  <c r="I1595" i="2" s="1"/>
  <c r="I1625" i="2" s="1"/>
  <c r="I1655" i="2" s="1"/>
  <c r="I1685" i="2" s="1"/>
  <c r="I1715" i="2" s="1"/>
  <c r="I1745" i="2" s="1"/>
  <c r="I1775" i="2" s="1"/>
  <c r="I1805" i="2" s="1"/>
  <c r="I1835" i="2" s="1"/>
  <c r="I1865" i="2" s="1"/>
  <c r="I1895" i="2" s="1"/>
  <c r="I1925" i="2" s="1"/>
  <c r="I1955" i="2" s="1"/>
  <c r="I1985" i="2" s="1"/>
  <c r="I2015" i="2" s="1"/>
  <c r="I2045" i="2" s="1"/>
  <c r="I2075" i="2" s="1"/>
  <c r="I2105" i="2" s="1"/>
  <c r="I2135" i="2" s="1"/>
  <c r="I2165" i="2" s="1"/>
  <c r="I2195" i="2" s="1"/>
  <c r="I2225" i="2" s="1"/>
  <c r="I2255" i="2" s="1"/>
  <c r="I2285" i="2" s="1"/>
  <c r="I2315" i="2" s="1"/>
  <c r="I2345" i="2" s="1"/>
  <c r="I2375" i="2" s="1"/>
  <c r="I36" i="2"/>
  <c r="I66" i="2" s="1"/>
  <c r="I37" i="2"/>
  <c r="I38" i="2"/>
  <c r="I39" i="2"/>
  <c r="I69" i="2" s="1"/>
  <c r="I40" i="2"/>
  <c r="I70" i="2" s="1"/>
  <c r="I100" i="2" s="1"/>
  <c r="I130" i="2" s="1"/>
  <c r="I160" i="2" s="1"/>
  <c r="I190" i="2" s="1"/>
  <c r="I220" i="2" s="1"/>
  <c r="I250" i="2" s="1"/>
  <c r="I280" i="2" s="1"/>
  <c r="I310" i="2" s="1"/>
  <c r="I340" i="2" s="1"/>
  <c r="I370" i="2" s="1"/>
  <c r="I400" i="2" s="1"/>
  <c r="I430" i="2" s="1"/>
  <c r="I460" i="2" s="1"/>
  <c r="I490" i="2" s="1"/>
  <c r="I520" i="2" s="1"/>
  <c r="I550" i="2" s="1"/>
  <c r="I580" i="2" s="1"/>
  <c r="I610" i="2" s="1"/>
  <c r="I640" i="2" s="1"/>
  <c r="I670" i="2" s="1"/>
  <c r="I700" i="2" s="1"/>
  <c r="I730" i="2" s="1"/>
  <c r="I760" i="2" s="1"/>
  <c r="I790" i="2" s="1"/>
  <c r="I820" i="2" s="1"/>
  <c r="I850" i="2" s="1"/>
  <c r="I880" i="2" s="1"/>
  <c r="I910" i="2" s="1"/>
  <c r="I940" i="2" s="1"/>
  <c r="I970" i="2" s="1"/>
  <c r="I1000" i="2" s="1"/>
  <c r="I1030" i="2" s="1"/>
  <c r="I1060" i="2" s="1"/>
  <c r="I1090" i="2" s="1"/>
  <c r="I1120" i="2" s="1"/>
  <c r="I1150" i="2" s="1"/>
  <c r="I1180" i="2" s="1"/>
  <c r="I1210" i="2" s="1"/>
  <c r="I1240" i="2" s="1"/>
  <c r="I1270" i="2" s="1"/>
  <c r="I1300" i="2" s="1"/>
  <c r="I1330" i="2" s="1"/>
  <c r="I1360" i="2" s="1"/>
  <c r="I1390" i="2" s="1"/>
  <c r="I1420" i="2" s="1"/>
  <c r="I1450" i="2" s="1"/>
  <c r="I1480" i="2" s="1"/>
  <c r="I1510" i="2" s="1"/>
  <c r="I1540" i="2" s="1"/>
  <c r="I1570" i="2" s="1"/>
  <c r="I1600" i="2" s="1"/>
  <c r="I1630" i="2" s="1"/>
  <c r="I1660" i="2" s="1"/>
  <c r="I1690" i="2" s="1"/>
  <c r="I1720" i="2" s="1"/>
  <c r="I1750" i="2" s="1"/>
  <c r="I1780" i="2" s="1"/>
  <c r="I1810" i="2" s="1"/>
  <c r="I1840" i="2" s="1"/>
  <c r="I1870" i="2" s="1"/>
  <c r="I1900" i="2" s="1"/>
  <c r="I1930" i="2" s="1"/>
  <c r="I1960" i="2" s="1"/>
  <c r="I1990" i="2" s="1"/>
  <c r="I2020" i="2" s="1"/>
  <c r="I2050" i="2" s="1"/>
  <c r="I2080" i="2" s="1"/>
  <c r="I2110" i="2" s="1"/>
  <c r="I2140" i="2" s="1"/>
  <c r="I2170" i="2" s="1"/>
  <c r="I2200" i="2" s="1"/>
  <c r="I2230" i="2" s="1"/>
  <c r="I2260" i="2" s="1"/>
  <c r="I2290" i="2" s="1"/>
  <c r="I2320" i="2" s="1"/>
  <c r="I2350" i="2" s="1"/>
  <c r="I2380" i="2" s="1"/>
  <c r="I41" i="2"/>
  <c r="I42" i="2"/>
  <c r="I72" i="2" s="1"/>
  <c r="I102" i="2" s="1"/>
  <c r="I132" i="2" s="1"/>
  <c r="I162" i="2" s="1"/>
  <c r="I192" i="2" s="1"/>
  <c r="I222" i="2" s="1"/>
  <c r="I252" i="2" s="1"/>
  <c r="I282" i="2" s="1"/>
  <c r="I312" i="2" s="1"/>
  <c r="I342" i="2" s="1"/>
  <c r="I372" i="2" s="1"/>
  <c r="I402" i="2" s="1"/>
  <c r="I432" i="2" s="1"/>
  <c r="I462" i="2" s="1"/>
  <c r="I492" i="2" s="1"/>
  <c r="I522" i="2" s="1"/>
  <c r="I552" i="2" s="1"/>
  <c r="I582" i="2" s="1"/>
  <c r="I612" i="2" s="1"/>
  <c r="I642" i="2" s="1"/>
  <c r="I672" i="2" s="1"/>
  <c r="I702" i="2" s="1"/>
  <c r="I732" i="2" s="1"/>
  <c r="I762" i="2" s="1"/>
  <c r="I792" i="2" s="1"/>
  <c r="I822" i="2" s="1"/>
  <c r="I852" i="2" s="1"/>
  <c r="I882" i="2" s="1"/>
  <c r="I912" i="2" s="1"/>
  <c r="I942" i="2" s="1"/>
  <c r="I972" i="2" s="1"/>
  <c r="I1002" i="2" s="1"/>
  <c r="I1032" i="2" s="1"/>
  <c r="I1062" i="2" s="1"/>
  <c r="I1092" i="2" s="1"/>
  <c r="I1122" i="2" s="1"/>
  <c r="I1152" i="2" s="1"/>
  <c r="I1182" i="2" s="1"/>
  <c r="I1212" i="2" s="1"/>
  <c r="I1242" i="2" s="1"/>
  <c r="I1272" i="2" s="1"/>
  <c r="I1302" i="2" s="1"/>
  <c r="I1332" i="2" s="1"/>
  <c r="I1362" i="2" s="1"/>
  <c r="I1392" i="2" s="1"/>
  <c r="I1422" i="2" s="1"/>
  <c r="I1452" i="2" s="1"/>
  <c r="I1482" i="2" s="1"/>
  <c r="I1512" i="2" s="1"/>
  <c r="I1542" i="2" s="1"/>
  <c r="I1572" i="2" s="1"/>
  <c r="I1602" i="2" s="1"/>
  <c r="I1632" i="2" s="1"/>
  <c r="I1662" i="2" s="1"/>
  <c r="I1692" i="2" s="1"/>
  <c r="I1722" i="2" s="1"/>
  <c r="I1752" i="2" s="1"/>
  <c r="I1782" i="2" s="1"/>
  <c r="I1812" i="2" s="1"/>
  <c r="I1842" i="2" s="1"/>
  <c r="I1872" i="2" s="1"/>
  <c r="I1902" i="2" s="1"/>
  <c r="I1932" i="2" s="1"/>
  <c r="I1962" i="2" s="1"/>
  <c r="I1992" i="2" s="1"/>
  <c r="I2022" i="2" s="1"/>
  <c r="I2052" i="2" s="1"/>
  <c r="I2082" i="2" s="1"/>
  <c r="I2112" i="2" s="1"/>
  <c r="I2142" i="2" s="1"/>
  <c r="I2172" i="2" s="1"/>
  <c r="I2202" i="2" s="1"/>
  <c r="I2232" i="2" s="1"/>
  <c r="I2262" i="2" s="1"/>
  <c r="I2292" i="2" s="1"/>
  <c r="I2322" i="2" s="1"/>
  <c r="I2352" i="2" s="1"/>
  <c r="I2382" i="2" s="1"/>
  <c r="I43" i="2"/>
  <c r="I73" i="2" s="1"/>
  <c r="I103" i="2" s="1"/>
  <c r="I133" i="2" s="1"/>
  <c r="I44" i="2"/>
  <c r="I45" i="2"/>
  <c r="I46" i="2"/>
  <c r="I76" i="2" s="1"/>
  <c r="I47" i="2"/>
  <c r="I77" i="2" s="1"/>
  <c r="I107" i="2" s="1"/>
  <c r="I137" i="2" s="1"/>
  <c r="I167" i="2" s="1"/>
  <c r="I197" i="2" s="1"/>
  <c r="I227" i="2" s="1"/>
  <c r="I257" i="2" s="1"/>
  <c r="I287" i="2" s="1"/>
  <c r="I317" i="2" s="1"/>
  <c r="I347" i="2" s="1"/>
  <c r="I377" i="2" s="1"/>
  <c r="I407" i="2" s="1"/>
  <c r="I437" i="2" s="1"/>
  <c r="I467" i="2" s="1"/>
  <c r="I497" i="2" s="1"/>
  <c r="I527" i="2" s="1"/>
  <c r="I557" i="2" s="1"/>
  <c r="I587" i="2" s="1"/>
  <c r="I617" i="2" s="1"/>
  <c r="I647" i="2" s="1"/>
  <c r="I677" i="2" s="1"/>
  <c r="I707" i="2" s="1"/>
  <c r="I737" i="2" s="1"/>
  <c r="I767" i="2" s="1"/>
  <c r="I797" i="2" s="1"/>
  <c r="I827" i="2" s="1"/>
  <c r="I857" i="2" s="1"/>
  <c r="I887" i="2" s="1"/>
  <c r="I917" i="2" s="1"/>
  <c r="I947" i="2" s="1"/>
  <c r="I977" i="2" s="1"/>
  <c r="I1007" i="2" s="1"/>
  <c r="I1037" i="2" s="1"/>
  <c r="I1067" i="2" s="1"/>
  <c r="I1097" i="2" s="1"/>
  <c r="I1127" i="2" s="1"/>
  <c r="I1157" i="2" s="1"/>
  <c r="I1187" i="2" s="1"/>
  <c r="I1217" i="2" s="1"/>
  <c r="I1247" i="2" s="1"/>
  <c r="I1277" i="2" s="1"/>
  <c r="I1307" i="2" s="1"/>
  <c r="I1337" i="2" s="1"/>
  <c r="I1367" i="2" s="1"/>
  <c r="I1397" i="2" s="1"/>
  <c r="I1427" i="2" s="1"/>
  <c r="I1457" i="2" s="1"/>
  <c r="I1487" i="2" s="1"/>
  <c r="I1517" i="2" s="1"/>
  <c r="I1547" i="2" s="1"/>
  <c r="I1577" i="2" s="1"/>
  <c r="I1607" i="2" s="1"/>
  <c r="I1637" i="2" s="1"/>
  <c r="I1667" i="2" s="1"/>
  <c r="I1697" i="2" s="1"/>
  <c r="I1727" i="2" s="1"/>
  <c r="I1757" i="2" s="1"/>
  <c r="I1787" i="2" s="1"/>
  <c r="I1817" i="2" s="1"/>
  <c r="I1847" i="2" s="1"/>
  <c r="I1877" i="2" s="1"/>
  <c r="I1907" i="2" s="1"/>
  <c r="I1937" i="2" s="1"/>
  <c r="I1967" i="2" s="1"/>
  <c r="I1997" i="2" s="1"/>
  <c r="I2027" i="2" s="1"/>
  <c r="I2057" i="2" s="1"/>
  <c r="I2087" i="2" s="1"/>
  <c r="I2117" i="2" s="1"/>
  <c r="I2147" i="2" s="1"/>
  <c r="I2177" i="2" s="1"/>
  <c r="I2207" i="2" s="1"/>
  <c r="I2237" i="2" s="1"/>
  <c r="I2267" i="2" s="1"/>
  <c r="I2297" i="2" s="1"/>
  <c r="I2327" i="2" s="1"/>
  <c r="I2357" i="2" s="1"/>
  <c r="I2387" i="2" s="1"/>
  <c r="I48" i="2"/>
  <c r="I49" i="2"/>
  <c r="I50" i="2"/>
  <c r="I51" i="2"/>
  <c r="I81" i="2" s="1"/>
  <c r="I52" i="2"/>
  <c r="I82" i="2" s="1"/>
  <c r="I112" i="2" s="1"/>
  <c r="I53" i="2"/>
  <c r="I54" i="2"/>
  <c r="I84" i="2" s="1"/>
  <c r="I114" i="2" s="1"/>
  <c r="I144" i="2" s="1"/>
  <c r="I174" i="2" s="1"/>
  <c r="I204" i="2" s="1"/>
  <c r="I234" i="2" s="1"/>
  <c r="I264" i="2" s="1"/>
  <c r="I294" i="2" s="1"/>
  <c r="I324" i="2" s="1"/>
  <c r="I354" i="2" s="1"/>
  <c r="I384" i="2" s="1"/>
  <c r="I414" i="2" s="1"/>
  <c r="I444" i="2" s="1"/>
  <c r="I474" i="2" s="1"/>
  <c r="I504" i="2" s="1"/>
  <c r="I534" i="2" s="1"/>
  <c r="I564" i="2" s="1"/>
  <c r="I594" i="2" s="1"/>
  <c r="I624" i="2" s="1"/>
  <c r="I654" i="2" s="1"/>
  <c r="I684" i="2" s="1"/>
  <c r="I714" i="2" s="1"/>
  <c r="I744" i="2" s="1"/>
  <c r="I774" i="2" s="1"/>
  <c r="I804" i="2" s="1"/>
  <c r="I834" i="2" s="1"/>
  <c r="I864" i="2" s="1"/>
  <c r="I894" i="2" s="1"/>
  <c r="I924" i="2" s="1"/>
  <c r="I954" i="2" s="1"/>
  <c r="I984" i="2" s="1"/>
  <c r="I1014" i="2" s="1"/>
  <c r="I1044" i="2" s="1"/>
  <c r="I1074" i="2" s="1"/>
  <c r="I1104" i="2" s="1"/>
  <c r="I1134" i="2" s="1"/>
  <c r="I1164" i="2" s="1"/>
  <c r="I1194" i="2" s="1"/>
  <c r="I1224" i="2" s="1"/>
  <c r="I1254" i="2" s="1"/>
  <c r="I1284" i="2" s="1"/>
  <c r="I1314" i="2" s="1"/>
  <c r="I1344" i="2" s="1"/>
  <c r="I1374" i="2" s="1"/>
  <c r="I1404" i="2" s="1"/>
  <c r="I1434" i="2" s="1"/>
  <c r="I1464" i="2" s="1"/>
  <c r="I1494" i="2" s="1"/>
  <c r="I1524" i="2" s="1"/>
  <c r="I1554" i="2" s="1"/>
  <c r="I1584" i="2" s="1"/>
  <c r="I1614" i="2" s="1"/>
  <c r="I1644" i="2" s="1"/>
  <c r="I1674" i="2" s="1"/>
  <c r="I1704" i="2" s="1"/>
  <c r="I1734" i="2" s="1"/>
  <c r="I1764" i="2" s="1"/>
  <c r="I1794" i="2" s="1"/>
  <c r="I1824" i="2" s="1"/>
  <c r="I1854" i="2" s="1"/>
  <c r="I1884" i="2" s="1"/>
  <c r="I1914" i="2" s="1"/>
  <c r="I1944" i="2" s="1"/>
  <c r="I1974" i="2" s="1"/>
  <c r="I2004" i="2" s="1"/>
  <c r="I2034" i="2" s="1"/>
  <c r="I2064" i="2" s="1"/>
  <c r="I2094" i="2" s="1"/>
  <c r="I2124" i="2" s="1"/>
  <c r="I2154" i="2" s="1"/>
  <c r="I2184" i="2" s="1"/>
  <c r="I2214" i="2" s="1"/>
  <c r="I2244" i="2" s="1"/>
  <c r="I2274" i="2" s="1"/>
  <c r="I2304" i="2" s="1"/>
  <c r="I2334" i="2" s="1"/>
  <c r="I2364" i="2" s="1"/>
  <c r="I2394" i="2" s="1"/>
  <c r="I55" i="2"/>
  <c r="I85" i="2" s="1"/>
  <c r="I56" i="2"/>
  <c r="I86" i="2" s="1"/>
  <c r="I116" i="2" s="1"/>
  <c r="I146" i="2" s="1"/>
  <c r="I176" i="2" s="1"/>
  <c r="I206" i="2" s="1"/>
  <c r="I236" i="2" s="1"/>
  <c r="I266" i="2" s="1"/>
  <c r="I296" i="2" s="1"/>
  <c r="I326" i="2" s="1"/>
  <c r="I356" i="2" s="1"/>
  <c r="I386" i="2" s="1"/>
  <c r="I416" i="2" s="1"/>
  <c r="I446" i="2" s="1"/>
  <c r="I476" i="2" s="1"/>
  <c r="I506" i="2" s="1"/>
  <c r="I536" i="2" s="1"/>
  <c r="I566" i="2" s="1"/>
  <c r="I596" i="2" s="1"/>
  <c r="I626" i="2" s="1"/>
  <c r="I656" i="2" s="1"/>
  <c r="I686" i="2" s="1"/>
  <c r="I716" i="2" s="1"/>
  <c r="I746" i="2" s="1"/>
  <c r="I776" i="2" s="1"/>
  <c r="I806" i="2" s="1"/>
  <c r="I836" i="2" s="1"/>
  <c r="I866" i="2" s="1"/>
  <c r="I896" i="2" s="1"/>
  <c r="I926" i="2" s="1"/>
  <c r="I956" i="2" s="1"/>
  <c r="I986" i="2" s="1"/>
  <c r="I1016" i="2" s="1"/>
  <c r="I1046" i="2" s="1"/>
  <c r="I1076" i="2" s="1"/>
  <c r="I1106" i="2" s="1"/>
  <c r="I1136" i="2" s="1"/>
  <c r="I1166" i="2" s="1"/>
  <c r="I1196" i="2" s="1"/>
  <c r="I1226" i="2" s="1"/>
  <c r="I1256" i="2" s="1"/>
  <c r="I1286" i="2" s="1"/>
  <c r="I1316" i="2" s="1"/>
  <c r="I1346" i="2" s="1"/>
  <c r="I1376" i="2" s="1"/>
  <c r="I1406" i="2" s="1"/>
  <c r="I1436" i="2" s="1"/>
  <c r="I1466" i="2" s="1"/>
  <c r="I1496" i="2" s="1"/>
  <c r="I1526" i="2" s="1"/>
  <c r="I1556" i="2" s="1"/>
  <c r="I1586" i="2" s="1"/>
  <c r="I1616" i="2" s="1"/>
  <c r="I1646" i="2" s="1"/>
  <c r="I1676" i="2" s="1"/>
  <c r="I1706" i="2" s="1"/>
  <c r="I1736" i="2" s="1"/>
  <c r="I1766" i="2" s="1"/>
  <c r="I1796" i="2" s="1"/>
  <c r="I1826" i="2" s="1"/>
  <c r="I1856" i="2" s="1"/>
  <c r="I1886" i="2" s="1"/>
  <c r="I1916" i="2" s="1"/>
  <c r="I1946" i="2" s="1"/>
  <c r="I1976" i="2" s="1"/>
  <c r="I2006" i="2" s="1"/>
  <c r="I2036" i="2" s="1"/>
  <c r="I2066" i="2" s="1"/>
  <c r="I2096" i="2" s="1"/>
  <c r="I2126" i="2" s="1"/>
  <c r="I2156" i="2" s="1"/>
  <c r="I2186" i="2" s="1"/>
  <c r="I2216" i="2" s="1"/>
  <c r="I2246" i="2" s="1"/>
  <c r="I2276" i="2" s="1"/>
  <c r="I2306" i="2" s="1"/>
  <c r="I2336" i="2" s="1"/>
  <c r="I2366" i="2" s="1"/>
  <c r="I2396" i="2" s="1"/>
  <c r="I57" i="2"/>
  <c r="I58" i="2"/>
  <c r="I88" i="2" s="1"/>
  <c r="I118" i="2" s="1"/>
  <c r="I148" i="2" s="1"/>
  <c r="I178" i="2" s="1"/>
  <c r="I208" i="2" s="1"/>
  <c r="I238" i="2" s="1"/>
  <c r="I268" i="2" s="1"/>
  <c r="I298" i="2" s="1"/>
  <c r="I328" i="2" s="1"/>
  <c r="I358" i="2" s="1"/>
  <c r="I388" i="2" s="1"/>
  <c r="I418" i="2" s="1"/>
  <c r="I448" i="2" s="1"/>
  <c r="I478" i="2" s="1"/>
  <c r="I508" i="2" s="1"/>
  <c r="I538" i="2" s="1"/>
  <c r="I568" i="2" s="1"/>
  <c r="I598" i="2" s="1"/>
  <c r="I628" i="2" s="1"/>
  <c r="I658" i="2" s="1"/>
  <c r="I688" i="2" s="1"/>
  <c r="I718" i="2" s="1"/>
  <c r="I748" i="2" s="1"/>
  <c r="I778" i="2" s="1"/>
  <c r="I808" i="2" s="1"/>
  <c r="I838" i="2" s="1"/>
  <c r="I868" i="2" s="1"/>
  <c r="I898" i="2" s="1"/>
  <c r="I928" i="2" s="1"/>
  <c r="I958" i="2" s="1"/>
  <c r="I988" i="2" s="1"/>
  <c r="I1018" i="2" s="1"/>
  <c r="I1048" i="2" s="1"/>
  <c r="I1078" i="2" s="1"/>
  <c r="I1108" i="2" s="1"/>
  <c r="I1138" i="2" s="1"/>
  <c r="I1168" i="2" s="1"/>
  <c r="I1198" i="2" s="1"/>
  <c r="I1228" i="2" s="1"/>
  <c r="I1258" i="2" s="1"/>
  <c r="I1288" i="2" s="1"/>
  <c r="I1318" i="2" s="1"/>
  <c r="I1348" i="2" s="1"/>
  <c r="I1378" i="2" s="1"/>
  <c r="I1408" i="2" s="1"/>
  <c r="I1438" i="2" s="1"/>
  <c r="I1468" i="2" s="1"/>
  <c r="I1498" i="2" s="1"/>
  <c r="I1528" i="2" s="1"/>
  <c r="I1558" i="2" s="1"/>
  <c r="I1588" i="2" s="1"/>
  <c r="I1618" i="2" s="1"/>
  <c r="I1648" i="2" s="1"/>
  <c r="I1678" i="2" s="1"/>
  <c r="I1708" i="2" s="1"/>
  <c r="I1738" i="2" s="1"/>
  <c r="I1768" i="2" s="1"/>
  <c r="I1798" i="2" s="1"/>
  <c r="I1828" i="2" s="1"/>
  <c r="I1858" i="2" s="1"/>
  <c r="I1888" i="2" s="1"/>
  <c r="I1918" i="2" s="1"/>
  <c r="I1948" i="2" s="1"/>
  <c r="I1978" i="2" s="1"/>
  <c r="I2008" i="2" s="1"/>
  <c r="I2038" i="2" s="1"/>
  <c r="I2068" i="2" s="1"/>
  <c r="I2098" i="2" s="1"/>
  <c r="I2128" i="2" s="1"/>
  <c r="I2158" i="2" s="1"/>
  <c r="I2188" i="2" s="1"/>
  <c r="I2218" i="2" s="1"/>
  <c r="I2248" i="2" s="1"/>
  <c r="I2278" i="2" s="1"/>
  <c r="I2308" i="2" s="1"/>
  <c r="I2338" i="2" s="1"/>
  <c r="I2368" i="2" s="1"/>
  <c r="I2398" i="2" s="1"/>
  <c r="I59" i="2"/>
  <c r="I89" i="2" s="1"/>
  <c r="I119" i="2" s="1"/>
  <c r="I149" i="2" s="1"/>
  <c r="I179" i="2" s="1"/>
  <c r="I209" i="2" s="1"/>
  <c r="I239" i="2" s="1"/>
  <c r="I269" i="2" s="1"/>
  <c r="I299" i="2" s="1"/>
  <c r="I329" i="2" s="1"/>
  <c r="I359" i="2" s="1"/>
  <c r="I389" i="2" s="1"/>
  <c r="I419" i="2" s="1"/>
  <c r="I449" i="2" s="1"/>
  <c r="I479" i="2" s="1"/>
  <c r="I509" i="2" s="1"/>
  <c r="I539" i="2" s="1"/>
  <c r="I569" i="2" s="1"/>
  <c r="I599" i="2" s="1"/>
  <c r="I629" i="2" s="1"/>
  <c r="I659" i="2" s="1"/>
  <c r="I689" i="2" s="1"/>
  <c r="I719" i="2" s="1"/>
  <c r="I749" i="2" s="1"/>
  <c r="I779" i="2" s="1"/>
  <c r="I809" i="2" s="1"/>
  <c r="I839" i="2" s="1"/>
  <c r="I869" i="2" s="1"/>
  <c r="I899" i="2" s="1"/>
  <c r="I929" i="2" s="1"/>
  <c r="I959" i="2" s="1"/>
  <c r="I989" i="2" s="1"/>
  <c r="I1019" i="2" s="1"/>
  <c r="I1049" i="2" s="1"/>
  <c r="I1079" i="2" s="1"/>
  <c r="I1109" i="2" s="1"/>
  <c r="I1139" i="2" s="1"/>
  <c r="I1169" i="2" s="1"/>
  <c r="I1199" i="2" s="1"/>
  <c r="I1229" i="2" s="1"/>
  <c r="I1259" i="2" s="1"/>
  <c r="I1289" i="2" s="1"/>
  <c r="I1319" i="2" s="1"/>
  <c r="I1349" i="2" s="1"/>
  <c r="I1379" i="2" s="1"/>
  <c r="I1409" i="2" s="1"/>
  <c r="I1439" i="2" s="1"/>
  <c r="I1469" i="2" s="1"/>
  <c r="I1499" i="2" s="1"/>
  <c r="I1529" i="2" s="1"/>
  <c r="I1559" i="2" s="1"/>
  <c r="I1589" i="2" s="1"/>
  <c r="I1619" i="2" s="1"/>
  <c r="I1649" i="2" s="1"/>
  <c r="I1679" i="2" s="1"/>
  <c r="I1709" i="2" s="1"/>
  <c r="I1739" i="2" s="1"/>
  <c r="I1769" i="2" s="1"/>
  <c r="I1799" i="2" s="1"/>
  <c r="I1829" i="2" s="1"/>
  <c r="I1859" i="2" s="1"/>
  <c r="I1889" i="2" s="1"/>
  <c r="I1919" i="2" s="1"/>
  <c r="I1949" i="2" s="1"/>
  <c r="I1979" i="2" s="1"/>
  <c r="I2009" i="2" s="1"/>
  <c r="I2039" i="2" s="1"/>
  <c r="I2069" i="2" s="1"/>
  <c r="I2099" i="2" s="1"/>
  <c r="I2129" i="2" s="1"/>
  <c r="I2159" i="2" s="1"/>
  <c r="I2189" i="2" s="1"/>
  <c r="I2219" i="2" s="1"/>
  <c r="I2249" i="2" s="1"/>
  <c r="I2279" i="2" s="1"/>
  <c r="I2309" i="2" s="1"/>
  <c r="I2339" i="2" s="1"/>
  <c r="I2369" i="2" s="1"/>
  <c r="I2399" i="2" s="1"/>
  <c r="I60" i="2"/>
  <c r="I90" i="2" s="1"/>
  <c r="I120" i="2" s="1"/>
  <c r="I150" i="2" s="1"/>
  <c r="I180" i="2" s="1"/>
  <c r="I210" i="2" s="1"/>
  <c r="I240" i="2" s="1"/>
  <c r="I270" i="2" s="1"/>
  <c r="I300" i="2" s="1"/>
  <c r="I330" i="2" s="1"/>
  <c r="I360" i="2" s="1"/>
  <c r="I390" i="2" s="1"/>
  <c r="I420" i="2" s="1"/>
  <c r="I450" i="2" s="1"/>
  <c r="I480" i="2" s="1"/>
  <c r="I510" i="2" s="1"/>
  <c r="I540" i="2" s="1"/>
  <c r="I570" i="2" s="1"/>
  <c r="I600" i="2" s="1"/>
  <c r="I630" i="2" s="1"/>
  <c r="I660" i="2" s="1"/>
  <c r="I690" i="2" s="1"/>
  <c r="I720" i="2" s="1"/>
  <c r="I750" i="2" s="1"/>
  <c r="I780" i="2" s="1"/>
  <c r="I810" i="2" s="1"/>
  <c r="I840" i="2" s="1"/>
  <c r="I870" i="2" s="1"/>
  <c r="I900" i="2" s="1"/>
  <c r="I930" i="2" s="1"/>
  <c r="I960" i="2" s="1"/>
  <c r="I990" i="2" s="1"/>
  <c r="I1020" i="2" s="1"/>
  <c r="I1050" i="2" s="1"/>
  <c r="I1080" i="2" s="1"/>
  <c r="I1110" i="2" s="1"/>
  <c r="I1140" i="2" s="1"/>
  <c r="I1170" i="2" s="1"/>
  <c r="I1200" i="2" s="1"/>
  <c r="I1230" i="2" s="1"/>
  <c r="I1260" i="2" s="1"/>
  <c r="I1290" i="2" s="1"/>
  <c r="I1320" i="2" s="1"/>
  <c r="I1350" i="2" s="1"/>
  <c r="I1380" i="2" s="1"/>
  <c r="I1410" i="2" s="1"/>
  <c r="I1440" i="2" s="1"/>
  <c r="I1470" i="2" s="1"/>
  <c r="I1500" i="2" s="1"/>
  <c r="I1530" i="2" s="1"/>
  <c r="I1560" i="2" s="1"/>
  <c r="I1590" i="2" s="1"/>
  <c r="I1620" i="2" s="1"/>
  <c r="I1650" i="2" s="1"/>
  <c r="I1680" i="2" s="1"/>
  <c r="I1710" i="2" s="1"/>
  <c r="I1740" i="2" s="1"/>
  <c r="I1770" i="2" s="1"/>
  <c r="I1800" i="2" s="1"/>
  <c r="I1830" i="2" s="1"/>
  <c r="I1860" i="2" s="1"/>
  <c r="I1890" i="2" s="1"/>
  <c r="I1920" i="2" s="1"/>
  <c r="I1950" i="2" s="1"/>
  <c r="I1980" i="2" s="1"/>
  <c r="I2010" i="2" s="1"/>
  <c r="I2040" i="2" s="1"/>
  <c r="I2070" i="2" s="1"/>
  <c r="I2100" i="2" s="1"/>
  <c r="I2130" i="2" s="1"/>
  <c r="I2160" i="2" s="1"/>
  <c r="I2190" i="2" s="1"/>
  <c r="I2220" i="2" s="1"/>
  <c r="I2250" i="2" s="1"/>
  <c r="I2280" i="2" s="1"/>
  <c r="I2310" i="2" s="1"/>
  <c r="I2340" i="2" s="1"/>
  <c r="I2370" i="2" s="1"/>
  <c r="I2400" i="2" s="1"/>
  <c r="I61" i="2"/>
  <c r="I63" i="2"/>
  <c r="I93" i="2" s="1"/>
  <c r="I67" i="2"/>
  <c r="I97" i="2" s="1"/>
  <c r="I127" i="2" s="1"/>
  <c r="I157" i="2" s="1"/>
  <c r="I187" i="2" s="1"/>
  <c r="I217" i="2" s="1"/>
  <c r="I247" i="2" s="1"/>
  <c r="I277" i="2" s="1"/>
  <c r="I307" i="2" s="1"/>
  <c r="I337" i="2" s="1"/>
  <c r="I367" i="2" s="1"/>
  <c r="I397" i="2" s="1"/>
  <c r="I427" i="2" s="1"/>
  <c r="I457" i="2" s="1"/>
  <c r="I487" i="2" s="1"/>
  <c r="I517" i="2" s="1"/>
  <c r="I547" i="2" s="1"/>
  <c r="I577" i="2" s="1"/>
  <c r="I607" i="2" s="1"/>
  <c r="I637" i="2" s="1"/>
  <c r="I667" i="2" s="1"/>
  <c r="I697" i="2" s="1"/>
  <c r="I727" i="2" s="1"/>
  <c r="I757" i="2" s="1"/>
  <c r="I787" i="2" s="1"/>
  <c r="I817" i="2" s="1"/>
  <c r="I847" i="2" s="1"/>
  <c r="I877" i="2" s="1"/>
  <c r="I907" i="2" s="1"/>
  <c r="I937" i="2" s="1"/>
  <c r="I967" i="2" s="1"/>
  <c r="I997" i="2" s="1"/>
  <c r="I1027" i="2" s="1"/>
  <c r="I1057" i="2" s="1"/>
  <c r="I1087" i="2" s="1"/>
  <c r="I1117" i="2" s="1"/>
  <c r="I1147" i="2" s="1"/>
  <c r="I1177" i="2" s="1"/>
  <c r="I1207" i="2" s="1"/>
  <c r="I1237" i="2" s="1"/>
  <c r="I1267" i="2" s="1"/>
  <c r="I1297" i="2" s="1"/>
  <c r="I1327" i="2" s="1"/>
  <c r="I1357" i="2" s="1"/>
  <c r="I1387" i="2" s="1"/>
  <c r="I1417" i="2" s="1"/>
  <c r="I1447" i="2" s="1"/>
  <c r="I1477" i="2" s="1"/>
  <c r="I1507" i="2" s="1"/>
  <c r="I1537" i="2" s="1"/>
  <c r="I1567" i="2" s="1"/>
  <c r="I1597" i="2" s="1"/>
  <c r="I1627" i="2" s="1"/>
  <c r="I1657" i="2" s="1"/>
  <c r="I1687" i="2" s="1"/>
  <c r="I1717" i="2" s="1"/>
  <c r="I1747" i="2" s="1"/>
  <c r="I1777" i="2" s="1"/>
  <c r="I1807" i="2" s="1"/>
  <c r="I1837" i="2" s="1"/>
  <c r="I1867" i="2" s="1"/>
  <c r="I1897" i="2" s="1"/>
  <c r="I1927" i="2" s="1"/>
  <c r="I1957" i="2" s="1"/>
  <c r="I1987" i="2" s="1"/>
  <c r="I2017" i="2" s="1"/>
  <c r="I2047" i="2" s="1"/>
  <c r="I2077" i="2" s="1"/>
  <c r="I2107" i="2" s="1"/>
  <c r="I2137" i="2" s="1"/>
  <c r="I2167" i="2" s="1"/>
  <c r="I2197" i="2" s="1"/>
  <c r="I2227" i="2" s="1"/>
  <c r="I2257" i="2" s="1"/>
  <c r="I2287" i="2" s="1"/>
  <c r="I2317" i="2" s="1"/>
  <c r="I2347" i="2" s="1"/>
  <c r="I2377" i="2" s="1"/>
  <c r="I68" i="2"/>
  <c r="I98" i="2" s="1"/>
  <c r="I128" i="2" s="1"/>
  <c r="I158" i="2" s="1"/>
  <c r="I188" i="2" s="1"/>
  <c r="I218" i="2" s="1"/>
  <c r="I248" i="2" s="1"/>
  <c r="I278" i="2" s="1"/>
  <c r="I308" i="2" s="1"/>
  <c r="I338" i="2" s="1"/>
  <c r="I368" i="2" s="1"/>
  <c r="I398" i="2" s="1"/>
  <c r="I428" i="2" s="1"/>
  <c r="I458" i="2" s="1"/>
  <c r="I488" i="2" s="1"/>
  <c r="I518" i="2" s="1"/>
  <c r="I548" i="2" s="1"/>
  <c r="I578" i="2" s="1"/>
  <c r="I608" i="2" s="1"/>
  <c r="I638" i="2" s="1"/>
  <c r="I668" i="2" s="1"/>
  <c r="I698" i="2" s="1"/>
  <c r="I728" i="2" s="1"/>
  <c r="I758" i="2" s="1"/>
  <c r="I788" i="2" s="1"/>
  <c r="I818" i="2" s="1"/>
  <c r="I848" i="2" s="1"/>
  <c r="I878" i="2" s="1"/>
  <c r="I908" i="2" s="1"/>
  <c r="I938" i="2" s="1"/>
  <c r="I968" i="2" s="1"/>
  <c r="I998" i="2" s="1"/>
  <c r="I1028" i="2" s="1"/>
  <c r="I1058" i="2" s="1"/>
  <c r="I1088" i="2" s="1"/>
  <c r="I1118" i="2" s="1"/>
  <c r="I1148" i="2" s="1"/>
  <c r="I1178" i="2" s="1"/>
  <c r="I1208" i="2" s="1"/>
  <c r="I1238" i="2" s="1"/>
  <c r="I1268" i="2" s="1"/>
  <c r="I1298" i="2" s="1"/>
  <c r="I1328" i="2" s="1"/>
  <c r="I1358" i="2" s="1"/>
  <c r="I1388" i="2" s="1"/>
  <c r="I1418" i="2" s="1"/>
  <c r="I1448" i="2" s="1"/>
  <c r="I1478" i="2" s="1"/>
  <c r="I1508" i="2" s="1"/>
  <c r="I1538" i="2" s="1"/>
  <c r="I1568" i="2" s="1"/>
  <c r="I1598" i="2" s="1"/>
  <c r="I1628" i="2" s="1"/>
  <c r="I1658" i="2" s="1"/>
  <c r="I1688" i="2" s="1"/>
  <c r="I1718" i="2" s="1"/>
  <c r="I1748" i="2" s="1"/>
  <c r="I1778" i="2" s="1"/>
  <c r="I1808" i="2" s="1"/>
  <c r="I1838" i="2" s="1"/>
  <c r="I1868" i="2" s="1"/>
  <c r="I1898" i="2" s="1"/>
  <c r="I1928" i="2" s="1"/>
  <c r="I1958" i="2" s="1"/>
  <c r="I1988" i="2" s="1"/>
  <c r="I2018" i="2" s="1"/>
  <c r="I2048" i="2" s="1"/>
  <c r="I2078" i="2" s="1"/>
  <c r="I2108" i="2" s="1"/>
  <c r="I2138" i="2" s="1"/>
  <c r="I2168" i="2" s="1"/>
  <c r="I2198" i="2" s="1"/>
  <c r="I2228" i="2" s="1"/>
  <c r="I2258" i="2" s="1"/>
  <c r="I2288" i="2" s="1"/>
  <c r="I2318" i="2" s="1"/>
  <c r="I2348" i="2" s="1"/>
  <c r="I2378" i="2" s="1"/>
  <c r="I71" i="2"/>
  <c r="I101" i="2" s="1"/>
  <c r="I74" i="2"/>
  <c r="I104" i="2" s="1"/>
  <c r="I134" i="2" s="1"/>
  <c r="I164" i="2" s="1"/>
  <c r="I194" i="2" s="1"/>
  <c r="I224" i="2" s="1"/>
  <c r="I254" i="2" s="1"/>
  <c r="I284" i="2" s="1"/>
  <c r="I314" i="2" s="1"/>
  <c r="I344" i="2" s="1"/>
  <c r="I374" i="2" s="1"/>
  <c r="I404" i="2" s="1"/>
  <c r="I434" i="2" s="1"/>
  <c r="I464" i="2" s="1"/>
  <c r="I494" i="2" s="1"/>
  <c r="I524" i="2" s="1"/>
  <c r="I554" i="2" s="1"/>
  <c r="I584" i="2" s="1"/>
  <c r="I614" i="2" s="1"/>
  <c r="I644" i="2" s="1"/>
  <c r="I674" i="2" s="1"/>
  <c r="I704" i="2" s="1"/>
  <c r="I734" i="2" s="1"/>
  <c r="I764" i="2" s="1"/>
  <c r="I794" i="2" s="1"/>
  <c r="I824" i="2" s="1"/>
  <c r="I854" i="2" s="1"/>
  <c r="I884" i="2" s="1"/>
  <c r="I914" i="2" s="1"/>
  <c r="I944" i="2" s="1"/>
  <c r="I974" i="2" s="1"/>
  <c r="I1004" i="2" s="1"/>
  <c r="I1034" i="2" s="1"/>
  <c r="I1064" i="2" s="1"/>
  <c r="I1094" i="2" s="1"/>
  <c r="I1124" i="2" s="1"/>
  <c r="I1154" i="2" s="1"/>
  <c r="I1184" i="2" s="1"/>
  <c r="I1214" i="2" s="1"/>
  <c r="I1244" i="2" s="1"/>
  <c r="I1274" i="2" s="1"/>
  <c r="I1304" i="2" s="1"/>
  <c r="I1334" i="2" s="1"/>
  <c r="I1364" i="2" s="1"/>
  <c r="I1394" i="2" s="1"/>
  <c r="I1424" i="2" s="1"/>
  <c r="I1454" i="2" s="1"/>
  <c r="I1484" i="2" s="1"/>
  <c r="I1514" i="2" s="1"/>
  <c r="I1544" i="2" s="1"/>
  <c r="I1574" i="2" s="1"/>
  <c r="I1604" i="2" s="1"/>
  <c r="I1634" i="2" s="1"/>
  <c r="I1664" i="2" s="1"/>
  <c r="I1694" i="2" s="1"/>
  <c r="I1724" i="2" s="1"/>
  <c r="I1754" i="2" s="1"/>
  <c r="I1784" i="2" s="1"/>
  <c r="I1814" i="2" s="1"/>
  <c r="I1844" i="2" s="1"/>
  <c r="I1874" i="2" s="1"/>
  <c r="I1904" i="2" s="1"/>
  <c r="I1934" i="2" s="1"/>
  <c r="I1964" i="2" s="1"/>
  <c r="I1994" i="2" s="1"/>
  <c r="I2024" i="2" s="1"/>
  <c r="I2054" i="2" s="1"/>
  <c r="I2084" i="2" s="1"/>
  <c r="I2114" i="2" s="1"/>
  <c r="I2144" i="2" s="1"/>
  <c r="I2174" i="2" s="1"/>
  <c r="I2204" i="2" s="1"/>
  <c r="I2234" i="2" s="1"/>
  <c r="I2264" i="2" s="1"/>
  <c r="I2294" i="2" s="1"/>
  <c r="I2324" i="2" s="1"/>
  <c r="I2354" i="2" s="1"/>
  <c r="I2384" i="2" s="1"/>
  <c r="I75" i="2"/>
  <c r="I105" i="2" s="1"/>
  <c r="I135" i="2" s="1"/>
  <c r="I165" i="2" s="1"/>
  <c r="I78" i="2"/>
  <c r="I108" i="2" s="1"/>
  <c r="I138" i="2" s="1"/>
  <c r="I168" i="2" s="1"/>
  <c r="I198" i="2" s="1"/>
  <c r="I228" i="2" s="1"/>
  <c r="I258" i="2" s="1"/>
  <c r="I288" i="2" s="1"/>
  <c r="I318" i="2" s="1"/>
  <c r="I348" i="2" s="1"/>
  <c r="I378" i="2" s="1"/>
  <c r="I408" i="2" s="1"/>
  <c r="I438" i="2" s="1"/>
  <c r="I468" i="2" s="1"/>
  <c r="I498" i="2" s="1"/>
  <c r="I528" i="2" s="1"/>
  <c r="I558" i="2" s="1"/>
  <c r="I588" i="2" s="1"/>
  <c r="I618" i="2" s="1"/>
  <c r="I648" i="2" s="1"/>
  <c r="I678" i="2" s="1"/>
  <c r="I708" i="2" s="1"/>
  <c r="I738" i="2" s="1"/>
  <c r="I768" i="2" s="1"/>
  <c r="I798" i="2" s="1"/>
  <c r="I828" i="2" s="1"/>
  <c r="I858" i="2" s="1"/>
  <c r="I888" i="2" s="1"/>
  <c r="I918" i="2" s="1"/>
  <c r="I948" i="2" s="1"/>
  <c r="I978" i="2" s="1"/>
  <c r="I1008" i="2" s="1"/>
  <c r="I1038" i="2" s="1"/>
  <c r="I1068" i="2" s="1"/>
  <c r="I1098" i="2" s="1"/>
  <c r="I1128" i="2" s="1"/>
  <c r="I1158" i="2" s="1"/>
  <c r="I1188" i="2" s="1"/>
  <c r="I1218" i="2" s="1"/>
  <c r="I1248" i="2" s="1"/>
  <c r="I1278" i="2" s="1"/>
  <c r="I1308" i="2" s="1"/>
  <c r="I1338" i="2" s="1"/>
  <c r="I1368" i="2" s="1"/>
  <c r="I1398" i="2" s="1"/>
  <c r="I1428" i="2" s="1"/>
  <c r="I1458" i="2" s="1"/>
  <c r="I1488" i="2" s="1"/>
  <c r="I1518" i="2" s="1"/>
  <c r="I1548" i="2" s="1"/>
  <c r="I1578" i="2" s="1"/>
  <c r="I1608" i="2" s="1"/>
  <c r="I1638" i="2" s="1"/>
  <c r="I1668" i="2" s="1"/>
  <c r="I1698" i="2" s="1"/>
  <c r="I1728" i="2" s="1"/>
  <c r="I1758" i="2" s="1"/>
  <c r="I1788" i="2" s="1"/>
  <c r="I1818" i="2" s="1"/>
  <c r="I1848" i="2" s="1"/>
  <c r="I1878" i="2" s="1"/>
  <c r="I1908" i="2" s="1"/>
  <c r="I1938" i="2" s="1"/>
  <c r="I1968" i="2" s="1"/>
  <c r="I1998" i="2" s="1"/>
  <c r="I2028" i="2" s="1"/>
  <c r="I2058" i="2" s="1"/>
  <c r="I2088" i="2" s="1"/>
  <c r="I2118" i="2" s="1"/>
  <c r="I2148" i="2" s="1"/>
  <c r="I2178" i="2" s="1"/>
  <c r="I2208" i="2" s="1"/>
  <c r="I2238" i="2" s="1"/>
  <c r="I2268" i="2" s="1"/>
  <c r="I2298" i="2" s="1"/>
  <c r="I2328" i="2" s="1"/>
  <c r="I2358" i="2" s="1"/>
  <c r="I2388" i="2" s="1"/>
  <c r="I79" i="2"/>
  <c r="I109" i="2" s="1"/>
  <c r="I139" i="2" s="1"/>
  <c r="I169" i="2" s="1"/>
  <c r="I199" i="2" s="1"/>
  <c r="I229" i="2" s="1"/>
  <c r="I259" i="2" s="1"/>
  <c r="I289" i="2" s="1"/>
  <c r="I319" i="2" s="1"/>
  <c r="I349" i="2" s="1"/>
  <c r="I379" i="2" s="1"/>
  <c r="I409" i="2" s="1"/>
  <c r="I439" i="2" s="1"/>
  <c r="I469" i="2" s="1"/>
  <c r="I499" i="2" s="1"/>
  <c r="I529" i="2" s="1"/>
  <c r="I559" i="2" s="1"/>
  <c r="I589" i="2" s="1"/>
  <c r="I619" i="2" s="1"/>
  <c r="I649" i="2" s="1"/>
  <c r="I679" i="2" s="1"/>
  <c r="I709" i="2" s="1"/>
  <c r="I739" i="2" s="1"/>
  <c r="I769" i="2" s="1"/>
  <c r="I799" i="2" s="1"/>
  <c r="I829" i="2" s="1"/>
  <c r="I859" i="2" s="1"/>
  <c r="I889" i="2" s="1"/>
  <c r="I919" i="2" s="1"/>
  <c r="I949" i="2" s="1"/>
  <c r="I979" i="2" s="1"/>
  <c r="I1009" i="2" s="1"/>
  <c r="I1039" i="2" s="1"/>
  <c r="I1069" i="2" s="1"/>
  <c r="I1099" i="2" s="1"/>
  <c r="I1129" i="2" s="1"/>
  <c r="I1159" i="2" s="1"/>
  <c r="I1189" i="2" s="1"/>
  <c r="I1219" i="2" s="1"/>
  <c r="I1249" i="2" s="1"/>
  <c r="I1279" i="2" s="1"/>
  <c r="I1309" i="2" s="1"/>
  <c r="I1339" i="2" s="1"/>
  <c r="I1369" i="2" s="1"/>
  <c r="I1399" i="2" s="1"/>
  <c r="I1429" i="2" s="1"/>
  <c r="I1459" i="2" s="1"/>
  <c r="I1489" i="2" s="1"/>
  <c r="I1519" i="2" s="1"/>
  <c r="I1549" i="2" s="1"/>
  <c r="I1579" i="2" s="1"/>
  <c r="I1609" i="2" s="1"/>
  <c r="I1639" i="2" s="1"/>
  <c r="I1669" i="2" s="1"/>
  <c r="I1699" i="2" s="1"/>
  <c r="I1729" i="2" s="1"/>
  <c r="I1759" i="2" s="1"/>
  <c r="I1789" i="2" s="1"/>
  <c r="I1819" i="2" s="1"/>
  <c r="I1849" i="2" s="1"/>
  <c r="I1879" i="2" s="1"/>
  <c r="I1909" i="2" s="1"/>
  <c r="I1939" i="2" s="1"/>
  <c r="I1969" i="2" s="1"/>
  <c r="I1999" i="2" s="1"/>
  <c r="I2029" i="2" s="1"/>
  <c r="I2059" i="2" s="1"/>
  <c r="I2089" i="2" s="1"/>
  <c r="I2119" i="2" s="1"/>
  <c r="I2149" i="2" s="1"/>
  <c r="I2179" i="2" s="1"/>
  <c r="I2209" i="2" s="1"/>
  <c r="I2239" i="2" s="1"/>
  <c r="I2269" i="2" s="1"/>
  <c r="I2299" i="2" s="1"/>
  <c r="I2329" i="2" s="1"/>
  <c r="I2359" i="2" s="1"/>
  <c r="I2389" i="2" s="1"/>
  <c r="I80" i="2"/>
  <c r="I110" i="2" s="1"/>
  <c r="I140" i="2" s="1"/>
  <c r="I170" i="2" s="1"/>
  <c r="I200" i="2" s="1"/>
  <c r="I230" i="2" s="1"/>
  <c r="I260" i="2" s="1"/>
  <c r="I290" i="2" s="1"/>
  <c r="I320" i="2" s="1"/>
  <c r="I350" i="2" s="1"/>
  <c r="I380" i="2" s="1"/>
  <c r="I410" i="2" s="1"/>
  <c r="I440" i="2" s="1"/>
  <c r="I470" i="2" s="1"/>
  <c r="I500" i="2" s="1"/>
  <c r="I530" i="2" s="1"/>
  <c r="I560" i="2" s="1"/>
  <c r="I590" i="2" s="1"/>
  <c r="I620" i="2" s="1"/>
  <c r="I650" i="2" s="1"/>
  <c r="I680" i="2" s="1"/>
  <c r="I710" i="2" s="1"/>
  <c r="I740" i="2" s="1"/>
  <c r="I770" i="2" s="1"/>
  <c r="I800" i="2" s="1"/>
  <c r="I830" i="2" s="1"/>
  <c r="I860" i="2" s="1"/>
  <c r="I890" i="2" s="1"/>
  <c r="I920" i="2" s="1"/>
  <c r="I950" i="2" s="1"/>
  <c r="I980" i="2" s="1"/>
  <c r="I1010" i="2" s="1"/>
  <c r="I1040" i="2" s="1"/>
  <c r="I1070" i="2" s="1"/>
  <c r="I1100" i="2" s="1"/>
  <c r="I1130" i="2" s="1"/>
  <c r="I1160" i="2" s="1"/>
  <c r="I1190" i="2" s="1"/>
  <c r="I1220" i="2" s="1"/>
  <c r="I1250" i="2" s="1"/>
  <c r="I1280" i="2" s="1"/>
  <c r="I1310" i="2" s="1"/>
  <c r="I1340" i="2" s="1"/>
  <c r="I1370" i="2" s="1"/>
  <c r="I1400" i="2" s="1"/>
  <c r="I1430" i="2" s="1"/>
  <c r="I1460" i="2" s="1"/>
  <c r="I1490" i="2" s="1"/>
  <c r="I1520" i="2" s="1"/>
  <c r="I1550" i="2" s="1"/>
  <c r="I1580" i="2" s="1"/>
  <c r="I1610" i="2" s="1"/>
  <c r="I1640" i="2" s="1"/>
  <c r="I1670" i="2" s="1"/>
  <c r="I1700" i="2" s="1"/>
  <c r="I1730" i="2" s="1"/>
  <c r="I1760" i="2" s="1"/>
  <c r="I1790" i="2" s="1"/>
  <c r="I1820" i="2" s="1"/>
  <c r="I1850" i="2" s="1"/>
  <c r="I1880" i="2" s="1"/>
  <c r="I1910" i="2" s="1"/>
  <c r="I1940" i="2" s="1"/>
  <c r="I1970" i="2" s="1"/>
  <c r="I2000" i="2" s="1"/>
  <c r="I2030" i="2" s="1"/>
  <c r="I2060" i="2" s="1"/>
  <c r="I2090" i="2" s="1"/>
  <c r="I2120" i="2" s="1"/>
  <c r="I2150" i="2" s="1"/>
  <c r="I2180" i="2" s="1"/>
  <c r="I2210" i="2" s="1"/>
  <c r="I2240" i="2" s="1"/>
  <c r="I2270" i="2" s="1"/>
  <c r="I2300" i="2" s="1"/>
  <c r="I2330" i="2" s="1"/>
  <c r="I2360" i="2" s="1"/>
  <c r="I2390" i="2" s="1"/>
  <c r="I83" i="2"/>
  <c r="I113" i="2" s="1"/>
  <c r="I87" i="2"/>
  <c r="I117" i="2" s="1"/>
  <c r="I147" i="2" s="1"/>
  <c r="I177" i="2" s="1"/>
  <c r="I207" i="2" s="1"/>
  <c r="I237" i="2" s="1"/>
  <c r="I267" i="2" s="1"/>
  <c r="I297" i="2" s="1"/>
  <c r="I327" i="2" s="1"/>
  <c r="I357" i="2" s="1"/>
  <c r="I387" i="2" s="1"/>
  <c r="I417" i="2" s="1"/>
  <c r="I447" i="2" s="1"/>
  <c r="I477" i="2" s="1"/>
  <c r="I507" i="2" s="1"/>
  <c r="I537" i="2" s="1"/>
  <c r="I567" i="2" s="1"/>
  <c r="I597" i="2" s="1"/>
  <c r="I627" i="2" s="1"/>
  <c r="I657" i="2" s="1"/>
  <c r="I687" i="2" s="1"/>
  <c r="I717" i="2" s="1"/>
  <c r="I747" i="2" s="1"/>
  <c r="I777" i="2" s="1"/>
  <c r="I807" i="2" s="1"/>
  <c r="I837" i="2" s="1"/>
  <c r="I867" i="2" s="1"/>
  <c r="I897" i="2" s="1"/>
  <c r="I927" i="2" s="1"/>
  <c r="I957" i="2" s="1"/>
  <c r="I987" i="2" s="1"/>
  <c r="I1017" i="2" s="1"/>
  <c r="I1047" i="2" s="1"/>
  <c r="I1077" i="2" s="1"/>
  <c r="I1107" i="2" s="1"/>
  <c r="I1137" i="2" s="1"/>
  <c r="I1167" i="2" s="1"/>
  <c r="I1197" i="2" s="1"/>
  <c r="I1227" i="2" s="1"/>
  <c r="I1257" i="2" s="1"/>
  <c r="I1287" i="2" s="1"/>
  <c r="I1317" i="2" s="1"/>
  <c r="I1347" i="2" s="1"/>
  <c r="I1377" i="2" s="1"/>
  <c r="I1407" i="2" s="1"/>
  <c r="I1437" i="2" s="1"/>
  <c r="I1467" i="2" s="1"/>
  <c r="I1497" i="2" s="1"/>
  <c r="I1527" i="2" s="1"/>
  <c r="I1557" i="2" s="1"/>
  <c r="I1587" i="2" s="1"/>
  <c r="I1617" i="2" s="1"/>
  <c r="I1647" i="2" s="1"/>
  <c r="I1677" i="2" s="1"/>
  <c r="I1707" i="2" s="1"/>
  <c r="I1737" i="2" s="1"/>
  <c r="I1767" i="2" s="1"/>
  <c r="I1797" i="2" s="1"/>
  <c r="I1827" i="2" s="1"/>
  <c r="I1857" i="2" s="1"/>
  <c r="I1887" i="2" s="1"/>
  <c r="I1917" i="2" s="1"/>
  <c r="I1947" i="2" s="1"/>
  <c r="I1977" i="2" s="1"/>
  <c r="I2007" i="2" s="1"/>
  <c r="I2037" i="2" s="1"/>
  <c r="I2067" i="2" s="1"/>
  <c r="I2097" i="2" s="1"/>
  <c r="I2127" i="2" s="1"/>
  <c r="I2157" i="2" s="1"/>
  <c r="I2187" i="2" s="1"/>
  <c r="I2217" i="2" s="1"/>
  <c r="I2247" i="2" s="1"/>
  <c r="I2277" i="2" s="1"/>
  <c r="I2307" i="2" s="1"/>
  <c r="I2337" i="2" s="1"/>
  <c r="I2367" i="2" s="1"/>
  <c r="I2397" i="2" s="1"/>
  <c r="I91" i="2"/>
  <c r="I121" i="2" s="1"/>
  <c r="I151" i="2" s="1"/>
  <c r="I181" i="2" s="1"/>
  <c r="I211" i="2" s="1"/>
  <c r="I241" i="2" s="1"/>
  <c r="I271" i="2" s="1"/>
  <c r="I301" i="2" s="1"/>
  <c r="I331" i="2" s="1"/>
  <c r="I361" i="2" s="1"/>
  <c r="I391" i="2" s="1"/>
  <c r="I421" i="2" s="1"/>
  <c r="I451" i="2" s="1"/>
  <c r="I481" i="2" s="1"/>
  <c r="I511" i="2" s="1"/>
  <c r="I541" i="2" s="1"/>
  <c r="I571" i="2" s="1"/>
  <c r="I601" i="2" s="1"/>
  <c r="I631" i="2" s="1"/>
  <c r="I661" i="2" s="1"/>
  <c r="I691" i="2" s="1"/>
  <c r="I721" i="2" s="1"/>
  <c r="I96" i="2"/>
  <c r="I126" i="2" s="1"/>
  <c r="I156" i="2" s="1"/>
  <c r="I186" i="2" s="1"/>
  <c r="I216" i="2" s="1"/>
  <c r="I246" i="2" s="1"/>
  <c r="I276" i="2" s="1"/>
  <c r="I306" i="2" s="1"/>
  <c r="I336" i="2" s="1"/>
  <c r="I366" i="2" s="1"/>
  <c r="I396" i="2" s="1"/>
  <c r="I426" i="2" s="1"/>
  <c r="I456" i="2" s="1"/>
  <c r="I486" i="2" s="1"/>
  <c r="I516" i="2" s="1"/>
  <c r="I546" i="2" s="1"/>
  <c r="I576" i="2" s="1"/>
  <c r="I606" i="2" s="1"/>
  <c r="I636" i="2" s="1"/>
  <c r="I666" i="2" s="1"/>
  <c r="I696" i="2" s="1"/>
  <c r="I726" i="2" s="1"/>
  <c r="I756" i="2" s="1"/>
  <c r="I786" i="2" s="1"/>
  <c r="I816" i="2" s="1"/>
  <c r="I846" i="2" s="1"/>
  <c r="I876" i="2" s="1"/>
  <c r="I906" i="2" s="1"/>
  <c r="I936" i="2" s="1"/>
  <c r="I966" i="2" s="1"/>
  <c r="I996" i="2" s="1"/>
  <c r="I1026" i="2" s="1"/>
  <c r="I1056" i="2" s="1"/>
  <c r="I1086" i="2" s="1"/>
  <c r="I1116" i="2" s="1"/>
  <c r="I1146" i="2" s="1"/>
  <c r="I1176" i="2" s="1"/>
  <c r="I1206" i="2" s="1"/>
  <c r="I1236" i="2" s="1"/>
  <c r="I1266" i="2" s="1"/>
  <c r="I1296" i="2" s="1"/>
  <c r="I1326" i="2" s="1"/>
  <c r="I1356" i="2" s="1"/>
  <c r="I1386" i="2" s="1"/>
  <c r="I1416" i="2" s="1"/>
  <c r="I1446" i="2" s="1"/>
  <c r="I1476" i="2" s="1"/>
  <c r="I1506" i="2" s="1"/>
  <c r="I1536" i="2" s="1"/>
  <c r="I1566" i="2" s="1"/>
  <c r="I1596" i="2" s="1"/>
  <c r="I1626" i="2" s="1"/>
  <c r="I1656" i="2" s="1"/>
  <c r="I1686" i="2" s="1"/>
  <c r="I1716" i="2" s="1"/>
  <c r="I1746" i="2" s="1"/>
  <c r="I1776" i="2" s="1"/>
  <c r="I1806" i="2" s="1"/>
  <c r="I1836" i="2" s="1"/>
  <c r="I1866" i="2" s="1"/>
  <c r="I1896" i="2" s="1"/>
  <c r="I1926" i="2" s="1"/>
  <c r="I1956" i="2" s="1"/>
  <c r="I1986" i="2" s="1"/>
  <c r="I2016" i="2" s="1"/>
  <c r="I2046" i="2" s="1"/>
  <c r="I2076" i="2" s="1"/>
  <c r="I2106" i="2" s="1"/>
  <c r="I2136" i="2" s="1"/>
  <c r="I2166" i="2" s="1"/>
  <c r="I2196" i="2" s="1"/>
  <c r="I2226" i="2" s="1"/>
  <c r="I2256" i="2" s="1"/>
  <c r="I2286" i="2" s="1"/>
  <c r="I2316" i="2" s="1"/>
  <c r="I2346" i="2" s="1"/>
  <c r="I2376" i="2" s="1"/>
  <c r="I99" i="2"/>
  <c r="I129" i="2" s="1"/>
  <c r="I106" i="2"/>
  <c r="I136" i="2" s="1"/>
  <c r="I166" i="2" s="1"/>
  <c r="I196" i="2" s="1"/>
  <c r="I226" i="2" s="1"/>
  <c r="I256" i="2" s="1"/>
  <c r="I286" i="2" s="1"/>
  <c r="I316" i="2" s="1"/>
  <c r="I346" i="2" s="1"/>
  <c r="I376" i="2" s="1"/>
  <c r="I406" i="2" s="1"/>
  <c r="I436" i="2" s="1"/>
  <c r="I466" i="2" s="1"/>
  <c r="I496" i="2" s="1"/>
  <c r="I526" i="2" s="1"/>
  <c r="I556" i="2" s="1"/>
  <c r="I586" i="2" s="1"/>
  <c r="I616" i="2" s="1"/>
  <c r="I646" i="2" s="1"/>
  <c r="I676" i="2" s="1"/>
  <c r="I706" i="2" s="1"/>
  <c r="I736" i="2" s="1"/>
  <c r="I766" i="2" s="1"/>
  <c r="I796" i="2" s="1"/>
  <c r="I826" i="2" s="1"/>
  <c r="I856" i="2" s="1"/>
  <c r="I886" i="2" s="1"/>
  <c r="I916" i="2" s="1"/>
  <c r="I946" i="2" s="1"/>
  <c r="I976" i="2" s="1"/>
  <c r="I1006" i="2" s="1"/>
  <c r="I1036" i="2" s="1"/>
  <c r="I1066" i="2" s="1"/>
  <c r="I1096" i="2" s="1"/>
  <c r="I1126" i="2" s="1"/>
  <c r="I1156" i="2" s="1"/>
  <c r="I1186" i="2" s="1"/>
  <c r="I1216" i="2" s="1"/>
  <c r="I1246" i="2" s="1"/>
  <c r="I1276" i="2" s="1"/>
  <c r="I1306" i="2" s="1"/>
  <c r="I1336" i="2" s="1"/>
  <c r="I1366" i="2" s="1"/>
  <c r="I1396" i="2" s="1"/>
  <c r="I1426" i="2" s="1"/>
  <c r="I1456" i="2" s="1"/>
  <c r="I1486" i="2" s="1"/>
  <c r="I1516" i="2" s="1"/>
  <c r="I1546" i="2" s="1"/>
  <c r="I1576" i="2" s="1"/>
  <c r="I1606" i="2" s="1"/>
  <c r="I1636" i="2" s="1"/>
  <c r="I1666" i="2" s="1"/>
  <c r="I1696" i="2" s="1"/>
  <c r="I1726" i="2" s="1"/>
  <c r="I1756" i="2" s="1"/>
  <c r="I1786" i="2" s="1"/>
  <c r="I1816" i="2" s="1"/>
  <c r="I1846" i="2" s="1"/>
  <c r="I1876" i="2" s="1"/>
  <c r="I1906" i="2" s="1"/>
  <c r="I1936" i="2" s="1"/>
  <c r="I1966" i="2" s="1"/>
  <c r="I1996" i="2" s="1"/>
  <c r="I2026" i="2" s="1"/>
  <c r="I2056" i="2" s="1"/>
  <c r="I2086" i="2" s="1"/>
  <c r="I2116" i="2" s="1"/>
  <c r="I2146" i="2" s="1"/>
  <c r="I2176" i="2" s="1"/>
  <c r="I2206" i="2" s="1"/>
  <c r="I2236" i="2" s="1"/>
  <c r="I2266" i="2" s="1"/>
  <c r="I2296" i="2" s="1"/>
  <c r="I2326" i="2" s="1"/>
  <c r="I2356" i="2" s="1"/>
  <c r="I2386" i="2" s="1"/>
  <c r="I111" i="2"/>
  <c r="I141" i="2" s="1"/>
  <c r="I171" i="2" s="1"/>
  <c r="I201" i="2" s="1"/>
  <c r="I231" i="2" s="1"/>
  <c r="I261" i="2" s="1"/>
  <c r="I291" i="2" s="1"/>
  <c r="I321" i="2" s="1"/>
  <c r="I351" i="2" s="1"/>
  <c r="I381" i="2" s="1"/>
  <c r="I411" i="2" s="1"/>
  <c r="I441" i="2" s="1"/>
  <c r="I471" i="2" s="1"/>
  <c r="I501" i="2" s="1"/>
  <c r="I531" i="2" s="1"/>
  <c r="I561" i="2" s="1"/>
  <c r="I591" i="2" s="1"/>
  <c r="I621" i="2" s="1"/>
  <c r="I651" i="2" s="1"/>
  <c r="I681" i="2" s="1"/>
  <c r="I711" i="2" s="1"/>
  <c r="I741" i="2" s="1"/>
  <c r="I771" i="2" s="1"/>
  <c r="I801" i="2" s="1"/>
  <c r="I831" i="2" s="1"/>
  <c r="I861" i="2" s="1"/>
  <c r="I891" i="2" s="1"/>
  <c r="I921" i="2" s="1"/>
  <c r="I951" i="2" s="1"/>
  <c r="I981" i="2" s="1"/>
  <c r="I1011" i="2" s="1"/>
  <c r="I1041" i="2" s="1"/>
  <c r="I1071" i="2" s="1"/>
  <c r="I1101" i="2" s="1"/>
  <c r="I1131" i="2" s="1"/>
  <c r="I1161" i="2" s="1"/>
  <c r="I1191" i="2" s="1"/>
  <c r="I1221" i="2" s="1"/>
  <c r="I1251" i="2" s="1"/>
  <c r="I1281" i="2" s="1"/>
  <c r="I1311" i="2" s="1"/>
  <c r="I1341" i="2" s="1"/>
  <c r="I1371" i="2" s="1"/>
  <c r="I1401" i="2" s="1"/>
  <c r="I1431" i="2" s="1"/>
  <c r="I1461" i="2" s="1"/>
  <c r="I1491" i="2" s="1"/>
  <c r="I1521" i="2" s="1"/>
  <c r="I1551" i="2" s="1"/>
  <c r="I1581" i="2" s="1"/>
  <c r="I1611" i="2" s="1"/>
  <c r="I1641" i="2" s="1"/>
  <c r="I1671" i="2" s="1"/>
  <c r="I1701" i="2" s="1"/>
  <c r="I1731" i="2" s="1"/>
  <c r="I1761" i="2" s="1"/>
  <c r="I1791" i="2" s="1"/>
  <c r="I1821" i="2" s="1"/>
  <c r="I1851" i="2" s="1"/>
  <c r="I1881" i="2" s="1"/>
  <c r="I1911" i="2" s="1"/>
  <c r="I1941" i="2" s="1"/>
  <c r="I1971" i="2" s="1"/>
  <c r="I2001" i="2" s="1"/>
  <c r="I2031" i="2" s="1"/>
  <c r="I2061" i="2" s="1"/>
  <c r="I2091" i="2" s="1"/>
  <c r="I2121" i="2" s="1"/>
  <c r="I2151" i="2" s="1"/>
  <c r="I2181" i="2" s="1"/>
  <c r="I2211" i="2" s="1"/>
  <c r="I2241" i="2" s="1"/>
  <c r="I2271" i="2" s="1"/>
  <c r="I2301" i="2" s="1"/>
  <c r="I2331" i="2" s="1"/>
  <c r="I2361" i="2" s="1"/>
  <c r="I2391" i="2" s="1"/>
  <c r="I115" i="2"/>
  <c r="I145" i="2" s="1"/>
  <c r="I123" i="2"/>
  <c r="I153" i="2" s="1"/>
  <c r="I183" i="2" s="1"/>
  <c r="I213" i="2" s="1"/>
  <c r="I243" i="2" s="1"/>
  <c r="I273" i="2" s="1"/>
  <c r="I303" i="2" s="1"/>
  <c r="I333" i="2" s="1"/>
  <c r="I363" i="2" s="1"/>
  <c r="I393" i="2" s="1"/>
  <c r="I423" i="2" s="1"/>
  <c r="I453" i="2" s="1"/>
  <c r="I483" i="2" s="1"/>
  <c r="I513" i="2" s="1"/>
  <c r="I543" i="2" s="1"/>
  <c r="I573" i="2" s="1"/>
  <c r="I603" i="2" s="1"/>
  <c r="I633" i="2" s="1"/>
  <c r="I663" i="2" s="1"/>
  <c r="I693" i="2" s="1"/>
  <c r="I723" i="2" s="1"/>
  <c r="I753" i="2" s="1"/>
  <c r="I783" i="2" s="1"/>
  <c r="I813" i="2" s="1"/>
  <c r="I843" i="2" s="1"/>
  <c r="I873" i="2" s="1"/>
  <c r="I903" i="2" s="1"/>
  <c r="I933" i="2" s="1"/>
  <c r="I963" i="2" s="1"/>
  <c r="I993" i="2" s="1"/>
  <c r="I1023" i="2" s="1"/>
  <c r="I1053" i="2" s="1"/>
  <c r="I1083" i="2" s="1"/>
  <c r="I1113" i="2" s="1"/>
  <c r="I1143" i="2" s="1"/>
  <c r="I1173" i="2" s="1"/>
  <c r="I1203" i="2" s="1"/>
  <c r="I1233" i="2" s="1"/>
  <c r="I1263" i="2" s="1"/>
  <c r="I1293" i="2" s="1"/>
  <c r="I1323" i="2" s="1"/>
  <c r="I1353" i="2" s="1"/>
  <c r="I1383" i="2" s="1"/>
  <c r="I1413" i="2" s="1"/>
  <c r="I1443" i="2" s="1"/>
  <c r="I1473" i="2" s="1"/>
  <c r="I1503" i="2" s="1"/>
  <c r="I1533" i="2" s="1"/>
  <c r="I1563" i="2" s="1"/>
  <c r="I1593" i="2" s="1"/>
  <c r="I1623" i="2" s="1"/>
  <c r="I1653" i="2" s="1"/>
  <c r="I1683" i="2" s="1"/>
  <c r="I1713" i="2" s="1"/>
  <c r="I1743" i="2" s="1"/>
  <c r="I1773" i="2" s="1"/>
  <c r="I1803" i="2" s="1"/>
  <c r="I1833" i="2" s="1"/>
  <c r="I1863" i="2" s="1"/>
  <c r="I1893" i="2" s="1"/>
  <c r="I1923" i="2" s="1"/>
  <c r="I1953" i="2" s="1"/>
  <c r="I1983" i="2" s="1"/>
  <c r="I2013" i="2" s="1"/>
  <c r="I2043" i="2" s="1"/>
  <c r="I2073" i="2" s="1"/>
  <c r="I2103" i="2" s="1"/>
  <c r="I2133" i="2" s="1"/>
  <c r="I2163" i="2" s="1"/>
  <c r="I2193" i="2" s="1"/>
  <c r="I2223" i="2" s="1"/>
  <c r="I2253" i="2" s="1"/>
  <c r="I2283" i="2" s="1"/>
  <c r="I2313" i="2" s="1"/>
  <c r="I2343" i="2" s="1"/>
  <c r="I2373" i="2" s="1"/>
  <c r="I131" i="2"/>
  <c r="I161" i="2" s="1"/>
  <c r="I142" i="2"/>
  <c r="I172" i="2" s="1"/>
  <c r="I143" i="2"/>
  <c r="I173" i="2" s="1"/>
  <c r="I203" i="2" s="1"/>
  <c r="I233" i="2" s="1"/>
  <c r="I263" i="2" s="1"/>
  <c r="I293" i="2" s="1"/>
  <c r="I323" i="2" s="1"/>
  <c r="I353" i="2" s="1"/>
  <c r="I383" i="2" s="1"/>
  <c r="I413" i="2" s="1"/>
  <c r="I443" i="2" s="1"/>
  <c r="I473" i="2" s="1"/>
  <c r="I503" i="2" s="1"/>
  <c r="I533" i="2" s="1"/>
  <c r="I563" i="2" s="1"/>
  <c r="I593" i="2" s="1"/>
  <c r="I623" i="2" s="1"/>
  <c r="I653" i="2" s="1"/>
  <c r="I683" i="2" s="1"/>
  <c r="I713" i="2" s="1"/>
  <c r="I159" i="2"/>
  <c r="I189" i="2" s="1"/>
  <c r="I219" i="2" s="1"/>
  <c r="I249" i="2" s="1"/>
  <c r="I279" i="2" s="1"/>
  <c r="I309" i="2" s="1"/>
  <c r="I339" i="2" s="1"/>
  <c r="I369" i="2" s="1"/>
  <c r="I399" i="2" s="1"/>
  <c r="I429" i="2" s="1"/>
  <c r="I459" i="2" s="1"/>
  <c r="I489" i="2" s="1"/>
  <c r="I519" i="2" s="1"/>
  <c r="I549" i="2" s="1"/>
  <c r="I579" i="2" s="1"/>
  <c r="I609" i="2" s="1"/>
  <c r="I639" i="2" s="1"/>
  <c r="I669" i="2" s="1"/>
  <c r="I699" i="2" s="1"/>
  <c r="I729" i="2" s="1"/>
  <c r="I759" i="2" s="1"/>
  <c r="I789" i="2" s="1"/>
  <c r="I819" i="2" s="1"/>
  <c r="I849" i="2" s="1"/>
  <c r="I879" i="2" s="1"/>
  <c r="I909" i="2" s="1"/>
  <c r="I939" i="2" s="1"/>
  <c r="I969" i="2" s="1"/>
  <c r="I999" i="2" s="1"/>
  <c r="I1029" i="2" s="1"/>
  <c r="I1059" i="2" s="1"/>
  <c r="I1089" i="2" s="1"/>
  <c r="I1119" i="2" s="1"/>
  <c r="I1149" i="2" s="1"/>
  <c r="I1179" i="2" s="1"/>
  <c r="I1209" i="2" s="1"/>
  <c r="I1239" i="2" s="1"/>
  <c r="I1269" i="2" s="1"/>
  <c r="I1299" i="2" s="1"/>
  <c r="I1329" i="2" s="1"/>
  <c r="I1359" i="2" s="1"/>
  <c r="I1389" i="2" s="1"/>
  <c r="I1419" i="2" s="1"/>
  <c r="I1449" i="2" s="1"/>
  <c r="I1479" i="2" s="1"/>
  <c r="I1509" i="2" s="1"/>
  <c r="I1539" i="2" s="1"/>
  <c r="I1569" i="2" s="1"/>
  <c r="I1599" i="2" s="1"/>
  <c r="I1629" i="2" s="1"/>
  <c r="I1659" i="2" s="1"/>
  <c r="I1689" i="2" s="1"/>
  <c r="I1719" i="2" s="1"/>
  <c r="I1749" i="2" s="1"/>
  <c r="I1779" i="2" s="1"/>
  <c r="I1809" i="2" s="1"/>
  <c r="I1839" i="2" s="1"/>
  <c r="I1869" i="2" s="1"/>
  <c r="I1899" i="2" s="1"/>
  <c r="I1929" i="2" s="1"/>
  <c r="I1959" i="2" s="1"/>
  <c r="I1989" i="2" s="1"/>
  <c r="I2019" i="2" s="1"/>
  <c r="I2049" i="2" s="1"/>
  <c r="I2079" i="2" s="1"/>
  <c r="I2109" i="2" s="1"/>
  <c r="I2139" i="2" s="1"/>
  <c r="I2169" i="2" s="1"/>
  <c r="I2199" i="2" s="1"/>
  <c r="I2229" i="2" s="1"/>
  <c r="I2259" i="2" s="1"/>
  <c r="I2289" i="2" s="1"/>
  <c r="I2319" i="2" s="1"/>
  <c r="I2349" i="2" s="1"/>
  <c r="I2379" i="2" s="1"/>
  <c r="I163" i="2"/>
  <c r="I193" i="2" s="1"/>
  <c r="I223" i="2" s="1"/>
  <c r="I253" i="2" s="1"/>
  <c r="I283" i="2" s="1"/>
  <c r="I313" i="2" s="1"/>
  <c r="I343" i="2" s="1"/>
  <c r="I373" i="2" s="1"/>
  <c r="I403" i="2" s="1"/>
  <c r="I433" i="2" s="1"/>
  <c r="I463" i="2" s="1"/>
  <c r="I493" i="2" s="1"/>
  <c r="I523" i="2" s="1"/>
  <c r="I553" i="2" s="1"/>
  <c r="I583" i="2" s="1"/>
  <c r="I613" i="2" s="1"/>
  <c r="I643" i="2" s="1"/>
  <c r="I673" i="2" s="1"/>
  <c r="I703" i="2" s="1"/>
  <c r="I733" i="2" s="1"/>
  <c r="I763" i="2" s="1"/>
  <c r="I793" i="2" s="1"/>
  <c r="I823" i="2" s="1"/>
  <c r="I853" i="2" s="1"/>
  <c r="I883" i="2" s="1"/>
  <c r="I913" i="2" s="1"/>
  <c r="I943" i="2" s="1"/>
  <c r="I973" i="2" s="1"/>
  <c r="I1003" i="2" s="1"/>
  <c r="I1033" i="2" s="1"/>
  <c r="I1063" i="2" s="1"/>
  <c r="I1093" i="2" s="1"/>
  <c r="I1123" i="2" s="1"/>
  <c r="I1153" i="2" s="1"/>
  <c r="I1183" i="2" s="1"/>
  <c r="I1213" i="2" s="1"/>
  <c r="I1243" i="2" s="1"/>
  <c r="I1273" i="2" s="1"/>
  <c r="I1303" i="2" s="1"/>
  <c r="I1333" i="2" s="1"/>
  <c r="I1363" i="2" s="1"/>
  <c r="I1393" i="2" s="1"/>
  <c r="I1423" i="2" s="1"/>
  <c r="I1453" i="2" s="1"/>
  <c r="I1483" i="2" s="1"/>
  <c r="I1513" i="2" s="1"/>
  <c r="I1543" i="2" s="1"/>
  <c r="I1573" i="2" s="1"/>
  <c r="I1603" i="2" s="1"/>
  <c r="I1633" i="2" s="1"/>
  <c r="I1663" i="2" s="1"/>
  <c r="I1693" i="2" s="1"/>
  <c r="I1723" i="2" s="1"/>
  <c r="I1753" i="2" s="1"/>
  <c r="I1783" i="2" s="1"/>
  <c r="I1813" i="2" s="1"/>
  <c r="I1843" i="2" s="1"/>
  <c r="I1873" i="2" s="1"/>
  <c r="I1903" i="2" s="1"/>
  <c r="I1933" i="2" s="1"/>
  <c r="I1963" i="2" s="1"/>
  <c r="I1993" i="2" s="1"/>
  <c r="I2023" i="2" s="1"/>
  <c r="I2053" i="2" s="1"/>
  <c r="I2083" i="2" s="1"/>
  <c r="I2113" i="2" s="1"/>
  <c r="I2143" i="2" s="1"/>
  <c r="I2173" i="2" s="1"/>
  <c r="I2203" i="2" s="1"/>
  <c r="I2233" i="2" s="1"/>
  <c r="I2263" i="2" s="1"/>
  <c r="I2293" i="2" s="1"/>
  <c r="I2323" i="2" s="1"/>
  <c r="I2353" i="2" s="1"/>
  <c r="I2383" i="2" s="1"/>
  <c r="I175" i="2"/>
  <c r="I205" i="2" s="1"/>
  <c r="I235" i="2" s="1"/>
  <c r="I265" i="2" s="1"/>
  <c r="I295" i="2" s="1"/>
  <c r="I325" i="2" s="1"/>
  <c r="I355" i="2" s="1"/>
  <c r="I385" i="2" s="1"/>
  <c r="I415" i="2" s="1"/>
  <c r="I445" i="2" s="1"/>
  <c r="I475" i="2" s="1"/>
  <c r="I505" i="2" s="1"/>
  <c r="I535" i="2" s="1"/>
  <c r="I565" i="2" s="1"/>
  <c r="I595" i="2" s="1"/>
  <c r="I625" i="2" s="1"/>
  <c r="I655" i="2" s="1"/>
  <c r="I685" i="2" s="1"/>
  <c r="I715" i="2" s="1"/>
  <c r="I745" i="2" s="1"/>
  <c r="I775" i="2" s="1"/>
  <c r="I805" i="2" s="1"/>
  <c r="I835" i="2" s="1"/>
  <c r="I865" i="2" s="1"/>
  <c r="I895" i="2" s="1"/>
  <c r="I925" i="2" s="1"/>
  <c r="I955" i="2" s="1"/>
  <c r="I985" i="2" s="1"/>
  <c r="I1015" i="2" s="1"/>
  <c r="I1045" i="2" s="1"/>
  <c r="I1075" i="2" s="1"/>
  <c r="I1105" i="2" s="1"/>
  <c r="I1135" i="2" s="1"/>
  <c r="I1165" i="2" s="1"/>
  <c r="I1195" i="2" s="1"/>
  <c r="I1225" i="2" s="1"/>
  <c r="I1255" i="2" s="1"/>
  <c r="I1285" i="2" s="1"/>
  <c r="I1315" i="2" s="1"/>
  <c r="I1345" i="2" s="1"/>
  <c r="I1375" i="2" s="1"/>
  <c r="I1405" i="2" s="1"/>
  <c r="I1435" i="2" s="1"/>
  <c r="I1465" i="2" s="1"/>
  <c r="I1495" i="2" s="1"/>
  <c r="I1525" i="2" s="1"/>
  <c r="I1555" i="2" s="1"/>
  <c r="I1585" i="2" s="1"/>
  <c r="I1615" i="2" s="1"/>
  <c r="I1645" i="2" s="1"/>
  <c r="I1675" i="2" s="1"/>
  <c r="I1705" i="2" s="1"/>
  <c r="I1735" i="2" s="1"/>
  <c r="I1765" i="2" s="1"/>
  <c r="I1795" i="2" s="1"/>
  <c r="I1825" i="2" s="1"/>
  <c r="I1855" i="2" s="1"/>
  <c r="I1885" i="2" s="1"/>
  <c r="I1915" i="2" s="1"/>
  <c r="I1945" i="2" s="1"/>
  <c r="I1975" i="2" s="1"/>
  <c r="I2005" i="2" s="1"/>
  <c r="I2035" i="2" s="1"/>
  <c r="I2065" i="2" s="1"/>
  <c r="I2095" i="2" s="1"/>
  <c r="I2125" i="2" s="1"/>
  <c r="I2155" i="2" s="1"/>
  <c r="I2185" i="2" s="1"/>
  <c r="I2215" i="2" s="1"/>
  <c r="I2245" i="2" s="1"/>
  <c r="I2275" i="2" s="1"/>
  <c r="I2305" i="2" s="1"/>
  <c r="I2335" i="2" s="1"/>
  <c r="I2365" i="2" s="1"/>
  <c r="I2395" i="2" s="1"/>
  <c r="I191" i="2"/>
  <c r="I221" i="2" s="1"/>
  <c r="I251" i="2" s="1"/>
  <c r="I281" i="2" s="1"/>
  <c r="I311" i="2" s="1"/>
  <c r="I341" i="2" s="1"/>
  <c r="I371" i="2" s="1"/>
  <c r="I401" i="2" s="1"/>
  <c r="I431" i="2" s="1"/>
  <c r="I461" i="2" s="1"/>
  <c r="I491" i="2" s="1"/>
  <c r="I521" i="2" s="1"/>
  <c r="I551" i="2" s="1"/>
  <c r="I581" i="2" s="1"/>
  <c r="I611" i="2" s="1"/>
  <c r="I641" i="2" s="1"/>
  <c r="I671" i="2" s="1"/>
  <c r="I701" i="2" s="1"/>
  <c r="I731" i="2" s="1"/>
  <c r="I761" i="2" s="1"/>
  <c r="I791" i="2" s="1"/>
  <c r="I821" i="2" s="1"/>
  <c r="I851" i="2" s="1"/>
  <c r="I881" i="2" s="1"/>
  <c r="I911" i="2" s="1"/>
  <c r="I941" i="2" s="1"/>
  <c r="I971" i="2" s="1"/>
  <c r="I1001" i="2" s="1"/>
  <c r="I1031" i="2" s="1"/>
  <c r="I1061" i="2" s="1"/>
  <c r="I1091" i="2" s="1"/>
  <c r="I1121" i="2" s="1"/>
  <c r="I1151" i="2" s="1"/>
  <c r="I1181" i="2" s="1"/>
  <c r="I1211" i="2" s="1"/>
  <c r="I1241" i="2" s="1"/>
  <c r="I1271" i="2" s="1"/>
  <c r="I1301" i="2" s="1"/>
  <c r="I1331" i="2" s="1"/>
  <c r="I1361" i="2" s="1"/>
  <c r="I1391" i="2" s="1"/>
  <c r="I1421" i="2" s="1"/>
  <c r="I1451" i="2" s="1"/>
  <c r="I1481" i="2" s="1"/>
  <c r="I1511" i="2" s="1"/>
  <c r="I1541" i="2" s="1"/>
  <c r="I1571" i="2" s="1"/>
  <c r="I1601" i="2" s="1"/>
  <c r="I1631" i="2" s="1"/>
  <c r="I1661" i="2" s="1"/>
  <c r="I1691" i="2" s="1"/>
  <c r="I1721" i="2" s="1"/>
  <c r="I1751" i="2" s="1"/>
  <c r="I1781" i="2" s="1"/>
  <c r="I1811" i="2" s="1"/>
  <c r="I1841" i="2" s="1"/>
  <c r="I1871" i="2" s="1"/>
  <c r="I1901" i="2" s="1"/>
  <c r="I1931" i="2" s="1"/>
  <c r="I1961" i="2" s="1"/>
  <c r="I1991" i="2" s="1"/>
  <c r="I2021" i="2" s="1"/>
  <c r="I2051" i="2" s="1"/>
  <c r="I2081" i="2" s="1"/>
  <c r="I2111" i="2" s="1"/>
  <c r="I2141" i="2" s="1"/>
  <c r="I2171" i="2" s="1"/>
  <c r="I2201" i="2" s="1"/>
  <c r="I2231" i="2" s="1"/>
  <c r="I2261" i="2" s="1"/>
  <c r="I2291" i="2" s="1"/>
  <c r="I2321" i="2" s="1"/>
  <c r="I2351" i="2" s="1"/>
  <c r="I2381" i="2" s="1"/>
  <c r="I195" i="2"/>
  <c r="I225" i="2" s="1"/>
  <c r="I202" i="2"/>
  <c r="I232" i="2" s="1"/>
  <c r="I262" i="2" s="1"/>
  <c r="I292" i="2" s="1"/>
  <c r="I322" i="2" s="1"/>
  <c r="I352" i="2" s="1"/>
  <c r="I382" i="2" s="1"/>
  <c r="I412" i="2" s="1"/>
  <c r="I442" i="2" s="1"/>
  <c r="I472" i="2" s="1"/>
  <c r="I502" i="2" s="1"/>
  <c r="I532" i="2" s="1"/>
  <c r="I562" i="2" s="1"/>
  <c r="I592" i="2" s="1"/>
  <c r="I622" i="2" s="1"/>
  <c r="I652" i="2" s="1"/>
  <c r="I682" i="2" s="1"/>
  <c r="I712" i="2" s="1"/>
  <c r="I742" i="2" s="1"/>
  <c r="I772" i="2" s="1"/>
  <c r="I802" i="2" s="1"/>
  <c r="I832" i="2" s="1"/>
  <c r="I862" i="2" s="1"/>
  <c r="I892" i="2" s="1"/>
  <c r="I922" i="2" s="1"/>
  <c r="I952" i="2" s="1"/>
  <c r="I982" i="2" s="1"/>
  <c r="I1012" i="2" s="1"/>
  <c r="I1042" i="2" s="1"/>
  <c r="I1072" i="2" s="1"/>
  <c r="I1102" i="2" s="1"/>
  <c r="I1132" i="2" s="1"/>
  <c r="I1162" i="2" s="1"/>
  <c r="I1192" i="2" s="1"/>
  <c r="I1222" i="2" s="1"/>
  <c r="I1252" i="2" s="1"/>
  <c r="I1282" i="2" s="1"/>
  <c r="I1312" i="2" s="1"/>
  <c r="I1342" i="2" s="1"/>
  <c r="I1372" i="2" s="1"/>
  <c r="I1402" i="2" s="1"/>
  <c r="I1432" i="2" s="1"/>
  <c r="I1462" i="2" s="1"/>
  <c r="I1492" i="2" s="1"/>
  <c r="I1522" i="2" s="1"/>
  <c r="I1552" i="2" s="1"/>
  <c r="I1582" i="2" s="1"/>
  <c r="I1612" i="2" s="1"/>
  <c r="I1642" i="2" s="1"/>
  <c r="I1672" i="2" s="1"/>
  <c r="I1702" i="2" s="1"/>
  <c r="I1732" i="2" s="1"/>
  <c r="I1762" i="2" s="1"/>
  <c r="I1792" i="2" s="1"/>
  <c r="I1822" i="2" s="1"/>
  <c r="I1852" i="2" s="1"/>
  <c r="I1882" i="2" s="1"/>
  <c r="I1912" i="2" s="1"/>
  <c r="I1942" i="2" s="1"/>
  <c r="I1972" i="2" s="1"/>
  <c r="I2002" i="2" s="1"/>
  <c r="I2032" i="2" s="1"/>
  <c r="I2062" i="2" s="1"/>
  <c r="I2092" i="2" s="1"/>
  <c r="I2122" i="2" s="1"/>
  <c r="I2152" i="2" s="1"/>
  <c r="I2182" i="2" s="1"/>
  <c r="I2212" i="2" s="1"/>
  <c r="I2242" i="2" s="1"/>
  <c r="I2272" i="2" s="1"/>
  <c r="I2302" i="2" s="1"/>
  <c r="I2332" i="2" s="1"/>
  <c r="I2362" i="2" s="1"/>
  <c r="I2392" i="2" s="1"/>
  <c r="I255" i="2"/>
  <c r="I285" i="2" s="1"/>
  <c r="I315" i="2" s="1"/>
  <c r="I345" i="2" s="1"/>
  <c r="I375" i="2" s="1"/>
  <c r="I405" i="2" s="1"/>
  <c r="I435" i="2" s="1"/>
  <c r="I465" i="2" s="1"/>
  <c r="I495" i="2" s="1"/>
  <c r="I525" i="2" s="1"/>
  <c r="I555" i="2" s="1"/>
  <c r="I585" i="2" s="1"/>
  <c r="I615" i="2" s="1"/>
  <c r="I645" i="2" s="1"/>
  <c r="I675" i="2" s="1"/>
  <c r="I705" i="2" s="1"/>
  <c r="I735" i="2" s="1"/>
  <c r="I765" i="2" s="1"/>
  <c r="I795" i="2" s="1"/>
  <c r="I825" i="2" s="1"/>
  <c r="I855" i="2" s="1"/>
  <c r="I885" i="2" s="1"/>
  <c r="I915" i="2" s="1"/>
  <c r="I945" i="2" s="1"/>
  <c r="I975" i="2" s="1"/>
  <c r="I1005" i="2" s="1"/>
  <c r="I1035" i="2" s="1"/>
  <c r="I1065" i="2" s="1"/>
  <c r="I1095" i="2" s="1"/>
  <c r="I1125" i="2" s="1"/>
  <c r="I1155" i="2" s="1"/>
  <c r="I1185" i="2" s="1"/>
  <c r="I1215" i="2" s="1"/>
  <c r="I1245" i="2" s="1"/>
  <c r="I1275" i="2" s="1"/>
  <c r="I1305" i="2" s="1"/>
  <c r="I1335" i="2" s="1"/>
  <c r="I1365" i="2" s="1"/>
  <c r="I1395" i="2" s="1"/>
  <c r="I1425" i="2" s="1"/>
  <c r="I1455" i="2" s="1"/>
  <c r="I1485" i="2" s="1"/>
  <c r="I1515" i="2" s="1"/>
  <c r="I1545" i="2" s="1"/>
  <c r="I1575" i="2" s="1"/>
  <c r="I1605" i="2" s="1"/>
  <c r="I1635" i="2" s="1"/>
  <c r="I1665" i="2" s="1"/>
  <c r="I1695" i="2" s="1"/>
  <c r="I1725" i="2" s="1"/>
  <c r="I1755" i="2" s="1"/>
  <c r="I1785" i="2" s="1"/>
  <c r="I1815" i="2" s="1"/>
  <c r="I1845" i="2" s="1"/>
  <c r="I1875" i="2" s="1"/>
  <c r="I1905" i="2" s="1"/>
  <c r="I1935" i="2" s="1"/>
  <c r="I1965" i="2" s="1"/>
  <c r="I1995" i="2" s="1"/>
  <c r="I2025" i="2" s="1"/>
  <c r="I2055" i="2" s="1"/>
  <c r="I2085" i="2" s="1"/>
  <c r="I2115" i="2" s="1"/>
  <c r="I2145" i="2" s="1"/>
  <c r="I2175" i="2" s="1"/>
  <c r="I2205" i="2" s="1"/>
  <c r="I2235" i="2" s="1"/>
  <c r="I2265" i="2" s="1"/>
  <c r="I2295" i="2" s="1"/>
  <c r="I2325" i="2" s="1"/>
  <c r="I2355" i="2" s="1"/>
  <c r="I2385" i="2" s="1"/>
  <c r="I743" i="2"/>
  <c r="I773" i="2" s="1"/>
  <c r="I803" i="2" s="1"/>
  <c r="I833" i="2" s="1"/>
  <c r="I863" i="2" s="1"/>
  <c r="I893" i="2" s="1"/>
  <c r="I923" i="2" s="1"/>
  <c r="I953" i="2" s="1"/>
  <c r="I983" i="2" s="1"/>
  <c r="I1013" i="2" s="1"/>
  <c r="I1043" i="2" s="1"/>
  <c r="I1073" i="2" s="1"/>
  <c r="I1103" i="2" s="1"/>
  <c r="I1133" i="2" s="1"/>
  <c r="I1163" i="2" s="1"/>
  <c r="I1193" i="2" s="1"/>
  <c r="I1223" i="2" s="1"/>
  <c r="I1253" i="2" s="1"/>
  <c r="I1283" i="2" s="1"/>
  <c r="I1313" i="2" s="1"/>
  <c r="I1343" i="2" s="1"/>
  <c r="I1373" i="2" s="1"/>
  <c r="I1403" i="2" s="1"/>
  <c r="I1433" i="2" s="1"/>
  <c r="I1463" i="2" s="1"/>
  <c r="I1493" i="2" s="1"/>
  <c r="I1523" i="2" s="1"/>
  <c r="I1553" i="2" s="1"/>
  <c r="I1583" i="2" s="1"/>
  <c r="I1613" i="2" s="1"/>
  <c r="I1643" i="2" s="1"/>
  <c r="I1673" i="2" s="1"/>
  <c r="I1703" i="2" s="1"/>
  <c r="I1733" i="2" s="1"/>
  <c r="I1763" i="2" s="1"/>
  <c r="I1793" i="2" s="1"/>
  <c r="I1823" i="2" s="1"/>
  <c r="I1853" i="2" s="1"/>
  <c r="I1883" i="2" s="1"/>
  <c r="I1913" i="2" s="1"/>
  <c r="I1943" i="2" s="1"/>
  <c r="I1973" i="2" s="1"/>
  <c r="I2003" i="2" s="1"/>
  <c r="I2033" i="2" s="1"/>
  <c r="I2063" i="2" s="1"/>
  <c r="I2093" i="2" s="1"/>
  <c r="I2123" i="2" s="1"/>
  <c r="I2153" i="2" s="1"/>
  <c r="I2183" i="2" s="1"/>
  <c r="I2213" i="2" s="1"/>
  <c r="I2243" i="2" s="1"/>
  <c r="I2273" i="2" s="1"/>
  <c r="I2303" i="2" s="1"/>
  <c r="I2333" i="2" s="1"/>
  <c r="I2363" i="2" s="1"/>
  <c r="I2393" i="2" s="1"/>
  <c r="I751" i="2"/>
  <c r="I781" i="2" s="1"/>
  <c r="I811" i="2" s="1"/>
  <c r="I841" i="2" s="1"/>
  <c r="I871" i="2" s="1"/>
  <c r="I901" i="2" s="1"/>
  <c r="I931" i="2" s="1"/>
  <c r="I961" i="2" s="1"/>
  <c r="I991" i="2" s="1"/>
  <c r="I1021" i="2" s="1"/>
  <c r="I1051" i="2" s="1"/>
  <c r="I1081" i="2" s="1"/>
  <c r="I1111" i="2" s="1"/>
  <c r="I1141" i="2" s="1"/>
  <c r="I1171" i="2" s="1"/>
  <c r="I1201" i="2" s="1"/>
  <c r="I1231" i="2" s="1"/>
  <c r="I1261" i="2" s="1"/>
  <c r="I1291" i="2" s="1"/>
  <c r="I1321" i="2" s="1"/>
  <c r="I1351" i="2" s="1"/>
  <c r="I1381" i="2" s="1"/>
  <c r="I1411" i="2" s="1"/>
  <c r="I1441" i="2" s="1"/>
  <c r="I1471" i="2" s="1"/>
  <c r="I1501" i="2" s="1"/>
  <c r="I1531" i="2" s="1"/>
  <c r="I1561" i="2" s="1"/>
  <c r="I1591" i="2" s="1"/>
  <c r="I1621" i="2" s="1"/>
  <c r="I1651" i="2" s="1"/>
  <c r="I1681" i="2" s="1"/>
  <c r="I1711" i="2" s="1"/>
  <c r="I1741" i="2" s="1"/>
  <c r="I1771" i="2" s="1"/>
  <c r="I1801" i="2" s="1"/>
  <c r="I1831" i="2" s="1"/>
  <c r="I1861" i="2" s="1"/>
  <c r="I1891" i="2" s="1"/>
  <c r="I1921" i="2" s="1"/>
  <c r="I1951" i="2" s="1"/>
  <c r="I1981" i="2" s="1"/>
  <c r="I2011" i="2" s="1"/>
  <c r="I2041" i="2" s="1"/>
  <c r="I2071" i="2" s="1"/>
  <c r="I2101" i="2" s="1"/>
  <c r="I2131" i="2" s="1"/>
  <c r="I2161" i="2" s="1"/>
  <c r="I2191" i="2" s="1"/>
  <c r="I2221" i="2" s="1"/>
  <c r="I2251" i="2" s="1"/>
  <c r="I2281" i="2" s="1"/>
  <c r="I2311" i="2" s="1"/>
  <c r="I2341" i="2" s="1"/>
  <c r="I2371" i="2" s="1"/>
  <c r="I2401" i="2" s="1"/>
  <c r="I32" i="2"/>
  <c r="I62" i="2" s="1"/>
  <c r="I92" i="2" s="1"/>
  <c r="I122" i="2" s="1"/>
  <c r="I152" i="2" s="1"/>
  <c r="I182" i="2" s="1"/>
  <c r="I212" i="2" s="1"/>
  <c r="I242" i="2" s="1"/>
  <c r="I272" i="2" s="1"/>
  <c r="I302" i="2" s="1"/>
  <c r="I332" i="2" s="1"/>
  <c r="I362" i="2" s="1"/>
  <c r="I392" i="2" s="1"/>
  <c r="I422" i="2" s="1"/>
  <c r="I452" i="2" s="1"/>
  <c r="I482" i="2" s="1"/>
  <c r="I512" i="2" s="1"/>
  <c r="I542" i="2" s="1"/>
  <c r="I572" i="2" s="1"/>
  <c r="I602" i="2" s="1"/>
  <c r="I632" i="2" s="1"/>
  <c r="I662" i="2" s="1"/>
  <c r="I692" i="2" s="1"/>
  <c r="I722" i="2" s="1"/>
  <c r="I752" i="2" s="1"/>
  <c r="I782" i="2" s="1"/>
  <c r="I812" i="2" s="1"/>
  <c r="I842" i="2" s="1"/>
  <c r="I872" i="2" s="1"/>
  <c r="I902" i="2" s="1"/>
  <c r="I932" i="2" s="1"/>
  <c r="I962" i="2" s="1"/>
  <c r="I992" i="2" s="1"/>
  <c r="I1022" i="2" s="1"/>
  <c r="I1052" i="2" s="1"/>
  <c r="I1082" i="2" s="1"/>
  <c r="I1112" i="2" s="1"/>
  <c r="I1142" i="2" s="1"/>
  <c r="I1172" i="2" s="1"/>
  <c r="I1202" i="2" s="1"/>
  <c r="I1232" i="2" s="1"/>
  <c r="I1262" i="2" s="1"/>
  <c r="I1292" i="2" s="1"/>
  <c r="I1322" i="2" s="1"/>
  <c r="I1352" i="2" s="1"/>
  <c r="I1382" i="2" s="1"/>
  <c r="I1412" i="2" s="1"/>
  <c r="I1442" i="2" s="1"/>
  <c r="I1472" i="2" s="1"/>
  <c r="I1502" i="2" s="1"/>
  <c r="I1532" i="2" s="1"/>
  <c r="I1562" i="2" s="1"/>
  <c r="I1592" i="2" s="1"/>
  <c r="I1622" i="2" s="1"/>
  <c r="I1652" i="2" s="1"/>
  <c r="I1682" i="2" s="1"/>
  <c r="I1712" i="2" s="1"/>
  <c r="I1742" i="2" s="1"/>
  <c r="I1772" i="2" s="1"/>
  <c r="I1802" i="2" s="1"/>
  <c r="I1832" i="2" s="1"/>
  <c r="I1862" i="2" s="1"/>
  <c r="I1892" i="2" s="1"/>
  <c r="I1922" i="2" s="1"/>
  <c r="I1952" i="2" s="1"/>
  <c r="I1982" i="2" s="1"/>
  <c r="I2012" i="2" s="1"/>
  <c r="I2042" i="2" s="1"/>
  <c r="I2072" i="2" s="1"/>
  <c r="I2102" i="2" s="1"/>
  <c r="I2132" i="2" s="1"/>
  <c r="I2162" i="2" s="1"/>
  <c r="I2192" i="2" s="1"/>
  <c r="I2222" i="2" s="1"/>
  <c r="I2252" i="2" s="1"/>
  <c r="I2282" i="2" s="1"/>
  <c r="I2312" i="2" s="1"/>
  <c r="I2342" i="2" s="1"/>
  <c r="I2372" i="2" s="1"/>
  <c r="H2253" i="2" l="1"/>
  <c r="H2373" i="2" s="1"/>
  <c r="H2254" i="2"/>
  <c r="H2374" i="2" s="1"/>
  <c r="H2255" i="2"/>
  <c r="H2375" i="2" s="1"/>
  <c r="H2256" i="2"/>
  <c r="H2346" i="2" s="1"/>
  <c r="H2257" i="2"/>
  <c r="H2377" i="2" s="1"/>
  <c r="H2258" i="2"/>
  <c r="H2378" i="2" s="1"/>
  <c r="H2259" i="2"/>
  <c r="H2379" i="2" s="1"/>
  <c r="H2260" i="2"/>
  <c r="H2350" i="2" s="1"/>
  <c r="H2261" i="2"/>
  <c r="H2381" i="2" s="1"/>
  <c r="H2262" i="2"/>
  <c r="H2382" i="2" s="1"/>
  <c r="H2263" i="2"/>
  <c r="H2383" i="2" s="1"/>
  <c r="H2264" i="2"/>
  <c r="H2354" i="2" s="1"/>
  <c r="H2265" i="2"/>
  <c r="H2385" i="2" s="1"/>
  <c r="H2266" i="2"/>
  <c r="H2386" i="2" s="1"/>
  <c r="H2267" i="2"/>
  <c r="H2387" i="2" s="1"/>
  <c r="H2268" i="2"/>
  <c r="H2358" i="2" s="1"/>
  <c r="H2269" i="2"/>
  <c r="H2389" i="2" s="1"/>
  <c r="H2270" i="2"/>
  <c r="H2390" i="2" s="1"/>
  <c r="H2271" i="2"/>
  <c r="H2391" i="2" s="1"/>
  <c r="H2272" i="2"/>
  <c r="H2362" i="2" s="1"/>
  <c r="H2273" i="2"/>
  <c r="H2393" i="2" s="1"/>
  <c r="H2274" i="2"/>
  <c r="H2394" i="2" s="1"/>
  <c r="H2275" i="2"/>
  <c r="H2395" i="2" s="1"/>
  <c r="H2276" i="2"/>
  <c r="H2366" i="2" s="1"/>
  <c r="H2277" i="2"/>
  <c r="H2397" i="2" s="1"/>
  <c r="H2278" i="2"/>
  <c r="H2398" i="2" s="1"/>
  <c r="H2279" i="2"/>
  <c r="H2399" i="2" s="1"/>
  <c r="H2280" i="2"/>
  <c r="H2370" i="2" s="1"/>
  <c r="H2281" i="2"/>
  <c r="H2401" i="2" s="1"/>
  <c r="H2252" i="2"/>
  <c r="H2372" i="2" s="1"/>
  <c r="F2251" i="2"/>
  <c r="F2222" i="2"/>
  <c r="F2221" i="2"/>
  <c r="F2192" i="2"/>
  <c r="F2191" i="2"/>
  <c r="F2162" i="2"/>
  <c r="F2161" i="2"/>
  <c r="F2132" i="2"/>
  <c r="F2104" i="2"/>
  <c r="F2194" i="2" s="1"/>
  <c r="F2105" i="2"/>
  <c r="F2165" i="2" s="1"/>
  <c r="F2106" i="2"/>
  <c r="F2226" i="2" s="1"/>
  <c r="F2107" i="2"/>
  <c r="F2197" i="2" s="1"/>
  <c r="F2108" i="2"/>
  <c r="F2198" i="2" s="1"/>
  <c r="F2109" i="2"/>
  <c r="F2169" i="2" s="1"/>
  <c r="F2110" i="2"/>
  <c r="F2230" i="2" s="1"/>
  <c r="F2111" i="2"/>
  <c r="F2201" i="2" s="1"/>
  <c r="F2112" i="2"/>
  <c r="F2202" i="2" s="1"/>
  <c r="F2113" i="2"/>
  <c r="F2173" i="2" s="1"/>
  <c r="F2114" i="2"/>
  <c r="F2234" i="2" s="1"/>
  <c r="F2115" i="2"/>
  <c r="F2205" i="2" s="1"/>
  <c r="F2116" i="2"/>
  <c r="F2206" i="2" s="1"/>
  <c r="F2117" i="2"/>
  <c r="F2237" i="2" s="1"/>
  <c r="F2118" i="2"/>
  <c r="F2208" i="2" s="1"/>
  <c r="F2119" i="2"/>
  <c r="F2209" i="2" s="1"/>
  <c r="F2120" i="2"/>
  <c r="F2240" i="2" s="1"/>
  <c r="F2121" i="2"/>
  <c r="F2241" i="2" s="1"/>
  <c r="F2122" i="2"/>
  <c r="F2152" i="2" s="1"/>
  <c r="F2123" i="2"/>
  <c r="F2213" i="2" s="1"/>
  <c r="F2124" i="2"/>
  <c r="F2214" i="2" s="1"/>
  <c r="F2125" i="2"/>
  <c r="F2245" i="2" s="1"/>
  <c r="F2126" i="2"/>
  <c r="F2216" i="2" s="1"/>
  <c r="F2127" i="2"/>
  <c r="F2217" i="2" s="1"/>
  <c r="F2128" i="2"/>
  <c r="F2248" i="2" s="1"/>
  <c r="F2129" i="2"/>
  <c r="F2249" i="2" s="1"/>
  <c r="F2130" i="2"/>
  <c r="F2160" i="2" s="1"/>
  <c r="F2103" i="2"/>
  <c r="F2193" i="2" s="1"/>
  <c r="G2101" i="2"/>
  <c r="G2072" i="2"/>
  <c r="G2071" i="2"/>
  <c r="G2042" i="2"/>
  <c r="G2041" i="2"/>
  <c r="G2012" i="2"/>
  <c r="G2011" i="2"/>
  <c r="G1982" i="2"/>
  <c r="G1954" i="2"/>
  <c r="G2074" i="2" s="1"/>
  <c r="G1955" i="2"/>
  <c r="G2075" i="2" s="1"/>
  <c r="G1956" i="2"/>
  <c r="G2046" i="2" s="1"/>
  <c r="G1957" i="2"/>
  <c r="G2047" i="2" s="1"/>
  <c r="G1958" i="2"/>
  <c r="G2078" i="2" s="1"/>
  <c r="G1959" i="2"/>
  <c r="G2079" i="2" s="1"/>
  <c r="G1960" i="2"/>
  <c r="G2050" i="2" s="1"/>
  <c r="G1961" i="2"/>
  <c r="G2051" i="2" s="1"/>
  <c r="G1962" i="2"/>
  <c r="G2082" i="2" s="1"/>
  <c r="G1963" i="2"/>
  <c r="G2083" i="2" s="1"/>
  <c r="G1964" i="2"/>
  <c r="G2054" i="2" s="1"/>
  <c r="G1965" i="2"/>
  <c r="G2055" i="2" s="1"/>
  <c r="G1966" i="2"/>
  <c r="G2086" i="2" s="1"/>
  <c r="G1967" i="2"/>
  <c r="G2087" i="2" s="1"/>
  <c r="G1968" i="2"/>
  <c r="G2058" i="2" s="1"/>
  <c r="G1969" i="2"/>
  <c r="G2059" i="2" s="1"/>
  <c r="G1970" i="2"/>
  <c r="G2090" i="2" s="1"/>
  <c r="G1971" i="2"/>
  <c r="G2091" i="2" s="1"/>
  <c r="G1972" i="2"/>
  <c r="G2062" i="2" s="1"/>
  <c r="G1973" i="2"/>
  <c r="G2063" i="2" s="1"/>
  <c r="G1974" i="2"/>
  <c r="G2094" i="2" s="1"/>
  <c r="G1975" i="2"/>
  <c r="G2095" i="2" s="1"/>
  <c r="G1976" i="2"/>
  <c r="G2066" i="2" s="1"/>
  <c r="G1977" i="2"/>
  <c r="G2067" i="2" s="1"/>
  <c r="G1978" i="2"/>
  <c r="G2098" i="2" s="1"/>
  <c r="G1979" i="2"/>
  <c r="G2099" i="2" s="1"/>
  <c r="G1980" i="2"/>
  <c r="G2070" i="2" s="1"/>
  <c r="G1953" i="2"/>
  <c r="G2043" i="2" s="1"/>
  <c r="G1951" i="2"/>
  <c r="H1951" i="2"/>
  <c r="H1922" i="2"/>
  <c r="G1922" i="2"/>
  <c r="G1921" i="2"/>
  <c r="H1921" i="2"/>
  <c r="H1892" i="2"/>
  <c r="G1892" i="2"/>
  <c r="G1891" i="2"/>
  <c r="H1891" i="2"/>
  <c r="H1862" i="2"/>
  <c r="G1862" i="2"/>
  <c r="G1861" i="2"/>
  <c r="H1861" i="2"/>
  <c r="H1832" i="2"/>
  <c r="G1832" i="2"/>
  <c r="H1803" i="2"/>
  <c r="H1923" i="2" s="1"/>
  <c r="H1804" i="2"/>
  <c r="H1894" i="2" s="1"/>
  <c r="H1805" i="2"/>
  <c r="H1865" i="2" s="1"/>
  <c r="H1806" i="2"/>
  <c r="H1926" i="2" s="1"/>
  <c r="H1807" i="2"/>
  <c r="H1897" i="2" s="1"/>
  <c r="H1808" i="2"/>
  <c r="H1868" i="2" s="1"/>
  <c r="H1809" i="2"/>
  <c r="H1929" i="2" s="1"/>
  <c r="H1810" i="2"/>
  <c r="H1900" i="2" s="1"/>
  <c r="H1811" i="2"/>
  <c r="H1901" i="2" s="1"/>
  <c r="H1812" i="2"/>
  <c r="H1932" i="2" s="1"/>
  <c r="H1813" i="2"/>
  <c r="H1903" i="2" s="1"/>
  <c r="H1814" i="2"/>
  <c r="H1904" i="2" s="1"/>
  <c r="H1815" i="2"/>
  <c r="H1845" i="2" s="1"/>
  <c r="H1816" i="2"/>
  <c r="H1906" i="2" s="1"/>
  <c r="H1817" i="2"/>
  <c r="H1847" i="2" s="1"/>
  <c r="H1818" i="2"/>
  <c r="H1848" i="2" s="1"/>
  <c r="H1819" i="2"/>
  <c r="H1939" i="2" s="1"/>
  <c r="H1820" i="2"/>
  <c r="H1910" i="2" s="1"/>
  <c r="H1821" i="2"/>
  <c r="H1881" i="2" s="1"/>
  <c r="H1822" i="2"/>
  <c r="H1942" i="2" s="1"/>
  <c r="H1823" i="2"/>
  <c r="H1913" i="2" s="1"/>
  <c r="H1824" i="2"/>
  <c r="H1884" i="2" s="1"/>
  <c r="H1825" i="2"/>
  <c r="H1945" i="2" s="1"/>
  <c r="H1826" i="2"/>
  <c r="H1916" i="2" s="1"/>
  <c r="H1827" i="2"/>
  <c r="H1917" i="2" s="1"/>
  <c r="H1828" i="2"/>
  <c r="H1948" i="2" s="1"/>
  <c r="H1829" i="2"/>
  <c r="H1919" i="2" s="1"/>
  <c r="H1830" i="2"/>
  <c r="H1920" i="2" s="1"/>
  <c r="G1804" i="2"/>
  <c r="G1864" i="2" s="1"/>
  <c r="G1805" i="2"/>
  <c r="G1925" i="2" s="1"/>
  <c r="G1806" i="2"/>
  <c r="G1866" i="2" s="1"/>
  <c r="G1807" i="2"/>
  <c r="G1927" i="2" s="1"/>
  <c r="G1808" i="2"/>
  <c r="G1868" i="2" s="1"/>
  <c r="G1809" i="2"/>
  <c r="G1929" i="2" s="1"/>
  <c r="G1810" i="2"/>
  <c r="G1870" i="2" s="1"/>
  <c r="G1811" i="2"/>
  <c r="G1931" i="2" s="1"/>
  <c r="G1812" i="2"/>
  <c r="G1872" i="2" s="1"/>
  <c r="G1813" i="2"/>
  <c r="G1933" i="2" s="1"/>
  <c r="G1814" i="2"/>
  <c r="G1874" i="2" s="1"/>
  <c r="G1815" i="2"/>
  <c r="G1935" i="2" s="1"/>
  <c r="G1816" i="2"/>
  <c r="G1876" i="2" s="1"/>
  <c r="G1817" i="2"/>
  <c r="G1937" i="2" s="1"/>
  <c r="G1818" i="2"/>
  <c r="G1878" i="2" s="1"/>
  <c r="G1819" i="2"/>
  <c r="G1939" i="2" s="1"/>
  <c r="G1820" i="2"/>
  <c r="G1880" i="2" s="1"/>
  <c r="G1821" i="2"/>
  <c r="G1941" i="2" s="1"/>
  <c r="G1822" i="2"/>
  <c r="G1882" i="2" s="1"/>
  <c r="G1823" i="2"/>
  <c r="G1943" i="2" s="1"/>
  <c r="G1824" i="2"/>
  <c r="G1884" i="2" s="1"/>
  <c r="G1825" i="2"/>
  <c r="G1945" i="2" s="1"/>
  <c r="G1826" i="2"/>
  <c r="G1886" i="2" s="1"/>
  <c r="G1827" i="2"/>
  <c r="G1947" i="2" s="1"/>
  <c r="G1828" i="2"/>
  <c r="G1888" i="2" s="1"/>
  <c r="G1829" i="2"/>
  <c r="G1949" i="2" s="1"/>
  <c r="G1830" i="2"/>
  <c r="G1890" i="2" s="1"/>
  <c r="G1803" i="2"/>
  <c r="G1923" i="2" s="1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F1801" i="2"/>
  <c r="G1801" i="2"/>
  <c r="H1801" i="2"/>
  <c r="G1772" i="2"/>
  <c r="H1772" i="2"/>
  <c r="F177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F1771" i="2"/>
  <c r="G1771" i="2"/>
  <c r="H1771" i="2"/>
  <c r="G1742" i="2"/>
  <c r="H1742" i="2"/>
  <c r="F1742" i="2"/>
  <c r="F1741" i="2"/>
  <c r="G1741" i="2"/>
  <c r="H1741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12" i="2"/>
  <c r="H1712" i="2"/>
  <c r="F171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F1711" i="2"/>
  <c r="G1711" i="2"/>
  <c r="H1711" i="2"/>
  <c r="G1682" i="2"/>
  <c r="H1682" i="2"/>
  <c r="F1682" i="2"/>
  <c r="H1653" i="2"/>
  <c r="H1773" i="2" s="1"/>
  <c r="H1656" i="2"/>
  <c r="H1686" i="2" s="1"/>
  <c r="H1660" i="2"/>
  <c r="H1780" i="2" s="1"/>
  <c r="H1664" i="2"/>
  <c r="H1754" i="2" s="1"/>
  <c r="H1668" i="2"/>
  <c r="H1788" i="2" s="1"/>
  <c r="H1672" i="2"/>
  <c r="H1702" i="2" s="1"/>
  <c r="H1676" i="2"/>
  <c r="H1796" i="2" s="1"/>
  <c r="H1680" i="2"/>
  <c r="H1770" i="2" s="1"/>
  <c r="F1654" i="2"/>
  <c r="F1714" i="2" s="1"/>
  <c r="F1655" i="2"/>
  <c r="F1775" i="2" s="1"/>
  <c r="F1656" i="2"/>
  <c r="F1746" i="2" s="1"/>
  <c r="F1657" i="2"/>
  <c r="F1747" i="2" s="1"/>
  <c r="F1658" i="2"/>
  <c r="F1718" i="2" s="1"/>
  <c r="F1659" i="2"/>
  <c r="F1779" i="2" s="1"/>
  <c r="F1660" i="2"/>
  <c r="F1750" i="2" s="1"/>
  <c r="F1661" i="2"/>
  <c r="F1751" i="2" s="1"/>
  <c r="F1662" i="2"/>
  <c r="F1722" i="2" s="1"/>
  <c r="F1663" i="2"/>
  <c r="F1783" i="2" s="1"/>
  <c r="F1664" i="2"/>
  <c r="F1754" i="2" s="1"/>
  <c r="F1665" i="2"/>
  <c r="F1755" i="2" s="1"/>
  <c r="F1666" i="2"/>
  <c r="F1726" i="2" s="1"/>
  <c r="F1667" i="2"/>
  <c r="F1787" i="2" s="1"/>
  <c r="F1668" i="2"/>
  <c r="F1758" i="2" s="1"/>
  <c r="F1669" i="2"/>
  <c r="F1759" i="2" s="1"/>
  <c r="F1670" i="2"/>
  <c r="F1730" i="2" s="1"/>
  <c r="F1671" i="2"/>
  <c r="F1791" i="2" s="1"/>
  <c r="F1672" i="2"/>
  <c r="F1762" i="2" s="1"/>
  <c r="F1673" i="2"/>
  <c r="F1763" i="2" s="1"/>
  <c r="F1674" i="2"/>
  <c r="F1734" i="2" s="1"/>
  <c r="F1675" i="2"/>
  <c r="F1795" i="2" s="1"/>
  <c r="F1676" i="2"/>
  <c r="F1766" i="2" s="1"/>
  <c r="F1677" i="2"/>
  <c r="F1767" i="2" s="1"/>
  <c r="F1678" i="2"/>
  <c r="F1738" i="2" s="1"/>
  <c r="F1679" i="2"/>
  <c r="F1799" i="2" s="1"/>
  <c r="F1680" i="2"/>
  <c r="F1770" i="2" s="1"/>
  <c r="F1653" i="2"/>
  <c r="F1743" i="2" s="1"/>
  <c r="F1531" i="2"/>
  <c r="F1502" i="2"/>
  <c r="F1478" i="2"/>
  <c r="F1628" i="2" s="1"/>
  <c r="F1494" i="2"/>
  <c r="F1644" i="2" s="1"/>
  <c r="F1501" i="2"/>
  <c r="F1651" i="2" s="1"/>
  <c r="F1472" i="2"/>
  <c r="F1622" i="2" s="1"/>
  <c r="F1471" i="2"/>
  <c r="F1621" i="2" s="1"/>
  <c r="F1442" i="2"/>
  <c r="F1592" i="2" s="1"/>
  <c r="F1426" i="2"/>
  <c r="F1576" i="2" s="1"/>
  <c r="F1441" i="2"/>
  <c r="F1591" i="2" s="1"/>
  <c r="F1412" i="2"/>
  <c r="F1562" i="2" s="1"/>
  <c r="F1411" i="2"/>
  <c r="F1561" i="2" s="1"/>
  <c r="F1382" i="2"/>
  <c r="F1532" i="2" s="1"/>
  <c r="F1354" i="2"/>
  <c r="F1504" i="2" s="1"/>
  <c r="F1355" i="2"/>
  <c r="F1356" i="2"/>
  <c r="F1476" i="2" s="1"/>
  <c r="F1626" i="2" s="1"/>
  <c r="F1357" i="2"/>
  <c r="F1477" i="2" s="1"/>
  <c r="F1627" i="2" s="1"/>
  <c r="F1358" i="2"/>
  <c r="F1508" i="2" s="1"/>
  <c r="F1359" i="2"/>
  <c r="F1360" i="2"/>
  <c r="F1480" i="2" s="1"/>
  <c r="F1630" i="2" s="1"/>
  <c r="F1361" i="2"/>
  <c r="F1481" i="2" s="1"/>
  <c r="F1631" i="2" s="1"/>
  <c r="F1362" i="2"/>
  <c r="F1512" i="2" s="1"/>
  <c r="F1363" i="2"/>
  <c r="F1364" i="2"/>
  <c r="F1484" i="2" s="1"/>
  <c r="F1634" i="2" s="1"/>
  <c r="F1365" i="2"/>
  <c r="F1485" i="2" s="1"/>
  <c r="F1635" i="2" s="1"/>
  <c r="F1366" i="2"/>
  <c r="F1516" i="2" s="1"/>
  <c r="F1367" i="2"/>
  <c r="F1368" i="2"/>
  <c r="F1488" i="2" s="1"/>
  <c r="F1638" i="2" s="1"/>
  <c r="F1369" i="2"/>
  <c r="F1489" i="2" s="1"/>
  <c r="F1639" i="2" s="1"/>
  <c r="F1370" i="2"/>
  <c r="F1520" i="2" s="1"/>
  <c r="F1371" i="2"/>
  <c r="F1372" i="2"/>
  <c r="F1492" i="2" s="1"/>
  <c r="F1642" i="2" s="1"/>
  <c r="F1373" i="2"/>
  <c r="F1493" i="2" s="1"/>
  <c r="F1643" i="2" s="1"/>
  <c r="F1374" i="2"/>
  <c r="F1524" i="2" s="1"/>
  <c r="F1375" i="2"/>
  <c r="F1376" i="2"/>
  <c r="F1496" i="2" s="1"/>
  <c r="F1646" i="2" s="1"/>
  <c r="F1377" i="2"/>
  <c r="F1497" i="2" s="1"/>
  <c r="F1647" i="2" s="1"/>
  <c r="F1378" i="2"/>
  <c r="F1528" i="2" s="1"/>
  <c r="F1379" i="2"/>
  <c r="F1380" i="2"/>
  <c r="F1500" i="2" s="1"/>
  <c r="F1650" i="2" s="1"/>
  <c r="F1353" i="2"/>
  <c r="F1473" i="2" s="1"/>
  <c r="F1623" i="2" s="1"/>
  <c r="D481" i="2"/>
  <c r="D781" i="2" s="1"/>
  <c r="E931" i="2" s="1"/>
  <c r="D1081" i="2" s="1"/>
  <c r="E1231" i="2" s="1"/>
  <c r="D452" i="2"/>
  <c r="D752" i="2" s="1"/>
  <c r="E902" i="2" s="1"/>
  <c r="D1052" i="2" s="1"/>
  <c r="E1202" i="2" s="1"/>
  <c r="E211" i="2"/>
  <c r="E361" i="2" s="1"/>
  <c r="E181" i="2"/>
  <c r="E331" i="2" s="1"/>
  <c r="E152" i="2"/>
  <c r="E302" i="2" s="1"/>
  <c r="D151" i="2"/>
  <c r="D601" i="2" s="1"/>
  <c r="D122" i="2"/>
  <c r="D572" i="2" s="1"/>
  <c r="D121" i="2"/>
  <c r="D571" i="2" s="1"/>
  <c r="D92" i="2"/>
  <c r="E242" i="2" s="1"/>
  <c r="E392" i="2" s="1"/>
  <c r="D91" i="2"/>
  <c r="E241" i="2" s="1"/>
  <c r="E391" i="2" s="1"/>
  <c r="D62" i="2"/>
  <c r="D512" i="2" s="1"/>
  <c r="D61" i="2"/>
  <c r="D511" i="2" s="1"/>
  <c r="D32" i="2"/>
  <c r="D6" i="2"/>
  <c r="D126" i="2" s="1"/>
  <c r="D4" i="2"/>
  <c r="D5" i="2"/>
  <c r="E155" i="2" s="1"/>
  <c r="E305" i="2" s="1"/>
  <c r="D7" i="2"/>
  <c r="D127" i="2" s="1"/>
  <c r="D577" i="2" s="1"/>
  <c r="D8" i="2"/>
  <c r="D68" i="2" s="1"/>
  <c r="D9" i="2"/>
  <c r="E159" i="2" s="1"/>
  <c r="E309" i="2" s="1"/>
  <c r="D15" i="2"/>
  <c r="D75" i="2" s="1"/>
  <c r="D525" i="2" s="1"/>
  <c r="D17" i="2"/>
  <c r="E167" i="2" s="1"/>
  <c r="E317" i="2" s="1"/>
  <c r="D20" i="2"/>
  <c r="E170" i="2" s="1"/>
  <c r="E320" i="2" s="1"/>
  <c r="D24" i="2"/>
  <c r="D474" i="2" s="1"/>
  <c r="D28" i="2"/>
  <c r="D478" i="2" s="1"/>
  <c r="D29" i="2"/>
  <c r="D59" i="2" s="1"/>
  <c r="D509" i="2" s="1"/>
  <c r="D47" i="2" l="1"/>
  <c r="D497" i="2" s="1"/>
  <c r="D119" i="2"/>
  <c r="D569" i="2" s="1"/>
  <c r="F1394" i="2"/>
  <c r="F1544" i="2" s="1"/>
  <c r="F1693" i="2"/>
  <c r="F1462" i="2"/>
  <c r="F1612" i="2" s="1"/>
  <c r="F1530" i="2"/>
  <c r="D542" i="2"/>
  <c r="F1410" i="2"/>
  <c r="F1560" i="2" s="1"/>
  <c r="F1446" i="2"/>
  <c r="F1596" i="2" s="1"/>
  <c r="F1514" i="2"/>
  <c r="E661" i="2"/>
  <c r="D811" i="2"/>
  <c r="E961" i="2" s="1"/>
  <c r="D1111" i="2" s="1"/>
  <c r="E1261" i="2" s="1"/>
  <c r="D901" i="2"/>
  <c r="E1051" i="2" s="1"/>
  <c r="D1201" i="2" s="1"/>
  <c r="E1351" i="2" s="1"/>
  <c r="E751" i="2"/>
  <c r="D871" i="2"/>
  <c r="E1021" i="2" s="1"/>
  <c r="D1171" i="2" s="1"/>
  <c r="E1321" i="2" s="1"/>
  <c r="E721" i="2"/>
  <c r="E301" i="2"/>
  <c r="E451" i="2" s="1"/>
  <c r="F1732" i="2"/>
  <c r="F1716" i="2"/>
  <c r="F1765" i="2"/>
  <c r="F1749" i="2"/>
  <c r="H1792" i="2"/>
  <c r="F1777" i="2"/>
  <c r="G1857" i="2"/>
  <c r="G1849" i="2"/>
  <c r="G1842" i="2"/>
  <c r="G1838" i="2"/>
  <c r="G1834" i="2"/>
  <c r="H1888" i="2"/>
  <c r="G1881" i="2"/>
  <c r="G1875" i="2"/>
  <c r="G1869" i="2"/>
  <c r="G1863" i="2"/>
  <c r="H1914" i="2"/>
  <c r="G1906" i="2"/>
  <c r="G1898" i="2"/>
  <c r="H1947" i="2"/>
  <c r="G1936" i="2"/>
  <c r="G1928" i="2"/>
  <c r="F2158" i="2"/>
  <c r="F2150" i="2"/>
  <c r="F2142" i="2"/>
  <c r="F2134" i="2"/>
  <c r="F2190" i="2"/>
  <c r="F2182" i="2"/>
  <c r="F2174" i="2"/>
  <c r="F2166" i="2"/>
  <c r="F2220" i="2"/>
  <c r="F2212" i="2"/>
  <c r="F2204" i="2"/>
  <c r="F2196" i="2"/>
  <c r="F2232" i="2"/>
  <c r="F2224" i="2"/>
  <c r="F2246" i="2"/>
  <c r="F2238" i="2"/>
  <c r="D36" i="2"/>
  <c r="D88" i="2"/>
  <c r="E238" i="2" s="1"/>
  <c r="E388" i="2" s="1"/>
  <c r="D67" i="2"/>
  <c r="D517" i="2" s="1"/>
  <c r="D107" i="2"/>
  <c r="D557" i="2" s="1"/>
  <c r="D148" i="2"/>
  <c r="E272" i="2"/>
  <c r="E422" i="2" s="1"/>
  <c r="D541" i="2"/>
  <c r="E631" i="2"/>
  <c r="F1406" i="2"/>
  <c r="F1556" i="2" s="1"/>
  <c r="F1390" i="2"/>
  <c r="F1540" i="2" s="1"/>
  <c r="F1438" i="2"/>
  <c r="F1588" i="2" s="1"/>
  <c r="F1422" i="2"/>
  <c r="F1572" i="2" s="1"/>
  <c r="F1458" i="2"/>
  <c r="F1608" i="2" s="1"/>
  <c r="F1490" i="2"/>
  <c r="F1640" i="2" s="1"/>
  <c r="F1474" i="2"/>
  <c r="F1624" i="2" s="1"/>
  <c r="F1526" i="2"/>
  <c r="F1510" i="2"/>
  <c r="F1705" i="2"/>
  <c r="F1728" i="2"/>
  <c r="F1761" i="2"/>
  <c r="F1745" i="2"/>
  <c r="F1789" i="2"/>
  <c r="H1776" i="2"/>
  <c r="G1854" i="2"/>
  <c r="G1846" i="2"/>
  <c r="H1841" i="2"/>
  <c r="G1837" i="2"/>
  <c r="G1887" i="2"/>
  <c r="H1880" i="2"/>
  <c r="G1873" i="2"/>
  <c r="G1867" i="2"/>
  <c r="G1914" i="2"/>
  <c r="H1905" i="2"/>
  <c r="G1894" i="2"/>
  <c r="G1944" i="2"/>
  <c r="H1934" i="2"/>
  <c r="H1924" i="2"/>
  <c r="F2156" i="2"/>
  <c r="F2148" i="2"/>
  <c r="F2140" i="2"/>
  <c r="F2188" i="2"/>
  <c r="F2180" i="2"/>
  <c r="F2172" i="2"/>
  <c r="F2164" i="2"/>
  <c r="F2218" i="2"/>
  <c r="F2210" i="2"/>
  <c r="F2229" i="2"/>
  <c r="F2244" i="2"/>
  <c r="F2236" i="2"/>
  <c r="D35" i="2"/>
  <c r="D80" i="2"/>
  <c r="E230" i="2" s="1"/>
  <c r="E380" i="2" s="1"/>
  <c r="D95" i="2"/>
  <c r="D545" i="2" s="1"/>
  <c r="D135" i="2"/>
  <c r="D585" i="2" s="1"/>
  <c r="E271" i="2"/>
  <c r="E421" i="2" s="1"/>
  <c r="F1402" i="2"/>
  <c r="F1552" i="2" s="1"/>
  <c r="F1386" i="2"/>
  <c r="F1536" i="2" s="1"/>
  <c r="F1434" i="2"/>
  <c r="F1584" i="2" s="1"/>
  <c r="F1418" i="2"/>
  <c r="F1568" i="2" s="1"/>
  <c r="F1470" i="2"/>
  <c r="F1620" i="2" s="1"/>
  <c r="F1454" i="2"/>
  <c r="F1604" i="2" s="1"/>
  <c r="F1486" i="2"/>
  <c r="F1636" i="2" s="1"/>
  <c r="F1522" i="2"/>
  <c r="F1506" i="2"/>
  <c r="H1706" i="2"/>
  <c r="F1701" i="2"/>
  <c r="F1689" i="2"/>
  <c r="F1740" i="2"/>
  <c r="F1724" i="2"/>
  <c r="F1757" i="2"/>
  <c r="F1797" i="2"/>
  <c r="F1785" i="2"/>
  <c r="F1773" i="2"/>
  <c r="G1853" i="2"/>
  <c r="G1845" i="2"/>
  <c r="G1841" i="2"/>
  <c r="G1835" i="2"/>
  <c r="G1885" i="2"/>
  <c r="G1879" i="2"/>
  <c r="H1872" i="2"/>
  <c r="G1865" i="2"/>
  <c r="G1910" i="2"/>
  <c r="G1902" i="2"/>
  <c r="H1950" i="2"/>
  <c r="H1940" i="2"/>
  <c r="G1932" i="2"/>
  <c r="G1924" i="2"/>
  <c r="F2154" i="2"/>
  <c r="F2146" i="2"/>
  <c r="F2138" i="2"/>
  <c r="F2186" i="2"/>
  <c r="F2178" i="2"/>
  <c r="F2170" i="2"/>
  <c r="F2200" i="2"/>
  <c r="F2228" i="2"/>
  <c r="F2250" i="2"/>
  <c r="F2242" i="2"/>
  <c r="F1398" i="2"/>
  <c r="F1548" i="2" s="1"/>
  <c r="F1430" i="2"/>
  <c r="F1580" i="2" s="1"/>
  <c r="F1414" i="2"/>
  <c r="F1564" i="2" s="1"/>
  <c r="F1466" i="2"/>
  <c r="F1616" i="2" s="1"/>
  <c r="F1450" i="2"/>
  <c r="F1600" i="2" s="1"/>
  <c r="F1498" i="2"/>
  <c r="F1648" i="2" s="1"/>
  <c r="F1482" i="2"/>
  <c r="F1632" i="2" s="1"/>
  <c r="F1518" i="2"/>
  <c r="F1709" i="2"/>
  <c r="F1697" i="2"/>
  <c r="H1690" i="2"/>
  <c r="F1685" i="2"/>
  <c r="F1736" i="2"/>
  <c r="F1720" i="2"/>
  <c r="F1769" i="2"/>
  <c r="F1753" i="2"/>
  <c r="F1793" i="2"/>
  <c r="F1781" i="2"/>
  <c r="G1858" i="2"/>
  <c r="G1850" i="2"/>
  <c r="G1843" i="2"/>
  <c r="G1839" i="2"/>
  <c r="H1834" i="2"/>
  <c r="G1889" i="2"/>
  <c r="G1883" i="2"/>
  <c r="G1877" i="2"/>
  <c r="G1871" i="2"/>
  <c r="H1864" i="2"/>
  <c r="G1918" i="2"/>
  <c r="H1908" i="2"/>
  <c r="H1898" i="2"/>
  <c r="G1948" i="2"/>
  <c r="G1940" i="2"/>
  <c r="H1931" i="2"/>
  <c r="F2144" i="2"/>
  <c r="F2136" i="2"/>
  <c r="F2184" i="2"/>
  <c r="F2176" i="2"/>
  <c r="F2168" i="2"/>
  <c r="F2233" i="2"/>
  <c r="F2225" i="2"/>
  <c r="F2231" i="2"/>
  <c r="F2227" i="2"/>
  <c r="F2223" i="2"/>
  <c r="F2157" i="2"/>
  <c r="F2153" i="2"/>
  <c r="F2149" i="2"/>
  <c r="F2145" i="2"/>
  <c r="F2141" i="2"/>
  <c r="F2137" i="2"/>
  <c r="F2133" i="2"/>
  <c r="F2187" i="2"/>
  <c r="F2183" i="2"/>
  <c r="F2179" i="2"/>
  <c r="F2175" i="2"/>
  <c r="F2171" i="2"/>
  <c r="F2167" i="2"/>
  <c r="F2163" i="2"/>
  <c r="F2219" i="2"/>
  <c r="F2215" i="2"/>
  <c r="F2211" i="2"/>
  <c r="F2207" i="2"/>
  <c r="F2203" i="2"/>
  <c r="F2199" i="2"/>
  <c r="F2195" i="2"/>
  <c r="F2247" i="2"/>
  <c r="F2243" i="2"/>
  <c r="F2239" i="2"/>
  <c r="F2235" i="2"/>
  <c r="F2159" i="2"/>
  <c r="F2155" i="2"/>
  <c r="F2151" i="2"/>
  <c r="F2147" i="2"/>
  <c r="F2143" i="2"/>
  <c r="F2139" i="2"/>
  <c r="F2135" i="2"/>
  <c r="F2189" i="2"/>
  <c r="F2185" i="2"/>
  <c r="F2181" i="2"/>
  <c r="F2177" i="2"/>
  <c r="G2009" i="2"/>
  <c r="G2005" i="2"/>
  <c r="G2001" i="2"/>
  <c r="G1997" i="2"/>
  <c r="G1993" i="2"/>
  <c r="G1989" i="2"/>
  <c r="G1985" i="2"/>
  <c r="G2037" i="2"/>
  <c r="G2033" i="2"/>
  <c r="G2029" i="2"/>
  <c r="G2025" i="2"/>
  <c r="G2021" i="2"/>
  <c r="G2017" i="2"/>
  <c r="G2013" i="2"/>
  <c r="G2069" i="2"/>
  <c r="G2065" i="2"/>
  <c r="G2061" i="2"/>
  <c r="G2057" i="2"/>
  <c r="G2053" i="2"/>
  <c r="G2049" i="2"/>
  <c r="G2045" i="2"/>
  <c r="G2097" i="2"/>
  <c r="G2093" i="2"/>
  <c r="G2089" i="2"/>
  <c r="G2085" i="2"/>
  <c r="G2081" i="2"/>
  <c r="G2077" i="2"/>
  <c r="G2073" i="2"/>
  <c r="G2008" i="2"/>
  <c r="G2004" i="2"/>
  <c r="G2000" i="2"/>
  <c r="G1996" i="2"/>
  <c r="G1992" i="2"/>
  <c r="G1988" i="2"/>
  <c r="G1984" i="2"/>
  <c r="G2040" i="2"/>
  <c r="G2036" i="2"/>
  <c r="G2032" i="2"/>
  <c r="G2028" i="2"/>
  <c r="G2024" i="2"/>
  <c r="G2020" i="2"/>
  <c r="G2016" i="2"/>
  <c r="G2068" i="2"/>
  <c r="G2064" i="2"/>
  <c r="G2060" i="2"/>
  <c r="G2056" i="2"/>
  <c r="G2052" i="2"/>
  <c r="G2048" i="2"/>
  <c r="G2044" i="2"/>
  <c r="G2100" i="2"/>
  <c r="G2096" i="2"/>
  <c r="G2092" i="2"/>
  <c r="G2088" i="2"/>
  <c r="G2084" i="2"/>
  <c r="G2080" i="2"/>
  <c r="G2076" i="2"/>
  <c r="G2007" i="2"/>
  <c r="G2003" i="2"/>
  <c r="G1999" i="2"/>
  <c r="G1995" i="2"/>
  <c r="G1991" i="2"/>
  <c r="G1987" i="2"/>
  <c r="G1983" i="2"/>
  <c r="G2039" i="2"/>
  <c r="G2035" i="2"/>
  <c r="G2031" i="2"/>
  <c r="G2027" i="2"/>
  <c r="G2023" i="2"/>
  <c r="G2019" i="2"/>
  <c r="G2015" i="2"/>
  <c r="G2010" i="2"/>
  <c r="G2006" i="2"/>
  <c r="G2002" i="2"/>
  <c r="G1998" i="2"/>
  <c r="G1994" i="2"/>
  <c r="G1990" i="2"/>
  <c r="G1986" i="2"/>
  <c r="G2038" i="2"/>
  <c r="G2034" i="2"/>
  <c r="G2030" i="2"/>
  <c r="G2026" i="2"/>
  <c r="G2022" i="2"/>
  <c r="G2018" i="2"/>
  <c r="G2014" i="2"/>
  <c r="H1869" i="2"/>
  <c r="H1860" i="2"/>
  <c r="H1857" i="2"/>
  <c r="H1854" i="2"/>
  <c r="H1852" i="2"/>
  <c r="H1849" i="2"/>
  <c r="H1846" i="2"/>
  <c r="H1844" i="2"/>
  <c r="H1839" i="2"/>
  <c r="H1837" i="2"/>
  <c r="H1886" i="2"/>
  <c r="H1883" i="2"/>
  <c r="H1878" i="2"/>
  <c r="H1875" i="2"/>
  <c r="H1870" i="2"/>
  <c r="H1867" i="2"/>
  <c r="H1918" i="2"/>
  <c r="H1915" i="2"/>
  <c r="H1912" i="2"/>
  <c r="H1909" i="2"/>
  <c r="H1902" i="2"/>
  <c r="H1899" i="2"/>
  <c r="H1896" i="2"/>
  <c r="H1893" i="2"/>
  <c r="H1944" i="2"/>
  <c r="H1941" i="2"/>
  <c r="H1938" i="2"/>
  <c r="H1935" i="2"/>
  <c r="H1928" i="2"/>
  <c r="H1925" i="2"/>
  <c r="H1859" i="2"/>
  <c r="H1885" i="2"/>
  <c r="H1895" i="2"/>
  <c r="H1937" i="2"/>
  <c r="H1858" i="2"/>
  <c r="H1856" i="2"/>
  <c r="H1853" i="2"/>
  <c r="H1850" i="2"/>
  <c r="H1838" i="2"/>
  <c r="H1836" i="2"/>
  <c r="H1890" i="2"/>
  <c r="H1887" i="2"/>
  <c r="H1882" i="2"/>
  <c r="H1879" i="2"/>
  <c r="H1874" i="2"/>
  <c r="H1871" i="2"/>
  <c r="H1866" i="2"/>
  <c r="H1863" i="2"/>
  <c r="H1907" i="2"/>
  <c r="H1949" i="2"/>
  <c r="H1946" i="2"/>
  <c r="H1943" i="2"/>
  <c r="H1936" i="2"/>
  <c r="H1933" i="2"/>
  <c r="H1930" i="2"/>
  <c r="H1927" i="2"/>
  <c r="H1851" i="2"/>
  <c r="H1843" i="2"/>
  <c r="H1877" i="2"/>
  <c r="H1911" i="2"/>
  <c r="H1855" i="2"/>
  <c r="H1842" i="2"/>
  <c r="H1840" i="2"/>
  <c r="H1835" i="2"/>
  <c r="H1833" i="2"/>
  <c r="H1889" i="2"/>
  <c r="H1876" i="2"/>
  <c r="H1873" i="2"/>
  <c r="H1683" i="2"/>
  <c r="H1758" i="2"/>
  <c r="H1698" i="2"/>
  <c r="H1736" i="2"/>
  <c r="H1720" i="2"/>
  <c r="H1713" i="2"/>
  <c r="H1766" i="2"/>
  <c r="H1750" i="2"/>
  <c r="H1743" i="2"/>
  <c r="H1800" i="2"/>
  <c r="H1784" i="2"/>
  <c r="H1728" i="2"/>
  <c r="H1710" i="2"/>
  <c r="H1694" i="2"/>
  <c r="H1732" i="2"/>
  <c r="H1716" i="2"/>
  <c r="H1762" i="2"/>
  <c r="H1746" i="2"/>
  <c r="H1740" i="2"/>
  <c r="H1724" i="2"/>
  <c r="G1848" i="2"/>
  <c r="G1836" i="2"/>
  <c r="G1912" i="2"/>
  <c r="G1900" i="2"/>
  <c r="G1896" i="2"/>
  <c r="G1950" i="2"/>
  <c r="G1946" i="2"/>
  <c r="G1938" i="2"/>
  <c r="G1934" i="2"/>
  <c r="G1930" i="2"/>
  <c r="G1926" i="2"/>
  <c r="G1860" i="2"/>
  <c r="G1856" i="2"/>
  <c r="G1844" i="2"/>
  <c r="G1920" i="2"/>
  <c r="G1916" i="2"/>
  <c r="G1904" i="2"/>
  <c r="G1942" i="2"/>
  <c r="G1852" i="2"/>
  <c r="G1840" i="2"/>
  <c r="G1908" i="2"/>
  <c r="G1859" i="2"/>
  <c r="G1855" i="2"/>
  <c r="G1851" i="2"/>
  <c r="G1847" i="2"/>
  <c r="G1833" i="2"/>
  <c r="G1919" i="2"/>
  <c r="G1917" i="2"/>
  <c r="G1915" i="2"/>
  <c r="G1913" i="2"/>
  <c r="G1911" i="2"/>
  <c r="G1909" i="2"/>
  <c r="G1907" i="2"/>
  <c r="G1905" i="2"/>
  <c r="G1903" i="2"/>
  <c r="G1901" i="2"/>
  <c r="G1899" i="2"/>
  <c r="G1897" i="2"/>
  <c r="G1895" i="2"/>
  <c r="G1893" i="2"/>
  <c r="F1708" i="2"/>
  <c r="F1704" i="2"/>
  <c r="F1700" i="2"/>
  <c r="F1696" i="2"/>
  <c r="F1692" i="2"/>
  <c r="F1688" i="2"/>
  <c r="F1684" i="2"/>
  <c r="F1739" i="2"/>
  <c r="F1735" i="2"/>
  <c r="F1731" i="2"/>
  <c r="F1727" i="2"/>
  <c r="F1723" i="2"/>
  <c r="F1719" i="2"/>
  <c r="F1715" i="2"/>
  <c r="F1768" i="2"/>
  <c r="F1764" i="2"/>
  <c r="F1760" i="2"/>
  <c r="F1756" i="2"/>
  <c r="F1752" i="2"/>
  <c r="F1748" i="2"/>
  <c r="F1744" i="2"/>
  <c r="F1800" i="2"/>
  <c r="F1796" i="2"/>
  <c r="F1792" i="2"/>
  <c r="F1788" i="2"/>
  <c r="F1784" i="2"/>
  <c r="F1780" i="2"/>
  <c r="F1776" i="2"/>
  <c r="F1710" i="2"/>
  <c r="F1706" i="2"/>
  <c r="F1702" i="2"/>
  <c r="F1698" i="2"/>
  <c r="F1694" i="2"/>
  <c r="F1690" i="2"/>
  <c r="F1686" i="2"/>
  <c r="F1737" i="2"/>
  <c r="F1733" i="2"/>
  <c r="F1729" i="2"/>
  <c r="F1725" i="2"/>
  <c r="F1721" i="2"/>
  <c r="F1717" i="2"/>
  <c r="F1713" i="2"/>
  <c r="F1798" i="2"/>
  <c r="F1794" i="2"/>
  <c r="F1790" i="2"/>
  <c r="F1786" i="2"/>
  <c r="F1782" i="2"/>
  <c r="F1778" i="2"/>
  <c r="F1774" i="2"/>
  <c r="F1707" i="2"/>
  <c r="F1703" i="2"/>
  <c r="F1699" i="2"/>
  <c r="F1695" i="2"/>
  <c r="F1691" i="2"/>
  <c r="F1687" i="2"/>
  <c r="F1683" i="2"/>
  <c r="F1529" i="2"/>
  <c r="F1469" i="2"/>
  <c r="F1619" i="2" s="1"/>
  <c r="F1409" i="2"/>
  <c r="F1559" i="2" s="1"/>
  <c r="F1499" i="2"/>
  <c r="F1649" i="2" s="1"/>
  <c r="F1439" i="2"/>
  <c r="F1589" i="2" s="1"/>
  <c r="F1525" i="2"/>
  <c r="F1465" i="2"/>
  <c r="F1615" i="2" s="1"/>
  <c r="F1405" i="2"/>
  <c r="F1555" i="2" s="1"/>
  <c r="F1495" i="2"/>
  <c r="F1645" i="2" s="1"/>
  <c r="F1435" i="2"/>
  <c r="F1585" i="2" s="1"/>
  <c r="F1521" i="2"/>
  <c r="F1461" i="2"/>
  <c r="F1611" i="2" s="1"/>
  <c r="F1401" i="2"/>
  <c r="F1551" i="2" s="1"/>
  <c r="F1491" i="2"/>
  <c r="F1641" i="2" s="1"/>
  <c r="F1431" i="2"/>
  <c r="F1581" i="2" s="1"/>
  <c r="F1517" i="2"/>
  <c r="F1457" i="2"/>
  <c r="F1607" i="2" s="1"/>
  <c r="F1397" i="2"/>
  <c r="F1547" i="2" s="1"/>
  <c r="F1487" i="2"/>
  <c r="F1637" i="2" s="1"/>
  <c r="F1427" i="2"/>
  <c r="F1577" i="2" s="1"/>
  <c r="F1513" i="2"/>
  <c r="F1453" i="2"/>
  <c r="F1603" i="2" s="1"/>
  <c r="F1393" i="2"/>
  <c r="F1543" i="2" s="1"/>
  <c r="F1483" i="2"/>
  <c r="F1633" i="2" s="1"/>
  <c r="F1423" i="2"/>
  <c r="F1573" i="2" s="1"/>
  <c r="F1509" i="2"/>
  <c r="F1449" i="2"/>
  <c r="F1599" i="2" s="1"/>
  <c r="F1389" i="2"/>
  <c r="F1539" i="2" s="1"/>
  <c r="F1479" i="2"/>
  <c r="F1629" i="2" s="1"/>
  <c r="F1419" i="2"/>
  <c r="F1569" i="2" s="1"/>
  <c r="F1505" i="2"/>
  <c r="F1445" i="2"/>
  <c r="F1595" i="2" s="1"/>
  <c r="F1385" i="2"/>
  <c r="F1535" i="2" s="1"/>
  <c r="F1475" i="2"/>
  <c r="F1625" i="2" s="1"/>
  <c r="F1415" i="2"/>
  <c r="F1565" i="2" s="1"/>
  <c r="F1407" i="2"/>
  <c r="F1557" i="2" s="1"/>
  <c r="F1403" i="2"/>
  <c r="F1553" i="2" s="1"/>
  <c r="F1399" i="2"/>
  <c r="F1549" i="2" s="1"/>
  <c r="F1395" i="2"/>
  <c r="F1545" i="2" s="1"/>
  <c r="F1391" i="2"/>
  <c r="F1541" i="2" s="1"/>
  <c r="F1387" i="2"/>
  <c r="F1537" i="2" s="1"/>
  <c r="F1383" i="2"/>
  <c r="F1533" i="2" s="1"/>
  <c r="F1467" i="2"/>
  <c r="F1617" i="2" s="1"/>
  <c r="F1463" i="2"/>
  <c r="F1613" i="2" s="1"/>
  <c r="F1459" i="2"/>
  <c r="F1609" i="2" s="1"/>
  <c r="F1455" i="2"/>
  <c r="F1605" i="2" s="1"/>
  <c r="F1451" i="2"/>
  <c r="F1601" i="2" s="1"/>
  <c r="F1447" i="2"/>
  <c r="F1597" i="2" s="1"/>
  <c r="F1443" i="2"/>
  <c r="F1593" i="2" s="1"/>
  <c r="F1527" i="2"/>
  <c r="F1523" i="2"/>
  <c r="F1519" i="2"/>
  <c r="F1515" i="2"/>
  <c r="F1511" i="2"/>
  <c r="F1507" i="2"/>
  <c r="F1503" i="2"/>
  <c r="F1437" i="2"/>
  <c r="F1587" i="2" s="1"/>
  <c r="F1433" i="2"/>
  <c r="F1583" i="2" s="1"/>
  <c r="F1429" i="2"/>
  <c r="F1579" i="2" s="1"/>
  <c r="F1425" i="2"/>
  <c r="F1575" i="2" s="1"/>
  <c r="F1421" i="2"/>
  <c r="F1571" i="2" s="1"/>
  <c r="F1417" i="2"/>
  <c r="F1567" i="2" s="1"/>
  <c r="F1413" i="2"/>
  <c r="F1563" i="2" s="1"/>
  <c r="F1408" i="2"/>
  <c r="F1558" i="2" s="1"/>
  <c r="F1404" i="2"/>
  <c r="F1554" i="2" s="1"/>
  <c r="F1400" i="2"/>
  <c r="F1550" i="2" s="1"/>
  <c r="F1396" i="2"/>
  <c r="F1546" i="2" s="1"/>
  <c r="F1392" i="2"/>
  <c r="F1542" i="2" s="1"/>
  <c r="F1388" i="2"/>
  <c r="F1538" i="2" s="1"/>
  <c r="F1384" i="2"/>
  <c r="F1534" i="2" s="1"/>
  <c r="F1440" i="2"/>
  <c r="F1590" i="2" s="1"/>
  <c r="F1436" i="2"/>
  <c r="F1586" i="2" s="1"/>
  <c r="F1432" i="2"/>
  <c r="F1582" i="2" s="1"/>
  <c r="F1428" i="2"/>
  <c r="F1578" i="2" s="1"/>
  <c r="F1424" i="2"/>
  <c r="F1574" i="2" s="1"/>
  <c r="F1420" i="2"/>
  <c r="F1570" i="2" s="1"/>
  <c r="F1416" i="2"/>
  <c r="F1566" i="2" s="1"/>
  <c r="F1468" i="2"/>
  <c r="F1618" i="2" s="1"/>
  <c r="F1464" i="2"/>
  <c r="F1614" i="2" s="1"/>
  <c r="F1460" i="2"/>
  <c r="F1610" i="2" s="1"/>
  <c r="F1456" i="2"/>
  <c r="F1606" i="2" s="1"/>
  <c r="F1452" i="2"/>
  <c r="F1602" i="2" s="1"/>
  <c r="F1448" i="2"/>
  <c r="F1598" i="2" s="1"/>
  <c r="F1444" i="2"/>
  <c r="F1594" i="2" s="1"/>
  <c r="H2369" i="2"/>
  <c r="H2309" i="2"/>
  <c r="H2365" i="2"/>
  <c r="H2297" i="2"/>
  <c r="H2353" i="2"/>
  <c r="H2293" i="2"/>
  <c r="H2349" i="2"/>
  <c r="D576" i="2"/>
  <c r="E276" i="2"/>
  <c r="E426" i="2" s="1"/>
  <c r="D454" i="2"/>
  <c r="D124" i="2"/>
  <c r="D486" i="2"/>
  <c r="E186" i="2"/>
  <c r="E336" i="2" s="1"/>
  <c r="D84" i="2"/>
  <c r="D518" i="2"/>
  <c r="E218" i="2"/>
  <c r="E368" i="2" s="1"/>
  <c r="D458" i="2"/>
  <c r="D128" i="2"/>
  <c r="D797" i="2"/>
  <c r="E947" i="2" s="1"/>
  <c r="D1097" i="2" s="1"/>
  <c r="E1247" i="2" s="1"/>
  <c r="E647" i="2"/>
  <c r="D39" i="2"/>
  <c r="D825" i="2"/>
  <c r="E975" i="2" s="1"/>
  <c r="D1125" i="2" s="1"/>
  <c r="E1275" i="2" s="1"/>
  <c r="E675" i="2"/>
  <c r="D857" i="2"/>
  <c r="E1007" i="2" s="1"/>
  <c r="D1157" i="2" s="1"/>
  <c r="E1307" i="2" s="1"/>
  <c r="E707" i="2"/>
  <c r="D99" i="2"/>
  <c r="D94" i="2"/>
  <c r="D885" i="2"/>
  <c r="E1035" i="2" s="1"/>
  <c r="D1185" i="2" s="1"/>
  <c r="E1335" i="2" s="1"/>
  <c r="E735" i="2"/>
  <c r="D479" i="2"/>
  <c r="D149" i="2"/>
  <c r="D467" i="2"/>
  <c r="D137" i="2"/>
  <c r="D457" i="2"/>
  <c r="E157" i="2"/>
  <c r="E307" i="2" s="1"/>
  <c r="D97" i="2"/>
  <c r="D482" i="2"/>
  <c r="E182" i="2"/>
  <c r="E332" i="2" s="1"/>
  <c r="D58" i="2"/>
  <c r="D54" i="2"/>
  <c r="D50" i="2"/>
  <c r="D38" i="2"/>
  <c r="D34" i="2"/>
  <c r="D66" i="2"/>
  <c r="D118" i="2"/>
  <c r="D114" i="2"/>
  <c r="D110" i="2"/>
  <c r="D98" i="2"/>
  <c r="E722" i="2"/>
  <c r="D872" i="2"/>
  <c r="E1022" i="2" s="1"/>
  <c r="D1172" i="2" s="1"/>
  <c r="E1322" i="2" s="1"/>
  <c r="E179" i="2"/>
  <c r="E329" i="2" s="1"/>
  <c r="E285" i="2"/>
  <c r="E435" i="2" s="1"/>
  <c r="E277" i="2"/>
  <c r="E427" i="2" s="1"/>
  <c r="E209" i="2"/>
  <c r="E359" i="2" s="1"/>
  <c r="E624" i="2"/>
  <c r="D774" i="2"/>
  <c r="E924" i="2" s="1"/>
  <c r="D1074" i="2" s="1"/>
  <c r="E1224" i="2" s="1"/>
  <c r="D64" i="2"/>
  <c r="D845" i="2"/>
  <c r="E995" i="2" s="1"/>
  <c r="D1145" i="2" s="1"/>
  <c r="E1295" i="2" s="1"/>
  <c r="E695" i="2"/>
  <c r="D144" i="2"/>
  <c r="E156" i="2"/>
  <c r="E306" i="2" s="1"/>
  <c r="D456" i="2"/>
  <c r="D869" i="2"/>
  <c r="E1019" i="2" s="1"/>
  <c r="D1169" i="2" s="1"/>
  <c r="E1319" i="2" s="1"/>
  <c r="E719" i="2"/>
  <c r="D598" i="2"/>
  <c r="E298" i="2"/>
  <c r="E448" i="2" s="1"/>
  <c r="D778" i="2"/>
  <c r="E928" i="2" s="1"/>
  <c r="D1078" i="2" s="1"/>
  <c r="E1228" i="2" s="1"/>
  <c r="E628" i="2"/>
  <c r="D465" i="2"/>
  <c r="E165" i="2"/>
  <c r="E315" i="2" s="1"/>
  <c r="D455" i="2"/>
  <c r="D125" i="2"/>
  <c r="D45" i="2"/>
  <c r="D37" i="2"/>
  <c r="D89" i="2"/>
  <c r="D77" i="2"/>
  <c r="D69" i="2"/>
  <c r="D65" i="2"/>
  <c r="D105" i="2"/>
  <c r="D96" i="2"/>
  <c r="E178" i="2"/>
  <c r="E328" i="2" s="1"/>
  <c r="E154" i="2"/>
  <c r="E304" i="2" s="1"/>
  <c r="E269" i="2"/>
  <c r="E419" i="2" s="1"/>
  <c r="E245" i="2"/>
  <c r="E395" i="2" s="1"/>
  <c r="D812" i="2"/>
  <c r="E962" i="2" s="1"/>
  <c r="D1112" i="2" s="1"/>
  <c r="E1262" i="2" s="1"/>
  <c r="E662" i="2"/>
  <c r="E212" i="2"/>
  <c r="E362" i="2" s="1"/>
  <c r="E197" i="2"/>
  <c r="E347" i="2" s="1"/>
  <c r="D842" i="2"/>
  <c r="E992" i="2" s="1"/>
  <c r="D1142" i="2" s="1"/>
  <c r="E1292" i="2" s="1"/>
  <c r="E692" i="2"/>
  <c r="D530" i="2"/>
  <c r="D459" i="2"/>
  <c r="D129" i="2"/>
  <c r="D470" i="2"/>
  <c r="D140" i="2"/>
  <c r="D809" i="2"/>
  <c r="E959" i="2" s="1"/>
  <c r="D1109" i="2" s="1"/>
  <c r="E1259" i="2" s="1"/>
  <c r="E659" i="2"/>
  <c r="D817" i="2"/>
  <c r="E967" i="2" s="1"/>
  <c r="D1117" i="2" s="1"/>
  <c r="E1267" i="2" s="1"/>
  <c r="E667" i="2"/>
  <c r="D877" i="2"/>
  <c r="E1027" i="2" s="1"/>
  <c r="D1177" i="2" s="1"/>
  <c r="E1327" i="2" s="1"/>
  <c r="E727" i="2"/>
  <c r="E174" i="2"/>
  <c r="E324" i="2" s="1"/>
  <c r="E158" i="2"/>
  <c r="E308" i="2" s="1"/>
  <c r="E257" i="2"/>
  <c r="E407" i="2" s="1"/>
  <c r="E225" i="2"/>
  <c r="E375" i="2" s="1"/>
  <c r="E217" i="2"/>
  <c r="E367" i="2" s="1"/>
  <c r="E602" i="2"/>
  <c r="H2301" i="2"/>
  <c r="H2285" i="2"/>
  <c r="H2357" i="2"/>
  <c r="H2305" i="2"/>
  <c r="H2289" i="2"/>
  <c r="H2361" i="2"/>
  <c r="H2345" i="2"/>
  <c r="H2282" i="2"/>
  <c r="H2308" i="2"/>
  <c r="H2304" i="2"/>
  <c r="H2300" i="2"/>
  <c r="H2296" i="2"/>
  <c r="H2292" i="2"/>
  <c r="H2288" i="2"/>
  <c r="H2284" i="2"/>
  <c r="H2340" i="2"/>
  <c r="H2336" i="2"/>
  <c r="H2332" i="2"/>
  <c r="H2328" i="2"/>
  <c r="H2324" i="2"/>
  <c r="H2320" i="2"/>
  <c r="H2316" i="2"/>
  <c r="H2342" i="2"/>
  <c r="H2368" i="2"/>
  <c r="H2364" i="2"/>
  <c r="H2360" i="2"/>
  <c r="H2356" i="2"/>
  <c r="H2352" i="2"/>
  <c r="H2348" i="2"/>
  <c r="H2344" i="2"/>
  <c r="H2400" i="2"/>
  <c r="H2396" i="2"/>
  <c r="H2392" i="2"/>
  <c r="H2388" i="2"/>
  <c r="H2384" i="2"/>
  <c r="H2380" i="2"/>
  <c r="H2376" i="2"/>
  <c r="H2311" i="2"/>
  <c r="H2307" i="2"/>
  <c r="H2303" i="2"/>
  <c r="H2299" i="2"/>
  <c r="H2295" i="2"/>
  <c r="H2291" i="2"/>
  <c r="H2287" i="2"/>
  <c r="H2283" i="2"/>
  <c r="H2339" i="2"/>
  <c r="H2335" i="2"/>
  <c r="H2331" i="2"/>
  <c r="H2327" i="2"/>
  <c r="H2323" i="2"/>
  <c r="H2319" i="2"/>
  <c r="H2315" i="2"/>
  <c r="H2371" i="2"/>
  <c r="H2367" i="2"/>
  <c r="H2363" i="2"/>
  <c r="H2359" i="2"/>
  <c r="H2355" i="2"/>
  <c r="H2351" i="2"/>
  <c r="H2347" i="2"/>
  <c r="H2343" i="2"/>
  <c r="H2310" i="2"/>
  <c r="H2306" i="2"/>
  <c r="H2302" i="2"/>
  <c r="H2298" i="2"/>
  <c r="H2294" i="2"/>
  <c r="H2290" i="2"/>
  <c r="H2286" i="2"/>
  <c r="H2312" i="2"/>
  <c r="H2338" i="2"/>
  <c r="H2334" i="2"/>
  <c r="H2330" i="2"/>
  <c r="H2326" i="2"/>
  <c r="H2322" i="2"/>
  <c r="H2318" i="2"/>
  <c r="H2314" i="2"/>
  <c r="H2341" i="2"/>
  <c r="H2337" i="2"/>
  <c r="H2333" i="2"/>
  <c r="H2329" i="2"/>
  <c r="H2325" i="2"/>
  <c r="H2321" i="2"/>
  <c r="H2317" i="2"/>
  <c r="H2313" i="2"/>
  <c r="H1679" i="2"/>
  <c r="H1675" i="2"/>
  <c r="H1671" i="2"/>
  <c r="H1667" i="2"/>
  <c r="H1663" i="2"/>
  <c r="H1659" i="2"/>
  <c r="H1655" i="2"/>
  <c r="H1678" i="2"/>
  <c r="H1674" i="2"/>
  <c r="H1670" i="2"/>
  <c r="H1666" i="2"/>
  <c r="H1662" i="2"/>
  <c r="H1658" i="2"/>
  <c r="H1654" i="2"/>
  <c r="H1677" i="2"/>
  <c r="H1673" i="2"/>
  <c r="H1669" i="2"/>
  <c r="H1665" i="2"/>
  <c r="H1661" i="2"/>
  <c r="H1657" i="2"/>
  <c r="D3" i="2"/>
  <c r="D23" i="2"/>
  <c r="D13" i="2"/>
  <c r="D25" i="2"/>
  <c r="D19" i="2"/>
  <c r="D12" i="2"/>
  <c r="D27" i="2"/>
  <c r="D21" i="2"/>
  <c r="D16" i="2"/>
  <c r="D11" i="2"/>
  <c r="D30" i="2"/>
  <c r="D26" i="2"/>
  <c r="D22" i="2"/>
  <c r="D18" i="2"/>
  <c r="D14" i="2"/>
  <c r="D10" i="2"/>
  <c r="N33" i="2"/>
  <c r="N63" i="2" s="1"/>
  <c r="N93" i="2" s="1"/>
  <c r="N123" i="2" s="1"/>
  <c r="N153" i="2" s="1"/>
  <c r="N183" i="2" s="1"/>
  <c r="N213" i="2" s="1"/>
  <c r="N243" i="2" s="1"/>
  <c r="N273" i="2" s="1"/>
  <c r="N303" i="2" s="1"/>
  <c r="N333" i="2" s="1"/>
  <c r="N363" i="2" s="1"/>
  <c r="N393" i="2" s="1"/>
  <c r="N423" i="2" s="1"/>
  <c r="N453" i="2" s="1"/>
  <c r="N483" i="2" s="1"/>
  <c r="N513" i="2" s="1"/>
  <c r="N543" i="2" s="1"/>
  <c r="N573" i="2" s="1"/>
  <c r="N603" i="2" s="1"/>
  <c r="N633" i="2" s="1"/>
  <c r="N663" i="2" s="1"/>
  <c r="N693" i="2" s="1"/>
  <c r="N723" i="2" s="1"/>
  <c r="N753" i="2" s="1"/>
  <c r="N783" i="2" s="1"/>
  <c r="N813" i="2" s="1"/>
  <c r="N843" i="2" s="1"/>
  <c r="N873" i="2" s="1"/>
  <c r="N903" i="2" s="1"/>
  <c r="N933" i="2" s="1"/>
  <c r="N963" i="2" s="1"/>
  <c r="N993" i="2" s="1"/>
  <c r="N1023" i="2" s="1"/>
  <c r="N1053" i="2" s="1"/>
  <c r="N1083" i="2" s="1"/>
  <c r="N1113" i="2" s="1"/>
  <c r="N1143" i="2" s="1"/>
  <c r="N1173" i="2" s="1"/>
  <c r="N1203" i="2" s="1"/>
  <c r="N1233" i="2" s="1"/>
  <c r="N1263" i="2" s="1"/>
  <c r="N1293" i="2" s="1"/>
  <c r="N1323" i="2" s="1"/>
  <c r="N1353" i="2" s="1"/>
  <c r="N1383" i="2" s="1"/>
  <c r="N1413" i="2" s="1"/>
  <c r="N1443" i="2" s="1"/>
  <c r="N1473" i="2" s="1"/>
  <c r="N1503" i="2" s="1"/>
  <c r="N1533" i="2" s="1"/>
  <c r="N1563" i="2" s="1"/>
  <c r="N1593" i="2" s="1"/>
  <c r="N1623" i="2" s="1"/>
  <c r="N1653" i="2" s="1"/>
  <c r="N1683" i="2" s="1"/>
  <c r="N1713" i="2" s="1"/>
  <c r="N1743" i="2" s="1"/>
  <c r="N1773" i="2" s="1"/>
  <c r="N1803" i="2" s="1"/>
  <c r="N1833" i="2" s="1"/>
  <c r="N1863" i="2" s="1"/>
  <c r="N1893" i="2" s="1"/>
  <c r="N1923" i="2" s="1"/>
  <c r="N1953" i="2" s="1"/>
  <c r="N1983" i="2" s="1"/>
  <c r="N2013" i="2" s="1"/>
  <c r="N2043" i="2" s="1"/>
  <c r="N2073" i="2" s="1"/>
  <c r="N2103" i="2" s="1"/>
  <c r="N2133" i="2" s="1"/>
  <c r="N2163" i="2" s="1"/>
  <c r="N2193" i="2" s="1"/>
  <c r="N2223" i="2" s="1"/>
  <c r="N2253" i="2" s="1"/>
  <c r="N2283" i="2" s="1"/>
  <c r="N2313" i="2" s="1"/>
  <c r="N2343" i="2" s="1"/>
  <c r="N2373" i="2" s="1"/>
  <c r="N34" i="2"/>
  <c r="N64" i="2" s="1"/>
  <c r="N94" i="2" s="1"/>
  <c r="N124" i="2" s="1"/>
  <c r="N35" i="2"/>
  <c r="N36" i="2"/>
  <c r="N66" i="2" s="1"/>
  <c r="N96" i="2" s="1"/>
  <c r="N126" i="2" s="1"/>
  <c r="N156" i="2" s="1"/>
  <c r="N186" i="2" s="1"/>
  <c r="N216" i="2" s="1"/>
  <c r="N246" i="2" s="1"/>
  <c r="N276" i="2" s="1"/>
  <c r="N306" i="2" s="1"/>
  <c r="N336" i="2" s="1"/>
  <c r="N366" i="2" s="1"/>
  <c r="N396" i="2" s="1"/>
  <c r="N426" i="2" s="1"/>
  <c r="N456" i="2" s="1"/>
  <c r="N486" i="2" s="1"/>
  <c r="N516" i="2" s="1"/>
  <c r="N546" i="2" s="1"/>
  <c r="N576" i="2" s="1"/>
  <c r="N606" i="2" s="1"/>
  <c r="N636" i="2" s="1"/>
  <c r="N666" i="2" s="1"/>
  <c r="N696" i="2" s="1"/>
  <c r="N726" i="2" s="1"/>
  <c r="N756" i="2" s="1"/>
  <c r="N786" i="2" s="1"/>
  <c r="N816" i="2" s="1"/>
  <c r="N846" i="2" s="1"/>
  <c r="N876" i="2" s="1"/>
  <c r="N906" i="2" s="1"/>
  <c r="N936" i="2" s="1"/>
  <c r="N966" i="2" s="1"/>
  <c r="N996" i="2" s="1"/>
  <c r="N1026" i="2" s="1"/>
  <c r="N1056" i="2" s="1"/>
  <c r="N1086" i="2" s="1"/>
  <c r="N1116" i="2" s="1"/>
  <c r="N1146" i="2" s="1"/>
  <c r="N1176" i="2" s="1"/>
  <c r="N1206" i="2" s="1"/>
  <c r="N1236" i="2" s="1"/>
  <c r="N1266" i="2" s="1"/>
  <c r="N1296" i="2" s="1"/>
  <c r="N1326" i="2" s="1"/>
  <c r="N1356" i="2" s="1"/>
  <c r="N1386" i="2" s="1"/>
  <c r="N1416" i="2" s="1"/>
  <c r="N1446" i="2" s="1"/>
  <c r="N1476" i="2" s="1"/>
  <c r="N1506" i="2" s="1"/>
  <c r="N1536" i="2" s="1"/>
  <c r="N1566" i="2" s="1"/>
  <c r="N1596" i="2" s="1"/>
  <c r="N1626" i="2" s="1"/>
  <c r="N1656" i="2" s="1"/>
  <c r="N1686" i="2" s="1"/>
  <c r="N1716" i="2" s="1"/>
  <c r="N1746" i="2" s="1"/>
  <c r="N1776" i="2" s="1"/>
  <c r="N1806" i="2" s="1"/>
  <c r="N1836" i="2" s="1"/>
  <c r="N1866" i="2" s="1"/>
  <c r="N1896" i="2" s="1"/>
  <c r="N1926" i="2" s="1"/>
  <c r="N1956" i="2" s="1"/>
  <c r="N1986" i="2" s="1"/>
  <c r="N2016" i="2" s="1"/>
  <c r="N2046" i="2" s="1"/>
  <c r="N2076" i="2" s="1"/>
  <c r="N2106" i="2" s="1"/>
  <c r="N2136" i="2" s="1"/>
  <c r="N2166" i="2" s="1"/>
  <c r="N2196" i="2" s="1"/>
  <c r="N2226" i="2" s="1"/>
  <c r="N2256" i="2" s="1"/>
  <c r="N2286" i="2" s="1"/>
  <c r="N2316" i="2" s="1"/>
  <c r="N2346" i="2" s="1"/>
  <c r="N2376" i="2" s="1"/>
  <c r="N37" i="2"/>
  <c r="N67" i="2" s="1"/>
  <c r="N97" i="2" s="1"/>
  <c r="N127" i="2" s="1"/>
  <c r="N157" i="2" s="1"/>
  <c r="N187" i="2" s="1"/>
  <c r="N217" i="2" s="1"/>
  <c r="N247" i="2" s="1"/>
  <c r="N277" i="2" s="1"/>
  <c r="N307" i="2" s="1"/>
  <c r="N337" i="2" s="1"/>
  <c r="N367" i="2" s="1"/>
  <c r="N397" i="2" s="1"/>
  <c r="N427" i="2" s="1"/>
  <c r="N457" i="2" s="1"/>
  <c r="N487" i="2" s="1"/>
  <c r="N517" i="2" s="1"/>
  <c r="N547" i="2" s="1"/>
  <c r="N577" i="2" s="1"/>
  <c r="N607" i="2" s="1"/>
  <c r="N637" i="2" s="1"/>
  <c r="N667" i="2" s="1"/>
  <c r="N697" i="2" s="1"/>
  <c r="N727" i="2" s="1"/>
  <c r="N757" i="2" s="1"/>
  <c r="N787" i="2" s="1"/>
  <c r="N817" i="2" s="1"/>
  <c r="N847" i="2" s="1"/>
  <c r="N877" i="2" s="1"/>
  <c r="N907" i="2" s="1"/>
  <c r="N937" i="2" s="1"/>
  <c r="N967" i="2" s="1"/>
  <c r="N997" i="2" s="1"/>
  <c r="N1027" i="2" s="1"/>
  <c r="N1057" i="2" s="1"/>
  <c r="N1087" i="2" s="1"/>
  <c r="N1117" i="2" s="1"/>
  <c r="N1147" i="2" s="1"/>
  <c r="N1177" i="2" s="1"/>
  <c r="N1207" i="2" s="1"/>
  <c r="N1237" i="2" s="1"/>
  <c r="N1267" i="2" s="1"/>
  <c r="N1297" i="2" s="1"/>
  <c r="N1327" i="2" s="1"/>
  <c r="N1357" i="2" s="1"/>
  <c r="N1387" i="2" s="1"/>
  <c r="N1417" i="2" s="1"/>
  <c r="N1447" i="2" s="1"/>
  <c r="N1477" i="2" s="1"/>
  <c r="N1507" i="2" s="1"/>
  <c r="N1537" i="2" s="1"/>
  <c r="N1567" i="2" s="1"/>
  <c r="N1597" i="2" s="1"/>
  <c r="N1627" i="2" s="1"/>
  <c r="N1657" i="2" s="1"/>
  <c r="N1687" i="2" s="1"/>
  <c r="N1717" i="2" s="1"/>
  <c r="N1747" i="2" s="1"/>
  <c r="N1777" i="2" s="1"/>
  <c r="N1807" i="2" s="1"/>
  <c r="N1837" i="2" s="1"/>
  <c r="N1867" i="2" s="1"/>
  <c r="N1897" i="2" s="1"/>
  <c r="N1927" i="2" s="1"/>
  <c r="N1957" i="2" s="1"/>
  <c r="N1987" i="2" s="1"/>
  <c r="N2017" i="2" s="1"/>
  <c r="N2047" i="2" s="1"/>
  <c r="N2077" i="2" s="1"/>
  <c r="N2107" i="2" s="1"/>
  <c r="N2137" i="2" s="1"/>
  <c r="N2167" i="2" s="1"/>
  <c r="N2197" i="2" s="1"/>
  <c r="N2227" i="2" s="1"/>
  <c r="N2257" i="2" s="1"/>
  <c r="N2287" i="2" s="1"/>
  <c r="N2317" i="2" s="1"/>
  <c r="N2347" i="2" s="1"/>
  <c r="N2377" i="2" s="1"/>
  <c r="N38" i="2"/>
  <c r="N68" i="2" s="1"/>
  <c r="N98" i="2" s="1"/>
  <c r="N128" i="2" s="1"/>
  <c r="N158" i="2" s="1"/>
  <c r="N188" i="2" s="1"/>
  <c r="N218" i="2" s="1"/>
  <c r="N248" i="2" s="1"/>
  <c r="N278" i="2" s="1"/>
  <c r="N308" i="2" s="1"/>
  <c r="N338" i="2" s="1"/>
  <c r="N368" i="2" s="1"/>
  <c r="N398" i="2" s="1"/>
  <c r="N428" i="2" s="1"/>
  <c r="N458" i="2" s="1"/>
  <c r="N488" i="2" s="1"/>
  <c r="N518" i="2" s="1"/>
  <c r="N548" i="2" s="1"/>
  <c r="N578" i="2" s="1"/>
  <c r="N608" i="2" s="1"/>
  <c r="N638" i="2" s="1"/>
  <c r="N668" i="2" s="1"/>
  <c r="N698" i="2" s="1"/>
  <c r="N728" i="2" s="1"/>
  <c r="N758" i="2" s="1"/>
  <c r="N788" i="2" s="1"/>
  <c r="N818" i="2" s="1"/>
  <c r="N848" i="2" s="1"/>
  <c r="N878" i="2" s="1"/>
  <c r="N908" i="2" s="1"/>
  <c r="N938" i="2" s="1"/>
  <c r="N968" i="2" s="1"/>
  <c r="N998" i="2" s="1"/>
  <c r="N1028" i="2" s="1"/>
  <c r="N1058" i="2" s="1"/>
  <c r="N1088" i="2" s="1"/>
  <c r="N1118" i="2" s="1"/>
  <c r="N1148" i="2" s="1"/>
  <c r="N1178" i="2" s="1"/>
  <c r="N1208" i="2" s="1"/>
  <c r="N1238" i="2" s="1"/>
  <c r="N1268" i="2" s="1"/>
  <c r="N1298" i="2" s="1"/>
  <c r="N1328" i="2" s="1"/>
  <c r="N1358" i="2" s="1"/>
  <c r="N1388" i="2" s="1"/>
  <c r="N1418" i="2" s="1"/>
  <c r="N1448" i="2" s="1"/>
  <c r="N1478" i="2" s="1"/>
  <c r="N1508" i="2" s="1"/>
  <c r="N1538" i="2" s="1"/>
  <c r="N1568" i="2" s="1"/>
  <c r="N1598" i="2" s="1"/>
  <c r="N1628" i="2" s="1"/>
  <c r="N1658" i="2" s="1"/>
  <c r="N1688" i="2" s="1"/>
  <c r="N1718" i="2" s="1"/>
  <c r="N1748" i="2" s="1"/>
  <c r="N1778" i="2" s="1"/>
  <c r="N1808" i="2" s="1"/>
  <c r="N1838" i="2" s="1"/>
  <c r="N1868" i="2" s="1"/>
  <c r="N1898" i="2" s="1"/>
  <c r="N1928" i="2" s="1"/>
  <c r="N1958" i="2" s="1"/>
  <c r="N1988" i="2" s="1"/>
  <c r="N2018" i="2" s="1"/>
  <c r="N2048" i="2" s="1"/>
  <c r="N2078" i="2" s="1"/>
  <c r="N2108" i="2" s="1"/>
  <c r="N2138" i="2" s="1"/>
  <c r="N2168" i="2" s="1"/>
  <c r="N2198" i="2" s="1"/>
  <c r="N2228" i="2" s="1"/>
  <c r="N2258" i="2" s="1"/>
  <c r="N2288" i="2" s="1"/>
  <c r="N2318" i="2" s="1"/>
  <c r="N2348" i="2" s="1"/>
  <c r="N2378" i="2" s="1"/>
  <c r="N39" i="2"/>
  <c r="N40" i="2"/>
  <c r="N41" i="2"/>
  <c r="N71" i="2" s="1"/>
  <c r="N101" i="2" s="1"/>
  <c r="N131" i="2" s="1"/>
  <c r="N161" i="2" s="1"/>
  <c r="N191" i="2" s="1"/>
  <c r="N221" i="2" s="1"/>
  <c r="N251" i="2" s="1"/>
  <c r="N281" i="2" s="1"/>
  <c r="N311" i="2" s="1"/>
  <c r="N341" i="2" s="1"/>
  <c r="N371" i="2" s="1"/>
  <c r="N401" i="2" s="1"/>
  <c r="N431" i="2" s="1"/>
  <c r="N461" i="2" s="1"/>
  <c r="N491" i="2" s="1"/>
  <c r="N521" i="2" s="1"/>
  <c r="N551" i="2" s="1"/>
  <c r="N581" i="2" s="1"/>
  <c r="N611" i="2" s="1"/>
  <c r="N641" i="2" s="1"/>
  <c r="N671" i="2" s="1"/>
  <c r="N701" i="2" s="1"/>
  <c r="N731" i="2" s="1"/>
  <c r="N761" i="2" s="1"/>
  <c r="N791" i="2" s="1"/>
  <c r="N821" i="2" s="1"/>
  <c r="N851" i="2" s="1"/>
  <c r="N881" i="2" s="1"/>
  <c r="N911" i="2" s="1"/>
  <c r="N941" i="2" s="1"/>
  <c r="N971" i="2" s="1"/>
  <c r="N1001" i="2" s="1"/>
  <c r="N1031" i="2" s="1"/>
  <c r="N1061" i="2" s="1"/>
  <c r="N1091" i="2" s="1"/>
  <c r="N1121" i="2" s="1"/>
  <c r="N1151" i="2" s="1"/>
  <c r="N1181" i="2" s="1"/>
  <c r="N1211" i="2" s="1"/>
  <c r="N1241" i="2" s="1"/>
  <c r="N1271" i="2" s="1"/>
  <c r="N1301" i="2" s="1"/>
  <c r="N1331" i="2" s="1"/>
  <c r="N1361" i="2" s="1"/>
  <c r="N1391" i="2" s="1"/>
  <c r="N1421" i="2" s="1"/>
  <c r="N1451" i="2" s="1"/>
  <c r="N1481" i="2" s="1"/>
  <c r="N1511" i="2" s="1"/>
  <c r="N1541" i="2" s="1"/>
  <c r="N1571" i="2" s="1"/>
  <c r="N1601" i="2" s="1"/>
  <c r="N1631" i="2" s="1"/>
  <c r="N1661" i="2" s="1"/>
  <c r="N1691" i="2" s="1"/>
  <c r="N1721" i="2" s="1"/>
  <c r="N1751" i="2" s="1"/>
  <c r="N1781" i="2" s="1"/>
  <c r="N1811" i="2" s="1"/>
  <c r="N1841" i="2" s="1"/>
  <c r="N1871" i="2" s="1"/>
  <c r="N1901" i="2" s="1"/>
  <c r="N1931" i="2" s="1"/>
  <c r="N1961" i="2" s="1"/>
  <c r="N1991" i="2" s="1"/>
  <c r="N2021" i="2" s="1"/>
  <c r="N2051" i="2" s="1"/>
  <c r="N2081" i="2" s="1"/>
  <c r="N2111" i="2" s="1"/>
  <c r="N2141" i="2" s="1"/>
  <c r="N2171" i="2" s="1"/>
  <c r="N2201" i="2" s="1"/>
  <c r="N2231" i="2" s="1"/>
  <c r="N2261" i="2" s="1"/>
  <c r="N2291" i="2" s="1"/>
  <c r="N2321" i="2" s="1"/>
  <c r="N2351" i="2" s="1"/>
  <c r="N2381" i="2" s="1"/>
  <c r="N42" i="2"/>
  <c r="N72" i="2" s="1"/>
  <c r="N102" i="2" s="1"/>
  <c r="N132" i="2" s="1"/>
  <c r="N162" i="2" s="1"/>
  <c r="N192" i="2" s="1"/>
  <c r="N222" i="2" s="1"/>
  <c r="N252" i="2" s="1"/>
  <c r="N282" i="2" s="1"/>
  <c r="N312" i="2" s="1"/>
  <c r="N342" i="2" s="1"/>
  <c r="N372" i="2" s="1"/>
  <c r="N402" i="2" s="1"/>
  <c r="N432" i="2" s="1"/>
  <c r="N462" i="2" s="1"/>
  <c r="N492" i="2" s="1"/>
  <c r="N522" i="2" s="1"/>
  <c r="N552" i="2" s="1"/>
  <c r="N582" i="2" s="1"/>
  <c r="N612" i="2" s="1"/>
  <c r="N642" i="2" s="1"/>
  <c r="N672" i="2" s="1"/>
  <c r="N702" i="2" s="1"/>
  <c r="N732" i="2" s="1"/>
  <c r="N762" i="2" s="1"/>
  <c r="N792" i="2" s="1"/>
  <c r="N822" i="2" s="1"/>
  <c r="N852" i="2" s="1"/>
  <c r="N882" i="2" s="1"/>
  <c r="N912" i="2" s="1"/>
  <c r="N942" i="2" s="1"/>
  <c r="N972" i="2" s="1"/>
  <c r="N1002" i="2" s="1"/>
  <c r="N1032" i="2" s="1"/>
  <c r="N1062" i="2" s="1"/>
  <c r="N1092" i="2" s="1"/>
  <c r="N1122" i="2" s="1"/>
  <c r="N1152" i="2" s="1"/>
  <c r="N1182" i="2" s="1"/>
  <c r="N1212" i="2" s="1"/>
  <c r="N1242" i="2" s="1"/>
  <c r="N1272" i="2" s="1"/>
  <c r="N1302" i="2" s="1"/>
  <c r="N1332" i="2" s="1"/>
  <c r="N1362" i="2" s="1"/>
  <c r="N1392" i="2" s="1"/>
  <c r="N1422" i="2" s="1"/>
  <c r="N1452" i="2" s="1"/>
  <c r="N1482" i="2" s="1"/>
  <c r="N1512" i="2" s="1"/>
  <c r="N1542" i="2" s="1"/>
  <c r="N1572" i="2" s="1"/>
  <c r="N1602" i="2" s="1"/>
  <c r="N1632" i="2" s="1"/>
  <c r="N1662" i="2" s="1"/>
  <c r="N1692" i="2" s="1"/>
  <c r="N1722" i="2" s="1"/>
  <c r="N1752" i="2" s="1"/>
  <c r="N1782" i="2" s="1"/>
  <c r="N1812" i="2" s="1"/>
  <c r="N1842" i="2" s="1"/>
  <c r="N1872" i="2" s="1"/>
  <c r="N1902" i="2" s="1"/>
  <c r="N1932" i="2" s="1"/>
  <c r="N1962" i="2" s="1"/>
  <c r="N1992" i="2" s="1"/>
  <c r="N2022" i="2" s="1"/>
  <c r="N2052" i="2" s="1"/>
  <c r="N2082" i="2" s="1"/>
  <c r="N2112" i="2" s="1"/>
  <c r="N2142" i="2" s="1"/>
  <c r="N2172" i="2" s="1"/>
  <c r="N2202" i="2" s="1"/>
  <c r="N2232" i="2" s="1"/>
  <c r="N2262" i="2" s="1"/>
  <c r="N2292" i="2" s="1"/>
  <c r="N2322" i="2" s="1"/>
  <c r="N2352" i="2" s="1"/>
  <c r="N2382" i="2" s="1"/>
  <c r="N43" i="2"/>
  <c r="N44" i="2"/>
  <c r="N74" i="2" s="1"/>
  <c r="N104" i="2" s="1"/>
  <c r="N134" i="2" s="1"/>
  <c r="N164" i="2" s="1"/>
  <c r="N194" i="2" s="1"/>
  <c r="N224" i="2" s="1"/>
  <c r="N254" i="2" s="1"/>
  <c r="N284" i="2" s="1"/>
  <c r="N314" i="2" s="1"/>
  <c r="N344" i="2" s="1"/>
  <c r="N374" i="2" s="1"/>
  <c r="N404" i="2" s="1"/>
  <c r="N434" i="2" s="1"/>
  <c r="N464" i="2" s="1"/>
  <c r="N494" i="2" s="1"/>
  <c r="N524" i="2" s="1"/>
  <c r="N554" i="2" s="1"/>
  <c r="N584" i="2" s="1"/>
  <c r="N614" i="2" s="1"/>
  <c r="N644" i="2" s="1"/>
  <c r="N674" i="2" s="1"/>
  <c r="N704" i="2" s="1"/>
  <c r="N734" i="2" s="1"/>
  <c r="N764" i="2" s="1"/>
  <c r="N794" i="2" s="1"/>
  <c r="N824" i="2" s="1"/>
  <c r="N854" i="2" s="1"/>
  <c r="N884" i="2" s="1"/>
  <c r="N914" i="2" s="1"/>
  <c r="N944" i="2" s="1"/>
  <c r="N974" i="2" s="1"/>
  <c r="N1004" i="2" s="1"/>
  <c r="N1034" i="2" s="1"/>
  <c r="N1064" i="2" s="1"/>
  <c r="N1094" i="2" s="1"/>
  <c r="N1124" i="2" s="1"/>
  <c r="N1154" i="2" s="1"/>
  <c r="N1184" i="2" s="1"/>
  <c r="N1214" i="2" s="1"/>
  <c r="N1244" i="2" s="1"/>
  <c r="N1274" i="2" s="1"/>
  <c r="N1304" i="2" s="1"/>
  <c r="N1334" i="2" s="1"/>
  <c r="N1364" i="2" s="1"/>
  <c r="N1394" i="2" s="1"/>
  <c r="N1424" i="2" s="1"/>
  <c r="N1454" i="2" s="1"/>
  <c r="N1484" i="2" s="1"/>
  <c r="N1514" i="2" s="1"/>
  <c r="N1544" i="2" s="1"/>
  <c r="N1574" i="2" s="1"/>
  <c r="N1604" i="2" s="1"/>
  <c r="N1634" i="2" s="1"/>
  <c r="N1664" i="2" s="1"/>
  <c r="N1694" i="2" s="1"/>
  <c r="N1724" i="2" s="1"/>
  <c r="N1754" i="2" s="1"/>
  <c r="N1784" i="2" s="1"/>
  <c r="N1814" i="2" s="1"/>
  <c r="N1844" i="2" s="1"/>
  <c r="N1874" i="2" s="1"/>
  <c r="N1904" i="2" s="1"/>
  <c r="N1934" i="2" s="1"/>
  <c r="N1964" i="2" s="1"/>
  <c r="N1994" i="2" s="1"/>
  <c r="N2024" i="2" s="1"/>
  <c r="N2054" i="2" s="1"/>
  <c r="N2084" i="2" s="1"/>
  <c r="N2114" i="2" s="1"/>
  <c r="N2144" i="2" s="1"/>
  <c r="N2174" i="2" s="1"/>
  <c r="N2204" i="2" s="1"/>
  <c r="N2234" i="2" s="1"/>
  <c r="N2264" i="2" s="1"/>
  <c r="N2294" i="2" s="1"/>
  <c r="N2324" i="2" s="1"/>
  <c r="N2354" i="2" s="1"/>
  <c r="N2384" i="2" s="1"/>
  <c r="N45" i="2"/>
  <c r="N75" i="2" s="1"/>
  <c r="N105" i="2" s="1"/>
  <c r="N135" i="2" s="1"/>
  <c r="N165" i="2" s="1"/>
  <c r="N195" i="2" s="1"/>
  <c r="N225" i="2" s="1"/>
  <c r="N255" i="2" s="1"/>
  <c r="N285" i="2" s="1"/>
  <c r="N315" i="2" s="1"/>
  <c r="N345" i="2" s="1"/>
  <c r="N375" i="2" s="1"/>
  <c r="N405" i="2" s="1"/>
  <c r="N435" i="2" s="1"/>
  <c r="N465" i="2" s="1"/>
  <c r="N495" i="2" s="1"/>
  <c r="N525" i="2" s="1"/>
  <c r="N555" i="2" s="1"/>
  <c r="N585" i="2" s="1"/>
  <c r="N615" i="2" s="1"/>
  <c r="N645" i="2" s="1"/>
  <c r="N675" i="2" s="1"/>
  <c r="N705" i="2" s="1"/>
  <c r="N735" i="2" s="1"/>
  <c r="N765" i="2" s="1"/>
  <c r="N795" i="2" s="1"/>
  <c r="N825" i="2" s="1"/>
  <c r="N855" i="2" s="1"/>
  <c r="N885" i="2" s="1"/>
  <c r="N915" i="2" s="1"/>
  <c r="N945" i="2" s="1"/>
  <c r="N975" i="2" s="1"/>
  <c r="N1005" i="2" s="1"/>
  <c r="N1035" i="2" s="1"/>
  <c r="N1065" i="2" s="1"/>
  <c r="N1095" i="2" s="1"/>
  <c r="N1125" i="2" s="1"/>
  <c r="N1155" i="2" s="1"/>
  <c r="N1185" i="2" s="1"/>
  <c r="N1215" i="2" s="1"/>
  <c r="N1245" i="2" s="1"/>
  <c r="N1275" i="2" s="1"/>
  <c r="N1305" i="2" s="1"/>
  <c r="N1335" i="2" s="1"/>
  <c r="N1365" i="2" s="1"/>
  <c r="N1395" i="2" s="1"/>
  <c r="N1425" i="2" s="1"/>
  <c r="N1455" i="2" s="1"/>
  <c r="N1485" i="2" s="1"/>
  <c r="N1515" i="2" s="1"/>
  <c r="N1545" i="2" s="1"/>
  <c r="N1575" i="2" s="1"/>
  <c r="N1605" i="2" s="1"/>
  <c r="N1635" i="2" s="1"/>
  <c r="N1665" i="2" s="1"/>
  <c r="N1695" i="2" s="1"/>
  <c r="N1725" i="2" s="1"/>
  <c r="N1755" i="2" s="1"/>
  <c r="N1785" i="2" s="1"/>
  <c r="N1815" i="2" s="1"/>
  <c r="N1845" i="2" s="1"/>
  <c r="N1875" i="2" s="1"/>
  <c r="N1905" i="2" s="1"/>
  <c r="N1935" i="2" s="1"/>
  <c r="N1965" i="2" s="1"/>
  <c r="N1995" i="2" s="1"/>
  <c r="N2025" i="2" s="1"/>
  <c r="N2055" i="2" s="1"/>
  <c r="N2085" i="2" s="1"/>
  <c r="N2115" i="2" s="1"/>
  <c r="N2145" i="2" s="1"/>
  <c r="N2175" i="2" s="1"/>
  <c r="N2205" i="2" s="1"/>
  <c r="N2235" i="2" s="1"/>
  <c r="N2265" i="2" s="1"/>
  <c r="N2295" i="2" s="1"/>
  <c r="N2325" i="2" s="1"/>
  <c r="N2355" i="2" s="1"/>
  <c r="N2385" i="2" s="1"/>
  <c r="N46" i="2"/>
  <c r="N76" i="2" s="1"/>
  <c r="N106" i="2" s="1"/>
  <c r="N136" i="2" s="1"/>
  <c r="N166" i="2" s="1"/>
  <c r="N196" i="2" s="1"/>
  <c r="N226" i="2" s="1"/>
  <c r="N256" i="2" s="1"/>
  <c r="N286" i="2" s="1"/>
  <c r="N316" i="2" s="1"/>
  <c r="N47" i="2"/>
  <c r="N48" i="2"/>
  <c r="N49" i="2"/>
  <c r="N79" i="2" s="1"/>
  <c r="N109" i="2" s="1"/>
  <c r="N139" i="2" s="1"/>
  <c r="N50" i="2"/>
  <c r="N80" i="2" s="1"/>
  <c r="N110" i="2" s="1"/>
  <c r="N140" i="2" s="1"/>
  <c r="N170" i="2" s="1"/>
  <c r="N200" i="2" s="1"/>
  <c r="N230" i="2" s="1"/>
  <c r="N260" i="2" s="1"/>
  <c r="N290" i="2" s="1"/>
  <c r="N320" i="2" s="1"/>
  <c r="N350" i="2" s="1"/>
  <c r="N380" i="2" s="1"/>
  <c r="N410" i="2" s="1"/>
  <c r="N440" i="2" s="1"/>
  <c r="N470" i="2" s="1"/>
  <c r="N500" i="2" s="1"/>
  <c r="N530" i="2" s="1"/>
  <c r="N560" i="2" s="1"/>
  <c r="N590" i="2" s="1"/>
  <c r="N620" i="2" s="1"/>
  <c r="N650" i="2" s="1"/>
  <c r="N680" i="2" s="1"/>
  <c r="N710" i="2" s="1"/>
  <c r="N740" i="2" s="1"/>
  <c r="N770" i="2" s="1"/>
  <c r="N800" i="2" s="1"/>
  <c r="N830" i="2" s="1"/>
  <c r="N860" i="2" s="1"/>
  <c r="N890" i="2" s="1"/>
  <c r="N920" i="2" s="1"/>
  <c r="N950" i="2" s="1"/>
  <c r="N980" i="2" s="1"/>
  <c r="N1010" i="2" s="1"/>
  <c r="N1040" i="2" s="1"/>
  <c r="N1070" i="2" s="1"/>
  <c r="N1100" i="2" s="1"/>
  <c r="N1130" i="2" s="1"/>
  <c r="N1160" i="2" s="1"/>
  <c r="N1190" i="2" s="1"/>
  <c r="N1220" i="2" s="1"/>
  <c r="N1250" i="2" s="1"/>
  <c r="N1280" i="2" s="1"/>
  <c r="N1310" i="2" s="1"/>
  <c r="N1340" i="2" s="1"/>
  <c r="N1370" i="2" s="1"/>
  <c r="N1400" i="2" s="1"/>
  <c r="N1430" i="2" s="1"/>
  <c r="N1460" i="2" s="1"/>
  <c r="N1490" i="2" s="1"/>
  <c r="N1520" i="2" s="1"/>
  <c r="N1550" i="2" s="1"/>
  <c r="N1580" i="2" s="1"/>
  <c r="N1610" i="2" s="1"/>
  <c r="N1640" i="2" s="1"/>
  <c r="N1670" i="2" s="1"/>
  <c r="N1700" i="2" s="1"/>
  <c r="N1730" i="2" s="1"/>
  <c r="N1760" i="2" s="1"/>
  <c r="N1790" i="2" s="1"/>
  <c r="N1820" i="2" s="1"/>
  <c r="N1850" i="2" s="1"/>
  <c r="N1880" i="2" s="1"/>
  <c r="N1910" i="2" s="1"/>
  <c r="N1940" i="2" s="1"/>
  <c r="N1970" i="2" s="1"/>
  <c r="N2000" i="2" s="1"/>
  <c r="N2030" i="2" s="1"/>
  <c r="N2060" i="2" s="1"/>
  <c r="N2090" i="2" s="1"/>
  <c r="N2120" i="2" s="1"/>
  <c r="N2150" i="2" s="1"/>
  <c r="N2180" i="2" s="1"/>
  <c r="N2210" i="2" s="1"/>
  <c r="N2240" i="2" s="1"/>
  <c r="N2270" i="2" s="1"/>
  <c r="N2300" i="2" s="1"/>
  <c r="N2330" i="2" s="1"/>
  <c r="N2360" i="2" s="1"/>
  <c r="N2390" i="2" s="1"/>
  <c r="N51" i="2"/>
  <c r="N52" i="2"/>
  <c r="N82" i="2" s="1"/>
  <c r="N112" i="2" s="1"/>
  <c r="N142" i="2" s="1"/>
  <c r="N172" i="2" s="1"/>
  <c r="N202" i="2" s="1"/>
  <c r="N232" i="2" s="1"/>
  <c r="N262" i="2" s="1"/>
  <c r="N292" i="2" s="1"/>
  <c r="N322" i="2" s="1"/>
  <c r="N352" i="2" s="1"/>
  <c r="N382" i="2" s="1"/>
  <c r="N412" i="2" s="1"/>
  <c r="N442" i="2" s="1"/>
  <c r="N472" i="2" s="1"/>
  <c r="N502" i="2" s="1"/>
  <c r="N532" i="2" s="1"/>
  <c r="N562" i="2" s="1"/>
  <c r="N592" i="2" s="1"/>
  <c r="N622" i="2" s="1"/>
  <c r="N652" i="2" s="1"/>
  <c r="N682" i="2" s="1"/>
  <c r="N712" i="2" s="1"/>
  <c r="N742" i="2" s="1"/>
  <c r="N772" i="2" s="1"/>
  <c r="N802" i="2" s="1"/>
  <c r="N832" i="2" s="1"/>
  <c r="N862" i="2" s="1"/>
  <c r="N892" i="2" s="1"/>
  <c r="N922" i="2" s="1"/>
  <c r="N952" i="2" s="1"/>
  <c r="N982" i="2" s="1"/>
  <c r="N1012" i="2" s="1"/>
  <c r="N1042" i="2" s="1"/>
  <c r="N1072" i="2" s="1"/>
  <c r="N1102" i="2" s="1"/>
  <c r="N1132" i="2" s="1"/>
  <c r="N1162" i="2" s="1"/>
  <c r="N1192" i="2" s="1"/>
  <c r="N1222" i="2" s="1"/>
  <c r="N1252" i="2" s="1"/>
  <c r="N1282" i="2" s="1"/>
  <c r="N1312" i="2" s="1"/>
  <c r="N1342" i="2" s="1"/>
  <c r="N1372" i="2" s="1"/>
  <c r="N1402" i="2" s="1"/>
  <c r="N1432" i="2" s="1"/>
  <c r="N1462" i="2" s="1"/>
  <c r="N1492" i="2" s="1"/>
  <c r="N1522" i="2" s="1"/>
  <c r="N1552" i="2" s="1"/>
  <c r="N1582" i="2" s="1"/>
  <c r="N1612" i="2" s="1"/>
  <c r="N1642" i="2" s="1"/>
  <c r="N1672" i="2" s="1"/>
  <c r="N1702" i="2" s="1"/>
  <c r="N1732" i="2" s="1"/>
  <c r="N1762" i="2" s="1"/>
  <c r="N1792" i="2" s="1"/>
  <c r="N1822" i="2" s="1"/>
  <c r="N1852" i="2" s="1"/>
  <c r="N1882" i="2" s="1"/>
  <c r="N1912" i="2" s="1"/>
  <c r="N1942" i="2" s="1"/>
  <c r="N1972" i="2" s="1"/>
  <c r="N2002" i="2" s="1"/>
  <c r="N2032" i="2" s="1"/>
  <c r="N2062" i="2" s="1"/>
  <c r="N2092" i="2" s="1"/>
  <c r="N2122" i="2" s="1"/>
  <c r="N2152" i="2" s="1"/>
  <c r="N2182" i="2" s="1"/>
  <c r="N2212" i="2" s="1"/>
  <c r="N2242" i="2" s="1"/>
  <c r="N2272" i="2" s="1"/>
  <c r="N2302" i="2" s="1"/>
  <c r="N2332" i="2" s="1"/>
  <c r="N2362" i="2" s="1"/>
  <c r="N2392" i="2" s="1"/>
  <c r="N53" i="2"/>
  <c r="N83" i="2" s="1"/>
  <c r="N113" i="2" s="1"/>
  <c r="N143" i="2" s="1"/>
  <c r="N173" i="2" s="1"/>
  <c r="N203" i="2" s="1"/>
  <c r="N233" i="2" s="1"/>
  <c r="N263" i="2" s="1"/>
  <c r="N293" i="2" s="1"/>
  <c r="N323" i="2" s="1"/>
  <c r="N353" i="2" s="1"/>
  <c r="N383" i="2" s="1"/>
  <c r="N413" i="2" s="1"/>
  <c r="N443" i="2" s="1"/>
  <c r="N473" i="2" s="1"/>
  <c r="N503" i="2" s="1"/>
  <c r="N533" i="2" s="1"/>
  <c r="N563" i="2" s="1"/>
  <c r="N593" i="2" s="1"/>
  <c r="N623" i="2" s="1"/>
  <c r="N653" i="2" s="1"/>
  <c r="N683" i="2" s="1"/>
  <c r="N713" i="2" s="1"/>
  <c r="N743" i="2" s="1"/>
  <c r="N773" i="2" s="1"/>
  <c r="N803" i="2" s="1"/>
  <c r="N833" i="2" s="1"/>
  <c r="N863" i="2" s="1"/>
  <c r="N893" i="2" s="1"/>
  <c r="N923" i="2" s="1"/>
  <c r="N953" i="2" s="1"/>
  <c r="N983" i="2" s="1"/>
  <c r="N1013" i="2" s="1"/>
  <c r="N1043" i="2" s="1"/>
  <c r="N1073" i="2" s="1"/>
  <c r="N1103" i="2" s="1"/>
  <c r="N1133" i="2" s="1"/>
  <c r="N1163" i="2" s="1"/>
  <c r="N1193" i="2" s="1"/>
  <c r="N1223" i="2" s="1"/>
  <c r="N1253" i="2" s="1"/>
  <c r="N1283" i="2" s="1"/>
  <c r="N1313" i="2" s="1"/>
  <c r="N1343" i="2" s="1"/>
  <c r="N1373" i="2" s="1"/>
  <c r="N1403" i="2" s="1"/>
  <c r="N1433" i="2" s="1"/>
  <c r="N1463" i="2" s="1"/>
  <c r="N1493" i="2" s="1"/>
  <c r="N1523" i="2" s="1"/>
  <c r="N1553" i="2" s="1"/>
  <c r="N1583" i="2" s="1"/>
  <c r="N1613" i="2" s="1"/>
  <c r="N1643" i="2" s="1"/>
  <c r="N1673" i="2" s="1"/>
  <c r="N1703" i="2" s="1"/>
  <c r="N1733" i="2" s="1"/>
  <c r="N1763" i="2" s="1"/>
  <c r="N1793" i="2" s="1"/>
  <c r="N1823" i="2" s="1"/>
  <c r="N1853" i="2" s="1"/>
  <c r="N1883" i="2" s="1"/>
  <c r="N1913" i="2" s="1"/>
  <c r="N1943" i="2" s="1"/>
  <c r="N1973" i="2" s="1"/>
  <c r="N2003" i="2" s="1"/>
  <c r="N2033" i="2" s="1"/>
  <c r="N2063" i="2" s="1"/>
  <c r="N2093" i="2" s="1"/>
  <c r="N2123" i="2" s="1"/>
  <c r="N2153" i="2" s="1"/>
  <c r="N2183" i="2" s="1"/>
  <c r="N2213" i="2" s="1"/>
  <c r="N2243" i="2" s="1"/>
  <c r="N2273" i="2" s="1"/>
  <c r="N2303" i="2" s="1"/>
  <c r="N2333" i="2" s="1"/>
  <c r="N2363" i="2" s="1"/>
  <c r="N2393" i="2" s="1"/>
  <c r="N54" i="2"/>
  <c r="N84" i="2" s="1"/>
  <c r="N114" i="2" s="1"/>
  <c r="N144" i="2" s="1"/>
  <c r="N174" i="2" s="1"/>
  <c r="N204" i="2" s="1"/>
  <c r="N234" i="2" s="1"/>
  <c r="N264" i="2" s="1"/>
  <c r="N294" i="2" s="1"/>
  <c r="N324" i="2" s="1"/>
  <c r="N55" i="2"/>
  <c r="N56" i="2"/>
  <c r="N57" i="2"/>
  <c r="N87" i="2" s="1"/>
  <c r="N117" i="2" s="1"/>
  <c r="N147" i="2" s="1"/>
  <c r="N177" i="2" s="1"/>
  <c r="N207" i="2" s="1"/>
  <c r="N237" i="2" s="1"/>
  <c r="N267" i="2" s="1"/>
  <c r="N297" i="2" s="1"/>
  <c r="N327" i="2" s="1"/>
  <c r="N357" i="2" s="1"/>
  <c r="N387" i="2" s="1"/>
  <c r="N417" i="2" s="1"/>
  <c r="N447" i="2" s="1"/>
  <c r="N477" i="2" s="1"/>
  <c r="N507" i="2" s="1"/>
  <c r="N537" i="2" s="1"/>
  <c r="N567" i="2" s="1"/>
  <c r="N597" i="2" s="1"/>
  <c r="N627" i="2" s="1"/>
  <c r="N657" i="2" s="1"/>
  <c r="N687" i="2" s="1"/>
  <c r="N717" i="2" s="1"/>
  <c r="N747" i="2" s="1"/>
  <c r="N777" i="2" s="1"/>
  <c r="N807" i="2" s="1"/>
  <c r="N837" i="2" s="1"/>
  <c r="N867" i="2" s="1"/>
  <c r="N897" i="2" s="1"/>
  <c r="N927" i="2" s="1"/>
  <c r="N957" i="2" s="1"/>
  <c r="N987" i="2" s="1"/>
  <c r="N1017" i="2" s="1"/>
  <c r="N1047" i="2" s="1"/>
  <c r="N1077" i="2" s="1"/>
  <c r="N1107" i="2" s="1"/>
  <c r="N1137" i="2" s="1"/>
  <c r="N1167" i="2" s="1"/>
  <c r="N1197" i="2" s="1"/>
  <c r="N1227" i="2" s="1"/>
  <c r="N1257" i="2" s="1"/>
  <c r="N1287" i="2" s="1"/>
  <c r="N1317" i="2" s="1"/>
  <c r="N1347" i="2" s="1"/>
  <c r="N1377" i="2" s="1"/>
  <c r="N1407" i="2" s="1"/>
  <c r="N1437" i="2" s="1"/>
  <c r="N1467" i="2" s="1"/>
  <c r="N1497" i="2" s="1"/>
  <c r="N1527" i="2" s="1"/>
  <c r="N1557" i="2" s="1"/>
  <c r="N1587" i="2" s="1"/>
  <c r="N1617" i="2" s="1"/>
  <c r="N1647" i="2" s="1"/>
  <c r="N1677" i="2" s="1"/>
  <c r="N1707" i="2" s="1"/>
  <c r="N1737" i="2" s="1"/>
  <c r="N1767" i="2" s="1"/>
  <c r="N1797" i="2" s="1"/>
  <c r="N1827" i="2" s="1"/>
  <c r="N1857" i="2" s="1"/>
  <c r="N1887" i="2" s="1"/>
  <c r="N1917" i="2" s="1"/>
  <c r="N1947" i="2" s="1"/>
  <c r="N1977" i="2" s="1"/>
  <c r="N2007" i="2" s="1"/>
  <c r="N2037" i="2" s="1"/>
  <c r="N2067" i="2" s="1"/>
  <c r="N2097" i="2" s="1"/>
  <c r="N2127" i="2" s="1"/>
  <c r="N2157" i="2" s="1"/>
  <c r="N2187" i="2" s="1"/>
  <c r="N2217" i="2" s="1"/>
  <c r="N2247" i="2" s="1"/>
  <c r="N2277" i="2" s="1"/>
  <c r="N2307" i="2" s="1"/>
  <c r="N2337" i="2" s="1"/>
  <c r="N2367" i="2" s="1"/>
  <c r="N2397" i="2" s="1"/>
  <c r="N58" i="2"/>
  <c r="N88" i="2" s="1"/>
  <c r="N118" i="2" s="1"/>
  <c r="N148" i="2" s="1"/>
  <c r="N178" i="2" s="1"/>
  <c r="N208" i="2" s="1"/>
  <c r="N238" i="2" s="1"/>
  <c r="N268" i="2" s="1"/>
  <c r="N298" i="2" s="1"/>
  <c r="N328" i="2" s="1"/>
  <c r="N358" i="2" s="1"/>
  <c r="N388" i="2" s="1"/>
  <c r="N418" i="2" s="1"/>
  <c r="N448" i="2" s="1"/>
  <c r="N478" i="2" s="1"/>
  <c r="N508" i="2" s="1"/>
  <c r="N538" i="2" s="1"/>
  <c r="N568" i="2" s="1"/>
  <c r="N598" i="2" s="1"/>
  <c r="N628" i="2" s="1"/>
  <c r="N658" i="2" s="1"/>
  <c r="N688" i="2" s="1"/>
  <c r="N718" i="2" s="1"/>
  <c r="N748" i="2" s="1"/>
  <c r="N778" i="2" s="1"/>
  <c r="N808" i="2" s="1"/>
  <c r="N838" i="2" s="1"/>
  <c r="N868" i="2" s="1"/>
  <c r="N898" i="2" s="1"/>
  <c r="N928" i="2" s="1"/>
  <c r="N958" i="2" s="1"/>
  <c r="N988" i="2" s="1"/>
  <c r="N1018" i="2" s="1"/>
  <c r="N1048" i="2" s="1"/>
  <c r="N1078" i="2" s="1"/>
  <c r="N1108" i="2" s="1"/>
  <c r="N1138" i="2" s="1"/>
  <c r="N1168" i="2" s="1"/>
  <c r="N1198" i="2" s="1"/>
  <c r="N1228" i="2" s="1"/>
  <c r="N1258" i="2" s="1"/>
  <c r="N1288" i="2" s="1"/>
  <c r="N1318" i="2" s="1"/>
  <c r="N1348" i="2" s="1"/>
  <c r="N1378" i="2" s="1"/>
  <c r="N1408" i="2" s="1"/>
  <c r="N1438" i="2" s="1"/>
  <c r="N1468" i="2" s="1"/>
  <c r="N1498" i="2" s="1"/>
  <c r="N1528" i="2" s="1"/>
  <c r="N1558" i="2" s="1"/>
  <c r="N1588" i="2" s="1"/>
  <c r="N1618" i="2" s="1"/>
  <c r="N1648" i="2" s="1"/>
  <c r="N1678" i="2" s="1"/>
  <c r="N1708" i="2" s="1"/>
  <c r="N1738" i="2" s="1"/>
  <c r="N1768" i="2" s="1"/>
  <c r="N1798" i="2" s="1"/>
  <c r="N1828" i="2" s="1"/>
  <c r="N1858" i="2" s="1"/>
  <c r="N1888" i="2" s="1"/>
  <c r="N1918" i="2" s="1"/>
  <c r="N1948" i="2" s="1"/>
  <c r="N1978" i="2" s="1"/>
  <c r="N2008" i="2" s="1"/>
  <c r="N2038" i="2" s="1"/>
  <c r="N2068" i="2" s="1"/>
  <c r="N2098" i="2" s="1"/>
  <c r="N2128" i="2" s="1"/>
  <c r="N2158" i="2" s="1"/>
  <c r="N2188" i="2" s="1"/>
  <c r="N2218" i="2" s="1"/>
  <c r="N2248" i="2" s="1"/>
  <c r="N2278" i="2" s="1"/>
  <c r="N2308" i="2" s="1"/>
  <c r="N2338" i="2" s="1"/>
  <c r="N2368" i="2" s="1"/>
  <c r="N2398" i="2" s="1"/>
  <c r="N59" i="2"/>
  <c r="N60" i="2"/>
  <c r="N90" i="2" s="1"/>
  <c r="N120" i="2" s="1"/>
  <c r="N150" i="2" s="1"/>
  <c r="N180" i="2" s="1"/>
  <c r="N210" i="2" s="1"/>
  <c r="N240" i="2" s="1"/>
  <c r="N270" i="2" s="1"/>
  <c r="N300" i="2" s="1"/>
  <c r="N330" i="2" s="1"/>
  <c r="N360" i="2" s="1"/>
  <c r="N390" i="2" s="1"/>
  <c r="N420" i="2" s="1"/>
  <c r="N450" i="2" s="1"/>
  <c r="N480" i="2" s="1"/>
  <c r="N510" i="2" s="1"/>
  <c r="N540" i="2" s="1"/>
  <c r="N570" i="2" s="1"/>
  <c r="N600" i="2" s="1"/>
  <c r="N630" i="2" s="1"/>
  <c r="N660" i="2" s="1"/>
  <c r="N690" i="2" s="1"/>
  <c r="N720" i="2" s="1"/>
  <c r="N750" i="2" s="1"/>
  <c r="N780" i="2" s="1"/>
  <c r="N810" i="2" s="1"/>
  <c r="N840" i="2" s="1"/>
  <c r="N870" i="2" s="1"/>
  <c r="N900" i="2" s="1"/>
  <c r="N930" i="2" s="1"/>
  <c r="N960" i="2" s="1"/>
  <c r="N990" i="2" s="1"/>
  <c r="N1020" i="2" s="1"/>
  <c r="N1050" i="2" s="1"/>
  <c r="N1080" i="2" s="1"/>
  <c r="N1110" i="2" s="1"/>
  <c r="N1140" i="2" s="1"/>
  <c r="N1170" i="2" s="1"/>
  <c r="N1200" i="2" s="1"/>
  <c r="N1230" i="2" s="1"/>
  <c r="N1260" i="2" s="1"/>
  <c r="N1290" i="2" s="1"/>
  <c r="N1320" i="2" s="1"/>
  <c r="N1350" i="2" s="1"/>
  <c r="N1380" i="2" s="1"/>
  <c r="N1410" i="2" s="1"/>
  <c r="N1440" i="2" s="1"/>
  <c r="N1470" i="2" s="1"/>
  <c r="N1500" i="2" s="1"/>
  <c r="N1530" i="2" s="1"/>
  <c r="N1560" i="2" s="1"/>
  <c r="N1590" i="2" s="1"/>
  <c r="N1620" i="2" s="1"/>
  <c r="N1650" i="2" s="1"/>
  <c r="N1680" i="2" s="1"/>
  <c r="N1710" i="2" s="1"/>
  <c r="N1740" i="2" s="1"/>
  <c r="N1770" i="2" s="1"/>
  <c r="N1800" i="2" s="1"/>
  <c r="N1830" i="2" s="1"/>
  <c r="N1860" i="2" s="1"/>
  <c r="N1890" i="2" s="1"/>
  <c r="N1920" i="2" s="1"/>
  <c r="N1950" i="2" s="1"/>
  <c r="N1980" i="2" s="1"/>
  <c r="N2010" i="2" s="1"/>
  <c r="N2040" i="2" s="1"/>
  <c r="N2070" i="2" s="1"/>
  <c r="N2100" i="2" s="1"/>
  <c r="N2130" i="2" s="1"/>
  <c r="N2160" i="2" s="1"/>
  <c r="N2190" i="2" s="1"/>
  <c r="N2220" i="2" s="1"/>
  <c r="N2250" i="2" s="1"/>
  <c r="N2280" i="2" s="1"/>
  <c r="N2310" i="2" s="1"/>
  <c r="N2340" i="2" s="1"/>
  <c r="N2370" i="2" s="1"/>
  <c r="N2400" i="2" s="1"/>
  <c r="N61" i="2"/>
  <c r="N91" i="2" s="1"/>
  <c r="N121" i="2" s="1"/>
  <c r="N151" i="2" s="1"/>
  <c r="N181" i="2" s="1"/>
  <c r="N211" i="2" s="1"/>
  <c r="N241" i="2" s="1"/>
  <c r="N271" i="2" s="1"/>
  <c r="N301" i="2" s="1"/>
  <c r="N331" i="2" s="1"/>
  <c r="N361" i="2" s="1"/>
  <c r="N391" i="2" s="1"/>
  <c r="N421" i="2" s="1"/>
  <c r="N451" i="2" s="1"/>
  <c r="N481" i="2" s="1"/>
  <c r="N511" i="2" s="1"/>
  <c r="N541" i="2" s="1"/>
  <c r="N571" i="2" s="1"/>
  <c r="N601" i="2" s="1"/>
  <c r="N631" i="2" s="1"/>
  <c r="N661" i="2" s="1"/>
  <c r="N691" i="2" s="1"/>
  <c r="N721" i="2" s="1"/>
  <c r="N751" i="2" s="1"/>
  <c r="N781" i="2" s="1"/>
  <c r="N811" i="2" s="1"/>
  <c r="N841" i="2" s="1"/>
  <c r="N871" i="2" s="1"/>
  <c r="N901" i="2" s="1"/>
  <c r="N931" i="2" s="1"/>
  <c r="N961" i="2" s="1"/>
  <c r="N991" i="2" s="1"/>
  <c r="N1021" i="2" s="1"/>
  <c r="N1051" i="2" s="1"/>
  <c r="N1081" i="2" s="1"/>
  <c r="N1111" i="2" s="1"/>
  <c r="N1141" i="2" s="1"/>
  <c r="N1171" i="2" s="1"/>
  <c r="N1201" i="2" s="1"/>
  <c r="N1231" i="2" s="1"/>
  <c r="N1261" i="2" s="1"/>
  <c r="N1291" i="2" s="1"/>
  <c r="N1321" i="2" s="1"/>
  <c r="N1351" i="2" s="1"/>
  <c r="N1381" i="2" s="1"/>
  <c r="N1411" i="2" s="1"/>
  <c r="N1441" i="2" s="1"/>
  <c r="N1471" i="2" s="1"/>
  <c r="N1501" i="2" s="1"/>
  <c r="N1531" i="2" s="1"/>
  <c r="N1561" i="2" s="1"/>
  <c r="N1591" i="2" s="1"/>
  <c r="N1621" i="2" s="1"/>
  <c r="N1651" i="2" s="1"/>
  <c r="N1681" i="2" s="1"/>
  <c r="N1711" i="2" s="1"/>
  <c r="N1741" i="2" s="1"/>
  <c r="N1771" i="2" s="1"/>
  <c r="N1801" i="2" s="1"/>
  <c r="N1831" i="2" s="1"/>
  <c r="N1861" i="2" s="1"/>
  <c r="N1891" i="2" s="1"/>
  <c r="N1921" i="2" s="1"/>
  <c r="N1951" i="2" s="1"/>
  <c r="N1981" i="2" s="1"/>
  <c r="N2011" i="2" s="1"/>
  <c r="N2041" i="2" s="1"/>
  <c r="N2071" i="2" s="1"/>
  <c r="N2101" i="2" s="1"/>
  <c r="N2131" i="2" s="1"/>
  <c r="N2161" i="2" s="1"/>
  <c r="N2191" i="2" s="1"/>
  <c r="N2221" i="2" s="1"/>
  <c r="N2251" i="2" s="1"/>
  <c r="N2281" i="2" s="1"/>
  <c r="N2311" i="2" s="1"/>
  <c r="N2341" i="2" s="1"/>
  <c r="N2371" i="2" s="1"/>
  <c r="N2401" i="2" s="1"/>
  <c r="N65" i="2"/>
  <c r="N95" i="2" s="1"/>
  <c r="N125" i="2" s="1"/>
  <c r="N155" i="2" s="1"/>
  <c r="N69" i="2"/>
  <c r="N99" i="2" s="1"/>
  <c r="N129" i="2" s="1"/>
  <c r="N159" i="2" s="1"/>
  <c r="N70" i="2"/>
  <c r="N100" i="2" s="1"/>
  <c r="N130" i="2" s="1"/>
  <c r="N160" i="2" s="1"/>
  <c r="N190" i="2" s="1"/>
  <c r="N220" i="2" s="1"/>
  <c r="N250" i="2" s="1"/>
  <c r="N280" i="2" s="1"/>
  <c r="N310" i="2" s="1"/>
  <c r="N340" i="2" s="1"/>
  <c r="N370" i="2" s="1"/>
  <c r="N400" i="2" s="1"/>
  <c r="N430" i="2" s="1"/>
  <c r="N460" i="2" s="1"/>
  <c r="N490" i="2" s="1"/>
  <c r="N520" i="2" s="1"/>
  <c r="N550" i="2" s="1"/>
  <c r="N580" i="2" s="1"/>
  <c r="N610" i="2" s="1"/>
  <c r="N640" i="2" s="1"/>
  <c r="N670" i="2" s="1"/>
  <c r="N700" i="2" s="1"/>
  <c r="N730" i="2" s="1"/>
  <c r="N760" i="2" s="1"/>
  <c r="N790" i="2" s="1"/>
  <c r="N820" i="2" s="1"/>
  <c r="N850" i="2" s="1"/>
  <c r="N880" i="2" s="1"/>
  <c r="N910" i="2" s="1"/>
  <c r="N940" i="2" s="1"/>
  <c r="N970" i="2" s="1"/>
  <c r="N1000" i="2" s="1"/>
  <c r="N1030" i="2" s="1"/>
  <c r="N1060" i="2" s="1"/>
  <c r="N1090" i="2" s="1"/>
  <c r="N1120" i="2" s="1"/>
  <c r="N1150" i="2" s="1"/>
  <c r="N1180" i="2" s="1"/>
  <c r="N1210" i="2" s="1"/>
  <c r="N1240" i="2" s="1"/>
  <c r="N1270" i="2" s="1"/>
  <c r="N1300" i="2" s="1"/>
  <c r="N1330" i="2" s="1"/>
  <c r="N1360" i="2" s="1"/>
  <c r="N1390" i="2" s="1"/>
  <c r="N1420" i="2" s="1"/>
  <c r="N1450" i="2" s="1"/>
  <c r="N1480" i="2" s="1"/>
  <c r="N1510" i="2" s="1"/>
  <c r="N1540" i="2" s="1"/>
  <c r="N1570" i="2" s="1"/>
  <c r="N1600" i="2" s="1"/>
  <c r="N1630" i="2" s="1"/>
  <c r="N1660" i="2" s="1"/>
  <c r="N1690" i="2" s="1"/>
  <c r="N1720" i="2" s="1"/>
  <c r="N1750" i="2" s="1"/>
  <c r="N1780" i="2" s="1"/>
  <c r="N1810" i="2" s="1"/>
  <c r="N1840" i="2" s="1"/>
  <c r="N1870" i="2" s="1"/>
  <c r="N1900" i="2" s="1"/>
  <c r="N1930" i="2" s="1"/>
  <c r="N1960" i="2" s="1"/>
  <c r="N1990" i="2" s="1"/>
  <c r="N2020" i="2" s="1"/>
  <c r="N2050" i="2" s="1"/>
  <c r="N2080" i="2" s="1"/>
  <c r="N2110" i="2" s="1"/>
  <c r="N2140" i="2" s="1"/>
  <c r="N2170" i="2" s="1"/>
  <c r="N2200" i="2" s="1"/>
  <c r="N2230" i="2" s="1"/>
  <c r="N2260" i="2" s="1"/>
  <c r="N2290" i="2" s="1"/>
  <c r="N2320" i="2" s="1"/>
  <c r="N2350" i="2" s="1"/>
  <c r="N2380" i="2" s="1"/>
  <c r="N73" i="2"/>
  <c r="N103" i="2" s="1"/>
  <c r="N133" i="2" s="1"/>
  <c r="N163" i="2" s="1"/>
  <c r="N193" i="2" s="1"/>
  <c r="N223" i="2" s="1"/>
  <c r="N253" i="2" s="1"/>
  <c r="N283" i="2" s="1"/>
  <c r="N313" i="2" s="1"/>
  <c r="N343" i="2" s="1"/>
  <c r="N373" i="2" s="1"/>
  <c r="N403" i="2" s="1"/>
  <c r="N433" i="2" s="1"/>
  <c r="N463" i="2" s="1"/>
  <c r="N493" i="2" s="1"/>
  <c r="N523" i="2" s="1"/>
  <c r="N553" i="2" s="1"/>
  <c r="N583" i="2" s="1"/>
  <c r="N613" i="2" s="1"/>
  <c r="N643" i="2" s="1"/>
  <c r="N673" i="2" s="1"/>
  <c r="N703" i="2" s="1"/>
  <c r="N733" i="2" s="1"/>
  <c r="N763" i="2" s="1"/>
  <c r="N793" i="2" s="1"/>
  <c r="N823" i="2" s="1"/>
  <c r="N853" i="2" s="1"/>
  <c r="N883" i="2" s="1"/>
  <c r="N913" i="2" s="1"/>
  <c r="N943" i="2" s="1"/>
  <c r="N973" i="2" s="1"/>
  <c r="N1003" i="2" s="1"/>
  <c r="N1033" i="2" s="1"/>
  <c r="N1063" i="2" s="1"/>
  <c r="N1093" i="2" s="1"/>
  <c r="N1123" i="2" s="1"/>
  <c r="N1153" i="2" s="1"/>
  <c r="N1183" i="2" s="1"/>
  <c r="N1213" i="2" s="1"/>
  <c r="N1243" i="2" s="1"/>
  <c r="N1273" i="2" s="1"/>
  <c r="N1303" i="2" s="1"/>
  <c r="N1333" i="2" s="1"/>
  <c r="N1363" i="2" s="1"/>
  <c r="N1393" i="2" s="1"/>
  <c r="N1423" i="2" s="1"/>
  <c r="N1453" i="2" s="1"/>
  <c r="N1483" i="2" s="1"/>
  <c r="N1513" i="2" s="1"/>
  <c r="N1543" i="2" s="1"/>
  <c r="N1573" i="2" s="1"/>
  <c r="N1603" i="2" s="1"/>
  <c r="N1633" i="2" s="1"/>
  <c r="N1663" i="2" s="1"/>
  <c r="N1693" i="2" s="1"/>
  <c r="N1723" i="2" s="1"/>
  <c r="N1753" i="2" s="1"/>
  <c r="N1783" i="2" s="1"/>
  <c r="N1813" i="2" s="1"/>
  <c r="N1843" i="2" s="1"/>
  <c r="N1873" i="2" s="1"/>
  <c r="N1903" i="2" s="1"/>
  <c r="N1933" i="2" s="1"/>
  <c r="N1963" i="2" s="1"/>
  <c r="N1993" i="2" s="1"/>
  <c r="N2023" i="2" s="1"/>
  <c r="N2053" i="2" s="1"/>
  <c r="N2083" i="2" s="1"/>
  <c r="N2113" i="2" s="1"/>
  <c r="N2143" i="2" s="1"/>
  <c r="N2173" i="2" s="1"/>
  <c r="N2203" i="2" s="1"/>
  <c r="N2233" i="2" s="1"/>
  <c r="N2263" i="2" s="1"/>
  <c r="N2293" i="2" s="1"/>
  <c r="N2323" i="2" s="1"/>
  <c r="N2353" i="2" s="1"/>
  <c r="N2383" i="2" s="1"/>
  <c r="N77" i="2"/>
  <c r="N107" i="2" s="1"/>
  <c r="N137" i="2" s="1"/>
  <c r="N167" i="2" s="1"/>
  <c r="N78" i="2"/>
  <c r="N108" i="2" s="1"/>
  <c r="N138" i="2" s="1"/>
  <c r="N168" i="2" s="1"/>
  <c r="N198" i="2" s="1"/>
  <c r="N228" i="2" s="1"/>
  <c r="N258" i="2" s="1"/>
  <c r="N288" i="2" s="1"/>
  <c r="N318" i="2" s="1"/>
  <c r="N348" i="2" s="1"/>
  <c r="N378" i="2" s="1"/>
  <c r="N408" i="2" s="1"/>
  <c r="N438" i="2" s="1"/>
  <c r="N468" i="2" s="1"/>
  <c r="N498" i="2" s="1"/>
  <c r="N528" i="2" s="1"/>
  <c r="N558" i="2" s="1"/>
  <c r="N588" i="2" s="1"/>
  <c r="N618" i="2" s="1"/>
  <c r="N648" i="2" s="1"/>
  <c r="N678" i="2" s="1"/>
  <c r="N708" i="2" s="1"/>
  <c r="N738" i="2" s="1"/>
  <c r="N768" i="2" s="1"/>
  <c r="N81" i="2"/>
  <c r="N111" i="2" s="1"/>
  <c r="N141" i="2" s="1"/>
  <c r="N171" i="2" s="1"/>
  <c r="N201" i="2" s="1"/>
  <c r="N231" i="2" s="1"/>
  <c r="N261" i="2" s="1"/>
  <c r="N291" i="2" s="1"/>
  <c r="N321" i="2" s="1"/>
  <c r="N351" i="2" s="1"/>
  <c r="N381" i="2" s="1"/>
  <c r="N411" i="2" s="1"/>
  <c r="N441" i="2" s="1"/>
  <c r="N471" i="2" s="1"/>
  <c r="N501" i="2" s="1"/>
  <c r="N531" i="2" s="1"/>
  <c r="N561" i="2" s="1"/>
  <c r="N591" i="2" s="1"/>
  <c r="N621" i="2" s="1"/>
  <c r="N651" i="2" s="1"/>
  <c r="N681" i="2" s="1"/>
  <c r="N711" i="2" s="1"/>
  <c r="N741" i="2" s="1"/>
  <c r="N771" i="2" s="1"/>
  <c r="N801" i="2" s="1"/>
  <c r="N831" i="2" s="1"/>
  <c r="N861" i="2" s="1"/>
  <c r="N891" i="2" s="1"/>
  <c r="N921" i="2" s="1"/>
  <c r="N951" i="2" s="1"/>
  <c r="N981" i="2" s="1"/>
  <c r="N1011" i="2" s="1"/>
  <c r="N1041" i="2" s="1"/>
  <c r="N1071" i="2" s="1"/>
  <c r="N1101" i="2" s="1"/>
  <c r="N1131" i="2" s="1"/>
  <c r="N1161" i="2" s="1"/>
  <c r="N1191" i="2" s="1"/>
  <c r="N1221" i="2" s="1"/>
  <c r="N1251" i="2" s="1"/>
  <c r="N1281" i="2" s="1"/>
  <c r="N1311" i="2" s="1"/>
  <c r="N1341" i="2" s="1"/>
  <c r="N1371" i="2" s="1"/>
  <c r="N1401" i="2" s="1"/>
  <c r="N1431" i="2" s="1"/>
  <c r="N1461" i="2" s="1"/>
  <c r="N1491" i="2" s="1"/>
  <c r="N1521" i="2" s="1"/>
  <c r="N1551" i="2" s="1"/>
  <c r="N1581" i="2" s="1"/>
  <c r="N1611" i="2" s="1"/>
  <c r="N1641" i="2" s="1"/>
  <c r="N1671" i="2" s="1"/>
  <c r="N1701" i="2" s="1"/>
  <c r="N1731" i="2" s="1"/>
  <c r="N1761" i="2" s="1"/>
  <c r="N1791" i="2" s="1"/>
  <c r="N1821" i="2" s="1"/>
  <c r="N1851" i="2" s="1"/>
  <c r="N1881" i="2" s="1"/>
  <c r="N1911" i="2" s="1"/>
  <c r="N1941" i="2" s="1"/>
  <c r="N1971" i="2" s="1"/>
  <c r="N2001" i="2" s="1"/>
  <c r="N2031" i="2" s="1"/>
  <c r="N2061" i="2" s="1"/>
  <c r="N2091" i="2" s="1"/>
  <c r="N2121" i="2" s="1"/>
  <c r="N2151" i="2" s="1"/>
  <c r="N2181" i="2" s="1"/>
  <c r="N2211" i="2" s="1"/>
  <c r="N2241" i="2" s="1"/>
  <c r="N2271" i="2" s="1"/>
  <c r="N2301" i="2" s="1"/>
  <c r="N2331" i="2" s="1"/>
  <c r="N2361" i="2" s="1"/>
  <c r="N2391" i="2" s="1"/>
  <c r="N85" i="2"/>
  <c r="N115" i="2" s="1"/>
  <c r="N86" i="2"/>
  <c r="N116" i="2" s="1"/>
  <c r="N146" i="2" s="1"/>
  <c r="N176" i="2" s="1"/>
  <c r="N206" i="2" s="1"/>
  <c r="N236" i="2" s="1"/>
  <c r="N266" i="2" s="1"/>
  <c r="N296" i="2" s="1"/>
  <c r="N326" i="2" s="1"/>
  <c r="N356" i="2" s="1"/>
  <c r="N386" i="2" s="1"/>
  <c r="N416" i="2" s="1"/>
  <c r="N446" i="2" s="1"/>
  <c r="N476" i="2" s="1"/>
  <c r="N506" i="2" s="1"/>
  <c r="N536" i="2" s="1"/>
  <c r="N566" i="2" s="1"/>
  <c r="N596" i="2" s="1"/>
  <c r="N626" i="2" s="1"/>
  <c r="N656" i="2" s="1"/>
  <c r="N686" i="2" s="1"/>
  <c r="N716" i="2" s="1"/>
  <c r="N746" i="2" s="1"/>
  <c r="N776" i="2" s="1"/>
  <c r="N806" i="2" s="1"/>
  <c r="N836" i="2" s="1"/>
  <c r="N866" i="2" s="1"/>
  <c r="N896" i="2" s="1"/>
  <c r="N926" i="2" s="1"/>
  <c r="N956" i="2" s="1"/>
  <c r="N986" i="2" s="1"/>
  <c r="N1016" i="2" s="1"/>
  <c r="N1046" i="2" s="1"/>
  <c r="N1076" i="2" s="1"/>
  <c r="N1106" i="2" s="1"/>
  <c r="N1136" i="2" s="1"/>
  <c r="N1166" i="2" s="1"/>
  <c r="N1196" i="2" s="1"/>
  <c r="N1226" i="2" s="1"/>
  <c r="N1256" i="2" s="1"/>
  <c r="N1286" i="2" s="1"/>
  <c r="N1316" i="2" s="1"/>
  <c r="N1346" i="2" s="1"/>
  <c r="N1376" i="2" s="1"/>
  <c r="N1406" i="2" s="1"/>
  <c r="N1436" i="2" s="1"/>
  <c r="N1466" i="2" s="1"/>
  <c r="N1496" i="2" s="1"/>
  <c r="N1526" i="2" s="1"/>
  <c r="N1556" i="2" s="1"/>
  <c r="N1586" i="2" s="1"/>
  <c r="N1616" i="2" s="1"/>
  <c r="N1646" i="2" s="1"/>
  <c r="N1676" i="2" s="1"/>
  <c r="N1706" i="2" s="1"/>
  <c r="N1736" i="2" s="1"/>
  <c r="N1766" i="2" s="1"/>
  <c r="N1796" i="2" s="1"/>
  <c r="N1826" i="2" s="1"/>
  <c r="N1856" i="2" s="1"/>
  <c r="N1886" i="2" s="1"/>
  <c r="N1916" i="2" s="1"/>
  <c r="N1946" i="2" s="1"/>
  <c r="N1976" i="2" s="1"/>
  <c r="N2006" i="2" s="1"/>
  <c r="N2036" i="2" s="1"/>
  <c r="N2066" i="2" s="1"/>
  <c r="N2096" i="2" s="1"/>
  <c r="N2126" i="2" s="1"/>
  <c r="N2156" i="2" s="1"/>
  <c r="N2186" i="2" s="1"/>
  <c r="N2216" i="2" s="1"/>
  <c r="N2246" i="2" s="1"/>
  <c r="N2276" i="2" s="1"/>
  <c r="N2306" i="2" s="1"/>
  <c r="N2336" i="2" s="1"/>
  <c r="N2366" i="2" s="1"/>
  <c r="N2396" i="2" s="1"/>
  <c r="N89" i="2"/>
  <c r="N119" i="2" s="1"/>
  <c r="N149" i="2" s="1"/>
  <c r="N179" i="2" s="1"/>
  <c r="N209" i="2" s="1"/>
  <c r="N239" i="2" s="1"/>
  <c r="N269" i="2" s="1"/>
  <c r="N299" i="2" s="1"/>
  <c r="N329" i="2" s="1"/>
  <c r="N359" i="2" s="1"/>
  <c r="N389" i="2" s="1"/>
  <c r="N419" i="2" s="1"/>
  <c r="N449" i="2" s="1"/>
  <c r="N479" i="2" s="1"/>
  <c r="N509" i="2" s="1"/>
  <c r="N539" i="2" s="1"/>
  <c r="N569" i="2" s="1"/>
  <c r="N599" i="2" s="1"/>
  <c r="N629" i="2" s="1"/>
  <c r="N659" i="2" s="1"/>
  <c r="N689" i="2" s="1"/>
  <c r="N719" i="2" s="1"/>
  <c r="N749" i="2" s="1"/>
  <c r="N779" i="2" s="1"/>
  <c r="N809" i="2" s="1"/>
  <c r="N839" i="2" s="1"/>
  <c r="N869" i="2" s="1"/>
  <c r="N899" i="2" s="1"/>
  <c r="N929" i="2" s="1"/>
  <c r="N959" i="2" s="1"/>
  <c r="N989" i="2" s="1"/>
  <c r="N1019" i="2" s="1"/>
  <c r="N1049" i="2" s="1"/>
  <c r="N1079" i="2" s="1"/>
  <c r="N1109" i="2" s="1"/>
  <c r="N1139" i="2" s="1"/>
  <c r="N1169" i="2" s="1"/>
  <c r="N1199" i="2" s="1"/>
  <c r="N1229" i="2" s="1"/>
  <c r="N1259" i="2" s="1"/>
  <c r="N1289" i="2" s="1"/>
  <c r="N1319" i="2" s="1"/>
  <c r="N1349" i="2" s="1"/>
  <c r="N1379" i="2" s="1"/>
  <c r="N1409" i="2" s="1"/>
  <c r="N1439" i="2" s="1"/>
  <c r="N1469" i="2" s="1"/>
  <c r="N1499" i="2" s="1"/>
  <c r="N1529" i="2" s="1"/>
  <c r="N1559" i="2" s="1"/>
  <c r="N1589" i="2" s="1"/>
  <c r="N1619" i="2" s="1"/>
  <c r="N1649" i="2" s="1"/>
  <c r="N1679" i="2" s="1"/>
  <c r="N1709" i="2" s="1"/>
  <c r="N1739" i="2" s="1"/>
  <c r="N1769" i="2" s="1"/>
  <c r="N1799" i="2" s="1"/>
  <c r="N1829" i="2" s="1"/>
  <c r="N1859" i="2" s="1"/>
  <c r="N1889" i="2" s="1"/>
  <c r="N1919" i="2" s="1"/>
  <c r="N1949" i="2" s="1"/>
  <c r="N1979" i="2" s="1"/>
  <c r="N2009" i="2" s="1"/>
  <c r="N2039" i="2" s="1"/>
  <c r="N2069" i="2" s="1"/>
  <c r="N2099" i="2" s="1"/>
  <c r="N2129" i="2" s="1"/>
  <c r="N2159" i="2" s="1"/>
  <c r="N2189" i="2" s="1"/>
  <c r="N2219" i="2" s="1"/>
  <c r="N2249" i="2" s="1"/>
  <c r="N2279" i="2" s="1"/>
  <c r="N2309" i="2" s="1"/>
  <c r="N2339" i="2" s="1"/>
  <c r="N2369" i="2" s="1"/>
  <c r="N2399" i="2" s="1"/>
  <c r="N145" i="2"/>
  <c r="N175" i="2" s="1"/>
  <c r="N205" i="2" s="1"/>
  <c r="N235" i="2" s="1"/>
  <c r="N265" i="2" s="1"/>
  <c r="N295" i="2" s="1"/>
  <c r="N325" i="2" s="1"/>
  <c r="N355" i="2" s="1"/>
  <c r="N385" i="2" s="1"/>
  <c r="N415" i="2" s="1"/>
  <c r="N445" i="2" s="1"/>
  <c r="N475" i="2" s="1"/>
  <c r="N505" i="2" s="1"/>
  <c r="N535" i="2" s="1"/>
  <c r="N565" i="2" s="1"/>
  <c r="N595" i="2" s="1"/>
  <c r="N625" i="2" s="1"/>
  <c r="N655" i="2" s="1"/>
  <c r="N685" i="2" s="1"/>
  <c r="N715" i="2" s="1"/>
  <c r="N745" i="2" s="1"/>
  <c r="N775" i="2" s="1"/>
  <c r="N805" i="2" s="1"/>
  <c r="N835" i="2" s="1"/>
  <c r="N865" i="2" s="1"/>
  <c r="N895" i="2" s="1"/>
  <c r="N925" i="2" s="1"/>
  <c r="N955" i="2" s="1"/>
  <c r="N985" i="2" s="1"/>
  <c r="N1015" i="2" s="1"/>
  <c r="N1045" i="2" s="1"/>
  <c r="N1075" i="2" s="1"/>
  <c r="N1105" i="2" s="1"/>
  <c r="N1135" i="2" s="1"/>
  <c r="N1165" i="2" s="1"/>
  <c r="N1195" i="2" s="1"/>
  <c r="N1225" i="2" s="1"/>
  <c r="N1255" i="2" s="1"/>
  <c r="N1285" i="2" s="1"/>
  <c r="N1315" i="2" s="1"/>
  <c r="N1345" i="2" s="1"/>
  <c r="N1375" i="2" s="1"/>
  <c r="N1405" i="2" s="1"/>
  <c r="N1435" i="2" s="1"/>
  <c r="N1465" i="2" s="1"/>
  <c r="N1495" i="2" s="1"/>
  <c r="N1525" i="2" s="1"/>
  <c r="N1555" i="2" s="1"/>
  <c r="N1585" i="2" s="1"/>
  <c r="N1615" i="2" s="1"/>
  <c r="N1645" i="2" s="1"/>
  <c r="N1675" i="2" s="1"/>
  <c r="N1705" i="2" s="1"/>
  <c r="N1735" i="2" s="1"/>
  <c r="N1765" i="2" s="1"/>
  <c r="N1795" i="2" s="1"/>
  <c r="N1825" i="2" s="1"/>
  <c r="N1855" i="2" s="1"/>
  <c r="N1885" i="2" s="1"/>
  <c r="N1915" i="2" s="1"/>
  <c r="N1945" i="2" s="1"/>
  <c r="N1975" i="2" s="1"/>
  <c r="N2005" i="2" s="1"/>
  <c r="N2035" i="2" s="1"/>
  <c r="N2065" i="2" s="1"/>
  <c r="N2095" i="2" s="1"/>
  <c r="N2125" i="2" s="1"/>
  <c r="N2155" i="2" s="1"/>
  <c r="N2185" i="2" s="1"/>
  <c r="N2215" i="2" s="1"/>
  <c r="N2245" i="2" s="1"/>
  <c r="N2275" i="2" s="1"/>
  <c r="N2305" i="2" s="1"/>
  <c r="N2335" i="2" s="1"/>
  <c r="N2365" i="2" s="1"/>
  <c r="N2395" i="2" s="1"/>
  <c r="N154" i="2"/>
  <c r="N184" i="2" s="1"/>
  <c r="N214" i="2" s="1"/>
  <c r="N244" i="2" s="1"/>
  <c r="N274" i="2" s="1"/>
  <c r="N304" i="2" s="1"/>
  <c r="N334" i="2" s="1"/>
  <c r="N364" i="2" s="1"/>
  <c r="N394" i="2" s="1"/>
  <c r="N424" i="2" s="1"/>
  <c r="N454" i="2" s="1"/>
  <c r="N484" i="2" s="1"/>
  <c r="N514" i="2" s="1"/>
  <c r="N544" i="2" s="1"/>
  <c r="N574" i="2" s="1"/>
  <c r="N604" i="2" s="1"/>
  <c r="N634" i="2" s="1"/>
  <c r="N664" i="2" s="1"/>
  <c r="N694" i="2" s="1"/>
  <c r="N724" i="2" s="1"/>
  <c r="N754" i="2" s="1"/>
  <c r="N784" i="2" s="1"/>
  <c r="N814" i="2" s="1"/>
  <c r="N844" i="2" s="1"/>
  <c r="N874" i="2" s="1"/>
  <c r="N904" i="2" s="1"/>
  <c r="N934" i="2" s="1"/>
  <c r="N964" i="2" s="1"/>
  <c r="N994" i="2" s="1"/>
  <c r="N1024" i="2" s="1"/>
  <c r="N1054" i="2" s="1"/>
  <c r="N1084" i="2" s="1"/>
  <c r="N1114" i="2" s="1"/>
  <c r="N1144" i="2" s="1"/>
  <c r="N1174" i="2" s="1"/>
  <c r="N1204" i="2" s="1"/>
  <c r="N1234" i="2" s="1"/>
  <c r="N1264" i="2" s="1"/>
  <c r="N1294" i="2" s="1"/>
  <c r="N1324" i="2" s="1"/>
  <c r="N1354" i="2" s="1"/>
  <c r="N1384" i="2" s="1"/>
  <c r="N1414" i="2" s="1"/>
  <c r="N1444" i="2" s="1"/>
  <c r="N1474" i="2" s="1"/>
  <c r="N1504" i="2" s="1"/>
  <c r="N1534" i="2" s="1"/>
  <c r="N1564" i="2" s="1"/>
  <c r="N1594" i="2" s="1"/>
  <c r="N1624" i="2" s="1"/>
  <c r="N1654" i="2" s="1"/>
  <c r="N1684" i="2" s="1"/>
  <c r="N1714" i="2" s="1"/>
  <c r="N1744" i="2" s="1"/>
  <c r="N1774" i="2" s="1"/>
  <c r="N1804" i="2" s="1"/>
  <c r="N1834" i="2" s="1"/>
  <c r="N1864" i="2" s="1"/>
  <c r="N1894" i="2" s="1"/>
  <c r="N1924" i="2" s="1"/>
  <c r="N1954" i="2" s="1"/>
  <c r="N1984" i="2" s="1"/>
  <c r="N2014" i="2" s="1"/>
  <c r="N2044" i="2" s="1"/>
  <c r="N2074" i="2" s="1"/>
  <c r="N2104" i="2" s="1"/>
  <c r="N2134" i="2" s="1"/>
  <c r="N2164" i="2" s="1"/>
  <c r="N2194" i="2" s="1"/>
  <c r="N2224" i="2" s="1"/>
  <c r="N2254" i="2" s="1"/>
  <c r="N2284" i="2" s="1"/>
  <c r="N2314" i="2" s="1"/>
  <c r="N2344" i="2" s="1"/>
  <c r="N2374" i="2" s="1"/>
  <c r="N169" i="2"/>
  <c r="N199" i="2" s="1"/>
  <c r="N229" i="2" s="1"/>
  <c r="N259" i="2" s="1"/>
  <c r="N289" i="2" s="1"/>
  <c r="N319" i="2" s="1"/>
  <c r="N349" i="2" s="1"/>
  <c r="N379" i="2" s="1"/>
  <c r="N409" i="2" s="1"/>
  <c r="N439" i="2" s="1"/>
  <c r="N469" i="2" s="1"/>
  <c r="N499" i="2" s="1"/>
  <c r="N529" i="2" s="1"/>
  <c r="N559" i="2" s="1"/>
  <c r="N589" i="2" s="1"/>
  <c r="N619" i="2" s="1"/>
  <c r="N649" i="2" s="1"/>
  <c r="N679" i="2" s="1"/>
  <c r="N709" i="2" s="1"/>
  <c r="N739" i="2" s="1"/>
  <c r="N769" i="2" s="1"/>
  <c r="N799" i="2" s="1"/>
  <c r="N829" i="2" s="1"/>
  <c r="N859" i="2" s="1"/>
  <c r="N889" i="2" s="1"/>
  <c r="N919" i="2" s="1"/>
  <c r="N949" i="2" s="1"/>
  <c r="N979" i="2" s="1"/>
  <c r="N1009" i="2" s="1"/>
  <c r="N1039" i="2" s="1"/>
  <c r="N1069" i="2" s="1"/>
  <c r="N1099" i="2" s="1"/>
  <c r="N1129" i="2" s="1"/>
  <c r="N1159" i="2" s="1"/>
  <c r="N1189" i="2" s="1"/>
  <c r="N1219" i="2" s="1"/>
  <c r="N1249" i="2" s="1"/>
  <c r="N1279" i="2" s="1"/>
  <c r="N1309" i="2" s="1"/>
  <c r="N1339" i="2" s="1"/>
  <c r="N1369" i="2" s="1"/>
  <c r="N1399" i="2" s="1"/>
  <c r="N1429" i="2" s="1"/>
  <c r="N1459" i="2" s="1"/>
  <c r="N1489" i="2" s="1"/>
  <c r="N1519" i="2" s="1"/>
  <c r="N1549" i="2" s="1"/>
  <c r="N1579" i="2" s="1"/>
  <c r="N1609" i="2" s="1"/>
  <c r="N1639" i="2" s="1"/>
  <c r="N1669" i="2" s="1"/>
  <c r="N1699" i="2" s="1"/>
  <c r="N1729" i="2" s="1"/>
  <c r="N1759" i="2" s="1"/>
  <c r="N1789" i="2" s="1"/>
  <c r="N1819" i="2" s="1"/>
  <c r="N1849" i="2" s="1"/>
  <c r="N1879" i="2" s="1"/>
  <c r="N1909" i="2" s="1"/>
  <c r="N1939" i="2" s="1"/>
  <c r="N1969" i="2" s="1"/>
  <c r="N1999" i="2" s="1"/>
  <c r="N2029" i="2" s="1"/>
  <c r="N2059" i="2" s="1"/>
  <c r="N2089" i="2" s="1"/>
  <c r="N2119" i="2" s="1"/>
  <c r="N2149" i="2" s="1"/>
  <c r="N2179" i="2" s="1"/>
  <c r="N2209" i="2" s="1"/>
  <c r="N2239" i="2" s="1"/>
  <c r="N2269" i="2" s="1"/>
  <c r="N2299" i="2" s="1"/>
  <c r="N2329" i="2" s="1"/>
  <c r="N2359" i="2" s="1"/>
  <c r="N2389" i="2" s="1"/>
  <c r="N185" i="2"/>
  <c r="N215" i="2" s="1"/>
  <c r="N245" i="2" s="1"/>
  <c r="N275" i="2" s="1"/>
  <c r="N305" i="2" s="1"/>
  <c r="N335" i="2" s="1"/>
  <c r="N365" i="2" s="1"/>
  <c r="N395" i="2" s="1"/>
  <c r="N425" i="2" s="1"/>
  <c r="N455" i="2" s="1"/>
  <c r="N485" i="2" s="1"/>
  <c r="N515" i="2" s="1"/>
  <c r="N545" i="2" s="1"/>
  <c r="N575" i="2" s="1"/>
  <c r="N605" i="2" s="1"/>
  <c r="N635" i="2" s="1"/>
  <c r="N665" i="2" s="1"/>
  <c r="N695" i="2" s="1"/>
  <c r="N725" i="2" s="1"/>
  <c r="N755" i="2" s="1"/>
  <c r="N785" i="2" s="1"/>
  <c r="N815" i="2" s="1"/>
  <c r="N845" i="2" s="1"/>
  <c r="N875" i="2" s="1"/>
  <c r="N905" i="2" s="1"/>
  <c r="N935" i="2" s="1"/>
  <c r="N965" i="2" s="1"/>
  <c r="N995" i="2" s="1"/>
  <c r="N1025" i="2" s="1"/>
  <c r="N1055" i="2" s="1"/>
  <c r="N1085" i="2" s="1"/>
  <c r="N1115" i="2" s="1"/>
  <c r="N1145" i="2" s="1"/>
  <c r="N1175" i="2" s="1"/>
  <c r="N1205" i="2" s="1"/>
  <c r="N1235" i="2" s="1"/>
  <c r="N1265" i="2" s="1"/>
  <c r="N1295" i="2" s="1"/>
  <c r="N1325" i="2" s="1"/>
  <c r="N1355" i="2" s="1"/>
  <c r="N1385" i="2" s="1"/>
  <c r="N1415" i="2" s="1"/>
  <c r="N1445" i="2" s="1"/>
  <c r="N1475" i="2" s="1"/>
  <c r="N1505" i="2" s="1"/>
  <c r="N1535" i="2" s="1"/>
  <c r="N1565" i="2" s="1"/>
  <c r="N1595" i="2" s="1"/>
  <c r="N1625" i="2" s="1"/>
  <c r="N1655" i="2" s="1"/>
  <c r="N1685" i="2" s="1"/>
  <c r="N1715" i="2" s="1"/>
  <c r="N1745" i="2" s="1"/>
  <c r="N1775" i="2" s="1"/>
  <c r="N1805" i="2" s="1"/>
  <c r="N1835" i="2" s="1"/>
  <c r="N1865" i="2" s="1"/>
  <c r="N1895" i="2" s="1"/>
  <c r="N1925" i="2" s="1"/>
  <c r="N1955" i="2" s="1"/>
  <c r="N1985" i="2" s="1"/>
  <c r="N2015" i="2" s="1"/>
  <c r="N2045" i="2" s="1"/>
  <c r="N2075" i="2" s="1"/>
  <c r="N2105" i="2" s="1"/>
  <c r="N2135" i="2" s="1"/>
  <c r="N2165" i="2" s="1"/>
  <c r="N2195" i="2" s="1"/>
  <c r="N2225" i="2" s="1"/>
  <c r="N2255" i="2" s="1"/>
  <c r="N2285" i="2" s="1"/>
  <c r="N2315" i="2" s="1"/>
  <c r="N2345" i="2" s="1"/>
  <c r="N2375" i="2" s="1"/>
  <c r="N189" i="2"/>
  <c r="N219" i="2" s="1"/>
  <c r="N249" i="2" s="1"/>
  <c r="N279" i="2" s="1"/>
  <c r="N309" i="2" s="1"/>
  <c r="N339" i="2" s="1"/>
  <c r="N369" i="2" s="1"/>
  <c r="N399" i="2" s="1"/>
  <c r="N429" i="2" s="1"/>
  <c r="N459" i="2" s="1"/>
  <c r="N489" i="2" s="1"/>
  <c r="N519" i="2" s="1"/>
  <c r="N549" i="2" s="1"/>
  <c r="N579" i="2" s="1"/>
  <c r="N609" i="2" s="1"/>
  <c r="N639" i="2" s="1"/>
  <c r="N669" i="2" s="1"/>
  <c r="N699" i="2" s="1"/>
  <c r="N729" i="2" s="1"/>
  <c r="N759" i="2" s="1"/>
  <c r="N789" i="2" s="1"/>
  <c r="N819" i="2" s="1"/>
  <c r="N849" i="2" s="1"/>
  <c r="N879" i="2" s="1"/>
  <c r="N909" i="2" s="1"/>
  <c r="N939" i="2" s="1"/>
  <c r="N969" i="2" s="1"/>
  <c r="N999" i="2" s="1"/>
  <c r="N1029" i="2" s="1"/>
  <c r="N1059" i="2" s="1"/>
  <c r="N1089" i="2" s="1"/>
  <c r="N1119" i="2" s="1"/>
  <c r="N1149" i="2" s="1"/>
  <c r="N1179" i="2" s="1"/>
  <c r="N1209" i="2" s="1"/>
  <c r="N1239" i="2" s="1"/>
  <c r="N1269" i="2" s="1"/>
  <c r="N1299" i="2" s="1"/>
  <c r="N1329" i="2" s="1"/>
  <c r="N1359" i="2" s="1"/>
  <c r="N1389" i="2" s="1"/>
  <c r="N1419" i="2" s="1"/>
  <c r="N1449" i="2" s="1"/>
  <c r="N1479" i="2" s="1"/>
  <c r="N1509" i="2" s="1"/>
  <c r="N1539" i="2" s="1"/>
  <c r="N1569" i="2" s="1"/>
  <c r="N1599" i="2" s="1"/>
  <c r="N1629" i="2" s="1"/>
  <c r="N1659" i="2" s="1"/>
  <c r="N1689" i="2" s="1"/>
  <c r="N1719" i="2" s="1"/>
  <c r="N1749" i="2" s="1"/>
  <c r="N1779" i="2" s="1"/>
  <c r="N1809" i="2" s="1"/>
  <c r="N1839" i="2" s="1"/>
  <c r="N1869" i="2" s="1"/>
  <c r="N1899" i="2" s="1"/>
  <c r="N1929" i="2" s="1"/>
  <c r="N1959" i="2" s="1"/>
  <c r="N1989" i="2" s="1"/>
  <c r="N2019" i="2" s="1"/>
  <c r="N2049" i="2" s="1"/>
  <c r="N2079" i="2" s="1"/>
  <c r="N2109" i="2" s="1"/>
  <c r="N2139" i="2" s="1"/>
  <c r="N2169" i="2" s="1"/>
  <c r="N2199" i="2" s="1"/>
  <c r="N2229" i="2" s="1"/>
  <c r="N2259" i="2" s="1"/>
  <c r="N2289" i="2" s="1"/>
  <c r="N2319" i="2" s="1"/>
  <c r="N2349" i="2" s="1"/>
  <c r="N2379" i="2" s="1"/>
  <c r="N197" i="2"/>
  <c r="N227" i="2" s="1"/>
  <c r="N257" i="2"/>
  <c r="N287" i="2" s="1"/>
  <c r="N317" i="2" s="1"/>
  <c r="N347" i="2" s="1"/>
  <c r="N377" i="2" s="1"/>
  <c r="N407" i="2" s="1"/>
  <c r="N437" i="2" s="1"/>
  <c r="N467" i="2" s="1"/>
  <c r="N497" i="2" s="1"/>
  <c r="N527" i="2" s="1"/>
  <c r="N557" i="2" s="1"/>
  <c r="N587" i="2" s="1"/>
  <c r="N617" i="2" s="1"/>
  <c r="N647" i="2" s="1"/>
  <c r="N677" i="2" s="1"/>
  <c r="N707" i="2" s="1"/>
  <c r="N737" i="2" s="1"/>
  <c r="N767" i="2" s="1"/>
  <c r="N797" i="2" s="1"/>
  <c r="N827" i="2" s="1"/>
  <c r="N857" i="2" s="1"/>
  <c r="N887" i="2" s="1"/>
  <c r="N917" i="2" s="1"/>
  <c r="N947" i="2" s="1"/>
  <c r="N977" i="2" s="1"/>
  <c r="N1007" i="2" s="1"/>
  <c r="N1037" i="2" s="1"/>
  <c r="N1067" i="2" s="1"/>
  <c r="N1097" i="2" s="1"/>
  <c r="N1127" i="2" s="1"/>
  <c r="N1157" i="2" s="1"/>
  <c r="N1187" i="2" s="1"/>
  <c r="N1217" i="2" s="1"/>
  <c r="N1247" i="2" s="1"/>
  <c r="N1277" i="2" s="1"/>
  <c r="N1307" i="2" s="1"/>
  <c r="N1337" i="2" s="1"/>
  <c r="N1367" i="2" s="1"/>
  <c r="N1397" i="2" s="1"/>
  <c r="N1427" i="2" s="1"/>
  <c r="N1457" i="2" s="1"/>
  <c r="N1487" i="2" s="1"/>
  <c r="N1517" i="2" s="1"/>
  <c r="N1547" i="2" s="1"/>
  <c r="N1577" i="2" s="1"/>
  <c r="N1607" i="2" s="1"/>
  <c r="N1637" i="2" s="1"/>
  <c r="N1667" i="2" s="1"/>
  <c r="N1697" i="2" s="1"/>
  <c r="N1727" i="2" s="1"/>
  <c r="N1757" i="2" s="1"/>
  <c r="N1787" i="2" s="1"/>
  <c r="N1817" i="2" s="1"/>
  <c r="N1847" i="2" s="1"/>
  <c r="N1877" i="2" s="1"/>
  <c r="N1907" i="2" s="1"/>
  <c r="N1937" i="2" s="1"/>
  <c r="N1967" i="2" s="1"/>
  <c r="N1997" i="2" s="1"/>
  <c r="N2027" i="2" s="1"/>
  <c r="N2057" i="2" s="1"/>
  <c r="N2087" i="2" s="1"/>
  <c r="N2117" i="2" s="1"/>
  <c r="N2147" i="2" s="1"/>
  <c r="N2177" i="2" s="1"/>
  <c r="N2207" i="2" s="1"/>
  <c r="N2237" i="2" s="1"/>
  <c r="N2267" i="2" s="1"/>
  <c r="N2297" i="2" s="1"/>
  <c r="N2327" i="2" s="1"/>
  <c r="N2357" i="2" s="1"/>
  <c r="N2387" i="2" s="1"/>
  <c r="N346" i="2"/>
  <c r="N376" i="2" s="1"/>
  <c r="N406" i="2" s="1"/>
  <c r="N436" i="2" s="1"/>
  <c r="N466" i="2" s="1"/>
  <c r="N496" i="2" s="1"/>
  <c r="N526" i="2" s="1"/>
  <c r="N556" i="2" s="1"/>
  <c r="N586" i="2" s="1"/>
  <c r="N616" i="2" s="1"/>
  <c r="N646" i="2" s="1"/>
  <c r="N676" i="2" s="1"/>
  <c r="N706" i="2" s="1"/>
  <c r="N736" i="2" s="1"/>
  <c r="N766" i="2" s="1"/>
  <c r="N796" i="2" s="1"/>
  <c r="N826" i="2" s="1"/>
  <c r="N856" i="2" s="1"/>
  <c r="N886" i="2" s="1"/>
  <c r="N916" i="2" s="1"/>
  <c r="N946" i="2" s="1"/>
  <c r="N976" i="2" s="1"/>
  <c r="N1006" i="2" s="1"/>
  <c r="N1036" i="2" s="1"/>
  <c r="N1066" i="2" s="1"/>
  <c r="N1096" i="2" s="1"/>
  <c r="N1126" i="2" s="1"/>
  <c r="N1156" i="2" s="1"/>
  <c r="N1186" i="2" s="1"/>
  <c r="N1216" i="2" s="1"/>
  <c r="N1246" i="2" s="1"/>
  <c r="N1276" i="2" s="1"/>
  <c r="N1306" i="2" s="1"/>
  <c r="N1336" i="2" s="1"/>
  <c r="N1366" i="2" s="1"/>
  <c r="N1396" i="2" s="1"/>
  <c r="N1426" i="2" s="1"/>
  <c r="N1456" i="2" s="1"/>
  <c r="N1486" i="2" s="1"/>
  <c r="N1516" i="2" s="1"/>
  <c r="N1546" i="2" s="1"/>
  <c r="N1576" i="2" s="1"/>
  <c r="N1606" i="2" s="1"/>
  <c r="N1636" i="2" s="1"/>
  <c r="N1666" i="2" s="1"/>
  <c r="N1696" i="2" s="1"/>
  <c r="N1726" i="2" s="1"/>
  <c r="N1756" i="2" s="1"/>
  <c r="N1786" i="2" s="1"/>
  <c r="N1816" i="2" s="1"/>
  <c r="N1846" i="2" s="1"/>
  <c r="N1876" i="2" s="1"/>
  <c r="N1906" i="2" s="1"/>
  <c r="N1936" i="2" s="1"/>
  <c r="N1966" i="2" s="1"/>
  <c r="N1996" i="2" s="1"/>
  <c r="N2026" i="2" s="1"/>
  <c r="N2056" i="2" s="1"/>
  <c r="N2086" i="2" s="1"/>
  <c r="N2116" i="2" s="1"/>
  <c r="N2146" i="2" s="1"/>
  <c r="N2176" i="2" s="1"/>
  <c r="N2206" i="2" s="1"/>
  <c r="N2236" i="2" s="1"/>
  <c r="N2266" i="2" s="1"/>
  <c r="N2296" i="2" s="1"/>
  <c r="N2326" i="2" s="1"/>
  <c r="N2356" i="2" s="1"/>
  <c r="N2386" i="2" s="1"/>
  <c r="N354" i="2"/>
  <c r="N384" i="2" s="1"/>
  <c r="N414" i="2" s="1"/>
  <c r="N444" i="2" s="1"/>
  <c r="N474" i="2" s="1"/>
  <c r="N504" i="2" s="1"/>
  <c r="N534" i="2" s="1"/>
  <c r="N564" i="2" s="1"/>
  <c r="N594" i="2" s="1"/>
  <c r="N624" i="2" s="1"/>
  <c r="N654" i="2" s="1"/>
  <c r="N684" i="2" s="1"/>
  <c r="N714" i="2" s="1"/>
  <c r="N744" i="2" s="1"/>
  <c r="N774" i="2" s="1"/>
  <c r="N804" i="2" s="1"/>
  <c r="N834" i="2" s="1"/>
  <c r="N864" i="2" s="1"/>
  <c r="N894" i="2" s="1"/>
  <c r="N924" i="2" s="1"/>
  <c r="N954" i="2" s="1"/>
  <c r="N984" i="2" s="1"/>
  <c r="N1014" i="2" s="1"/>
  <c r="N1044" i="2" s="1"/>
  <c r="N1074" i="2" s="1"/>
  <c r="N1104" i="2" s="1"/>
  <c r="N1134" i="2" s="1"/>
  <c r="N1164" i="2" s="1"/>
  <c r="N1194" i="2" s="1"/>
  <c r="N1224" i="2" s="1"/>
  <c r="N1254" i="2" s="1"/>
  <c r="N1284" i="2" s="1"/>
  <c r="N1314" i="2" s="1"/>
  <c r="N1344" i="2" s="1"/>
  <c r="N1374" i="2" s="1"/>
  <c r="N1404" i="2" s="1"/>
  <c r="N1434" i="2" s="1"/>
  <c r="N1464" i="2" s="1"/>
  <c r="N1494" i="2" s="1"/>
  <c r="N1524" i="2" s="1"/>
  <c r="N1554" i="2" s="1"/>
  <c r="N1584" i="2" s="1"/>
  <c r="N1614" i="2" s="1"/>
  <c r="N1644" i="2" s="1"/>
  <c r="N1674" i="2" s="1"/>
  <c r="N1704" i="2" s="1"/>
  <c r="N1734" i="2" s="1"/>
  <c r="N1764" i="2" s="1"/>
  <c r="N1794" i="2" s="1"/>
  <c r="N1824" i="2" s="1"/>
  <c r="N1854" i="2" s="1"/>
  <c r="N1884" i="2" s="1"/>
  <c r="N1914" i="2" s="1"/>
  <c r="N1944" i="2" s="1"/>
  <c r="N1974" i="2" s="1"/>
  <c r="N2004" i="2" s="1"/>
  <c r="N2034" i="2" s="1"/>
  <c r="N2064" i="2" s="1"/>
  <c r="N2094" i="2" s="1"/>
  <c r="N2124" i="2" s="1"/>
  <c r="N2154" i="2" s="1"/>
  <c r="N2184" i="2" s="1"/>
  <c r="N2214" i="2" s="1"/>
  <c r="N2244" i="2" s="1"/>
  <c r="N2274" i="2" s="1"/>
  <c r="N2304" i="2" s="1"/>
  <c r="N2334" i="2" s="1"/>
  <c r="N2364" i="2" s="1"/>
  <c r="N2394" i="2" s="1"/>
  <c r="N798" i="2"/>
  <c r="N828" i="2" s="1"/>
  <c r="N858" i="2" s="1"/>
  <c r="N888" i="2" s="1"/>
  <c r="N918" i="2" s="1"/>
  <c r="N948" i="2" s="1"/>
  <c r="N978" i="2" s="1"/>
  <c r="N1008" i="2" s="1"/>
  <c r="N1038" i="2" s="1"/>
  <c r="N1068" i="2" s="1"/>
  <c r="N1098" i="2" s="1"/>
  <c r="N1128" i="2" s="1"/>
  <c r="N1158" i="2" s="1"/>
  <c r="N1188" i="2" s="1"/>
  <c r="N1218" i="2" s="1"/>
  <c r="N1248" i="2" s="1"/>
  <c r="N1278" i="2" s="1"/>
  <c r="N1308" i="2" s="1"/>
  <c r="N1338" i="2" s="1"/>
  <c r="N1368" i="2" s="1"/>
  <c r="N1398" i="2" s="1"/>
  <c r="N1428" i="2" s="1"/>
  <c r="N1458" i="2" s="1"/>
  <c r="N1488" i="2" s="1"/>
  <c r="N1518" i="2" s="1"/>
  <c r="N1548" i="2" s="1"/>
  <c r="N1578" i="2" s="1"/>
  <c r="N1608" i="2" s="1"/>
  <c r="N1638" i="2" s="1"/>
  <c r="N1668" i="2" s="1"/>
  <c r="N1698" i="2" s="1"/>
  <c r="N1728" i="2" s="1"/>
  <c r="N1758" i="2" s="1"/>
  <c r="N1788" i="2" s="1"/>
  <c r="N1818" i="2" s="1"/>
  <c r="N1848" i="2" s="1"/>
  <c r="N1878" i="2" s="1"/>
  <c r="N1908" i="2" s="1"/>
  <c r="N1938" i="2" s="1"/>
  <c r="N1968" i="2" s="1"/>
  <c r="N1998" i="2" s="1"/>
  <c r="N2028" i="2" s="1"/>
  <c r="N2058" i="2" s="1"/>
  <c r="N2088" i="2" s="1"/>
  <c r="N2118" i="2" s="1"/>
  <c r="N2148" i="2" s="1"/>
  <c r="N2178" i="2" s="1"/>
  <c r="N2208" i="2" s="1"/>
  <c r="N2238" i="2" s="1"/>
  <c r="N2268" i="2" s="1"/>
  <c r="N2298" i="2" s="1"/>
  <c r="N2328" i="2" s="1"/>
  <c r="N2358" i="2" s="1"/>
  <c r="N2388" i="2" s="1"/>
  <c r="N32" i="2"/>
  <c r="N62" i="2" s="1"/>
  <c r="N92" i="2" s="1"/>
  <c r="N122" i="2" s="1"/>
  <c r="N152" i="2" s="1"/>
  <c r="N182" i="2" s="1"/>
  <c r="N212" i="2" s="1"/>
  <c r="N242" i="2" s="1"/>
  <c r="N272" i="2" s="1"/>
  <c r="N302" i="2" s="1"/>
  <c r="N332" i="2" s="1"/>
  <c r="N362" i="2" s="1"/>
  <c r="N392" i="2" s="1"/>
  <c r="N422" i="2" s="1"/>
  <c r="N452" i="2" s="1"/>
  <c r="N482" i="2" s="1"/>
  <c r="N512" i="2" s="1"/>
  <c r="N542" i="2" s="1"/>
  <c r="N572" i="2" s="1"/>
  <c r="N602" i="2" s="1"/>
  <c r="N632" i="2" s="1"/>
  <c r="N662" i="2" s="1"/>
  <c r="N692" i="2" s="1"/>
  <c r="N722" i="2" s="1"/>
  <c r="N752" i="2" s="1"/>
  <c r="N782" i="2" s="1"/>
  <c r="N812" i="2" s="1"/>
  <c r="N842" i="2" s="1"/>
  <c r="N872" i="2" s="1"/>
  <c r="N902" i="2" s="1"/>
  <c r="N932" i="2" s="1"/>
  <c r="N962" i="2" s="1"/>
  <c r="N992" i="2" s="1"/>
  <c r="N1022" i="2" s="1"/>
  <c r="N1052" i="2" s="1"/>
  <c r="N1082" i="2" s="1"/>
  <c r="N1112" i="2" s="1"/>
  <c r="N1142" i="2" s="1"/>
  <c r="N1172" i="2" s="1"/>
  <c r="N1202" i="2" s="1"/>
  <c r="N1232" i="2" s="1"/>
  <c r="N1262" i="2" s="1"/>
  <c r="N1292" i="2" s="1"/>
  <c r="N1322" i="2" s="1"/>
  <c r="N1352" i="2" s="1"/>
  <c r="N1382" i="2" s="1"/>
  <c r="N1412" i="2" s="1"/>
  <c r="N1442" i="2" s="1"/>
  <c r="N1472" i="2" s="1"/>
  <c r="N1502" i="2" s="1"/>
  <c r="N1532" i="2" s="1"/>
  <c r="N1562" i="2" s="1"/>
  <c r="N1592" i="2" s="1"/>
  <c r="N1622" i="2" s="1"/>
  <c r="N1652" i="2" s="1"/>
  <c r="N1682" i="2" s="1"/>
  <c r="N1712" i="2" s="1"/>
  <c r="N1742" i="2" s="1"/>
  <c r="N1772" i="2" s="1"/>
  <c r="N1802" i="2" s="1"/>
  <c r="N1832" i="2" s="1"/>
  <c r="N1862" i="2" s="1"/>
  <c r="N1892" i="2" s="1"/>
  <c r="N1922" i="2" s="1"/>
  <c r="N1952" i="2" s="1"/>
  <c r="N1982" i="2" s="1"/>
  <c r="N2012" i="2" s="1"/>
  <c r="N2042" i="2" s="1"/>
  <c r="N2072" i="2" s="1"/>
  <c r="N2102" i="2" s="1"/>
  <c r="N2132" i="2" s="1"/>
  <c r="N2162" i="2" s="1"/>
  <c r="N2192" i="2" s="1"/>
  <c r="N2222" i="2" s="1"/>
  <c r="N2252" i="2" s="1"/>
  <c r="N2282" i="2" s="1"/>
  <c r="N2312" i="2" s="1"/>
  <c r="N2342" i="2" s="1"/>
  <c r="N2372" i="2" s="1"/>
  <c r="D538" i="2" l="1"/>
  <c r="E691" i="2"/>
  <c r="D841" i="2"/>
  <c r="E991" i="2" s="1"/>
  <c r="D1141" i="2" s="1"/>
  <c r="E1291" i="2" s="1"/>
  <c r="D485" i="2"/>
  <c r="E185" i="2"/>
  <c r="E335" i="2" s="1"/>
  <c r="H1751" i="2"/>
  <c r="H1721" i="2"/>
  <c r="H1691" i="2"/>
  <c r="H1781" i="2"/>
  <c r="H1786" i="2"/>
  <c r="H1756" i="2"/>
  <c r="H1726" i="2"/>
  <c r="H1696" i="2"/>
  <c r="H1745" i="2"/>
  <c r="H1685" i="2"/>
  <c r="H1775" i="2"/>
  <c r="H1715" i="2"/>
  <c r="H1714" i="2"/>
  <c r="H1684" i="2"/>
  <c r="H1774" i="2"/>
  <c r="H1744" i="2"/>
  <c r="H1795" i="2"/>
  <c r="H1735" i="2"/>
  <c r="H1705" i="2"/>
  <c r="H1765" i="2"/>
  <c r="H1699" i="2"/>
  <c r="H1789" i="2"/>
  <c r="H1759" i="2"/>
  <c r="H1729" i="2"/>
  <c r="H1688" i="2"/>
  <c r="H1778" i="2"/>
  <c r="H1748" i="2"/>
  <c r="H1718" i="2"/>
  <c r="H1704" i="2"/>
  <c r="H1794" i="2"/>
  <c r="H1764" i="2"/>
  <c r="H1734" i="2"/>
  <c r="H1693" i="2"/>
  <c r="H1753" i="2"/>
  <c r="H1783" i="2"/>
  <c r="H1723" i="2"/>
  <c r="H1709" i="2"/>
  <c r="H1769" i="2"/>
  <c r="H1739" i="2"/>
  <c r="H1799" i="2"/>
  <c r="H1707" i="2"/>
  <c r="H1797" i="2"/>
  <c r="H1767" i="2"/>
  <c r="H1737" i="2"/>
  <c r="H1761" i="2"/>
  <c r="H1701" i="2"/>
  <c r="H1791" i="2"/>
  <c r="H1731" i="2"/>
  <c r="H1695" i="2"/>
  <c r="H1785" i="2"/>
  <c r="H1755" i="2"/>
  <c r="H1725" i="2"/>
  <c r="H1700" i="2"/>
  <c r="H1790" i="2"/>
  <c r="H1760" i="2"/>
  <c r="H1730" i="2"/>
  <c r="H1779" i="2"/>
  <c r="H1719" i="2"/>
  <c r="H1689" i="2"/>
  <c r="H1749" i="2"/>
  <c r="H1777" i="2"/>
  <c r="H1747" i="2"/>
  <c r="H1717" i="2"/>
  <c r="H1687" i="2"/>
  <c r="H1793" i="2"/>
  <c r="H1763" i="2"/>
  <c r="H1733" i="2"/>
  <c r="H1703" i="2"/>
  <c r="H1692" i="2"/>
  <c r="H1782" i="2"/>
  <c r="H1752" i="2"/>
  <c r="H1722" i="2"/>
  <c r="H1708" i="2"/>
  <c r="H1798" i="2"/>
  <c r="H1768" i="2"/>
  <c r="H1738" i="2"/>
  <c r="H1787" i="2"/>
  <c r="H1727" i="2"/>
  <c r="H1757" i="2"/>
  <c r="H1697" i="2"/>
  <c r="E172" i="2"/>
  <c r="E322" i="2" s="1"/>
  <c r="D472" i="2"/>
  <c r="D52" i="2"/>
  <c r="D142" i="2"/>
  <c r="D82" i="2"/>
  <c r="D112" i="2"/>
  <c r="D453" i="2"/>
  <c r="E153" i="2"/>
  <c r="E303" i="2" s="1"/>
  <c r="D93" i="2"/>
  <c r="D123" i="2"/>
  <c r="D33" i="2"/>
  <c r="D63" i="2"/>
  <c r="D590" i="2"/>
  <c r="E290" i="2"/>
  <c r="E440" i="2" s="1"/>
  <c r="D755" i="2"/>
  <c r="E905" i="2" s="1"/>
  <c r="D1055" i="2" s="1"/>
  <c r="E1205" i="2" s="1"/>
  <c r="E605" i="2"/>
  <c r="D514" i="2"/>
  <c r="E214" i="2"/>
  <c r="E364" i="2" s="1"/>
  <c r="D564" i="2"/>
  <c r="E264" i="2"/>
  <c r="E414" i="2" s="1"/>
  <c r="D779" i="2"/>
  <c r="E929" i="2" s="1"/>
  <c r="D1079" i="2" s="1"/>
  <c r="E1229" i="2" s="1"/>
  <c r="E629" i="2"/>
  <c r="D549" i="2"/>
  <c r="E249" i="2"/>
  <c r="E399" i="2" s="1"/>
  <c r="D578" i="2"/>
  <c r="E278" i="2"/>
  <c r="E428" i="2" s="1"/>
  <c r="E234" i="2"/>
  <c r="E384" i="2" s="1"/>
  <c r="D534" i="2"/>
  <c r="E176" i="2"/>
  <c r="E326" i="2" s="1"/>
  <c r="D476" i="2"/>
  <c r="D116" i="2"/>
  <c r="D146" i="2"/>
  <c r="D86" i="2"/>
  <c r="D56" i="2"/>
  <c r="D475" i="2"/>
  <c r="D145" i="2"/>
  <c r="D115" i="2"/>
  <c r="D85" i="2"/>
  <c r="E175" i="2"/>
  <c r="E325" i="2" s="1"/>
  <c r="D55" i="2"/>
  <c r="D487" i="2"/>
  <c r="E187" i="2"/>
  <c r="E337" i="2" s="1"/>
  <c r="E168" i="2"/>
  <c r="E318" i="2" s="1"/>
  <c r="D468" i="2"/>
  <c r="D78" i="2"/>
  <c r="D138" i="2"/>
  <c r="D108" i="2"/>
  <c r="D48" i="2"/>
  <c r="D461" i="2"/>
  <c r="E161" i="2"/>
  <c r="E311" i="2" s="1"/>
  <c r="D131" i="2"/>
  <c r="D101" i="2"/>
  <c r="D41" i="2"/>
  <c r="D71" i="2"/>
  <c r="D462" i="2"/>
  <c r="D132" i="2"/>
  <c r="D72" i="2"/>
  <c r="E162" i="2"/>
  <c r="E312" i="2" s="1"/>
  <c r="D102" i="2"/>
  <c r="D42" i="2"/>
  <c r="D473" i="2"/>
  <c r="E173" i="2"/>
  <c r="E323" i="2" s="1"/>
  <c r="D113" i="2"/>
  <c r="D53" i="2"/>
  <c r="D83" i="2"/>
  <c r="D143" i="2"/>
  <c r="E609" i="2"/>
  <c r="D759" i="2"/>
  <c r="E909" i="2" s="1"/>
  <c r="D1059" i="2" s="1"/>
  <c r="E1209" i="2" s="1"/>
  <c r="E246" i="2"/>
  <c r="E396" i="2" s="1"/>
  <c r="D546" i="2"/>
  <c r="D527" i="2"/>
  <c r="E227" i="2"/>
  <c r="E377" i="2" s="1"/>
  <c r="D575" i="2"/>
  <c r="E275" i="2"/>
  <c r="E425" i="2" s="1"/>
  <c r="D756" i="2"/>
  <c r="E906" i="2" s="1"/>
  <c r="D1056" i="2" s="1"/>
  <c r="E1206" i="2" s="1"/>
  <c r="E606" i="2"/>
  <c r="D838" i="2"/>
  <c r="E988" i="2" s="1"/>
  <c r="D1138" i="2" s="1"/>
  <c r="E1288" i="2" s="1"/>
  <c r="E688" i="2"/>
  <c r="D560" i="2"/>
  <c r="E260" i="2"/>
  <c r="E410" i="2" s="1"/>
  <c r="D484" i="2"/>
  <c r="E184" i="2"/>
  <c r="E334" i="2" s="1"/>
  <c r="D508" i="2"/>
  <c r="E208" i="2"/>
  <c r="E358" i="2" s="1"/>
  <c r="D599" i="2"/>
  <c r="E299" i="2"/>
  <c r="E449" i="2" s="1"/>
  <c r="D544" i="2"/>
  <c r="E244" i="2"/>
  <c r="E394" i="2" s="1"/>
  <c r="D818" i="2"/>
  <c r="E968" i="2" s="1"/>
  <c r="D1118" i="2" s="1"/>
  <c r="E1268" i="2" s="1"/>
  <c r="E668" i="2"/>
  <c r="D574" i="2"/>
  <c r="E274" i="2"/>
  <c r="E424" i="2" s="1"/>
  <c r="D466" i="2"/>
  <c r="D136" i="2"/>
  <c r="E166" i="2"/>
  <c r="E316" i="2" s="1"/>
  <c r="D76" i="2"/>
  <c r="D106" i="2"/>
  <c r="D46" i="2"/>
  <c r="D469" i="2"/>
  <c r="E169" i="2"/>
  <c r="E319" i="2" s="1"/>
  <c r="D139" i="2"/>
  <c r="D109" i="2"/>
  <c r="D49" i="2"/>
  <c r="D79" i="2"/>
  <c r="D830" i="2"/>
  <c r="E980" i="2" s="1"/>
  <c r="D1130" i="2" s="1"/>
  <c r="E1280" i="2" s="1"/>
  <c r="E680" i="2"/>
  <c r="D555" i="2"/>
  <c r="E255" i="2"/>
  <c r="E405" i="2" s="1"/>
  <c r="D539" i="2"/>
  <c r="E239" i="2"/>
  <c r="E389" i="2" s="1"/>
  <c r="D488" i="2"/>
  <c r="E188" i="2"/>
  <c r="E338" i="2" s="1"/>
  <c r="E607" i="2"/>
  <c r="D757" i="2"/>
  <c r="E907" i="2" s="1"/>
  <c r="D1057" i="2" s="1"/>
  <c r="E1207" i="2" s="1"/>
  <c r="E604" i="2"/>
  <c r="D754" i="2"/>
  <c r="E904" i="2" s="1"/>
  <c r="D1054" i="2" s="1"/>
  <c r="E1204" i="2" s="1"/>
  <c r="E160" i="2"/>
  <c r="E310" i="2" s="1"/>
  <c r="D460" i="2"/>
  <c r="D130" i="2"/>
  <c r="D70" i="2"/>
  <c r="D100" i="2"/>
  <c r="D40" i="2"/>
  <c r="D471" i="2"/>
  <c r="D141" i="2"/>
  <c r="D81" i="2"/>
  <c r="D111" i="2"/>
  <c r="D51" i="2"/>
  <c r="E171" i="2"/>
  <c r="E321" i="2" s="1"/>
  <c r="E620" i="2"/>
  <c r="D770" i="2"/>
  <c r="E920" i="2" s="1"/>
  <c r="D1070" i="2" s="1"/>
  <c r="E1220" i="2" s="1"/>
  <c r="D515" i="2"/>
  <c r="E215" i="2"/>
  <c r="E365" i="2" s="1"/>
  <c r="D594" i="2"/>
  <c r="E294" i="2"/>
  <c r="E444" i="2" s="1"/>
  <c r="D568" i="2"/>
  <c r="E268" i="2"/>
  <c r="E418" i="2" s="1"/>
  <c r="D500" i="2"/>
  <c r="E200" i="2"/>
  <c r="E350" i="2" s="1"/>
  <c r="D782" i="2"/>
  <c r="E932" i="2" s="1"/>
  <c r="D1082" i="2" s="1"/>
  <c r="E1232" i="2" s="1"/>
  <c r="E632" i="2"/>
  <c r="D587" i="2"/>
  <c r="E287" i="2"/>
  <c r="E437" i="2" s="1"/>
  <c r="D489" i="2"/>
  <c r="E189" i="2"/>
  <c r="E339" i="2" s="1"/>
  <c r="E608" i="2"/>
  <c r="D758" i="2"/>
  <c r="E908" i="2" s="1"/>
  <c r="D1058" i="2" s="1"/>
  <c r="E1208" i="2" s="1"/>
  <c r="E164" i="2"/>
  <c r="E314" i="2" s="1"/>
  <c r="D464" i="2"/>
  <c r="D104" i="2"/>
  <c r="D44" i="2"/>
  <c r="D134" i="2"/>
  <c r="D74" i="2"/>
  <c r="E180" i="2"/>
  <c r="E330" i="2" s="1"/>
  <c r="D480" i="2"/>
  <c r="D60" i="2"/>
  <c r="D90" i="2"/>
  <c r="D150" i="2"/>
  <c r="D120" i="2"/>
  <c r="D477" i="2"/>
  <c r="E177" i="2"/>
  <c r="E327" i="2" s="1"/>
  <c r="D117" i="2"/>
  <c r="D57" i="2"/>
  <c r="D147" i="2"/>
  <c r="D87" i="2"/>
  <c r="D463" i="2"/>
  <c r="D133" i="2"/>
  <c r="D103" i="2"/>
  <c r="D43" i="2"/>
  <c r="D73" i="2"/>
  <c r="E163" i="2"/>
  <c r="E313" i="2" s="1"/>
  <c r="D579" i="2"/>
  <c r="E279" i="2"/>
  <c r="E429" i="2" s="1"/>
  <c r="D519" i="2"/>
  <c r="E219" i="2"/>
  <c r="E369" i="2" s="1"/>
  <c r="D495" i="2"/>
  <c r="E195" i="2"/>
  <c r="E345" i="2" s="1"/>
  <c r="E615" i="2"/>
  <c r="D765" i="2"/>
  <c r="E915" i="2" s="1"/>
  <c r="D1065" i="2" s="1"/>
  <c r="E1215" i="2" s="1"/>
  <c r="D898" i="2"/>
  <c r="E1048" i="2" s="1"/>
  <c r="D1198" i="2" s="1"/>
  <c r="E1348" i="2" s="1"/>
  <c r="E748" i="2"/>
  <c r="D548" i="2"/>
  <c r="E248" i="2"/>
  <c r="E398" i="2" s="1"/>
  <c r="D516" i="2"/>
  <c r="E216" i="2"/>
  <c r="E366" i="2" s="1"/>
  <c r="D504" i="2"/>
  <c r="E204" i="2"/>
  <c r="E354" i="2" s="1"/>
  <c r="D547" i="2"/>
  <c r="E247" i="2"/>
  <c r="E397" i="2" s="1"/>
  <c r="E617" i="2"/>
  <c r="D767" i="2"/>
  <c r="E917" i="2" s="1"/>
  <c r="D1067" i="2" s="1"/>
  <c r="E1217" i="2" s="1"/>
  <c r="D786" i="2"/>
  <c r="E936" i="2" s="1"/>
  <c r="D1086" i="2" s="1"/>
  <c r="E1236" i="2" s="1"/>
  <c r="E636" i="2"/>
  <c r="E726" i="2"/>
  <c r="D876" i="2"/>
  <c r="E1026" i="2" s="1"/>
  <c r="D1176" i="2" s="1"/>
  <c r="E1326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" i="2"/>
  <c r="D785" i="2" l="1"/>
  <c r="E935" i="2" s="1"/>
  <c r="D1085" i="2" s="1"/>
  <c r="E1235" i="2" s="1"/>
  <c r="E635" i="2"/>
  <c r="E694" i="2"/>
  <c r="D844" i="2"/>
  <c r="E994" i="2" s="1"/>
  <c r="D1144" i="2" s="1"/>
  <c r="E1294" i="2" s="1"/>
  <c r="D493" i="2"/>
  <c r="E193" i="2"/>
  <c r="E343" i="2" s="1"/>
  <c r="D537" i="2"/>
  <c r="E237" i="2"/>
  <c r="E387" i="2" s="1"/>
  <c r="D540" i="2"/>
  <c r="E240" i="2"/>
  <c r="E390" i="2" s="1"/>
  <c r="D524" i="2"/>
  <c r="E224" i="2"/>
  <c r="E374" i="2" s="1"/>
  <c r="D764" i="2"/>
  <c r="E914" i="2" s="1"/>
  <c r="D1064" i="2" s="1"/>
  <c r="E1214" i="2" s="1"/>
  <c r="E614" i="2"/>
  <c r="D591" i="2"/>
  <c r="E291" i="2"/>
  <c r="E441" i="2" s="1"/>
  <c r="D520" i="2"/>
  <c r="E220" i="2"/>
  <c r="E370" i="2" s="1"/>
  <c r="D529" i="2"/>
  <c r="E229" i="2"/>
  <c r="E379" i="2" s="1"/>
  <c r="D526" i="2"/>
  <c r="E226" i="2"/>
  <c r="E376" i="2" s="1"/>
  <c r="D503" i="2"/>
  <c r="E203" i="2"/>
  <c r="E353" i="2" s="1"/>
  <c r="D492" i="2"/>
  <c r="E192" i="2"/>
  <c r="E342" i="2" s="1"/>
  <c r="D582" i="2"/>
  <c r="E282" i="2"/>
  <c r="E432" i="2" s="1"/>
  <c r="D551" i="2"/>
  <c r="E251" i="2"/>
  <c r="E401" i="2" s="1"/>
  <c r="D498" i="2"/>
  <c r="E198" i="2"/>
  <c r="E348" i="2" s="1"/>
  <c r="D768" i="2"/>
  <c r="E918" i="2" s="1"/>
  <c r="D1068" i="2" s="1"/>
  <c r="E1218" i="2" s="1"/>
  <c r="E618" i="2"/>
  <c r="D505" i="2"/>
  <c r="E205" i="2"/>
  <c r="E355" i="2" s="1"/>
  <c r="D595" i="2"/>
  <c r="E295" i="2"/>
  <c r="E445" i="2" s="1"/>
  <c r="D596" i="2"/>
  <c r="E296" i="2"/>
  <c r="E446" i="2" s="1"/>
  <c r="D834" i="2"/>
  <c r="E984" i="2" s="1"/>
  <c r="D1134" i="2" s="1"/>
  <c r="E1284" i="2" s="1"/>
  <c r="E684" i="2"/>
  <c r="D513" i="2"/>
  <c r="E213" i="2"/>
  <c r="E363" i="2" s="1"/>
  <c r="D592" i="2"/>
  <c r="E292" i="2"/>
  <c r="E442" i="2" s="1"/>
  <c r="D847" i="2"/>
  <c r="E997" i="2" s="1"/>
  <c r="D1147" i="2" s="1"/>
  <c r="E1297" i="2" s="1"/>
  <c r="E697" i="2"/>
  <c r="D816" i="2"/>
  <c r="E966" i="2" s="1"/>
  <c r="D1116" i="2" s="1"/>
  <c r="E1266" i="2" s="1"/>
  <c r="E666" i="2"/>
  <c r="E645" i="2"/>
  <c r="D795" i="2"/>
  <c r="E945" i="2" s="1"/>
  <c r="D1095" i="2" s="1"/>
  <c r="E1245" i="2" s="1"/>
  <c r="D879" i="2"/>
  <c r="E1029" i="2" s="1"/>
  <c r="D1179" i="2" s="1"/>
  <c r="E1329" i="2" s="1"/>
  <c r="E729" i="2"/>
  <c r="D553" i="2"/>
  <c r="E253" i="2"/>
  <c r="E403" i="2" s="1"/>
  <c r="D597" i="2"/>
  <c r="E297" i="2"/>
  <c r="E447" i="2" s="1"/>
  <c r="D777" i="2"/>
  <c r="E927" i="2" s="1"/>
  <c r="D1077" i="2" s="1"/>
  <c r="E1227" i="2" s="1"/>
  <c r="E627" i="2"/>
  <c r="D510" i="2"/>
  <c r="E210" i="2"/>
  <c r="E360" i="2" s="1"/>
  <c r="D584" i="2"/>
  <c r="E284" i="2"/>
  <c r="E434" i="2" s="1"/>
  <c r="D789" i="2"/>
  <c r="E939" i="2" s="1"/>
  <c r="D1089" i="2" s="1"/>
  <c r="E1239" i="2" s="1"/>
  <c r="E639" i="2"/>
  <c r="E718" i="2"/>
  <c r="D868" i="2"/>
  <c r="E1018" i="2" s="1"/>
  <c r="D1168" i="2" s="1"/>
  <c r="E1318" i="2" s="1"/>
  <c r="D815" i="2"/>
  <c r="E965" i="2" s="1"/>
  <c r="D1115" i="2" s="1"/>
  <c r="E1265" i="2" s="1"/>
  <c r="E665" i="2"/>
  <c r="D501" i="2"/>
  <c r="E201" i="2"/>
  <c r="E351" i="2" s="1"/>
  <c r="D771" i="2"/>
  <c r="E921" i="2" s="1"/>
  <c r="D1071" i="2" s="1"/>
  <c r="E1221" i="2" s="1"/>
  <c r="E621" i="2"/>
  <c r="D580" i="2"/>
  <c r="E280" i="2"/>
  <c r="E430" i="2" s="1"/>
  <c r="D788" i="2"/>
  <c r="E938" i="2" s="1"/>
  <c r="D1088" i="2" s="1"/>
  <c r="E1238" i="2" s="1"/>
  <c r="E638" i="2"/>
  <c r="D855" i="2"/>
  <c r="E1005" i="2" s="1"/>
  <c r="D1155" i="2" s="1"/>
  <c r="E1305" i="2" s="1"/>
  <c r="E705" i="2"/>
  <c r="D499" i="2"/>
  <c r="E199" i="2"/>
  <c r="E349" i="2" s="1"/>
  <c r="E619" i="2"/>
  <c r="D769" i="2"/>
  <c r="E919" i="2" s="1"/>
  <c r="D1069" i="2" s="1"/>
  <c r="E1219" i="2" s="1"/>
  <c r="D874" i="2"/>
  <c r="E1024" i="2" s="1"/>
  <c r="D1174" i="2" s="1"/>
  <c r="E1324" i="2" s="1"/>
  <c r="E724" i="2"/>
  <c r="E677" i="2"/>
  <c r="D827" i="2"/>
  <c r="E977" i="2" s="1"/>
  <c r="D1127" i="2" s="1"/>
  <c r="E1277" i="2" s="1"/>
  <c r="D563" i="2"/>
  <c r="E263" i="2"/>
  <c r="E413" i="2" s="1"/>
  <c r="D552" i="2"/>
  <c r="E252" i="2"/>
  <c r="E402" i="2" s="1"/>
  <c r="E612" i="2"/>
  <c r="D762" i="2"/>
  <c r="E912" i="2" s="1"/>
  <c r="D1062" i="2" s="1"/>
  <c r="E1212" i="2" s="1"/>
  <c r="D581" i="2"/>
  <c r="E281" i="2"/>
  <c r="E431" i="2" s="1"/>
  <c r="E258" i="2"/>
  <c r="E408" i="2" s="1"/>
  <c r="D558" i="2"/>
  <c r="D775" i="2"/>
  <c r="E925" i="2" s="1"/>
  <c r="D1075" i="2" s="1"/>
  <c r="E1225" i="2" s="1"/>
  <c r="E625" i="2"/>
  <c r="E266" i="2"/>
  <c r="E416" i="2" s="1"/>
  <c r="D566" i="2"/>
  <c r="D849" i="2"/>
  <c r="E999" i="2" s="1"/>
  <c r="D1149" i="2" s="1"/>
  <c r="E1299" i="2" s="1"/>
  <c r="E699" i="2"/>
  <c r="E714" i="2"/>
  <c r="D864" i="2"/>
  <c r="E1014" i="2" s="1"/>
  <c r="D1164" i="2" s="1"/>
  <c r="E1314" i="2" s="1"/>
  <c r="D483" i="2"/>
  <c r="E183" i="2"/>
  <c r="E333" i="2" s="1"/>
  <c r="E603" i="2"/>
  <c r="D753" i="2"/>
  <c r="E903" i="2" s="1"/>
  <c r="D1053" i="2" s="1"/>
  <c r="E1203" i="2" s="1"/>
  <c r="D502" i="2"/>
  <c r="E202" i="2"/>
  <c r="E352" i="2" s="1"/>
  <c r="E710" i="2"/>
  <c r="D860" i="2"/>
  <c r="E1010" i="2" s="1"/>
  <c r="D1160" i="2" s="1"/>
  <c r="E1310" i="2" s="1"/>
  <c r="D583" i="2"/>
  <c r="E283" i="2"/>
  <c r="E433" i="2" s="1"/>
  <c r="D507" i="2"/>
  <c r="E207" i="2"/>
  <c r="E357" i="2" s="1"/>
  <c r="E270" i="2"/>
  <c r="E420" i="2" s="1"/>
  <c r="D570" i="2"/>
  <c r="E630" i="2"/>
  <c r="D780" i="2"/>
  <c r="E930" i="2" s="1"/>
  <c r="D1080" i="2" s="1"/>
  <c r="E1230" i="2" s="1"/>
  <c r="D494" i="2"/>
  <c r="E194" i="2"/>
  <c r="E344" i="2" s="1"/>
  <c r="D561" i="2"/>
  <c r="E261" i="2"/>
  <c r="E411" i="2" s="1"/>
  <c r="D490" i="2"/>
  <c r="E190" i="2"/>
  <c r="E340" i="2" s="1"/>
  <c r="D760" i="2"/>
  <c r="E910" i="2" s="1"/>
  <c r="D1060" i="2" s="1"/>
  <c r="E1210" i="2" s="1"/>
  <c r="E610" i="2"/>
  <c r="D559" i="2"/>
  <c r="E259" i="2"/>
  <c r="E409" i="2" s="1"/>
  <c r="D496" i="2"/>
  <c r="E196" i="2"/>
  <c r="E346" i="2" s="1"/>
  <c r="D586" i="2"/>
  <c r="E286" i="2"/>
  <c r="E436" i="2" s="1"/>
  <c r="D846" i="2"/>
  <c r="E996" i="2" s="1"/>
  <c r="D1146" i="2" s="1"/>
  <c r="E1296" i="2" s="1"/>
  <c r="E696" i="2"/>
  <c r="D593" i="2"/>
  <c r="E293" i="2"/>
  <c r="E443" i="2" s="1"/>
  <c r="D521" i="2"/>
  <c r="E221" i="2"/>
  <c r="E371" i="2" s="1"/>
  <c r="D588" i="2"/>
  <c r="E288" i="2"/>
  <c r="E438" i="2" s="1"/>
  <c r="D535" i="2"/>
  <c r="E235" i="2"/>
  <c r="E385" i="2" s="1"/>
  <c r="D506" i="2"/>
  <c r="E206" i="2"/>
  <c r="E356" i="2" s="1"/>
  <c r="D776" i="2"/>
  <c r="E926" i="2" s="1"/>
  <c r="D1076" i="2" s="1"/>
  <c r="E1226" i="2" s="1"/>
  <c r="E626" i="2"/>
  <c r="D573" i="2"/>
  <c r="E273" i="2"/>
  <c r="E423" i="2" s="1"/>
  <c r="E262" i="2"/>
  <c r="E412" i="2" s="1"/>
  <c r="D562" i="2"/>
  <c r="D772" i="2"/>
  <c r="E922" i="2" s="1"/>
  <c r="D1072" i="2" s="1"/>
  <c r="E1222" i="2" s="1"/>
  <c r="E622" i="2"/>
  <c r="D808" i="2"/>
  <c r="E958" i="2" s="1"/>
  <c r="D1108" i="2" s="1"/>
  <c r="E1258" i="2" s="1"/>
  <c r="E658" i="2"/>
  <c r="D804" i="2"/>
  <c r="E954" i="2" s="1"/>
  <c r="D1104" i="2" s="1"/>
  <c r="E1254" i="2" s="1"/>
  <c r="E654" i="2"/>
  <c r="E698" i="2"/>
  <c r="D848" i="2"/>
  <c r="E998" i="2" s="1"/>
  <c r="D1148" i="2" s="1"/>
  <c r="E1298" i="2" s="1"/>
  <c r="E669" i="2"/>
  <c r="D819" i="2"/>
  <c r="E969" i="2" s="1"/>
  <c r="D1119" i="2" s="1"/>
  <c r="E1269" i="2" s="1"/>
  <c r="D523" i="2"/>
  <c r="E223" i="2"/>
  <c r="E373" i="2" s="1"/>
  <c r="D763" i="2"/>
  <c r="E913" i="2" s="1"/>
  <c r="D1063" i="2" s="1"/>
  <c r="E1213" i="2" s="1"/>
  <c r="E613" i="2"/>
  <c r="D567" i="2"/>
  <c r="E267" i="2"/>
  <c r="E417" i="2" s="1"/>
  <c r="D600" i="2"/>
  <c r="E300" i="2"/>
  <c r="E450" i="2" s="1"/>
  <c r="E254" i="2"/>
  <c r="E404" i="2" s="1"/>
  <c r="D554" i="2"/>
  <c r="D887" i="2"/>
  <c r="E1037" i="2" s="1"/>
  <c r="D1187" i="2" s="1"/>
  <c r="E1337" i="2" s="1"/>
  <c r="E737" i="2"/>
  <c r="D800" i="2"/>
  <c r="E950" i="2" s="1"/>
  <c r="D1100" i="2" s="1"/>
  <c r="E1250" i="2" s="1"/>
  <c r="E650" i="2"/>
  <c r="D894" i="2"/>
  <c r="E1044" i="2" s="1"/>
  <c r="D1194" i="2" s="1"/>
  <c r="E1344" i="2" s="1"/>
  <c r="E744" i="2"/>
  <c r="D531" i="2"/>
  <c r="E231" i="2"/>
  <c r="E381" i="2" s="1"/>
  <c r="E250" i="2"/>
  <c r="E400" i="2" s="1"/>
  <c r="D550" i="2"/>
  <c r="D839" i="2"/>
  <c r="E989" i="2" s="1"/>
  <c r="D1139" i="2" s="1"/>
  <c r="E1289" i="2" s="1"/>
  <c r="E689" i="2"/>
  <c r="D589" i="2"/>
  <c r="E289" i="2"/>
  <c r="E439" i="2" s="1"/>
  <c r="D556" i="2"/>
  <c r="E256" i="2"/>
  <c r="E406" i="2" s="1"/>
  <c r="E616" i="2"/>
  <c r="D766" i="2"/>
  <c r="E916" i="2" s="1"/>
  <c r="D1066" i="2" s="1"/>
  <c r="E1216" i="2" s="1"/>
  <c r="D899" i="2"/>
  <c r="E1049" i="2" s="1"/>
  <c r="D1199" i="2" s="1"/>
  <c r="E1349" i="2" s="1"/>
  <c r="E749" i="2"/>
  <c r="D784" i="2"/>
  <c r="E934" i="2" s="1"/>
  <c r="D1084" i="2" s="1"/>
  <c r="E1234" i="2" s="1"/>
  <c r="E634" i="2"/>
  <c r="D875" i="2"/>
  <c r="E1025" i="2" s="1"/>
  <c r="D1175" i="2" s="1"/>
  <c r="E1325" i="2" s="1"/>
  <c r="E725" i="2"/>
  <c r="D533" i="2"/>
  <c r="E233" i="2"/>
  <c r="E383" i="2" s="1"/>
  <c r="E623" i="2"/>
  <c r="D773" i="2"/>
  <c r="E923" i="2" s="1"/>
  <c r="D1073" i="2" s="1"/>
  <c r="E1223" i="2" s="1"/>
  <c r="D522" i="2"/>
  <c r="E222" i="2"/>
  <c r="E372" i="2" s="1"/>
  <c r="D491" i="2"/>
  <c r="E191" i="2"/>
  <c r="E341" i="2" s="1"/>
  <c r="E611" i="2"/>
  <c r="D761" i="2"/>
  <c r="E911" i="2" s="1"/>
  <c r="D1061" i="2" s="1"/>
  <c r="E1211" i="2" s="1"/>
  <c r="D528" i="2"/>
  <c r="E228" i="2"/>
  <c r="E378" i="2" s="1"/>
  <c r="E637" i="2"/>
  <c r="D787" i="2"/>
  <c r="E937" i="2" s="1"/>
  <c r="D1087" i="2" s="1"/>
  <c r="E1237" i="2" s="1"/>
  <c r="D565" i="2"/>
  <c r="E265" i="2"/>
  <c r="E415" i="2" s="1"/>
  <c r="D536" i="2"/>
  <c r="E236" i="2"/>
  <c r="E386" i="2" s="1"/>
  <c r="D878" i="2"/>
  <c r="E1028" i="2" s="1"/>
  <c r="D1178" i="2" s="1"/>
  <c r="E1328" i="2" s="1"/>
  <c r="E728" i="2"/>
  <c r="D814" i="2"/>
  <c r="E964" i="2" s="1"/>
  <c r="D1114" i="2" s="1"/>
  <c r="E1264" i="2" s="1"/>
  <c r="E664" i="2"/>
  <c r="D890" i="2"/>
  <c r="E1040" i="2" s="1"/>
  <c r="D1190" i="2" s="1"/>
  <c r="E1340" i="2" s="1"/>
  <c r="E740" i="2"/>
  <c r="D543" i="2"/>
  <c r="E243" i="2"/>
  <c r="E393" i="2" s="1"/>
  <c r="D532" i="2"/>
  <c r="E232" i="2"/>
  <c r="E382" i="2" s="1"/>
  <c r="T3" i="2"/>
  <c r="T33" i="2" s="1"/>
  <c r="T63" i="2" s="1"/>
  <c r="T93" i="2" s="1"/>
  <c r="T123" i="2" s="1"/>
  <c r="T153" i="2" s="1"/>
  <c r="T183" i="2" s="1"/>
  <c r="T213" i="2" s="1"/>
  <c r="T243" i="2" s="1"/>
  <c r="T273" i="2" s="1"/>
  <c r="T303" i="2" s="1"/>
  <c r="T333" i="2" s="1"/>
  <c r="T363" i="2" s="1"/>
  <c r="T393" i="2" s="1"/>
  <c r="T423" i="2" s="1"/>
  <c r="T453" i="2" s="1"/>
  <c r="T483" i="2" s="1"/>
  <c r="T513" i="2" s="1"/>
  <c r="T543" i="2" s="1"/>
  <c r="T573" i="2" s="1"/>
  <c r="T603" i="2" s="1"/>
  <c r="T633" i="2" s="1"/>
  <c r="T663" i="2" s="1"/>
  <c r="T693" i="2" s="1"/>
  <c r="T723" i="2" s="1"/>
  <c r="T753" i="2" s="1"/>
  <c r="T783" i="2" s="1"/>
  <c r="T813" i="2" s="1"/>
  <c r="T843" i="2" s="1"/>
  <c r="T873" i="2" s="1"/>
  <c r="T903" i="2" s="1"/>
  <c r="T933" i="2" s="1"/>
  <c r="T963" i="2" s="1"/>
  <c r="T993" i="2" s="1"/>
  <c r="T1023" i="2" s="1"/>
  <c r="T1053" i="2" s="1"/>
  <c r="T1083" i="2" s="1"/>
  <c r="T1113" i="2" s="1"/>
  <c r="T1143" i="2" s="1"/>
  <c r="T1173" i="2" s="1"/>
  <c r="T1203" i="2" s="1"/>
  <c r="T1233" i="2" s="1"/>
  <c r="T1263" i="2" s="1"/>
  <c r="T1293" i="2" s="1"/>
  <c r="T1323" i="2" s="1"/>
  <c r="T1353" i="2" s="1"/>
  <c r="T1383" i="2" s="1"/>
  <c r="T1413" i="2" s="1"/>
  <c r="T1443" i="2" s="1"/>
  <c r="T1473" i="2" s="1"/>
  <c r="T1503" i="2" s="1"/>
  <c r="T1533" i="2" s="1"/>
  <c r="T1563" i="2" s="1"/>
  <c r="T1593" i="2" s="1"/>
  <c r="T1623" i="2" s="1"/>
  <c r="T1653" i="2" s="1"/>
  <c r="T1683" i="2" s="1"/>
  <c r="T1713" i="2" s="1"/>
  <c r="T1743" i="2" s="1"/>
  <c r="T1773" i="2" s="1"/>
  <c r="T1803" i="2" s="1"/>
  <c r="T1833" i="2" s="1"/>
  <c r="T1863" i="2" s="1"/>
  <c r="T1893" i="2" s="1"/>
  <c r="T1923" i="2" s="1"/>
  <c r="T1953" i="2" s="1"/>
  <c r="T1983" i="2" s="1"/>
  <c r="T2013" i="2" s="1"/>
  <c r="T2043" i="2" s="1"/>
  <c r="T2073" i="2" s="1"/>
  <c r="T2103" i="2" s="1"/>
  <c r="T2133" i="2" s="1"/>
  <c r="T2163" i="2" s="1"/>
  <c r="T2193" i="2" s="1"/>
  <c r="T2223" i="2" s="1"/>
  <c r="T2253" i="2" s="1"/>
  <c r="T2283" i="2" s="1"/>
  <c r="T2313" i="2" s="1"/>
  <c r="T2343" i="2" s="1"/>
  <c r="T2373" i="2" s="1"/>
  <c r="T4" i="2"/>
  <c r="T34" i="2" s="1"/>
  <c r="T64" i="2" s="1"/>
  <c r="T94" i="2" s="1"/>
  <c r="T124" i="2" s="1"/>
  <c r="T154" i="2" s="1"/>
  <c r="T184" i="2" s="1"/>
  <c r="T214" i="2" s="1"/>
  <c r="T244" i="2" s="1"/>
  <c r="T274" i="2" s="1"/>
  <c r="T304" i="2" s="1"/>
  <c r="T334" i="2" s="1"/>
  <c r="T364" i="2" s="1"/>
  <c r="T394" i="2" s="1"/>
  <c r="T424" i="2" s="1"/>
  <c r="T454" i="2" s="1"/>
  <c r="T484" i="2" s="1"/>
  <c r="T514" i="2" s="1"/>
  <c r="T544" i="2" s="1"/>
  <c r="T574" i="2" s="1"/>
  <c r="T604" i="2" s="1"/>
  <c r="T634" i="2" s="1"/>
  <c r="T664" i="2" s="1"/>
  <c r="T694" i="2" s="1"/>
  <c r="T724" i="2" s="1"/>
  <c r="T754" i="2" s="1"/>
  <c r="T784" i="2" s="1"/>
  <c r="T814" i="2" s="1"/>
  <c r="T844" i="2" s="1"/>
  <c r="T874" i="2" s="1"/>
  <c r="T904" i="2" s="1"/>
  <c r="T934" i="2" s="1"/>
  <c r="T964" i="2" s="1"/>
  <c r="T994" i="2" s="1"/>
  <c r="T1024" i="2" s="1"/>
  <c r="T1054" i="2" s="1"/>
  <c r="T1084" i="2" s="1"/>
  <c r="T1114" i="2" s="1"/>
  <c r="T1144" i="2" s="1"/>
  <c r="T1174" i="2" s="1"/>
  <c r="T1204" i="2" s="1"/>
  <c r="T1234" i="2" s="1"/>
  <c r="T1264" i="2" s="1"/>
  <c r="T1294" i="2" s="1"/>
  <c r="T1324" i="2" s="1"/>
  <c r="T1354" i="2" s="1"/>
  <c r="T1384" i="2" s="1"/>
  <c r="T1414" i="2" s="1"/>
  <c r="T1444" i="2" s="1"/>
  <c r="T1474" i="2" s="1"/>
  <c r="T1504" i="2" s="1"/>
  <c r="T1534" i="2" s="1"/>
  <c r="T1564" i="2" s="1"/>
  <c r="T1594" i="2" s="1"/>
  <c r="T1624" i="2" s="1"/>
  <c r="T1654" i="2" s="1"/>
  <c r="T1684" i="2" s="1"/>
  <c r="T1714" i="2" s="1"/>
  <c r="T1744" i="2" s="1"/>
  <c r="T1774" i="2" s="1"/>
  <c r="T1804" i="2" s="1"/>
  <c r="T1834" i="2" s="1"/>
  <c r="T1864" i="2" s="1"/>
  <c r="T1894" i="2" s="1"/>
  <c r="T1924" i="2" s="1"/>
  <c r="T1954" i="2" s="1"/>
  <c r="T1984" i="2" s="1"/>
  <c r="T2014" i="2" s="1"/>
  <c r="T2044" i="2" s="1"/>
  <c r="T2074" i="2" s="1"/>
  <c r="T2104" i="2" s="1"/>
  <c r="T2134" i="2" s="1"/>
  <c r="T2164" i="2" s="1"/>
  <c r="T2194" i="2" s="1"/>
  <c r="T2224" i="2" s="1"/>
  <c r="T2254" i="2" s="1"/>
  <c r="T2284" i="2" s="1"/>
  <c r="T2314" i="2" s="1"/>
  <c r="T2344" i="2" s="1"/>
  <c r="T2374" i="2" s="1"/>
  <c r="T5" i="2"/>
  <c r="T35" i="2" s="1"/>
  <c r="T65" i="2" s="1"/>
  <c r="T95" i="2" s="1"/>
  <c r="T125" i="2" s="1"/>
  <c r="T155" i="2" s="1"/>
  <c r="T185" i="2" s="1"/>
  <c r="T215" i="2" s="1"/>
  <c r="T245" i="2" s="1"/>
  <c r="T275" i="2" s="1"/>
  <c r="T305" i="2" s="1"/>
  <c r="T335" i="2" s="1"/>
  <c r="T365" i="2" s="1"/>
  <c r="T395" i="2" s="1"/>
  <c r="T425" i="2" s="1"/>
  <c r="T455" i="2" s="1"/>
  <c r="T485" i="2" s="1"/>
  <c r="T515" i="2" s="1"/>
  <c r="T545" i="2" s="1"/>
  <c r="T575" i="2" s="1"/>
  <c r="T605" i="2" s="1"/>
  <c r="T635" i="2" s="1"/>
  <c r="T665" i="2" s="1"/>
  <c r="T695" i="2" s="1"/>
  <c r="T725" i="2" s="1"/>
  <c r="T755" i="2" s="1"/>
  <c r="T785" i="2" s="1"/>
  <c r="T815" i="2" s="1"/>
  <c r="T845" i="2" s="1"/>
  <c r="T875" i="2" s="1"/>
  <c r="T905" i="2" s="1"/>
  <c r="T935" i="2" s="1"/>
  <c r="T965" i="2" s="1"/>
  <c r="T995" i="2" s="1"/>
  <c r="T1025" i="2" s="1"/>
  <c r="T1055" i="2" s="1"/>
  <c r="T1085" i="2" s="1"/>
  <c r="T1115" i="2" s="1"/>
  <c r="T1145" i="2" s="1"/>
  <c r="T1175" i="2" s="1"/>
  <c r="T1205" i="2" s="1"/>
  <c r="T1235" i="2" s="1"/>
  <c r="T1265" i="2" s="1"/>
  <c r="T1295" i="2" s="1"/>
  <c r="T1325" i="2" s="1"/>
  <c r="T1355" i="2" s="1"/>
  <c r="T1385" i="2" s="1"/>
  <c r="T1415" i="2" s="1"/>
  <c r="T1445" i="2" s="1"/>
  <c r="T1475" i="2" s="1"/>
  <c r="T1505" i="2" s="1"/>
  <c r="T1535" i="2" s="1"/>
  <c r="T1565" i="2" s="1"/>
  <c r="T1595" i="2" s="1"/>
  <c r="T1625" i="2" s="1"/>
  <c r="T1655" i="2" s="1"/>
  <c r="T1685" i="2" s="1"/>
  <c r="T1715" i="2" s="1"/>
  <c r="T1745" i="2" s="1"/>
  <c r="T1775" i="2" s="1"/>
  <c r="T1805" i="2" s="1"/>
  <c r="T1835" i="2" s="1"/>
  <c r="T1865" i="2" s="1"/>
  <c r="T1895" i="2" s="1"/>
  <c r="T1925" i="2" s="1"/>
  <c r="T1955" i="2" s="1"/>
  <c r="T1985" i="2" s="1"/>
  <c r="T2015" i="2" s="1"/>
  <c r="T2045" i="2" s="1"/>
  <c r="T2075" i="2" s="1"/>
  <c r="T2105" i="2" s="1"/>
  <c r="T2135" i="2" s="1"/>
  <c r="T2165" i="2" s="1"/>
  <c r="T2195" i="2" s="1"/>
  <c r="T2225" i="2" s="1"/>
  <c r="T2255" i="2" s="1"/>
  <c r="T2285" i="2" s="1"/>
  <c r="T2315" i="2" s="1"/>
  <c r="T2345" i="2" s="1"/>
  <c r="T2375" i="2" s="1"/>
  <c r="T6" i="2"/>
  <c r="T36" i="2" s="1"/>
  <c r="T66" i="2" s="1"/>
  <c r="T96" i="2" s="1"/>
  <c r="T126" i="2" s="1"/>
  <c r="T156" i="2" s="1"/>
  <c r="T186" i="2" s="1"/>
  <c r="T216" i="2" s="1"/>
  <c r="T246" i="2" s="1"/>
  <c r="T276" i="2" s="1"/>
  <c r="T306" i="2" s="1"/>
  <c r="T336" i="2" s="1"/>
  <c r="T366" i="2" s="1"/>
  <c r="T396" i="2" s="1"/>
  <c r="T426" i="2" s="1"/>
  <c r="T456" i="2" s="1"/>
  <c r="T486" i="2" s="1"/>
  <c r="T516" i="2" s="1"/>
  <c r="T546" i="2" s="1"/>
  <c r="T576" i="2" s="1"/>
  <c r="T606" i="2" s="1"/>
  <c r="T636" i="2" s="1"/>
  <c r="T666" i="2" s="1"/>
  <c r="T696" i="2" s="1"/>
  <c r="T726" i="2" s="1"/>
  <c r="T756" i="2" s="1"/>
  <c r="T786" i="2" s="1"/>
  <c r="T816" i="2" s="1"/>
  <c r="T846" i="2" s="1"/>
  <c r="T876" i="2" s="1"/>
  <c r="T906" i="2" s="1"/>
  <c r="T936" i="2" s="1"/>
  <c r="T966" i="2" s="1"/>
  <c r="T996" i="2" s="1"/>
  <c r="T1026" i="2" s="1"/>
  <c r="T1056" i="2" s="1"/>
  <c r="T1086" i="2" s="1"/>
  <c r="T1116" i="2" s="1"/>
  <c r="T1146" i="2" s="1"/>
  <c r="T1176" i="2" s="1"/>
  <c r="T1206" i="2" s="1"/>
  <c r="T1236" i="2" s="1"/>
  <c r="T1266" i="2" s="1"/>
  <c r="T1296" i="2" s="1"/>
  <c r="T1326" i="2" s="1"/>
  <c r="T1356" i="2" s="1"/>
  <c r="T1386" i="2" s="1"/>
  <c r="T1416" i="2" s="1"/>
  <c r="T1446" i="2" s="1"/>
  <c r="T1476" i="2" s="1"/>
  <c r="T1506" i="2" s="1"/>
  <c r="T1536" i="2" s="1"/>
  <c r="T1566" i="2" s="1"/>
  <c r="T1596" i="2" s="1"/>
  <c r="T1626" i="2" s="1"/>
  <c r="T1656" i="2" s="1"/>
  <c r="T1686" i="2" s="1"/>
  <c r="T1716" i="2" s="1"/>
  <c r="T1746" i="2" s="1"/>
  <c r="T1776" i="2" s="1"/>
  <c r="T1806" i="2" s="1"/>
  <c r="T1836" i="2" s="1"/>
  <c r="T1866" i="2" s="1"/>
  <c r="T1896" i="2" s="1"/>
  <c r="T1926" i="2" s="1"/>
  <c r="T1956" i="2" s="1"/>
  <c r="T1986" i="2" s="1"/>
  <c r="T2016" i="2" s="1"/>
  <c r="T2046" i="2" s="1"/>
  <c r="T2076" i="2" s="1"/>
  <c r="T2106" i="2" s="1"/>
  <c r="T2136" i="2" s="1"/>
  <c r="T2166" i="2" s="1"/>
  <c r="T2196" i="2" s="1"/>
  <c r="T2226" i="2" s="1"/>
  <c r="T2256" i="2" s="1"/>
  <c r="T2286" i="2" s="1"/>
  <c r="T2316" i="2" s="1"/>
  <c r="T2346" i="2" s="1"/>
  <c r="T2376" i="2" s="1"/>
  <c r="T7" i="2"/>
  <c r="T37" i="2" s="1"/>
  <c r="T67" i="2" s="1"/>
  <c r="T97" i="2" s="1"/>
  <c r="T127" i="2" s="1"/>
  <c r="T157" i="2" s="1"/>
  <c r="T187" i="2" s="1"/>
  <c r="T217" i="2" s="1"/>
  <c r="T247" i="2" s="1"/>
  <c r="T277" i="2" s="1"/>
  <c r="T307" i="2" s="1"/>
  <c r="T337" i="2" s="1"/>
  <c r="T367" i="2" s="1"/>
  <c r="T397" i="2" s="1"/>
  <c r="T427" i="2" s="1"/>
  <c r="T457" i="2" s="1"/>
  <c r="T487" i="2" s="1"/>
  <c r="T517" i="2" s="1"/>
  <c r="T547" i="2" s="1"/>
  <c r="T577" i="2" s="1"/>
  <c r="T607" i="2" s="1"/>
  <c r="T637" i="2" s="1"/>
  <c r="T667" i="2" s="1"/>
  <c r="T697" i="2" s="1"/>
  <c r="T727" i="2" s="1"/>
  <c r="T757" i="2" s="1"/>
  <c r="T787" i="2" s="1"/>
  <c r="T817" i="2" s="1"/>
  <c r="T847" i="2" s="1"/>
  <c r="T877" i="2" s="1"/>
  <c r="T907" i="2" s="1"/>
  <c r="T937" i="2" s="1"/>
  <c r="T967" i="2" s="1"/>
  <c r="T997" i="2" s="1"/>
  <c r="T1027" i="2" s="1"/>
  <c r="T1057" i="2" s="1"/>
  <c r="T1087" i="2" s="1"/>
  <c r="T1117" i="2" s="1"/>
  <c r="T1147" i="2" s="1"/>
  <c r="T1177" i="2" s="1"/>
  <c r="T1207" i="2" s="1"/>
  <c r="T1237" i="2" s="1"/>
  <c r="T1267" i="2" s="1"/>
  <c r="T1297" i="2" s="1"/>
  <c r="T1327" i="2" s="1"/>
  <c r="T1357" i="2" s="1"/>
  <c r="T1387" i="2" s="1"/>
  <c r="T1417" i="2" s="1"/>
  <c r="T1447" i="2" s="1"/>
  <c r="T1477" i="2" s="1"/>
  <c r="T1507" i="2" s="1"/>
  <c r="T1537" i="2" s="1"/>
  <c r="T1567" i="2" s="1"/>
  <c r="T1597" i="2" s="1"/>
  <c r="T1627" i="2" s="1"/>
  <c r="T1657" i="2" s="1"/>
  <c r="T1687" i="2" s="1"/>
  <c r="T1717" i="2" s="1"/>
  <c r="T1747" i="2" s="1"/>
  <c r="T1777" i="2" s="1"/>
  <c r="T1807" i="2" s="1"/>
  <c r="T1837" i="2" s="1"/>
  <c r="T1867" i="2" s="1"/>
  <c r="T1897" i="2" s="1"/>
  <c r="T1927" i="2" s="1"/>
  <c r="T1957" i="2" s="1"/>
  <c r="T1987" i="2" s="1"/>
  <c r="T2017" i="2" s="1"/>
  <c r="T2047" i="2" s="1"/>
  <c r="T2077" i="2" s="1"/>
  <c r="T2107" i="2" s="1"/>
  <c r="T2137" i="2" s="1"/>
  <c r="T2167" i="2" s="1"/>
  <c r="T2197" i="2" s="1"/>
  <c r="T2227" i="2" s="1"/>
  <c r="T2257" i="2" s="1"/>
  <c r="T2287" i="2" s="1"/>
  <c r="T2317" i="2" s="1"/>
  <c r="T2347" i="2" s="1"/>
  <c r="T2377" i="2" s="1"/>
  <c r="T8" i="2"/>
  <c r="T38" i="2" s="1"/>
  <c r="T68" i="2" s="1"/>
  <c r="T98" i="2" s="1"/>
  <c r="T128" i="2" s="1"/>
  <c r="T158" i="2" s="1"/>
  <c r="T188" i="2" s="1"/>
  <c r="T218" i="2" s="1"/>
  <c r="T248" i="2" s="1"/>
  <c r="T278" i="2" s="1"/>
  <c r="T308" i="2" s="1"/>
  <c r="T338" i="2" s="1"/>
  <c r="T368" i="2" s="1"/>
  <c r="T398" i="2" s="1"/>
  <c r="T428" i="2" s="1"/>
  <c r="T458" i="2" s="1"/>
  <c r="T488" i="2" s="1"/>
  <c r="T518" i="2" s="1"/>
  <c r="T548" i="2" s="1"/>
  <c r="T578" i="2" s="1"/>
  <c r="T608" i="2" s="1"/>
  <c r="T638" i="2" s="1"/>
  <c r="T668" i="2" s="1"/>
  <c r="T698" i="2" s="1"/>
  <c r="T728" i="2" s="1"/>
  <c r="T758" i="2" s="1"/>
  <c r="T788" i="2" s="1"/>
  <c r="T818" i="2" s="1"/>
  <c r="T848" i="2" s="1"/>
  <c r="T878" i="2" s="1"/>
  <c r="T908" i="2" s="1"/>
  <c r="T938" i="2" s="1"/>
  <c r="T968" i="2" s="1"/>
  <c r="T998" i="2" s="1"/>
  <c r="T1028" i="2" s="1"/>
  <c r="T1058" i="2" s="1"/>
  <c r="T1088" i="2" s="1"/>
  <c r="T1118" i="2" s="1"/>
  <c r="T1148" i="2" s="1"/>
  <c r="T1178" i="2" s="1"/>
  <c r="T1208" i="2" s="1"/>
  <c r="T1238" i="2" s="1"/>
  <c r="T1268" i="2" s="1"/>
  <c r="T1298" i="2" s="1"/>
  <c r="T1328" i="2" s="1"/>
  <c r="T1358" i="2" s="1"/>
  <c r="T1388" i="2" s="1"/>
  <c r="T1418" i="2" s="1"/>
  <c r="T1448" i="2" s="1"/>
  <c r="T1478" i="2" s="1"/>
  <c r="T1508" i="2" s="1"/>
  <c r="T1538" i="2" s="1"/>
  <c r="T1568" i="2" s="1"/>
  <c r="T1598" i="2" s="1"/>
  <c r="T1628" i="2" s="1"/>
  <c r="T1658" i="2" s="1"/>
  <c r="T1688" i="2" s="1"/>
  <c r="T1718" i="2" s="1"/>
  <c r="T1748" i="2" s="1"/>
  <c r="T1778" i="2" s="1"/>
  <c r="T1808" i="2" s="1"/>
  <c r="T1838" i="2" s="1"/>
  <c r="T1868" i="2" s="1"/>
  <c r="T1898" i="2" s="1"/>
  <c r="T1928" i="2" s="1"/>
  <c r="T1958" i="2" s="1"/>
  <c r="T1988" i="2" s="1"/>
  <c r="T2018" i="2" s="1"/>
  <c r="T2048" i="2" s="1"/>
  <c r="T2078" i="2" s="1"/>
  <c r="T2108" i="2" s="1"/>
  <c r="T2138" i="2" s="1"/>
  <c r="T2168" i="2" s="1"/>
  <c r="T2198" i="2" s="1"/>
  <c r="T2228" i="2" s="1"/>
  <c r="T2258" i="2" s="1"/>
  <c r="T2288" i="2" s="1"/>
  <c r="T2318" i="2" s="1"/>
  <c r="T2348" i="2" s="1"/>
  <c r="T2378" i="2" s="1"/>
  <c r="T9" i="2"/>
  <c r="T39" i="2" s="1"/>
  <c r="T69" i="2" s="1"/>
  <c r="T99" i="2" s="1"/>
  <c r="T129" i="2" s="1"/>
  <c r="T159" i="2" s="1"/>
  <c r="T189" i="2" s="1"/>
  <c r="T219" i="2" s="1"/>
  <c r="T249" i="2" s="1"/>
  <c r="T279" i="2" s="1"/>
  <c r="T309" i="2" s="1"/>
  <c r="T339" i="2" s="1"/>
  <c r="T369" i="2" s="1"/>
  <c r="T399" i="2" s="1"/>
  <c r="T429" i="2" s="1"/>
  <c r="T459" i="2" s="1"/>
  <c r="T489" i="2" s="1"/>
  <c r="T519" i="2" s="1"/>
  <c r="T549" i="2" s="1"/>
  <c r="T579" i="2" s="1"/>
  <c r="T609" i="2" s="1"/>
  <c r="T639" i="2" s="1"/>
  <c r="T669" i="2" s="1"/>
  <c r="T699" i="2" s="1"/>
  <c r="T729" i="2" s="1"/>
  <c r="T759" i="2" s="1"/>
  <c r="T789" i="2" s="1"/>
  <c r="T819" i="2" s="1"/>
  <c r="T849" i="2" s="1"/>
  <c r="T879" i="2" s="1"/>
  <c r="T909" i="2" s="1"/>
  <c r="T939" i="2" s="1"/>
  <c r="T969" i="2" s="1"/>
  <c r="T999" i="2" s="1"/>
  <c r="T1029" i="2" s="1"/>
  <c r="T1059" i="2" s="1"/>
  <c r="T1089" i="2" s="1"/>
  <c r="T1119" i="2" s="1"/>
  <c r="T1149" i="2" s="1"/>
  <c r="T1179" i="2" s="1"/>
  <c r="T1209" i="2" s="1"/>
  <c r="T1239" i="2" s="1"/>
  <c r="T1269" i="2" s="1"/>
  <c r="T1299" i="2" s="1"/>
  <c r="T1329" i="2" s="1"/>
  <c r="T1359" i="2" s="1"/>
  <c r="T1389" i="2" s="1"/>
  <c r="T1419" i="2" s="1"/>
  <c r="T1449" i="2" s="1"/>
  <c r="T1479" i="2" s="1"/>
  <c r="T1509" i="2" s="1"/>
  <c r="T1539" i="2" s="1"/>
  <c r="T1569" i="2" s="1"/>
  <c r="T1599" i="2" s="1"/>
  <c r="T1629" i="2" s="1"/>
  <c r="T1659" i="2" s="1"/>
  <c r="T1689" i="2" s="1"/>
  <c r="T1719" i="2" s="1"/>
  <c r="T1749" i="2" s="1"/>
  <c r="T1779" i="2" s="1"/>
  <c r="T1809" i="2" s="1"/>
  <c r="T1839" i="2" s="1"/>
  <c r="T1869" i="2" s="1"/>
  <c r="T1899" i="2" s="1"/>
  <c r="T1929" i="2" s="1"/>
  <c r="T1959" i="2" s="1"/>
  <c r="T1989" i="2" s="1"/>
  <c r="T2019" i="2" s="1"/>
  <c r="T2049" i="2" s="1"/>
  <c r="T2079" i="2" s="1"/>
  <c r="T2109" i="2" s="1"/>
  <c r="T2139" i="2" s="1"/>
  <c r="T2169" i="2" s="1"/>
  <c r="T2199" i="2" s="1"/>
  <c r="T2229" i="2" s="1"/>
  <c r="T2259" i="2" s="1"/>
  <c r="T2289" i="2" s="1"/>
  <c r="T2319" i="2" s="1"/>
  <c r="T2349" i="2" s="1"/>
  <c r="T2379" i="2" s="1"/>
  <c r="T10" i="2"/>
  <c r="T40" i="2" s="1"/>
  <c r="T70" i="2" s="1"/>
  <c r="T100" i="2" s="1"/>
  <c r="T130" i="2" s="1"/>
  <c r="T160" i="2" s="1"/>
  <c r="T190" i="2" s="1"/>
  <c r="T220" i="2" s="1"/>
  <c r="T250" i="2" s="1"/>
  <c r="T280" i="2" s="1"/>
  <c r="T310" i="2" s="1"/>
  <c r="T340" i="2" s="1"/>
  <c r="T370" i="2" s="1"/>
  <c r="T400" i="2" s="1"/>
  <c r="T430" i="2" s="1"/>
  <c r="T460" i="2" s="1"/>
  <c r="T490" i="2" s="1"/>
  <c r="T520" i="2" s="1"/>
  <c r="T550" i="2" s="1"/>
  <c r="T580" i="2" s="1"/>
  <c r="T610" i="2" s="1"/>
  <c r="T640" i="2" s="1"/>
  <c r="T670" i="2" s="1"/>
  <c r="T700" i="2" s="1"/>
  <c r="T730" i="2" s="1"/>
  <c r="T760" i="2" s="1"/>
  <c r="T790" i="2" s="1"/>
  <c r="T820" i="2" s="1"/>
  <c r="T850" i="2" s="1"/>
  <c r="T880" i="2" s="1"/>
  <c r="T910" i="2" s="1"/>
  <c r="T940" i="2" s="1"/>
  <c r="T970" i="2" s="1"/>
  <c r="T1000" i="2" s="1"/>
  <c r="T1030" i="2" s="1"/>
  <c r="T1060" i="2" s="1"/>
  <c r="T1090" i="2" s="1"/>
  <c r="T1120" i="2" s="1"/>
  <c r="T1150" i="2" s="1"/>
  <c r="T1180" i="2" s="1"/>
  <c r="T1210" i="2" s="1"/>
  <c r="T1240" i="2" s="1"/>
  <c r="T1270" i="2" s="1"/>
  <c r="T1300" i="2" s="1"/>
  <c r="T1330" i="2" s="1"/>
  <c r="T1360" i="2" s="1"/>
  <c r="T1390" i="2" s="1"/>
  <c r="T1420" i="2" s="1"/>
  <c r="T1450" i="2" s="1"/>
  <c r="T1480" i="2" s="1"/>
  <c r="T1510" i="2" s="1"/>
  <c r="T1540" i="2" s="1"/>
  <c r="T1570" i="2" s="1"/>
  <c r="T1600" i="2" s="1"/>
  <c r="T1630" i="2" s="1"/>
  <c r="T1660" i="2" s="1"/>
  <c r="T1690" i="2" s="1"/>
  <c r="T1720" i="2" s="1"/>
  <c r="T1750" i="2" s="1"/>
  <c r="T1780" i="2" s="1"/>
  <c r="T1810" i="2" s="1"/>
  <c r="T1840" i="2" s="1"/>
  <c r="T1870" i="2" s="1"/>
  <c r="T1900" i="2" s="1"/>
  <c r="T1930" i="2" s="1"/>
  <c r="T1960" i="2" s="1"/>
  <c r="T1990" i="2" s="1"/>
  <c r="T2020" i="2" s="1"/>
  <c r="T2050" i="2" s="1"/>
  <c r="T2080" i="2" s="1"/>
  <c r="T2110" i="2" s="1"/>
  <c r="T2140" i="2" s="1"/>
  <c r="T2170" i="2" s="1"/>
  <c r="T2200" i="2" s="1"/>
  <c r="T2230" i="2" s="1"/>
  <c r="T2260" i="2" s="1"/>
  <c r="T2290" i="2" s="1"/>
  <c r="T2320" i="2" s="1"/>
  <c r="T2350" i="2" s="1"/>
  <c r="T2380" i="2" s="1"/>
  <c r="T11" i="2"/>
  <c r="T41" i="2" s="1"/>
  <c r="T71" i="2" s="1"/>
  <c r="T101" i="2" s="1"/>
  <c r="T131" i="2" s="1"/>
  <c r="T161" i="2" s="1"/>
  <c r="T191" i="2" s="1"/>
  <c r="T221" i="2" s="1"/>
  <c r="T251" i="2" s="1"/>
  <c r="T281" i="2" s="1"/>
  <c r="T311" i="2" s="1"/>
  <c r="T341" i="2" s="1"/>
  <c r="T371" i="2" s="1"/>
  <c r="T401" i="2" s="1"/>
  <c r="T431" i="2" s="1"/>
  <c r="T461" i="2" s="1"/>
  <c r="T491" i="2" s="1"/>
  <c r="T521" i="2" s="1"/>
  <c r="T551" i="2" s="1"/>
  <c r="T581" i="2" s="1"/>
  <c r="T611" i="2" s="1"/>
  <c r="T641" i="2" s="1"/>
  <c r="T671" i="2" s="1"/>
  <c r="T701" i="2" s="1"/>
  <c r="T731" i="2" s="1"/>
  <c r="T761" i="2" s="1"/>
  <c r="T791" i="2" s="1"/>
  <c r="T821" i="2" s="1"/>
  <c r="T851" i="2" s="1"/>
  <c r="T881" i="2" s="1"/>
  <c r="T911" i="2" s="1"/>
  <c r="T941" i="2" s="1"/>
  <c r="T971" i="2" s="1"/>
  <c r="T1001" i="2" s="1"/>
  <c r="T1031" i="2" s="1"/>
  <c r="T1061" i="2" s="1"/>
  <c r="T1091" i="2" s="1"/>
  <c r="T1121" i="2" s="1"/>
  <c r="T1151" i="2" s="1"/>
  <c r="T1181" i="2" s="1"/>
  <c r="T1211" i="2" s="1"/>
  <c r="T1241" i="2" s="1"/>
  <c r="T1271" i="2" s="1"/>
  <c r="T1301" i="2" s="1"/>
  <c r="T1331" i="2" s="1"/>
  <c r="T1361" i="2" s="1"/>
  <c r="T1391" i="2" s="1"/>
  <c r="T1421" i="2" s="1"/>
  <c r="T1451" i="2" s="1"/>
  <c r="T1481" i="2" s="1"/>
  <c r="T1511" i="2" s="1"/>
  <c r="T1541" i="2" s="1"/>
  <c r="T1571" i="2" s="1"/>
  <c r="T1601" i="2" s="1"/>
  <c r="T1631" i="2" s="1"/>
  <c r="T1661" i="2" s="1"/>
  <c r="T1691" i="2" s="1"/>
  <c r="T1721" i="2" s="1"/>
  <c r="T1751" i="2" s="1"/>
  <c r="T1781" i="2" s="1"/>
  <c r="T1811" i="2" s="1"/>
  <c r="T1841" i="2" s="1"/>
  <c r="T1871" i="2" s="1"/>
  <c r="T1901" i="2" s="1"/>
  <c r="T1931" i="2" s="1"/>
  <c r="T1961" i="2" s="1"/>
  <c r="T1991" i="2" s="1"/>
  <c r="T2021" i="2" s="1"/>
  <c r="T2051" i="2" s="1"/>
  <c r="T2081" i="2" s="1"/>
  <c r="T2111" i="2" s="1"/>
  <c r="T2141" i="2" s="1"/>
  <c r="T2171" i="2" s="1"/>
  <c r="T2201" i="2" s="1"/>
  <c r="T2231" i="2" s="1"/>
  <c r="T2261" i="2" s="1"/>
  <c r="T2291" i="2" s="1"/>
  <c r="T2321" i="2" s="1"/>
  <c r="T2351" i="2" s="1"/>
  <c r="T2381" i="2" s="1"/>
  <c r="T12" i="2"/>
  <c r="T42" i="2" s="1"/>
  <c r="T72" i="2" s="1"/>
  <c r="T102" i="2" s="1"/>
  <c r="T132" i="2" s="1"/>
  <c r="T162" i="2" s="1"/>
  <c r="T192" i="2" s="1"/>
  <c r="T222" i="2" s="1"/>
  <c r="T252" i="2" s="1"/>
  <c r="T282" i="2" s="1"/>
  <c r="T312" i="2" s="1"/>
  <c r="T342" i="2" s="1"/>
  <c r="T372" i="2" s="1"/>
  <c r="T402" i="2" s="1"/>
  <c r="T432" i="2" s="1"/>
  <c r="T462" i="2" s="1"/>
  <c r="T492" i="2" s="1"/>
  <c r="T522" i="2" s="1"/>
  <c r="T552" i="2" s="1"/>
  <c r="T582" i="2" s="1"/>
  <c r="T612" i="2" s="1"/>
  <c r="T642" i="2" s="1"/>
  <c r="T672" i="2" s="1"/>
  <c r="T702" i="2" s="1"/>
  <c r="T732" i="2" s="1"/>
  <c r="T762" i="2" s="1"/>
  <c r="T792" i="2" s="1"/>
  <c r="T822" i="2" s="1"/>
  <c r="T852" i="2" s="1"/>
  <c r="T882" i="2" s="1"/>
  <c r="T912" i="2" s="1"/>
  <c r="T942" i="2" s="1"/>
  <c r="T972" i="2" s="1"/>
  <c r="T1002" i="2" s="1"/>
  <c r="T1032" i="2" s="1"/>
  <c r="T1062" i="2" s="1"/>
  <c r="T1092" i="2" s="1"/>
  <c r="T1122" i="2" s="1"/>
  <c r="T1152" i="2" s="1"/>
  <c r="T1182" i="2" s="1"/>
  <c r="T1212" i="2" s="1"/>
  <c r="T1242" i="2" s="1"/>
  <c r="T1272" i="2" s="1"/>
  <c r="T1302" i="2" s="1"/>
  <c r="T1332" i="2" s="1"/>
  <c r="T1362" i="2" s="1"/>
  <c r="T1392" i="2" s="1"/>
  <c r="T1422" i="2" s="1"/>
  <c r="T1452" i="2" s="1"/>
  <c r="T1482" i="2" s="1"/>
  <c r="T1512" i="2" s="1"/>
  <c r="T1542" i="2" s="1"/>
  <c r="T1572" i="2" s="1"/>
  <c r="T1602" i="2" s="1"/>
  <c r="T1632" i="2" s="1"/>
  <c r="T1662" i="2" s="1"/>
  <c r="T1692" i="2" s="1"/>
  <c r="T1722" i="2" s="1"/>
  <c r="T1752" i="2" s="1"/>
  <c r="T1782" i="2" s="1"/>
  <c r="T1812" i="2" s="1"/>
  <c r="T1842" i="2" s="1"/>
  <c r="T1872" i="2" s="1"/>
  <c r="T1902" i="2" s="1"/>
  <c r="T1932" i="2" s="1"/>
  <c r="T1962" i="2" s="1"/>
  <c r="T1992" i="2" s="1"/>
  <c r="T2022" i="2" s="1"/>
  <c r="T2052" i="2" s="1"/>
  <c r="T2082" i="2" s="1"/>
  <c r="T2112" i="2" s="1"/>
  <c r="T2142" i="2" s="1"/>
  <c r="T2172" i="2" s="1"/>
  <c r="T2202" i="2" s="1"/>
  <c r="T2232" i="2" s="1"/>
  <c r="T2262" i="2" s="1"/>
  <c r="T2292" i="2" s="1"/>
  <c r="T2322" i="2" s="1"/>
  <c r="T2352" i="2" s="1"/>
  <c r="T2382" i="2" s="1"/>
  <c r="T13" i="2"/>
  <c r="T43" i="2" s="1"/>
  <c r="T73" i="2" s="1"/>
  <c r="T103" i="2" s="1"/>
  <c r="T133" i="2" s="1"/>
  <c r="T163" i="2" s="1"/>
  <c r="T193" i="2" s="1"/>
  <c r="T223" i="2" s="1"/>
  <c r="T253" i="2" s="1"/>
  <c r="T283" i="2" s="1"/>
  <c r="T313" i="2" s="1"/>
  <c r="T343" i="2" s="1"/>
  <c r="T373" i="2" s="1"/>
  <c r="T403" i="2" s="1"/>
  <c r="T433" i="2" s="1"/>
  <c r="T463" i="2" s="1"/>
  <c r="T493" i="2" s="1"/>
  <c r="T523" i="2" s="1"/>
  <c r="T553" i="2" s="1"/>
  <c r="T583" i="2" s="1"/>
  <c r="T613" i="2" s="1"/>
  <c r="T643" i="2" s="1"/>
  <c r="T673" i="2" s="1"/>
  <c r="T703" i="2" s="1"/>
  <c r="T733" i="2" s="1"/>
  <c r="T763" i="2" s="1"/>
  <c r="T793" i="2" s="1"/>
  <c r="T823" i="2" s="1"/>
  <c r="T853" i="2" s="1"/>
  <c r="T883" i="2" s="1"/>
  <c r="T913" i="2" s="1"/>
  <c r="T943" i="2" s="1"/>
  <c r="T973" i="2" s="1"/>
  <c r="T1003" i="2" s="1"/>
  <c r="T1033" i="2" s="1"/>
  <c r="T1063" i="2" s="1"/>
  <c r="T1093" i="2" s="1"/>
  <c r="T1123" i="2" s="1"/>
  <c r="T1153" i="2" s="1"/>
  <c r="T1183" i="2" s="1"/>
  <c r="T1213" i="2" s="1"/>
  <c r="T1243" i="2" s="1"/>
  <c r="T1273" i="2" s="1"/>
  <c r="T1303" i="2" s="1"/>
  <c r="T1333" i="2" s="1"/>
  <c r="T1363" i="2" s="1"/>
  <c r="T1393" i="2" s="1"/>
  <c r="T1423" i="2" s="1"/>
  <c r="T1453" i="2" s="1"/>
  <c r="T1483" i="2" s="1"/>
  <c r="T1513" i="2" s="1"/>
  <c r="T1543" i="2" s="1"/>
  <c r="T1573" i="2" s="1"/>
  <c r="T1603" i="2" s="1"/>
  <c r="T1633" i="2" s="1"/>
  <c r="T1663" i="2" s="1"/>
  <c r="T1693" i="2" s="1"/>
  <c r="T1723" i="2" s="1"/>
  <c r="T1753" i="2" s="1"/>
  <c r="T1783" i="2" s="1"/>
  <c r="T1813" i="2" s="1"/>
  <c r="T1843" i="2" s="1"/>
  <c r="T1873" i="2" s="1"/>
  <c r="T1903" i="2" s="1"/>
  <c r="T1933" i="2" s="1"/>
  <c r="T1963" i="2" s="1"/>
  <c r="T1993" i="2" s="1"/>
  <c r="T2023" i="2" s="1"/>
  <c r="T2053" i="2" s="1"/>
  <c r="T2083" i="2" s="1"/>
  <c r="T2113" i="2" s="1"/>
  <c r="T2143" i="2" s="1"/>
  <c r="T2173" i="2" s="1"/>
  <c r="T2203" i="2" s="1"/>
  <c r="T2233" i="2" s="1"/>
  <c r="T2263" i="2" s="1"/>
  <c r="T2293" i="2" s="1"/>
  <c r="T2323" i="2" s="1"/>
  <c r="T2353" i="2" s="1"/>
  <c r="T2383" i="2" s="1"/>
  <c r="T14" i="2"/>
  <c r="T44" i="2" s="1"/>
  <c r="T74" i="2" s="1"/>
  <c r="T104" i="2" s="1"/>
  <c r="T134" i="2" s="1"/>
  <c r="T164" i="2" s="1"/>
  <c r="T194" i="2" s="1"/>
  <c r="T224" i="2" s="1"/>
  <c r="T254" i="2" s="1"/>
  <c r="T284" i="2" s="1"/>
  <c r="T314" i="2" s="1"/>
  <c r="T344" i="2" s="1"/>
  <c r="T374" i="2" s="1"/>
  <c r="T404" i="2" s="1"/>
  <c r="T434" i="2" s="1"/>
  <c r="T464" i="2" s="1"/>
  <c r="T494" i="2" s="1"/>
  <c r="T524" i="2" s="1"/>
  <c r="T554" i="2" s="1"/>
  <c r="T584" i="2" s="1"/>
  <c r="T614" i="2" s="1"/>
  <c r="T644" i="2" s="1"/>
  <c r="T674" i="2" s="1"/>
  <c r="T704" i="2" s="1"/>
  <c r="T734" i="2" s="1"/>
  <c r="T764" i="2" s="1"/>
  <c r="T794" i="2" s="1"/>
  <c r="T824" i="2" s="1"/>
  <c r="T854" i="2" s="1"/>
  <c r="T884" i="2" s="1"/>
  <c r="T914" i="2" s="1"/>
  <c r="T944" i="2" s="1"/>
  <c r="T974" i="2" s="1"/>
  <c r="T1004" i="2" s="1"/>
  <c r="T1034" i="2" s="1"/>
  <c r="T1064" i="2" s="1"/>
  <c r="T1094" i="2" s="1"/>
  <c r="T1124" i="2" s="1"/>
  <c r="T1154" i="2" s="1"/>
  <c r="T1184" i="2" s="1"/>
  <c r="T1214" i="2" s="1"/>
  <c r="T1244" i="2" s="1"/>
  <c r="T1274" i="2" s="1"/>
  <c r="T1304" i="2" s="1"/>
  <c r="T1334" i="2" s="1"/>
  <c r="T1364" i="2" s="1"/>
  <c r="T1394" i="2" s="1"/>
  <c r="T1424" i="2" s="1"/>
  <c r="T1454" i="2" s="1"/>
  <c r="T1484" i="2" s="1"/>
  <c r="T1514" i="2" s="1"/>
  <c r="T1544" i="2" s="1"/>
  <c r="T1574" i="2" s="1"/>
  <c r="T1604" i="2" s="1"/>
  <c r="T1634" i="2" s="1"/>
  <c r="T1664" i="2" s="1"/>
  <c r="T1694" i="2" s="1"/>
  <c r="T1724" i="2" s="1"/>
  <c r="T1754" i="2" s="1"/>
  <c r="T1784" i="2" s="1"/>
  <c r="T1814" i="2" s="1"/>
  <c r="T1844" i="2" s="1"/>
  <c r="T1874" i="2" s="1"/>
  <c r="T1904" i="2" s="1"/>
  <c r="T1934" i="2" s="1"/>
  <c r="T1964" i="2" s="1"/>
  <c r="T1994" i="2" s="1"/>
  <c r="T2024" i="2" s="1"/>
  <c r="T2054" i="2" s="1"/>
  <c r="T2084" i="2" s="1"/>
  <c r="T2114" i="2" s="1"/>
  <c r="T2144" i="2" s="1"/>
  <c r="T2174" i="2" s="1"/>
  <c r="T2204" i="2" s="1"/>
  <c r="T2234" i="2" s="1"/>
  <c r="T2264" i="2" s="1"/>
  <c r="T2294" i="2" s="1"/>
  <c r="T2324" i="2" s="1"/>
  <c r="T2354" i="2" s="1"/>
  <c r="T2384" i="2" s="1"/>
  <c r="T15" i="2"/>
  <c r="T45" i="2" s="1"/>
  <c r="T75" i="2" s="1"/>
  <c r="T105" i="2" s="1"/>
  <c r="T135" i="2" s="1"/>
  <c r="T165" i="2" s="1"/>
  <c r="T195" i="2" s="1"/>
  <c r="T225" i="2" s="1"/>
  <c r="T255" i="2" s="1"/>
  <c r="T285" i="2" s="1"/>
  <c r="T315" i="2" s="1"/>
  <c r="T345" i="2" s="1"/>
  <c r="T375" i="2" s="1"/>
  <c r="T405" i="2" s="1"/>
  <c r="T435" i="2" s="1"/>
  <c r="T465" i="2" s="1"/>
  <c r="T495" i="2" s="1"/>
  <c r="T525" i="2" s="1"/>
  <c r="T555" i="2" s="1"/>
  <c r="T585" i="2" s="1"/>
  <c r="T615" i="2" s="1"/>
  <c r="T645" i="2" s="1"/>
  <c r="T675" i="2" s="1"/>
  <c r="T705" i="2" s="1"/>
  <c r="T735" i="2" s="1"/>
  <c r="T765" i="2" s="1"/>
  <c r="T795" i="2" s="1"/>
  <c r="T825" i="2" s="1"/>
  <c r="T855" i="2" s="1"/>
  <c r="T885" i="2" s="1"/>
  <c r="T915" i="2" s="1"/>
  <c r="T945" i="2" s="1"/>
  <c r="T975" i="2" s="1"/>
  <c r="T1005" i="2" s="1"/>
  <c r="T1035" i="2" s="1"/>
  <c r="T1065" i="2" s="1"/>
  <c r="T1095" i="2" s="1"/>
  <c r="T1125" i="2" s="1"/>
  <c r="T1155" i="2" s="1"/>
  <c r="T1185" i="2" s="1"/>
  <c r="T1215" i="2" s="1"/>
  <c r="T1245" i="2" s="1"/>
  <c r="T1275" i="2" s="1"/>
  <c r="T1305" i="2" s="1"/>
  <c r="T1335" i="2" s="1"/>
  <c r="T1365" i="2" s="1"/>
  <c r="T1395" i="2" s="1"/>
  <c r="T1425" i="2" s="1"/>
  <c r="T1455" i="2" s="1"/>
  <c r="T1485" i="2" s="1"/>
  <c r="T1515" i="2" s="1"/>
  <c r="T1545" i="2" s="1"/>
  <c r="T1575" i="2" s="1"/>
  <c r="T1605" i="2" s="1"/>
  <c r="T1635" i="2" s="1"/>
  <c r="T1665" i="2" s="1"/>
  <c r="T1695" i="2" s="1"/>
  <c r="T1725" i="2" s="1"/>
  <c r="T1755" i="2" s="1"/>
  <c r="T1785" i="2" s="1"/>
  <c r="T1815" i="2" s="1"/>
  <c r="T1845" i="2" s="1"/>
  <c r="T1875" i="2" s="1"/>
  <c r="T1905" i="2" s="1"/>
  <c r="T1935" i="2" s="1"/>
  <c r="T1965" i="2" s="1"/>
  <c r="T1995" i="2" s="1"/>
  <c r="T2025" i="2" s="1"/>
  <c r="T2055" i="2" s="1"/>
  <c r="T2085" i="2" s="1"/>
  <c r="T2115" i="2" s="1"/>
  <c r="T2145" i="2" s="1"/>
  <c r="T2175" i="2" s="1"/>
  <c r="T2205" i="2" s="1"/>
  <c r="T2235" i="2" s="1"/>
  <c r="T2265" i="2" s="1"/>
  <c r="T2295" i="2" s="1"/>
  <c r="T2325" i="2" s="1"/>
  <c r="T2355" i="2" s="1"/>
  <c r="T2385" i="2" s="1"/>
  <c r="T16" i="2"/>
  <c r="T46" i="2" s="1"/>
  <c r="T76" i="2" s="1"/>
  <c r="T106" i="2" s="1"/>
  <c r="T136" i="2" s="1"/>
  <c r="T166" i="2" s="1"/>
  <c r="T196" i="2" s="1"/>
  <c r="T226" i="2" s="1"/>
  <c r="T256" i="2" s="1"/>
  <c r="T286" i="2" s="1"/>
  <c r="T316" i="2" s="1"/>
  <c r="T346" i="2" s="1"/>
  <c r="T376" i="2" s="1"/>
  <c r="T406" i="2" s="1"/>
  <c r="T436" i="2" s="1"/>
  <c r="T466" i="2" s="1"/>
  <c r="T496" i="2" s="1"/>
  <c r="T526" i="2" s="1"/>
  <c r="T556" i="2" s="1"/>
  <c r="T586" i="2" s="1"/>
  <c r="T616" i="2" s="1"/>
  <c r="T646" i="2" s="1"/>
  <c r="T676" i="2" s="1"/>
  <c r="T706" i="2" s="1"/>
  <c r="T736" i="2" s="1"/>
  <c r="T766" i="2" s="1"/>
  <c r="T796" i="2" s="1"/>
  <c r="T826" i="2" s="1"/>
  <c r="T856" i="2" s="1"/>
  <c r="T886" i="2" s="1"/>
  <c r="T916" i="2" s="1"/>
  <c r="T946" i="2" s="1"/>
  <c r="T976" i="2" s="1"/>
  <c r="T1006" i="2" s="1"/>
  <c r="T1036" i="2" s="1"/>
  <c r="T1066" i="2" s="1"/>
  <c r="T1096" i="2" s="1"/>
  <c r="T1126" i="2" s="1"/>
  <c r="T1156" i="2" s="1"/>
  <c r="T1186" i="2" s="1"/>
  <c r="T1216" i="2" s="1"/>
  <c r="T1246" i="2" s="1"/>
  <c r="T1276" i="2" s="1"/>
  <c r="T1306" i="2" s="1"/>
  <c r="T1336" i="2" s="1"/>
  <c r="T1366" i="2" s="1"/>
  <c r="T1396" i="2" s="1"/>
  <c r="T1426" i="2" s="1"/>
  <c r="T1456" i="2" s="1"/>
  <c r="T1486" i="2" s="1"/>
  <c r="T1516" i="2" s="1"/>
  <c r="T1546" i="2" s="1"/>
  <c r="T1576" i="2" s="1"/>
  <c r="T1606" i="2" s="1"/>
  <c r="T1636" i="2" s="1"/>
  <c r="T1666" i="2" s="1"/>
  <c r="T1696" i="2" s="1"/>
  <c r="T1726" i="2" s="1"/>
  <c r="T1756" i="2" s="1"/>
  <c r="T1786" i="2" s="1"/>
  <c r="T1816" i="2" s="1"/>
  <c r="T1846" i="2" s="1"/>
  <c r="T1876" i="2" s="1"/>
  <c r="T1906" i="2" s="1"/>
  <c r="T1936" i="2" s="1"/>
  <c r="T1966" i="2" s="1"/>
  <c r="T1996" i="2" s="1"/>
  <c r="T2026" i="2" s="1"/>
  <c r="T2056" i="2" s="1"/>
  <c r="T2086" i="2" s="1"/>
  <c r="T2116" i="2" s="1"/>
  <c r="T2146" i="2" s="1"/>
  <c r="T2176" i="2" s="1"/>
  <c r="T2206" i="2" s="1"/>
  <c r="T2236" i="2" s="1"/>
  <c r="T2266" i="2" s="1"/>
  <c r="T2296" i="2" s="1"/>
  <c r="T2326" i="2" s="1"/>
  <c r="T2356" i="2" s="1"/>
  <c r="T2386" i="2" s="1"/>
  <c r="T17" i="2"/>
  <c r="T47" i="2" s="1"/>
  <c r="T77" i="2" s="1"/>
  <c r="T107" i="2" s="1"/>
  <c r="T137" i="2" s="1"/>
  <c r="T167" i="2" s="1"/>
  <c r="T197" i="2" s="1"/>
  <c r="T227" i="2" s="1"/>
  <c r="T257" i="2" s="1"/>
  <c r="T287" i="2" s="1"/>
  <c r="T317" i="2" s="1"/>
  <c r="T347" i="2" s="1"/>
  <c r="T377" i="2" s="1"/>
  <c r="T407" i="2" s="1"/>
  <c r="T437" i="2" s="1"/>
  <c r="T467" i="2" s="1"/>
  <c r="T497" i="2" s="1"/>
  <c r="T527" i="2" s="1"/>
  <c r="T557" i="2" s="1"/>
  <c r="T587" i="2" s="1"/>
  <c r="T617" i="2" s="1"/>
  <c r="T647" i="2" s="1"/>
  <c r="T677" i="2" s="1"/>
  <c r="T707" i="2" s="1"/>
  <c r="T737" i="2" s="1"/>
  <c r="T767" i="2" s="1"/>
  <c r="T797" i="2" s="1"/>
  <c r="T827" i="2" s="1"/>
  <c r="T857" i="2" s="1"/>
  <c r="T887" i="2" s="1"/>
  <c r="T917" i="2" s="1"/>
  <c r="T947" i="2" s="1"/>
  <c r="T977" i="2" s="1"/>
  <c r="T1007" i="2" s="1"/>
  <c r="T1037" i="2" s="1"/>
  <c r="T1067" i="2" s="1"/>
  <c r="T1097" i="2" s="1"/>
  <c r="T1127" i="2" s="1"/>
  <c r="T1157" i="2" s="1"/>
  <c r="T1187" i="2" s="1"/>
  <c r="T1217" i="2" s="1"/>
  <c r="T1247" i="2" s="1"/>
  <c r="T1277" i="2" s="1"/>
  <c r="T1307" i="2" s="1"/>
  <c r="T1337" i="2" s="1"/>
  <c r="T1367" i="2" s="1"/>
  <c r="T1397" i="2" s="1"/>
  <c r="T1427" i="2" s="1"/>
  <c r="T1457" i="2" s="1"/>
  <c r="T1487" i="2" s="1"/>
  <c r="T1517" i="2" s="1"/>
  <c r="T1547" i="2" s="1"/>
  <c r="T1577" i="2" s="1"/>
  <c r="T1607" i="2" s="1"/>
  <c r="T1637" i="2" s="1"/>
  <c r="T1667" i="2" s="1"/>
  <c r="T1697" i="2" s="1"/>
  <c r="T1727" i="2" s="1"/>
  <c r="T1757" i="2" s="1"/>
  <c r="T1787" i="2" s="1"/>
  <c r="T1817" i="2" s="1"/>
  <c r="T1847" i="2" s="1"/>
  <c r="T1877" i="2" s="1"/>
  <c r="T1907" i="2" s="1"/>
  <c r="T1937" i="2" s="1"/>
  <c r="T1967" i="2" s="1"/>
  <c r="T1997" i="2" s="1"/>
  <c r="T2027" i="2" s="1"/>
  <c r="T2057" i="2" s="1"/>
  <c r="T2087" i="2" s="1"/>
  <c r="T2117" i="2" s="1"/>
  <c r="T2147" i="2" s="1"/>
  <c r="T2177" i="2" s="1"/>
  <c r="T2207" i="2" s="1"/>
  <c r="T2237" i="2" s="1"/>
  <c r="T2267" i="2" s="1"/>
  <c r="T2297" i="2" s="1"/>
  <c r="T2327" i="2" s="1"/>
  <c r="T2357" i="2" s="1"/>
  <c r="T2387" i="2" s="1"/>
  <c r="T18" i="2"/>
  <c r="T48" i="2" s="1"/>
  <c r="T78" i="2" s="1"/>
  <c r="T108" i="2" s="1"/>
  <c r="T138" i="2" s="1"/>
  <c r="T168" i="2" s="1"/>
  <c r="T198" i="2" s="1"/>
  <c r="T228" i="2" s="1"/>
  <c r="T258" i="2" s="1"/>
  <c r="T288" i="2" s="1"/>
  <c r="T318" i="2" s="1"/>
  <c r="T348" i="2" s="1"/>
  <c r="T378" i="2" s="1"/>
  <c r="T408" i="2" s="1"/>
  <c r="T438" i="2" s="1"/>
  <c r="T468" i="2" s="1"/>
  <c r="T498" i="2" s="1"/>
  <c r="T528" i="2" s="1"/>
  <c r="T558" i="2" s="1"/>
  <c r="T588" i="2" s="1"/>
  <c r="T618" i="2" s="1"/>
  <c r="T648" i="2" s="1"/>
  <c r="T678" i="2" s="1"/>
  <c r="T708" i="2" s="1"/>
  <c r="T738" i="2" s="1"/>
  <c r="T768" i="2" s="1"/>
  <c r="T798" i="2" s="1"/>
  <c r="T828" i="2" s="1"/>
  <c r="T858" i="2" s="1"/>
  <c r="T888" i="2" s="1"/>
  <c r="T918" i="2" s="1"/>
  <c r="T948" i="2" s="1"/>
  <c r="T978" i="2" s="1"/>
  <c r="T1008" i="2" s="1"/>
  <c r="T1038" i="2" s="1"/>
  <c r="T1068" i="2" s="1"/>
  <c r="T1098" i="2" s="1"/>
  <c r="T1128" i="2" s="1"/>
  <c r="T1158" i="2" s="1"/>
  <c r="T1188" i="2" s="1"/>
  <c r="T1218" i="2" s="1"/>
  <c r="T1248" i="2" s="1"/>
  <c r="T1278" i="2" s="1"/>
  <c r="T1308" i="2" s="1"/>
  <c r="T1338" i="2" s="1"/>
  <c r="T1368" i="2" s="1"/>
  <c r="T1398" i="2" s="1"/>
  <c r="T1428" i="2" s="1"/>
  <c r="T1458" i="2" s="1"/>
  <c r="T1488" i="2" s="1"/>
  <c r="T1518" i="2" s="1"/>
  <c r="T1548" i="2" s="1"/>
  <c r="T1578" i="2" s="1"/>
  <c r="T1608" i="2" s="1"/>
  <c r="T1638" i="2" s="1"/>
  <c r="T1668" i="2" s="1"/>
  <c r="T1698" i="2" s="1"/>
  <c r="T1728" i="2" s="1"/>
  <c r="T1758" i="2" s="1"/>
  <c r="T1788" i="2" s="1"/>
  <c r="T1818" i="2" s="1"/>
  <c r="T1848" i="2" s="1"/>
  <c r="T1878" i="2" s="1"/>
  <c r="T1908" i="2" s="1"/>
  <c r="T1938" i="2" s="1"/>
  <c r="T1968" i="2" s="1"/>
  <c r="T1998" i="2" s="1"/>
  <c r="T2028" i="2" s="1"/>
  <c r="T2058" i="2" s="1"/>
  <c r="T2088" i="2" s="1"/>
  <c r="T2118" i="2" s="1"/>
  <c r="T2148" i="2" s="1"/>
  <c r="T2178" i="2" s="1"/>
  <c r="T2208" i="2" s="1"/>
  <c r="T2238" i="2" s="1"/>
  <c r="T2268" i="2" s="1"/>
  <c r="T2298" i="2" s="1"/>
  <c r="T2328" i="2" s="1"/>
  <c r="T2358" i="2" s="1"/>
  <c r="T2388" i="2" s="1"/>
  <c r="T19" i="2"/>
  <c r="T49" i="2" s="1"/>
  <c r="T79" i="2" s="1"/>
  <c r="T109" i="2" s="1"/>
  <c r="T139" i="2" s="1"/>
  <c r="T169" i="2" s="1"/>
  <c r="T199" i="2" s="1"/>
  <c r="T229" i="2" s="1"/>
  <c r="T259" i="2" s="1"/>
  <c r="T289" i="2" s="1"/>
  <c r="T319" i="2" s="1"/>
  <c r="T349" i="2" s="1"/>
  <c r="T379" i="2" s="1"/>
  <c r="T409" i="2" s="1"/>
  <c r="T439" i="2" s="1"/>
  <c r="T469" i="2" s="1"/>
  <c r="T499" i="2" s="1"/>
  <c r="T529" i="2" s="1"/>
  <c r="T559" i="2" s="1"/>
  <c r="T589" i="2" s="1"/>
  <c r="T619" i="2" s="1"/>
  <c r="T649" i="2" s="1"/>
  <c r="T679" i="2" s="1"/>
  <c r="T709" i="2" s="1"/>
  <c r="T739" i="2" s="1"/>
  <c r="T769" i="2" s="1"/>
  <c r="T799" i="2" s="1"/>
  <c r="T829" i="2" s="1"/>
  <c r="T859" i="2" s="1"/>
  <c r="T889" i="2" s="1"/>
  <c r="T919" i="2" s="1"/>
  <c r="T949" i="2" s="1"/>
  <c r="T979" i="2" s="1"/>
  <c r="T1009" i="2" s="1"/>
  <c r="T1039" i="2" s="1"/>
  <c r="T1069" i="2" s="1"/>
  <c r="T1099" i="2" s="1"/>
  <c r="T1129" i="2" s="1"/>
  <c r="T1159" i="2" s="1"/>
  <c r="T1189" i="2" s="1"/>
  <c r="T1219" i="2" s="1"/>
  <c r="T1249" i="2" s="1"/>
  <c r="T1279" i="2" s="1"/>
  <c r="T1309" i="2" s="1"/>
  <c r="T1339" i="2" s="1"/>
  <c r="T1369" i="2" s="1"/>
  <c r="T1399" i="2" s="1"/>
  <c r="T1429" i="2" s="1"/>
  <c r="T1459" i="2" s="1"/>
  <c r="T1489" i="2" s="1"/>
  <c r="T1519" i="2" s="1"/>
  <c r="T1549" i="2" s="1"/>
  <c r="T1579" i="2" s="1"/>
  <c r="T1609" i="2" s="1"/>
  <c r="T1639" i="2" s="1"/>
  <c r="T1669" i="2" s="1"/>
  <c r="T1699" i="2" s="1"/>
  <c r="T1729" i="2" s="1"/>
  <c r="T1759" i="2" s="1"/>
  <c r="T1789" i="2" s="1"/>
  <c r="T1819" i="2" s="1"/>
  <c r="T1849" i="2" s="1"/>
  <c r="T1879" i="2" s="1"/>
  <c r="T1909" i="2" s="1"/>
  <c r="T1939" i="2" s="1"/>
  <c r="T1969" i="2" s="1"/>
  <c r="T1999" i="2" s="1"/>
  <c r="T2029" i="2" s="1"/>
  <c r="T2059" i="2" s="1"/>
  <c r="T2089" i="2" s="1"/>
  <c r="T2119" i="2" s="1"/>
  <c r="T2149" i="2" s="1"/>
  <c r="T2179" i="2" s="1"/>
  <c r="T2209" i="2" s="1"/>
  <c r="T2239" i="2" s="1"/>
  <c r="T2269" i="2" s="1"/>
  <c r="T2299" i="2" s="1"/>
  <c r="T2329" i="2" s="1"/>
  <c r="T2359" i="2" s="1"/>
  <c r="T2389" i="2" s="1"/>
  <c r="T20" i="2"/>
  <c r="T50" i="2" s="1"/>
  <c r="T80" i="2" s="1"/>
  <c r="T110" i="2" s="1"/>
  <c r="T140" i="2" s="1"/>
  <c r="T170" i="2" s="1"/>
  <c r="T200" i="2" s="1"/>
  <c r="T230" i="2" s="1"/>
  <c r="T260" i="2" s="1"/>
  <c r="T290" i="2" s="1"/>
  <c r="T320" i="2" s="1"/>
  <c r="T350" i="2" s="1"/>
  <c r="T380" i="2" s="1"/>
  <c r="T410" i="2" s="1"/>
  <c r="T440" i="2" s="1"/>
  <c r="T470" i="2" s="1"/>
  <c r="T500" i="2" s="1"/>
  <c r="T530" i="2" s="1"/>
  <c r="T560" i="2" s="1"/>
  <c r="T590" i="2" s="1"/>
  <c r="T620" i="2" s="1"/>
  <c r="T650" i="2" s="1"/>
  <c r="T680" i="2" s="1"/>
  <c r="T710" i="2" s="1"/>
  <c r="T740" i="2" s="1"/>
  <c r="T770" i="2" s="1"/>
  <c r="T800" i="2" s="1"/>
  <c r="T830" i="2" s="1"/>
  <c r="T860" i="2" s="1"/>
  <c r="T890" i="2" s="1"/>
  <c r="T920" i="2" s="1"/>
  <c r="T950" i="2" s="1"/>
  <c r="T980" i="2" s="1"/>
  <c r="T1010" i="2" s="1"/>
  <c r="T1040" i="2" s="1"/>
  <c r="T1070" i="2" s="1"/>
  <c r="T1100" i="2" s="1"/>
  <c r="T1130" i="2" s="1"/>
  <c r="T1160" i="2" s="1"/>
  <c r="T1190" i="2" s="1"/>
  <c r="T1220" i="2" s="1"/>
  <c r="T1250" i="2" s="1"/>
  <c r="T1280" i="2" s="1"/>
  <c r="T1310" i="2" s="1"/>
  <c r="T1340" i="2" s="1"/>
  <c r="T1370" i="2" s="1"/>
  <c r="T1400" i="2" s="1"/>
  <c r="T1430" i="2" s="1"/>
  <c r="T1460" i="2" s="1"/>
  <c r="T1490" i="2" s="1"/>
  <c r="T1520" i="2" s="1"/>
  <c r="T1550" i="2" s="1"/>
  <c r="T1580" i="2" s="1"/>
  <c r="T1610" i="2" s="1"/>
  <c r="T1640" i="2" s="1"/>
  <c r="T1670" i="2" s="1"/>
  <c r="T1700" i="2" s="1"/>
  <c r="T1730" i="2" s="1"/>
  <c r="T1760" i="2" s="1"/>
  <c r="T1790" i="2" s="1"/>
  <c r="T1820" i="2" s="1"/>
  <c r="T1850" i="2" s="1"/>
  <c r="T1880" i="2" s="1"/>
  <c r="T1910" i="2" s="1"/>
  <c r="T1940" i="2" s="1"/>
  <c r="T1970" i="2" s="1"/>
  <c r="T2000" i="2" s="1"/>
  <c r="T2030" i="2" s="1"/>
  <c r="T2060" i="2" s="1"/>
  <c r="T2090" i="2" s="1"/>
  <c r="T2120" i="2" s="1"/>
  <c r="T2150" i="2" s="1"/>
  <c r="T2180" i="2" s="1"/>
  <c r="T2210" i="2" s="1"/>
  <c r="T2240" i="2" s="1"/>
  <c r="T2270" i="2" s="1"/>
  <c r="T2300" i="2" s="1"/>
  <c r="T2330" i="2" s="1"/>
  <c r="T2360" i="2" s="1"/>
  <c r="T2390" i="2" s="1"/>
  <c r="T21" i="2"/>
  <c r="T51" i="2" s="1"/>
  <c r="T81" i="2" s="1"/>
  <c r="T111" i="2" s="1"/>
  <c r="T141" i="2" s="1"/>
  <c r="T171" i="2" s="1"/>
  <c r="T201" i="2" s="1"/>
  <c r="T231" i="2" s="1"/>
  <c r="T261" i="2" s="1"/>
  <c r="T291" i="2" s="1"/>
  <c r="T321" i="2" s="1"/>
  <c r="T351" i="2" s="1"/>
  <c r="T381" i="2" s="1"/>
  <c r="T411" i="2" s="1"/>
  <c r="T441" i="2" s="1"/>
  <c r="T471" i="2" s="1"/>
  <c r="T501" i="2" s="1"/>
  <c r="T531" i="2" s="1"/>
  <c r="T561" i="2" s="1"/>
  <c r="T591" i="2" s="1"/>
  <c r="T621" i="2" s="1"/>
  <c r="T651" i="2" s="1"/>
  <c r="T681" i="2" s="1"/>
  <c r="T711" i="2" s="1"/>
  <c r="T741" i="2" s="1"/>
  <c r="T771" i="2" s="1"/>
  <c r="T801" i="2" s="1"/>
  <c r="T831" i="2" s="1"/>
  <c r="T861" i="2" s="1"/>
  <c r="T891" i="2" s="1"/>
  <c r="T921" i="2" s="1"/>
  <c r="T951" i="2" s="1"/>
  <c r="T981" i="2" s="1"/>
  <c r="T1011" i="2" s="1"/>
  <c r="T1041" i="2" s="1"/>
  <c r="T1071" i="2" s="1"/>
  <c r="T1101" i="2" s="1"/>
  <c r="T1131" i="2" s="1"/>
  <c r="T1161" i="2" s="1"/>
  <c r="T1191" i="2" s="1"/>
  <c r="T1221" i="2" s="1"/>
  <c r="T1251" i="2" s="1"/>
  <c r="T1281" i="2" s="1"/>
  <c r="T1311" i="2" s="1"/>
  <c r="T1341" i="2" s="1"/>
  <c r="T1371" i="2" s="1"/>
  <c r="T1401" i="2" s="1"/>
  <c r="T1431" i="2" s="1"/>
  <c r="T1461" i="2" s="1"/>
  <c r="T1491" i="2" s="1"/>
  <c r="T1521" i="2" s="1"/>
  <c r="T1551" i="2" s="1"/>
  <c r="T1581" i="2" s="1"/>
  <c r="T1611" i="2" s="1"/>
  <c r="T1641" i="2" s="1"/>
  <c r="T1671" i="2" s="1"/>
  <c r="T1701" i="2" s="1"/>
  <c r="T1731" i="2" s="1"/>
  <c r="T1761" i="2" s="1"/>
  <c r="T1791" i="2" s="1"/>
  <c r="T1821" i="2" s="1"/>
  <c r="T1851" i="2" s="1"/>
  <c r="T1881" i="2" s="1"/>
  <c r="T1911" i="2" s="1"/>
  <c r="T1941" i="2" s="1"/>
  <c r="T1971" i="2" s="1"/>
  <c r="T2001" i="2" s="1"/>
  <c r="T2031" i="2" s="1"/>
  <c r="T2061" i="2" s="1"/>
  <c r="T2091" i="2" s="1"/>
  <c r="T2121" i="2" s="1"/>
  <c r="T2151" i="2" s="1"/>
  <c r="T2181" i="2" s="1"/>
  <c r="T2211" i="2" s="1"/>
  <c r="T2241" i="2" s="1"/>
  <c r="T2271" i="2" s="1"/>
  <c r="T2301" i="2" s="1"/>
  <c r="T2331" i="2" s="1"/>
  <c r="T2361" i="2" s="1"/>
  <c r="T2391" i="2" s="1"/>
  <c r="T22" i="2"/>
  <c r="T52" i="2" s="1"/>
  <c r="T82" i="2" s="1"/>
  <c r="T112" i="2" s="1"/>
  <c r="T142" i="2" s="1"/>
  <c r="T172" i="2" s="1"/>
  <c r="T202" i="2" s="1"/>
  <c r="T232" i="2" s="1"/>
  <c r="T262" i="2" s="1"/>
  <c r="T292" i="2" s="1"/>
  <c r="T322" i="2" s="1"/>
  <c r="T352" i="2" s="1"/>
  <c r="T382" i="2" s="1"/>
  <c r="T412" i="2" s="1"/>
  <c r="T442" i="2" s="1"/>
  <c r="T472" i="2" s="1"/>
  <c r="T502" i="2" s="1"/>
  <c r="T532" i="2" s="1"/>
  <c r="T562" i="2" s="1"/>
  <c r="T592" i="2" s="1"/>
  <c r="T622" i="2" s="1"/>
  <c r="T652" i="2" s="1"/>
  <c r="T682" i="2" s="1"/>
  <c r="T712" i="2" s="1"/>
  <c r="T742" i="2" s="1"/>
  <c r="T772" i="2" s="1"/>
  <c r="T802" i="2" s="1"/>
  <c r="T832" i="2" s="1"/>
  <c r="T862" i="2" s="1"/>
  <c r="T892" i="2" s="1"/>
  <c r="T922" i="2" s="1"/>
  <c r="T952" i="2" s="1"/>
  <c r="T982" i="2" s="1"/>
  <c r="T1012" i="2" s="1"/>
  <c r="T1042" i="2" s="1"/>
  <c r="T1072" i="2" s="1"/>
  <c r="T1102" i="2" s="1"/>
  <c r="T1132" i="2" s="1"/>
  <c r="T1162" i="2" s="1"/>
  <c r="T1192" i="2" s="1"/>
  <c r="T1222" i="2" s="1"/>
  <c r="T1252" i="2" s="1"/>
  <c r="T1282" i="2" s="1"/>
  <c r="T1312" i="2" s="1"/>
  <c r="T1342" i="2" s="1"/>
  <c r="T1372" i="2" s="1"/>
  <c r="T1402" i="2" s="1"/>
  <c r="T1432" i="2" s="1"/>
  <c r="T1462" i="2" s="1"/>
  <c r="T1492" i="2" s="1"/>
  <c r="T1522" i="2" s="1"/>
  <c r="T1552" i="2" s="1"/>
  <c r="T1582" i="2" s="1"/>
  <c r="T1612" i="2" s="1"/>
  <c r="T1642" i="2" s="1"/>
  <c r="T1672" i="2" s="1"/>
  <c r="T1702" i="2" s="1"/>
  <c r="T1732" i="2" s="1"/>
  <c r="T1762" i="2" s="1"/>
  <c r="T1792" i="2" s="1"/>
  <c r="T1822" i="2" s="1"/>
  <c r="T1852" i="2" s="1"/>
  <c r="T1882" i="2" s="1"/>
  <c r="T1912" i="2" s="1"/>
  <c r="T1942" i="2" s="1"/>
  <c r="T1972" i="2" s="1"/>
  <c r="T2002" i="2" s="1"/>
  <c r="T2032" i="2" s="1"/>
  <c r="T2062" i="2" s="1"/>
  <c r="T2092" i="2" s="1"/>
  <c r="T2122" i="2" s="1"/>
  <c r="T2152" i="2" s="1"/>
  <c r="T2182" i="2" s="1"/>
  <c r="T2212" i="2" s="1"/>
  <c r="T2242" i="2" s="1"/>
  <c r="T2272" i="2" s="1"/>
  <c r="T2302" i="2" s="1"/>
  <c r="T2332" i="2" s="1"/>
  <c r="T2362" i="2" s="1"/>
  <c r="T2392" i="2" s="1"/>
  <c r="T23" i="2"/>
  <c r="T53" i="2" s="1"/>
  <c r="T83" i="2" s="1"/>
  <c r="T113" i="2" s="1"/>
  <c r="T143" i="2" s="1"/>
  <c r="T173" i="2" s="1"/>
  <c r="T203" i="2" s="1"/>
  <c r="T233" i="2" s="1"/>
  <c r="T263" i="2" s="1"/>
  <c r="T293" i="2" s="1"/>
  <c r="T323" i="2" s="1"/>
  <c r="T353" i="2" s="1"/>
  <c r="T383" i="2" s="1"/>
  <c r="T413" i="2" s="1"/>
  <c r="T443" i="2" s="1"/>
  <c r="T473" i="2" s="1"/>
  <c r="T503" i="2" s="1"/>
  <c r="T533" i="2" s="1"/>
  <c r="T563" i="2" s="1"/>
  <c r="T593" i="2" s="1"/>
  <c r="T623" i="2" s="1"/>
  <c r="T653" i="2" s="1"/>
  <c r="T683" i="2" s="1"/>
  <c r="T713" i="2" s="1"/>
  <c r="T743" i="2" s="1"/>
  <c r="T773" i="2" s="1"/>
  <c r="T803" i="2" s="1"/>
  <c r="T833" i="2" s="1"/>
  <c r="T863" i="2" s="1"/>
  <c r="T893" i="2" s="1"/>
  <c r="T923" i="2" s="1"/>
  <c r="T953" i="2" s="1"/>
  <c r="T983" i="2" s="1"/>
  <c r="T1013" i="2" s="1"/>
  <c r="T1043" i="2" s="1"/>
  <c r="T1073" i="2" s="1"/>
  <c r="T1103" i="2" s="1"/>
  <c r="T1133" i="2" s="1"/>
  <c r="T1163" i="2" s="1"/>
  <c r="T1193" i="2" s="1"/>
  <c r="T1223" i="2" s="1"/>
  <c r="T1253" i="2" s="1"/>
  <c r="T1283" i="2" s="1"/>
  <c r="T1313" i="2" s="1"/>
  <c r="T1343" i="2" s="1"/>
  <c r="T1373" i="2" s="1"/>
  <c r="T1403" i="2" s="1"/>
  <c r="T1433" i="2" s="1"/>
  <c r="T1463" i="2" s="1"/>
  <c r="T1493" i="2" s="1"/>
  <c r="T1523" i="2" s="1"/>
  <c r="T1553" i="2" s="1"/>
  <c r="T1583" i="2" s="1"/>
  <c r="T1613" i="2" s="1"/>
  <c r="T1643" i="2" s="1"/>
  <c r="T1673" i="2" s="1"/>
  <c r="T1703" i="2" s="1"/>
  <c r="T1733" i="2" s="1"/>
  <c r="T1763" i="2" s="1"/>
  <c r="T1793" i="2" s="1"/>
  <c r="T1823" i="2" s="1"/>
  <c r="T1853" i="2" s="1"/>
  <c r="T1883" i="2" s="1"/>
  <c r="T1913" i="2" s="1"/>
  <c r="T1943" i="2" s="1"/>
  <c r="T1973" i="2" s="1"/>
  <c r="T2003" i="2" s="1"/>
  <c r="T2033" i="2" s="1"/>
  <c r="T2063" i="2" s="1"/>
  <c r="T2093" i="2" s="1"/>
  <c r="T2123" i="2" s="1"/>
  <c r="T2153" i="2" s="1"/>
  <c r="T2183" i="2" s="1"/>
  <c r="T2213" i="2" s="1"/>
  <c r="T2243" i="2" s="1"/>
  <c r="T2273" i="2" s="1"/>
  <c r="T2303" i="2" s="1"/>
  <c r="T2333" i="2" s="1"/>
  <c r="T2363" i="2" s="1"/>
  <c r="T2393" i="2" s="1"/>
  <c r="T24" i="2"/>
  <c r="T54" i="2" s="1"/>
  <c r="T84" i="2" s="1"/>
  <c r="T114" i="2" s="1"/>
  <c r="T144" i="2" s="1"/>
  <c r="T174" i="2" s="1"/>
  <c r="T204" i="2" s="1"/>
  <c r="T234" i="2" s="1"/>
  <c r="T264" i="2" s="1"/>
  <c r="T294" i="2" s="1"/>
  <c r="T324" i="2" s="1"/>
  <c r="T354" i="2" s="1"/>
  <c r="T384" i="2" s="1"/>
  <c r="T414" i="2" s="1"/>
  <c r="T444" i="2" s="1"/>
  <c r="T474" i="2" s="1"/>
  <c r="T504" i="2" s="1"/>
  <c r="T534" i="2" s="1"/>
  <c r="T564" i="2" s="1"/>
  <c r="T594" i="2" s="1"/>
  <c r="T624" i="2" s="1"/>
  <c r="T654" i="2" s="1"/>
  <c r="T684" i="2" s="1"/>
  <c r="T714" i="2" s="1"/>
  <c r="T744" i="2" s="1"/>
  <c r="T774" i="2" s="1"/>
  <c r="T804" i="2" s="1"/>
  <c r="T834" i="2" s="1"/>
  <c r="T864" i="2" s="1"/>
  <c r="T894" i="2" s="1"/>
  <c r="T924" i="2" s="1"/>
  <c r="T954" i="2" s="1"/>
  <c r="T984" i="2" s="1"/>
  <c r="T1014" i="2" s="1"/>
  <c r="T1044" i="2" s="1"/>
  <c r="T1074" i="2" s="1"/>
  <c r="T1104" i="2" s="1"/>
  <c r="T1134" i="2" s="1"/>
  <c r="T1164" i="2" s="1"/>
  <c r="T1194" i="2" s="1"/>
  <c r="T1224" i="2" s="1"/>
  <c r="T1254" i="2" s="1"/>
  <c r="T1284" i="2" s="1"/>
  <c r="T1314" i="2" s="1"/>
  <c r="T1344" i="2" s="1"/>
  <c r="T1374" i="2" s="1"/>
  <c r="T1404" i="2" s="1"/>
  <c r="T1434" i="2" s="1"/>
  <c r="T1464" i="2" s="1"/>
  <c r="T1494" i="2" s="1"/>
  <c r="T1524" i="2" s="1"/>
  <c r="T1554" i="2" s="1"/>
  <c r="T1584" i="2" s="1"/>
  <c r="T1614" i="2" s="1"/>
  <c r="T1644" i="2" s="1"/>
  <c r="T1674" i="2" s="1"/>
  <c r="T1704" i="2" s="1"/>
  <c r="T1734" i="2" s="1"/>
  <c r="T1764" i="2" s="1"/>
  <c r="T1794" i="2" s="1"/>
  <c r="T1824" i="2" s="1"/>
  <c r="T1854" i="2" s="1"/>
  <c r="T1884" i="2" s="1"/>
  <c r="T1914" i="2" s="1"/>
  <c r="T1944" i="2" s="1"/>
  <c r="T1974" i="2" s="1"/>
  <c r="T2004" i="2" s="1"/>
  <c r="T2034" i="2" s="1"/>
  <c r="T2064" i="2" s="1"/>
  <c r="T2094" i="2" s="1"/>
  <c r="T2124" i="2" s="1"/>
  <c r="T2154" i="2" s="1"/>
  <c r="T2184" i="2" s="1"/>
  <c r="T2214" i="2" s="1"/>
  <c r="T2244" i="2" s="1"/>
  <c r="T2274" i="2" s="1"/>
  <c r="T2304" i="2" s="1"/>
  <c r="T2334" i="2" s="1"/>
  <c r="T2364" i="2" s="1"/>
  <c r="T2394" i="2" s="1"/>
  <c r="T25" i="2"/>
  <c r="T55" i="2" s="1"/>
  <c r="T85" i="2" s="1"/>
  <c r="T115" i="2" s="1"/>
  <c r="T145" i="2" s="1"/>
  <c r="T175" i="2" s="1"/>
  <c r="T205" i="2" s="1"/>
  <c r="T235" i="2" s="1"/>
  <c r="T265" i="2" s="1"/>
  <c r="T295" i="2" s="1"/>
  <c r="T325" i="2" s="1"/>
  <c r="T355" i="2" s="1"/>
  <c r="T385" i="2" s="1"/>
  <c r="T415" i="2" s="1"/>
  <c r="T445" i="2" s="1"/>
  <c r="T475" i="2" s="1"/>
  <c r="T505" i="2" s="1"/>
  <c r="T535" i="2" s="1"/>
  <c r="T565" i="2" s="1"/>
  <c r="T595" i="2" s="1"/>
  <c r="T625" i="2" s="1"/>
  <c r="T655" i="2" s="1"/>
  <c r="T685" i="2" s="1"/>
  <c r="T715" i="2" s="1"/>
  <c r="T745" i="2" s="1"/>
  <c r="T775" i="2" s="1"/>
  <c r="T805" i="2" s="1"/>
  <c r="T835" i="2" s="1"/>
  <c r="T865" i="2" s="1"/>
  <c r="T895" i="2" s="1"/>
  <c r="T925" i="2" s="1"/>
  <c r="T955" i="2" s="1"/>
  <c r="T985" i="2" s="1"/>
  <c r="T1015" i="2" s="1"/>
  <c r="T1045" i="2" s="1"/>
  <c r="T1075" i="2" s="1"/>
  <c r="T1105" i="2" s="1"/>
  <c r="T1135" i="2" s="1"/>
  <c r="T1165" i="2" s="1"/>
  <c r="T1195" i="2" s="1"/>
  <c r="T1225" i="2" s="1"/>
  <c r="T1255" i="2" s="1"/>
  <c r="T1285" i="2" s="1"/>
  <c r="T1315" i="2" s="1"/>
  <c r="T1345" i="2" s="1"/>
  <c r="T1375" i="2" s="1"/>
  <c r="T1405" i="2" s="1"/>
  <c r="T1435" i="2" s="1"/>
  <c r="T1465" i="2" s="1"/>
  <c r="T1495" i="2" s="1"/>
  <c r="T1525" i="2" s="1"/>
  <c r="T1555" i="2" s="1"/>
  <c r="T1585" i="2" s="1"/>
  <c r="T1615" i="2" s="1"/>
  <c r="T1645" i="2" s="1"/>
  <c r="T1675" i="2" s="1"/>
  <c r="T1705" i="2" s="1"/>
  <c r="T1735" i="2" s="1"/>
  <c r="T1765" i="2" s="1"/>
  <c r="T1795" i="2" s="1"/>
  <c r="T1825" i="2" s="1"/>
  <c r="T1855" i="2" s="1"/>
  <c r="T1885" i="2" s="1"/>
  <c r="T1915" i="2" s="1"/>
  <c r="T1945" i="2" s="1"/>
  <c r="T1975" i="2" s="1"/>
  <c r="T2005" i="2" s="1"/>
  <c r="T2035" i="2" s="1"/>
  <c r="T2065" i="2" s="1"/>
  <c r="T2095" i="2" s="1"/>
  <c r="T2125" i="2" s="1"/>
  <c r="T2155" i="2" s="1"/>
  <c r="T2185" i="2" s="1"/>
  <c r="T2215" i="2" s="1"/>
  <c r="T2245" i="2" s="1"/>
  <c r="T2275" i="2" s="1"/>
  <c r="T2305" i="2" s="1"/>
  <c r="T2335" i="2" s="1"/>
  <c r="T2365" i="2" s="1"/>
  <c r="T2395" i="2" s="1"/>
  <c r="T26" i="2"/>
  <c r="T56" i="2" s="1"/>
  <c r="T86" i="2" s="1"/>
  <c r="T116" i="2" s="1"/>
  <c r="T146" i="2" s="1"/>
  <c r="T176" i="2" s="1"/>
  <c r="T206" i="2" s="1"/>
  <c r="T236" i="2" s="1"/>
  <c r="T266" i="2" s="1"/>
  <c r="T296" i="2" s="1"/>
  <c r="T326" i="2" s="1"/>
  <c r="T356" i="2" s="1"/>
  <c r="T386" i="2" s="1"/>
  <c r="T416" i="2" s="1"/>
  <c r="T446" i="2" s="1"/>
  <c r="T476" i="2" s="1"/>
  <c r="T506" i="2" s="1"/>
  <c r="T536" i="2" s="1"/>
  <c r="T566" i="2" s="1"/>
  <c r="T596" i="2" s="1"/>
  <c r="T626" i="2" s="1"/>
  <c r="T656" i="2" s="1"/>
  <c r="T686" i="2" s="1"/>
  <c r="T716" i="2" s="1"/>
  <c r="T746" i="2" s="1"/>
  <c r="T776" i="2" s="1"/>
  <c r="T806" i="2" s="1"/>
  <c r="T836" i="2" s="1"/>
  <c r="T866" i="2" s="1"/>
  <c r="T896" i="2" s="1"/>
  <c r="T926" i="2" s="1"/>
  <c r="T956" i="2" s="1"/>
  <c r="T986" i="2" s="1"/>
  <c r="T1016" i="2" s="1"/>
  <c r="T1046" i="2" s="1"/>
  <c r="T1076" i="2" s="1"/>
  <c r="T1106" i="2" s="1"/>
  <c r="T1136" i="2" s="1"/>
  <c r="T1166" i="2" s="1"/>
  <c r="T1196" i="2" s="1"/>
  <c r="T1226" i="2" s="1"/>
  <c r="T1256" i="2" s="1"/>
  <c r="T1286" i="2" s="1"/>
  <c r="T1316" i="2" s="1"/>
  <c r="T1346" i="2" s="1"/>
  <c r="T1376" i="2" s="1"/>
  <c r="T1406" i="2" s="1"/>
  <c r="T1436" i="2" s="1"/>
  <c r="T1466" i="2" s="1"/>
  <c r="T1496" i="2" s="1"/>
  <c r="T1526" i="2" s="1"/>
  <c r="T1556" i="2" s="1"/>
  <c r="T1586" i="2" s="1"/>
  <c r="T1616" i="2" s="1"/>
  <c r="T1646" i="2" s="1"/>
  <c r="T1676" i="2" s="1"/>
  <c r="T1706" i="2" s="1"/>
  <c r="T1736" i="2" s="1"/>
  <c r="T1766" i="2" s="1"/>
  <c r="T1796" i="2" s="1"/>
  <c r="T1826" i="2" s="1"/>
  <c r="T1856" i="2" s="1"/>
  <c r="T1886" i="2" s="1"/>
  <c r="T1916" i="2" s="1"/>
  <c r="T1946" i="2" s="1"/>
  <c r="T1976" i="2" s="1"/>
  <c r="T2006" i="2" s="1"/>
  <c r="T2036" i="2" s="1"/>
  <c r="T2066" i="2" s="1"/>
  <c r="T2096" i="2" s="1"/>
  <c r="T2126" i="2" s="1"/>
  <c r="T2156" i="2" s="1"/>
  <c r="T2186" i="2" s="1"/>
  <c r="T2216" i="2" s="1"/>
  <c r="T2246" i="2" s="1"/>
  <c r="T2276" i="2" s="1"/>
  <c r="T2306" i="2" s="1"/>
  <c r="T2336" i="2" s="1"/>
  <c r="T2366" i="2" s="1"/>
  <c r="T2396" i="2" s="1"/>
  <c r="T27" i="2"/>
  <c r="T57" i="2" s="1"/>
  <c r="T87" i="2" s="1"/>
  <c r="T117" i="2" s="1"/>
  <c r="T147" i="2" s="1"/>
  <c r="T177" i="2" s="1"/>
  <c r="T207" i="2" s="1"/>
  <c r="T237" i="2" s="1"/>
  <c r="T267" i="2" s="1"/>
  <c r="T297" i="2" s="1"/>
  <c r="T327" i="2" s="1"/>
  <c r="T357" i="2" s="1"/>
  <c r="T387" i="2" s="1"/>
  <c r="T417" i="2" s="1"/>
  <c r="T447" i="2" s="1"/>
  <c r="T477" i="2" s="1"/>
  <c r="T507" i="2" s="1"/>
  <c r="T537" i="2" s="1"/>
  <c r="T567" i="2" s="1"/>
  <c r="T597" i="2" s="1"/>
  <c r="T627" i="2" s="1"/>
  <c r="T657" i="2" s="1"/>
  <c r="T687" i="2" s="1"/>
  <c r="T717" i="2" s="1"/>
  <c r="T747" i="2" s="1"/>
  <c r="T777" i="2" s="1"/>
  <c r="T807" i="2" s="1"/>
  <c r="T837" i="2" s="1"/>
  <c r="T867" i="2" s="1"/>
  <c r="T897" i="2" s="1"/>
  <c r="T927" i="2" s="1"/>
  <c r="T957" i="2" s="1"/>
  <c r="T987" i="2" s="1"/>
  <c r="T1017" i="2" s="1"/>
  <c r="T1047" i="2" s="1"/>
  <c r="T1077" i="2" s="1"/>
  <c r="T1107" i="2" s="1"/>
  <c r="T1137" i="2" s="1"/>
  <c r="T1167" i="2" s="1"/>
  <c r="T1197" i="2" s="1"/>
  <c r="T1227" i="2" s="1"/>
  <c r="T1257" i="2" s="1"/>
  <c r="T1287" i="2" s="1"/>
  <c r="T1317" i="2" s="1"/>
  <c r="T1347" i="2" s="1"/>
  <c r="T1377" i="2" s="1"/>
  <c r="T1407" i="2" s="1"/>
  <c r="T1437" i="2" s="1"/>
  <c r="T1467" i="2" s="1"/>
  <c r="T1497" i="2" s="1"/>
  <c r="T1527" i="2" s="1"/>
  <c r="T1557" i="2" s="1"/>
  <c r="T1587" i="2" s="1"/>
  <c r="T1617" i="2" s="1"/>
  <c r="T1647" i="2" s="1"/>
  <c r="T1677" i="2" s="1"/>
  <c r="T1707" i="2" s="1"/>
  <c r="T1737" i="2" s="1"/>
  <c r="T1767" i="2" s="1"/>
  <c r="T1797" i="2" s="1"/>
  <c r="T1827" i="2" s="1"/>
  <c r="T1857" i="2" s="1"/>
  <c r="T1887" i="2" s="1"/>
  <c r="T1917" i="2" s="1"/>
  <c r="T1947" i="2" s="1"/>
  <c r="T1977" i="2" s="1"/>
  <c r="T2007" i="2" s="1"/>
  <c r="T2037" i="2" s="1"/>
  <c r="T2067" i="2" s="1"/>
  <c r="T2097" i="2" s="1"/>
  <c r="T2127" i="2" s="1"/>
  <c r="T2157" i="2" s="1"/>
  <c r="T2187" i="2" s="1"/>
  <c r="T2217" i="2" s="1"/>
  <c r="T2247" i="2" s="1"/>
  <c r="T2277" i="2" s="1"/>
  <c r="T2307" i="2" s="1"/>
  <c r="T2337" i="2" s="1"/>
  <c r="T2367" i="2" s="1"/>
  <c r="T2397" i="2" s="1"/>
  <c r="T28" i="2"/>
  <c r="T58" i="2" s="1"/>
  <c r="T88" i="2" s="1"/>
  <c r="T118" i="2" s="1"/>
  <c r="T148" i="2" s="1"/>
  <c r="T178" i="2" s="1"/>
  <c r="T208" i="2" s="1"/>
  <c r="T238" i="2" s="1"/>
  <c r="T268" i="2" s="1"/>
  <c r="T298" i="2" s="1"/>
  <c r="T328" i="2" s="1"/>
  <c r="T358" i="2" s="1"/>
  <c r="T388" i="2" s="1"/>
  <c r="T418" i="2" s="1"/>
  <c r="T448" i="2" s="1"/>
  <c r="T478" i="2" s="1"/>
  <c r="T508" i="2" s="1"/>
  <c r="T538" i="2" s="1"/>
  <c r="T568" i="2" s="1"/>
  <c r="T598" i="2" s="1"/>
  <c r="T628" i="2" s="1"/>
  <c r="T658" i="2" s="1"/>
  <c r="T688" i="2" s="1"/>
  <c r="T718" i="2" s="1"/>
  <c r="T748" i="2" s="1"/>
  <c r="T778" i="2" s="1"/>
  <c r="T808" i="2" s="1"/>
  <c r="T838" i="2" s="1"/>
  <c r="T868" i="2" s="1"/>
  <c r="T898" i="2" s="1"/>
  <c r="T928" i="2" s="1"/>
  <c r="T958" i="2" s="1"/>
  <c r="T988" i="2" s="1"/>
  <c r="T1018" i="2" s="1"/>
  <c r="T1048" i="2" s="1"/>
  <c r="T1078" i="2" s="1"/>
  <c r="T1108" i="2" s="1"/>
  <c r="T1138" i="2" s="1"/>
  <c r="T1168" i="2" s="1"/>
  <c r="T1198" i="2" s="1"/>
  <c r="T1228" i="2" s="1"/>
  <c r="T1258" i="2" s="1"/>
  <c r="T1288" i="2" s="1"/>
  <c r="T1318" i="2" s="1"/>
  <c r="T1348" i="2" s="1"/>
  <c r="T1378" i="2" s="1"/>
  <c r="T1408" i="2" s="1"/>
  <c r="T1438" i="2" s="1"/>
  <c r="T1468" i="2" s="1"/>
  <c r="T1498" i="2" s="1"/>
  <c r="T1528" i="2" s="1"/>
  <c r="T1558" i="2" s="1"/>
  <c r="T1588" i="2" s="1"/>
  <c r="T1618" i="2" s="1"/>
  <c r="T1648" i="2" s="1"/>
  <c r="T1678" i="2" s="1"/>
  <c r="T1708" i="2" s="1"/>
  <c r="T1738" i="2" s="1"/>
  <c r="T1768" i="2" s="1"/>
  <c r="T1798" i="2" s="1"/>
  <c r="T1828" i="2" s="1"/>
  <c r="T1858" i="2" s="1"/>
  <c r="T1888" i="2" s="1"/>
  <c r="T1918" i="2" s="1"/>
  <c r="T1948" i="2" s="1"/>
  <c r="T1978" i="2" s="1"/>
  <c r="T2008" i="2" s="1"/>
  <c r="T2038" i="2" s="1"/>
  <c r="T2068" i="2" s="1"/>
  <c r="T2098" i="2" s="1"/>
  <c r="T2128" i="2" s="1"/>
  <c r="T2158" i="2" s="1"/>
  <c r="T2188" i="2" s="1"/>
  <c r="T2218" i="2" s="1"/>
  <c r="T2248" i="2" s="1"/>
  <c r="T2278" i="2" s="1"/>
  <c r="T2308" i="2" s="1"/>
  <c r="T2338" i="2" s="1"/>
  <c r="T2368" i="2" s="1"/>
  <c r="T2398" i="2" s="1"/>
  <c r="T29" i="2"/>
  <c r="T59" i="2" s="1"/>
  <c r="T89" i="2" s="1"/>
  <c r="T119" i="2" s="1"/>
  <c r="T149" i="2" s="1"/>
  <c r="T179" i="2" s="1"/>
  <c r="T209" i="2" s="1"/>
  <c r="T239" i="2" s="1"/>
  <c r="T269" i="2" s="1"/>
  <c r="T299" i="2" s="1"/>
  <c r="T329" i="2" s="1"/>
  <c r="T359" i="2" s="1"/>
  <c r="T389" i="2" s="1"/>
  <c r="T419" i="2" s="1"/>
  <c r="T449" i="2" s="1"/>
  <c r="T479" i="2" s="1"/>
  <c r="T509" i="2" s="1"/>
  <c r="T539" i="2" s="1"/>
  <c r="T569" i="2" s="1"/>
  <c r="T599" i="2" s="1"/>
  <c r="T629" i="2" s="1"/>
  <c r="T659" i="2" s="1"/>
  <c r="T689" i="2" s="1"/>
  <c r="T719" i="2" s="1"/>
  <c r="T749" i="2" s="1"/>
  <c r="T779" i="2" s="1"/>
  <c r="T809" i="2" s="1"/>
  <c r="T839" i="2" s="1"/>
  <c r="T869" i="2" s="1"/>
  <c r="T899" i="2" s="1"/>
  <c r="T929" i="2" s="1"/>
  <c r="T959" i="2" s="1"/>
  <c r="T989" i="2" s="1"/>
  <c r="T1019" i="2" s="1"/>
  <c r="T1049" i="2" s="1"/>
  <c r="T1079" i="2" s="1"/>
  <c r="T1109" i="2" s="1"/>
  <c r="T1139" i="2" s="1"/>
  <c r="T1169" i="2" s="1"/>
  <c r="T1199" i="2" s="1"/>
  <c r="T1229" i="2" s="1"/>
  <c r="T1259" i="2" s="1"/>
  <c r="T1289" i="2" s="1"/>
  <c r="T1319" i="2" s="1"/>
  <c r="T1349" i="2" s="1"/>
  <c r="T1379" i="2" s="1"/>
  <c r="T1409" i="2" s="1"/>
  <c r="T1439" i="2" s="1"/>
  <c r="T1469" i="2" s="1"/>
  <c r="T1499" i="2" s="1"/>
  <c r="T1529" i="2" s="1"/>
  <c r="T1559" i="2" s="1"/>
  <c r="T1589" i="2" s="1"/>
  <c r="T1619" i="2" s="1"/>
  <c r="T1649" i="2" s="1"/>
  <c r="T1679" i="2" s="1"/>
  <c r="T1709" i="2" s="1"/>
  <c r="T1739" i="2" s="1"/>
  <c r="T1769" i="2" s="1"/>
  <c r="T1799" i="2" s="1"/>
  <c r="T1829" i="2" s="1"/>
  <c r="T1859" i="2" s="1"/>
  <c r="T1889" i="2" s="1"/>
  <c r="T1919" i="2" s="1"/>
  <c r="T1949" i="2" s="1"/>
  <c r="T1979" i="2" s="1"/>
  <c r="T2009" i="2" s="1"/>
  <c r="T2039" i="2" s="1"/>
  <c r="T2069" i="2" s="1"/>
  <c r="T2099" i="2" s="1"/>
  <c r="T2129" i="2" s="1"/>
  <c r="T2159" i="2" s="1"/>
  <c r="T2189" i="2" s="1"/>
  <c r="T2219" i="2" s="1"/>
  <c r="T2249" i="2" s="1"/>
  <c r="T2279" i="2" s="1"/>
  <c r="T2309" i="2" s="1"/>
  <c r="T2339" i="2" s="1"/>
  <c r="T2369" i="2" s="1"/>
  <c r="T2399" i="2" s="1"/>
  <c r="T30" i="2"/>
  <c r="T60" i="2" s="1"/>
  <c r="T90" i="2" s="1"/>
  <c r="T120" i="2" s="1"/>
  <c r="T150" i="2" s="1"/>
  <c r="T180" i="2" s="1"/>
  <c r="T210" i="2" s="1"/>
  <c r="T240" i="2" s="1"/>
  <c r="T270" i="2" s="1"/>
  <c r="T300" i="2" s="1"/>
  <c r="T330" i="2" s="1"/>
  <c r="T360" i="2" s="1"/>
  <c r="T390" i="2" s="1"/>
  <c r="T420" i="2" s="1"/>
  <c r="T450" i="2" s="1"/>
  <c r="T480" i="2" s="1"/>
  <c r="T510" i="2" s="1"/>
  <c r="T540" i="2" s="1"/>
  <c r="T570" i="2" s="1"/>
  <c r="T600" i="2" s="1"/>
  <c r="T630" i="2" s="1"/>
  <c r="T660" i="2" s="1"/>
  <c r="T690" i="2" s="1"/>
  <c r="T720" i="2" s="1"/>
  <c r="T750" i="2" s="1"/>
  <c r="T780" i="2" s="1"/>
  <c r="T810" i="2" s="1"/>
  <c r="T840" i="2" s="1"/>
  <c r="T870" i="2" s="1"/>
  <c r="T900" i="2" s="1"/>
  <c r="T930" i="2" s="1"/>
  <c r="T960" i="2" s="1"/>
  <c r="T990" i="2" s="1"/>
  <c r="T1020" i="2" s="1"/>
  <c r="T1050" i="2" s="1"/>
  <c r="T1080" i="2" s="1"/>
  <c r="T1110" i="2" s="1"/>
  <c r="T1140" i="2" s="1"/>
  <c r="T1170" i="2" s="1"/>
  <c r="T1200" i="2" s="1"/>
  <c r="T1230" i="2" s="1"/>
  <c r="T1260" i="2" s="1"/>
  <c r="T1290" i="2" s="1"/>
  <c r="T1320" i="2" s="1"/>
  <c r="T1350" i="2" s="1"/>
  <c r="T1380" i="2" s="1"/>
  <c r="T1410" i="2" s="1"/>
  <c r="T1440" i="2" s="1"/>
  <c r="T1470" i="2" s="1"/>
  <c r="T1500" i="2" s="1"/>
  <c r="T1530" i="2" s="1"/>
  <c r="T1560" i="2" s="1"/>
  <c r="T1590" i="2" s="1"/>
  <c r="T1620" i="2" s="1"/>
  <c r="T1650" i="2" s="1"/>
  <c r="T1680" i="2" s="1"/>
  <c r="T1710" i="2" s="1"/>
  <c r="T1740" i="2" s="1"/>
  <c r="T1770" i="2" s="1"/>
  <c r="T1800" i="2" s="1"/>
  <c r="T1830" i="2" s="1"/>
  <c r="T1860" i="2" s="1"/>
  <c r="T1890" i="2" s="1"/>
  <c r="T1920" i="2" s="1"/>
  <c r="T1950" i="2" s="1"/>
  <c r="T1980" i="2" s="1"/>
  <c r="T2010" i="2" s="1"/>
  <c r="T2040" i="2" s="1"/>
  <c r="T2070" i="2" s="1"/>
  <c r="T2100" i="2" s="1"/>
  <c r="T2130" i="2" s="1"/>
  <c r="T2160" i="2" s="1"/>
  <c r="T2190" i="2" s="1"/>
  <c r="T2220" i="2" s="1"/>
  <c r="T2250" i="2" s="1"/>
  <c r="T2280" i="2" s="1"/>
  <c r="T2310" i="2" s="1"/>
  <c r="T2340" i="2" s="1"/>
  <c r="T2370" i="2" s="1"/>
  <c r="T2400" i="2" s="1"/>
  <c r="T31" i="2"/>
  <c r="T61" i="2" s="1"/>
  <c r="T91" i="2" s="1"/>
  <c r="T121" i="2" s="1"/>
  <c r="T151" i="2" s="1"/>
  <c r="T181" i="2" s="1"/>
  <c r="T211" i="2" s="1"/>
  <c r="T241" i="2" s="1"/>
  <c r="T271" i="2" s="1"/>
  <c r="T301" i="2" s="1"/>
  <c r="T331" i="2" s="1"/>
  <c r="T361" i="2" s="1"/>
  <c r="T391" i="2" s="1"/>
  <c r="T421" i="2" s="1"/>
  <c r="T451" i="2" s="1"/>
  <c r="T481" i="2" s="1"/>
  <c r="T511" i="2" s="1"/>
  <c r="T541" i="2" s="1"/>
  <c r="T571" i="2" s="1"/>
  <c r="T601" i="2" s="1"/>
  <c r="T631" i="2" s="1"/>
  <c r="T661" i="2" s="1"/>
  <c r="T691" i="2" s="1"/>
  <c r="T721" i="2" s="1"/>
  <c r="T751" i="2" s="1"/>
  <c r="T781" i="2" s="1"/>
  <c r="T811" i="2" s="1"/>
  <c r="T841" i="2" s="1"/>
  <c r="T871" i="2" s="1"/>
  <c r="T901" i="2" s="1"/>
  <c r="T931" i="2" s="1"/>
  <c r="T961" i="2" s="1"/>
  <c r="T991" i="2" s="1"/>
  <c r="T1021" i="2" s="1"/>
  <c r="T1051" i="2" s="1"/>
  <c r="T1081" i="2" s="1"/>
  <c r="T1111" i="2" s="1"/>
  <c r="T1141" i="2" s="1"/>
  <c r="T1171" i="2" s="1"/>
  <c r="T1201" i="2" s="1"/>
  <c r="T1231" i="2" s="1"/>
  <c r="T1261" i="2" s="1"/>
  <c r="T1291" i="2" s="1"/>
  <c r="T1321" i="2" s="1"/>
  <c r="T1351" i="2" s="1"/>
  <c r="T1381" i="2" s="1"/>
  <c r="T1411" i="2" s="1"/>
  <c r="T1441" i="2" s="1"/>
  <c r="T1471" i="2" s="1"/>
  <c r="T1501" i="2" s="1"/>
  <c r="T1531" i="2" s="1"/>
  <c r="T1561" i="2" s="1"/>
  <c r="T1591" i="2" s="1"/>
  <c r="T1621" i="2" s="1"/>
  <c r="T1651" i="2" s="1"/>
  <c r="T1681" i="2" s="1"/>
  <c r="T1711" i="2" s="1"/>
  <c r="T1741" i="2" s="1"/>
  <c r="T1771" i="2" s="1"/>
  <c r="T1801" i="2" s="1"/>
  <c r="T1831" i="2" s="1"/>
  <c r="T1861" i="2" s="1"/>
  <c r="T1891" i="2" s="1"/>
  <c r="T1921" i="2" s="1"/>
  <c r="T1951" i="2" s="1"/>
  <c r="T1981" i="2" s="1"/>
  <c r="T2011" i="2" s="1"/>
  <c r="T2041" i="2" s="1"/>
  <c r="T2071" i="2" s="1"/>
  <c r="T2101" i="2" s="1"/>
  <c r="T2131" i="2" s="1"/>
  <c r="T2161" i="2" s="1"/>
  <c r="T2191" i="2" s="1"/>
  <c r="T2221" i="2" s="1"/>
  <c r="T2251" i="2" s="1"/>
  <c r="T2281" i="2" s="1"/>
  <c r="T2311" i="2" s="1"/>
  <c r="T2341" i="2" s="1"/>
  <c r="T2371" i="2" s="1"/>
  <c r="T2401" i="2" s="1"/>
  <c r="T2" i="2"/>
  <c r="T32" i="2" s="1"/>
  <c r="T62" i="2" s="1"/>
  <c r="T92" i="2" s="1"/>
  <c r="T122" i="2" s="1"/>
  <c r="T152" i="2" s="1"/>
  <c r="T182" i="2" s="1"/>
  <c r="T212" i="2" s="1"/>
  <c r="T242" i="2" s="1"/>
  <c r="T272" i="2" s="1"/>
  <c r="T302" i="2" s="1"/>
  <c r="T332" i="2" s="1"/>
  <c r="T362" i="2" s="1"/>
  <c r="T392" i="2" s="1"/>
  <c r="T422" i="2" s="1"/>
  <c r="T452" i="2" s="1"/>
  <c r="T482" i="2" s="1"/>
  <c r="T512" i="2" s="1"/>
  <c r="T542" i="2" s="1"/>
  <c r="T572" i="2" s="1"/>
  <c r="T602" i="2" s="1"/>
  <c r="T632" i="2" s="1"/>
  <c r="T662" i="2" s="1"/>
  <c r="T692" i="2" s="1"/>
  <c r="T722" i="2" s="1"/>
  <c r="T752" i="2" s="1"/>
  <c r="T782" i="2" s="1"/>
  <c r="T812" i="2" s="1"/>
  <c r="T842" i="2" s="1"/>
  <c r="T872" i="2" s="1"/>
  <c r="T902" i="2" s="1"/>
  <c r="T932" i="2" s="1"/>
  <c r="T962" i="2" s="1"/>
  <c r="T992" i="2" s="1"/>
  <c r="T1022" i="2" s="1"/>
  <c r="T1052" i="2" s="1"/>
  <c r="T1082" i="2" s="1"/>
  <c r="T1112" i="2" s="1"/>
  <c r="T1142" i="2" s="1"/>
  <c r="T1172" i="2" s="1"/>
  <c r="T1202" i="2" s="1"/>
  <c r="T1232" i="2" s="1"/>
  <c r="T1262" i="2" s="1"/>
  <c r="T1292" i="2" s="1"/>
  <c r="T1322" i="2" s="1"/>
  <c r="T1352" i="2" s="1"/>
  <c r="T1382" i="2" s="1"/>
  <c r="T1412" i="2" s="1"/>
  <c r="T1442" i="2" s="1"/>
  <c r="T1472" i="2" s="1"/>
  <c r="T1502" i="2" s="1"/>
  <c r="T1532" i="2" s="1"/>
  <c r="T1562" i="2" s="1"/>
  <c r="T1592" i="2" s="1"/>
  <c r="T1622" i="2" s="1"/>
  <c r="T1652" i="2" s="1"/>
  <c r="T1682" i="2" s="1"/>
  <c r="T1712" i="2" s="1"/>
  <c r="T1742" i="2" s="1"/>
  <c r="T1772" i="2" s="1"/>
  <c r="T1802" i="2" s="1"/>
  <c r="T1832" i="2" s="1"/>
  <c r="T1862" i="2" s="1"/>
  <c r="T1892" i="2" s="1"/>
  <c r="T1922" i="2" s="1"/>
  <c r="T1952" i="2" s="1"/>
  <c r="T1982" i="2" s="1"/>
  <c r="T2012" i="2" s="1"/>
  <c r="T2042" i="2" s="1"/>
  <c r="T2072" i="2" s="1"/>
  <c r="T2102" i="2" s="1"/>
  <c r="T2132" i="2" s="1"/>
  <c r="T2162" i="2" s="1"/>
  <c r="T2192" i="2" s="1"/>
  <c r="T2222" i="2" s="1"/>
  <c r="T2252" i="2" s="1"/>
  <c r="T2282" i="2" s="1"/>
  <c r="T2312" i="2" s="1"/>
  <c r="T2342" i="2" s="1"/>
  <c r="T2372" i="2" s="1"/>
  <c r="S3" i="2"/>
  <c r="S33" i="2" s="1"/>
  <c r="S63" i="2" s="1"/>
  <c r="S93" i="2" s="1"/>
  <c r="S123" i="2" s="1"/>
  <c r="S153" i="2" s="1"/>
  <c r="S183" i="2" s="1"/>
  <c r="S213" i="2" s="1"/>
  <c r="S243" i="2" s="1"/>
  <c r="S273" i="2" s="1"/>
  <c r="S303" i="2" s="1"/>
  <c r="S333" i="2" s="1"/>
  <c r="S363" i="2" s="1"/>
  <c r="S393" i="2" s="1"/>
  <c r="S423" i="2" s="1"/>
  <c r="S453" i="2" s="1"/>
  <c r="S483" i="2" s="1"/>
  <c r="S513" i="2" s="1"/>
  <c r="S543" i="2" s="1"/>
  <c r="S573" i="2" s="1"/>
  <c r="S603" i="2" s="1"/>
  <c r="S633" i="2" s="1"/>
  <c r="S663" i="2" s="1"/>
  <c r="S693" i="2" s="1"/>
  <c r="S723" i="2" s="1"/>
  <c r="S753" i="2" s="1"/>
  <c r="S783" i="2" s="1"/>
  <c r="S813" i="2" s="1"/>
  <c r="S843" i="2" s="1"/>
  <c r="S873" i="2" s="1"/>
  <c r="S903" i="2" s="1"/>
  <c r="S933" i="2" s="1"/>
  <c r="S963" i="2" s="1"/>
  <c r="S993" i="2" s="1"/>
  <c r="S1023" i="2" s="1"/>
  <c r="S1053" i="2" s="1"/>
  <c r="S1083" i="2" s="1"/>
  <c r="S1113" i="2" s="1"/>
  <c r="S1143" i="2" s="1"/>
  <c r="S1173" i="2" s="1"/>
  <c r="S1203" i="2" s="1"/>
  <c r="S1233" i="2" s="1"/>
  <c r="S1263" i="2" s="1"/>
  <c r="S1293" i="2" s="1"/>
  <c r="S1323" i="2" s="1"/>
  <c r="S1353" i="2" s="1"/>
  <c r="S1383" i="2" s="1"/>
  <c r="S1413" i="2" s="1"/>
  <c r="S1443" i="2" s="1"/>
  <c r="S1473" i="2" s="1"/>
  <c r="S1503" i="2" s="1"/>
  <c r="S1533" i="2" s="1"/>
  <c r="S1563" i="2" s="1"/>
  <c r="S1593" i="2" s="1"/>
  <c r="S1623" i="2" s="1"/>
  <c r="S1653" i="2" s="1"/>
  <c r="S1683" i="2" s="1"/>
  <c r="S1713" i="2" s="1"/>
  <c r="S1743" i="2" s="1"/>
  <c r="S1773" i="2" s="1"/>
  <c r="S1803" i="2" s="1"/>
  <c r="S1833" i="2" s="1"/>
  <c r="S1863" i="2" s="1"/>
  <c r="S1893" i="2" s="1"/>
  <c r="S1923" i="2" s="1"/>
  <c r="S1953" i="2" s="1"/>
  <c r="S1983" i="2" s="1"/>
  <c r="S2013" i="2" s="1"/>
  <c r="S2043" i="2" s="1"/>
  <c r="S2073" i="2" s="1"/>
  <c r="S2103" i="2" s="1"/>
  <c r="S2133" i="2" s="1"/>
  <c r="S2163" i="2" s="1"/>
  <c r="S2193" i="2" s="1"/>
  <c r="S2223" i="2" s="1"/>
  <c r="S2253" i="2" s="1"/>
  <c r="S2283" i="2" s="1"/>
  <c r="S2313" i="2" s="1"/>
  <c r="S2343" i="2" s="1"/>
  <c r="S2373" i="2" s="1"/>
  <c r="S4" i="2"/>
  <c r="S34" i="2" s="1"/>
  <c r="S64" i="2" s="1"/>
  <c r="S94" i="2" s="1"/>
  <c r="S124" i="2" s="1"/>
  <c r="S154" i="2" s="1"/>
  <c r="S184" i="2" s="1"/>
  <c r="S214" i="2" s="1"/>
  <c r="S244" i="2" s="1"/>
  <c r="S274" i="2" s="1"/>
  <c r="S304" i="2" s="1"/>
  <c r="S334" i="2" s="1"/>
  <c r="S364" i="2" s="1"/>
  <c r="S394" i="2" s="1"/>
  <c r="S424" i="2" s="1"/>
  <c r="S454" i="2" s="1"/>
  <c r="S484" i="2" s="1"/>
  <c r="S514" i="2" s="1"/>
  <c r="S544" i="2" s="1"/>
  <c r="S574" i="2" s="1"/>
  <c r="S604" i="2" s="1"/>
  <c r="S634" i="2" s="1"/>
  <c r="S664" i="2" s="1"/>
  <c r="S694" i="2" s="1"/>
  <c r="S724" i="2" s="1"/>
  <c r="S754" i="2" s="1"/>
  <c r="S784" i="2" s="1"/>
  <c r="S814" i="2" s="1"/>
  <c r="S844" i="2" s="1"/>
  <c r="S874" i="2" s="1"/>
  <c r="S904" i="2" s="1"/>
  <c r="S934" i="2" s="1"/>
  <c r="S964" i="2" s="1"/>
  <c r="S994" i="2" s="1"/>
  <c r="S1024" i="2" s="1"/>
  <c r="S1054" i="2" s="1"/>
  <c r="S1084" i="2" s="1"/>
  <c r="S1114" i="2" s="1"/>
  <c r="S1144" i="2" s="1"/>
  <c r="S1174" i="2" s="1"/>
  <c r="S1204" i="2" s="1"/>
  <c r="S1234" i="2" s="1"/>
  <c r="S1264" i="2" s="1"/>
  <c r="S1294" i="2" s="1"/>
  <c r="S1324" i="2" s="1"/>
  <c r="S1354" i="2" s="1"/>
  <c r="S1384" i="2" s="1"/>
  <c r="S1414" i="2" s="1"/>
  <c r="S1444" i="2" s="1"/>
  <c r="S1474" i="2" s="1"/>
  <c r="S1504" i="2" s="1"/>
  <c r="S1534" i="2" s="1"/>
  <c r="S1564" i="2" s="1"/>
  <c r="S1594" i="2" s="1"/>
  <c r="S1624" i="2" s="1"/>
  <c r="S1654" i="2" s="1"/>
  <c r="S1684" i="2" s="1"/>
  <c r="S1714" i="2" s="1"/>
  <c r="S1744" i="2" s="1"/>
  <c r="S1774" i="2" s="1"/>
  <c r="S1804" i="2" s="1"/>
  <c r="S1834" i="2" s="1"/>
  <c r="S1864" i="2" s="1"/>
  <c r="S1894" i="2" s="1"/>
  <c r="S1924" i="2" s="1"/>
  <c r="S1954" i="2" s="1"/>
  <c r="S1984" i="2" s="1"/>
  <c r="S2014" i="2" s="1"/>
  <c r="S2044" i="2" s="1"/>
  <c r="S2074" i="2" s="1"/>
  <c r="S2104" i="2" s="1"/>
  <c r="S2134" i="2" s="1"/>
  <c r="S2164" i="2" s="1"/>
  <c r="S2194" i="2" s="1"/>
  <c r="S2224" i="2" s="1"/>
  <c r="S2254" i="2" s="1"/>
  <c r="S2284" i="2" s="1"/>
  <c r="S2314" i="2" s="1"/>
  <c r="S2344" i="2" s="1"/>
  <c r="S2374" i="2" s="1"/>
  <c r="S5" i="2"/>
  <c r="S35" i="2" s="1"/>
  <c r="S65" i="2" s="1"/>
  <c r="S95" i="2" s="1"/>
  <c r="S125" i="2" s="1"/>
  <c r="S155" i="2" s="1"/>
  <c r="S185" i="2" s="1"/>
  <c r="S215" i="2" s="1"/>
  <c r="S245" i="2" s="1"/>
  <c r="S275" i="2" s="1"/>
  <c r="S305" i="2" s="1"/>
  <c r="S335" i="2" s="1"/>
  <c r="S365" i="2" s="1"/>
  <c r="S395" i="2" s="1"/>
  <c r="S425" i="2" s="1"/>
  <c r="S455" i="2" s="1"/>
  <c r="S485" i="2" s="1"/>
  <c r="S515" i="2" s="1"/>
  <c r="S545" i="2" s="1"/>
  <c r="S575" i="2" s="1"/>
  <c r="S605" i="2" s="1"/>
  <c r="S635" i="2" s="1"/>
  <c r="S665" i="2" s="1"/>
  <c r="S695" i="2" s="1"/>
  <c r="S725" i="2" s="1"/>
  <c r="S755" i="2" s="1"/>
  <c r="S785" i="2" s="1"/>
  <c r="S815" i="2" s="1"/>
  <c r="S845" i="2" s="1"/>
  <c r="S875" i="2" s="1"/>
  <c r="S905" i="2" s="1"/>
  <c r="S935" i="2" s="1"/>
  <c r="S965" i="2" s="1"/>
  <c r="S995" i="2" s="1"/>
  <c r="S1025" i="2" s="1"/>
  <c r="S1055" i="2" s="1"/>
  <c r="S1085" i="2" s="1"/>
  <c r="S1115" i="2" s="1"/>
  <c r="S1145" i="2" s="1"/>
  <c r="S1175" i="2" s="1"/>
  <c r="S1205" i="2" s="1"/>
  <c r="S1235" i="2" s="1"/>
  <c r="S1265" i="2" s="1"/>
  <c r="S1295" i="2" s="1"/>
  <c r="S1325" i="2" s="1"/>
  <c r="S1355" i="2" s="1"/>
  <c r="S1385" i="2" s="1"/>
  <c r="S1415" i="2" s="1"/>
  <c r="S1445" i="2" s="1"/>
  <c r="S1475" i="2" s="1"/>
  <c r="S1505" i="2" s="1"/>
  <c r="S1535" i="2" s="1"/>
  <c r="S1565" i="2" s="1"/>
  <c r="S1595" i="2" s="1"/>
  <c r="S1625" i="2" s="1"/>
  <c r="S1655" i="2" s="1"/>
  <c r="S1685" i="2" s="1"/>
  <c r="S1715" i="2" s="1"/>
  <c r="S1745" i="2" s="1"/>
  <c r="S1775" i="2" s="1"/>
  <c r="S1805" i="2" s="1"/>
  <c r="S1835" i="2" s="1"/>
  <c r="S1865" i="2" s="1"/>
  <c r="S1895" i="2" s="1"/>
  <c r="S1925" i="2" s="1"/>
  <c r="S1955" i="2" s="1"/>
  <c r="S1985" i="2" s="1"/>
  <c r="S2015" i="2" s="1"/>
  <c r="S2045" i="2" s="1"/>
  <c r="S2075" i="2" s="1"/>
  <c r="S2105" i="2" s="1"/>
  <c r="S2135" i="2" s="1"/>
  <c r="S2165" i="2" s="1"/>
  <c r="S2195" i="2" s="1"/>
  <c r="S2225" i="2" s="1"/>
  <c r="S2255" i="2" s="1"/>
  <c r="S2285" i="2" s="1"/>
  <c r="S2315" i="2" s="1"/>
  <c r="S2345" i="2" s="1"/>
  <c r="S2375" i="2" s="1"/>
  <c r="S6" i="2"/>
  <c r="S36" i="2" s="1"/>
  <c r="S66" i="2" s="1"/>
  <c r="S96" i="2" s="1"/>
  <c r="S126" i="2" s="1"/>
  <c r="S156" i="2" s="1"/>
  <c r="S186" i="2" s="1"/>
  <c r="S216" i="2" s="1"/>
  <c r="S246" i="2" s="1"/>
  <c r="S276" i="2" s="1"/>
  <c r="S306" i="2" s="1"/>
  <c r="S336" i="2" s="1"/>
  <c r="S366" i="2" s="1"/>
  <c r="S396" i="2" s="1"/>
  <c r="S426" i="2" s="1"/>
  <c r="S456" i="2" s="1"/>
  <c r="S486" i="2" s="1"/>
  <c r="S516" i="2" s="1"/>
  <c r="S546" i="2" s="1"/>
  <c r="S576" i="2" s="1"/>
  <c r="S606" i="2" s="1"/>
  <c r="S636" i="2" s="1"/>
  <c r="S666" i="2" s="1"/>
  <c r="S696" i="2" s="1"/>
  <c r="S726" i="2" s="1"/>
  <c r="S756" i="2" s="1"/>
  <c r="S786" i="2" s="1"/>
  <c r="S816" i="2" s="1"/>
  <c r="S846" i="2" s="1"/>
  <c r="S876" i="2" s="1"/>
  <c r="S906" i="2" s="1"/>
  <c r="S936" i="2" s="1"/>
  <c r="S966" i="2" s="1"/>
  <c r="S996" i="2" s="1"/>
  <c r="S1026" i="2" s="1"/>
  <c r="S1056" i="2" s="1"/>
  <c r="S1086" i="2" s="1"/>
  <c r="S1116" i="2" s="1"/>
  <c r="S1146" i="2" s="1"/>
  <c r="S1176" i="2" s="1"/>
  <c r="S1206" i="2" s="1"/>
  <c r="S1236" i="2" s="1"/>
  <c r="S1266" i="2" s="1"/>
  <c r="S1296" i="2" s="1"/>
  <c r="S1326" i="2" s="1"/>
  <c r="S1356" i="2" s="1"/>
  <c r="S1386" i="2" s="1"/>
  <c r="S1416" i="2" s="1"/>
  <c r="S1446" i="2" s="1"/>
  <c r="S1476" i="2" s="1"/>
  <c r="S1506" i="2" s="1"/>
  <c r="S1536" i="2" s="1"/>
  <c r="S1566" i="2" s="1"/>
  <c r="S1596" i="2" s="1"/>
  <c r="S1626" i="2" s="1"/>
  <c r="S1656" i="2" s="1"/>
  <c r="S1686" i="2" s="1"/>
  <c r="S1716" i="2" s="1"/>
  <c r="S1746" i="2" s="1"/>
  <c r="S1776" i="2" s="1"/>
  <c r="S1806" i="2" s="1"/>
  <c r="S1836" i="2" s="1"/>
  <c r="S1866" i="2" s="1"/>
  <c r="S1896" i="2" s="1"/>
  <c r="S1926" i="2" s="1"/>
  <c r="S1956" i="2" s="1"/>
  <c r="S1986" i="2" s="1"/>
  <c r="S2016" i="2" s="1"/>
  <c r="S2046" i="2" s="1"/>
  <c r="S2076" i="2" s="1"/>
  <c r="S2106" i="2" s="1"/>
  <c r="S2136" i="2" s="1"/>
  <c r="S2166" i="2" s="1"/>
  <c r="S2196" i="2" s="1"/>
  <c r="S2226" i="2" s="1"/>
  <c r="S2256" i="2" s="1"/>
  <c r="S2286" i="2" s="1"/>
  <c r="S2316" i="2" s="1"/>
  <c r="S2346" i="2" s="1"/>
  <c r="S2376" i="2" s="1"/>
  <c r="S7" i="2"/>
  <c r="S37" i="2" s="1"/>
  <c r="S67" i="2" s="1"/>
  <c r="S97" i="2" s="1"/>
  <c r="S127" i="2" s="1"/>
  <c r="S157" i="2" s="1"/>
  <c r="S187" i="2" s="1"/>
  <c r="S217" i="2" s="1"/>
  <c r="S247" i="2" s="1"/>
  <c r="S277" i="2" s="1"/>
  <c r="S307" i="2" s="1"/>
  <c r="S337" i="2" s="1"/>
  <c r="S367" i="2" s="1"/>
  <c r="S397" i="2" s="1"/>
  <c r="S427" i="2" s="1"/>
  <c r="S457" i="2" s="1"/>
  <c r="S487" i="2" s="1"/>
  <c r="S517" i="2" s="1"/>
  <c r="S547" i="2" s="1"/>
  <c r="S577" i="2" s="1"/>
  <c r="S607" i="2" s="1"/>
  <c r="S637" i="2" s="1"/>
  <c r="S667" i="2" s="1"/>
  <c r="S697" i="2" s="1"/>
  <c r="S727" i="2" s="1"/>
  <c r="S757" i="2" s="1"/>
  <c r="S787" i="2" s="1"/>
  <c r="S817" i="2" s="1"/>
  <c r="S847" i="2" s="1"/>
  <c r="S877" i="2" s="1"/>
  <c r="S907" i="2" s="1"/>
  <c r="S937" i="2" s="1"/>
  <c r="S967" i="2" s="1"/>
  <c r="S997" i="2" s="1"/>
  <c r="S1027" i="2" s="1"/>
  <c r="S1057" i="2" s="1"/>
  <c r="S1087" i="2" s="1"/>
  <c r="S1117" i="2" s="1"/>
  <c r="S1147" i="2" s="1"/>
  <c r="S1177" i="2" s="1"/>
  <c r="S1207" i="2" s="1"/>
  <c r="S1237" i="2" s="1"/>
  <c r="S1267" i="2" s="1"/>
  <c r="S1297" i="2" s="1"/>
  <c r="S1327" i="2" s="1"/>
  <c r="S1357" i="2" s="1"/>
  <c r="S1387" i="2" s="1"/>
  <c r="S1417" i="2" s="1"/>
  <c r="S1447" i="2" s="1"/>
  <c r="S1477" i="2" s="1"/>
  <c r="S1507" i="2" s="1"/>
  <c r="S1537" i="2" s="1"/>
  <c r="S1567" i="2" s="1"/>
  <c r="S1597" i="2" s="1"/>
  <c r="S1627" i="2" s="1"/>
  <c r="S1657" i="2" s="1"/>
  <c r="S1687" i="2" s="1"/>
  <c r="S1717" i="2" s="1"/>
  <c r="S1747" i="2" s="1"/>
  <c r="S1777" i="2" s="1"/>
  <c r="S1807" i="2" s="1"/>
  <c r="S1837" i="2" s="1"/>
  <c r="S1867" i="2" s="1"/>
  <c r="S1897" i="2" s="1"/>
  <c r="S1927" i="2" s="1"/>
  <c r="S1957" i="2" s="1"/>
  <c r="S1987" i="2" s="1"/>
  <c r="S2017" i="2" s="1"/>
  <c r="S2047" i="2" s="1"/>
  <c r="S2077" i="2" s="1"/>
  <c r="S2107" i="2" s="1"/>
  <c r="S2137" i="2" s="1"/>
  <c r="S2167" i="2" s="1"/>
  <c r="S2197" i="2" s="1"/>
  <c r="S2227" i="2" s="1"/>
  <c r="S2257" i="2" s="1"/>
  <c r="S2287" i="2" s="1"/>
  <c r="S2317" i="2" s="1"/>
  <c r="S2347" i="2" s="1"/>
  <c r="S2377" i="2" s="1"/>
  <c r="S8" i="2"/>
  <c r="S38" i="2" s="1"/>
  <c r="S68" i="2" s="1"/>
  <c r="S98" i="2" s="1"/>
  <c r="S128" i="2" s="1"/>
  <c r="S158" i="2" s="1"/>
  <c r="S188" i="2" s="1"/>
  <c r="S218" i="2" s="1"/>
  <c r="S248" i="2" s="1"/>
  <c r="S278" i="2" s="1"/>
  <c r="S308" i="2" s="1"/>
  <c r="S338" i="2" s="1"/>
  <c r="S368" i="2" s="1"/>
  <c r="S398" i="2" s="1"/>
  <c r="S428" i="2" s="1"/>
  <c r="S458" i="2" s="1"/>
  <c r="S488" i="2" s="1"/>
  <c r="S518" i="2" s="1"/>
  <c r="S548" i="2" s="1"/>
  <c r="S578" i="2" s="1"/>
  <c r="S608" i="2" s="1"/>
  <c r="S638" i="2" s="1"/>
  <c r="S668" i="2" s="1"/>
  <c r="S698" i="2" s="1"/>
  <c r="S728" i="2" s="1"/>
  <c r="S758" i="2" s="1"/>
  <c r="S788" i="2" s="1"/>
  <c r="S818" i="2" s="1"/>
  <c r="S848" i="2" s="1"/>
  <c r="S878" i="2" s="1"/>
  <c r="S908" i="2" s="1"/>
  <c r="S938" i="2" s="1"/>
  <c r="S968" i="2" s="1"/>
  <c r="S998" i="2" s="1"/>
  <c r="S1028" i="2" s="1"/>
  <c r="S1058" i="2" s="1"/>
  <c r="S1088" i="2" s="1"/>
  <c r="S1118" i="2" s="1"/>
  <c r="S1148" i="2" s="1"/>
  <c r="S1178" i="2" s="1"/>
  <c r="S1208" i="2" s="1"/>
  <c r="S1238" i="2" s="1"/>
  <c r="S1268" i="2" s="1"/>
  <c r="S1298" i="2" s="1"/>
  <c r="S1328" i="2" s="1"/>
  <c r="S1358" i="2" s="1"/>
  <c r="S1388" i="2" s="1"/>
  <c r="S1418" i="2" s="1"/>
  <c r="S1448" i="2" s="1"/>
  <c r="S1478" i="2" s="1"/>
  <c r="S1508" i="2" s="1"/>
  <c r="S1538" i="2" s="1"/>
  <c r="S1568" i="2" s="1"/>
  <c r="S1598" i="2" s="1"/>
  <c r="S1628" i="2" s="1"/>
  <c r="S1658" i="2" s="1"/>
  <c r="S1688" i="2" s="1"/>
  <c r="S1718" i="2" s="1"/>
  <c r="S1748" i="2" s="1"/>
  <c r="S1778" i="2" s="1"/>
  <c r="S1808" i="2" s="1"/>
  <c r="S1838" i="2" s="1"/>
  <c r="S1868" i="2" s="1"/>
  <c r="S1898" i="2" s="1"/>
  <c r="S1928" i="2" s="1"/>
  <c r="S1958" i="2" s="1"/>
  <c r="S1988" i="2" s="1"/>
  <c r="S2018" i="2" s="1"/>
  <c r="S2048" i="2" s="1"/>
  <c r="S2078" i="2" s="1"/>
  <c r="S2108" i="2" s="1"/>
  <c r="S2138" i="2" s="1"/>
  <c r="S2168" i="2" s="1"/>
  <c r="S2198" i="2" s="1"/>
  <c r="S2228" i="2" s="1"/>
  <c r="S2258" i="2" s="1"/>
  <c r="S2288" i="2" s="1"/>
  <c r="S2318" i="2" s="1"/>
  <c r="S2348" i="2" s="1"/>
  <c r="S2378" i="2" s="1"/>
  <c r="S9" i="2"/>
  <c r="S39" i="2" s="1"/>
  <c r="S69" i="2" s="1"/>
  <c r="S99" i="2" s="1"/>
  <c r="S129" i="2" s="1"/>
  <c r="S159" i="2" s="1"/>
  <c r="S189" i="2" s="1"/>
  <c r="S219" i="2" s="1"/>
  <c r="S249" i="2" s="1"/>
  <c r="S279" i="2" s="1"/>
  <c r="S309" i="2" s="1"/>
  <c r="S339" i="2" s="1"/>
  <c r="S369" i="2" s="1"/>
  <c r="S399" i="2" s="1"/>
  <c r="S429" i="2" s="1"/>
  <c r="S459" i="2" s="1"/>
  <c r="S489" i="2" s="1"/>
  <c r="S519" i="2" s="1"/>
  <c r="S549" i="2" s="1"/>
  <c r="S579" i="2" s="1"/>
  <c r="S609" i="2" s="1"/>
  <c r="S639" i="2" s="1"/>
  <c r="S669" i="2" s="1"/>
  <c r="S699" i="2" s="1"/>
  <c r="S729" i="2" s="1"/>
  <c r="S759" i="2" s="1"/>
  <c r="S789" i="2" s="1"/>
  <c r="S819" i="2" s="1"/>
  <c r="S849" i="2" s="1"/>
  <c r="S879" i="2" s="1"/>
  <c r="S909" i="2" s="1"/>
  <c r="S939" i="2" s="1"/>
  <c r="S969" i="2" s="1"/>
  <c r="S999" i="2" s="1"/>
  <c r="S1029" i="2" s="1"/>
  <c r="S1059" i="2" s="1"/>
  <c r="S1089" i="2" s="1"/>
  <c r="S1119" i="2" s="1"/>
  <c r="S1149" i="2" s="1"/>
  <c r="S1179" i="2" s="1"/>
  <c r="S1209" i="2" s="1"/>
  <c r="S1239" i="2" s="1"/>
  <c r="S1269" i="2" s="1"/>
  <c r="S1299" i="2" s="1"/>
  <c r="S1329" i="2" s="1"/>
  <c r="S1359" i="2" s="1"/>
  <c r="S1389" i="2" s="1"/>
  <c r="S1419" i="2" s="1"/>
  <c r="S1449" i="2" s="1"/>
  <c r="S1479" i="2" s="1"/>
  <c r="S1509" i="2" s="1"/>
  <c r="S1539" i="2" s="1"/>
  <c r="S1569" i="2" s="1"/>
  <c r="S1599" i="2" s="1"/>
  <c r="S1629" i="2" s="1"/>
  <c r="S1659" i="2" s="1"/>
  <c r="S1689" i="2" s="1"/>
  <c r="S1719" i="2" s="1"/>
  <c r="S1749" i="2" s="1"/>
  <c r="S1779" i="2" s="1"/>
  <c r="S1809" i="2" s="1"/>
  <c r="S1839" i="2" s="1"/>
  <c r="S1869" i="2" s="1"/>
  <c r="S1899" i="2" s="1"/>
  <c r="S1929" i="2" s="1"/>
  <c r="S1959" i="2" s="1"/>
  <c r="S1989" i="2" s="1"/>
  <c r="S2019" i="2" s="1"/>
  <c r="S2049" i="2" s="1"/>
  <c r="S2079" i="2" s="1"/>
  <c r="S2109" i="2" s="1"/>
  <c r="S2139" i="2" s="1"/>
  <c r="S2169" i="2" s="1"/>
  <c r="S2199" i="2" s="1"/>
  <c r="S2229" i="2" s="1"/>
  <c r="S2259" i="2" s="1"/>
  <c r="S2289" i="2" s="1"/>
  <c r="S2319" i="2" s="1"/>
  <c r="S2349" i="2" s="1"/>
  <c r="S2379" i="2" s="1"/>
  <c r="S10" i="2"/>
  <c r="S40" i="2" s="1"/>
  <c r="S70" i="2" s="1"/>
  <c r="S100" i="2" s="1"/>
  <c r="S130" i="2" s="1"/>
  <c r="S160" i="2" s="1"/>
  <c r="S190" i="2" s="1"/>
  <c r="S220" i="2" s="1"/>
  <c r="S250" i="2" s="1"/>
  <c r="S280" i="2" s="1"/>
  <c r="S310" i="2" s="1"/>
  <c r="S340" i="2" s="1"/>
  <c r="S370" i="2" s="1"/>
  <c r="S400" i="2" s="1"/>
  <c r="S430" i="2" s="1"/>
  <c r="S460" i="2" s="1"/>
  <c r="S490" i="2" s="1"/>
  <c r="S520" i="2" s="1"/>
  <c r="S550" i="2" s="1"/>
  <c r="S580" i="2" s="1"/>
  <c r="S610" i="2" s="1"/>
  <c r="S640" i="2" s="1"/>
  <c r="S670" i="2" s="1"/>
  <c r="S700" i="2" s="1"/>
  <c r="S730" i="2" s="1"/>
  <c r="S760" i="2" s="1"/>
  <c r="S790" i="2" s="1"/>
  <c r="S820" i="2" s="1"/>
  <c r="S850" i="2" s="1"/>
  <c r="S880" i="2" s="1"/>
  <c r="S910" i="2" s="1"/>
  <c r="S940" i="2" s="1"/>
  <c r="S970" i="2" s="1"/>
  <c r="S1000" i="2" s="1"/>
  <c r="S1030" i="2" s="1"/>
  <c r="S1060" i="2" s="1"/>
  <c r="S1090" i="2" s="1"/>
  <c r="S1120" i="2" s="1"/>
  <c r="S1150" i="2" s="1"/>
  <c r="S1180" i="2" s="1"/>
  <c r="S1210" i="2" s="1"/>
  <c r="S1240" i="2" s="1"/>
  <c r="S1270" i="2" s="1"/>
  <c r="S1300" i="2" s="1"/>
  <c r="S1330" i="2" s="1"/>
  <c r="S1360" i="2" s="1"/>
  <c r="S1390" i="2" s="1"/>
  <c r="S1420" i="2" s="1"/>
  <c r="S1450" i="2" s="1"/>
  <c r="S1480" i="2" s="1"/>
  <c r="S1510" i="2" s="1"/>
  <c r="S1540" i="2" s="1"/>
  <c r="S1570" i="2" s="1"/>
  <c r="S1600" i="2" s="1"/>
  <c r="S1630" i="2" s="1"/>
  <c r="S1660" i="2" s="1"/>
  <c r="S1690" i="2" s="1"/>
  <c r="S1720" i="2" s="1"/>
  <c r="S1750" i="2" s="1"/>
  <c r="S1780" i="2" s="1"/>
  <c r="S1810" i="2" s="1"/>
  <c r="S1840" i="2" s="1"/>
  <c r="S1870" i="2" s="1"/>
  <c r="S1900" i="2" s="1"/>
  <c r="S1930" i="2" s="1"/>
  <c r="S1960" i="2" s="1"/>
  <c r="S1990" i="2" s="1"/>
  <c r="S2020" i="2" s="1"/>
  <c r="S2050" i="2" s="1"/>
  <c r="S2080" i="2" s="1"/>
  <c r="S2110" i="2" s="1"/>
  <c r="S2140" i="2" s="1"/>
  <c r="S2170" i="2" s="1"/>
  <c r="S2200" i="2" s="1"/>
  <c r="S2230" i="2" s="1"/>
  <c r="S2260" i="2" s="1"/>
  <c r="S2290" i="2" s="1"/>
  <c r="S2320" i="2" s="1"/>
  <c r="S2350" i="2" s="1"/>
  <c r="S2380" i="2" s="1"/>
  <c r="S11" i="2"/>
  <c r="S41" i="2" s="1"/>
  <c r="S71" i="2" s="1"/>
  <c r="S101" i="2" s="1"/>
  <c r="S131" i="2" s="1"/>
  <c r="S161" i="2" s="1"/>
  <c r="S191" i="2" s="1"/>
  <c r="S221" i="2" s="1"/>
  <c r="S251" i="2" s="1"/>
  <c r="S281" i="2" s="1"/>
  <c r="S311" i="2" s="1"/>
  <c r="S341" i="2" s="1"/>
  <c r="S371" i="2" s="1"/>
  <c r="S401" i="2" s="1"/>
  <c r="S431" i="2" s="1"/>
  <c r="S461" i="2" s="1"/>
  <c r="S491" i="2" s="1"/>
  <c r="S521" i="2" s="1"/>
  <c r="S551" i="2" s="1"/>
  <c r="S581" i="2" s="1"/>
  <c r="S611" i="2" s="1"/>
  <c r="S641" i="2" s="1"/>
  <c r="S671" i="2" s="1"/>
  <c r="S701" i="2" s="1"/>
  <c r="S731" i="2" s="1"/>
  <c r="S761" i="2" s="1"/>
  <c r="S791" i="2" s="1"/>
  <c r="S821" i="2" s="1"/>
  <c r="S851" i="2" s="1"/>
  <c r="S881" i="2" s="1"/>
  <c r="S911" i="2" s="1"/>
  <c r="S941" i="2" s="1"/>
  <c r="S971" i="2" s="1"/>
  <c r="S1001" i="2" s="1"/>
  <c r="S1031" i="2" s="1"/>
  <c r="S1061" i="2" s="1"/>
  <c r="S1091" i="2" s="1"/>
  <c r="S1121" i="2" s="1"/>
  <c r="S1151" i="2" s="1"/>
  <c r="S1181" i="2" s="1"/>
  <c r="S1211" i="2" s="1"/>
  <c r="S1241" i="2" s="1"/>
  <c r="S1271" i="2" s="1"/>
  <c r="S1301" i="2" s="1"/>
  <c r="S1331" i="2" s="1"/>
  <c r="S1361" i="2" s="1"/>
  <c r="S1391" i="2" s="1"/>
  <c r="S1421" i="2" s="1"/>
  <c r="S1451" i="2" s="1"/>
  <c r="S1481" i="2" s="1"/>
  <c r="S1511" i="2" s="1"/>
  <c r="S1541" i="2" s="1"/>
  <c r="S1571" i="2" s="1"/>
  <c r="S1601" i="2" s="1"/>
  <c r="S1631" i="2" s="1"/>
  <c r="S1661" i="2" s="1"/>
  <c r="S1691" i="2" s="1"/>
  <c r="S1721" i="2" s="1"/>
  <c r="S1751" i="2" s="1"/>
  <c r="S1781" i="2" s="1"/>
  <c r="S1811" i="2" s="1"/>
  <c r="S1841" i="2" s="1"/>
  <c r="S1871" i="2" s="1"/>
  <c r="S1901" i="2" s="1"/>
  <c r="S1931" i="2" s="1"/>
  <c r="S1961" i="2" s="1"/>
  <c r="S1991" i="2" s="1"/>
  <c r="S2021" i="2" s="1"/>
  <c r="S2051" i="2" s="1"/>
  <c r="S2081" i="2" s="1"/>
  <c r="S2111" i="2" s="1"/>
  <c r="S2141" i="2" s="1"/>
  <c r="S2171" i="2" s="1"/>
  <c r="S2201" i="2" s="1"/>
  <c r="S2231" i="2" s="1"/>
  <c r="S2261" i="2" s="1"/>
  <c r="S2291" i="2" s="1"/>
  <c r="S2321" i="2" s="1"/>
  <c r="S2351" i="2" s="1"/>
  <c r="S2381" i="2" s="1"/>
  <c r="S12" i="2"/>
  <c r="S42" i="2" s="1"/>
  <c r="S72" i="2" s="1"/>
  <c r="S102" i="2" s="1"/>
  <c r="S132" i="2" s="1"/>
  <c r="S162" i="2" s="1"/>
  <c r="S192" i="2" s="1"/>
  <c r="S222" i="2" s="1"/>
  <c r="S252" i="2" s="1"/>
  <c r="S282" i="2" s="1"/>
  <c r="S312" i="2" s="1"/>
  <c r="S342" i="2" s="1"/>
  <c r="S372" i="2" s="1"/>
  <c r="S402" i="2" s="1"/>
  <c r="S432" i="2" s="1"/>
  <c r="S462" i="2" s="1"/>
  <c r="S492" i="2" s="1"/>
  <c r="S522" i="2" s="1"/>
  <c r="S552" i="2" s="1"/>
  <c r="S582" i="2" s="1"/>
  <c r="S612" i="2" s="1"/>
  <c r="S642" i="2" s="1"/>
  <c r="S672" i="2" s="1"/>
  <c r="S702" i="2" s="1"/>
  <c r="S732" i="2" s="1"/>
  <c r="S762" i="2" s="1"/>
  <c r="S792" i="2" s="1"/>
  <c r="S822" i="2" s="1"/>
  <c r="S852" i="2" s="1"/>
  <c r="S882" i="2" s="1"/>
  <c r="S912" i="2" s="1"/>
  <c r="S942" i="2" s="1"/>
  <c r="S972" i="2" s="1"/>
  <c r="S1002" i="2" s="1"/>
  <c r="S1032" i="2" s="1"/>
  <c r="S1062" i="2" s="1"/>
  <c r="S1092" i="2" s="1"/>
  <c r="S1122" i="2" s="1"/>
  <c r="S1152" i="2" s="1"/>
  <c r="S1182" i="2" s="1"/>
  <c r="S1212" i="2" s="1"/>
  <c r="S1242" i="2" s="1"/>
  <c r="S1272" i="2" s="1"/>
  <c r="S1302" i="2" s="1"/>
  <c r="S1332" i="2" s="1"/>
  <c r="S1362" i="2" s="1"/>
  <c r="S1392" i="2" s="1"/>
  <c r="S1422" i="2" s="1"/>
  <c r="S1452" i="2" s="1"/>
  <c r="S1482" i="2" s="1"/>
  <c r="S1512" i="2" s="1"/>
  <c r="S1542" i="2" s="1"/>
  <c r="S1572" i="2" s="1"/>
  <c r="S1602" i="2" s="1"/>
  <c r="S1632" i="2" s="1"/>
  <c r="S1662" i="2" s="1"/>
  <c r="S1692" i="2" s="1"/>
  <c r="S1722" i="2" s="1"/>
  <c r="S1752" i="2" s="1"/>
  <c r="S1782" i="2" s="1"/>
  <c r="S1812" i="2" s="1"/>
  <c r="S1842" i="2" s="1"/>
  <c r="S1872" i="2" s="1"/>
  <c r="S1902" i="2" s="1"/>
  <c r="S1932" i="2" s="1"/>
  <c r="S1962" i="2" s="1"/>
  <c r="S1992" i="2" s="1"/>
  <c r="S2022" i="2" s="1"/>
  <c r="S2052" i="2" s="1"/>
  <c r="S2082" i="2" s="1"/>
  <c r="S2112" i="2" s="1"/>
  <c r="S2142" i="2" s="1"/>
  <c r="S2172" i="2" s="1"/>
  <c r="S2202" i="2" s="1"/>
  <c r="S2232" i="2" s="1"/>
  <c r="S2262" i="2" s="1"/>
  <c r="S2292" i="2" s="1"/>
  <c r="S2322" i="2" s="1"/>
  <c r="S2352" i="2" s="1"/>
  <c r="S2382" i="2" s="1"/>
  <c r="S13" i="2"/>
  <c r="S43" i="2" s="1"/>
  <c r="S73" i="2" s="1"/>
  <c r="S103" i="2" s="1"/>
  <c r="S133" i="2" s="1"/>
  <c r="S163" i="2" s="1"/>
  <c r="S193" i="2" s="1"/>
  <c r="S223" i="2" s="1"/>
  <c r="S253" i="2" s="1"/>
  <c r="S283" i="2" s="1"/>
  <c r="S313" i="2" s="1"/>
  <c r="S343" i="2" s="1"/>
  <c r="S373" i="2" s="1"/>
  <c r="S403" i="2" s="1"/>
  <c r="S433" i="2" s="1"/>
  <c r="S463" i="2" s="1"/>
  <c r="S493" i="2" s="1"/>
  <c r="S523" i="2" s="1"/>
  <c r="S553" i="2" s="1"/>
  <c r="S583" i="2" s="1"/>
  <c r="S613" i="2" s="1"/>
  <c r="S643" i="2" s="1"/>
  <c r="S673" i="2" s="1"/>
  <c r="S703" i="2" s="1"/>
  <c r="S733" i="2" s="1"/>
  <c r="S763" i="2" s="1"/>
  <c r="S793" i="2" s="1"/>
  <c r="S823" i="2" s="1"/>
  <c r="S853" i="2" s="1"/>
  <c r="S883" i="2" s="1"/>
  <c r="S913" i="2" s="1"/>
  <c r="S943" i="2" s="1"/>
  <c r="S973" i="2" s="1"/>
  <c r="S1003" i="2" s="1"/>
  <c r="S1033" i="2" s="1"/>
  <c r="S1063" i="2" s="1"/>
  <c r="S1093" i="2" s="1"/>
  <c r="S1123" i="2" s="1"/>
  <c r="S1153" i="2" s="1"/>
  <c r="S1183" i="2" s="1"/>
  <c r="S1213" i="2" s="1"/>
  <c r="S1243" i="2" s="1"/>
  <c r="S1273" i="2" s="1"/>
  <c r="S1303" i="2" s="1"/>
  <c r="S1333" i="2" s="1"/>
  <c r="S1363" i="2" s="1"/>
  <c r="S1393" i="2" s="1"/>
  <c r="S1423" i="2" s="1"/>
  <c r="S1453" i="2" s="1"/>
  <c r="S1483" i="2" s="1"/>
  <c r="S1513" i="2" s="1"/>
  <c r="S1543" i="2" s="1"/>
  <c r="S1573" i="2" s="1"/>
  <c r="S1603" i="2" s="1"/>
  <c r="S1633" i="2" s="1"/>
  <c r="S1663" i="2" s="1"/>
  <c r="S1693" i="2" s="1"/>
  <c r="S1723" i="2" s="1"/>
  <c r="S1753" i="2" s="1"/>
  <c r="S1783" i="2" s="1"/>
  <c r="S1813" i="2" s="1"/>
  <c r="S1843" i="2" s="1"/>
  <c r="S1873" i="2" s="1"/>
  <c r="S1903" i="2" s="1"/>
  <c r="S1933" i="2" s="1"/>
  <c r="S1963" i="2" s="1"/>
  <c r="S1993" i="2" s="1"/>
  <c r="S2023" i="2" s="1"/>
  <c r="S2053" i="2" s="1"/>
  <c r="S2083" i="2" s="1"/>
  <c r="S2113" i="2" s="1"/>
  <c r="S2143" i="2" s="1"/>
  <c r="S2173" i="2" s="1"/>
  <c r="S2203" i="2" s="1"/>
  <c r="S2233" i="2" s="1"/>
  <c r="S2263" i="2" s="1"/>
  <c r="S2293" i="2" s="1"/>
  <c r="S2323" i="2" s="1"/>
  <c r="S2353" i="2" s="1"/>
  <c r="S2383" i="2" s="1"/>
  <c r="S14" i="2"/>
  <c r="S44" i="2" s="1"/>
  <c r="S74" i="2" s="1"/>
  <c r="S104" i="2" s="1"/>
  <c r="S134" i="2" s="1"/>
  <c r="S164" i="2" s="1"/>
  <c r="S194" i="2" s="1"/>
  <c r="S224" i="2" s="1"/>
  <c r="S254" i="2" s="1"/>
  <c r="S284" i="2" s="1"/>
  <c r="S314" i="2" s="1"/>
  <c r="S344" i="2" s="1"/>
  <c r="S374" i="2" s="1"/>
  <c r="S404" i="2" s="1"/>
  <c r="S434" i="2" s="1"/>
  <c r="S464" i="2" s="1"/>
  <c r="S494" i="2" s="1"/>
  <c r="S524" i="2" s="1"/>
  <c r="S554" i="2" s="1"/>
  <c r="S584" i="2" s="1"/>
  <c r="S614" i="2" s="1"/>
  <c r="S644" i="2" s="1"/>
  <c r="S674" i="2" s="1"/>
  <c r="S704" i="2" s="1"/>
  <c r="S734" i="2" s="1"/>
  <c r="S764" i="2" s="1"/>
  <c r="S794" i="2" s="1"/>
  <c r="S824" i="2" s="1"/>
  <c r="S854" i="2" s="1"/>
  <c r="S884" i="2" s="1"/>
  <c r="S914" i="2" s="1"/>
  <c r="S944" i="2" s="1"/>
  <c r="S974" i="2" s="1"/>
  <c r="S1004" i="2" s="1"/>
  <c r="S1034" i="2" s="1"/>
  <c r="S1064" i="2" s="1"/>
  <c r="S1094" i="2" s="1"/>
  <c r="S1124" i="2" s="1"/>
  <c r="S1154" i="2" s="1"/>
  <c r="S1184" i="2" s="1"/>
  <c r="S1214" i="2" s="1"/>
  <c r="S1244" i="2" s="1"/>
  <c r="S1274" i="2" s="1"/>
  <c r="S1304" i="2" s="1"/>
  <c r="S1334" i="2" s="1"/>
  <c r="S1364" i="2" s="1"/>
  <c r="S1394" i="2" s="1"/>
  <c r="S1424" i="2" s="1"/>
  <c r="S1454" i="2" s="1"/>
  <c r="S1484" i="2" s="1"/>
  <c r="S1514" i="2" s="1"/>
  <c r="S1544" i="2" s="1"/>
  <c r="S1574" i="2" s="1"/>
  <c r="S1604" i="2" s="1"/>
  <c r="S1634" i="2" s="1"/>
  <c r="S1664" i="2" s="1"/>
  <c r="S1694" i="2" s="1"/>
  <c r="S1724" i="2" s="1"/>
  <c r="S1754" i="2" s="1"/>
  <c r="S1784" i="2" s="1"/>
  <c r="S1814" i="2" s="1"/>
  <c r="S1844" i="2" s="1"/>
  <c r="S1874" i="2" s="1"/>
  <c r="S1904" i="2" s="1"/>
  <c r="S1934" i="2" s="1"/>
  <c r="S1964" i="2" s="1"/>
  <c r="S1994" i="2" s="1"/>
  <c r="S2024" i="2" s="1"/>
  <c r="S2054" i="2" s="1"/>
  <c r="S2084" i="2" s="1"/>
  <c r="S2114" i="2" s="1"/>
  <c r="S2144" i="2" s="1"/>
  <c r="S2174" i="2" s="1"/>
  <c r="S2204" i="2" s="1"/>
  <c r="S2234" i="2" s="1"/>
  <c r="S2264" i="2" s="1"/>
  <c r="S2294" i="2" s="1"/>
  <c r="S2324" i="2" s="1"/>
  <c r="S2354" i="2" s="1"/>
  <c r="S2384" i="2" s="1"/>
  <c r="S15" i="2"/>
  <c r="S45" i="2" s="1"/>
  <c r="S75" i="2" s="1"/>
  <c r="S105" i="2" s="1"/>
  <c r="S135" i="2" s="1"/>
  <c r="S165" i="2" s="1"/>
  <c r="S195" i="2" s="1"/>
  <c r="S225" i="2" s="1"/>
  <c r="S255" i="2" s="1"/>
  <c r="S285" i="2" s="1"/>
  <c r="S315" i="2" s="1"/>
  <c r="S345" i="2" s="1"/>
  <c r="S375" i="2" s="1"/>
  <c r="S405" i="2" s="1"/>
  <c r="S435" i="2" s="1"/>
  <c r="S465" i="2" s="1"/>
  <c r="S495" i="2" s="1"/>
  <c r="S525" i="2" s="1"/>
  <c r="S555" i="2" s="1"/>
  <c r="S585" i="2" s="1"/>
  <c r="S615" i="2" s="1"/>
  <c r="S645" i="2" s="1"/>
  <c r="S675" i="2" s="1"/>
  <c r="S705" i="2" s="1"/>
  <c r="S735" i="2" s="1"/>
  <c r="S765" i="2" s="1"/>
  <c r="S795" i="2" s="1"/>
  <c r="S825" i="2" s="1"/>
  <c r="S855" i="2" s="1"/>
  <c r="S885" i="2" s="1"/>
  <c r="S915" i="2" s="1"/>
  <c r="S945" i="2" s="1"/>
  <c r="S975" i="2" s="1"/>
  <c r="S1005" i="2" s="1"/>
  <c r="S1035" i="2" s="1"/>
  <c r="S1065" i="2" s="1"/>
  <c r="S1095" i="2" s="1"/>
  <c r="S1125" i="2" s="1"/>
  <c r="S1155" i="2" s="1"/>
  <c r="S1185" i="2" s="1"/>
  <c r="S1215" i="2" s="1"/>
  <c r="S1245" i="2" s="1"/>
  <c r="S1275" i="2" s="1"/>
  <c r="S1305" i="2" s="1"/>
  <c r="S1335" i="2" s="1"/>
  <c r="S1365" i="2" s="1"/>
  <c r="S1395" i="2" s="1"/>
  <c r="S1425" i="2" s="1"/>
  <c r="S1455" i="2" s="1"/>
  <c r="S1485" i="2" s="1"/>
  <c r="S1515" i="2" s="1"/>
  <c r="S1545" i="2" s="1"/>
  <c r="S1575" i="2" s="1"/>
  <c r="S1605" i="2" s="1"/>
  <c r="S1635" i="2" s="1"/>
  <c r="S1665" i="2" s="1"/>
  <c r="S1695" i="2" s="1"/>
  <c r="S1725" i="2" s="1"/>
  <c r="S1755" i="2" s="1"/>
  <c r="S1785" i="2" s="1"/>
  <c r="S1815" i="2" s="1"/>
  <c r="S1845" i="2" s="1"/>
  <c r="S1875" i="2" s="1"/>
  <c r="S1905" i="2" s="1"/>
  <c r="S1935" i="2" s="1"/>
  <c r="S1965" i="2" s="1"/>
  <c r="S1995" i="2" s="1"/>
  <c r="S2025" i="2" s="1"/>
  <c r="S2055" i="2" s="1"/>
  <c r="S2085" i="2" s="1"/>
  <c r="S2115" i="2" s="1"/>
  <c r="S2145" i="2" s="1"/>
  <c r="S2175" i="2" s="1"/>
  <c r="S2205" i="2" s="1"/>
  <c r="S2235" i="2" s="1"/>
  <c r="S2265" i="2" s="1"/>
  <c r="S2295" i="2" s="1"/>
  <c r="S2325" i="2" s="1"/>
  <c r="S2355" i="2" s="1"/>
  <c r="S2385" i="2" s="1"/>
  <c r="S16" i="2"/>
  <c r="S46" i="2" s="1"/>
  <c r="S76" i="2" s="1"/>
  <c r="S106" i="2" s="1"/>
  <c r="S136" i="2" s="1"/>
  <c r="S166" i="2" s="1"/>
  <c r="S196" i="2" s="1"/>
  <c r="S226" i="2" s="1"/>
  <c r="S256" i="2" s="1"/>
  <c r="S286" i="2" s="1"/>
  <c r="S316" i="2" s="1"/>
  <c r="S346" i="2" s="1"/>
  <c r="S376" i="2" s="1"/>
  <c r="S406" i="2" s="1"/>
  <c r="S436" i="2" s="1"/>
  <c r="S466" i="2" s="1"/>
  <c r="S496" i="2" s="1"/>
  <c r="S526" i="2" s="1"/>
  <c r="S556" i="2" s="1"/>
  <c r="S586" i="2" s="1"/>
  <c r="S616" i="2" s="1"/>
  <c r="S646" i="2" s="1"/>
  <c r="S676" i="2" s="1"/>
  <c r="S706" i="2" s="1"/>
  <c r="S736" i="2" s="1"/>
  <c r="S766" i="2" s="1"/>
  <c r="S796" i="2" s="1"/>
  <c r="S826" i="2" s="1"/>
  <c r="S856" i="2" s="1"/>
  <c r="S886" i="2" s="1"/>
  <c r="S916" i="2" s="1"/>
  <c r="S946" i="2" s="1"/>
  <c r="S976" i="2" s="1"/>
  <c r="S1006" i="2" s="1"/>
  <c r="S1036" i="2" s="1"/>
  <c r="S1066" i="2" s="1"/>
  <c r="S1096" i="2" s="1"/>
  <c r="S1126" i="2" s="1"/>
  <c r="S1156" i="2" s="1"/>
  <c r="S1186" i="2" s="1"/>
  <c r="S1216" i="2" s="1"/>
  <c r="S1246" i="2" s="1"/>
  <c r="S1276" i="2" s="1"/>
  <c r="S1306" i="2" s="1"/>
  <c r="S1336" i="2" s="1"/>
  <c r="S1366" i="2" s="1"/>
  <c r="S1396" i="2" s="1"/>
  <c r="S1426" i="2" s="1"/>
  <c r="S1456" i="2" s="1"/>
  <c r="S1486" i="2" s="1"/>
  <c r="S1516" i="2" s="1"/>
  <c r="S1546" i="2" s="1"/>
  <c r="S1576" i="2" s="1"/>
  <c r="S1606" i="2" s="1"/>
  <c r="S1636" i="2" s="1"/>
  <c r="S1666" i="2" s="1"/>
  <c r="S1696" i="2" s="1"/>
  <c r="S1726" i="2" s="1"/>
  <c r="S1756" i="2" s="1"/>
  <c r="S1786" i="2" s="1"/>
  <c r="S1816" i="2" s="1"/>
  <c r="S1846" i="2" s="1"/>
  <c r="S1876" i="2" s="1"/>
  <c r="S1906" i="2" s="1"/>
  <c r="S1936" i="2" s="1"/>
  <c r="S1966" i="2" s="1"/>
  <c r="S1996" i="2" s="1"/>
  <c r="S2026" i="2" s="1"/>
  <c r="S2056" i="2" s="1"/>
  <c r="S2086" i="2" s="1"/>
  <c r="S2116" i="2" s="1"/>
  <c r="S2146" i="2" s="1"/>
  <c r="S2176" i="2" s="1"/>
  <c r="S2206" i="2" s="1"/>
  <c r="S2236" i="2" s="1"/>
  <c r="S2266" i="2" s="1"/>
  <c r="S2296" i="2" s="1"/>
  <c r="S2326" i="2" s="1"/>
  <c r="S2356" i="2" s="1"/>
  <c r="S2386" i="2" s="1"/>
  <c r="S17" i="2"/>
  <c r="S47" i="2" s="1"/>
  <c r="S77" i="2" s="1"/>
  <c r="S107" i="2" s="1"/>
  <c r="S137" i="2" s="1"/>
  <c r="S167" i="2" s="1"/>
  <c r="S197" i="2" s="1"/>
  <c r="S227" i="2" s="1"/>
  <c r="S257" i="2" s="1"/>
  <c r="S287" i="2" s="1"/>
  <c r="S317" i="2" s="1"/>
  <c r="S347" i="2" s="1"/>
  <c r="S377" i="2" s="1"/>
  <c r="S407" i="2" s="1"/>
  <c r="S437" i="2" s="1"/>
  <c r="S467" i="2" s="1"/>
  <c r="S497" i="2" s="1"/>
  <c r="S527" i="2" s="1"/>
  <c r="S557" i="2" s="1"/>
  <c r="S587" i="2" s="1"/>
  <c r="S617" i="2" s="1"/>
  <c r="S647" i="2" s="1"/>
  <c r="S677" i="2" s="1"/>
  <c r="S707" i="2" s="1"/>
  <c r="S737" i="2" s="1"/>
  <c r="S767" i="2" s="1"/>
  <c r="S797" i="2" s="1"/>
  <c r="S827" i="2" s="1"/>
  <c r="S857" i="2" s="1"/>
  <c r="S887" i="2" s="1"/>
  <c r="S917" i="2" s="1"/>
  <c r="S947" i="2" s="1"/>
  <c r="S977" i="2" s="1"/>
  <c r="S1007" i="2" s="1"/>
  <c r="S1037" i="2" s="1"/>
  <c r="S1067" i="2" s="1"/>
  <c r="S1097" i="2" s="1"/>
  <c r="S1127" i="2" s="1"/>
  <c r="S1157" i="2" s="1"/>
  <c r="S1187" i="2" s="1"/>
  <c r="S1217" i="2" s="1"/>
  <c r="S1247" i="2" s="1"/>
  <c r="S1277" i="2" s="1"/>
  <c r="S1307" i="2" s="1"/>
  <c r="S1337" i="2" s="1"/>
  <c r="S1367" i="2" s="1"/>
  <c r="S1397" i="2" s="1"/>
  <c r="S1427" i="2" s="1"/>
  <c r="S1457" i="2" s="1"/>
  <c r="S1487" i="2" s="1"/>
  <c r="S1517" i="2" s="1"/>
  <c r="S1547" i="2" s="1"/>
  <c r="S1577" i="2" s="1"/>
  <c r="S1607" i="2" s="1"/>
  <c r="S1637" i="2" s="1"/>
  <c r="S1667" i="2" s="1"/>
  <c r="S1697" i="2" s="1"/>
  <c r="S1727" i="2" s="1"/>
  <c r="S1757" i="2" s="1"/>
  <c r="S1787" i="2" s="1"/>
  <c r="S1817" i="2" s="1"/>
  <c r="S1847" i="2" s="1"/>
  <c r="S1877" i="2" s="1"/>
  <c r="S1907" i="2" s="1"/>
  <c r="S1937" i="2" s="1"/>
  <c r="S1967" i="2" s="1"/>
  <c r="S1997" i="2" s="1"/>
  <c r="S2027" i="2" s="1"/>
  <c r="S2057" i="2" s="1"/>
  <c r="S2087" i="2" s="1"/>
  <c r="S2117" i="2" s="1"/>
  <c r="S2147" i="2" s="1"/>
  <c r="S2177" i="2" s="1"/>
  <c r="S2207" i="2" s="1"/>
  <c r="S2237" i="2" s="1"/>
  <c r="S2267" i="2" s="1"/>
  <c r="S2297" i="2" s="1"/>
  <c r="S2327" i="2" s="1"/>
  <c r="S2357" i="2" s="1"/>
  <c r="S2387" i="2" s="1"/>
  <c r="S18" i="2"/>
  <c r="S48" i="2" s="1"/>
  <c r="S78" i="2" s="1"/>
  <c r="S108" i="2" s="1"/>
  <c r="S138" i="2" s="1"/>
  <c r="S168" i="2" s="1"/>
  <c r="S198" i="2" s="1"/>
  <c r="S228" i="2" s="1"/>
  <c r="S258" i="2" s="1"/>
  <c r="S288" i="2" s="1"/>
  <c r="S318" i="2" s="1"/>
  <c r="S348" i="2" s="1"/>
  <c r="S378" i="2" s="1"/>
  <c r="S408" i="2" s="1"/>
  <c r="S438" i="2" s="1"/>
  <c r="S468" i="2" s="1"/>
  <c r="S498" i="2" s="1"/>
  <c r="S528" i="2" s="1"/>
  <c r="S558" i="2" s="1"/>
  <c r="S588" i="2" s="1"/>
  <c r="S618" i="2" s="1"/>
  <c r="S648" i="2" s="1"/>
  <c r="S678" i="2" s="1"/>
  <c r="S708" i="2" s="1"/>
  <c r="S738" i="2" s="1"/>
  <c r="S768" i="2" s="1"/>
  <c r="S798" i="2" s="1"/>
  <c r="S828" i="2" s="1"/>
  <c r="S858" i="2" s="1"/>
  <c r="S888" i="2" s="1"/>
  <c r="S918" i="2" s="1"/>
  <c r="S948" i="2" s="1"/>
  <c r="S978" i="2" s="1"/>
  <c r="S1008" i="2" s="1"/>
  <c r="S1038" i="2" s="1"/>
  <c r="S1068" i="2" s="1"/>
  <c r="S1098" i="2" s="1"/>
  <c r="S1128" i="2" s="1"/>
  <c r="S1158" i="2" s="1"/>
  <c r="S1188" i="2" s="1"/>
  <c r="S1218" i="2" s="1"/>
  <c r="S1248" i="2" s="1"/>
  <c r="S1278" i="2" s="1"/>
  <c r="S1308" i="2" s="1"/>
  <c r="S1338" i="2" s="1"/>
  <c r="S1368" i="2" s="1"/>
  <c r="S1398" i="2" s="1"/>
  <c r="S1428" i="2" s="1"/>
  <c r="S1458" i="2" s="1"/>
  <c r="S1488" i="2" s="1"/>
  <c r="S1518" i="2" s="1"/>
  <c r="S1548" i="2" s="1"/>
  <c r="S1578" i="2" s="1"/>
  <c r="S1608" i="2" s="1"/>
  <c r="S1638" i="2" s="1"/>
  <c r="S1668" i="2" s="1"/>
  <c r="S1698" i="2" s="1"/>
  <c r="S1728" i="2" s="1"/>
  <c r="S1758" i="2" s="1"/>
  <c r="S1788" i="2" s="1"/>
  <c r="S1818" i="2" s="1"/>
  <c r="S1848" i="2" s="1"/>
  <c r="S1878" i="2" s="1"/>
  <c r="S1908" i="2" s="1"/>
  <c r="S1938" i="2" s="1"/>
  <c r="S1968" i="2" s="1"/>
  <c r="S1998" i="2" s="1"/>
  <c r="S2028" i="2" s="1"/>
  <c r="S2058" i="2" s="1"/>
  <c r="S2088" i="2" s="1"/>
  <c r="S2118" i="2" s="1"/>
  <c r="S2148" i="2" s="1"/>
  <c r="S2178" i="2" s="1"/>
  <c r="S2208" i="2" s="1"/>
  <c r="S2238" i="2" s="1"/>
  <c r="S2268" i="2" s="1"/>
  <c r="S2298" i="2" s="1"/>
  <c r="S2328" i="2" s="1"/>
  <c r="S2358" i="2" s="1"/>
  <c r="S2388" i="2" s="1"/>
  <c r="S19" i="2"/>
  <c r="S49" i="2" s="1"/>
  <c r="S79" i="2" s="1"/>
  <c r="S109" i="2" s="1"/>
  <c r="S139" i="2" s="1"/>
  <c r="S169" i="2" s="1"/>
  <c r="S199" i="2" s="1"/>
  <c r="S229" i="2" s="1"/>
  <c r="S259" i="2" s="1"/>
  <c r="S289" i="2" s="1"/>
  <c r="S319" i="2" s="1"/>
  <c r="S349" i="2" s="1"/>
  <c r="S379" i="2" s="1"/>
  <c r="S409" i="2" s="1"/>
  <c r="S439" i="2" s="1"/>
  <c r="S469" i="2" s="1"/>
  <c r="S499" i="2" s="1"/>
  <c r="S529" i="2" s="1"/>
  <c r="S559" i="2" s="1"/>
  <c r="S589" i="2" s="1"/>
  <c r="S619" i="2" s="1"/>
  <c r="S649" i="2" s="1"/>
  <c r="S679" i="2" s="1"/>
  <c r="S709" i="2" s="1"/>
  <c r="S739" i="2" s="1"/>
  <c r="S769" i="2" s="1"/>
  <c r="S799" i="2" s="1"/>
  <c r="S829" i="2" s="1"/>
  <c r="S859" i="2" s="1"/>
  <c r="S889" i="2" s="1"/>
  <c r="S919" i="2" s="1"/>
  <c r="S949" i="2" s="1"/>
  <c r="S979" i="2" s="1"/>
  <c r="S1009" i="2" s="1"/>
  <c r="S1039" i="2" s="1"/>
  <c r="S1069" i="2" s="1"/>
  <c r="S1099" i="2" s="1"/>
  <c r="S1129" i="2" s="1"/>
  <c r="S1159" i="2" s="1"/>
  <c r="S1189" i="2" s="1"/>
  <c r="S1219" i="2" s="1"/>
  <c r="S1249" i="2" s="1"/>
  <c r="S1279" i="2" s="1"/>
  <c r="S1309" i="2" s="1"/>
  <c r="S1339" i="2" s="1"/>
  <c r="S1369" i="2" s="1"/>
  <c r="S1399" i="2" s="1"/>
  <c r="S1429" i="2" s="1"/>
  <c r="S1459" i="2" s="1"/>
  <c r="S1489" i="2" s="1"/>
  <c r="S1519" i="2" s="1"/>
  <c r="S1549" i="2" s="1"/>
  <c r="S1579" i="2" s="1"/>
  <c r="S1609" i="2" s="1"/>
  <c r="S1639" i="2" s="1"/>
  <c r="S1669" i="2" s="1"/>
  <c r="S1699" i="2" s="1"/>
  <c r="S1729" i="2" s="1"/>
  <c r="S1759" i="2" s="1"/>
  <c r="S1789" i="2" s="1"/>
  <c r="S1819" i="2" s="1"/>
  <c r="S1849" i="2" s="1"/>
  <c r="S1879" i="2" s="1"/>
  <c r="S1909" i="2" s="1"/>
  <c r="S1939" i="2" s="1"/>
  <c r="S1969" i="2" s="1"/>
  <c r="S1999" i="2" s="1"/>
  <c r="S2029" i="2" s="1"/>
  <c r="S2059" i="2" s="1"/>
  <c r="S2089" i="2" s="1"/>
  <c r="S2119" i="2" s="1"/>
  <c r="S2149" i="2" s="1"/>
  <c r="S2179" i="2" s="1"/>
  <c r="S2209" i="2" s="1"/>
  <c r="S2239" i="2" s="1"/>
  <c r="S2269" i="2" s="1"/>
  <c r="S2299" i="2" s="1"/>
  <c r="S2329" i="2" s="1"/>
  <c r="S2359" i="2" s="1"/>
  <c r="S2389" i="2" s="1"/>
  <c r="S20" i="2"/>
  <c r="S50" i="2" s="1"/>
  <c r="S80" i="2" s="1"/>
  <c r="S110" i="2" s="1"/>
  <c r="S140" i="2" s="1"/>
  <c r="S170" i="2" s="1"/>
  <c r="S200" i="2" s="1"/>
  <c r="S230" i="2" s="1"/>
  <c r="S260" i="2" s="1"/>
  <c r="S290" i="2" s="1"/>
  <c r="S320" i="2" s="1"/>
  <c r="S350" i="2" s="1"/>
  <c r="S380" i="2" s="1"/>
  <c r="S410" i="2" s="1"/>
  <c r="S440" i="2" s="1"/>
  <c r="S470" i="2" s="1"/>
  <c r="S500" i="2" s="1"/>
  <c r="S530" i="2" s="1"/>
  <c r="S560" i="2" s="1"/>
  <c r="S590" i="2" s="1"/>
  <c r="S620" i="2" s="1"/>
  <c r="S650" i="2" s="1"/>
  <c r="S680" i="2" s="1"/>
  <c r="S710" i="2" s="1"/>
  <c r="S740" i="2" s="1"/>
  <c r="S770" i="2" s="1"/>
  <c r="S800" i="2" s="1"/>
  <c r="S830" i="2" s="1"/>
  <c r="S860" i="2" s="1"/>
  <c r="S890" i="2" s="1"/>
  <c r="S920" i="2" s="1"/>
  <c r="S950" i="2" s="1"/>
  <c r="S980" i="2" s="1"/>
  <c r="S1010" i="2" s="1"/>
  <c r="S1040" i="2" s="1"/>
  <c r="S1070" i="2" s="1"/>
  <c r="S1100" i="2" s="1"/>
  <c r="S1130" i="2" s="1"/>
  <c r="S1160" i="2" s="1"/>
  <c r="S1190" i="2" s="1"/>
  <c r="S1220" i="2" s="1"/>
  <c r="S1250" i="2" s="1"/>
  <c r="S1280" i="2" s="1"/>
  <c r="S1310" i="2" s="1"/>
  <c r="S1340" i="2" s="1"/>
  <c r="S1370" i="2" s="1"/>
  <c r="S1400" i="2" s="1"/>
  <c r="S1430" i="2" s="1"/>
  <c r="S1460" i="2" s="1"/>
  <c r="S1490" i="2" s="1"/>
  <c r="S1520" i="2" s="1"/>
  <c r="S1550" i="2" s="1"/>
  <c r="S1580" i="2" s="1"/>
  <c r="S1610" i="2" s="1"/>
  <c r="S1640" i="2" s="1"/>
  <c r="S1670" i="2" s="1"/>
  <c r="S1700" i="2" s="1"/>
  <c r="S1730" i="2" s="1"/>
  <c r="S1760" i="2" s="1"/>
  <c r="S1790" i="2" s="1"/>
  <c r="S1820" i="2" s="1"/>
  <c r="S1850" i="2" s="1"/>
  <c r="S1880" i="2" s="1"/>
  <c r="S1910" i="2" s="1"/>
  <c r="S1940" i="2" s="1"/>
  <c r="S1970" i="2" s="1"/>
  <c r="S2000" i="2" s="1"/>
  <c r="S2030" i="2" s="1"/>
  <c r="S2060" i="2" s="1"/>
  <c r="S2090" i="2" s="1"/>
  <c r="S2120" i="2" s="1"/>
  <c r="S2150" i="2" s="1"/>
  <c r="S2180" i="2" s="1"/>
  <c r="S2210" i="2" s="1"/>
  <c r="S2240" i="2" s="1"/>
  <c r="S2270" i="2" s="1"/>
  <c r="S2300" i="2" s="1"/>
  <c r="S2330" i="2" s="1"/>
  <c r="S2360" i="2" s="1"/>
  <c r="S2390" i="2" s="1"/>
  <c r="S21" i="2"/>
  <c r="S51" i="2" s="1"/>
  <c r="S81" i="2" s="1"/>
  <c r="S111" i="2" s="1"/>
  <c r="S141" i="2" s="1"/>
  <c r="S171" i="2" s="1"/>
  <c r="S201" i="2" s="1"/>
  <c r="S231" i="2" s="1"/>
  <c r="S261" i="2" s="1"/>
  <c r="S291" i="2" s="1"/>
  <c r="S321" i="2" s="1"/>
  <c r="S351" i="2" s="1"/>
  <c r="S381" i="2" s="1"/>
  <c r="S411" i="2" s="1"/>
  <c r="S441" i="2" s="1"/>
  <c r="S471" i="2" s="1"/>
  <c r="S501" i="2" s="1"/>
  <c r="S531" i="2" s="1"/>
  <c r="S561" i="2" s="1"/>
  <c r="S591" i="2" s="1"/>
  <c r="S621" i="2" s="1"/>
  <c r="S651" i="2" s="1"/>
  <c r="S681" i="2" s="1"/>
  <c r="S711" i="2" s="1"/>
  <c r="S741" i="2" s="1"/>
  <c r="S771" i="2" s="1"/>
  <c r="S801" i="2" s="1"/>
  <c r="S831" i="2" s="1"/>
  <c r="S861" i="2" s="1"/>
  <c r="S891" i="2" s="1"/>
  <c r="S921" i="2" s="1"/>
  <c r="S951" i="2" s="1"/>
  <c r="S981" i="2" s="1"/>
  <c r="S1011" i="2" s="1"/>
  <c r="S1041" i="2" s="1"/>
  <c r="S1071" i="2" s="1"/>
  <c r="S1101" i="2" s="1"/>
  <c r="S1131" i="2" s="1"/>
  <c r="S1161" i="2" s="1"/>
  <c r="S1191" i="2" s="1"/>
  <c r="S1221" i="2" s="1"/>
  <c r="S1251" i="2" s="1"/>
  <c r="S1281" i="2" s="1"/>
  <c r="S1311" i="2" s="1"/>
  <c r="S1341" i="2" s="1"/>
  <c r="S1371" i="2" s="1"/>
  <c r="S1401" i="2" s="1"/>
  <c r="S1431" i="2" s="1"/>
  <c r="S1461" i="2" s="1"/>
  <c r="S1491" i="2" s="1"/>
  <c r="S1521" i="2" s="1"/>
  <c r="S1551" i="2" s="1"/>
  <c r="S1581" i="2" s="1"/>
  <c r="S1611" i="2" s="1"/>
  <c r="S1641" i="2" s="1"/>
  <c r="S1671" i="2" s="1"/>
  <c r="S1701" i="2" s="1"/>
  <c r="S1731" i="2" s="1"/>
  <c r="S1761" i="2" s="1"/>
  <c r="S1791" i="2" s="1"/>
  <c r="S1821" i="2" s="1"/>
  <c r="S1851" i="2" s="1"/>
  <c r="S1881" i="2" s="1"/>
  <c r="S1911" i="2" s="1"/>
  <c r="S1941" i="2" s="1"/>
  <c r="S1971" i="2" s="1"/>
  <c r="S2001" i="2" s="1"/>
  <c r="S2031" i="2" s="1"/>
  <c r="S2061" i="2" s="1"/>
  <c r="S2091" i="2" s="1"/>
  <c r="S2121" i="2" s="1"/>
  <c r="S2151" i="2" s="1"/>
  <c r="S2181" i="2" s="1"/>
  <c r="S2211" i="2" s="1"/>
  <c r="S2241" i="2" s="1"/>
  <c r="S2271" i="2" s="1"/>
  <c r="S2301" i="2" s="1"/>
  <c r="S2331" i="2" s="1"/>
  <c r="S2361" i="2" s="1"/>
  <c r="S2391" i="2" s="1"/>
  <c r="S22" i="2"/>
  <c r="S52" i="2" s="1"/>
  <c r="S82" i="2" s="1"/>
  <c r="S112" i="2" s="1"/>
  <c r="S142" i="2" s="1"/>
  <c r="S172" i="2" s="1"/>
  <c r="S202" i="2" s="1"/>
  <c r="S232" i="2" s="1"/>
  <c r="S262" i="2" s="1"/>
  <c r="S292" i="2" s="1"/>
  <c r="S322" i="2" s="1"/>
  <c r="S352" i="2" s="1"/>
  <c r="S382" i="2" s="1"/>
  <c r="S412" i="2" s="1"/>
  <c r="S442" i="2" s="1"/>
  <c r="S472" i="2" s="1"/>
  <c r="S502" i="2" s="1"/>
  <c r="S532" i="2" s="1"/>
  <c r="S562" i="2" s="1"/>
  <c r="S592" i="2" s="1"/>
  <c r="S622" i="2" s="1"/>
  <c r="S652" i="2" s="1"/>
  <c r="S682" i="2" s="1"/>
  <c r="S712" i="2" s="1"/>
  <c r="S742" i="2" s="1"/>
  <c r="S772" i="2" s="1"/>
  <c r="S802" i="2" s="1"/>
  <c r="S832" i="2" s="1"/>
  <c r="S862" i="2" s="1"/>
  <c r="S892" i="2" s="1"/>
  <c r="S922" i="2" s="1"/>
  <c r="S952" i="2" s="1"/>
  <c r="S982" i="2" s="1"/>
  <c r="S1012" i="2" s="1"/>
  <c r="S1042" i="2" s="1"/>
  <c r="S1072" i="2" s="1"/>
  <c r="S1102" i="2" s="1"/>
  <c r="S1132" i="2" s="1"/>
  <c r="S1162" i="2" s="1"/>
  <c r="S1192" i="2" s="1"/>
  <c r="S1222" i="2" s="1"/>
  <c r="S1252" i="2" s="1"/>
  <c r="S1282" i="2" s="1"/>
  <c r="S1312" i="2" s="1"/>
  <c r="S1342" i="2" s="1"/>
  <c r="S1372" i="2" s="1"/>
  <c r="S1402" i="2" s="1"/>
  <c r="S1432" i="2" s="1"/>
  <c r="S1462" i="2" s="1"/>
  <c r="S1492" i="2" s="1"/>
  <c r="S1522" i="2" s="1"/>
  <c r="S1552" i="2" s="1"/>
  <c r="S1582" i="2" s="1"/>
  <c r="S1612" i="2" s="1"/>
  <c r="S1642" i="2" s="1"/>
  <c r="S1672" i="2" s="1"/>
  <c r="S1702" i="2" s="1"/>
  <c r="S1732" i="2" s="1"/>
  <c r="S1762" i="2" s="1"/>
  <c r="S1792" i="2" s="1"/>
  <c r="S1822" i="2" s="1"/>
  <c r="S1852" i="2" s="1"/>
  <c r="S1882" i="2" s="1"/>
  <c r="S1912" i="2" s="1"/>
  <c r="S1942" i="2" s="1"/>
  <c r="S1972" i="2" s="1"/>
  <c r="S2002" i="2" s="1"/>
  <c r="S2032" i="2" s="1"/>
  <c r="S2062" i="2" s="1"/>
  <c r="S2092" i="2" s="1"/>
  <c r="S2122" i="2" s="1"/>
  <c r="S2152" i="2" s="1"/>
  <c r="S2182" i="2" s="1"/>
  <c r="S2212" i="2" s="1"/>
  <c r="S2242" i="2" s="1"/>
  <c r="S2272" i="2" s="1"/>
  <c r="S2302" i="2" s="1"/>
  <c r="S2332" i="2" s="1"/>
  <c r="S2362" i="2" s="1"/>
  <c r="S2392" i="2" s="1"/>
  <c r="S23" i="2"/>
  <c r="S53" i="2" s="1"/>
  <c r="S83" i="2" s="1"/>
  <c r="S113" i="2" s="1"/>
  <c r="S143" i="2" s="1"/>
  <c r="S173" i="2" s="1"/>
  <c r="S203" i="2" s="1"/>
  <c r="S233" i="2" s="1"/>
  <c r="S263" i="2" s="1"/>
  <c r="S293" i="2" s="1"/>
  <c r="S323" i="2" s="1"/>
  <c r="S353" i="2" s="1"/>
  <c r="S383" i="2" s="1"/>
  <c r="S413" i="2" s="1"/>
  <c r="S443" i="2" s="1"/>
  <c r="S473" i="2" s="1"/>
  <c r="S503" i="2" s="1"/>
  <c r="S533" i="2" s="1"/>
  <c r="S563" i="2" s="1"/>
  <c r="S593" i="2" s="1"/>
  <c r="S623" i="2" s="1"/>
  <c r="S653" i="2" s="1"/>
  <c r="S683" i="2" s="1"/>
  <c r="S713" i="2" s="1"/>
  <c r="S743" i="2" s="1"/>
  <c r="S773" i="2" s="1"/>
  <c r="S803" i="2" s="1"/>
  <c r="S833" i="2" s="1"/>
  <c r="S863" i="2" s="1"/>
  <c r="S893" i="2" s="1"/>
  <c r="S923" i="2" s="1"/>
  <c r="S953" i="2" s="1"/>
  <c r="S983" i="2" s="1"/>
  <c r="S1013" i="2" s="1"/>
  <c r="S1043" i="2" s="1"/>
  <c r="S1073" i="2" s="1"/>
  <c r="S1103" i="2" s="1"/>
  <c r="S1133" i="2" s="1"/>
  <c r="S1163" i="2" s="1"/>
  <c r="S1193" i="2" s="1"/>
  <c r="S1223" i="2" s="1"/>
  <c r="S1253" i="2" s="1"/>
  <c r="S1283" i="2" s="1"/>
  <c r="S1313" i="2" s="1"/>
  <c r="S1343" i="2" s="1"/>
  <c r="S1373" i="2" s="1"/>
  <c r="S1403" i="2" s="1"/>
  <c r="S1433" i="2" s="1"/>
  <c r="S1463" i="2" s="1"/>
  <c r="S1493" i="2" s="1"/>
  <c r="S1523" i="2" s="1"/>
  <c r="S1553" i="2" s="1"/>
  <c r="S1583" i="2" s="1"/>
  <c r="S1613" i="2" s="1"/>
  <c r="S1643" i="2" s="1"/>
  <c r="S1673" i="2" s="1"/>
  <c r="S1703" i="2" s="1"/>
  <c r="S1733" i="2" s="1"/>
  <c r="S1763" i="2" s="1"/>
  <c r="S1793" i="2" s="1"/>
  <c r="S1823" i="2" s="1"/>
  <c r="S1853" i="2" s="1"/>
  <c r="S1883" i="2" s="1"/>
  <c r="S1913" i="2" s="1"/>
  <c r="S1943" i="2" s="1"/>
  <c r="S1973" i="2" s="1"/>
  <c r="S2003" i="2" s="1"/>
  <c r="S2033" i="2" s="1"/>
  <c r="S2063" i="2" s="1"/>
  <c r="S2093" i="2" s="1"/>
  <c r="S2123" i="2" s="1"/>
  <c r="S2153" i="2" s="1"/>
  <c r="S2183" i="2" s="1"/>
  <c r="S2213" i="2" s="1"/>
  <c r="S2243" i="2" s="1"/>
  <c r="S2273" i="2" s="1"/>
  <c r="S2303" i="2" s="1"/>
  <c r="S2333" i="2" s="1"/>
  <c r="S2363" i="2" s="1"/>
  <c r="S2393" i="2" s="1"/>
  <c r="S24" i="2"/>
  <c r="S54" i="2" s="1"/>
  <c r="S84" i="2" s="1"/>
  <c r="S114" i="2" s="1"/>
  <c r="S144" i="2" s="1"/>
  <c r="S174" i="2" s="1"/>
  <c r="S204" i="2" s="1"/>
  <c r="S234" i="2" s="1"/>
  <c r="S264" i="2" s="1"/>
  <c r="S294" i="2" s="1"/>
  <c r="S324" i="2" s="1"/>
  <c r="S354" i="2" s="1"/>
  <c r="S384" i="2" s="1"/>
  <c r="S414" i="2" s="1"/>
  <c r="S444" i="2" s="1"/>
  <c r="S474" i="2" s="1"/>
  <c r="S504" i="2" s="1"/>
  <c r="S534" i="2" s="1"/>
  <c r="S564" i="2" s="1"/>
  <c r="S594" i="2" s="1"/>
  <c r="S624" i="2" s="1"/>
  <c r="S654" i="2" s="1"/>
  <c r="S684" i="2" s="1"/>
  <c r="S714" i="2" s="1"/>
  <c r="S744" i="2" s="1"/>
  <c r="S774" i="2" s="1"/>
  <c r="S804" i="2" s="1"/>
  <c r="S834" i="2" s="1"/>
  <c r="S864" i="2" s="1"/>
  <c r="S894" i="2" s="1"/>
  <c r="S924" i="2" s="1"/>
  <c r="S954" i="2" s="1"/>
  <c r="S984" i="2" s="1"/>
  <c r="S1014" i="2" s="1"/>
  <c r="S1044" i="2" s="1"/>
  <c r="S1074" i="2" s="1"/>
  <c r="S1104" i="2" s="1"/>
  <c r="S1134" i="2" s="1"/>
  <c r="S1164" i="2" s="1"/>
  <c r="S1194" i="2" s="1"/>
  <c r="S1224" i="2" s="1"/>
  <c r="S1254" i="2" s="1"/>
  <c r="S1284" i="2" s="1"/>
  <c r="S1314" i="2" s="1"/>
  <c r="S1344" i="2" s="1"/>
  <c r="S1374" i="2" s="1"/>
  <c r="S1404" i="2" s="1"/>
  <c r="S1434" i="2" s="1"/>
  <c r="S1464" i="2" s="1"/>
  <c r="S1494" i="2" s="1"/>
  <c r="S1524" i="2" s="1"/>
  <c r="S1554" i="2" s="1"/>
  <c r="S1584" i="2" s="1"/>
  <c r="S1614" i="2" s="1"/>
  <c r="S1644" i="2" s="1"/>
  <c r="S1674" i="2" s="1"/>
  <c r="S1704" i="2" s="1"/>
  <c r="S1734" i="2" s="1"/>
  <c r="S1764" i="2" s="1"/>
  <c r="S1794" i="2" s="1"/>
  <c r="S1824" i="2" s="1"/>
  <c r="S1854" i="2" s="1"/>
  <c r="S1884" i="2" s="1"/>
  <c r="S1914" i="2" s="1"/>
  <c r="S1944" i="2" s="1"/>
  <c r="S1974" i="2" s="1"/>
  <c r="S2004" i="2" s="1"/>
  <c r="S2034" i="2" s="1"/>
  <c r="S2064" i="2" s="1"/>
  <c r="S2094" i="2" s="1"/>
  <c r="S2124" i="2" s="1"/>
  <c r="S2154" i="2" s="1"/>
  <c r="S2184" i="2" s="1"/>
  <c r="S2214" i="2" s="1"/>
  <c r="S2244" i="2" s="1"/>
  <c r="S2274" i="2" s="1"/>
  <c r="S2304" i="2" s="1"/>
  <c r="S2334" i="2" s="1"/>
  <c r="S2364" i="2" s="1"/>
  <c r="S2394" i="2" s="1"/>
  <c r="S25" i="2"/>
  <c r="S55" i="2" s="1"/>
  <c r="S85" i="2" s="1"/>
  <c r="S115" i="2" s="1"/>
  <c r="S145" i="2" s="1"/>
  <c r="S175" i="2" s="1"/>
  <c r="S205" i="2" s="1"/>
  <c r="S235" i="2" s="1"/>
  <c r="S265" i="2" s="1"/>
  <c r="S295" i="2" s="1"/>
  <c r="S325" i="2" s="1"/>
  <c r="S355" i="2" s="1"/>
  <c r="S385" i="2" s="1"/>
  <c r="S415" i="2" s="1"/>
  <c r="S445" i="2" s="1"/>
  <c r="S475" i="2" s="1"/>
  <c r="S505" i="2" s="1"/>
  <c r="S535" i="2" s="1"/>
  <c r="S565" i="2" s="1"/>
  <c r="S595" i="2" s="1"/>
  <c r="S625" i="2" s="1"/>
  <c r="S655" i="2" s="1"/>
  <c r="S685" i="2" s="1"/>
  <c r="S715" i="2" s="1"/>
  <c r="S745" i="2" s="1"/>
  <c r="S775" i="2" s="1"/>
  <c r="S805" i="2" s="1"/>
  <c r="S835" i="2" s="1"/>
  <c r="S865" i="2" s="1"/>
  <c r="S895" i="2" s="1"/>
  <c r="S925" i="2" s="1"/>
  <c r="S955" i="2" s="1"/>
  <c r="S985" i="2" s="1"/>
  <c r="S1015" i="2" s="1"/>
  <c r="S1045" i="2" s="1"/>
  <c r="S1075" i="2" s="1"/>
  <c r="S1105" i="2" s="1"/>
  <c r="S1135" i="2" s="1"/>
  <c r="S1165" i="2" s="1"/>
  <c r="S1195" i="2" s="1"/>
  <c r="S1225" i="2" s="1"/>
  <c r="S1255" i="2" s="1"/>
  <c r="S1285" i="2" s="1"/>
  <c r="S1315" i="2" s="1"/>
  <c r="S1345" i="2" s="1"/>
  <c r="S1375" i="2" s="1"/>
  <c r="S1405" i="2" s="1"/>
  <c r="S1435" i="2" s="1"/>
  <c r="S1465" i="2" s="1"/>
  <c r="S1495" i="2" s="1"/>
  <c r="S1525" i="2" s="1"/>
  <c r="S1555" i="2" s="1"/>
  <c r="S1585" i="2" s="1"/>
  <c r="S1615" i="2" s="1"/>
  <c r="S1645" i="2" s="1"/>
  <c r="S1675" i="2" s="1"/>
  <c r="S1705" i="2" s="1"/>
  <c r="S1735" i="2" s="1"/>
  <c r="S1765" i="2" s="1"/>
  <c r="S1795" i="2" s="1"/>
  <c r="S1825" i="2" s="1"/>
  <c r="S1855" i="2" s="1"/>
  <c r="S1885" i="2" s="1"/>
  <c r="S1915" i="2" s="1"/>
  <c r="S1945" i="2" s="1"/>
  <c r="S1975" i="2" s="1"/>
  <c r="S2005" i="2" s="1"/>
  <c r="S2035" i="2" s="1"/>
  <c r="S2065" i="2" s="1"/>
  <c r="S2095" i="2" s="1"/>
  <c r="S2125" i="2" s="1"/>
  <c r="S2155" i="2" s="1"/>
  <c r="S2185" i="2" s="1"/>
  <c r="S2215" i="2" s="1"/>
  <c r="S2245" i="2" s="1"/>
  <c r="S2275" i="2" s="1"/>
  <c r="S2305" i="2" s="1"/>
  <c r="S2335" i="2" s="1"/>
  <c r="S2365" i="2" s="1"/>
  <c r="S2395" i="2" s="1"/>
  <c r="S26" i="2"/>
  <c r="S56" i="2" s="1"/>
  <c r="S86" i="2" s="1"/>
  <c r="S116" i="2" s="1"/>
  <c r="S146" i="2" s="1"/>
  <c r="S176" i="2" s="1"/>
  <c r="S206" i="2" s="1"/>
  <c r="S236" i="2" s="1"/>
  <c r="S266" i="2" s="1"/>
  <c r="S296" i="2" s="1"/>
  <c r="S326" i="2" s="1"/>
  <c r="S356" i="2" s="1"/>
  <c r="S386" i="2" s="1"/>
  <c r="S416" i="2" s="1"/>
  <c r="S446" i="2" s="1"/>
  <c r="S476" i="2" s="1"/>
  <c r="S506" i="2" s="1"/>
  <c r="S536" i="2" s="1"/>
  <c r="S566" i="2" s="1"/>
  <c r="S596" i="2" s="1"/>
  <c r="S626" i="2" s="1"/>
  <c r="S656" i="2" s="1"/>
  <c r="S686" i="2" s="1"/>
  <c r="S716" i="2" s="1"/>
  <c r="S746" i="2" s="1"/>
  <c r="S776" i="2" s="1"/>
  <c r="S806" i="2" s="1"/>
  <c r="S836" i="2" s="1"/>
  <c r="S866" i="2" s="1"/>
  <c r="S896" i="2" s="1"/>
  <c r="S926" i="2" s="1"/>
  <c r="S956" i="2" s="1"/>
  <c r="S986" i="2" s="1"/>
  <c r="S1016" i="2" s="1"/>
  <c r="S1046" i="2" s="1"/>
  <c r="S1076" i="2" s="1"/>
  <c r="S1106" i="2" s="1"/>
  <c r="S1136" i="2" s="1"/>
  <c r="S1166" i="2" s="1"/>
  <c r="S1196" i="2" s="1"/>
  <c r="S1226" i="2" s="1"/>
  <c r="S1256" i="2" s="1"/>
  <c r="S1286" i="2" s="1"/>
  <c r="S1316" i="2" s="1"/>
  <c r="S1346" i="2" s="1"/>
  <c r="S1376" i="2" s="1"/>
  <c r="S1406" i="2" s="1"/>
  <c r="S1436" i="2" s="1"/>
  <c r="S1466" i="2" s="1"/>
  <c r="S1496" i="2" s="1"/>
  <c r="S1526" i="2" s="1"/>
  <c r="S1556" i="2" s="1"/>
  <c r="S1586" i="2" s="1"/>
  <c r="S1616" i="2" s="1"/>
  <c r="S1646" i="2" s="1"/>
  <c r="S1676" i="2" s="1"/>
  <c r="S1706" i="2" s="1"/>
  <c r="S1736" i="2" s="1"/>
  <c r="S1766" i="2" s="1"/>
  <c r="S1796" i="2" s="1"/>
  <c r="S1826" i="2" s="1"/>
  <c r="S1856" i="2" s="1"/>
  <c r="S1886" i="2" s="1"/>
  <c r="S1916" i="2" s="1"/>
  <c r="S1946" i="2" s="1"/>
  <c r="S1976" i="2" s="1"/>
  <c r="S2006" i="2" s="1"/>
  <c r="S2036" i="2" s="1"/>
  <c r="S2066" i="2" s="1"/>
  <c r="S2096" i="2" s="1"/>
  <c r="S2126" i="2" s="1"/>
  <c r="S2156" i="2" s="1"/>
  <c r="S2186" i="2" s="1"/>
  <c r="S2216" i="2" s="1"/>
  <c r="S2246" i="2" s="1"/>
  <c r="S2276" i="2" s="1"/>
  <c r="S2306" i="2" s="1"/>
  <c r="S2336" i="2" s="1"/>
  <c r="S2366" i="2" s="1"/>
  <c r="S2396" i="2" s="1"/>
  <c r="S27" i="2"/>
  <c r="S57" i="2" s="1"/>
  <c r="S87" i="2" s="1"/>
  <c r="S117" i="2" s="1"/>
  <c r="S147" i="2" s="1"/>
  <c r="S177" i="2" s="1"/>
  <c r="S207" i="2" s="1"/>
  <c r="S237" i="2" s="1"/>
  <c r="S267" i="2" s="1"/>
  <c r="S297" i="2" s="1"/>
  <c r="S327" i="2" s="1"/>
  <c r="S357" i="2" s="1"/>
  <c r="S387" i="2" s="1"/>
  <c r="S417" i="2" s="1"/>
  <c r="S447" i="2" s="1"/>
  <c r="S477" i="2" s="1"/>
  <c r="S507" i="2" s="1"/>
  <c r="S537" i="2" s="1"/>
  <c r="S567" i="2" s="1"/>
  <c r="S597" i="2" s="1"/>
  <c r="S627" i="2" s="1"/>
  <c r="S657" i="2" s="1"/>
  <c r="S687" i="2" s="1"/>
  <c r="S717" i="2" s="1"/>
  <c r="S747" i="2" s="1"/>
  <c r="S777" i="2" s="1"/>
  <c r="S807" i="2" s="1"/>
  <c r="S837" i="2" s="1"/>
  <c r="S867" i="2" s="1"/>
  <c r="S897" i="2" s="1"/>
  <c r="S927" i="2" s="1"/>
  <c r="S957" i="2" s="1"/>
  <c r="S987" i="2" s="1"/>
  <c r="S1017" i="2" s="1"/>
  <c r="S1047" i="2" s="1"/>
  <c r="S1077" i="2" s="1"/>
  <c r="S1107" i="2" s="1"/>
  <c r="S1137" i="2" s="1"/>
  <c r="S1167" i="2" s="1"/>
  <c r="S1197" i="2" s="1"/>
  <c r="S1227" i="2" s="1"/>
  <c r="S1257" i="2" s="1"/>
  <c r="S1287" i="2" s="1"/>
  <c r="S1317" i="2" s="1"/>
  <c r="S1347" i="2" s="1"/>
  <c r="S1377" i="2" s="1"/>
  <c r="S1407" i="2" s="1"/>
  <c r="S1437" i="2" s="1"/>
  <c r="S1467" i="2" s="1"/>
  <c r="S1497" i="2" s="1"/>
  <c r="S1527" i="2" s="1"/>
  <c r="S1557" i="2" s="1"/>
  <c r="S1587" i="2" s="1"/>
  <c r="S1617" i="2" s="1"/>
  <c r="S1647" i="2" s="1"/>
  <c r="S1677" i="2" s="1"/>
  <c r="S1707" i="2" s="1"/>
  <c r="S1737" i="2" s="1"/>
  <c r="S1767" i="2" s="1"/>
  <c r="S1797" i="2" s="1"/>
  <c r="S1827" i="2" s="1"/>
  <c r="S1857" i="2" s="1"/>
  <c r="S1887" i="2" s="1"/>
  <c r="S1917" i="2" s="1"/>
  <c r="S1947" i="2" s="1"/>
  <c r="S1977" i="2" s="1"/>
  <c r="S2007" i="2" s="1"/>
  <c r="S2037" i="2" s="1"/>
  <c r="S2067" i="2" s="1"/>
  <c r="S2097" i="2" s="1"/>
  <c r="S2127" i="2" s="1"/>
  <c r="S2157" i="2" s="1"/>
  <c r="S2187" i="2" s="1"/>
  <c r="S2217" i="2" s="1"/>
  <c r="S2247" i="2" s="1"/>
  <c r="S2277" i="2" s="1"/>
  <c r="S2307" i="2" s="1"/>
  <c r="S2337" i="2" s="1"/>
  <c r="S2367" i="2" s="1"/>
  <c r="S2397" i="2" s="1"/>
  <c r="S28" i="2"/>
  <c r="S58" i="2" s="1"/>
  <c r="S88" i="2" s="1"/>
  <c r="S118" i="2" s="1"/>
  <c r="S148" i="2" s="1"/>
  <c r="S178" i="2" s="1"/>
  <c r="S208" i="2" s="1"/>
  <c r="S238" i="2" s="1"/>
  <c r="S268" i="2" s="1"/>
  <c r="S298" i="2" s="1"/>
  <c r="S328" i="2" s="1"/>
  <c r="S358" i="2" s="1"/>
  <c r="S388" i="2" s="1"/>
  <c r="S418" i="2" s="1"/>
  <c r="S448" i="2" s="1"/>
  <c r="S478" i="2" s="1"/>
  <c r="S508" i="2" s="1"/>
  <c r="S538" i="2" s="1"/>
  <c r="S568" i="2" s="1"/>
  <c r="S598" i="2" s="1"/>
  <c r="S628" i="2" s="1"/>
  <c r="S658" i="2" s="1"/>
  <c r="S688" i="2" s="1"/>
  <c r="S718" i="2" s="1"/>
  <c r="S748" i="2" s="1"/>
  <c r="S778" i="2" s="1"/>
  <c r="S808" i="2" s="1"/>
  <c r="S838" i="2" s="1"/>
  <c r="S868" i="2" s="1"/>
  <c r="S898" i="2" s="1"/>
  <c r="S928" i="2" s="1"/>
  <c r="S958" i="2" s="1"/>
  <c r="S988" i="2" s="1"/>
  <c r="S1018" i="2" s="1"/>
  <c r="S1048" i="2" s="1"/>
  <c r="S1078" i="2" s="1"/>
  <c r="S1108" i="2" s="1"/>
  <c r="S1138" i="2" s="1"/>
  <c r="S1168" i="2" s="1"/>
  <c r="S1198" i="2" s="1"/>
  <c r="S1228" i="2" s="1"/>
  <c r="S1258" i="2" s="1"/>
  <c r="S1288" i="2" s="1"/>
  <c r="S1318" i="2" s="1"/>
  <c r="S1348" i="2" s="1"/>
  <c r="S1378" i="2" s="1"/>
  <c r="S1408" i="2" s="1"/>
  <c r="S1438" i="2" s="1"/>
  <c r="S1468" i="2" s="1"/>
  <c r="S1498" i="2" s="1"/>
  <c r="S1528" i="2" s="1"/>
  <c r="S1558" i="2" s="1"/>
  <c r="S1588" i="2" s="1"/>
  <c r="S1618" i="2" s="1"/>
  <c r="S1648" i="2" s="1"/>
  <c r="S1678" i="2" s="1"/>
  <c r="S1708" i="2" s="1"/>
  <c r="S1738" i="2" s="1"/>
  <c r="S1768" i="2" s="1"/>
  <c r="S1798" i="2" s="1"/>
  <c r="S1828" i="2" s="1"/>
  <c r="S1858" i="2" s="1"/>
  <c r="S1888" i="2" s="1"/>
  <c r="S1918" i="2" s="1"/>
  <c r="S1948" i="2" s="1"/>
  <c r="S1978" i="2" s="1"/>
  <c r="S2008" i="2" s="1"/>
  <c r="S2038" i="2" s="1"/>
  <c r="S2068" i="2" s="1"/>
  <c r="S2098" i="2" s="1"/>
  <c r="S2128" i="2" s="1"/>
  <c r="S2158" i="2" s="1"/>
  <c r="S2188" i="2" s="1"/>
  <c r="S2218" i="2" s="1"/>
  <c r="S2248" i="2" s="1"/>
  <c r="S2278" i="2" s="1"/>
  <c r="S2308" i="2" s="1"/>
  <c r="S2338" i="2" s="1"/>
  <c r="S2368" i="2" s="1"/>
  <c r="S2398" i="2" s="1"/>
  <c r="S29" i="2"/>
  <c r="S59" i="2" s="1"/>
  <c r="S89" i="2" s="1"/>
  <c r="S119" i="2" s="1"/>
  <c r="S149" i="2" s="1"/>
  <c r="S179" i="2" s="1"/>
  <c r="S209" i="2" s="1"/>
  <c r="S239" i="2" s="1"/>
  <c r="S269" i="2" s="1"/>
  <c r="S299" i="2" s="1"/>
  <c r="S329" i="2" s="1"/>
  <c r="S359" i="2" s="1"/>
  <c r="S389" i="2" s="1"/>
  <c r="S419" i="2" s="1"/>
  <c r="S449" i="2" s="1"/>
  <c r="S479" i="2" s="1"/>
  <c r="S509" i="2" s="1"/>
  <c r="S539" i="2" s="1"/>
  <c r="S569" i="2" s="1"/>
  <c r="S599" i="2" s="1"/>
  <c r="S629" i="2" s="1"/>
  <c r="S659" i="2" s="1"/>
  <c r="S689" i="2" s="1"/>
  <c r="S719" i="2" s="1"/>
  <c r="S749" i="2" s="1"/>
  <c r="S779" i="2" s="1"/>
  <c r="S809" i="2" s="1"/>
  <c r="S839" i="2" s="1"/>
  <c r="S869" i="2" s="1"/>
  <c r="S899" i="2" s="1"/>
  <c r="S929" i="2" s="1"/>
  <c r="S959" i="2" s="1"/>
  <c r="S989" i="2" s="1"/>
  <c r="S1019" i="2" s="1"/>
  <c r="S1049" i="2" s="1"/>
  <c r="S1079" i="2" s="1"/>
  <c r="S1109" i="2" s="1"/>
  <c r="S1139" i="2" s="1"/>
  <c r="S1169" i="2" s="1"/>
  <c r="S1199" i="2" s="1"/>
  <c r="S1229" i="2" s="1"/>
  <c r="S1259" i="2" s="1"/>
  <c r="S1289" i="2" s="1"/>
  <c r="S1319" i="2" s="1"/>
  <c r="S1349" i="2" s="1"/>
  <c r="S1379" i="2" s="1"/>
  <c r="S1409" i="2" s="1"/>
  <c r="S1439" i="2" s="1"/>
  <c r="S1469" i="2" s="1"/>
  <c r="S1499" i="2" s="1"/>
  <c r="S1529" i="2" s="1"/>
  <c r="S1559" i="2" s="1"/>
  <c r="S1589" i="2" s="1"/>
  <c r="S1619" i="2" s="1"/>
  <c r="S1649" i="2" s="1"/>
  <c r="S1679" i="2" s="1"/>
  <c r="S1709" i="2" s="1"/>
  <c r="S1739" i="2" s="1"/>
  <c r="S1769" i="2" s="1"/>
  <c r="S1799" i="2" s="1"/>
  <c r="S1829" i="2" s="1"/>
  <c r="S1859" i="2" s="1"/>
  <c r="S1889" i="2" s="1"/>
  <c r="S1919" i="2" s="1"/>
  <c r="S1949" i="2" s="1"/>
  <c r="S1979" i="2" s="1"/>
  <c r="S2009" i="2" s="1"/>
  <c r="S2039" i="2" s="1"/>
  <c r="S2069" i="2" s="1"/>
  <c r="S2099" i="2" s="1"/>
  <c r="S2129" i="2" s="1"/>
  <c r="S2159" i="2" s="1"/>
  <c r="S2189" i="2" s="1"/>
  <c r="S2219" i="2" s="1"/>
  <c r="S2249" i="2" s="1"/>
  <c r="S2279" i="2" s="1"/>
  <c r="S2309" i="2" s="1"/>
  <c r="S2339" i="2" s="1"/>
  <c r="S2369" i="2" s="1"/>
  <c r="S2399" i="2" s="1"/>
  <c r="S30" i="2"/>
  <c r="S60" i="2" s="1"/>
  <c r="S90" i="2" s="1"/>
  <c r="S120" i="2" s="1"/>
  <c r="S150" i="2" s="1"/>
  <c r="S180" i="2" s="1"/>
  <c r="S210" i="2" s="1"/>
  <c r="S240" i="2" s="1"/>
  <c r="S270" i="2" s="1"/>
  <c r="S300" i="2" s="1"/>
  <c r="S330" i="2" s="1"/>
  <c r="S360" i="2" s="1"/>
  <c r="S390" i="2" s="1"/>
  <c r="S420" i="2" s="1"/>
  <c r="S450" i="2" s="1"/>
  <c r="S480" i="2" s="1"/>
  <c r="S510" i="2" s="1"/>
  <c r="S540" i="2" s="1"/>
  <c r="S570" i="2" s="1"/>
  <c r="S600" i="2" s="1"/>
  <c r="S630" i="2" s="1"/>
  <c r="S660" i="2" s="1"/>
  <c r="S690" i="2" s="1"/>
  <c r="S720" i="2" s="1"/>
  <c r="S750" i="2" s="1"/>
  <c r="S780" i="2" s="1"/>
  <c r="S810" i="2" s="1"/>
  <c r="S840" i="2" s="1"/>
  <c r="S870" i="2" s="1"/>
  <c r="S900" i="2" s="1"/>
  <c r="S930" i="2" s="1"/>
  <c r="S960" i="2" s="1"/>
  <c r="S990" i="2" s="1"/>
  <c r="S1020" i="2" s="1"/>
  <c r="S1050" i="2" s="1"/>
  <c r="S1080" i="2" s="1"/>
  <c r="S1110" i="2" s="1"/>
  <c r="S1140" i="2" s="1"/>
  <c r="S1170" i="2" s="1"/>
  <c r="S1200" i="2" s="1"/>
  <c r="S1230" i="2" s="1"/>
  <c r="S1260" i="2" s="1"/>
  <c r="S1290" i="2" s="1"/>
  <c r="S1320" i="2" s="1"/>
  <c r="S1350" i="2" s="1"/>
  <c r="S1380" i="2" s="1"/>
  <c r="S1410" i="2" s="1"/>
  <c r="S1440" i="2" s="1"/>
  <c r="S1470" i="2" s="1"/>
  <c r="S1500" i="2" s="1"/>
  <c r="S1530" i="2" s="1"/>
  <c r="S1560" i="2" s="1"/>
  <c r="S1590" i="2" s="1"/>
  <c r="S1620" i="2" s="1"/>
  <c r="S1650" i="2" s="1"/>
  <c r="S1680" i="2" s="1"/>
  <c r="S1710" i="2" s="1"/>
  <c r="S1740" i="2" s="1"/>
  <c r="S1770" i="2" s="1"/>
  <c r="S1800" i="2" s="1"/>
  <c r="S1830" i="2" s="1"/>
  <c r="S1860" i="2" s="1"/>
  <c r="S1890" i="2" s="1"/>
  <c r="S1920" i="2" s="1"/>
  <c r="S1950" i="2" s="1"/>
  <c r="S1980" i="2" s="1"/>
  <c r="S2010" i="2" s="1"/>
  <c r="S2040" i="2" s="1"/>
  <c r="S2070" i="2" s="1"/>
  <c r="S2100" i="2" s="1"/>
  <c r="S2130" i="2" s="1"/>
  <c r="S2160" i="2" s="1"/>
  <c r="S2190" i="2" s="1"/>
  <c r="S2220" i="2" s="1"/>
  <c r="S2250" i="2" s="1"/>
  <c r="S2280" i="2" s="1"/>
  <c r="S2310" i="2" s="1"/>
  <c r="S2340" i="2" s="1"/>
  <c r="S2370" i="2" s="1"/>
  <c r="S2400" i="2" s="1"/>
  <c r="S31" i="2"/>
  <c r="S61" i="2" s="1"/>
  <c r="S91" i="2" s="1"/>
  <c r="S121" i="2" s="1"/>
  <c r="S151" i="2" s="1"/>
  <c r="S181" i="2" s="1"/>
  <c r="S211" i="2" s="1"/>
  <c r="S241" i="2" s="1"/>
  <c r="S271" i="2" s="1"/>
  <c r="S301" i="2" s="1"/>
  <c r="S331" i="2" s="1"/>
  <c r="S361" i="2" s="1"/>
  <c r="S391" i="2" s="1"/>
  <c r="S421" i="2" s="1"/>
  <c r="S451" i="2" s="1"/>
  <c r="S481" i="2" s="1"/>
  <c r="S511" i="2" s="1"/>
  <c r="S541" i="2" s="1"/>
  <c r="S571" i="2" s="1"/>
  <c r="S601" i="2" s="1"/>
  <c r="S631" i="2" s="1"/>
  <c r="S661" i="2" s="1"/>
  <c r="S691" i="2" s="1"/>
  <c r="S721" i="2" s="1"/>
  <c r="S751" i="2" s="1"/>
  <c r="S781" i="2" s="1"/>
  <c r="S811" i="2" s="1"/>
  <c r="S841" i="2" s="1"/>
  <c r="S871" i="2" s="1"/>
  <c r="S901" i="2" s="1"/>
  <c r="S931" i="2" s="1"/>
  <c r="S961" i="2" s="1"/>
  <c r="S991" i="2" s="1"/>
  <c r="S1021" i="2" s="1"/>
  <c r="S1051" i="2" s="1"/>
  <c r="S1081" i="2" s="1"/>
  <c r="S1111" i="2" s="1"/>
  <c r="S1141" i="2" s="1"/>
  <c r="S1171" i="2" s="1"/>
  <c r="S1201" i="2" s="1"/>
  <c r="S1231" i="2" s="1"/>
  <c r="S1261" i="2" s="1"/>
  <c r="S1291" i="2" s="1"/>
  <c r="S1321" i="2" s="1"/>
  <c r="S1351" i="2" s="1"/>
  <c r="S1381" i="2" s="1"/>
  <c r="S1411" i="2" s="1"/>
  <c r="S1441" i="2" s="1"/>
  <c r="S1471" i="2" s="1"/>
  <c r="S1501" i="2" s="1"/>
  <c r="S1531" i="2" s="1"/>
  <c r="S1561" i="2" s="1"/>
  <c r="S1591" i="2" s="1"/>
  <c r="S1621" i="2" s="1"/>
  <c r="S1651" i="2" s="1"/>
  <c r="S1681" i="2" s="1"/>
  <c r="S1711" i="2" s="1"/>
  <c r="S1741" i="2" s="1"/>
  <c r="S1771" i="2" s="1"/>
  <c r="S1801" i="2" s="1"/>
  <c r="S1831" i="2" s="1"/>
  <c r="S1861" i="2" s="1"/>
  <c r="S1891" i="2" s="1"/>
  <c r="S1921" i="2" s="1"/>
  <c r="S1951" i="2" s="1"/>
  <c r="S1981" i="2" s="1"/>
  <c r="S2011" i="2" s="1"/>
  <c r="S2041" i="2" s="1"/>
  <c r="S2071" i="2" s="1"/>
  <c r="S2101" i="2" s="1"/>
  <c r="S2131" i="2" s="1"/>
  <c r="S2161" i="2" s="1"/>
  <c r="S2191" i="2" s="1"/>
  <c r="S2221" i="2" s="1"/>
  <c r="S2251" i="2" s="1"/>
  <c r="S2281" i="2" s="1"/>
  <c r="S2311" i="2" s="1"/>
  <c r="S2341" i="2" s="1"/>
  <c r="S2371" i="2" s="1"/>
  <c r="S2401" i="2" s="1"/>
  <c r="S2" i="2"/>
  <c r="S32" i="2" s="1"/>
  <c r="S62" i="2" s="1"/>
  <c r="S92" i="2" s="1"/>
  <c r="S122" i="2" s="1"/>
  <c r="S152" i="2" s="1"/>
  <c r="S182" i="2" s="1"/>
  <c r="S212" i="2" s="1"/>
  <c r="S242" i="2" s="1"/>
  <c r="S272" i="2" s="1"/>
  <c r="S302" i="2" s="1"/>
  <c r="S332" i="2" s="1"/>
  <c r="S362" i="2" s="1"/>
  <c r="S392" i="2" s="1"/>
  <c r="S422" i="2" s="1"/>
  <c r="S452" i="2" s="1"/>
  <c r="S482" i="2" s="1"/>
  <c r="S512" i="2" s="1"/>
  <c r="S542" i="2" s="1"/>
  <c r="S572" i="2" s="1"/>
  <c r="S602" i="2" s="1"/>
  <c r="S632" i="2" s="1"/>
  <c r="S662" i="2" s="1"/>
  <c r="S692" i="2" s="1"/>
  <c r="S722" i="2" s="1"/>
  <c r="S752" i="2" s="1"/>
  <c r="S782" i="2" s="1"/>
  <c r="S812" i="2" s="1"/>
  <c r="S842" i="2" s="1"/>
  <c r="S872" i="2" s="1"/>
  <c r="S902" i="2" s="1"/>
  <c r="S932" i="2" s="1"/>
  <c r="S962" i="2" s="1"/>
  <c r="S992" i="2" s="1"/>
  <c r="S1022" i="2" s="1"/>
  <c r="S1052" i="2" s="1"/>
  <c r="S1082" i="2" s="1"/>
  <c r="S1112" i="2" s="1"/>
  <c r="S1142" i="2" s="1"/>
  <c r="S1172" i="2" s="1"/>
  <c r="S1202" i="2" s="1"/>
  <c r="S1232" i="2" s="1"/>
  <c r="S1262" i="2" s="1"/>
  <c r="S1292" i="2" s="1"/>
  <c r="S1322" i="2" s="1"/>
  <c r="S1352" i="2" s="1"/>
  <c r="S1382" i="2" s="1"/>
  <c r="S1412" i="2" s="1"/>
  <c r="S1442" i="2" s="1"/>
  <c r="S1472" i="2" s="1"/>
  <c r="S1502" i="2" s="1"/>
  <c r="S1532" i="2" s="1"/>
  <c r="S1562" i="2" s="1"/>
  <c r="S1592" i="2" s="1"/>
  <c r="S1622" i="2" s="1"/>
  <c r="S1652" i="2" s="1"/>
  <c r="S1682" i="2" s="1"/>
  <c r="S1712" i="2" s="1"/>
  <c r="S1742" i="2" s="1"/>
  <c r="S1772" i="2" s="1"/>
  <c r="S1802" i="2" s="1"/>
  <c r="S1832" i="2" s="1"/>
  <c r="S1862" i="2" s="1"/>
  <c r="S1892" i="2" s="1"/>
  <c r="S1922" i="2" s="1"/>
  <c r="S1952" i="2" s="1"/>
  <c r="S1982" i="2" s="1"/>
  <c r="S2012" i="2" s="1"/>
  <c r="S2042" i="2" s="1"/>
  <c r="S2072" i="2" s="1"/>
  <c r="S2102" i="2" s="1"/>
  <c r="S2132" i="2" s="1"/>
  <c r="S2162" i="2" s="1"/>
  <c r="S2192" i="2" s="1"/>
  <c r="S2222" i="2" s="1"/>
  <c r="S2252" i="2" s="1"/>
  <c r="S2282" i="2" s="1"/>
  <c r="S2312" i="2" s="1"/>
  <c r="S2342" i="2" s="1"/>
  <c r="S2372" i="2" s="1"/>
  <c r="R3" i="2"/>
  <c r="R33" i="2" s="1"/>
  <c r="R63" i="2" s="1"/>
  <c r="R93" i="2" s="1"/>
  <c r="R123" i="2" s="1"/>
  <c r="R153" i="2" s="1"/>
  <c r="R183" i="2" s="1"/>
  <c r="R213" i="2" s="1"/>
  <c r="R243" i="2" s="1"/>
  <c r="R273" i="2" s="1"/>
  <c r="R303" i="2" s="1"/>
  <c r="R333" i="2" s="1"/>
  <c r="R363" i="2" s="1"/>
  <c r="R393" i="2" s="1"/>
  <c r="R423" i="2" s="1"/>
  <c r="R453" i="2" s="1"/>
  <c r="R483" i="2" s="1"/>
  <c r="R513" i="2" s="1"/>
  <c r="R543" i="2" s="1"/>
  <c r="R573" i="2" s="1"/>
  <c r="R603" i="2" s="1"/>
  <c r="R633" i="2" s="1"/>
  <c r="R663" i="2" s="1"/>
  <c r="R693" i="2" s="1"/>
  <c r="R723" i="2" s="1"/>
  <c r="R753" i="2" s="1"/>
  <c r="R783" i="2" s="1"/>
  <c r="R813" i="2" s="1"/>
  <c r="R843" i="2" s="1"/>
  <c r="R873" i="2" s="1"/>
  <c r="R903" i="2" s="1"/>
  <c r="R933" i="2" s="1"/>
  <c r="R963" i="2" s="1"/>
  <c r="R993" i="2" s="1"/>
  <c r="R1023" i="2" s="1"/>
  <c r="R1053" i="2" s="1"/>
  <c r="R1083" i="2" s="1"/>
  <c r="R1113" i="2" s="1"/>
  <c r="R1143" i="2" s="1"/>
  <c r="R1173" i="2" s="1"/>
  <c r="R1203" i="2" s="1"/>
  <c r="R1233" i="2" s="1"/>
  <c r="R1263" i="2" s="1"/>
  <c r="R1293" i="2" s="1"/>
  <c r="R1323" i="2" s="1"/>
  <c r="R1353" i="2" s="1"/>
  <c r="R1383" i="2" s="1"/>
  <c r="R1413" i="2" s="1"/>
  <c r="R1443" i="2" s="1"/>
  <c r="R1473" i="2" s="1"/>
  <c r="R1503" i="2" s="1"/>
  <c r="R1533" i="2" s="1"/>
  <c r="R1563" i="2" s="1"/>
  <c r="R1593" i="2" s="1"/>
  <c r="R1623" i="2" s="1"/>
  <c r="R1653" i="2" s="1"/>
  <c r="R1683" i="2" s="1"/>
  <c r="R1713" i="2" s="1"/>
  <c r="R1743" i="2" s="1"/>
  <c r="R1773" i="2" s="1"/>
  <c r="R1803" i="2" s="1"/>
  <c r="R1833" i="2" s="1"/>
  <c r="R1863" i="2" s="1"/>
  <c r="R1893" i="2" s="1"/>
  <c r="R1923" i="2" s="1"/>
  <c r="R1953" i="2" s="1"/>
  <c r="R1983" i="2" s="1"/>
  <c r="R2013" i="2" s="1"/>
  <c r="R2043" i="2" s="1"/>
  <c r="R2073" i="2" s="1"/>
  <c r="R2103" i="2" s="1"/>
  <c r="R2133" i="2" s="1"/>
  <c r="R2163" i="2" s="1"/>
  <c r="R2193" i="2" s="1"/>
  <c r="R2223" i="2" s="1"/>
  <c r="R2253" i="2" s="1"/>
  <c r="R2283" i="2" s="1"/>
  <c r="R2313" i="2" s="1"/>
  <c r="R2343" i="2" s="1"/>
  <c r="R2373" i="2" s="1"/>
  <c r="R4" i="2"/>
  <c r="R34" i="2" s="1"/>
  <c r="R64" i="2" s="1"/>
  <c r="R94" i="2" s="1"/>
  <c r="R124" i="2" s="1"/>
  <c r="R154" i="2" s="1"/>
  <c r="R184" i="2" s="1"/>
  <c r="R214" i="2" s="1"/>
  <c r="R244" i="2" s="1"/>
  <c r="R274" i="2" s="1"/>
  <c r="R304" i="2" s="1"/>
  <c r="R334" i="2" s="1"/>
  <c r="R364" i="2" s="1"/>
  <c r="R394" i="2" s="1"/>
  <c r="R424" i="2" s="1"/>
  <c r="R454" i="2" s="1"/>
  <c r="R484" i="2" s="1"/>
  <c r="R514" i="2" s="1"/>
  <c r="R544" i="2" s="1"/>
  <c r="R574" i="2" s="1"/>
  <c r="R604" i="2" s="1"/>
  <c r="R634" i="2" s="1"/>
  <c r="R664" i="2" s="1"/>
  <c r="R694" i="2" s="1"/>
  <c r="R724" i="2" s="1"/>
  <c r="R754" i="2" s="1"/>
  <c r="R784" i="2" s="1"/>
  <c r="R814" i="2" s="1"/>
  <c r="R844" i="2" s="1"/>
  <c r="R874" i="2" s="1"/>
  <c r="R904" i="2" s="1"/>
  <c r="R934" i="2" s="1"/>
  <c r="R964" i="2" s="1"/>
  <c r="R994" i="2" s="1"/>
  <c r="R1024" i="2" s="1"/>
  <c r="R1054" i="2" s="1"/>
  <c r="R1084" i="2" s="1"/>
  <c r="R1114" i="2" s="1"/>
  <c r="R1144" i="2" s="1"/>
  <c r="R1174" i="2" s="1"/>
  <c r="R1204" i="2" s="1"/>
  <c r="R1234" i="2" s="1"/>
  <c r="R1264" i="2" s="1"/>
  <c r="R1294" i="2" s="1"/>
  <c r="R1324" i="2" s="1"/>
  <c r="R1354" i="2" s="1"/>
  <c r="R1384" i="2" s="1"/>
  <c r="R1414" i="2" s="1"/>
  <c r="R1444" i="2" s="1"/>
  <c r="R1474" i="2" s="1"/>
  <c r="R1504" i="2" s="1"/>
  <c r="R1534" i="2" s="1"/>
  <c r="R1564" i="2" s="1"/>
  <c r="R1594" i="2" s="1"/>
  <c r="R1624" i="2" s="1"/>
  <c r="R1654" i="2" s="1"/>
  <c r="R1684" i="2" s="1"/>
  <c r="R1714" i="2" s="1"/>
  <c r="R1744" i="2" s="1"/>
  <c r="R1774" i="2" s="1"/>
  <c r="R1804" i="2" s="1"/>
  <c r="R1834" i="2" s="1"/>
  <c r="R1864" i="2" s="1"/>
  <c r="R1894" i="2" s="1"/>
  <c r="R1924" i="2" s="1"/>
  <c r="R1954" i="2" s="1"/>
  <c r="R1984" i="2" s="1"/>
  <c r="R2014" i="2" s="1"/>
  <c r="R2044" i="2" s="1"/>
  <c r="R2074" i="2" s="1"/>
  <c r="R2104" i="2" s="1"/>
  <c r="R2134" i="2" s="1"/>
  <c r="R2164" i="2" s="1"/>
  <c r="R2194" i="2" s="1"/>
  <c r="R2224" i="2" s="1"/>
  <c r="R2254" i="2" s="1"/>
  <c r="R2284" i="2" s="1"/>
  <c r="R2314" i="2" s="1"/>
  <c r="R2344" i="2" s="1"/>
  <c r="R2374" i="2" s="1"/>
  <c r="R5" i="2"/>
  <c r="R35" i="2" s="1"/>
  <c r="R65" i="2" s="1"/>
  <c r="R95" i="2" s="1"/>
  <c r="R125" i="2" s="1"/>
  <c r="R155" i="2" s="1"/>
  <c r="R185" i="2" s="1"/>
  <c r="R215" i="2" s="1"/>
  <c r="R245" i="2" s="1"/>
  <c r="R275" i="2" s="1"/>
  <c r="R305" i="2" s="1"/>
  <c r="R335" i="2" s="1"/>
  <c r="R365" i="2" s="1"/>
  <c r="R395" i="2" s="1"/>
  <c r="R425" i="2" s="1"/>
  <c r="R455" i="2" s="1"/>
  <c r="R485" i="2" s="1"/>
  <c r="R515" i="2" s="1"/>
  <c r="R545" i="2" s="1"/>
  <c r="R575" i="2" s="1"/>
  <c r="R605" i="2" s="1"/>
  <c r="R635" i="2" s="1"/>
  <c r="R665" i="2" s="1"/>
  <c r="R695" i="2" s="1"/>
  <c r="R725" i="2" s="1"/>
  <c r="R755" i="2" s="1"/>
  <c r="R785" i="2" s="1"/>
  <c r="R815" i="2" s="1"/>
  <c r="R845" i="2" s="1"/>
  <c r="R875" i="2" s="1"/>
  <c r="R905" i="2" s="1"/>
  <c r="R935" i="2" s="1"/>
  <c r="R965" i="2" s="1"/>
  <c r="R995" i="2" s="1"/>
  <c r="R1025" i="2" s="1"/>
  <c r="R1055" i="2" s="1"/>
  <c r="R1085" i="2" s="1"/>
  <c r="R1115" i="2" s="1"/>
  <c r="R1145" i="2" s="1"/>
  <c r="R1175" i="2" s="1"/>
  <c r="R1205" i="2" s="1"/>
  <c r="R1235" i="2" s="1"/>
  <c r="R1265" i="2" s="1"/>
  <c r="R1295" i="2" s="1"/>
  <c r="R1325" i="2" s="1"/>
  <c r="R1355" i="2" s="1"/>
  <c r="R1385" i="2" s="1"/>
  <c r="R1415" i="2" s="1"/>
  <c r="R1445" i="2" s="1"/>
  <c r="R1475" i="2" s="1"/>
  <c r="R1505" i="2" s="1"/>
  <c r="R1535" i="2" s="1"/>
  <c r="R1565" i="2" s="1"/>
  <c r="R1595" i="2" s="1"/>
  <c r="R1625" i="2" s="1"/>
  <c r="R1655" i="2" s="1"/>
  <c r="R1685" i="2" s="1"/>
  <c r="R1715" i="2" s="1"/>
  <c r="R1745" i="2" s="1"/>
  <c r="R1775" i="2" s="1"/>
  <c r="R1805" i="2" s="1"/>
  <c r="R1835" i="2" s="1"/>
  <c r="R1865" i="2" s="1"/>
  <c r="R1895" i="2" s="1"/>
  <c r="R1925" i="2" s="1"/>
  <c r="R1955" i="2" s="1"/>
  <c r="R1985" i="2" s="1"/>
  <c r="R2015" i="2" s="1"/>
  <c r="R2045" i="2" s="1"/>
  <c r="R2075" i="2" s="1"/>
  <c r="R2105" i="2" s="1"/>
  <c r="R2135" i="2" s="1"/>
  <c r="R2165" i="2" s="1"/>
  <c r="R2195" i="2" s="1"/>
  <c r="R2225" i="2" s="1"/>
  <c r="R2255" i="2" s="1"/>
  <c r="R2285" i="2" s="1"/>
  <c r="R2315" i="2" s="1"/>
  <c r="R2345" i="2" s="1"/>
  <c r="R2375" i="2" s="1"/>
  <c r="R6" i="2"/>
  <c r="R36" i="2" s="1"/>
  <c r="R66" i="2" s="1"/>
  <c r="R96" i="2" s="1"/>
  <c r="R126" i="2" s="1"/>
  <c r="R156" i="2" s="1"/>
  <c r="R186" i="2" s="1"/>
  <c r="R216" i="2" s="1"/>
  <c r="R246" i="2" s="1"/>
  <c r="R276" i="2" s="1"/>
  <c r="R306" i="2" s="1"/>
  <c r="R336" i="2" s="1"/>
  <c r="R366" i="2" s="1"/>
  <c r="R396" i="2" s="1"/>
  <c r="R426" i="2" s="1"/>
  <c r="R456" i="2" s="1"/>
  <c r="R486" i="2" s="1"/>
  <c r="R516" i="2" s="1"/>
  <c r="R546" i="2" s="1"/>
  <c r="R576" i="2" s="1"/>
  <c r="R606" i="2" s="1"/>
  <c r="R636" i="2" s="1"/>
  <c r="R666" i="2" s="1"/>
  <c r="R696" i="2" s="1"/>
  <c r="R726" i="2" s="1"/>
  <c r="R756" i="2" s="1"/>
  <c r="R786" i="2" s="1"/>
  <c r="R816" i="2" s="1"/>
  <c r="R846" i="2" s="1"/>
  <c r="R876" i="2" s="1"/>
  <c r="R906" i="2" s="1"/>
  <c r="R936" i="2" s="1"/>
  <c r="R966" i="2" s="1"/>
  <c r="R996" i="2" s="1"/>
  <c r="R1026" i="2" s="1"/>
  <c r="R1056" i="2" s="1"/>
  <c r="R1086" i="2" s="1"/>
  <c r="R1116" i="2" s="1"/>
  <c r="R1146" i="2" s="1"/>
  <c r="R1176" i="2" s="1"/>
  <c r="R1206" i="2" s="1"/>
  <c r="R1236" i="2" s="1"/>
  <c r="R1266" i="2" s="1"/>
  <c r="R1296" i="2" s="1"/>
  <c r="R1326" i="2" s="1"/>
  <c r="R1356" i="2" s="1"/>
  <c r="R1386" i="2" s="1"/>
  <c r="R1416" i="2" s="1"/>
  <c r="R1446" i="2" s="1"/>
  <c r="R1476" i="2" s="1"/>
  <c r="R1506" i="2" s="1"/>
  <c r="R1536" i="2" s="1"/>
  <c r="R1566" i="2" s="1"/>
  <c r="R1596" i="2" s="1"/>
  <c r="R1626" i="2" s="1"/>
  <c r="R1656" i="2" s="1"/>
  <c r="R1686" i="2" s="1"/>
  <c r="R1716" i="2" s="1"/>
  <c r="R1746" i="2" s="1"/>
  <c r="R1776" i="2" s="1"/>
  <c r="R1806" i="2" s="1"/>
  <c r="R1836" i="2" s="1"/>
  <c r="R1866" i="2" s="1"/>
  <c r="R1896" i="2" s="1"/>
  <c r="R1926" i="2" s="1"/>
  <c r="R1956" i="2" s="1"/>
  <c r="R1986" i="2" s="1"/>
  <c r="R2016" i="2" s="1"/>
  <c r="R2046" i="2" s="1"/>
  <c r="R2076" i="2" s="1"/>
  <c r="R2106" i="2" s="1"/>
  <c r="R2136" i="2" s="1"/>
  <c r="R2166" i="2" s="1"/>
  <c r="R2196" i="2" s="1"/>
  <c r="R2226" i="2" s="1"/>
  <c r="R2256" i="2" s="1"/>
  <c r="R2286" i="2" s="1"/>
  <c r="R2316" i="2" s="1"/>
  <c r="R2346" i="2" s="1"/>
  <c r="R2376" i="2" s="1"/>
  <c r="R7" i="2"/>
  <c r="R37" i="2" s="1"/>
  <c r="R67" i="2" s="1"/>
  <c r="R97" i="2" s="1"/>
  <c r="R127" i="2" s="1"/>
  <c r="R157" i="2" s="1"/>
  <c r="R187" i="2" s="1"/>
  <c r="R217" i="2" s="1"/>
  <c r="R247" i="2" s="1"/>
  <c r="R277" i="2" s="1"/>
  <c r="R307" i="2" s="1"/>
  <c r="R337" i="2" s="1"/>
  <c r="R367" i="2" s="1"/>
  <c r="R397" i="2" s="1"/>
  <c r="R427" i="2" s="1"/>
  <c r="R457" i="2" s="1"/>
  <c r="R487" i="2" s="1"/>
  <c r="R517" i="2" s="1"/>
  <c r="R547" i="2" s="1"/>
  <c r="R577" i="2" s="1"/>
  <c r="R607" i="2" s="1"/>
  <c r="R637" i="2" s="1"/>
  <c r="R667" i="2" s="1"/>
  <c r="R697" i="2" s="1"/>
  <c r="R727" i="2" s="1"/>
  <c r="R757" i="2" s="1"/>
  <c r="R787" i="2" s="1"/>
  <c r="R817" i="2" s="1"/>
  <c r="R847" i="2" s="1"/>
  <c r="R877" i="2" s="1"/>
  <c r="R907" i="2" s="1"/>
  <c r="R937" i="2" s="1"/>
  <c r="R967" i="2" s="1"/>
  <c r="R997" i="2" s="1"/>
  <c r="R1027" i="2" s="1"/>
  <c r="R1057" i="2" s="1"/>
  <c r="R1087" i="2" s="1"/>
  <c r="R1117" i="2" s="1"/>
  <c r="R1147" i="2" s="1"/>
  <c r="R1177" i="2" s="1"/>
  <c r="R1207" i="2" s="1"/>
  <c r="R1237" i="2" s="1"/>
  <c r="R1267" i="2" s="1"/>
  <c r="R1297" i="2" s="1"/>
  <c r="R1327" i="2" s="1"/>
  <c r="R1357" i="2" s="1"/>
  <c r="R1387" i="2" s="1"/>
  <c r="R1417" i="2" s="1"/>
  <c r="R1447" i="2" s="1"/>
  <c r="R1477" i="2" s="1"/>
  <c r="R1507" i="2" s="1"/>
  <c r="R1537" i="2" s="1"/>
  <c r="R1567" i="2" s="1"/>
  <c r="R1597" i="2" s="1"/>
  <c r="R1627" i="2" s="1"/>
  <c r="R1657" i="2" s="1"/>
  <c r="R1687" i="2" s="1"/>
  <c r="R1717" i="2" s="1"/>
  <c r="R1747" i="2" s="1"/>
  <c r="R1777" i="2" s="1"/>
  <c r="R1807" i="2" s="1"/>
  <c r="R1837" i="2" s="1"/>
  <c r="R1867" i="2" s="1"/>
  <c r="R1897" i="2" s="1"/>
  <c r="R1927" i="2" s="1"/>
  <c r="R1957" i="2" s="1"/>
  <c r="R1987" i="2" s="1"/>
  <c r="R2017" i="2" s="1"/>
  <c r="R2047" i="2" s="1"/>
  <c r="R2077" i="2" s="1"/>
  <c r="R2107" i="2" s="1"/>
  <c r="R2137" i="2" s="1"/>
  <c r="R2167" i="2" s="1"/>
  <c r="R2197" i="2" s="1"/>
  <c r="R2227" i="2" s="1"/>
  <c r="R2257" i="2" s="1"/>
  <c r="R2287" i="2" s="1"/>
  <c r="R2317" i="2" s="1"/>
  <c r="R2347" i="2" s="1"/>
  <c r="R2377" i="2" s="1"/>
  <c r="R8" i="2"/>
  <c r="R38" i="2" s="1"/>
  <c r="R68" i="2" s="1"/>
  <c r="R98" i="2" s="1"/>
  <c r="R128" i="2" s="1"/>
  <c r="R158" i="2" s="1"/>
  <c r="R188" i="2" s="1"/>
  <c r="R218" i="2" s="1"/>
  <c r="R248" i="2" s="1"/>
  <c r="R278" i="2" s="1"/>
  <c r="R308" i="2" s="1"/>
  <c r="R338" i="2" s="1"/>
  <c r="R368" i="2" s="1"/>
  <c r="R398" i="2" s="1"/>
  <c r="R428" i="2" s="1"/>
  <c r="R458" i="2" s="1"/>
  <c r="R488" i="2" s="1"/>
  <c r="R518" i="2" s="1"/>
  <c r="R548" i="2" s="1"/>
  <c r="R578" i="2" s="1"/>
  <c r="R608" i="2" s="1"/>
  <c r="R638" i="2" s="1"/>
  <c r="R668" i="2" s="1"/>
  <c r="R698" i="2" s="1"/>
  <c r="R728" i="2" s="1"/>
  <c r="R758" i="2" s="1"/>
  <c r="R788" i="2" s="1"/>
  <c r="R818" i="2" s="1"/>
  <c r="R848" i="2" s="1"/>
  <c r="R878" i="2" s="1"/>
  <c r="R908" i="2" s="1"/>
  <c r="R938" i="2" s="1"/>
  <c r="R968" i="2" s="1"/>
  <c r="R998" i="2" s="1"/>
  <c r="R1028" i="2" s="1"/>
  <c r="R1058" i="2" s="1"/>
  <c r="R1088" i="2" s="1"/>
  <c r="R1118" i="2" s="1"/>
  <c r="R1148" i="2" s="1"/>
  <c r="R1178" i="2" s="1"/>
  <c r="R1208" i="2" s="1"/>
  <c r="R1238" i="2" s="1"/>
  <c r="R1268" i="2" s="1"/>
  <c r="R1298" i="2" s="1"/>
  <c r="R1328" i="2" s="1"/>
  <c r="R1358" i="2" s="1"/>
  <c r="R1388" i="2" s="1"/>
  <c r="R1418" i="2" s="1"/>
  <c r="R1448" i="2" s="1"/>
  <c r="R1478" i="2" s="1"/>
  <c r="R1508" i="2" s="1"/>
  <c r="R1538" i="2" s="1"/>
  <c r="R1568" i="2" s="1"/>
  <c r="R1598" i="2" s="1"/>
  <c r="R1628" i="2" s="1"/>
  <c r="R1658" i="2" s="1"/>
  <c r="R1688" i="2" s="1"/>
  <c r="R1718" i="2" s="1"/>
  <c r="R1748" i="2" s="1"/>
  <c r="R1778" i="2" s="1"/>
  <c r="R1808" i="2" s="1"/>
  <c r="R1838" i="2" s="1"/>
  <c r="R1868" i="2" s="1"/>
  <c r="R1898" i="2" s="1"/>
  <c r="R1928" i="2" s="1"/>
  <c r="R1958" i="2" s="1"/>
  <c r="R1988" i="2" s="1"/>
  <c r="R2018" i="2" s="1"/>
  <c r="R2048" i="2" s="1"/>
  <c r="R2078" i="2" s="1"/>
  <c r="R2108" i="2" s="1"/>
  <c r="R2138" i="2" s="1"/>
  <c r="R2168" i="2" s="1"/>
  <c r="R2198" i="2" s="1"/>
  <c r="R2228" i="2" s="1"/>
  <c r="R2258" i="2" s="1"/>
  <c r="R2288" i="2" s="1"/>
  <c r="R2318" i="2" s="1"/>
  <c r="R2348" i="2" s="1"/>
  <c r="R2378" i="2" s="1"/>
  <c r="R9" i="2"/>
  <c r="R39" i="2" s="1"/>
  <c r="R69" i="2" s="1"/>
  <c r="R99" i="2" s="1"/>
  <c r="R129" i="2" s="1"/>
  <c r="R159" i="2" s="1"/>
  <c r="R189" i="2" s="1"/>
  <c r="R219" i="2" s="1"/>
  <c r="R249" i="2" s="1"/>
  <c r="R279" i="2" s="1"/>
  <c r="R309" i="2" s="1"/>
  <c r="R339" i="2" s="1"/>
  <c r="R369" i="2" s="1"/>
  <c r="R399" i="2" s="1"/>
  <c r="R429" i="2" s="1"/>
  <c r="R459" i="2" s="1"/>
  <c r="R489" i="2" s="1"/>
  <c r="R519" i="2" s="1"/>
  <c r="R549" i="2" s="1"/>
  <c r="R579" i="2" s="1"/>
  <c r="R609" i="2" s="1"/>
  <c r="R639" i="2" s="1"/>
  <c r="R669" i="2" s="1"/>
  <c r="R699" i="2" s="1"/>
  <c r="R729" i="2" s="1"/>
  <c r="R759" i="2" s="1"/>
  <c r="R789" i="2" s="1"/>
  <c r="R819" i="2" s="1"/>
  <c r="R849" i="2" s="1"/>
  <c r="R879" i="2" s="1"/>
  <c r="R909" i="2" s="1"/>
  <c r="R939" i="2" s="1"/>
  <c r="R969" i="2" s="1"/>
  <c r="R999" i="2" s="1"/>
  <c r="R1029" i="2" s="1"/>
  <c r="R1059" i="2" s="1"/>
  <c r="R1089" i="2" s="1"/>
  <c r="R1119" i="2" s="1"/>
  <c r="R1149" i="2" s="1"/>
  <c r="R1179" i="2" s="1"/>
  <c r="R1209" i="2" s="1"/>
  <c r="R1239" i="2" s="1"/>
  <c r="R1269" i="2" s="1"/>
  <c r="R1299" i="2" s="1"/>
  <c r="R1329" i="2" s="1"/>
  <c r="R1359" i="2" s="1"/>
  <c r="R1389" i="2" s="1"/>
  <c r="R1419" i="2" s="1"/>
  <c r="R1449" i="2" s="1"/>
  <c r="R1479" i="2" s="1"/>
  <c r="R1509" i="2" s="1"/>
  <c r="R1539" i="2" s="1"/>
  <c r="R1569" i="2" s="1"/>
  <c r="R1599" i="2" s="1"/>
  <c r="R1629" i="2" s="1"/>
  <c r="R1659" i="2" s="1"/>
  <c r="R1689" i="2" s="1"/>
  <c r="R1719" i="2" s="1"/>
  <c r="R1749" i="2" s="1"/>
  <c r="R1779" i="2" s="1"/>
  <c r="R1809" i="2" s="1"/>
  <c r="R1839" i="2" s="1"/>
  <c r="R1869" i="2" s="1"/>
  <c r="R1899" i="2" s="1"/>
  <c r="R1929" i="2" s="1"/>
  <c r="R1959" i="2" s="1"/>
  <c r="R1989" i="2" s="1"/>
  <c r="R2019" i="2" s="1"/>
  <c r="R2049" i="2" s="1"/>
  <c r="R2079" i="2" s="1"/>
  <c r="R2109" i="2" s="1"/>
  <c r="R2139" i="2" s="1"/>
  <c r="R2169" i="2" s="1"/>
  <c r="R2199" i="2" s="1"/>
  <c r="R2229" i="2" s="1"/>
  <c r="R2259" i="2" s="1"/>
  <c r="R2289" i="2" s="1"/>
  <c r="R2319" i="2" s="1"/>
  <c r="R2349" i="2" s="1"/>
  <c r="R2379" i="2" s="1"/>
  <c r="R10" i="2"/>
  <c r="R40" i="2" s="1"/>
  <c r="R70" i="2" s="1"/>
  <c r="R100" i="2" s="1"/>
  <c r="R130" i="2" s="1"/>
  <c r="R160" i="2" s="1"/>
  <c r="R190" i="2" s="1"/>
  <c r="R220" i="2" s="1"/>
  <c r="R250" i="2" s="1"/>
  <c r="R280" i="2" s="1"/>
  <c r="R310" i="2" s="1"/>
  <c r="R340" i="2" s="1"/>
  <c r="R370" i="2" s="1"/>
  <c r="R400" i="2" s="1"/>
  <c r="R430" i="2" s="1"/>
  <c r="R460" i="2" s="1"/>
  <c r="R490" i="2" s="1"/>
  <c r="R520" i="2" s="1"/>
  <c r="R550" i="2" s="1"/>
  <c r="R580" i="2" s="1"/>
  <c r="R610" i="2" s="1"/>
  <c r="R640" i="2" s="1"/>
  <c r="R670" i="2" s="1"/>
  <c r="R700" i="2" s="1"/>
  <c r="R730" i="2" s="1"/>
  <c r="R760" i="2" s="1"/>
  <c r="R790" i="2" s="1"/>
  <c r="R820" i="2" s="1"/>
  <c r="R850" i="2" s="1"/>
  <c r="R880" i="2" s="1"/>
  <c r="R910" i="2" s="1"/>
  <c r="R940" i="2" s="1"/>
  <c r="R970" i="2" s="1"/>
  <c r="R1000" i="2" s="1"/>
  <c r="R1030" i="2" s="1"/>
  <c r="R1060" i="2" s="1"/>
  <c r="R1090" i="2" s="1"/>
  <c r="R1120" i="2" s="1"/>
  <c r="R1150" i="2" s="1"/>
  <c r="R1180" i="2" s="1"/>
  <c r="R1210" i="2" s="1"/>
  <c r="R1240" i="2" s="1"/>
  <c r="R1270" i="2" s="1"/>
  <c r="R1300" i="2" s="1"/>
  <c r="R1330" i="2" s="1"/>
  <c r="R1360" i="2" s="1"/>
  <c r="R1390" i="2" s="1"/>
  <c r="R1420" i="2" s="1"/>
  <c r="R1450" i="2" s="1"/>
  <c r="R1480" i="2" s="1"/>
  <c r="R1510" i="2" s="1"/>
  <c r="R1540" i="2" s="1"/>
  <c r="R1570" i="2" s="1"/>
  <c r="R1600" i="2" s="1"/>
  <c r="R1630" i="2" s="1"/>
  <c r="R1660" i="2" s="1"/>
  <c r="R1690" i="2" s="1"/>
  <c r="R1720" i="2" s="1"/>
  <c r="R1750" i="2" s="1"/>
  <c r="R1780" i="2" s="1"/>
  <c r="R1810" i="2" s="1"/>
  <c r="R1840" i="2" s="1"/>
  <c r="R1870" i="2" s="1"/>
  <c r="R1900" i="2" s="1"/>
  <c r="R1930" i="2" s="1"/>
  <c r="R1960" i="2" s="1"/>
  <c r="R1990" i="2" s="1"/>
  <c r="R2020" i="2" s="1"/>
  <c r="R2050" i="2" s="1"/>
  <c r="R2080" i="2" s="1"/>
  <c r="R2110" i="2" s="1"/>
  <c r="R2140" i="2" s="1"/>
  <c r="R2170" i="2" s="1"/>
  <c r="R2200" i="2" s="1"/>
  <c r="R2230" i="2" s="1"/>
  <c r="R2260" i="2" s="1"/>
  <c r="R2290" i="2" s="1"/>
  <c r="R2320" i="2" s="1"/>
  <c r="R2350" i="2" s="1"/>
  <c r="R2380" i="2" s="1"/>
  <c r="R11" i="2"/>
  <c r="R41" i="2" s="1"/>
  <c r="R71" i="2" s="1"/>
  <c r="R101" i="2" s="1"/>
  <c r="R131" i="2" s="1"/>
  <c r="R161" i="2" s="1"/>
  <c r="R191" i="2" s="1"/>
  <c r="R221" i="2" s="1"/>
  <c r="R251" i="2" s="1"/>
  <c r="R281" i="2" s="1"/>
  <c r="R311" i="2" s="1"/>
  <c r="R341" i="2" s="1"/>
  <c r="R371" i="2" s="1"/>
  <c r="R401" i="2" s="1"/>
  <c r="R431" i="2" s="1"/>
  <c r="R461" i="2" s="1"/>
  <c r="R491" i="2" s="1"/>
  <c r="R521" i="2" s="1"/>
  <c r="R551" i="2" s="1"/>
  <c r="R581" i="2" s="1"/>
  <c r="R611" i="2" s="1"/>
  <c r="R641" i="2" s="1"/>
  <c r="R671" i="2" s="1"/>
  <c r="R701" i="2" s="1"/>
  <c r="R731" i="2" s="1"/>
  <c r="R761" i="2" s="1"/>
  <c r="R791" i="2" s="1"/>
  <c r="R821" i="2" s="1"/>
  <c r="R851" i="2" s="1"/>
  <c r="R881" i="2" s="1"/>
  <c r="R911" i="2" s="1"/>
  <c r="R941" i="2" s="1"/>
  <c r="R971" i="2" s="1"/>
  <c r="R1001" i="2" s="1"/>
  <c r="R1031" i="2" s="1"/>
  <c r="R1061" i="2" s="1"/>
  <c r="R1091" i="2" s="1"/>
  <c r="R1121" i="2" s="1"/>
  <c r="R1151" i="2" s="1"/>
  <c r="R1181" i="2" s="1"/>
  <c r="R1211" i="2" s="1"/>
  <c r="R1241" i="2" s="1"/>
  <c r="R1271" i="2" s="1"/>
  <c r="R1301" i="2" s="1"/>
  <c r="R1331" i="2" s="1"/>
  <c r="R1361" i="2" s="1"/>
  <c r="R1391" i="2" s="1"/>
  <c r="R1421" i="2" s="1"/>
  <c r="R1451" i="2" s="1"/>
  <c r="R1481" i="2" s="1"/>
  <c r="R1511" i="2" s="1"/>
  <c r="R1541" i="2" s="1"/>
  <c r="R1571" i="2" s="1"/>
  <c r="R1601" i="2" s="1"/>
  <c r="R1631" i="2" s="1"/>
  <c r="R1661" i="2" s="1"/>
  <c r="R1691" i="2" s="1"/>
  <c r="R1721" i="2" s="1"/>
  <c r="R1751" i="2" s="1"/>
  <c r="R1781" i="2" s="1"/>
  <c r="R1811" i="2" s="1"/>
  <c r="R1841" i="2" s="1"/>
  <c r="R1871" i="2" s="1"/>
  <c r="R1901" i="2" s="1"/>
  <c r="R1931" i="2" s="1"/>
  <c r="R1961" i="2" s="1"/>
  <c r="R1991" i="2" s="1"/>
  <c r="R2021" i="2" s="1"/>
  <c r="R2051" i="2" s="1"/>
  <c r="R2081" i="2" s="1"/>
  <c r="R2111" i="2" s="1"/>
  <c r="R2141" i="2" s="1"/>
  <c r="R2171" i="2" s="1"/>
  <c r="R2201" i="2" s="1"/>
  <c r="R2231" i="2" s="1"/>
  <c r="R2261" i="2" s="1"/>
  <c r="R2291" i="2" s="1"/>
  <c r="R2321" i="2" s="1"/>
  <c r="R2351" i="2" s="1"/>
  <c r="R2381" i="2" s="1"/>
  <c r="R12" i="2"/>
  <c r="R42" i="2" s="1"/>
  <c r="R72" i="2" s="1"/>
  <c r="R102" i="2" s="1"/>
  <c r="R132" i="2" s="1"/>
  <c r="R162" i="2" s="1"/>
  <c r="R192" i="2" s="1"/>
  <c r="R222" i="2" s="1"/>
  <c r="R252" i="2" s="1"/>
  <c r="R282" i="2" s="1"/>
  <c r="R312" i="2" s="1"/>
  <c r="R342" i="2" s="1"/>
  <c r="R372" i="2" s="1"/>
  <c r="R402" i="2" s="1"/>
  <c r="R432" i="2" s="1"/>
  <c r="R462" i="2" s="1"/>
  <c r="R492" i="2" s="1"/>
  <c r="R522" i="2" s="1"/>
  <c r="R552" i="2" s="1"/>
  <c r="R582" i="2" s="1"/>
  <c r="R612" i="2" s="1"/>
  <c r="R642" i="2" s="1"/>
  <c r="R672" i="2" s="1"/>
  <c r="R702" i="2" s="1"/>
  <c r="R732" i="2" s="1"/>
  <c r="R762" i="2" s="1"/>
  <c r="R792" i="2" s="1"/>
  <c r="R822" i="2" s="1"/>
  <c r="R852" i="2" s="1"/>
  <c r="R882" i="2" s="1"/>
  <c r="R912" i="2" s="1"/>
  <c r="R942" i="2" s="1"/>
  <c r="R972" i="2" s="1"/>
  <c r="R1002" i="2" s="1"/>
  <c r="R1032" i="2" s="1"/>
  <c r="R1062" i="2" s="1"/>
  <c r="R1092" i="2" s="1"/>
  <c r="R1122" i="2" s="1"/>
  <c r="R1152" i="2" s="1"/>
  <c r="R1182" i="2" s="1"/>
  <c r="R1212" i="2" s="1"/>
  <c r="R1242" i="2" s="1"/>
  <c r="R1272" i="2" s="1"/>
  <c r="R1302" i="2" s="1"/>
  <c r="R1332" i="2" s="1"/>
  <c r="R1362" i="2" s="1"/>
  <c r="R1392" i="2" s="1"/>
  <c r="R1422" i="2" s="1"/>
  <c r="R1452" i="2" s="1"/>
  <c r="R1482" i="2" s="1"/>
  <c r="R1512" i="2" s="1"/>
  <c r="R1542" i="2" s="1"/>
  <c r="R1572" i="2" s="1"/>
  <c r="R1602" i="2" s="1"/>
  <c r="R1632" i="2" s="1"/>
  <c r="R1662" i="2" s="1"/>
  <c r="R1692" i="2" s="1"/>
  <c r="R1722" i="2" s="1"/>
  <c r="R1752" i="2" s="1"/>
  <c r="R1782" i="2" s="1"/>
  <c r="R1812" i="2" s="1"/>
  <c r="R1842" i="2" s="1"/>
  <c r="R1872" i="2" s="1"/>
  <c r="R1902" i="2" s="1"/>
  <c r="R1932" i="2" s="1"/>
  <c r="R1962" i="2" s="1"/>
  <c r="R1992" i="2" s="1"/>
  <c r="R2022" i="2" s="1"/>
  <c r="R2052" i="2" s="1"/>
  <c r="R2082" i="2" s="1"/>
  <c r="R2112" i="2" s="1"/>
  <c r="R2142" i="2" s="1"/>
  <c r="R2172" i="2" s="1"/>
  <c r="R2202" i="2" s="1"/>
  <c r="R2232" i="2" s="1"/>
  <c r="R2262" i="2" s="1"/>
  <c r="R2292" i="2" s="1"/>
  <c r="R2322" i="2" s="1"/>
  <c r="R2352" i="2" s="1"/>
  <c r="R2382" i="2" s="1"/>
  <c r="R13" i="2"/>
  <c r="R43" i="2" s="1"/>
  <c r="R73" i="2" s="1"/>
  <c r="R103" i="2" s="1"/>
  <c r="R133" i="2" s="1"/>
  <c r="R163" i="2" s="1"/>
  <c r="R193" i="2" s="1"/>
  <c r="R223" i="2" s="1"/>
  <c r="R253" i="2" s="1"/>
  <c r="R283" i="2" s="1"/>
  <c r="R313" i="2" s="1"/>
  <c r="R343" i="2" s="1"/>
  <c r="R373" i="2" s="1"/>
  <c r="R403" i="2" s="1"/>
  <c r="R433" i="2" s="1"/>
  <c r="R463" i="2" s="1"/>
  <c r="R493" i="2" s="1"/>
  <c r="R523" i="2" s="1"/>
  <c r="R553" i="2" s="1"/>
  <c r="R583" i="2" s="1"/>
  <c r="R613" i="2" s="1"/>
  <c r="R643" i="2" s="1"/>
  <c r="R673" i="2" s="1"/>
  <c r="R703" i="2" s="1"/>
  <c r="R733" i="2" s="1"/>
  <c r="R763" i="2" s="1"/>
  <c r="R793" i="2" s="1"/>
  <c r="R823" i="2" s="1"/>
  <c r="R853" i="2" s="1"/>
  <c r="R883" i="2" s="1"/>
  <c r="R913" i="2" s="1"/>
  <c r="R943" i="2" s="1"/>
  <c r="R973" i="2" s="1"/>
  <c r="R1003" i="2" s="1"/>
  <c r="R1033" i="2" s="1"/>
  <c r="R1063" i="2" s="1"/>
  <c r="R1093" i="2" s="1"/>
  <c r="R1123" i="2" s="1"/>
  <c r="R1153" i="2" s="1"/>
  <c r="R1183" i="2" s="1"/>
  <c r="R1213" i="2" s="1"/>
  <c r="R1243" i="2" s="1"/>
  <c r="R1273" i="2" s="1"/>
  <c r="R1303" i="2" s="1"/>
  <c r="R1333" i="2" s="1"/>
  <c r="R1363" i="2" s="1"/>
  <c r="R1393" i="2" s="1"/>
  <c r="R1423" i="2" s="1"/>
  <c r="R1453" i="2" s="1"/>
  <c r="R1483" i="2" s="1"/>
  <c r="R1513" i="2" s="1"/>
  <c r="R1543" i="2" s="1"/>
  <c r="R1573" i="2" s="1"/>
  <c r="R1603" i="2" s="1"/>
  <c r="R1633" i="2" s="1"/>
  <c r="R1663" i="2" s="1"/>
  <c r="R1693" i="2" s="1"/>
  <c r="R1723" i="2" s="1"/>
  <c r="R1753" i="2" s="1"/>
  <c r="R1783" i="2" s="1"/>
  <c r="R1813" i="2" s="1"/>
  <c r="R1843" i="2" s="1"/>
  <c r="R1873" i="2" s="1"/>
  <c r="R1903" i="2" s="1"/>
  <c r="R1933" i="2" s="1"/>
  <c r="R1963" i="2" s="1"/>
  <c r="R1993" i="2" s="1"/>
  <c r="R2023" i="2" s="1"/>
  <c r="R2053" i="2" s="1"/>
  <c r="R2083" i="2" s="1"/>
  <c r="R2113" i="2" s="1"/>
  <c r="R2143" i="2" s="1"/>
  <c r="R2173" i="2" s="1"/>
  <c r="R2203" i="2" s="1"/>
  <c r="R2233" i="2" s="1"/>
  <c r="R2263" i="2" s="1"/>
  <c r="R2293" i="2" s="1"/>
  <c r="R2323" i="2" s="1"/>
  <c r="R2353" i="2" s="1"/>
  <c r="R2383" i="2" s="1"/>
  <c r="R14" i="2"/>
  <c r="R44" i="2" s="1"/>
  <c r="R74" i="2" s="1"/>
  <c r="R104" i="2" s="1"/>
  <c r="R134" i="2" s="1"/>
  <c r="R164" i="2" s="1"/>
  <c r="R194" i="2" s="1"/>
  <c r="R224" i="2" s="1"/>
  <c r="R254" i="2" s="1"/>
  <c r="R284" i="2" s="1"/>
  <c r="R314" i="2" s="1"/>
  <c r="R344" i="2" s="1"/>
  <c r="R374" i="2" s="1"/>
  <c r="R404" i="2" s="1"/>
  <c r="R434" i="2" s="1"/>
  <c r="R464" i="2" s="1"/>
  <c r="R494" i="2" s="1"/>
  <c r="R524" i="2" s="1"/>
  <c r="R554" i="2" s="1"/>
  <c r="R584" i="2" s="1"/>
  <c r="R614" i="2" s="1"/>
  <c r="R644" i="2" s="1"/>
  <c r="R674" i="2" s="1"/>
  <c r="R704" i="2" s="1"/>
  <c r="R734" i="2" s="1"/>
  <c r="R764" i="2" s="1"/>
  <c r="R794" i="2" s="1"/>
  <c r="R824" i="2" s="1"/>
  <c r="R854" i="2" s="1"/>
  <c r="R884" i="2" s="1"/>
  <c r="R914" i="2" s="1"/>
  <c r="R944" i="2" s="1"/>
  <c r="R974" i="2" s="1"/>
  <c r="R1004" i="2" s="1"/>
  <c r="R1034" i="2" s="1"/>
  <c r="R1064" i="2" s="1"/>
  <c r="R1094" i="2" s="1"/>
  <c r="R1124" i="2" s="1"/>
  <c r="R1154" i="2" s="1"/>
  <c r="R1184" i="2" s="1"/>
  <c r="R1214" i="2" s="1"/>
  <c r="R1244" i="2" s="1"/>
  <c r="R1274" i="2" s="1"/>
  <c r="R1304" i="2" s="1"/>
  <c r="R1334" i="2" s="1"/>
  <c r="R1364" i="2" s="1"/>
  <c r="R1394" i="2" s="1"/>
  <c r="R1424" i="2" s="1"/>
  <c r="R1454" i="2" s="1"/>
  <c r="R1484" i="2" s="1"/>
  <c r="R1514" i="2" s="1"/>
  <c r="R1544" i="2" s="1"/>
  <c r="R1574" i="2" s="1"/>
  <c r="R1604" i="2" s="1"/>
  <c r="R1634" i="2" s="1"/>
  <c r="R1664" i="2" s="1"/>
  <c r="R1694" i="2" s="1"/>
  <c r="R1724" i="2" s="1"/>
  <c r="R1754" i="2" s="1"/>
  <c r="R1784" i="2" s="1"/>
  <c r="R1814" i="2" s="1"/>
  <c r="R1844" i="2" s="1"/>
  <c r="R1874" i="2" s="1"/>
  <c r="R1904" i="2" s="1"/>
  <c r="R1934" i="2" s="1"/>
  <c r="R1964" i="2" s="1"/>
  <c r="R1994" i="2" s="1"/>
  <c r="R2024" i="2" s="1"/>
  <c r="R2054" i="2" s="1"/>
  <c r="R2084" i="2" s="1"/>
  <c r="R2114" i="2" s="1"/>
  <c r="R2144" i="2" s="1"/>
  <c r="R2174" i="2" s="1"/>
  <c r="R2204" i="2" s="1"/>
  <c r="R2234" i="2" s="1"/>
  <c r="R2264" i="2" s="1"/>
  <c r="R2294" i="2" s="1"/>
  <c r="R2324" i="2" s="1"/>
  <c r="R2354" i="2" s="1"/>
  <c r="R2384" i="2" s="1"/>
  <c r="R15" i="2"/>
  <c r="R45" i="2" s="1"/>
  <c r="R75" i="2" s="1"/>
  <c r="R105" i="2" s="1"/>
  <c r="R135" i="2" s="1"/>
  <c r="R165" i="2" s="1"/>
  <c r="R195" i="2" s="1"/>
  <c r="R225" i="2" s="1"/>
  <c r="R255" i="2" s="1"/>
  <c r="R285" i="2" s="1"/>
  <c r="R315" i="2" s="1"/>
  <c r="R345" i="2" s="1"/>
  <c r="R375" i="2" s="1"/>
  <c r="R405" i="2" s="1"/>
  <c r="R435" i="2" s="1"/>
  <c r="R465" i="2" s="1"/>
  <c r="R495" i="2" s="1"/>
  <c r="R525" i="2" s="1"/>
  <c r="R555" i="2" s="1"/>
  <c r="R585" i="2" s="1"/>
  <c r="R615" i="2" s="1"/>
  <c r="R645" i="2" s="1"/>
  <c r="R675" i="2" s="1"/>
  <c r="R705" i="2" s="1"/>
  <c r="R735" i="2" s="1"/>
  <c r="R765" i="2" s="1"/>
  <c r="R795" i="2" s="1"/>
  <c r="R825" i="2" s="1"/>
  <c r="R855" i="2" s="1"/>
  <c r="R885" i="2" s="1"/>
  <c r="R915" i="2" s="1"/>
  <c r="R945" i="2" s="1"/>
  <c r="R975" i="2" s="1"/>
  <c r="R1005" i="2" s="1"/>
  <c r="R1035" i="2" s="1"/>
  <c r="R1065" i="2" s="1"/>
  <c r="R1095" i="2" s="1"/>
  <c r="R1125" i="2" s="1"/>
  <c r="R1155" i="2" s="1"/>
  <c r="R1185" i="2" s="1"/>
  <c r="R1215" i="2" s="1"/>
  <c r="R1245" i="2" s="1"/>
  <c r="R1275" i="2" s="1"/>
  <c r="R1305" i="2" s="1"/>
  <c r="R1335" i="2" s="1"/>
  <c r="R1365" i="2" s="1"/>
  <c r="R1395" i="2" s="1"/>
  <c r="R1425" i="2" s="1"/>
  <c r="R1455" i="2" s="1"/>
  <c r="R1485" i="2" s="1"/>
  <c r="R1515" i="2" s="1"/>
  <c r="R1545" i="2" s="1"/>
  <c r="R1575" i="2" s="1"/>
  <c r="R1605" i="2" s="1"/>
  <c r="R1635" i="2" s="1"/>
  <c r="R1665" i="2" s="1"/>
  <c r="R1695" i="2" s="1"/>
  <c r="R1725" i="2" s="1"/>
  <c r="R1755" i="2" s="1"/>
  <c r="R1785" i="2" s="1"/>
  <c r="R1815" i="2" s="1"/>
  <c r="R1845" i="2" s="1"/>
  <c r="R1875" i="2" s="1"/>
  <c r="R1905" i="2" s="1"/>
  <c r="R1935" i="2" s="1"/>
  <c r="R1965" i="2" s="1"/>
  <c r="R1995" i="2" s="1"/>
  <c r="R2025" i="2" s="1"/>
  <c r="R2055" i="2" s="1"/>
  <c r="R2085" i="2" s="1"/>
  <c r="R2115" i="2" s="1"/>
  <c r="R2145" i="2" s="1"/>
  <c r="R2175" i="2" s="1"/>
  <c r="R2205" i="2" s="1"/>
  <c r="R2235" i="2" s="1"/>
  <c r="R2265" i="2" s="1"/>
  <c r="R2295" i="2" s="1"/>
  <c r="R2325" i="2" s="1"/>
  <c r="R2355" i="2" s="1"/>
  <c r="R2385" i="2" s="1"/>
  <c r="R16" i="2"/>
  <c r="R46" i="2" s="1"/>
  <c r="R76" i="2" s="1"/>
  <c r="R106" i="2" s="1"/>
  <c r="R136" i="2" s="1"/>
  <c r="R166" i="2" s="1"/>
  <c r="R196" i="2" s="1"/>
  <c r="R226" i="2" s="1"/>
  <c r="R256" i="2" s="1"/>
  <c r="R286" i="2" s="1"/>
  <c r="R316" i="2" s="1"/>
  <c r="R346" i="2" s="1"/>
  <c r="R376" i="2" s="1"/>
  <c r="R406" i="2" s="1"/>
  <c r="R436" i="2" s="1"/>
  <c r="R466" i="2" s="1"/>
  <c r="R496" i="2" s="1"/>
  <c r="R526" i="2" s="1"/>
  <c r="R556" i="2" s="1"/>
  <c r="R586" i="2" s="1"/>
  <c r="R616" i="2" s="1"/>
  <c r="R646" i="2" s="1"/>
  <c r="R676" i="2" s="1"/>
  <c r="R706" i="2" s="1"/>
  <c r="R736" i="2" s="1"/>
  <c r="R766" i="2" s="1"/>
  <c r="R796" i="2" s="1"/>
  <c r="R826" i="2" s="1"/>
  <c r="R856" i="2" s="1"/>
  <c r="R886" i="2" s="1"/>
  <c r="R916" i="2" s="1"/>
  <c r="R946" i="2" s="1"/>
  <c r="R976" i="2" s="1"/>
  <c r="R1006" i="2" s="1"/>
  <c r="R1036" i="2" s="1"/>
  <c r="R1066" i="2" s="1"/>
  <c r="R1096" i="2" s="1"/>
  <c r="R1126" i="2" s="1"/>
  <c r="R1156" i="2" s="1"/>
  <c r="R1186" i="2" s="1"/>
  <c r="R1216" i="2" s="1"/>
  <c r="R1246" i="2" s="1"/>
  <c r="R1276" i="2" s="1"/>
  <c r="R1306" i="2" s="1"/>
  <c r="R1336" i="2" s="1"/>
  <c r="R1366" i="2" s="1"/>
  <c r="R1396" i="2" s="1"/>
  <c r="R1426" i="2" s="1"/>
  <c r="R1456" i="2" s="1"/>
  <c r="R1486" i="2" s="1"/>
  <c r="R1516" i="2" s="1"/>
  <c r="R1546" i="2" s="1"/>
  <c r="R1576" i="2" s="1"/>
  <c r="R1606" i="2" s="1"/>
  <c r="R1636" i="2" s="1"/>
  <c r="R1666" i="2" s="1"/>
  <c r="R1696" i="2" s="1"/>
  <c r="R1726" i="2" s="1"/>
  <c r="R1756" i="2" s="1"/>
  <c r="R1786" i="2" s="1"/>
  <c r="R1816" i="2" s="1"/>
  <c r="R1846" i="2" s="1"/>
  <c r="R1876" i="2" s="1"/>
  <c r="R1906" i="2" s="1"/>
  <c r="R1936" i="2" s="1"/>
  <c r="R1966" i="2" s="1"/>
  <c r="R1996" i="2" s="1"/>
  <c r="R2026" i="2" s="1"/>
  <c r="R2056" i="2" s="1"/>
  <c r="R2086" i="2" s="1"/>
  <c r="R2116" i="2" s="1"/>
  <c r="R2146" i="2" s="1"/>
  <c r="R2176" i="2" s="1"/>
  <c r="R2206" i="2" s="1"/>
  <c r="R2236" i="2" s="1"/>
  <c r="R2266" i="2" s="1"/>
  <c r="R2296" i="2" s="1"/>
  <c r="R2326" i="2" s="1"/>
  <c r="R2356" i="2" s="1"/>
  <c r="R2386" i="2" s="1"/>
  <c r="R17" i="2"/>
  <c r="R47" i="2" s="1"/>
  <c r="R77" i="2" s="1"/>
  <c r="R107" i="2" s="1"/>
  <c r="R137" i="2" s="1"/>
  <c r="R167" i="2" s="1"/>
  <c r="R197" i="2" s="1"/>
  <c r="R227" i="2" s="1"/>
  <c r="R257" i="2" s="1"/>
  <c r="R287" i="2" s="1"/>
  <c r="R317" i="2" s="1"/>
  <c r="R347" i="2" s="1"/>
  <c r="R377" i="2" s="1"/>
  <c r="R407" i="2" s="1"/>
  <c r="R437" i="2" s="1"/>
  <c r="R467" i="2" s="1"/>
  <c r="R497" i="2" s="1"/>
  <c r="R527" i="2" s="1"/>
  <c r="R557" i="2" s="1"/>
  <c r="R587" i="2" s="1"/>
  <c r="R617" i="2" s="1"/>
  <c r="R647" i="2" s="1"/>
  <c r="R677" i="2" s="1"/>
  <c r="R707" i="2" s="1"/>
  <c r="R737" i="2" s="1"/>
  <c r="R767" i="2" s="1"/>
  <c r="R797" i="2" s="1"/>
  <c r="R827" i="2" s="1"/>
  <c r="R857" i="2" s="1"/>
  <c r="R887" i="2" s="1"/>
  <c r="R917" i="2" s="1"/>
  <c r="R947" i="2" s="1"/>
  <c r="R977" i="2" s="1"/>
  <c r="R1007" i="2" s="1"/>
  <c r="R1037" i="2" s="1"/>
  <c r="R1067" i="2" s="1"/>
  <c r="R1097" i="2" s="1"/>
  <c r="R1127" i="2" s="1"/>
  <c r="R1157" i="2" s="1"/>
  <c r="R1187" i="2" s="1"/>
  <c r="R1217" i="2" s="1"/>
  <c r="R1247" i="2" s="1"/>
  <c r="R1277" i="2" s="1"/>
  <c r="R1307" i="2" s="1"/>
  <c r="R1337" i="2" s="1"/>
  <c r="R1367" i="2" s="1"/>
  <c r="R1397" i="2" s="1"/>
  <c r="R1427" i="2" s="1"/>
  <c r="R1457" i="2" s="1"/>
  <c r="R1487" i="2" s="1"/>
  <c r="R1517" i="2" s="1"/>
  <c r="R1547" i="2" s="1"/>
  <c r="R1577" i="2" s="1"/>
  <c r="R1607" i="2" s="1"/>
  <c r="R1637" i="2" s="1"/>
  <c r="R1667" i="2" s="1"/>
  <c r="R1697" i="2" s="1"/>
  <c r="R1727" i="2" s="1"/>
  <c r="R1757" i="2" s="1"/>
  <c r="R1787" i="2" s="1"/>
  <c r="R1817" i="2" s="1"/>
  <c r="R1847" i="2" s="1"/>
  <c r="R1877" i="2" s="1"/>
  <c r="R1907" i="2" s="1"/>
  <c r="R1937" i="2" s="1"/>
  <c r="R1967" i="2" s="1"/>
  <c r="R1997" i="2" s="1"/>
  <c r="R2027" i="2" s="1"/>
  <c r="R2057" i="2" s="1"/>
  <c r="R2087" i="2" s="1"/>
  <c r="R2117" i="2" s="1"/>
  <c r="R2147" i="2" s="1"/>
  <c r="R2177" i="2" s="1"/>
  <c r="R2207" i="2" s="1"/>
  <c r="R2237" i="2" s="1"/>
  <c r="R2267" i="2" s="1"/>
  <c r="R2297" i="2" s="1"/>
  <c r="R2327" i="2" s="1"/>
  <c r="R2357" i="2" s="1"/>
  <c r="R2387" i="2" s="1"/>
  <c r="R18" i="2"/>
  <c r="R48" i="2" s="1"/>
  <c r="R78" i="2" s="1"/>
  <c r="R108" i="2" s="1"/>
  <c r="R138" i="2" s="1"/>
  <c r="R168" i="2" s="1"/>
  <c r="R198" i="2" s="1"/>
  <c r="R228" i="2" s="1"/>
  <c r="R258" i="2" s="1"/>
  <c r="R288" i="2" s="1"/>
  <c r="R318" i="2" s="1"/>
  <c r="R348" i="2" s="1"/>
  <c r="R378" i="2" s="1"/>
  <c r="R408" i="2" s="1"/>
  <c r="R438" i="2" s="1"/>
  <c r="R468" i="2" s="1"/>
  <c r="R498" i="2" s="1"/>
  <c r="R528" i="2" s="1"/>
  <c r="R558" i="2" s="1"/>
  <c r="R588" i="2" s="1"/>
  <c r="R618" i="2" s="1"/>
  <c r="R648" i="2" s="1"/>
  <c r="R678" i="2" s="1"/>
  <c r="R708" i="2" s="1"/>
  <c r="R738" i="2" s="1"/>
  <c r="R768" i="2" s="1"/>
  <c r="R798" i="2" s="1"/>
  <c r="R828" i="2" s="1"/>
  <c r="R858" i="2" s="1"/>
  <c r="R888" i="2" s="1"/>
  <c r="R918" i="2" s="1"/>
  <c r="R948" i="2" s="1"/>
  <c r="R978" i="2" s="1"/>
  <c r="R1008" i="2" s="1"/>
  <c r="R1038" i="2" s="1"/>
  <c r="R1068" i="2" s="1"/>
  <c r="R1098" i="2" s="1"/>
  <c r="R1128" i="2" s="1"/>
  <c r="R1158" i="2" s="1"/>
  <c r="R1188" i="2" s="1"/>
  <c r="R1218" i="2" s="1"/>
  <c r="R1248" i="2" s="1"/>
  <c r="R1278" i="2" s="1"/>
  <c r="R1308" i="2" s="1"/>
  <c r="R1338" i="2" s="1"/>
  <c r="R1368" i="2" s="1"/>
  <c r="R1398" i="2" s="1"/>
  <c r="R1428" i="2" s="1"/>
  <c r="R1458" i="2" s="1"/>
  <c r="R1488" i="2" s="1"/>
  <c r="R1518" i="2" s="1"/>
  <c r="R1548" i="2" s="1"/>
  <c r="R1578" i="2" s="1"/>
  <c r="R1608" i="2" s="1"/>
  <c r="R1638" i="2" s="1"/>
  <c r="R1668" i="2" s="1"/>
  <c r="R1698" i="2" s="1"/>
  <c r="R1728" i="2" s="1"/>
  <c r="R1758" i="2" s="1"/>
  <c r="R1788" i="2" s="1"/>
  <c r="R1818" i="2" s="1"/>
  <c r="R1848" i="2" s="1"/>
  <c r="R1878" i="2" s="1"/>
  <c r="R1908" i="2" s="1"/>
  <c r="R1938" i="2" s="1"/>
  <c r="R1968" i="2" s="1"/>
  <c r="R1998" i="2" s="1"/>
  <c r="R2028" i="2" s="1"/>
  <c r="R2058" i="2" s="1"/>
  <c r="R2088" i="2" s="1"/>
  <c r="R2118" i="2" s="1"/>
  <c r="R2148" i="2" s="1"/>
  <c r="R2178" i="2" s="1"/>
  <c r="R2208" i="2" s="1"/>
  <c r="R2238" i="2" s="1"/>
  <c r="R2268" i="2" s="1"/>
  <c r="R2298" i="2" s="1"/>
  <c r="R2328" i="2" s="1"/>
  <c r="R2358" i="2" s="1"/>
  <c r="R2388" i="2" s="1"/>
  <c r="R19" i="2"/>
  <c r="R49" i="2" s="1"/>
  <c r="R79" i="2" s="1"/>
  <c r="R109" i="2" s="1"/>
  <c r="R139" i="2" s="1"/>
  <c r="R169" i="2" s="1"/>
  <c r="R199" i="2" s="1"/>
  <c r="R229" i="2" s="1"/>
  <c r="R259" i="2" s="1"/>
  <c r="R289" i="2" s="1"/>
  <c r="R319" i="2" s="1"/>
  <c r="R349" i="2" s="1"/>
  <c r="R379" i="2" s="1"/>
  <c r="R409" i="2" s="1"/>
  <c r="R439" i="2" s="1"/>
  <c r="R469" i="2" s="1"/>
  <c r="R499" i="2" s="1"/>
  <c r="R529" i="2" s="1"/>
  <c r="R559" i="2" s="1"/>
  <c r="R589" i="2" s="1"/>
  <c r="R619" i="2" s="1"/>
  <c r="R649" i="2" s="1"/>
  <c r="R679" i="2" s="1"/>
  <c r="R709" i="2" s="1"/>
  <c r="R739" i="2" s="1"/>
  <c r="R769" i="2" s="1"/>
  <c r="R799" i="2" s="1"/>
  <c r="R829" i="2" s="1"/>
  <c r="R859" i="2" s="1"/>
  <c r="R889" i="2" s="1"/>
  <c r="R919" i="2" s="1"/>
  <c r="R949" i="2" s="1"/>
  <c r="R979" i="2" s="1"/>
  <c r="R1009" i="2" s="1"/>
  <c r="R1039" i="2" s="1"/>
  <c r="R1069" i="2" s="1"/>
  <c r="R1099" i="2" s="1"/>
  <c r="R1129" i="2" s="1"/>
  <c r="R1159" i="2" s="1"/>
  <c r="R1189" i="2" s="1"/>
  <c r="R1219" i="2" s="1"/>
  <c r="R1249" i="2" s="1"/>
  <c r="R1279" i="2" s="1"/>
  <c r="R1309" i="2" s="1"/>
  <c r="R1339" i="2" s="1"/>
  <c r="R1369" i="2" s="1"/>
  <c r="R1399" i="2" s="1"/>
  <c r="R1429" i="2" s="1"/>
  <c r="R1459" i="2" s="1"/>
  <c r="R1489" i="2" s="1"/>
  <c r="R1519" i="2" s="1"/>
  <c r="R1549" i="2" s="1"/>
  <c r="R1579" i="2" s="1"/>
  <c r="R1609" i="2" s="1"/>
  <c r="R1639" i="2" s="1"/>
  <c r="R1669" i="2" s="1"/>
  <c r="R1699" i="2" s="1"/>
  <c r="R1729" i="2" s="1"/>
  <c r="R1759" i="2" s="1"/>
  <c r="R1789" i="2" s="1"/>
  <c r="R1819" i="2" s="1"/>
  <c r="R1849" i="2" s="1"/>
  <c r="R1879" i="2" s="1"/>
  <c r="R1909" i="2" s="1"/>
  <c r="R1939" i="2" s="1"/>
  <c r="R1969" i="2" s="1"/>
  <c r="R1999" i="2" s="1"/>
  <c r="R2029" i="2" s="1"/>
  <c r="R2059" i="2" s="1"/>
  <c r="R2089" i="2" s="1"/>
  <c r="R2119" i="2" s="1"/>
  <c r="R2149" i="2" s="1"/>
  <c r="R2179" i="2" s="1"/>
  <c r="R2209" i="2" s="1"/>
  <c r="R2239" i="2" s="1"/>
  <c r="R2269" i="2" s="1"/>
  <c r="R2299" i="2" s="1"/>
  <c r="R2329" i="2" s="1"/>
  <c r="R2359" i="2" s="1"/>
  <c r="R2389" i="2" s="1"/>
  <c r="R20" i="2"/>
  <c r="R50" i="2" s="1"/>
  <c r="R80" i="2" s="1"/>
  <c r="R110" i="2" s="1"/>
  <c r="R140" i="2" s="1"/>
  <c r="R170" i="2" s="1"/>
  <c r="R200" i="2" s="1"/>
  <c r="R230" i="2" s="1"/>
  <c r="R260" i="2" s="1"/>
  <c r="R290" i="2" s="1"/>
  <c r="R320" i="2" s="1"/>
  <c r="R350" i="2" s="1"/>
  <c r="R380" i="2" s="1"/>
  <c r="R410" i="2" s="1"/>
  <c r="R440" i="2" s="1"/>
  <c r="R470" i="2" s="1"/>
  <c r="R500" i="2" s="1"/>
  <c r="R530" i="2" s="1"/>
  <c r="R560" i="2" s="1"/>
  <c r="R590" i="2" s="1"/>
  <c r="R620" i="2" s="1"/>
  <c r="R650" i="2" s="1"/>
  <c r="R680" i="2" s="1"/>
  <c r="R710" i="2" s="1"/>
  <c r="R740" i="2" s="1"/>
  <c r="R770" i="2" s="1"/>
  <c r="R800" i="2" s="1"/>
  <c r="R830" i="2" s="1"/>
  <c r="R860" i="2" s="1"/>
  <c r="R890" i="2" s="1"/>
  <c r="R920" i="2" s="1"/>
  <c r="R950" i="2" s="1"/>
  <c r="R980" i="2" s="1"/>
  <c r="R1010" i="2" s="1"/>
  <c r="R1040" i="2" s="1"/>
  <c r="R1070" i="2" s="1"/>
  <c r="R1100" i="2" s="1"/>
  <c r="R1130" i="2" s="1"/>
  <c r="R1160" i="2" s="1"/>
  <c r="R1190" i="2" s="1"/>
  <c r="R1220" i="2" s="1"/>
  <c r="R1250" i="2" s="1"/>
  <c r="R1280" i="2" s="1"/>
  <c r="R1310" i="2" s="1"/>
  <c r="R1340" i="2" s="1"/>
  <c r="R1370" i="2" s="1"/>
  <c r="R1400" i="2" s="1"/>
  <c r="R1430" i="2" s="1"/>
  <c r="R1460" i="2" s="1"/>
  <c r="R1490" i="2" s="1"/>
  <c r="R1520" i="2" s="1"/>
  <c r="R1550" i="2" s="1"/>
  <c r="R1580" i="2" s="1"/>
  <c r="R1610" i="2" s="1"/>
  <c r="R1640" i="2" s="1"/>
  <c r="R1670" i="2" s="1"/>
  <c r="R1700" i="2" s="1"/>
  <c r="R1730" i="2" s="1"/>
  <c r="R1760" i="2" s="1"/>
  <c r="R1790" i="2" s="1"/>
  <c r="R1820" i="2" s="1"/>
  <c r="R1850" i="2" s="1"/>
  <c r="R1880" i="2" s="1"/>
  <c r="R1910" i="2" s="1"/>
  <c r="R1940" i="2" s="1"/>
  <c r="R1970" i="2" s="1"/>
  <c r="R2000" i="2" s="1"/>
  <c r="R2030" i="2" s="1"/>
  <c r="R2060" i="2" s="1"/>
  <c r="R2090" i="2" s="1"/>
  <c r="R2120" i="2" s="1"/>
  <c r="R2150" i="2" s="1"/>
  <c r="R2180" i="2" s="1"/>
  <c r="R2210" i="2" s="1"/>
  <c r="R2240" i="2" s="1"/>
  <c r="R2270" i="2" s="1"/>
  <c r="R2300" i="2" s="1"/>
  <c r="R2330" i="2" s="1"/>
  <c r="R2360" i="2" s="1"/>
  <c r="R2390" i="2" s="1"/>
  <c r="R21" i="2"/>
  <c r="R51" i="2" s="1"/>
  <c r="R81" i="2" s="1"/>
  <c r="R111" i="2" s="1"/>
  <c r="R141" i="2" s="1"/>
  <c r="R171" i="2" s="1"/>
  <c r="R201" i="2" s="1"/>
  <c r="R231" i="2" s="1"/>
  <c r="R261" i="2" s="1"/>
  <c r="R291" i="2" s="1"/>
  <c r="R321" i="2" s="1"/>
  <c r="R351" i="2" s="1"/>
  <c r="R381" i="2" s="1"/>
  <c r="R411" i="2" s="1"/>
  <c r="R441" i="2" s="1"/>
  <c r="R471" i="2" s="1"/>
  <c r="R501" i="2" s="1"/>
  <c r="R531" i="2" s="1"/>
  <c r="R561" i="2" s="1"/>
  <c r="R591" i="2" s="1"/>
  <c r="R621" i="2" s="1"/>
  <c r="R651" i="2" s="1"/>
  <c r="R681" i="2" s="1"/>
  <c r="R711" i="2" s="1"/>
  <c r="R741" i="2" s="1"/>
  <c r="R771" i="2" s="1"/>
  <c r="R801" i="2" s="1"/>
  <c r="R831" i="2" s="1"/>
  <c r="R861" i="2" s="1"/>
  <c r="R891" i="2" s="1"/>
  <c r="R921" i="2" s="1"/>
  <c r="R951" i="2" s="1"/>
  <c r="R981" i="2" s="1"/>
  <c r="R1011" i="2" s="1"/>
  <c r="R1041" i="2" s="1"/>
  <c r="R1071" i="2" s="1"/>
  <c r="R1101" i="2" s="1"/>
  <c r="R1131" i="2" s="1"/>
  <c r="R1161" i="2" s="1"/>
  <c r="R1191" i="2" s="1"/>
  <c r="R1221" i="2" s="1"/>
  <c r="R1251" i="2" s="1"/>
  <c r="R1281" i="2" s="1"/>
  <c r="R1311" i="2" s="1"/>
  <c r="R1341" i="2" s="1"/>
  <c r="R1371" i="2" s="1"/>
  <c r="R1401" i="2" s="1"/>
  <c r="R1431" i="2" s="1"/>
  <c r="R1461" i="2" s="1"/>
  <c r="R1491" i="2" s="1"/>
  <c r="R1521" i="2" s="1"/>
  <c r="R1551" i="2" s="1"/>
  <c r="R1581" i="2" s="1"/>
  <c r="R1611" i="2" s="1"/>
  <c r="R1641" i="2" s="1"/>
  <c r="R1671" i="2" s="1"/>
  <c r="R1701" i="2" s="1"/>
  <c r="R1731" i="2" s="1"/>
  <c r="R1761" i="2" s="1"/>
  <c r="R1791" i="2" s="1"/>
  <c r="R1821" i="2" s="1"/>
  <c r="R1851" i="2" s="1"/>
  <c r="R1881" i="2" s="1"/>
  <c r="R1911" i="2" s="1"/>
  <c r="R1941" i="2" s="1"/>
  <c r="R1971" i="2" s="1"/>
  <c r="R2001" i="2" s="1"/>
  <c r="R2031" i="2" s="1"/>
  <c r="R2061" i="2" s="1"/>
  <c r="R2091" i="2" s="1"/>
  <c r="R2121" i="2" s="1"/>
  <c r="R2151" i="2" s="1"/>
  <c r="R2181" i="2" s="1"/>
  <c r="R2211" i="2" s="1"/>
  <c r="R2241" i="2" s="1"/>
  <c r="R2271" i="2" s="1"/>
  <c r="R2301" i="2" s="1"/>
  <c r="R2331" i="2" s="1"/>
  <c r="R2361" i="2" s="1"/>
  <c r="R2391" i="2" s="1"/>
  <c r="R22" i="2"/>
  <c r="R52" i="2" s="1"/>
  <c r="R82" i="2" s="1"/>
  <c r="R112" i="2" s="1"/>
  <c r="R142" i="2" s="1"/>
  <c r="R172" i="2" s="1"/>
  <c r="R202" i="2" s="1"/>
  <c r="R232" i="2" s="1"/>
  <c r="R262" i="2" s="1"/>
  <c r="R292" i="2" s="1"/>
  <c r="R322" i="2" s="1"/>
  <c r="R352" i="2" s="1"/>
  <c r="R382" i="2" s="1"/>
  <c r="R412" i="2" s="1"/>
  <c r="R442" i="2" s="1"/>
  <c r="R472" i="2" s="1"/>
  <c r="R502" i="2" s="1"/>
  <c r="R532" i="2" s="1"/>
  <c r="R562" i="2" s="1"/>
  <c r="R592" i="2" s="1"/>
  <c r="R622" i="2" s="1"/>
  <c r="R652" i="2" s="1"/>
  <c r="R682" i="2" s="1"/>
  <c r="R712" i="2" s="1"/>
  <c r="R742" i="2" s="1"/>
  <c r="R772" i="2" s="1"/>
  <c r="R802" i="2" s="1"/>
  <c r="R832" i="2" s="1"/>
  <c r="R862" i="2" s="1"/>
  <c r="R892" i="2" s="1"/>
  <c r="R922" i="2" s="1"/>
  <c r="R952" i="2" s="1"/>
  <c r="R982" i="2" s="1"/>
  <c r="R1012" i="2" s="1"/>
  <c r="R1042" i="2" s="1"/>
  <c r="R1072" i="2" s="1"/>
  <c r="R1102" i="2" s="1"/>
  <c r="R1132" i="2" s="1"/>
  <c r="R1162" i="2" s="1"/>
  <c r="R1192" i="2" s="1"/>
  <c r="R1222" i="2" s="1"/>
  <c r="R1252" i="2" s="1"/>
  <c r="R1282" i="2" s="1"/>
  <c r="R1312" i="2" s="1"/>
  <c r="R1342" i="2" s="1"/>
  <c r="R1372" i="2" s="1"/>
  <c r="R1402" i="2" s="1"/>
  <c r="R1432" i="2" s="1"/>
  <c r="R1462" i="2" s="1"/>
  <c r="R1492" i="2" s="1"/>
  <c r="R1522" i="2" s="1"/>
  <c r="R1552" i="2" s="1"/>
  <c r="R1582" i="2" s="1"/>
  <c r="R1612" i="2" s="1"/>
  <c r="R1642" i="2" s="1"/>
  <c r="R1672" i="2" s="1"/>
  <c r="R1702" i="2" s="1"/>
  <c r="R1732" i="2" s="1"/>
  <c r="R1762" i="2" s="1"/>
  <c r="R1792" i="2" s="1"/>
  <c r="R1822" i="2" s="1"/>
  <c r="R1852" i="2" s="1"/>
  <c r="R1882" i="2" s="1"/>
  <c r="R1912" i="2" s="1"/>
  <c r="R1942" i="2" s="1"/>
  <c r="R1972" i="2" s="1"/>
  <c r="R2002" i="2" s="1"/>
  <c r="R2032" i="2" s="1"/>
  <c r="R2062" i="2" s="1"/>
  <c r="R2092" i="2" s="1"/>
  <c r="R2122" i="2" s="1"/>
  <c r="R2152" i="2" s="1"/>
  <c r="R2182" i="2" s="1"/>
  <c r="R2212" i="2" s="1"/>
  <c r="R2242" i="2" s="1"/>
  <c r="R2272" i="2" s="1"/>
  <c r="R2302" i="2" s="1"/>
  <c r="R2332" i="2" s="1"/>
  <c r="R2362" i="2" s="1"/>
  <c r="R2392" i="2" s="1"/>
  <c r="R23" i="2"/>
  <c r="R53" i="2" s="1"/>
  <c r="R83" i="2" s="1"/>
  <c r="R113" i="2" s="1"/>
  <c r="R143" i="2" s="1"/>
  <c r="R173" i="2" s="1"/>
  <c r="R203" i="2" s="1"/>
  <c r="R233" i="2" s="1"/>
  <c r="R263" i="2" s="1"/>
  <c r="R293" i="2" s="1"/>
  <c r="R323" i="2" s="1"/>
  <c r="R353" i="2" s="1"/>
  <c r="R383" i="2" s="1"/>
  <c r="R413" i="2" s="1"/>
  <c r="R443" i="2" s="1"/>
  <c r="R473" i="2" s="1"/>
  <c r="R503" i="2" s="1"/>
  <c r="R533" i="2" s="1"/>
  <c r="R563" i="2" s="1"/>
  <c r="R593" i="2" s="1"/>
  <c r="R623" i="2" s="1"/>
  <c r="R653" i="2" s="1"/>
  <c r="R683" i="2" s="1"/>
  <c r="R713" i="2" s="1"/>
  <c r="R743" i="2" s="1"/>
  <c r="R773" i="2" s="1"/>
  <c r="R803" i="2" s="1"/>
  <c r="R833" i="2" s="1"/>
  <c r="R863" i="2" s="1"/>
  <c r="R893" i="2" s="1"/>
  <c r="R923" i="2" s="1"/>
  <c r="R953" i="2" s="1"/>
  <c r="R983" i="2" s="1"/>
  <c r="R1013" i="2" s="1"/>
  <c r="R1043" i="2" s="1"/>
  <c r="R1073" i="2" s="1"/>
  <c r="R1103" i="2" s="1"/>
  <c r="R1133" i="2" s="1"/>
  <c r="R1163" i="2" s="1"/>
  <c r="R1193" i="2" s="1"/>
  <c r="R1223" i="2" s="1"/>
  <c r="R1253" i="2" s="1"/>
  <c r="R1283" i="2" s="1"/>
  <c r="R1313" i="2" s="1"/>
  <c r="R1343" i="2" s="1"/>
  <c r="R1373" i="2" s="1"/>
  <c r="R1403" i="2" s="1"/>
  <c r="R1433" i="2" s="1"/>
  <c r="R1463" i="2" s="1"/>
  <c r="R1493" i="2" s="1"/>
  <c r="R1523" i="2" s="1"/>
  <c r="R1553" i="2" s="1"/>
  <c r="R1583" i="2" s="1"/>
  <c r="R1613" i="2" s="1"/>
  <c r="R1643" i="2" s="1"/>
  <c r="R1673" i="2" s="1"/>
  <c r="R1703" i="2" s="1"/>
  <c r="R1733" i="2" s="1"/>
  <c r="R1763" i="2" s="1"/>
  <c r="R1793" i="2" s="1"/>
  <c r="R1823" i="2" s="1"/>
  <c r="R1853" i="2" s="1"/>
  <c r="R1883" i="2" s="1"/>
  <c r="R1913" i="2" s="1"/>
  <c r="R1943" i="2" s="1"/>
  <c r="R1973" i="2" s="1"/>
  <c r="R2003" i="2" s="1"/>
  <c r="R2033" i="2" s="1"/>
  <c r="R2063" i="2" s="1"/>
  <c r="R2093" i="2" s="1"/>
  <c r="R2123" i="2" s="1"/>
  <c r="R2153" i="2" s="1"/>
  <c r="R2183" i="2" s="1"/>
  <c r="R2213" i="2" s="1"/>
  <c r="R2243" i="2" s="1"/>
  <c r="R2273" i="2" s="1"/>
  <c r="R2303" i="2" s="1"/>
  <c r="R2333" i="2" s="1"/>
  <c r="R2363" i="2" s="1"/>
  <c r="R2393" i="2" s="1"/>
  <c r="R24" i="2"/>
  <c r="R54" i="2" s="1"/>
  <c r="R84" i="2" s="1"/>
  <c r="R114" i="2" s="1"/>
  <c r="R144" i="2" s="1"/>
  <c r="R174" i="2" s="1"/>
  <c r="R204" i="2" s="1"/>
  <c r="R234" i="2" s="1"/>
  <c r="R264" i="2" s="1"/>
  <c r="R294" i="2" s="1"/>
  <c r="R324" i="2" s="1"/>
  <c r="R354" i="2" s="1"/>
  <c r="R384" i="2" s="1"/>
  <c r="R414" i="2" s="1"/>
  <c r="R444" i="2" s="1"/>
  <c r="R474" i="2" s="1"/>
  <c r="R504" i="2" s="1"/>
  <c r="R534" i="2" s="1"/>
  <c r="R564" i="2" s="1"/>
  <c r="R594" i="2" s="1"/>
  <c r="R624" i="2" s="1"/>
  <c r="R654" i="2" s="1"/>
  <c r="R684" i="2" s="1"/>
  <c r="R714" i="2" s="1"/>
  <c r="R744" i="2" s="1"/>
  <c r="R774" i="2" s="1"/>
  <c r="R804" i="2" s="1"/>
  <c r="R834" i="2" s="1"/>
  <c r="R864" i="2" s="1"/>
  <c r="R894" i="2" s="1"/>
  <c r="R924" i="2" s="1"/>
  <c r="R954" i="2" s="1"/>
  <c r="R984" i="2" s="1"/>
  <c r="R1014" i="2" s="1"/>
  <c r="R1044" i="2" s="1"/>
  <c r="R1074" i="2" s="1"/>
  <c r="R1104" i="2" s="1"/>
  <c r="R1134" i="2" s="1"/>
  <c r="R1164" i="2" s="1"/>
  <c r="R1194" i="2" s="1"/>
  <c r="R1224" i="2" s="1"/>
  <c r="R1254" i="2" s="1"/>
  <c r="R1284" i="2" s="1"/>
  <c r="R1314" i="2" s="1"/>
  <c r="R1344" i="2" s="1"/>
  <c r="R1374" i="2" s="1"/>
  <c r="R1404" i="2" s="1"/>
  <c r="R1434" i="2" s="1"/>
  <c r="R1464" i="2" s="1"/>
  <c r="R1494" i="2" s="1"/>
  <c r="R1524" i="2" s="1"/>
  <c r="R1554" i="2" s="1"/>
  <c r="R1584" i="2" s="1"/>
  <c r="R1614" i="2" s="1"/>
  <c r="R1644" i="2" s="1"/>
  <c r="R1674" i="2" s="1"/>
  <c r="R1704" i="2" s="1"/>
  <c r="R1734" i="2" s="1"/>
  <c r="R1764" i="2" s="1"/>
  <c r="R1794" i="2" s="1"/>
  <c r="R1824" i="2" s="1"/>
  <c r="R1854" i="2" s="1"/>
  <c r="R1884" i="2" s="1"/>
  <c r="R1914" i="2" s="1"/>
  <c r="R1944" i="2" s="1"/>
  <c r="R1974" i="2" s="1"/>
  <c r="R2004" i="2" s="1"/>
  <c r="R2034" i="2" s="1"/>
  <c r="R2064" i="2" s="1"/>
  <c r="R2094" i="2" s="1"/>
  <c r="R2124" i="2" s="1"/>
  <c r="R2154" i="2" s="1"/>
  <c r="R2184" i="2" s="1"/>
  <c r="R2214" i="2" s="1"/>
  <c r="R2244" i="2" s="1"/>
  <c r="R2274" i="2" s="1"/>
  <c r="R2304" i="2" s="1"/>
  <c r="R2334" i="2" s="1"/>
  <c r="R2364" i="2" s="1"/>
  <c r="R2394" i="2" s="1"/>
  <c r="R25" i="2"/>
  <c r="R55" i="2" s="1"/>
  <c r="R85" i="2" s="1"/>
  <c r="R115" i="2" s="1"/>
  <c r="R145" i="2" s="1"/>
  <c r="R175" i="2" s="1"/>
  <c r="R205" i="2" s="1"/>
  <c r="R235" i="2" s="1"/>
  <c r="R265" i="2" s="1"/>
  <c r="R295" i="2" s="1"/>
  <c r="R325" i="2" s="1"/>
  <c r="R355" i="2" s="1"/>
  <c r="R385" i="2" s="1"/>
  <c r="R415" i="2" s="1"/>
  <c r="R445" i="2" s="1"/>
  <c r="R475" i="2" s="1"/>
  <c r="R505" i="2" s="1"/>
  <c r="R535" i="2" s="1"/>
  <c r="R565" i="2" s="1"/>
  <c r="R595" i="2" s="1"/>
  <c r="R625" i="2" s="1"/>
  <c r="R655" i="2" s="1"/>
  <c r="R685" i="2" s="1"/>
  <c r="R715" i="2" s="1"/>
  <c r="R745" i="2" s="1"/>
  <c r="R775" i="2" s="1"/>
  <c r="R805" i="2" s="1"/>
  <c r="R835" i="2" s="1"/>
  <c r="R865" i="2" s="1"/>
  <c r="R895" i="2" s="1"/>
  <c r="R925" i="2" s="1"/>
  <c r="R955" i="2" s="1"/>
  <c r="R985" i="2" s="1"/>
  <c r="R1015" i="2" s="1"/>
  <c r="R1045" i="2" s="1"/>
  <c r="R1075" i="2" s="1"/>
  <c r="R1105" i="2" s="1"/>
  <c r="R1135" i="2" s="1"/>
  <c r="R1165" i="2" s="1"/>
  <c r="R1195" i="2" s="1"/>
  <c r="R1225" i="2" s="1"/>
  <c r="R1255" i="2" s="1"/>
  <c r="R1285" i="2" s="1"/>
  <c r="R1315" i="2" s="1"/>
  <c r="R1345" i="2" s="1"/>
  <c r="R1375" i="2" s="1"/>
  <c r="R1405" i="2" s="1"/>
  <c r="R1435" i="2" s="1"/>
  <c r="R1465" i="2" s="1"/>
  <c r="R1495" i="2" s="1"/>
  <c r="R1525" i="2" s="1"/>
  <c r="R1555" i="2" s="1"/>
  <c r="R1585" i="2" s="1"/>
  <c r="R1615" i="2" s="1"/>
  <c r="R1645" i="2" s="1"/>
  <c r="R1675" i="2" s="1"/>
  <c r="R1705" i="2" s="1"/>
  <c r="R1735" i="2" s="1"/>
  <c r="R1765" i="2" s="1"/>
  <c r="R1795" i="2" s="1"/>
  <c r="R1825" i="2" s="1"/>
  <c r="R1855" i="2" s="1"/>
  <c r="R1885" i="2" s="1"/>
  <c r="R1915" i="2" s="1"/>
  <c r="R1945" i="2" s="1"/>
  <c r="R1975" i="2" s="1"/>
  <c r="R2005" i="2" s="1"/>
  <c r="R2035" i="2" s="1"/>
  <c r="R2065" i="2" s="1"/>
  <c r="R2095" i="2" s="1"/>
  <c r="R2125" i="2" s="1"/>
  <c r="R2155" i="2" s="1"/>
  <c r="R2185" i="2" s="1"/>
  <c r="R2215" i="2" s="1"/>
  <c r="R2245" i="2" s="1"/>
  <c r="R2275" i="2" s="1"/>
  <c r="R2305" i="2" s="1"/>
  <c r="R2335" i="2" s="1"/>
  <c r="R2365" i="2" s="1"/>
  <c r="R2395" i="2" s="1"/>
  <c r="R26" i="2"/>
  <c r="R56" i="2" s="1"/>
  <c r="R86" i="2" s="1"/>
  <c r="R116" i="2" s="1"/>
  <c r="R146" i="2" s="1"/>
  <c r="R176" i="2" s="1"/>
  <c r="R206" i="2" s="1"/>
  <c r="R236" i="2" s="1"/>
  <c r="R266" i="2" s="1"/>
  <c r="R296" i="2" s="1"/>
  <c r="R326" i="2" s="1"/>
  <c r="R356" i="2" s="1"/>
  <c r="R386" i="2" s="1"/>
  <c r="R416" i="2" s="1"/>
  <c r="R446" i="2" s="1"/>
  <c r="R476" i="2" s="1"/>
  <c r="R506" i="2" s="1"/>
  <c r="R536" i="2" s="1"/>
  <c r="R566" i="2" s="1"/>
  <c r="R596" i="2" s="1"/>
  <c r="R626" i="2" s="1"/>
  <c r="R656" i="2" s="1"/>
  <c r="R686" i="2" s="1"/>
  <c r="R716" i="2" s="1"/>
  <c r="R746" i="2" s="1"/>
  <c r="R776" i="2" s="1"/>
  <c r="R806" i="2" s="1"/>
  <c r="R836" i="2" s="1"/>
  <c r="R866" i="2" s="1"/>
  <c r="R896" i="2" s="1"/>
  <c r="R926" i="2" s="1"/>
  <c r="R956" i="2" s="1"/>
  <c r="R986" i="2" s="1"/>
  <c r="R1016" i="2" s="1"/>
  <c r="R1046" i="2" s="1"/>
  <c r="R1076" i="2" s="1"/>
  <c r="R1106" i="2" s="1"/>
  <c r="R1136" i="2" s="1"/>
  <c r="R1166" i="2" s="1"/>
  <c r="R1196" i="2" s="1"/>
  <c r="R1226" i="2" s="1"/>
  <c r="R1256" i="2" s="1"/>
  <c r="R1286" i="2" s="1"/>
  <c r="R1316" i="2" s="1"/>
  <c r="R1346" i="2" s="1"/>
  <c r="R1376" i="2" s="1"/>
  <c r="R1406" i="2" s="1"/>
  <c r="R1436" i="2" s="1"/>
  <c r="R1466" i="2" s="1"/>
  <c r="R1496" i="2" s="1"/>
  <c r="R1526" i="2" s="1"/>
  <c r="R1556" i="2" s="1"/>
  <c r="R1586" i="2" s="1"/>
  <c r="R1616" i="2" s="1"/>
  <c r="R1646" i="2" s="1"/>
  <c r="R1676" i="2" s="1"/>
  <c r="R1706" i="2" s="1"/>
  <c r="R1736" i="2" s="1"/>
  <c r="R1766" i="2" s="1"/>
  <c r="R1796" i="2" s="1"/>
  <c r="R1826" i="2" s="1"/>
  <c r="R1856" i="2" s="1"/>
  <c r="R1886" i="2" s="1"/>
  <c r="R1916" i="2" s="1"/>
  <c r="R1946" i="2" s="1"/>
  <c r="R1976" i="2" s="1"/>
  <c r="R2006" i="2" s="1"/>
  <c r="R2036" i="2" s="1"/>
  <c r="R2066" i="2" s="1"/>
  <c r="R2096" i="2" s="1"/>
  <c r="R2126" i="2" s="1"/>
  <c r="R2156" i="2" s="1"/>
  <c r="R2186" i="2" s="1"/>
  <c r="R2216" i="2" s="1"/>
  <c r="R2246" i="2" s="1"/>
  <c r="R2276" i="2" s="1"/>
  <c r="R2306" i="2" s="1"/>
  <c r="R2336" i="2" s="1"/>
  <c r="R2366" i="2" s="1"/>
  <c r="R2396" i="2" s="1"/>
  <c r="R27" i="2"/>
  <c r="R57" i="2" s="1"/>
  <c r="R87" i="2" s="1"/>
  <c r="R117" i="2" s="1"/>
  <c r="R147" i="2" s="1"/>
  <c r="R177" i="2" s="1"/>
  <c r="R207" i="2" s="1"/>
  <c r="R237" i="2" s="1"/>
  <c r="R267" i="2" s="1"/>
  <c r="R297" i="2" s="1"/>
  <c r="R327" i="2" s="1"/>
  <c r="R357" i="2" s="1"/>
  <c r="R387" i="2" s="1"/>
  <c r="R417" i="2" s="1"/>
  <c r="R447" i="2" s="1"/>
  <c r="R477" i="2" s="1"/>
  <c r="R507" i="2" s="1"/>
  <c r="R537" i="2" s="1"/>
  <c r="R567" i="2" s="1"/>
  <c r="R597" i="2" s="1"/>
  <c r="R627" i="2" s="1"/>
  <c r="R657" i="2" s="1"/>
  <c r="R687" i="2" s="1"/>
  <c r="R717" i="2" s="1"/>
  <c r="R747" i="2" s="1"/>
  <c r="R777" i="2" s="1"/>
  <c r="R807" i="2" s="1"/>
  <c r="R837" i="2" s="1"/>
  <c r="R867" i="2" s="1"/>
  <c r="R897" i="2" s="1"/>
  <c r="R927" i="2" s="1"/>
  <c r="R957" i="2" s="1"/>
  <c r="R987" i="2" s="1"/>
  <c r="R1017" i="2" s="1"/>
  <c r="R1047" i="2" s="1"/>
  <c r="R1077" i="2" s="1"/>
  <c r="R1107" i="2" s="1"/>
  <c r="R1137" i="2" s="1"/>
  <c r="R1167" i="2" s="1"/>
  <c r="R1197" i="2" s="1"/>
  <c r="R1227" i="2" s="1"/>
  <c r="R1257" i="2" s="1"/>
  <c r="R1287" i="2" s="1"/>
  <c r="R1317" i="2" s="1"/>
  <c r="R1347" i="2" s="1"/>
  <c r="R1377" i="2" s="1"/>
  <c r="R1407" i="2" s="1"/>
  <c r="R1437" i="2" s="1"/>
  <c r="R1467" i="2" s="1"/>
  <c r="R1497" i="2" s="1"/>
  <c r="R1527" i="2" s="1"/>
  <c r="R1557" i="2" s="1"/>
  <c r="R1587" i="2" s="1"/>
  <c r="R1617" i="2" s="1"/>
  <c r="R1647" i="2" s="1"/>
  <c r="R1677" i="2" s="1"/>
  <c r="R1707" i="2" s="1"/>
  <c r="R1737" i="2" s="1"/>
  <c r="R1767" i="2" s="1"/>
  <c r="R1797" i="2" s="1"/>
  <c r="R1827" i="2" s="1"/>
  <c r="R1857" i="2" s="1"/>
  <c r="R1887" i="2" s="1"/>
  <c r="R1917" i="2" s="1"/>
  <c r="R1947" i="2" s="1"/>
  <c r="R1977" i="2" s="1"/>
  <c r="R2007" i="2" s="1"/>
  <c r="R2037" i="2" s="1"/>
  <c r="R2067" i="2" s="1"/>
  <c r="R2097" i="2" s="1"/>
  <c r="R2127" i="2" s="1"/>
  <c r="R2157" i="2" s="1"/>
  <c r="R2187" i="2" s="1"/>
  <c r="R2217" i="2" s="1"/>
  <c r="R2247" i="2" s="1"/>
  <c r="R2277" i="2" s="1"/>
  <c r="R2307" i="2" s="1"/>
  <c r="R2337" i="2" s="1"/>
  <c r="R2367" i="2" s="1"/>
  <c r="R2397" i="2" s="1"/>
  <c r="R28" i="2"/>
  <c r="R58" i="2" s="1"/>
  <c r="R88" i="2" s="1"/>
  <c r="R118" i="2" s="1"/>
  <c r="R148" i="2" s="1"/>
  <c r="R178" i="2" s="1"/>
  <c r="R208" i="2" s="1"/>
  <c r="R238" i="2" s="1"/>
  <c r="R268" i="2" s="1"/>
  <c r="R298" i="2" s="1"/>
  <c r="R328" i="2" s="1"/>
  <c r="R358" i="2" s="1"/>
  <c r="R388" i="2" s="1"/>
  <c r="R418" i="2" s="1"/>
  <c r="R448" i="2" s="1"/>
  <c r="R478" i="2" s="1"/>
  <c r="R508" i="2" s="1"/>
  <c r="R538" i="2" s="1"/>
  <c r="R568" i="2" s="1"/>
  <c r="R598" i="2" s="1"/>
  <c r="R628" i="2" s="1"/>
  <c r="R658" i="2" s="1"/>
  <c r="R688" i="2" s="1"/>
  <c r="R718" i="2" s="1"/>
  <c r="R748" i="2" s="1"/>
  <c r="R778" i="2" s="1"/>
  <c r="R808" i="2" s="1"/>
  <c r="R838" i="2" s="1"/>
  <c r="R868" i="2" s="1"/>
  <c r="R898" i="2" s="1"/>
  <c r="R928" i="2" s="1"/>
  <c r="R958" i="2" s="1"/>
  <c r="R988" i="2" s="1"/>
  <c r="R1018" i="2" s="1"/>
  <c r="R1048" i="2" s="1"/>
  <c r="R1078" i="2" s="1"/>
  <c r="R1108" i="2" s="1"/>
  <c r="R1138" i="2" s="1"/>
  <c r="R1168" i="2" s="1"/>
  <c r="R1198" i="2" s="1"/>
  <c r="R1228" i="2" s="1"/>
  <c r="R1258" i="2" s="1"/>
  <c r="R1288" i="2" s="1"/>
  <c r="R1318" i="2" s="1"/>
  <c r="R1348" i="2" s="1"/>
  <c r="R1378" i="2" s="1"/>
  <c r="R1408" i="2" s="1"/>
  <c r="R1438" i="2" s="1"/>
  <c r="R1468" i="2" s="1"/>
  <c r="R1498" i="2" s="1"/>
  <c r="R1528" i="2" s="1"/>
  <c r="R1558" i="2" s="1"/>
  <c r="R1588" i="2" s="1"/>
  <c r="R1618" i="2" s="1"/>
  <c r="R1648" i="2" s="1"/>
  <c r="R1678" i="2" s="1"/>
  <c r="R1708" i="2" s="1"/>
  <c r="R1738" i="2" s="1"/>
  <c r="R1768" i="2" s="1"/>
  <c r="R1798" i="2" s="1"/>
  <c r="R1828" i="2" s="1"/>
  <c r="R1858" i="2" s="1"/>
  <c r="R1888" i="2" s="1"/>
  <c r="R1918" i="2" s="1"/>
  <c r="R1948" i="2" s="1"/>
  <c r="R1978" i="2" s="1"/>
  <c r="R2008" i="2" s="1"/>
  <c r="R2038" i="2" s="1"/>
  <c r="R2068" i="2" s="1"/>
  <c r="R2098" i="2" s="1"/>
  <c r="R2128" i="2" s="1"/>
  <c r="R2158" i="2" s="1"/>
  <c r="R2188" i="2" s="1"/>
  <c r="R2218" i="2" s="1"/>
  <c r="R2248" i="2" s="1"/>
  <c r="R2278" i="2" s="1"/>
  <c r="R2308" i="2" s="1"/>
  <c r="R2338" i="2" s="1"/>
  <c r="R2368" i="2" s="1"/>
  <c r="R2398" i="2" s="1"/>
  <c r="R29" i="2"/>
  <c r="R59" i="2" s="1"/>
  <c r="R89" i="2" s="1"/>
  <c r="R119" i="2" s="1"/>
  <c r="R149" i="2" s="1"/>
  <c r="R179" i="2" s="1"/>
  <c r="R209" i="2" s="1"/>
  <c r="R239" i="2" s="1"/>
  <c r="R269" i="2" s="1"/>
  <c r="R299" i="2" s="1"/>
  <c r="R329" i="2" s="1"/>
  <c r="R359" i="2" s="1"/>
  <c r="R389" i="2" s="1"/>
  <c r="R419" i="2" s="1"/>
  <c r="R449" i="2" s="1"/>
  <c r="R479" i="2" s="1"/>
  <c r="R509" i="2" s="1"/>
  <c r="R539" i="2" s="1"/>
  <c r="R569" i="2" s="1"/>
  <c r="R599" i="2" s="1"/>
  <c r="R629" i="2" s="1"/>
  <c r="R659" i="2" s="1"/>
  <c r="R689" i="2" s="1"/>
  <c r="R719" i="2" s="1"/>
  <c r="R749" i="2" s="1"/>
  <c r="R779" i="2" s="1"/>
  <c r="R809" i="2" s="1"/>
  <c r="R839" i="2" s="1"/>
  <c r="R869" i="2" s="1"/>
  <c r="R899" i="2" s="1"/>
  <c r="R929" i="2" s="1"/>
  <c r="R959" i="2" s="1"/>
  <c r="R989" i="2" s="1"/>
  <c r="R1019" i="2" s="1"/>
  <c r="R1049" i="2" s="1"/>
  <c r="R1079" i="2" s="1"/>
  <c r="R1109" i="2" s="1"/>
  <c r="R1139" i="2" s="1"/>
  <c r="R1169" i="2" s="1"/>
  <c r="R1199" i="2" s="1"/>
  <c r="R1229" i="2" s="1"/>
  <c r="R1259" i="2" s="1"/>
  <c r="R1289" i="2" s="1"/>
  <c r="R1319" i="2" s="1"/>
  <c r="R1349" i="2" s="1"/>
  <c r="R1379" i="2" s="1"/>
  <c r="R1409" i="2" s="1"/>
  <c r="R1439" i="2" s="1"/>
  <c r="R1469" i="2" s="1"/>
  <c r="R1499" i="2" s="1"/>
  <c r="R1529" i="2" s="1"/>
  <c r="R1559" i="2" s="1"/>
  <c r="R1589" i="2" s="1"/>
  <c r="R1619" i="2" s="1"/>
  <c r="R1649" i="2" s="1"/>
  <c r="R1679" i="2" s="1"/>
  <c r="R1709" i="2" s="1"/>
  <c r="R1739" i="2" s="1"/>
  <c r="R1769" i="2" s="1"/>
  <c r="R1799" i="2" s="1"/>
  <c r="R1829" i="2" s="1"/>
  <c r="R1859" i="2" s="1"/>
  <c r="R1889" i="2" s="1"/>
  <c r="R1919" i="2" s="1"/>
  <c r="R1949" i="2" s="1"/>
  <c r="R1979" i="2" s="1"/>
  <c r="R2009" i="2" s="1"/>
  <c r="R2039" i="2" s="1"/>
  <c r="R2069" i="2" s="1"/>
  <c r="R2099" i="2" s="1"/>
  <c r="R2129" i="2" s="1"/>
  <c r="R2159" i="2" s="1"/>
  <c r="R2189" i="2" s="1"/>
  <c r="R2219" i="2" s="1"/>
  <c r="R2249" i="2" s="1"/>
  <c r="R2279" i="2" s="1"/>
  <c r="R2309" i="2" s="1"/>
  <c r="R2339" i="2" s="1"/>
  <c r="R2369" i="2" s="1"/>
  <c r="R2399" i="2" s="1"/>
  <c r="R30" i="2"/>
  <c r="R60" i="2" s="1"/>
  <c r="R90" i="2" s="1"/>
  <c r="R120" i="2" s="1"/>
  <c r="R150" i="2" s="1"/>
  <c r="R180" i="2" s="1"/>
  <c r="R210" i="2" s="1"/>
  <c r="R240" i="2" s="1"/>
  <c r="R270" i="2" s="1"/>
  <c r="R300" i="2" s="1"/>
  <c r="R330" i="2" s="1"/>
  <c r="R360" i="2" s="1"/>
  <c r="R390" i="2" s="1"/>
  <c r="R420" i="2" s="1"/>
  <c r="R450" i="2" s="1"/>
  <c r="R480" i="2" s="1"/>
  <c r="R510" i="2" s="1"/>
  <c r="R540" i="2" s="1"/>
  <c r="R570" i="2" s="1"/>
  <c r="R600" i="2" s="1"/>
  <c r="R630" i="2" s="1"/>
  <c r="R660" i="2" s="1"/>
  <c r="R690" i="2" s="1"/>
  <c r="R720" i="2" s="1"/>
  <c r="R750" i="2" s="1"/>
  <c r="R780" i="2" s="1"/>
  <c r="R810" i="2" s="1"/>
  <c r="R840" i="2" s="1"/>
  <c r="R870" i="2" s="1"/>
  <c r="R900" i="2" s="1"/>
  <c r="R930" i="2" s="1"/>
  <c r="R960" i="2" s="1"/>
  <c r="R990" i="2" s="1"/>
  <c r="R1020" i="2" s="1"/>
  <c r="R1050" i="2" s="1"/>
  <c r="R1080" i="2" s="1"/>
  <c r="R1110" i="2" s="1"/>
  <c r="R1140" i="2" s="1"/>
  <c r="R1170" i="2" s="1"/>
  <c r="R1200" i="2" s="1"/>
  <c r="R1230" i="2" s="1"/>
  <c r="R1260" i="2" s="1"/>
  <c r="R1290" i="2" s="1"/>
  <c r="R1320" i="2" s="1"/>
  <c r="R1350" i="2" s="1"/>
  <c r="R1380" i="2" s="1"/>
  <c r="R1410" i="2" s="1"/>
  <c r="R1440" i="2" s="1"/>
  <c r="R1470" i="2" s="1"/>
  <c r="R1500" i="2" s="1"/>
  <c r="R1530" i="2" s="1"/>
  <c r="R1560" i="2" s="1"/>
  <c r="R1590" i="2" s="1"/>
  <c r="R1620" i="2" s="1"/>
  <c r="R1650" i="2" s="1"/>
  <c r="R1680" i="2" s="1"/>
  <c r="R1710" i="2" s="1"/>
  <c r="R1740" i="2" s="1"/>
  <c r="R1770" i="2" s="1"/>
  <c r="R1800" i="2" s="1"/>
  <c r="R1830" i="2" s="1"/>
  <c r="R1860" i="2" s="1"/>
  <c r="R1890" i="2" s="1"/>
  <c r="R1920" i="2" s="1"/>
  <c r="R1950" i="2" s="1"/>
  <c r="R1980" i="2" s="1"/>
  <c r="R2010" i="2" s="1"/>
  <c r="R2040" i="2" s="1"/>
  <c r="R2070" i="2" s="1"/>
  <c r="R2100" i="2" s="1"/>
  <c r="R2130" i="2" s="1"/>
  <c r="R2160" i="2" s="1"/>
  <c r="R2190" i="2" s="1"/>
  <c r="R2220" i="2" s="1"/>
  <c r="R2250" i="2" s="1"/>
  <c r="R2280" i="2" s="1"/>
  <c r="R2310" i="2" s="1"/>
  <c r="R2340" i="2" s="1"/>
  <c r="R2370" i="2" s="1"/>
  <c r="R2400" i="2" s="1"/>
  <c r="R31" i="2"/>
  <c r="R61" i="2" s="1"/>
  <c r="R91" i="2" s="1"/>
  <c r="R121" i="2" s="1"/>
  <c r="R151" i="2" s="1"/>
  <c r="R181" i="2" s="1"/>
  <c r="R211" i="2" s="1"/>
  <c r="R241" i="2" s="1"/>
  <c r="R271" i="2" s="1"/>
  <c r="R301" i="2" s="1"/>
  <c r="R331" i="2" s="1"/>
  <c r="R361" i="2" s="1"/>
  <c r="R391" i="2" s="1"/>
  <c r="R421" i="2" s="1"/>
  <c r="R451" i="2" s="1"/>
  <c r="R481" i="2" s="1"/>
  <c r="R511" i="2" s="1"/>
  <c r="R541" i="2" s="1"/>
  <c r="R571" i="2" s="1"/>
  <c r="R601" i="2" s="1"/>
  <c r="R631" i="2" s="1"/>
  <c r="R661" i="2" s="1"/>
  <c r="R691" i="2" s="1"/>
  <c r="R721" i="2" s="1"/>
  <c r="R751" i="2" s="1"/>
  <c r="R781" i="2" s="1"/>
  <c r="R811" i="2" s="1"/>
  <c r="R841" i="2" s="1"/>
  <c r="R871" i="2" s="1"/>
  <c r="R901" i="2" s="1"/>
  <c r="R931" i="2" s="1"/>
  <c r="R961" i="2" s="1"/>
  <c r="R991" i="2" s="1"/>
  <c r="R1021" i="2" s="1"/>
  <c r="R1051" i="2" s="1"/>
  <c r="R1081" i="2" s="1"/>
  <c r="R1111" i="2" s="1"/>
  <c r="R1141" i="2" s="1"/>
  <c r="R1171" i="2" s="1"/>
  <c r="R1201" i="2" s="1"/>
  <c r="R1231" i="2" s="1"/>
  <c r="R1261" i="2" s="1"/>
  <c r="R1291" i="2" s="1"/>
  <c r="R1321" i="2" s="1"/>
  <c r="R1351" i="2" s="1"/>
  <c r="R1381" i="2" s="1"/>
  <c r="R1411" i="2" s="1"/>
  <c r="R1441" i="2" s="1"/>
  <c r="R1471" i="2" s="1"/>
  <c r="R1501" i="2" s="1"/>
  <c r="R1531" i="2" s="1"/>
  <c r="R1561" i="2" s="1"/>
  <c r="R1591" i="2" s="1"/>
  <c r="R1621" i="2" s="1"/>
  <c r="R1651" i="2" s="1"/>
  <c r="R1681" i="2" s="1"/>
  <c r="R1711" i="2" s="1"/>
  <c r="R1741" i="2" s="1"/>
  <c r="R1771" i="2" s="1"/>
  <c r="R1801" i="2" s="1"/>
  <c r="R1831" i="2" s="1"/>
  <c r="R1861" i="2" s="1"/>
  <c r="R1891" i="2" s="1"/>
  <c r="R1921" i="2" s="1"/>
  <c r="R1951" i="2" s="1"/>
  <c r="R1981" i="2" s="1"/>
  <c r="R2011" i="2" s="1"/>
  <c r="R2041" i="2" s="1"/>
  <c r="R2071" i="2" s="1"/>
  <c r="R2101" i="2" s="1"/>
  <c r="R2131" i="2" s="1"/>
  <c r="R2161" i="2" s="1"/>
  <c r="R2191" i="2" s="1"/>
  <c r="R2221" i="2" s="1"/>
  <c r="R2251" i="2" s="1"/>
  <c r="R2281" i="2" s="1"/>
  <c r="R2311" i="2" s="1"/>
  <c r="R2341" i="2" s="1"/>
  <c r="R2371" i="2" s="1"/>
  <c r="R2401" i="2" s="1"/>
  <c r="R2" i="2"/>
  <c r="R32" i="2" s="1"/>
  <c r="R62" i="2" s="1"/>
  <c r="R92" i="2" s="1"/>
  <c r="R122" i="2" s="1"/>
  <c r="R152" i="2" s="1"/>
  <c r="R182" i="2" s="1"/>
  <c r="R212" i="2" s="1"/>
  <c r="R242" i="2" s="1"/>
  <c r="R272" i="2" s="1"/>
  <c r="R302" i="2" s="1"/>
  <c r="R332" i="2" s="1"/>
  <c r="R362" i="2" s="1"/>
  <c r="R392" i="2" s="1"/>
  <c r="R422" i="2" s="1"/>
  <c r="R452" i="2" s="1"/>
  <c r="R482" i="2" s="1"/>
  <c r="R512" i="2" s="1"/>
  <c r="R542" i="2" s="1"/>
  <c r="R572" i="2" s="1"/>
  <c r="R602" i="2" s="1"/>
  <c r="R632" i="2" s="1"/>
  <c r="R662" i="2" s="1"/>
  <c r="R692" i="2" s="1"/>
  <c r="R722" i="2" s="1"/>
  <c r="R752" i="2" s="1"/>
  <c r="R782" i="2" s="1"/>
  <c r="R812" i="2" s="1"/>
  <c r="R842" i="2" s="1"/>
  <c r="R872" i="2" s="1"/>
  <c r="R902" i="2" s="1"/>
  <c r="R932" i="2" s="1"/>
  <c r="R962" i="2" s="1"/>
  <c r="R992" i="2" s="1"/>
  <c r="R1022" i="2" s="1"/>
  <c r="R1052" i="2" s="1"/>
  <c r="R1082" i="2" s="1"/>
  <c r="R1112" i="2" s="1"/>
  <c r="R1142" i="2" s="1"/>
  <c r="R1172" i="2" s="1"/>
  <c r="R1202" i="2" s="1"/>
  <c r="R1232" i="2" s="1"/>
  <c r="R1262" i="2" s="1"/>
  <c r="R1292" i="2" s="1"/>
  <c r="R1322" i="2" s="1"/>
  <c r="R1352" i="2" s="1"/>
  <c r="R1382" i="2" s="1"/>
  <c r="R1412" i="2" s="1"/>
  <c r="R1442" i="2" s="1"/>
  <c r="R1472" i="2" s="1"/>
  <c r="R1502" i="2" s="1"/>
  <c r="R1532" i="2" s="1"/>
  <c r="R1562" i="2" s="1"/>
  <c r="R1592" i="2" s="1"/>
  <c r="R1622" i="2" s="1"/>
  <c r="R1652" i="2" s="1"/>
  <c r="R1682" i="2" s="1"/>
  <c r="R1712" i="2" s="1"/>
  <c r="R1742" i="2" s="1"/>
  <c r="R1772" i="2" s="1"/>
  <c r="R1802" i="2" s="1"/>
  <c r="R1832" i="2" s="1"/>
  <c r="R1862" i="2" s="1"/>
  <c r="R1892" i="2" s="1"/>
  <c r="R1922" i="2" s="1"/>
  <c r="R1952" i="2" s="1"/>
  <c r="R1982" i="2" s="1"/>
  <c r="R2012" i="2" s="1"/>
  <c r="R2042" i="2" s="1"/>
  <c r="R2072" i="2" s="1"/>
  <c r="R2102" i="2" s="1"/>
  <c r="R2132" i="2" s="1"/>
  <c r="R2162" i="2" s="1"/>
  <c r="R2192" i="2" s="1"/>
  <c r="R2222" i="2" s="1"/>
  <c r="R2252" i="2" s="1"/>
  <c r="R2282" i="2" s="1"/>
  <c r="R2312" i="2" s="1"/>
  <c r="R2342" i="2" s="1"/>
  <c r="R2372" i="2" s="1"/>
  <c r="Q3" i="2"/>
  <c r="Q33" i="2" s="1"/>
  <c r="Q63" i="2" s="1"/>
  <c r="Q93" i="2" s="1"/>
  <c r="Q123" i="2" s="1"/>
  <c r="Q153" i="2" s="1"/>
  <c r="Q183" i="2" s="1"/>
  <c r="Q213" i="2" s="1"/>
  <c r="Q243" i="2" s="1"/>
  <c r="Q273" i="2" s="1"/>
  <c r="Q303" i="2" s="1"/>
  <c r="Q333" i="2" s="1"/>
  <c r="Q363" i="2" s="1"/>
  <c r="Q393" i="2" s="1"/>
  <c r="Q423" i="2" s="1"/>
  <c r="Q453" i="2" s="1"/>
  <c r="Q483" i="2" s="1"/>
  <c r="Q513" i="2" s="1"/>
  <c r="Q543" i="2" s="1"/>
  <c r="Q573" i="2" s="1"/>
  <c r="Q603" i="2" s="1"/>
  <c r="Q633" i="2" s="1"/>
  <c r="Q663" i="2" s="1"/>
  <c r="Q693" i="2" s="1"/>
  <c r="Q723" i="2" s="1"/>
  <c r="Q753" i="2" s="1"/>
  <c r="Q783" i="2" s="1"/>
  <c r="Q813" i="2" s="1"/>
  <c r="Q843" i="2" s="1"/>
  <c r="Q873" i="2" s="1"/>
  <c r="Q903" i="2" s="1"/>
  <c r="Q933" i="2" s="1"/>
  <c r="Q963" i="2" s="1"/>
  <c r="Q993" i="2" s="1"/>
  <c r="Q1023" i="2" s="1"/>
  <c r="Q1053" i="2" s="1"/>
  <c r="Q1083" i="2" s="1"/>
  <c r="Q1113" i="2" s="1"/>
  <c r="Q1143" i="2" s="1"/>
  <c r="Q1173" i="2" s="1"/>
  <c r="Q1203" i="2" s="1"/>
  <c r="Q1233" i="2" s="1"/>
  <c r="Q1263" i="2" s="1"/>
  <c r="Q1293" i="2" s="1"/>
  <c r="Q1323" i="2" s="1"/>
  <c r="Q1353" i="2" s="1"/>
  <c r="Q1383" i="2" s="1"/>
  <c r="Q1413" i="2" s="1"/>
  <c r="Q1443" i="2" s="1"/>
  <c r="Q1473" i="2" s="1"/>
  <c r="Q1503" i="2" s="1"/>
  <c r="Q1533" i="2" s="1"/>
  <c r="Q1563" i="2" s="1"/>
  <c r="Q1593" i="2" s="1"/>
  <c r="Q1623" i="2" s="1"/>
  <c r="Q1653" i="2" s="1"/>
  <c r="Q1683" i="2" s="1"/>
  <c r="Q1713" i="2" s="1"/>
  <c r="Q1743" i="2" s="1"/>
  <c r="Q1773" i="2" s="1"/>
  <c r="Q1803" i="2" s="1"/>
  <c r="Q1833" i="2" s="1"/>
  <c r="Q1863" i="2" s="1"/>
  <c r="Q1893" i="2" s="1"/>
  <c r="Q1923" i="2" s="1"/>
  <c r="Q1953" i="2" s="1"/>
  <c r="Q1983" i="2" s="1"/>
  <c r="Q2013" i="2" s="1"/>
  <c r="Q2043" i="2" s="1"/>
  <c r="Q2073" i="2" s="1"/>
  <c r="Q2103" i="2" s="1"/>
  <c r="Q2133" i="2" s="1"/>
  <c r="Q2163" i="2" s="1"/>
  <c r="Q2193" i="2" s="1"/>
  <c r="Q2223" i="2" s="1"/>
  <c r="Q2253" i="2" s="1"/>
  <c r="Q2283" i="2" s="1"/>
  <c r="Q2313" i="2" s="1"/>
  <c r="Q2343" i="2" s="1"/>
  <c r="Q2373" i="2" s="1"/>
  <c r="Q4" i="2"/>
  <c r="Q34" i="2" s="1"/>
  <c r="Q64" i="2" s="1"/>
  <c r="Q94" i="2" s="1"/>
  <c r="Q124" i="2" s="1"/>
  <c r="Q154" i="2" s="1"/>
  <c r="Q184" i="2" s="1"/>
  <c r="Q214" i="2" s="1"/>
  <c r="Q244" i="2" s="1"/>
  <c r="Q274" i="2" s="1"/>
  <c r="Q304" i="2" s="1"/>
  <c r="Q334" i="2" s="1"/>
  <c r="Q364" i="2" s="1"/>
  <c r="Q394" i="2" s="1"/>
  <c r="Q424" i="2" s="1"/>
  <c r="Q454" i="2" s="1"/>
  <c r="Q484" i="2" s="1"/>
  <c r="Q514" i="2" s="1"/>
  <c r="Q544" i="2" s="1"/>
  <c r="Q574" i="2" s="1"/>
  <c r="Q604" i="2" s="1"/>
  <c r="Q634" i="2" s="1"/>
  <c r="Q664" i="2" s="1"/>
  <c r="Q694" i="2" s="1"/>
  <c r="Q724" i="2" s="1"/>
  <c r="Q754" i="2" s="1"/>
  <c r="Q784" i="2" s="1"/>
  <c r="Q814" i="2" s="1"/>
  <c r="Q844" i="2" s="1"/>
  <c r="Q874" i="2" s="1"/>
  <c r="Q904" i="2" s="1"/>
  <c r="Q934" i="2" s="1"/>
  <c r="Q964" i="2" s="1"/>
  <c r="Q994" i="2" s="1"/>
  <c r="Q1024" i="2" s="1"/>
  <c r="Q1054" i="2" s="1"/>
  <c r="Q1084" i="2" s="1"/>
  <c r="Q1114" i="2" s="1"/>
  <c r="Q1144" i="2" s="1"/>
  <c r="Q1174" i="2" s="1"/>
  <c r="Q1204" i="2" s="1"/>
  <c r="Q1234" i="2" s="1"/>
  <c r="Q1264" i="2" s="1"/>
  <c r="Q1294" i="2" s="1"/>
  <c r="Q1324" i="2" s="1"/>
  <c r="Q1354" i="2" s="1"/>
  <c r="Q1384" i="2" s="1"/>
  <c r="Q1414" i="2" s="1"/>
  <c r="Q1444" i="2" s="1"/>
  <c r="Q1474" i="2" s="1"/>
  <c r="Q1504" i="2" s="1"/>
  <c r="Q1534" i="2" s="1"/>
  <c r="Q1564" i="2" s="1"/>
  <c r="Q1594" i="2" s="1"/>
  <c r="Q1624" i="2" s="1"/>
  <c r="Q1654" i="2" s="1"/>
  <c r="Q1684" i="2" s="1"/>
  <c r="Q1714" i="2" s="1"/>
  <c r="Q1744" i="2" s="1"/>
  <c r="Q1774" i="2" s="1"/>
  <c r="Q1804" i="2" s="1"/>
  <c r="Q1834" i="2" s="1"/>
  <c r="Q1864" i="2" s="1"/>
  <c r="Q1894" i="2" s="1"/>
  <c r="Q1924" i="2" s="1"/>
  <c r="Q1954" i="2" s="1"/>
  <c r="Q1984" i="2" s="1"/>
  <c r="Q2014" i="2" s="1"/>
  <c r="Q2044" i="2" s="1"/>
  <c r="Q2074" i="2" s="1"/>
  <c r="Q2104" i="2" s="1"/>
  <c r="Q2134" i="2" s="1"/>
  <c r="Q2164" i="2" s="1"/>
  <c r="Q2194" i="2" s="1"/>
  <c r="Q2224" i="2" s="1"/>
  <c r="Q2254" i="2" s="1"/>
  <c r="Q2284" i="2" s="1"/>
  <c r="Q2314" i="2" s="1"/>
  <c r="Q2344" i="2" s="1"/>
  <c r="Q2374" i="2" s="1"/>
  <c r="Q5" i="2"/>
  <c r="Q35" i="2" s="1"/>
  <c r="Q65" i="2" s="1"/>
  <c r="Q95" i="2" s="1"/>
  <c r="Q125" i="2" s="1"/>
  <c r="Q155" i="2" s="1"/>
  <c r="Q185" i="2" s="1"/>
  <c r="Q215" i="2" s="1"/>
  <c r="Q245" i="2" s="1"/>
  <c r="Q275" i="2" s="1"/>
  <c r="Q305" i="2" s="1"/>
  <c r="Q335" i="2" s="1"/>
  <c r="Q365" i="2" s="1"/>
  <c r="Q395" i="2" s="1"/>
  <c r="Q425" i="2" s="1"/>
  <c r="Q455" i="2" s="1"/>
  <c r="Q485" i="2" s="1"/>
  <c r="Q515" i="2" s="1"/>
  <c r="Q545" i="2" s="1"/>
  <c r="Q575" i="2" s="1"/>
  <c r="Q605" i="2" s="1"/>
  <c r="Q635" i="2" s="1"/>
  <c r="Q665" i="2" s="1"/>
  <c r="Q695" i="2" s="1"/>
  <c r="Q725" i="2" s="1"/>
  <c r="Q755" i="2" s="1"/>
  <c r="Q785" i="2" s="1"/>
  <c r="Q815" i="2" s="1"/>
  <c r="Q845" i="2" s="1"/>
  <c r="Q875" i="2" s="1"/>
  <c r="Q905" i="2" s="1"/>
  <c r="Q935" i="2" s="1"/>
  <c r="Q965" i="2" s="1"/>
  <c r="Q995" i="2" s="1"/>
  <c r="Q1025" i="2" s="1"/>
  <c r="Q1055" i="2" s="1"/>
  <c r="Q1085" i="2" s="1"/>
  <c r="Q1115" i="2" s="1"/>
  <c r="Q1145" i="2" s="1"/>
  <c r="Q1175" i="2" s="1"/>
  <c r="Q1205" i="2" s="1"/>
  <c r="Q1235" i="2" s="1"/>
  <c r="Q1265" i="2" s="1"/>
  <c r="Q1295" i="2" s="1"/>
  <c r="Q1325" i="2" s="1"/>
  <c r="Q1355" i="2" s="1"/>
  <c r="Q1385" i="2" s="1"/>
  <c r="Q1415" i="2" s="1"/>
  <c r="Q1445" i="2" s="1"/>
  <c r="Q1475" i="2" s="1"/>
  <c r="Q1505" i="2" s="1"/>
  <c r="Q1535" i="2" s="1"/>
  <c r="Q1565" i="2" s="1"/>
  <c r="Q1595" i="2" s="1"/>
  <c r="Q1625" i="2" s="1"/>
  <c r="Q1655" i="2" s="1"/>
  <c r="Q1685" i="2" s="1"/>
  <c r="Q1715" i="2" s="1"/>
  <c r="Q1745" i="2" s="1"/>
  <c r="Q1775" i="2" s="1"/>
  <c r="Q1805" i="2" s="1"/>
  <c r="Q1835" i="2" s="1"/>
  <c r="Q1865" i="2" s="1"/>
  <c r="Q1895" i="2" s="1"/>
  <c r="Q1925" i="2" s="1"/>
  <c r="Q1955" i="2" s="1"/>
  <c r="Q1985" i="2" s="1"/>
  <c r="Q2015" i="2" s="1"/>
  <c r="Q2045" i="2" s="1"/>
  <c r="Q2075" i="2" s="1"/>
  <c r="Q2105" i="2" s="1"/>
  <c r="Q2135" i="2" s="1"/>
  <c r="Q2165" i="2" s="1"/>
  <c r="Q2195" i="2" s="1"/>
  <c r="Q2225" i="2" s="1"/>
  <c r="Q2255" i="2" s="1"/>
  <c r="Q2285" i="2" s="1"/>
  <c r="Q2315" i="2" s="1"/>
  <c r="Q2345" i="2" s="1"/>
  <c r="Q2375" i="2" s="1"/>
  <c r="Q6" i="2"/>
  <c r="Q36" i="2" s="1"/>
  <c r="Q66" i="2" s="1"/>
  <c r="Q96" i="2" s="1"/>
  <c r="Q126" i="2" s="1"/>
  <c r="Q156" i="2" s="1"/>
  <c r="Q186" i="2" s="1"/>
  <c r="Q216" i="2" s="1"/>
  <c r="Q246" i="2" s="1"/>
  <c r="Q276" i="2" s="1"/>
  <c r="Q306" i="2" s="1"/>
  <c r="Q336" i="2" s="1"/>
  <c r="Q366" i="2" s="1"/>
  <c r="Q396" i="2" s="1"/>
  <c r="Q426" i="2" s="1"/>
  <c r="Q456" i="2" s="1"/>
  <c r="Q486" i="2" s="1"/>
  <c r="Q516" i="2" s="1"/>
  <c r="Q546" i="2" s="1"/>
  <c r="Q576" i="2" s="1"/>
  <c r="Q606" i="2" s="1"/>
  <c r="Q636" i="2" s="1"/>
  <c r="Q666" i="2" s="1"/>
  <c r="Q696" i="2" s="1"/>
  <c r="Q726" i="2" s="1"/>
  <c r="Q756" i="2" s="1"/>
  <c r="Q786" i="2" s="1"/>
  <c r="Q816" i="2" s="1"/>
  <c r="Q846" i="2" s="1"/>
  <c r="Q876" i="2" s="1"/>
  <c r="Q906" i="2" s="1"/>
  <c r="Q936" i="2" s="1"/>
  <c r="Q966" i="2" s="1"/>
  <c r="Q996" i="2" s="1"/>
  <c r="Q1026" i="2" s="1"/>
  <c r="Q1056" i="2" s="1"/>
  <c r="Q1086" i="2" s="1"/>
  <c r="Q1116" i="2" s="1"/>
  <c r="Q1146" i="2" s="1"/>
  <c r="Q1176" i="2" s="1"/>
  <c r="Q1206" i="2" s="1"/>
  <c r="Q1236" i="2" s="1"/>
  <c r="Q1266" i="2" s="1"/>
  <c r="Q1296" i="2" s="1"/>
  <c r="Q1326" i="2" s="1"/>
  <c r="Q1356" i="2" s="1"/>
  <c r="Q1386" i="2" s="1"/>
  <c r="Q1416" i="2" s="1"/>
  <c r="Q1446" i="2" s="1"/>
  <c r="Q1476" i="2" s="1"/>
  <c r="Q1506" i="2" s="1"/>
  <c r="Q1536" i="2" s="1"/>
  <c r="Q1566" i="2" s="1"/>
  <c r="Q1596" i="2" s="1"/>
  <c r="Q1626" i="2" s="1"/>
  <c r="Q1656" i="2" s="1"/>
  <c r="Q1686" i="2" s="1"/>
  <c r="Q1716" i="2" s="1"/>
  <c r="Q1746" i="2" s="1"/>
  <c r="Q1776" i="2" s="1"/>
  <c r="Q1806" i="2" s="1"/>
  <c r="Q1836" i="2" s="1"/>
  <c r="Q1866" i="2" s="1"/>
  <c r="Q1896" i="2" s="1"/>
  <c r="Q1926" i="2" s="1"/>
  <c r="Q1956" i="2" s="1"/>
  <c r="Q1986" i="2" s="1"/>
  <c r="Q2016" i="2" s="1"/>
  <c r="Q2046" i="2" s="1"/>
  <c r="Q2076" i="2" s="1"/>
  <c r="Q2106" i="2" s="1"/>
  <c r="Q2136" i="2" s="1"/>
  <c r="Q2166" i="2" s="1"/>
  <c r="Q2196" i="2" s="1"/>
  <c r="Q2226" i="2" s="1"/>
  <c r="Q2256" i="2" s="1"/>
  <c r="Q2286" i="2" s="1"/>
  <c r="Q2316" i="2" s="1"/>
  <c r="Q2346" i="2" s="1"/>
  <c r="Q2376" i="2" s="1"/>
  <c r="Q7" i="2"/>
  <c r="Q37" i="2" s="1"/>
  <c r="Q67" i="2" s="1"/>
  <c r="Q97" i="2" s="1"/>
  <c r="Q127" i="2" s="1"/>
  <c r="Q157" i="2" s="1"/>
  <c r="Q187" i="2" s="1"/>
  <c r="Q217" i="2" s="1"/>
  <c r="Q247" i="2" s="1"/>
  <c r="Q277" i="2" s="1"/>
  <c r="Q307" i="2" s="1"/>
  <c r="Q337" i="2" s="1"/>
  <c r="Q367" i="2" s="1"/>
  <c r="Q397" i="2" s="1"/>
  <c r="Q427" i="2" s="1"/>
  <c r="Q457" i="2" s="1"/>
  <c r="Q487" i="2" s="1"/>
  <c r="Q517" i="2" s="1"/>
  <c r="Q547" i="2" s="1"/>
  <c r="Q577" i="2" s="1"/>
  <c r="Q607" i="2" s="1"/>
  <c r="Q637" i="2" s="1"/>
  <c r="Q667" i="2" s="1"/>
  <c r="Q697" i="2" s="1"/>
  <c r="Q727" i="2" s="1"/>
  <c r="Q757" i="2" s="1"/>
  <c r="Q787" i="2" s="1"/>
  <c r="Q817" i="2" s="1"/>
  <c r="Q847" i="2" s="1"/>
  <c r="Q877" i="2" s="1"/>
  <c r="Q907" i="2" s="1"/>
  <c r="Q937" i="2" s="1"/>
  <c r="Q967" i="2" s="1"/>
  <c r="Q997" i="2" s="1"/>
  <c r="Q1027" i="2" s="1"/>
  <c r="Q1057" i="2" s="1"/>
  <c r="Q1087" i="2" s="1"/>
  <c r="Q1117" i="2" s="1"/>
  <c r="Q1147" i="2" s="1"/>
  <c r="Q1177" i="2" s="1"/>
  <c r="Q1207" i="2" s="1"/>
  <c r="Q1237" i="2" s="1"/>
  <c r="Q1267" i="2" s="1"/>
  <c r="Q1297" i="2" s="1"/>
  <c r="Q1327" i="2" s="1"/>
  <c r="Q1357" i="2" s="1"/>
  <c r="Q1387" i="2" s="1"/>
  <c r="Q1417" i="2" s="1"/>
  <c r="Q1447" i="2" s="1"/>
  <c r="Q1477" i="2" s="1"/>
  <c r="Q1507" i="2" s="1"/>
  <c r="Q1537" i="2" s="1"/>
  <c r="Q1567" i="2" s="1"/>
  <c r="Q1597" i="2" s="1"/>
  <c r="Q1627" i="2" s="1"/>
  <c r="Q1657" i="2" s="1"/>
  <c r="Q1687" i="2" s="1"/>
  <c r="Q1717" i="2" s="1"/>
  <c r="Q1747" i="2" s="1"/>
  <c r="Q1777" i="2" s="1"/>
  <c r="Q1807" i="2" s="1"/>
  <c r="Q1837" i="2" s="1"/>
  <c r="Q1867" i="2" s="1"/>
  <c r="Q1897" i="2" s="1"/>
  <c r="Q1927" i="2" s="1"/>
  <c r="Q1957" i="2" s="1"/>
  <c r="Q1987" i="2" s="1"/>
  <c r="Q2017" i="2" s="1"/>
  <c r="Q2047" i="2" s="1"/>
  <c r="Q2077" i="2" s="1"/>
  <c r="Q2107" i="2" s="1"/>
  <c r="Q2137" i="2" s="1"/>
  <c r="Q2167" i="2" s="1"/>
  <c r="Q2197" i="2" s="1"/>
  <c r="Q2227" i="2" s="1"/>
  <c r="Q2257" i="2" s="1"/>
  <c r="Q2287" i="2" s="1"/>
  <c r="Q2317" i="2" s="1"/>
  <c r="Q2347" i="2" s="1"/>
  <c r="Q2377" i="2" s="1"/>
  <c r="Q8" i="2"/>
  <c r="Q38" i="2" s="1"/>
  <c r="Q68" i="2" s="1"/>
  <c r="Q98" i="2" s="1"/>
  <c r="Q128" i="2" s="1"/>
  <c r="Q158" i="2" s="1"/>
  <c r="Q188" i="2" s="1"/>
  <c r="Q218" i="2" s="1"/>
  <c r="Q248" i="2" s="1"/>
  <c r="Q278" i="2" s="1"/>
  <c r="Q308" i="2" s="1"/>
  <c r="Q338" i="2" s="1"/>
  <c r="Q368" i="2" s="1"/>
  <c r="Q398" i="2" s="1"/>
  <c r="Q428" i="2" s="1"/>
  <c r="Q458" i="2" s="1"/>
  <c r="Q488" i="2" s="1"/>
  <c r="Q518" i="2" s="1"/>
  <c r="Q548" i="2" s="1"/>
  <c r="Q578" i="2" s="1"/>
  <c r="Q608" i="2" s="1"/>
  <c r="Q638" i="2" s="1"/>
  <c r="Q668" i="2" s="1"/>
  <c r="Q698" i="2" s="1"/>
  <c r="Q728" i="2" s="1"/>
  <c r="Q758" i="2" s="1"/>
  <c r="Q788" i="2" s="1"/>
  <c r="Q818" i="2" s="1"/>
  <c r="Q848" i="2" s="1"/>
  <c r="Q878" i="2" s="1"/>
  <c r="Q908" i="2" s="1"/>
  <c r="Q938" i="2" s="1"/>
  <c r="Q968" i="2" s="1"/>
  <c r="Q998" i="2" s="1"/>
  <c r="Q1028" i="2" s="1"/>
  <c r="Q1058" i="2" s="1"/>
  <c r="Q1088" i="2" s="1"/>
  <c r="Q1118" i="2" s="1"/>
  <c r="Q1148" i="2" s="1"/>
  <c r="Q1178" i="2" s="1"/>
  <c r="Q1208" i="2" s="1"/>
  <c r="Q1238" i="2" s="1"/>
  <c r="Q1268" i="2" s="1"/>
  <c r="Q1298" i="2" s="1"/>
  <c r="Q1328" i="2" s="1"/>
  <c r="Q1358" i="2" s="1"/>
  <c r="Q1388" i="2" s="1"/>
  <c r="Q1418" i="2" s="1"/>
  <c r="Q1448" i="2" s="1"/>
  <c r="Q1478" i="2" s="1"/>
  <c r="Q1508" i="2" s="1"/>
  <c r="Q1538" i="2" s="1"/>
  <c r="Q1568" i="2" s="1"/>
  <c r="Q1598" i="2" s="1"/>
  <c r="Q1628" i="2" s="1"/>
  <c r="Q1658" i="2" s="1"/>
  <c r="Q1688" i="2" s="1"/>
  <c r="Q1718" i="2" s="1"/>
  <c r="Q1748" i="2" s="1"/>
  <c r="Q1778" i="2" s="1"/>
  <c r="Q1808" i="2" s="1"/>
  <c r="Q1838" i="2" s="1"/>
  <c r="Q1868" i="2" s="1"/>
  <c r="Q1898" i="2" s="1"/>
  <c r="Q1928" i="2" s="1"/>
  <c r="Q1958" i="2" s="1"/>
  <c r="Q1988" i="2" s="1"/>
  <c r="Q2018" i="2" s="1"/>
  <c r="Q2048" i="2" s="1"/>
  <c r="Q2078" i="2" s="1"/>
  <c r="Q2108" i="2" s="1"/>
  <c r="Q2138" i="2" s="1"/>
  <c r="Q2168" i="2" s="1"/>
  <c r="Q2198" i="2" s="1"/>
  <c r="Q2228" i="2" s="1"/>
  <c r="Q2258" i="2" s="1"/>
  <c r="Q2288" i="2" s="1"/>
  <c r="Q2318" i="2" s="1"/>
  <c r="Q2348" i="2" s="1"/>
  <c r="Q2378" i="2" s="1"/>
  <c r="Q9" i="2"/>
  <c r="Q39" i="2" s="1"/>
  <c r="Q69" i="2" s="1"/>
  <c r="Q99" i="2" s="1"/>
  <c r="Q129" i="2" s="1"/>
  <c r="Q159" i="2" s="1"/>
  <c r="Q189" i="2" s="1"/>
  <c r="Q219" i="2" s="1"/>
  <c r="Q249" i="2" s="1"/>
  <c r="Q279" i="2" s="1"/>
  <c r="Q309" i="2" s="1"/>
  <c r="Q339" i="2" s="1"/>
  <c r="Q369" i="2" s="1"/>
  <c r="Q399" i="2" s="1"/>
  <c r="Q429" i="2" s="1"/>
  <c r="Q459" i="2" s="1"/>
  <c r="Q489" i="2" s="1"/>
  <c r="Q519" i="2" s="1"/>
  <c r="Q549" i="2" s="1"/>
  <c r="Q579" i="2" s="1"/>
  <c r="Q609" i="2" s="1"/>
  <c r="Q639" i="2" s="1"/>
  <c r="Q669" i="2" s="1"/>
  <c r="Q699" i="2" s="1"/>
  <c r="Q729" i="2" s="1"/>
  <c r="Q759" i="2" s="1"/>
  <c r="Q789" i="2" s="1"/>
  <c r="Q819" i="2" s="1"/>
  <c r="Q849" i="2" s="1"/>
  <c r="Q879" i="2" s="1"/>
  <c r="Q909" i="2" s="1"/>
  <c r="Q939" i="2" s="1"/>
  <c r="Q969" i="2" s="1"/>
  <c r="Q999" i="2" s="1"/>
  <c r="Q1029" i="2" s="1"/>
  <c r="Q1059" i="2" s="1"/>
  <c r="Q1089" i="2" s="1"/>
  <c r="Q1119" i="2" s="1"/>
  <c r="Q1149" i="2" s="1"/>
  <c r="Q1179" i="2" s="1"/>
  <c r="Q1209" i="2" s="1"/>
  <c r="Q1239" i="2" s="1"/>
  <c r="Q1269" i="2" s="1"/>
  <c r="Q1299" i="2" s="1"/>
  <c r="Q1329" i="2" s="1"/>
  <c r="Q1359" i="2" s="1"/>
  <c r="Q1389" i="2" s="1"/>
  <c r="Q1419" i="2" s="1"/>
  <c r="Q1449" i="2" s="1"/>
  <c r="Q1479" i="2" s="1"/>
  <c r="Q1509" i="2" s="1"/>
  <c r="Q1539" i="2" s="1"/>
  <c r="Q1569" i="2" s="1"/>
  <c r="Q1599" i="2" s="1"/>
  <c r="Q1629" i="2" s="1"/>
  <c r="Q1659" i="2" s="1"/>
  <c r="Q1689" i="2" s="1"/>
  <c r="Q1719" i="2" s="1"/>
  <c r="Q1749" i="2" s="1"/>
  <c r="Q1779" i="2" s="1"/>
  <c r="Q1809" i="2" s="1"/>
  <c r="Q1839" i="2" s="1"/>
  <c r="Q1869" i="2" s="1"/>
  <c r="Q1899" i="2" s="1"/>
  <c r="Q1929" i="2" s="1"/>
  <c r="Q1959" i="2" s="1"/>
  <c r="Q1989" i="2" s="1"/>
  <c r="Q2019" i="2" s="1"/>
  <c r="Q2049" i="2" s="1"/>
  <c r="Q2079" i="2" s="1"/>
  <c r="Q2109" i="2" s="1"/>
  <c r="Q2139" i="2" s="1"/>
  <c r="Q2169" i="2" s="1"/>
  <c r="Q2199" i="2" s="1"/>
  <c r="Q2229" i="2" s="1"/>
  <c r="Q2259" i="2" s="1"/>
  <c r="Q2289" i="2" s="1"/>
  <c r="Q2319" i="2" s="1"/>
  <c r="Q2349" i="2" s="1"/>
  <c r="Q2379" i="2" s="1"/>
  <c r="Q10" i="2"/>
  <c r="Q40" i="2" s="1"/>
  <c r="Q70" i="2" s="1"/>
  <c r="Q100" i="2" s="1"/>
  <c r="Q130" i="2" s="1"/>
  <c r="Q160" i="2" s="1"/>
  <c r="Q190" i="2" s="1"/>
  <c r="Q220" i="2" s="1"/>
  <c r="Q250" i="2" s="1"/>
  <c r="Q280" i="2" s="1"/>
  <c r="Q310" i="2" s="1"/>
  <c r="Q340" i="2" s="1"/>
  <c r="Q370" i="2" s="1"/>
  <c r="Q400" i="2" s="1"/>
  <c r="Q430" i="2" s="1"/>
  <c r="Q460" i="2" s="1"/>
  <c r="Q490" i="2" s="1"/>
  <c r="Q520" i="2" s="1"/>
  <c r="Q550" i="2" s="1"/>
  <c r="Q580" i="2" s="1"/>
  <c r="Q610" i="2" s="1"/>
  <c r="Q640" i="2" s="1"/>
  <c r="Q670" i="2" s="1"/>
  <c r="Q700" i="2" s="1"/>
  <c r="Q730" i="2" s="1"/>
  <c r="Q760" i="2" s="1"/>
  <c r="Q790" i="2" s="1"/>
  <c r="Q820" i="2" s="1"/>
  <c r="Q850" i="2" s="1"/>
  <c r="Q880" i="2" s="1"/>
  <c r="Q910" i="2" s="1"/>
  <c r="Q940" i="2" s="1"/>
  <c r="Q970" i="2" s="1"/>
  <c r="Q1000" i="2" s="1"/>
  <c r="Q1030" i="2" s="1"/>
  <c r="Q1060" i="2" s="1"/>
  <c r="Q1090" i="2" s="1"/>
  <c r="Q1120" i="2" s="1"/>
  <c r="Q1150" i="2" s="1"/>
  <c r="Q1180" i="2" s="1"/>
  <c r="Q1210" i="2" s="1"/>
  <c r="Q1240" i="2" s="1"/>
  <c r="Q1270" i="2" s="1"/>
  <c r="Q1300" i="2" s="1"/>
  <c r="Q1330" i="2" s="1"/>
  <c r="Q1360" i="2" s="1"/>
  <c r="Q1390" i="2" s="1"/>
  <c r="Q1420" i="2" s="1"/>
  <c r="Q1450" i="2" s="1"/>
  <c r="Q1480" i="2" s="1"/>
  <c r="Q1510" i="2" s="1"/>
  <c r="Q1540" i="2" s="1"/>
  <c r="Q1570" i="2" s="1"/>
  <c r="Q1600" i="2" s="1"/>
  <c r="Q1630" i="2" s="1"/>
  <c r="Q1660" i="2" s="1"/>
  <c r="Q1690" i="2" s="1"/>
  <c r="Q1720" i="2" s="1"/>
  <c r="Q1750" i="2" s="1"/>
  <c r="Q1780" i="2" s="1"/>
  <c r="Q1810" i="2" s="1"/>
  <c r="Q1840" i="2" s="1"/>
  <c r="Q1870" i="2" s="1"/>
  <c r="Q1900" i="2" s="1"/>
  <c r="Q1930" i="2" s="1"/>
  <c r="Q1960" i="2" s="1"/>
  <c r="Q1990" i="2" s="1"/>
  <c r="Q2020" i="2" s="1"/>
  <c r="Q2050" i="2" s="1"/>
  <c r="Q2080" i="2" s="1"/>
  <c r="Q2110" i="2" s="1"/>
  <c r="Q2140" i="2" s="1"/>
  <c r="Q2170" i="2" s="1"/>
  <c r="Q2200" i="2" s="1"/>
  <c r="Q2230" i="2" s="1"/>
  <c r="Q2260" i="2" s="1"/>
  <c r="Q2290" i="2" s="1"/>
  <c r="Q2320" i="2" s="1"/>
  <c r="Q2350" i="2" s="1"/>
  <c r="Q2380" i="2" s="1"/>
  <c r="Q11" i="2"/>
  <c r="Q41" i="2" s="1"/>
  <c r="Q71" i="2" s="1"/>
  <c r="Q101" i="2" s="1"/>
  <c r="Q131" i="2" s="1"/>
  <c r="Q161" i="2" s="1"/>
  <c r="Q191" i="2" s="1"/>
  <c r="Q221" i="2" s="1"/>
  <c r="Q251" i="2" s="1"/>
  <c r="Q281" i="2" s="1"/>
  <c r="Q311" i="2" s="1"/>
  <c r="Q341" i="2" s="1"/>
  <c r="Q371" i="2" s="1"/>
  <c r="Q401" i="2" s="1"/>
  <c r="Q431" i="2" s="1"/>
  <c r="Q461" i="2" s="1"/>
  <c r="Q491" i="2" s="1"/>
  <c r="Q521" i="2" s="1"/>
  <c r="Q551" i="2" s="1"/>
  <c r="Q581" i="2" s="1"/>
  <c r="Q611" i="2" s="1"/>
  <c r="Q641" i="2" s="1"/>
  <c r="Q671" i="2" s="1"/>
  <c r="Q701" i="2" s="1"/>
  <c r="Q731" i="2" s="1"/>
  <c r="Q761" i="2" s="1"/>
  <c r="Q791" i="2" s="1"/>
  <c r="Q821" i="2" s="1"/>
  <c r="Q851" i="2" s="1"/>
  <c r="Q881" i="2" s="1"/>
  <c r="Q911" i="2" s="1"/>
  <c r="Q941" i="2" s="1"/>
  <c r="Q971" i="2" s="1"/>
  <c r="Q1001" i="2" s="1"/>
  <c r="Q1031" i="2" s="1"/>
  <c r="Q1061" i="2" s="1"/>
  <c r="Q1091" i="2" s="1"/>
  <c r="Q1121" i="2" s="1"/>
  <c r="Q1151" i="2" s="1"/>
  <c r="Q1181" i="2" s="1"/>
  <c r="Q1211" i="2" s="1"/>
  <c r="Q1241" i="2" s="1"/>
  <c r="Q1271" i="2" s="1"/>
  <c r="Q1301" i="2" s="1"/>
  <c r="Q1331" i="2" s="1"/>
  <c r="Q1361" i="2" s="1"/>
  <c r="Q1391" i="2" s="1"/>
  <c r="Q1421" i="2" s="1"/>
  <c r="Q1451" i="2" s="1"/>
  <c r="Q1481" i="2" s="1"/>
  <c r="Q1511" i="2" s="1"/>
  <c r="Q1541" i="2" s="1"/>
  <c r="Q1571" i="2" s="1"/>
  <c r="Q1601" i="2" s="1"/>
  <c r="Q1631" i="2" s="1"/>
  <c r="Q1661" i="2" s="1"/>
  <c r="Q1691" i="2" s="1"/>
  <c r="Q1721" i="2" s="1"/>
  <c r="Q1751" i="2" s="1"/>
  <c r="Q1781" i="2" s="1"/>
  <c r="Q1811" i="2" s="1"/>
  <c r="Q1841" i="2" s="1"/>
  <c r="Q1871" i="2" s="1"/>
  <c r="Q1901" i="2" s="1"/>
  <c r="Q1931" i="2" s="1"/>
  <c r="Q1961" i="2" s="1"/>
  <c r="Q1991" i="2" s="1"/>
  <c r="Q2021" i="2" s="1"/>
  <c r="Q2051" i="2" s="1"/>
  <c r="Q2081" i="2" s="1"/>
  <c r="Q2111" i="2" s="1"/>
  <c r="Q2141" i="2" s="1"/>
  <c r="Q2171" i="2" s="1"/>
  <c r="Q2201" i="2" s="1"/>
  <c r="Q2231" i="2" s="1"/>
  <c r="Q2261" i="2" s="1"/>
  <c r="Q2291" i="2" s="1"/>
  <c r="Q2321" i="2" s="1"/>
  <c r="Q2351" i="2" s="1"/>
  <c r="Q2381" i="2" s="1"/>
  <c r="Q12" i="2"/>
  <c r="Q42" i="2" s="1"/>
  <c r="Q72" i="2" s="1"/>
  <c r="Q102" i="2" s="1"/>
  <c r="Q132" i="2" s="1"/>
  <c r="Q162" i="2" s="1"/>
  <c r="Q192" i="2" s="1"/>
  <c r="Q222" i="2" s="1"/>
  <c r="Q252" i="2" s="1"/>
  <c r="Q282" i="2" s="1"/>
  <c r="Q312" i="2" s="1"/>
  <c r="Q342" i="2" s="1"/>
  <c r="Q372" i="2" s="1"/>
  <c r="Q402" i="2" s="1"/>
  <c r="Q432" i="2" s="1"/>
  <c r="Q462" i="2" s="1"/>
  <c r="Q492" i="2" s="1"/>
  <c r="Q522" i="2" s="1"/>
  <c r="Q552" i="2" s="1"/>
  <c r="Q582" i="2" s="1"/>
  <c r="Q612" i="2" s="1"/>
  <c r="Q642" i="2" s="1"/>
  <c r="Q672" i="2" s="1"/>
  <c r="Q702" i="2" s="1"/>
  <c r="Q732" i="2" s="1"/>
  <c r="Q762" i="2" s="1"/>
  <c r="Q792" i="2" s="1"/>
  <c r="Q822" i="2" s="1"/>
  <c r="Q852" i="2" s="1"/>
  <c r="Q882" i="2" s="1"/>
  <c r="Q912" i="2" s="1"/>
  <c r="Q942" i="2" s="1"/>
  <c r="Q972" i="2" s="1"/>
  <c r="Q1002" i="2" s="1"/>
  <c r="Q1032" i="2" s="1"/>
  <c r="Q1062" i="2" s="1"/>
  <c r="Q1092" i="2" s="1"/>
  <c r="Q1122" i="2" s="1"/>
  <c r="Q1152" i="2" s="1"/>
  <c r="Q1182" i="2" s="1"/>
  <c r="Q1212" i="2" s="1"/>
  <c r="Q1242" i="2" s="1"/>
  <c r="Q1272" i="2" s="1"/>
  <c r="Q1302" i="2" s="1"/>
  <c r="Q1332" i="2" s="1"/>
  <c r="Q1362" i="2" s="1"/>
  <c r="Q1392" i="2" s="1"/>
  <c r="Q1422" i="2" s="1"/>
  <c r="Q1452" i="2" s="1"/>
  <c r="Q1482" i="2" s="1"/>
  <c r="Q1512" i="2" s="1"/>
  <c r="Q1542" i="2" s="1"/>
  <c r="Q1572" i="2" s="1"/>
  <c r="Q1602" i="2" s="1"/>
  <c r="Q1632" i="2" s="1"/>
  <c r="Q1662" i="2" s="1"/>
  <c r="Q1692" i="2" s="1"/>
  <c r="Q1722" i="2" s="1"/>
  <c r="Q1752" i="2" s="1"/>
  <c r="Q1782" i="2" s="1"/>
  <c r="Q1812" i="2" s="1"/>
  <c r="Q1842" i="2" s="1"/>
  <c r="Q1872" i="2" s="1"/>
  <c r="Q1902" i="2" s="1"/>
  <c r="Q1932" i="2" s="1"/>
  <c r="Q1962" i="2" s="1"/>
  <c r="Q1992" i="2" s="1"/>
  <c r="Q2022" i="2" s="1"/>
  <c r="Q2052" i="2" s="1"/>
  <c r="Q2082" i="2" s="1"/>
  <c r="Q2112" i="2" s="1"/>
  <c r="Q2142" i="2" s="1"/>
  <c r="Q2172" i="2" s="1"/>
  <c r="Q2202" i="2" s="1"/>
  <c r="Q2232" i="2" s="1"/>
  <c r="Q2262" i="2" s="1"/>
  <c r="Q2292" i="2" s="1"/>
  <c r="Q2322" i="2" s="1"/>
  <c r="Q2352" i="2" s="1"/>
  <c r="Q2382" i="2" s="1"/>
  <c r="Q13" i="2"/>
  <c r="Q43" i="2" s="1"/>
  <c r="Q73" i="2" s="1"/>
  <c r="Q103" i="2" s="1"/>
  <c r="Q133" i="2" s="1"/>
  <c r="Q163" i="2" s="1"/>
  <c r="Q193" i="2" s="1"/>
  <c r="Q223" i="2" s="1"/>
  <c r="Q253" i="2" s="1"/>
  <c r="Q283" i="2" s="1"/>
  <c r="Q313" i="2" s="1"/>
  <c r="Q343" i="2" s="1"/>
  <c r="Q373" i="2" s="1"/>
  <c r="Q403" i="2" s="1"/>
  <c r="Q433" i="2" s="1"/>
  <c r="Q463" i="2" s="1"/>
  <c r="Q493" i="2" s="1"/>
  <c r="Q523" i="2" s="1"/>
  <c r="Q553" i="2" s="1"/>
  <c r="Q583" i="2" s="1"/>
  <c r="Q613" i="2" s="1"/>
  <c r="Q643" i="2" s="1"/>
  <c r="Q673" i="2" s="1"/>
  <c r="Q703" i="2" s="1"/>
  <c r="Q733" i="2" s="1"/>
  <c r="Q763" i="2" s="1"/>
  <c r="Q793" i="2" s="1"/>
  <c r="Q823" i="2" s="1"/>
  <c r="Q853" i="2" s="1"/>
  <c r="Q883" i="2" s="1"/>
  <c r="Q913" i="2" s="1"/>
  <c r="Q943" i="2" s="1"/>
  <c r="Q973" i="2" s="1"/>
  <c r="Q1003" i="2" s="1"/>
  <c r="Q1033" i="2" s="1"/>
  <c r="Q1063" i="2" s="1"/>
  <c r="Q1093" i="2" s="1"/>
  <c r="Q1123" i="2" s="1"/>
  <c r="Q1153" i="2" s="1"/>
  <c r="Q1183" i="2" s="1"/>
  <c r="Q1213" i="2" s="1"/>
  <c r="Q1243" i="2" s="1"/>
  <c r="Q1273" i="2" s="1"/>
  <c r="Q1303" i="2" s="1"/>
  <c r="Q1333" i="2" s="1"/>
  <c r="Q1363" i="2" s="1"/>
  <c r="Q1393" i="2" s="1"/>
  <c r="Q1423" i="2" s="1"/>
  <c r="Q1453" i="2" s="1"/>
  <c r="Q1483" i="2" s="1"/>
  <c r="Q1513" i="2" s="1"/>
  <c r="Q1543" i="2" s="1"/>
  <c r="Q1573" i="2" s="1"/>
  <c r="Q1603" i="2" s="1"/>
  <c r="Q1633" i="2" s="1"/>
  <c r="Q1663" i="2" s="1"/>
  <c r="Q1693" i="2" s="1"/>
  <c r="Q1723" i="2" s="1"/>
  <c r="Q1753" i="2" s="1"/>
  <c r="Q1783" i="2" s="1"/>
  <c r="Q1813" i="2" s="1"/>
  <c r="Q1843" i="2" s="1"/>
  <c r="Q1873" i="2" s="1"/>
  <c r="Q1903" i="2" s="1"/>
  <c r="Q1933" i="2" s="1"/>
  <c r="Q1963" i="2" s="1"/>
  <c r="Q1993" i="2" s="1"/>
  <c r="Q2023" i="2" s="1"/>
  <c r="Q2053" i="2" s="1"/>
  <c r="Q2083" i="2" s="1"/>
  <c r="Q2113" i="2" s="1"/>
  <c r="Q2143" i="2" s="1"/>
  <c r="Q2173" i="2" s="1"/>
  <c r="Q2203" i="2" s="1"/>
  <c r="Q2233" i="2" s="1"/>
  <c r="Q2263" i="2" s="1"/>
  <c r="Q2293" i="2" s="1"/>
  <c r="Q2323" i="2" s="1"/>
  <c r="Q2353" i="2" s="1"/>
  <c r="Q2383" i="2" s="1"/>
  <c r="Q14" i="2"/>
  <c r="Q44" i="2" s="1"/>
  <c r="Q74" i="2" s="1"/>
  <c r="Q104" i="2" s="1"/>
  <c r="Q134" i="2" s="1"/>
  <c r="Q164" i="2" s="1"/>
  <c r="Q194" i="2" s="1"/>
  <c r="Q224" i="2" s="1"/>
  <c r="Q254" i="2" s="1"/>
  <c r="Q284" i="2" s="1"/>
  <c r="Q314" i="2" s="1"/>
  <c r="Q344" i="2" s="1"/>
  <c r="Q374" i="2" s="1"/>
  <c r="Q404" i="2" s="1"/>
  <c r="Q434" i="2" s="1"/>
  <c r="Q464" i="2" s="1"/>
  <c r="Q494" i="2" s="1"/>
  <c r="Q524" i="2" s="1"/>
  <c r="Q554" i="2" s="1"/>
  <c r="Q584" i="2" s="1"/>
  <c r="Q614" i="2" s="1"/>
  <c r="Q644" i="2" s="1"/>
  <c r="Q674" i="2" s="1"/>
  <c r="Q704" i="2" s="1"/>
  <c r="Q734" i="2" s="1"/>
  <c r="Q764" i="2" s="1"/>
  <c r="Q794" i="2" s="1"/>
  <c r="Q824" i="2" s="1"/>
  <c r="Q854" i="2" s="1"/>
  <c r="Q884" i="2" s="1"/>
  <c r="Q914" i="2" s="1"/>
  <c r="Q944" i="2" s="1"/>
  <c r="Q974" i="2" s="1"/>
  <c r="Q1004" i="2" s="1"/>
  <c r="Q1034" i="2" s="1"/>
  <c r="Q1064" i="2" s="1"/>
  <c r="Q1094" i="2" s="1"/>
  <c r="Q1124" i="2" s="1"/>
  <c r="Q1154" i="2" s="1"/>
  <c r="Q1184" i="2" s="1"/>
  <c r="Q1214" i="2" s="1"/>
  <c r="Q1244" i="2" s="1"/>
  <c r="Q1274" i="2" s="1"/>
  <c r="Q1304" i="2" s="1"/>
  <c r="Q1334" i="2" s="1"/>
  <c r="Q1364" i="2" s="1"/>
  <c r="Q1394" i="2" s="1"/>
  <c r="Q1424" i="2" s="1"/>
  <c r="Q1454" i="2" s="1"/>
  <c r="Q1484" i="2" s="1"/>
  <c r="Q1514" i="2" s="1"/>
  <c r="Q1544" i="2" s="1"/>
  <c r="Q1574" i="2" s="1"/>
  <c r="Q1604" i="2" s="1"/>
  <c r="Q1634" i="2" s="1"/>
  <c r="Q1664" i="2" s="1"/>
  <c r="Q1694" i="2" s="1"/>
  <c r="Q1724" i="2" s="1"/>
  <c r="Q1754" i="2" s="1"/>
  <c r="Q1784" i="2" s="1"/>
  <c r="Q1814" i="2" s="1"/>
  <c r="Q1844" i="2" s="1"/>
  <c r="Q1874" i="2" s="1"/>
  <c r="Q1904" i="2" s="1"/>
  <c r="Q1934" i="2" s="1"/>
  <c r="Q1964" i="2" s="1"/>
  <c r="Q1994" i="2" s="1"/>
  <c r="Q2024" i="2" s="1"/>
  <c r="Q2054" i="2" s="1"/>
  <c r="Q2084" i="2" s="1"/>
  <c r="Q2114" i="2" s="1"/>
  <c r="Q2144" i="2" s="1"/>
  <c r="Q2174" i="2" s="1"/>
  <c r="Q2204" i="2" s="1"/>
  <c r="Q2234" i="2" s="1"/>
  <c r="Q2264" i="2" s="1"/>
  <c r="Q2294" i="2" s="1"/>
  <c r="Q2324" i="2" s="1"/>
  <c r="Q2354" i="2" s="1"/>
  <c r="Q2384" i="2" s="1"/>
  <c r="Q15" i="2"/>
  <c r="Q45" i="2" s="1"/>
  <c r="Q75" i="2" s="1"/>
  <c r="Q105" i="2" s="1"/>
  <c r="Q135" i="2" s="1"/>
  <c r="Q165" i="2" s="1"/>
  <c r="Q195" i="2" s="1"/>
  <c r="Q225" i="2" s="1"/>
  <c r="Q255" i="2" s="1"/>
  <c r="Q285" i="2" s="1"/>
  <c r="Q315" i="2" s="1"/>
  <c r="Q345" i="2" s="1"/>
  <c r="Q375" i="2" s="1"/>
  <c r="Q405" i="2" s="1"/>
  <c r="Q435" i="2" s="1"/>
  <c r="Q465" i="2" s="1"/>
  <c r="Q495" i="2" s="1"/>
  <c r="Q525" i="2" s="1"/>
  <c r="Q555" i="2" s="1"/>
  <c r="Q585" i="2" s="1"/>
  <c r="Q615" i="2" s="1"/>
  <c r="Q645" i="2" s="1"/>
  <c r="Q675" i="2" s="1"/>
  <c r="Q705" i="2" s="1"/>
  <c r="Q735" i="2" s="1"/>
  <c r="Q765" i="2" s="1"/>
  <c r="Q795" i="2" s="1"/>
  <c r="Q825" i="2" s="1"/>
  <c r="Q855" i="2" s="1"/>
  <c r="Q885" i="2" s="1"/>
  <c r="Q915" i="2" s="1"/>
  <c r="Q945" i="2" s="1"/>
  <c r="Q975" i="2" s="1"/>
  <c r="Q1005" i="2" s="1"/>
  <c r="Q1035" i="2" s="1"/>
  <c r="Q1065" i="2" s="1"/>
  <c r="Q1095" i="2" s="1"/>
  <c r="Q1125" i="2" s="1"/>
  <c r="Q1155" i="2" s="1"/>
  <c r="Q1185" i="2" s="1"/>
  <c r="Q1215" i="2" s="1"/>
  <c r="Q1245" i="2" s="1"/>
  <c r="Q1275" i="2" s="1"/>
  <c r="Q1305" i="2" s="1"/>
  <c r="Q1335" i="2" s="1"/>
  <c r="Q1365" i="2" s="1"/>
  <c r="Q1395" i="2" s="1"/>
  <c r="Q1425" i="2" s="1"/>
  <c r="Q1455" i="2" s="1"/>
  <c r="Q1485" i="2" s="1"/>
  <c r="Q1515" i="2" s="1"/>
  <c r="Q1545" i="2" s="1"/>
  <c r="Q1575" i="2" s="1"/>
  <c r="Q1605" i="2" s="1"/>
  <c r="Q1635" i="2" s="1"/>
  <c r="Q1665" i="2" s="1"/>
  <c r="Q1695" i="2" s="1"/>
  <c r="Q1725" i="2" s="1"/>
  <c r="Q1755" i="2" s="1"/>
  <c r="Q1785" i="2" s="1"/>
  <c r="Q1815" i="2" s="1"/>
  <c r="Q1845" i="2" s="1"/>
  <c r="Q1875" i="2" s="1"/>
  <c r="Q1905" i="2" s="1"/>
  <c r="Q1935" i="2" s="1"/>
  <c r="Q1965" i="2" s="1"/>
  <c r="Q1995" i="2" s="1"/>
  <c r="Q2025" i="2" s="1"/>
  <c r="Q2055" i="2" s="1"/>
  <c r="Q2085" i="2" s="1"/>
  <c r="Q2115" i="2" s="1"/>
  <c r="Q2145" i="2" s="1"/>
  <c r="Q2175" i="2" s="1"/>
  <c r="Q2205" i="2" s="1"/>
  <c r="Q2235" i="2" s="1"/>
  <c r="Q2265" i="2" s="1"/>
  <c r="Q2295" i="2" s="1"/>
  <c r="Q2325" i="2" s="1"/>
  <c r="Q2355" i="2" s="1"/>
  <c r="Q2385" i="2" s="1"/>
  <c r="Q16" i="2"/>
  <c r="Q46" i="2" s="1"/>
  <c r="Q76" i="2" s="1"/>
  <c r="Q106" i="2" s="1"/>
  <c r="Q136" i="2" s="1"/>
  <c r="Q166" i="2" s="1"/>
  <c r="Q196" i="2" s="1"/>
  <c r="Q226" i="2" s="1"/>
  <c r="Q256" i="2" s="1"/>
  <c r="Q286" i="2" s="1"/>
  <c r="Q316" i="2" s="1"/>
  <c r="Q346" i="2" s="1"/>
  <c r="Q376" i="2" s="1"/>
  <c r="Q406" i="2" s="1"/>
  <c r="Q436" i="2" s="1"/>
  <c r="Q466" i="2" s="1"/>
  <c r="Q496" i="2" s="1"/>
  <c r="Q526" i="2" s="1"/>
  <c r="Q556" i="2" s="1"/>
  <c r="Q586" i="2" s="1"/>
  <c r="Q616" i="2" s="1"/>
  <c r="Q646" i="2" s="1"/>
  <c r="Q676" i="2" s="1"/>
  <c r="Q706" i="2" s="1"/>
  <c r="Q736" i="2" s="1"/>
  <c r="Q766" i="2" s="1"/>
  <c r="Q796" i="2" s="1"/>
  <c r="Q826" i="2" s="1"/>
  <c r="Q856" i="2" s="1"/>
  <c r="Q886" i="2" s="1"/>
  <c r="Q916" i="2" s="1"/>
  <c r="Q946" i="2" s="1"/>
  <c r="Q976" i="2" s="1"/>
  <c r="Q1006" i="2" s="1"/>
  <c r="Q1036" i="2" s="1"/>
  <c r="Q1066" i="2" s="1"/>
  <c r="Q1096" i="2" s="1"/>
  <c r="Q1126" i="2" s="1"/>
  <c r="Q1156" i="2" s="1"/>
  <c r="Q1186" i="2" s="1"/>
  <c r="Q1216" i="2" s="1"/>
  <c r="Q1246" i="2" s="1"/>
  <c r="Q1276" i="2" s="1"/>
  <c r="Q1306" i="2" s="1"/>
  <c r="Q1336" i="2" s="1"/>
  <c r="Q1366" i="2" s="1"/>
  <c r="Q1396" i="2" s="1"/>
  <c r="Q1426" i="2" s="1"/>
  <c r="Q1456" i="2" s="1"/>
  <c r="Q1486" i="2" s="1"/>
  <c r="Q1516" i="2" s="1"/>
  <c r="Q1546" i="2" s="1"/>
  <c r="Q1576" i="2" s="1"/>
  <c r="Q1606" i="2" s="1"/>
  <c r="Q1636" i="2" s="1"/>
  <c r="Q1666" i="2" s="1"/>
  <c r="Q1696" i="2" s="1"/>
  <c r="Q1726" i="2" s="1"/>
  <c r="Q1756" i="2" s="1"/>
  <c r="Q1786" i="2" s="1"/>
  <c r="Q1816" i="2" s="1"/>
  <c r="Q1846" i="2" s="1"/>
  <c r="Q1876" i="2" s="1"/>
  <c r="Q1906" i="2" s="1"/>
  <c r="Q1936" i="2" s="1"/>
  <c r="Q1966" i="2" s="1"/>
  <c r="Q1996" i="2" s="1"/>
  <c r="Q2026" i="2" s="1"/>
  <c r="Q2056" i="2" s="1"/>
  <c r="Q2086" i="2" s="1"/>
  <c r="Q2116" i="2" s="1"/>
  <c r="Q2146" i="2" s="1"/>
  <c r="Q2176" i="2" s="1"/>
  <c r="Q2206" i="2" s="1"/>
  <c r="Q2236" i="2" s="1"/>
  <c r="Q2266" i="2" s="1"/>
  <c r="Q2296" i="2" s="1"/>
  <c r="Q2326" i="2" s="1"/>
  <c r="Q2356" i="2" s="1"/>
  <c r="Q2386" i="2" s="1"/>
  <c r="Q17" i="2"/>
  <c r="Q47" i="2" s="1"/>
  <c r="Q77" i="2" s="1"/>
  <c r="Q107" i="2" s="1"/>
  <c r="Q137" i="2" s="1"/>
  <c r="Q167" i="2" s="1"/>
  <c r="Q197" i="2" s="1"/>
  <c r="Q227" i="2" s="1"/>
  <c r="Q257" i="2" s="1"/>
  <c r="Q287" i="2" s="1"/>
  <c r="Q317" i="2" s="1"/>
  <c r="Q347" i="2" s="1"/>
  <c r="Q377" i="2" s="1"/>
  <c r="Q407" i="2" s="1"/>
  <c r="Q437" i="2" s="1"/>
  <c r="Q467" i="2" s="1"/>
  <c r="Q497" i="2" s="1"/>
  <c r="Q527" i="2" s="1"/>
  <c r="Q557" i="2" s="1"/>
  <c r="Q587" i="2" s="1"/>
  <c r="Q617" i="2" s="1"/>
  <c r="Q647" i="2" s="1"/>
  <c r="Q677" i="2" s="1"/>
  <c r="Q707" i="2" s="1"/>
  <c r="Q737" i="2" s="1"/>
  <c r="Q767" i="2" s="1"/>
  <c r="Q797" i="2" s="1"/>
  <c r="Q827" i="2" s="1"/>
  <c r="Q857" i="2" s="1"/>
  <c r="Q887" i="2" s="1"/>
  <c r="Q917" i="2" s="1"/>
  <c r="Q947" i="2" s="1"/>
  <c r="Q977" i="2" s="1"/>
  <c r="Q1007" i="2" s="1"/>
  <c r="Q1037" i="2" s="1"/>
  <c r="Q1067" i="2" s="1"/>
  <c r="Q1097" i="2" s="1"/>
  <c r="Q1127" i="2" s="1"/>
  <c r="Q1157" i="2" s="1"/>
  <c r="Q1187" i="2" s="1"/>
  <c r="Q1217" i="2" s="1"/>
  <c r="Q1247" i="2" s="1"/>
  <c r="Q1277" i="2" s="1"/>
  <c r="Q1307" i="2" s="1"/>
  <c r="Q1337" i="2" s="1"/>
  <c r="Q1367" i="2" s="1"/>
  <c r="Q1397" i="2" s="1"/>
  <c r="Q1427" i="2" s="1"/>
  <c r="Q1457" i="2" s="1"/>
  <c r="Q1487" i="2" s="1"/>
  <c r="Q1517" i="2" s="1"/>
  <c r="Q1547" i="2" s="1"/>
  <c r="Q1577" i="2" s="1"/>
  <c r="Q1607" i="2" s="1"/>
  <c r="Q1637" i="2" s="1"/>
  <c r="Q1667" i="2" s="1"/>
  <c r="Q1697" i="2" s="1"/>
  <c r="Q1727" i="2" s="1"/>
  <c r="Q1757" i="2" s="1"/>
  <c r="Q1787" i="2" s="1"/>
  <c r="Q1817" i="2" s="1"/>
  <c r="Q1847" i="2" s="1"/>
  <c r="Q1877" i="2" s="1"/>
  <c r="Q1907" i="2" s="1"/>
  <c r="Q1937" i="2" s="1"/>
  <c r="Q1967" i="2" s="1"/>
  <c r="Q1997" i="2" s="1"/>
  <c r="Q2027" i="2" s="1"/>
  <c r="Q2057" i="2" s="1"/>
  <c r="Q2087" i="2" s="1"/>
  <c r="Q2117" i="2" s="1"/>
  <c r="Q2147" i="2" s="1"/>
  <c r="Q2177" i="2" s="1"/>
  <c r="Q2207" i="2" s="1"/>
  <c r="Q2237" i="2" s="1"/>
  <c r="Q2267" i="2" s="1"/>
  <c r="Q2297" i="2" s="1"/>
  <c r="Q2327" i="2" s="1"/>
  <c r="Q2357" i="2" s="1"/>
  <c r="Q2387" i="2" s="1"/>
  <c r="Q18" i="2"/>
  <c r="Q48" i="2" s="1"/>
  <c r="Q78" i="2" s="1"/>
  <c r="Q108" i="2" s="1"/>
  <c r="Q138" i="2" s="1"/>
  <c r="Q168" i="2" s="1"/>
  <c r="Q198" i="2" s="1"/>
  <c r="Q228" i="2" s="1"/>
  <c r="Q258" i="2" s="1"/>
  <c r="Q288" i="2" s="1"/>
  <c r="Q318" i="2" s="1"/>
  <c r="Q348" i="2" s="1"/>
  <c r="Q378" i="2" s="1"/>
  <c r="Q408" i="2" s="1"/>
  <c r="Q438" i="2" s="1"/>
  <c r="Q468" i="2" s="1"/>
  <c r="Q498" i="2" s="1"/>
  <c r="Q528" i="2" s="1"/>
  <c r="Q558" i="2" s="1"/>
  <c r="Q588" i="2" s="1"/>
  <c r="Q618" i="2" s="1"/>
  <c r="Q648" i="2" s="1"/>
  <c r="Q678" i="2" s="1"/>
  <c r="Q708" i="2" s="1"/>
  <c r="Q738" i="2" s="1"/>
  <c r="Q768" i="2" s="1"/>
  <c r="Q798" i="2" s="1"/>
  <c r="Q828" i="2" s="1"/>
  <c r="Q858" i="2" s="1"/>
  <c r="Q888" i="2" s="1"/>
  <c r="Q918" i="2" s="1"/>
  <c r="Q948" i="2" s="1"/>
  <c r="Q978" i="2" s="1"/>
  <c r="Q1008" i="2" s="1"/>
  <c r="Q1038" i="2" s="1"/>
  <c r="Q1068" i="2" s="1"/>
  <c r="Q1098" i="2" s="1"/>
  <c r="Q1128" i="2" s="1"/>
  <c r="Q1158" i="2" s="1"/>
  <c r="Q1188" i="2" s="1"/>
  <c r="Q1218" i="2" s="1"/>
  <c r="Q1248" i="2" s="1"/>
  <c r="Q1278" i="2" s="1"/>
  <c r="Q1308" i="2" s="1"/>
  <c r="Q1338" i="2" s="1"/>
  <c r="Q1368" i="2" s="1"/>
  <c r="Q1398" i="2" s="1"/>
  <c r="Q1428" i="2" s="1"/>
  <c r="Q1458" i="2" s="1"/>
  <c r="Q1488" i="2" s="1"/>
  <c r="Q1518" i="2" s="1"/>
  <c r="Q1548" i="2" s="1"/>
  <c r="Q1578" i="2" s="1"/>
  <c r="Q1608" i="2" s="1"/>
  <c r="Q1638" i="2" s="1"/>
  <c r="Q1668" i="2" s="1"/>
  <c r="Q1698" i="2" s="1"/>
  <c r="Q1728" i="2" s="1"/>
  <c r="Q1758" i="2" s="1"/>
  <c r="Q1788" i="2" s="1"/>
  <c r="Q1818" i="2" s="1"/>
  <c r="Q1848" i="2" s="1"/>
  <c r="Q1878" i="2" s="1"/>
  <c r="Q1908" i="2" s="1"/>
  <c r="Q1938" i="2" s="1"/>
  <c r="Q1968" i="2" s="1"/>
  <c r="Q1998" i="2" s="1"/>
  <c r="Q2028" i="2" s="1"/>
  <c r="Q2058" i="2" s="1"/>
  <c r="Q2088" i="2" s="1"/>
  <c r="Q2118" i="2" s="1"/>
  <c r="Q2148" i="2" s="1"/>
  <c r="Q2178" i="2" s="1"/>
  <c r="Q2208" i="2" s="1"/>
  <c r="Q2238" i="2" s="1"/>
  <c r="Q2268" i="2" s="1"/>
  <c r="Q2298" i="2" s="1"/>
  <c r="Q2328" i="2" s="1"/>
  <c r="Q2358" i="2" s="1"/>
  <c r="Q2388" i="2" s="1"/>
  <c r="Q19" i="2"/>
  <c r="Q49" i="2" s="1"/>
  <c r="Q79" i="2" s="1"/>
  <c r="Q109" i="2" s="1"/>
  <c r="Q139" i="2" s="1"/>
  <c r="Q169" i="2" s="1"/>
  <c r="Q199" i="2" s="1"/>
  <c r="Q229" i="2" s="1"/>
  <c r="Q259" i="2" s="1"/>
  <c r="Q289" i="2" s="1"/>
  <c r="Q319" i="2" s="1"/>
  <c r="Q349" i="2" s="1"/>
  <c r="Q379" i="2" s="1"/>
  <c r="Q409" i="2" s="1"/>
  <c r="Q439" i="2" s="1"/>
  <c r="Q469" i="2" s="1"/>
  <c r="Q499" i="2" s="1"/>
  <c r="Q529" i="2" s="1"/>
  <c r="Q559" i="2" s="1"/>
  <c r="Q589" i="2" s="1"/>
  <c r="Q619" i="2" s="1"/>
  <c r="Q649" i="2" s="1"/>
  <c r="Q679" i="2" s="1"/>
  <c r="Q709" i="2" s="1"/>
  <c r="Q739" i="2" s="1"/>
  <c r="Q769" i="2" s="1"/>
  <c r="Q799" i="2" s="1"/>
  <c r="Q829" i="2" s="1"/>
  <c r="Q859" i="2" s="1"/>
  <c r="Q889" i="2" s="1"/>
  <c r="Q919" i="2" s="1"/>
  <c r="Q949" i="2" s="1"/>
  <c r="Q979" i="2" s="1"/>
  <c r="Q1009" i="2" s="1"/>
  <c r="Q1039" i="2" s="1"/>
  <c r="Q1069" i="2" s="1"/>
  <c r="Q1099" i="2" s="1"/>
  <c r="Q1129" i="2" s="1"/>
  <c r="Q1159" i="2" s="1"/>
  <c r="Q1189" i="2" s="1"/>
  <c r="Q1219" i="2" s="1"/>
  <c r="Q1249" i="2" s="1"/>
  <c r="Q1279" i="2" s="1"/>
  <c r="Q1309" i="2" s="1"/>
  <c r="Q1339" i="2" s="1"/>
  <c r="Q1369" i="2" s="1"/>
  <c r="Q1399" i="2" s="1"/>
  <c r="Q1429" i="2" s="1"/>
  <c r="Q1459" i="2" s="1"/>
  <c r="Q1489" i="2" s="1"/>
  <c r="Q1519" i="2" s="1"/>
  <c r="Q1549" i="2" s="1"/>
  <c r="Q1579" i="2" s="1"/>
  <c r="Q1609" i="2" s="1"/>
  <c r="Q1639" i="2" s="1"/>
  <c r="Q1669" i="2" s="1"/>
  <c r="Q1699" i="2" s="1"/>
  <c r="Q1729" i="2" s="1"/>
  <c r="Q1759" i="2" s="1"/>
  <c r="Q1789" i="2" s="1"/>
  <c r="Q1819" i="2" s="1"/>
  <c r="Q1849" i="2" s="1"/>
  <c r="Q1879" i="2" s="1"/>
  <c r="Q1909" i="2" s="1"/>
  <c r="Q1939" i="2" s="1"/>
  <c r="Q1969" i="2" s="1"/>
  <c r="Q1999" i="2" s="1"/>
  <c r="Q2029" i="2" s="1"/>
  <c r="Q2059" i="2" s="1"/>
  <c r="Q2089" i="2" s="1"/>
  <c r="Q2119" i="2" s="1"/>
  <c r="Q2149" i="2" s="1"/>
  <c r="Q2179" i="2" s="1"/>
  <c r="Q2209" i="2" s="1"/>
  <c r="Q2239" i="2" s="1"/>
  <c r="Q2269" i="2" s="1"/>
  <c r="Q2299" i="2" s="1"/>
  <c r="Q2329" i="2" s="1"/>
  <c r="Q2359" i="2" s="1"/>
  <c r="Q2389" i="2" s="1"/>
  <c r="Q20" i="2"/>
  <c r="Q50" i="2" s="1"/>
  <c r="Q80" i="2" s="1"/>
  <c r="Q110" i="2" s="1"/>
  <c r="Q140" i="2" s="1"/>
  <c r="Q170" i="2" s="1"/>
  <c r="Q200" i="2" s="1"/>
  <c r="Q230" i="2" s="1"/>
  <c r="Q260" i="2" s="1"/>
  <c r="Q290" i="2" s="1"/>
  <c r="Q320" i="2" s="1"/>
  <c r="Q350" i="2" s="1"/>
  <c r="Q380" i="2" s="1"/>
  <c r="Q410" i="2" s="1"/>
  <c r="Q440" i="2" s="1"/>
  <c r="Q470" i="2" s="1"/>
  <c r="Q500" i="2" s="1"/>
  <c r="Q530" i="2" s="1"/>
  <c r="Q560" i="2" s="1"/>
  <c r="Q590" i="2" s="1"/>
  <c r="Q620" i="2" s="1"/>
  <c r="Q650" i="2" s="1"/>
  <c r="Q680" i="2" s="1"/>
  <c r="Q710" i="2" s="1"/>
  <c r="Q740" i="2" s="1"/>
  <c r="Q770" i="2" s="1"/>
  <c r="Q800" i="2" s="1"/>
  <c r="Q830" i="2" s="1"/>
  <c r="Q860" i="2" s="1"/>
  <c r="Q890" i="2" s="1"/>
  <c r="Q920" i="2" s="1"/>
  <c r="Q950" i="2" s="1"/>
  <c r="Q980" i="2" s="1"/>
  <c r="Q1010" i="2" s="1"/>
  <c r="Q1040" i="2" s="1"/>
  <c r="Q1070" i="2" s="1"/>
  <c r="Q1100" i="2" s="1"/>
  <c r="Q1130" i="2" s="1"/>
  <c r="Q1160" i="2" s="1"/>
  <c r="Q1190" i="2" s="1"/>
  <c r="Q1220" i="2" s="1"/>
  <c r="Q1250" i="2" s="1"/>
  <c r="Q1280" i="2" s="1"/>
  <c r="Q1310" i="2" s="1"/>
  <c r="Q1340" i="2" s="1"/>
  <c r="Q1370" i="2" s="1"/>
  <c r="Q1400" i="2" s="1"/>
  <c r="Q1430" i="2" s="1"/>
  <c r="Q1460" i="2" s="1"/>
  <c r="Q1490" i="2" s="1"/>
  <c r="Q1520" i="2" s="1"/>
  <c r="Q1550" i="2" s="1"/>
  <c r="Q1580" i="2" s="1"/>
  <c r="Q1610" i="2" s="1"/>
  <c r="Q1640" i="2" s="1"/>
  <c r="Q1670" i="2" s="1"/>
  <c r="Q1700" i="2" s="1"/>
  <c r="Q1730" i="2" s="1"/>
  <c r="Q1760" i="2" s="1"/>
  <c r="Q1790" i="2" s="1"/>
  <c r="Q1820" i="2" s="1"/>
  <c r="Q1850" i="2" s="1"/>
  <c r="Q1880" i="2" s="1"/>
  <c r="Q1910" i="2" s="1"/>
  <c r="Q1940" i="2" s="1"/>
  <c r="Q1970" i="2" s="1"/>
  <c r="Q2000" i="2" s="1"/>
  <c r="Q2030" i="2" s="1"/>
  <c r="Q2060" i="2" s="1"/>
  <c r="Q2090" i="2" s="1"/>
  <c r="Q2120" i="2" s="1"/>
  <c r="Q2150" i="2" s="1"/>
  <c r="Q2180" i="2" s="1"/>
  <c r="Q2210" i="2" s="1"/>
  <c r="Q2240" i="2" s="1"/>
  <c r="Q2270" i="2" s="1"/>
  <c r="Q2300" i="2" s="1"/>
  <c r="Q2330" i="2" s="1"/>
  <c r="Q2360" i="2" s="1"/>
  <c r="Q2390" i="2" s="1"/>
  <c r="Q21" i="2"/>
  <c r="Q51" i="2" s="1"/>
  <c r="Q81" i="2" s="1"/>
  <c r="Q111" i="2" s="1"/>
  <c r="Q141" i="2" s="1"/>
  <c r="Q171" i="2" s="1"/>
  <c r="Q201" i="2" s="1"/>
  <c r="Q231" i="2" s="1"/>
  <c r="Q261" i="2" s="1"/>
  <c r="Q291" i="2" s="1"/>
  <c r="Q321" i="2" s="1"/>
  <c r="Q351" i="2" s="1"/>
  <c r="Q381" i="2" s="1"/>
  <c r="Q411" i="2" s="1"/>
  <c r="Q441" i="2" s="1"/>
  <c r="Q471" i="2" s="1"/>
  <c r="Q501" i="2" s="1"/>
  <c r="Q531" i="2" s="1"/>
  <c r="Q561" i="2" s="1"/>
  <c r="Q591" i="2" s="1"/>
  <c r="Q621" i="2" s="1"/>
  <c r="Q651" i="2" s="1"/>
  <c r="Q681" i="2" s="1"/>
  <c r="Q711" i="2" s="1"/>
  <c r="Q741" i="2" s="1"/>
  <c r="Q771" i="2" s="1"/>
  <c r="Q801" i="2" s="1"/>
  <c r="Q831" i="2" s="1"/>
  <c r="Q861" i="2" s="1"/>
  <c r="Q891" i="2" s="1"/>
  <c r="Q921" i="2" s="1"/>
  <c r="Q951" i="2" s="1"/>
  <c r="Q981" i="2" s="1"/>
  <c r="Q1011" i="2" s="1"/>
  <c r="Q1041" i="2" s="1"/>
  <c r="Q1071" i="2" s="1"/>
  <c r="Q1101" i="2" s="1"/>
  <c r="Q1131" i="2" s="1"/>
  <c r="Q1161" i="2" s="1"/>
  <c r="Q1191" i="2" s="1"/>
  <c r="Q1221" i="2" s="1"/>
  <c r="Q1251" i="2" s="1"/>
  <c r="Q1281" i="2" s="1"/>
  <c r="Q1311" i="2" s="1"/>
  <c r="Q1341" i="2" s="1"/>
  <c r="Q1371" i="2" s="1"/>
  <c r="Q1401" i="2" s="1"/>
  <c r="Q1431" i="2" s="1"/>
  <c r="Q1461" i="2" s="1"/>
  <c r="Q1491" i="2" s="1"/>
  <c r="Q1521" i="2" s="1"/>
  <c r="Q1551" i="2" s="1"/>
  <c r="Q1581" i="2" s="1"/>
  <c r="Q1611" i="2" s="1"/>
  <c r="Q1641" i="2" s="1"/>
  <c r="Q1671" i="2" s="1"/>
  <c r="Q1701" i="2" s="1"/>
  <c r="Q1731" i="2" s="1"/>
  <c r="Q1761" i="2" s="1"/>
  <c r="Q1791" i="2" s="1"/>
  <c r="Q1821" i="2" s="1"/>
  <c r="Q1851" i="2" s="1"/>
  <c r="Q1881" i="2" s="1"/>
  <c r="Q1911" i="2" s="1"/>
  <c r="Q1941" i="2" s="1"/>
  <c r="Q1971" i="2" s="1"/>
  <c r="Q2001" i="2" s="1"/>
  <c r="Q2031" i="2" s="1"/>
  <c r="Q2061" i="2" s="1"/>
  <c r="Q2091" i="2" s="1"/>
  <c r="Q2121" i="2" s="1"/>
  <c r="Q2151" i="2" s="1"/>
  <c r="Q2181" i="2" s="1"/>
  <c r="Q2211" i="2" s="1"/>
  <c r="Q2241" i="2" s="1"/>
  <c r="Q2271" i="2" s="1"/>
  <c r="Q2301" i="2" s="1"/>
  <c r="Q2331" i="2" s="1"/>
  <c r="Q2361" i="2" s="1"/>
  <c r="Q2391" i="2" s="1"/>
  <c r="Q22" i="2"/>
  <c r="Q52" i="2" s="1"/>
  <c r="Q82" i="2" s="1"/>
  <c r="Q112" i="2" s="1"/>
  <c r="Q142" i="2" s="1"/>
  <c r="Q172" i="2" s="1"/>
  <c r="Q202" i="2" s="1"/>
  <c r="Q232" i="2" s="1"/>
  <c r="Q262" i="2" s="1"/>
  <c r="Q292" i="2" s="1"/>
  <c r="Q322" i="2" s="1"/>
  <c r="Q352" i="2" s="1"/>
  <c r="Q382" i="2" s="1"/>
  <c r="Q412" i="2" s="1"/>
  <c r="Q442" i="2" s="1"/>
  <c r="Q472" i="2" s="1"/>
  <c r="Q502" i="2" s="1"/>
  <c r="Q532" i="2" s="1"/>
  <c r="Q562" i="2" s="1"/>
  <c r="Q592" i="2" s="1"/>
  <c r="Q622" i="2" s="1"/>
  <c r="Q652" i="2" s="1"/>
  <c r="Q682" i="2" s="1"/>
  <c r="Q712" i="2" s="1"/>
  <c r="Q742" i="2" s="1"/>
  <c r="Q772" i="2" s="1"/>
  <c r="Q802" i="2" s="1"/>
  <c r="Q832" i="2" s="1"/>
  <c r="Q862" i="2" s="1"/>
  <c r="Q892" i="2" s="1"/>
  <c r="Q922" i="2" s="1"/>
  <c r="Q952" i="2" s="1"/>
  <c r="Q982" i="2" s="1"/>
  <c r="Q1012" i="2" s="1"/>
  <c r="Q1042" i="2" s="1"/>
  <c r="Q1072" i="2" s="1"/>
  <c r="Q1102" i="2" s="1"/>
  <c r="Q1132" i="2" s="1"/>
  <c r="Q1162" i="2" s="1"/>
  <c r="Q1192" i="2" s="1"/>
  <c r="Q1222" i="2" s="1"/>
  <c r="Q1252" i="2" s="1"/>
  <c r="Q1282" i="2" s="1"/>
  <c r="Q1312" i="2" s="1"/>
  <c r="Q1342" i="2" s="1"/>
  <c r="Q1372" i="2" s="1"/>
  <c r="Q1402" i="2" s="1"/>
  <c r="Q1432" i="2" s="1"/>
  <c r="Q1462" i="2" s="1"/>
  <c r="Q1492" i="2" s="1"/>
  <c r="Q1522" i="2" s="1"/>
  <c r="Q1552" i="2" s="1"/>
  <c r="Q1582" i="2" s="1"/>
  <c r="Q1612" i="2" s="1"/>
  <c r="Q1642" i="2" s="1"/>
  <c r="Q1672" i="2" s="1"/>
  <c r="Q1702" i="2" s="1"/>
  <c r="Q1732" i="2" s="1"/>
  <c r="Q1762" i="2" s="1"/>
  <c r="Q1792" i="2" s="1"/>
  <c r="Q1822" i="2" s="1"/>
  <c r="Q1852" i="2" s="1"/>
  <c r="Q1882" i="2" s="1"/>
  <c r="Q1912" i="2" s="1"/>
  <c r="Q1942" i="2" s="1"/>
  <c r="Q1972" i="2" s="1"/>
  <c r="Q2002" i="2" s="1"/>
  <c r="Q2032" i="2" s="1"/>
  <c r="Q2062" i="2" s="1"/>
  <c r="Q2092" i="2" s="1"/>
  <c r="Q2122" i="2" s="1"/>
  <c r="Q2152" i="2" s="1"/>
  <c r="Q2182" i="2" s="1"/>
  <c r="Q2212" i="2" s="1"/>
  <c r="Q2242" i="2" s="1"/>
  <c r="Q2272" i="2" s="1"/>
  <c r="Q2302" i="2" s="1"/>
  <c r="Q2332" i="2" s="1"/>
  <c r="Q2362" i="2" s="1"/>
  <c r="Q2392" i="2" s="1"/>
  <c r="Q23" i="2"/>
  <c r="Q53" i="2" s="1"/>
  <c r="Q83" i="2" s="1"/>
  <c r="Q113" i="2" s="1"/>
  <c r="Q143" i="2" s="1"/>
  <c r="Q173" i="2" s="1"/>
  <c r="Q203" i="2" s="1"/>
  <c r="Q233" i="2" s="1"/>
  <c r="Q263" i="2" s="1"/>
  <c r="Q293" i="2" s="1"/>
  <c r="Q323" i="2" s="1"/>
  <c r="Q353" i="2" s="1"/>
  <c r="Q383" i="2" s="1"/>
  <c r="Q413" i="2" s="1"/>
  <c r="Q443" i="2" s="1"/>
  <c r="Q473" i="2" s="1"/>
  <c r="Q503" i="2" s="1"/>
  <c r="Q533" i="2" s="1"/>
  <c r="Q563" i="2" s="1"/>
  <c r="Q593" i="2" s="1"/>
  <c r="Q623" i="2" s="1"/>
  <c r="Q653" i="2" s="1"/>
  <c r="Q683" i="2" s="1"/>
  <c r="Q713" i="2" s="1"/>
  <c r="Q743" i="2" s="1"/>
  <c r="Q773" i="2" s="1"/>
  <c r="Q803" i="2" s="1"/>
  <c r="Q833" i="2" s="1"/>
  <c r="Q863" i="2" s="1"/>
  <c r="Q893" i="2" s="1"/>
  <c r="Q923" i="2" s="1"/>
  <c r="Q953" i="2" s="1"/>
  <c r="Q983" i="2" s="1"/>
  <c r="Q1013" i="2" s="1"/>
  <c r="Q1043" i="2" s="1"/>
  <c r="Q1073" i="2" s="1"/>
  <c r="Q1103" i="2" s="1"/>
  <c r="Q1133" i="2" s="1"/>
  <c r="Q1163" i="2" s="1"/>
  <c r="Q1193" i="2" s="1"/>
  <c r="Q1223" i="2" s="1"/>
  <c r="Q1253" i="2" s="1"/>
  <c r="Q1283" i="2" s="1"/>
  <c r="Q1313" i="2" s="1"/>
  <c r="Q1343" i="2" s="1"/>
  <c r="Q1373" i="2" s="1"/>
  <c r="Q1403" i="2" s="1"/>
  <c r="Q1433" i="2" s="1"/>
  <c r="Q1463" i="2" s="1"/>
  <c r="Q1493" i="2" s="1"/>
  <c r="Q1523" i="2" s="1"/>
  <c r="Q1553" i="2" s="1"/>
  <c r="Q1583" i="2" s="1"/>
  <c r="Q1613" i="2" s="1"/>
  <c r="Q1643" i="2" s="1"/>
  <c r="Q1673" i="2" s="1"/>
  <c r="Q1703" i="2" s="1"/>
  <c r="Q1733" i="2" s="1"/>
  <c r="Q1763" i="2" s="1"/>
  <c r="Q1793" i="2" s="1"/>
  <c r="Q1823" i="2" s="1"/>
  <c r="Q1853" i="2" s="1"/>
  <c r="Q1883" i="2" s="1"/>
  <c r="Q1913" i="2" s="1"/>
  <c r="Q1943" i="2" s="1"/>
  <c r="Q1973" i="2" s="1"/>
  <c r="Q2003" i="2" s="1"/>
  <c r="Q2033" i="2" s="1"/>
  <c r="Q2063" i="2" s="1"/>
  <c r="Q2093" i="2" s="1"/>
  <c r="Q2123" i="2" s="1"/>
  <c r="Q2153" i="2" s="1"/>
  <c r="Q2183" i="2" s="1"/>
  <c r="Q2213" i="2" s="1"/>
  <c r="Q2243" i="2" s="1"/>
  <c r="Q2273" i="2" s="1"/>
  <c r="Q2303" i="2" s="1"/>
  <c r="Q2333" i="2" s="1"/>
  <c r="Q2363" i="2" s="1"/>
  <c r="Q2393" i="2" s="1"/>
  <c r="Q24" i="2"/>
  <c r="Q54" i="2" s="1"/>
  <c r="Q84" i="2" s="1"/>
  <c r="Q114" i="2" s="1"/>
  <c r="Q144" i="2" s="1"/>
  <c r="Q174" i="2" s="1"/>
  <c r="Q204" i="2" s="1"/>
  <c r="Q234" i="2" s="1"/>
  <c r="Q264" i="2" s="1"/>
  <c r="Q294" i="2" s="1"/>
  <c r="Q324" i="2" s="1"/>
  <c r="Q354" i="2" s="1"/>
  <c r="Q384" i="2" s="1"/>
  <c r="Q414" i="2" s="1"/>
  <c r="Q444" i="2" s="1"/>
  <c r="Q474" i="2" s="1"/>
  <c r="Q504" i="2" s="1"/>
  <c r="Q534" i="2" s="1"/>
  <c r="Q564" i="2" s="1"/>
  <c r="Q594" i="2" s="1"/>
  <c r="Q624" i="2" s="1"/>
  <c r="Q654" i="2" s="1"/>
  <c r="Q684" i="2" s="1"/>
  <c r="Q714" i="2" s="1"/>
  <c r="Q744" i="2" s="1"/>
  <c r="Q774" i="2" s="1"/>
  <c r="Q804" i="2" s="1"/>
  <c r="Q834" i="2" s="1"/>
  <c r="Q864" i="2" s="1"/>
  <c r="Q894" i="2" s="1"/>
  <c r="Q924" i="2" s="1"/>
  <c r="Q954" i="2" s="1"/>
  <c r="Q984" i="2" s="1"/>
  <c r="Q1014" i="2" s="1"/>
  <c r="Q1044" i="2" s="1"/>
  <c r="Q1074" i="2" s="1"/>
  <c r="Q1104" i="2" s="1"/>
  <c r="Q1134" i="2" s="1"/>
  <c r="Q1164" i="2" s="1"/>
  <c r="Q1194" i="2" s="1"/>
  <c r="Q1224" i="2" s="1"/>
  <c r="Q1254" i="2" s="1"/>
  <c r="Q1284" i="2" s="1"/>
  <c r="Q1314" i="2" s="1"/>
  <c r="Q1344" i="2" s="1"/>
  <c r="Q1374" i="2" s="1"/>
  <c r="Q1404" i="2" s="1"/>
  <c r="Q1434" i="2" s="1"/>
  <c r="Q1464" i="2" s="1"/>
  <c r="Q1494" i="2" s="1"/>
  <c r="Q1524" i="2" s="1"/>
  <c r="Q1554" i="2" s="1"/>
  <c r="Q1584" i="2" s="1"/>
  <c r="Q1614" i="2" s="1"/>
  <c r="Q1644" i="2" s="1"/>
  <c r="Q1674" i="2" s="1"/>
  <c r="Q1704" i="2" s="1"/>
  <c r="Q1734" i="2" s="1"/>
  <c r="Q1764" i="2" s="1"/>
  <c r="Q1794" i="2" s="1"/>
  <c r="Q1824" i="2" s="1"/>
  <c r="Q1854" i="2" s="1"/>
  <c r="Q1884" i="2" s="1"/>
  <c r="Q1914" i="2" s="1"/>
  <c r="Q1944" i="2" s="1"/>
  <c r="Q1974" i="2" s="1"/>
  <c r="Q2004" i="2" s="1"/>
  <c r="Q2034" i="2" s="1"/>
  <c r="Q2064" i="2" s="1"/>
  <c r="Q2094" i="2" s="1"/>
  <c r="Q2124" i="2" s="1"/>
  <c r="Q2154" i="2" s="1"/>
  <c r="Q2184" i="2" s="1"/>
  <c r="Q2214" i="2" s="1"/>
  <c r="Q2244" i="2" s="1"/>
  <c r="Q2274" i="2" s="1"/>
  <c r="Q2304" i="2" s="1"/>
  <c r="Q2334" i="2" s="1"/>
  <c r="Q2364" i="2" s="1"/>
  <c r="Q2394" i="2" s="1"/>
  <c r="Q25" i="2"/>
  <c r="Q55" i="2" s="1"/>
  <c r="Q85" i="2" s="1"/>
  <c r="Q115" i="2" s="1"/>
  <c r="Q145" i="2" s="1"/>
  <c r="Q175" i="2" s="1"/>
  <c r="Q205" i="2" s="1"/>
  <c r="Q235" i="2" s="1"/>
  <c r="Q265" i="2" s="1"/>
  <c r="Q295" i="2" s="1"/>
  <c r="Q325" i="2" s="1"/>
  <c r="Q355" i="2" s="1"/>
  <c r="Q385" i="2" s="1"/>
  <c r="Q415" i="2" s="1"/>
  <c r="Q445" i="2" s="1"/>
  <c r="Q475" i="2" s="1"/>
  <c r="Q505" i="2" s="1"/>
  <c r="Q535" i="2" s="1"/>
  <c r="Q565" i="2" s="1"/>
  <c r="Q595" i="2" s="1"/>
  <c r="Q625" i="2" s="1"/>
  <c r="Q655" i="2" s="1"/>
  <c r="Q685" i="2" s="1"/>
  <c r="Q715" i="2" s="1"/>
  <c r="Q745" i="2" s="1"/>
  <c r="Q775" i="2" s="1"/>
  <c r="Q805" i="2" s="1"/>
  <c r="Q835" i="2" s="1"/>
  <c r="Q865" i="2" s="1"/>
  <c r="Q895" i="2" s="1"/>
  <c r="Q925" i="2" s="1"/>
  <c r="Q955" i="2" s="1"/>
  <c r="Q985" i="2" s="1"/>
  <c r="Q1015" i="2" s="1"/>
  <c r="Q1045" i="2" s="1"/>
  <c r="Q1075" i="2" s="1"/>
  <c r="Q1105" i="2" s="1"/>
  <c r="Q1135" i="2" s="1"/>
  <c r="Q1165" i="2" s="1"/>
  <c r="Q1195" i="2" s="1"/>
  <c r="Q1225" i="2" s="1"/>
  <c r="Q1255" i="2" s="1"/>
  <c r="Q1285" i="2" s="1"/>
  <c r="Q1315" i="2" s="1"/>
  <c r="Q1345" i="2" s="1"/>
  <c r="Q1375" i="2" s="1"/>
  <c r="Q1405" i="2" s="1"/>
  <c r="Q1435" i="2" s="1"/>
  <c r="Q1465" i="2" s="1"/>
  <c r="Q1495" i="2" s="1"/>
  <c r="Q1525" i="2" s="1"/>
  <c r="Q1555" i="2" s="1"/>
  <c r="Q1585" i="2" s="1"/>
  <c r="Q1615" i="2" s="1"/>
  <c r="Q1645" i="2" s="1"/>
  <c r="Q1675" i="2" s="1"/>
  <c r="Q1705" i="2" s="1"/>
  <c r="Q1735" i="2" s="1"/>
  <c r="Q1765" i="2" s="1"/>
  <c r="Q1795" i="2" s="1"/>
  <c r="Q1825" i="2" s="1"/>
  <c r="Q1855" i="2" s="1"/>
  <c r="Q1885" i="2" s="1"/>
  <c r="Q1915" i="2" s="1"/>
  <c r="Q1945" i="2" s="1"/>
  <c r="Q1975" i="2" s="1"/>
  <c r="Q2005" i="2" s="1"/>
  <c r="Q2035" i="2" s="1"/>
  <c r="Q2065" i="2" s="1"/>
  <c r="Q2095" i="2" s="1"/>
  <c r="Q2125" i="2" s="1"/>
  <c r="Q2155" i="2" s="1"/>
  <c r="Q2185" i="2" s="1"/>
  <c r="Q2215" i="2" s="1"/>
  <c r="Q2245" i="2" s="1"/>
  <c r="Q2275" i="2" s="1"/>
  <c r="Q2305" i="2" s="1"/>
  <c r="Q2335" i="2" s="1"/>
  <c r="Q2365" i="2" s="1"/>
  <c r="Q2395" i="2" s="1"/>
  <c r="Q26" i="2"/>
  <c r="Q56" i="2" s="1"/>
  <c r="Q86" i="2" s="1"/>
  <c r="Q116" i="2" s="1"/>
  <c r="Q146" i="2" s="1"/>
  <c r="Q176" i="2" s="1"/>
  <c r="Q206" i="2" s="1"/>
  <c r="Q236" i="2" s="1"/>
  <c r="Q266" i="2" s="1"/>
  <c r="Q296" i="2" s="1"/>
  <c r="Q326" i="2" s="1"/>
  <c r="Q356" i="2" s="1"/>
  <c r="Q386" i="2" s="1"/>
  <c r="Q416" i="2" s="1"/>
  <c r="Q446" i="2" s="1"/>
  <c r="Q476" i="2" s="1"/>
  <c r="Q506" i="2" s="1"/>
  <c r="Q536" i="2" s="1"/>
  <c r="Q566" i="2" s="1"/>
  <c r="Q596" i="2" s="1"/>
  <c r="Q626" i="2" s="1"/>
  <c r="Q656" i="2" s="1"/>
  <c r="Q686" i="2" s="1"/>
  <c r="Q716" i="2" s="1"/>
  <c r="Q746" i="2" s="1"/>
  <c r="Q776" i="2" s="1"/>
  <c r="Q806" i="2" s="1"/>
  <c r="Q836" i="2" s="1"/>
  <c r="Q866" i="2" s="1"/>
  <c r="Q896" i="2" s="1"/>
  <c r="Q926" i="2" s="1"/>
  <c r="Q956" i="2" s="1"/>
  <c r="Q986" i="2" s="1"/>
  <c r="Q1016" i="2" s="1"/>
  <c r="Q1046" i="2" s="1"/>
  <c r="Q1076" i="2" s="1"/>
  <c r="Q1106" i="2" s="1"/>
  <c r="Q1136" i="2" s="1"/>
  <c r="Q1166" i="2" s="1"/>
  <c r="Q1196" i="2" s="1"/>
  <c r="Q1226" i="2" s="1"/>
  <c r="Q1256" i="2" s="1"/>
  <c r="Q1286" i="2" s="1"/>
  <c r="Q1316" i="2" s="1"/>
  <c r="Q1346" i="2" s="1"/>
  <c r="Q1376" i="2" s="1"/>
  <c r="Q1406" i="2" s="1"/>
  <c r="Q1436" i="2" s="1"/>
  <c r="Q1466" i="2" s="1"/>
  <c r="Q1496" i="2" s="1"/>
  <c r="Q1526" i="2" s="1"/>
  <c r="Q1556" i="2" s="1"/>
  <c r="Q1586" i="2" s="1"/>
  <c r="Q1616" i="2" s="1"/>
  <c r="Q1646" i="2" s="1"/>
  <c r="Q1676" i="2" s="1"/>
  <c r="Q1706" i="2" s="1"/>
  <c r="Q1736" i="2" s="1"/>
  <c r="Q1766" i="2" s="1"/>
  <c r="Q1796" i="2" s="1"/>
  <c r="Q1826" i="2" s="1"/>
  <c r="Q1856" i="2" s="1"/>
  <c r="Q1886" i="2" s="1"/>
  <c r="Q1916" i="2" s="1"/>
  <c r="Q1946" i="2" s="1"/>
  <c r="Q1976" i="2" s="1"/>
  <c r="Q2006" i="2" s="1"/>
  <c r="Q2036" i="2" s="1"/>
  <c r="Q2066" i="2" s="1"/>
  <c r="Q2096" i="2" s="1"/>
  <c r="Q2126" i="2" s="1"/>
  <c r="Q2156" i="2" s="1"/>
  <c r="Q2186" i="2" s="1"/>
  <c r="Q2216" i="2" s="1"/>
  <c r="Q2246" i="2" s="1"/>
  <c r="Q2276" i="2" s="1"/>
  <c r="Q2306" i="2" s="1"/>
  <c r="Q2336" i="2" s="1"/>
  <c r="Q2366" i="2" s="1"/>
  <c r="Q2396" i="2" s="1"/>
  <c r="Q27" i="2"/>
  <c r="Q57" i="2" s="1"/>
  <c r="Q87" i="2" s="1"/>
  <c r="Q117" i="2" s="1"/>
  <c r="Q147" i="2" s="1"/>
  <c r="Q177" i="2" s="1"/>
  <c r="Q207" i="2" s="1"/>
  <c r="Q237" i="2" s="1"/>
  <c r="Q267" i="2" s="1"/>
  <c r="Q297" i="2" s="1"/>
  <c r="Q327" i="2" s="1"/>
  <c r="Q357" i="2" s="1"/>
  <c r="Q387" i="2" s="1"/>
  <c r="Q417" i="2" s="1"/>
  <c r="Q447" i="2" s="1"/>
  <c r="Q477" i="2" s="1"/>
  <c r="Q507" i="2" s="1"/>
  <c r="Q537" i="2" s="1"/>
  <c r="Q567" i="2" s="1"/>
  <c r="Q597" i="2" s="1"/>
  <c r="Q627" i="2" s="1"/>
  <c r="Q657" i="2" s="1"/>
  <c r="Q687" i="2" s="1"/>
  <c r="Q717" i="2" s="1"/>
  <c r="Q747" i="2" s="1"/>
  <c r="Q777" i="2" s="1"/>
  <c r="Q807" i="2" s="1"/>
  <c r="Q837" i="2" s="1"/>
  <c r="Q867" i="2" s="1"/>
  <c r="Q897" i="2" s="1"/>
  <c r="Q927" i="2" s="1"/>
  <c r="Q957" i="2" s="1"/>
  <c r="Q987" i="2" s="1"/>
  <c r="Q1017" i="2" s="1"/>
  <c r="Q1047" i="2" s="1"/>
  <c r="Q1077" i="2" s="1"/>
  <c r="Q1107" i="2" s="1"/>
  <c r="Q1137" i="2" s="1"/>
  <c r="Q1167" i="2" s="1"/>
  <c r="Q1197" i="2" s="1"/>
  <c r="Q1227" i="2" s="1"/>
  <c r="Q1257" i="2" s="1"/>
  <c r="Q1287" i="2" s="1"/>
  <c r="Q1317" i="2" s="1"/>
  <c r="Q1347" i="2" s="1"/>
  <c r="Q1377" i="2" s="1"/>
  <c r="Q1407" i="2" s="1"/>
  <c r="Q1437" i="2" s="1"/>
  <c r="Q1467" i="2" s="1"/>
  <c r="Q1497" i="2" s="1"/>
  <c r="Q1527" i="2" s="1"/>
  <c r="Q1557" i="2" s="1"/>
  <c r="Q1587" i="2" s="1"/>
  <c r="Q1617" i="2" s="1"/>
  <c r="Q1647" i="2" s="1"/>
  <c r="Q1677" i="2" s="1"/>
  <c r="Q1707" i="2" s="1"/>
  <c r="Q1737" i="2" s="1"/>
  <c r="Q1767" i="2" s="1"/>
  <c r="Q1797" i="2" s="1"/>
  <c r="Q1827" i="2" s="1"/>
  <c r="Q1857" i="2" s="1"/>
  <c r="Q1887" i="2" s="1"/>
  <c r="Q1917" i="2" s="1"/>
  <c r="Q1947" i="2" s="1"/>
  <c r="Q1977" i="2" s="1"/>
  <c r="Q2007" i="2" s="1"/>
  <c r="Q2037" i="2" s="1"/>
  <c r="Q2067" i="2" s="1"/>
  <c r="Q2097" i="2" s="1"/>
  <c r="Q2127" i="2" s="1"/>
  <c r="Q2157" i="2" s="1"/>
  <c r="Q2187" i="2" s="1"/>
  <c r="Q2217" i="2" s="1"/>
  <c r="Q2247" i="2" s="1"/>
  <c r="Q2277" i="2" s="1"/>
  <c r="Q2307" i="2" s="1"/>
  <c r="Q2337" i="2" s="1"/>
  <c r="Q2367" i="2" s="1"/>
  <c r="Q2397" i="2" s="1"/>
  <c r="Q28" i="2"/>
  <c r="Q58" i="2" s="1"/>
  <c r="Q88" i="2" s="1"/>
  <c r="Q118" i="2" s="1"/>
  <c r="Q148" i="2" s="1"/>
  <c r="Q178" i="2" s="1"/>
  <c r="Q208" i="2" s="1"/>
  <c r="Q238" i="2" s="1"/>
  <c r="Q268" i="2" s="1"/>
  <c r="Q298" i="2" s="1"/>
  <c r="Q328" i="2" s="1"/>
  <c r="Q358" i="2" s="1"/>
  <c r="Q388" i="2" s="1"/>
  <c r="Q418" i="2" s="1"/>
  <c r="Q448" i="2" s="1"/>
  <c r="Q478" i="2" s="1"/>
  <c r="Q508" i="2" s="1"/>
  <c r="Q538" i="2" s="1"/>
  <c r="Q568" i="2" s="1"/>
  <c r="Q598" i="2" s="1"/>
  <c r="Q628" i="2" s="1"/>
  <c r="Q658" i="2" s="1"/>
  <c r="Q688" i="2" s="1"/>
  <c r="Q718" i="2" s="1"/>
  <c r="Q748" i="2" s="1"/>
  <c r="Q778" i="2" s="1"/>
  <c r="Q808" i="2" s="1"/>
  <c r="Q838" i="2" s="1"/>
  <c r="Q868" i="2" s="1"/>
  <c r="Q898" i="2" s="1"/>
  <c r="Q928" i="2" s="1"/>
  <c r="Q958" i="2" s="1"/>
  <c r="Q988" i="2" s="1"/>
  <c r="Q1018" i="2" s="1"/>
  <c r="Q1048" i="2" s="1"/>
  <c r="Q1078" i="2" s="1"/>
  <c r="Q1108" i="2" s="1"/>
  <c r="Q1138" i="2" s="1"/>
  <c r="Q1168" i="2" s="1"/>
  <c r="Q1198" i="2" s="1"/>
  <c r="Q1228" i="2" s="1"/>
  <c r="Q1258" i="2" s="1"/>
  <c r="Q1288" i="2" s="1"/>
  <c r="Q1318" i="2" s="1"/>
  <c r="Q1348" i="2" s="1"/>
  <c r="Q1378" i="2" s="1"/>
  <c r="Q1408" i="2" s="1"/>
  <c r="Q1438" i="2" s="1"/>
  <c r="Q1468" i="2" s="1"/>
  <c r="Q1498" i="2" s="1"/>
  <c r="Q1528" i="2" s="1"/>
  <c r="Q1558" i="2" s="1"/>
  <c r="Q1588" i="2" s="1"/>
  <c r="Q1618" i="2" s="1"/>
  <c r="Q1648" i="2" s="1"/>
  <c r="Q1678" i="2" s="1"/>
  <c r="Q1708" i="2" s="1"/>
  <c r="Q1738" i="2" s="1"/>
  <c r="Q1768" i="2" s="1"/>
  <c r="Q1798" i="2" s="1"/>
  <c r="Q1828" i="2" s="1"/>
  <c r="Q1858" i="2" s="1"/>
  <c r="Q1888" i="2" s="1"/>
  <c r="Q1918" i="2" s="1"/>
  <c r="Q1948" i="2" s="1"/>
  <c r="Q1978" i="2" s="1"/>
  <c r="Q2008" i="2" s="1"/>
  <c r="Q2038" i="2" s="1"/>
  <c r="Q2068" i="2" s="1"/>
  <c r="Q2098" i="2" s="1"/>
  <c r="Q2128" i="2" s="1"/>
  <c r="Q2158" i="2" s="1"/>
  <c r="Q2188" i="2" s="1"/>
  <c r="Q2218" i="2" s="1"/>
  <c r="Q2248" i="2" s="1"/>
  <c r="Q2278" i="2" s="1"/>
  <c r="Q2308" i="2" s="1"/>
  <c r="Q2338" i="2" s="1"/>
  <c r="Q2368" i="2" s="1"/>
  <c r="Q2398" i="2" s="1"/>
  <c r="Q29" i="2"/>
  <c r="Q59" i="2" s="1"/>
  <c r="Q89" i="2" s="1"/>
  <c r="Q119" i="2" s="1"/>
  <c r="Q149" i="2" s="1"/>
  <c r="Q179" i="2" s="1"/>
  <c r="Q209" i="2" s="1"/>
  <c r="Q239" i="2" s="1"/>
  <c r="Q269" i="2" s="1"/>
  <c r="Q299" i="2" s="1"/>
  <c r="Q329" i="2" s="1"/>
  <c r="Q359" i="2" s="1"/>
  <c r="Q389" i="2" s="1"/>
  <c r="Q419" i="2" s="1"/>
  <c r="Q449" i="2" s="1"/>
  <c r="Q479" i="2" s="1"/>
  <c r="Q509" i="2" s="1"/>
  <c r="Q539" i="2" s="1"/>
  <c r="Q569" i="2" s="1"/>
  <c r="Q599" i="2" s="1"/>
  <c r="Q629" i="2" s="1"/>
  <c r="Q659" i="2" s="1"/>
  <c r="Q689" i="2" s="1"/>
  <c r="Q719" i="2" s="1"/>
  <c r="Q749" i="2" s="1"/>
  <c r="Q779" i="2" s="1"/>
  <c r="Q809" i="2" s="1"/>
  <c r="Q839" i="2" s="1"/>
  <c r="Q869" i="2" s="1"/>
  <c r="Q899" i="2" s="1"/>
  <c r="Q929" i="2" s="1"/>
  <c r="Q959" i="2" s="1"/>
  <c r="Q989" i="2" s="1"/>
  <c r="Q1019" i="2" s="1"/>
  <c r="Q1049" i="2" s="1"/>
  <c r="Q1079" i="2" s="1"/>
  <c r="Q1109" i="2" s="1"/>
  <c r="Q1139" i="2" s="1"/>
  <c r="Q1169" i="2" s="1"/>
  <c r="Q1199" i="2" s="1"/>
  <c r="Q1229" i="2" s="1"/>
  <c r="Q1259" i="2" s="1"/>
  <c r="Q1289" i="2" s="1"/>
  <c r="Q1319" i="2" s="1"/>
  <c r="Q1349" i="2" s="1"/>
  <c r="Q1379" i="2" s="1"/>
  <c r="Q1409" i="2" s="1"/>
  <c r="Q1439" i="2" s="1"/>
  <c r="Q1469" i="2" s="1"/>
  <c r="Q1499" i="2" s="1"/>
  <c r="Q1529" i="2" s="1"/>
  <c r="Q1559" i="2" s="1"/>
  <c r="Q1589" i="2" s="1"/>
  <c r="Q1619" i="2" s="1"/>
  <c r="Q1649" i="2" s="1"/>
  <c r="Q1679" i="2" s="1"/>
  <c r="Q1709" i="2" s="1"/>
  <c r="Q1739" i="2" s="1"/>
  <c r="Q1769" i="2" s="1"/>
  <c r="Q1799" i="2" s="1"/>
  <c r="Q1829" i="2" s="1"/>
  <c r="Q1859" i="2" s="1"/>
  <c r="Q1889" i="2" s="1"/>
  <c r="Q1919" i="2" s="1"/>
  <c r="Q1949" i="2" s="1"/>
  <c r="Q1979" i="2" s="1"/>
  <c r="Q2009" i="2" s="1"/>
  <c r="Q2039" i="2" s="1"/>
  <c r="Q2069" i="2" s="1"/>
  <c r="Q2099" i="2" s="1"/>
  <c r="Q2129" i="2" s="1"/>
  <c r="Q2159" i="2" s="1"/>
  <c r="Q2189" i="2" s="1"/>
  <c r="Q2219" i="2" s="1"/>
  <c r="Q2249" i="2" s="1"/>
  <c r="Q2279" i="2" s="1"/>
  <c r="Q2309" i="2" s="1"/>
  <c r="Q2339" i="2" s="1"/>
  <c r="Q2369" i="2" s="1"/>
  <c r="Q2399" i="2" s="1"/>
  <c r="Q30" i="2"/>
  <c r="Q60" i="2" s="1"/>
  <c r="Q90" i="2" s="1"/>
  <c r="Q120" i="2" s="1"/>
  <c r="Q150" i="2" s="1"/>
  <c r="Q180" i="2" s="1"/>
  <c r="Q210" i="2" s="1"/>
  <c r="Q240" i="2" s="1"/>
  <c r="Q270" i="2" s="1"/>
  <c r="Q300" i="2" s="1"/>
  <c r="Q330" i="2" s="1"/>
  <c r="Q360" i="2" s="1"/>
  <c r="Q390" i="2" s="1"/>
  <c r="Q420" i="2" s="1"/>
  <c r="Q450" i="2" s="1"/>
  <c r="Q480" i="2" s="1"/>
  <c r="Q510" i="2" s="1"/>
  <c r="Q540" i="2" s="1"/>
  <c r="Q570" i="2" s="1"/>
  <c r="Q600" i="2" s="1"/>
  <c r="Q630" i="2" s="1"/>
  <c r="Q660" i="2" s="1"/>
  <c r="Q690" i="2" s="1"/>
  <c r="Q720" i="2" s="1"/>
  <c r="Q750" i="2" s="1"/>
  <c r="Q780" i="2" s="1"/>
  <c r="Q810" i="2" s="1"/>
  <c r="Q840" i="2" s="1"/>
  <c r="Q870" i="2" s="1"/>
  <c r="Q900" i="2" s="1"/>
  <c r="Q930" i="2" s="1"/>
  <c r="Q960" i="2" s="1"/>
  <c r="Q990" i="2" s="1"/>
  <c r="Q1020" i="2" s="1"/>
  <c r="Q1050" i="2" s="1"/>
  <c r="Q1080" i="2" s="1"/>
  <c r="Q1110" i="2" s="1"/>
  <c r="Q1140" i="2" s="1"/>
  <c r="Q1170" i="2" s="1"/>
  <c r="Q1200" i="2" s="1"/>
  <c r="Q1230" i="2" s="1"/>
  <c r="Q1260" i="2" s="1"/>
  <c r="Q1290" i="2" s="1"/>
  <c r="Q1320" i="2" s="1"/>
  <c r="Q1350" i="2" s="1"/>
  <c r="Q1380" i="2" s="1"/>
  <c r="Q1410" i="2" s="1"/>
  <c r="Q1440" i="2" s="1"/>
  <c r="Q1470" i="2" s="1"/>
  <c r="Q1500" i="2" s="1"/>
  <c r="Q1530" i="2" s="1"/>
  <c r="Q1560" i="2" s="1"/>
  <c r="Q1590" i="2" s="1"/>
  <c r="Q1620" i="2" s="1"/>
  <c r="Q1650" i="2" s="1"/>
  <c r="Q1680" i="2" s="1"/>
  <c r="Q1710" i="2" s="1"/>
  <c r="Q1740" i="2" s="1"/>
  <c r="Q1770" i="2" s="1"/>
  <c r="Q1800" i="2" s="1"/>
  <c r="Q1830" i="2" s="1"/>
  <c r="Q1860" i="2" s="1"/>
  <c r="Q1890" i="2" s="1"/>
  <c r="Q1920" i="2" s="1"/>
  <c r="Q1950" i="2" s="1"/>
  <c r="Q1980" i="2" s="1"/>
  <c r="Q2010" i="2" s="1"/>
  <c r="Q2040" i="2" s="1"/>
  <c r="Q2070" i="2" s="1"/>
  <c r="Q2100" i="2" s="1"/>
  <c r="Q2130" i="2" s="1"/>
  <c r="Q2160" i="2" s="1"/>
  <c r="Q2190" i="2" s="1"/>
  <c r="Q2220" i="2" s="1"/>
  <c r="Q2250" i="2" s="1"/>
  <c r="Q2280" i="2" s="1"/>
  <c r="Q2310" i="2" s="1"/>
  <c r="Q2340" i="2" s="1"/>
  <c r="Q2370" i="2" s="1"/>
  <c r="Q2400" i="2" s="1"/>
  <c r="Q31" i="2"/>
  <c r="Q61" i="2" s="1"/>
  <c r="Q91" i="2" s="1"/>
  <c r="Q121" i="2" s="1"/>
  <c r="Q151" i="2" s="1"/>
  <c r="Q181" i="2" s="1"/>
  <c r="Q211" i="2" s="1"/>
  <c r="Q241" i="2" s="1"/>
  <c r="Q271" i="2" s="1"/>
  <c r="Q301" i="2" s="1"/>
  <c r="Q331" i="2" s="1"/>
  <c r="Q361" i="2" s="1"/>
  <c r="Q391" i="2" s="1"/>
  <c r="Q421" i="2" s="1"/>
  <c r="Q451" i="2" s="1"/>
  <c r="Q481" i="2" s="1"/>
  <c r="Q511" i="2" s="1"/>
  <c r="Q541" i="2" s="1"/>
  <c r="Q571" i="2" s="1"/>
  <c r="Q601" i="2" s="1"/>
  <c r="Q631" i="2" s="1"/>
  <c r="Q661" i="2" s="1"/>
  <c r="Q691" i="2" s="1"/>
  <c r="Q721" i="2" s="1"/>
  <c r="Q751" i="2" s="1"/>
  <c r="Q781" i="2" s="1"/>
  <c r="Q811" i="2" s="1"/>
  <c r="Q841" i="2" s="1"/>
  <c r="Q871" i="2" s="1"/>
  <c r="Q901" i="2" s="1"/>
  <c r="Q931" i="2" s="1"/>
  <c r="Q961" i="2" s="1"/>
  <c r="Q991" i="2" s="1"/>
  <c r="Q1021" i="2" s="1"/>
  <c r="Q1051" i="2" s="1"/>
  <c r="Q1081" i="2" s="1"/>
  <c r="Q1111" i="2" s="1"/>
  <c r="Q1141" i="2" s="1"/>
  <c r="Q1171" i="2" s="1"/>
  <c r="Q1201" i="2" s="1"/>
  <c r="Q1231" i="2" s="1"/>
  <c r="Q1261" i="2" s="1"/>
  <c r="Q1291" i="2" s="1"/>
  <c r="Q1321" i="2" s="1"/>
  <c r="Q1351" i="2" s="1"/>
  <c r="Q1381" i="2" s="1"/>
  <c r="Q1411" i="2" s="1"/>
  <c r="Q1441" i="2" s="1"/>
  <c r="Q1471" i="2" s="1"/>
  <c r="Q1501" i="2" s="1"/>
  <c r="Q1531" i="2" s="1"/>
  <c r="Q1561" i="2" s="1"/>
  <c r="Q1591" i="2" s="1"/>
  <c r="Q1621" i="2" s="1"/>
  <c r="Q1651" i="2" s="1"/>
  <c r="Q1681" i="2" s="1"/>
  <c r="Q1711" i="2" s="1"/>
  <c r="Q1741" i="2" s="1"/>
  <c r="Q1771" i="2" s="1"/>
  <c r="Q1801" i="2" s="1"/>
  <c r="Q1831" i="2" s="1"/>
  <c r="Q1861" i="2" s="1"/>
  <c r="Q1891" i="2" s="1"/>
  <c r="Q1921" i="2" s="1"/>
  <c r="Q1951" i="2" s="1"/>
  <c r="Q1981" i="2" s="1"/>
  <c r="Q2011" i="2" s="1"/>
  <c r="Q2041" i="2" s="1"/>
  <c r="Q2071" i="2" s="1"/>
  <c r="Q2101" i="2" s="1"/>
  <c r="Q2131" i="2" s="1"/>
  <c r="Q2161" i="2" s="1"/>
  <c r="Q2191" i="2" s="1"/>
  <c r="Q2221" i="2" s="1"/>
  <c r="Q2251" i="2" s="1"/>
  <c r="Q2281" i="2" s="1"/>
  <c r="Q2311" i="2" s="1"/>
  <c r="Q2341" i="2" s="1"/>
  <c r="Q2371" i="2" s="1"/>
  <c r="Q2401" i="2" s="1"/>
  <c r="Q2" i="2"/>
  <c r="Q32" i="2" s="1"/>
  <c r="Q62" i="2" s="1"/>
  <c r="Q92" i="2" s="1"/>
  <c r="Q122" i="2" s="1"/>
  <c r="Q152" i="2" s="1"/>
  <c r="Q182" i="2" s="1"/>
  <c r="Q212" i="2" s="1"/>
  <c r="Q242" i="2" s="1"/>
  <c r="Q272" i="2" s="1"/>
  <c r="Q302" i="2" s="1"/>
  <c r="Q332" i="2" s="1"/>
  <c r="Q362" i="2" s="1"/>
  <c r="Q392" i="2" s="1"/>
  <c r="Q422" i="2" s="1"/>
  <c r="Q452" i="2" s="1"/>
  <c r="Q482" i="2" s="1"/>
  <c r="Q512" i="2" s="1"/>
  <c r="Q542" i="2" s="1"/>
  <c r="Q572" i="2" s="1"/>
  <c r="Q602" i="2" s="1"/>
  <c r="Q632" i="2" s="1"/>
  <c r="Q662" i="2" s="1"/>
  <c r="Q692" i="2" s="1"/>
  <c r="Q722" i="2" s="1"/>
  <c r="Q752" i="2" s="1"/>
  <c r="Q782" i="2" s="1"/>
  <c r="Q812" i="2" s="1"/>
  <c r="Q842" i="2" s="1"/>
  <c r="Q872" i="2" s="1"/>
  <c r="Q902" i="2" s="1"/>
  <c r="Q932" i="2" s="1"/>
  <c r="Q962" i="2" s="1"/>
  <c r="Q992" i="2" s="1"/>
  <c r="Q1022" i="2" s="1"/>
  <c r="Q1052" i="2" s="1"/>
  <c r="Q1082" i="2" s="1"/>
  <c r="Q1112" i="2" s="1"/>
  <c r="Q1142" i="2" s="1"/>
  <c r="Q1172" i="2" s="1"/>
  <c r="Q1202" i="2" s="1"/>
  <c r="Q1232" i="2" s="1"/>
  <c r="Q1262" i="2" s="1"/>
  <c r="Q1292" i="2" s="1"/>
  <c r="Q1322" i="2" s="1"/>
  <c r="Q1352" i="2" s="1"/>
  <c r="Q1382" i="2" s="1"/>
  <c r="Q1412" i="2" s="1"/>
  <c r="Q1442" i="2" s="1"/>
  <c r="Q1472" i="2" s="1"/>
  <c r="Q1502" i="2" s="1"/>
  <c r="Q1532" i="2" s="1"/>
  <c r="Q1562" i="2" s="1"/>
  <c r="Q1592" i="2" s="1"/>
  <c r="Q1622" i="2" s="1"/>
  <c r="Q1652" i="2" s="1"/>
  <c r="Q1682" i="2" s="1"/>
  <c r="Q1712" i="2" s="1"/>
  <c r="Q1742" i="2" s="1"/>
  <c r="Q1772" i="2" s="1"/>
  <c r="Q1802" i="2" s="1"/>
  <c r="Q1832" i="2" s="1"/>
  <c r="Q1862" i="2" s="1"/>
  <c r="Q1892" i="2" s="1"/>
  <c r="Q1922" i="2" s="1"/>
  <c r="Q1952" i="2" s="1"/>
  <c r="Q1982" i="2" s="1"/>
  <c r="Q2012" i="2" s="1"/>
  <c r="Q2042" i="2" s="1"/>
  <c r="Q2072" i="2" s="1"/>
  <c r="Q2102" i="2" s="1"/>
  <c r="Q2132" i="2" s="1"/>
  <c r="Q2162" i="2" s="1"/>
  <c r="Q2192" i="2" s="1"/>
  <c r="Q2222" i="2" s="1"/>
  <c r="Q2252" i="2" s="1"/>
  <c r="Q2282" i="2" s="1"/>
  <c r="Q2312" i="2" s="1"/>
  <c r="Q2342" i="2" s="1"/>
  <c r="Q2372" i="2" s="1"/>
  <c r="D854" i="2" l="1"/>
  <c r="E1004" i="2" s="1"/>
  <c r="D1154" i="2" s="1"/>
  <c r="E1304" i="2" s="1"/>
  <c r="E704" i="2"/>
  <c r="D862" i="2"/>
  <c r="E1012" i="2" s="1"/>
  <c r="D1162" i="2" s="1"/>
  <c r="E1312" i="2" s="1"/>
  <c r="E712" i="2"/>
  <c r="D866" i="2"/>
  <c r="E1016" i="2" s="1"/>
  <c r="D1166" i="2" s="1"/>
  <c r="E1316" i="2" s="1"/>
  <c r="E716" i="2"/>
  <c r="D858" i="2"/>
  <c r="E1008" i="2" s="1"/>
  <c r="D1158" i="2" s="1"/>
  <c r="E1308" i="2" s="1"/>
  <c r="E708" i="2"/>
  <c r="D832" i="2"/>
  <c r="E982" i="2" s="1"/>
  <c r="D1132" i="2" s="1"/>
  <c r="E1282" i="2" s="1"/>
  <c r="E682" i="2"/>
  <c r="D865" i="2"/>
  <c r="E1015" i="2" s="1"/>
  <c r="D1165" i="2" s="1"/>
  <c r="E1315" i="2" s="1"/>
  <c r="E715" i="2"/>
  <c r="D828" i="2"/>
  <c r="E978" i="2" s="1"/>
  <c r="D1128" i="2" s="1"/>
  <c r="E1278" i="2" s="1"/>
  <c r="E678" i="2"/>
  <c r="D791" i="2"/>
  <c r="E941" i="2" s="1"/>
  <c r="D1091" i="2" s="1"/>
  <c r="E1241" i="2" s="1"/>
  <c r="E641" i="2"/>
  <c r="E706" i="2"/>
  <c r="D856" i="2"/>
  <c r="E1006" i="2" s="1"/>
  <c r="D1156" i="2" s="1"/>
  <c r="E1306" i="2" s="1"/>
  <c r="D831" i="2"/>
  <c r="E981" i="2" s="1"/>
  <c r="D1131" i="2" s="1"/>
  <c r="E1281" i="2" s="1"/>
  <c r="E681" i="2"/>
  <c r="D867" i="2"/>
  <c r="E1017" i="2" s="1"/>
  <c r="D1167" i="2" s="1"/>
  <c r="E1317" i="2" s="1"/>
  <c r="E717" i="2"/>
  <c r="D823" i="2"/>
  <c r="E973" i="2" s="1"/>
  <c r="D1123" i="2" s="1"/>
  <c r="E1273" i="2" s="1"/>
  <c r="E673" i="2"/>
  <c r="E685" i="2"/>
  <c r="D835" i="2"/>
  <c r="E985" i="2" s="1"/>
  <c r="D1135" i="2" s="1"/>
  <c r="E1285" i="2" s="1"/>
  <c r="D821" i="2"/>
  <c r="E971" i="2" s="1"/>
  <c r="D1121" i="2" s="1"/>
  <c r="E1271" i="2" s="1"/>
  <c r="E671" i="2"/>
  <c r="D796" i="2"/>
  <c r="E946" i="2" s="1"/>
  <c r="D1096" i="2" s="1"/>
  <c r="E1246" i="2" s="1"/>
  <c r="E646" i="2"/>
  <c r="D861" i="2"/>
  <c r="E1011" i="2" s="1"/>
  <c r="D1161" i="2" s="1"/>
  <c r="E1311" i="2" s="1"/>
  <c r="E711" i="2"/>
  <c r="D807" i="2"/>
  <c r="E957" i="2" s="1"/>
  <c r="D1107" i="2" s="1"/>
  <c r="E1257" i="2" s="1"/>
  <c r="E657" i="2"/>
  <c r="D863" i="2"/>
  <c r="E1013" i="2" s="1"/>
  <c r="D1163" i="2" s="1"/>
  <c r="E1313" i="2" s="1"/>
  <c r="E713" i="2"/>
  <c r="D799" i="2"/>
  <c r="E949" i="2" s="1"/>
  <c r="D1099" i="2" s="1"/>
  <c r="E1249" i="2" s="1"/>
  <c r="E649" i="2"/>
  <c r="D810" i="2"/>
  <c r="E960" i="2" s="1"/>
  <c r="D1110" i="2" s="1"/>
  <c r="E1260" i="2" s="1"/>
  <c r="E660" i="2"/>
  <c r="D897" i="2"/>
  <c r="E1047" i="2" s="1"/>
  <c r="D1197" i="2" s="1"/>
  <c r="E1347" i="2" s="1"/>
  <c r="E747" i="2"/>
  <c r="E742" i="2"/>
  <c r="D892" i="2"/>
  <c r="E1042" i="2" s="1"/>
  <c r="D1192" i="2" s="1"/>
  <c r="E1342" i="2" s="1"/>
  <c r="D895" i="2"/>
  <c r="E1045" i="2" s="1"/>
  <c r="D1195" i="2" s="1"/>
  <c r="E1345" i="2" s="1"/>
  <c r="E745" i="2"/>
  <c r="D851" i="2"/>
  <c r="E1001" i="2" s="1"/>
  <c r="D1151" i="2" s="1"/>
  <c r="E1301" i="2" s="1"/>
  <c r="E701" i="2"/>
  <c r="D792" i="2"/>
  <c r="E942" i="2" s="1"/>
  <c r="D1092" i="2" s="1"/>
  <c r="E1242" i="2" s="1"/>
  <c r="E642" i="2"/>
  <c r="D826" i="2"/>
  <c r="E976" i="2" s="1"/>
  <c r="D1126" i="2" s="1"/>
  <c r="E1276" i="2" s="1"/>
  <c r="E676" i="2"/>
  <c r="D820" i="2"/>
  <c r="E970" i="2" s="1"/>
  <c r="D1120" i="2" s="1"/>
  <c r="E1270" i="2" s="1"/>
  <c r="E670" i="2"/>
  <c r="E690" i="2"/>
  <c r="D840" i="2"/>
  <c r="E990" i="2" s="1"/>
  <c r="D1140" i="2" s="1"/>
  <c r="E1290" i="2" s="1"/>
  <c r="D793" i="2"/>
  <c r="E943" i="2" s="1"/>
  <c r="D1093" i="2" s="1"/>
  <c r="E1243" i="2" s="1"/>
  <c r="E643" i="2"/>
  <c r="D850" i="2"/>
  <c r="E1000" i="2" s="1"/>
  <c r="D1150" i="2" s="1"/>
  <c r="E1300" i="2" s="1"/>
  <c r="E700" i="2"/>
  <c r="D870" i="2"/>
  <c r="E1020" i="2" s="1"/>
  <c r="D1170" i="2" s="1"/>
  <c r="E1320" i="2" s="1"/>
  <c r="E720" i="2"/>
  <c r="D843" i="2"/>
  <c r="E993" i="2" s="1"/>
  <c r="D1143" i="2" s="1"/>
  <c r="E1293" i="2" s="1"/>
  <c r="E693" i="2"/>
  <c r="D836" i="2"/>
  <c r="E986" i="2" s="1"/>
  <c r="D1136" i="2" s="1"/>
  <c r="E1286" i="2" s="1"/>
  <c r="E686" i="2"/>
  <c r="D822" i="2"/>
  <c r="E972" i="2" s="1"/>
  <c r="D1122" i="2" s="1"/>
  <c r="E1272" i="2" s="1"/>
  <c r="E672" i="2"/>
  <c r="D833" i="2"/>
  <c r="E983" i="2" s="1"/>
  <c r="D1133" i="2" s="1"/>
  <c r="E1283" i="2" s="1"/>
  <c r="E683" i="2"/>
  <c r="D889" i="2"/>
  <c r="E1039" i="2" s="1"/>
  <c r="D1189" i="2" s="1"/>
  <c r="E1339" i="2" s="1"/>
  <c r="E739" i="2"/>
  <c r="E750" i="2"/>
  <c r="D900" i="2"/>
  <c r="E1050" i="2" s="1"/>
  <c r="D1200" i="2" s="1"/>
  <c r="E1350" i="2" s="1"/>
  <c r="D873" i="2"/>
  <c r="E1023" i="2" s="1"/>
  <c r="D1173" i="2" s="1"/>
  <c r="E1323" i="2" s="1"/>
  <c r="E723" i="2"/>
  <c r="D806" i="2"/>
  <c r="E956" i="2" s="1"/>
  <c r="D1106" i="2" s="1"/>
  <c r="E1256" i="2" s="1"/>
  <c r="E656" i="2"/>
  <c r="E738" i="2"/>
  <c r="D888" i="2"/>
  <c r="E1038" i="2" s="1"/>
  <c r="D1188" i="2" s="1"/>
  <c r="E1338" i="2" s="1"/>
  <c r="D893" i="2"/>
  <c r="E1043" i="2" s="1"/>
  <c r="D1193" i="2" s="1"/>
  <c r="E1343" i="2" s="1"/>
  <c r="E743" i="2"/>
  <c r="D886" i="2"/>
  <c r="E1036" i="2" s="1"/>
  <c r="D1186" i="2" s="1"/>
  <c r="E1336" i="2" s="1"/>
  <c r="E736" i="2"/>
  <c r="D859" i="2"/>
  <c r="E1009" i="2" s="1"/>
  <c r="D1159" i="2" s="1"/>
  <c r="E1309" i="2" s="1"/>
  <c r="E709" i="2"/>
  <c r="D790" i="2"/>
  <c r="E940" i="2" s="1"/>
  <c r="D1090" i="2" s="1"/>
  <c r="E1240" i="2" s="1"/>
  <c r="E640" i="2"/>
  <c r="D794" i="2"/>
  <c r="E944" i="2" s="1"/>
  <c r="D1094" i="2" s="1"/>
  <c r="E1244" i="2" s="1"/>
  <c r="E644" i="2"/>
  <c r="D883" i="2"/>
  <c r="E1033" i="2" s="1"/>
  <c r="D1183" i="2" s="1"/>
  <c r="E1333" i="2" s="1"/>
  <c r="E733" i="2"/>
  <c r="D802" i="2"/>
  <c r="E952" i="2" s="1"/>
  <c r="D1102" i="2" s="1"/>
  <c r="E1252" i="2" s="1"/>
  <c r="E652" i="2"/>
  <c r="D783" i="2"/>
  <c r="E933" i="2" s="1"/>
  <c r="D1083" i="2" s="1"/>
  <c r="E1233" i="2" s="1"/>
  <c r="E633" i="2"/>
  <c r="D881" i="2"/>
  <c r="E1031" i="2" s="1"/>
  <c r="D1181" i="2" s="1"/>
  <c r="E1331" i="2" s="1"/>
  <c r="E731" i="2"/>
  <c r="E702" i="2"/>
  <c r="D852" i="2"/>
  <c r="E1002" i="2" s="1"/>
  <c r="D1152" i="2" s="1"/>
  <c r="E1302" i="2" s="1"/>
  <c r="E730" i="2"/>
  <c r="D880" i="2"/>
  <c r="E1030" i="2" s="1"/>
  <c r="D1180" i="2" s="1"/>
  <c r="E1330" i="2" s="1"/>
  <c r="D801" i="2"/>
  <c r="E951" i="2" s="1"/>
  <c r="D1101" i="2" s="1"/>
  <c r="E1251" i="2" s="1"/>
  <c r="E651" i="2"/>
  <c r="E734" i="2"/>
  <c r="D884" i="2"/>
  <c r="E1034" i="2" s="1"/>
  <c r="D1184" i="2" s="1"/>
  <c r="E1334" i="2" s="1"/>
  <c r="D853" i="2"/>
  <c r="E1003" i="2" s="1"/>
  <c r="D1153" i="2" s="1"/>
  <c r="E1303" i="2" s="1"/>
  <c r="E703" i="2"/>
  <c r="D813" i="2"/>
  <c r="E963" i="2" s="1"/>
  <c r="D1113" i="2" s="1"/>
  <c r="E1263" i="2" s="1"/>
  <c r="E663" i="2"/>
  <c r="E746" i="2"/>
  <c r="D896" i="2"/>
  <c r="E1046" i="2" s="1"/>
  <c r="D1196" i="2" s="1"/>
  <c r="E1346" i="2" s="1"/>
  <c r="D805" i="2"/>
  <c r="E955" i="2" s="1"/>
  <c r="D1105" i="2" s="1"/>
  <c r="E1255" i="2" s="1"/>
  <c r="E655" i="2"/>
  <c r="D798" i="2"/>
  <c r="E948" i="2" s="1"/>
  <c r="D1098" i="2" s="1"/>
  <c r="E1248" i="2" s="1"/>
  <c r="E648" i="2"/>
  <c r="D882" i="2"/>
  <c r="E1032" i="2" s="1"/>
  <c r="D1182" i="2" s="1"/>
  <c r="E1332" i="2" s="1"/>
  <c r="E732" i="2"/>
  <c r="E653" i="2"/>
  <c r="D803" i="2"/>
  <c r="E953" i="2" s="1"/>
  <c r="D1103" i="2" s="1"/>
  <c r="E1253" i="2" s="1"/>
  <c r="D829" i="2"/>
  <c r="E979" i="2" s="1"/>
  <c r="D1129" i="2" s="1"/>
  <c r="E1279" i="2" s="1"/>
  <c r="E679" i="2"/>
  <c r="D891" i="2"/>
  <c r="E1041" i="2" s="1"/>
  <c r="D1191" i="2" s="1"/>
  <c r="E1341" i="2" s="1"/>
  <c r="E741" i="2"/>
  <c r="D824" i="2"/>
  <c r="E974" i="2" s="1"/>
  <c r="D1124" i="2" s="1"/>
  <c r="E1274" i="2" s="1"/>
  <c r="E674" i="2"/>
  <c r="D837" i="2"/>
  <c r="E987" i="2" s="1"/>
  <c r="D1137" i="2" s="1"/>
  <c r="E1287" i="2" s="1"/>
  <c r="E687" i="2"/>
  <c r="G2128" i="2" l="1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02" i="2"/>
  <c r="AB2399" i="2" l="1"/>
  <c r="AA2399" i="2"/>
  <c r="Z2399" i="2"/>
  <c r="Y2399" i="2"/>
  <c r="AB2394" i="2"/>
  <c r="AA2394" i="2"/>
  <c r="Z2394" i="2"/>
  <c r="Y2394" i="2"/>
  <c r="AB2389" i="2"/>
  <c r="AA2389" i="2"/>
  <c r="Z2389" i="2"/>
  <c r="Y2389" i="2"/>
  <c r="AB2384" i="2"/>
  <c r="AA2384" i="2"/>
  <c r="Z2384" i="2"/>
  <c r="Y2384" i="2"/>
  <c r="AB2379" i="2"/>
  <c r="AA2379" i="2"/>
  <c r="Z2379" i="2"/>
  <c r="Y2379" i="2"/>
  <c r="AB2369" i="2"/>
  <c r="AA2369" i="2"/>
  <c r="Z2369" i="2"/>
  <c r="Y2369" i="2"/>
  <c r="AB2364" i="2"/>
  <c r="AA2364" i="2"/>
  <c r="Z2364" i="2"/>
  <c r="Y2364" i="2"/>
  <c r="AB2359" i="2"/>
  <c r="AA2359" i="2"/>
  <c r="Z2359" i="2"/>
  <c r="Y2359" i="2"/>
  <c r="AB2354" i="2"/>
  <c r="AA2354" i="2"/>
  <c r="Z2354" i="2"/>
  <c r="Y2354" i="2"/>
  <c r="AB2349" i="2"/>
  <c r="AA2349" i="2"/>
  <c r="Z2349" i="2"/>
  <c r="Y2349" i="2"/>
  <c r="AB2339" i="2"/>
  <c r="AA2339" i="2"/>
  <c r="Z2339" i="2"/>
  <c r="Y2339" i="2"/>
  <c r="AB2334" i="2"/>
  <c r="AA2334" i="2"/>
  <c r="Z2334" i="2"/>
  <c r="Y2334" i="2"/>
  <c r="AB2329" i="2"/>
  <c r="AA2329" i="2"/>
  <c r="Z2329" i="2"/>
  <c r="Y2329" i="2"/>
  <c r="AB2324" i="2"/>
  <c r="AA2324" i="2"/>
  <c r="Z2324" i="2"/>
  <c r="Y2324" i="2"/>
  <c r="AB2319" i="2"/>
  <c r="AA2319" i="2"/>
  <c r="Z2319" i="2"/>
  <c r="Y2319" i="2"/>
  <c r="AB2309" i="2"/>
  <c r="AA2309" i="2"/>
  <c r="Z2309" i="2"/>
  <c r="Y2309" i="2"/>
  <c r="AB2304" i="2"/>
  <c r="AA2304" i="2"/>
  <c r="Z2304" i="2"/>
  <c r="Y2304" i="2"/>
  <c r="AB2299" i="2"/>
  <c r="AA2299" i="2"/>
  <c r="Z2299" i="2"/>
  <c r="Y2299" i="2"/>
  <c r="AB2294" i="2"/>
  <c r="AA2294" i="2"/>
  <c r="Z2294" i="2"/>
  <c r="Y2294" i="2"/>
  <c r="AB2289" i="2"/>
  <c r="AA2289" i="2"/>
  <c r="Z2289" i="2"/>
  <c r="Y2289" i="2"/>
  <c r="AB2279" i="2"/>
  <c r="AA2279" i="2"/>
  <c r="Z2279" i="2"/>
  <c r="Y2279" i="2"/>
  <c r="AB2274" i="2"/>
  <c r="AA2274" i="2"/>
  <c r="Z2274" i="2"/>
  <c r="Y2274" i="2"/>
  <c r="AB2269" i="2"/>
  <c r="AA2269" i="2"/>
  <c r="Z2269" i="2"/>
  <c r="Y2269" i="2"/>
  <c r="AB2264" i="2"/>
  <c r="AA2264" i="2"/>
  <c r="Z2264" i="2"/>
  <c r="Y2264" i="2"/>
  <c r="AB2259" i="2"/>
  <c r="AA2259" i="2"/>
  <c r="Z2259" i="2"/>
  <c r="Y2259" i="2"/>
  <c r="AC2249" i="2"/>
  <c r="Z2249" i="2"/>
  <c r="Y2249" i="2"/>
  <c r="AC2244" i="2"/>
  <c r="Z2244" i="2"/>
  <c r="Y2244" i="2"/>
  <c r="AC2239" i="2"/>
  <c r="Z2239" i="2"/>
  <c r="Y2239" i="2"/>
  <c r="AC2234" i="2"/>
  <c r="Z2234" i="2"/>
  <c r="Y2234" i="2"/>
  <c r="AC2229" i="2"/>
  <c r="Z2229" i="2"/>
  <c r="Y2229" i="2"/>
  <c r="AC2219" i="2"/>
  <c r="Z2219" i="2"/>
  <c r="Y2219" i="2"/>
  <c r="AC2214" i="2"/>
  <c r="Z2214" i="2"/>
  <c r="Y2214" i="2"/>
  <c r="AC2209" i="2"/>
  <c r="Z2209" i="2"/>
  <c r="Y2209" i="2"/>
  <c r="AC2204" i="2"/>
  <c r="Z2204" i="2"/>
  <c r="Y2204" i="2"/>
  <c r="AC2199" i="2"/>
  <c r="Z2199" i="2"/>
  <c r="Y2199" i="2"/>
  <c r="AC2189" i="2"/>
  <c r="Z2189" i="2"/>
  <c r="Y2189" i="2"/>
  <c r="AC2184" i="2"/>
  <c r="Z2184" i="2"/>
  <c r="Y2184" i="2"/>
  <c r="AC2179" i="2"/>
  <c r="Z2179" i="2"/>
  <c r="Y2179" i="2"/>
  <c r="AC2174" i="2"/>
  <c r="Z2174" i="2"/>
  <c r="Y2174" i="2"/>
  <c r="AC2169" i="2"/>
  <c r="Z2169" i="2"/>
  <c r="Y2169" i="2"/>
  <c r="AC2159" i="2"/>
  <c r="Z2159" i="2"/>
  <c r="Y2159" i="2"/>
  <c r="AC2154" i="2"/>
  <c r="Z2154" i="2"/>
  <c r="Y2154" i="2"/>
  <c r="AC2149" i="2"/>
  <c r="Z2149" i="2"/>
  <c r="Y2149" i="2"/>
  <c r="AC2144" i="2"/>
  <c r="Z2144" i="2"/>
  <c r="Y2144" i="2"/>
  <c r="AC2139" i="2"/>
  <c r="Z2139" i="2"/>
  <c r="Y2139" i="2"/>
  <c r="AC2129" i="2"/>
  <c r="Z2129" i="2"/>
  <c r="Y2129" i="2"/>
  <c r="AC2124" i="2"/>
  <c r="Z2124" i="2"/>
  <c r="Y2124" i="2"/>
  <c r="AC2119" i="2"/>
  <c r="Z2119" i="2"/>
  <c r="Y2119" i="2"/>
  <c r="AC2114" i="2"/>
  <c r="Z2114" i="2"/>
  <c r="Y2114" i="2"/>
  <c r="AC2109" i="2"/>
  <c r="Z2109" i="2"/>
  <c r="Y2109" i="2"/>
  <c r="AC2099" i="2"/>
  <c r="AA2099" i="2"/>
  <c r="Z2099" i="2"/>
  <c r="Y2099" i="2"/>
  <c r="AC2094" i="2"/>
  <c r="AA2094" i="2"/>
  <c r="Z2094" i="2"/>
  <c r="Y2094" i="2"/>
  <c r="AC2089" i="2"/>
  <c r="AA2089" i="2"/>
  <c r="Z2089" i="2"/>
  <c r="Y2089" i="2"/>
  <c r="AC2084" i="2"/>
  <c r="AA2084" i="2"/>
  <c r="Z2084" i="2"/>
  <c r="Y2084" i="2"/>
  <c r="AC2079" i="2"/>
  <c r="AA2079" i="2"/>
  <c r="Z2079" i="2"/>
  <c r="Y2079" i="2"/>
  <c r="AC2069" i="2"/>
  <c r="AA2069" i="2"/>
  <c r="Z2069" i="2"/>
  <c r="Y2069" i="2"/>
  <c r="AC2064" i="2"/>
  <c r="AA2064" i="2"/>
  <c r="Z2064" i="2"/>
  <c r="Y2064" i="2"/>
  <c r="AC2059" i="2"/>
  <c r="AA2059" i="2"/>
  <c r="Z2059" i="2"/>
  <c r="Y2059" i="2"/>
  <c r="AC2054" i="2"/>
  <c r="AA2054" i="2"/>
  <c r="Z2054" i="2"/>
  <c r="Y2054" i="2"/>
  <c r="AC2049" i="2"/>
  <c r="AA2049" i="2"/>
  <c r="Z2049" i="2"/>
  <c r="Y2049" i="2"/>
  <c r="AC2039" i="2"/>
  <c r="AA2039" i="2"/>
  <c r="Z2039" i="2"/>
  <c r="Y2039" i="2"/>
  <c r="AC2034" i="2"/>
  <c r="AA2034" i="2"/>
  <c r="Z2034" i="2"/>
  <c r="Y2034" i="2"/>
  <c r="AC2029" i="2"/>
  <c r="AA2029" i="2"/>
  <c r="Z2029" i="2"/>
  <c r="Y2029" i="2"/>
  <c r="AC2024" i="2"/>
  <c r="AA2024" i="2"/>
  <c r="Z2024" i="2"/>
  <c r="Y2024" i="2"/>
  <c r="AC2019" i="2"/>
  <c r="AA2019" i="2"/>
  <c r="Z2019" i="2"/>
  <c r="Y2019" i="2"/>
  <c r="AC2009" i="2"/>
  <c r="AA2009" i="2"/>
  <c r="Z2009" i="2"/>
  <c r="Y2009" i="2"/>
  <c r="AC2004" i="2"/>
  <c r="AA2004" i="2"/>
  <c r="Z2004" i="2"/>
  <c r="Y2004" i="2"/>
  <c r="AC1999" i="2"/>
  <c r="AA1999" i="2"/>
  <c r="Z1999" i="2"/>
  <c r="Y1999" i="2"/>
  <c r="AC1994" i="2"/>
  <c r="AA1994" i="2"/>
  <c r="Z1994" i="2"/>
  <c r="Y1994" i="2"/>
  <c r="AC1989" i="2"/>
  <c r="AA1989" i="2"/>
  <c r="Z1989" i="2"/>
  <c r="Y1989" i="2"/>
  <c r="AC1979" i="2"/>
  <c r="AA1979" i="2"/>
  <c r="Z1979" i="2"/>
  <c r="Y1979" i="2"/>
  <c r="AC1974" i="2"/>
  <c r="AA1974" i="2"/>
  <c r="Z1974" i="2"/>
  <c r="Y1974" i="2"/>
  <c r="AC1969" i="2"/>
  <c r="AA1969" i="2"/>
  <c r="Z1969" i="2"/>
  <c r="Y1969" i="2"/>
  <c r="AC1964" i="2"/>
  <c r="AA1964" i="2"/>
  <c r="Z1964" i="2"/>
  <c r="Y1964" i="2"/>
  <c r="AC1959" i="2"/>
  <c r="AA1959" i="2"/>
  <c r="Z1959" i="2"/>
  <c r="Y1959" i="2"/>
  <c r="AA1949" i="2"/>
  <c r="Z1949" i="2"/>
  <c r="Y1949" i="2"/>
  <c r="AA1944" i="2"/>
  <c r="Z1944" i="2"/>
  <c r="Y1944" i="2"/>
  <c r="AA1939" i="2"/>
  <c r="Z1939" i="2"/>
  <c r="Y1939" i="2"/>
  <c r="AA1934" i="2"/>
  <c r="Z1934" i="2"/>
  <c r="Y1934" i="2"/>
  <c r="AA1929" i="2"/>
  <c r="Z1929" i="2"/>
  <c r="Y1929" i="2"/>
  <c r="AA1919" i="2"/>
  <c r="Z1919" i="2"/>
  <c r="Y1919" i="2"/>
  <c r="AA1914" i="2"/>
  <c r="Z1914" i="2"/>
  <c r="Y1914" i="2"/>
  <c r="AA1909" i="2"/>
  <c r="Z1909" i="2"/>
  <c r="Y1909" i="2"/>
  <c r="AA1904" i="2"/>
  <c r="Z1904" i="2"/>
  <c r="Y1904" i="2"/>
  <c r="AA1899" i="2"/>
  <c r="Z1899" i="2"/>
  <c r="Y1899" i="2"/>
  <c r="AA1889" i="2"/>
  <c r="Z1889" i="2"/>
  <c r="Y1889" i="2"/>
  <c r="AA1884" i="2"/>
  <c r="Z1884" i="2"/>
  <c r="Y1884" i="2"/>
  <c r="AA1879" i="2"/>
  <c r="Z1879" i="2"/>
  <c r="Y1879" i="2"/>
  <c r="AA1874" i="2"/>
  <c r="Z1874" i="2"/>
  <c r="Y1874" i="2"/>
  <c r="AA1869" i="2"/>
  <c r="Z1869" i="2"/>
  <c r="Y1869" i="2"/>
  <c r="AA1859" i="2"/>
  <c r="Z1859" i="2"/>
  <c r="Y1859" i="2"/>
  <c r="AA1854" i="2"/>
  <c r="Z1854" i="2"/>
  <c r="Y1854" i="2"/>
  <c r="AA1849" i="2"/>
  <c r="Z1849" i="2"/>
  <c r="Y1849" i="2"/>
  <c r="AA1844" i="2"/>
  <c r="Z1844" i="2"/>
  <c r="Y1844" i="2"/>
  <c r="AA1839" i="2"/>
  <c r="Z1839" i="2"/>
  <c r="Y1839" i="2"/>
  <c r="AA1829" i="2"/>
  <c r="Z1829" i="2"/>
  <c r="Y1829" i="2"/>
  <c r="AA1824" i="2"/>
  <c r="Z1824" i="2"/>
  <c r="Y1824" i="2"/>
  <c r="AA1819" i="2"/>
  <c r="Z1819" i="2"/>
  <c r="Y1819" i="2"/>
  <c r="AA1814" i="2"/>
  <c r="Z1814" i="2"/>
  <c r="Y1814" i="2"/>
  <c r="AA1809" i="2"/>
  <c r="Z1809" i="2"/>
  <c r="Y1809" i="2"/>
  <c r="AB1799" i="2"/>
  <c r="Z1799" i="2"/>
  <c r="Y1799" i="2"/>
  <c r="AB1794" i="2"/>
  <c r="Z1794" i="2"/>
  <c r="Y1794" i="2"/>
  <c r="AB1789" i="2"/>
  <c r="Z1789" i="2"/>
  <c r="Y1789" i="2"/>
  <c r="AB1784" i="2"/>
  <c r="Z1784" i="2"/>
  <c r="Y1784" i="2"/>
  <c r="AB1779" i="2"/>
  <c r="Z1779" i="2"/>
  <c r="Y1779" i="2"/>
  <c r="AB1769" i="2"/>
  <c r="Z1769" i="2"/>
  <c r="Y1769" i="2"/>
  <c r="AB1764" i="2"/>
  <c r="Z1764" i="2"/>
  <c r="Y1764" i="2"/>
  <c r="AB1759" i="2"/>
  <c r="Z1759" i="2"/>
  <c r="Y1759" i="2"/>
  <c r="AB1754" i="2"/>
  <c r="Z1754" i="2"/>
  <c r="Y1754" i="2"/>
  <c r="AB1749" i="2"/>
  <c r="Z1749" i="2"/>
  <c r="Y1749" i="2"/>
  <c r="AB1739" i="2"/>
  <c r="Z1739" i="2"/>
  <c r="Y1739" i="2"/>
  <c r="AB1734" i="2"/>
  <c r="Z1734" i="2"/>
  <c r="Y1734" i="2"/>
  <c r="AB1729" i="2"/>
  <c r="Z1729" i="2"/>
  <c r="Y1729" i="2"/>
  <c r="AB1724" i="2"/>
  <c r="Z1724" i="2"/>
  <c r="Y1724" i="2"/>
  <c r="AB1719" i="2"/>
  <c r="Z1719" i="2"/>
  <c r="Y1719" i="2"/>
  <c r="AB1709" i="2"/>
  <c r="Z1709" i="2"/>
  <c r="Y1709" i="2"/>
  <c r="AB1704" i="2"/>
  <c r="Z1704" i="2"/>
  <c r="Y1704" i="2"/>
  <c r="AB1699" i="2"/>
  <c r="Z1699" i="2"/>
  <c r="Y1699" i="2"/>
  <c r="AB1694" i="2"/>
  <c r="Z1694" i="2"/>
  <c r="Y1694" i="2"/>
  <c r="AB1689" i="2"/>
  <c r="Z1689" i="2"/>
  <c r="Y1689" i="2"/>
  <c r="AB1679" i="2"/>
  <c r="Z1679" i="2"/>
  <c r="Y1679" i="2"/>
  <c r="AB1674" i="2"/>
  <c r="Z1674" i="2"/>
  <c r="Y1674" i="2"/>
  <c r="AB1669" i="2"/>
  <c r="Z1669" i="2"/>
  <c r="Y1669" i="2"/>
  <c r="AB1664" i="2"/>
  <c r="Z1664" i="2"/>
  <c r="Y1664" i="2"/>
  <c r="AB1659" i="2"/>
  <c r="Z1659" i="2"/>
  <c r="Y1659" i="2"/>
  <c r="G2251" i="2" l="1"/>
  <c r="B53" i="4" l="1"/>
  <c r="G2222" i="2" l="1"/>
  <c r="G2245" i="2" l="1"/>
  <c r="G2228" i="2" l="1"/>
  <c r="G2238" i="2"/>
  <c r="G2232" i="2"/>
  <c r="G2241" i="2"/>
  <c r="G2225" i="2"/>
  <c r="G2243" i="2"/>
  <c r="G2242" i="2"/>
  <c r="G2224" i="2"/>
  <c r="G2235" i="2"/>
  <c r="G2230" i="2"/>
  <c r="G2231" i="2"/>
  <c r="G2236" i="2"/>
  <c r="G2240" i="2"/>
  <c r="G2227" i="2"/>
  <c r="G2226" i="2"/>
  <c r="G2237" i="2"/>
  <c r="G2248" i="2"/>
  <c r="G2247" i="2"/>
  <c r="G2233" i="2"/>
  <c r="G2246" i="2"/>
  <c r="G2223" i="2"/>
  <c r="G2250" i="2"/>
  <c r="G2244" i="2" l="1"/>
  <c r="G2229" i="2"/>
  <c r="G2249" i="2"/>
  <c r="G2239" i="2"/>
  <c r="G2234" i="2"/>
</calcChain>
</file>

<file path=xl/sharedStrings.xml><?xml version="1.0" encoding="utf-8"?>
<sst xmlns="http://schemas.openxmlformats.org/spreadsheetml/2006/main" count="4869" uniqueCount="78">
  <si>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</si>
  <si>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</si>
  <si>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</si>
  <si>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</si>
  <si>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</si>
  <si>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</si>
  <si>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</si>
  <si>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</si>
  <si>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</si>
  <si>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</si>
  <si>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</si>
  <si>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</si>
  <si>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</si>
  <si>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</si>
  <si>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</si>
  <si>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</si>
  <si>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等级</t>
    <phoneticPr fontId="1" type="noConversion"/>
  </si>
  <si>
    <t>白攻击</t>
    <phoneticPr fontId="1" type="noConversion"/>
  </si>
  <si>
    <t>对应道具基本表中的"编号"</t>
    <phoneticPr fontId="1" type="noConversion"/>
  </si>
  <si>
    <t>价格</t>
    <phoneticPr fontId="1" type="noConversion"/>
  </si>
  <si>
    <t>需要金钱</t>
  </si>
  <si>
    <t>强化ID</t>
    <phoneticPr fontId="1" type="noConversion"/>
  </si>
  <si>
    <t>强化等级</t>
    <phoneticPr fontId="1" type="noConversion"/>
  </si>
  <si>
    <t>对应成功率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</si>
  <si>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</si>
  <si>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</si>
  <si>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</si>
  <si>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化防</t>
    <phoneticPr fontId="1" type="noConversion"/>
  </si>
  <si>
    <t>生命值</t>
    <phoneticPr fontId="1" type="noConversion"/>
  </si>
  <si>
    <t>惩罚等级</t>
    <phoneticPr fontId="1" type="noConversion"/>
  </si>
  <si>
    <t>需求等级增加</t>
    <phoneticPr fontId="1" type="noConversion"/>
  </si>
  <si>
    <t>升星</t>
  </si>
  <si>
    <t>价格比例</t>
    <phoneticPr fontId="1" type="noConversion"/>
  </si>
  <si>
    <t>星数</t>
  </si>
  <si>
    <t>成功概率</t>
  </si>
  <si>
    <t>升星幅度</t>
    <phoneticPr fontId="1" type="noConversion"/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</si>
  <si>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</si>
  <si>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</si>
  <si>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</si>
  <si>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</si>
  <si>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</si>
  <si>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是否会爆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</si>
  <si>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</si>
  <si>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</si>
  <si>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</si>
  <si>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</si>
  <si>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幸运宝石</t>
    <phoneticPr fontId="1" type="noConversion"/>
  </si>
  <si>
    <t>指升星失败以后降到几星</t>
    <phoneticPr fontId="1" type="noConversion"/>
  </si>
  <si>
    <t>服务器</t>
    <phoneticPr fontId="1" type="noConversion"/>
  </si>
  <si>
    <t>首档价格</t>
    <phoneticPr fontId="1" type="noConversion"/>
  </si>
  <si>
    <t>祝福值2</t>
  </si>
  <si>
    <t>祝福值3</t>
  </si>
  <si>
    <t>祝福值4</t>
  </si>
  <si>
    <t>几率2</t>
  </si>
  <si>
    <t>几率3</t>
  </si>
  <si>
    <t>材料数量</t>
    <phoneticPr fontId="1" type="noConversion"/>
  </si>
  <si>
    <t>激活物攻</t>
    <phoneticPr fontId="1" type="noConversion"/>
  </si>
  <si>
    <t>激活化攻</t>
    <phoneticPr fontId="1" type="noConversion"/>
  </si>
  <si>
    <t>激活物防</t>
    <phoneticPr fontId="1" type="noConversion"/>
  </si>
  <si>
    <t>激活化防</t>
    <phoneticPr fontId="1" type="noConversion"/>
  </si>
  <si>
    <t>激活生命值</t>
    <phoneticPr fontId="1" type="noConversion"/>
  </si>
  <si>
    <t>祝福值上限</t>
    <phoneticPr fontId="1" type="noConversion"/>
  </si>
  <si>
    <t>服务器成功率</t>
    <phoneticPr fontId="1" type="noConversion"/>
  </si>
  <si>
    <t>服务器完美增加</t>
    <phoneticPr fontId="1" type="noConversion"/>
  </si>
  <si>
    <t>祝福值1</t>
    <phoneticPr fontId="1" type="noConversion"/>
  </si>
  <si>
    <t>几率1</t>
    <phoneticPr fontId="1" type="noConversion"/>
  </si>
  <si>
    <t>1:0;2:0;3:0;4:45</t>
    <phoneticPr fontId="1" type="noConversion"/>
  </si>
  <si>
    <t>1:0;2:0;3:0;4:40</t>
    <phoneticPr fontId="1" type="noConversion"/>
  </si>
  <si>
    <t>1:0;2:0;3:0;4:35</t>
    <phoneticPr fontId="1" type="noConversion"/>
  </si>
  <si>
    <t>1:0;2:0;3:0;4:30</t>
    <phoneticPr fontId="1" type="noConversion"/>
  </si>
  <si>
    <t>1:0;2:0;3:0;4:25</t>
    <phoneticPr fontId="1" type="noConversion"/>
  </si>
  <si>
    <t>1:0;2:0;3:0;4:20</t>
    <phoneticPr fontId="1" type="noConversion"/>
  </si>
  <si>
    <t>1:0;2:0;3:0;4:16</t>
    <phoneticPr fontId="1" type="noConversion"/>
  </si>
  <si>
    <t>1:0;2:0;3:0;4:12</t>
    <phoneticPr fontId="1" type="noConversion"/>
  </si>
  <si>
    <t>1:0;2:0;3:0;4:8</t>
    <phoneticPr fontId="1" type="noConversion"/>
  </si>
  <si>
    <t>1:0;2:0;3:0;4:7</t>
    <phoneticPr fontId="1" type="noConversion"/>
  </si>
  <si>
    <t>祝福up小</t>
    <phoneticPr fontId="1" type="noConversion"/>
  </si>
  <si>
    <t>祝福up大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</si>
</sst>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</cellStyleXfs>
  <cellXfs count="57">
    <xf numFmtId="0" fontId="0" fillId="0" borderId="0" xfId="0"/>
    <xf numFmtId="0" fontId="0" fillId="0" borderId="0" xfId="0" applyAlignment="1"/>
    <xf numFmtId="20" fontId="0" fillId="0" borderId="0" xfId="0" applyNumberFormat="1" applyAlignment="1"/>
    <xf numFmtId="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2" borderId="0" xfId="0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2" applyFont="1" applyBorder="1" applyAlignment="1">
      <alignment horizontal="center" vertical="center"/>
    </xf>
    <xf numFmtId="0" fontId="4" fillId="0" borderId="0" xfId="3" applyFont="1" applyBorder="1" applyAlignment="1">
      <alignment horizontal="center"/>
    </xf>
    <xf numFmtId="58" fontId="4" fillId="0" borderId="0" xfId="2" applyNumberFormat="1" applyFont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4" fillId="3" borderId="0" xfId="0" applyFont="1" applyFill="1" applyBorder="1" applyAlignment="1">
      <alignment horizontal="center"/>
    </xf>
    <xf numFmtId="49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0" xfId="0" applyFont="1" applyFill="1" applyBorder="1" applyAlignment="1">
      <alignment horizontal="center"/>
    </xf>
    <xf numFmtId="49" fontId="4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6" fillId="7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49" fontId="4" fillId="2" borderId="0" xfId="0" applyNumberFormat="1" applyFont="1" applyFill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0" borderId="0" xfId="2" applyFont="1" applyBorder="1" applyAlignment="1">
      <alignment horizontal="center" vertical="center"/>
    </xf>
  </cellXfs>
  <cellStyles count="4">
    <cellStyle name="常规" xfId="0" builtinId="0"/>
    <cellStyle name="常规_打造鉴定公式及升级概率" xfId="1"/>
    <cellStyle name="常规_装备基本数值" xfId="2"/>
    <cellStyle name="常规_装备基准数据生成表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25968;&#20540;\&#35013;&#22791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参考"/>
      <sheetName val="属性分配"/>
      <sheetName val="装备属性"/>
      <sheetName val="10级升星"/>
      <sheetName val="31级升星"/>
      <sheetName val="61级升星"/>
      <sheetName val="91级升星"/>
      <sheetName val="121级升星"/>
    </sheetNames>
    <sheetDataSet>
      <sheetData sheetId="0" refreshError="1"/>
      <sheetData sheetId="1" refreshError="1"/>
      <sheetData sheetId="2" refreshError="1"/>
      <sheetData sheetId="3">
        <row r="3">
          <cell r="L3">
            <v>540</v>
          </cell>
        </row>
        <row r="4">
          <cell r="L4">
            <v>585</v>
          </cell>
        </row>
        <row r="5">
          <cell r="L5">
            <v>633</v>
          </cell>
        </row>
        <row r="6">
          <cell r="L6">
            <v>685</v>
          </cell>
        </row>
        <row r="7">
          <cell r="L7">
            <v>742</v>
          </cell>
        </row>
        <row r="8">
          <cell r="L8">
            <v>803</v>
          </cell>
        </row>
        <row r="9">
          <cell r="L9">
            <v>870</v>
          </cell>
        </row>
        <row r="10">
          <cell r="L10">
            <v>941</v>
          </cell>
        </row>
        <row r="11">
          <cell r="L11">
            <v>1019</v>
          </cell>
        </row>
        <row r="12">
          <cell r="L12">
            <v>1103</v>
          </cell>
        </row>
        <row r="13">
          <cell r="L13">
            <v>1195</v>
          </cell>
        </row>
        <row r="14">
          <cell r="L14">
            <v>1293</v>
          </cell>
        </row>
        <row r="15">
          <cell r="L15">
            <v>1400</v>
          </cell>
        </row>
        <row r="16">
          <cell r="L16">
            <v>1516</v>
          </cell>
        </row>
        <row r="17">
          <cell r="L17">
            <v>1641</v>
          </cell>
        </row>
        <row r="18">
          <cell r="L18">
            <v>1777</v>
          </cell>
        </row>
        <row r="19">
          <cell r="L19">
            <v>1924</v>
          </cell>
        </row>
        <row r="20">
          <cell r="L20">
            <v>2083</v>
          </cell>
        </row>
        <row r="21">
          <cell r="L21">
            <v>2255</v>
          </cell>
        </row>
        <row r="22">
          <cell r="L22">
            <v>2441</v>
          </cell>
        </row>
        <row r="23">
          <cell r="L23">
            <v>2643</v>
          </cell>
        </row>
        <row r="24">
          <cell r="L24">
            <v>2861</v>
          </cell>
        </row>
        <row r="25">
          <cell r="L25">
            <v>3098</v>
          </cell>
        </row>
        <row r="26">
          <cell r="L26">
            <v>3353</v>
          </cell>
        </row>
        <row r="27">
          <cell r="L27">
            <v>3631</v>
          </cell>
        </row>
        <row r="28">
          <cell r="L28">
            <v>3931</v>
          </cell>
        </row>
        <row r="29">
          <cell r="L29">
            <v>4255</v>
          </cell>
        </row>
        <row r="30">
          <cell r="L30">
            <v>4607</v>
          </cell>
        </row>
        <row r="31">
          <cell r="L31">
            <v>4988</v>
          </cell>
        </row>
        <row r="32">
          <cell r="L32">
            <v>5400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401"/>
  <sheetViews>
    <sheetView tabSelected="1" zoomScaleNormal="100" workbookViewId="0">
      <pane xSplit="2" ySplit="1" topLeftCell="K1180" activePane="bottomRight" state="frozen"/>
      <selection pane="topRight" activeCell="C1" sqref="C1"/>
      <selection pane="bottomLeft" activeCell="A2" sqref="A2"/>
      <selection pane="bottomRight" activeCell="Y1052" sqref="Y1052:Y1201"/>
    </sheetView>
  </sheetViews>
  <sheetFormatPr defaultRowHeight="16.5"/>
  <cols>
    <col min="1" max="1" width="6.5" style="4" bestFit="1" customWidth="1"/>
    <col min="2" max="2" width="8" style="4" bestFit="1" customWidth="1"/>
    <col min="3" max="3" width="16.75" style="5" bestFit="1" customWidth="1"/>
    <col min="4" max="4" width="5.5" style="48" bestFit="1" customWidth="1"/>
    <col min="5" max="5" width="5.5" style="8" bestFit="1" customWidth="1"/>
    <col min="6" max="6" width="4.75" style="8" bestFit="1" customWidth="1"/>
    <col min="7" max="7" width="5.5" style="8" bestFit="1" customWidth="1"/>
    <col min="8" max="8" width="6.5" style="49" bestFit="1" customWidth="1"/>
    <col min="9" max="9" width="8" style="3" bestFit="1" customWidth="1"/>
    <col min="10" max="10" width="8" style="5" bestFit="1" customWidth="1"/>
    <col min="11" max="11" width="11.375" style="3" bestFit="1" customWidth="1"/>
    <col min="12" max="12" width="11.375" style="4" bestFit="1" customWidth="1"/>
    <col min="13" max="13" width="8" style="4" bestFit="1" customWidth="1"/>
    <col min="14" max="14" width="9.625" style="9" bestFit="1" customWidth="1"/>
    <col min="15" max="15" width="17.875" style="5" bestFit="1" customWidth="1"/>
    <col min="16" max="16" width="13.125" style="10" bestFit="1" customWidth="1"/>
    <col min="17" max="20" width="7.375" style="9" bestFit="1" customWidth="1"/>
    <col min="21" max="23" width="5.75" style="9" bestFit="1" customWidth="1"/>
    <col min="24" max="28" width="8" style="4" bestFit="1" customWidth="1"/>
    <col min="29" max="29" width="9.625" style="4" bestFit="1" customWidth="1"/>
    <col min="30" max="16384" width="9" style="4"/>
  </cols>
  <sheetData>
    <row r="1" spans="1:31" ht="17.25" thickBot="1">
      <c r="A1" s="4" t="s">
        <v>21</v>
      </c>
      <c r="B1" s="4" t="s">
        <v>22</v>
      </c>
      <c r="C1" s="5" t="s">
        <v>23</v>
      </c>
      <c r="D1" s="37" t="s">
        <v>24</v>
      </c>
      <c r="E1" s="38" t="s">
        <v>25</v>
      </c>
      <c r="F1" s="38" t="s">
        <v>26</v>
      </c>
      <c r="G1" s="38" t="s">
        <v>27</v>
      </c>
      <c r="H1" s="39" t="s">
        <v>28</v>
      </c>
      <c r="I1" s="3" t="s">
        <v>20</v>
      </c>
      <c r="J1" s="5" t="s">
        <v>29</v>
      </c>
      <c r="K1" s="3" t="s">
        <v>30</v>
      </c>
      <c r="L1" s="3" t="s">
        <v>40</v>
      </c>
      <c r="M1" s="3" t="s">
        <v>41</v>
      </c>
      <c r="N1" s="6" t="s">
        <v>61</v>
      </c>
      <c r="O1" s="5" t="s">
        <v>62</v>
      </c>
      <c r="P1" s="7" t="s">
        <v>63</v>
      </c>
      <c r="Q1" s="6" t="s">
        <v>64</v>
      </c>
      <c r="R1" s="6" t="s">
        <v>50</v>
      </c>
      <c r="S1" s="6" t="s">
        <v>51</v>
      </c>
      <c r="T1" s="6" t="s">
        <v>52</v>
      </c>
      <c r="U1" s="6" t="s">
        <v>65</v>
      </c>
      <c r="V1" s="6" t="s">
        <v>53</v>
      </c>
      <c r="W1" s="6" t="s">
        <v>54</v>
      </c>
      <c r="X1" s="3" t="s">
        <v>55</v>
      </c>
      <c r="Y1" s="4" t="s">
        <v>56</v>
      </c>
      <c r="Z1" s="4" t="s">
        <v>57</v>
      </c>
      <c r="AA1" s="4" t="s">
        <v>58</v>
      </c>
      <c r="AB1" s="4" t="s">
        <v>59</v>
      </c>
      <c r="AC1" s="4" t="s">
        <v>60</v>
      </c>
      <c r="AD1" s="4" t="s">
        <v>76</v>
      </c>
      <c r="AE1" s="50" t="s">
        <v>77</v>
      </c>
    </row>
    <row r="2" spans="1:31" s="34" customFormat="1">
      <c r="A2" s="32">
        <v>1000</v>
      </c>
      <c r="B2" s="32">
        <v>1</v>
      </c>
      <c r="C2" s="33" t="s">
        <v>66</v>
      </c>
      <c r="D2" s="40">
        <f>D31/10</f>
        <v>72</v>
      </c>
      <c r="E2" s="32">
        <v>0</v>
      </c>
      <c r="F2" s="32">
        <v>0</v>
      </c>
      <c r="G2" s="32">
        <v>0</v>
      </c>
      <c r="H2" s="41">
        <v>0</v>
      </c>
      <c r="I2" s="35">
        <v>55</v>
      </c>
      <c r="J2" s="35">
        <f>B2-1</f>
        <v>0</v>
      </c>
      <c r="K2" s="35">
        <v>0</v>
      </c>
      <c r="L2" s="34">
        <v>45</v>
      </c>
      <c r="M2" s="34">
        <v>0</v>
      </c>
      <c r="N2" s="34">
        <v>10</v>
      </c>
      <c r="O2" s="33" t="s">
        <v>66</v>
      </c>
      <c r="P2" s="34">
        <v>9400</v>
      </c>
      <c r="Q2" s="34">
        <f>N2*0.1</f>
        <v>1</v>
      </c>
      <c r="R2" s="34">
        <f>N2*0.4</f>
        <v>4</v>
      </c>
      <c r="S2" s="34">
        <f>N2*0.7</f>
        <v>7</v>
      </c>
      <c r="T2" s="34">
        <f>N2*0.9</f>
        <v>9</v>
      </c>
      <c r="U2" s="34">
        <v>9400</v>
      </c>
      <c r="V2" s="34">
        <v>9400</v>
      </c>
      <c r="W2" s="34">
        <v>9400</v>
      </c>
      <c r="X2" s="34">
        <v>1</v>
      </c>
      <c r="Y2" s="34">
        <f>INT(Y122*0.6)</f>
        <v>0</v>
      </c>
      <c r="Z2" s="36">
        <v>0</v>
      </c>
      <c r="AA2" s="34">
        <v>0</v>
      </c>
      <c r="AB2" s="34">
        <v>0</v>
      </c>
      <c r="AC2" s="34">
        <v>0</v>
      </c>
      <c r="AD2" s="34">
        <v>1</v>
      </c>
      <c r="AE2" s="34">
        <v>3</v>
      </c>
    </row>
    <row r="3" spans="1:31" s="34" customFormat="1">
      <c r="A3" s="34">
        <v>1000</v>
      </c>
      <c r="B3" s="34">
        <v>2</v>
      </c>
      <c r="C3" s="33" t="s">
        <v>67</v>
      </c>
      <c r="D3" s="40">
        <f>ROUND(POWER(POWER(D$31/D$2,B3-1),1/29)*D$2,0)</f>
        <v>78</v>
      </c>
      <c r="E3" s="32">
        <v>0</v>
      </c>
      <c r="F3" s="32">
        <v>0</v>
      </c>
      <c r="G3" s="32">
        <v>0</v>
      </c>
      <c r="H3" s="41">
        <v>0</v>
      </c>
      <c r="I3" s="35">
        <v>55</v>
      </c>
      <c r="J3" s="35">
        <f t="shared" ref="J3:J66" si="0">B3-1</f>
        <v>1</v>
      </c>
      <c r="K3" s="35">
        <v>0</v>
      </c>
      <c r="L3" s="34">
        <v>40</v>
      </c>
      <c r="M3" s="34">
        <v>0</v>
      </c>
      <c r="N3" s="34">
        <v>20</v>
      </c>
      <c r="O3" s="33" t="s">
        <v>67</v>
      </c>
      <c r="P3" s="34">
        <v>9100</v>
      </c>
      <c r="Q3" s="34">
        <f t="shared" ref="Q3:Q31" si="1">N3*0.1</f>
        <v>2</v>
      </c>
      <c r="R3" s="34">
        <f t="shared" ref="R3:R31" si="2">N3*0.4</f>
        <v>8</v>
      </c>
      <c r="S3" s="34">
        <f t="shared" ref="S3:S31" si="3">N3*0.7</f>
        <v>14</v>
      </c>
      <c r="T3" s="34">
        <f t="shared" ref="T3:T31" si="4">N3*0.9</f>
        <v>18</v>
      </c>
      <c r="U3" s="34">
        <v>4000</v>
      </c>
      <c r="V3" s="34">
        <v>8000</v>
      </c>
      <c r="W3" s="34">
        <v>8000</v>
      </c>
      <c r="X3" s="34">
        <v>1</v>
      </c>
      <c r="Y3" s="34">
        <f t="shared" ref="Y3:Y29" si="5">INT(Y123*0.6)</f>
        <v>0</v>
      </c>
      <c r="Z3" s="36">
        <v>0</v>
      </c>
      <c r="AA3" s="34">
        <v>0</v>
      </c>
      <c r="AB3" s="34">
        <v>0</v>
      </c>
      <c r="AC3" s="34">
        <v>0</v>
      </c>
      <c r="AD3" s="34">
        <v>2</v>
      </c>
      <c r="AE3" s="34">
        <v>5</v>
      </c>
    </row>
    <row r="4" spans="1:31" s="34" customFormat="1">
      <c r="A4" s="34">
        <v>1000</v>
      </c>
      <c r="B4" s="34">
        <v>3</v>
      </c>
      <c r="C4" s="33" t="s">
        <v>68</v>
      </c>
      <c r="D4" s="40">
        <f t="shared" ref="D4:D30" si="6">ROUND(POWER(POWER(D$31/D$2,B4-1),1/29)*D$2,0)</f>
        <v>84</v>
      </c>
      <c r="E4" s="32">
        <v>0</v>
      </c>
      <c r="F4" s="32">
        <v>0</v>
      </c>
      <c r="G4" s="32">
        <v>0</v>
      </c>
      <c r="H4" s="41">
        <v>0</v>
      </c>
      <c r="I4" s="35">
        <v>55</v>
      </c>
      <c r="J4" s="35">
        <f t="shared" si="0"/>
        <v>2</v>
      </c>
      <c r="K4" s="35">
        <v>0</v>
      </c>
      <c r="L4" s="34">
        <v>35</v>
      </c>
      <c r="M4" s="34">
        <v>0</v>
      </c>
      <c r="N4" s="34">
        <v>40</v>
      </c>
      <c r="O4" s="33" t="s">
        <v>68</v>
      </c>
      <c r="P4" s="34">
        <v>8600</v>
      </c>
      <c r="Q4" s="34">
        <f t="shared" si="1"/>
        <v>4</v>
      </c>
      <c r="R4" s="34">
        <f t="shared" si="2"/>
        <v>16</v>
      </c>
      <c r="S4" s="34">
        <f t="shared" si="3"/>
        <v>28</v>
      </c>
      <c r="T4" s="34">
        <f t="shared" si="4"/>
        <v>36</v>
      </c>
      <c r="U4" s="34">
        <v>1600</v>
      </c>
      <c r="V4" s="34">
        <v>5000</v>
      </c>
      <c r="W4" s="34">
        <v>6000</v>
      </c>
      <c r="X4" s="34">
        <v>1</v>
      </c>
      <c r="Y4" s="34">
        <f t="shared" si="5"/>
        <v>0</v>
      </c>
      <c r="Z4" s="36">
        <v>0</v>
      </c>
      <c r="AA4" s="34">
        <v>0</v>
      </c>
      <c r="AB4" s="34">
        <v>0</v>
      </c>
      <c r="AC4" s="34">
        <v>0</v>
      </c>
      <c r="AD4" s="34">
        <v>4</v>
      </c>
      <c r="AE4" s="34">
        <v>8</v>
      </c>
    </row>
    <row r="5" spans="1:31" s="34" customFormat="1">
      <c r="A5" s="34">
        <v>1000</v>
      </c>
      <c r="B5" s="34">
        <v>4</v>
      </c>
      <c r="C5" s="33" t="s">
        <v>69</v>
      </c>
      <c r="D5" s="40">
        <f t="shared" si="6"/>
        <v>91</v>
      </c>
      <c r="E5" s="32">
        <v>0</v>
      </c>
      <c r="F5" s="32">
        <v>0</v>
      </c>
      <c r="G5" s="32">
        <v>0</v>
      </c>
      <c r="H5" s="41">
        <v>0</v>
      </c>
      <c r="I5" s="35">
        <v>55</v>
      </c>
      <c r="J5" s="35">
        <f t="shared" si="0"/>
        <v>3</v>
      </c>
      <c r="K5" s="35">
        <v>0</v>
      </c>
      <c r="L5" s="34">
        <v>30</v>
      </c>
      <c r="M5" s="34">
        <v>0</v>
      </c>
      <c r="N5" s="34">
        <v>100</v>
      </c>
      <c r="O5" s="33" t="s">
        <v>69</v>
      </c>
      <c r="P5" s="34">
        <v>6400</v>
      </c>
      <c r="Q5" s="34">
        <f t="shared" si="1"/>
        <v>10</v>
      </c>
      <c r="R5" s="34">
        <f t="shared" si="2"/>
        <v>40</v>
      </c>
      <c r="S5" s="34">
        <f t="shared" si="3"/>
        <v>70</v>
      </c>
      <c r="T5" s="34">
        <f t="shared" si="4"/>
        <v>90</v>
      </c>
      <c r="U5" s="34">
        <v>900</v>
      </c>
      <c r="V5" s="34">
        <v>2000</v>
      </c>
      <c r="W5" s="34">
        <v>8000</v>
      </c>
      <c r="X5" s="34">
        <v>1</v>
      </c>
      <c r="Y5" s="34">
        <f t="shared" si="5"/>
        <v>0</v>
      </c>
      <c r="Z5" s="36">
        <v>0</v>
      </c>
      <c r="AA5" s="34">
        <v>0</v>
      </c>
      <c r="AB5" s="34">
        <v>0</v>
      </c>
      <c r="AC5" s="34">
        <v>0</v>
      </c>
      <c r="AD5" s="34">
        <v>6</v>
      </c>
      <c r="AE5" s="34">
        <v>10</v>
      </c>
    </row>
    <row r="6" spans="1:31" s="34" customFormat="1">
      <c r="A6" s="34">
        <v>1000</v>
      </c>
      <c r="B6" s="34">
        <v>5</v>
      </c>
      <c r="C6" s="33" t="s">
        <v>70</v>
      </c>
      <c r="D6" s="40">
        <f t="shared" si="6"/>
        <v>99</v>
      </c>
      <c r="E6" s="32">
        <v>0</v>
      </c>
      <c r="F6" s="32">
        <v>0</v>
      </c>
      <c r="G6" s="32">
        <v>0</v>
      </c>
      <c r="H6" s="41">
        <v>0</v>
      </c>
      <c r="I6" s="35">
        <v>110</v>
      </c>
      <c r="J6" s="35">
        <f t="shared" si="0"/>
        <v>4</v>
      </c>
      <c r="K6" s="35">
        <v>0</v>
      </c>
      <c r="L6" s="34">
        <v>25</v>
      </c>
      <c r="M6" s="34">
        <v>0</v>
      </c>
      <c r="N6" s="34">
        <v>200</v>
      </c>
      <c r="O6" s="33" t="s">
        <v>70</v>
      </c>
      <c r="P6" s="34">
        <v>3100</v>
      </c>
      <c r="Q6" s="34">
        <f t="shared" si="1"/>
        <v>20</v>
      </c>
      <c r="R6" s="34">
        <f t="shared" si="2"/>
        <v>80</v>
      </c>
      <c r="S6" s="34">
        <f t="shared" si="3"/>
        <v>140</v>
      </c>
      <c r="T6" s="34">
        <f t="shared" si="4"/>
        <v>180</v>
      </c>
      <c r="U6" s="34">
        <v>1000</v>
      </c>
      <c r="V6" s="34">
        <v>2000</v>
      </c>
      <c r="W6" s="34">
        <v>2000</v>
      </c>
      <c r="X6" s="34">
        <v>2</v>
      </c>
      <c r="Y6" s="34">
        <f t="shared" si="5"/>
        <v>0</v>
      </c>
      <c r="Z6" s="36">
        <v>0</v>
      </c>
      <c r="AA6" s="34">
        <v>0</v>
      </c>
      <c r="AB6" s="34">
        <v>0</v>
      </c>
      <c r="AC6" s="34">
        <v>0</v>
      </c>
      <c r="AD6" s="34">
        <v>8</v>
      </c>
      <c r="AE6" s="34">
        <v>12</v>
      </c>
    </row>
    <row r="7" spans="1:31" s="34" customFormat="1">
      <c r="A7" s="34">
        <v>1000</v>
      </c>
      <c r="B7" s="34">
        <v>6</v>
      </c>
      <c r="C7" s="33" t="s">
        <v>71</v>
      </c>
      <c r="D7" s="40">
        <f t="shared" si="6"/>
        <v>107</v>
      </c>
      <c r="E7" s="32">
        <v>0</v>
      </c>
      <c r="F7" s="32">
        <v>0</v>
      </c>
      <c r="G7" s="32">
        <v>0</v>
      </c>
      <c r="H7" s="41">
        <v>0</v>
      </c>
      <c r="I7" s="35">
        <v>110</v>
      </c>
      <c r="J7" s="35">
        <f t="shared" si="0"/>
        <v>5</v>
      </c>
      <c r="K7" s="35">
        <v>0</v>
      </c>
      <c r="L7" s="34">
        <v>20</v>
      </c>
      <c r="M7" s="34">
        <v>0</v>
      </c>
      <c r="N7" s="34">
        <v>500</v>
      </c>
      <c r="O7" s="33" t="s">
        <v>71</v>
      </c>
      <c r="P7" s="34">
        <v>1777</v>
      </c>
      <c r="Q7" s="34">
        <f t="shared" si="1"/>
        <v>50</v>
      </c>
      <c r="R7" s="34">
        <f t="shared" si="2"/>
        <v>200</v>
      </c>
      <c r="S7" s="34">
        <f t="shared" si="3"/>
        <v>350</v>
      </c>
      <c r="T7" s="34">
        <f t="shared" si="4"/>
        <v>450</v>
      </c>
      <c r="U7" s="34">
        <v>800</v>
      </c>
      <c r="V7" s="34">
        <v>800</v>
      </c>
      <c r="W7" s="34">
        <v>600</v>
      </c>
      <c r="X7" s="34">
        <v>2</v>
      </c>
      <c r="Y7" s="34">
        <f t="shared" si="5"/>
        <v>0</v>
      </c>
      <c r="Z7" s="36">
        <v>0</v>
      </c>
      <c r="AA7" s="34">
        <v>0</v>
      </c>
      <c r="AB7" s="34">
        <v>0</v>
      </c>
      <c r="AC7" s="34">
        <v>0</v>
      </c>
      <c r="AD7" s="34">
        <v>10</v>
      </c>
      <c r="AE7" s="34">
        <v>14</v>
      </c>
    </row>
    <row r="8" spans="1:31" s="34" customFormat="1">
      <c r="A8" s="34">
        <v>1000</v>
      </c>
      <c r="B8" s="34">
        <v>7</v>
      </c>
      <c r="C8" s="33" t="s">
        <v>72</v>
      </c>
      <c r="D8" s="40">
        <f t="shared" si="6"/>
        <v>116</v>
      </c>
      <c r="E8" s="32">
        <v>0</v>
      </c>
      <c r="F8" s="32">
        <v>0</v>
      </c>
      <c r="G8" s="32">
        <v>0</v>
      </c>
      <c r="H8" s="41">
        <v>0</v>
      </c>
      <c r="I8" s="35">
        <v>110</v>
      </c>
      <c r="J8" s="35">
        <f t="shared" si="0"/>
        <v>6</v>
      </c>
      <c r="K8" s="35">
        <v>0</v>
      </c>
      <c r="L8" s="34">
        <v>16</v>
      </c>
      <c r="M8" s="34">
        <v>0</v>
      </c>
      <c r="N8" s="34">
        <v>700</v>
      </c>
      <c r="O8" s="33" t="s">
        <v>72</v>
      </c>
      <c r="P8" s="34">
        <v>2332</v>
      </c>
      <c r="Q8" s="34">
        <f t="shared" si="1"/>
        <v>70</v>
      </c>
      <c r="R8" s="34">
        <f t="shared" si="2"/>
        <v>280</v>
      </c>
      <c r="S8" s="34">
        <f t="shared" si="3"/>
        <v>489.99999999999994</v>
      </c>
      <c r="T8" s="34">
        <f t="shared" si="4"/>
        <v>630</v>
      </c>
      <c r="U8" s="34">
        <v>650</v>
      </c>
      <c r="V8" s="34">
        <v>800</v>
      </c>
      <c r="W8" s="34">
        <v>300</v>
      </c>
      <c r="X8" s="34">
        <v>2</v>
      </c>
      <c r="Y8" s="34">
        <f t="shared" si="5"/>
        <v>0</v>
      </c>
      <c r="Z8" s="36">
        <v>0</v>
      </c>
      <c r="AA8" s="34">
        <v>0</v>
      </c>
      <c r="AB8" s="34">
        <v>0</v>
      </c>
      <c r="AC8" s="34">
        <v>0</v>
      </c>
      <c r="AD8" s="34">
        <v>12</v>
      </c>
      <c r="AE8" s="34">
        <v>16</v>
      </c>
    </row>
    <row r="9" spans="1:31" s="34" customFormat="1">
      <c r="A9" s="34">
        <v>1000</v>
      </c>
      <c r="B9" s="34">
        <v>8</v>
      </c>
      <c r="C9" s="33" t="s">
        <v>73</v>
      </c>
      <c r="D9" s="40">
        <f t="shared" si="6"/>
        <v>126</v>
      </c>
      <c r="E9" s="32">
        <v>0</v>
      </c>
      <c r="F9" s="32">
        <v>0</v>
      </c>
      <c r="G9" s="32">
        <v>0</v>
      </c>
      <c r="H9" s="41">
        <v>0</v>
      </c>
      <c r="I9" s="35">
        <v>110</v>
      </c>
      <c r="J9" s="35">
        <f t="shared" si="0"/>
        <v>7</v>
      </c>
      <c r="K9" s="35">
        <v>0</v>
      </c>
      <c r="L9" s="34">
        <v>12</v>
      </c>
      <c r="M9" s="34">
        <v>0</v>
      </c>
      <c r="N9" s="34">
        <v>800</v>
      </c>
      <c r="O9" s="33" t="s">
        <v>73</v>
      </c>
      <c r="P9" s="34">
        <v>1487</v>
      </c>
      <c r="Q9" s="34">
        <f t="shared" si="1"/>
        <v>80</v>
      </c>
      <c r="R9" s="34">
        <f t="shared" si="2"/>
        <v>320</v>
      </c>
      <c r="S9" s="34">
        <f t="shared" si="3"/>
        <v>560</v>
      </c>
      <c r="T9" s="34">
        <f t="shared" si="4"/>
        <v>720</v>
      </c>
      <c r="U9" s="34">
        <v>200</v>
      </c>
      <c r="V9" s="34">
        <v>2000</v>
      </c>
      <c r="W9" s="34">
        <v>1000</v>
      </c>
      <c r="X9" s="34">
        <v>2</v>
      </c>
      <c r="Y9" s="34">
        <f t="shared" si="5"/>
        <v>43</v>
      </c>
      <c r="Z9" s="36">
        <v>0</v>
      </c>
      <c r="AA9" s="34">
        <v>0</v>
      </c>
      <c r="AB9" s="34">
        <v>0</v>
      </c>
      <c r="AC9" s="34">
        <v>0</v>
      </c>
      <c r="AD9" s="34">
        <v>14</v>
      </c>
      <c r="AE9" s="34">
        <v>18</v>
      </c>
    </row>
    <row r="10" spans="1:31" s="34" customFormat="1">
      <c r="A10" s="34">
        <v>1000</v>
      </c>
      <c r="B10" s="34">
        <v>9</v>
      </c>
      <c r="C10" s="33" t="s">
        <v>74</v>
      </c>
      <c r="D10" s="40">
        <f t="shared" si="6"/>
        <v>136</v>
      </c>
      <c r="E10" s="32">
        <v>0</v>
      </c>
      <c r="F10" s="32">
        <v>0</v>
      </c>
      <c r="G10" s="32">
        <v>0</v>
      </c>
      <c r="H10" s="41">
        <v>0</v>
      </c>
      <c r="I10" s="35">
        <v>165</v>
      </c>
      <c r="J10" s="35">
        <f t="shared" si="0"/>
        <v>8</v>
      </c>
      <c r="K10" s="35">
        <v>0</v>
      </c>
      <c r="L10" s="34">
        <v>8</v>
      </c>
      <c r="M10" s="34">
        <v>0</v>
      </c>
      <c r="N10" s="34">
        <v>900</v>
      </c>
      <c r="O10" s="33" t="s">
        <v>74</v>
      </c>
      <c r="P10" s="34">
        <v>1518</v>
      </c>
      <c r="Q10" s="34">
        <f t="shared" si="1"/>
        <v>90</v>
      </c>
      <c r="R10" s="34">
        <f t="shared" si="2"/>
        <v>360</v>
      </c>
      <c r="S10" s="34">
        <f t="shared" si="3"/>
        <v>630</v>
      </c>
      <c r="T10" s="34">
        <f t="shared" si="4"/>
        <v>810</v>
      </c>
      <c r="U10" s="34">
        <v>120</v>
      </c>
      <c r="V10" s="34">
        <v>1500</v>
      </c>
      <c r="W10" s="34">
        <v>1000</v>
      </c>
      <c r="X10" s="34">
        <v>3</v>
      </c>
      <c r="Y10" s="34">
        <v>0</v>
      </c>
      <c r="Z10" s="36">
        <v>0</v>
      </c>
      <c r="AA10" s="34">
        <v>0</v>
      </c>
      <c r="AB10" s="34">
        <v>0</v>
      </c>
      <c r="AC10" s="34">
        <v>0</v>
      </c>
      <c r="AD10" s="34">
        <v>16</v>
      </c>
      <c r="AE10" s="34">
        <v>20</v>
      </c>
    </row>
    <row r="11" spans="1:31" s="34" customFormat="1">
      <c r="A11" s="34">
        <v>1000</v>
      </c>
      <c r="B11" s="34">
        <v>10</v>
      </c>
      <c r="C11" s="33" t="s">
        <v>75</v>
      </c>
      <c r="D11" s="40">
        <f t="shared" si="6"/>
        <v>147</v>
      </c>
      <c r="E11" s="32">
        <v>0</v>
      </c>
      <c r="F11" s="32">
        <v>0</v>
      </c>
      <c r="G11" s="32">
        <v>0</v>
      </c>
      <c r="H11" s="41">
        <v>0</v>
      </c>
      <c r="I11" s="35">
        <v>165</v>
      </c>
      <c r="J11" s="35">
        <f t="shared" si="0"/>
        <v>9</v>
      </c>
      <c r="K11" s="35">
        <v>0</v>
      </c>
      <c r="L11" s="34">
        <v>6</v>
      </c>
      <c r="M11" s="34">
        <v>0</v>
      </c>
      <c r="N11" s="34">
        <v>2000</v>
      </c>
      <c r="O11" s="33" t="s">
        <v>75</v>
      </c>
      <c r="P11" s="34">
        <v>861</v>
      </c>
      <c r="Q11" s="34">
        <f t="shared" si="1"/>
        <v>200</v>
      </c>
      <c r="R11" s="34">
        <f t="shared" si="2"/>
        <v>800</v>
      </c>
      <c r="S11" s="34">
        <f t="shared" si="3"/>
        <v>1400</v>
      </c>
      <c r="T11" s="34">
        <f t="shared" si="4"/>
        <v>1800</v>
      </c>
      <c r="U11" s="34">
        <v>150</v>
      </c>
      <c r="V11" s="34">
        <v>5000</v>
      </c>
      <c r="W11" s="34">
        <v>800</v>
      </c>
      <c r="X11" s="34">
        <v>3</v>
      </c>
      <c r="Y11" s="34">
        <v>0</v>
      </c>
      <c r="Z11" s="36">
        <v>0</v>
      </c>
      <c r="AA11" s="34">
        <v>0</v>
      </c>
      <c r="AB11" s="34">
        <v>0</v>
      </c>
      <c r="AC11" s="34">
        <v>0</v>
      </c>
      <c r="AD11" s="34">
        <v>18</v>
      </c>
      <c r="AE11" s="34">
        <v>22</v>
      </c>
    </row>
    <row r="12" spans="1:31" s="34" customFormat="1">
      <c r="A12" s="34">
        <v>1000</v>
      </c>
      <c r="B12" s="34">
        <v>11</v>
      </c>
      <c r="C12" s="33" t="s">
        <v>66</v>
      </c>
      <c r="D12" s="40">
        <f t="shared" si="6"/>
        <v>159</v>
      </c>
      <c r="E12" s="32">
        <v>0</v>
      </c>
      <c r="F12" s="32">
        <v>0</v>
      </c>
      <c r="G12" s="32">
        <v>0</v>
      </c>
      <c r="H12" s="41">
        <v>0</v>
      </c>
      <c r="I12" s="35">
        <v>165</v>
      </c>
      <c r="J12" s="35">
        <f t="shared" si="0"/>
        <v>10</v>
      </c>
      <c r="K12" s="35">
        <v>0</v>
      </c>
      <c r="L12" s="34">
        <v>6</v>
      </c>
      <c r="M12" s="34">
        <v>0</v>
      </c>
      <c r="N12" s="34">
        <v>2200</v>
      </c>
      <c r="O12" s="33" t="s">
        <v>66</v>
      </c>
      <c r="P12" s="34">
        <v>9400</v>
      </c>
      <c r="Q12" s="34">
        <f t="shared" si="1"/>
        <v>220</v>
      </c>
      <c r="R12" s="34">
        <f t="shared" si="2"/>
        <v>880</v>
      </c>
      <c r="S12" s="34">
        <f t="shared" si="3"/>
        <v>1540</v>
      </c>
      <c r="T12" s="34">
        <f t="shared" si="4"/>
        <v>1980</v>
      </c>
      <c r="U12" s="34">
        <v>100</v>
      </c>
      <c r="V12" s="34">
        <v>800</v>
      </c>
      <c r="W12" s="34">
        <v>600</v>
      </c>
      <c r="X12" s="34">
        <v>3</v>
      </c>
      <c r="Y12" s="34">
        <v>0</v>
      </c>
      <c r="Z12" s="36">
        <v>0</v>
      </c>
      <c r="AA12" s="34">
        <v>0</v>
      </c>
      <c r="AB12" s="34">
        <v>0</v>
      </c>
      <c r="AC12" s="34">
        <v>0</v>
      </c>
      <c r="AD12" s="34">
        <v>20</v>
      </c>
      <c r="AE12" s="34">
        <v>24</v>
      </c>
    </row>
    <row r="13" spans="1:31" s="34" customFormat="1">
      <c r="A13" s="34">
        <v>1000</v>
      </c>
      <c r="B13" s="34">
        <v>12</v>
      </c>
      <c r="C13" s="33" t="s">
        <v>67</v>
      </c>
      <c r="D13" s="40">
        <f t="shared" si="6"/>
        <v>172</v>
      </c>
      <c r="E13" s="32">
        <v>0</v>
      </c>
      <c r="F13" s="32">
        <v>0</v>
      </c>
      <c r="G13" s="32">
        <v>0</v>
      </c>
      <c r="H13" s="41">
        <v>0</v>
      </c>
      <c r="I13" s="35">
        <v>165</v>
      </c>
      <c r="J13" s="35">
        <f t="shared" si="0"/>
        <v>11</v>
      </c>
      <c r="K13" s="35">
        <v>0</v>
      </c>
      <c r="L13" s="34">
        <v>6</v>
      </c>
      <c r="M13" s="34">
        <v>0</v>
      </c>
      <c r="N13" s="34">
        <v>2400</v>
      </c>
      <c r="O13" s="33" t="s">
        <v>67</v>
      </c>
      <c r="P13" s="34">
        <v>9100</v>
      </c>
      <c r="Q13" s="34">
        <f t="shared" si="1"/>
        <v>240</v>
      </c>
      <c r="R13" s="34">
        <f t="shared" si="2"/>
        <v>960</v>
      </c>
      <c r="S13" s="34">
        <f t="shared" si="3"/>
        <v>1680</v>
      </c>
      <c r="T13" s="34">
        <f t="shared" si="4"/>
        <v>2160</v>
      </c>
      <c r="U13" s="34">
        <v>150</v>
      </c>
      <c r="V13" s="34">
        <v>700</v>
      </c>
      <c r="W13" s="34">
        <v>900</v>
      </c>
      <c r="X13" s="34">
        <v>3</v>
      </c>
      <c r="Y13" s="34">
        <v>0</v>
      </c>
      <c r="Z13" s="36">
        <v>0</v>
      </c>
      <c r="AA13" s="34">
        <v>0</v>
      </c>
      <c r="AB13" s="34">
        <v>0</v>
      </c>
      <c r="AC13" s="34">
        <v>0</v>
      </c>
      <c r="AD13" s="34">
        <v>22</v>
      </c>
      <c r="AE13" s="34">
        <v>26</v>
      </c>
    </row>
    <row r="14" spans="1:31" s="34" customFormat="1">
      <c r="A14" s="34">
        <v>1000</v>
      </c>
      <c r="B14" s="34">
        <v>13</v>
      </c>
      <c r="C14" s="33" t="s">
        <v>68</v>
      </c>
      <c r="D14" s="40">
        <f t="shared" si="6"/>
        <v>187</v>
      </c>
      <c r="E14" s="32">
        <v>0</v>
      </c>
      <c r="F14" s="32">
        <v>0</v>
      </c>
      <c r="G14" s="32">
        <v>0</v>
      </c>
      <c r="H14" s="41">
        <v>0</v>
      </c>
      <c r="I14" s="35">
        <v>220</v>
      </c>
      <c r="J14" s="35">
        <f t="shared" si="0"/>
        <v>12</v>
      </c>
      <c r="K14" s="35">
        <v>0</v>
      </c>
      <c r="L14" s="34">
        <v>6</v>
      </c>
      <c r="M14" s="34">
        <v>0</v>
      </c>
      <c r="N14" s="34">
        <v>2600</v>
      </c>
      <c r="O14" s="33" t="s">
        <v>68</v>
      </c>
      <c r="P14" s="34">
        <v>8600</v>
      </c>
      <c r="Q14" s="34">
        <f t="shared" si="1"/>
        <v>260</v>
      </c>
      <c r="R14" s="34">
        <f t="shared" si="2"/>
        <v>1040</v>
      </c>
      <c r="S14" s="34">
        <f t="shared" si="3"/>
        <v>1819.9999999999998</v>
      </c>
      <c r="T14" s="34">
        <f t="shared" si="4"/>
        <v>2340</v>
      </c>
      <c r="U14" s="34">
        <v>100</v>
      </c>
      <c r="V14" s="34">
        <v>700</v>
      </c>
      <c r="W14" s="34">
        <v>1000</v>
      </c>
      <c r="X14" s="34">
        <v>4</v>
      </c>
      <c r="Y14" s="34">
        <f t="shared" si="5"/>
        <v>86</v>
      </c>
      <c r="Z14" s="36">
        <v>0</v>
      </c>
      <c r="AA14" s="34">
        <v>0</v>
      </c>
      <c r="AB14" s="34">
        <v>0</v>
      </c>
      <c r="AC14" s="34">
        <v>0</v>
      </c>
      <c r="AD14" s="34">
        <v>24</v>
      </c>
      <c r="AE14" s="34">
        <v>28</v>
      </c>
    </row>
    <row r="15" spans="1:31" s="34" customFormat="1">
      <c r="A15" s="34">
        <v>1000</v>
      </c>
      <c r="B15" s="34">
        <v>14</v>
      </c>
      <c r="C15" s="33" t="s">
        <v>69</v>
      </c>
      <c r="D15" s="40">
        <f t="shared" si="6"/>
        <v>202</v>
      </c>
      <c r="E15" s="32">
        <v>0</v>
      </c>
      <c r="F15" s="32">
        <v>0</v>
      </c>
      <c r="G15" s="32">
        <v>0</v>
      </c>
      <c r="H15" s="41">
        <v>0</v>
      </c>
      <c r="I15" s="35">
        <v>220</v>
      </c>
      <c r="J15" s="35">
        <f t="shared" si="0"/>
        <v>13</v>
      </c>
      <c r="K15" s="35">
        <v>0</v>
      </c>
      <c r="L15" s="34">
        <v>6</v>
      </c>
      <c r="M15" s="34">
        <v>0</v>
      </c>
      <c r="N15" s="34">
        <v>2800</v>
      </c>
      <c r="O15" s="33" t="s">
        <v>69</v>
      </c>
      <c r="P15" s="34">
        <v>6400</v>
      </c>
      <c r="Q15" s="34">
        <f t="shared" si="1"/>
        <v>280</v>
      </c>
      <c r="R15" s="34">
        <f t="shared" si="2"/>
        <v>1120</v>
      </c>
      <c r="S15" s="34">
        <f t="shared" si="3"/>
        <v>1959.9999999999998</v>
      </c>
      <c r="T15" s="34">
        <f t="shared" si="4"/>
        <v>2520</v>
      </c>
      <c r="U15" s="34">
        <v>100</v>
      </c>
      <c r="V15" s="34">
        <v>400</v>
      </c>
      <c r="W15" s="34">
        <v>1200</v>
      </c>
      <c r="X15" s="34">
        <v>4</v>
      </c>
      <c r="Y15" s="34">
        <v>0</v>
      </c>
      <c r="Z15" s="36">
        <v>0</v>
      </c>
      <c r="AA15" s="34">
        <v>0</v>
      </c>
      <c r="AB15" s="34">
        <v>0</v>
      </c>
      <c r="AC15" s="34">
        <v>0</v>
      </c>
      <c r="AD15" s="34">
        <v>26</v>
      </c>
      <c r="AE15" s="34">
        <v>30</v>
      </c>
    </row>
    <row r="16" spans="1:31" s="34" customFormat="1">
      <c r="A16" s="34">
        <v>1000</v>
      </c>
      <c r="B16" s="34">
        <v>15</v>
      </c>
      <c r="C16" s="33" t="s">
        <v>70</v>
      </c>
      <c r="D16" s="40">
        <f t="shared" si="6"/>
        <v>219</v>
      </c>
      <c r="E16" s="32">
        <v>0</v>
      </c>
      <c r="F16" s="32">
        <v>0</v>
      </c>
      <c r="G16" s="32">
        <v>0</v>
      </c>
      <c r="H16" s="41">
        <v>0</v>
      </c>
      <c r="I16" s="35">
        <v>220</v>
      </c>
      <c r="J16" s="35">
        <f t="shared" si="0"/>
        <v>14</v>
      </c>
      <c r="K16" s="35">
        <v>0</v>
      </c>
      <c r="L16" s="34">
        <v>6</v>
      </c>
      <c r="M16" s="34">
        <v>0</v>
      </c>
      <c r="N16" s="34">
        <v>4500</v>
      </c>
      <c r="O16" s="33" t="s">
        <v>70</v>
      </c>
      <c r="P16" s="34">
        <v>3100</v>
      </c>
      <c r="Q16" s="34">
        <f t="shared" si="1"/>
        <v>450</v>
      </c>
      <c r="R16" s="34">
        <f t="shared" si="2"/>
        <v>1800</v>
      </c>
      <c r="S16" s="34">
        <f t="shared" si="3"/>
        <v>3150</v>
      </c>
      <c r="T16" s="34">
        <f t="shared" si="4"/>
        <v>4050</v>
      </c>
      <c r="U16" s="34">
        <v>100</v>
      </c>
      <c r="V16" s="34">
        <v>1000</v>
      </c>
      <c r="W16" s="34">
        <v>600</v>
      </c>
      <c r="X16" s="34">
        <v>4</v>
      </c>
      <c r="Y16" s="34">
        <v>0</v>
      </c>
      <c r="Z16" s="36">
        <v>0</v>
      </c>
      <c r="AA16" s="34">
        <v>0</v>
      </c>
      <c r="AB16" s="34">
        <v>0</v>
      </c>
      <c r="AC16" s="34">
        <v>0</v>
      </c>
      <c r="AD16" s="34">
        <v>28</v>
      </c>
      <c r="AE16" s="34">
        <v>32</v>
      </c>
    </row>
    <row r="17" spans="1:31" s="34" customFormat="1">
      <c r="A17" s="34">
        <v>1000</v>
      </c>
      <c r="B17" s="34">
        <v>16</v>
      </c>
      <c r="C17" s="33" t="s">
        <v>71</v>
      </c>
      <c r="D17" s="40">
        <f t="shared" si="6"/>
        <v>237</v>
      </c>
      <c r="E17" s="32">
        <v>0</v>
      </c>
      <c r="F17" s="32">
        <v>0</v>
      </c>
      <c r="G17" s="32">
        <v>0</v>
      </c>
      <c r="H17" s="41">
        <v>0</v>
      </c>
      <c r="I17" s="35">
        <v>220</v>
      </c>
      <c r="J17" s="35">
        <f t="shared" si="0"/>
        <v>15</v>
      </c>
      <c r="K17" s="35">
        <v>0</v>
      </c>
      <c r="L17" s="34">
        <v>6</v>
      </c>
      <c r="M17" s="34">
        <v>0</v>
      </c>
      <c r="N17" s="34">
        <v>4800</v>
      </c>
      <c r="O17" s="33" t="s">
        <v>71</v>
      </c>
      <c r="P17" s="34">
        <v>1777</v>
      </c>
      <c r="Q17" s="34">
        <f t="shared" si="1"/>
        <v>480</v>
      </c>
      <c r="R17" s="34">
        <f t="shared" si="2"/>
        <v>1920</v>
      </c>
      <c r="S17" s="34">
        <f t="shared" si="3"/>
        <v>3360</v>
      </c>
      <c r="T17" s="34">
        <f t="shared" si="4"/>
        <v>4320</v>
      </c>
      <c r="U17" s="34">
        <v>100</v>
      </c>
      <c r="V17" s="34">
        <v>800</v>
      </c>
      <c r="W17" s="34">
        <v>800</v>
      </c>
      <c r="X17" s="34">
        <v>4</v>
      </c>
      <c r="Y17" s="34">
        <v>0</v>
      </c>
      <c r="Z17" s="36">
        <v>0</v>
      </c>
      <c r="AA17" s="34">
        <v>0</v>
      </c>
      <c r="AB17" s="34">
        <v>0</v>
      </c>
      <c r="AC17" s="34">
        <v>0</v>
      </c>
      <c r="AD17" s="34">
        <v>30</v>
      </c>
      <c r="AE17" s="34">
        <v>34</v>
      </c>
    </row>
    <row r="18" spans="1:31" s="34" customFormat="1">
      <c r="A18" s="34">
        <v>1000</v>
      </c>
      <c r="B18" s="34">
        <v>17</v>
      </c>
      <c r="C18" s="33" t="s">
        <v>72</v>
      </c>
      <c r="D18" s="40">
        <f t="shared" si="6"/>
        <v>256</v>
      </c>
      <c r="E18" s="32">
        <v>0</v>
      </c>
      <c r="F18" s="32">
        <v>0</v>
      </c>
      <c r="G18" s="32">
        <v>0</v>
      </c>
      <c r="H18" s="41">
        <v>0</v>
      </c>
      <c r="I18" s="35">
        <v>275</v>
      </c>
      <c r="J18" s="35">
        <f t="shared" si="0"/>
        <v>16</v>
      </c>
      <c r="K18" s="35">
        <v>0</v>
      </c>
      <c r="L18" s="34">
        <v>6</v>
      </c>
      <c r="M18" s="34">
        <v>0</v>
      </c>
      <c r="N18" s="34">
        <v>5100</v>
      </c>
      <c r="O18" s="33" t="s">
        <v>72</v>
      </c>
      <c r="P18" s="34">
        <v>2332</v>
      </c>
      <c r="Q18" s="34">
        <f t="shared" si="1"/>
        <v>510</v>
      </c>
      <c r="R18" s="34">
        <f t="shared" si="2"/>
        <v>2040</v>
      </c>
      <c r="S18" s="34">
        <f t="shared" si="3"/>
        <v>3570</v>
      </c>
      <c r="T18" s="34">
        <f t="shared" si="4"/>
        <v>4590</v>
      </c>
      <c r="U18" s="34">
        <v>80</v>
      </c>
      <c r="V18" s="34">
        <v>800</v>
      </c>
      <c r="W18" s="34">
        <v>600</v>
      </c>
      <c r="X18" s="34">
        <v>5</v>
      </c>
      <c r="Y18" s="34">
        <v>0</v>
      </c>
      <c r="Z18" s="36">
        <v>0</v>
      </c>
      <c r="AA18" s="34">
        <v>0</v>
      </c>
      <c r="AB18" s="34">
        <v>0</v>
      </c>
      <c r="AC18" s="34">
        <v>0</v>
      </c>
      <c r="AD18" s="34">
        <v>32</v>
      </c>
      <c r="AE18" s="34">
        <v>36</v>
      </c>
    </row>
    <row r="19" spans="1:31" s="34" customFormat="1">
      <c r="A19" s="34">
        <v>1000</v>
      </c>
      <c r="B19" s="34">
        <v>18</v>
      </c>
      <c r="C19" s="33" t="s">
        <v>73</v>
      </c>
      <c r="D19" s="40">
        <f t="shared" si="6"/>
        <v>278</v>
      </c>
      <c r="E19" s="32">
        <v>0</v>
      </c>
      <c r="F19" s="32">
        <v>0</v>
      </c>
      <c r="G19" s="32">
        <v>0</v>
      </c>
      <c r="H19" s="41">
        <v>0</v>
      </c>
      <c r="I19" s="35">
        <v>275</v>
      </c>
      <c r="J19" s="35">
        <f t="shared" si="0"/>
        <v>17</v>
      </c>
      <c r="K19" s="35">
        <v>0</v>
      </c>
      <c r="L19" s="34">
        <v>6</v>
      </c>
      <c r="M19" s="34">
        <v>0</v>
      </c>
      <c r="N19" s="34">
        <v>5400</v>
      </c>
      <c r="O19" s="33" t="s">
        <v>73</v>
      </c>
      <c r="P19" s="34">
        <v>1487</v>
      </c>
      <c r="Q19" s="34">
        <f t="shared" si="1"/>
        <v>540</v>
      </c>
      <c r="R19" s="34">
        <f t="shared" si="2"/>
        <v>2160</v>
      </c>
      <c r="S19" s="34">
        <f t="shared" si="3"/>
        <v>3779.9999999999995</v>
      </c>
      <c r="T19" s="34">
        <f t="shared" si="4"/>
        <v>4860</v>
      </c>
      <c r="U19" s="34">
        <v>100</v>
      </c>
      <c r="V19" s="34">
        <v>600</v>
      </c>
      <c r="W19" s="34">
        <v>300</v>
      </c>
      <c r="X19" s="34">
        <v>5</v>
      </c>
      <c r="Y19" s="34">
        <f t="shared" si="5"/>
        <v>129</v>
      </c>
      <c r="Z19" s="36">
        <v>0</v>
      </c>
      <c r="AA19" s="34">
        <v>0</v>
      </c>
      <c r="AB19" s="34">
        <v>0</v>
      </c>
      <c r="AC19" s="34">
        <v>0</v>
      </c>
      <c r="AD19" s="34">
        <v>34</v>
      </c>
      <c r="AE19" s="34">
        <v>38</v>
      </c>
    </row>
    <row r="20" spans="1:31" s="34" customFormat="1">
      <c r="A20" s="34">
        <v>1000</v>
      </c>
      <c r="B20" s="34">
        <v>19</v>
      </c>
      <c r="C20" s="33" t="s">
        <v>74</v>
      </c>
      <c r="D20" s="40">
        <f t="shared" si="6"/>
        <v>301</v>
      </c>
      <c r="E20" s="32">
        <v>0</v>
      </c>
      <c r="F20" s="32">
        <v>0</v>
      </c>
      <c r="G20" s="32">
        <v>0</v>
      </c>
      <c r="H20" s="41">
        <v>0</v>
      </c>
      <c r="I20" s="35">
        <v>275</v>
      </c>
      <c r="J20" s="35">
        <f t="shared" si="0"/>
        <v>18</v>
      </c>
      <c r="K20" s="35">
        <v>0</v>
      </c>
      <c r="L20" s="34">
        <v>6</v>
      </c>
      <c r="M20" s="34">
        <v>0</v>
      </c>
      <c r="N20" s="34">
        <v>5700</v>
      </c>
      <c r="O20" s="33" t="s">
        <v>74</v>
      </c>
      <c r="P20" s="34">
        <v>1518</v>
      </c>
      <c r="Q20" s="34">
        <f t="shared" si="1"/>
        <v>570</v>
      </c>
      <c r="R20" s="34">
        <f t="shared" si="2"/>
        <v>2280</v>
      </c>
      <c r="S20" s="34">
        <f t="shared" si="3"/>
        <v>3989.9999999999995</v>
      </c>
      <c r="T20" s="34">
        <f t="shared" si="4"/>
        <v>5130</v>
      </c>
      <c r="U20" s="34">
        <v>100</v>
      </c>
      <c r="V20" s="34">
        <v>500</v>
      </c>
      <c r="W20" s="34">
        <v>400</v>
      </c>
      <c r="X20" s="34">
        <v>5</v>
      </c>
      <c r="Y20" s="34">
        <v>0</v>
      </c>
      <c r="Z20" s="36">
        <v>0</v>
      </c>
      <c r="AA20" s="34">
        <v>0</v>
      </c>
      <c r="AB20" s="34">
        <v>0</v>
      </c>
      <c r="AC20" s="34">
        <v>0</v>
      </c>
      <c r="AD20" s="34">
        <v>36</v>
      </c>
      <c r="AE20" s="34">
        <v>40</v>
      </c>
    </row>
    <row r="21" spans="1:31" s="34" customFormat="1">
      <c r="A21" s="34">
        <v>1000</v>
      </c>
      <c r="B21" s="34">
        <v>20</v>
      </c>
      <c r="C21" s="33" t="s">
        <v>75</v>
      </c>
      <c r="D21" s="40">
        <f t="shared" si="6"/>
        <v>325</v>
      </c>
      <c r="E21" s="32">
        <v>0</v>
      </c>
      <c r="F21" s="32">
        <v>0</v>
      </c>
      <c r="G21" s="32">
        <v>0</v>
      </c>
      <c r="H21" s="41">
        <v>0</v>
      </c>
      <c r="I21" s="35">
        <v>275</v>
      </c>
      <c r="J21" s="35">
        <f t="shared" si="0"/>
        <v>19</v>
      </c>
      <c r="K21" s="35">
        <v>0</v>
      </c>
      <c r="L21" s="34">
        <v>6</v>
      </c>
      <c r="M21" s="34">
        <v>0</v>
      </c>
      <c r="N21" s="34">
        <v>8000</v>
      </c>
      <c r="O21" s="33" t="s">
        <v>75</v>
      </c>
      <c r="P21" s="34">
        <v>861</v>
      </c>
      <c r="Q21" s="34">
        <f t="shared" si="1"/>
        <v>800</v>
      </c>
      <c r="R21" s="34">
        <f t="shared" si="2"/>
        <v>3200</v>
      </c>
      <c r="S21" s="34">
        <f t="shared" si="3"/>
        <v>5600</v>
      </c>
      <c r="T21" s="34">
        <f t="shared" si="4"/>
        <v>7200</v>
      </c>
      <c r="U21" s="34">
        <v>100</v>
      </c>
      <c r="V21" s="34">
        <v>800</v>
      </c>
      <c r="W21" s="34">
        <v>8000</v>
      </c>
      <c r="X21" s="34">
        <v>5</v>
      </c>
      <c r="Y21" s="34">
        <v>0</v>
      </c>
      <c r="Z21" s="36">
        <v>0</v>
      </c>
      <c r="AA21" s="34">
        <v>0</v>
      </c>
      <c r="AB21" s="34">
        <v>0</v>
      </c>
      <c r="AC21" s="34">
        <v>0</v>
      </c>
      <c r="AD21" s="34">
        <v>38</v>
      </c>
      <c r="AE21" s="34">
        <v>42</v>
      </c>
    </row>
    <row r="22" spans="1:31" s="34" customFormat="1">
      <c r="A22" s="34">
        <v>1000</v>
      </c>
      <c r="B22" s="34">
        <v>21</v>
      </c>
      <c r="C22" s="33" t="s">
        <v>66</v>
      </c>
      <c r="D22" s="40">
        <f t="shared" si="6"/>
        <v>352</v>
      </c>
      <c r="E22" s="32">
        <v>0</v>
      </c>
      <c r="F22" s="32">
        <v>0</v>
      </c>
      <c r="G22" s="32">
        <v>0</v>
      </c>
      <c r="H22" s="41">
        <v>0</v>
      </c>
      <c r="I22" s="35">
        <v>330</v>
      </c>
      <c r="J22" s="35">
        <f t="shared" si="0"/>
        <v>20</v>
      </c>
      <c r="K22" s="35">
        <v>0</v>
      </c>
      <c r="L22" s="34">
        <v>6</v>
      </c>
      <c r="M22" s="34">
        <v>0</v>
      </c>
      <c r="N22" s="34">
        <v>8400</v>
      </c>
      <c r="O22" s="33" t="s">
        <v>66</v>
      </c>
      <c r="P22" s="34">
        <v>9400</v>
      </c>
      <c r="Q22" s="34">
        <f t="shared" si="1"/>
        <v>840</v>
      </c>
      <c r="R22" s="34">
        <f t="shared" si="2"/>
        <v>3360</v>
      </c>
      <c r="S22" s="34">
        <f t="shared" si="3"/>
        <v>5880</v>
      </c>
      <c r="T22" s="34">
        <f t="shared" si="4"/>
        <v>7560</v>
      </c>
      <c r="U22" s="34">
        <v>50</v>
      </c>
      <c r="V22" s="34">
        <v>1000</v>
      </c>
      <c r="W22" s="34">
        <v>600</v>
      </c>
      <c r="X22" s="34">
        <v>6</v>
      </c>
      <c r="Y22" s="34">
        <v>0</v>
      </c>
      <c r="Z22" s="36">
        <v>0</v>
      </c>
      <c r="AA22" s="34">
        <v>0</v>
      </c>
      <c r="AB22" s="34">
        <v>0</v>
      </c>
      <c r="AC22" s="34">
        <v>0</v>
      </c>
      <c r="AD22" s="34">
        <v>40</v>
      </c>
      <c r="AE22" s="34">
        <v>44</v>
      </c>
    </row>
    <row r="23" spans="1:31" s="34" customFormat="1">
      <c r="A23" s="34">
        <v>1000</v>
      </c>
      <c r="B23" s="34">
        <v>22</v>
      </c>
      <c r="C23" s="33" t="s">
        <v>67</v>
      </c>
      <c r="D23" s="40">
        <f t="shared" si="6"/>
        <v>381</v>
      </c>
      <c r="E23" s="32">
        <v>0</v>
      </c>
      <c r="F23" s="32">
        <v>0</v>
      </c>
      <c r="G23" s="32">
        <v>0</v>
      </c>
      <c r="H23" s="41">
        <v>0</v>
      </c>
      <c r="I23" s="35">
        <v>330</v>
      </c>
      <c r="J23" s="35">
        <f t="shared" si="0"/>
        <v>21</v>
      </c>
      <c r="K23" s="35">
        <v>0</v>
      </c>
      <c r="L23" s="34">
        <v>6</v>
      </c>
      <c r="M23" s="34">
        <v>0</v>
      </c>
      <c r="N23" s="34">
        <v>8800</v>
      </c>
      <c r="O23" s="33" t="s">
        <v>67</v>
      </c>
      <c r="P23" s="34">
        <v>9100</v>
      </c>
      <c r="Q23" s="34">
        <f t="shared" si="1"/>
        <v>880</v>
      </c>
      <c r="R23" s="34">
        <f t="shared" si="2"/>
        <v>3520</v>
      </c>
      <c r="S23" s="34">
        <f t="shared" si="3"/>
        <v>6160</v>
      </c>
      <c r="T23" s="34">
        <f t="shared" si="4"/>
        <v>7920</v>
      </c>
      <c r="U23" s="34">
        <v>100</v>
      </c>
      <c r="V23" s="34">
        <v>600</v>
      </c>
      <c r="W23" s="34">
        <v>700</v>
      </c>
      <c r="X23" s="34">
        <v>6</v>
      </c>
      <c r="Y23" s="34">
        <v>0</v>
      </c>
      <c r="Z23" s="36">
        <v>0</v>
      </c>
      <c r="AA23" s="34">
        <v>0</v>
      </c>
      <c r="AB23" s="34">
        <v>0</v>
      </c>
      <c r="AC23" s="34">
        <v>0</v>
      </c>
      <c r="AD23" s="34">
        <v>42</v>
      </c>
      <c r="AE23" s="34">
        <v>46</v>
      </c>
    </row>
    <row r="24" spans="1:31" s="34" customFormat="1">
      <c r="A24" s="34">
        <v>1000</v>
      </c>
      <c r="B24" s="34">
        <v>23</v>
      </c>
      <c r="C24" s="33" t="s">
        <v>68</v>
      </c>
      <c r="D24" s="40">
        <f t="shared" si="6"/>
        <v>413</v>
      </c>
      <c r="E24" s="32">
        <v>0</v>
      </c>
      <c r="F24" s="32">
        <v>0</v>
      </c>
      <c r="G24" s="32">
        <v>0</v>
      </c>
      <c r="H24" s="41">
        <v>0</v>
      </c>
      <c r="I24" s="35">
        <v>330</v>
      </c>
      <c r="J24" s="35">
        <f t="shared" si="0"/>
        <v>22</v>
      </c>
      <c r="K24" s="35">
        <v>0</v>
      </c>
      <c r="L24" s="34">
        <v>6</v>
      </c>
      <c r="M24" s="34">
        <v>0</v>
      </c>
      <c r="N24" s="34">
        <v>9200</v>
      </c>
      <c r="O24" s="33" t="s">
        <v>68</v>
      </c>
      <c r="P24" s="34">
        <v>8600</v>
      </c>
      <c r="Q24" s="34">
        <f t="shared" si="1"/>
        <v>920</v>
      </c>
      <c r="R24" s="34">
        <f t="shared" si="2"/>
        <v>3680</v>
      </c>
      <c r="S24" s="34">
        <f t="shared" si="3"/>
        <v>6440</v>
      </c>
      <c r="T24" s="34">
        <f t="shared" si="4"/>
        <v>8280</v>
      </c>
      <c r="U24" s="34">
        <v>100</v>
      </c>
      <c r="V24" s="34">
        <v>550</v>
      </c>
      <c r="W24" s="34">
        <v>500</v>
      </c>
      <c r="X24" s="34">
        <v>6</v>
      </c>
      <c r="Y24" s="34">
        <f t="shared" si="5"/>
        <v>172</v>
      </c>
      <c r="Z24" s="36">
        <v>0</v>
      </c>
      <c r="AA24" s="34">
        <v>0</v>
      </c>
      <c r="AB24" s="34">
        <v>0</v>
      </c>
      <c r="AC24" s="34">
        <v>0</v>
      </c>
      <c r="AD24" s="34">
        <v>44</v>
      </c>
      <c r="AE24" s="34">
        <v>48</v>
      </c>
    </row>
    <row r="25" spans="1:31" s="34" customFormat="1">
      <c r="A25" s="34">
        <v>1000</v>
      </c>
      <c r="B25" s="34">
        <v>24</v>
      </c>
      <c r="C25" s="33" t="s">
        <v>69</v>
      </c>
      <c r="D25" s="40">
        <f t="shared" si="6"/>
        <v>447</v>
      </c>
      <c r="E25" s="32">
        <v>0</v>
      </c>
      <c r="F25" s="32">
        <v>0</v>
      </c>
      <c r="G25" s="32">
        <v>0</v>
      </c>
      <c r="H25" s="41">
        <v>0</v>
      </c>
      <c r="I25" s="35">
        <v>330</v>
      </c>
      <c r="J25" s="35">
        <f t="shared" si="0"/>
        <v>23</v>
      </c>
      <c r="K25" s="35">
        <v>0</v>
      </c>
      <c r="L25" s="34">
        <v>6</v>
      </c>
      <c r="M25" s="34">
        <v>0</v>
      </c>
      <c r="N25" s="34">
        <v>9600</v>
      </c>
      <c r="O25" s="33" t="s">
        <v>69</v>
      </c>
      <c r="P25" s="34">
        <v>6400</v>
      </c>
      <c r="Q25" s="34">
        <f t="shared" si="1"/>
        <v>960</v>
      </c>
      <c r="R25" s="34">
        <f t="shared" si="2"/>
        <v>3840</v>
      </c>
      <c r="S25" s="34">
        <f t="shared" si="3"/>
        <v>6720</v>
      </c>
      <c r="T25" s="34">
        <f t="shared" si="4"/>
        <v>8640</v>
      </c>
      <c r="U25" s="34">
        <v>100</v>
      </c>
      <c r="V25" s="34">
        <v>500</v>
      </c>
      <c r="W25" s="34">
        <v>900</v>
      </c>
      <c r="X25" s="34">
        <v>6</v>
      </c>
      <c r="Y25" s="34">
        <v>0</v>
      </c>
      <c r="Z25" s="36">
        <v>0</v>
      </c>
      <c r="AA25" s="34">
        <v>0</v>
      </c>
      <c r="AB25" s="34">
        <v>0</v>
      </c>
      <c r="AC25" s="34">
        <v>0</v>
      </c>
      <c r="AD25" s="34">
        <v>46</v>
      </c>
      <c r="AE25" s="34">
        <v>50</v>
      </c>
    </row>
    <row r="26" spans="1:31" s="34" customFormat="1">
      <c r="A26" s="34">
        <v>1000</v>
      </c>
      <c r="B26" s="34">
        <v>25</v>
      </c>
      <c r="C26" s="33" t="s">
        <v>70</v>
      </c>
      <c r="D26" s="40">
        <f t="shared" si="6"/>
        <v>484</v>
      </c>
      <c r="E26" s="32">
        <v>0</v>
      </c>
      <c r="F26" s="32">
        <v>0</v>
      </c>
      <c r="G26" s="32">
        <v>0</v>
      </c>
      <c r="H26" s="41">
        <v>0</v>
      </c>
      <c r="I26" s="35">
        <v>385</v>
      </c>
      <c r="J26" s="35">
        <f t="shared" si="0"/>
        <v>24</v>
      </c>
      <c r="K26" s="35">
        <v>0</v>
      </c>
      <c r="L26" s="34">
        <v>6</v>
      </c>
      <c r="M26" s="34">
        <v>0</v>
      </c>
      <c r="N26" s="34">
        <v>12500</v>
      </c>
      <c r="O26" s="33" t="s">
        <v>70</v>
      </c>
      <c r="P26" s="34">
        <v>3100</v>
      </c>
      <c r="Q26" s="34">
        <f t="shared" si="1"/>
        <v>1250</v>
      </c>
      <c r="R26" s="34">
        <f t="shared" si="2"/>
        <v>5000</v>
      </c>
      <c r="S26" s="34">
        <f t="shared" si="3"/>
        <v>8750</v>
      </c>
      <c r="T26" s="34">
        <f t="shared" si="4"/>
        <v>11250</v>
      </c>
      <c r="U26" s="34">
        <v>10</v>
      </c>
      <c r="V26" s="34">
        <v>1300</v>
      </c>
      <c r="W26" s="34">
        <v>1000</v>
      </c>
      <c r="X26" s="34">
        <v>7</v>
      </c>
      <c r="Y26" s="34">
        <v>0</v>
      </c>
      <c r="Z26" s="36">
        <v>0</v>
      </c>
      <c r="AA26" s="34">
        <v>0</v>
      </c>
      <c r="AB26" s="34">
        <v>0</v>
      </c>
      <c r="AC26" s="34">
        <v>0</v>
      </c>
      <c r="AD26" s="34">
        <v>48</v>
      </c>
      <c r="AE26" s="34">
        <v>52</v>
      </c>
    </row>
    <row r="27" spans="1:31" s="34" customFormat="1">
      <c r="A27" s="34">
        <v>1000</v>
      </c>
      <c r="B27" s="34">
        <v>26</v>
      </c>
      <c r="C27" s="33" t="s">
        <v>71</v>
      </c>
      <c r="D27" s="40">
        <f t="shared" si="6"/>
        <v>524</v>
      </c>
      <c r="E27" s="32">
        <v>0</v>
      </c>
      <c r="F27" s="32">
        <v>0</v>
      </c>
      <c r="G27" s="32">
        <v>0</v>
      </c>
      <c r="H27" s="41">
        <v>0</v>
      </c>
      <c r="I27" s="35">
        <v>385</v>
      </c>
      <c r="J27" s="35">
        <f t="shared" si="0"/>
        <v>25</v>
      </c>
      <c r="K27" s="35">
        <v>0</v>
      </c>
      <c r="L27" s="34">
        <v>6</v>
      </c>
      <c r="M27" s="34">
        <v>0</v>
      </c>
      <c r="N27" s="34">
        <v>13000</v>
      </c>
      <c r="O27" s="33" t="s">
        <v>71</v>
      </c>
      <c r="P27" s="34">
        <v>1777</v>
      </c>
      <c r="Q27" s="34">
        <f t="shared" si="1"/>
        <v>1300</v>
      </c>
      <c r="R27" s="34">
        <f t="shared" si="2"/>
        <v>5200</v>
      </c>
      <c r="S27" s="34">
        <f t="shared" si="3"/>
        <v>9100</v>
      </c>
      <c r="T27" s="34">
        <f t="shared" si="4"/>
        <v>11700</v>
      </c>
      <c r="U27" s="34">
        <v>90</v>
      </c>
      <c r="V27" s="34">
        <v>800</v>
      </c>
      <c r="W27" s="34">
        <v>2000</v>
      </c>
      <c r="X27" s="34">
        <v>7</v>
      </c>
      <c r="Y27" s="34">
        <v>0</v>
      </c>
      <c r="Z27" s="36">
        <v>0</v>
      </c>
      <c r="AA27" s="34">
        <v>0</v>
      </c>
      <c r="AB27" s="34">
        <v>0</v>
      </c>
      <c r="AC27" s="34">
        <v>0</v>
      </c>
      <c r="AD27" s="34">
        <v>50</v>
      </c>
      <c r="AE27" s="34">
        <v>54</v>
      </c>
    </row>
    <row r="28" spans="1:31" s="34" customFormat="1">
      <c r="A28" s="34">
        <v>1000</v>
      </c>
      <c r="B28" s="34">
        <v>27</v>
      </c>
      <c r="C28" s="33" t="s">
        <v>72</v>
      </c>
      <c r="D28" s="40">
        <f t="shared" si="6"/>
        <v>567</v>
      </c>
      <c r="E28" s="32">
        <v>0</v>
      </c>
      <c r="F28" s="32">
        <v>0</v>
      </c>
      <c r="G28" s="32">
        <v>0</v>
      </c>
      <c r="H28" s="41">
        <v>0</v>
      </c>
      <c r="I28" s="35">
        <v>385</v>
      </c>
      <c r="J28" s="35">
        <f t="shared" si="0"/>
        <v>26</v>
      </c>
      <c r="K28" s="35">
        <v>0</v>
      </c>
      <c r="L28" s="34">
        <v>6</v>
      </c>
      <c r="M28" s="34">
        <v>0</v>
      </c>
      <c r="N28" s="34">
        <v>13500</v>
      </c>
      <c r="O28" s="33" t="s">
        <v>72</v>
      </c>
      <c r="P28" s="34">
        <v>2332</v>
      </c>
      <c r="Q28" s="34">
        <f t="shared" si="1"/>
        <v>1350</v>
      </c>
      <c r="R28" s="34">
        <f t="shared" si="2"/>
        <v>5400</v>
      </c>
      <c r="S28" s="34">
        <f t="shared" si="3"/>
        <v>9450</v>
      </c>
      <c r="T28" s="34">
        <f t="shared" si="4"/>
        <v>12150</v>
      </c>
      <c r="U28" s="34">
        <v>80</v>
      </c>
      <c r="V28" s="34">
        <v>700</v>
      </c>
      <c r="W28" s="34">
        <v>800</v>
      </c>
      <c r="X28" s="34">
        <v>7</v>
      </c>
      <c r="Y28" s="34">
        <v>0</v>
      </c>
      <c r="Z28" s="36">
        <v>0</v>
      </c>
      <c r="AA28" s="34">
        <v>0</v>
      </c>
      <c r="AB28" s="34">
        <v>0</v>
      </c>
      <c r="AC28" s="34">
        <v>0</v>
      </c>
      <c r="AD28" s="34">
        <v>52</v>
      </c>
      <c r="AE28" s="34">
        <v>56</v>
      </c>
    </row>
    <row r="29" spans="1:31" s="34" customFormat="1">
      <c r="A29" s="34">
        <v>1000</v>
      </c>
      <c r="B29" s="34">
        <v>28</v>
      </c>
      <c r="C29" s="33" t="s">
        <v>73</v>
      </c>
      <c r="D29" s="40">
        <f t="shared" si="6"/>
        <v>614</v>
      </c>
      <c r="E29" s="32">
        <v>0</v>
      </c>
      <c r="F29" s="32">
        <v>0</v>
      </c>
      <c r="G29" s="32">
        <v>0</v>
      </c>
      <c r="H29" s="41">
        <v>0</v>
      </c>
      <c r="I29" s="35">
        <v>385</v>
      </c>
      <c r="J29" s="35">
        <f t="shared" si="0"/>
        <v>27</v>
      </c>
      <c r="K29" s="35">
        <v>0</v>
      </c>
      <c r="L29" s="34">
        <v>6</v>
      </c>
      <c r="M29" s="34">
        <v>0</v>
      </c>
      <c r="N29" s="34">
        <v>14000</v>
      </c>
      <c r="O29" s="33" t="s">
        <v>73</v>
      </c>
      <c r="P29" s="34">
        <v>1487</v>
      </c>
      <c r="Q29" s="34">
        <f t="shared" si="1"/>
        <v>1400</v>
      </c>
      <c r="R29" s="34">
        <f t="shared" si="2"/>
        <v>5600</v>
      </c>
      <c r="S29" s="34">
        <f t="shared" si="3"/>
        <v>9800</v>
      </c>
      <c r="T29" s="34">
        <f t="shared" si="4"/>
        <v>12600</v>
      </c>
      <c r="U29" s="34">
        <v>80</v>
      </c>
      <c r="V29" s="34">
        <v>500</v>
      </c>
      <c r="W29" s="34">
        <v>600</v>
      </c>
      <c r="X29" s="34">
        <v>7</v>
      </c>
      <c r="Y29" s="34">
        <f t="shared" si="5"/>
        <v>216</v>
      </c>
      <c r="Z29" s="36">
        <v>0</v>
      </c>
      <c r="AA29" s="34">
        <v>0</v>
      </c>
      <c r="AB29" s="34">
        <v>0</v>
      </c>
      <c r="AC29" s="34">
        <v>0</v>
      </c>
      <c r="AD29" s="34">
        <v>54</v>
      </c>
      <c r="AE29" s="34">
        <v>58</v>
      </c>
    </row>
    <row r="30" spans="1:31" s="34" customFormat="1">
      <c r="A30" s="34">
        <v>1000</v>
      </c>
      <c r="B30" s="34">
        <v>29</v>
      </c>
      <c r="C30" s="33" t="s">
        <v>74</v>
      </c>
      <c r="D30" s="40">
        <f t="shared" si="6"/>
        <v>665</v>
      </c>
      <c r="E30" s="32">
        <v>0</v>
      </c>
      <c r="F30" s="32">
        <v>0</v>
      </c>
      <c r="G30" s="32">
        <v>0</v>
      </c>
      <c r="H30" s="41">
        <v>0</v>
      </c>
      <c r="I30" s="35">
        <v>440</v>
      </c>
      <c r="J30" s="35">
        <f t="shared" si="0"/>
        <v>28</v>
      </c>
      <c r="K30" s="35">
        <v>0</v>
      </c>
      <c r="L30" s="34">
        <v>6</v>
      </c>
      <c r="M30" s="34">
        <v>0</v>
      </c>
      <c r="N30" s="34">
        <v>14500</v>
      </c>
      <c r="O30" s="33" t="s">
        <v>74</v>
      </c>
      <c r="P30" s="34">
        <v>1518</v>
      </c>
      <c r="Q30" s="34">
        <f t="shared" si="1"/>
        <v>1450</v>
      </c>
      <c r="R30" s="34">
        <f t="shared" si="2"/>
        <v>5800</v>
      </c>
      <c r="S30" s="34">
        <f t="shared" si="3"/>
        <v>10150</v>
      </c>
      <c r="T30" s="34">
        <f t="shared" si="4"/>
        <v>13050</v>
      </c>
      <c r="U30" s="34">
        <v>80</v>
      </c>
      <c r="V30" s="34">
        <v>600</v>
      </c>
      <c r="W30" s="34">
        <v>700</v>
      </c>
      <c r="X30" s="34">
        <v>8</v>
      </c>
      <c r="Y30" s="34">
        <v>0</v>
      </c>
      <c r="Z30" s="36">
        <v>0</v>
      </c>
      <c r="AA30" s="34">
        <v>0</v>
      </c>
      <c r="AB30" s="34">
        <v>0</v>
      </c>
      <c r="AC30" s="34">
        <v>0</v>
      </c>
      <c r="AD30" s="34">
        <v>56</v>
      </c>
      <c r="AE30" s="34">
        <v>60</v>
      </c>
    </row>
    <row r="31" spans="1:31" s="34" customFormat="1">
      <c r="A31" s="34">
        <v>1000</v>
      </c>
      <c r="B31" s="34">
        <v>30</v>
      </c>
      <c r="C31" s="33" t="s">
        <v>75</v>
      </c>
      <c r="D31" s="40">
        <v>720</v>
      </c>
      <c r="E31" s="32">
        <v>0</v>
      </c>
      <c r="F31" s="32">
        <v>0</v>
      </c>
      <c r="G31" s="32">
        <v>0</v>
      </c>
      <c r="H31" s="41">
        <v>0</v>
      </c>
      <c r="I31" s="35">
        <v>440</v>
      </c>
      <c r="J31" s="35">
        <f t="shared" si="0"/>
        <v>29</v>
      </c>
      <c r="K31" s="35">
        <v>0</v>
      </c>
      <c r="L31" s="34">
        <v>6</v>
      </c>
      <c r="M31" s="34">
        <v>0</v>
      </c>
      <c r="N31" s="34">
        <v>15000</v>
      </c>
      <c r="O31" s="33" t="s">
        <v>75</v>
      </c>
      <c r="P31" s="34">
        <v>861</v>
      </c>
      <c r="Q31" s="34">
        <f t="shared" si="1"/>
        <v>1500</v>
      </c>
      <c r="R31" s="34">
        <f t="shared" si="2"/>
        <v>6000</v>
      </c>
      <c r="S31" s="34">
        <f t="shared" si="3"/>
        <v>10500</v>
      </c>
      <c r="T31" s="34">
        <f t="shared" si="4"/>
        <v>13500</v>
      </c>
      <c r="U31" s="34">
        <v>20</v>
      </c>
      <c r="V31" s="34">
        <v>450</v>
      </c>
      <c r="W31" s="34">
        <v>1000</v>
      </c>
      <c r="X31" s="34">
        <v>8</v>
      </c>
      <c r="Y31" s="34">
        <v>0</v>
      </c>
      <c r="Z31" s="36">
        <v>0</v>
      </c>
      <c r="AA31" s="34">
        <v>0</v>
      </c>
      <c r="AB31" s="34">
        <v>0</v>
      </c>
      <c r="AC31" s="34">
        <v>0</v>
      </c>
      <c r="AD31" s="34">
        <v>58</v>
      </c>
      <c r="AE31" s="34">
        <v>62</v>
      </c>
    </row>
    <row r="32" spans="1:31" s="23" customFormat="1">
      <c r="A32" s="23">
        <v>1001</v>
      </c>
      <c r="B32" s="23">
        <v>1</v>
      </c>
      <c r="C32" s="24" t="s">
        <v>66</v>
      </c>
      <c r="D32" s="42">
        <f>D2*2</f>
        <v>144</v>
      </c>
      <c r="E32" s="26">
        <v>0</v>
      </c>
      <c r="F32" s="26">
        <v>0</v>
      </c>
      <c r="G32" s="26">
        <v>0</v>
      </c>
      <c r="H32" s="43">
        <v>0</v>
      </c>
      <c r="I32" s="21">
        <f>I2</f>
        <v>55</v>
      </c>
      <c r="J32" s="21">
        <f t="shared" si="0"/>
        <v>0</v>
      </c>
      <c r="K32" s="21">
        <v>0</v>
      </c>
      <c r="L32" s="20">
        <v>45</v>
      </c>
      <c r="M32" s="20">
        <v>0</v>
      </c>
      <c r="N32" s="20">
        <f>N2</f>
        <v>10</v>
      </c>
      <c r="O32" s="19" t="s">
        <v>66</v>
      </c>
      <c r="P32" s="20">
        <v>9400</v>
      </c>
      <c r="Q32" s="20">
        <f>Q2</f>
        <v>1</v>
      </c>
      <c r="R32" s="20">
        <f t="shared" ref="R32:T32" si="7">R2</f>
        <v>4</v>
      </c>
      <c r="S32" s="20">
        <f t="shared" si="7"/>
        <v>7</v>
      </c>
      <c r="T32" s="20">
        <f t="shared" si="7"/>
        <v>9</v>
      </c>
      <c r="U32" s="20">
        <f>U2</f>
        <v>9400</v>
      </c>
      <c r="V32" s="20">
        <f t="shared" ref="V32:W32" si="8">V2</f>
        <v>9400</v>
      </c>
      <c r="W32" s="20">
        <f t="shared" si="8"/>
        <v>9400</v>
      </c>
      <c r="X32" s="20">
        <f>X2</f>
        <v>1</v>
      </c>
      <c r="Y32" s="20">
        <f>INT(Y122*0.7)</f>
        <v>0</v>
      </c>
      <c r="Z32" s="25">
        <v>0</v>
      </c>
      <c r="AA32" s="23">
        <v>0</v>
      </c>
      <c r="AB32" s="23">
        <v>0</v>
      </c>
      <c r="AC32" s="23">
        <v>0</v>
      </c>
      <c r="AD32" s="23">
        <f>AD2</f>
        <v>1</v>
      </c>
      <c r="AE32" s="23">
        <f>AE2</f>
        <v>3</v>
      </c>
    </row>
    <row r="33" spans="1:31" s="23" customFormat="1">
      <c r="A33" s="23">
        <v>1001</v>
      </c>
      <c r="B33" s="23">
        <v>2</v>
      </c>
      <c r="C33" s="24" t="s">
        <v>67</v>
      </c>
      <c r="D33" s="42">
        <f t="shared" ref="D33:D61" si="9">D3*2</f>
        <v>156</v>
      </c>
      <c r="E33" s="26">
        <v>0</v>
      </c>
      <c r="F33" s="26">
        <v>0</v>
      </c>
      <c r="G33" s="26">
        <v>0</v>
      </c>
      <c r="H33" s="43">
        <v>0</v>
      </c>
      <c r="I33" s="21">
        <f t="shared" ref="I33:I96" si="10">I3</f>
        <v>55</v>
      </c>
      <c r="J33" s="21">
        <f t="shared" si="0"/>
        <v>1</v>
      </c>
      <c r="K33" s="21">
        <v>0</v>
      </c>
      <c r="L33" s="20">
        <v>40</v>
      </c>
      <c r="M33" s="20">
        <v>0</v>
      </c>
      <c r="N33" s="20">
        <f t="shared" ref="N33:N96" si="11">N3</f>
        <v>20</v>
      </c>
      <c r="O33" s="19" t="s">
        <v>67</v>
      </c>
      <c r="P33" s="20">
        <v>9100</v>
      </c>
      <c r="Q33" s="20">
        <f t="shared" ref="Q33:X33" si="12">Q3</f>
        <v>2</v>
      </c>
      <c r="R33" s="20">
        <f t="shared" si="12"/>
        <v>8</v>
      </c>
      <c r="S33" s="20">
        <f t="shared" si="12"/>
        <v>14</v>
      </c>
      <c r="T33" s="20">
        <f t="shared" si="12"/>
        <v>18</v>
      </c>
      <c r="U33" s="20">
        <f t="shared" si="12"/>
        <v>4000</v>
      </c>
      <c r="V33" s="20">
        <f t="shared" si="12"/>
        <v>8000</v>
      </c>
      <c r="W33" s="20">
        <f t="shared" si="12"/>
        <v>8000</v>
      </c>
      <c r="X33" s="20">
        <f t="shared" si="12"/>
        <v>1</v>
      </c>
      <c r="Y33" s="20">
        <f t="shared" ref="Y33:Y59" si="13">INT(Y123*0.7)</f>
        <v>0</v>
      </c>
      <c r="Z33" s="25">
        <v>0</v>
      </c>
      <c r="AA33" s="23">
        <v>0</v>
      </c>
      <c r="AB33" s="23">
        <v>0</v>
      </c>
      <c r="AC33" s="23">
        <v>0</v>
      </c>
      <c r="AD33" s="23">
        <f t="shared" ref="AD33:AE33" si="14">AD3</f>
        <v>2</v>
      </c>
      <c r="AE33" s="23">
        <f t="shared" si="14"/>
        <v>5</v>
      </c>
    </row>
    <row r="34" spans="1:31" s="23" customFormat="1">
      <c r="A34" s="26">
        <v>1001</v>
      </c>
      <c r="B34" s="26">
        <v>3</v>
      </c>
      <c r="C34" s="24" t="s">
        <v>68</v>
      </c>
      <c r="D34" s="42">
        <f t="shared" si="9"/>
        <v>168</v>
      </c>
      <c r="E34" s="26">
        <v>0</v>
      </c>
      <c r="F34" s="26">
        <v>0</v>
      </c>
      <c r="G34" s="26">
        <v>0</v>
      </c>
      <c r="H34" s="43">
        <v>0</v>
      </c>
      <c r="I34" s="21">
        <f t="shared" si="10"/>
        <v>55</v>
      </c>
      <c r="J34" s="21">
        <f t="shared" si="0"/>
        <v>2</v>
      </c>
      <c r="K34" s="21">
        <v>0</v>
      </c>
      <c r="L34" s="20">
        <v>35</v>
      </c>
      <c r="M34" s="20">
        <v>0</v>
      </c>
      <c r="N34" s="20">
        <f t="shared" si="11"/>
        <v>40</v>
      </c>
      <c r="O34" s="19" t="s">
        <v>68</v>
      </c>
      <c r="P34" s="20">
        <v>8600</v>
      </c>
      <c r="Q34" s="20">
        <f t="shared" ref="Q34:X34" si="15">Q4</f>
        <v>4</v>
      </c>
      <c r="R34" s="20">
        <f t="shared" si="15"/>
        <v>16</v>
      </c>
      <c r="S34" s="20">
        <f t="shared" si="15"/>
        <v>28</v>
      </c>
      <c r="T34" s="20">
        <f t="shared" si="15"/>
        <v>36</v>
      </c>
      <c r="U34" s="20">
        <f t="shared" si="15"/>
        <v>1600</v>
      </c>
      <c r="V34" s="20">
        <f t="shared" si="15"/>
        <v>5000</v>
      </c>
      <c r="W34" s="20">
        <f t="shared" si="15"/>
        <v>6000</v>
      </c>
      <c r="X34" s="20">
        <f t="shared" si="15"/>
        <v>1</v>
      </c>
      <c r="Y34" s="20">
        <f t="shared" si="13"/>
        <v>0</v>
      </c>
      <c r="Z34" s="25">
        <v>0</v>
      </c>
      <c r="AA34" s="23">
        <v>0</v>
      </c>
      <c r="AB34" s="23">
        <v>0</v>
      </c>
      <c r="AC34" s="23">
        <v>0</v>
      </c>
      <c r="AD34" s="23">
        <f t="shared" ref="AD34:AE34" si="16">AD4</f>
        <v>4</v>
      </c>
      <c r="AE34" s="23">
        <f t="shared" si="16"/>
        <v>8</v>
      </c>
    </row>
    <row r="35" spans="1:31" s="23" customFormat="1">
      <c r="A35" s="23">
        <v>1001</v>
      </c>
      <c r="B35" s="23">
        <v>4</v>
      </c>
      <c r="C35" s="24" t="s">
        <v>69</v>
      </c>
      <c r="D35" s="42">
        <f t="shared" si="9"/>
        <v>182</v>
      </c>
      <c r="E35" s="26">
        <v>0</v>
      </c>
      <c r="F35" s="26">
        <v>0</v>
      </c>
      <c r="G35" s="26">
        <v>0</v>
      </c>
      <c r="H35" s="43">
        <v>0</v>
      </c>
      <c r="I35" s="21">
        <f t="shared" si="10"/>
        <v>55</v>
      </c>
      <c r="J35" s="21">
        <f t="shared" si="0"/>
        <v>3</v>
      </c>
      <c r="K35" s="21">
        <v>0</v>
      </c>
      <c r="L35" s="20">
        <v>30</v>
      </c>
      <c r="M35" s="20">
        <v>0</v>
      </c>
      <c r="N35" s="20">
        <f t="shared" si="11"/>
        <v>100</v>
      </c>
      <c r="O35" s="19" t="s">
        <v>69</v>
      </c>
      <c r="P35" s="20">
        <v>6400</v>
      </c>
      <c r="Q35" s="20">
        <f t="shared" ref="Q35:X35" si="17">Q5</f>
        <v>10</v>
      </c>
      <c r="R35" s="20">
        <f t="shared" si="17"/>
        <v>40</v>
      </c>
      <c r="S35" s="20">
        <f t="shared" si="17"/>
        <v>70</v>
      </c>
      <c r="T35" s="20">
        <f t="shared" si="17"/>
        <v>90</v>
      </c>
      <c r="U35" s="20">
        <f t="shared" si="17"/>
        <v>900</v>
      </c>
      <c r="V35" s="20">
        <f t="shared" si="17"/>
        <v>2000</v>
      </c>
      <c r="W35" s="20">
        <f t="shared" si="17"/>
        <v>8000</v>
      </c>
      <c r="X35" s="20">
        <f t="shared" si="17"/>
        <v>1</v>
      </c>
      <c r="Y35" s="20">
        <f t="shared" si="13"/>
        <v>0</v>
      </c>
      <c r="Z35" s="25">
        <v>0</v>
      </c>
      <c r="AA35" s="23">
        <v>0</v>
      </c>
      <c r="AB35" s="23">
        <v>0</v>
      </c>
      <c r="AC35" s="23">
        <v>0</v>
      </c>
      <c r="AD35" s="23">
        <f t="shared" ref="AD35:AE35" si="18">AD5</f>
        <v>6</v>
      </c>
      <c r="AE35" s="23">
        <f t="shared" si="18"/>
        <v>10</v>
      </c>
    </row>
    <row r="36" spans="1:31" s="23" customFormat="1">
      <c r="A36" s="23">
        <v>1001</v>
      </c>
      <c r="B36" s="23">
        <v>5</v>
      </c>
      <c r="C36" s="24" t="s">
        <v>70</v>
      </c>
      <c r="D36" s="42">
        <f t="shared" si="9"/>
        <v>198</v>
      </c>
      <c r="E36" s="26">
        <v>0</v>
      </c>
      <c r="F36" s="26">
        <v>0</v>
      </c>
      <c r="G36" s="26">
        <v>0</v>
      </c>
      <c r="H36" s="43">
        <v>0</v>
      </c>
      <c r="I36" s="21">
        <f t="shared" si="10"/>
        <v>110</v>
      </c>
      <c r="J36" s="21">
        <f t="shared" si="0"/>
        <v>4</v>
      </c>
      <c r="K36" s="21">
        <v>0</v>
      </c>
      <c r="L36" s="20">
        <v>25</v>
      </c>
      <c r="M36" s="20">
        <v>0</v>
      </c>
      <c r="N36" s="20">
        <f t="shared" si="11"/>
        <v>200</v>
      </c>
      <c r="O36" s="19" t="s">
        <v>70</v>
      </c>
      <c r="P36" s="20">
        <v>3100</v>
      </c>
      <c r="Q36" s="20">
        <f t="shared" ref="Q36:X36" si="19">Q6</f>
        <v>20</v>
      </c>
      <c r="R36" s="20">
        <f t="shared" si="19"/>
        <v>80</v>
      </c>
      <c r="S36" s="20">
        <f t="shared" si="19"/>
        <v>140</v>
      </c>
      <c r="T36" s="20">
        <f t="shared" si="19"/>
        <v>180</v>
      </c>
      <c r="U36" s="20">
        <f t="shared" si="19"/>
        <v>1000</v>
      </c>
      <c r="V36" s="20">
        <f t="shared" si="19"/>
        <v>2000</v>
      </c>
      <c r="W36" s="20">
        <f t="shared" si="19"/>
        <v>2000</v>
      </c>
      <c r="X36" s="20">
        <f t="shared" si="19"/>
        <v>2</v>
      </c>
      <c r="Y36" s="20">
        <f t="shared" si="13"/>
        <v>0</v>
      </c>
      <c r="Z36" s="25">
        <v>0</v>
      </c>
      <c r="AA36" s="23">
        <v>0</v>
      </c>
      <c r="AB36" s="23">
        <v>0</v>
      </c>
      <c r="AC36" s="23">
        <v>0</v>
      </c>
      <c r="AD36" s="23">
        <f t="shared" ref="AD36:AE36" si="20">AD6</f>
        <v>8</v>
      </c>
      <c r="AE36" s="23">
        <f t="shared" si="20"/>
        <v>12</v>
      </c>
    </row>
    <row r="37" spans="1:31" s="23" customFormat="1">
      <c r="A37" s="23">
        <v>1001</v>
      </c>
      <c r="B37" s="23">
        <v>6</v>
      </c>
      <c r="C37" s="24" t="s">
        <v>71</v>
      </c>
      <c r="D37" s="42">
        <f t="shared" si="9"/>
        <v>214</v>
      </c>
      <c r="E37" s="26">
        <v>0</v>
      </c>
      <c r="F37" s="26">
        <v>0</v>
      </c>
      <c r="G37" s="26">
        <v>0</v>
      </c>
      <c r="H37" s="43">
        <v>0</v>
      </c>
      <c r="I37" s="21">
        <f t="shared" si="10"/>
        <v>110</v>
      </c>
      <c r="J37" s="21">
        <f t="shared" si="0"/>
        <v>5</v>
      </c>
      <c r="K37" s="21">
        <v>0</v>
      </c>
      <c r="L37" s="20">
        <v>20</v>
      </c>
      <c r="M37" s="20">
        <v>0</v>
      </c>
      <c r="N37" s="20">
        <f t="shared" si="11"/>
        <v>500</v>
      </c>
      <c r="O37" s="19" t="s">
        <v>71</v>
      </c>
      <c r="P37" s="20">
        <v>1777</v>
      </c>
      <c r="Q37" s="20">
        <f t="shared" ref="Q37:X37" si="21">Q7</f>
        <v>50</v>
      </c>
      <c r="R37" s="20">
        <f t="shared" si="21"/>
        <v>200</v>
      </c>
      <c r="S37" s="20">
        <f t="shared" si="21"/>
        <v>350</v>
      </c>
      <c r="T37" s="20">
        <f t="shared" si="21"/>
        <v>450</v>
      </c>
      <c r="U37" s="20">
        <f t="shared" si="21"/>
        <v>800</v>
      </c>
      <c r="V37" s="20">
        <f t="shared" si="21"/>
        <v>800</v>
      </c>
      <c r="W37" s="20">
        <f t="shared" si="21"/>
        <v>600</v>
      </c>
      <c r="X37" s="20">
        <f t="shared" si="21"/>
        <v>2</v>
      </c>
      <c r="Y37" s="20">
        <f t="shared" si="13"/>
        <v>0</v>
      </c>
      <c r="Z37" s="25">
        <v>0</v>
      </c>
      <c r="AA37" s="23">
        <v>0</v>
      </c>
      <c r="AB37" s="23">
        <v>0</v>
      </c>
      <c r="AC37" s="23">
        <v>0</v>
      </c>
      <c r="AD37" s="23">
        <f t="shared" ref="AD37:AE37" si="22">AD7</f>
        <v>10</v>
      </c>
      <c r="AE37" s="23">
        <f t="shared" si="22"/>
        <v>14</v>
      </c>
    </row>
    <row r="38" spans="1:31" s="23" customFormat="1">
      <c r="A38" s="23">
        <v>1001</v>
      </c>
      <c r="B38" s="23">
        <v>7</v>
      </c>
      <c r="C38" s="24" t="s">
        <v>72</v>
      </c>
      <c r="D38" s="42">
        <f t="shared" si="9"/>
        <v>232</v>
      </c>
      <c r="E38" s="26">
        <v>0</v>
      </c>
      <c r="F38" s="26">
        <v>0</v>
      </c>
      <c r="G38" s="26">
        <v>0</v>
      </c>
      <c r="H38" s="43">
        <v>0</v>
      </c>
      <c r="I38" s="21">
        <f t="shared" si="10"/>
        <v>110</v>
      </c>
      <c r="J38" s="21">
        <f t="shared" si="0"/>
        <v>6</v>
      </c>
      <c r="K38" s="21">
        <v>0</v>
      </c>
      <c r="L38" s="20">
        <v>16</v>
      </c>
      <c r="M38" s="20">
        <v>0</v>
      </c>
      <c r="N38" s="20">
        <f t="shared" si="11"/>
        <v>700</v>
      </c>
      <c r="O38" s="19" t="s">
        <v>72</v>
      </c>
      <c r="P38" s="20">
        <v>2332</v>
      </c>
      <c r="Q38" s="20">
        <f t="shared" ref="Q38:X38" si="23">Q8</f>
        <v>70</v>
      </c>
      <c r="R38" s="20">
        <f t="shared" si="23"/>
        <v>280</v>
      </c>
      <c r="S38" s="20">
        <f t="shared" si="23"/>
        <v>489.99999999999994</v>
      </c>
      <c r="T38" s="20">
        <f t="shared" si="23"/>
        <v>630</v>
      </c>
      <c r="U38" s="20">
        <f t="shared" si="23"/>
        <v>650</v>
      </c>
      <c r="V38" s="20">
        <f t="shared" si="23"/>
        <v>800</v>
      </c>
      <c r="W38" s="20">
        <f t="shared" si="23"/>
        <v>300</v>
      </c>
      <c r="X38" s="20">
        <f t="shared" si="23"/>
        <v>2</v>
      </c>
      <c r="Y38" s="20">
        <f t="shared" si="13"/>
        <v>0</v>
      </c>
      <c r="Z38" s="25">
        <v>0</v>
      </c>
      <c r="AA38" s="23">
        <v>0</v>
      </c>
      <c r="AB38" s="23">
        <v>0</v>
      </c>
      <c r="AC38" s="23">
        <v>0</v>
      </c>
      <c r="AD38" s="23">
        <f t="shared" ref="AD38:AE38" si="24">AD8</f>
        <v>12</v>
      </c>
      <c r="AE38" s="23">
        <f t="shared" si="24"/>
        <v>16</v>
      </c>
    </row>
    <row r="39" spans="1:31" s="23" customFormat="1">
      <c r="A39" s="23">
        <v>1001</v>
      </c>
      <c r="B39" s="23">
        <v>8</v>
      </c>
      <c r="C39" s="24" t="s">
        <v>73</v>
      </c>
      <c r="D39" s="42">
        <f t="shared" si="9"/>
        <v>252</v>
      </c>
      <c r="E39" s="26">
        <v>0</v>
      </c>
      <c r="F39" s="26">
        <v>0</v>
      </c>
      <c r="G39" s="26">
        <v>0</v>
      </c>
      <c r="H39" s="43">
        <v>0</v>
      </c>
      <c r="I39" s="21">
        <f t="shared" si="10"/>
        <v>110</v>
      </c>
      <c r="J39" s="21">
        <f t="shared" si="0"/>
        <v>7</v>
      </c>
      <c r="K39" s="21">
        <v>0</v>
      </c>
      <c r="L39" s="20">
        <v>12</v>
      </c>
      <c r="M39" s="20">
        <v>0</v>
      </c>
      <c r="N39" s="20">
        <f t="shared" si="11"/>
        <v>800</v>
      </c>
      <c r="O39" s="19" t="s">
        <v>73</v>
      </c>
      <c r="P39" s="20">
        <v>1487</v>
      </c>
      <c r="Q39" s="20">
        <f t="shared" ref="Q39:X39" si="25">Q9</f>
        <v>80</v>
      </c>
      <c r="R39" s="20">
        <f t="shared" si="25"/>
        <v>320</v>
      </c>
      <c r="S39" s="20">
        <f t="shared" si="25"/>
        <v>560</v>
      </c>
      <c r="T39" s="20">
        <f t="shared" si="25"/>
        <v>720</v>
      </c>
      <c r="U39" s="20">
        <f t="shared" si="25"/>
        <v>200</v>
      </c>
      <c r="V39" s="20">
        <f t="shared" si="25"/>
        <v>2000</v>
      </c>
      <c r="W39" s="20">
        <f t="shared" si="25"/>
        <v>1000</v>
      </c>
      <c r="X39" s="20">
        <f t="shared" si="25"/>
        <v>2</v>
      </c>
      <c r="Y39" s="20">
        <f t="shared" si="13"/>
        <v>50</v>
      </c>
      <c r="Z39" s="25">
        <v>0</v>
      </c>
      <c r="AA39" s="23">
        <v>0</v>
      </c>
      <c r="AB39" s="23">
        <v>0</v>
      </c>
      <c r="AC39" s="23">
        <v>0</v>
      </c>
      <c r="AD39" s="23">
        <f t="shared" ref="AD39:AE39" si="26">AD9</f>
        <v>14</v>
      </c>
      <c r="AE39" s="23">
        <f t="shared" si="26"/>
        <v>18</v>
      </c>
    </row>
    <row r="40" spans="1:31" s="23" customFormat="1">
      <c r="A40" s="23">
        <v>1001</v>
      </c>
      <c r="B40" s="23">
        <v>9</v>
      </c>
      <c r="C40" s="24" t="s">
        <v>74</v>
      </c>
      <c r="D40" s="42">
        <f t="shared" si="9"/>
        <v>272</v>
      </c>
      <c r="E40" s="26">
        <v>0</v>
      </c>
      <c r="F40" s="26">
        <v>0</v>
      </c>
      <c r="G40" s="26">
        <v>0</v>
      </c>
      <c r="H40" s="43">
        <v>0</v>
      </c>
      <c r="I40" s="21">
        <f t="shared" si="10"/>
        <v>165</v>
      </c>
      <c r="J40" s="21">
        <f t="shared" si="0"/>
        <v>8</v>
      </c>
      <c r="K40" s="21">
        <v>0</v>
      </c>
      <c r="L40" s="20">
        <v>8</v>
      </c>
      <c r="M40" s="20">
        <v>0</v>
      </c>
      <c r="N40" s="20">
        <f t="shared" si="11"/>
        <v>900</v>
      </c>
      <c r="O40" s="19" t="s">
        <v>74</v>
      </c>
      <c r="P40" s="20">
        <v>1518</v>
      </c>
      <c r="Q40" s="20">
        <f t="shared" ref="Q40:X40" si="27">Q10</f>
        <v>90</v>
      </c>
      <c r="R40" s="20">
        <f t="shared" si="27"/>
        <v>360</v>
      </c>
      <c r="S40" s="20">
        <f t="shared" si="27"/>
        <v>630</v>
      </c>
      <c r="T40" s="20">
        <f t="shared" si="27"/>
        <v>810</v>
      </c>
      <c r="U40" s="20">
        <f t="shared" si="27"/>
        <v>120</v>
      </c>
      <c r="V40" s="20">
        <f t="shared" si="27"/>
        <v>1500</v>
      </c>
      <c r="W40" s="20">
        <f t="shared" si="27"/>
        <v>1000</v>
      </c>
      <c r="X40" s="20">
        <f t="shared" si="27"/>
        <v>3</v>
      </c>
      <c r="Y40" s="20">
        <v>0</v>
      </c>
      <c r="Z40" s="25">
        <v>0</v>
      </c>
      <c r="AA40" s="23">
        <v>0</v>
      </c>
      <c r="AB40" s="23">
        <v>0</v>
      </c>
      <c r="AC40" s="23">
        <v>0</v>
      </c>
      <c r="AD40" s="23">
        <f t="shared" ref="AD40:AE40" si="28">AD10</f>
        <v>16</v>
      </c>
      <c r="AE40" s="23">
        <f t="shared" si="28"/>
        <v>20</v>
      </c>
    </row>
    <row r="41" spans="1:31" s="23" customFormat="1">
      <c r="A41" s="23">
        <v>1001</v>
      </c>
      <c r="B41" s="23">
        <v>10</v>
      </c>
      <c r="C41" s="24" t="s">
        <v>75</v>
      </c>
      <c r="D41" s="42">
        <f t="shared" si="9"/>
        <v>294</v>
      </c>
      <c r="E41" s="26">
        <v>0</v>
      </c>
      <c r="F41" s="26">
        <v>0</v>
      </c>
      <c r="G41" s="26">
        <v>0</v>
      </c>
      <c r="H41" s="43">
        <v>0</v>
      </c>
      <c r="I41" s="21">
        <f t="shared" si="10"/>
        <v>165</v>
      </c>
      <c r="J41" s="21">
        <f t="shared" si="0"/>
        <v>9</v>
      </c>
      <c r="K41" s="21">
        <v>0</v>
      </c>
      <c r="L41" s="20">
        <v>6</v>
      </c>
      <c r="M41" s="20">
        <v>0</v>
      </c>
      <c r="N41" s="20">
        <f t="shared" si="11"/>
        <v>2000</v>
      </c>
      <c r="O41" s="19" t="s">
        <v>75</v>
      </c>
      <c r="P41" s="20">
        <v>861</v>
      </c>
      <c r="Q41" s="20">
        <f t="shared" ref="Q41:X41" si="29">Q11</f>
        <v>200</v>
      </c>
      <c r="R41" s="20">
        <f t="shared" si="29"/>
        <v>800</v>
      </c>
      <c r="S41" s="20">
        <f t="shared" si="29"/>
        <v>1400</v>
      </c>
      <c r="T41" s="20">
        <f t="shared" si="29"/>
        <v>1800</v>
      </c>
      <c r="U41" s="20">
        <f t="shared" si="29"/>
        <v>150</v>
      </c>
      <c r="V41" s="20">
        <f t="shared" si="29"/>
        <v>5000</v>
      </c>
      <c r="W41" s="20">
        <f t="shared" si="29"/>
        <v>800</v>
      </c>
      <c r="X41" s="20">
        <f t="shared" si="29"/>
        <v>3</v>
      </c>
      <c r="Y41" s="20">
        <v>0</v>
      </c>
      <c r="Z41" s="25">
        <v>0</v>
      </c>
      <c r="AA41" s="23">
        <v>0</v>
      </c>
      <c r="AB41" s="23">
        <v>0</v>
      </c>
      <c r="AC41" s="23">
        <v>0</v>
      </c>
      <c r="AD41" s="23">
        <f t="shared" ref="AD41:AE41" si="30">AD11</f>
        <v>18</v>
      </c>
      <c r="AE41" s="23">
        <f t="shared" si="30"/>
        <v>22</v>
      </c>
    </row>
    <row r="42" spans="1:31" s="23" customFormat="1">
      <c r="A42" s="23">
        <v>1001</v>
      </c>
      <c r="B42" s="23">
        <v>11</v>
      </c>
      <c r="C42" s="24" t="s">
        <v>66</v>
      </c>
      <c r="D42" s="42">
        <f t="shared" si="9"/>
        <v>318</v>
      </c>
      <c r="E42" s="26">
        <v>0</v>
      </c>
      <c r="F42" s="26">
        <v>0</v>
      </c>
      <c r="G42" s="26">
        <v>0</v>
      </c>
      <c r="H42" s="43">
        <v>0</v>
      </c>
      <c r="I42" s="21">
        <f t="shared" si="10"/>
        <v>165</v>
      </c>
      <c r="J42" s="21">
        <f t="shared" si="0"/>
        <v>10</v>
      </c>
      <c r="K42" s="21">
        <v>0</v>
      </c>
      <c r="L42" s="20">
        <v>6</v>
      </c>
      <c r="M42" s="20">
        <v>0</v>
      </c>
      <c r="N42" s="20">
        <f t="shared" si="11"/>
        <v>2200</v>
      </c>
      <c r="O42" s="19" t="s">
        <v>66</v>
      </c>
      <c r="P42" s="20">
        <v>9400</v>
      </c>
      <c r="Q42" s="20">
        <f t="shared" ref="Q42:X42" si="31">Q12</f>
        <v>220</v>
      </c>
      <c r="R42" s="20">
        <f t="shared" si="31"/>
        <v>880</v>
      </c>
      <c r="S42" s="20">
        <f t="shared" si="31"/>
        <v>1540</v>
      </c>
      <c r="T42" s="20">
        <f t="shared" si="31"/>
        <v>1980</v>
      </c>
      <c r="U42" s="20">
        <f t="shared" si="31"/>
        <v>100</v>
      </c>
      <c r="V42" s="20">
        <f t="shared" si="31"/>
        <v>800</v>
      </c>
      <c r="W42" s="20">
        <f t="shared" si="31"/>
        <v>600</v>
      </c>
      <c r="X42" s="20">
        <f t="shared" si="31"/>
        <v>3</v>
      </c>
      <c r="Y42" s="20">
        <v>0</v>
      </c>
      <c r="Z42" s="25">
        <v>0</v>
      </c>
      <c r="AA42" s="23">
        <v>0</v>
      </c>
      <c r="AB42" s="23">
        <v>0</v>
      </c>
      <c r="AC42" s="23">
        <v>0</v>
      </c>
      <c r="AD42" s="23">
        <f t="shared" ref="AD42:AE42" si="32">AD12</f>
        <v>20</v>
      </c>
      <c r="AE42" s="23">
        <f t="shared" si="32"/>
        <v>24</v>
      </c>
    </row>
    <row r="43" spans="1:31" s="23" customFormat="1">
      <c r="A43" s="23">
        <v>1001</v>
      </c>
      <c r="B43" s="23">
        <v>12</v>
      </c>
      <c r="C43" s="24" t="s">
        <v>67</v>
      </c>
      <c r="D43" s="42">
        <f t="shared" si="9"/>
        <v>344</v>
      </c>
      <c r="E43" s="26">
        <v>0</v>
      </c>
      <c r="F43" s="26">
        <v>0</v>
      </c>
      <c r="G43" s="26">
        <v>0</v>
      </c>
      <c r="H43" s="43">
        <v>0</v>
      </c>
      <c r="I43" s="21">
        <f t="shared" si="10"/>
        <v>165</v>
      </c>
      <c r="J43" s="21">
        <f t="shared" si="0"/>
        <v>11</v>
      </c>
      <c r="K43" s="21">
        <v>0</v>
      </c>
      <c r="L43" s="20">
        <v>6</v>
      </c>
      <c r="M43" s="20">
        <v>0</v>
      </c>
      <c r="N43" s="20">
        <f t="shared" si="11"/>
        <v>2400</v>
      </c>
      <c r="O43" s="19" t="s">
        <v>67</v>
      </c>
      <c r="P43" s="20">
        <v>9100</v>
      </c>
      <c r="Q43" s="20">
        <f t="shared" ref="Q43:X43" si="33">Q13</f>
        <v>240</v>
      </c>
      <c r="R43" s="20">
        <f t="shared" si="33"/>
        <v>960</v>
      </c>
      <c r="S43" s="20">
        <f t="shared" si="33"/>
        <v>1680</v>
      </c>
      <c r="T43" s="20">
        <f t="shared" si="33"/>
        <v>2160</v>
      </c>
      <c r="U43" s="20">
        <f t="shared" si="33"/>
        <v>150</v>
      </c>
      <c r="V43" s="20">
        <f t="shared" si="33"/>
        <v>700</v>
      </c>
      <c r="W43" s="20">
        <f t="shared" si="33"/>
        <v>900</v>
      </c>
      <c r="X43" s="20">
        <f t="shared" si="33"/>
        <v>3</v>
      </c>
      <c r="Y43" s="20">
        <v>0</v>
      </c>
      <c r="Z43" s="25">
        <v>0</v>
      </c>
      <c r="AA43" s="23">
        <v>0</v>
      </c>
      <c r="AB43" s="23">
        <v>0</v>
      </c>
      <c r="AC43" s="23">
        <v>0</v>
      </c>
      <c r="AD43" s="23">
        <f t="shared" ref="AD43:AE43" si="34">AD13</f>
        <v>22</v>
      </c>
      <c r="AE43" s="23">
        <f t="shared" si="34"/>
        <v>26</v>
      </c>
    </row>
    <row r="44" spans="1:31" s="23" customFormat="1">
      <c r="A44" s="23">
        <v>1001</v>
      </c>
      <c r="B44" s="23">
        <v>13</v>
      </c>
      <c r="C44" s="24" t="s">
        <v>68</v>
      </c>
      <c r="D44" s="42">
        <f t="shared" si="9"/>
        <v>374</v>
      </c>
      <c r="E44" s="26">
        <v>0</v>
      </c>
      <c r="F44" s="26">
        <v>0</v>
      </c>
      <c r="G44" s="26">
        <v>0</v>
      </c>
      <c r="H44" s="43">
        <v>0</v>
      </c>
      <c r="I44" s="21">
        <f t="shared" si="10"/>
        <v>220</v>
      </c>
      <c r="J44" s="21">
        <f t="shared" si="0"/>
        <v>12</v>
      </c>
      <c r="K44" s="21">
        <v>0</v>
      </c>
      <c r="L44" s="20">
        <v>6</v>
      </c>
      <c r="M44" s="20">
        <v>0</v>
      </c>
      <c r="N44" s="20">
        <f t="shared" si="11"/>
        <v>2600</v>
      </c>
      <c r="O44" s="19" t="s">
        <v>68</v>
      </c>
      <c r="P44" s="20">
        <v>8600</v>
      </c>
      <c r="Q44" s="20">
        <f t="shared" ref="Q44:X44" si="35">Q14</f>
        <v>260</v>
      </c>
      <c r="R44" s="20">
        <f t="shared" si="35"/>
        <v>1040</v>
      </c>
      <c r="S44" s="20">
        <f t="shared" si="35"/>
        <v>1819.9999999999998</v>
      </c>
      <c r="T44" s="20">
        <f t="shared" si="35"/>
        <v>2340</v>
      </c>
      <c r="U44" s="20">
        <f t="shared" si="35"/>
        <v>100</v>
      </c>
      <c r="V44" s="20">
        <f t="shared" si="35"/>
        <v>700</v>
      </c>
      <c r="W44" s="20">
        <f t="shared" si="35"/>
        <v>1000</v>
      </c>
      <c r="X44" s="20">
        <f t="shared" si="35"/>
        <v>4</v>
      </c>
      <c r="Y44" s="20">
        <f t="shared" si="13"/>
        <v>100</v>
      </c>
      <c r="Z44" s="25">
        <v>0</v>
      </c>
      <c r="AA44" s="23">
        <v>0</v>
      </c>
      <c r="AB44" s="23">
        <v>0</v>
      </c>
      <c r="AC44" s="23">
        <v>0</v>
      </c>
      <c r="AD44" s="23">
        <f t="shared" ref="AD44:AE44" si="36">AD14</f>
        <v>24</v>
      </c>
      <c r="AE44" s="23">
        <f t="shared" si="36"/>
        <v>28</v>
      </c>
    </row>
    <row r="45" spans="1:31" s="23" customFormat="1">
      <c r="A45" s="23">
        <v>1001</v>
      </c>
      <c r="B45" s="23">
        <v>14</v>
      </c>
      <c r="C45" s="24" t="s">
        <v>69</v>
      </c>
      <c r="D45" s="42">
        <f t="shared" si="9"/>
        <v>404</v>
      </c>
      <c r="E45" s="26">
        <v>0</v>
      </c>
      <c r="F45" s="26">
        <v>0</v>
      </c>
      <c r="G45" s="26">
        <v>0</v>
      </c>
      <c r="H45" s="43">
        <v>0</v>
      </c>
      <c r="I45" s="21">
        <f t="shared" si="10"/>
        <v>220</v>
      </c>
      <c r="J45" s="21">
        <f t="shared" si="0"/>
        <v>13</v>
      </c>
      <c r="K45" s="21">
        <v>0</v>
      </c>
      <c r="L45" s="20">
        <v>6</v>
      </c>
      <c r="M45" s="20">
        <v>0</v>
      </c>
      <c r="N45" s="20">
        <f t="shared" si="11"/>
        <v>2800</v>
      </c>
      <c r="O45" s="19" t="s">
        <v>69</v>
      </c>
      <c r="P45" s="20">
        <v>6400</v>
      </c>
      <c r="Q45" s="20">
        <f t="shared" ref="Q45:X45" si="37">Q15</f>
        <v>280</v>
      </c>
      <c r="R45" s="20">
        <f t="shared" si="37"/>
        <v>1120</v>
      </c>
      <c r="S45" s="20">
        <f t="shared" si="37"/>
        <v>1959.9999999999998</v>
      </c>
      <c r="T45" s="20">
        <f t="shared" si="37"/>
        <v>2520</v>
      </c>
      <c r="U45" s="20">
        <f t="shared" si="37"/>
        <v>100</v>
      </c>
      <c r="V45" s="20">
        <f t="shared" si="37"/>
        <v>400</v>
      </c>
      <c r="W45" s="20">
        <f t="shared" si="37"/>
        <v>1200</v>
      </c>
      <c r="X45" s="20">
        <f t="shared" si="37"/>
        <v>4</v>
      </c>
      <c r="Y45" s="20">
        <v>0</v>
      </c>
      <c r="Z45" s="25">
        <v>0</v>
      </c>
      <c r="AA45" s="23">
        <v>0</v>
      </c>
      <c r="AB45" s="23">
        <v>0</v>
      </c>
      <c r="AC45" s="23">
        <v>0</v>
      </c>
      <c r="AD45" s="23">
        <f t="shared" ref="AD45:AE45" si="38">AD15</f>
        <v>26</v>
      </c>
      <c r="AE45" s="23">
        <f t="shared" si="38"/>
        <v>30</v>
      </c>
    </row>
    <row r="46" spans="1:31" s="23" customFormat="1">
      <c r="A46" s="26">
        <v>1001</v>
      </c>
      <c r="B46" s="26">
        <v>15</v>
      </c>
      <c r="C46" s="24" t="s">
        <v>70</v>
      </c>
      <c r="D46" s="42">
        <f t="shared" si="9"/>
        <v>438</v>
      </c>
      <c r="E46" s="26">
        <v>0</v>
      </c>
      <c r="F46" s="26">
        <v>0</v>
      </c>
      <c r="G46" s="26">
        <v>0</v>
      </c>
      <c r="H46" s="43">
        <v>0</v>
      </c>
      <c r="I46" s="21">
        <f t="shared" si="10"/>
        <v>220</v>
      </c>
      <c r="J46" s="21">
        <f t="shared" si="0"/>
        <v>14</v>
      </c>
      <c r="K46" s="21">
        <v>0</v>
      </c>
      <c r="L46" s="20">
        <v>6</v>
      </c>
      <c r="M46" s="20">
        <v>0</v>
      </c>
      <c r="N46" s="20">
        <f t="shared" si="11"/>
        <v>4500</v>
      </c>
      <c r="O46" s="19" t="s">
        <v>70</v>
      </c>
      <c r="P46" s="20">
        <v>3100</v>
      </c>
      <c r="Q46" s="20">
        <f t="shared" ref="Q46:X46" si="39">Q16</f>
        <v>450</v>
      </c>
      <c r="R46" s="20">
        <f t="shared" si="39"/>
        <v>1800</v>
      </c>
      <c r="S46" s="20">
        <f t="shared" si="39"/>
        <v>3150</v>
      </c>
      <c r="T46" s="20">
        <f t="shared" si="39"/>
        <v>4050</v>
      </c>
      <c r="U46" s="20">
        <f t="shared" si="39"/>
        <v>100</v>
      </c>
      <c r="V46" s="20">
        <f t="shared" si="39"/>
        <v>1000</v>
      </c>
      <c r="W46" s="20">
        <f t="shared" si="39"/>
        <v>600</v>
      </c>
      <c r="X46" s="20">
        <f t="shared" si="39"/>
        <v>4</v>
      </c>
      <c r="Y46" s="20">
        <v>0</v>
      </c>
      <c r="Z46" s="25">
        <v>0</v>
      </c>
      <c r="AA46" s="23">
        <v>0</v>
      </c>
      <c r="AB46" s="23">
        <v>0</v>
      </c>
      <c r="AC46" s="23">
        <v>0</v>
      </c>
      <c r="AD46" s="23">
        <f t="shared" ref="AD46:AE46" si="40">AD16</f>
        <v>28</v>
      </c>
      <c r="AE46" s="23">
        <f t="shared" si="40"/>
        <v>32</v>
      </c>
    </row>
    <row r="47" spans="1:31" s="23" customFormat="1">
      <c r="A47" s="23">
        <v>1001</v>
      </c>
      <c r="B47" s="23">
        <v>16</v>
      </c>
      <c r="C47" s="24" t="s">
        <v>71</v>
      </c>
      <c r="D47" s="42">
        <f t="shared" si="9"/>
        <v>474</v>
      </c>
      <c r="E47" s="26">
        <v>0</v>
      </c>
      <c r="F47" s="26">
        <v>0</v>
      </c>
      <c r="G47" s="26">
        <v>0</v>
      </c>
      <c r="H47" s="43">
        <v>0</v>
      </c>
      <c r="I47" s="21">
        <f t="shared" si="10"/>
        <v>220</v>
      </c>
      <c r="J47" s="21">
        <f t="shared" si="0"/>
        <v>15</v>
      </c>
      <c r="K47" s="21">
        <v>0</v>
      </c>
      <c r="L47" s="20">
        <v>6</v>
      </c>
      <c r="M47" s="20">
        <v>0</v>
      </c>
      <c r="N47" s="20">
        <f t="shared" si="11"/>
        <v>4800</v>
      </c>
      <c r="O47" s="19" t="s">
        <v>71</v>
      </c>
      <c r="P47" s="20">
        <v>1777</v>
      </c>
      <c r="Q47" s="20">
        <f t="shared" ref="Q47:X47" si="41">Q17</f>
        <v>480</v>
      </c>
      <c r="R47" s="20">
        <f t="shared" si="41"/>
        <v>1920</v>
      </c>
      <c r="S47" s="20">
        <f t="shared" si="41"/>
        <v>3360</v>
      </c>
      <c r="T47" s="20">
        <f t="shared" si="41"/>
        <v>4320</v>
      </c>
      <c r="U47" s="20">
        <f t="shared" si="41"/>
        <v>100</v>
      </c>
      <c r="V47" s="20">
        <f t="shared" si="41"/>
        <v>800</v>
      </c>
      <c r="W47" s="20">
        <f t="shared" si="41"/>
        <v>800</v>
      </c>
      <c r="X47" s="20">
        <f t="shared" si="41"/>
        <v>4</v>
      </c>
      <c r="Y47" s="20">
        <v>0</v>
      </c>
      <c r="Z47" s="25">
        <v>0</v>
      </c>
      <c r="AA47" s="23">
        <v>0</v>
      </c>
      <c r="AB47" s="23">
        <v>0</v>
      </c>
      <c r="AC47" s="23">
        <v>0</v>
      </c>
      <c r="AD47" s="23">
        <f t="shared" ref="AD47:AE47" si="42">AD17</f>
        <v>30</v>
      </c>
      <c r="AE47" s="23">
        <f t="shared" si="42"/>
        <v>34</v>
      </c>
    </row>
    <row r="48" spans="1:31" s="23" customFormat="1">
      <c r="A48" s="23">
        <v>1001</v>
      </c>
      <c r="B48" s="23">
        <v>17</v>
      </c>
      <c r="C48" s="24" t="s">
        <v>72</v>
      </c>
      <c r="D48" s="42">
        <f t="shared" si="9"/>
        <v>512</v>
      </c>
      <c r="E48" s="26">
        <v>0</v>
      </c>
      <c r="F48" s="26">
        <v>0</v>
      </c>
      <c r="G48" s="26">
        <v>0</v>
      </c>
      <c r="H48" s="43">
        <v>0</v>
      </c>
      <c r="I48" s="21">
        <f t="shared" si="10"/>
        <v>275</v>
      </c>
      <c r="J48" s="21">
        <f t="shared" si="0"/>
        <v>16</v>
      </c>
      <c r="K48" s="21">
        <v>0</v>
      </c>
      <c r="L48" s="20">
        <v>6</v>
      </c>
      <c r="M48" s="20">
        <v>0</v>
      </c>
      <c r="N48" s="20">
        <f t="shared" si="11"/>
        <v>5100</v>
      </c>
      <c r="O48" s="19" t="s">
        <v>72</v>
      </c>
      <c r="P48" s="20">
        <v>2332</v>
      </c>
      <c r="Q48" s="20">
        <f t="shared" ref="Q48:X48" si="43">Q18</f>
        <v>510</v>
      </c>
      <c r="R48" s="20">
        <f t="shared" si="43"/>
        <v>2040</v>
      </c>
      <c r="S48" s="20">
        <f t="shared" si="43"/>
        <v>3570</v>
      </c>
      <c r="T48" s="20">
        <f t="shared" si="43"/>
        <v>4590</v>
      </c>
      <c r="U48" s="20">
        <f t="shared" si="43"/>
        <v>80</v>
      </c>
      <c r="V48" s="20">
        <f t="shared" si="43"/>
        <v>800</v>
      </c>
      <c r="W48" s="20">
        <f t="shared" si="43"/>
        <v>600</v>
      </c>
      <c r="X48" s="20">
        <f t="shared" si="43"/>
        <v>5</v>
      </c>
      <c r="Y48" s="20">
        <v>0</v>
      </c>
      <c r="Z48" s="25">
        <v>0</v>
      </c>
      <c r="AA48" s="23">
        <v>0</v>
      </c>
      <c r="AB48" s="23">
        <v>0</v>
      </c>
      <c r="AC48" s="23">
        <v>0</v>
      </c>
      <c r="AD48" s="23">
        <f t="shared" ref="AD48:AE48" si="44">AD18</f>
        <v>32</v>
      </c>
      <c r="AE48" s="23">
        <f t="shared" si="44"/>
        <v>36</v>
      </c>
    </row>
    <row r="49" spans="1:31" s="23" customFormat="1">
      <c r="A49" s="23">
        <v>1001</v>
      </c>
      <c r="B49" s="23">
        <v>18</v>
      </c>
      <c r="C49" s="24" t="s">
        <v>73</v>
      </c>
      <c r="D49" s="42">
        <f t="shared" si="9"/>
        <v>556</v>
      </c>
      <c r="E49" s="26">
        <v>0</v>
      </c>
      <c r="F49" s="26">
        <v>0</v>
      </c>
      <c r="G49" s="26">
        <v>0</v>
      </c>
      <c r="H49" s="43">
        <v>0</v>
      </c>
      <c r="I49" s="21">
        <f t="shared" si="10"/>
        <v>275</v>
      </c>
      <c r="J49" s="21">
        <f t="shared" si="0"/>
        <v>17</v>
      </c>
      <c r="K49" s="21">
        <v>0</v>
      </c>
      <c r="L49" s="20">
        <v>6</v>
      </c>
      <c r="M49" s="20">
        <v>0</v>
      </c>
      <c r="N49" s="20">
        <f t="shared" si="11"/>
        <v>5400</v>
      </c>
      <c r="O49" s="19" t="s">
        <v>73</v>
      </c>
      <c r="P49" s="20">
        <v>1487</v>
      </c>
      <c r="Q49" s="20">
        <f t="shared" ref="Q49:X49" si="45">Q19</f>
        <v>540</v>
      </c>
      <c r="R49" s="20">
        <f t="shared" si="45"/>
        <v>2160</v>
      </c>
      <c r="S49" s="20">
        <f t="shared" si="45"/>
        <v>3779.9999999999995</v>
      </c>
      <c r="T49" s="20">
        <f t="shared" si="45"/>
        <v>4860</v>
      </c>
      <c r="U49" s="20">
        <f t="shared" si="45"/>
        <v>100</v>
      </c>
      <c r="V49" s="20">
        <f t="shared" si="45"/>
        <v>600</v>
      </c>
      <c r="W49" s="20">
        <f t="shared" si="45"/>
        <v>300</v>
      </c>
      <c r="X49" s="20">
        <f t="shared" si="45"/>
        <v>5</v>
      </c>
      <c r="Y49" s="20">
        <f t="shared" si="13"/>
        <v>151</v>
      </c>
      <c r="Z49" s="25">
        <v>0</v>
      </c>
      <c r="AA49" s="23">
        <v>0</v>
      </c>
      <c r="AB49" s="23">
        <v>0</v>
      </c>
      <c r="AC49" s="23">
        <v>0</v>
      </c>
      <c r="AD49" s="23">
        <f t="shared" ref="AD49:AE49" si="46">AD19</f>
        <v>34</v>
      </c>
      <c r="AE49" s="23">
        <f t="shared" si="46"/>
        <v>38</v>
      </c>
    </row>
    <row r="50" spans="1:31" s="23" customFormat="1">
      <c r="A50" s="23">
        <v>1001</v>
      </c>
      <c r="B50" s="23">
        <v>19</v>
      </c>
      <c r="C50" s="24" t="s">
        <v>74</v>
      </c>
      <c r="D50" s="42">
        <f t="shared" si="9"/>
        <v>602</v>
      </c>
      <c r="E50" s="26">
        <v>0</v>
      </c>
      <c r="F50" s="26">
        <v>0</v>
      </c>
      <c r="G50" s="26">
        <v>0</v>
      </c>
      <c r="H50" s="43">
        <v>0</v>
      </c>
      <c r="I50" s="21">
        <f t="shared" si="10"/>
        <v>275</v>
      </c>
      <c r="J50" s="21">
        <f t="shared" si="0"/>
        <v>18</v>
      </c>
      <c r="K50" s="21">
        <v>0</v>
      </c>
      <c r="L50" s="20">
        <v>6</v>
      </c>
      <c r="M50" s="20">
        <v>0</v>
      </c>
      <c r="N50" s="20">
        <f t="shared" si="11"/>
        <v>5700</v>
      </c>
      <c r="O50" s="19" t="s">
        <v>74</v>
      </c>
      <c r="P50" s="20">
        <v>1518</v>
      </c>
      <c r="Q50" s="20">
        <f t="shared" ref="Q50:X50" si="47">Q20</f>
        <v>570</v>
      </c>
      <c r="R50" s="20">
        <f t="shared" si="47"/>
        <v>2280</v>
      </c>
      <c r="S50" s="20">
        <f t="shared" si="47"/>
        <v>3989.9999999999995</v>
      </c>
      <c r="T50" s="20">
        <f t="shared" si="47"/>
        <v>5130</v>
      </c>
      <c r="U50" s="20">
        <f t="shared" si="47"/>
        <v>100</v>
      </c>
      <c r="V50" s="20">
        <f t="shared" si="47"/>
        <v>500</v>
      </c>
      <c r="W50" s="20">
        <f t="shared" si="47"/>
        <v>400</v>
      </c>
      <c r="X50" s="20">
        <f t="shared" si="47"/>
        <v>5</v>
      </c>
      <c r="Y50" s="20">
        <v>0</v>
      </c>
      <c r="Z50" s="25">
        <v>0</v>
      </c>
      <c r="AA50" s="23">
        <v>0</v>
      </c>
      <c r="AB50" s="23">
        <v>0</v>
      </c>
      <c r="AC50" s="23">
        <v>0</v>
      </c>
      <c r="AD50" s="23">
        <f t="shared" ref="AD50:AE50" si="48">AD20</f>
        <v>36</v>
      </c>
      <c r="AE50" s="23">
        <f t="shared" si="48"/>
        <v>40</v>
      </c>
    </row>
    <row r="51" spans="1:31" s="23" customFormat="1">
      <c r="A51" s="23">
        <v>1001</v>
      </c>
      <c r="B51" s="23">
        <v>20</v>
      </c>
      <c r="C51" s="24" t="s">
        <v>75</v>
      </c>
      <c r="D51" s="42">
        <f t="shared" si="9"/>
        <v>650</v>
      </c>
      <c r="E51" s="26">
        <v>0</v>
      </c>
      <c r="F51" s="26">
        <v>0</v>
      </c>
      <c r="G51" s="26">
        <v>0</v>
      </c>
      <c r="H51" s="43">
        <v>0</v>
      </c>
      <c r="I51" s="21">
        <f t="shared" si="10"/>
        <v>275</v>
      </c>
      <c r="J51" s="21">
        <f t="shared" si="0"/>
        <v>19</v>
      </c>
      <c r="K51" s="21">
        <v>0</v>
      </c>
      <c r="L51" s="20">
        <v>6</v>
      </c>
      <c r="M51" s="20">
        <v>0</v>
      </c>
      <c r="N51" s="20">
        <f t="shared" si="11"/>
        <v>8000</v>
      </c>
      <c r="O51" s="19" t="s">
        <v>75</v>
      </c>
      <c r="P51" s="20">
        <v>861</v>
      </c>
      <c r="Q51" s="20">
        <f t="shared" ref="Q51:X51" si="49">Q21</f>
        <v>800</v>
      </c>
      <c r="R51" s="20">
        <f t="shared" si="49"/>
        <v>3200</v>
      </c>
      <c r="S51" s="20">
        <f t="shared" si="49"/>
        <v>5600</v>
      </c>
      <c r="T51" s="20">
        <f t="shared" si="49"/>
        <v>7200</v>
      </c>
      <c r="U51" s="20">
        <f t="shared" si="49"/>
        <v>100</v>
      </c>
      <c r="V51" s="20">
        <f t="shared" si="49"/>
        <v>800</v>
      </c>
      <c r="W51" s="20">
        <f t="shared" si="49"/>
        <v>8000</v>
      </c>
      <c r="X51" s="20">
        <f t="shared" si="49"/>
        <v>5</v>
      </c>
      <c r="Y51" s="20">
        <v>0</v>
      </c>
      <c r="Z51" s="25">
        <v>0</v>
      </c>
      <c r="AA51" s="23">
        <v>0</v>
      </c>
      <c r="AB51" s="23">
        <v>0</v>
      </c>
      <c r="AC51" s="23">
        <v>0</v>
      </c>
      <c r="AD51" s="23">
        <f t="shared" ref="AD51:AE51" si="50">AD21</f>
        <v>38</v>
      </c>
      <c r="AE51" s="23">
        <f t="shared" si="50"/>
        <v>42</v>
      </c>
    </row>
    <row r="52" spans="1:31" s="23" customFormat="1">
      <c r="A52" s="23">
        <v>1001</v>
      </c>
      <c r="B52" s="23">
        <v>21</v>
      </c>
      <c r="C52" s="24" t="s">
        <v>66</v>
      </c>
      <c r="D52" s="42">
        <f t="shared" si="9"/>
        <v>704</v>
      </c>
      <c r="E52" s="26">
        <v>0</v>
      </c>
      <c r="F52" s="26">
        <v>0</v>
      </c>
      <c r="G52" s="26">
        <v>0</v>
      </c>
      <c r="H52" s="43">
        <v>0</v>
      </c>
      <c r="I52" s="21">
        <f t="shared" si="10"/>
        <v>330</v>
      </c>
      <c r="J52" s="21">
        <f t="shared" si="0"/>
        <v>20</v>
      </c>
      <c r="K52" s="21">
        <v>0</v>
      </c>
      <c r="L52" s="20">
        <v>6</v>
      </c>
      <c r="M52" s="20">
        <v>0</v>
      </c>
      <c r="N52" s="20">
        <f t="shared" si="11"/>
        <v>8400</v>
      </c>
      <c r="O52" s="19" t="s">
        <v>66</v>
      </c>
      <c r="P52" s="20">
        <v>9400</v>
      </c>
      <c r="Q52" s="20">
        <f t="shared" ref="Q52:X52" si="51">Q22</f>
        <v>840</v>
      </c>
      <c r="R52" s="20">
        <f t="shared" si="51"/>
        <v>3360</v>
      </c>
      <c r="S52" s="20">
        <f t="shared" si="51"/>
        <v>5880</v>
      </c>
      <c r="T52" s="20">
        <f t="shared" si="51"/>
        <v>7560</v>
      </c>
      <c r="U52" s="20">
        <f t="shared" si="51"/>
        <v>50</v>
      </c>
      <c r="V52" s="20">
        <f t="shared" si="51"/>
        <v>1000</v>
      </c>
      <c r="W52" s="20">
        <f t="shared" si="51"/>
        <v>600</v>
      </c>
      <c r="X52" s="20">
        <f t="shared" si="51"/>
        <v>6</v>
      </c>
      <c r="Y52" s="20">
        <v>0</v>
      </c>
      <c r="Z52" s="25">
        <v>0</v>
      </c>
      <c r="AA52" s="23">
        <v>0</v>
      </c>
      <c r="AB52" s="23">
        <v>0</v>
      </c>
      <c r="AC52" s="23">
        <v>0</v>
      </c>
      <c r="AD52" s="23">
        <f t="shared" ref="AD52:AE52" si="52">AD22</f>
        <v>40</v>
      </c>
      <c r="AE52" s="23">
        <f t="shared" si="52"/>
        <v>44</v>
      </c>
    </row>
    <row r="53" spans="1:31" s="23" customFormat="1">
      <c r="A53" s="23">
        <v>1001</v>
      </c>
      <c r="B53" s="23">
        <v>22</v>
      </c>
      <c r="C53" s="24" t="s">
        <v>67</v>
      </c>
      <c r="D53" s="42">
        <f t="shared" si="9"/>
        <v>762</v>
      </c>
      <c r="E53" s="26">
        <v>0</v>
      </c>
      <c r="F53" s="26">
        <v>0</v>
      </c>
      <c r="G53" s="26">
        <v>0</v>
      </c>
      <c r="H53" s="43">
        <v>0</v>
      </c>
      <c r="I53" s="21">
        <f t="shared" si="10"/>
        <v>330</v>
      </c>
      <c r="J53" s="21">
        <f t="shared" si="0"/>
        <v>21</v>
      </c>
      <c r="K53" s="21">
        <v>0</v>
      </c>
      <c r="L53" s="20">
        <v>6</v>
      </c>
      <c r="M53" s="20">
        <v>0</v>
      </c>
      <c r="N53" s="20">
        <f t="shared" si="11"/>
        <v>8800</v>
      </c>
      <c r="O53" s="19" t="s">
        <v>67</v>
      </c>
      <c r="P53" s="20">
        <v>9100</v>
      </c>
      <c r="Q53" s="20">
        <f t="shared" ref="Q53:X53" si="53">Q23</f>
        <v>880</v>
      </c>
      <c r="R53" s="20">
        <f t="shared" si="53"/>
        <v>3520</v>
      </c>
      <c r="S53" s="20">
        <f t="shared" si="53"/>
        <v>6160</v>
      </c>
      <c r="T53" s="20">
        <f t="shared" si="53"/>
        <v>7920</v>
      </c>
      <c r="U53" s="20">
        <f t="shared" si="53"/>
        <v>100</v>
      </c>
      <c r="V53" s="20">
        <f t="shared" si="53"/>
        <v>600</v>
      </c>
      <c r="W53" s="20">
        <f t="shared" si="53"/>
        <v>700</v>
      </c>
      <c r="X53" s="20">
        <f t="shared" si="53"/>
        <v>6</v>
      </c>
      <c r="Y53" s="20">
        <v>0</v>
      </c>
      <c r="Z53" s="25">
        <v>0</v>
      </c>
      <c r="AA53" s="23">
        <v>0</v>
      </c>
      <c r="AB53" s="23">
        <v>0</v>
      </c>
      <c r="AC53" s="23">
        <v>0</v>
      </c>
      <c r="AD53" s="23">
        <f t="shared" ref="AD53:AE53" si="54">AD23</f>
        <v>42</v>
      </c>
      <c r="AE53" s="23">
        <f t="shared" si="54"/>
        <v>46</v>
      </c>
    </row>
    <row r="54" spans="1:31" s="23" customFormat="1">
      <c r="A54" s="23">
        <v>1001</v>
      </c>
      <c r="B54" s="23">
        <v>23</v>
      </c>
      <c r="C54" s="24" t="s">
        <v>68</v>
      </c>
      <c r="D54" s="42">
        <f t="shared" si="9"/>
        <v>826</v>
      </c>
      <c r="E54" s="26">
        <v>0</v>
      </c>
      <c r="F54" s="26">
        <v>0</v>
      </c>
      <c r="G54" s="26">
        <v>0</v>
      </c>
      <c r="H54" s="43">
        <v>0</v>
      </c>
      <c r="I54" s="21">
        <f t="shared" si="10"/>
        <v>330</v>
      </c>
      <c r="J54" s="21">
        <f t="shared" si="0"/>
        <v>22</v>
      </c>
      <c r="K54" s="21">
        <v>0</v>
      </c>
      <c r="L54" s="20">
        <v>6</v>
      </c>
      <c r="M54" s="20">
        <v>0</v>
      </c>
      <c r="N54" s="20">
        <f t="shared" si="11"/>
        <v>9200</v>
      </c>
      <c r="O54" s="19" t="s">
        <v>68</v>
      </c>
      <c r="P54" s="20">
        <v>8600</v>
      </c>
      <c r="Q54" s="20">
        <f t="shared" ref="Q54:X54" si="55">Q24</f>
        <v>920</v>
      </c>
      <c r="R54" s="20">
        <f t="shared" si="55"/>
        <v>3680</v>
      </c>
      <c r="S54" s="20">
        <f t="shared" si="55"/>
        <v>6440</v>
      </c>
      <c r="T54" s="20">
        <f t="shared" si="55"/>
        <v>8280</v>
      </c>
      <c r="U54" s="20">
        <f t="shared" si="55"/>
        <v>100</v>
      </c>
      <c r="V54" s="20">
        <f t="shared" si="55"/>
        <v>550</v>
      </c>
      <c r="W54" s="20">
        <f t="shared" si="55"/>
        <v>500</v>
      </c>
      <c r="X54" s="20">
        <f t="shared" si="55"/>
        <v>6</v>
      </c>
      <c r="Y54" s="20">
        <f t="shared" si="13"/>
        <v>201</v>
      </c>
      <c r="Z54" s="25">
        <v>0</v>
      </c>
      <c r="AA54" s="23">
        <v>0</v>
      </c>
      <c r="AB54" s="23">
        <v>0</v>
      </c>
      <c r="AC54" s="23">
        <v>0</v>
      </c>
      <c r="AD54" s="23">
        <f t="shared" ref="AD54:AE54" si="56">AD24</f>
        <v>44</v>
      </c>
      <c r="AE54" s="23">
        <f t="shared" si="56"/>
        <v>48</v>
      </c>
    </row>
    <row r="55" spans="1:31" s="23" customFormat="1">
      <c r="A55" s="23">
        <v>1001</v>
      </c>
      <c r="B55" s="23">
        <v>24</v>
      </c>
      <c r="C55" s="24" t="s">
        <v>69</v>
      </c>
      <c r="D55" s="42">
        <f t="shared" si="9"/>
        <v>894</v>
      </c>
      <c r="E55" s="26">
        <v>0</v>
      </c>
      <c r="F55" s="26">
        <v>0</v>
      </c>
      <c r="G55" s="26">
        <v>0</v>
      </c>
      <c r="H55" s="43">
        <v>0</v>
      </c>
      <c r="I55" s="21">
        <f t="shared" si="10"/>
        <v>330</v>
      </c>
      <c r="J55" s="21">
        <f t="shared" si="0"/>
        <v>23</v>
      </c>
      <c r="K55" s="21">
        <v>0</v>
      </c>
      <c r="L55" s="20">
        <v>6</v>
      </c>
      <c r="M55" s="20">
        <v>0</v>
      </c>
      <c r="N55" s="20">
        <f t="shared" si="11"/>
        <v>9600</v>
      </c>
      <c r="O55" s="19" t="s">
        <v>69</v>
      </c>
      <c r="P55" s="20">
        <v>6400</v>
      </c>
      <c r="Q55" s="20">
        <f t="shared" ref="Q55:X55" si="57">Q25</f>
        <v>960</v>
      </c>
      <c r="R55" s="20">
        <f t="shared" si="57"/>
        <v>3840</v>
      </c>
      <c r="S55" s="20">
        <f t="shared" si="57"/>
        <v>6720</v>
      </c>
      <c r="T55" s="20">
        <f t="shared" si="57"/>
        <v>8640</v>
      </c>
      <c r="U55" s="20">
        <f t="shared" si="57"/>
        <v>100</v>
      </c>
      <c r="V55" s="20">
        <f t="shared" si="57"/>
        <v>500</v>
      </c>
      <c r="W55" s="20">
        <f t="shared" si="57"/>
        <v>900</v>
      </c>
      <c r="X55" s="20">
        <f t="shared" si="57"/>
        <v>6</v>
      </c>
      <c r="Y55" s="20">
        <v>0</v>
      </c>
      <c r="Z55" s="25">
        <v>0</v>
      </c>
      <c r="AA55" s="23">
        <v>0</v>
      </c>
      <c r="AB55" s="23">
        <v>0</v>
      </c>
      <c r="AC55" s="23">
        <v>0</v>
      </c>
      <c r="AD55" s="23">
        <f t="shared" ref="AD55:AE55" si="58">AD25</f>
        <v>46</v>
      </c>
      <c r="AE55" s="23">
        <f t="shared" si="58"/>
        <v>50</v>
      </c>
    </row>
    <row r="56" spans="1:31" s="23" customFormat="1">
      <c r="A56" s="23">
        <v>1001</v>
      </c>
      <c r="B56" s="23">
        <v>25</v>
      </c>
      <c r="C56" s="24" t="s">
        <v>70</v>
      </c>
      <c r="D56" s="42">
        <f t="shared" si="9"/>
        <v>968</v>
      </c>
      <c r="E56" s="26">
        <v>0</v>
      </c>
      <c r="F56" s="26">
        <v>0</v>
      </c>
      <c r="G56" s="26">
        <v>0</v>
      </c>
      <c r="H56" s="43">
        <v>0</v>
      </c>
      <c r="I56" s="21">
        <f t="shared" si="10"/>
        <v>385</v>
      </c>
      <c r="J56" s="21">
        <f t="shared" si="0"/>
        <v>24</v>
      </c>
      <c r="K56" s="21">
        <v>0</v>
      </c>
      <c r="L56" s="20">
        <v>6</v>
      </c>
      <c r="M56" s="20">
        <v>0</v>
      </c>
      <c r="N56" s="20">
        <f t="shared" si="11"/>
        <v>12500</v>
      </c>
      <c r="O56" s="19" t="s">
        <v>70</v>
      </c>
      <c r="P56" s="20">
        <v>3100</v>
      </c>
      <c r="Q56" s="20">
        <f t="shared" ref="Q56:X56" si="59">Q26</f>
        <v>1250</v>
      </c>
      <c r="R56" s="20">
        <f t="shared" si="59"/>
        <v>5000</v>
      </c>
      <c r="S56" s="20">
        <f t="shared" si="59"/>
        <v>8750</v>
      </c>
      <c r="T56" s="20">
        <f t="shared" si="59"/>
        <v>11250</v>
      </c>
      <c r="U56" s="20">
        <f t="shared" si="59"/>
        <v>10</v>
      </c>
      <c r="V56" s="20">
        <f t="shared" si="59"/>
        <v>1300</v>
      </c>
      <c r="W56" s="20">
        <f t="shared" si="59"/>
        <v>1000</v>
      </c>
      <c r="X56" s="20">
        <f t="shared" si="59"/>
        <v>7</v>
      </c>
      <c r="Y56" s="20">
        <v>0</v>
      </c>
      <c r="Z56" s="25">
        <v>0</v>
      </c>
      <c r="AA56" s="23">
        <v>0</v>
      </c>
      <c r="AB56" s="23">
        <v>0</v>
      </c>
      <c r="AC56" s="23">
        <v>0</v>
      </c>
      <c r="AD56" s="23">
        <f t="shared" ref="AD56:AE56" si="60">AD26</f>
        <v>48</v>
      </c>
      <c r="AE56" s="23">
        <f t="shared" si="60"/>
        <v>52</v>
      </c>
    </row>
    <row r="57" spans="1:31" s="23" customFormat="1">
      <c r="A57" s="23">
        <v>1001</v>
      </c>
      <c r="B57" s="23">
        <v>26</v>
      </c>
      <c r="C57" s="24" t="s">
        <v>71</v>
      </c>
      <c r="D57" s="42">
        <f t="shared" si="9"/>
        <v>1048</v>
      </c>
      <c r="E57" s="26">
        <v>0</v>
      </c>
      <c r="F57" s="26">
        <v>0</v>
      </c>
      <c r="G57" s="26">
        <v>0</v>
      </c>
      <c r="H57" s="43">
        <v>0</v>
      </c>
      <c r="I57" s="21">
        <f t="shared" si="10"/>
        <v>385</v>
      </c>
      <c r="J57" s="21">
        <f t="shared" si="0"/>
        <v>25</v>
      </c>
      <c r="K57" s="21">
        <v>0</v>
      </c>
      <c r="L57" s="20">
        <v>6</v>
      </c>
      <c r="M57" s="20">
        <v>0</v>
      </c>
      <c r="N57" s="20">
        <f t="shared" si="11"/>
        <v>13000</v>
      </c>
      <c r="O57" s="19" t="s">
        <v>71</v>
      </c>
      <c r="P57" s="20">
        <v>1777</v>
      </c>
      <c r="Q57" s="20">
        <f t="shared" ref="Q57:X57" si="61">Q27</f>
        <v>1300</v>
      </c>
      <c r="R57" s="20">
        <f t="shared" si="61"/>
        <v>5200</v>
      </c>
      <c r="S57" s="20">
        <f t="shared" si="61"/>
        <v>9100</v>
      </c>
      <c r="T57" s="20">
        <f t="shared" si="61"/>
        <v>11700</v>
      </c>
      <c r="U57" s="20">
        <f t="shared" si="61"/>
        <v>90</v>
      </c>
      <c r="V57" s="20">
        <f t="shared" si="61"/>
        <v>800</v>
      </c>
      <c r="W57" s="20">
        <f t="shared" si="61"/>
        <v>2000</v>
      </c>
      <c r="X57" s="20">
        <f t="shared" si="61"/>
        <v>7</v>
      </c>
      <c r="Y57" s="20">
        <v>0</v>
      </c>
      <c r="Z57" s="25">
        <v>0</v>
      </c>
      <c r="AA57" s="23">
        <v>0</v>
      </c>
      <c r="AB57" s="23">
        <v>0</v>
      </c>
      <c r="AC57" s="23">
        <v>0</v>
      </c>
      <c r="AD57" s="23">
        <f t="shared" ref="AD57:AE57" si="62">AD27</f>
        <v>50</v>
      </c>
      <c r="AE57" s="23">
        <f t="shared" si="62"/>
        <v>54</v>
      </c>
    </row>
    <row r="58" spans="1:31" s="23" customFormat="1">
      <c r="A58" s="23">
        <v>1001</v>
      </c>
      <c r="B58" s="23">
        <v>27</v>
      </c>
      <c r="C58" s="24" t="s">
        <v>72</v>
      </c>
      <c r="D58" s="42">
        <f t="shared" si="9"/>
        <v>1134</v>
      </c>
      <c r="E58" s="26">
        <v>0</v>
      </c>
      <c r="F58" s="26">
        <v>0</v>
      </c>
      <c r="G58" s="26">
        <v>0</v>
      </c>
      <c r="H58" s="43">
        <v>0</v>
      </c>
      <c r="I58" s="21">
        <f t="shared" si="10"/>
        <v>385</v>
      </c>
      <c r="J58" s="21">
        <f t="shared" si="0"/>
        <v>26</v>
      </c>
      <c r="K58" s="21">
        <v>0</v>
      </c>
      <c r="L58" s="20">
        <v>6</v>
      </c>
      <c r="M58" s="20">
        <v>0</v>
      </c>
      <c r="N58" s="20">
        <f t="shared" si="11"/>
        <v>13500</v>
      </c>
      <c r="O58" s="19" t="s">
        <v>72</v>
      </c>
      <c r="P58" s="20">
        <v>2332</v>
      </c>
      <c r="Q58" s="20">
        <f t="shared" ref="Q58:X58" si="63">Q28</f>
        <v>1350</v>
      </c>
      <c r="R58" s="20">
        <f t="shared" si="63"/>
        <v>5400</v>
      </c>
      <c r="S58" s="20">
        <f t="shared" si="63"/>
        <v>9450</v>
      </c>
      <c r="T58" s="20">
        <f t="shared" si="63"/>
        <v>12150</v>
      </c>
      <c r="U58" s="20">
        <f t="shared" si="63"/>
        <v>80</v>
      </c>
      <c r="V58" s="20">
        <f t="shared" si="63"/>
        <v>700</v>
      </c>
      <c r="W58" s="20">
        <f t="shared" si="63"/>
        <v>800</v>
      </c>
      <c r="X58" s="20">
        <f t="shared" si="63"/>
        <v>7</v>
      </c>
      <c r="Y58" s="20">
        <v>0</v>
      </c>
      <c r="Z58" s="25">
        <v>0</v>
      </c>
      <c r="AA58" s="23">
        <v>0</v>
      </c>
      <c r="AB58" s="23">
        <v>0</v>
      </c>
      <c r="AC58" s="23">
        <v>0</v>
      </c>
      <c r="AD58" s="23">
        <f t="shared" ref="AD58:AE58" si="64">AD28</f>
        <v>52</v>
      </c>
      <c r="AE58" s="23">
        <f t="shared" si="64"/>
        <v>56</v>
      </c>
    </row>
    <row r="59" spans="1:31" s="23" customFormat="1">
      <c r="A59" s="23">
        <v>1001</v>
      </c>
      <c r="B59" s="23">
        <v>28</v>
      </c>
      <c r="C59" s="24" t="s">
        <v>73</v>
      </c>
      <c r="D59" s="42">
        <f t="shared" si="9"/>
        <v>1228</v>
      </c>
      <c r="E59" s="26">
        <v>0</v>
      </c>
      <c r="F59" s="26">
        <v>0</v>
      </c>
      <c r="G59" s="26">
        <v>0</v>
      </c>
      <c r="H59" s="43">
        <v>0</v>
      </c>
      <c r="I59" s="21">
        <f t="shared" si="10"/>
        <v>385</v>
      </c>
      <c r="J59" s="21">
        <f t="shared" si="0"/>
        <v>27</v>
      </c>
      <c r="K59" s="21">
        <v>0</v>
      </c>
      <c r="L59" s="20">
        <v>6</v>
      </c>
      <c r="M59" s="20">
        <v>0</v>
      </c>
      <c r="N59" s="20">
        <f t="shared" si="11"/>
        <v>14000</v>
      </c>
      <c r="O59" s="19" t="s">
        <v>73</v>
      </c>
      <c r="P59" s="20">
        <v>1487</v>
      </c>
      <c r="Q59" s="20">
        <f t="shared" ref="Q59:X59" si="65">Q29</f>
        <v>1400</v>
      </c>
      <c r="R59" s="20">
        <f t="shared" si="65"/>
        <v>5600</v>
      </c>
      <c r="S59" s="20">
        <f t="shared" si="65"/>
        <v>9800</v>
      </c>
      <c r="T59" s="20">
        <f t="shared" si="65"/>
        <v>12600</v>
      </c>
      <c r="U59" s="20">
        <f t="shared" si="65"/>
        <v>80</v>
      </c>
      <c r="V59" s="20">
        <f t="shared" si="65"/>
        <v>500</v>
      </c>
      <c r="W59" s="20">
        <f t="shared" si="65"/>
        <v>600</v>
      </c>
      <c r="X59" s="20">
        <f t="shared" si="65"/>
        <v>7</v>
      </c>
      <c r="Y59" s="20">
        <f t="shared" si="13"/>
        <v>252</v>
      </c>
      <c r="Z59" s="25">
        <v>0</v>
      </c>
      <c r="AA59" s="23">
        <v>0</v>
      </c>
      <c r="AB59" s="23">
        <v>0</v>
      </c>
      <c r="AC59" s="23">
        <v>0</v>
      </c>
      <c r="AD59" s="23">
        <f t="shared" ref="AD59:AE59" si="66">AD29</f>
        <v>54</v>
      </c>
      <c r="AE59" s="23">
        <f t="shared" si="66"/>
        <v>58</v>
      </c>
    </row>
    <row r="60" spans="1:31" s="23" customFormat="1">
      <c r="A60" s="23">
        <v>1001</v>
      </c>
      <c r="B60" s="23">
        <v>29</v>
      </c>
      <c r="C60" s="24" t="s">
        <v>74</v>
      </c>
      <c r="D60" s="42">
        <f t="shared" si="9"/>
        <v>1330</v>
      </c>
      <c r="E60" s="26">
        <v>0</v>
      </c>
      <c r="F60" s="26">
        <v>0</v>
      </c>
      <c r="G60" s="26">
        <v>0</v>
      </c>
      <c r="H60" s="43">
        <v>0</v>
      </c>
      <c r="I60" s="21">
        <f t="shared" si="10"/>
        <v>440</v>
      </c>
      <c r="J60" s="21">
        <f t="shared" si="0"/>
        <v>28</v>
      </c>
      <c r="K60" s="21">
        <v>0</v>
      </c>
      <c r="L60" s="20">
        <v>6</v>
      </c>
      <c r="M60" s="20">
        <v>0</v>
      </c>
      <c r="N60" s="20">
        <f t="shared" si="11"/>
        <v>14500</v>
      </c>
      <c r="O60" s="19" t="s">
        <v>74</v>
      </c>
      <c r="P60" s="20">
        <v>1518</v>
      </c>
      <c r="Q60" s="20">
        <f t="shared" ref="Q60:X60" si="67">Q30</f>
        <v>1450</v>
      </c>
      <c r="R60" s="20">
        <f t="shared" si="67"/>
        <v>5800</v>
      </c>
      <c r="S60" s="20">
        <f t="shared" si="67"/>
        <v>10150</v>
      </c>
      <c r="T60" s="20">
        <f t="shared" si="67"/>
        <v>13050</v>
      </c>
      <c r="U60" s="20">
        <f t="shared" si="67"/>
        <v>80</v>
      </c>
      <c r="V60" s="20">
        <f t="shared" si="67"/>
        <v>600</v>
      </c>
      <c r="W60" s="20">
        <f t="shared" si="67"/>
        <v>700</v>
      </c>
      <c r="X60" s="20">
        <f t="shared" si="67"/>
        <v>8</v>
      </c>
      <c r="Y60" s="20">
        <v>0</v>
      </c>
      <c r="Z60" s="25">
        <v>0</v>
      </c>
      <c r="AA60" s="23">
        <v>0</v>
      </c>
      <c r="AB60" s="23">
        <v>0</v>
      </c>
      <c r="AC60" s="23">
        <v>0</v>
      </c>
      <c r="AD60" s="23">
        <f t="shared" ref="AD60:AE60" si="68">AD30</f>
        <v>56</v>
      </c>
      <c r="AE60" s="23">
        <f t="shared" si="68"/>
        <v>60</v>
      </c>
    </row>
    <row r="61" spans="1:31" s="23" customFormat="1">
      <c r="A61" s="23">
        <v>1001</v>
      </c>
      <c r="B61" s="23">
        <v>30</v>
      </c>
      <c r="C61" s="24" t="s">
        <v>75</v>
      </c>
      <c r="D61" s="42">
        <f t="shared" si="9"/>
        <v>1440</v>
      </c>
      <c r="E61" s="26">
        <v>0</v>
      </c>
      <c r="F61" s="26">
        <v>0</v>
      </c>
      <c r="G61" s="26">
        <v>0</v>
      </c>
      <c r="H61" s="43">
        <v>0</v>
      </c>
      <c r="I61" s="21">
        <f t="shared" si="10"/>
        <v>440</v>
      </c>
      <c r="J61" s="21">
        <f t="shared" si="0"/>
        <v>29</v>
      </c>
      <c r="K61" s="21">
        <v>0</v>
      </c>
      <c r="L61" s="20">
        <v>6</v>
      </c>
      <c r="M61" s="20">
        <v>0</v>
      </c>
      <c r="N61" s="20">
        <f t="shared" si="11"/>
        <v>15000</v>
      </c>
      <c r="O61" s="19" t="s">
        <v>75</v>
      </c>
      <c r="P61" s="20">
        <v>861</v>
      </c>
      <c r="Q61" s="20">
        <f t="shared" ref="Q61:X61" si="69">Q31</f>
        <v>1500</v>
      </c>
      <c r="R61" s="20">
        <f t="shared" si="69"/>
        <v>6000</v>
      </c>
      <c r="S61" s="20">
        <f t="shared" si="69"/>
        <v>10500</v>
      </c>
      <c r="T61" s="20">
        <f t="shared" si="69"/>
        <v>13500</v>
      </c>
      <c r="U61" s="20">
        <f t="shared" si="69"/>
        <v>20</v>
      </c>
      <c r="V61" s="20">
        <f t="shared" si="69"/>
        <v>450</v>
      </c>
      <c r="W61" s="20">
        <f t="shared" si="69"/>
        <v>1000</v>
      </c>
      <c r="X61" s="20">
        <f t="shared" si="69"/>
        <v>8</v>
      </c>
      <c r="Y61" s="20">
        <v>0</v>
      </c>
      <c r="Z61" s="25">
        <v>0</v>
      </c>
      <c r="AA61" s="23">
        <v>0</v>
      </c>
      <c r="AB61" s="23">
        <v>0</v>
      </c>
      <c r="AC61" s="23">
        <v>0</v>
      </c>
      <c r="AD61" s="23">
        <f t="shared" ref="AD61:AE61" si="70">AD31</f>
        <v>58</v>
      </c>
      <c r="AE61" s="23">
        <f t="shared" si="70"/>
        <v>62</v>
      </c>
    </row>
    <row r="62" spans="1:31">
      <c r="A62" s="4">
        <v>1002</v>
      </c>
      <c r="B62" s="4">
        <v>1</v>
      </c>
      <c r="C62" s="19" t="s">
        <v>66</v>
      </c>
      <c r="D62" s="44">
        <f>D2*3</f>
        <v>216</v>
      </c>
      <c r="E62" s="18">
        <v>0</v>
      </c>
      <c r="F62" s="18">
        <v>0</v>
      </c>
      <c r="G62" s="18">
        <v>0</v>
      </c>
      <c r="H62" s="45">
        <v>0</v>
      </c>
      <c r="I62" s="21">
        <f t="shared" si="10"/>
        <v>55</v>
      </c>
      <c r="J62" s="21">
        <f t="shared" si="0"/>
        <v>0</v>
      </c>
      <c r="K62" s="21">
        <v>0</v>
      </c>
      <c r="L62" s="20">
        <v>45</v>
      </c>
      <c r="M62" s="20">
        <v>0</v>
      </c>
      <c r="N62" s="20">
        <f t="shared" si="11"/>
        <v>10</v>
      </c>
      <c r="O62" s="19" t="s">
        <v>66</v>
      </c>
      <c r="P62" s="20">
        <v>9400</v>
      </c>
      <c r="Q62" s="20">
        <f t="shared" ref="Q62:X62" si="71">Q32</f>
        <v>1</v>
      </c>
      <c r="R62" s="20">
        <f t="shared" si="71"/>
        <v>4</v>
      </c>
      <c r="S62" s="20">
        <f t="shared" si="71"/>
        <v>7</v>
      </c>
      <c r="T62" s="20">
        <f t="shared" si="71"/>
        <v>9</v>
      </c>
      <c r="U62" s="20">
        <f t="shared" si="71"/>
        <v>9400</v>
      </c>
      <c r="V62" s="20">
        <f t="shared" si="71"/>
        <v>9400</v>
      </c>
      <c r="W62" s="20">
        <f t="shared" si="71"/>
        <v>9400</v>
      </c>
      <c r="X62" s="20">
        <f t="shared" si="71"/>
        <v>1</v>
      </c>
      <c r="Y62" s="20">
        <f>INT(Y122*0.8)</f>
        <v>0</v>
      </c>
      <c r="Z62" s="22">
        <v>0</v>
      </c>
      <c r="AA62" s="20">
        <v>0</v>
      </c>
      <c r="AB62" s="20">
        <v>0</v>
      </c>
      <c r="AC62" s="20">
        <v>0</v>
      </c>
      <c r="AD62" s="23">
        <f t="shared" ref="AD62:AE62" si="72">AD32</f>
        <v>1</v>
      </c>
      <c r="AE62" s="23">
        <f t="shared" si="72"/>
        <v>3</v>
      </c>
    </row>
    <row r="63" spans="1:31">
      <c r="A63" s="4">
        <v>1002</v>
      </c>
      <c r="B63" s="4">
        <v>2</v>
      </c>
      <c r="C63" s="19" t="s">
        <v>67</v>
      </c>
      <c r="D63" s="44">
        <f t="shared" ref="D63:D91" si="73">D3*3</f>
        <v>234</v>
      </c>
      <c r="E63" s="18">
        <v>0</v>
      </c>
      <c r="F63" s="18">
        <v>0</v>
      </c>
      <c r="G63" s="18">
        <v>0</v>
      </c>
      <c r="H63" s="45">
        <v>0</v>
      </c>
      <c r="I63" s="21">
        <f t="shared" si="10"/>
        <v>55</v>
      </c>
      <c r="J63" s="21">
        <f t="shared" si="0"/>
        <v>1</v>
      </c>
      <c r="K63" s="21">
        <v>0</v>
      </c>
      <c r="L63" s="20">
        <v>40</v>
      </c>
      <c r="M63" s="20">
        <v>0</v>
      </c>
      <c r="N63" s="20">
        <f t="shared" si="11"/>
        <v>20</v>
      </c>
      <c r="O63" s="19" t="s">
        <v>67</v>
      </c>
      <c r="P63" s="20">
        <v>9100</v>
      </c>
      <c r="Q63" s="20">
        <f t="shared" ref="Q63:X63" si="74">Q33</f>
        <v>2</v>
      </c>
      <c r="R63" s="20">
        <f t="shared" si="74"/>
        <v>8</v>
      </c>
      <c r="S63" s="20">
        <f t="shared" si="74"/>
        <v>14</v>
      </c>
      <c r="T63" s="20">
        <f t="shared" si="74"/>
        <v>18</v>
      </c>
      <c r="U63" s="20">
        <f t="shared" si="74"/>
        <v>4000</v>
      </c>
      <c r="V63" s="20">
        <f t="shared" si="74"/>
        <v>8000</v>
      </c>
      <c r="W63" s="20">
        <f t="shared" si="74"/>
        <v>8000</v>
      </c>
      <c r="X63" s="20">
        <f t="shared" si="74"/>
        <v>1</v>
      </c>
      <c r="Y63" s="20">
        <f t="shared" ref="Y63:Y89" si="75">INT(Y123*0.8)</f>
        <v>0</v>
      </c>
      <c r="Z63" s="22">
        <v>0</v>
      </c>
      <c r="AA63" s="20">
        <v>0</v>
      </c>
      <c r="AB63" s="20">
        <v>0</v>
      </c>
      <c r="AC63" s="20">
        <v>0</v>
      </c>
      <c r="AD63" s="23">
        <f t="shared" ref="AD63:AE63" si="76">AD33</f>
        <v>2</v>
      </c>
      <c r="AE63" s="23">
        <f t="shared" si="76"/>
        <v>5</v>
      </c>
    </row>
    <row r="64" spans="1:31">
      <c r="A64" s="4">
        <v>1002</v>
      </c>
      <c r="B64" s="4">
        <v>3</v>
      </c>
      <c r="C64" s="19" t="s">
        <v>68</v>
      </c>
      <c r="D64" s="44">
        <f t="shared" si="73"/>
        <v>252</v>
      </c>
      <c r="E64" s="18">
        <v>0</v>
      </c>
      <c r="F64" s="18">
        <v>0</v>
      </c>
      <c r="G64" s="18">
        <v>0</v>
      </c>
      <c r="H64" s="45">
        <v>0</v>
      </c>
      <c r="I64" s="21">
        <f t="shared" si="10"/>
        <v>55</v>
      </c>
      <c r="J64" s="21">
        <f t="shared" si="0"/>
        <v>2</v>
      </c>
      <c r="K64" s="21">
        <v>0</v>
      </c>
      <c r="L64" s="20">
        <v>35</v>
      </c>
      <c r="M64" s="20">
        <v>0</v>
      </c>
      <c r="N64" s="20">
        <f t="shared" si="11"/>
        <v>40</v>
      </c>
      <c r="O64" s="19" t="s">
        <v>68</v>
      </c>
      <c r="P64" s="20">
        <v>8600</v>
      </c>
      <c r="Q64" s="20">
        <f t="shared" ref="Q64:X64" si="77">Q34</f>
        <v>4</v>
      </c>
      <c r="R64" s="20">
        <f t="shared" si="77"/>
        <v>16</v>
      </c>
      <c r="S64" s="20">
        <f t="shared" si="77"/>
        <v>28</v>
      </c>
      <c r="T64" s="20">
        <f t="shared" si="77"/>
        <v>36</v>
      </c>
      <c r="U64" s="20">
        <f t="shared" si="77"/>
        <v>1600</v>
      </c>
      <c r="V64" s="20">
        <f t="shared" si="77"/>
        <v>5000</v>
      </c>
      <c r="W64" s="20">
        <f t="shared" si="77"/>
        <v>6000</v>
      </c>
      <c r="X64" s="20">
        <f t="shared" si="77"/>
        <v>1</v>
      </c>
      <c r="Y64" s="20">
        <f t="shared" si="75"/>
        <v>0</v>
      </c>
      <c r="Z64" s="22">
        <v>0</v>
      </c>
      <c r="AA64" s="20">
        <v>0</v>
      </c>
      <c r="AB64" s="20">
        <v>0</v>
      </c>
      <c r="AC64" s="20">
        <v>0</v>
      </c>
      <c r="AD64" s="23">
        <f t="shared" ref="AD64:AE64" si="78">AD34</f>
        <v>4</v>
      </c>
      <c r="AE64" s="23">
        <f t="shared" si="78"/>
        <v>8</v>
      </c>
    </row>
    <row r="65" spans="1:31">
      <c r="A65" s="4">
        <v>1002</v>
      </c>
      <c r="B65" s="4">
        <v>4</v>
      </c>
      <c r="C65" s="19" t="s">
        <v>69</v>
      </c>
      <c r="D65" s="44">
        <f t="shared" si="73"/>
        <v>273</v>
      </c>
      <c r="E65" s="18">
        <v>0</v>
      </c>
      <c r="F65" s="18">
        <v>0</v>
      </c>
      <c r="G65" s="18">
        <v>0</v>
      </c>
      <c r="H65" s="45">
        <v>0</v>
      </c>
      <c r="I65" s="21">
        <f t="shared" si="10"/>
        <v>55</v>
      </c>
      <c r="J65" s="21">
        <f t="shared" si="0"/>
        <v>3</v>
      </c>
      <c r="K65" s="21">
        <v>0</v>
      </c>
      <c r="L65" s="20">
        <v>30</v>
      </c>
      <c r="M65" s="20">
        <v>0</v>
      </c>
      <c r="N65" s="20">
        <f t="shared" si="11"/>
        <v>100</v>
      </c>
      <c r="O65" s="19" t="s">
        <v>69</v>
      </c>
      <c r="P65" s="20">
        <v>6400</v>
      </c>
      <c r="Q65" s="20">
        <f t="shared" ref="Q65:X65" si="79">Q35</f>
        <v>10</v>
      </c>
      <c r="R65" s="20">
        <f t="shared" si="79"/>
        <v>40</v>
      </c>
      <c r="S65" s="20">
        <f t="shared" si="79"/>
        <v>70</v>
      </c>
      <c r="T65" s="20">
        <f t="shared" si="79"/>
        <v>90</v>
      </c>
      <c r="U65" s="20">
        <f t="shared" si="79"/>
        <v>900</v>
      </c>
      <c r="V65" s="20">
        <f t="shared" si="79"/>
        <v>2000</v>
      </c>
      <c r="W65" s="20">
        <f t="shared" si="79"/>
        <v>8000</v>
      </c>
      <c r="X65" s="20">
        <f t="shared" si="79"/>
        <v>1</v>
      </c>
      <c r="Y65" s="20">
        <f t="shared" si="75"/>
        <v>0</v>
      </c>
      <c r="Z65" s="22">
        <v>0</v>
      </c>
      <c r="AA65" s="20">
        <v>0</v>
      </c>
      <c r="AB65" s="20">
        <v>0</v>
      </c>
      <c r="AC65" s="20">
        <v>0</v>
      </c>
      <c r="AD65" s="23">
        <f t="shared" ref="AD65:AE65" si="80">AD35</f>
        <v>6</v>
      </c>
      <c r="AE65" s="23">
        <f t="shared" si="80"/>
        <v>10</v>
      </c>
    </row>
    <row r="66" spans="1:31">
      <c r="A66" s="4">
        <v>1002</v>
      </c>
      <c r="B66" s="4">
        <v>5</v>
      </c>
      <c r="C66" s="19" t="s">
        <v>70</v>
      </c>
      <c r="D66" s="44">
        <f t="shared" si="73"/>
        <v>297</v>
      </c>
      <c r="E66" s="18">
        <v>0</v>
      </c>
      <c r="F66" s="18">
        <v>0</v>
      </c>
      <c r="G66" s="18">
        <v>0</v>
      </c>
      <c r="H66" s="45">
        <v>0</v>
      </c>
      <c r="I66" s="21">
        <f t="shared" si="10"/>
        <v>110</v>
      </c>
      <c r="J66" s="21">
        <f t="shared" si="0"/>
        <v>4</v>
      </c>
      <c r="K66" s="21">
        <v>0</v>
      </c>
      <c r="L66" s="20">
        <v>25</v>
      </c>
      <c r="M66" s="20">
        <v>0</v>
      </c>
      <c r="N66" s="20">
        <f t="shared" si="11"/>
        <v>200</v>
      </c>
      <c r="O66" s="19" t="s">
        <v>70</v>
      </c>
      <c r="P66" s="20">
        <v>3100</v>
      </c>
      <c r="Q66" s="20">
        <f t="shared" ref="Q66:X66" si="81">Q36</f>
        <v>20</v>
      </c>
      <c r="R66" s="20">
        <f t="shared" si="81"/>
        <v>80</v>
      </c>
      <c r="S66" s="20">
        <f t="shared" si="81"/>
        <v>140</v>
      </c>
      <c r="T66" s="20">
        <f t="shared" si="81"/>
        <v>180</v>
      </c>
      <c r="U66" s="20">
        <f t="shared" si="81"/>
        <v>1000</v>
      </c>
      <c r="V66" s="20">
        <f t="shared" si="81"/>
        <v>2000</v>
      </c>
      <c r="W66" s="20">
        <f t="shared" si="81"/>
        <v>2000</v>
      </c>
      <c r="X66" s="20">
        <f t="shared" si="81"/>
        <v>2</v>
      </c>
      <c r="Y66" s="20">
        <f t="shared" si="75"/>
        <v>0</v>
      </c>
      <c r="Z66" s="22">
        <v>0</v>
      </c>
      <c r="AA66" s="20">
        <v>0</v>
      </c>
      <c r="AB66" s="20">
        <v>0</v>
      </c>
      <c r="AC66" s="20">
        <v>0</v>
      </c>
      <c r="AD66" s="23">
        <f t="shared" ref="AD66:AE66" si="82">AD36</f>
        <v>8</v>
      </c>
      <c r="AE66" s="23">
        <f t="shared" si="82"/>
        <v>12</v>
      </c>
    </row>
    <row r="67" spans="1:31">
      <c r="A67" s="4">
        <v>1002</v>
      </c>
      <c r="B67" s="4">
        <v>6</v>
      </c>
      <c r="C67" s="19" t="s">
        <v>71</v>
      </c>
      <c r="D67" s="44">
        <f t="shared" si="73"/>
        <v>321</v>
      </c>
      <c r="E67" s="18">
        <v>0</v>
      </c>
      <c r="F67" s="18">
        <v>0</v>
      </c>
      <c r="G67" s="18">
        <v>0</v>
      </c>
      <c r="H67" s="45">
        <v>0</v>
      </c>
      <c r="I67" s="21">
        <f t="shared" si="10"/>
        <v>110</v>
      </c>
      <c r="J67" s="21">
        <f t="shared" ref="J67:J130" si="83">B67-1</f>
        <v>5</v>
      </c>
      <c r="K67" s="21">
        <v>0</v>
      </c>
      <c r="L67" s="20">
        <v>20</v>
      </c>
      <c r="M67" s="20">
        <v>0</v>
      </c>
      <c r="N67" s="20">
        <f t="shared" si="11"/>
        <v>500</v>
      </c>
      <c r="O67" s="19" t="s">
        <v>71</v>
      </c>
      <c r="P67" s="20">
        <v>1777</v>
      </c>
      <c r="Q67" s="20">
        <f t="shared" ref="Q67:X67" si="84">Q37</f>
        <v>50</v>
      </c>
      <c r="R67" s="20">
        <f t="shared" si="84"/>
        <v>200</v>
      </c>
      <c r="S67" s="20">
        <f t="shared" si="84"/>
        <v>350</v>
      </c>
      <c r="T67" s="20">
        <f t="shared" si="84"/>
        <v>450</v>
      </c>
      <c r="U67" s="20">
        <f t="shared" si="84"/>
        <v>800</v>
      </c>
      <c r="V67" s="20">
        <f t="shared" si="84"/>
        <v>800</v>
      </c>
      <c r="W67" s="20">
        <f t="shared" si="84"/>
        <v>600</v>
      </c>
      <c r="X67" s="20">
        <f t="shared" si="84"/>
        <v>2</v>
      </c>
      <c r="Y67" s="20">
        <f t="shared" si="75"/>
        <v>0</v>
      </c>
      <c r="Z67" s="22">
        <v>0</v>
      </c>
      <c r="AA67" s="20">
        <v>0</v>
      </c>
      <c r="AB67" s="20">
        <v>0</v>
      </c>
      <c r="AC67" s="20">
        <v>0</v>
      </c>
      <c r="AD67" s="23">
        <f t="shared" ref="AD67:AE67" si="85">AD37</f>
        <v>10</v>
      </c>
      <c r="AE67" s="23">
        <f t="shared" si="85"/>
        <v>14</v>
      </c>
    </row>
    <row r="68" spans="1:31">
      <c r="A68" s="8">
        <v>1002</v>
      </c>
      <c r="B68" s="8">
        <v>7</v>
      </c>
      <c r="C68" s="19" t="s">
        <v>72</v>
      </c>
      <c r="D68" s="44">
        <f t="shared" si="73"/>
        <v>348</v>
      </c>
      <c r="E68" s="18">
        <v>0</v>
      </c>
      <c r="F68" s="18">
        <v>0</v>
      </c>
      <c r="G68" s="18">
        <v>0</v>
      </c>
      <c r="H68" s="45">
        <v>0</v>
      </c>
      <c r="I68" s="21">
        <f t="shared" si="10"/>
        <v>110</v>
      </c>
      <c r="J68" s="21">
        <f t="shared" si="83"/>
        <v>6</v>
      </c>
      <c r="K68" s="21">
        <v>0</v>
      </c>
      <c r="L68" s="20">
        <v>16</v>
      </c>
      <c r="M68" s="20">
        <v>0</v>
      </c>
      <c r="N68" s="20">
        <f t="shared" si="11"/>
        <v>700</v>
      </c>
      <c r="O68" s="19" t="s">
        <v>72</v>
      </c>
      <c r="P68" s="20">
        <v>2332</v>
      </c>
      <c r="Q68" s="20">
        <f t="shared" ref="Q68:X68" si="86">Q38</f>
        <v>70</v>
      </c>
      <c r="R68" s="20">
        <f t="shared" si="86"/>
        <v>280</v>
      </c>
      <c r="S68" s="20">
        <f t="shared" si="86"/>
        <v>489.99999999999994</v>
      </c>
      <c r="T68" s="20">
        <f t="shared" si="86"/>
        <v>630</v>
      </c>
      <c r="U68" s="20">
        <f t="shared" si="86"/>
        <v>650</v>
      </c>
      <c r="V68" s="20">
        <f t="shared" si="86"/>
        <v>800</v>
      </c>
      <c r="W68" s="20">
        <f t="shared" si="86"/>
        <v>300</v>
      </c>
      <c r="X68" s="20">
        <f t="shared" si="86"/>
        <v>2</v>
      </c>
      <c r="Y68" s="20">
        <f t="shared" si="75"/>
        <v>0</v>
      </c>
      <c r="Z68" s="22">
        <v>0</v>
      </c>
      <c r="AA68" s="20">
        <v>0</v>
      </c>
      <c r="AB68" s="20">
        <v>0</v>
      </c>
      <c r="AC68" s="20">
        <v>0</v>
      </c>
      <c r="AD68" s="23">
        <f t="shared" ref="AD68:AE68" si="87">AD38</f>
        <v>12</v>
      </c>
      <c r="AE68" s="23">
        <f t="shared" si="87"/>
        <v>16</v>
      </c>
    </row>
    <row r="69" spans="1:31">
      <c r="A69" s="4">
        <v>1002</v>
      </c>
      <c r="B69" s="4">
        <v>8</v>
      </c>
      <c r="C69" s="19" t="s">
        <v>73</v>
      </c>
      <c r="D69" s="44">
        <f t="shared" si="73"/>
        <v>378</v>
      </c>
      <c r="E69" s="18">
        <v>0</v>
      </c>
      <c r="F69" s="18">
        <v>0</v>
      </c>
      <c r="G69" s="18">
        <v>0</v>
      </c>
      <c r="H69" s="45">
        <v>0</v>
      </c>
      <c r="I69" s="21">
        <f t="shared" si="10"/>
        <v>110</v>
      </c>
      <c r="J69" s="21">
        <f t="shared" si="83"/>
        <v>7</v>
      </c>
      <c r="K69" s="21">
        <v>0</v>
      </c>
      <c r="L69" s="20">
        <v>12</v>
      </c>
      <c r="M69" s="20">
        <v>0</v>
      </c>
      <c r="N69" s="20">
        <f t="shared" si="11"/>
        <v>800</v>
      </c>
      <c r="O69" s="19" t="s">
        <v>73</v>
      </c>
      <c r="P69" s="20">
        <v>1487</v>
      </c>
      <c r="Q69" s="20">
        <f t="shared" ref="Q69:X69" si="88">Q39</f>
        <v>80</v>
      </c>
      <c r="R69" s="20">
        <f t="shared" si="88"/>
        <v>320</v>
      </c>
      <c r="S69" s="20">
        <f t="shared" si="88"/>
        <v>560</v>
      </c>
      <c r="T69" s="20">
        <f t="shared" si="88"/>
        <v>720</v>
      </c>
      <c r="U69" s="20">
        <f t="shared" si="88"/>
        <v>200</v>
      </c>
      <c r="V69" s="20">
        <f t="shared" si="88"/>
        <v>2000</v>
      </c>
      <c r="W69" s="20">
        <f t="shared" si="88"/>
        <v>1000</v>
      </c>
      <c r="X69" s="20">
        <f t="shared" si="88"/>
        <v>2</v>
      </c>
      <c r="Y69" s="20">
        <f t="shared" si="75"/>
        <v>57</v>
      </c>
      <c r="Z69" s="22">
        <v>0</v>
      </c>
      <c r="AA69" s="20">
        <v>0</v>
      </c>
      <c r="AB69" s="20">
        <v>0</v>
      </c>
      <c r="AC69" s="20">
        <v>0</v>
      </c>
      <c r="AD69" s="23">
        <f t="shared" ref="AD69:AE69" si="89">AD39</f>
        <v>14</v>
      </c>
      <c r="AE69" s="23">
        <f t="shared" si="89"/>
        <v>18</v>
      </c>
    </row>
    <row r="70" spans="1:31">
      <c r="A70" s="4">
        <v>1002</v>
      </c>
      <c r="B70" s="4">
        <v>9</v>
      </c>
      <c r="C70" s="19" t="s">
        <v>74</v>
      </c>
      <c r="D70" s="44">
        <f t="shared" si="73"/>
        <v>408</v>
      </c>
      <c r="E70" s="18">
        <v>0</v>
      </c>
      <c r="F70" s="18">
        <v>0</v>
      </c>
      <c r="G70" s="18">
        <v>0</v>
      </c>
      <c r="H70" s="45">
        <v>0</v>
      </c>
      <c r="I70" s="21">
        <f t="shared" si="10"/>
        <v>165</v>
      </c>
      <c r="J70" s="21">
        <f t="shared" si="83"/>
        <v>8</v>
      </c>
      <c r="K70" s="21">
        <v>0</v>
      </c>
      <c r="L70" s="20">
        <v>8</v>
      </c>
      <c r="M70" s="20">
        <v>0</v>
      </c>
      <c r="N70" s="20">
        <f t="shared" si="11"/>
        <v>900</v>
      </c>
      <c r="O70" s="19" t="s">
        <v>74</v>
      </c>
      <c r="P70" s="20">
        <v>1518</v>
      </c>
      <c r="Q70" s="20">
        <f t="shared" ref="Q70:X70" si="90">Q40</f>
        <v>90</v>
      </c>
      <c r="R70" s="20">
        <f t="shared" si="90"/>
        <v>360</v>
      </c>
      <c r="S70" s="20">
        <f t="shared" si="90"/>
        <v>630</v>
      </c>
      <c r="T70" s="20">
        <f t="shared" si="90"/>
        <v>810</v>
      </c>
      <c r="U70" s="20">
        <f t="shared" si="90"/>
        <v>120</v>
      </c>
      <c r="V70" s="20">
        <f t="shared" si="90"/>
        <v>1500</v>
      </c>
      <c r="W70" s="20">
        <f t="shared" si="90"/>
        <v>1000</v>
      </c>
      <c r="X70" s="20">
        <f t="shared" si="90"/>
        <v>3</v>
      </c>
      <c r="Y70" s="20">
        <v>0</v>
      </c>
      <c r="Z70" s="22">
        <v>0</v>
      </c>
      <c r="AA70" s="20">
        <v>0</v>
      </c>
      <c r="AB70" s="20">
        <v>0</v>
      </c>
      <c r="AC70" s="20">
        <v>0</v>
      </c>
      <c r="AD70" s="23">
        <f t="shared" ref="AD70:AE70" si="91">AD40</f>
        <v>16</v>
      </c>
      <c r="AE70" s="23">
        <f t="shared" si="91"/>
        <v>20</v>
      </c>
    </row>
    <row r="71" spans="1:31">
      <c r="A71" s="4">
        <v>1002</v>
      </c>
      <c r="B71" s="4">
        <v>10</v>
      </c>
      <c r="C71" s="19" t="s">
        <v>75</v>
      </c>
      <c r="D71" s="44">
        <f t="shared" si="73"/>
        <v>441</v>
      </c>
      <c r="E71" s="18">
        <v>0</v>
      </c>
      <c r="F71" s="18">
        <v>0</v>
      </c>
      <c r="G71" s="18">
        <v>0</v>
      </c>
      <c r="H71" s="45">
        <v>0</v>
      </c>
      <c r="I71" s="21">
        <f t="shared" si="10"/>
        <v>165</v>
      </c>
      <c r="J71" s="21">
        <f t="shared" si="83"/>
        <v>9</v>
      </c>
      <c r="K71" s="21">
        <v>0</v>
      </c>
      <c r="L71" s="20">
        <v>6</v>
      </c>
      <c r="M71" s="20">
        <v>0</v>
      </c>
      <c r="N71" s="20">
        <f t="shared" si="11"/>
        <v>2000</v>
      </c>
      <c r="O71" s="19" t="s">
        <v>75</v>
      </c>
      <c r="P71" s="20">
        <v>861</v>
      </c>
      <c r="Q71" s="20">
        <f t="shared" ref="Q71:X71" si="92">Q41</f>
        <v>200</v>
      </c>
      <c r="R71" s="20">
        <f t="shared" si="92"/>
        <v>800</v>
      </c>
      <c r="S71" s="20">
        <f t="shared" si="92"/>
        <v>1400</v>
      </c>
      <c r="T71" s="20">
        <f t="shared" si="92"/>
        <v>1800</v>
      </c>
      <c r="U71" s="20">
        <f t="shared" si="92"/>
        <v>150</v>
      </c>
      <c r="V71" s="20">
        <f t="shared" si="92"/>
        <v>5000</v>
      </c>
      <c r="W71" s="20">
        <f t="shared" si="92"/>
        <v>800</v>
      </c>
      <c r="X71" s="20">
        <f t="shared" si="92"/>
        <v>3</v>
      </c>
      <c r="Y71" s="20">
        <v>0</v>
      </c>
      <c r="Z71" s="22">
        <v>0</v>
      </c>
      <c r="AA71" s="20">
        <v>0</v>
      </c>
      <c r="AB71" s="20">
        <v>0</v>
      </c>
      <c r="AC71" s="20">
        <v>0</v>
      </c>
      <c r="AD71" s="23">
        <f t="shared" ref="AD71:AE71" si="93">AD41</f>
        <v>18</v>
      </c>
      <c r="AE71" s="23">
        <f t="shared" si="93"/>
        <v>22</v>
      </c>
    </row>
    <row r="72" spans="1:31">
      <c r="A72" s="4">
        <v>1002</v>
      </c>
      <c r="B72" s="4">
        <v>11</v>
      </c>
      <c r="C72" s="19" t="s">
        <v>66</v>
      </c>
      <c r="D72" s="44">
        <f t="shared" si="73"/>
        <v>477</v>
      </c>
      <c r="E72" s="18">
        <v>0</v>
      </c>
      <c r="F72" s="18">
        <v>0</v>
      </c>
      <c r="G72" s="18">
        <v>0</v>
      </c>
      <c r="H72" s="45">
        <v>0</v>
      </c>
      <c r="I72" s="21">
        <f t="shared" si="10"/>
        <v>165</v>
      </c>
      <c r="J72" s="21">
        <f t="shared" si="83"/>
        <v>10</v>
      </c>
      <c r="K72" s="21">
        <v>0</v>
      </c>
      <c r="L72" s="20">
        <v>6</v>
      </c>
      <c r="M72" s="20">
        <v>0</v>
      </c>
      <c r="N72" s="20">
        <f t="shared" si="11"/>
        <v>2200</v>
      </c>
      <c r="O72" s="19" t="s">
        <v>66</v>
      </c>
      <c r="P72" s="20">
        <v>9400</v>
      </c>
      <c r="Q72" s="20">
        <f t="shared" ref="Q72:X72" si="94">Q42</f>
        <v>220</v>
      </c>
      <c r="R72" s="20">
        <f t="shared" si="94"/>
        <v>880</v>
      </c>
      <c r="S72" s="20">
        <f t="shared" si="94"/>
        <v>1540</v>
      </c>
      <c r="T72" s="20">
        <f t="shared" si="94"/>
        <v>1980</v>
      </c>
      <c r="U72" s="20">
        <f t="shared" si="94"/>
        <v>100</v>
      </c>
      <c r="V72" s="20">
        <f t="shared" si="94"/>
        <v>800</v>
      </c>
      <c r="W72" s="20">
        <f t="shared" si="94"/>
        <v>600</v>
      </c>
      <c r="X72" s="20">
        <f t="shared" si="94"/>
        <v>3</v>
      </c>
      <c r="Y72" s="20">
        <v>0</v>
      </c>
      <c r="Z72" s="22">
        <v>0</v>
      </c>
      <c r="AA72" s="20">
        <v>0</v>
      </c>
      <c r="AB72" s="20">
        <v>0</v>
      </c>
      <c r="AC72" s="20">
        <v>0</v>
      </c>
      <c r="AD72" s="23">
        <f t="shared" ref="AD72:AE72" si="95">AD42</f>
        <v>20</v>
      </c>
      <c r="AE72" s="23">
        <f t="shared" si="95"/>
        <v>24</v>
      </c>
    </row>
    <row r="73" spans="1:31">
      <c r="A73" s="4">
        <v>1002</v>
      </c>
      <c r="B73" s="4">
        <v>12</v>
      </c>
      <c r="C73" s="19" t="s">
        <v>67</v>
      </c>
      <c r="D73" s="44">
        <f t="shared" si="73"/>
        <v>516</v>
      </c>
      <c r="E73" s="18">
        <v>0</v>
      </c>
      <c r="F73" s="18">
        <v>0</v>
      </c>
      <c r="G73" s="18">
        <v>0</v>
      </c>
      <c r="H73" s="45">
        <v>0</v>
      </c>
      <c r="I73" s="21">
        <f t="shared" si="10"/>
        <v>165</v>
      </c>
      <c r="J73" s="21">
        <f t="shared" si="83"/>
        <v>11</v>
      </c>
      <c r="K73" s="21">
        <v>0</v>
      </c>
      <c r="L73" s="20">
        <v>6</v>
      </c>
      <c r="M73" s="20">
        <v>0</v>
      </c>
      <c r="N73" s="20">
        <f t="shared" si="11"/>
        <v>2400</v>
      </c>
      <c r="O73" s="19" t="s">
        <v>67</v>
      </c>
      <c r="P73" s="20">
        <v>9100</v>
      </c>
      <c r="Q73" s="20">
        <f t="shared" ref="Q73:X73" si="96">Q43</f>
        <v>240</v>
      </c>
      <c r="R73" s="20">
        <f t="shared" si="96"/>
        <v>960</v>
      </c>
      <c r="S73" s="20">
        <f t="shared" si="96"/>
        <v>1680</v>
      </c>
      <c r="T73" s="20">
        <f t="shared" si="96"/>
        <v>2160</v>
      </c>
      <c r="U73" s="20">
        <f t="shared" si="96"/>
        <v>150</v>
      </c>
      <c r="V73" s="20">
        <f t="shared" si="96"/>
        <v>700</v>
      </c>
      <c r="W73" s="20">
        <f t="shared" si="96"/>
        <v>900</v>
      </c>
      <c r="X73" s="20">
        <f t="shared" si="96"/>
        <v>3</v>
      </c>
      <c r="Y73" s="20">
        <v>0</v>
      </c>
      <c r="Z73" s="22">
        <v>0</v>
      </c>
      <c r="AA73" s="20">
        <v>0</v>
      </c>
      <c r="AB73" s="20">
        <v>0</v>
      </c>
      <c r="AC73" s="20">
        <v>0</v>
      </c>
      <c r="AD73" s="23">
        <f t="shared" ref="AD73:AE73" si="97">AD43</f>
        <v>22</v>
      </c>
      <c r="AE73" s="23">
        <f t="shared" si="97"/>
        <v>26</v>
      </c>
    </row>
    <row r="74" spans="1:31">
      <c r="A74" s="4">
        <v>1002</v>
      </c>
      <c r="B74" s="4">
        <v>13</v>
      </c>
      <c r="C74" s="19" t="s">
        <v>68</v>
      </c>
      <c r="D74" s="44">
        <f t="shared" si="73"/>
        <v>561</v>
      </c>
      <c r="E74" s="18">
        <v>0</v>
      </c>
      <c r="F74" s="18">
        <v>0</v>
      </c>
      <c r="G74" s="18">
        <v>0</v>
      </c>
      <c r="H74" s="45">
        <v>0</v>
      </c>
      <c r="I74" s="21">
        <f t="shared" si="10"/>
        <v>220</v>
      </c>
      <c r="J74" s="21">
        <f t="shared" si="83"/>
        <v>12</v>
      </c>
      <c r="K74" s="21">
        <v>0</v>
      </c>
      <c r="L74" s="20">
        <v>6</v>
      </c>
      <c r="M74" s="20">
        <v>0</v>
      </c>
      <c r="N74" s="20">
        <f t="shared" si="11"/>
        <v>2600</v>
      </c>
      <c r="O74" s="19" t="s">
        <v>68</v>
      </c>
      <c r="P74" s="20">
        <v>8600</v>
      </c>
      <c r="Q74" s="20">
        <f t="shared" ref="Q74:X74" si="98">Q44</f>
        <v>260</v>
      </c>
      <c r="R74" s="20">
        <f t="shared" si="98"/>
        <v>1040</v>
      </c>
      <c r="S74" s="20">
        <f t="shared" si="98"/>
        <v>1819.9999999999998</v>
      </c>
      <c r="T74" s="20">
        <f t="shared" si="98"/>
        <v>2340</v>
      </c>
      <c r="U74" s="20">
        <f t="shared" si="98"/>
        <v>100</v>
      </c>
      <c r="V74" s="20">
        <f t="shared" si="98"/>
        <v>700</v>
      </c>
      <c r="W74" s="20">
        <f t="shared" si="98"/>
        <v>1000</v>
      </c>
      <c r="X74" s="20">
        <f t="shared" si="98"/>
        <v>4</v>
      </c>
      <c r="Y74" s="20">
        <f t="shared" si="75"/>
        <v>115</v>
      </c>
      <c r="Z74" s="22">
        <v>0</v>
      </c>
      <c r="AA74" s="20">
        <v>0</v>
      </c>
      <c r="AB74" s="20">
        <v>0</v>
      </c>
      <c r="AC74" s="20">
        <v>0</v>
      </c>
      <c r="AD74" s="23">
        <f t="shared" ref="AD74:AE74" si="99">AD44</f>
        <v>24</v>
      </c>
      <c r="AE74" s="23">
        <f t="shared" si="99"/>
        <v>28</v>
      </c>
    </row>
    <row r="75" spans="1:31">
      <c r="A75" s="4">
        <v>1002</v>
      </c>
      <c r="B75" s="4">
        <v>14</v>
      </c>
      <c r="C75" s="19" t="s">
        <v>69</v>
      </c>
      <c r="D75" s="44">
        <f t="shared" si="73"/>
        <v>606</v>
      </c>
      <c r="E75" s="18">
        <v>0</v>
      </c>
      <c r="F75" s="18">
        <v>0</v>
      </c>
      <c r="G75" s="18">
        <v>0</v>
      </c>
      <c r="H75" s="45">
        <v>0</v>
      </c>
      <c r="I75" s="21">
        <f t="shared" si="10"/>
        <v>220</v>
      </c>
      <c r="J75" s="21">
        <f t="shared" si="83"/>
        <v>13</v>
      </c>
      <c r="K75" s="21">
        <v>0</v>
      </c>
      <c r="L75" s="20">
        <v>6</v>
      </c>
      <c r="M75" s="20">
        <v>0</v>
      </c>
      <c r="N75" s="20">
        <f t="shared" si="11"/>
        <v>2800</v>
      </c>
      <c r="O75" s="19" t="s">
        <v>69</v>
      </c>
      <c r="P75" s="20">
        <v>6400</v>
      </c>
      <c r="Q75" s="20">
        <f t="shared" ref="Q75:X75" si="100">Q45</f>
        <v>280</v>
      </c>
      <c r="R75" s="20">
        <f t="shared" si="100"/>
        <v>1120</v>
      </c>
      <c r="S75" s="20">
        <f t="shared" si="100"/>
        <v>1959.9999999999998</v>
      </c>
      <c r="T75" s="20">
        <f t="shared" si="100"/>
        <v>2520</v>
      </c>
      <c r="U75" s="20">
        <f t="shared" si="100"/>
        <v>100</v>
      </c>
      <c r="V75" s="20">
        <f t="shared" si="100"/>
        <v>400</v>
      </c>
      <c r="W75" s="20">
        <f t="shared" si="100"/>
        <v>1200</v>
      </c>
      <c r="X75" s="20">
        <f t="shared" si="100"/>
        <v>4</v>
      </c>
      <c r="Y75" s="20">
        <v>0</v>
      </c>
      <c r="Z75" s="22">
        <v>0</v>
      </c>
      <c r="AA75" s="20">
        <v>0</v>
      </c>
      <c r="AB75" s="20">
        <v>0</v>
      </c>
      <c r="AC75" s="20">
        <v>0</v>
      </c>
      <c r="AD75" s="23">
        <f t="shared" ref="AD75:AE75" si="101">AD45</f>
        <v>26</v>
      </c>
      <c r="AE75" s="23">
        <f t="shared" si="101"/>
        <v>30</v>
      </c>
    </row>
    <row r="76" spans="1:31">
      <c r="A76" s="4">
        <v>1002</v>
      </c>
      <c r="B76" s="4">
        <v>15</v>
      </c>
      <c r="C76" s="19" t="s">
        <v>70</v>
      </c>
      <c r="D76" s="44">
        <f t="shared" si="73"/>
        <v>657</v>
      </c>
      <c r="E76" s="18">
        <v>0</v>
      </c>
      <c r="F76" s="18">
        <v>0</v>
      </c>
      <c r="G76" s="18">
        <v>0</v>
      </c>
      <c r="H76" s="45">
        <v>0</v>
      </c>
      <c r="I76" s="21">
        <f t="shared" si="10"/>
        <v>220</v>
      </c>
      <c r="J76" s="21">
        <f t="shared" si="83"/>
        <v>14</v>
      </c>
      <c r="K76" s="21">
        <v>0</v>
      </c>
      <c r="L76" s="20">
        <v>6</v>
      </c>
      <c r="M76" s="20">
        <v>0</v>
      </c>
      <c r="N76" s="20">
        <f t="shared" si="11"/>
        <v>4500</v>
      </c>
      <c r="O76" s="19" t="s">
        <v>70</v>
      </c>
      <c r="P76" s="20">
        <v>3100</v>
      </c>
      <c r="Q76" s="20">
        <f t="shared" ref="Q76:X76" si="102">Q46</f>
        <v>450</v>
      </c>
      <c r="R76" s="20">
        <f t="shared" si="102"/>
        <v>1800</v>
      </c>
      <c r="S76" s="20">
        <f t="shared" si="102"/>
        <v>3150</v>
      </c>
      <c r="T76" s="20">
        <f t="shared" si="102"/>
        <v>4050</v>
      </c>
      <c r="U76" s="20">
        <f t="shared" si="102"/>
        <v>100</v>
      </c>
      <c r="V76" s="20">
        <f t="shared" si="102"/>
        <v>1000</v>
      </c>
      <c r="W76" s="20">
        <f t="shared" si="102"/>
        <v>600</v>
      </c>
      <c r="X76" s="20">
        <f t="shared" si="102"/>
        <v>4</v>
      </c>
      <c r="Y76" s="20">
        <v>0</v>
      </c>
      <c r="Z76" s="22">
        <v>0</v>
      </c>
      <c r="AA76" s="20">
        <v>0</v>
      </c>
      <c r="AB76" s="20">
        <v>0</v>
      </c>
      <c r="AC76" s="20">
        <v>0</v>
      </c>
      <c r="AD76" s="23">
        <f t="shared" ref="AD76:AE76" si="103">AD46</f>
        <v>28</v>
      </c>
      <c r="AE76" s="23">
        <f t="shared" si="103"/>
        <v>32</v>
      </c>
    </row>
    <row r="77" spans="1:31">
      <c r="A77" s="4">
        <v>1002</v>
      </c>
      <c r="B77" s="4">
        <v>16</v>
      </c>
      <c r="C77" s="19" t="s">
        <v>71</v>
      </c>
      <c r="D77" s="44">
        <f t="shared" si="73"/>
        <v>711</v>
      </c>
      <c r="E77" s="18">
        <v>0</v>
      </c>
      <c r="F77" s="18">
        <v>0</v>
      </c>
      <c r="G77" s="18">
        <v>0</v>
      </c>
      <c r="H77" s="45">
        <v>0</v>
      </c>
      <c r="I77" s="21">
        <f t="shared" si="10"/>
        <v>220</v>
      </c>
      <c r="J77" s="21">
        <f t="shared" si="83"/>
        <v>15</v>
      </c>
      <c r="K77" s="21">
        <v>0</v>
      </c>
      <c r="L77" s="20">
        <v>6</v>
      </c>
      <c r="M77" s="20">
        <v>0</v>
      </c>
      <c r="N77" s="20">
        <f t="shared" si="11"/>
        <v>4800</v>
      </c>
      <c r="O77" s="19" t="s">
        <v>71</v>
      </c>
      <c r="P77" s="20">
        <v>1777</v>
      </c>
      <c r="Q77" s="20">
        <f t="shared" ref="Q77:X77" si="104">Q47</f>
        <v>480</v>
      </c>
      <c r="R77" s="20">
        <f t="shared" si="104"/>
        <v>1920</v>
      </c>
      <c r="S77" s="20">
        <f t="shared" si="104"/>
        <v>3360</v>
      </c>
      <c r="T77" s="20">
        <f t="shared" si="104"/>
        <v>4320</v>
      </c>
      <c r="U77" s="20">
        <f t="shared" si="104"/>
        <v>100</v>
      </c>
      <c r="V77" s="20">
        <f t="shared" si="104"/>
        <v>800</v>
      </c>
      <c r="W77" s="20">
        <f t="shared" si="104"/>
        <v>800</v>
      </c>
      <c r="X77" s="20">
        <f t="shared" si="104"/>
        <v>4</v>
      </c>
      <c r="Y77" s="20">
        <v>0</v>
      </c>
      <c r="Z77" s="22">
        <v>0</v>
      </c>
      <c r="AA77" s="20">
        <v>0</v>
      </c>
      <c r="AB77" s="20">
        <v>0</v>
      </c>
      <c r="AC77" s="20">
        <v>0</v>
      </c>
      <c r="AD77" s="23">
        <f t="shared" ref="AD77:AE77" si="105">AD47</f>
        <v>30</v>
      </c>
      <c r="AE77" s="23">
        <f t="shared" si="105"/>
        <v>34</v>
      </c>
    </row>
    <row r="78" spans="1:31">
      <c r="A78" s="4">
        <v>1002</v>
      </c>
      <c r="B78" s="4">
        <v>17</v>
      </c>
      <c r="C78" s="19" t="s">
        <v>72</v>
      </c>
      <c r="D78" s="44">
        <f t="shared" si="73"/>
        <v>768</v>
      </c>
      <c r="E78" s="18">
        <v>0</v>
      </c>
      <c r="F78" s="18">
        <v>0</v>
      </c>
      <c r="G78" s="18">
        <v>0</v>
      </c>
      <c r="H78" s="45">
        <v>0</v>
      </c>
      <c r="I78" s="21">
        <f t="shared" si="10"/>
        <v>275</v>
      </c>
      <c r="J78" s="21">
        <f t="shared" si="83"/>
        <v>16</v>
      </c>
      <c r="K78" s="21">
        <v>0</v>
      </c>
      <c r="L78" s="20">
        <v>6</v>
      </c>
      <c r="M78" s="20">
        <v>0</v>
      </c>
      <c r="N78" s="20">
        <f t="shared" si="11"/>
        <v>5100</v>
      </c>
      <c r="O78" s="19" t="s">
        <v>72</v>
      </c>
      <c r="P78" s="20">
        <v>2332</v>
      </c>
      <c r="Q78" s="20">
        <f t="shared" ref="Q78:X78" si="106">Q48</f>
        <v>510</v>
      </c>
      <c r="R78" s="20">
        <f t="shared" si="106"/>
        <v>2040</v>
      </c>
      <c r="S78" s="20">
        <f t="shared" si="106"/>
        <v>3570</v>
      </c>
      <c r="T78" s="20">
        <f t="shared" si="106"/>
        <v>4590</v>
      </c>
      <c r="U78" s="20">
        <f t="shared" si="106"/>
        <v>80</v>
      </c>
      <c r="V78" s="20">
        <f t="shared" si="106"/>
        <v>800</v>
      </c>
      <c r="W78" s="20">
        <f t="shared" si="106"/>
        <v>600</v>
      </c>
      <c r="X78" s="20">
        <f t="shared" si="106"/>
        <v>5</v>
      </c>
      <c r="Y78" s="20">
        <v>0</v>
      </c>
      <c r="Z78" s="22">
        <v>0</v>
      </c>
      <c r="AA78" s="20">
        <v>0</v>
      </c>
      <c r="AB78" s="20">
        <v>0</v>
      </c>
      <c r="AC78" s="20">
        <v>0</v>
      </c>
      <c r="AD78" s="23">
        <f t="shared" ref="AD78:AE78" si="107">AD48</f>
        <v>32</v>
      </c>
      <c r="AE78" s="23">
        <f t="shared" si="107"/>
        <v>36</v>
      </c>
    </row>
    <row r="79" spans="1:31">
      <c r="A79" s="4">
        <v>1002</v>
      </c>
      <c r="B79" s="4">
        <v>18</v>
      </c>
      <c r="C79" s="19" t="s">
        <v>73</v>
      </c>
      <c r="D79" s="44">
        <f t="shared" si="73"/>
        <v>834</v>
      </c>
      <c r="E79" s="18">
        <v>0</v>
      </c>
      <c r="F79" s="18">
        <v>0</v>
      </c>
      <c r="G79" s="18">
        <v>0</v>
      </c>
      <c r="H79" s="45">
        <v>0</v>
      </c>
      <c r="I79" s="21">
        <f t="shared" si="10"/>
        <v>275</v>
      </c>
      <c r="J79" s="21">
        <f t="shared" si="83"/>
        <v>17</v>
      </c>
      <c r="K79" s="21">
        <v>0</v>
      </c>
      <c r="L79" s="20">
        <v>6</v>
      </c>
      <c r="M79" s="20">
        <v>0</v>
      </c>
      <c r="N79" s="20">
        <f t="shared" si="11"/>
        <v>5400</v>
      </c>
      <c r="O79" s="19" t="s">
        <v>73</v>
      </c>
      <c r="P79" s="20">
        <v>1487</v>
      </c>
      <c r="Q79" s="20">
        <f t="shared" ref="Q79:X79" si="108">Q49</f>
        <v>540</v>
      </c>
      <c r="R79" s="20">
        <f t="shared" si="108"/>
        <v>2160</v>
      </c>
      <c r="S79" s="20">
        <f t="shared" si="108"/>
        <v>3779.9999999999995</v>
      </c>
      <c r="T79" s="20">
        <f t="shared" si="108"/>
        <v>4860</v>
      </c>
      <c r="U79" s="20">
        <f t="shared" si="108"/>
        <v>100</v>
      </c>
      <c r="V79" s="20">
        <f t="shared" si="108"/>
        <v>600</v>
      </c>
      <c r="W79" s="20">
        <f t="shared" si="108"/>
        <v>300</v>
      </c>
      <c r="X79" s="20">
        <f t="shared" si="108"/>
        <v>5</v>
      </c>
      <c r="Y79" s="20">
        <f t="shared" si="75"/>
        <v>172</v>
      </c>
      <c r="Z79" s="22">
        <v>0</v>
      </c>
      <c r="AA79" s="20">
        <v>0</v>
      </c>
      <c r="AB79" s="20">
        <v>0</v>
      </c>
      <c r="AC79" s="20">
        <v>0</v>
      </c>
      <c r="AD79" s="23">
        <f t="shared" ref="AD79:AE79" si="109">AD49</f>
        <v>34</v>
      </c>
      <c r="AE79" s="23">
        <f t="shared" si="109"/>
        <v>38</v>
      </c>
    </row>
    <row r="80" spans="1:31">
      <c r="A80" s="8">
        <v>1002</v>
      </c>
      <c r="B80" s="8">
        <v>19</v>
      </c>
      <c r="C80" s="19" t="s">
        <v>74</v>
      </c>
      <c r="D80" s="44">
        <f t="shared" si="73"/>
        <v>903</v>
      </c>
      <c r="E80" s="18">
        <v>0</v>
      </c>
      <c r="F80" s="18">
        <v>0</v>
      </c>
      <c r="G80" s="18">
        <v>0</v>
      </c>
      <c r="H80" s="45">
        <v>0</v>
      </c>
      <c r="I80" s="21">
        <f t="shared" si="10"/>
        <v>275</v>
      </c>
      <c r="J80" s="21">
        <f t="shared" si="83"/>
        <v>18</v>
      </c>
      <c r="K80" s="21">
        <v>0</v>
      </c>
      <c r="L80" s="20">
        <v>6</v>
      </c>
      <c r="M80" s="20">
        <v>0</v>
      </c>
      <c r="N80" s="20">
        <f t="shared" si="11"/>
        <v>5700</v>
      </c>
      <c r="O80" s="19" t="s">
        <v>74</v>
      </c>
      <c r="P80" s="20">
        <v>1518</v>
      </c>
      <c r="Q80" s="20">
        <f t="shared" ref="Q80:X80" si="110">Q50</f>
        <v>570</v>
      </c>
      <c r="R80" s="20">
        <f t="shared" si="110"/>
        <v>2280</v>
      </c>
      <c r="S80" s="20">
        <f t="shared" si="110"/>
        <v>3989.9999999999995</v>
      </c>
      <c r="T80" s="20">
        <f t="shared" si="110"/>
        <v>5130</v>
      </c>
      <c r="U80" s="20">
        <f t="shared" si="110"/>
        <v>100</v>
      </c>
      <c r="V80" s="20">
        <f t="shared" si="110"/>
        <v>500</v>
      </c>
      <c r="W80" s="20">
        <f t="shared" si="110"/>
        <v>400</v>
      </c>
      <c r="X80" s="20">
        <f t="shared" si="110"/>
        <v>5</v>
      </c>
      <c r="Y80" s="20">
        <v>0</v>
      </c>
      <c r="Z80" s="22">
        <v>0</v>
      </c>
      <c r="AA80" s="20">
        <v>0</v>
      </c>
      <c r="AB80" s="20">
        <v>0</v>
      </c>
      <c r="AC80" s="20">
        <v>0</v>
      </c>
      <c r="AD80" s="23">
        <f t="shared" ref="AD80:AE80" si="111">AD50</f>
        <v>36</v>
      </c>
      <c r="AE80" s="23">
        <f t="shared" si="111"/>
        <v>40</v>
      </c>
    </row>
    <row r="81" spans="1:31">
      <c r="A81" s="4">
        <v>1002</v>
      </c>
      <c r="B81" s="4">
        <v>20</v>
      </c>
      <c r="C81" s="19" t="s">
        <v>75</v>
      </c>
      <c r="D81" s="44">
        <f t="shared" si="73"/>
        <v>975</v>
      </c>
      <c r="E81" s="18">
        <v>0</v>
      </c>
      <c r="F81" s="18">
        <v>0</v>
      </c>
      <c r="G81" s="18">
        <v>0</v>
      </c>
      <c r="H81" s="45">
        <v>0</v>
      </c>
      <c r="I81" s="21">
        <f t="shared" si="10"/>
        <v>275</v>
      </c>
      <c r="J81" s="21">
        <f t="shared" si="83"/>
        <v>19</v>
      </c>
      <c r="K81" s="21">
        <v>0</v>
      </c>
      <c r="L81" s="20">
        <v>6</v>
      </c>
      <c r="M81" s="20">
        <v>0</v>
      </c>
      <c r="N81" s="20">
        <f t="shared" si="11"/>
        <v>8000</v>
      </c>
      <c r="O81" s="19" t="s">
        <v>75</v>
      </c>
      <c r="P81" s="20">
        <v>861</v>
      </c>
      <c r="Q81" s="20">
        <f t="shared" ref="Q81:X81" si="112">Q51</f>
        <v>800</v>
      </c>
      <c r="R81" s="20">
        <f t="shared" si="112"/>
        <v>3200</v>
      </c>
      <c r="S81" s="20">
        <f t="shared" si="112"/>
        <v>5600</v>
      </c>
      <c r="T81" s="20">
        <f t="shared" si="112"/>
        <v>7200</v>
      </c>
      <c r="U81" s="20">
        <f t="shared" si="112"/>
        <v>100</v>
      </c>
      <c r="V81" s="20">
        <f t="shared" si="112"/>
        <v>800</v>
      </c>
      <c r="W81" s="20">
        <f t="shared" si="112"/>
        <v>8000</v>
      </c>
      <c r="X81" s="20">
        <f t="shared" si="112"/>
        <v>5</v>
      </c>
      <c r="Y81" s="20">
        <v>0</v>
      </c>
      <c r="Z81" s="22">
        <v>0</v>
      </c>
      <c r="AA81" s="20">
        <v>0</v>
      </c>
      <c r="AB81" s="20">
        <v>0</v>
      </c>
      <c r="AC81" s="20">
        <v>0</v>
      </c>
      <c r="AD81" s="23">
        <f t="shared" ref="AD81:AE81" si="113">AD51</f>
        <v>38</v>
      </c>
      <c r="AE81" s="23">
        <f t="shared" si="113"/>
        <v>42</v>
      </c>
    </row>
    <row r="82" spans="1:31">
      <c r="A82" s="4">
        <v>1002</v>
      </c>
      <c r="B82" s="4">
        <v>21</v>
      </c>
      <c r="C82" s="19" t="s">
        <v>66</v>
      </c>
      <c r="D82" s="44">
        <f t="shared" si="73"/>
        <v>1056</v>
      </c>
      <c r="E82" s="18">
        <v>0</v>
      </c>
      <c r="F82" s="18">
        <v>0</v>
      </c>
      <c r="G82" s="18">
        <v>0</v>
      </c>
      <c r="H82" s="45">
        <v>0</v>
      </c>
      <c r="I82" s="21">
        <f t="shared" si="10"/>
        <v>330</v>
      </c>
      <c r="J82" s="21">
        <f t="shared" si="83"/>
        <v>20</v>
      </c>
      <c r="K82" s="21">
        <v>0</v>
      </c>
      <c r="L82" s="20">
        <v>6</v>
      </c>
      <c r="M82" s="20">
        <v>0</v>
      </c>
      <c r="N82" s="20">
        <f t="shared" si="11"/>
        <v>8400</v>
      </c>
      <c r="O82" s="19" t="s">
        <v>66</v>
      </c>
      <c r="P82" s="20">
        <v>9400</v>
      </c>
      <c r="Q82" s="20">
        <f t="shared" ref="Q82:X82" si="114">Q52</f>
        <v>840</v>
      </c>
      <c r="R82" s="20">
        <f t="shared" si="114"/>
        <v>3360</v>
      </c>
      <c r="S82" s="20">
        <f t="shared" si="114"/>
        <v>5880</v>
      </c>
      <c r="T82" s="20">
        <f t="shared" si="114"/>
        <v>7560</v>
      </c>
      <c r="U82" s="20">
        <f t="shared" si="114"/>
        <v>50</v>
      </c>
      <c r="V82" s="20">
        <f t="shared" si="114"/>
        <v>1000</v>
      </c>
      <c r="W82" s="20">
        <f t="shared" si="114"/>
        <v>600</v>
      </c>
      <c r="X82" s="20">
        <f t="shared" si="114"/>
        <v>6</v>
      </c>
      <c r="Y82" s="20">
        <v>0</v>
      </c>
      <c r="Z82" s="22">
        <v>0</v>
      </c>
      <c r="AA82" s="20">
        <v>0</v>
      </c>
      <c r="AB82" s="20">
        <v>0</v>
      </c>
      <c r="AC82" s="20">
        <v>0</v>
      </c>
      <c r="AD82" s="23">
        <f t="shared" ref="AD82:AE82" si="115">AD52</f>
        <v>40</v>
      </c>
      <c r="AE82" s="23">
        <f t="shared" si="115"/>
        <v>44</v>
      </c>
    </row>
    <row r="83" spans="1:31">
      <c r="A83" s="4">
        <v>1002</v>
      </c>
      <c r="B83" s="4">
        <v>22</v>
      </c>
      <c r="C83" s="19" t="s">
        <v>67</v>
      </c>
      <c r="D83" s="44">
        <f t="shared" si="73"/>
        <v>1143</v>
      </c>
      <c r="E83" s="18">
        <v>0</v>
      </c>
      <c r="F83" s="18">
        <v>0</v>
      </c>
      <c r="G83" s="18">
        <v>0</v>
      </c>
      <c r="H83" s="45">
        <v>0</v>
      </c>
      <c r="I83" s="21">
        <f t="shared" si="10"/>
        <v>330</v>
      </c>
      <c r="J83" s="21">
        <f t="shared" si="83"/>
        <v>21</v>
      </c>
      <c r="K83" s="21">
        <v>0</v>
      </c>
      <c r="L83" s="20">
        <v>6</v>
      </c>
      <c r="M83" s="20">
        <v>0</v>
      </c>
      <c r="N83" s="20">
        <f t="shared" si="11"/>
        <v>8800</v>
      </c>
      <c r="O83" s="19" t="s">
        <v>67</v>
      </c>
      <c r="P83" s="20">
        <v>9100</v>
      </c>
      <c r="Q83" s="20">
        <f t="shared" ref="Q83:X83" si="116">Q53</f>
        <v>880</v>
      </c>
      <c r="R83" s="20">
        <f t="shared" si="116"/>
        <v>3520</v>
      </c>
      <c r="S83" s="20">
        <f t="shared" si="116"/>
        <v>6160</v>
      </c>
      <c r="T83" s="20">
        <f t="shared" si="116"/>
        <v>7920</v>
      </c>
      <c r="U83" s="20">
        <f t="shared" si="116"/>
        <v>100</v>
      </c>
      <c r="V83" s="20">
        <f t="shared" si="116"/>
        <v>600</v>
      </c>
      <c r="W83" s="20">
        <f t="shared" si="116"/>
        <v>700</v>
      </c>
      <c r="X83" s="20">
        <f t="shared" si="116"/>
        <v>6</v>
      </c>
      <c r="Y83" s="20">
        <v>0</v>
      </c>
      <c r="Z83" s="22">
        <v>0</v>
      </c>
      <c r="AA83" s="20">
        <v>0</v>
      </c>
      <c r="AB83" s="20">
        <v>0</v>
      </c>
      <c r="AC83" s="20">
        <v>0</v>
      </c>
      <c r="AD83" s="23">
        <f t="shared" ref="AD83:AE83" si="117">AD53</f>
        <v>42</v>
      </c>
      <c r="AE83" s="23">
        <f t="shared" si="117"/>
        <v>46</v>
      </c>
    </row>
    <row r="84" spans="1:31">
      <c r="A84" s="4">
        <v>1002</v>
      </c>
      <c r="B84" s="4">
        <v>23</v>
      </c>
      <c r="C84" s="19" t="s">
        <v>68</v>
      </c>
      <c r="D84" s="44">
        <f t="shared" si="73"/>
        <v>1239</v>
      </c>
      <c r="E84" s="18">
        <v>0</v>
      </c>
      <c r="F84" s="18">
        <v>0</v>
      </c>
      <c r="G84" s="18">
        <v>0</v>
      </c>
      <c r="H84" s="45">
        <v>0</v>
      </c>
      <c r="I84" s="21">
        <f t="shared" si="10"/>
        <v>330</v>
      </c>
      <c r="J84" s="21">
        <f t="shared" si="83"/>
        <v>22</v>
      </c>
      <c r="K84" s="21">
        <v>0</v>
      </c>
      <c r="L84" s="20">
        <v>6</v>
      </c>
      <c r="M84" s="20">
        <v>0</v>
      </c>
      <c r="N84" s="20">
        <f t="shared" si="11"/>
        <v>9200</v>
      </c>
      <c r="O84" s="19" t="s">
        <v>68</v>
      </c>
      <c r="P84" s="20">
        <v>8600</v>
      </c>
      <c r="Q84" s="20">
        <f t="shared" ref="Q84:X84" si="118">Q54</f>
        <v>920</v>
      </c>
      <c r="R84" s="20">
        <f t="shared" si="118"/>
        <v>3680</v>
      </c>
      <c r="S84" s="20">
        <f t="shared" si="118"/>
        <v>6440</v>
      </c>
      <c r="T84" s="20">
        <f t="shared" si="118"/>
        <v>8280</v>
      </c>
      <c r="U84" s="20">
        <f t="shared" si="118"/>
        <v>100</v>
      </c>
      <c r="V84" s="20">
        <f t="shared" si="118"/>
        <v>550</v>
      </c>
      <c r="W84" s="20">
        <f t="shared" si="118"/>
        <v>500</v>
      </c>
      <c r="X84" s="20">
        <f t="shared" si="118"/>
        <v>6</v>
      </c>
      <c r="Y84" s="20">
        <f t="shared" si="75"/>
        <v>230</v>
      </c>
      <c r="Z84" s="22">
        <v>0</v>
      </c>
      <c r="AA84" s="20">
        <v>0</v>
      </c>
      <c r="AB84" s="20">
        <v>0</v>
      </c>
      <c r="AC84" s="20">
        <v>0</v>
      </c>
      <c r="AD84" s="23">
        <f t="shared" ref="AD84:AE84" si="119">AD54</f>
        <v>44</v>
      </c>
      <c r="AE84" s="23">
        <f t="shared" si="119"/>
        <v>48</v>
      </c>
    </row>
    <row r="85" spans="1:31">
      <c r="A85" s="4">
        <v>1002</v>
      </c>
      <c r="B85" s="4">
        <v>24</v>
      </c>
      <c r="C85" s="19" t="s">
        <v>69</v>
      </c>
      <c r="D85" s="44">
        <f t="shared" si="73"/>
        <v>1341</v>
      </c>
      <c r="E85" s="18">
        <v>0</v>
      </c>
      <c r="F85" s="18">
        <v>0</v>
      </c>
      <c r="G85" s="18">
        <v>0</v>
      </c>
      <c r="H85" s="45">
        <v>0</v>
      </c>
      <c r="I85" s="21">
        <f t="shared" si="10"/>
        <v>330</v>
      </c>
      <c r="J85" s="21">
        <f t="shared" si="83"/>
        <v>23</v>
      </c>
      <c r="K85" s="21">
        <v>0</v>
      </c>
      <c r="L85" s="20">
        <v>6</v>
      </c>
      <c r="M85" s="20">
        <v>0</v>
      </c>
      <c r="N85" s="20">
        <f t="shared" si="11"/>
        <v>9600</v>
      </c>
      <c r="O85" s="19" t="s">
        <v>69</v>
      </c>
      <c r="P85" s="20">
        <v>6400</v>
      </c>
      <c r="Q85" s="20">
        <f t="shared" ref="Q85:X85" si="120">Q55</f>
        <v>960</v>
      </c>
      <c r="R85" s="20">
        <f t="shared" si="120"/>
        <v>3840</v>
      </c>
      <c r="S85" s="20">
        <f t="shared" si="120"/>
        <v>6720</v>
      </c>
      <c r="T85" s="20">
        <f t="shared" si="120"/>
        <v>8640</v>
      </c>
      <c r="U85" s="20">
        <f t="shared" si="120"/>
        <v>100</v>
      </c>
      <c r="V85" s="20">
        <f t="shared" si="120"/>
        <v>500</v>
      </c>
      <c r="W85" s="20">
        <f t="shared" si="120"/>
        <v>900</v>
      </c>
      <c r="X85" s="20">
        <f t="shared" si="120"/>
        <v>6</v>
      </c>
      <c r="Y85" s="20">
        <v>0</v>
      </c>
      <c r="Z85" s="22">
        <v>0</v>
      </c>
      <c r="AA85" s="20">
        <v>0</v>
      </c>
      <c r="AB85" s="20">
        <v>0</v>
      </c>
      <c r="AC85" s="20">
        <v>0</v>
      </c>
      <c r="AD85" s="23">
        <f t="shared" ref="AD85:AE85" si="121">AD55</f>
        <v>46</v>
      </c>
      <c r="AE85" s="23">
        <f t="shared" si="121"/>
        <v>50</v>
      </c>
    </row>
    <row r="86" spans="1:31">
      <c r="A86" s="4">
        <v>1002</v>
      </c>
      <c r="B86" s="4">
        <v>25</v>
      </c>
      <c r="C86" s="19" t="s">
        <v>70</v>
      </c>
      <c r="D86" s="44">
        <f t="shared" si="73"/>
        <v>1452</v>
      </c>
      <c r="E86" s="18">
        <v>0</v>
      </c>
      <c r="F86" s="18">
        <v>0</v>
      </c>
      <c r="G86" s="18">
        <v>0</v>
      </c>
      <c r="H86" s="45">
        <v>0</v>
      </c>
      <c r="I86" s="21">
        <f t="shared" si="10"/>
        <v>385</v>
      </c>
      <c r="J86" s="21">
        <f t="shared" si="83"/>
        <v>24</v>
      </c>
      <c r="K86" s="21">
        <v>0</v>
      </c>
      <c r="L86" s="20">
        <v>6</v>
      </c>
      <c r="M86" s="20">
        <v>0</v>
      </c>
      <c r="N86" s="20">
        <f t="shared" si="11"/>
        <v>12500</v>
      </c>
      <c r="O86" s="19" t="s">
        <v>70</v>
      </c>
      <c r="P86" s="20">
        <v>3100</v>
      </c>
      <c r="Q86" s="20">
        <f t="shared" ref="Q86:X86" si="122">Q56</f>
        <v>1250</v>
      </c>
      <c r="R86" s="20">
        <f t="shared" si="122"/>
        <v>5000</v>
      </c>
      <c r="S86" s="20">
        <f t="shared" si="122"/>
        <v>8750</v>
      </c>
      <c r="T86" s="20">
        <f t="shared" si="122"/>
        <v>11250</v>
      </c>
      <c r="U86" s="20">
        <f t="shared" si="122"/>
        <v>10</v>
      </c>
      <c r="V86" s="20">
        <f t="shared" si="122"/>
        <v>1300</v>
      </c>
      <c r="W86" s="20">
        <f t="shared" si="122"/>
        <v>1000</v>
      </c>
      <c r="X86" s="20">
        <f t="shared" si="122"/>
        <v>7</v>
      </c>
      <c r="Y86" s="20">
        <v>0</v>
      </c>
      <c r="Z86" s="22">
        <v>0</v>
      </c>
      <c r="AA86" s="20">
        <v>0</v>
      </c>
      <c r="AB86" s="20">
        <v>0</v>
      </c>
      <c r="AC86" s="20">
        <v>0</v>
      </c>
      <c r="AD86" s="23">
        <f t="shared" ref="AD86:AE86" si="123">AD56</f>
        <v>48</v>
      </c>
      <c r="AE86" s="23">
        <f t="shared" si="123"/>
        <v>52</v>
      </c>
    </row>
    <row r="87" spans="1:31">
      <c r="A87" s="4">
        <v>1002</v>
      </c>
      <c r="B87" s="4">
        <v>26</v>
      </c>
      <c r="C87" s="19" t="s">
        <v>71</v>
      </c>
      <c r="D87" s="44">
        <f t="shared" si="73"/>
        <v>1572</v>
      </c>
      <c r="E87" s="18">
        <v>0</v>
      </c>
      <c r="F87" s="18">
        <v>0</v>
      </c>
      <c r="G87" s="18">
        <v>0</v>
      </c>
      <c r="H87" s="45">
        <v>0</v>
      </c>
      <c r="I87" s="21">
        <f t="shared" si="10"/>
        <v>385</v>
      </c>
      <c r="J87" s="21">
        <f t="shared" si="83"/>
        <v>25</v>
      </c>
      <c r="K87" s="21">
        <v>0</v>
      </c>
      <c r="L87" s="20">
        <v>6</v>
      </c>
      <c r="M87" s="20">
        <v>0</v>
      </c>
      <c r="N87" s="20">
        <f t="shared" si="11"/>
        <v>13000</v>
      </c>
      <c r="O87" s="19" t="s">
        <v>71</v>
      </c>
      <c r="P87" s="20">
        <v>1777</v>
      </c>
      <c r="Q87" s="20">
        <f t="shared" ref="Q87:X87" si="124">Q57</f>
        <v>1300</v>
      </c>
      <c r="R87" s="20">
        <f t="shared" si="124"/>
        <v>5200</v>
      </c>
      <c r="S87" s="20">
        <f t="shared" si="124"/>
        <v>9100</v>
      </c>
      <c r="T87" s="20">
        <f t="shared" si="124"/>
        <v>11700</v>
      </c>
      <c r="U87" s="20">
        <f t="shared" si="124"/>
        <v>90</v>
      </c>
      <c r="V87" s="20">
        <f t="shared" si="124"/>
        <v>800</v>
      </c>
      <c r="W87" s="20">
        <f t="shared" si="124"/>
        <v>2000</v>
      </c>
      <c r="X87" s="20">
        <f t="shared" si="124"/>
        <v>7</v>
      </c>
      <c r="Y87" s="20">
        <v>0</v>
      </c>
      <c r="Z87" s="22">
        <v>0</v>
      </c>
      <c r="AA87" s="20">
        <v>0</v>
      </c>
      <c r="AB87" s="20">
        <v>0</v>
      </c>
      <c r="AC87" s="20">
        <v>0</v>
      </c>
      <c r="AD87" s="23">
        <f t="shared" ref="AD87:AE87" si="125">AD57</f>
        <v>50</v>
      </c>
      <c r="AE87" s="23">
        <f t="shared" si="125"/>
        <v>54</v>
      </c>
    </row>
    <row r="88" spans="1:31">
      <c r="A88" s="4">
        <v>1002</v>
      </c>
      <c r="B88" s="4">
        <v>27</v>
      </c>
      <c r="C88" s="19" t="s">
        <v>72</v>
      </c>
      <c r="D88" s="44">
        <f t="shared" si="73"/>
        <v>1701</v>
      </c>
      <c r="E88" s="18">
        <v>0</v>
      </c>
      <c r="F88" s="18">
        <v>0</v>
      </c>
      <c r="G88" s="18">
        <v>0</v>
      </c>
      <c r="H88" s="45">
        <v>0</v>
      </c>
      <c r="I88" s="21">
        <f t="shared" si="10"/>
        <v>385</v>
      </c>
      <c r="J88" s="21">
        <f t="shared" si="83"/>
        <v>26</v>
      </c>
      <c r="K88" s="21">
        <v>0</v>
      </c>
      <c r="L88" s="20">
        <v>6</v>
      </c>
      <c r="M88" s="20">
        <v>0</v>
      </c>
      <c r="N88" s="20">
        <f t="shared" si="11"/>
        <v>13500</v>
      </c>
      <c r="O88" s="19" t="s">
        <v>72</v>
      </c>
      <c r="P88" s="20">
        <v>2332</v>
      </c>
      <c r="Q88" s="20">
        <f t="shared" ref="Q88:X88" si="126">Q58</f>
        <v>1350</v>
      </c>
      <c r="R88" s="20">
        <f t="shared" si="126"/>
        <v>5400</v>
      </c>
      <c r="S88" s="20">
        <f t="shared" si="126"/>
        <v>9450</v>
      </c>
      <c r="T88" s="20">
        <f t="shared" si="126"/>
        <v>12150</v>
      </c>
      <c r="U88" s="20">
        <f t="shared" si="126"/>
        <v>80</v>
      </c>
      <c r="V88" s="20">
        <f t="shared" si="126"/>
        <v>700</v>
      </c>
      <c r="W88" s="20">
        <f t="shared" si="126"/>
        <v>800</v>
      </c>
      <c r="X88" s="20">
        <f t="shared" si="126"/>
        <v>7</v>
      </c>
      <c r="Y88" s="20">
        <v>0</v>
      </c>
      <c r="Z88" s="22">
        <v>0</v>
      </c>
      <c r="AA88" s="20">
        <v>0</v>
      </c>
      <c r="AB88" s="20">
        <v>0</v>
      </c>
      <c r="AC88" s="20">
        <v>0</v>
      </c>
      <c r="AD88" s="23">
        <f t="shared" ref="AD88:AE88" si="127">AD58</f>
        <v>52</v>
      </c>
      <c r="AE88" s="23">
        <f t="shared" si="127"/>
        <v>56</v>
      </c>
    </row>
    <row r="89" spans="1:31">
      <c r="A89" s="4">
        <v>1002</v>
      </c>
      <c r="B89" s="4">
        <v>28</v>
      </c>
      <c r="C89" s="19" t="s">
        <v>73</v>
      </c>
      <c r="D89" s="44">
        <f t="shared" si="73"/>
        <v>1842</v>
      </c>
      <c r="E89" s="18">
        <v>0</v>
      </c>
      <c r="F89" s="18">
        <v>0</v>
      </c>
      <c r="G89" s="18">
        <v>0</v>
      </c>
      <c r="H89" s="45">
        <v>0</v>
      </c>
      <c r="I89" s="21">
        <f t="shared" si="10"/>
        <v>385</v>
      </c>
      <c r="J89" s="21">
        <f t="shared" si="83"/>
        <v>27</v>
      </c>
      <c r="K89" s="21">
        <v>0</v>
      </c>
      <c r="L89" s="20">
        <v>6</v>
      </c>
      <c r="M89" s="20">
        <v>0</v>
      </c>
      <c r="N89" s="20">
        <f t="shared" si="11"/>
        <v>14000</v>
      </c>
      <c r="O89" s="19" t="s">
        <v>73</v>
      </c>
      <c r="P89" s="20">
        <v>1487</v>
      </c>
      <c r="Q89" s="20">
        <f t="shared" ref="Q89:X89" si="128">Q59</f>
        <v>1400</v>
      </c>
      <c r="R89" s="20">
        <f t="shared" si="128"/>
        <v>5600</v>
      </c>
      <c r="S89" s="20">
        <f t="shared" si="128"/>
        <v>9800</v>
      </c>
      <c r="T89" s="20">
        <f t="shared" si="128"/>
        <v>12600</v>
      </c>
      <c r="U89" s="20">
        <f t="shared" si="128"/>
        <v>80</v>
      </c>
      <c r="V89" s="20">
        <f t="shared" si="128"/>
        <v>500</v>
      </c>
      <c r="W89" s="20">
        <f t="shared" si="128"/>
        <v>600</v>
      </c>
      <c r="X89" s="20">
        <f t="shared" si="128"/>
        <v>7</v>
      </c>
      <c r="Y89" s="20">
        <f t="shared" si="75"/>
        <v>288</v>
      </c>
      <c r="Z89" s="22">
        <v>0</v>
      </c>
      <c r="AA89" s="20">
        <v>0</v>
      </c>
      <c r="AB89" s="20">
        <v>0</v>
      </c>
      <c r="AC89" s="20">
        <v>0</v>
      </c>
      <c r="AD89" s="23">
        <f t="shared" ref="AD89:AE89" si="129">AD59</f>
        <v>54</v>
      </c>
      <c r="AE89" s="23">
        <f t="shared" si="129"/>
        <v>58</v>
      </c>
    </row>
    <row r="90" spans="1:31">
      <c r="A90" s="4">
        <v>1002</v>
      </c>
      <c r="B90" s="4">
        <v>29</v>
      </c>
      <c r="C90" s="19" t="s">
        <v>74</v>
      </c>
      <c r="D90" s="44">
        <f t="shared" si="73"/>
        <v>1995</v>
      </c>
      <c r="E90" s="18">
        <v>0</v>
      </c>
      <c r="F90" s="18">
        <v>0</v>
      </c>
      <c r="G90" s="18">
        <v>0</v>
      </c>
      <c r="H90" s="45">
        <v>0</v>
      </c>
      <c r="I90" s="21">
        <f t="shared" si="10"/>
        <v>440</v>
      </c>
      <c r="J90" s="21">
        <f t="shared" si="83"/>
        <v>28</v>
      </c>
      <c r="K90" s="21">
        <v>0</v>
      </c>
      <c r="L90" s="20">
        <v>6</v>
      </c>
      <c r="M90" s="20">
        <v>0</v>
      </c>
      <c r="N90" s="20">
        <f t="shared" si="11"/>
        <v>14500</v>
      </c>
      <c r="O90" s="19" t="s">
        <v>74</v>
      </c>
      <c r="P90" s="20">
        <v>1518</v>
      </c>
      <c r="Q90" s="20">
        <f t="shared" ref="Q90:X90" si="130">Q60</f>
        <v>1450</v>
      </c>
      <c r="R90" s="20">
        <f t="shared" si="130"/>
        <v>5800</v>
      </c>
      <c r="S90" s="20">
        <f t="shared" si="130"/>
        <v>10150</v>
      </c>
      <c r="T90" s="20">
        <f t="shared" si="130"/>
        <v>13050</v>
      </c>
      <c r="U90" s="20">
        <f t="shared" si="130"/>
        <v>80</v>
      </c>
      <c r="V90" s="20">
        <f t="shared" si="130"/>
        <v>600</v>
      </c>
      <c r="W90" s="20">
        <f t="shared" si="130"/>
        <v>700</v>
      </c>
      <c r="X90" s="20">
        <f t="shared" si="130"/>
        <v>8</v>
      </c>
      <c r="Y90" s="20">
        <v>0</v>
      </c>
      <c r="Z90" s="22">
        <v>0</v>
      </c>
      <c r="AA90" s="20">
        <v>0</v>
      </c>
      <c r="AB90" s="20">
        <v>0</v>
      </c>
      <c r="AC90" s="20">
        <v>0</v>
      </c>
      <c r="AD90" s="23">
        <f t="shared" ref="AD90:AE90" si="131">AD60</f>
        <v>56</v>
      </c>
      <c r="AE90" s="23">
        <f t="shared" si="131"/>
        <v>60</v>
      </c>
    </row>
    <row r="91" spans="1:31">
      <c r="A91" s="4">
        <v>1002</v>
      </c>
      <c r="B91" s="4">
        <v>30</v>
      </c>
      <c r="C91" s="19" t="s">
        <v>75</v>
      </c>
      <c r="D91" s="44">
        <f t="shared" si="73"/>
        <v>2160</v>
      </c>
      <c r="E91" s="18">
        <v>0</v>
      </c>
      <c r="F91" s="18">
        <v>0</v>
      </c>
      <c r="G91" s="18">
        <v>0</v>
      </c>
      <c r="H91" s="45">
        <v>0</v>
      </c>
      <c r="I91" s="21">
        <f t="shared" si="10"/>
        <v>440</v>
      </c>
      <c r="J91" s="21">
        <f t="shared" si="83"/>
        <v>29</v>
      </c>
      <c r="K91" s="21">
        <v>0</v>
      </c>
      <c r="L91" s="20">
        <v>6</v>
      </c>
      <c r="M91" s="20">
        <v>0</v>
      </c>
      <c r="N91" s="20">
        <f t="shared" si="11"/>
        <v>15000</v>
      </c>
      <c r="O91" s="19" t="s">
        <v>75</v>
      </c>
      <c r="P91" s="20">
        <v>861</v>
      </c>
      <c r="Q91" s="20">
        <f t="shared" ref="Q91:X91" si="132">Q61</f>
        <v>1500</v>
      </c>
      <c r="R91" s="20">
        <f t="shared" si="132"/>
        <v>6000</v>
      </c>
      <c r="S91" s="20">
        <f t="shared" si="132"/>
        <v>10500</v>
      </c>
      <c r="T91" s="20">
        <f t="shared" si="132"/>
        <v>13500</v>
      </c>
      <c r="U91" s="20">
        <f t="shared" si="132"/>
        <v>20</v>
      </c>
      <c r="V91" s="20">
        <f t="shared" si="132"/>
        <v>450</v>
      </c>
      <c r="W91" s="20">
        <f t="shared" si="132"/>
        <v>1000</v>
      </c>
      <c r="X91" s="20">
        <f t="shared" si="132"/>
        <v>8</v>
      </c>
      <c r="Y91" s="20">
        <v>0</v>
      </c>
      <c r="Z91" s="22">
        <v>0</v>
      </c>
      <c r="AA91" s="20">
        <v>0</v>
      </c>
      <c r="AB91" s="20">
        <v>0</v>
      </c>
      <c r="AC91" s="20">
        <v>0</v>
      </c>
      <c r="AD91" s="23">
        <f t="shared" ref="AD91:AE91" si="133">AD61</f>
        <v>58</v>
      </c>
      <c r="AE91" s="23">
        <f t="shared" si="133"/>
        <v>62</v>
      </c>
    </row>
    <row r="92" spans="1:31" s="23" customFormat="1">
      <c r="A92" s="23">
        <v>1003</v>
      </c>
      <c r="B92" s="23">
        <v>1</v>
      </c>
      <c r="C92" s="24" t="s">
        <v>66</v>
      </c>
      <c r="D92" s="42">
        <f>D2*4</f>
        <v>288</v>
      </c>
      <c r="E92" s="26">
        <v>0</v>
      </c>
      <c r="F92" s="26">
        <v>0</v>
      </c>
      <c r="G92" s="26">
        <v>0</v>
      </c>
      <c r="H92" s="43">
        <v>0</v>
      </c>
      <c r="I92" s="21">
        <f t="shared" si="10"/>
        <v>55</v>
      </c>
      <c r="J92" s="21">
        <f t="shared" si="83"/>
        <v>0</v>
      </c>
      <c r="K92" s="21">
        <v>0</v>
      </c>
      <c r="L92" s="20">
        <v>45</v>
      </c>
      <c r="M92" s="20">
        <v>0</v>
      </c>
      <c r="N92" s="20">
        <f t="shared" si="11"/>
        <v>10</v>
      </c>
      <c r="O92" s="19" t="s">
        <v>66</v>
      </c>
      <c r="P92" s="20">
        <v>9400</v>
      </c>
      <c r="Q92" s="20">
        <f t="shared" ref="Q92:X92" si="134">Q62</f>
        <v>1</v>
      </c>
      <c r="R92" s="20">
        <f t="shared" si="134"/>
        <v>4</v>
      </c>
      <c r="S92" s="20">
        <f t="shared" si="134"/>
        <v>7</v>
      </c>
      <c r="T92" s="20">
        <f t="shared" si="134"/>
        <v>9</v>
      </c>
      <c r="U92" s="20">
        <f t="shared" si="134"/>
        <v>9400</v>
      </c>
      <c r="V92" s="20">
        <f t="shared" si="134"/>
        <v>9400</v>
      </c>
      <c r="W92" s="20">
        <f t="shared" si="134"/>
        <v>9400</v>
      </c>
      <c r="X92" s="20">
        <f t="shared" si="134"/>
        <v>1</v>
      </c>
      <c r="Y92" s="20">
        <f>INT(Y122*0.9)</f>
        <v>0</v>
      </c>
      <c r="Z92" s="25">
        <v>0</v>
      </c>
      <c r="AA92" s="23">
        <v>0</v>
      </c>
      <c r="AB92" s="23">
        <v>0</v>
      </c>
      <c r="AC92" s="23">
        <v>0</v>
      </c>
      <c r="AD92" s="23">
        <f t="shared" ref="AD92:AE92" si="135">AD62</f>
        <v>1</v>
      </c>
      <c r="AE92" s="23">
        <f t="shared" si="135"/>
        <v>3</v>
      </c>
    </row>
    <row r="93" spans="1:31" s="23" customFormat="1">
      <c r="A93" s="23">
        <v>1003</v>
      </c>
      <c r="B93" s="23">
        <v>2</v>
      </c>
      <c r="C93" s="24" t="s">
        <v>67</v>
      </c>
      <c r="D93" s="42">
        <f t="shared" ref="D93:D121" si="136">D3*4</f>
        <v>312</v>
      </c>
      <c r="E93" s="26">
        <v>0</v>
      </c>
      <c r="F93" s="26">
        <v>0</v>
      </c>
      <c r="G93" s="26">
        <v>0</v>
      </c>
      <c r="H93" s="43">
        <v>0</v>
      </c>
      <c r="I93" s="21">
        <f t="shared" si="10"/>
        <v>55</v>
      </c>
      <c r="J93" s="21">
        <f t="shared" si="83"/>
        <v>1</v>
      </c>
      <c r="K93" s="21">
        <v>0</v>
      </c>
      <c r="L93" s="20">
        <v>40</v>
      </c>
      <c r="M93" s="20">
        <v>0</v>
      </c>
      <c r="N93" s="20">
        <f t="shared" si="11"/>
        <v>20</v>
      </c>
      <c r="O93" s="19" t="s">
        <v>67</v>
      </c>
      <c r="P93" s="20">
        <v>9100</v>
      </c>
      <c r="Q93" s="20">
        <f t="shared" ref="Q93:X93" si="137">Q63</f>
        <v>2</v>
      </c>
      <c r="R93" s="20">
        <f t="shared" si="137"/>
        <v>8</v>
      </c>
      <c r="S93" s="20">
        <f t="shared" si="137"/>
        <v>14</v>
      </c>
      <c r="T93" s="20">
        <f t="shared" si="137"/>
        <v>18</v>
      </c>
      <c r="U93" s="20">
        <f t="shared" si="137"/>
        <v>4000</v>
      </c>
      <c r="V93" s="20">
        <f t="shared" si="137"/>
        <v>8000</v>
      </c>
      <c r="W93" s="20">
        <f t="shared" si="137"/>
        <v>8000</v>
      </c>
      <c r="X93" s="20">
        <f t="shared" si="137"/>
        <v>1</v>
      </c>
      <c r="Y93" s="20">
        <f t="shared" ref="Y93:Y119" si="138">INT(Y123*0.9)</f>
        <v>0</v>
      </c>
      <c r="Z93" s="25">
        <v>0</v>
      </c>
      <c r="AA93" s="23">
        <v>0</v>
      </c>
      <c r="AB93" s="23">
        <v>0</v>
      </c>
      <c r="AC93" s="23">
        <v>0</v>
      </c>
      <c r="AD93" s="23">
        <f t="shared" ref="AD93:AE93" si="139">AD63</f>
        <v>2</v>
      </c>
      <c r="AE93" s="23">
        <f t="shared" si="139"/>
        <v>5</v>
      </c>
    </row>
    <row r="94" spans="1:31" s="23" customFormat="1">
      <c r="A94" s="23">
        <v>1003</v>
      </c>
      <c r="B94" s="26">
        <v>3</v>
      </c>
      <c r="C94" s="24" t="s">
        <v>68</v>
      </c>
      <c r="D94" s="42">
        <f t="shared" si="136"/>
        <v>336</v>
      </c>
      <c r="E94" s="26">
        <v>0</v>
      </c>
      <c r="F94" s="26">
        <v>0</v>
      </c>
      <c r="G94" s="26">
        <v>0</v>
      </c>
      <c r="H94" s="43">
        <v>0</v>
      </c>
      <c r="I94" s="21">
        <f t="shared" si="10"/>
        <v>55</v>
      </c>
      <c r="J94" s="21">
        <f t="shared" si="83"/>
        <v>2</v>
      </c>
      <c r="K94" s="21">
        <v>0</v>
      </c>
      <c r="L94" s="20">
        <v>35</v>
      </c>
      <c r="M94" s="20">
        <v>0</v>
      </c>
      <c r="N94" s="20">
        <f t="shared" si="11"/>
        <v>40</v>
      </c>
      <c r="O94" s="19" t="s">
        <v>68</v>
      </c>
      <c r="P94" s="20">
        <v>8600</v>
      </c>
      <c r="Q94" s="20">
        <f t="shared" ref="Q94:X94" si="140">Q64</f>
        <v>4</v>
      </c>
      <c r="R94" s="20">
        <f t="shared" si="140"/>
        <v>16</v>
      </c>
      <c r="S94" s="20">
        <f t="shared" si="140"/>
        <v>28</v>
      </c>
      <c r="T94" s="20">
        <f t="shared" si="140"/>
        <v>36</v>
      </c>
      <c r="U94" s="20">
        <f t="shared" si="140"/>
        <v>1600</v>
      </c>
      <c r="V94" s="20">
        <f t="shared" si="140"/>
        <v>5000</v>
      </c>
      <c r="W94" s="20">
        <f t="shared" si="140"/>
        <v>6000</v>
      </c>
      <c r="X94" s="20">
        <f t="shared" si="140"/>
        <v>1</v>
      </c>
      <c r="Y94" s="20">
        <f t="shared" si="138"/>
        <v>0</v>
      </c>
      <c r="Z94" s="25">
        <v>0</v>
      </c>
      <c r="AA94" s="23">
        <v>0</v>
      </c>
      <c r="AB94" s="23">
        <v>0</v>
      </c>
      <c r="AC94" s="23">
        <v>0</v>
      </c>
      <c r="AD94" s="23">
        <f t="shared" ref="AD94:AE94" si="141">AD64</f>
        <v>4</v>
      </c>
      <c r="AE94" s="23">
        <f t="shared" si="141"/>
        <v>8</v>
      </c>
    </row>
    <row r="95" spans="1:31" s="23" customFormat="1">
      <c r="A95" s="23">
        <v>1003</v>
      </c>
      <c r="B95" s="23">
        <v>4</v>
      </c>
      <c r="C95" s="24" t="s">
        <v>69</v>
      </c>
      <c r="D95" s="42">
        <f t="shared" si="136"/>
        <v>364</v>
      </c>
      <c r="E95" s="26">
        <v>0</v>
      </c>
      <c r="F95" s="26">
        <v>0</v>
      </c>
      <c r="G95" s="26">
        <v>0</v>
      </c>
      <c r="H95" s="43">
        <v>0</v>
      </c>
      <c r="I95" s="21">
        <f t="shared" si="10"/>
        <v>55</v>
      </c>
      <c r="J95" s="21">
        <f t="shared" si="83"/>
        <v>3</v>
      </c>
      <c r="K95" s="21">
        <v>0</v>
      </c>
      <c r="L95" s="20">
        <v>30</v>
      </c>
      <c r="M95" s="20">
        <v>0</v>
      </c>
      <c r="N95" s="20">
        <f t="shared" si="11"/>
        <v>100</v>
      </c>
      <c r="O95" s="19" t="s">
        <v>69</v>
      </c>
      <c r="P95" s="20">
        <v>6400</v>
      </c>
      <c r="Q95" s="20">
        <f t="shared" ref="Q95:X95" si="142">Q65</f>
        <v>10</v>
      </c>
      <c r="R95" s="20">
        <f t="shared" si="142"/>
        <v>40</v>
      </c>
      <c r="S95" s="20">
        <f t="shared" si="142"/>
        <v>70</v>
      </c>
      <c r="T95" s="20">
        <f t="shared" si="142"/>
        <v>90</v>
      </c>
      <c r="U95" s="20">
        <f t="shared" si="142"/>
        <v>900</v>
      </c>
      <c r="V95" s="20">
        <f t="shared" si="142"/>
        <v>2000</v>
      </c>
      <c r="W95" s="20">
        <f t="shared" si="142"/>
        <v>8000</v>
      </c>
      <c r="X95" s="20">
        <f t="shared" si="142"/>
        <v>1</v>
      </c>
      <c r="Y95" s="20">
        <f t="shared" si="138"/>
        <v>0</v>
      </c>
      <c r="Z95" s="25">
        <v>0</v>
      </c>
      <c r="AA95" s="23">
        <v>0</v>
      </c>
      <c r="AB95" s="23">
        <v>0</v>
      </c>
      <c r="AC95" s="23">
        <v>0</v>
      </c>
      <c r="AD95" s="23">
        <f t="shared" ref="AD95:AE95" si="143">AD65</f>
        <v>6</v>
      </c>
      <c r="AE95" s="23">
        <f t="shared" si="143"/>
        <v>10</v>
      </c>
    </row>
    <row r="96" spans="1:31" s="23" customFormat="1">
      <c r="A96" s="23">
        <v>1003</v>
      </c>
      <c r="B96" s="23">
        <v>5</v>
      </c>
      <c r="C96" s="24" t="s">
        <v>70</v>
      </c>
      <c r="D96" s="42">
        <f t="shared" si="136"/>
        <v>396</v>
      </c>
      <c r="E96" s="26">
        <v>0</v>
      </c>
      <c r="F96" s="26">
        <v>0</v>
      </c>
      <c r="G96" s="26">
        <v>0</v>
      </c>
      <c r="H96" s="43">
        <v>0</v>
      </c>
      <c r="I96" s="21">
        <f t="shared" si="10"/>
        <v>110</v>
      </c>
      <c r="J96" s="21">
        <f t="shared" si="83"/>
        <v>4</v>
      </c>
      <c r="K96" s="21">
        <v>0</v>
      </c>
      <c r="L96" s="20">
        <v>25</v>
      </c>
      <c r="M96" s="20">
        <v>0</v>
      </c>
      <c r="N96" s="20">
        <f t="shared" si="11"/>
        <v>200</v>
      </c>
      <c r="O96" s="19" t="s">
        <v>70</v>
      </c>
      <c r="P96" s="20">
        <v>3100</v>
      </c>
      <c r="Q96" s="20">
        <f t="shared" ref="Q96:X96" si="144">Q66</f>
        <v>20</v>
      </c>
      <c r="R96" s="20">
        <f t="shared" si="144"/>
        <v>80</v>
      </c>
      <c r="S96" s="20">
        <f t="shared" si="144"/>
        <v>140</v>
      </c>
      <c r="T96" s="20">
        <f t="shared" si="144"/>
        <v>180</v>
      </c>
      <c r="U96" s="20">
        <f t="shared" si="144"/>
        <v>1000</v>
      </c>
      <c r="V96" s="20">
        <f t="shared" si="144"/>
        <v>2000</v>
      </c>
      <c r="W96" s="20">
        <f t="shared" si="144"/>
        <v>2000</v>
      </c>
      <c r="X96" s="20">
        <f t="shared" si="144"/>
        <v>2</v>
      </c>
      <c r="Y96" s="20">
        <f t="shared" si="138"/>
        <v>0</v>
      </c>
      <c r="Z96" s="25">
        <v>0</v>
      </c>
      <c r="AA96" s="23">
        <v>0</v>
      </c>
      <c r="AB96" s="23">
        <v>0</v>
      </c>
      <c r="AC96" s="23">
        <v>0</v>
      </c>
      <c r="AD96" s="23">
        <f t="shared" ref="AD96:AE96" si="145">AD66</f>
        <v>8</v>
      </c>
      <c r="AE96" s="23">
        <f t="shared" si="145"/>
        <v>12</v>
      </c>
    </row>
    <row r="97" spans="1:31" s="23" customFormat="1">
      <c r="A97" s="23">
        <v>1003</v>
      </c>
      <c r="B97" s="23">
        <v>6</v>
      </c>
      <c r="C97" s="24" t="s">
        <v>71</v>
      </c>
      <c r="D97" s="42">
        <f t="shared" si="136"/>
        <v>428</v>
      </c>
      <c r="E97" s="26">
        <v>0</v>
      </c>
      <c r="F97" s="26">
        <v>0</v>
      </c>
      <c r="G97" s="26">
        <v>0</v>
      </c>
      <c r="H97" s="43">
        <v>0</v>
      </c>
      <c r="I97" s="21">
        <f t="shared" ref="I97:I160" si="146">I67</f>
        <v>110</v>
      </c>
      <c r="J97" s="21">
        <f t="shared" si="83"/>
        <v>5</v>
      </c>
      <c r="K97" s="21">
        <v>0</v>
      </c>
      <c r="L97" s="20">
        <v>20</v>
      </c>
      <c r="M97" s="20">
        <v>0</v>
      </c>
      <c r="N97" s="20">
        <f t="shared" ref="N97:N160" si="147">N67</f>
        <v>500</v>
      </c>
      <c r="O97" s="19" t="s">
        <v>71</v>
      </c>
      <c r="P97" s="20">
        <v>1777</v>
      </c>
      <c r="Q97" s="20">
        <f t="shared" ref="Q97:X97" si="148">Q67</f>
        <v>50</v>
      </c>
      <c r="R97" s="20">
        <f t="shared" si="148"/>
        <v>200</v>
      </c>
      <c r="S97" s="20">
        <f t="shared" si="148"/>
        <v>350</v>
      </c>
      <c r="T97" s="20">
        <f t="shared" si="148"/>
        <v>450</v>
      </c>
      <c r="U97" s="20">
        <f t="shared" si="148"/>
        <v>800</v>
      </c>
      <c r="V97" s="20">
        <f t="shared" si="148"/>
        <v>800</v>
      </c>
      <c r="W97" s="20">
        <f t="shared" si="148"/>
        <v>600</v>
      </c>
      <c r="X97" s="20">
        <f t="shared" si="148"/>
        <v>2</v>
      </c>
      <c r="Y97" s="20">
        <f t="shared" si="138"/>
        <v>0</v>
      </c>
      <c r="Z97" s="25">
        <v>0</v>
      </c>
      <c r="AA97" s="23">
        <v>0</v>
      </c>
      <c r="AB97" s="23">
        <v>0</v>
      </c>
      <c r="AC97" s="23">
        <v>0</v>
      </c>
      <c r="AD97" s="23">
        <f t="shared" ref="AD97:AE97" si="149">AD67</f>
        <v>10</v>
      </c>
      <c r="AE97" s="23">
        <f t="shared" si="149"/>
        <v>14</v>
      </c>
    </row>
    <row r="98" spans="1:31" s="23" customFormat="1">
      <c r="A98" s="23">
        <v>1003</v>
      </c>
      <c r="B98" s="23">
        <v>7</v>
      </c>
      <c r="C98" s="24" t="s">
        <v>72</v>
      </c>
      <c r="D98" s="42">
        <f t="shared" si="136"/>
        <v>464</v>
      </c>
      <c r="E98" s="26">
        <v>0</v>
      </c>
      <c r="F98" s="26">
        <v>0</v>
      </c>
      <c r="G98" s="26">
        <v>0</v>
      </c>
      <c r="H98" s="43">
        <v>0</v>
      </c>
      <c r="I98" s="21">
        <f t="shared" si="146"/>
        <v>110</v>
      </c>
      <c r="J98" s="21">
        <f t="shared" si="83"/>
        <v>6</v>
      </c>
      <c r="K98" s="21">
        <v>0</v>
      </c>
      <c r="L98" s="20">
        <v>16</v>
      </c>
      <c r="M98" s="20">
        <v>0</v>
      </c>
      <c r="N98" s="20">
        <f t="shared" si="147"/>
        <v>700</v>
      </c>
      <c r="O98" s="19" t="s">
        <v>72</v>
      </c>
      <c r="P98" s="20">
        <v>2332</v>
      </c>
      <c r="Q98" s="20">
        <f t="shared" ref="Q98:X98" si="150">Q68</f>
        <v>70</v>
      </c>
      <c r="R98" s="20">
        <f t="shared" si="150"/>
        <v>280</v>
      </c>
      <c r="S98" s="20">
        <f t="shared" si="150"/>
        <v>489.99999999999994</v>
      </c>
      <c r="T98" s="20">
        <f t="shared" si="150"/>
        <v>630</v>
      </c>
      <c r="U98" s="20">
        <f t="shared" si="150"/>
        <v>650</v>
      </c>
      <c r="V98" s="20">
        <f t="shared" si="150"/>
        <v>800</v>
      </c>
      <c r="W98" s="20">
        <f t="shared" si="150"/>
        <v>300</v>
      </c>
      <c r="X98" s="20">
        <f t="shared" si="150"/>
        <v>2</v>
      </c>
      <c r="Y98" s="20">
        <f t="shared" si="138"/>
        <v>0</v>
      </c>
      <c r="Z98" s="25">
        <v>0</v>
      </c>
      <c r="AA98" s="23">
        <v>0</v>
      </c>
      <c r="AB98" s="23">
        <v>0</v>
      </c>
      <c r="AC98" s="23">
        <v>0</v>
      </c>
      <c r="AD98" s="23">
        <f t="shared" ref="AD98:AE98" si="151">AD68</f>
        <v>12</v>
      </c>
      <c r="AE98" s="23">
        <f t="shared" si="151"/>
        <v>16</v>
      </c>
    </row>
    <row r="99" spans="1:31" s="23" customFormat="1">
      <c r="A99" s="23">
        <v>1003</v>
      </c>
      <c r="B99" s="23">
        <v>8</v>
      </c>
      <c r="C99" s="24" t="s">
        <v>73</v>
      </c>
      <c r="D99" s="42">
        <f t="shared" si="136"/>
        <v>504</v>
      </c>
      <c r="E99" s="26">
        <v>0</v>
      </c>
      <c r="F99" s="26">
        <v>0</v>
      </c>
      <c r="G99" s="26">
        <v>0</v>
      </c>
      <c r="H99" s="43">
        <v>0</v>
      </c>
      <c r="I99" s="21">
        <f t="shared" si="146"/>
        <v>110</v>
      </c>
      <c r="J99" s="21">
        <f t="shared" si="83"/>
        <v>7</v>
      </c>
      <c r="K99" s="21">
        <v>0</v>
      </c>
      <c r="L99" s="20">
        <v>12</v>
      </c>
      <c r="M99" s="20">
        <v>0</v>
      </c>
      <c r="N99" s="20">
        <f t="shared" si="147"/>
        <v>800</v>
      </c>
      <c r="O99" s="19" t="s">
        <v>73</v>
      </c>
      <c r="P99" s="20">
        <v>1487</v>
      </c>
      <c r="Q99" s="20">
        <f t="shared" ref="Q99:X99" si="152">Q69</f>
        <v>80</v>
      </c>
      <c r="R99" s="20">
        <f t="shared" si="152"/>
        <v>320</v>
      </c>
      <c r="S99" s="20">
        <f t="shared" si="152"/>
        <v>560</v>
      </c>
      <c r="T99" s="20">
        <f t="shared" si="152"/>
        <v>720</v>
      </c>
      <c r="U99" s="20">
        <f t="shared" si="152"/>
        <v>200</v>
      </c>
      <c r="V99" s="20">
        <f t="shared" si="152"/>
        <v>2000</v>
      </c>
      <c r="W99" s="20">
        <f t="shared" si="152"/>
        <v>1000</v>
      </c>
      <c r="X99" s="20">
        <f t="shared" si="152"/>
        <v>2</v>
      </c>
      <c r="Y99" s="20">
        <f t="shared" si="138"/>
        <v>64</v>
      </c>
      <c r="Z99" s="25">
        <v>0</v>
      </c>
      <c r="AA99" s="23">
        <v>0</v>
      </c>
      <c r="AB99" s="23">
        <v>0</v>
      </c>
      <c r="AC99" s="23">
        <v>0</v>
      </c>
      <c r="AD99" s="23">
        <f t="shared" ref="AD99:AE99" si="153">AD69</f>
        <v>14</v>
      </c>
      <c r="AE99" s="23">
        <f t="shared" si="153"/>
        <v>18</v>
      </c>
    </row>
    <row r="100" spans="1:31" s="23" customFormat="1">
      <c r="A100" s="23">
        <v>1003</v>
      </c>
      <c r="B100" s="23">
        <v>9</v>
      </c>
      <c r="C100" s="24" t="s">
        <v>74</v>
      </c>
      <c r="D100" s="42">
        <f t="shared" si="136"/>
        <v>544</v>
      </c>
      <c r="E100" s="26">
        <v>0</v>
      </c>
      <c r="F100" s="26">
        <v>0</v>
      </c>
      <c r="G100" s="26">
        <v>0</v>
      </c>
      <c r="H100" s="43">
        <v>0</v>
      </c>
      <c r="I100" s="21">
        <f t="shared" si="146"/>
        <v>165</v>
      </c>
      <c r="J100" s="21">
        <f t="shared" si="83"/>
        <v>8</v>
      </c>
      <c r="K100" s="21">
        <v>0</v>
      </c>
      <c r="L100" s="20">
        <v>8</v>
      </c>
      <c r="M100" s="20">
        <v>0</v>
      </c>
      <c r="N100" s="20">
        <f t="shared" si="147"/>
        <v>900</v>
      </c>
      <c r="O100" s="19" t="s">
        <v>74</v>
      </c>
      <c r="P100" s="20">
        <v>1518</v>
      </c>
      <c r="Q100" s="20">
        <f t="shared" ref="Q100:X100" si="154">Q70</f>
        <v>90</v>
      </c>
      <c r="R100" s="20">
        <f t="shared" si="154"/>
        <v>360</v>
      </c>
      <c r="S100" s="20">
        <f t="shared" si="154"/>
        <v>630</v>
      </c>
      <c r="T100" s="20">
        <f t="shared" si="154"/>
        <v>810</v>
      </c>
      <c r="U100" s="20">
        <f t="shared" si="154"/>
        <v>120</v>
      </c>
      <c r="V100" s="20">
        <f t="shared" si="154"/>
        <v>1500</v>
      </c>
      <c r="W100" s="20">
        <f t="shared" si="154"/>
        <v>1000</v>
      </c>
      <c r="X100" s="20">
        <f t="shared" si="154"/>
        <v>3</v>
      </c>
      <c r="Y100" s="20">
        <v>0</v>
      </c>
      <c r="Z100" s="25">
        <v>0</v>
      </c>
      <c r="AA100" s="23">
        <v>0</v>
      </c>
      <c r="AB100" s="23">
        <v>0</v>
      </c>
      <c r="AC100" s="23">
        <v>0</v>
      </c>
      <c r="AD100" s="23">
        <f t="shared" ref="AD100:AE100" si="155">AD70</f>
        <v>16</v>
      </c>
      <c r="AE100" s="23">
        <f t="shared" si="155"/>
        <v>20</v>
      </c>
    </row>
    <row r="101" spans="1:31" s="23" customFormat="1">
      <c r="A101" s="23">
        <v>1003</v>
      </c>
      <c r="B101" s="23">
        <v>10</v>
      </c>
      <c r="C101" s="24" t="s">
        <v>75</v>
      </c>
      <c r="D101" s="42">
        <f t="shared" si="136"/>
        <v>588</v>
      </c>
      <c r="E101" s="26">
        <v>0</v>
      </c>
      <c r="F101" s="26">
        <v>0</v>
      </c>
      <c r="G101" s="26">
        <v>0</v>
      </c>
      <c r="H101" s="43">
        <v>0</v>
      </c>
      <c r="I101" s="21">
        <f t="shared" si="146"/>
        <v>165</v>
      </c>
      <c r="J101" s="21">
        <f t="shared" si="83"/>
        <v>9</v>
      </c>
      <c r="K101" s="21">
        <v>0</v>
      </c>
      <c r="L101" s="20">
        <v>6</v>
      </c>
      <c r="M101" s="20">
        <v>0</v>
      </c>
      <c r="N101" s="20">
        <f t="shared" si="147"/>
        <v>2000</v>
      </c>
      <c r="O101" s="19" t="s">
        <v>75</v>
      </c>
      <c r="P101" s="20">
        <v>861</v>
      </c>
      <c r="Q101" s="20">
        <f t="shared" ref="Q101:X101" si="156">Q71</f>
        <v>200</v>
      </c>
      <c r="R101" s="20">
        <f t="shared" si="156"/>
        <v>800</v>
      </c>
      <c r="S101" s="20">
        <f t="shared" si="156"/>
        <v>1400</v>
      </c>
      <c r="T101" s="20">
        <f t="shared" si="156"/>
        <v>1800</v>
      </c>
      <c r="U101" s="20">
        <f t="shared" si="156"/>
        <v>150</v>
      </c>
      <c r="V101" s="20">
        <f t="shared" si="156"/>
        <v>5000</v>
      </c>
      <c r="W101" s="20">
        <f t="shared" si="156"/>
        <v>800</v>
      </c>
      <c r="X101" s="20">
        <f t="shared" si="156"/>
        <v>3</v>
      </c>
      <c r="Y101" s="20">
        <v>0</v>
      </c>
      <c r="Z101" s="25">
        <v>0</v>
      </c>
      <c r="AA101" s="23">
        <v>0</v>
      </c>
      <c r="AB101" s="23">
        <v>0</v>
      </c>
      <c r="AC101" s="23">
        <v>0</v>
      </c>
      <c r="AD101" s="23">
        <f t="shared" ref="AD101:AE101" si="157">AD71</f>
        <v>18</v>
      </c>
      <c r="AE101" s="23">
        <f t="shared" si="157"/>
        <v>22</v>
      </c>
    </row>
    <row r="102" spans="1:31" s="23" customFormat="1">
      <c r="A102" s="23">
        <v>1003</v>
      </c>
      <c r="B102" s="23">
        <v>11</v>
      </c>
      <c r="C102" s="24" t="s">
        <v>66</v>
      </c>
      <c r="D102" s="42">
        <f t="shared" si="136"/>
        <v>636</v>
      </c>
      <c r="E102" s="26">
        <v>0</v>
      </c>
      <c r="F102" s="26">
        <v>0</v>
      </c>
      <c r="G102" s="26">
        <v>0</v>
      </c>
      <c r="H102" s="43">
        <v>0</v>
      </c>
      <c r="I102" s="21">
        <f t="shared" si="146"/>
        <v>165</v>
      </c>
      <c r="J102" s="21">
        <f t="shared" si="83"/>
        <v>10</v>
      </c>
      <c r="K102" s="21">
        <v>0</v>
      </c>
      <c r="L102" s="20">
        <v>6</v>
      </c>
      <c r="M102" s="20">
        <v>0</v>
      </c>
      <c r="N102" s="20">
        <f t="shared" si="147"/>
        <v>2200</v>
      </c>
      <c r="O102" s="19" t="s">
        <v>66</v>
      </c>
      <c r="P102" s="20">
        <v>9400</v>
      </c>
      <c r="Q102" s="20">
        <f t="shared" ref="Q102:X102" si="158">Q72</f>
        <v>220</v>
      </c>
      <c r="R102" s="20">
        <f t="shared" si="158"/>
        <v>880</v>
      </c>
      <c r="S102" s="20">
        <f t="shared" si="158"/>
        <v>1540</v>
      </c>
      <c r="T102" s="20">
        <f t="shared" si="158"/>
        <v>1980</v>
      </c>
      <c r="U102" s="20">
        <f t="shared" si="158"/>
        <v>100</v>
      </c>
      <c r="V102" s="20">
        <f t="shared" si="158"/>
        <v>800</v>
      </c>
      <c r="W102" s="20">
        <f t="shared" si="158"/>
        <v>600</v>
      </c>
      <c r="X102" s="20">
        <f t="shared" si="158"/>
        <v>3</v>
      </c>
      <c r="Y102" s="20">
        <v>0</v>
      </c>
      <c r="Z102" s="25">
        <v>0</v>
      </c>
      <c r="AA102" s="23">
        <v>0</v>
      </c>
      <c r="AB102" s="23">
        <v>0</v>
      </c>
      <c r="AC102" s="23">
        <v>0</v>
      </c>
      <c r="AD102" s="23">
        <f t="shared" ref="AD102:AE102" si="159">AD72</f>
        <v>20</v>
      </c>
      <c r="AE102" s="23">
        <f t="shared" si="159"/>
        <v>24</v>
      </c>
    </row>
    <row r="103" spans="1:31" s="23" customFormat="1">
      <c r="A103" s="23">
        <v>1003</v>
      </c>
      <c r="B103" s="23">
        <v>12</v>
      </c>
      <c r="C103" s="24" t="s">
        <v>67</v>
      </c>
      <c r="D103" s="42">
        <f t="shared" si="136"/>
        <v>688</v>
      </c>
      <c r="E103" s="26">
        <v>0</v>
      </c>
      <c r="F103" s="26">
        <v>0</v>
      </c>
      <c r="G103" s="26">
        <v>0</v>
      </c>
      <c r="H103" s="43">
        <v>0</v>
      </c>
      <c r="I103" s="21">
        <f t="shared" si="146"/>
        <v>165</v>
      </c>
      <c r="J103" s="21">
        <f t="shared" si="83"/>
        <v>11</v>
      </c>
      <c r="K103" s="21">
        <v>0</v>
      </c>
      <c r="L103" s="20">
        <v>6</v>
      </c>
      <c r="M103" s="20">
        <v>0</v>
      </c>
      <c r="N103" s="20">
        <f t="shared" si="147"/>
        <v>2400</v>
      </c>
      <c r="O103" s="19" t="s">
        <v>67</v>
      </c>
      <c r="P103" s="20">
        <v>9100</v>
      </c>
      <c r="Q103" s="20">
        <f t="shared" ref="Q103:X103" si="160">Q73</f>
        <v>240</v>
      </c>
      <c r="R103" s="20">
        <f t="shared" si="160"/>
        <v>960</v>
      </c>
      <c r="S103" s="20">
        <f t="shared" si="160"/>
        <v>1680</v>
      </c>
      <c r="T103" s="20">
        <f t="shared" si="160"/>
        <v>2160</v>
      </c>
      <c r="U103" s="20">
        <f t="shared" si="160"/>
        <v>150</v>
      </c>
      <c r="V103" s="20">
        <f t="shared" si="160"/>
        <v>700</v>
      </c>
      <c r="W103" s="20">
        <f t="shared" si="160"/>
        <v>900</v>
      </c>
      <c r="X103" s="20">
        <f t="shared" si="160"/>
        <v>3</v>
      </c>
      <c r="Y103" s="20">
        <v>0</v>
      </c>
      <c r="Z103" s="25">
        <v>0</v>
      </c>
      <c r="AA103" s="23">
        <v>0</v>
      </c>
      <c r="AB103" s="23">
        <v>0</v>
      </c>
      <c r="AC103" s="23">
        <v>0</v>
      </c>
      <c r="AD103" s="23">
        <f t="shared" ref="AD103:AE103" si="161">AD73</f>
        <v>22</v>
      </c>
      <c r="AE103" s="23">
        <f t="shared" si="161"/>
        <v>26</v>
      </c>
    </row>
    <row r="104" spans="1:31" s="23" customFormat="1">
      <c r="A104" s="23">
        <v>1003</v>
      </c>
      <c r="B104" s="23">
        <v>13</v>
      </c>
      <c r="C104" s="24" t="s">
        <v>68</v>
      </c>
      <c r="D104" s="42">
        <f t="shared" si="136"/>
        <v>748</v>
      </c>
      <c r="E104" s="26">
        <v>0</v>
      </c>
      <c r="F104" s="26">
        <v>0</v>
      </c>
      <c r="G104" s="26">
        <v>0</v>
      </c>
      <c r="H104" s="43">
        <v>0</v>
      </c>
      <c r="I104" s="21">
        <f t="shared" si="146"/>
        <v>220</v>
      </c>
      <c r="J104" s="21">
        <f t="shared" si="83"/>
        <v>12</v>
      </c>
      <c r="K104" s="21">
        <v>0</v>
      </c>
      <c r="L104" s="20">
        <v>6</v>
      </c>
      <c r="M104" s="20">
        <v>0</v>
      </c>
      <c r="N104" s="20">
        <f t="shared" si="147"/>
        <v>2600</v>
      </c>
      <c r="O104" s="19" t="s">
        <v>68</v>
      </c>
      <c r="P104" s="20">
        <v>8600</v>
      </c>
      <c r="Q104" s="20">
        <f t="shared" ref="Q104:X104" si="162">Q74</f>
        <v>260</v>
      </c>
      <c r="R104" s="20">
        <f t="shared" si="162"/>
        <v>1040</v>
      </c>
      <c r="S104" s="20">
        <f t="shared" si="162"/>
        <v>1819.9999999999998</v>
      </c>
      <c r="T104" s="20">
        <f t="shared" si="162"/>
        <v>2340</v>
      </c>
      <c r="U104" s="20">
        <f t="shared" si="162"/>
        <v>100</v>
      </c>
      <c r="V104" s="20">
        <f t="shared" si="162"/>
        <v>700</v>
      </c>
      <c r="W104" s="20">
        <f t="shared" si="162"/>
        <v>1000</v>
      </c>
      <c r="X104" s="20">
        <f t="shared" si="162"/>
        <v>4</v>
      </c>
      <c r="Y104" s="20">
        <f t="shared" si="138"/>
        <v>129</v>
      </c>
      <c r="Z104" s="25">
        <v>0</v>
      </c>
      <c r="AA104" s="23">
        <v>0</v>
      </c>
      <c r="AB104" s="23">
        <v>0</v>
      </c>
      <c r="AC104" s="23">
        <v>0</v>
      </c>
      <c r="AD104" s="23">
        <f t="shared" ref="AD104:AE104" si="163">AD74</f>
        <v>24</v>
      </c>
      <c r="AE104" s="23">
        <f t="shared" si="163"/>
        <v>28</v>
      </c>
    </row>
    <row r="105" spans="1:31" s="23" customFormat="1">
      <c r="A105" s="23">
        <v>1003</v>
      </c>
      <c r="B105" s="23">
        <v>14</v>
      </c>
      <c r="C105" s="24" t="s">
        <v>69</v>
      </c>
      <c r="D105" s="42">
        <f t="shared" si="136"/>
        <v>808</v>
      </c>
      <c r="E105" s="26">
        <v>0</v>
      </c>
      <c r="F105" s="26">
        <v>0</v>
      </c>
      <c r="G105" s="26">
        <v>0</v>
      </c>
      <c r="H105" s="43">
        <v>0</v>
      </c>
      <c r="I105" s="21">
        <f t="shared" si="146"/>
        <v>220</v>
      </c>
      <c r="J105" s="21">
        <f t="shared" si="83"/>
        <v>13</v>
      </c>
      <c r="K105" s="21">
        <v>0</v>
      </c>
      <c r="L105" s="20">
        <v>6</v>
      </c>
      <c r="M105" s="20">
        <v>0</v>
      </c>
      <c r="N105" s="20">
        <f t="shared" si="147"/>
        <v>2800</v>
      </c>
      <c r="O105" s="19" t="s">
        <v>69</v>
      </c>
      <c r="P105" s="20">
        <v>6400</v>
      </c>
      <c r="Q105" s="20">
        <f t="shared" ref="Q105:X105" si="164">Q75</f>
        <v>280</v>
      </c>
      <c r="R105" s="20">
        <f t="shared" si="164"/>
        <v>1120</v>
      </c>
      <c r="S105" s="20">
        <f t="shared" si="164"/>
        <v>1959.9999999999998</v>
      </c>
      <c r="T105" s="20">
        <f t="shared" si="164"/>
        <v>2520</v>
      </c>
      <c r="U105" s="20">
        <f t="shared" si="164"/>
        <v>100</v>
      </c>
      <c r="V105" s="20">
        <f t="shared" si="164"/>
        <v>400</v>
      </c>
      <c r="W105" s="20">
        <f t="shared" si="164"/>
        <v>1200</v>
      </c>
      <c r="X105" s="20">
        <f t="shared" si="164"/>
        <v>4</v>
      </c>
      <c r="Y105" s="20">
        <v>0</v>
      </c>
      <c r="Z105" s="25">
        <v>0</v>
      </c>
      <c r="AA105" s="23">
        <v>0</v>
      </c>
      <c r="AB105" s="23">
        <v>0</v>
      </c>
      <c r="AC105" s="23">
        <v>0</v>
      </c>
      <c r="AD105" s="23">
        <f t="shared" ref="AD105:AE105" si="165">AD75</f>
        <v>26</v>
      </c>
      <c r="AE105" s="23">
        <f t="shared" si="165"/>
        <v>30</v>
      </c>
    </row>
    <row r="106" spans="1:31" s="23" customFormat="1">
      <c r="A106" s="23">
        <v>1003</v>
      </c>
      <c r="B106" s="26">
        <v>15</v>
      </c>
      <c r="C106" s="24" t="s">
        <v>70</v>
      </c>
      <c r="D106" s="42">
        <f t="shared" si="136"/>
        <v>876</v>
      </c>
      <c r="E106" s="26">
        <v>0</v>
      </c>
      <c r="F106" s="26">
        <v>0</v>
      </c>
      <c r="G106" s="26">
        <v>0</v>
      </c>
      <c r="H106" s="43">
        <v>0</v>
      </c>
      <c r="I106" s="21">
        <f t="shared" si="146"/>
        <v>220</v>
      </c>
      <c r="J106" s="21">
        <f t="shared" si="83"/>
        <v>14</v>
      </c>
      <c r="K106" s="21">
        <v>0</v>
      </c>
      <c r="L106" s="20">
        <v>6</v>
      </c>
      <c r="M106" s="20">
        <v>0</v>
      </c>
      <c r="N106" s="20">
        <f t="shared" si="147"/>
        <v>4500</v>
      </c>
      <c r="O106" s="19" t="s">
        <v>70</v>
      </c>
      <c r="P106" s="20">
        <v>3100</v>
      </c>
      <c r="Q106" s="20">
        <f t="shared" ref="Q106:X106" si="166">Q76</f>
        <v>450</v>
      </c>
      <c r="R106" s="20">
        <f t="shared" si="166"/>
        <v>1800</v>
      </c>
      <c r="S106" s="20">
        <f t="shared" si="166"/>
        <v>3150</v>
      </c>
      <c r="T106" s="20">
        <f t="shared" si="166"/>
        <v>4050</v>
      </c>
      <c r="U106" s="20">
        <f t="shared" si="166"/>
        <v>100</v>
      </c>
      <c r="V106" s="20">
        <f t="shared" si="166"/>
        <v>1000</v>
      </c>
      <c r="W106" s="20">
        <f t="shared" si="166"/>
        <v>600</v>
      </c>
      <c r="X106" s="20">
        <f t="shared" si="166"/>
        <v>4</v>
      </c>
      <c r="Y106" s="20">
        <v>0</v>
      </c>
      <c r="Z106" s="25">
        <v>0</v>
      </c>
      <c r="AA106" s="23">
        <v>0</v>
      </c>
      <c r="AB106" s="23">
        <v>0</v>
      </c>
      <c r="AC106" s="23">
        <v>0</v>
      </c>
      <c r="AD106" s="23">
        <f t="shared" ref="AD106:AE106" si="167">AD76</f>
        <v>28</v>
      </c>
      <c r="AE106" s="23">
        <f t="shared" si="167"/>
        <v>32</v>
      </c>
    </row>
    <row r="107" spans="1:31" s="23" customFormat="1">
      <c r="A107" s="23">
        <v>1003</v>
      </c>
      <c r="B107" s="23">
        <v>16</v>
      </c>
      <c r="C107" s="24" t="s">
        <v>71</v>
      </c>
      <c r="D107" s="42">
        <f t="shared" si="136"/>
        <v>948</v>
      </c>
      <c r="E107" s="26">
        <v>0</v>
      </c>
      <c r="F107" s="26">
        <v>0</v>
      </c>
      <c r="G107" s="26">
        <v>0</v>
      </c>
      <c r="H107" s="43">
        <v>0</v>
      </c>
      <c r="I107" s="21">
        <f t="shared" si="146"/>
        <v>220</v>
      </c>
      <c r="J107" s="21">
        <f t="shared" si="83"/>
        <v>15</v>
      </c>
      <c r="K107" s="21">
        <v>0</v>
      </c>
      <c r="L107" s="20">
        <v>6</v>
      </c>
      <c r="M107" s="20">
        <v>0</v>
      </c>
      <c r="N107" s="20">
        <f t="shared" si="147"/>
        <v>4800</v>
      </c>
      <c r="O107" s="19" t="s">
        <v>71</v>
      </c>
      <c r="P107" s="20">
        <v>1777</v>
      </c>
      <c r="Q107" s="20">
        <f t="shared" ref="Q107:X107" si="168">Q77</f>
        <v>480</v>
      </c>
      <c r="R107" s="20">
        <f t="shared" si="168"/>
        <v>1920</v>
      </c>
      <c r="S107" s="20">
        <f t="shared" si="168"/>
        <v>3360</v>
      </c>
      <c r="T107" s="20">
        <f t="shared" si="168"/>
        <v>4320</v>
      </c>
      <c r="U107" s="20">
        <f t="shared" si="168"/>
        <v>100</v>
      </c>
      <c r="V107" s="20">
        <f t="shared" si="168"/>
        <v>800</v>
      </c>
      <c r="W107" s="20">
        <f t="shared" si="168"/>
        <v>800</v>
      </c>
      <c r="X107" s="20">
        <f t="shared" si="168"/>
        <v>4</v>
      </c>
      <c r="Y107" s="20">
        <v>0</v>
      </c>
      <c r="Z107" s="25">
        <v>0</v>
      </c>
      <c r="AA107" s="23">
        <v>0</v>
      </c>
      <c r="AB107" s="23">
        <v>0</v>
      </c>
      <c r="AC107" s="23">
        <v>0</v>
      </c>
      <c r="AD107" s="23">
        <f t="shared" ref="AD107:AE107" si="169">AD77</f>
        <v>30</v>
      </c>
      <c r="AE107" s="23">
        <f t="shared" si="169"/>
        <v>34</v>
      </c>
    </row>
    <row r="108" spans="1:31" s="23" customFormat="1">
      <c r="A108" s="23">
        <v>1003</v>
      </c>
      <c r="B108" s="23">
        <v>17</v>
      </c>
      <c r="C108" s="24" t="s">
        <v>72</v>
      </c>
      <c r="D108" s="42">
        <f t="shared" si="136"/>
        <v>1024</v>
      </c>
      <c r="E108" s="26">
        <v>0</v>
      </c>
      <c r="F108" s="26">
        <v>0</v>
      </c>
      <c r="G108" s="26">
        <v>0</v>
      </c>
      <c r="H108" s="43">
        <v>0</v>
      </c>
      <c r="I108" s="21">
        <f t="shared" si="146"/>
        <v>275</v>
      </c>
      <c r="J108" s="21">
        <f t="shared" si="83"/>
        <v>16</v>
      </c>
      <c r="K108" s="21">
        <v>0</v>
      </c>
      <c r="L108" s="20">
        <v>6</v>
      </c>
      <c r="M108" s="20">
        <v>0</v>
      </c>
      <c r="N108" s="20">
        <f t="shared" si="147"/>
        <v>5100</v>
      </c>
      <c r="O108" s="19" t="s">
        <v>72</v>
      </c>
      <c r="P108" s="20">
        <v>2332</v>
      </c>
      <c r="Q108" s="20">
        <f t="shared" ref="Q108:X108" si="170">Q78</f>
        <v>510</v>
      </c>
      <c r="R108" s="20">
        <f t="shared" si="170"/>
        <v>2040</v>
      </c>
      <c r="S108" s="20">
        <f t="shared" si="170"/>
        <v>3570</v>
      </c>
      <c r="T108" s="20">
        <f t="shared" si="170"/>
        <v>4590</v>
      </c>
      <c r="U108" s="20">
        <f t="shared" si="170"/>
        <v>80</v>
      </c>
      <c r="V108" s="20">
        <f t="shared" si="170"/>
        <v>800</v>
      </c>
      <c r="W108" s="20">
        <f t="shared" si="170"/>
        <v>600</v>
      </c>
      <c r="X108" s="20">
        <f t="shared" si="170"/>
        <v>5</v>
      </c>
      <c r="Y108" s="20">
        <v>0</v>
      </c>
      <c r="Z108" s="25">
        <v>0</v>
      </c>
      <c r="AA108" s="23">
        <v>0</v>
      </c>
      <c r="AB108" s="23">
        <v>0</v>
      </c>
      <c r="AC108" s="23">
        <v>0</v>
      </c>
      <c r="AD108" s="23">
        <f t="shared" ref="AD108:AE108" si="171">AD78</f>
        <v>32</v>
      </c>
      <c r="AE108" s="23">
        <f t="shared" si="171"/>
        <v>36</v>
      </c>
    </row>
    <row r="109" spans="1:31" s="23" customFormat="1">
      <c r="A109" s="23">
        <v>1003</v>
      </c>
      <c r="B109" s="23">
        <v>18</v>
      </c>
      <c r="C109" s="24" t="s">
        <v>73</v>
      </c>
      <c r="D109" s="42">
        <f t="shared" si="136"/>
        <v>1112</v>
      </c>
      <c r="E109" s="26">
        <v>0</v>
      </c>
      <c r="F109" s="26">
        <v>0</v>
      </c>
      <c r="G109" s="26">
        <v>0</v>
      </c>
      <c r="H109" s="43">
        <v>0</v>
      </c>
      <c r="I109" s="21">
        <f t="shared" si="146"/>
        <v>275</v>
      </c>
      <c r="J109" s="21">
        <f t="shared" si="83"/>
        <v>17</v>
      </c>
      <c r="K109" s="21">
        <v>0</v>
      </c>
      <c r="L109" s="20">
        <v>6</v>
      </c>
      <c r="M109" s="20">
        <v>0</v>
      </c>
      <c r="N109" s="20">
        <f t="shared" si="147"/>
        <v>5400</v>
      </c>
      <c r="O109" s="19" t="s">
        <v>73</v>
      </c>
      <c r="P109" s="20">
        <v>1487</v>
      </c>
      <c r="Q109" s="20">
        <f t="shared" ref="Q109:X109" si="172">Q79</f>
        <v>540</v>
      </c>
      <c r="R109" s="20">
        <f t="shared" si="172"/>
        <v>2160</v>
      </c>
      <c r="S109" s="20">
        <f t="shared" si="172"/>
        <v>3779.9999999999995</v>
      </c>
      <c r="T109" s="20">
        <f t="shared" si="172"/>
        <v>4860</v>
      </c>
      <c r="U109" s="20">
        <f t="shared" si="172"/>
        <v>100</v>
      </c>
      <c r="V109" s="20">
        <f t="shared" si="172"/>
        <v>600</v>
      </c>
      <c r="W109" s="20">
        <f t="shared" si="172"/>
        <v>300</v>
      </c>
      <c r="X109" s="20">
        <f t="shared" si="172"/>
        <v>5</v>
      </c>
      <c r="Y109" s="20">
        <f t="shared" si="138"/>
        <v>194</v>
      </c>
      <c r="Z109" s="25">
        <v>0</v>
      </c>
      <c r="AA109" s="23">
        <v>0</v>
      </c>
      <c r="AB109" s="23">
        <v>0</v>
      </c>
      <c r="AC109" s="23">
        <v>0</v>
      </c>
      <c r="AD109" s="23">
        <f t="shared" ref="AD109:AE109" si="173">AD79</f>
        <v>34</v>
      </c>
      <c r="AE109" s="23">
        <f t="shared" si="173"/>
        <v>38</v>
      </c>
    </row>
    <row r="110" spans="1:31" s="23" customFormat="1">
      <c r="A110" s="23">
        <v>1003</v>
      </c>
      <c r="B110" s="23">
        <v>19</v>
      </c>
      <c r="C110" s="24" t="s">
        <v>74</v>
      </c>
      <c r="D110" s="42">
        <f t="shared" si="136"/>
        <v>1204</v>
      </c>
      <c r="E110" s="26">
        <v>0</v>
      </c>
      <c r="F110" s="26">
        <v>0</v>
      </c>
      <c r="G110" s="26">
        <v>0</v>
      </c>
      <c r="H110" s="43">
        <v>0</v>
      </c>
      <c r="I110" s="21">
        <f t="shared" si="146"/>
        <v>275</v>
      </c>
      <c r="J110" s="21">
        <f t="shared" si="83"/>
        <v>18</v>
      </c>
      <c r="K110" s="21">
        <v>0</v>
      </c>
      <c r="L110" s="20">
        <v>6</v>
      </c>
      <c r="M110" s="20">
        <v>0</v>
      </c>
      <c r="N110" s="20">
        <f t="shared" si="147"/>
        <v>5700</v>
      </c>
      <c r="O110" s="19" t="s">
        <v>74</v>
      </c>
      <c r="P110" s="20">
        <v>1518</v>
      </c>
      <c r="Q110" s="20">
        <f t="shared" ref="Q110:X110" si="174">Q80</f>
        <v>570</v>
      </c>
      <c r="R110" s="20">
        <f t="shared" si="174"/>
        <v>2280</v>
      </c>
      <c r="S110" s="20">
        <f t="shared" si="174"/>
        <v>3989.9999999999995</v>
      </c>
      <c r="T110" s="20">
        <f t="shared" si="174"/>
        <v>5130</v>
      </c>
      <c r="U110" s="20">
        <f t="shared" si="174"/>
        <v>100</v>
      </c>
      <c r="V110" s="20">
        <f t="shared" si="174"/>
        <v>500</v>
      </c>
      <c r="W110" s="20">
        <f t="shared" si="174"/>
        <v>400</v>
      </c>
      <c r="X110" s="20">
        <f t="shared" si="174"/>
        <v>5</v>
      </c>
      <c r="Y110" s="20">
        <v>0</v>
      </c>
      <c r="Z110" s="25">
        <v>0</v>
      </c>
      <c r="AA110" s="23">
        <v>0</v>
      </c>
      <c r="AB110" s="23">
        <v>0</v>
      </c>
      <c r="AC110" s="23">
        <v>0</v>
      </c>
      <c r="AD110" s="23">
        <f t="shared" ref="AD110:AE110" si="175">AD80</f>
        <v>36</v>
      </c>
      <c r="AE110" s="23">
        <f t="shared" si="175"/>
        <v>40</v>
      </c>
    </row>
    <row r="111" spans="1:31" s="23" customFormat="1">
      <c r="A111" s="23">
        <v>1003</v>
      </c>
      <c r="B111" s="23">
        <v>20</v>
      </c>
      <c r="C111" s="24" t="s">
        <v>75</v>
      </c>
      <c r="D111" s="42">
        <f t="shared" si="136"/>
        <v>1300</v>
      </c>
      <c r="E111" s="26">
        <v>0</v>
      </c>
      <c r="F111" s="26">
        <v>0</v>
      </c>
      <c r="G111" s="26">
        <v>0</v>
      </c>
      <c r="H111" s="43">
        <v>0</v>
      </c>
      <c r="I111" s="21">
        <f t="shared" si="146"/>
        <v>275</v>
      </c>
      <c r="J111" s="21">
        <f t="shared" si="83"/>
        <v>19</v>
      </c>
      <c r="K111" s="21">
        <v>0</v>
      </c>
      <c r="L111" s="20">
        <v>6</v>
      </c>
      <c r="M111" s="20">
        <v>0</v>
      </c>
      <c r="N111" s="20">
        <f t="shared" si="147"/>
        <v>8000</v>
      </c>
      <c r="O111" s="19" t="s">
        <v>75</v>
      </c>
      <c r="P111" s="20">
        <v>861</v>
      </c>
      <c r="Q111" s="20">
        <f t="shared" ref="Q111:X111" si="176">Q81</f>
        <v>800</v>
      </c>
      <c r="R111" s="20">
        <f t="shared" si="176"/>
        <v>3200</v>
      </c>
      <c r="S111" s="20">
        <f t="shared" si="176"/>
        <v>5600</v>
      </c>
      <c r="T111" s="20">
        <f t="shared" si="176"/>
        <v>7200</v>
      </c>
      <c r="U111" s="20">
        <f t="shared" si="176"/>
        <v>100</v>
      </c>
      <c r="V111" s="20">
        <f t="shared" si="176"/>
        <v>800</v>
      </c>
      <c r="W111" s="20">
        <f t="shared" si="176"/>
        <v>8000</v>
      </c>
      <c r="X111" s="20">
        <f t="shared" si="176"/>
        <v>5</v>
      </c>
      <c r="Y111" s="20">
        <v>0</v>
      </c>
      <c r="Z111" s="25">
        <v>0</v>
      </c>
      <c r="AA111" s="23">
        <v>0</v>
      </c>
      <c r="AB111" s="23">
        <v>0</v>
      </c>
      <c r="AC111" s="23">
        <v>0</v>
      </c>
      <c r="AD111" s="23">
        <f t="shared" ref="AD111:AE111" si="177">AD81</f>
        <v>38</v>
      </c>
      <c r="AE111" s="23">
        <f t="shared" si="177"/>
        <v>42</v>
      </c>
    </row>
    <row r="112" spans="1:31" s="23" customFormat="1">
      <c r="A112" s="23">
        <v>1003</v>
      </c>
      <c r="B112" s="23">
        <v>21</v>
      </c>
      <c r="C112" s="24" t="s">
        <v>66</v>
      </c>
      <c r="D112" s="42">
        <f t="shared" si="136"/>
        <v>1408</v>
      </c>
      <c r="E112" s="26">
        <v>0</v>
      </c>
      <c r="F112" s="26">
        <v>0</v>
      </c>
      <c r="G112" s="26">
        <v>0</v>
      </c>
      <c r="H112" s="43">
        <v>0</v>
      </c>
      <c r="I112" s="21">
        <f t="shared" si="146"/>
        <v>330</v>
      </c>
      <c r="J112" s="21">
        <f t="shared" si="83"/>
        <v>20</v>
      </c>
      <c r="K112" s="21">
        <v>0</v>
      </c>
      <c r="L112" s="20">
        <v>6</v>
      </c>
      <c r="M112" s="20">
        <v>0</v>
      </c>
      <c r="N112" s="20">
        <f t="shared" si="147"/>
        <v>8400</v>
      </c>
      <c r="O112" s="19" t="s">
        <v>66</v>
      </c>
      <c r="P112" s="20">
        <v>9400</v>
      </c>
      <c r="Q112" s="20">
        <f t="shared" ref="Q112:X112" si="178">Q82</f>
        <v>840</v>
      </c>
      <c r="R112" s="20">
        <f t="shared" si="178"/>
        <v>3360</v>
      </c>
      <c r="S112" s="20">
        <f t="shared" si="178"/>
        <v>5880</v>
      </c>
      <c r="T112" s="20">
        <f t="shared" si="178"/>
        <v>7560</v>
      </c>
      <c r="U112" s="20">
        <f t="shared" si="178"/>
        <v>50</v>
      </c>
      <c r="V112" s="20">
        <f t="shared" si="178"/>
        <v>1000</v>
      </c>
      <c r="W112" s="20">
        <f t="shared" si="178"/>
        <v>600</v>
      </c>
      <c r="X112" s="20">
        <f t="shared" si="178"/>
        <v>6</v>
      </c>
      <c r="Y112" s="20">
        <v>0</v>
      </c>
      <c r="Z112" s="25">
        <v>0</v>
      </c>
      <c r="AA112" s="23">
        <v>0</v>
      </c>
      <c r="AB112" s="23">
        <v>0</v>
      </c>
      <c r="AC112" s="23">
        <v>0</v>
      </c>
      <c r="AD112" s="23">
        <f t="shared" ref="AD112:AE112" si="179">AD82</f>
        <v>40</v>
      </c>
      <c r="AE112" s="23">
        <f t="shared" si="179"/>
        <v>44</v>
      </c>
    </row>
    <row r="113" spans="1:31" s="23" customFormat="1">
      <c r="A113" s="23">
        <v>1003</v>
      </c>
      <c r="B113" s="23">
        <v>22</v>
      </c>
      <c r="C113" s="24" t="s">
        <v>67</v>
      </c>
      <c r="D113" s="42">
        <f t="shared" si="136"/>
        <v>1524</v>
      </c>
      <c r="E113" s="26">
        <v>0</v>
      </c>
      <c r="F113" s="26">
        <v>0</v>
      </c>
      <c r="G113" s="26">
        <v>0</v>
      </c>
      <c r="H113" s="43">
        <v>0</v>
      </c>
      <c r="I113" s="21">
        <f t="shared" si="146"/>
        <v>330</v>
      </c>
      <c r="J113" s="21">
        <f t="shared" si="83"/>
        <v>21</v>
      </c>
      <c r="K113" s="21">
        <v>0</v>
      </c>
      <c r="L113" s="20">
        <v>6</v>
      </c>
      <c r="M113" s="20">
        <v>0</v>
      </c>
      <c r="N113" s="20">
        <f t="shared" si="147"/>
        <v>8800</v>
      </c>
      <c r="O113" s="19" t="s">
        <v>67</v>
      </c>
      <c r="P113" s="20">
        <v>9100</v>
      </c>
      <c r="Q113" s="20">
        <f t="shared" ref="Q113:X113" si="180">Q83</f>
        <v>880</v>
      </c>
      <c r="R113" s="20">
        <f t="shared" si="180"/>
        <v>3520</v>
      </c>
      <c r="S113" s="20">
        <f t="shared" si="180"/>
        <v>6160</v>
      </c>
      <c r="T113" s="20">
        <f t="shared" si="180"/>
        <v>7920</v>
      </c>
      <c r="U113" s="20">
        <f t="shared" si="180"/>
        <v>100</v>
      </c>
      <c r="V113" s="20">
        <f t="shared" si="180"/>
        <v>600</v>
      </c>
      <c r="W113" s="20">
        <f t="shared" si="180"/>
        <v>700</v>
      </c>
      <c r="X113" s="20">
        <f t="shared" si="180"/>
        <v>6</v>
      </c>
      <c r="Y113" s="20">
        <v>0</v>
      </c>
      <c r="Z113" s="25">
        <v>0</v>
      </c>
      <c r="AA113" s="23">
        <v>0</v>
      </c>
      <c r="AB113" s="23">
        <v>0</v>
      </c>
      <c r="AC113" s="23">
        <v>0</v>
      </c>
      <c r="AD113" s="23">
        <f t="shared" ref="AD113:AE113" si="181">AD83</f>
        <v>42</v>
      </c>
      <c r="AE113" s="23">
        <f t="shared" si="181"/>
        <v>46</v>
      </c>
    </row>
    <row r="114" spans="1:31" s="23" customFormat="1">
      <c r="A114" s="23">
        <v>1003</v>
      </c>
      <c r="B114" s="23">
        <v>23</v>
      </c>
      <c r="C114" s="24" t="s">
        <v>68</v>
      </c>
      <c r="D114" s="42">
        <f t="shared" si="136"/>
        <v>1652</v>
      </c>
      <c r="E114" s="26">
        <v>0</v>
      </c>
      <c r="F114" s="26">
        <v>0</v>
      </c>
      <c r="G114" s="26">
        <v>0</v>
      </c>
      <c r="H114" s="43">
        <v>0</v>
      </c>
      <c r="I114" s="21">
        <f t="shared" si="146"/>
        <v>330</v>
      </c>
      <c r="J114" s="21">
        <f t="shared" si="83"/>
        <v>22</v>
      </c>
      <c r="K114" s="21">
        <v>0</v>
      </c>
      <c r="L114" s="20">
        <v>6</v>
      </c>
      <c r="M114" s="20">
        <v>0</v>
      </c>
      <c r="N114" s="20">
        <f t="shared" si="147"/>
        <v>9200</v>
      </c>
      <c r="O114" s="19" t="s">
        <v>68</v>
      </c>
      <c r="P114" s="20">
        <v>8600</v>
      </c>
      <c r="Q114" s="20">
        <f t="shared" ref="Q114:X114" si="182">Q84</f>
        <v>920</v>
      </c>
      <c r="R114" s="20">
        <f t="shared" si="182"/>
        <v>3680</v>
      </c>
      <c r="S114" s="20">
        <f t="shared" si="182"/>
        <v>6440</v>
      </c>
      <c r="T114" s="20">
        <f t="shared" si="182"/>
        <v>8280</v>
      </c>
      <c r="U114" s="20">
        <f t="shared" si="182"/>
        <v>100</v>
      </c>
      <c r="V114" s="20">
        <f t="shared" si="182"/>
        <v>550</v>
      </c>
      <c r="W114" s="20">
        <f t="shared" si="182"/>
        <v>500</v>
      </c>
      <c r="X114" s="20">
        <f t="shared" si="182"/>
        <v>6</v>
      </c>
      <c r="Y114" s="20">
        <f t="shared" si="138"/>
        <v>259</v>
      </c>
      <c r="Z114" s="25">
        <v>0</v>
      </c>
      <c r="AA114" s="23">
        <v>0</v>
      </c>
      <c r="AB114" s="23">
        <v>0</v>
      </c>
      <c r="AC114" s="23">
        <v>0</v>
      </c>
      <c r="AD114" s="23">
        <f t="shared" ref="AD114:AE114" si="183">AD84</f>
        <v>44</v>
      </c>
      <c r="AE114" s="23">
        <f t="shared" si="183"/>
        <v>48</v>
      </c>
    </row>
    <row r="115" spans="1:31" s="23" customFormat="1">
      <c r="A115" s="23">
        <v>1003</v>
      </c>
      <c r="B115" s="23">
        <v>24</v>
      </c>
      <c r="C115" s="24" t="s">
        <v>69</v>
      </c>
      <c r="D115" s="42">
        <f t="shared" si="136"/>
        <v>1788</v>
      </c>
      <c r="E115" s="26">
        <v>0</v>
      </c>
      <c r="F115" s="26">
        <v>0</v>
      </c>
      <c r="G115" s="26">
        <v>0</v>
      </c>
      <c r="H115" s="43">
        <v>0</v>
      </c>
      <c r="I115" s="21">
        <f t="shared" si="146"/>
        <v>330</v>
      </c>
      <c r="J115" s="21">
        <f t="shared" si="83"/>
        <v>23</v>
      </c>
      <c r="K115" s="21">
        <v>0</v>
      </c>
      <c r="L115" s="20">
        <v>6</v>
      </c>
      <c r="M115" s="20">
        <v>0</v>
      </c>
      <c r="N115" s="20">
        <f t="shared" si="147"/>
        <v>9600</v>
      </c>
      <c r="O115" s="19" t="s">
        <v>69</v>
      </c>
      <c r="P115" s="20">
        <v>6400</v>
      </c>
      <c r="Q115" s="20">
        <f t="shared" ref="Q115:X115" si="184">Q85</f>
        <v>960</v>
      </c>
      <c r="R115" s="20">
        <f t="shared" si="184"/>
        <v>3840</v>
      </c>
      <c r="S115" s="20">
        <f t="shared" si="184"/>
        <v>6720</v>
      </c>
      <c r="T115" s="20">
        <f t="shared" si="184"/>
        <v>8640</v>
      </c>
      <c r="U115" s="20">
        <f t="shared" si="184"/>
        <v>100</v>
      </c>
      <c r="V115" s="20">
        <f t="shared" si="184"/>
        <v>500</v>
      </c>
      <c r="W115" s="20">
        <f t="shared" si="184"/>
        <v>900</v>
      </c>
      <c r="X115" s="20">
        <f t="shared" si="184"/>
        <v>6</v>
      </c>
      <c r="Y115" s="20">
        <v>0</v>
      </c>
      <c r="Z115" s="25">
        <v>0</v>
      </c>
      <c r="AA115" s="23">
        <v>0</v>
      </c>
      <c r="AB115" s="23">
        <v>0</v>
      </c>
      <c r="AC115" s="23">
        <v>0</v>
      </c>
      <c r="AD115" s="23">
        <f t="shared" ref="AD115:AE115" si="185">AD85</f>
        <v>46</v>
      </c>
      <c r="AE115" s="23">
        <f t="shared" si="185"/>
        <v>50</v>
      </c>
    </row>
    <row r="116" spans="1:31" s="23" customFormat="1">
      <c r="A116" s="23">
        <v>1003</v>
      </c>
      <c r="B116" s="23">
        <v>25</v>
      </c>
      <c r="C116" s="24" t="s">
        <v>70</v>
      </c>
      <c r="D116" s="42">
        <f t="shared" si="136"/>
        <v>1936</v>
      </c>
      <c r="E116" s="26">
        <v>0</v>
      </c>
      <c r="F116" s="26">
        <v>0</v>
      </c>
      <c r="G116" s="26">
        <v>0</v>
      </c>
      <c r="H116" s="43">
        <v>0</v>
      </c>
      <c r="I116" s="21">
        <f t="shared" si="146"/>
        <v>385</v>
      </c>
      <c r="J116" s="21">
        <f t="shared" si="83"/>
        <v>24</v>
      </c>
      <c r="K116" s="21">
        <v>0</v>
      </c>
      <c r="L116" s="20">
        <v>6</v>
      </c>
      <c r="M116" s="20">
        <v>0</v>
      </c>
      <c r="N116" s="20">
        <f t="shared" si="147"/>
        <v>12500</v>
      </c>
      <c r="O116" s="19" t="s">
        <v>70</v>
      </c>
      <c r="P116" s="20">
        <v>3100</v>
      </c>
      <c r="Q116" s="20">
        <f t="shared" ref="Q116:X116" si="186">Q86</f>
        <v>1250</v>
      </c>
      <c r="R116" s="20">
        <f t="shared" si="186"/>
        <v>5000</v>
      </c>
      <c r="S116" s="20">
        <f t="shared" si="186"/>
        <v>8750</v>
      </c>
      <c r="T116" s="20">
        <f t="shared" si="186"/>
        <v>11250</v>
      </c>
      <c r="U116" s="20">
        <f t="shared" si="186"/>
        <v>10</v>
      </c>
      <c r="V116" s="20">
        <f t="shared" si="186"/>
        <v>1300</v>
      </c>
      <c r="W116" s="20">
        <f t="shared" si="186"/>
        <v>1000</v>
      </c>
      <c r="X116" s="20">
        <f t="shared" si="186"/>
        <v>7</v>
      </c>
      <c r="Y116" s="20">
        <v>0</v>
      </c>
      <c r="Z116" s="25">
        <v>0</v>
      </c>
      <c r="AA116" s="23">
        <v>0</v>
      </c>
      <c r="AB116" s="23">
        <v>0</v>
      </c>
      <c r="AC116" s="23">
        <v>0</v>
      </c>
      <c r="AD116" s="23">
        <f t="shared" ref="AD116:AE116" si="187">AD86</f>
        <v>48</v>
      </c>
      <c r="AE116" s="23">
        <f t="shared" si="187"/>
        <v>52</v>
      </c>
    </row>
    <row r="117" spans="1:31" s="23" customFormat="1">
      <c r="A117" s="23">
        <v>1003</v>
      </c>
      <c r="B117" s="23">
        <v>26</v>
      </c>
      <c r="C117" s="24" t="s">
        <v>71</v>
      </c>
      <c r="D117" s="42">
        <f t="shared" si="136"/>
        <v>2096</v>
      </c>
      <c r="E117" s="26">
        <v>0</v>
      </c>
      <c r="F117" s="26">
        <v>0</v>
      </c>
      <c r="G117" s="26">
        <v>0</v>
      </c>
      <c r="H117" s="43">
        <v>0</v>
      </c>
      <c r="I117" s="21">
        <f t="shared" si="146"/>
        <v>385</v>
      </c>
      <c r="J117" s="21">
        <f t="shared" si="83"/>
        <v>25</v>
      </c>
      <c r="K117" s="21">
        <v>0</v>
      </c>
      <c r="L117" s="20">
        <v>6</v>
      </c>
      <c r="M117" s="20">
        <v>0</v>
      </c>
      <c r="N117" s="20">
        <f t="shared" si="147"/>
        <v>13000</v>
      </c>
      <c r="O117" s="19" t="s">
        <v>71</v>
      </c>
      <c r="P117" s="20">
        <v>1777</v>
      </c>
      <c r="Q117" s="20">
        <f t="shared" ref="Q117:X117" si="188">Q87</f>
        <v>1300</v>
      </c>
      <c r="R117" s="20">
        <f t="shared" si="188"/>
        <v>5200</v>
      </c>
      <c r="S117" s="20">
        <f t="shared" si="188"/>
        <v>9100</v>
      </c>
      <c r="T117" s="20">
        <f t="shared" si="188"/>
        <v>11700</v>
      </c>
      <c r="U117" s="20">
        <f t="shared" si="188"/>
        <v>90</v>
      </c>
      <c r="V117" s="20">
        <f t="shared" si="188"/>
        <v>800</v>
      </c>
      <c r="W117" s="20">
        <f t="shared" si="188"/>
        <v>2000</v>
      </c>
      <c r="X117" s="20">
        <f t="shared" si="188"/>
        <v>7</v>
      </c>
      <c r="Y117" s="20">
        <v>0</v>
      </c>
      <c r="Z117" s="25">
        <v>0</v>
      </c>
      <c r="AA117" s="23">
        <v>0</v>
      </c>
      <c r="AB117" s="23">
        <v>0</v>
      </c>
      <c r="AC117" s="23">
        <v>0</v>
      </c>
      <c r="AD117" s="23">
        <f t="shared" ref="AD117:AE117" si="189">AD87</f>
        <v>50</v>
      </c>
      <c r="AE117" s="23">
        <f t="shared" si="189"/>
        <v>54</v>
      </c>
    </row>
    <row r="118" spans="1:31" s="23" customFormat="1">
      <c r="A118" s="23">
        <v>1003</v>
      </c>
      <c r="B118" s="23">
        <v>27</v>
      </c>
      <c r="C118" s="24" t="s">
        <v>72</v>
      </c>
      <c r="D118" s="42">
        <f t="shared" si="136"/>
        <v>2268</v>
      </c>
      <c r="E118" s="26">
        <v>0</v>
      </c>
      <c r="F118" s="26">
        <v>0</v>
      </c>
      <c r="G118" s="26">
        <v>0</v>
      </c>
      <c r="H118" s="43">
        <v>0</v>
      </c>
      <c r="I118" s="21">
        <f t="shared" si="146"/>
        <v>385</v>
      </c>
      <c r="J118" s="21">
        <f t="shared" si="83"/>
        <v>26</v>
      </c>
      <c r="K118" s="21">
        <v>0</v>
      </c>
      <c r="L118" s="20">
        <v>6</v>
      </c>
      <c r="M118" s="20">
        <v>0</v>
      </c>
      <c r="N118" s="20">
        <f t="shared" si="147"/>
        <v>13500</v>
      </c>
      <c r="O118" s="19" t="s">
        <v>72</v>
      </c>
      <c r="P118" s="20">
        <v>2332</v>
      </c>
      <c r="Q118" s="20">
        <f t="shared" ref="Q118:X118" si="190">Q88</f>
        <v>1350</v>
      </c>
      <c r="R118" s="20">
        <f t="shared" si="190"/>
        <v>5400</v>
      </c>
      <c r="S118" s="20">
        <f t="shared" si="190"/>
        <v>9450</v>
      </c>
      <c r="T118" s="20">
        <f t="shared" si="190"/>
        <v>12150</v>
      </c>
      <c r="U118" s="20">
        <f t="shared" si="190"/>
        <v>80</v>
      </c>
      <c r="V118" s="20">
        <f t="shared" si="190"/>
        <v>700</v>
      </c>
      <c r="W118" s="20">
        <f t="shared" si="190"/>
        <v>800</v>
      </c>
      <c r="X118" s="20">
        <f t="shared" si="190"/>
        <v>7</v>
      </c>
      <c r="Y118" s="20">
        <v>0</v>
      </c>
      <c r="Z118" s="25">
        <v>0</v>
      </c>
      <c r="AA118" s="23">
        <v>0</v>
      </c>
      <c r="AB118" s="23">
        <v>0</v>
      </c>
      <c r="AC118" s="23">
        <v>0</v>
      </c>
      <c r="AD118" s="23">
        <f t="shared" ref="AD118:AE118" si="191">AD88</f>
        <v>52</v>
      </c>
      <c r="AE118" s="23">
        <f t="shared" si="191"/>
        <v>56</v>
      </c>
    </row>
    <row r="119" spans="1:31" s="23" customFormat="1">
      <c r="A119" s="23">
        <v>1003</v>
      </c>
      <c r="B119" s="23">
        <v>28</v>
      </c>
      <c r="C119" s="24" t="s">
        <v>73</v>
      </c>
      <c r="D119" s="42">
        <f t="shared" si="136"/>
        <v>2456</v>
      </c>
      <c r="E119" s="26">
        <v>0</v>
      </c>
      <c r="F119" s="26">
        <v>0</v>
      </c>
      <c r="G119" s="26">
        <v>0</v>
      </c>
      <c r="H119" s="43">
        <v>0</v>
      </c>
      <c r="I119" s="21">
        <f t="shared" si="146"/>
        <v>385</v>
      </c>
      <c r="J119" s="21">
        <f t="shared" si="83"/>
        <v>27</v>
      </c>
      <c r="K119" s="21">
        <v>0</v>
      </c>
      <c r="L119" s="20">
        <v>6</v>
      </c>
      <c r="M119" s="20">
        <v>0</v>
      </c>
      <c r="N119" s="20">
        <f t="shared" si="147"/>
        <v>14000</v>
      </c>
      <c r="O119" s="19" t="s">
        <v>73</v>
      </c>
      <c r="P119" s="20">
        <v>1487</v>
      </c>
      <c r="Q119" s="20">
        <f t="shared" ref="Q119:X119" si="192">Q89</f>
        <v>1400</v>
      </c>
      <c r="R119" s="20">
        <f t="shared" si="192"/>
        <v>5600</v>
      </c>
      <c r="S119" s="20">
        <f t="shared" si="192"/>
        <v>9800</v>
      </c>
      <c r="T119" s="20">
        <f t="shared" si="192"/>
        <v>12600</v>
      </c>
      <c r="U119" s="20">
        <f t="shared" si="192"/>
        <v>80</v>
      </c>
      <c r="V119" s="20">
        <f t="shared" si="192"/>
        <v>500</v>
      </c>
      <c r="W119" s="20">
        <f t="shared" si="192"/>
        <v>600</v>
      </c>
      <c r="X119" s="20">
        <f t="shared" si="192"/>
        <v>7</v>
      </c>
      <c r="Y119" s="20">
        <f t="shared" si="138"/>
        <v>324</v>
      </c>
      <c r="Z119" s="25">
        <v>0</v>
      </c>
      <c r="AA119" s="23">
        <v>0</v>
      </c>
      <c r="AB119" s="23">
        <v>0</v>
      </c>
      <c r="AC119" s="23">
        <v>0</v>
      </c>
      <c r="AD119" s="23">
        <f t="shared" ref="AD119:AE119" si="193">AD89</f>
        <v>54</v>
      </c>
      <c r="AE119" s="23">
        <f t="shared" si="193"/>
        <v>58</v>
      </c>
    </row>
    <row r="120" spans="1:31" s="23" customFormat="1">
      <c r="A120" s="23">
        <v>1003</v>
      </c>
      <c r="B120" s="23">
        <v>29</v>
      </c>
      <c r="C120" s="24" t="s">
        <v>74</v>
      </c>
      <c r="D120" s="42">
        <f t="shared" si="136"/>
        <v>2660</v>
      </c>
      <c r="E120" s="26">
        <v>0</v>
      </c>
      <c r="F120" s="26">
        <v>0</v>
      </c>
      <c r="G120" s="26">
        <v>0</v>
      </c>
      <c r="H120" s="43">
        <v>0</v>
      </c>
      <c r="I120" s="21">
        <f t="shared" si="146"/>
        <v>440</v>
      </c>
      <c r="J120" s="21">
        <f t="shared" si="83"/>
        <v>28</v>
      </c>
      <c r="K120" s="21">
        <v>0</v>
      </c>
      <c r="L120" s="20">
        <v>6</v>
      </c>
      <c r="M120" s="20">
        <v>0</v>
      </c>
      <c r="N120" s="20">
        <f t="shared" si="147"/>
        <v>14500</v>
      </c>
      <c r="O120" s="19" t="s">
        <v>74</v>
      </c>
      <c r="P120" s="20">
        <v>1518</v>
      </c>
      <c r="Q120" s="20">
        <f t="shared" ref="Q120:X120" si="194">Q90</f>
        <v>1450</v>
      </c>
      <c r="R120" s="20">
        <f t="shared" si="194"/>
        <v>5800</v>
      </c>
      <c r="S120" s="20">
        <f t="shared" si="194"/>
        <v>10150</v>
      </c>
      <c r="T120" s="20">
        <f t="shared" si="194"/>
        <v>13050</v>
      </c>
      <c r="U120" s="20">
        <f t="shared" si="194"/>
        <v>80</v>
      </c>
      <c r="V120" s="20">
        <f t="shared" si="194"/>
        <v>600</v>
      </c>
      <c r="W120" s="20">
        <f t="shared" si="194"/>
        <v>700</v>
      </c>
      <c r="X120" s="20">
        <f t="shared" si="194"/>
        <v>8</v>
      </c>
      <c r="Y120" s="20">
        <v>0</v>
      </c>
      <c r="Z120" s="25">
        <v>0</v>
      </c>
      <c r="AA120" s="23">
        <v>0</v>
      </c>
      <c r="AB120" s="23">
        <v>0</v>
      </c>
      <c r="AC120" s="23">
        <v>0</v>
      </c>
      <c r="AD120" s="23">
        <f t="shared" ref="AD120:AE120" si="195">AD90</f>
        <v>56</v>
      </c>
      <c r="AE120" s="23">
        <f t="shared" si="195"/>
        <v>60</v>
      </c>
    </row>
    <row r="121" spans="1:31" s="23" customFormat="1">
      <c r="A121" s="23">
        <v>1003</v>
      </c>
      <c r="B121" s="23">
        <v>30</v>
      </c>
      <c r="C121" s="24" t="s">
        <v>75</v>
      </c>
      <c r="D121" s="42">
        <f t="shared" si="136"/>
        <v>2880</v>
      </c>
      <c r="E121" s="26">
        <v>0</v>
      </c>
      <c r="F121" s="26">
        <v>0</v>
      </c>
      <c r="G121" s="26">
        <v>0</v>
      </c>
      <c r="H121" s="43">
        <v>0</v>
      </c>
      <c r="I121" s="21">
        <f t="shared" si="146"/>
        <v>440</v>
      </c>
      <c r="J121" s="21">
        <f t="shared" si="83"/>
        <v>29</v>
      </c>
      <c r="K121" s="21">
        <v>0</v>
      </c>
      <c r="L121" s="20">
        <v>6</v>
      </c>
      <c r="M121" s="20">
        <v>0</v>
      </c>
      <c r="N121" s="20">
        <f t="shared" si="147"/>
        <v>15000</v>
      </c>
      <c r="O121" s="19" t="s">
        <v>75</v>
      </c>
      <c r="P121" s="20">
        <v>861</v>
      </c>
      <c r="Q121" s="20">
        <f t="shared" ref="Q121:X121" si="196">Q91</f>
        <v>1500</v>
      </c>
      <c r="R121" s="20">
        <f t="shared" si="196"/>
        <v>6000</v>
      </c>
      <c r="S121" s="20">
        <f t="shared" si="196"/>
        <v>10500</v>
      </c>
      <c r="T121" s="20">
        <f t="shared" si="196"/>
        <v>13500</v>
      </c>
      <c r="U121" s="20">
        <f t="shared" si="196"/>
        <v>20</v>
      </c>
      <c r="V121" s="20">
        <f t="shared" si="196"/>
        <v>450</v>
      </c>
      <c r="W121" s="20">
        <f t="shared" si="196"/>
        <v>1000</v>
      </c>
      <c r="X121" s="20">
        <f t="shared" si="196"/>
        <v>8</v>
      </c>
      <c r="Y121" s="20">
        <v>0</v>
      </c>
      <c r="Z121" s="25">
        <v>0</v>
      </c>
      <c r="AA121" s="23">
        <v>0</v>
      </c>
      <c r="AB121" s="23">
        <v>0</v>
      </c>
      <c r="AC121" s="23">
        <v>0</v>
      </c>
      <c r="AD121" s="23">
        <f t="shared" ref="AD121:AE121" si="197">AD91</f>
        <v>58</v>
      </c>
      <c r="AE121" s="23">
        <f t="shared" si="197"/>
        <v>62</v>
      </c>
    </row>
    <row r="122" spans="1:31">
      <c r="A122" s="4">
        <v>1004</v>
      </c>
      <c r="B122" s="23">
        <v>1</v>
      </c>
      <c r="C122" s="24" t="s">
        <v>66</v>
      </c>
      <c r="D122" s="42">
        <f>ROUND(D2*4.5,0)</f>
        <v>324</v>
      </c>
      <c r="E122" s="26">
        <v>0</v>
      </c>
      <c r="F122" s="26">
        <v>0</v>
      </c>
      <c r="G122" s="26">
        <v>0</v>
      </c>
      <c r="H122" s="43">
        <v>0</v>
      </c>
      <c r="I122" s="21">
        <f t="shared" si="146"/>
        <v>55</v>
      </c>
      <c r="J122" s="21">
        <f t="shared" si="83"/>
        <v>0</v>
      </c>
      <c r="K122" s="21">
        <v>0</v>
      </c>
      <c r="L122" s="20">
        <v>45</v>
      </c>
      <c r="M122" s="20">
        <v>0</v>
      </c>
      <c r="N122" s="20">
        <f t="shared" si="147"/>
        <v>10</v>
      </c>
      <c r="O122" s="19" t="s">
        <v>66</v>
      </c>
      <c r="P122" s="20">
        <v>9400</v>
      </c>
      <c r="Q122" s="20">
        <f t="shared" ref="Q122:X122" si="198">Q92</f>
        <v>1</v>
      </c>
      <c r="R122" s="20">
        <f t="shared" si="198"/>
        <v>4</v>
      </c>
      <c r="S122" s="20">
        <f t="shared" si="198"/>
        <v>7</v>
      </c>
      <c r="T122" s="20">
        <f t="shared" si="198"/>
        <v>9</v>
      </c>
      <c r="U122" s="20">
        <f t="shared" si="198"/>
        <v>9400</v>
      </c>
      <c r="V122" s="20">
        <f t="shared" si="198"/>
        <v>9400</v>
      </c>
      <c r="W122" s="20">
        <f t="shared" si="198"/>
        <v>9400</v>
      </c>
      <c r="X122" s="20">
        <f t="shared" si="198"/>
        <v>1</v>
      </c>
      <c r="Y122" s="20">
        <v>0</v>
      </c>
      <c r="Z122" s="25">
        <v>0</v>
      </c>
      <c r="AA122" s="23">
        <v>0</v>
      </c>
      <c r="AB122" s="23">
        <v>0</v>
      </c>
      <c r="AC122" s="23">
        <v>0</v>
      </c>
      <c r="AD122" s="23">
        <f t="shared" ref="AD122:AE122" si="199">AD92</f>
        <v>1</v>
      </c>
      <c r="AE122" s="23">
        <f t="shared" si="199"/>
        <v>3</v>
      </c>
    </row>
    <row r="123" spans="1:31">
      <c r="A123" s="4">
        <v>1004</v>
      </c>
      <c r="B123" s="23">
        <v>2</v>
      </c>
      <c r="C123" s="24" t="s">
        <v>67</v>
      </c>
      <c r="D123" s="42">
        <f t="shared" ref="D123:D151" si="200">ROUND(D3*4.5,0)</f>
        <v>351</v>
      </c>
      <c r="E123" s="26">
        <v>0</v>
      </c>
      <c r="F123" s="26">
        <v>0</v>
      </c>
      <c r="G123" s="26">
        <v>0</v>
      </c>
      <c r="H123" s="43">
        <v>0</v>
      </c>
      <c r="I123" s="21">
        <f t="shared" si="146"/>
        <v>55</v>
      </c>
      <c r="J123" s="21">
        <f t="shared" si="83"/>
        <v>1</v>
      </c>
      <c r="K123" s="21">
        <v>0</v>
      </c>
      <c r="L123" s="20">
        <v>40</v>
      </c>
      <c r="M123" s="20">
        <v>0</v>
      </c>
      <c r="N123" s="20">
        <f t="shared" si="147"/>
        <v>20</v>
      </c>
      <c r="O123" s="19" t="s">
        <v>67</v>
      </c>
      <c r="P123" s="20">
        <v>9100</v>
      </c>
      <c r="Q123" s="20">
        <f t="shared" ref="Q123:X123" si="201">Q93</f>
        <v>2</v>
      </c>
      <c r="R123" s="20">
        <f t="shared" si="201"/>
        <v>8</v>
      </c>
      <c r="S123" s="20">
        <f t="shared" si="201"/>
        <v>14</v>
      </c>
      <c r="T123" s="20">
        <f t="shared" si="201"/>
        <v>18</v>
      </c>
      <c r="U123" s="20">
        <f t="shared" si="201"/>
        <v>4000</v>
      </c>
      <c r="V123" s="20">
        <f t="shared" si="201"/>
        <v>8000</v>
      </c>
      <c r="W123" s="20">
        <f t="shared" si="201"/>
        <v>8000</v>
      </c>
      <c r="X123" s="20">
        <f t="shared" si="201"/>
        <v>1</v>
      </c>
      <c r="Y123" s="20">
        <v>0</v>
      </c>
      <c r="Z123" s="25">
        <v>0</v>
      </c>
      <c r="AA123" s="23">
        <v>0</v>
      </c>
      <c r="AB123" s="23">
        <v>0</v>
      </c>
      <c r="AC123" s="23">
        <v>0</v>
      </c>
      <c r="AD123" s="23">
        <f t="shared" ref="AD123:AE123" si="202">AD93</f>
        <v>2</v>
      </c>
      <c r="AE123" s="23">
        <f t="shared" si="202"/>
        <v>5</v>
      </c>
    </row>
    <row r="124" spans="1:31">
      <c r="A124" s="4">
        <v>1004</v>
      </c>
      <c r="B124" s="26">
        <v>3</v>
      </c>
      <c r="C124" s="24" t="s">
        <v>68</v>
      </c>
      <c r="D124" s="42">
        <f t="shared" si="200"/>
        <v>378</v>
      </c>
      <c r="E124" s="26">
        <v>0</v>
      </c>
      <c r="F124" s="26">
        <v>0</v>
      </c>
      <c r="G124" s="26">
        <v>0</v>
      </c>
      <c r="H124" s="43">
        <v>0</v>
      </c>
      <c r="I124" s="21">
        <f t="shared" si="146"/>
        <v>55</v>
      </c>
      <c r="J124" s="21">
        <f t="shared" si="83"/>
        <v>2</v>
      </c>
      <c r="K124" s="21">
        <v>0</v>
      </c>
      <c r="L124" s="20">
        <v>35</v>
      </c>
      <c r="M124" s="20">
        <v>0</v>
      </c>
      <c r="N124" s="20">
        <f t="shared" si="147"/>
        <v>40</v>
      </c>
      <c r="O124" s="19" t="s">
        <v>68</v>
      </c>
      <c r="P124" s="20">
        <v>8600</v>
      </c>
      <c r="Q124" s="20">
        <f t="shared" ref="Q124:X124" si="203">Q94</f>
        <v>4</v>
      </c>
      <c r="R124" s="20">
        <f t="shared" si="203"/>
        <v>16</v>
      </c>
      <c r="S124" s="20">
        <f t="shared" si="203"/>
        <v>28</v>
      </c>
      <c r="T124" s="20">
        <f t="shared" si="203"/>
        <v>36</v>
      </c>
      <c r="U124" s="20">
        <f t="shared" si="203"/>
        <v>1600</v>
      </c>
      <c r="V124" s="20">
        <f t="shared" si="203"/>
        <v>5000</v>
      </c>
      <c r="W124" s="20">
        <f t="shared" si="203"/>
        <v>6000</v>
      </c>
      <c r="X124" s="20">
        <f t="shared" si="203"/>
        <v>1</v>
      </c>
      <c r="Y124" s="20">
        <v>0</v>
      </c>
      <c r="Z124" s="25">
        <v>0</v>
      </c>
      <c r="AA124" s="23">
        <v>0</v>
      </c>
      <c r="AB124" s="23">
        <v>0</v>
      </c>
      <c r="AC124" s="23">
        <v>0</v>
      </c>
      <c r="AD124" s="23">
        <f t="shared" ref="AD124:AE124" si="204">AD94</f>
        <v>4</v>
      </c>
      <c r="AE124" s="23">
        <f t="shared" si="204"/>
        <v>8</v>
      </c>
    </row>
    <row r="125" spans="1:31">
      <c r="A125" s="4">
        <v>1004</v>
      </c>
      <c r="B125" s="23">
        <v>4</v>
      </c>
      <c r="C125" s="24" t="s">
        <v>69</v>
      </c>
      <c r="D125" s="42">
        <f t="shared" si="200"/>
        <v>410</v>
      </c>
      <c r="E125" s="26">
        <v>0</v>
      </c>
      <c r="F125" s="26">
        <v>0</v>
      </c>
      <c r="G125" s="26">
        <v>0</v>
      </c>
      <c r="H125" s="43">
        <v>0</v>
      </c>
      <c r="I125" s="21">
        <f t="shared" si="146"/>
        <v>55</v>
      </c>
      <c r="J125" s="21">
        <f t="shared" si="83"/>
        <v>3</v>
      </c>
      <c r="K125" s="21">
        <v>0</v>
      </c>
      <c r="L125" s="20">
        <v>30</v>
      </c>
      <c r="M125" s="20">
        <v>0</v>
      </c>
      <c r="N125" s="20">
        <f t="shared" si="147"/>
        <v>100</v>
      </c>
      <c r="O125" s="19" t="s">
        <v>69</v>
      </c>
      <c r="P125" s="20">
        <v>6400</v>
      </c>
      <c r="Q125" s="20">
        <f t="shared" ref="Q125:X125" si="205">Q95</f>
        <v>10</v>
      </c>
      <c r="R125" s="20">
        <f t="shared" si="205"/>
        <v>40</v>
      </c>
      <c r="S125" s="20">
        <f t="shared" si="205"/>
        <v>70</v>
      </c>
      <c r="T125" s="20">
        <f t="shared" si="205"/>
        <v>90</v>
      </c>
      <c r="U125" s="20">
        <f t="shared" si="205"/>
        <v>900</v>
      </c>
      <c r="V125" s="20">
        <f t="shared" si="205"/>
        <v>2000</v>
      </c>
      <c r="W125" s="20">
        <f t="shared" si="205"/>
        <v>8000</v>
      </c>
      <c r="X125" s="20">
        <f t="shared" si="205"/>
        <v>1</v>
      </c>
      <c r="Y125" s="20">
        <v>0</v>
      </c>
      <c r="Z125" s="25">
        <v>0</v>
      </c>
      <c r="AA125" s="23">
        <v>0</v>
      </c>
      <c r="AB125" s="23">
        <v>0</v>
      </c>
      <c r="AC125" s="23">
        <v>0</v>
      </c>
      <c r="AD125" s="23">
        <f t="shared" ref="AD125:AE125" si="206">AD95</f>
        <v>6</v>
      </c>
      <c r="AE125" s="23">
        <f t="shared" si="206"/>
        <v>10</v>
      </c>
    </row>
    <row r="126" spans="1:31">
      <c r="A126" s="4">
        <v>1004</v>
      </c>
      <c r="B126" s="23">
        <v>5</v>
      </c>
      <c r="C126" s="24" t="s">
        <v>70</v>
      </c>
      <c r="D126" s="42">
        <f t="shared" si="200"/>
        <v>446</v>
      </c>
      <c r="E126" s="26">
        <v>0</v>
      </c>
      <c r="F126" s="26">
        <v>0</v>
      </c>
      <c r="G126" s="26">
        <v>0</v>
      </c>
      <c r="H126" s="43">
        <v>0</v>
      </c>
      <c r="I126" s="21">
        <f t="shared" si="146"/>
        <v>110</v>
      </c>
      <c r="J126" s="21">
        <f t="shared" si="83"/>
        <v>4</v>
      </c>
      <c r="K126" s="21">
        <v>0</v>
      </c>
      <c r="L126" s="20">
        <v>25</v>
      </c>
      <c r="M126" s="20">
        <v>0</v>
      </c>
      <c r="N126" s="20">
        <f t="shared" si="147"/>
        <v>200</v>
      </c>
      <c r="O126" s="19" t="s">
        <v>70</v>
      </c>
      <c r="P126" s="20">
        <v>3100</v>
      </c>
      <c r="Q126" s="20">
        <f t="shared" ref="Q126:X126" si="207">Q96</f>
        <v>20</v>
      </c>
      <c r="R126" s="20">
        <f t="shared" si="207"/>
        <v>80</v>
      </c>
      <c r="S126" s="20">
        <f t="shared" si="207"/>
        <v>140</v>
      </c>
      <c r="T126" s="20">
        <f t="shared" si="207"/>
        <v>180</v>
      </c>
      <c r="U126" s="20">
        <f t="shared" si="207"/>
        <v>1000</v>
      </c>
      <c r="V126" s="20">
        <f t="shared" si="207"/>
        <v>2000</v>
      </c>
      <c r="W126" s="20">
        <f t="shared" si="207"/>
        <v>2000</v>
      </c>
      <c r="X126" s="20">
        <f t="shared" si="207"/>
        <v>2</v>
      </c>
      <c r="Y126" s="20">
        <v>0</v>
      </c>
      <c r="Z126" s="25">
        <v>0</v>
      </c>
      <c r="AA126" s="23">
        <v>0</v>
      </c>
      <c r="AB126" s="23">
        <v>0</v>
      </c>
      <c r="AC126" s="23">
        <v>0</v>
      </c>
      <c r="AD126" s="23">
        <f t="shared" ref="AD126:AE126" si="208">AD96</f>
        <v>8</v>
      </c>
      <c r="AE126" s="23">
        <f t="shared" si="208"/>
        <v>12</v>
      </c>
    </row>
    <row r="127" spans="1:31">
      <c r="A127" s="4">
        <v>1004</v>
      </c>
      <c r="B127" s="23">
        <v>6</v>
      </c>
      <c r="C127" s="24" t="s">
        <v>71</v>
      </c>
      <c r="D127" s="42">
        <f t="shared" si="200"/>
        <v>482</v>
      </c>
      <c r="E127" s="26">
        <v>0</v>
      </c>
      <c r="F127" s="26">
        <v>0</v>
      </c>
      <c r="G127" s="26">
        <v>0</v>
      </c>
      <c r="H127" s="43">
        <v>0</v>
      </c>
      <c r="I127" s="21">
        <f t="shared" si="146"/>
        <v>110</v>
      </c>
      <c r="J127" s="21">
        <f t="shared" si="83"/>
        <v>5</v>
      </c>
      <c r="K127" s="21">
        <v>0</v>
      </c>
      <c r="L127" s="20">
        <v>20</v>
      </c>
      <c r="M127" s="20">
        <v>0</v>
      </c>
      <c r="N127" s="20">
        <f t="shared" si="147"/>
        <v>500</v>
      </c>
      <c r="O127" s="19" t="s">
        <v>71</v>
      </c>
      <c r="P127" s="20">
        <v>1777</v>
      </c>
      <c r="Q127" s="20">
        <f t="shared" ref="Q127:X127" si="209">Q97</f>
        <v>50</v>
      </c>
      <c r="R127" s="20">
        <f t="shared" si="209"/>
        <v>200</v>
      </c>
      <c r="S127" s="20">
        <f t="shared" si="209"/>
        <v>350</v>
      </c>
      <c r="T127" s="20">
        <f t="shared" si="209"/>
        <v>450</v>
      </c>
      <c r="U127" s="20">
        <f t="shared" si="209"/>
        <v>800</v>
      </c>
      <c r="V127" s="20">
        <f t="shared" si="209"/>
        <v>800</v>
      </c>
      <c r="W127" s="20">
        <f t="shared" si="209"/>
        <v>600</v>
      </c>
      <c r="X127" s="20">
        <f t="shared" si="209"/>
        <v>2</v>
      </c>
      <c r="Y127" s="20">
        <v>0</v>
      </c>
      <c r="Z127" s="25">
        <v>0</v>
      </c>
      <c r="AA127" s="23">
        <v>0</v>
      </c>
      <c r="AB127" s="23">
        <v>0</v>
      </c>
      <c r="AC127" s="23">
        <v>0</v>
      </c>
      <c r="AD127" s="23">
        <f t="shared" ref="AD127:AE127" si="210">AD97</f>
        <v>10</v>
      </c>
      <c r="AE127" s="23">
        <f t="shared" si="210"/>
        <v>14</v>
      </c>
    </row>
    <row r="128" spans="1:31">
      <c r="A128" s="8">
        <v>1004</v>
      </c>
      <c r="B128" s="23">
        <v>7</v>
      </c>
      <c r="C128" s="24" t="s">
        <v>72</v>
      </c>
      <c r="D128" s="42">
        <f t="shared" si="200"/>
        <v>522</v>
      </c>
      <c r="E128" s="26">
        <v>0</v>
      </c>
      <c r="F128" s="26">
        <v>0</v>
      </c>
      <c r="G128" s="26">
        <v>0</v>
      </c>
      <c r="H128" s="43">
        <v>0</v>
      </c>
      <c r="I128" s="21">
        <f t="shared" si="146"/>
        <v>110</v>
      </c>
      <c r="J128" s="21">
        <f t="shared" si="83"/>
        <v>6</v>
      </c>
      <c r="K128" s="21">
        <v>0</v>
      </c>
      <c r="L128" s="20">
        <v>16</v>
      </c>
      <c r="M128" s="20">
        <v>0</v>
      </c>
      <c r="N128" s="20">
        <f t="shared" si="147"/>
        <v>700</v>
      </c>
      <c r="O128" s="19" t="s">
        <v>72</v>
      </c>
      <c r="P128" s="20">
        <v>2332</v>
      </c>
      <c r="Q128" s="20">
        <f t="shared" ref="Q128:X128" si="211">Q98</f>
        <v>70</v>
      </c>
      <c r="R128" s="20">
        <f t="shared" si="211"/>
        <v>280</v>
      </c>
      <c r="S128" s="20">
        <f t="shared" si="211"/>
        <v>489.99999999999994</v>
      </c>
      <c r="T128" s="20">
        <f t="shared" si="211"/>
        <v>630</v>
      </c>
      <c r="U128" s="20">
        <f t="shared" si="211"/>
        <v>650</v>
      </c>
      <c r="V128" s="20">
        <f t="shared" si="211"/>
        <v>800</v>
      </c>
      <c r="W128" s="20">
        <f t="shared" si="211"/>
        <v>300</v>
      </c>
      <c r="X128" s="20">
        <f t="shared" si="211"/>
        <v>2</v>
      </c>
      <c r="Y128" s="20">
        <v>0</v>
      </c>
      <c r="Z128" s="25">
        <v>0</v>
      </c>
      <c r="AA128" s="23">
        <v>0</v>
      </c>
      <c r="AB128" s="23">
        <v>0</v>
      </c>
      <c r="AC128" s="23">
        <v>0</v>
      </c>
      <c r="AD128" s="23">
        <f t="shared" ref="AD128:AE128" si="212">AD98</f>
        <v>12</v>
      </c>
      <c r="AE128" s="23">
        <f t="shared" si="212"/>
        <v>16</v>
      </c>
    </row>
    <row r="129" spans="1:31">
      <c r="A129" s="4">
        <v>1004</v>
      </c>
      <c r="B129" s="23">
        <v>8</v>
      </c>
      <c r="C129" s="24" t="s">
        <v>73</v>
      </c>
      <c r="D129" s="42">
        <f t="shared" si="200"/>
        <v>567</v>
      </c>
      <c r="E129" s="26">
        <v>0</v>
      </c>
      <c r="F129" s="26">
        <v>0</v>
      </c>
      <c r="G129" s="26">
        <v>0</v>
      </c>
      <c r="H129" s="43">
        <v>0</v>
      </c>
      <c r="I129" s="21">
        <f t="shared" si="146"/>
        <v>110</v>
      </c>
      <c r="J129" s="21">
        <f t="shared" si="83"/>
        <v>7</v>
      </c>
      <c r="K129" s="21">
        <v>0</v>
      </c>
      <c r="L129" s="20">
        <v>12</v>
      </c>
      <c r="M129" s="20">
        <v>0</v>
      </c>
      <c r="N129" s="20">
        <f t="shared" si="147"/>
        <v>800</v>
      </c>
      <c r="O129" s="19" t="s">
        <v>73</v>
      </c>
      <c r="P129" s="20">
        <v>1487</v>
      </c>
      <c r="Q129" s="20">
        <f t="shared" ref="Q129:X129" si="213">Q99</f>
        <v>80</v>
      </c>
      <c r="R129" s="20">
        <f t="shared" si="213"/>
        <v>320</v>
      </c>
      <c r="S129" s="20">
        <f t="shared" si="213"/>
        <v>560</v>
      </c>
      <c r="T129" s="20">
        <f t="shared" si="213"/>
        <v>720</v>
      </c>
      <c r="U129" s="20">
        <f t="shared" si="213"/>
        <v>200</v>
      </c>
      <c r="V129" s="20">
        <f t="shared" si="213"/>
        <v>2000</v>
      </c>
      <c r="W129" s="20">
        <f t="shared" si="213"/>
        <v>1000</v>
      </c>
      <c r="X129" s="20">
        <f t="shared" si="213"/>
        <v>2</v>
      </c>
      <c r="Y129" s="20">
        <v>72</v>
      </c>
      <c r="Z129" s="25">
        <v>0</v>
      </c>
      <c r="AA129" s="23">
        <v>0</v>
      </c>
      <c r="AB129" s="23">
        <v>0</v>
      </c>
      <c r="AC129" s="23">
        <v>0</v>
      </c>
      <c r="AD129" s="23">
        <f t="shared" ref="AD129:AE129" si="214">AD99</f>
        <v>14</v>
      </c>
      <c r="AE129" s="23">
        <f t="shared" si="214"/>
        <v>18</v>
      </c>
    </row>
    <row r="130" spans="1:31">
      <c r="A130" s="4">
        <v>1004</v>
      </c>
      <c r="B130" s="23">
        <v>9</v>
      </c>
      <c r="C130" s="24" t="s">
        <v>74</v>
      </c>
      <c r="D130" s="42">
        <f t="shared" si="200"/>
        <v>612</v>
      </c>
      <c r="E130" s="26">
        <v>0</v>
      </c>
      <c r="F130" s="26">
        <v>0</v>
      </c>
      <c r="G130" s="26">
        <v>0</v>
      </c>
      <c r="H130" s="43">
        <v>0</v>
      </c>
      <c r="I130" s="21">
        <f t="shared" si="146"/>
        <v>165</v>
      </c>
      <c r="J130" s="21">
        <f t="shared" si="83"/>
        <v>8</v>
      </c>
      <c r="K130" s="21">
        <v>0</v>
      </c>
      <c r="L130" s="20">
        <v>8</v>
      </c>
      <c r="M130" s="20">
        <v>0</v>
      </c>
      <c r="N130" s="20">
        <f t="shared" si="147"/>
        <v>900</v>
      </c>
      <c r="O130" s="19" t="s">
        <v>74</v>
      </c>
      <c r="P130" s="20">
        <v>1518</v>
      </c>
      <c r="Q130" s="20">
        <f t="shared" ref="Q130:X130" si="215">Q100</f>
        <v>90</v>
      </c>
      <c r="R130" s="20">
        <f t="shared" si="215"/>
        <v>360</v>
      </c>
      <c r="S130" s="20">
        <f t="shared" si="215"/>
        <v>630</v>
      </c>
      <c r="T130" s="20">
        <f t="shared" si="215"/>
        <v>810</v>
      </c>
      <c r="U130" s="20">
        <f t="shared" si="215"/>
        <v>120</v>
      </c>
      <c r="V130" s="20">
        <f t="shared" si="215"/>
        <v>1500</v>
      </c>
      <c r="W130" s="20">
        <f t="shared" si="215"/>
        <v>1000</v>
      </c>
      <c r="X130" s="20">
        <f t="shared" si="215"/>
        <v>3</v>
      </c>
      <c r="Y130" s="20">
        <v>0</v>
      </c>
      <c r="Z130" s="25">
        <v>0</v>
      </c>
      <c r="AA130" s="23">
        <v>0</v>
      </c>
      <c r="AB130" s="23">
        <v>0</v>
      </c>
      <c r="AC130" s="23">
        <v>0</v>
      </c>
      <c r="AD130" s="23">
        <f t="shared" ref="AD130:AE130" si="216">AD100</f>
        <v>16</v>
      </c>
      <c r="AE130" s="23">
        <f t="shared" si="216"/>
        <v>20</v>
      </c>
    </row>
    <row r="131" spans="1:31">
      <c r="A131" s="4">
        <v>1004</v>
      </c>
      <c r="B131" s="23">
        <v>10</v>
      </c>
      <c r="C131" s="24" t="s">
        <v>75</v>
      </c>
      <c r="D131" s="42">
        <f t="shared" si="200"/>
        <v>662</v>
      </c>
      <c r="E131" s="26">
        <v>0</v>
      </c>
      <c r="F131" s="26">
        <v>0</v>
      </c>
      <c r="G131" s="26">
        <v>0</v>
      </c>
      <c r="H131" s="43">
        <v>0</v>
      </c>
      <c r="I131" s="21">
        <f t="shared" si="146"/>
        <v>165</v>
      </c>
      <c r="J131" s="21">
        <f t="shared" ref="J131:J151" si="217">B131-1</f>
        <v>9</v>
      </c>
      <c r="K131" s="21">
        <v>0</v>
      </c>
      <c r="L131" s="20">
        <v>6</v>
      </c>
      <c r="M131" s="20">
        <v>0</v>
      </c>
      <c r="N131" s="20">
        <f t="shared" si="147"/>
        <v>2000</v>
      </c>
      <c r="O131" s="19" t="s">
        <v>75</v>
      </c>
      <c r="P131" s="20">
        <v>861</v>
      </c>
      <c r="Q131" s="20">
        <f t="shared" ref="Q131:X131" si="218">Q101</f>
        <v>200</v>
      </c>
      <c r="R131" s="20">
        <f t="shared" si="218"/>
        <v>800</v>
      </c>
      <c r="S131" s="20">
        <f t="shared" si="218"/>
        <v>1400</v>
      </c>
      <c r="T131" s="20">
        <f t="shared" si="218"/>
        <v>1800</v>
      </c>
      <c r="U131" s="20">
        <f t="shared" si="218"/>
        <v>150</v>
      </c>
      <c r="V131" s="20">
        <f t="shared" si="218"/>
        <v>5000</v>
      </c>
      <c r="W131" s="20">
        <f t="shared" si="218"/>
        <v>800</v>
      </c>
      <c r="X131" s="20">
        <f t="shared" si="218"/>
        <v>3</v>
      </c>
      <c r="Y131" s="20">
        <v>0</v>
      </c>
      <c r="Z131" s="25">
        <v>0</v>
      </c>
      <c r="AA131" s="23">
        <v>0</v>
      </c>
      <c r="AB131" s="23">
        <v>0</v>
      </c>
      <c r="AC131" s="23">
        <v>0</v>
      </c>
      <c r="AD131" s="23">
        <f t="shared" ref="AD131:AE131" si="219">AD101</f>
        <v>18</v>
      </c>
      <c r="AE131" s="23">
        <f t="shared" si="219"/>
        <v>22</v>
      </c>
    </row>
    <row r="132" spans="1:31">
      <c r="A132" s="4">
        <v>1004</v>
      </c>
      <c r="B132" s="23">
        <v>11</v>
      </c>
      <c r="C132" s="24" t="s">
        <v>66</v>
      </c>
      <c r="D132" s="42">
        <f t="shared" si="200"/>
        <v>716</v>
      </c>
      <c r="E132" s="26">
        <v>0</v>
      </c>
      <c r="F132" s="26">
        <v>0</v>
      </c>
      <c r="G132" s="26">
        <v>0</v>
      </c>
      <c r="H132" s="43">
        <v>0</v>
      </c>
      <c r="I132" s="21">
        <f t="shared" si="146"/>
        <v>165</v>
      </c>
      <c r="J132" s="21">
        <f t="shared" si="217"/>
        <v>10</v>
      </c>
      <c r="K132" s="21">
        <v>0</v>
      </c>
      <c r="L132" s="20">
        <v>6</v>
      </c>
      <c r="M132" s="20">
        <v>0</v>
      </c>
      <c r="N132" s="20">
        <f t="shared" si="147"/>
        <v>2200</v>
      </c>
      <c r="O132" s="19" t="s">
        <v>66</v>
      </c>
      <c r="P132" s="20">
        <v>9400</v>
      </c>
      <c r="Q132" s="20">
        <f t="shared" ref="Q132:X132" si="220">Q102</f>
        <v>220</v>
      </c>
      <c r="R132" s="20">
        <f t="shared" si="220"/>
        <v>880</v>
      </c>
      <c r="S132" s="20">
        <f t="shared" si="220"/>
        <v>1540</v>
      </c>
      <c r="T132" s="20">
        <f t="shared" si="220"/>
        <v>1980</v>
      </c>
      <c r="U132" s="20">
        <f t="shared" si="220"/>
        <v>100</v>
      </c>
      <c r="V132" s="20">
        <f t="shared" si="220"/>
        <v>800</v>
      </c>
      <c r="W132" s="20">
        <f t="shared" si="220"/>
        <v>600</v>
      </c>
      <c r="X132" s="20">
        <f t="shared" si="220"/>
        <v>3</v>
      </c>
      <c r="Y132" s="20">
        <v>0</v>
      </c>
      <c r="Z132" s="25">
        <v>0</v>
      </c>
      <c r="AA132" s="23">
        <v>0</v>
      </c>
      <c r="AB132" s="23">
        <v>0</v>
      </c>
      <c r="AC132" s="23">
        <v>0</v>
      </c>
      <c r="AD132" s="23">
        <f t="shared" ref="AD132:AE132" si="221">AD102</f>
        <v>20</v>
      </c>
      <c r="AE132" s="23">
        <f t="shared" si="221"/>
        <v>24</v>
      </c>
    </row>
    <row r="133" spans="1:31">
      <c r="A133" s="4">
        <v>1004</v>
      </c>
      <c r="B133" s="23">
        <v>12</v>
      </c>
      <c r="C133" s="24" t="s">
        <v>67</v>
      </c>
      <c r="D133" s="42">
        <f t="shared" si="200"/>
        <v>774</v>
      </c>
      <c r="E133" s="26">
        <v>0</v>
      </c>
      <c r="F133" s="26">
        <v>0</v>
      </c>
      <c r="G133" s="26">
        <v>0</v>
      </c>
      <c r="H133" s="43">
        <v>0</v>
      </c>
      <c r="I133" s="21">
        <f t="shared" si="146"/>
        <v>165</v>
      </c>
      <c r="J133" s="21">
        <f t="shared" si="217"/>
        <v>11</v>
      </c>
      <c r="K133" s="21">
        <v>0</v>
      </c>
      <c r="L133" s="20">
        <v>6</v>
      </c>
      <c r="M133" s="20">
        <v>0</v>
      </c>
      <c r="N133" s="20">
        <f t="shared" si="147"/>
        <v>2400</v>
      </c>
      <c r="O133" s="19" t="s">
        <v>67</v>
      </c>
      <c r="P133" s="20">
        <v>9100</v>
      </c>
      <c r="Q133" s="20">
        <f t="shared" ref="Q133:X133" si="222">Q103</f>
        <v>240</v>
      </c>
      <c r="R133" s="20">
        <f t="shared" si="222"/>
        <v>960</v>
      </c>
      <c r="S133" s="20">
        <f t="shared" si="222"/>
        <v>1680</v>
      </c>
      <c r="T133" s="20">
        <f t="shared" si="222"/>
        <v>2160</v>
      </c>
      <c r="U133" s="20">
        <f t="shared" si="222"/>
        <v>150</v>
      </c>
      <c r="V133" s="20">
        <f t="shared" si="222"/>
        <v>700</v>
      </c>
      <c r="W133" s="20">
        <f t="shared" si="222"/>
        <v>900</v>
      </c>
      <c r="X133" s="20">
        <f t="shared" si="222"/>
        <v>3</v>
      </c>
      <c r="Y133" s="20">
        <v>0</v>
      </c>
      <c r="Z133" s="25">
        <v>0</v>
      </c>
      <c r="AA133" s="23">
        <v>0</v>
      </c>
      <c r="AB133" s="23">
        <v>0</v>
      </c>
      <c r="AC133" s="23">
        <v>0</v>
      </c>
      <c r="AD133" s="23">
        <f t="shared" ref="AD133:AE133" si="223">AD103</f>
        <v>22</v>
      </c>
      <c r="AE133" s="23">
        <f t="shared" si="223"/>
        <v>26</v>
      </c>
    </row>
    <row r="134" spans="1:31">
      <c r="A134" s="4">
        <v>1004</v>
      </c>
      <c r="B134" s="23">
        <v>13</v>
      </c>
      <c r="C134" s="24" t="s">
        <v>68</v>
      </c>
      <c r="D134" s="42">
        <f t="shared" si="200"/>
        <v>842</v>
      </c>
      <c r="E134" s="26">
        <v>0</v>
      </c>
      <c r="F134" s="26">
        <v>0</v>
      </c>
      <c r="G134" s="26">
        <v>0</v>
      </c>
      <c r="H134" s="43">
        <v>0</v>
      </c>
      <c r="I134" s="21">
        <f t="shared" si="146"/>
        <v>220</v>
      </c>
      <c r="J134" s="21">
        <f t="shared" si="217"/>
        <v>12</v>
      </c>
      <c r="K134" s="21">
        <v>0</v>
      </c>
      <c r="L134" s="20">
        <v>6</v>
      </c>
      <c r="M134" s="20">
        <v>0</v>
      </c>
      <c r="N134" s="20">
        <f t="shared" si="147"/>
        <v>2600</v>
      </c>
      <c r="O134" s="19" t="s">
        <v>68</v>
      </c>
      <c r="P134" s="20">
        <v>8600</v>
      </c>
      <c r="Q134" s="20">
        <f t="shared" ref="Q134:X134" si="224">Q104</f>
        <v>260</v>
      </c>
      <c r="R134" s="20">
        <f t="shared" si="224"/>
        <v>1040</v>
      </c>
      <c r="S134" s="20">
        <f t="shared" si="224"/>
        <v>1819.9999999999998</v>
      </c>
      <c r="T134" s="20">
        <f t="shared" si="224"/>
        <v>2340</v>
      </c>
      <c r="U134" s="20">
        <f t="shared" si="224"/>
        <v>100</v>
      </c>
      <c r="V134" s="20">
        <f t="shared" si="224"/>
        <v>700</v>
      </c>
      <c r="W134" s="20">
        <f t="shared" si="224"/>
        <v>1000</v>
      </c>
      <c r="X134" s="20">
        <f t="shared" si="224"/>
        <v>4</v>
      </c>
      <c r="Y134" s="20">
        <f>Y129*2</f>
        <v>144</v>
      </c>
      <c r="Z134" s="25">
        <v>0</v>
      </c>
      <c r="AA134" s="23">
        <v>0</v>
      </c>
      <c r="AB134" s="23">
        <v>0</v>
      </c>
      <c r="AC134" s="23">
        <v>0</v>
      </c>
      <c r="AD134" s="23">
        <f t="shared" ref="AD134:AE134" si="225">AD104</f>
        <v>24</v>
      </c>
      <c r="AE134" s="23">
        <f t="shared" si="225"/>
        <v>28</v>
      </c>
    </row>
    <row r="135" spans="1:31">
      <c r="A135" s="4">
        <v>1004</v>
      </c>
      <c r="B135" s="23">
        <v>14</v>
      </c>
      <c r="C135" s="24" t="s">
        <v>69</v>
      </c>
      <c r="D135" s="42">
        <f t="shared" si="200"/>
        <v>909</v>
      </c>
      <c r="E135" s="26">
        <v>0</v>
      </c>
      <c r="F135" s="26">
        <v>0</v>
      </c>
      <c r="G135" s="26">
        <v>0</v>
      </c>
      <c r="H135" s="43">
        <v>0</v>
      </c>
      <c r="I135" s="21">
        <f t="shared" si="146"/>
        <v>220</v>
      </c>
      <c r="J135" s="21">
        <f t="shared" si="217"/>
        <v>13</v>
      </c>
      <c r="K135" s="21">
        <v>0</v>
      </c>
      <c r="L135" s="20">
        <v>6</v>
      </c>
      <c r="M135" s="20">
        <v>0</v>
      </c>
      <c r="N135" s="20">
        <f t="shared" si="147"/>
        <v>2800</v>
      </c>
      <c r="O135" s="19" t="s">
        <v>69</v>
      </c>
      <c r="P135" s="20">
        <v>6400</v>
      </c>
      <c r="Q135" s="20">
        <f t="shared" ref="Q135:X135" si="226">Q105</f>
        <v>280</v>
      </c>
      <c r="R135" s="20">
        <f t="shared" si="226"/>
        <v>1120</v>
      </c>
      <c r="S135" s="20">
        <f t="shared" si="226"/>
        <v>1959.9999999999998</v>
      </c>
      <c r="T135" s="20">
        <f t="shared" si="226"/>
        <v>2520</v>
      </c>
      <c r="U135" s="20">
        <f t="shared" si="226"/>
        <v>100</v>
      </c>
      <c r="V135" s="20">
        <f t="shared" si="226"/>
        <v>400</v>
      </c>
      <c r="W135" s="20">
        <f t="shared" si="226"/>
        <v>1200</v>
      </c>
      <c r="X135" s="20">
        <f t="shared" si="226"/>
        <v>4</v>
      </c>
      <c r="Y135" s="20">
        <f t="shared" ref="Y135:Y138" si="227">Y130*2</f>
        <v>0</v>
      </c>
      <c r="Z135" s="25">
        <v>0</v>
      </c>
      <c r="AA135" s="23">
        <v>0</v>
      </c>
      <c r="AB135" s="23">
        <v>0</v>
      </c>
      <c r="AC135" s="23">
        <v>0</v>
      </c>
      <c r="AD135" s="23">
        <f t="shared" ref="AD135:AE135" si="228">AD105</f>
        <v>26</v>
      </c>
      <c r="AE135" s="23">
        <f t="shared" si="228"/>
        <v>30</v>
      </c>
    </row>
    <row r="136" spans="1:31">
      <c r="A136" s="4">
        <v>1004</v>
      </c>
      <c r="B136" s="26">
        <v>15</v>
      </c>
      <c r="C136" s="24" t="s">
        <v>70</v>
      </c>
      <c r="D136" s="42">
        <f t="shared" si="200"/>
        <v>986</v>
      </c>
      <c r="E136" s="26">
        <v>0</v>
      </c>
      <c r="F136" s="26">
        <v>0</v>
      </c>
      <c r="G136" s="26">
        <v>0</v>
      </c>
      <c r="H136" s="43">
        <v>0</v>
      </c>
      <c r="I136" s="21">
        <f t="shared" si="146"/>
        <v>220</v>
      </c>
      <c r="J136" s="21">
        <f t="shared" si="217"/>
        <v>14</v>
      </c>
      <c r="K136" s="21">
        <v>0</v>
      </c>
      <c r="L136" s="20">
        <v>6</v>
      </c>
      <c r="M136" s="20">
        <v>0</v>
      </c>
      <c r="N136" s="20">
        <f t="shared" si="147"/>
        <v>4500</v>
      </c>
      <c r="O136" s="19" t="s">
        <v>70</v>
      </c>
      <c r="P136" s="20">
        <v>3100</v>
      </c>
      <c r="Q136" s="20">
        <f t="shared" ref="Q136:X136" si="229">Q106</f>
        <v>450</v>
      </c>
      <c r="R136" s="20">
        <f t="shared" si="229"/>
        <v>1800</v>
      </c>
      <c r="S136" s="20">
        <f t="shared" si="229"/>
        <v>3150</v>
      </c>
      <c r="T136" s="20">
        <f t="shared" si="229"/>
        <v>4050</v>
      </c>
      <c r="U136" s="20">
        <f t="shared" si="229"/>
        <v>100</v>
      </c>
      <c r="V136" s="20">
        <f t="shared" si="229"/>
        <v>1000</v>
      </c>
      <c r="W136" s="20">
        <f t="shared" si="229"/>
        <v>600</v>
      </c>
      <c r="X136" s="20">
        <f t="shared" si="229"/>
        <v>4</v>
      </c>
      <c r="Y136" s="20">
        <f t="shared" si="227"/>
        <v>0</v>
      </c>
      <c r="Z136" s="25">
        <v>0</v>
      </c>
      <c r="AA136" s="23">
        <v>0</v>
      </c>
      <c r="AB136" s="23">
        <v>0</v>
      </c>
      <c r="AC136" s="23">
        <v>0</v>
      </c>
      <c r="AD136" s="23">
        <f t="shared" ref="AD136:AE136" si="230">AD106</f>
        <v>28</v>
      </c>
      <c r="AE136" s="23">
        <f t="shared" si="230"/>
        <v>32</v>
      </c>
    </row>
    <row r="137" spans="1:31">
      <c r="A137" s="4">
        <v>1004</v>
      </c>
      <c r="B137" s="23">
        <v>16</v>
      </c>
      <c r="C137" s="24" t="s">
        <v>71</v>
      </c>
      <c r="D137" s="42">
        <f t="shared" si="200"/>
        <v>1067</v>
      </c>
      <c r="E137" s="26">
        <v>0</v>
      </c>
      <c r="F137" s="26">
        <v>0</v>
      </c>
      <c r="G137" s="26">
        <v>0</v>
      </c>
      <c r="H137" s="43">
        <v>0</v>
      </c>
      <c r="I137" s="21">
        <f t="shared" si="146"/>
        <v>220</v>
      </c>
      <c r="J137" s="21">
        <f t="shared" si="217"/>
        <v>15</v>
      </c>
      <c r="K137" s="21">
        <v>0</v>
      </c>
      <c r="L137" s="20">
        <v>6</v>
      </c>
      <c r="M137" s="20">
        <v>0</v>
      </c>
      <c r="N137" s="20">
        <f t="shared" si="147"/>
        <v>4800</v>
      </c>
      <c r="O137" s="19" t="s">
        <v>71</v>
      </c>
      <c r="P137" s="20">
        <v>1777</v>
      </c>
      <c r="Q137" s="20">
        <f t="shared" ref="Q137:X137" si="231">Q107</f>
        <v>480</v>
      </c>
      <c r="R137" s="20">
        <f t="shared" si="231"/>
        <v>1920</v>
      </c>
      <c r="S137" s="20">
        <f t="shared" si="231"/>
        <v>3360</v>
      </c>
      <c r="T137" s="20">
        <f t="shared" si="231"/>
        <v>4320</v>
      </c>
      <c r="U137" s="20">
        <f t="shared" si="231"/>
        <v>100</v>
      </c>
      <c r="V137" s="20">
        <f t="shared" si="231"/>
        <v>800</v>
      </c>
      <c r="W137" s="20">
        <f t="shared" si="231"/>
        <v>800</v>
      </c>
      <c r="X137" s="20">
        <f t="shared" si="231"/>
        <v>4</v>
      </c>
      <c r="Y137" s="20">
        <f t="shared" si="227"/>
        <v>0</v>
      </c>
      <c r="Z137" s="25">
        <v>0</v>
      </c>
      <c r="AA137" s="23">
        <v>0</v>
      </c>
      <c r="AB137" s="23">
        <v>0</v>
      </c>
      <c r="AC137" s="23">
        <v>0</v>
      </c>
      <c r="AD137" s="23">
        <f t="shared" ref="AD137:AE137" si="232">AD107</f>
        <v>30</v>
      </c>
      <c r="AE137" s="23">
        <f t="shared" si="232"/>
        <v>34</v>
      </c>
    </row>
    <row r="138" spans="1:31">
      <c r="A138" s="4">
        <v>1004</v>
      </c>
      <c r="B138" s="23">
        <v>17</v>
      </c>
      <c r="C138" s="24" t="s">
        <v>72</v>
      </c>
      <c r="D138" s="42">
        <f t="shared" si="200"/>
        <v>1152</v>
      </c>
      <c r="E138" s="26">
        <v>0</v>
      </c>
      <c r="F138" s="26">
        <v>0</v>
      </c>
      <c r="G138" s="26">
        <v>0</v>
      </c>
      <c r="H138" s="43">
        <v>0</v>
      </c>
      <c r="I138" s="21">
        <f t="shared" si="146"/>
        <v>275</v>
      </c>
      <c r="J138" s="21">
        <f t="shared" si="217"/>
        <v>16</v>
      </c>
      <c r="K138" s="21">
        <v>0</v>
      </c>
      <c r="L138" s="20">
        <v>6</v>
      </c>
      <c r="M138" s="20">
        <v>0</v>
      </c>
      <c r="N138" s="20">
        <f t="shared" si="147"/>
        <v>5100</v>
      </c>
      <c r="O138" s="19" t="s">
        <v>72</v>
      </c>
      <c r="P138" s="20">
        <v>2332</v>
      </c>
      <c r="Q138" s="20">
        <f t="shared" ref="Q138:X138" si="233">Q108</f>
        <v>510</v>
      </c>
      <c r="R138" s="20">
        <f t="shared" si="233"/>
        <v>2040</v>
      </c>
      <c r="S138" s="20">
        <f t="shared" si="233"/>
        <v>3570</v>
      </c>
      <c r="T138" s="20">
        <f t="shared" si="233"/>
        <v>4590</v>
      </c>
      <c r="U138" s="20">
        <f t="shared" si="233"/>
        <v>80</v>
      </c>
      <c r="V138" s="20">
        <f t="shared" si="233"/>
        <v>800</v>
      </c>
      <c r="W138" s="20">
        <f t="shared" si="233"/>
        <v>600</v>
      </c>
      <c r="X138" s="20">
        <f t="shared" si="233"/>
        <v>5</v>
      </c>
      <c r="Y138" s="20">
        <f t="shared" si="227"/>
        <v>0</v>
      </c>
      <c r="Z138" s="25">
        <v>0</v>
      </c>
      <c r="AA138" s="23">
        <v>0</v>
      </c>
      <c r="AB138" s="23">
        <v>0</v>
      </c>
      <c r="AC138" s="23">
        <v>0</v>
      </c>
      <c r="AD138" s="23">
        <f t="shared" ref="AD138:AE138" si="234">AD108</f>
        <v>32</v>
      </c>
      <c r="AE138" s="23">
        <f t="shared" si="234"/>
        <v>36</v>
      </c>
    </row>
    <row r="139" spans="1:31">
      <c r="A139" s="4">
        <v>1004</v>
      </c>
      <c r="B139" s="23">
        <v>18</v>
      </c>
      <c r="C139" s="24" t="s">
        <v>73</v>
      </c>
      <c r="D139" s="42">
        <f t="shared" si="200"/>
        <v>1251</v>
      </c>
      <c r="E139" s="26">
        <v>0</v>
      </c>
      <c r="F139" s="26">
        <v>0</v>
      </c>
      <c r="G139" s="26">
        <v>0</v>
      </c>
      <c r="H139" s="43">
        <v>0</v>
      </c>
      <c r="I139" s="21">
        <f t="shared" si="146"/>
        <v>275</v>
      </c>
      <c r="J139" s="21">
        <f t="shared" si="217"/>
        <v>17</v>
      </c>
      <c r="K139" s="21">
        <v>0</v>
      </c>
      <c r="L139" s="20">
        <v>6</v>
      </c>
      <c r="M139" s="20">
        <v>0</v>
      </c>
      <c r="N139" s="20">
        <f t="shared" si="147"/>
        <v>5400</v>
      </c>
      <c r="O139" s="19" t="s">
        <v>73</v>
      </c>
      <c r="P139" s="20">
        <v>1487</v>
      </c>
      <c r="Q139" s="20">
        <f t="shared" ref="Q139:X139" si="235">Q109</f>
        <v>540</v>
      </c>
      <c r="R139" s="20">
        <f t="shared" si="235"/>
        <v>2160</v>
      </c>
      <c r="S139" s="20">
        <f t="shared" si="235"/>
        <v>3779.9999999999995</v>
      </c>
      <c r="T139" s="20">
        <f t="shared" si="235"/>
        <v>4860</v>
      </c>
      <c r="U139" s="20">
        <f t="shared" si="235"/>
        <v>100</v>
      </c>
      <c r="V139" s="20">
        <f t="shared" si="235"/>
        <v>600</v>
      </c>
      <c r="W139" s="20">
        <f t="shared" si="235"/>
        <v>300</v>
      </c>
      <c r="X139" s="20">
        <f t="shared" si="235"/>
        <v>5</v>
      </c>
      <c r="Y139" s="20">
        <f>Y129*3</f>
        <v>216</v>
      </c>
      <c r="Z139" s="25">
        <v>0</v>
      </c>
      <c r="AA139" s="23">
        <v>0</v>
      </c>
      <c r="AB139" s="23">
        <v>0</v>
      </c>
      <c r="AC139" s="23">
        <v>0</v>
      </c>
      <c r="AD139" s="23">
        <f t="shared" ref="AD139:AE139" si="236">AD109</f>
        <v>34</v>
      </c>
      <c r="AE139" s="23">
        <f t="shared" si="236"/>
        <v>38</v>
      </c>
    </row>
    <row r="140" spans="1:31">
      <c r="A140" s="8">
        <v>1004</v>
      </c>
      <c r="B140" s="23">
        <v>19</v>
      </c>
      <c r="C140" s="24" t="s">
        <v>74</v>
      </c>
      <c r="D140" s="42">
        <f t="shared" si="200"/>
        <v>1355</v>
      </c>
      <c r="E140" s="26">
        <v>0</v>
      </c>
      <c r="F140" s="26">
        <v>0</v>
      </c>
      <c r="G140" s="26">
        <v>0</v>
      </c>
      <c r="H140" s="43">
        <v>0</v>
      </c>
      <c r="I140" s="21">
        <f t="shared" si="146"/>
        <v>275</v>
      </c>
      <c r="J140" s="21">
        <f t="shared" si="217"/>
        <v>18</v>
      </c>
      <c r="K140" s="21">
        <v>0</v>
      </c>
      <c r="L140" s="20">
        <v>6</v>
      </c>
      <c r="M140" s="20">
        <v>0</v>
      </c>
      <c r="N140" s="20">
        <f t="shared" si="147"/>
        <v>5700</v>
      </c>
      <c r="O140" s="19" t="s">
        <v>74</v>
      </c>
      <c r="P140" s="20">
        <v>1518</v>
      </c>
      <c r="Q140" s="20">
        <f t="shared" ref="Q140:X140" si="237">Q110</f>
        <v>570</v>
      </c>
      <c r="R140" s="20">
        <f t="shared" si="237"/>
        <v>2280</v>
      </c>
      <c r="S140" s="20">
        <f t="shared" si="237"/>
        <v>3989.9999999999995</v>
      </c>
      <c r="T140" s="20">
        <f t="shared" si="237"/>
        <v>5130</v>
      </c>
      <c r="U140" s="20">
        <f t="shared" si="237"/>
        <v>100</v>
      </c>
      <c r="V140" s="20">
        <f t="shared" si="237"/>
        <v>500</v>
      </c>
      <c r="W140" s="20">
        <f t="shared" si="237"/>
        <v>400</v>
      </c>
      <c r="X140" s="20">
        <f t="shared" si="237"/>
        <v>5</v>
      </c>
      <c r="Y140" s="20">
        <f t="shared" ref="Y140:Y143" si="238">Y130*3</f>
        <v>0</v>
      </c>
      <c r="Z140" s="25">
        <v>0</v>
      </c>
      <c r="AA140" s="23">
        <v>0</v>
      </c>
      <c r="AB140" s="23">
        <v>0</v>
      </c>
      <c r="AC140" s="23">
        <v>0</v>
      </c>
      <c r="AD140" s="23">
        <f t="shared" ref="AD140:AE140" si="239">AD110</f>
        <v>36</v>
      </c>
      <c r="AE140" s="23">
        <f t="shared" si="239"/>
        <v>40</v>
      </c>
    </row>
    <row r="141" spans="1:31">
      <c r="A141" s="4">
        <v>1004</v>
      </c>
      <c r="B141" s="23">
        <v>20</v>
      </c>
      <c r="C141" s="24" t="s">
        <v>75</v>
      </c>
      <c r="D141" s="42">
        <f t="shared" si="200"/>
        <v>1463</v>
      </c>
      <c r="E141" s="26">
        <v>0</v>
      </c>
      <c r="F141" s="26">
        <v>0</v>
      </c>
      <c r="G141" s="26">
        <v>0</v>
      </c>
      <c r="H141" s="43">
        <v>0</v>
      </c>
      <c r="I141" s="21">
        <f t="shared" si="146"/>
        <v>275</v>
      </c>
      <c r="J141" s="21">
        <f t="shared" si="217"/>
        <v>19</v>
      </c>
      <c r="K141" s="21">
        <v>0</v>
      </c>
      <c r="L141" s="20">
        <v>6</v>
      </c>
      <c r="M141" s="20">
        <v>0</v>
      </c>
      <c r="N141" s="20">
        <f t="shared" si="147"/>
        <v>8000</v>
      </c>
      <c r="O141" s="19" t="s">
        <v>75</v>
      </c>
      <c r="P141" s="20">
        <v>861</v>
      </c>
      <c r="Q141" s="20">
        <f t="shared" ref="Q141:X141" si="240">Q111</f>
        <v>800</v>
      </c>
      <c r="R141" s="20">
        <f t="shared" si="240"/>
        <v>3200</v>
      </c>
      <c r="S141" s="20">
        <f t="shared" si="240"/>
        <v>5600</v>
      </c>
      <c r="T141" s="20">
        <f t="shared" si="240"/>
        <v>7200</v>
      </c>
      <c r="U141" s="20">
        <f t="shared" si="240"/>
        <v>100</v>
      </c>
      <c r="V141" s="20">
        <f t="shared" si="240"/>
        <v>800</v>
      </c>
      <c r="W141" s="20">
        <f t="shared" si="240"/>
        <v>8000</v>
      </c>
      <c r="X141" s="20">
        <f t="shared" si="240"/>
        <v>5</v>
      </c>
      <c r="Y141" s="20">
        <f t="shared" si="238"/>
        <v>0</v>
      </c>
      <c r="Z141" s="25">
        <v>0</v>
      </c>
      <c r="AA141" s="23">
        <v>0</v>
      </c>
      <c r="AB141" s="23">
        <v>0</v>
      </c>
      <c r="AC141" s="23">
        <v>0</v>
      </c>
      <c r="AD141" s="23">
        <f t="shared" ref="AD141:AE141" si="241">AD111</f>
        <v>38</v>
      </c>
      <c r="AE141" s="23">
        <f t="shared" si="241"/>
        <v>42</v>
      </c>
    </row>
    <row r="142" spans="1:31">
      <c r="A142" s="4">
        <v>1004</v>
      </c>
      <c r="B142" s="23">
        <v>21</v>
      </c>
      <c r="C142" s="24" t="s">
        <v>66</v>
      </c>
      <c r="D142" s="42">
        <f t="shared" si="200"/>
        <v>1584</v>
      </c>
      <c r="E142" s="26">
        <v>0</v>
      </c>
      <c r="F142" s="26">
        <v>0</v>
      </c>
      <c r="G142" s="26">
        <v>0</v>
      </c>
      <c r="H142" s="43">
        <v>0</v>
      </c>
      <c r="I142" s="21">
        <f t="shared" si="146"/>
        <v>330</v>
      </c>
      <c r="J142" s="21">
        <f t="shared" si="217"/>
        <v>20</v>
      </c>
      <c r="K142" s="21">
        <v>0</v>
      </c>
      <c r="L142" s="20">
        <v>6</v>
      </c>
      <c r="M142" s="20">
        <v>0</v>
      </c>
      <c r="N142" s="20">
        <f t="shared" si="147"/>
        <v>8400</v>
      </c>
      <c r="O142" s="19" t="s">
        <v>66</v>
      </c>
      <c r="P142" s="20">
        <v>9400</v>
      </c>
      <c r="Q142" s="20">
        <f t="shared" ref="Q142:X142" si="242">Q112</f>
        <v>840</v>
      </c>
      <c r="R142" s="20">
        <f t="shared" si="242"/>
        <v>3360</v>
      </c>
      <c r="S142" s="20">
        <f t="shared" si="242"/>
        <v>5880</v>
      </c>
      <c r="T142" s="20">
        <f t="shared" si="242"/>
        <v>7560</v>
      </c>
      <c r="U142" s="20">
        <f t="shared" si="242"/>
        <v>50</v>
      </c>
      <c r="V142" s="20">
        <f t="shared" si="242"/>
        <v>1000</v>
      </c>
      <c r="W142" s="20">
        <f t="shared" si="242"/>
        <v>600</v>
      </c>
      <c r="X142" s="20">
        <f t="shared" si="242"/>
        <v>6</v>
      </c>
      <c r="Y142" s="20">
        <f t="shared" si="238"/>
        <v>0</v>
      </c>
      <c r="Z142" s="25">
        <v>0</v>
      </c>
      <c r="AA142" s="23">
        <v>0</v>
      </c>
      <c r="AB142" s="23">
        <v>0</v>
      </c>
      <c r="AC142" s="23">
        <v>0</v>
      </c>
      <c r="AD142" s="23">
        <f t="shared" ref="AD142:AE142" si="243">AD112</f>
        <v>40</v>
      </c>
      <c r="AE142" s="23">
        <f t="shared" si="243"/>
        <v>44</v>
      </c>
    </row>
    <row r="143" spans="1:31">
      <c r="A143" s="4">
        <v>1004</v>
      </c>
      <c r="B143" s="23">
        <v>22</v>
      </c>
      <c r="C143" s="24" t="s">
        <v>67</v>
      </c>
      <c r="D143" s="42">
        <f t="shared" si="200"/>
        <v>1715</v>
      </c>
      <c r="E143" s="26">
        <v>0</v>
      </c>
      <c r="F143" s="26">
        <v>0</v>
      </c>
      <c r="G143" s="26">
        <v>0</v>
      </c>
      <c r="H143" s="43">
        <v>0</v>
      </c>
      <c r="I143" s="21">
        <f t="shared" si="146"/>
        <v>330</v>
      </c>
      <c r="J143" s="21">
        <f t="shared" si="217"/>
        <v>21</v>
      </c>
      <c r="K143" s="21">
        <v>0</v>
      </c>
      <c r="L143" s="20">
        <v>6</v>
      </c>
      <c r="M143" s="20">
        <v>0</v>
      </c>
      <c r="N143" s="20">
        <f t="shared" si="147"/>
        <v>8800</v>
      </c>
      <c r="O143" s="19" t="s">
        <v>67</v>
      </c>
      <c r="P143" s="20">
        <v>9100</v>
      </c>
      <c r="Q143" s="20">
        <f t="shared" ref="Q143:X143" si="244">Q113</f>
        <v>880</v>
      </c>
      <c r="R143" s="20">
        <f t="shared" si="244"/>
        <v>3520</v>
      </c>
      <c r="S143" s="20">
        <f t="shared" si="244"/>
        <v>6160</v>
      </c>
      <c r="T143" s="20">
        <f t="shared" si="244"/>
        <v>7920</v>
      </c>
      <c r="U143" s="20">
        <f t="shared" si="244"/>
        <v>100</v>
      </c>
      <c r="V143" s="20">
        <f t="shared" si="244"/>
        <v>600</v>
      </c>
      <c r="W143" s="20">
        <f t="shared" si="244"/>
        <v>700</v>
      </c>
      <c r="X143" s="20">
        <f t="shared" si="244"/>
        <v>6</v>
      </c>
      <c r="Y143" s="20">
        <f t="shared" si="238"/>
        <v>0</v>
      </c>
      <c r="Z143" s="25">
        <v>0</v>
      </c>
      <c r="AA143" s="23">
        <v>0</v>
      </c>
      <c r="AB143" s="23">
        <v>0</v>
      </c>
      <c r="AC143" s="23">
        <v>0</v>
      </c>
      <c r="AD143" s="23">
        <f t="shared" ref="AD143:AE143" si="245">AD113</f>
        <v>42</v>
      </c>
      <c r="AE143" s="23">
        <f t="shared" si="245"/>
        <v>46</v>
      </c>
    </row>
    <row r="144" spans="1:31">
      <c r="A144" s="4">
        <v>1004</v>
      </c>
      <c r="B144" s="23">
        <v>23</v>
      </c>
      <c r="C144" s="24" t="s">
        <v>68</v>
      </c>
      <c r="D144" s="42">
        <f t="shared" si="200"/>
        <v>1859</v>
      </c>
      <c r="E144" s="26">
        <v>0</v>
      </c>
      <c r="F144" s="26">
        <v>0</v>
      </c>
      <c r="G144" s="26">
        <v>0</v>
      </c>
      <c r="H144" s="43">
        <v>0</v>
      </c>
      <c r="I144" s="21">
        <f t="shared" si="146"/>
        <v>330</v>
      </c>
      <c r="J144" s="21">
        <f t="shared" si="217"/>
        <v>22</v>
      </c>
      <c r="K144" s="21">
        <v>0</v>
      </c>
      <c r="L144" s="20">
        <v>6</v>
      </c>
      <c r="M144" s="20">
        <v>0</v>
      </c>
      <c r="N144" s="20">
        <f t="shared" si="147"/>
        <v>9200</v>
      </c>
      <c r="O144" s="19" t="s">
        <v>68</v>
      </c>
      <c r="P144" s="20">
        <v>8600</v>
      </c>
      <c r="Q144" s="20">
        <f t="shared" ref="Q144:X144" si="246">Q114</f>
        <v>920</v>
      </c>
      <c r="R144" s="20">
        <f t="shared" si="246"/>
        <v>3680</v>
      </c>
      <c r="S144" s="20">
        <f t="shared" si="246"/>
        <v>6440</v>
      </c>
      <c r="T144" s="20">
        <f t="shared" si="246"/>
        <v>8280</v>
      </c>
      <c r="U144" s="20">
        <f t="shared" si="246"/>
        <v>100</v>
      </c>
      <c r="V144" s="20">
        <f t="shared" si="246"/>
        <v>550</v>
      </c>
      <c r="W144" s="20">
        <f t="shared" si="246"/>
        <v>500</v>
      </c>
      <c r="X144" s="20">
        <f t="shared" si="246"/>
        <v>6</v>
      </c>
      <c r="Y144" s="20">
        <f>Y129*4</f>
        <v>288</v>
      </c>
      <c r="Z144" s="25">
        <v>0</v>
      </c>
      <c r="AA144" s="23">
        <v>0</v>
      </c>
      <c r="AB144" s="23">
        <v>0</v>
      </c>
      <c r="AC144" s="23">
        <v>0</v>
      </c>
      <c r="AD144" s="23">
        <f t="shared" ref="AD144:AE144" si="247">AD114</f>
        <v>44</v>
      </c>
      <c r="AE144" s="23">
        <f t="shared" si="247"/>
        <v>48</v>
      </c>
    </row>
    <row r="145" spans="1:31">
      <c r="A145" s="4">
        <v>1004</v>
      </c>
      <c r="B145" s="23">
        <v>24</v>
      </c>
      <c r="C145" s="24" t="s">
        <v>69</v>
      </c>
      <c r="D145" s="42">
        <f t="shared" si="200"/>
        <v>2012</v>
      </c>
      <c r="E145" s="26">
        <v>0</v>
      </c>
      <c r="F145" s="26">
        <v>0</v>
      </c>
      <c r="G145" s="26">
        <v>0</v>
      </c>
      <c r="H145" s="43">
        <v>0</v>
      </c>
      <c r="I145" s="21">
        <f t="shared" si="146"/>
        <v>330</v>
      </c>
      <c r="J145" s="21">
        <f t="shared" si="217"/>
        <v>23</v>
      </c>
      <c r="K145" s="21">
        <v>0</v>
      </c>
      <c r="L145" s="20">
        <v>6</v>
      </c>
      <c r="M145" s="20">
        <v>0</v>
      </c>
      <c r="N145" s="20">
        <f t="shared" si="147"/>
        <v>9600</v>
      </c>
      <c r="O145" s="19" t="s">
        <v>69</v>
      </c>
      <c r="P145" s="20">
        <v>6400</v>
      </c>
      <c r="Q145" s="20">
        <f t="shared" ref="Q145:X145" si="248">Q115</f>
        <v>960</v>
      </c>
      <c r="R145" s="20">
        <f t="shared" si="248"/>
        <v>3840</v>
      </c>
      <c r="S145" s="20">
        <f t="shared" si="248"/>
        <v>6720</v>
      </c>
      <c r="T145" s="20">
        <f t="shared" si="248"/>
        <v>8640</v>
      </c>
      <c r="U145" s="20">
        <f t="shared" si="248"/>
        <v>100</v>
      </c>
      <c r="V145" s="20">
        <f t="shared" si="248"/>
        <v>500</v>
      </c>
      <c r="W145" s="20">
        <f t="shared" si="248"/>
        <v>900</v>
      </c>
      <c r="X145" s="20">
        <f t="shared" si="248"/>
        <v>6</v>
      </c>
      <c r="Y145" s="20">
        <f t="shared" ref="Y145:Y148" si="249">Y130*4</f>
        <v>0</v>
      </c>
      <c r="Z145" s="25">
        <v>0</v>
      </c>
      <c r="AA145" s="23">
        <v>0</v>
      </c>
      <c r="AB145" s="23">
        <v>0</v>
      </c>
      <c r="AC145" s="23">
        <v>0</v>
      </c>
      <c r="AD145" s="23">
        <f t="shared" ref="AD145:AE145" si="250">AD115</f>
        <v>46</v>
      </c>
      <c r="AE145" s="23">
        <f t="shared" si="250"/>
        <v>50</v>
      </c>
    </row>
    <row r="146" spans="1:31">
      <c r="A146" s="4">
        <v>1004</v>
      </c>
      <c r="B146" s="23">
        <v>25</v>
      </c>
      <c r="C146" s="24" t="s">
        <v>70</v>
      </c>
      <c r="D146" s="42">
        <f t="shared" si="200"/>
        <v>2178</v>
      </c>
      <c r="E146" s="26">
        <v>0</v>
      </c>
      <c r="F146" s="26">
        <v>0</v>
      </c>
      <c r="G146" s="26">
        <v>0</v>
      </c>
      <c r="H146" s="43">
        <v>0</v>
      </c>
      <c r="I146" s="21">
        <f t="shared" si="146"/>
        <v>385</v>
      </c>
      <c r="J146" s="21">
        <f t="shared" si="217"/>
        <v>24</v>
      </c>
      <c r="K146" s="21">
        <v>0</v>
      </c>
      <c r="L146" s="20">
        <v>6</v>
      </c>
      <c r="M146" s="20">
        <v>0</v>
      </c>
      <c r="N146" s="20">
        <f t="shared" si="147"/>
        <v>12500</v>
      </c>
      <c r="O146" s="19" t="s">
        <v>70</v>
      </c>
      <c r="P146" s="20">
        <v>3100</v>
      </c>
      <c r="Q146" s="20">
        <f t="shared" ref="Q146:X146" si="251">Q116</f>
        <v>1250</v>
      </c>
      <c r="R146" s="20">
        <f t="shared" si="251"/>
        <v>5000</v>
      </c>
      <c r="S146" s="20">
        <f t="shared" si="251"/>
        <v>8750</v>
      </c>
      <c r="T146" s="20">
        <f t="shared" si="251"/>
        <v>11250</v>
      </c>
      <c r="U146" s="20">
        <f t="shared" si="251"/>
        <v>10</v>
      </c>
      <c r="V146" s="20">
        <f t="shared" si="251"/>
        <v>1300</v>
      </c>
      <c r="W146" s="20">
        <f t="shared" si="251"/>
        <v>1000</v>
      </c>
      <c r="X146" s="20">
        <f t="shared" si="251"/>
        <v>7</v>
      </c>
      <c r="Y146" s="20">
        <f t="shared" si="249"/>
        <v>0</v>
      </c>
      <c r="Z146" s="25">
        <v>0</v>
      </c>
      <c r="AA146" s="23">
        <v>0</v>
      </c>
      <c r="AB146" s="23">
        <v>0</v>
      </c>
      <c r="AC146" s="23">
        <v>0</v>
      </c>
      <c r="AD146" s="23">
        <f t="shared" ref="AD146:AE146" si="252">AD116</f>
        <v>48</v>
      </c>
      <c r="AE146" s="23">
        <f t="shared" si="252"/>
        <v>52</v>
      </c>
    </row>
    <row r="147" spans="1:31">
      <c r="A147" s="4">
        <v>1004</v>
      </c>
      <c r="B147" s="23">
        <v>26</v>
      </c>
      <c r="C147" s="24" t="s">
        <v>71</v>
      </c>
      <c r="D147" s="42">
        <f t="shared" si="200"/>
        <v>2358</v>
      </c>
      <c r="E147" s="26">
        <v>0</v>
      </c>
      <c r="F147" s="26">
        <v>0</v>
      </c>
      <c r="G147" s="26">
        <v>0</v>
      </c>
      <c r="H147" s="43">
        <v>0</v>
      </c>
      <c r="I147" s="21">
        <f t="shared" si="146"/>
        <v>385</v>
      </c>
      <c r="J147" s="21">
        <f t="shared" si="217"/>
        <v>25</v>
      </c>
      <c r="K147" s="21">
        <v>0</v>
      </c>
      <c r="L147" s="20">
        <v>6</v>
      </c>
      <c r="M147" s="20">
        <v>0</v>
      </c>
      <c r="N147" s="20">
        <f t="shared" si="147"/>
        <v>13000</v>
      </c>
      <c r="O147" s="19" t="s">
        <v>71</v>
      </c>
      <c r="P147" s="20">
        <v>1777</v>
      </c>
      <c r="Q147" s="20">
        <f t="shared" ref="Q147:X147" si="253">Q117</f>
        <v>1300</v>
      </c>
      <c r="R147" s="20">
        <f t="shared" si="253"/>
        <v>5200</v>
      </c>
      <c r="S147" s="20">
        <f t="shared" si="253"/>
        <v>9100</v>
      </c>
      <c r="T147" s="20">
        <f t="shared" si="253"/>
        <v>11700</v>
      </c>
      <c r="U147" s="20">
        <f t="shared" si="253"/>
        <v>90</v>
      </c>
      <c r="V147" s="20">
        <f t="shared" si="253"/>
        <v>800</v>
      </c>
      <c r="W147" s="20">
        <f t="shared" si="253"/>
        <v>2000</v>
      </c>
      <c r="X147" s="20">
        <f t="shared" si="253"/>
        <v>7</v>
      </c>
      <c r="Y147" s="20">
        <f t="shared" si="249"/>
        <v>0</v>
      </c>
      <c r="Z147" s="25">
        <v>0</v>
      </c>
      <c r="AA147" s="23">
        <v>0</v>
      </c>
      <c r="AB147" s="23">
        <v>0</v>
      </c>
      <c r="AC147" s="23">
        <v>0</v>
      </c>
      <c r="AD147" s="23">
        <f t="shared" ref="AD147:AE147" si="254">AD117</f>
        <v>50</v>
      </c>
      <c r="AE147" s="23">
        <f t="shared" si="254"/>
        <v>54</v>
      </c>
    </row>
    <row r="148" spans="1:31">
      <c r="A148" s="4">
        <v>1004</v>
      </c>
      <c r="B148" s="23">
        <v>27</v>
      </c>
      <c r="C148" s="24" t="s">
        <v>72</v>
      </c>
      <c r="D148" s="42">
        <f t="shared" si="200"/>
        <v>2552</v>
      </c>
      <c r="E148" s="26">
        <v>0</v>
      </c>
      <c r="F148" s="26">
        <v>0</v>
      </c>
      <c r="G148" s="26">
        <v>0</v>
      </c>
      <c r="H148" s="43">
        <v>0</v>
      </c>
      <c r="I148" s="21">
        <f t="shared" si="146"/>
        <v>385</v>
      </c>
      <c r="J148" s="21">
        <f t="shared" si="217"/>
        <v>26</v>
      </c>
      <c r="K148" s="21">
        <v>0</v>
      </c>
      <c r="L148" s="20">
        <v>6</v>
      </c>
      <c r="M148" s="20">
        <v>0</v>
      </c>
      <c r="N148" s="20">
        <f t="shared" si="147"/>
        <v>13500</v>
      </c>
      <c r="O148" s="19" t="s">
        <v>72</v>
      </c>
      <c r="P148" s="20">
        <v>2332</v>
      </c>
      <c r="Q148" s="20">
        <f t="shared" ref="Q148:X148" si="255">Q118</f>
        <v>1350</v>
      </c>
      <c r="R148" s="20">
        <f t="shared" si="255"/>
        <v>5400</v>
      </c>
      <c r="S148" s="20">
        <f t="shared" si="255"/>
        <v>9450</v>
      </c>
      <c r="T148" s="20">
        <f t="shared" si="255"/>
        <v>12150</v>
      </c>
      <c r="U148" s="20">
        <f t="shared" si="255"/>
        <v>80</v>
      </c>
      <c r="V148" s="20">
        <f t="shared" si="255"/>
        <v>700</v>
      </c>
      <c r="W148" s="20">
        <f t="shared" si="255"/>
        <v>800</v>
      </c>
      <c r="X148" s="20">
        <f t="shared" si="255"/>
        <v>7</v>
      </c>
      <c r="Y148" s="20">
        <f t="shared" si="249"/>
        <v>0</v>
      </c>
      <c r="Z148" s="25">
        <v>0</v>
      </c>
      <c r="AA148" s="23">
        <v>0</v>
      </c>
      <c r="AB148" s="23">
        <v>0</v>
      </c>
      <c r="AC148" s="23">
        <v>0</v>
      </c>
      <c r="AD148" s="23">
        <f t="shared" ref="AD148:AE148" si="256">AD118</f>
        <v>52</v>
      </c>
      <c r="AE148" s="23">
        <f t="shared" si="256"/>
        <v>56</v>
      </c>
    </row>
    <row r="149" spans="1:31">
      <c r="A149" s="4">
        <v>1004</v>
      </c>
      <c r="B149" s="23">
        <v>28</v>
      </c>
      <c r="C149" s="24" t="s">
        <v>73</v>
      </c>
      <c r="D149" s="42">
        <f t="shared" si="200"/>
        <v>2763</v>
      </c>
      <c r="E149" s="26">
        <v>0</v>
      </c>
      <c r="F149" s="26">
        <v>0</v>
      </c>
      <c r="G149" s="26">
        <v>0</v>
      </c>
      <c r="H149" s="43">
        <v>0</v>
      </c>
      <c r="I149" s="21">
        <f t="shared" si="146"/>
        <v>385</v>
      </c>
      <c r="J149" s="21">
        <f t="shared" si="217"/>
        <v>27</v>
      </c>
      <c r="K149" s="21">
        <v>0</v>
      </c>
      <c r="L149" s="20">
        <v>6</v>
      </c>
      <c r="M149" s="20">
        <v>0</v>
      </c>
      <c r="N149" s="20">
        <f t="shared" si="147"/>
        <v>14000</v>
      </c>
      <c r="O149" s="19" t="s">
        <v>73</v>
      </c>
      <c r="P149" s="20">
        <v>1487</v>
      </c>
      <c r="Q149" s="20">
        <f t="shared" ref="Q149:X149" si="257">Q119</f>
        <v>1400</v>
      </c>
      <c r="R149" s="20">
        <f t="shared" si="257"/>
        <v>5600</v>
      </c>
      <c r="S149" s="20">
        <f t="shared" si="257"/>
        <v>9800</v>
      </c>
      <c r="T149" s="20">
        <f t="shared" si="257"/>
        <v>12600</v>
      </c>
      <c r="U149" s="20">
        <f t="shared" si="257"/>
        <v>80</v>
      </c>
      <c r="V149" s="20">
        <f t="shared" si="257"/>
        <v>500</v>
      </c>
      <c r="W149" s="20">
        <f t="shared" si="257"/>
        <v>600</v>
      </c>
      <c r="X149" s="20">
        <f t="shared" si="257"/>
        <v>7</v>
      </c>
      <c r="Y149" s="20">
        <f>Y129*5</f>
        <v>360</v>
      </c>
      <c r="Z149" s="25">
        <v>0</v>
      </c>
      <c r="AA149" s="23">
        <v>0</v>
      </c>
      <c r="AB149" s="23">
        <v>0</v>
      </c>
      <c r="AC149" s="23">
        <v>0</v>
      </c>
      <c r="AD149" s="23">
        <f t="shared" ref="AD149:AE149" si="258">AD119</f>
        <v>54</v>
      </c>
      <c r="AE149" s="23">
        <f t="shared" si="258"/>
        <v>58</v>
      </c>
    </row>
    <row r="150" spans="1:31">
      <c r="A150" s="4">
        <v>1004</v>
      </c>
      <c r="B150" s="23">
        <v>29</v>
      </c>
      <c r="C150" s="24" t="s">
        <v>74</v>
      </c>
      <c r="D150" s="42">
        <f t="shared" si="200"/>
        <v>2993</v>
      </c>
      <c r="E150" s="26">
        <v>0</v>
      </c>
      <c r="F150" s="26">
        <v>0</v>
      </c>
      <c r="G150" s="26">
        <v>0</v>
      </c>
      <c r="H150" s="43">
        <v>0</v>
      </c>
      <c r="I150" s="21">
        <f t="shared" si="146"/>
        <v>440</v>
      </c>
      <c r="J150" s="21">
        <f t="shared" si="217"/>
        <v>28</v>
      </c>
      <c r="K150" s="21">
        <v>0</v>
      </c>
      <c r="L150" s="20">
        <v>6</v>
      </c>
      <c r="M150" s="20">
        <v>0</v>
      </c>
      <c r="N150" s="20">
        <f t="shared" si="147"/>
        <v>14500</v>
      </c>
      <c r="O150" s="19" t="s">
        <v>74</v>
      </c>
      <c r="P150" s="20">
        <v>1518</v>
      </c>
      <c r="Q150" s="20">
        <f t="shared" ref="Q150:X150" si="259">Q120</f>
        <v>1450</v>
      </c>
      <c r="R150" s="20">
        <f t="shared" si="259"/>
        <v>5800</v>
      </c>
      <c r="S150" s="20">
        <f t="shared" si="259"/>
        <v>10150</v>
      </c>
      <c r="T150" s="20">
        <f t="shared" si="259"/>
        <v>13050</v>
      </c>
      <c r="U150" s="20">
        <f t="shared" si="259"/>
        <v>80</v>
      </c>
      <c r="V150" s="20">
        <f t="shared" si="259"/>
        <v>600</v>
      </c>
      <c r="W150" s="20">
        <f t="shared" si="259"/>
        <v>700</v>
      </c>
      <c r="X150" s="20">
        <f t="shared" si="259"/>
        <v>8</v>
      </c>
      <c r="Y150" s="20">
        <f t="shared" ref="Y150:Y151" si="260">Y130*5</f>
        <v>0</v>
      </c>
      <c r="Z150" s="25">
        <v>0</v>
      </c>
      <c r="AA150" s="23">
        <v>0</v>
      </c>
      <c r="AB150" s="23">
        <v>0</v>
      </c>
      <c r="AC150" s="23">
        <v>0</v>
      </c>
      <c r="AD150" s="23">
        <f t="shared" ref="AD150:AE150" si="261">AD120</f>
        <v>56</v>
      </c>
      <c r="AE150" s="23">
        <f t="shared" si="261"/>
        <v>60</v>
      </c>
    </row>
    <row r="151" spans="1:31">
      <c r="A151" s="4">
        <v>1004</v>
      </c>
      <c r="B151" s="23">
        <v>30</v>
      </c>
      <c r="C151" s="24" t="s">
        <v>75</v>
      </c>
      <c r="D151" s="42">
        <f t="shared" si="200"/>
        <v>3240</v>
      </c>
      <c r="E151" s="26">
        <v>0</v>
      </c>
      <c r="F151" s="26">
        <v>0</v>
      </c>
      <c r="G151" s="26">
        <v>0</v>
      </c>
      <c r="H151" s="43">
        <v>0</v>
      </c>
      <c r="I151" s="21">
        <f t="shared" si="146"/>
        <v>440</v>
      </c>
      <c r="J151" s="21">
        <f t="shared" si="217"/>
        <v>29</v>
      </c>
      <c r="K151" s="21">
        <v>0</v>
      </c>
      <c r="L151" s="20">
        <v>6</v>
      </c>
      <c r="M151" s="20">
        <v>0</v>
      </c>
      <c r="N151" s="20">
        <f t="shared" si="147"/>
        <v>15000</v>
      </c>
      <c r="O151" s="19" t="s">
        <v>75</v>
      </c>
      <c r="P151" s="20">
        <v>861</v>
      </c>
      <c r="Q151" s="20">
        <f t="shared" ref="Q151:X151" si="262">Q121</f>
        <v>1500</v>
      </c>
      <c r="R151" s="20">
        <f t="shared" si="262"/>
        <v>6000</v>
      </c>
      <c r="S151" s="20">
        <f t="shared" si="262"/>
        <v>10500</v>
      </c>
      <c r="T151" s="20">
        <f t="shared" si="262"/>
        <v>13500</v>
      </c>
      <c r="U151" s="20">
        <f t="shared" si="262"/>
        <v>20</v>
      </c>
      <c r="V151" s="20">
        <f t="shared" si="262"/>
        <v>450</v>
      </c>
      <c r="W151" s="20">
        <f t="shared" si="262"/>
        <v>1000</v>
      </c>
      <c r="X151" s="20">
        <f t="shared" si="262"/>
        <v>8</v>
      </c>
      <c r="Y151" s="20">
        <f t="shared" si="260"/>
        <v>0</v>
      </c>
      <c r="Z151" s="25">
        <v>0</v>
      </c>
      <c r="AA151" s="23">
        <v>0</v>
      </c>
      <c r="AB151" s="23">
        <v>0</v>
      </c>
      <c r="AC151" s="23">
        <v>0</v>
      </c>
      <c r="AD151" s="23">
        <f t="shared" ref="AD151:AE151" si="263">AD121</f>
        <v>58</v>
      </c>
      <c r="AE151" s="23">
        <f t="shared" si="263"/>
        <v>62</v>
      </c>
    </row>
    <row r="152" spans="1:31">
      <c r="A152" s="8">
        <v>2000</v>
      </c>
      <c r="B152" s="18">
        <v>1</v>
      </c>
      <c r="C152" s="19" t="s">
        <v>66</v>
      </c>
      <c r="D152" s="44">
        <v>0</v>
      </c>
      <c r="E152" s="18">
        <f>D2</f>
        <v>72</v>
      </c>
      <c r="F152" s="18">
        <v>0</v>
      </c>
      <c r="G152" s="18">
        <v>0</v>
      </c>
      <c r="H152" s="45">
        <v>0</v>
      </c>
      <c r="I152" s="21">
        <f t="shared" si="146"/>
        <v>55</v>
      </c>
      <c r="J152" s="21">
        <f t="shared" ref="J152:J202" si="264">B152-1</f>
        <v>0</v>
      </c>
      <c r="K152" s="21">
        <v>0</v>
      </c>
      <c r="L152" s="20">
        <v>45</v>
      </c>
      <c r="M152" s="20">
        <v>0</v>
      </c>
      <c r="N152" s="20">
        <f t="shared" si="147"/>
        <v>10</v>
      </c>
      <c r="O152" s="19" t="s">
        <v>66</v>
      </c>
      <c r="P152" s="20">
        <v>9400</v>
      </c>
      <c r="Q152" s="20">
        <f t="shared" ref="Q152:X152" si="265">Q122</f>
        <v>1</v>
      </c>
      <c r="R152" s="20">
        <f t="shared" si="265"/>
        <v>4</v>
      </c>
      <c r="S152" s="20">
        <f t="shared" si="265"/>
        <v>7</v>
      </c>
      <c r="T152" s="20">
        <f t="shared" si="265"/>
        <v>9</v>
      </c>
      <c r="U152" s="20">
        <f t="shared" si="265"/>
        <v>9400</v>
      </c>
      <c r="V152" s="20">
        <f t="shared" si="265"/>
        <v>9400</v>
      </c>
      <c r="W152" s="20">
        <f t="shared" si="265"/>
        <v>9400</v>
      </c>
      <c r="X152" s="20">
        <f t="shared" si="265"/>
        <v>1</v>
      </c>
      <c r="Y152" s="20">
        <v>0</v>
      </c>
      <c r="Z152" s="20">
        <f>Y2</f>
        <v>0</v>
      </c>
      <c r="AA152" s="20">
        <v>0</v>
      </c>
      <c r="AB152" s="20">
        <v>0</v>
      </c>
      <c r="AC152" s="20">
        <v>0</v>
      </c>
      <c r="AD152" s="23">
        <f t="shared" ref="AD152:AE152" si="266">AD122</f>
        <v>1</v>
      </c>
      <c r="AE152" s="23">
        <f t="shared" si="266"/>
        <v>3</v>
      </c>
    </row>
    <row r="153" spans="1:31">
      <c r="A153" s="4">
        <v>2000</v>
      </c>
      <c r="B153" s="20">
        <v>2</v>
      </c>
      <c r="C153" s="19" t="s">
        <v>67</v>
      </c>
      <c r="D153" s="44">
        <v>0</v>
      </c>
      <c r="E153" s="18">
        <f t="shared" ref="E153:E216" si="267">D3</f>
        <v>78</v>
      </c>
      <c r="F153" s="18">
        <v>0</v>
      </c>
      <c r="G153" s="18">
        <v>0</v>
      </c>
      <c r="H153" s="45">
        <v>0</v>
      </c>
      <c r="I153" s="21">
        <f t="shared" si="146"/>
        <v>55</v>
      </c>
      <c r="J153" s="21">
        <f t="shared" si="264"/>
        <v>1</v>
      </c>
      <c r="K153" s="21">
        <v>0</v>
      </c>
      <c r="L153" s="20">
        <v>40</v>
      </c>
      <c r="M153" s="20">
        <v>0</v>
      </c>
      <c r="N153" s="20">
        <f t="shared" si="147"/>
        <v>20</v>
      </c>
      <c r="O153" s="19" t="s">
        <v>67</v>
      </c>
      <c r="P153" s="20">
        <v>9100</v>
      </c>
      <c r="Q153" s="20">
        <f t="shared" ref="Q153:X153" si="268">Q123</f>
        <v>2</v>
      </c>
      <c r="R153" s="20">
        <f t="shared" si="268"/>
        <v>8</v>
      </c>
      <c r="S153" s="20">
        <f t="shared" si="268"/>
        <v>14</v>
      </c>
      <c r="T153" s="20">
        <f t="shared" si="268"/>
        <v>18</v>
      </c>
      <c r="U153" s="20">
        <f t="shared" si="268"/>
        <v>4000</v>
      </c>
      <c r="V153" s="20">
        <f t="shared" si="268"/>
        <v>8000</v>
      </c>
      <c r="W153" s="20">
        <f t="shared" si="268"/>
        <v>8000</v>
      </c>
      <c r="X153" s="20">
        <f t="shared" si="268"/>
        <v>1</v>
      </c>
      <c r="Y153" s="20">
        <v>0</v>
      </c>
      <c r="Z153" s="20">
        <f t="shared" ref="Z153:Z216" si="269">Y3</f>
        <v>0</v>
      </c>
      <c r="AA153" s="20">
        <v>0</v>
      </c>
      <c r="AB153" s="20">
        <v>0</v>
      </c>
      <c r="AC153" s="20">
        <v>0</v>
      </c>
      <c r="AD153" s="23">
        <f t="shared" ref="AD153:AE153" si="270">AD123</f>
        <v>2</v>
      </c>
      <c r="AE153" s="23">
        <f t="shared" si="270"/>
        <v>5</v>
      </c>
    </row>
    <row r="154" spans="1:31">
      <c r="A154" s="4">
        <v>2000</v>
      </c>
      <c r="B154" s="20">
        <v>3</v>
      </c>
      <c r="C154" s="19" t="s">
        <v>68</v>
      </c>
      <c r="D154" s="44">
        <v>0</v>
      </c>
      <c r="E154" s="18">
        <f t="shared" si="267"/>
        <v>84</v>
      </c>
      <c r="F154" s="18">
        <v>0</v>
      </c>
      <c r="G154" s="18">
        <v>0</v>
      </c>
      <c r="H154" s="45">
        <v>0</v>
      </c>
      <c r="I154" s="21">
        <f t="shared" si="146"/>
        <v>55</v>
      </c>
      <c r="J154" s="21">
        <f t="shared" si="264"/>
        <v>2</v>
      </c>
      <c r="K154" s="21">
        <v>0</v>
      </c>
      <c r="L154" s="20">
        <v>35</v>
      </c>
      <c r="M154" s="20">
        <v>0</v>
      </c>
      <c r="N154" s="20">
        <f t="shared" si="147"/>
        <v>40</v>
      </c>
      <c r="O154" s="19" t="s">
        <v>68</v>
      </c>
      <c r="P154" s="20">
        <v>8600</v>
      </c>
      <c r="Q154" s="20">
        <f t="shared" ref="Q154:X154" si="271">Q124</f>
        <v>4</v>
      </c>
      <c r="R154" s="20">
        <f t="shared" si="271"/>
        <v>16</v>
      </c>
      <c r="S154" s="20">
        <f t="shared" si="271"/>
        <v>28</v>
      </c>
      <c r="T154" s="20">
        <f t="shared" si="271"/>
        <v>36</v>
      </c>
      <c r="U154" s="20">
        <f t="shared" si="271"/>
        <v>1600</v>
      </c>
      <c r="V154" s="20">
        <f t="shared" si="271"/>
        <v>5000</v>
      </c>
      <c r="W154" s="20">
        <f t="shared" si="271"/>
        <v>6000</v>
      </c>
      <c r="X154" s="20">
        <f t="shared" si="271"/>
        <v>1</v>
      </c>
      <c r="Y154" s="20">
        <v>0</v>
      </c>
      <c r="Z154" s="20">
        <f t="shared" si="269"/>
        <v>0</v>
      </c>
      <c r="AA154" s="20">
        <v>0</v>
      </c>
      <c r="AB154" s="20">
        <v>0</v>
      </c>
      <c r="AC154" s="20">
        <v>0</v>
      </c>
      <c r="AD154" s="23">
        <f t="shared" ref="AD154:AE154" si="272">AD124</f>
        <v>4</v>
      </c>
      <c r="AE154" s="23">
        <f t="shared" si="272"/>
        <v>8</v>
      </c>
    </row>
    <row r="155" spans="1:31">
      <c r="A155" s="4">
        <v>2000</v>
      </c>
      <c r="B155" s="20">
        <v>4</v>
      </c>
      <c r="C155" s="19" t="s">
        <v>69</v>
      </c>
      <c r="D155" s="44">
        <v>0</v>
      </c>
      <c r="E155" s="18">
        <f t="shared" si="267"/>
        <v>91</v>
      </c>
      <c r="F155" s="18">
        <v>0</v>
      </c>
      <c r="G155" s="18">
        <v>0</v>
      </c>
      <c r="H155" s="45">
        <v>0</v>
      </c>
      <c r="I155" s="21">
        <f t="shared" si="146"/>
        <v>55</v>
      </c>
      <c r="J155" s="21">
        <f t="shared" si="264"/>
        <v>3</v>
      </c>
      <c r="K155" s="21">
        <v>0</v>
      </c>
      <c r="L155" s="20">
        <v>30</v>
      </c>
      <c r="M155" s="20">
        <v>0</v>
      </c>
      <c r="N155" s="20">
        <f t="shared" si="147"/>
        <v>100</v>
      </c>
      <c r="O155" s="19" t="s">
        <v>69</v>
      </c>
      <c r="P155" s="20">
        <v>6400</v>
      </c>
      <c r="Q155" s="20">
        <f t="shared" ref="Q155:X155" si="273">Q125</f>
        <v>10</v>
      </c>
      <c r="R155" s="20">
        <f t="shared" si="273"/>
        <v>40</v>
      </c>
      <c r="S155" s="20">
        <f t="shared" si="273"/>
        <v>70</v>
      </c>
      <c r="T155" s="20">
        <f t="shared" si="273"/>
        <v>90</v>
      </c>
      <c r="U155" s="20">
        <f t="shared" si="273"/>
        <v>900</v>
      </c>
      <c r="V155" s="20">
        <f t="shared" si="273"/>
        <v>2000</v>
      </c>
      <c r="W155" s="20">
        <f t="shared" si="273"/>
        <v>8000</v>
      </c>
      <c r="X155" s="20">
        <f t="shared" si="273"/>
        <v>1</v>
      </c>
      <c r="Y155" s="20">
        <v>0</v>
      </c>
      <c r="Z155" s="20">
        <f t="shared" si="269"/>
        <v>0</v>
      </c>
      <c r="AA155" s="20">
        <v>0</v>
      </c>
      <c r="AB155" s="20">
        <v>0</v>
      </c>
      <c r="AC155" s="20">
        <v>0</v>
      </c>
      <c r="AD155" s="23">
        <f t="shared" ref="AD155:AE155" si="274">AD125</f>
        <v>6</v>
      </c>
      <c r="AE155" s="23">
        <f t="shared" si="274"/>
        <v>10</v>
      </c>
    </row>
    <row r="156" spans="1:31">
      <c r="A156" s="4">
        <v>2000</v>
      </c>
      <c r="B156" s="20">
        <v>5</v>
      </c>
      <c r="C156" s="19" t="s">
        <v>70</v>
      </c>
      <c r="D156" s="44">
        <v>0</v>
      </c>
      <c r="E156" s="18">
        <f t="shared" si="267"/>
        <v>99</v>
      </c>
      <c r="F156" s="18">
        <v>0</v>
      </c>
      <c r="G156" s="18">
        <v>0</v>
      </c>
      <c r="H156" s="45">
        <v>0</v>
      </c>
      <c r="I156" s="21">
        <f t="shared" si="146"/>
        <v>110</v>
      </c>
      <c r="J156" s="21">
        <f t="shared" si="264"/>
        <v>4</v>
      </c>
      <c r="K156" s="21">
        <v>0</v>
      </c>
      <c r="L156" s="20">
        <v>25</v>
      </c>
      <c r="M156" s="20">
        <v>0</v>
      </c>
      <c r="N156" s="20">
        <f t="shared" si="147"/>
        <v>200</v>
      </c>
      <c r="O156" s="19" t="s">
        <v>70</v>
      </c>
      <c r="P156" s="20">
        <v>3100</v>
      </c>
      <c r="Q156" s="20">
        <f t="shared" ref="Q156:X156" si="275">Q126</f>
        <v>20</v>
      </c>
      <c r="R156" s="20">
        <f t="shared" si="275"/>
        <v>80</v>
      </c>
      <c r="S156" s="20">
        <f t="shared" si="275"/>
        <v>140</v>
      </c>
      <c r="T156" s="20">
        <f t="shared" si="275"/>
        <v>180</v>
      </c>
      <c r="U156" s="20">
        <f t="shared" si="275"/>
        <v>1000</v>
      </c>
      <c r="V156" s="20">
        <f t="shared" si="275"/>
        <v>2000</v>
      </c>
      <c r="W156" s="20">
        <f t="shared" si="275"/>
        <v>2000</v>
      </c>
      <c r="X156" s="20">
        <f t="shared" si="275"/>
        <v>2</v>
      </c>
      <c r="Y156" s="20">
        <v>0</v>
      </c>
      <c r="Z156" s="20">
        <f t="shared" si="269"/>
        <v>0</v>
      </c>
      <c r="AA156" s="20">
        <v>0</v>
      </c>
      <c r="AB156" s="20">
        <v>0</v>
      </c>
      <c r="AC156" s="20">
        <v>0</v>
      </c>
      <c r="AD156" s="23">
        <f t="shared" ref="AD156:AE156" si="276">AD126</f>
        <v>8</v>
      </c>
      <c r="AE156" s="23">
        <f t="shared" si="276"/>
        <v>12</v>
      </c>
    </row>
    <row r="157" spans="1:31">
      <c r="A157" s="4">
        <v>2000</v>
      </c>
      <c r="B157" s="20">
        <v>6</v>
      </c>
      <c r="C157" s="19" t="s">
        <v>71</v>
      </c>
      <c r="D157" s="44">
        <v>0</v>
      </c>
      <c r="E157" s="18">
        <f t="shared" si="267"/>
        <v>107</v>
      </c>
      <c r="F157" s="18">
        <v>0</v>
      </c>
      <c r="G157" s="18">
        <v>0</v>
      </c>
      <c r="H157" s="45">
        <v>0</v>
      </c>
      <c r="I157" s="21">
        <f t="shared" si="146"/>
        <v>110</v>
      </c>
      <c r="J157" s="21">
        <f t="shared" si="264"/>
        <v>5</v>
      </c>
      <c r="K157" s="21">
        <v>0</v>
      </c>
      <c r="L157" s="20">
        <v>20</v>
      </c>
      <c r="M157" s="20">
        <v>0</v>
      </c>
      <c r="N157" s="20">
        <f t="shared" si="147"/>
        <v>500</v>
      </c>
      <c r="O157" s="19" t="s">
        <v>71</v>
      </c>
      <c r="P157" s="20">
        <v>1777</v>
      </c>
      <c r="Q157" s="20">
        <f t="shared" ref="Q157:X157" si="277">Q127</f>
        <v>50</v>
      </c>
      <c r="R157" s="20">
        <f t="shared" si="277"/>
        <v>200</v>
      </c>
      <c r="S157" s="20">
        <f t="shared" si="277"/>
        <v>350</v>
      </c>
      <c r="T157" s="20">
        <f t="shared" si="277"/>
        <v>450</v>
      </c>
      <c r="U157" s="20">
        <f t="shared" si="277"/>
        <v>800</v>
      </c>
      <c r="V157" s="20">
        <f t="shared" si="277"/>
        <v>800</v>
      </c>
      <c r="W157" s="20">
        <f t="shared" si="277"/>
        <v>600</v>
      </c>
      <c r="X157" s="20">
        <f t="shared" si="277"/>
        <v>2</v>
      </c>
      <c r="Y157" s="20">
        <v>0</v>
      </c>
      <c r="Z157" s="20">
        <f t="shared" si="269"/>
        <v>0</v>
      </c>
      <c r="AA157" s="20">
        <v>0</v>
      </c>
      <c r="AB157" s="20">
        <v>0</v>
      </c>
      <c r="AC157" s="20">
        <v>0</v>
      </c>
      <c r="AD157" s="23">
        <f t="shared" ref="AD157:AE157" si="278">AD127</f>
        <v>10</v>
      </c>
      <c r="AE157" s="23">
        <f t="shared" si="278"/>
        <v>14</v>
      </c>
    </row>
    <row r="158" spans="1:31">
      <c r="A158" s="4">
        <v>2000</v>
      </c>
      <c r="B158" s="20">
        <v>7</v>
      </c>
      <c r="C158" s="19" t="s">
        <v>72</v>
      </c>
      <c r="D158" s="44">
        <v>0</v>
      </c>
      <c r="E158" s="18">
        <f t="shared" si="267"/>
        <v>116</v>
      </c>
      <c r="F158" s="18">
        <v>0</v>
      </c>
      <c r="G158" s="18">
        <v>0</v>
      </c>
      <c r="H158" s="45">
        <v>0</v>
      </c>
      <c r="I158" s="21">
        <f t="shared" si="146"/>
        <v>110</v>
      </c>
      <c r="J158" s="21">
        <f t="shared" si="264"/>
        <v>6</v>
      </c>
      <c r="K158" s="21">
        <v>0</v>
      </c>
      <c r="L158" s="20">
        <v>16</v>
      </c>
      <c r="M158" s="20">
        <v>0</v>
      </c>
      <c r="N158" s="20">
        <f t="shared" si="147"/>
        <v>700</v>
      </c>
      <c r="O158" s="19" t="s">
        <v>72</v>
      </c>
      <c r="P158" s="20">
        <v>2332</v>
      </c>
      <c r="Q158" s="20">
        <f t="shared" ref="Q158:X158" si="279">Q128</f>
        <v>70</v>
      </c>
      <c r="R158" s="20">
        <f t="shared" si="279"/>
        <v>280</v>
      </c>
      <c r="S158" s="20">
        <f t="shared" si="279"/>
        <v>489.99999999999994</v>
      </c>
      <c r="T158" s="20">
        <f t="shared" si="279"/>
        <v>630</v>
      </c>
      <c r="U158" s="20">
        <f t="shared" si="279"/>
        <v>650</v>
      </c>
      <c r="V158" s="20">
        <f t="shared" si="279"/>
        <v>800</v>
      </c>
      <c r="W158" s="20">
        <f t="shared" si="279"/>
        <v>300</v>
      </c>
      <c r="X158" s="20">
        <f t="shared" si="279"/>
        <v>2</v>
      </c>
      <c r="Y158" s="20">
        <v>0</v>
      </c>
      <c r="Z158" s="20">
        <f t="shared" si="269"/>
        <v>0</v>
      </c>
      <c r="AA158" s="20">
        <v>0</v>
      </c>
      <c r="AB158" s="20">
        <v>0</v>
      </c>
      <c r="AC158" s="20">
        <v>0</v>
      </c>
      <c r="AD158" s="23">
        <f t="shared" ref="AD158:AE158" si="280">AD128</f>
        <v>12</v>
      </c>
      <c r="AE158" s="23">
        <f t="shared" si="280"/>
        <v>16</v>
      </c>
    </row>
    <row r="159" spans="1:31">
      <c r="A159" s="4">
        <v>2000</v>
      </c>
      <c r="B159" s="20">
        <v>8</v>
      </c>
      <c r="C159" s="19" t="s">
        <v>73</v>
      </c>
      <c r="D159" s="44">
        <v>0</v>
      </c>
      <c r="E159" s="18">
        <f t="shared" si="267"/>
        <v>126</v>
      </c>
      <c r="F159" s="18">
        <v>0</v>
      </c>
      <c r="G159" s="18">
        <v>0</v>
      </c>
      <c r="H159" s="45">
        <v>0</v>
      </c>
      <c r="I159" s="21">
        <f t="shared" si="146"/>
        <v>110</v>
      </c>
      <c r="J159" s="21">
        <f t="shared" si="264"/>
        <v>7</v>
      </c>
      <c r="K159" s="21">
        <v>0</v>
      </c>
      <c r="L159" s="20">
        <v>12</v>
      </c>
      <c r="M159" s="20">
        <v>0</v>
      </c>
      <c r="N159" s="20">
        <f t="shared" si="147"/>
        <v>800</v>
      </c>
      <c r="O159" s="19" t="s">
        <v>73</v>
      </c>
      <c r="P159" s="20">
        <v>1487</v>
      </c>
      <c r="Q159" s="20">
        <f t="shared" ref="Q159:X159" si="281">Q129</f>
        <v>80</v>
      </c>
      <c r="R159" s="20">
        <f t="shared" si="281"/>
        <v>320</v>
      </c>
      <c r="S159" s="20">
        <f t="shared" si="281"/>
        <v>560</v>
      </c>
      <c r="T159" s="20">
        <f t="shared" si="281"/>
        <v>720</v>
      </c>
      <c r="U159" s="20">
        <f t="shared" si="281"/>
        <v>200</v>
      </c>
      <c r="V159" s="20">
        <f t="shared" si="281"/>
        <v>2000</v>
      </c>
      <c r="W159" s="20">
        <f t="shared" si="281"/>
        <v>1000</v>
      </c>
      <c r="X159" s="20">
        <f t="shared" si="281"/>
        <v>2</v>
      </c>
      <c r="Y159" s="20">
        <v>0</v>
      </c>
      <c r="Z159" s="20">
        <f t="shared" si="269"/>
        <v>43</v>
      </c>
      <c r="AA159" s="20">
        <v>0</v>
      </c>
      <c r="AB159" s="20">
        <v>0</v>
      </c>
      <c r="AC159" s="20">
        <v>0</v>
      </c>
      <c r="AD159" s="23">
        <f t="shared" ref="AD159:AE159" si="282">AD129</f>
        <v>14</v>
      </c>
      <c r="AE159" s="23">
        <f t="shared" si="282"/>
        <v>18</v>
      </c>
    </row>
    <row r="160" spans="1:31">
      <c r="A160" s="4">
        <v>2000</v>
      </c>
      <c r="B160" s="20">
        <v>9</v>
      </c>
      <c r="C160" s="19" t="s">
        <v>74</v>
      </c>
      <c r="D160" s="44">
        <v>0</v>
      </c>
      <c r="E160" s="18">
        <f t="shared" si="267"/>
        <v>136</v>
      </c>
      <c r="F160" s="18">
        <v>0</v>
      </c>
      <c r="G160" s="18">
        <v>0</v>
      </c>
      <c r="H160" s="45">
        <v>0</v>
      </c>
      <c r="I160" s="21">
        <f t="shared" si="146"/>
        <v>165</v>
      </c>
      <c r="J160" s="21">
        <f t="shared" si="264"/>
        <v>8</v>
      </c>
      <c r="K160" s="21">
        <v>0</v>
      </c>
      <c r="L160" s="20">
        <v>8</v>
      </c>
      <c r="M160" s="20">
        <v>0</v>
      </c>
      <c r="N160" s="20">
        <f t="shared" si="147"/>
        <v>900</v>
      </c>
      <c r="O160" s="19" t="s">
        <v>74</v>
      </c>
      <c r="P160" s="20">
        <v>1518</v>
      </c>
      <c r="Q160" s="20">
        <f t="shared" ref="Q160:X160" si="283">Q130</f>
        <v>90</v>
      </c>
      <c r="R160" s="20">
        <f t="shared" si="283"/>
        <v>360</v>
      </c>
      <c r="S160" s="20">
        <f t="shared" si="283"/>
        <v>630</v>
      </c>
      <c r="T160" s="20">
        <f t="shared" si="283"/>
        <v>810</v>
      </c>
      <c r="U160" s="20">
        <f t="shared" si="283"/>
        <v>120</v>
      </c>
      <c r="V160" s="20">
        <f t="shared" si="283"/>
        <v>1500</v>
      </c>
      <c r="W160" s="20">
        <f t="shared" si="283"/>
        <v>1000</v>
      </c>
      <c r="X160" s="20">
        <f t="shared" si="283"/>
        <v>3</v>
      </c>
      <c r="Y160" s="20">
        <v>0</v>
      </c>
      <c r="Z160" s="20">
        <f t="shared" si="269"/>
        <v>0</v>
      </c>
      <c r="AA160" s="20">
        <v>0</v>
      </c>
      <c r="AB160" s="20">
        <v>0</v>
      </c>
      <c r="AC160" s="20">
        <v>0</v>
      </c>
      <c r="AD160" s="23">
        <f t="shared" ref="AD160:AE160" si="284">AD130</f>
        <v>16</v>
      </c>
      <c r="AE160" s="23">
        <f t="shared" si="284"/>
        <v>20</v>
      </c>
    </row>
    <row r="161" spans="1:31">
      <c r="A161" s="4">
        <v>2000</v>
      </c>
      <c r="B161" s="20">
        <v>10</v>
      </c>
      <c r="C161" s="19" t="s">
        <v>75</v>
      </c>
      <c r="D161" s="44">
        <v>0</v>
      </c>
      <c r="E161" s="18">
        <f t="shared" si="267"/>
        <v>147</v>
      </c>
      <c r="F161" s="18">
        <v>0</v>
      </c>
      <c r="G161" s="18">
        <v>0</v>
      </c>
      <c r="H161" s="45">
        <v>0</v>
      </c>
      <c r="I161" s="21">
        <f t="shared" ref="I161:I224" si="285">I131</f>
        <v>165</v>
      </c>
      <c r="J161" s="21">
        <f t="shared" si="264"/>
        <v>9</v>
      </c>
      <c r="K161" s="21">
        <v>0</v>
      </c>
      <c r="L161" s="20">
        <v>6</v>
      </c>
      <c r="M161" s="20">
        <v>0</v>
      </c>
      <c r="N161" s="20">
        <f t="shared" ref="N161:N224" si="286">N131</f>
        <v>2000</v>
      </c>
      <c r="O161" s="19" t="s">
        <v>75</v>
      </c>
      <c r="P161" s="20">
        <v>861</v>
      </c>
      <c r="Q161" s="20">
        <f t="shared" ref="Q161:X161" si="287">Q131</f>
        <v>200</v>
      </c>
      <c r="R161" s="20">
        <f t="shared" si="287"/>
        <v>800</v>
      </c>
      <c r="S161" s="20">
        <f t="shared" si="287"/>
        <v>1400</v>
      </c>
      <c r="T161" s="20">
        <f t="shared" si="287"/>
        <v>1800</v>
      </c>
      <c r="U161" s="20">
        <f t="shared" si="287"/>
        <v>150</v>
      </c>
      <c r="V161" s="20">
        <f t="shared" si="287"/>
        <v>5000</v>
      </c>
      <c r="W161" s="20">
        <f t="shared" si="287"/>
        <v>800</v>
      </c>
      <c r="X161" s="20">
        <f t="shared" si="287"/>
        <v>3</v>
      </c>
      <c r="Y161" s="20">
        <v>0</v>
      </c>
      <c r="Z161" s="20">
        <f t="shared" si="269"/>
        <v>0</v>
      </c>
      <c r="AA161" s="20">
        <v>0</v>
      </c>
      <c r="AB161" s="20">
        <v>0</v>
      </c>
      <c r="AC161" s="20">
        <v>0</v>
      </c>
      <c r="AD161" s="23">
        <f t="shared" ref="AD161:AE161" si="288">AD131</f>
        <v>18</v>
      </c>
      <c r="AE161" s="23">
        <f t="shared" si="288"/>
        <v>22</v>
      </c>
    </row>
    <row r="162" spans="1:31">
      <c r="A162" s="4">
        <v>2000</v>
      </c>
      <c r="B162" s="20">
        <v>11</v>
      </c>
      <c r="C162" s="19" t="s">
        <v>66</v>
      </c>
      <c r="D162" s="44">
        <v>0</v>
      </c>
      <c r="E162" s="18">
        <f t="shared" si="267"/>
        <v>159</v>
      </c>
      <c r="F162" s="18">
        <v>0</v>
      </c>
      <c r="G162" s="18">
        <v>0</v>
      </c>
      <c r="H162" s="45">
        <v>0</v>
      </c>
      <c r="I162" s="21">
        <f t="shared" si="285"/>
        <v>165</v>
      </c>
      <c r="J162" s="21">
        <f t="shared" si="264"/>
        <v>10</v>
      </c>
      <c r="K162" s="21">
        <v>0</v>
      </c>
      <c r="L162" s="20">
        <v>6</v>
      </c>
      <c r="M162" s="20">
        <v>0</v>
      </c>
      <c r="N162" s="20">
        <f t="shared" si="286"/>
        <v>2200</v>
      </c>
      <c r="O162" s="19" t="s">
        <v>66</v>
      </c>
      <c r="P162" s="20">
        <v>9400</v>
      </c>
      <c r="Q162" s="20">
        <f t="shared" ref="Q162:X162" si="289">Q132</f>
        <v>220</v>
      </c>
      <c r="R162" s="20">
        <f t="shared" si="289"/>
        <v>880</v>
      </c>
      <c r="S162" s="20">
        <f t="shared" si="289"/>
        <v>1540</v>
      </c>
      <c r="T162" s="20">
        <f t="shared" si="289"/>
        <v>1980</v>
      </c>
      <c r="U162" s="20">
        <f t="shared" si="289"/>
        <v>100</v>
      </c>
      <c r="V162" s="20">
        <f t="shared" si="289"/>
        <v>800</v>
      </c>
      <c r="W162" s="20">
        <f t="shared" si="289"/>
        <v>600</v>
      </c>
      <c r="X162" s="20">
        <f t="shared" si="289"/>
        <v>3</v>
      </c>
      <c r="Y162" s="20">
        <v>0</v>
      </c>
      <c r="Z162" s="20">
        <f t="shared" si="269"/>
        <v>0</v>
      </c>
      <c r="AA162" s="20">
        <v>0</v>
      </c>
      <c r="AB162" s="20">
        <v>0</v>
      </c>
      <c r="AC162" s="20">
        <v>0</v>
      </c>
      <c r="AD162" s="23">
        <f t="shared" ref="AD162:AE162" si="290">AD132</f>
        <v>20</v>
      </c>
      <c r="AE162" s="23">
        <f t="shared" si="290"/>
        <v>24</v>
      </c>
    </row>
    <row r="163" spans="1:31">
      <c r="A163" s="4">
        <v>2000</v>
      </c>
      <c r="B163" s="20">
        <v>12</v>
      </c>
      <c r="C163" s="19" t="s">
        <v>67</v>
      </c>
      <c r="D163" s="44">
        <v>0</v>
      </c>
      <c r="E163" s="18">
        <f t="shared" si="267"/>
        <v>172</v>
      </c>
      <c r="F163" s="18">
        <v>0</v>
      </c>
      <c r="G163" s="18">
        <v>0</v>
      </c>
      <c r="H163" s="45">
        <v>0</v>
      </c>
      <c r="I163" s="21">
        <f t="shared" si="285"/>
        <v>165</v>
      </c>
      <c r="J163" s="21">
        <f t="shared" si="264"/>
        <v>11</v>
      </c>
      <c r="K163" s="21">
        <v>0</v>
      </c>
      <c r="L163" s="20">
        <v>6</v>
      </c>
      <c r="M163" s="20">
        <v>0</v>
      </c>
      <c r="N163" s="20">
        <f t="shared" si="286"/>
        <v>2400</v>
      </c>
      <c r="O163" s="19" t="s">
        <v>67</v>
      </c>
      <c r="P163" s="20">
        <v>9100</v>
      </c>
      <c r="Q163" s="20">
        <f t="shared" ref="Q163:X163" si="291">Q133</f>
        <v>240</v>
      </c>
      <c r="R163" s="20">
        <f t="shared" si="291"/>
        <v>960</v>
      </c>
      <c r="S163" s="20">
        <f t="shared" si="291"/>
        <v>1680</v>
      </c>
      <c r="T163" s="20">
        <f t="shared" si="291"/>
        <v>2160</v>
      </c>
      <c r="U163" s="20">
        <f t="shared" si="291"/>
        <v>150</v>
      </c>
      <c r="V163" s="20">
        <f t="shared" si="291"/>
        <v>700</v>
      </c>
      <c r="W163" s="20">
        <f t="shared" si="291"/>
        <v>900</v>
      </c>
      <c r="X163" s="20">
        <f t="shared" si="291"/>
        <v>3</v>
      </c>
      <c r="Y163" s="20">
        <v>0</v>
      </c>
      <c r="Z163" s="20">
        <f t="shared" si="269"/>
        <v>0</v>
      </c>
      <c r="AA163" s="20">
        <v>0</v>
      </c>
      <c r="AB163" s="20">
        <v>0</v>
      </c>
      <c r="AC163" s="20">
        <v>0</v>
      </c>
      <c r="AD163" s="23">
        <f t="shared" ref="AD163:AE163" si="292">AD133</f>
        <v>22</v>
      </c>
      <c r="AE163" s="23">
        <f t="shared" si="292"/>
        <v>26</v>
      </c>
    </row>
    <row r="164" spans="1:31">
      <c r="A164" s="4">
        <v>2000</v>
      </c>
      <c r="B164" s="20">
        <v>13</v>
      </c>
      <c r="C164" s="19" t="s">
        <v>68</v>
      </c>
      <c r="D164" s="44">
        <v>0</v>
      </c>
      <c r="E164" s="18">
        <f t="shared" si="267"/>
        <v>187</v>
      </c>
      <c r="F164" s="18">
        <v>0</v>
      </c>
      <c r="G164" s="18">
        <v>0</v>
      </c>
      <c r="H164" s="45">
        <v>0</v>
      </c>
      <c r="I164" s="21">
        <f t="shared" si="285"/>
        <v>220</v>
      </c>
      <c r="J164" s="21">
        <f t="shared" si="264"/>
        <v>12</v>
      </c>
      <c r="K164" s="21">
        <v>0</v>
      </c>
      <c r="L164" s="20">
        <v>6</v>
      </c>
      <c r="M164" s="20">
        <v>0</v>
      </c>
      <c r="N164" s="20">
        <f t="shared" si="286"/>
        <v>2600</v>
      </c>
      <c r="O164" s="19" t="s">
        <v>68</v>
      </c>
      <c r="P164" s="20">
        <v>8600</v>
      </c>
      <c r="Q164" s="20">
        <f t="shared" ref="Q164:X164" si="293">Q134</f>
        <v>260</v>
      </c>
      <c r="R164" s="20">
        <f t="shared" si="293"/>
        <v>1040</v>
      </c>
      <c r="S164" s="20">
        <f t="shared" si="293"/>
        <v>1819.9999999999998</v>
      </c>
      <c r="T164" s="20">
        <f t="shared" si="293"/>
        <v>2340</v>
      </c>
      <c r="U164" s="20">
        <f t="shared" si="293"/>
        <v>100</v>
      </c>
      <c r="V164" s="20">
        <f t="shared" si="293"/>
        <v>700</v>
      </c>
      <c r="W164" s="20">
        <f t="shared" si="293"/>
        <v>1000</v>
      </c>
      <c r="X164" s="20">
        <f t="shared" si="293"/>
        <v>4</v>
      </c>
      <c r="Y164" s="20">
        <v>0</v>
      </c>
      <c r="Z164" s="20">
        <f t="shared" si="269"/>
        <v>86</v>
      </c>
      <c r="AA164" s="20">
        <v>0</v>
      </c>
      <c r="AB164" s="20">
        <v>0</v>
      </c>
      <c r="AC164" s="20">
        <v>0</v>
      </c>
      <c r="AD164" s="23">
        <f t="shared" ref="AD164:AE164" si="294">AD134</f>
        <v>24</v>
      </c>
      <c r="AE164" s="23">
        <f t="shared" si="294"/>
        <v>28</v>
      </c>
    </row>
    <row r="165" spans="1:31">
      <c r="A165" s="4">
        <v>2000</v>
      </c>
      <c r="B165" s="20">
        <v>14</v>
      </c>
      <c r="C165" s="19" t="s">
        <v>69</v>
      </c>
      <c r="D165" s="44">
        <v>0</v>
      </c>
      <c r="E165" s="18">
        <f t="shared" si="267"/>
        <v>202</v>
      </c>
      <c r="F165" s="18">
        <v>0</v>
      </c>
      <c r="G165" s="18">
        <v>0</v>
      </c>
      <c r="H165" s="45">
        <v>0</v>
      </c>
      <c r="I165" s="21">
        <f t="shared" si="285"/>
        <v>220</v>
      </c>
      <c r="J165" s="21">
        <f t="shared" si="264"/>
        <v>13</v>
      </c>
      <c r="K165" s="21">
        <v>0</v>
      </c>
      <c r="L165" s="20">
        <v>6</v>
      </c>
      <c r="M165" s="20">
        <v>0</v>
      </c>
      <c r="N165" s="20">
        <f t="shared" si="286"/>
        <v>2800</v>
      </c>
      <c r="O165" s="19" t="s">
        <v>69</v>
      </c>
      <c r="P165" s="20">
        <v>6400</v>
      </c>
      <c r="Q165" s="20">
        <f t="shared" ref="Q165:X165" si="295">Q135</f>
        <v>280</v>
      </c>
      <c r="R165" s="20">
        <f t="shared" si="295"/>
        <v>1120</v>
      </c>
      <c r="S165" s="20">
        <f t="shared" si="295"/>
        <v>1959.9999999999998</v>
      </c>
      <c r="T165" s="20">
        <f t="shared" si="295"/>
        <v>2520</v>
      </c>
      <c r="U165" s="20">
        <f t="shared" si="295"/>
        <v>100</v>
      </c>
      <c r="V165" s="20">
        <f t="shared" si="295"/>
        <v>400</v>
      </c>
      <c r="W165" s="20">
        <f t="shared" si="295"/>
        <v>1200</v>
      </c>
      <c r="X165" s="20">
        <f t="shared" si="295"/>
        <v>4</v>
      </c>
      <c r="Y165" s="20">
        <v>0</v>
      </c>
      <c r="Z165" s="20">
        <f t="shared" si="269"/>
        <v>0</v>
      </c>
      <c r="AA165" s="20">
        <v>0</v>
      </c>
      <c r="AB165" s="20">
        <v>0</v>
      </c>
      <c r="AC165" s="20">
        <v>0</v>
      </c>
      <c r="AD165" s="23">
        <f t="shared" ref="AD165:AE165" si="296">AD135</f>
        <v>26</v>
      </c>
      <c r="AE165" s="23">
        <f t="shared" si="296"/>
        <v>30</v>
      </c>
    </row>
    <row r="166" spans="1:31">
      <c r="A166" s="4">
        <v>2000</v>
      </c>
      <c r="B166" s="20">
        <v>15</v>
      </c>
      <c r="C166" s="19" t="s">
        <v>70</v>
      </c>
      <c r="D166" s="44">
        <v>0</v>
      </c>
      <c r="E166" s="18">
        <f t="shared" si="267"/>
        <v>219</v>
      </c>
      <c r="F166" s="18">
        <v>0</v>
      </c>
      <c r="G166" s="18">
        <v>0</v>
      </c>
      <c r="H166" s="45">
        <v>0</v>
      </c>
      <c r="I166" s="21">
        <f t="shared" si="285"/>
        <v>220</v>
      </c>
      <c r="J166" s="21">
        <f t="shared" si="264"/>
        <v>14</v>
      </c>
      <c r="K166" s="21">
        <v>0</v>
      </c>
      <c r="L166" s="20">
        <v>6</v>
      </c>
      <c r="M166" s="20">
        <v>0</v>
      </c>
      <c r="N166" s="20">
        <f t="shared" si="286"/>
        <v>4500</v>
      </c>
      <c r="O166" s="19" t="s">
        <v>70</v>
      </c>
      <c r="P166" s="20">
        <v>3100</v>
      </c>
      <c r="Q166" s="20">
        <f t="shared" ref="Q166:X166" si="297">Q136</f>
        <v>450</v>
      </c>
      <c r="R166" s="20">
        <f t="shared" si="297"/>
        <v>1800</v>
      </c>
      <c r="S166" s="20">
        <f t="shared" si="297"/>
        <v>3150</v>
      </c>
      <c r="T166" s="20">
        <f t="shared" si="297"/>
        <v>4050</v>
      </c>
      <c r="U166" s="20">
        <f t="shared" si="297"/>
        <v>100</v>
      </c>
      <c r="V166" s="20">
        <f t="shared" si="297"/>
        <v>1000</v>
      </c>
      <c r="W166" s="20">
        <f t="shared" si="297"/>
        <v>600</v>
      </c>
      <c r="X166" s="20">
        <f t="shared" si="297"/>
        <v>4</v>
      </c>
      <c r="Y166" s="20">
        <v>0</v>
      </c>
      <c r="Z166" s="20">
        <f t="shared" si="269"/>
        <v>0</v>
      </c>
      <c r="AA166" s="20">
        <v>0</v>
      </c>
      <c r="AB166" s="20">
        <v>0</v>
      </c>
      <c r="AC166" s="20">
        <v>0</v>
      </c>
      <c r="AD166" s="23">
        <f t="shared" ref="AD166:AE166" si="298">AD136</f>
        <v>28</v>
      </c>
      <c r="AE166" s="23">
        <f t="shared" si="298"/>
        <v>32</v>
      </c>
    </row>
    <row r="167" spans="1:31">
      <c r="A167" s="4">
        <v>2000</v>
      </c>
      <c r="B167" s="20">
        <v>16</v>
      </c>
      <c r="C167" s="19" t="s">
        <v>71</v>
      </c>
      <c r="D167" s="44">
        <v>0</v>
      </c>
      <c r="E167" s="18">
        <f t="shared" si="267"/>
        <v>237</v>
      </c>
      <c r="F167" s="18">
        <v>0</v>
      </c>
      <c r="G167" s="18">
        <v>0</v>
      </c>
      <c r="H167" s="45">
        <v>0</v>
      </c>
      <c r="I167" s="21">
        <f t="shared" si="285"/>
        <v>220</v>
      </c>
      <c r="J167" s="21">
        <f t="shared" si="264"/>
        <v>15</v>
      </c>
      <c r="K167" s="21">
        <v>0</v>
      </c>
      <c r="L167" s="20">
        <v>6</v>
      </c>
      <c r="M167" s="20">
        <v>0</v>
      </c>
      <c r="N167" s="20">
        <f t="shared" si="286"/>
        <v>4800</v>
      </c>
      <c r="O167" s="19" t="s">
        <v>71</v>
      </c>
      <c r="P167" s="20">
        <v>1777</v>
      </c>
      <c r="Q167" s="20">
        <f t="shared" ref="Q167:X167" si="299">Q137</f>
        <v>480</v>
      </c>
      <c r="R167" s="20">
        <f t="shared" si="299"/>
        <v>1920</v>
      </c>
      <c r="S167" s="20">
        <f t="shared" si="299"/>
        <v>3360</v>
      </c>
      <c r="T167" s="20">
        <f t="shared" si="299"/>
        <v>4320</v>
      </c>
      <c r="U167" s="20">
        <f t="shared" si="299"/>
        <v>100</v>
      </c>
      <c r="V167" s="20">
        <f t="shared" si="299"/>
        <v>800</v>
      </c>
      <c r="W167" s="20">
        <f t="shared" si="299"/>
        <v>800</v>
      </c>
      <c r="X167" s="20">
        <f t="shared" si="299"/>
        <v>4</v>
      </c>
      <c r="Y167" s="20">
        <v>0</v>
      </c>
      <c r="Z167" s="20">
        <f t="shared" si="269"/>
        <v>0</v>
      </c>
      <c r="AA167" s="20">
        <v>0</v>
      </c>
      <c r="AB167" s="20">
        <v>0</v>
      </c>
      <c r="AC167" s="20">
        <v>0</v>
      </c>
      <c r="AD167" s="23">
        <f t="shared" ref="AD167:AE167" si="300">AD137</f>
        <v>30</v>
      </c>
      <c r="AE167" s="23">
        <f t="shared" si="300"/>
        <v>34</v>
      </c>
    </row>
    <row r="168" spans="1:31">
      <c r="A168" s="4">
        <v>2000</v>
      </c>
      <c r="B168" s="20">
        <v>17</v>
      </c>
      <c r="C168" s="19" t="s">
        <v>72</v>
      </c>
      <c r="D168" s="44">
        <v>0</v>
      </c>
      <c r="E168" s="18">
        <f t="shared" si="267"/>
        <v>256</v>
      </c>
      <c r="F168" s="18">
        <v>0</v>
      </c>
      <c r="G168" s="18">
        <v>0</v>
      </c>
      <c r="H168" s="45">
        <v>0</v>
      </c>
      <c r="I168" s="21">
        <f t="shared" si="285"/>
        <v>275</v>
      </c>
      <c r="J168" s="21">
        <f t="shared" si="264"/>
        <v>16</v>
      </c>
      <c r="K168" s="21">
        <v>0</v>
      </c>
      <c r="L168" s="20">
        <v>6</v>
      </c>
      <c r="M168" s="20">
        <v>0</v>
      </c>
      <c r="N168" s="20">
        <f t="shared" si="286"/>
        <v>5100</v>
      </c>
      <c r="O168" s="19" t="s">
        <v>72</v>
      </c>
      <c r="P168" s="20">
        <v>2332</v>
      </c>
      <c r="Q168" s="20">
        <f t="shared" ref="Q168:X168" si="301">Q138</f>
        <v>510</v>
      </c>
      <c r="R168" s="20">
        <f t="shared" si="301"/>
        <v>2040</v>
      </c>
      <c r="S168" s="20">
        <f t="shared" si="301"/>
        <v>3570</v>
      </c>
      <c r="T168" s="20">
        <f t="shared" si="301"/>
        <v>4590</v>
      </c>
      <c r="U168" s="20">
        <f t="shared" si="301"/>
        <v>80</v>
      </c>
      <c r="V168" s="20">
        <f t="shared" si="301"/>
        <v>800</v>
      </c>
      <c r="W168" s="20">
        <f t="shared" si="301"/>
        <v>600</v>
      </c>
      <c r="X168" s="20">
        <f t="shared" si="301"/>
        <v>5</v>
      </c>
      <c r="Y168" s="20">
        <v>0</v>
      </c>
      <c r="Z168" s="20">
        <f t="shared" si="269"/>
        <v>0</v>
      </c>
      <c r="AA168" s="20">
        <v>0</v>
      </c>
      <c r="AB168" s="20">
        <v>0</v>
      </c>
      <c r="AC168" s="20">
        <v>0</v>
      </c>
      <c r="AD168" s="23">
        <f t="shared" ref="AD168:AE168" si="302">AD138</f>
        <v>32</v>
      </c>
      <c r="AE168" s="23">
        <f t="shared" si="302"/>
        <v>36</v>
      </c>
    </row>
    <row r="169" spans="1:31">
      <c r="A169" s="4">
        <v>2000</v>
      </c>
      <c r="B169" s="20">
        <v>18</v>
      </c>
      <c r="C169" s="19" t="s">
        <v>73</v>
      </c>
      <c r="D169" s="44">
        <v>0</v>
      </c>
      <c r="E169" s="18">
        <f t="shared" si="267"/>
        <v>278</v>
      </c>
      <c r="F169" s="18">
        <v>0</v>
      </c>
      <c r="G169" s="18">
        <v>0</v>
      </c>
      <c r="H169" s="45">
        <v>0</v>
      </c>
      <c r="I169" s="21">
        <f t="shared" si="285"/>
        <v>275</v>
      </c>
      <c r="J169" s="21">
        <f t="shared" si="264"/>
        <v>17</v>
      </c>
      <c r="K169" s="21">
        <v>0</v>
      </c>
      <c r="L169" s="20">
        <v>6</v>
      </c>
      <c r="M169" s="20">
        <v>0</v>
      </c>
      <c r="N169" s="20">
        <f t="shared" si="286"/>
        <v>5400</v>
      </c>
      <c r="O169" s="19" t="s">
        <v>73</v>
      </c>
      <c r="P169" s="20">
        <v>1487</v>
      </c>
      <c r="Q169" s="20">
        <f t="shared" ref="Q169:X169" si="303">Q139</f>
        <v>540</v>
      </c>
      <c r="R169" s="20">
        <f t="shared" si="303"/>
        <v>2160</v>
      </c>
      <c r="S169" s="20">
        <f t="shared" si="303"/>
        <v>3779.9999999999995</v>
      </c>
      <c r="T169" s="20">
        <f t="shared" si="303"/>
        <v>4860</v>
      </c>
      <c r="U169" s="20">
        <f t="shared" si="303"/>
        <v>100</v>
      </c>
      <c r="V169" s="20">
        <f t="shared" si="303"/>
        <v>600</v>
      </c>
      <c r="W169" s="20">
        <f t="shared" si="303"/>
        <v>300</v>
      </c>
      <c r="X169" s="20">
        <f t="shared" si="303"/>
        <v>5</v>
      </c>
      <c r="Y169" s="20">
        <v>0</v>
      </c>
      <c r="Z169" s="20">
        <f t="shared" si="269"/>
        <v>129</v>
      </c>
      <c r="AA169" s="20">
        <v>0</v>
      </c>
      <c r="AB169" s="20">
        <v>0</v>
      </c>
      <c r="AC169" s="20">
        <v>0</v>
      </c>
      <c r="AD169" s="23">
        <f t="shared" ref="AD169:AE169" si="304">AD139</f>
        <v>34</v>
      </c>
      <c r="AE169" s="23">
        <f t="shared" si="304"/>
        <v>38</v>
      </c>
    </row>
    <row r="170" spans="1:31">
      <c r="A170" s="4">
        <v>2000</v>
      </c>
      <c r="B170" s="20">
        <v>19</v>
      </c>
      <c r="C170" s="19" t="s">
        <v>74</v>
      </c>
      <c r="D170" s="44">
        <v>0</v>
      </c>
      <c r="E170" s="18">
        <f t="shared" si="267"/>
        <v>301</v>
      </c>
      <c r="F170" s="18">
        <v>0</v>
      </c>
      <c r="G170" s="18">
        <v>0</v>
      </c>
      <c r="H170" s="45">
        <v>0</v>
      </c>
      <c r="I170" s="21">
        <f t="shared" si="285"/>
        <v>275</v>
      </c>
      <c r="J170" s="21">
        <f t="shared" si="264"/>
        <v>18</v>
      </c>
      <c r="K170" s="21">
        <v>0</v>
      </c>
      <c r="L170" s="20">
        <v>6</v>
      </c>
      <c r="M170" s="20">
        <v>0</v>
      </c>
      <c r="N170" s="20">
        <f t="shared" si="286"/>
        <v>5700</v>
      </c>
      <c r="O170" s="19" t="s">
        <v>74</v>
      </c>
      <c r="P170" s="20">
        <v>1518</v>
      </c>
      <c r="Q170" s="20">
        <f t="shared" ref="Q170:X170" si="305">Q140</f>
        <v>570</v>
      </c>
      <c r="R170" s="20">
        <f t="shared" si="305"/>
        <v>2280</v>
      </c>
      <c r="S170" s="20">
        <f t="shared" si="305"/>
        <v>3989.9999999999995</v>
      </c>
      <c r="T170" s="20">
        <f t="shared" si="305"/>
        <v>5130</v>
      </c>
      <c r="U170" s="20">
        <f t="shared" si="305"/>
        <v>100</v>
      </c>
      <c r="V170" s="20">
        <f t="shared" si="305"/>
        <v>500</v>
      </c>
      <c r="W170" s="20">
        <f t="shared" si="305"/>
        <v>400</v>
      </c>
      <c r="X170" s="20">
        <f t="shared" si="305"/>
        <v>5</v>
      </c>
      <c r="Y170" s="20">
        <v>0</v>
      </c>
      <c r="Z170" s="20">
        <f t="shared" si="269"/>
        <v>0</v>
      </c>
      <c r="AA170" s="20">
        <v>0</v>
      </c>
      <c r="AB170" s="20">
        <v>0</v>
      </c>
      <c r="AC170" s="20">
        <v>0</v>
      </c>
      <c r="AD170" s="23">
        <f t="shared" ref="AD170:AE170" si="306">AD140</f>
        <v>36</v>
      </c>
      <c r="AE170" s="23">
        <f t="shared" si="306"/>
        <v>40</v>
      </c>
    </row>
    <row r="171" spans="1:31">
      <c r="A171" s="4">
        <v>2000</v>
      </c>
      <c r="B171" s="20">
        <v>20</v>
      </c>
      <c r="C171" s="19" t="s">
        <v>75</v>
      </c>
      <c r="D171" s="44">
        <v>0</v>
      </c>
      <c r="E171" s="18">
        <f t="shared" si="267"/>
        <v>325</v>
      </c>
      <c r="F171" s="18">
        <v>0</v>
      </c>
      <c r="G171" s="18">
        <v>0</v>
      </c>
      <c r="H171" s="45">
        <v>0</v>
      </c>
      <c r="I171" s="21">
        <f t="shared" si="285"/>
        <v>275</v>
      </c>
      <c r="J171" s="21">
        <f t="shared" si="264"/>
        <v>19</v>
      </c>
      <c r="K171" s="21">
        <v>0</v>
      </c>
      <c r="L171" s="20">
        <v>6</v>
      </c>
      <c r="M171" s="20">
        <v>0</v>
      </c>
      <c r="N171" s="20">
        <f t="shared" si="286"/>
        <v>8000</v>
      </c>
      <c r="O171" s="19" t="s">
        <v>75</v>
      </c>
      <c r="P171" s="20">
        <v>861</v>
      </c>
      <c r="Q171" s="20">
        <f t="shared" ref="Q171:X171" si="307">Q141</f>
        <v>800</v>
      </c>
      <c r="R171" s="20">
        <f t="shared" si="307"/>
        <v>3200</v>
      </c>
      <c r="S171" s="20">
        <f t="shared" si="307"/>
        <v>5600</v>
      </c>
      <c r="T171" s="20">
        <f t="shared" si="307"/>
        <v>7200</v>
      </c>
      <c r="U171" s="20">
        <f t="shared" si="307"/>
        <v>100</v>
      </c>
      <c r="V171" s="20">
        <f t="shared" si="307"/>
        <v>800</v>
      </c>
      <c r="W171" s="20">
        <f t="shared" si="307"/>
        <v>8000</v>
      </c>
      <c r="X171" s="20">
        <f t="shared" si="307"/>
        <v>5</v>
      </c>
      <c r="Y171" s="20">
        <v>0</v>
      </c>
      <c r="Z171" s="20">
        <f t="shared" si="269"/>
        <v>0</v>
      </c>
      <c r="AA171" s="20">
        <v>0</v>
      </c>
      <c r="AB171" s="20">
        <v>0</v>
      </c>
      <c r="AC171" s="20">
        <v>0</v>
      </c>
      <c r="AD171" s="23">
        <f t="shared" ref="AD171:AE171" si="308">AD141</f>
        <v>38</v>
      </c>
      <c r="AE171" s="23">
        <f t="shared" si="308"/>
        <v>42</v>
      </c>
    </row>
    <row r="172" spans="1:31">
      <c r="A172" s="4">
        <v>2000</v>
      </c>
      <c r="B172" s="20">
        <v>21</v>
      </c>
      <c r="C172" s="19" t="s">
        <v>66</v>
      </c>
      <c r="D172" s="44">
        <v>0</v>
      </c>
      <c r="E172" s="18">
        <f t="shared" si="267"/>
        <v>352</v>
      </c>
      <c r="F172" s="18">
        <v>0</v>
      </c>
      <c r="G172" s="18">
        <v>0</v>
      </c>
      <c r="H172" s="45">
        <v>0</v>
      </c>
      <c r="I172" s="21">
        <f t="shared" si="285"/>
        <v>330</v>
      </c>
      <c r="J172" s="21">
        <f t="shared" si="264"/>
        <v>20</v>
      </c>
      <c r="K172" s="21">
        <v>0</v>
      </c>
      <c r="L172" s="20">
        <v>6</v>
      </c>
      <c r="M172" s="20">
        <v>0</v>
      </c>
      <c r="N172" s="20">
        <f t="shared" si="286"/>
        <v>8400</v>
      </c>
      <c r="O172" s="19" t="s">
        <v>66</v>
      </c>
      <c r="P172" s="20">
        <v>9400</v>
      </c>
      <c r="Q172" s="20">
        <f t="shared" ref="Q172:X172" si="309">Q142</f>
        <v>840</v>
      </c>
      <c r="R172" s="20">
        <f t="shared" si="309"/>
        <v>3360</v>
      </c>
      <c r="S172" s="20">
        <f t="shared" si="309"/>
        <v>5880</v>
      </c>
      <c r="T172" s="20">
        <f t="shared" si="309"/>
        <v>7560</v>
      </c>
      <c r="U172" s="20">
        <f t="shared" si="309"/>
        <v>50</v>
      </c>
      <c r="V172" s="20">
        <f t="shared" si="309"/>
        <v>1000</v>
      </c>
      <c r="W172" s="20">
        <f t="shared" si="309"/>
        <v>600</v>
      </c>
      <c r="X172" s="20">
        <f t="shared" si="309"/>
        <v>6</v>
      </c>
      <c r="Y172" s="20">
        <v>0</v>
      </c>
      <c r="Z172" s="20">
        <f t="shared" si="269"/>
        <v>0</v>
      </c>
      <c r="AA172" s="20">
        <v>0</v>
      </c>
      <c r="AB172" s="20">
        <v>0</v>
      </c>
      <c r="AC172" s="20">
        <v>0</v>
      </c>
      <c r="AD172" s="23">
        <f t="shared" ref="AD172:AE172" si="310">AD142</f>
        <v>40</v>
      </c>
      <c r="AE172" s="23">
        <f t="shared" si="310"/>
        <v>44</v>
      </c>
    </row>
    <row r="173" spans="1:31">
      <c r="A173" s="4">
        <v>2000</v>
      </c>
      <c r="B173" s="20">
        <v>22</v>
      </c>
      <c r="C173" s="19" t="s">
        <v>67</v>
      </c>
      <c r="D173" s="44">
        <v>0</v>
      </c>
      <c r="E173" s="18">
        <f t="shared" si="267"/>
        <v>381</v>
      </c>
      <c r="F173" s="18">
        <v>0</v>
      </c>
      <c r="G173" s="18">
        <v>0</v>
      </c>
      <c r="H173" s="45">
        <v>0</v>
      </c>
      <c r="I173" s="21">
        <f t="shared" si="285"/>
        <v>330</v>
      </c>
      <c r="J173" s="21">
        <f t="shared" si="264"/>
        <v>21</v>
      </c>
      <c r="K173" s="21">
        <v>0</v>
      </c>
      <c r="L173" s="20">
        <v>6</v>
      </c>
      <c r="M173" s="20">
        <v>0</v>
      </c>
      <c r="N173" s="20">
        <f t="shared" si="286"/>
        <v>8800</v>
      </c>
      <c r="O173" s="19" t="s">
        <v>67</v>
      </c>
      <c r="P173" s="20">
        <v>9100</v>
      </c>
      <c r="Q173" s="20">
        <f t="shared" ref="Q173:X173" si="311">Q143</f>
        <v>880</v>
      </c>
      <c r="R173" s="20">
        <f t="shared" si="311"/>
        <v>3520</v>
      </c>
      <c r="S173" s="20">
        <f t="shared" si="311"/>
        <v>6160</v>
      </c>
      <c r="T173" s="20">
        <f t="shared" si="311"/>
        <v>7920</v>
      </c>
      <c r="U173" s="20">
        <f t="shared" si="311"/>
        <v>100</v>
      </c>
      <c r="V173" s="20">
        <f t="shared" si="311"/>
        <v>600</v>
      </c>
      <c r="W173" s="20">
        <f t="shared" si="311"/>
        <v>700</v>
      </c>
      <c r="X173" s="20">
        <f t="shared" si="311"/>
        <v>6</v>
      </c>
      <c r="Y173" s="20">
        <v>0</v>
      </c>
      <c r="Z173" s="20">
        <f t="shared" si="269"/>
        <v>0</v>
      </c>
      <c r="AA173" s="20">
        <v>0</v>
      </c>
      <c r="AB173" s="20">
        <v>0</v>
      </c>
      <c r="AC173" s="20">
        <v>0</v>
      </c>
      <c r="AD173" s="23">
        <f t="shared" ref="AD173:AE173" si="312">AD143</f>
        <v>42</v>
      </c>
      <c r="AE173" s="23">
        <f t="shared" si="312"/>
        <v>46</v>
      </c>
    </row>
    <row r="174" spans="1:31">
      <c r="A174" s="4">
        <v>2000</v>
      </c>
      <c r="B174" s="20">
        <v>23</v>
      </c>
      <c r="C174" s="19" t="s">
        <v>68</v>
      </c>
      <c r="D174" s="44">
        <v>0</v>
      </c>
      <c r="E174" s="18">
        <f t="shared" si="267"/>
        <v>413</v>
      </c>
      <c r="F174" s="18">
        <v>0</v>
      </c>
      <c r="G174" s="18">
        <v>0</v>
      </c>
      <c r="H174" s="45">
        <v>0</v>
      </c>
      <c r="I174" s="21">
        <f t="shared" si="285"/>
        <v>330</v>
      </c>
      <c r="J174" s="21">
        <f t="shared" si="264"/>
        <v>22</v>
      </c>
      <c r="K174" s="21">
        <v>0</v>
      </c>
      <c r="L174" s="20">
        <v>6</v>
      </c>
      <c r="M174" s="20">
        <v>0</v>
      </c>
      <c r="N174" s="20">
        <f t="shared" si="286"/>
        <v>9200</v>
      </c>
      <c r="O174" s="19" t="s">
        <v>68</v>
      </c>
      <c r="P174" s="20">
        <v>8600</v>
      </c>
      <c r="Q174" s="20">
        <f t="shared" ref="Q174:X174" si="313">Q144</f>
        <v>920</v>
      </c>
      <c r="R174" s="20">
        <f t="shared" si="313"/>
        <v>3680</v>
      </c>
      <c r="S174" s="20">
        <f t="shared" si="313"/>
        <v>6440</v>
      </c>
      <c r="T174" s="20">
        <f t="shared" si="313"/>
        <v>8280</v>
      </c>
      <c r="U174" s="20">
        <f t="shared" si="313"/>
        <v>100</v>
      </c>
      <c r="V174" s="20">
        <f t="shared" si="313"/>
        <v>550</v>
      </c>
      <c r="W174" s="20">
        <f t="shared" si="313"/>
        <v>500</v>
      </c>
      <c r="X174" s="20">
        <f t="shared" si="313"/>
        <v>6</v>
      </c>
      <c r="Y174" s="20">
        <v>0</v>
      </c>
      <c r="Z174" s="20">
        <f t="shared" si="269"/>
        <v>172</v>
      </c>
      <c r="AA174" s="20">
        <v>0</v>
      </c>
      <c r="AB174" s="20">
        <v>0</v>
      </c>
      <c r="AC174" s="20">
        <v>0</v>
      </c>
      <c r="AD174" s="23">
        <f t="shared" ref="AD174:AE174" si="314">AD144</f>
        <v>44</v>
      </c>
      <c r="AE174" s="23">
        <f t="shared" si="314"/>
        <v>48</v>
      </c>
    </row>
    <row r="175" spans="1:31">
      <c r="A175" s="4">
        <v>2000</v>
      </c>
      <c r="B175" s="20">
        <v>24</v>
      </c>
      <c r="C175" s="19" t="s">
        <v>69</v>
      </c>
      <c r="D175" s="44">
        <v>0</v>
      </c>
      <c r="E175" s="18">
        <f t="shared" si="267"/>
        <v>447</v>
      </c>
      <c r="F175" s="18">
        <v>0</v>
      </c>
      <c r="G175" s="18">
        <v>0</v>
      </c>
      <c r="H175" s="45">
        <v>0</v>
      </c>
      <c r="I175" s="21">
        <f t="shared" si="285"/>
        <v>330</v>
      </c>
      <c r="J175" s="21">
        <f t="shared" si="264"/>
        <v>23</v>
      </c>
      <c r="K175" s="21">
        <v>0</v>
      </c>
      <c r="L175" s="20">
        <v>6</v>
      </c>
      <c r="M175" s="20">
        <v>0</v>
      </c>
      <c r="N175" s="20">
        <f t="shared" si="286"/>
        <v>9600</v>
      </c>
      <c r="O175" s="19" t="s">
        <v>69</v>
      </c>
      <c r="P175" s="20">
        <v>6400</v>
      </c>
      <c r="Q175" s="20">
        <f t="shared" ref="Q175:X175" si="315">Q145</f>
        <v>960</v>
      </c>
      <c r="R175" s="20">
        <f t="shared" si="315"/>
        <v>3840</v>
      </c>
      <c r="S175" s="20">
        <f t="shared" si="315"/>
        <v>6720</v>
      </c>
      <c r="T175" s="20">
        <f t="shared" si="315"/>
        <v>8640</v>
      </c>
      <c r="U175" s="20">
        <f t="shared" si="315"/>
        <v>100</v>
      </c>
      <c r="V175" s="20">
        <f t="shared" si="315"/>
        <v>500</v>
      </c>
      <c r="W175" s="20">
        <f t="shared" si="315"/>
        <v>900</v>
      </c>
      <c r="X175" s="20">
        <f t="shared" si="315"/>
        <v>6</v>
      </c>
      <c r="Y175" s="20">
        <v>0</v>
      </c>
      <c r="Z175" s="20">
        <f t="shared" si="269"/>
        <v>0</v>
      </c>
      <c r="AA175" s="20">
        <v>0</v>
      </c>
      <c r="AB175" s="20">
        <v>0</v>
      </c>
      <c r="AC175" s="20">
        <v>0</v>
      </c>
      <c r="AD175" s="23">
        <f t="shared" ref="AD175:AE175" si="316">AD145</f>
        <v>46</v>
      </c>
      <c r="AE175" s="23">
        <f t="shared" si="316"/>
        <v>50</v>
      </c>
    </row>
    <row r="176" spans="1:31">
      <c r="A176" s="4">
        <v>2000</v>
      </c>
      <c r="B176" s="20">
        <v>25</v>
      </c>
      <c r="C176" s="19" t="s">
        <v>70</v>
      </c>
      <c r="D176" s="44">
        <v>0</v>
      </c>
      <c r="E176" s="18">
        <f t="shared" si="267"/>
        <v>484</v>
      </c>
      <c r="F176" s="18">
        <v>0</v>
      </c>
      <c r="G176" s="18">
        <v>0</v>
      </c>
      <c r="H176" s="45">
        <v>0</v>
      </c>
      <c r="I176" s="21">
        <f t="shared" si="285"/>
        <v>385</v>
      </c>
      <c r="J176" s="21">
        <f t="shared" si="264"/>
        <v>24</v>
      </c>
      <c r="K176" s="21">
        <v>0</v>
      </c>
      <c r="L176" s="20">
        <v>6</v>
      </c>
      <c r="M176" s="20">
        <v>0</v>
      </c>
      <c r="N176" s="20">
        <f t="shared" si="286"/>
        <v>12500</v>
      </c>
      <c r="O176" s="19" t="s">
        <v>70</v>
      </c>
      <c r="P176" s="20">
        <v>3100</v>
      </c>
      <c r="Q176" s="20">
        <f t="shared" ref="Q176:X176" si="317">Q146</f>
        <v>1250</v>
      </c>
      <c r="R176" s="20">
        <f t="shared" si="317"/>
        <v>5000</v>
      </c>
      <c r="S176" s="20">
        <f t="shared" si="317"/>
        <v>8750</v>
      </c>
      <c r="T176" s="20">
        <f t="shared" si="317"/>
        <v>11250</v>
      </c>
      <c r="U176" s="20">
        <f t="shared" si="317"/>
        <v>10</v>
      </c>
      <c r="V176" s="20">
        <f t="shared" si="317"/>
        <v>1300</v>
      </c>
      <c r="W176" s="20">
        <f t="shared" si="317"/>
        <v>1000</v>
      </c>
      <c r="X176" s="20">
        <f t="shared" si="317"/>
        <v>7</v>
      </c>
      <c r="Y176" s="20">
        <v>0</v>
      </c>
      <c r="Z176" s="20">
        <f t="shared" si="269"/>
        <v>0</v>
      </c>
      <c r="AA176" s="20">
        <v>0</v>
      </c>
      <c r="AB176" s="20">
        <v>0</v>
      </c>
      <c r="AC176" s="20">
        <v>0</v>
      </c>
      <c r="AD176" s="23">
        <f t="shared" ref="AD176:AE176" si="318">AD146</f>
        <v>48</v>
      </c>
      <c r="AE176" s="23">
        <f t="shared" si="318"/>
        <v>52</v>
      </c>
    </row>
    <row r="177" spans="1:31">
      <c r="A177" s="4">
        <v>2000</v>
      </c>
      <c r="B177" s="20">
        <v>26</v>
      </c>
      <c r="C177" s="19" t="s">
        <v>71</v>
      </c>
      <c r="D177" s="44">
        <v>0</v>
      </c>
      <c r="E177" s="18">
        <f t="shared" si="267"/>
        <v>524</v>
      </c>
      <c r="F177" s="18">
        <v>0</v>
      </c>
      <c r="G177" s="18">
        <v>0</v>
      </c>
      <c r="H177" s="45">
        <v>0</v>
      </c>
      <c r="I177" s="21">
        <f t="shared" si="285"/>
        <v>385</v>
      </c>
      <c r="J177" s="21">
        <f t="shared" si="264"/>
        <v>25</v>
      </c>
      <c r="K177" s="21">
        <v>0</v>
      </c>
      <c r="L177" s="20">
        <v>6</v>
      </c>
      <c r="M177" s="20">
        <v>0</v>
      </c>
      <c r="N177" s="20">
        <f t="shared" si="286"/>
        <v>13000</v>
      </c>
      <c r="O177" s="19" t="s">
        <v>71</v>
      </c>
      <c r="P177" s="20">
        <v>1777</v>
      </c>
      <c r="Q177" s="20">
        <f t="shared" ref="Q177:X177" si="319">Q147</f>
        <v>1300</v>
      </c>
      <c r="R177" s="20">
        <f t="shared" si="319"/>
        <v>5200</v>
      </c>
      <c r="S177" s="20">
        <f t="shared" si="319"/>
        <v>9100</v>
      </c>
      <c r="T177" s="20">
        <f t="shared" si="319"/>
        <v>11700</v>
      </c>
      <c r="U177" s="20">
        <f t="shared" si="319"/>
        <v>90</v>
      </c>
      <c r="V177" s="20">
        <f t="shared" si="319"/>
        <v>800</v>
      </c>
      <c r="W177" s="20">
        <f t="shared" si="319"/>
        <v>2000</v>
      </c>
      <c r="X177" s="20">
        <f t="shared" si="319"/>
        <v>7</v>
      </c>
      <c r="Y177" s="20">
        <v>0</v>
      </c>
      <c r="Z177" s="20">
        <f t="shared" si="269"/>
        <v>0</v>
      </c>
      <c r="AA177" s="20">
        <v>0</v>
      </c>
      <c r="AB177" s="20">
        <v>0</v>
      </c>
      <c r="AC177" s="20">
        <v>0</v>
      </c>
      <c r="AD177" s="23">
        <f t="shared" ref="AD177:AE177" si="320">AD147</f>
        <v>50</v>
      </c>
      <c r="AE177" s="23">
        <f t="shared" si="320"/>
        <v>54</v>
      </c>
    </row>
    <row r="178" spans="1:31">
      <c r="A178" s="4">
        <v>2000</v>
      </c>
      <c r="B178" s="20">
        <v>27</v>
      </c>
      <c r="C178" s="19" t="s">
        <v>72</v>
      </c>
      <c r="D178" s="44">
        <v>0</v>
      </c>
      <c r="E178" s="18">
        <f t="shared" si="267"/>
        <v>567</v>
      </c>
      <c r="F178" s="18">
        <v>0</v>
      </c>
      <c r="G178" s="18">
        <v>0</v>
      </c>
      <c r="H178" s="45">
        <v>0</v>
      </c>
      <c r="I178" s="21">
        <f t="shared" si="285"/>
        <v>385</v>
      </c>
      <c r="J178" s="21">
        <f t="shared" si="264"/>
        <v>26</v>
      </c>
      <c r="K178" s="21">
        <v>0</v>
      </c>
      <c r="L178" s="20">
        <v>6</v>
      </c>
      <c r="M178" s="20">
        <v>0</v>
      </c>
      <c r="N178" s="20">
        <f t="shared" si="286"/>
        <v>13500</v>
      </c>
      <c r="O178" s="19" t="s">
        <v>72</v>
      </c>
      <c r="P178" s="20">
        <v>2332</v>
      </c>
      <c r="Q178" s="20">
        <f t="shared" ref="Q178:X178" si="321">Q148</f>
        <v>1350</v>
      </c>
      <c r="R178" s="20">
        <f t="shared" si="321"/>
        <v>5400</v>
      </c>
      <c r="S178" s="20">
        <f t="shared" si="321"/>
        <v>9450</v>
      </c>
      <c r="T178" s="20">
        <f t="shared" si="321"/>
        <v>12150</v>
      </c>
      <c r="U178" s="20">
        <f t="shared" si="321"/>
        <v>80</v>
      </c>
      <c r="V178" s="20">
        <f t="shared" si="321"/>
        <v>700</v>
      </c>
      <c r="W178" s="20">
        <f t="shared" si="321"/>
        <v>800</v>
      </c>
      <c r="X178" s="20">
        <f t="shared" si="321"/>
        <v>7</v>
      </c>
      <c r="Y178" s="20">
        <v>0</v>
      </c>
      <c r="Z178" s="20">
        <f t="shared" si="269"/>
        <v>0</v>
      </c>
      <c r="AA178" s="20">
        <v>0</v>
      </c>
      <c r="AB178" s="20">
        <v>0</v>
      </c>
      <c r="AC178" s="20">
        <v>0</v>
      </c>
      <c r="AD178" s="23">
        <f t="shared" ref="AD178:AE178" si="322">AD148</f>
        <v>52</v>
      </c>
      <c r="AE178" s="23">
        <f t="shared" si="322"/>
        <v>56</v>
      </c>
    </row>
    <row r="179" spans="1:31">
      <c r="A179" s="4">
        <v>2000</v>
      </c>
      <c r="B179" s="20">
        <v>28</v>
      </c>
      <c r="C179" s="19" t="s">
        <v>73</v>
      </c>
      <c r="D179" s="44">
        <v>0</v>
      </c>
      <c r="E179" s="18">
        <f t="shared" si="267"/>
        <v>614</v>
      </c>
      <c r="F179" s="18">
        <v>0</v>
      </c>
      <c r="G179" s="18">
        <v>0</v>
      </c>
      <c r="H179" s="45">
        <v>0</v>
      </c>
      <c r="I179" s="21">
        <f t="shared" si="285"/>
        <v>385</v>
      </c>
      <c r="J179" s="21">
        <f t="shared" si="264"/>
        <v>27</v>
      </c>
      <c r="K179" s="21">
        <v>0</v>
      </c>
      <c r="L179" s="20">
        <v>6</v>
      </c>
      <c r="M179" s="20">
        <v>0</v>
      </c>
      <c r="N179" s="20">
        <f t="shared" si="286"/>
        <v>14000</v>
      </c>
      <c r="O179" s="19" t="s">
        <v>73</v>
      </c>
      <c r="P179" s="20">
        <v>1487</v>
      </c>
      <c r="Q179" s="20">
        <f t="shared" ref="Q179:X179" si="323">Q149</f>
        <v>1400</v>
      </c>
      <c r="R179" s="20">
        <f t="shared" si="323"/>
        <v>5600</v>
      </c>
      <c r="S179" s="20">
        <f t="shared" si="323"/>
        <v>9800</v>
      </c>
      <c r="T179" s="20">
        <f t="shared" si="323"/>
        <v>12600</v>
      </c>
      <c r="U179" s="20">
        <f t="shared" si="323"/>
        <v>80</v>
      </c>
      <c r="V179" s="20">
        <f t="shared" si="323"/>
        <v>500</v>
      </c>
      <c r="W179" s="20">
        <f t="shared" si="323"/>
        <v>600</v>
      </c>
      <c r="X179" s="20">
        <f t="shared" si="323"/>
        <v>7</v>
      </c>
      <c r="Y179" s="20">
        <v>0</v>
      </c>
      <c r="Z179" s="20">
        <f t="shared" si="269"/>
        <v>216</v>
      </c>
      <c r="AA179" s="20">
        <v>0</v>
      </c>
      <c r="AB179" s="20">
        <v>0</v>
      </c>
      <c r="AC179" s="20">
        <v>0</v>
      </c>
      <c r="AD179" s="23">
        <f t="shared" ref="AD179:AE179" si="324">AD149</f>
        <v>54</v>
      </c>
      <c r="AE179" s="23">
        <f t="shared" si="324"/>
        <v>58</v>
      </c>
    </row>
    <row r="180" spans="1:31">
      <c r="A180" s="4">
        <v>2000</v>
      </c>
      <c r="B180" s="20">
        <v>29</v>
      </c>
      <c r="C180" s="19" t="s">
        <v>74</v>
      </c>
      <c r="D180" s="44">
        <v>0</v>
      </c>
      <c r="E180" s="18">
        <f t="shared" si="267"/>
        <v>665</v>
      </c>
      <c r="F180" s="18">
        <v>0</v>
      </c>
      <c r="G180" s="18">
        <v>0</v>
      </c>
      <c r="H180" s="45">
        <v>0</v>
      </c>
      <c r="I180" s="21">
        <f t="shared" si="285"/>
        <v>440</v>
      </c>
      <c r="J180" s="21">
        <f t="shared" si="264"/>
        <v>28</v>
      </c>
      <c r="K180" s="21">
        <v>0</v>
      </c>
      <c r="L180" s="20">
        <v>6</v>
      </c>
      <c r="M180" s="20">
        <v>0</v>
      </c>
      <c r="N180" s="20">
        <f t="shared" si="286"/>
        <v>14500</v>
      </c>
      <c r="O180" s="19" t="s">
        <v>74</v>
      </c>
      <c r="P180" s="20">
        <v>1518</v>
      </c>
      <c r="Q180" s="20">
        <f t="shared" ref="Q180:X180" si="325">Q150</f>
        <v>1450</v>
      </c>
      <c r="R180" s="20">
        <f t="shared" si="325"/>
        <v>5800</v>
      </c>
      <c r="S180" s="20">
        <f t="shared" si="325"/>
        <v>10150</v>
      </c>
      <c r="T180" s="20">
        <f t="shared" si="325"/>
        <v>13050</v>
      </c>
      <c r="U180" s="20">
        <f t="shared" si="325"/>
        <v>80</v>
      </c>
      <c r="V180" s="20">
        <f t="shared" si="325"/>
        <v>600</v>
      </c>
      <c r="W180" s="20">
        <f t="shared" si="325"/>
        <v>700</v>
      </c>
      <c r="X180" s="20">
        <f t="shared" si="325"/>
        <v>8</v>
      </c>
      <c r="Y180" s="20">
        <v>0</v>
      </c>
      <c r="Z180" s="20">
        <f t="shared" si="269"/>
        <v>0</v>
      </c>
      <c r="AA180" s="20">
        <v>0</v>
      </c>
      <c r="AB180" s="20">
        <v>0</v>
      </c>
      <c r="AC180" s="20">
        <v>0</v>
      </c>
      <c r="AD180" s="23">
        <f t="shared" ref="AD180:AE180" si="326">AD150</f>
        <v>56</v>
      </c>
      <c r="AE180" s="23">
        <f t="shared" si="326"/>
        <v>60</v>
      </c>
    </row>
    <row r="181" spans="1:31">
      <c r="A181" s="4">
        <v>2000</v>
      </c>
      <c r="B181" s="20">
        <v>30</v>
      </c>
      <c r="C181" s="19" t="s">
        <v>75</v>
      </c>
      <c r="D181" s="44">
        <v>0</v>
      </c>
      <c r="E181" s="18">
        <f t="shared" si="267"/>
        <v>720</v>
      </c>
      <c r="F181" s="18">
        <v>0</v>
      </c>
      <c r="G181" s="18">
        <v>0</v>
      </c>
      <c r="H181" s="45">
        <v>0</v>
      </c>
      <c r="I181" s="21">
        <f t="shared" si="285"/>
        <v>440</v>
      </c>
      <c r="J181" s="21">
        <f t="shared" si="264"/>
        <v>29</v>
      </c>
      <c r="K181" s="21">
        <v>0</v>
      </c>
      <c r="L181" s="20">
        <v>6</v>
      </c>
      <c r="M181" s="20">
        <v>0</v>
      </c>
      <c r="N181" s="20">
        <f t="shared" si="286"/>
        <v>15000</v>
      </c>
      <c r="O181" s="19" t="s">
        <v>75</v>
      </c>
      <c r="P181" s="20">
        <v>861</v>
      </c>
      <c r="Q181" s="20">
        <f t="shared" ref="Q181:X181" si="327">Q151</f>
        <v>1500</v>
      </c>
      <c r="R181" s="20">
        <f t="shared" si="327"/>
        <v>6000</v>
      </c>
      <c r="S181" s="20">
        <f t="shared" si="327"/>
        <v>10500</v>
      </c>
      <c r="T181" s="20">
        <f t="shared" si="327"/>
        <v>13500</v>
      </c>
      <c r="U181" s="20">
        <f t="shared" si="327"/>
        <v>20</v>
      </c>
      <c r="V181" s="20">
        <f t="shared" si="327"/>
        <v>450</v>
      </c>
      <c r="W181" s="20">
        <f t="shared" si="327"/>
        <v>1000</v>
      </c>
      <c r="X181" s="20">
        <f t="shared" si="327"/>
        <v>8</v>
      </c>
      <c r="Y181" s="20">
        <v>0</v>
      </c>
      <c r="Z181" s="20">
        <f t="shared" si="269"/>
        <v>0</v>
      </c>
      <c r="AA181" s="20">
        <v>0</v>
      </c>
      <c r="AB181" s="20">
        <v>0</v>
      </c>
      <c r="AC181" s="20">
        <v>0</v>
      </c>
      <c r="AD181" s="23">
        <f t="shared" ref="AD181:AE181" si="328">AD151</f>
        <v>58</v>
      </c>
      <c r="AE181" s="23">
        <f t="shared" si="328"/>
        <v>62</v>
      </c>
    </row>
    <row r="182" spans="1:31" s="27" customFormat="1">
      <c r="A182" s="27">
        <v>2001</v>
      </c>
      <c r="B182" s="28">
        <v>1</v>
      </c>
      <c r="C182" s="29" t="s">
        <v>66</v>
      </c>
      <c r="D182" s="46">
        <v>0</v>
      </c>
      <c r="E182" s="18">
        <f>D32</f>
        <v>144</v>
      </c>
      <c r="F182" s="28">
        <v>0</v>
      </c>
      <c r="G182" s="28">
        <v>0</v>
      </c>
      <c r="H182" s="47">
        <v>0</v>
      </c>
      <c r="I182" s="21">
        <f t="shared" si="285"/>
        <v>55</v>
      </c>
      <c r="J182" s="21">
        <f t="shared" si="264"/>
        <v>0</v>
      </c>
      <c r="K182" s="21">
        <v>0</v>
      </c>
      <c r="L182" s="20">
        <v>45</v>
      </c>
      <c r="M182" s="20">
        <v>0</v>
      </c>
      <c r="N182" s="20">
        <f t="shared" si="286"/>
        <v>10</v>
      </c>
      <c r="O182" s="19" t="s">
        <v>66</v>
      </c>
      <c r="P182" s="20">
        <v>9400</v>
      </c>
      <c r="Q182" s="20">
        <f t="shared" ref="Q182:X182" si="329">Q152</f>
        <v>1</v>
      </c>
      <c r="R182" s="20">
        <f t="shared" si="329"/>
        <v>4</v>
      </c>
      <c r="S182" s="20">
        <f t="shared" si="329"/>
        <v>7</v>
      </c>
      <c r="T182" s="20">
        <f t="shared" si="329"/>
        <v>9</v>
      </c>
      <c r="U182" s="20">
        <f t="shared" si="329"/>
        <v>9400</v>
      </c>
      <c r="V182" s="20">
        <f t="shared" si="329"/>
        <v>9400</v>
      </c>
      <c r="W182" s="20">
        <f t="shared" si="329"/>
        <v>9400</v>
      </c>
      <c r="X182" s="20">
        <f t="shared" si="329"/>
        <v>1</v>
      </c>
      <c r="Y182" s="27">
        <v>0</v>
      </c>
      <c r="Z182" s="20">
        <f t="shared" si="269"/>
        <v>0</v>
      </c>
      <c r="AA182" s="27">
        <v>0</v>
      </c>
      <c r="AB182" s="27">
        <v>0</v>
      </c>
      <c r="AC182" s="27">
        <v>0</v>
      </c>
      <c r="AD182" s="23">
        <f t="shared" ref="AD182:AE182" si="330">AD152</f>
        <v>1</v>
      </c>
      <c r="AE182" s="23">
        <f t="shared" si="330"/>
        <v>3</v>
      </c>
    </row>
    <row r="183" spans="1:31" s="27" customFormat="1">
      <c r="A183" s="27">
        <v>2001</v>
      </c>
      <c r="B183" s="27">
        <v>2</v>
      </c>
      <c r="C183" s="29" t="s">
        <v>67</v>
      </c>
      <c r="D183" s="46">
        <v>0</v>
      </c>
      <c r="E183" s="18">
        <f t="shared" si="267"/>
        <v>156</v>
      </c>
      <c r="F183" s="28">
        <v>0</v>
      </c>
      <c r="G183" s="28">
        <v>0</v>
      </c>
      <c r="H183" s="47">
        <v>0</v>
      </c>
      <c r="I183" s="21">
        <f t="shared" si="285"/>
        <v>55</v>
      </c>
      <c r="J183" s="21">
        <f t="shared" si="264"/>
        <v>1</v>
      </c>
      <c r="K183" s="21">
        <v>0</v>
      </c>
      <c r="L183" s="20">
        <v>40</v>
      </c>
      <c r="M183" s="20">
        <v>0</v>
      </c>
      <c r="N183" s="20">
        <f t="shared" si="286"/>
        <v>20</v>
      </c>
      <c r="O183" s="19" t="s">
        <v>67</v>
      </c>
      <c r="P183" s="20">
        <v>9100</v>
      </c>
      <c r="Q183" s="20">
        <f t="shared" ref="Q183:X183" si="331">Q153</f>
        <v>2</v>
      </c>
      <c r="R183" s="20">
        <f t="shared" si="331"/>
        <v>8</v>
      </c>
      <c r="S183" s="20">
        <f t="shared" si="331"/>
        <v>14</v>
      </c>
      <c r="T183" s="20">
        <f t="shared" si="331"/>
        <v>18</v>
      </c>
      <c r="U183" s="20">
        <f t="shared" si="331"/>
        <v>4000</v>
      </c>
      <c r="V183" s="20">
        <f t="shared" si="331"/>
        <v>8000</v>
      </c>
      <c r="W183" s="20">
        <f t="shared" si="331"/>
        <v>8000</v>
      </c>
      <c r="X183" s="20">
        <f t="shared" si="331"/>
        <v>1</v>
      </c>
      <c r="Y183" s="27">
        <v>0</v>
      </c>
      <c r="Z183" s="20">
        <f t="shared" si="269"/>
        <v>0</v>
      </c>
      <c r="AA183" s="27">
        <v>0</v>
      </c>
      <c r="AB183" s="27">
        <v>0</v>
      </c>
      <c r="AC183" s="27">
        <v>0</v>
      </c>
      <c r="AD183" s="23">
        <f t="shared" ref="AD183:AE183" si="332">AD153</f>
        <v>2</v>
      </c>
      <c r="AE183" s="23">
        <f t="shared" si="332"/>
        <v>5</v>
      </c>
    </row>
    <row r="184" spans="1:31" s="27" customFormat="1">
      <c r="A184" s="28">
        <v>2001</v>
      </c>
      <c r="B184" s="27">
        <v>3</v>
      </c>
      <c r="C184" s="29" t="s">
        <v>68</v>
      </c>
      <c r="D184" s="46">
        <v>0</v>
      </c>
      <c r="E184" s="18">
        <f t="shared" si="267"/>
        <v>168</v>
      </c>
      <c r="F184" s="28">
        <v>0</v>
      </c>
      <c r="G184" s="28">
        <v>0</v>
      </c>
      <c r="H184" s="47">
        <v>0</v>
      </c>
      <c r="I184" s="21">
        <f t="shared" si="285"/>
        <v>55</v>
      </c>
      <c r="J184" s="21">
        <f t="shared" si="264"/>
        <v>2</v>
      </c>
      <c r="K184" s="21">
        <v>0</v>
      </c>
      <c r="L184" s="20">
        <v>35</v>
      </c>
      <c r="M184" s="20">
        <v>0</v>
      </c>
      <c r="N184" s="20">
        <f t="shared" si="286"/>
        <v>40</v>
      </c>
      <c r="O184" s="19" t="s">
        <v>68</v>
      </c>
      <c r="P184" s="20">
        <v>8600</v>
      </c>
      <c r="Q184" s="20">
        <f t="shared" ref="Q184:X184" si="333">Q154</f>
        <v>4</v>
      </c>
      <c r="R184" s="20">
        <f t="shared" si="333"/>
        <v>16</v>
      </c>
      <c r="S184" s="20">
        <f t="shared" si="333"/>
        <v>28</v>
      </c>
      <c r="T184" s="20">
        <f t="shared" si="333"/>
        <v>36</v>
      </c>
      <c r="U184" s="20">
        <f t="shared" si="333"/>
        <v>1600</v>
      </c>
      <c r="V184" s="20">
        <f t="shared" si="333"/>
        <v>5000</v>
      </c>
      <c r="W184" s="20">
        <f t="shared" si="333"/>
        <v>6000</v>
      </c>
      <c r="X184" s="20">
        <f t="shared" si="333"/>
        <v>1</v>
      </c>
      <c r="Y184" s="27">
        <v>0</v>
      </c>
      <c r="Z184" s="20">
        <f t="shared" si="269"/>
        <v>0</v>
      </c>
      <c r="AA184" s="27">
        <v>0</v>
      </c>
      <c r="AB184" s="27">
        <v>0</v>
      </c>
      <c r="AC184" s="27">
        <v>0</v>
      </c>
      <c r="AD184" s="23">
        <f t="shared" ref="AD184:AE184" si="334">AD154</f>
        <v>4</v>
      </c>
      <c r="AE184" s="23">
        <f t="shared" si="334"/>
        <v>8</v>
      </c>
    </row>
    <row r="185" spans="1:31" s="27" customFormat="1">
      <c r="A185" s="27">
        <v>2001</v>
      </c>
      <c r="B185" s="27">
        <v>4</v>
      </c>
      <c r="C185" s="29" t="s">
        <v>69</v>
      </c>
      <c r="D185" s="46">
        <v>0</v>
      </c>
      <c r="E185" s="18">
        <f t="shared" si="267"/>
        <v>182</v>
      </c>
      <c r="F185" s="28">
        <v>0</v>
      </c>
      <c r="G185" s="28">
        <v>0</v>
      </c>
      <c r="H185" s="47">
        <v>0</v>
      </c>
      <c r="I185" s="21">
        <f t="shared" si="285"/>
        <v>55</v>
      </c>
      <c r="J185" s="21">
        <f t="shared" si="264"/>
        <v>3</v>
      </c>
      <c r="K185" s="21">
        <v>0</v>
      </c>
      <c r="L185" s="20">
        <v>30</v>
      </c>
      <c r="M185" s="20">
        <v>0</v>
      </c>
      <c r="N185" s="20">
        <f t="shared" si="286"/>
        <v>100</v>
      </c>
      <c r="O185" s="19" t="s">
        <v>69</v>
      </c>
      <c r="P185" s="20">
        <v>6400</v>
      </c>
      <c r="Q185" s="20">
        <f t="shared" ref="Q185:X185" si="335">Q155</f>
        <v>10</v>
      </c>
      <c r="R185" s="20">
        <f t="shared" si="335"/>
        <v>40</v>
      </c>
      <c r="S185" s="20">
        <f t="shared" si="335"/>
        <v>70</v>
      </c>
      <c r="T185" s="20">
        <f t="shared" si="335"/>
        <v>90</v>
      </c>
      <c r="U185" s="20">
        <f t="shared" si="335"/>
        <v>900</v>
      </c>
      <c r="V185" s="20">
        <f t="shared" si="335"/>
        <v>2000</v>
      </c>
      <c r="W185" s="20">
        <f t="shared" si="335"/>
        <v>8000</v>
      </c>
      <c r="X185" s="20">
        <f t="shared" si="335"/>
        <v>1</v>
      </c>
      <c r="Y185" s="27">
        <v>0</v>
      </c>
      <c r="Z185" s="20">
        <f t="shared" si="269"/>
        <v>0</v>
      </c>
      <c r="AA185" s="27">
        <v>0</v>
      </c>
      <c r="AB185" s="27">
        <v>0</v>
      </c>
      <c r="AC185" s="27">
        <v>0</v>
      </c>
      <c r="AD185" s="23">
        <f t="shared" ref="AD185:AE185" si="336">AD155</f>
        <v>6</v>
      </c>
      <c r="AE185" s="23">
        <f t="shared" si="336"/>
        <v>10</v>
      </c>
    </row>
    <row r="186" spans="1:31" s="27" customFormat="1">
      <c r="A186" s="27">
        <v>2001</v>
      </c>
      <c r="B186" s="27">
        <v>5</v>
      </c>
      <c r="C186" s="29" t="s">
        <v>70</v>
      </c>
      <c r="D186" s="46">
        <v>0</v>
      </c>
      <c r="E186" s="18">
        <f t="shared" si="267"/>
        <v>198</v>
      </c>
      <c r="F186" s="28">
        <v>0</v>
      </c>
      <c r="G186" s="28">
        <v>0</v>
      </c>
      <c r="H186" s="47">
        <v>0</v>
      </c>
      <c r="I186" s="21">
        <f t="shared" si="285"/>
        <v>110</v>
      </c>
      <c r="J186" s="21">
        <f t="shared" si="264"/>
        <v>4</v>
      </c>
      <c r="K186" s="21">
        <v>0</v>
      </c>
      <c r="L186" s="20">
        <v>25</v>
      </c>
      <c r="M186" s="20">
        <v>0</v>
      </c>
      <c r="N186" s="20">
        <f t="shared" si="286"/>
        <v>200</v>
      </c>
      <c r="O186" s="19" t="s">
        <v>70</v>
      </c>
      <c r="P186" s="20">
        <v>3100</v>
      </c>
      <c r="Q186" s="20">
        <f t="shared" ref="Q186:X186" si="337">Q156</f>
        <v>20</v>
      </c>
      <c r="R186" s="20">
        <f t="shared" si="337"/>
        <v>80</v>
      </c>
      <c r="S186" s="20">
        <f t="shared" si="337"/>
        <v>140</v>
      </c>
      <c r="T186" s="20">
        <f t="shared" si="337"/>
        <v>180</v>
      </c>
      <c r="U186" s="20">
        <f t="shared" si="337"/>
        <v>1000</v>
      </c>
      <c r="V186" s="20">
        <f t="shared" si="337"/>
        <v>2000</v>
      </c>
      <c r="W186" s="20">
        <f t="shared" si="337"/>
        <v>2000</v>
      </c>
      <c r="X186" s="20">
        <f t="shared" si="337"/>
        <v>2</v>
      </c>
      <c r="Y186" s="27">
        <v>0</v>
      </c>
      <c r="Z186" s="20">
        <f t="shared" si="269"/>
        <v>0</v>
      </c>
      <c r="AA186" s="27">
        <v>0</v>
      </c>
      <c r="AB186" s="27">
        <v>0</v>
      </c>
      <c r="AC186" s="27">
        <v>0</v>
      </c>
      <c r="AD186" s="23">
        <f t="shared" ref="AD186:AE186" si="338">AD156</f>
        <v>8</v>
      </c>
      <c r="AE186" s="23">
        <f t="shared" si="338"/>
        <v>12</v>
      </c>
    </row>
    <row r="187" spans="1:31" s="27" customFormat="1">
      <c r="A187" s="27">
        <v>2001</v>
      </c>
      <c r="B187" s="27">
        <v>6</v>
      </c>
      <c r="C187" s="29" t="s">
        <v>71</v>
      </c>
      <c r="D187" s="46">
        <v>0</v>
      </c>
      <c r="E187" s="18">
        <f t="shared" si="267"/>
        <v>214</v>
      </c>
      <c r="F187" s="28">
        <v>0</v>
      </c>
      <c r="G187" s="28">
        <v>0</v>
      </c>
      <c r="H187" s="47">
        <v>0</v>
      </c>
      <c r="I187" s="21">
        <f t="shared" si="285"/>
        <v>110</v>
      </c>
      <c r="J187" s="21">
        <f t="shared" si="264"/>
        <v>5</v>
      </c>
      <c r="K187" s="21">
        <v>0</v>
      </c>
      <c r="L187" s="20">
        <v>20</v>
      </c>
      <c r="M187" s="20">
        <v>0</v>
      </c>
      <c r="N187" s="20">
        <f t="shared" si="286"/>
        <v>500</v>
      </c>
      <c r="O187" s="19" t="s">
        <v>71</v>
      </c>
      <c r="P187" s="20">
        <v>1777</v>
      </c>
      <c r="Q187" s="20">
        <f t="shared" ref="Q187:X187" si="339">Q157</f>
        <v>50</v>
      </c>
      <c r="R187" s="20">
        <f t="shared" si="339"/>
        <v>200</v>
      </c>
      <c r="S187" s="20">
        <f t="shared" si="339"/>
        <v>350</v>
      </c>
      <c r="T187" s="20">
        <f t="shared" si="339"/>
        <v>450</v>
      </c>
      <c r="U187" s="20">
        <f t="shared" si="339"/>
        <v>800</v>
      </c>
      <c r="V187" s="20">
        <f t="shared" si="339"/>
        <v>800</v>
      </c>
      <c r="W187" s="20">
        <f t="shared" si="339"/>
        <v>600</v>
      </c>
      <c r="X187" s="20">
        <f t="shared" si="339"/>
        <v>2</v>
      </c>
      <c r="Y187" s="27">
        <v>0</v>
      </c>
      <c r="Z187" s="20">
        <f t="shared" si="269"/>
        <v>0</v>
      </c>
      <c r="AA187" s="27">
        <v>0</v>
      </c>
      <c r="AB187" s="27">
        <v>0</v>
      </c>
      <c r="AC187" s="27">
        <v>0</v>
      </c>
      <c r="AD187" s="23">
        <f t="shared" ref="AD187:AE187" si="340">AD157</f>
        <v>10</v>
      </c>
      <c r="AE187" s="23">
        <f t="shared" si="340"/>
        <v>14</v>
      </c>
    </row>
    <row r="188" spans="1:31" s="27" customFormat="1">
      <c r="A188" s="27">
        <v>2001</v>
      </c>
      <c r="B188" s="27">
        <v>7</v>
      </c>
      <c r="C188" s="29" t="s">
        <v>72</v>
      </c>
      <c r="D188" s="46">
        <v>0</v>
      </c>
      <c r="E188" s="18">
        <f t="shared" si="267"/>
        <v>232</v>
      </c>
      <c r="F188" s="28">
        <v>0</v>
      </c>
      <c r="G188" s="28">
        <v>0</v>
      </c>
      <c r="H188" s="47">
        <v>0</v>
      </c>
      <c r="I188" s="21">
        <f t="shared" si="285"/>
        <v>110</v>
      </c>
      <c r="J188" s="21">
        <f t="shared" si="264"/>
        <v>6</v>
      </c>
      <c r="K188" s="21">
        <v>0</v>
      </c>
      <c r="L188" s="20">
        <v>16</v>
      </c>
      <c r="M188" s="20">
        <v>0</v>
      </c>
      <c r="N188" s="20">
        <f t="shared" si="286"/>
        <v>700</v>
      </c>
      <c r="O188" s="19" t="s">
        <v>72</v>
      </c>
      <c r="P188" s="20">
        <v>2332</v>
      </c>
      <c r="Q188" s="20">
        <f t="shared" ref="Q188:X188" si="341">Q158</f>
        <v>70</v>
      </c>
      <c r="R188" s="20">
        <f t="shared" si="341"/>
        <v>280</v>
      </c>
      <c r="S188" s="20">
        <f t="shared" si="341"/>
        <v>489.99999999999994</v>
      </c>
      <c r="T188" s="20">
        <f t="shared" si="341"/>
        <v>630</v>
      </c>
      <c r="U188" s="20">
        <f t="shared" si="341"/>
        <v>650</v>
      </c>
      <c r="V188" s="20">
        <f t="shared" si="341"/>
        <v>800</v>
      </c>
      <c r="W188" s="20">
        <f t="shared" si="341"/>
        <v>300</v>
      </c>
      <c r="X188" s="20">
        <f t="shared" si="341"/>
        <v>2</v>
      </c>
      <c r="Y188" s="27">
        <v>0</v>
      </c>
      <c r="Z188" s="20">
        <f t="shared" si="269"/>
        <v>0</v>
      </c>
      <c r="AA188" s="27">
        <v>0</v>
      </c>
      <c r="AB188" s="27">
        <v>0</v>
      </c>
      <c r="AC188" s="27">
        <v>0</v>
      </c>
      <c r="AD188" s="23">
        <f t="shared" ref="AD188:AE188" si="342">AD158</f>
        <v>12</v>
      </c>
      <c r="AE188" s="23">
        <f t="shared" si="342"/>
        <v>16</v>
      </c>
    </row>
    <row r="189" spans="1:31" s="27" customFormat="1">
      <c r="A189" s="27">
        <v>2001</v>
      </c>
      <c r="B189" s="27">
        <v>8</v>
      </c>
      <c r="C189" s="29" t="s">
        <v>73</v>
      </c>
      <c r="D189" s="46">
        <v>0</v>
      </c>
      <c r="E189" s="18">
        <f t="shared" si="267"/>
        <v>252</v>
      </c>
      <c r="F189" s="28">
        <v>0</v>
      </c>
      <c r="G189" s="28">
        <v>0</v>
      </c>
      <c r="H189" s="47">
        <v>0</v>
      </c>
      <c r="I189" s="21">
        <f t="shared" si="285"/>
        <v>110</v>
      </c>
      <c r="J189" s="21">
        <f t="shared" si="264"/>
        <v>7</v>
      </c>
      <c r="K189" s="21">
        <v>0</v>
      </c>
      <c r="L189" s="20">
        <v>12</v>
      </c>
      <c r="M189" s="20">
        <v>0</v>
      </c>
      <c r="N189" s="20">
        <f t="shared" si="286"/>
        <v>800</v>
      </c>
      <c r="O189" s="19" t="s">
        <v>73</v>
      </c>
      <c r="P189" s="20">
        <v>1487</v>
      </c>
      <c r="Q189" s="20">
        <f t="shared" ref="Q189:X189" si="343">Q159</f>
        <v>80</v>
      </c>
      <c r="R189" s="20">
        <f t="shared" si="343"/>
        <v>320</v>
      </c>
      <c r="S189" s="20">
        <f t="shared" si="343"/>
        <v>560</v>
      </c>
      <c r="T189" s="20">
        <f t="shared" si="343"/>
        <v>720</v>
      </c>
      <c r="U189" s="20">
        <f t="shared" si="343"/>
        <v>200</v>
      </c>
      <c r="V189" s="20">
        <f t="shared" si="343"/>
        <v>2000</v>
      </c>
      <c r="W189" s="20">
        <f t="shared" si="343"/>
        <v>1000</v>
      </c>
      <c r="X189" s="20">
        <f t="shared" si="343"/>
        <v>2</v>
      </c>
      <c r="Y189" s="27">
        <v>0</v>
      </c>
      <c r="Z189" s="20">
        <f t="shared" si="269"/>
        <v>50</v>
      </c>
      <c r="AA189" s="27">
        <v>0</v>
      </c>
      <c r="AB189" s="27">
        <v>0</v>
      </c>
      <c r="AC189" s="27">
        <v>0</v>
      </c>
      <c r="AD189" s="23">
        <f t="shared" ref="AD189:AE189" si="344">AD159</f>
        <v>14</v>
      </c>
      <c r="AE189" s="23">
        <f t="shared" si="344"/>
        <v>18</v>
      </c>
    </row>
    <row r="190" spans="1:31" s="27" customFormat="1">
      <c r="A190" s="27">
        <v>2001</v>
      </c>
      <c r="B190" s="27">
        <v>9</v>
      </c>
      <c r="C190" s="29" t="s">
        <v>74</v>
      </c>
      <c r="D190" s="46">
        <v>0</v>
      </c>
      <c r="E190" s="18">
        <f t="shared" si="267"/>
        <v>272</v>
      </c>
      <c r="F190" s="28">
        <v>0</v>
      </c>
      <c r="G190" s="28">
        <v>0</v>
      </c>
      <c r="H190" s="47">
        <v>0</v>
      </c>
      <c r="I190" s="21">
        <f t="shared" si="285"/>
        <v>165</v>
      </c>
      <c r="J190" s="21">
        <f t="shared" si="264"/>
        <v>8</v>
      </c>
      <c r="K190" s="21">
        <v>0</v>
      </c>
      <c r="L190" s="20">
        <v>8</v>
      </c>
      <c r="M190" s="20">
        <v>0</v>
      </c>
      <c r="N190" s="20">
        <f t="shared" si="286"/>
        <v>900</v>
      </c>
      <c r="O190" s="19" t="s">
        <v>74</v>
      </c>
      <c r="P190" s="20">
        <v>1518</v>
      </c>
      <c r="Q190" s="20">
        <f t="shared" ref="Q190:X190" si="345">Q160</f>
        <v>90</v>
      </c>
      <c r="R190" s="20">
        <f t="shared" si="345"/>
        <v>360</v>
      </c>
      <c r="S190" s="20">
        <f t="shared" si="345"/>
        <v>630</v>
      </c>
      <c r="T190" s="20">
        <f t="shared" si="345"/>
        <v>810</v>
      </c>
      <c r="U190" s="20">
        <f t="shared" si="345"/>
        <v>120</v>
      </c>
      <c r="V190" s="20">
        <f t="shared" si="345"/>
        <v>1500</v>
      </c>
      <c r="W190" s="20">
        <f t="shared" si="345"/>
        <v>1000</v>
      </c>
      <c r="X190" s="20">
        <f t="shared" si="345"/>
        <v>3</v>
      </c>
      <c r="Y190" s="27">
        <v>0</v>
      </c>
      <c r="Z190" s="20">
        <f t="shared" si="269"/>
        <v>0</v>
      </c>
      <c r="AA190" s="27">
        <v>0</v>
      </c>
      <c r="AB190" s="27">
        <v>0</v>
      </c>
      <c r="AC190" s="27">
        <v>0</v>
      </c>
      <c r="AD190" s="23">
        <f t="shared" ref="AD190:AE190" si="346">AD160</f>
        <v>16</v>
      </c>
      <c r="AE190" s="23">
        <f t="shared" si="346"/>
        <v>20</v>
      </c>
    </row>
    <row r="191" spans="1:31" s="27" customFormat="1">
      <c r="A191" s="27">
        <v>2001</v>
      </c>
      <c r="B191" s="27">
        <v>10</v>
      </c>
      <c r="C191" s="29" t="s">
        <v>75</v>
      </c>
      <c r="D191" s="46">
        <v>0</v>
      </c>
      <c r="E191" s="18">
        <f t="shared" si="267"/>
        <v>294</v>
      </c>
      <c r="F191" s="28">
        <v>0</v>
      </c>
      <c r="G191" s="28">
        <v>0</v>
      </c>
      <c r="H191" s="47">
        <v>0</v>
      </c>
      <c r="I191" s="21">
        <f t="shared" si="285"/>
        <v>165</v>
      </c>
      <c r="J191" s="21">
        <f t="shared" si="264"/>
        <v>9</v>
      </c>
      <c r="K191" s="21">
        <v>0</v>
      </c>
      <c r="L191" s="20">
        <v>6</v>
      </c>
      <c r="M191" s="20">
        <v>0</v>
      </c>
      <c r="N191" s="20">
        <f t="shared" si="286"/>
        <v>2000</v>
      </c>
      <c r="O191" s="19" t="s">
        <v>75</v>
      </c>
      <c r="P191" s="20">
        <v>861</v>
      </c>
      <c r="Q191" s="20">
        <f t="shared" ref="Q191:X191" si="347">Q161</f>
        <v>200</v>
      </c>
      <c r="R191" s="20">
        <f t="shared" si="347"/>
        <v>800</v>
      </c>
      <c r="S191" s="20">
        <f t="shared" si="347"/>
        <v>1400</v>
      </c>
      <c r="T191" s="20">
        <f t="shared" si="347"/>
        <v>1800</v>
      </c>
      <c r="U191" s="20">
        <f t="shared" si="347"/>
        <v>150</v>
      </c>
      <c r="V191" s="20">
        <f t="shared" si="347"/>
        <v>5000</v>
      </c>
      <c r="W191" s="20">
        <f t="shared" si="347"/>
        <v>800</v>
      </c>
      <c r="X191" s="20">
        <f t="shared" si="347"/>
        <v>3</v>
      </c>
      <c r="Y191" s="27">
        <v>0</v>
      </c>
      <c r="Z191" s="20">
        <f t="shared" si="269"/>
        <v>0</v>
      </c>
      <c r="AA191" s="27">
        <v>0</v>
      </c>
      <c r="AB191" s="27">
        <v>0</v>
      </c>
      <c r="AC191" s="27">
        <v>0</v>
      </c>
      <c r="AD191" s="23">
        <f t="shared" ref="AD191:AE191" si="348">AD161</f>
        <v>18</v>
      </c>
      <c r="AE191" s="23">
        <f t="shared" si="348"/>
        <v>22</v>
      </c>
    </row>
    <row r="192" spans="1:31" s="27" customFormat="1">
      <c r="A192" s="27">
        <v>2001</v>
      </c>
      <c r="B192" s="27">
        <v>11</v>
      </c>
      <c r="C192" s="29" t="s">
        <v>66</v>
      </c>
      <c r="D192" s="46">
        <v>0</v>
      </c>
      <c r="E192" s="18">
        <f t="shared" si="267"/>
        <v>318</v>
      </c>
      <c r="F192" s="28">
        <v>0</v>
      </c>
      <c r="G192" s="28">
        <v>0</v>
      </c>
      <c r="H192" s="47">
        <v>0</v>
      </c>
      <c r="I192" s="21">
        <f t="shared" si="285"/>
        <v>165</v>
      </c>
      <c r="J192" s="21">
        <f t="shared" si="264"/>
        <v>10</v>
      </c>
      <c r="K192" s="21">
        <v>0</v>
      </c>
      <c r="L192" s="20">
        <v>6</v>
      </c>
      <c r="M192" s="20">
        <v>0</v>
      </c>
      <c r="N192" s="20">
        <f t="shared" si="286"/>
        <v>2200</v>
      </c>
      <c r="O192" s="19" t="s">
        <v>66</v>
      </c>
      <c r="P192" s="20">
        <v>9400</v>
      </c>
      <c r="Q192" s="20">
        <f t="shared" ref="Q192:X192" si="349">Q162</f>
        <v>220</v>
      </c>
      <c r="R192" s="20">
        <f t="shared" si="349"/>
        <v>880</v>
      </c>
      <c r="S192" s="20">
        <f t="shared" si="349"/>
        <v>1540</v>
      </c>
      <c r="T192" s="20">
        <f t="shared" si="349"/>
        <v>1980</v>
      </c>
      <c r="U192" s="20">
        <f t="shared" si="349"/>
        <v>100</v>
      </c>
      <c r="V192" s="20">
        <f t="shared" si="349"/>
        <v>800</v>
      </c>
      <c r="W192" s="20">
        <f t="shared" si="349"/>
        <v>600</v>
      </c>
      <c r="X192" s="20">
        <f t="shared" si="349"/>
        <v>3</v>
      </c>
      <c r="Y192" s="27">
        <v>0</v>
      </c>
      <c r="Z192" s="20">
        <f t="shared" si="269"/>
        <v>0</v>
      </c>
      <c r="AA192" s="27">
        <v>0</v>
      </c>
      <c r="AB192" s="27">
        <v>0</v>
      </c>
      <c r="AC192" s="27">
        <v>0</v>
      </c>
      <c r="AD192" s="23">
        <f t="shared" ref="AD192:AE192" si="350">AD162</f>
        <v>20</v>
      </c>
      <c r="AE192" s="23">
        <f t="shared" si="350"/>
        <v>24</v>
      </c>
    </row>
    <row r="193" spans="1:31" s="27" customFormat="1">
      <c r="A193" s="27">
        <v>2001</v>
      </c>
      <c r="B193" s="27">
        <v>12</v>
      </c>
      <c r="C193" s="29" t="s">
        <v>67</v>
      </c>
      <c r="D193" s="46">
        <v>0</v>
      </c>
      <c r="E193" s="18">
        <f t="shared" si="267"/>
        <v>344</v>
      </c>
      <c r="F193" s="28">
        <v>0</v>
      </c>
      <c r="G193" s="28">
        <v>0</v>
      </c>
      <c r="H193" s="47">
        <v>0</v>
      </c>
      <c r="I193" s="21">
        <f t="shared" si="285"/>
        <v>165</v>
      </c>
      <c r="J193" s="21">
        <f t="shared" si="264"/>
        <v>11</v>
      </c>
      <c r="K193" s="21">
        <v>0</v>
      </c>
      <c r="L193" s="20">
        <v>6</v>
      </c>
      <c r="M193" s="20">
        <v>0</v>
      </c>
      <c r="N193" s="20">
        <f t="shared" si="286"/>
        <v>2400</v>
      </c>
      <c r="O193" s="19" t="s">
        <v>67</v>
      </c>
      <c r="P193" s="20">
        <v>9100</v>
      </c>
      <c r="Q193" s="20">
        <f t="shared" ref="Q193:X193" si="351">Q163</f>
        <v>240</v>
      </c>
      <c r="R193" s="20">
        <f t="shared" si="351"/>
        <v>960</v>
      </c>
      <c r="S193" s="20">
        <f t="shared" si="351"/>
        <v>1680</v>
      </c>
      <c r="T193" s="20">
        <f t="shared" si="351"/>
        <v>2160</v>
      </c>
      <c r="U193" s="20">
        <f t="shared" si="351"/>
        <v>150</v>
      </c>
      <c r="V193" s="20">
        <f t="shared" si="351"/>
        <v>700</v>
      </c>
      <c r="W193" s="20">
        <f t="shared" si="351"/>
        <v>900</v>
      </c>
      <c r="X193" s="20">
        <f t="shared" si="351"/>
        <v>3</v>
      </c>
      <c r="Y193" s="27">
        <v>0</v>
      </c>
      <c r="Z193" s="20">
        <f t="shared" si="269"/>
        <v>0</v>
      </c>
      <c r="AA193" s="27">
        <v>0</v>
      </c>
      <c r="AB193" s="27">
        <v>0</v>
      </c>
      <c r="AC193" s="27">
        <v>0</v>
      </c>
      <c r="AD193" s="23">
        <f t="shared" ref="AD193:AE193" si="352">AD163</f>
        <v>22</v>
      </c>
      <c r="AE193" s="23">
        <f t="shared" si="352"/>
        <v>26</v>
      </c>
    </row>
    <row r="194" spans="1:31" s="27" customFormat="1">
      <c r="A194" s="27">
        <v>2001</v>
      </c>
      <c r="B194" s="27">
        <v>13</v>
      </c>
      <c r="C194" s="29" t="s">
        <v>68</v>
      </c>
      <c r="D194" s="46">
        <v>0</v>
      </c>
      <c r="E194" s="18">
        <f t="shared" si="267"/>
        <v>374</v>
      </c>
      <c r="F194" s="28">
        <v>0</v>
      </c>
      <c r="G194" s="28">
        <v>0</v>
      </c>
      <c r="H194" s="47">
        <v>0</v>
      </c>
      <c r="I194" s="21">
        <f t="shared" si="285"/>
        <v>220</v>
      </c>
      <c r="J194" s="21">
        <f t="shared" si="264"/>
        <v>12</v>
      </c>
      <c r="K194" s="21">
        <v>0</v>
      </c>
      <c r="L194" s="20">
        <v>6</v>
      </c>
      <c r="M194" s="20">
        <v>0</v>
      </c>
      <c r="N194" s="20">
        <f t="shared" si="286"/>
        <v>2600</v>
      </c>
      <c r="O194" s="19" t="s">
        <v>68</v>
      </c>
      <c r="P194" s="20">
        <v>8600</v>
      </c>
      <c r="Q194" s="20">
        <f t="shared" ref="Q194:X194" si="353">Q164</f>
        <v>260</v>
      </c>
      <c r="R194" s="20">
        <f t="shared" si="353"/>
        <v>1040</v>
      </c>
      <c r="S194" s="20">
        <f t="shared" si="353"/>
        <v>1819.9999999999998</v>
      </c>
      <c r="T194" s="20">
        <f t="shared" si="353"/>
        <v>2340</v>
      </c>
      <c r="U194" s="20">
        <f t="shared" si="353"/>
        <v>100</v>
      </c>
      <c r="V194" s="20">
        <f t="shared" si="353"/>
        <v>700</v>
      </c>
      <c r="W194" s="20">
        <f t="shared" si="353"/>
        <v>1000</v>
      </c>
      <c r="X194" s="20">
        <f t="shared" si="353"/>
        <v>4</v>
      </c>
      <c r="Y194" s="27">
        <v>0</v>
      </c>
      <c r="Z194" s="20">
        <f t="shared" si="269"/>
        <v>100</v>
      </c>
      <c r="AA194" s="27">
        <v>0</v>
      </c>
      <c r="AB194" s="27">
        <v>0</v>
      </c>
      <c r="AC194" s="27">
        <v>0</v>
      </c>
      <c r="AD194" s="23">
        <f t="shared" ref="AD194:AE194" si="354">AD164</f>
        <v>24</v>
      </c>
      <c r="AE194" s="23">
        <f t="shared" si="354"/>
        <v>28</v>
      </c>
    </row>
    <row r="195" spans="1:31" s="27" customFormat="1">
      <c r="A195" s="27">
        <v>2001</v>
      </c>
      <c r="B195" s="27">
        <v>14</v>
      </c>
      <c r="C195" s="29" t="s">
        <v>69</v>
      </c>
      <c r="D195" s="46">
        <v>0</v>
      </c>
      <c r="E195" s="18">
        <f t="shared" si="267"/>
        <v>404</v>
      </c>
      <c r="F195" s="28">
        <v>0</v>
      </c>
      <c r="G195" s="28">
        <v>0</v>
      </c>
      <c r="H195" s="47">
        <v>0</v>
      </c>
      <c r="I195" s="21">
        <f t="shared" si="285"/>
        <v>220</v>
      </c>
      <c r="J195" s="21">
        <f t="shared" si="264"/>
        <v>13</v>
      </c>
      <c r="K195" s="21">
        <v>0</v>
      </c>
      <c r="L195" s="20">
        <v>6</v>
      </c>
      <c r="M195" s="20">
        <v>0</v>
      </c>
      <c r="N195" s="20">
        <f t="shared" si="286"/>
        <v>2800</v>
      </c>
      <c r="O195" s="19" t="s">
        <v>69</v>
      </c>
      <c r="P195" s="20">
        <v>6400</v>
      </c>
      <c r="Q195" s="20">
        <f t="shared" ref="Q195:X195" si="355">Q165</f>
        <v>280</v>
      </c>
      <c r="R195" s="20">
        <f t="shared" si="355"/>
        <v>1120</v>
      </c>
      <c r="S195" s="20">
        <f t="shared" si="355"/>
        <v>1959.9999999999998</v>
      </c>
      <c r="T195" s="20">
        <f t="shared" si="355"/>
        <v>2520</v>
      </c>
      <c r="U195" s="20">
        <f t="shared" si="355"/>
        <v>100</v>
      </c>
      <c r="V195" s="20">
        <f t="shared" si="355"/>
        <v>400</v>
      </c>
      <c r="W195" s="20">
        <f t="shared" si="355"/>
        <v>1200</v>
      </c>
      <c r="X195" s="20">
        <f t="shared" si="355"/>
        <v>4</v>
      </c>
      <c r="Y195" s="27">
        <v>0</v>
      </c>
      <c r="Z195" s="20">
        <f t="shared" si="269"/>
        <v>0</v>
      </c>
      <c r="AA195" s="27">
        <v>0</v>
      </c>
      <c r="AB195" s="27">
        <v>0</v>
      </c>
      <c r="AC195" s="27">
        <v>0</v>
      </c>
      <c r="AD195" s="23">
        <f t="shared" ref="AD195:AE195" si="356">AD165</f>
        <v>26</v>
      </c>
      <c r="AE195" s="23">
        <f t="shared" si="356"/>
        <v>30</v>
      </c>
    </row>
    <row r="196" spans="1:31" s="27" customFormat="1">
      <c r="A196" s="28">
        <v>2001</v>
      </c>
      <c r="B196" s="27">
        <v>15</v>
      </c>
      <c r="C196" s="29" t="s">
        <v>70</v>
      </c>
      <c r="D196" s="46">
        <v>0</v>
      </c>
      <c r="E196" s="18">
        <f t="shared" si="267"/>
        <v>438</v>
      </c>
      <c r="F196" s="28">
        <v>0</v>
      </c>
      <c r="G196" s="28">
        <v>0</v>
      </c>
      <c r="H196" s="47">
        <v>0</v>
      </c>
      <c r="I196" s="21">
        <f t="shared" si="285"/>
        <v>220</v>
      </c>
      <c r="J196" s="21">
        <f t="shared" si="264"/>
        <v>14</v>
      </c>
      <c r="K196" s="21">
        <v>0</v>
      </c>
      <c r="L196" s="20">
        <v>6</v>
      </c>
      <c r="M196" s="20">
        <v>0</v>
      </c>
      <c r="N196" s="20">
        <f t="shared" si="286"/>
        <v>4500</v>
      </c>
      <c r="O196" s="19" t="s">
        <v>70</v>
      </c>
      <c r="P196" s="20">
        <v>3100</v>
      </c>
      <c r="Q196" s="20">
        <f t="shared" ref="Q196:X196" si="357">Q166</f>
        <v>450</v>
      </c>
      <c r="R196" s="20">
        <f t="shared" si="357"/>
        <v>1800</v>
      </c>
      <c r="S196" s="20">
        <f t="shared" si="357"/>
        <v>3150</v>
      </c>
      <c r="T196" s="20">
        <f t="shared" si="357"/>
        <v>4050</v>
      </c>
      <c r="U196" s="20">
        <f t="shared" si="357"/>
        <v>100</v>
      </c>
      <c r="V196" s="20">
        <f t="shared" si="357"/>
        <v>1000</v>
      </c>
      <c r="W196" s="20">
        <f t="shared" si="357"/>
        <v>600</v>
      </c>
      <c r="X196" s="20">
        <f t="shared" si="357"/>
        <v>4</v>
      </c>
      <c r="Y196" s="27">
        <v>0</v>
      </c>
      <c r="Z196" s="20">
        <f t="shared" si="269"/>
        <v>0</v>
      </c>
      <c r="AA196" s="27">
        <v>0</v>
      </c>
      <c r="AB196" s="27">
        <v>0</v>
      </c>
      <c r="AC196" s="27">
        <v>0</v>
      </c>
      <c r="AD196" s="23">
        <f t="shared" ref="AD196:AE196" si="358">AD166</f>
        <v>28</v>
      </c>
      <c r="AE196" s="23">
        <f t="shared" si="358"/>
        <v>32</v>
      </c>
    </row>
    <row r="197" spans="1:31" s="27" customFormat="1">
      <c r="A197" s="27">
        <v>2001</v>
      </c>
      <c r="B197" s="27">
        <v>16</v>
      </c>
      <c r="C197" s="29" t="s">
        <v>71</v>
      </c>
      <c r="D197" s="46">
        <v>0</v>
      </c>
      <c r="E197" s="18">
        <f t="shared" si="267"/>
        <v>474</v>
      </c>
      <c r="F197" s="28">
        <v>0</v>
      </c>
      <c r="G197" s="28">
        <v>0</v>
      </c>
      <c r="H197" s="47">
        <v>0</v>
      </c>
      <c r="I197" s="21">
        <f t="shared" si="285"/>
        <v>220</v>
      </c>
      <c r="J197" s="21">
        <f t="shared" si="264"/>
        <v>15</v>
      </c>
      <c r="K197" s="21">
        <v>0</v>
      </c>
      <c r="L197" s="20">
        <v>6</v>
      </c>
      <c r="M197" s="20">
        <v>0</v>
      </c>
      <c r="N197" s="20">
        <f t="shared" si="286"/>
        <v>4800</v>
      </c>
      <c r="O197" s="19" t="s">
        <v>71</v>
      </c>
      <c r="P197" s="20">
        <v>1777</v>
      </c>
      <c r="Q197" s="20">
        <f t="shared" ref="Q197:X197" si="359">Q167</f>
        <v>480</v>
      </c>
      <c r="R197" s="20">
        <f t="shared" si="359"/>
        <v>1920</v>
      </c>
      <c r="S197" s="20">
        <f t="shared" si="359"/>
        <v>3360</v>
      </c>
      <c r="T197" s="20">
        <f t="shared" si="359"/>
        <v>4320</v>
      </c>
      <c r="U197" s="20">
        <f t="shared" si="359"/>
        <v>100</v>
      </c>
      <c r="V197" s="20">
        <f t="shared" si="359"/>
        <v>800</v>
      </c>
      <c r="W197" s="20">
        <f t="shared" si="359"/>
        <v>800</v>
      </c>
      <c r="X197" s="20">
        <f t="shared" si="359"/>
        <v>4</v>
      </c>
      <c r="Y197" s="27">
        <v>0</v>
      </c>
      <c r="Z197" s="20">
        <f t="shared" si="269"/>
        <v>0</v>
      </c>
      <c r="AA197" s="27">
        <v>0</v>
      </c>
      <c r="AB197" s="27">
        <v>0</v>
      </c>
      <c r="AC197" s="27">
        <v>0</v>
      </c>
      <c r="AD197" s="23">
        <f t="shared" ref="AD197:AE197" si="360">AD167</f>
        <v>30</v>
      </c>
      <c r="AE197" s="23">
        <f t="shared" si="360"/>
        <v>34</v>
      </c>
    </row>
    <row r="198" spans="1:31" s="27" customFormat="1">
      <c r="A198" s="27">
        <v>2001</v>
      </c>
      <c r="B198" s="27">
        <v>17</v>
      </c>
      <c r="C198" s="29" t="s">
        <v>72</v>
      </c>
      <c r="D198" s="46">
        <v>0</v>
      </c>
      <c r="E198" s="18">
        <f t="shared" si="267"/>
        <v>512</v>
      </c>
      <c r="F198" s="28">
        <v>0</v>
      </c>
      <c r="G198" s="28">
        <v>0</v>
      </c>
      <c r="H198" s="47">
        <v>0</v>
      </c>
      <c r="I198" s="21">
        <f t="shared" si="285"/>
        <v>275</v>
      </c>
      <c r="J198" s="21">
        <f t="shared" si="264"/>
        <v>16</v>
      </c>
      <c r="K198" s="21">
        <v>0</v>
      </c>
      <c r="L198" s="20">
        <v>6</v>
      </c>
      <c r="M198" s="20">
        <v>0</v>
      </c>
      <c r="N198" s="20">
        <f t="shared" si="286"/>
        <v>5100</v>
      </c>
      <c r="O198" s="19" t="s">
        <v>72</v>
      </c>
      <c r="P198" s="20">
        <v>2332</v>
      </c>
      <c r="Q198" s="20">
        <f t="shared" ref="Q198:X198" si="361">Q168</f>
        <v>510</v>
      </c>
      <c r="R198" s="20">
        <f t="shared" si="361"/>
        <v>2040</v>
      </c>
      <c r="S198" s="20">
        <f t="shared" si="361"/>
        <v>3570</v>
      </c>
      <c r="T198" s="20">
        <f t="shared" si="361"/>
        <v>4590</v>
      </c>
      <c r="U198" s="20">
        <f t="shared" si="361"/>
        <v>80</v>
      </c>
      <c r="V198" s="20">
        <f t="shared" si="361"/>
        <v>800</v>
      </c>
      <c r="W198" s="20">
        <f t="shared" si="361"/>
        <v>600</v>
      </c>
      <c r="X198" s="20">
        <f t="shared" si="361"/>
        <v>5</v>
      </c>
      <c r="Y198" s="27">
        <v>0</v>
      </c>
      <c r="Z198" s="20">
        <f t="shared" si="269"/>
        <v>0</v>
      </c>
      <c r="AA198" s="27">
        <v>0</v>
      </c>
      <c r="AB198" s="27">
        <v>0</v>
      </c>
      <c r="AC198" s="27">
        <v>0</v>
      </c>
      <c r="AD198" s="23">
        <f t="shared" ref="AD198:AE198" si="362">AD168</f>
        <v>32</v>
      </c>
      <c r="AE198" s="23">
        <f t="shared" si="362"/>
        <v>36</v>
      </c>
    </row>
    <row r="199" spans="1:31" s="27" customFormat="1">
      <c r="A199" s="27">
        <v>2001</v>
      </c>
      <c r="B199" s="27">
        <v>18</v>
      </c>
      <c r="C199" s="29" t="s">
        <v>73</v>
      </c>
      <c r="D199" s="46">
        <v>0</v>
      </c>
      <c r="E199" s="18">
        <f t="shared" si="267"/>
        <v>556</v>
      </c>
      <c r="F199" s="28">
        <v>0</v>
      </c>
      <c r="G199" s="28">
        <v>0</v>
      </c>
      <c r="H199" s="47">
        <v>0</v>
      </c>
      <c r="I199" s="21">
        <f t="shared" si="285"/>
        <v>275</v>
      </c>
      <c r="J199" s="21">
        <f t="shared" si="264"/>
        <v>17</v>
      </c>
      <c r="K199" s="21">
        <v>0</v>
      </c>
      <c r="L199" s="20">
        <v>6</v>
      </c>
      <c r="M199" s="20">
        <v>0</v>
      </c>
      <c r="N199" s="20">
        <f t="shared" si="286"/>
        <v>5400</v>
      </c>
      <c r="O199" s="19" t="s">
        <v>73</v>
      </c>
      <c r="P199" s="20">
        <v>1487</v>
      </c>
      <c r="Q199" s="20">
        <f t="shared" ref="Q199:X199" si="363">Q169</f>
        <v>540</v>
      </c>
      <c r="R199" s="20">
        <f t="shared" si="363"/>
        <v>2160</v>
      </c>
      <c r="S199" s="20">
        <f t="shared" si="363"/>
        <v>3779.9999999999995</v>
      </c>
      <c r="T199" s="20">
        <f t="shared" si="363"/>
        <v>4860</v>
      </c>
      <c r="U199" s="20">
        <f t="shared" si="363"/>
        <v>100</v>
      </c>
      <c r="V199" s="20">
        <f t="shared" si="363"/>
        <v>600</v>
      </c>
      <c r="W199" s="20">
        <f t="shared" si="363"/>
        <v>300</v>
      </c>
      <c r="X199" s="20">
        <f t="shared" si="363"/>
        <v>5</v>
      </c>
      <c r="Y199" s="27">
        <v>0</v>
      </c>
      <c r="Z199" s="20">
        <f t="shared" si="269"/>
        <v>151</v>
      </c>
      <c r="AA199" s="27">
        <v>0</v>
      </c>
      <c r="AB199" s="27">
        <v>0</v>
      </c>
      <c r="AC199" s="27">
        <v>0</v>
      </c>
      <c r="AD199" s="23">
        <f t="shared" ref="AD199:AE199" si="364">AD169</f>
        <v>34</v>
      </c>
      <c r="AE199" s="23">
        <f t="shared" si="364"/>
        <v>38</v>
      </c>
    </row>
    <row r="200" spans="1:31" s="27" customFormat="1">
      <c r="A200" s="27">
        <v>2001</v>
      </c>
      <c r="B200" s="27">
        <v>19</v>
      </c>
      <c r="C200" s="29" t="s">
        <v>74</v>
      </c>
      <c r="D200" s="46">
        <v>0</v>
      </c>
      <c r="E200" s="18">
        <f t="shared" si="267"/>
        <v>602</v>
      </c>
      <c r="F200" s="28">
        <v>0</v>
      </c>
      <c r="G200" s="28">
        <v>0</v>
      </c>
      <c r="H200" s="47">
        <v>0</v>
      </c>
      <c r="I200" s="21">
        <f t="shared" si="285"/>
        <v>275</v>
      </c>
      <c r="J200" s="21">
        <f t="shared" si="264"/>
        <v>18</v>
      </c>
      <c r="K200" s="21">
        <v>0</v>
      </c>
      <c r="L200" s="20">
        <v>6</v>
      </c>
      <c r="M200" s="20">
        <v>0</v>
      </c>
      <c r="N200" s="20">
        <f t="shared" si="286"/>
        <v>5700</v>
      </c>
      <c r="O200" s="19" t="s">
        <v>74</v>
      </c>
      <c r="P200" s="20">
        <v>1518</v>
      </c>
      <c r="Q200" s="20">
        <f t="shared" ref="Q200:X200" si="365">Q170</f>
        <v>570</v>
      </c>
      <c r="R200" s="20">
        <f t="shared" si="365"/>
        <v>2280</v>
      </c>
      <c r="S200" s="20">
        <f t="shared" si="365"/>
        <v>3989.9999999999995</v>
      </c>
      <c r="T200" s="20">
        <f t="shared" si="365"/>
        <v>5130</v>
      </c>
      <c r="U200" s="20">
        <f t="shared" si="365"/>
        <v>100</v>
      </c>
      <c r="V200" s="20">
        <f t="shared" si="365"/>
        <v>500</v>
      </c>
      <c r="W200" s="20">
        <f t="shared" si="365"/>
        <v>400</v>
      </c>
      <c r="X200" s="20">
        <f t="shared" si="365"/>
        <v>5</v>
      </c>
      <c r="Y200" s="27">
        <v>0</v>
      </c>
      <c r="Z200" s="20">
        <f t="shared" si="269"/>
        <v>0</v>
      </c>
      <c r="AA200" s="27">
        <v>0</v>
      </c>
      <c r="AB200" s="27">
        <v>0</v>
      </c>
      <c r="AC200" s="27">
        <v>0</v>
      </c>
      <c r="AD200" s="23">
        <f t="shared" ref="AD200:AE200" si="366">AD170</f>
        <v>36</v>
      </c>
      <c r="AE200" s="23">
        <f t="shared" si="366"/>
        <v>40</v>
      </c>
    </row>
    <row r="201" spans="1:31" s="27" customFormat="1">
      <c r="A201" s="27">
        <v>2001</v>
      </c>
      <c r="B201" s="27">
        <v>20</v>
      </c>
      <c r="C201" s="29" t="s">
        <v>75</v>
      </c>
      <c r="D201" s="46">
        <v>0</v>
      </c>
      <c r="E201" s="18">
        <f t="shared" si="267"/>
        <v>650</v>
      </c>
      <c r="F201" s="28">
        <v>0</v>
      </c>
      <c r="G201" s="28">
        <v>0</v>
      </c>
      <c r="H201" s="47">
        <v>0</v>
      </c>
      <c r="I201" s="21">
        <f t="shared" si="285"/>
        <v>275</v>
      </c>
      <c r="J201" s="21">
        <f t="shared" si="264"/>
        <v>19</v>
      </c>
      <c r="K201" s="21">
        <v>0</v>
      </c>
      <c r="L201" s="20">
        <v>6</v>
      </c>
      <c r="M201" s="20">
        <v>0</v>
      </c>
      <c r="N201" s="20">
        <f t="shared" si="286"/>
        <v>8000</v>
      </c>
      <c r="O201" s="19" t="s">
        <v>75</v>
      </c>
      <c r="P201" s="20">
        <v>861</v>
      </c>
      <c r="Q201" s="20">
        <f t="shared" ref="Q201:X201" si="367">Q171</f>
        <v>800</v>
      </c>
      <c r="R201" s="20">
        <f t="shared" si="367"/>
        <v>3200</v>
      </c>
      <c r="S201" s="20">
        <f t="shared" si="367"/>
        <v>5600</v>
      </c>
      <c r="T201" s="20">
        <f t="shared" si="367"/>
        <v>7200</v>
      </c>
      <c r="U201" s="20">
        <f t="shared" si="367"/>
        <v>100</v>
      </c>
      <c r="V201" s="20">
        <f t="shared" si="367"/>
        <v>800</v>
      </c>
      <c r="W201" s="20">
        <f t="shared" si="367"/>
        <v>8000</v>
      </c>
      <c r="X201" s="20">
        <f t="shared" si="367"/>
        <v>5</v>
      </c>
      <c r="Y201" s="27">
        <v>0</v>
      </c>
      <c r="Z201" s="20">
        <f t="shared" si="269"/>
        <v>0</v>
      </c>
      <c r="AA201" s="27">
        <v>0</v>
      </c>
      <c r="AB201" s="27">
        <v>0</v>
      </c>
      <c r="AC201" s="27">
        <v>0</v>
      </c>
      <c r="AD201" s="23">
        <f t="shared" ref="AD201:AE201" si="368">AD171</f>
        <v>38</v>
      </c>
      <c r="AE201" s="23">
        <f t="shared" si="368"/>
        <v>42</v>
      </c>
    </row>
    <row r="202" spans="1:31" s="27" customFormat="1">
      <c r="A202" s="27">
        <v>2001</v>
      </c>
      <c r="B202" s="27">
        <v>21</v>
      </c>
      <c r="C202" s="29" t="s">
        <v>66</v>
      </c>
      <c r="D202" s="46">
        <v>0</v>
      </c>
      <c r="E202" s="18">
        <f t="shared" si="267"/>
        <v>704</v>
      </c>
      <c r="F202" s="28">
        <v>0</v>
      </c>
      <c r="G202" s="28">
        <v>0</v>
      </c>
      <c r="H202" s="47">
        <v>0</v>
      </c>
      <c r="I202" s="21">
        <f t="shared" si="285"/>
        <v>330</v>
      </c>
      <c r="J202" s="21">
        <f t="shared" si="264"/>
        <v>20</v>
      </c>
      <c r="K202" s="21">
        <v>0</v>
      </c>
      <c r="L202" s="20">
        <v>6</v>
      </c>
      <c r="M202" s="20">
        <v>0</v>
      </c>
      <c r="N202" s="20">
        <f t="shared" si="286"/>
        <v>8400</v>
      </c>
      <c r="O202" s="19" t="s">
        <v>66</v>
      </c>
      <c r="P202" s="20">
        <v>9400</v>
      </c>
      <c r="Q202" s="20">
        <f t="shared" ref="Q202:X202" si="369">Q172</f>
        <v>840</v>
      </c>
      <c r="R202" s="20">
        <f t="shared" si="369"/>
        <v>3360</v>
      </c>
      <c r="S202" s="20">
        <f t="shared" si="369"/>
        <v>5880</v>
      </c>
      <c r="T202" s="20">
        <f t="shared" si="369"/>
        <v>7560</v>
      </c>
      <c r="U202" s="20">
        <f t="shared" si="369"/>
        <v>50</v>
      </c>
      <c r="V202" s="20">
        <f t="shared" si="369"/>
        <v>1000</v>
      </c>
      <c r="W202" s="20">
        <f t="shared" si="369"/>
        <v>600</v>
      </c>
      <c r="X202" s="20">
        <f t="shared" si="369"/>
        <v>6</v>
      </c>
      <c r="Y202" s="27">
        <v>0</v>
      </c>
      <c r="Z202" s="20">
        <f t="shared" si="269"/>
        <v>0</v>
      </c>
      <c r="AA202" s="27">
        <v>0</v>
      </c>
      <c r="AB202" s="27">
        <v>0</v>
      </c>
      <c r="AC202" s="27">
        <v>0</v>
      </c>
      <c r="AD202" s="23">
        <f t="shared" ref="AD202:AE202" si="370">AD172</f>
        <v>40</v>
      </c>
      <c r="AE202" s="23">
        <f t="shared" si="370"/>
        <v>44</v>
      </c>
    </row>
    <row r="203" spans="1:31" s="27" customFormat="1">
      <c r="A203" s="27">
        <v>2001</v>
      </c>
      <c r="B203" s="27">
        <v>22</v>
      </c>
      <c r="C203" s="29" t="s">
        <v>67</v>
      </c>
      <c r="D203" s="46">
        <v>0</v>
      </c>
      <c r="E203" s="18">
        <f t="shared" si="267"/>
        <v>762</v>
      </c>
      <c r="F203" s="28">
        <v>0</v>
      </c>
      <c r="G203" s="28">
        <v>0</v>
      </c>
      <c r="H203" s="47">
        <v>0</v>
      </c>
      <c r="I203" s="21">
        <f t="shared" si="285"/>
        <v>330</v>
      </c>
      <c r="J203" s="21">
        <f t="shared" ref="J203:J266" si="371">B203-1</f>
        <v>21</v>
      </c>
      <c r="K203" s="21">
        <v>0</v>
      </c>
      <c r="L203" s="20">
        <v>6</v>
      </c>
      <c r="M203" s="20">
        <v>0</v>
      </c>
      <c r="N203" s="20">
        <f t="shared" si="286"/>
        <v>8800</v>
      </c>
      <c r="O203" s="19" t="s">
        <v>67</v>
      </c>
      <c r="P203" s="20">
        <v>9100</v>
      </c>
      <c r="Q203" s="20">
        <f t="shared" ref="Q203:X203" si="372">Q173</f>
        <v>880</v>
      </c>
      <c r="R203" s="20">
        <f t="shared" si="372"/>
        <v>3520</v>
      </c>
      <c r="S203" s="20">
        <f t="shared" si="372"/>
        <v>6160</v>
      </c>
      <c r="T203" s="20">
        <f t="shared" si="372"/>
        <v>7920</v>
      </c>
      <c r="U203" s="20">
        <f t="shared" si="372"/>
        <v>100</v>
      </c>
      <c r="V203" s="20">
        <f t="shared" si="372"/>
        <v>600</v>
      </c>
      <c r="W203" s="20">
        <f t="shared" si="372"/>
        <v>700</v>
      </c>
      <c r="X203" s="20">
        <f t="shared" si="372"/>
        <v>6</v>
      </c>
      <c r="Y203" s="27">
        <v>0</v>
      </c>
      <c r="Z203" s="20">
        <f t="shared" si="269"/>
        <v>0</v>
      </c>
      <c r="AA203" s="27">
        <v>0</v>
      </c>
      <c r="AB203" s="27">
        <v>0</v>
      </c>
      <c r="AC203" s="27">
        <v>0</v>
      </c>
      <c r="AD203" s="23">
        <f t="shared" ref="AD203:AE203" si="373">AD173</f>
        <v>42</v>
      </c>
      <c r="AE203" s="23">
        <f t="shared" si="373"/>
        <v>46</v>
      </c>
    </row>
    <row r="204" spans="1:31" s="27" customFormat="1">
      <c r="A204" s="27">
        <v>2001</v>
      </c>
      <c r="B204" s="27">
        <v>23</v>
      </c>
      <c r="C204" s="29" t="s">
        <v>68</v>
      </c>
      <c r="D204" s="46">
        <v>0</v>
      </c>
      <c r="E204" s="18">
        <f t="shared" si="267"/>
        <v>826</v>
      </c>
      <c r="F204" s="28">
        <v>0</v>
      </c>
      <c r="G204" s="28">
        <v>0</v>
      </c>
      <c r="H204" s="47">
        <v>0</v>
      </c>
      <c r="I204" s="21">
        <f t="shared" si="285"/>
        <v>330</v>
      </c>
      <c r="J204" s="21">
        <f t="shared" si="371"/>
        <v>22</v>
      </c>
      <c r="K204" s="21">
        <v>0</v>
      </c>
      <c r="L204" s="20">
        <v>6</v>
      </c>
      <c r="M204" s="20">
        <v>0</v>
      </c>
      <c r="N204" s="20">
        <f t="shared" si="286"/>
        <v>9200</v>
      </c>
      <c r="O204" s="19" t="s">
        <v>68</v>
      </c>
      <c r="P204" s="20">
        <v>8600</v>
      </c>
      <c r="Q204" s="20">
        <f t="shared" ref="Q204:X204" si="374">Q174</f>
        <v>920</v>
      </c>
      <c r="R204" s="20">
        <f t="shared" si="374"/>
        <v>3680</v>
      </c>
      <c r="S204" s="20">
        <f t="shared" si="374"/>
        <v>6440</v>
      </c>
      <c r="T204" s="20">
        <f t="shared" si="374"/>
        <v>8280</v>
      </c>
      <c r="U204" s="20">
        <f t="shared" si="374"/>
        <v>100</v>
      </c>
      <c r="V204" s="20">
        <f t="shared" si="374"/>
        <v>550</v>
      </c>
      <c r="W204" s="20">
        <f t="shared" si="374"/>
        <v>500</v>
      </c>
      <c r="X204" s="20">
        <f t="shared" si="374"/>
        <v>6</v>
      </c>
      <c r="Y204" s="27">
        <v>0</v>
      </c>
      <c r="Z204" s="20">
        <f t="shared" si="269"/>
        <v>201</v>
      </c>
      <c r="AA204" s="27">
        <v>0</v>
      </c>
      <c r="AB204" s="27">
        <v>0</v>
      </c>
      <c r="AC204" s="27">
        <v>0</v>
      </c>
      <c r="AD204" s="23">
        <f t="shared" ref="AD204:AE204" si="375">AD174</f>
        <v>44</v>
      </c>
      <c r="AE204" s="23">
        <f t="shared" si="375"/>
        <v>48</v>
      </c>
    </row>
    <row r="205" spans="1:31" s="27" customFormat="1">
      <c r="A205" s="27">
        <v>2001</v>
      </c>
      <c r="B205" s="27">
        <v>24</v>
      </c>
      <c r="C205" s="29" t="s">
        <v>69</v>
      </c>
      <c r="D205" s="46">
        <v>0</v>
      </c>
      <c r="E205" s="18">
        <f t="shared" si="267"/>
        <v>894</v>
      </c>
      <c r="F205" s="28">
        <v>0</v>
      </c>
      <c r="G205" s="28">
        <v>0</v>
      </c>
      <c r="H205" s="47">
        <v>0</v>
      </c>
      <c r="I205" s="21">
        <f t="shared" si="285"/>
        <v>330</v>
      </c>
      <c r="J205" s="21">
        <f t="shared" si="371"/>
        <v>23</v>
      </c>
      <c r="K205" s="21">
        <v>0</v>
      </c>
      <c r="L205" s="20">
        <v>6</v>
      </c>
      <c r="M205" s="20">
        <v>0</v>
      </c>
      <c r="N205" s="20">
        <f t="shared" si="286"/>
        <v>9600</v>
      </c>
      <c r="O205" s="19" t="s">
        <v>69</v>
      </c>
      <c r="P205" s="20">
        <v>6400</v>
      </c>
      <c r="Q205" s="20">
        <f t="shared" ref="Q205:X205" si="376">Q175</f>
        <v>960</v>
      </c>
      <c r="R205" s="20">
        <f t="shared" si="376"/>
        <v>3840</v>
      </c>
      <c r="S205" s="20">
        <f t="shared" si="376"/>
        <v>6720</v>
      </c>
      <c r="T205" s="20">
        <f t="shared" si="376"/>
        <v>8640</v>
      </c>
      <c r="U205" s="20">
        <f t="shared" si="376"/>
        <v>100</v>
      </c>
      <c r="V205" s="20">
        <f t="shared" si="376"/>
        <v>500</v>
      </c>
      <c r="W205" s="20">
        <f t="shared" si="376"/>
        <v>900</v>
      </c>
      <c r="X205" s="20">
        <f t="shared" si="376"/>
        <v>6</v>
      </c>
      <c r="Y205" s="27">
        <v>0</v>
      </c>
      <c r="Z205" s="20">
        <f t="shared" si="269"/>
        <v>0</v>
      </c>
      <c r="AA205" s="27">
        <v>0</v>
      </c>
      <c r="AB205" s="27">
        <v>0</v>
      </c>
      <c r="AC205" s="27">
        <v>0</v>
      </c>
      <c r="AD205" s="23">
        <f t="shared" ref="AD205:AE205" si="377">AD175</f>
        <v>46</v>
      </c>
      <c r="AE205" s="23">
        <f t="shared" si="377"/>
        <v>50</v>
      </c>
    </row>
    <row r="206" spans="1:31" s="27" customFormat="1">
      <c r="A206" s="27">
        <v>2001</v>
      </c>
      <c r="B206" s="27">
        <v>25</v>
      </c>
      <c r="C206" s="29" t="s">
        <v>70</v>
      </c>
      <c r="D206" s="46">
        <v>0</v>
      </c>
      <c r="E206" s="18">
        <f t="shared" si="267"/>
        <v>968</v>
      </c>
      <c r="F206" s="28">
        <v>0</v>
      </c>
      <c r="G206" s="28">
        <v>0</v>
      </c>
      <c r="H206" s="47">
        <v>0</v>
      </c>
      <c r="I206" s="21">
        <f t="shared" si="285"/>
        <v>385</v>
      </c>
      <c r="J206" s="21">
        <f t="shared" si="371"/>
        <v>24</v>
      </c>
      <c r="K206" s="21">
        <v>0</v>
      </c>
      <c r="L206" s="20">
        <v>6</v>
      </c>
      <c r="M206" s="20">
        <v>0</v>
      </c>
      <c r="N206" s="20">
        <f t="shared" si="286"/>
        <v>12500</v>
      </c>
      <c r="O206" s="19" t="s">
        <v>70</v>
      </c>
      <c r="P206" s="20">
        <v>3100</v>
      </c>
      <c r="Q206" s="20">
        <f t="shared" ref="Q206:X206" si="378">Q176</f>
        <v>1250</v>
      </c>
      <c r="R206" s="20">
        <f t="shared" si="378"/>
        <v>5000</v>
      </c>
      <c r="S206" s="20">
        <f t="shared" si="378"/>
        <v>8750</v>
      </c>
      <c r="T206" s="20">
        <f t="shared" si="378"/>
        <v>11250</v>
      </c>
      <c r="U206" s="20">
        <f t="shared" si="378"/>
        <v>10</v>
      </c>
      <c r="V206" s="20">
        <f t="shared" si="378"/>
        <v>1300</v>
      </c>
      <c r="W206" s="20">
        <f t="shared" si="378"/>
        <v>1000</v>
      </c>
      <c r="X206" s="20">
        <f t="shared" si="378"/>
        <v>7</v>
      </c>
      <c r="Y206" s="27">
        <v>0</v>
      </c>
      <c r="Z206" s="20">
        <f t="shared" si="269"/>
        <v>0</v>
      </c>
      <c r="AA206" s="27">
        <v>0</v>
      </c>
      <c r="AB206" s="27">
        <v>0</v>
      </c>
      <c r="AC206" s="27">
        <v>0</v>
      </c>
      <c r="AD206" s="23">
        <f t="shared" ref="AD206:AE206" si="379">AD176</f>
        <v>48</v>
      </c>
      <c r="AE206" s="23">
        <f t="shared" si="379"/>
        <v>52</v>
      </c>
    </row>
    <row r="207" spans="1:31" s="27" customFormat="1">
      <c r="A207" s="27">
        <v>2001</v>
      </c>
      <c r="B207" s="27">
        <v>26</v>
      </c>
      <c r="C207" s="29" t="s">
        <v>71</v>
      </c>
      <c r="D207" s="46">
        <v>0</v>
      </c>
      <c r="E207" s="18">
        <f t="shared" si="267"/>
        <v>1048</v>
      </c>
      <c r="F207" s="28">
        <v>0</v>
      </c>
      <c r="G207" s="28">
        <v>0</v>
      </c>
      <c r="H207" s="47">
        <v>0</v>
      </c>
      <c r="I207" s="21">
        <f t="shared" si="285"/>
        <v>385</v>
      </c>
      <c r="J207" s="21">
        <f t="shared" si="371"/>
        <v>25</v>
      </c>
      <c r="K207" s="21">
        <v>0</v>
      </c>
      <c r="L207" s="20">
        <v>6</v>
      </c>
      <c r="M207" s="20">
        <v>0</v>
      </c>
      <c r="N207" s="20">
        <f t="shared" si="286"/>
        <v>13000</v>
      </c>
      <c r="O207" s="19" t="s">
        <v>71</v>
      </c>
      <c r="P207" s="20">
        <v>1777</v>
      </c>
      <c r="Q207" s="20">
        <f t="shared" ref="Q207:X207" si="380">Q177</f>
        <v>1300</v>
      </c>
      <c r="R207" s="20">
        <f t="shared" si="380"/>
        <v>5200</v>
      </c>
      <c r="S207" s="20">
        <f t="shared" si="380"/>
        <v>9100</v>
      </c>
      <c r="T207" s="20">
        <f t="shared" si="380"/>
        <v>11700</v>
      </c>
      <c r="U207" s="20">
        <f t="shared" si="380"/>
        <v>90</v>
      </c>
      <c r="V207" s="20">
        <f t="shared" si="380"/>
        <v>800</v>
      </c>
      <c r="W207" s="20">
        <f t="shared" si="380"/>
        <v>2000</v>
      </c>
      <c r="X207" s="20">
        <f t="shared" si="380"/>
        <v>7</v>
      </c>
      <c r="Y207" s="27">
        <v>0</v>
      </c>
      <c r="Z207" s="20">
        <f t="shared" si="269"/>
        <v>0</v>
      </c>
      <c r="AA207" s="27">
        <v>0</v>
      </c>
      <c r="AB207" s="27">
        <v>0</v>
      </c>
      <c r="AC207" s="27">
        <v>0</v>
      </c>
      <c r="AD207" s="23">
        <f t="shared" ref="AD207:AE207" si="381">AD177</f>
        <v>50</v>
      </c>
      <c r="AE207" s="23">
        <f t="shared" si="381"/>
        <v>54</v>
      </c>
    </row>
    <row r="208" spans="1:31" s="27" customFormat="1">
      <c r="A208" s="27">
        <v>2001</v>
      </c>
      <c r="B208" s="27">
        <v>27</v>
      </c>
      <c r="C208" s="29" t="s">
        <v>72</v>
      </c>
      <c r="D208" s="46">
        <v>0</v>
      </c>
      <c r="E208" s="18">
        <f t="shared" si="267"/>
        <v>1134</v>
      </c>
      <c r="F208" s="28">
        <v>0</v>
      </c>
      <c r="G208" s="28">
        <v>0</v>
      </c>
      <c r="H208" s="47">
        <v>0</v>
      </c>
      <c r="I208" s="21">
        <f t="shared" si="285"/>
        <v>385</v>
      </c>
      <c r="J208" s="21">
        <f t="shared" si="371"/>
        <v>26</v>
      </c>
      <c r="K208" s="21">
        <v>0</v>
      </c>
      <c r="L208" s="20">
        <v>6</v>
      </c>
      <c r="M208" s="20">
        <v>0</v>
      </c>
      <c r="N208" s="20">
        <f t="shared" si="286"/>
        <v>13500</v>
      </c>
      <c r="O208" s="19" t="s">
        <v>72</v>
      </c>
      <c r="P208" s="20">
        <v>2332</v>
      </c>
      <c r="Q208" s="20">
        <f t="shared" ref="Q208:X208" si="382">Q178</f>
        <v>1350</v>
      </c>
      <c r="R208" s="20">
        <f t="shared" si="382"/>
        <v>5400</v>
      </c>
      <c r="S208" s="20">
        <f t="shared" si="382"/>
        <v>9450</v>
      </c>
      <c r="T208" s="20">
        <f t="shared" si="382"/>
        <v>12150</v>
      </c>
      <c r="U208" s="20">
        <f t="shared" si="382"/>
        <v>80</v>
      </c>
      <c r="V208" s="20">
        <f t="shared" si="382"/>
        <v>700</v>
      </c>
      <c r="W208" s="20">
        <f t="shared" si="382"/>
        <v>800</v>
      </c>
      <c r="X208" s="20">
        <f t="shared" si="382"/>
        <v>7</v>
      </c>
      <c r="Y208" s="27">
        <v>0</v>
      </c>
      <c r="Z208" s="20">
        <f t="shared" si="269"/>
        <v>0</v>
      </c>
      <c r="AA208" s="27">
        <v>0</v>
      </c>
      <c r="AB208" s="27">
        <v>0</v>
      </c>
      <c r="AC208" s="27">
        <v>0</v>
      </c>
      <c r="AD208" s="23">
        <f t="shared" ref="AD208:AE208" si="383">AD178</f>
        <v>52</v>
      </c>
      <c r="AE208" s="23">
        <f t="shared" si="383"/>
        <v>56</v>
      </c>
    </row>
    <row r="209" spans="1:31" s="27" customFormat="1">
      <c r="A209" s="27">
        <v>2001</v>
      </c>
      <c r="B209" s="27">
        <v>28</v>
      </c>
      <c r="C209" s="29" t="s">
        <v>73</v>
      </c>
      <c r="D209" s="46">
        <v>0</v>
      </c>
      <c r="E209" s="18">
        <f t="shared" si="267"/>
        <v>1228</v>
      </c>
      <c r="F209" s="28">
        <v>0</v>
      </c>
      <c r="G209" s="28">
        <v>0</v>
      </c>
      <c r="H209" s="47">
        <v>0</v>
      </c>
      <c r="I209" s="21">
        <f t="shared" si="285"/>
        <v>385</v>
      </c>
      <c r="J209" s="21">
        <f t="shared" si="371"/>
        <v>27</v>
      </c>
      <c r="K209" s="21">
        <v>0</v>
      </c>
      <c r="L209" s="20">
        <v>6</v>
      </c>
      <c r="M209" s="20">
        <v>0</v>
      </c>
      <c r="N209" s="20">
        <f t="shared" si="286"/>
        <v>14000</v>
      </c>
      <c r="O209" s="19" t="s">
        <v>73</v>
      </c>
      <c r="P209" s="20">
        <v>1487</v>
      </c>
      <c r="Q209" s="20">
        <f t="shared" ref="Q209:X209" si="384">Q179</f>
        <v>1400</v>
      </c>
      <c r="R209" s="20">
        <f t="shared" si="384"/>
        <v>5600</v>
      </c>
      <c r="S209" s="20">
        <f t="shared" si="384"/>
        <v>9800</v>
      </c>
      <c r="T209" s="20">
        <f t="shared" si="384"/>
        <v>12600</v>
      </c>
      <c r="U209" s="20">
        <f t="shared" si="384"/>
        <v>80</v>
      </c>
      <c r="V209" s="20">
        <f t="shared" si="384"/>
        <v>500</v>
      </c>
      <c r="W209" s="20">
        <f t="shared" si="384"/>
        <v>600</v>
      </c>
      <c r="X209" s="20">
        <f t="shared" si="384"/>
        <v>7</v>
      </c>
      <c r="Y209" s="27">
        <v>0</v>
      </c>
      <c r="Z209" s="20">
        <f t="shared" si="269"/>
        <v>252</v>
      </c>
      <c r="AA209" s="27">
        <v>0</v>
      </c>
      <c r="AB209" s="27">
        <v>0</v>
      </c>
      <c r="AC209" s="27">
        <v>0</v>
      </c>
      <c r="AD209" s="23">
        <f t="shared" ref="AD209:AE209" si="385">AD179</f>
        <v>54</v>
      </c>
      <c r="AE209" s="23">
        <f t="shared" si="385"/>
        <v>58</v>
      </c>
    </row>
    <row r="210" spans="1:31" s="27" customFormat="1">
      <c r="A210" s="27">
        <v>2001</v>
      </c>
      <c r="B210" s="27">
        <v>29</v>
      </c>
      <c r="C210" s="29" t="s">
        <v>74</v>
      </c>
      <c r="D210" s="46">
        <v>0</v>
      </c>
      <c r="E210" s="18">
        <f t="shared" si="267"/>
        <v>1330</v>
      </c>
      <c r="F210" s="28">
        <v>0</v>
      </c>
      <c r="G210" s="28">
        <v>0</v>
      </c>
      <c r="H210" s="47">
        <v>0</v>
      </c>
      <c r="I210" s="21">
        <f t="shared" si="285"/>
        <v>440</v>
      </c>
      <c r="J210" s="21">
        <f t="shared" si="371"/>
        <v>28</v>
      </c>
      <c r="K210" s="21">
        <v>0</v>
      </c>
      <c r="L210" s="20">
        <v>6</v>
      </c>
      <c r="M210" s="20">
        <v>0</v>
      </c>
      <c r="N210" s="20">
        <f t="shared" si="286"/>
        <v>14500</v>
      </c>
      <c r="O210" s="19" t="s">
        <v>74</v>
      </c>
      <c r="P210" s="20">
        <v>1518</v>
      </c>
      <c r="Q210" s="20">
        <f t="shared" ref="Q210:X210" si="386">Q180</f>
        <v>1450</v>
      </c>
      <c r="R210" s="20">
        <f t="shared" si="386"/>
        <v>5800</v>
      </c>
      <c r="S210" s="20">
        <f t="shared" si="386"/>
        <v>10150</v>
      </c>
      <c r="T210" s="20">
        <f t="shared" si="386"/>
        <v>13050</v>
      </c>
      <c r="U210" s="20">
        <f t="shared" si="386"/>
        <v>80</v>
      </c>
      <c r="V210" s="20">
        <f t="shared" si="386"/>
        <v>600</v>
      </c>
      <c r="W210" s="20">
        <f t="shared" si="386"/>
        <v>700</v>
      </c>
      <c r="X210" s="20">
        <f t="shared" si="386"/>
        <v>8</v>
      </c>
      <c r="Y210" s="27">
        <v>0</v>
      </c>
      <c r="Z210" s="20">
        <f t="shared" si="269"/>
        <v>0</v>
      </c>
      <c r="AA210" s="27">
        <v>0</v>
      </c>
      <c r="AB210" s="27">
        <v>0</v>
      </c>
      <c r="AC210" s="27">
        <v>0</v>
      </c>
      <c r="AD210" s="23">
        <f t="shared" ref="AD210:AE210" si="387">AD180</f>
        <v>56</v>
      </c>
      <c r="AE210" s="23">
        <f t="shared" si="387"/>
        <v>60</v>
      </c>
    </row>
    <row r="211" spans="1:31" s="27" customFormat="1">
      <c r="A211" s="27">
        <v>2001</v>
      </c>
      <c r="B211" s="27">
        <v>30</v>
      </c>
      <c r="C211" s="29" t="s">
        <v>75</v>
      </c>
      <c r="D211" s="46">
        <v>0</v>
      </c>
      <c r="E211" s="18">
        <f t="shared" si="267"/>
        <v>1440</v>
      </c>
      <c r="F211" s="28">
        <v>0</v>
      </c>
      <c r="G211" s="28">
        <v>0</v>
      </c>
      <c r="H211" s="47">
        <v>0</v>
      </c>
      <c r="I211" s="21">
        <f t="shared" si="285"/>
        <v>440</v>
      </c>
      <c r="J211" s="21">
        <f t="shared" si="371"/>
        <v>29</v>
      </c>
      <c r="K211" s="21">
        <v>0</v>
      </c>
      <c r="L211" s="20">
        <v>6</v>
      </c>
      <c r="M211" s="20">
        <v>0</v>
      </c>
      <c r="N211" s="20">
        <f t="shared" si="286"/>
        <v>15000</v>
      </c>
      <c r="O211" s="19" t="s">
        <v>75</v>
      </c>
      <c r="P211" s="20">
        <v>861</v>
      </c>
      <c r="Q211" s="20">
        <f t="shared" ref="Q211:X211" si="388">Q181</f>
        <v>1500</v>
      </c>
      <c r="R211" s="20">
        <f t="shared" si="388"/>
        <v>6000</v>
      </c>
      <c r="S211" s="20">
        <f t="shared" si="388"/>
        <v>10500</v>
      </c>
      <c r="T211" s="20">
        <f t="shared" si="388"/>
        <v>13500</v>
      </c>
      <c r="U211" s="20">
        <f t="shared" si="388"/>
        <v>20</v>
      </c>
      <c r="V211" s="20">
        <f t="shared" si="388"/>
        <v>450</v>
      </c>
      <c r="W211" s="20">
        <f t="shared" si="388"/>
        <v>1000</v>
      </c>
      <c r="X211" s="20">
        <f t="shared" si="388"/>
        <v>8</v>
      </c>
      <c r="Y211" s="27">
        <v>0</v>
      </c>
      <c r="Z211" s="20">
        <f t="shared" si="269"/>
        <v>0</v>
      </c>
      <c r="AA211" s="27">
        <v>0</v>
      </c>
      <c r="AB211" s="27">
        <v>0</v>
      </c>
      <c r="AC211" s="27">
        <v>0</v>
      </c>
      <c r="AD211" s="23">
        <f t="shared" ref="AD211:AE211" si="389">AD181</f>
        <v>58</v>
      </c>
      <c r="AE211" s="23">
        <f t="shared" si="389"/>
        <v>62</v>
      </c>
    </row>
    <row r="212" spans="1:31">
      <c r="A212" s="4">
        <v>2002</v>
      </c>
      <c r="B212" s="18">
        <v>1</v>
      </c>
      <c r="C212" s="19" t="s">
        <v>66</v>
      </c>
      <c r="D212" s="44">
        <v>0</v>
      </c>
      <c r="E212" s="18">
        <f t="shared" si="267"/>
        <v>216</v>
      </c>
      <c r="F212" s="18">
        <v>0</v>
      </c>
      <c r="G212" s="18">
        <v>0</v>
      </c>
      <c r="H212" s="45">
        <v>0</v>
      </c>
      <c r="I212" s="21">
        <f t="shared" si="285"/>
        <v>55</v>
      </c>
      <c r="J212" s="21">
        <f t="shared" si="371"/>
        <v>0</v>
      </c>
      <c r="K212" s="21">
        <v>0</v>
      </c>
      <c r="L212" s="20">
        <v>45</v>
      </c>
      <c r="M212" s="20">
        <v>0</v>
      </c>
      <c r="N212" s="20">
        <f t="shared" si="286"/>
        <v>10</v>
      </c>
      <c r="O212" s="19" t="s">
        <v>66</v>
      </c>
      <c r="P212" s="20">
        <v>9400</v>
      </c>
      <c r="Q212" s="20">
        <f t="shared" ref="Q212:X212" si="390">Q182</f>
        <v>1</v>
      </c>
      <c r="R212" s="20">
        <f t="shared" si="390"/>
        <v>4</v>
      </c>
      <c r="S212" s="20">
        <f t="shared" si="390"/>
        <v>7</v>
      </c>
      <c r="T212" s="20">
        <f t="shared" si="390"/>
        <v>9</v>
      </c>
      <c r="U212" s="20">
        <f t="shared" si="390"/>
        <v>9400</v>
      </c>
      <c r="V212" s="20">
        <f t="shared" si="390"/>
        <v>9400</v>
      </c>
      <c r="W212" s="20">
        <f t="shared" si="390"/>
        <v>9400</v>
      </c>
      <c r="X212" s="20">
        <f t="shared" si="390"/>
        <v>1</v>
      </c>
      <c r="Y212" s="20">
        <v>0</v>
      </c>
      <c r="Z212" s="20">
        <f t="shared" si="269"/>
        <v>0</v>
      </c>
      <c r="AA212" s="20">
        <v>0</v>
      </c>
      <c r="AB212" s="20">
        <v>0</v>
      </c>
      <c r="AC212" s="20">
        <v>0</v>
      </c>
      <c r="AD212" s="23">
        <f t="shared" ref="AD212:AE212" si="391">AD182</f>
        <v>1</v>
      </c>
      <c r="AE212" s="23">
        <f t="shared" si="391"/>
        <v>3</v>
      </c>
    </row>
    <row r="213" spans="1:31">
      <c r="A213" s="4">
        <v>2002</v>
      </c>
      <c r="B213" s="20">
        <v>2</v>
      </c>
      <c r="C213" s="19" t="s">
        <v>67</v>
      </c>
      <c r="D213" s="44">
        <v>0</v>
      </c>
      <c r="E213" s="18">
        <f t="shared" si="267"/>
        <v>234</v>
      </c>
      <c r="F213" s="18">
        <v>0</v>
      </c>
      <c r="G213" s="18">
        <v>0</v>
      </c>
      <c r="H213" s="45">
        <v>0</v>
      </c>
      <c r="I213" s="21">
        <f t="shared" si="285"/>
        <v>55</v>
      </c>
      <c r="J213" s="21">
        <f t="shared" si="371"/>
        <v>1</v>
      </c>
      <c r="K213" s="21">
        <v>0</v>
      </c>
      <c r="L213" s="20">
        <v>40</v>
      </c>
      <c r="M213" s="20">
        <v>0</v>
      </c>
      <c r="N213" s="20">
        <f t="shared" si="286"/>
        <v>20</v>
      </c>
      <c r="O213" s="19" t="s">
        <v>67</v>
      </c>
      <c r="P213" s="20">
        <v>9100</v>
      </c>
      <c r="Q213" s="20">
        <f t="shared" ref="Q213:X213" si="392">Q183</f>
        <v>2</v>
      </c>
      <c r="R213" s="20">
        <f t="shared" si="392"/>
        <v>8</v>
      </c>
      <c r="S213" s="20">
        <f t="shared" si="392"/>
        <v>14</v>
      </c>
      <c r="T213" s="20">
        <f t="shared" si="392"/>
        <v>18</v>
      </c>
      <c r="U213" s="20">
        <f t="shared" si="392"/>
        <v>4000</v>
      </c>
      <c r="V213" s="20">
        <f t="shared" si="392"/>
        <v>8000</v>
      </c>
      <c r="W213" s="20">
        <f t="shared" si="392"/>
        <v>8000</v>
      </c>
      <c r="X213" s="20">
        <f t="shared" si="392"/>
        <v>1</v>
      </c>
      <c r="Y213" s="20">
        <v>0</v>
      </c>
      <c r="Z213" s="20">
        <f t="shared" si="269"/>
        <v>0</v>
      </c>
      <c r="AA213" s="20">
        <v>0</v>
      </c>
      <c r="AB213" s="20">
        <v>0</v>
      </c>
      <c r="AC213" s="20">
        <v>0</v>
      </c>
      <c r="AD213" s="23">
        <f t="shared" ref="AD213:AE213" si="393">AD183</f>
        <v>2</v>
      </c>
      <c r="AE213" s="23">
        <f t="shared" si="393"/>
        <v>5</v>
      </c>
    </row>
    <row r="214" spans="1:31">
      <c r="A214" s="4">
        <v>2002</v>
      </c>
      <c r="B214" s="20">
        <v>3</v>
      </c>
      <c r="C214" s="19" t="s">
        <v>68</v>
      </c>
      <c r="D214" s="44">
        <v>0</v>
      </c>
      <c r="E214" s="18">
        <f t="shared" si="267"/>
        <v>252</v>
      </c>
      <c r="F214" s="18">
        <v>0</v>
      </c>
      <c r="G214" s="18">
        <v>0</v>
      </c>
      <c r="H214" s="45">
        <v>0</v>
      </c>
      <c r="I214" s="21">
        <f t="shared" si="285"/>
        <v>55</v>
      </c>
      <c r="J214" s="21">
        <f t="shared" si="371"/>
        <v>2</v>
      </c>
      <c r="K214" s="21">
        <v>0</v>
      </c>
      <c r="L214" s="20">
        <v>35</v>
      </c>
      <c r="M214" s="20">
        <v>0</v>
      </c>
      <c r="N214" s="20">
        <f t="shared" si="286"/>
        <v>40</v>
      </c>
      <c r="O214" s="19" t="s">
        <v>68</v>
      </c>
      <c r="P214" s="20">
        <v>8600</v>
      </c>
      <c r="Q214" s="20">
        <f t="shared" ref="Q214:X214" si="394">Q184</f>
        <v>4</v>
      </c>
      <c r="R214" s="20">
        <f t="shared" si="394"/>
        <v>16</v>
      </c>
      <c r="S214" s="20">
        <f t="shared" si="394"/>
        <v>28</v>
      </c>
      <c r="T214" s="20">
        <f t="shared" si="394"/>
        <v>36</v>
      </c>
      <c r="U214" s="20">
        <f t="shared" si="394"/>
        <v>1600</v>
      </c>
      <c r="V214" s="20">
        <f t="shared" si="394"/>
        <v>5000</v>
      </c>
      <c r="W214" s="20">
        <f t="shared" si="394"/>
        <v>6000</v>
      </c>
      <c r="X214" s="20">
        <f t="shared" si="394"/>
        <v>1</v>
      </c>
      <c r="Y214" s="20">
        <v>0</v>
      </c>
      <c r="Z214" s="20">
        <f t="shared" si="269"/>
        <v>0</v>
      </c>
      <c r="AA214" s="20">
        <v>0</v>
      </c>
      <c r="AB214" s="20">
        <v>0</v>
      </c>
      <c r="AC214" s="20">
        <v>0</v>
      </c>
      <c r="AD214" s="23">
        <f t="shared" ref="AD214:AE214" si="395">AD184</f>
        <v>4</v>
      </c>
      <c r="AE214" s="23">
        <f t="shared" si="395"/>
        <v>8</v>
      </c>
    </row>
    <row r="215" spans="1:31">
      <c r="A215" s="4">
        <v>2002</v>
      </c>
      <c r="B215" s="20">
        <v>4</v>
      </c>
      <c r="C215" s="19" t="s">
        <v>69</v>
      </c>
      <c r="D215" s="44">
        <v>0</v>
      </c>
      <c r="E215" s="18">
        <f t="shared" si="267"/>
        <v>273</v>
      </c>
      <c r="F215" s="18">
        <v>0</v>
      </c>
      <c r="G215" s="18">
        <v>0</v>
      </c>
      <c r="H215" s="45">
        <v>0</v>
      </c>
      <c r="I215" s="21">
        <f t="shared" si="285"/>
        <v>55</v>
      </c>
      <c r="J215" s="21">
        <f t="shared" si="371"/>
        <v>3</v>
      </c>
      <c r="K215" s="21">
        <v>0</v>
      </c>
      <c r="L215" s="20">
        <v>30</v>
      </c>
      <c r="M215" s="20">
        <v>0</v>
      </c>
      <c r="N215" s="20">
        <f t="shared" si="286"/>
        <v>100</v>
      </c>
      <c r="O215" s="19" t="s">
        <v>69</v>
      </c>
      <c r="P215" s="20">
        <v>6400</v>
      </c>
      <c r="Q215" s="20">
        <f t="shared" ref="Q215:X215" si="396">Q185</f>
        <v>10</v>
      </c>
      <c r="R215" s="20">
        <f t="shared" si="396"/>
        <v>40</v>
      </c>
      <c r="S215" s="20">
        <f t="shared" si="396"/>
        <v>70</v>
      </c>
      <c r="T215" s="20">
        <f t="shared" si="396"/>
        <v>90</v>
      </c>
      <c r="U215" s="20">
        <f t="shared" si="396"/>
        <v>900</v>
      </c>
      <c r="V215" s="20">
        <f t="shared" si="396"/>
        <v>2000</v>
      </c>
      <c r="W215" s="20">
        <f t="shared" si="396"/>
        <v>8000</v>
      </c>
      <c r="X215" s="20">
        <f t="shared" si="396"/>
        <v>1</v>
      </c>
      <c r="Y215" s="20">
        <v>0</v>
      </c>
      <c r="Z215" s="20">
        <f t="shared" si="269"/>
        <v>0</v>
      </c>
      <c r="AA215" s="20">
        <v>0</v>
      </c>
      <c r="AB215" s="20">
        <v>0</v>
      </c>
      <c r="AC215" s="20">
        <v>0</v>
      </c>
      <c r="AD215" s="23">
        <f t="shared" ref="AD215:AE215" si="397">AD185</f>
        <v>6</v>
      </c>
      <c r="AE215" s="23">
        <f t="shared" si="397"/>
        <v>10</v>
      </c>
    </row>
    <row r="216" spans="1:31">
      <c r="A216" s="4">
        <v>2002</v>
      </c>
      <c r="B216" s="20">
        <v>5</v>
      </c>
      <c r="C216" s="19" t="s">
        <v>70</v>
      </c>
      <c r="D216" s="44">
        <v>0</v>
      </c>
      <c r="E216" s="18">
        <f t="shared" si="267"/>
        <v>297</v>
      </c>
      <c r="F216" s="18">
        <v>0</v>
      </c>
      <c r="G216" s="18">
        <v>0</v>
      </c>
      <c r="H216" s="45">
        <v>0</v>
      </c>
      <c r="I216" s="21">
        <f t="shared" si="285"/>
        <v>110</v>
      </c>
      <c r="J216" s="21">
        <f t="shared" si="371"/>
        <v>4</v>
      </c>
      <c r="K216" s="21">
        <v>0</v>
      </c>
      <c r="L216" s="20">
        <v>25</v>
      </c>
      <c r="M216" s="20">
        <v>0</v>
      </c>
      <c r="N216" s="20">
        <f t="shared" si="286"/>
        <v>200</v>
      </c>
      <c r="O216" s="19" t="s">
        <v>70</v>
      </c>
      <c r="P216" s="20">
        <v>3100</v>
      </c>
      <c r="Q216" s="20">
        <f t="shared" ref="Q216:X216" si="398">Q186</f>
        <v>20</v>
      </c>
      <c r="R216" s="20">
        <f t="shared" si="398"/>
        <v>80</v>
      </c>
      <c r="S216" s="20">
        <f t="shared" si="398"/>
        <v>140</v>
      </c>
      <c r="T216" s="20">
        <f t="shared" si="398"/>
        <v>180</v>
      </c>
      <c r="U216" s="20">
        <f t="shared" si="398"/>
        <v>1000</v>
      </c>
      <c r="V216" s="20">
        <f t="shared" si="398"/>
        <v>2000</v>
      </c>
      <c r="W216" s="20">
        <f t="shared" si="398"/>
        <v>2000</v>
      </c>
      <c r="X216" s="20">
        <f t="shared" si="398"/>
        <v>2</v>
      </c>
      <c r="Y216" s="20">
        <v>0</v>
      </c>
      <c r="Z216" s="20">
        <f t="shared" si="269"/>
        <v>0</v>
      </c>
      <c r="AA216" s="20">
        <v>0</v>
      </c>
      <c r="AB216" s="20">
        <v>0</v>
      </c>
      <c r="AC216" s="20">
        <v>0</v>
      </c>
      <c r="AD216" s="23">
        <f t="shared" ref="AD216:AE216" si="399">AD186</f>
        <v>8</v>
      </c>
      <c r="AE216" s="23">
        <f t="shared" si="399"/>
        <v>12</v>
      </c>
    </row>
    <row r="217" spans="1:31">
      <c r="A217" s="4">
        <v>2002</v>
      </c>
      <c r="B217" s="20">
        <v>6</v>
      </c>
      <c r="C217" s="19" t="s">
        <v>71</v>
      </c>
      <c r="D217" s="44">
        <v>0</v>
      </c>
      <c r="E217" s="18">
        <f t="shared" ref="E217:E280" si="400">D67</f>
        <v>321</v>
      </c>
      <c r="F217" s="18">
        <v>0</v>
      </c>
      <c r="G217" s="18">
        <v>0</v>
      </c>
      <c r="H217" s="45">
        <v>0</v>
      </c>
      <c r="I217" s="21">
        <f t="shared" si="285"/>
        <v>110</v>
      </c>
      <c r="J217" s="21">
        <f t="shared" si="371"/>
        <v>5</v>
      </c>
      <c r="K217" s="21">
        <v>0</v>
      </c>
      <c r="L217" s="20">
        <v>20</v>
      </c>
      <c r="M217" s="20">
        <v>0</v>
      </c>
      <c r="N217" s="20">
        <f t="shared" si="286"/>
        <v>500</v>
      </c>
      <c r="O217" s="19" t="s">
        <v>71</v>
      </c>
      <c r="P217" s="20">
        <v>1777</v>
      </c>
      <c r="Q217" s="20">
        <f t="shared" ref="Q217:X217" si="401">Q187</f>
        <v>50</v>
      </c>
      <c r="R217" s="20">
        <f t="shared" si="401"/>
        <v>200</v>
      </c>
      <c r="S217" s="20">
        <f t="shared" si="401"/>
        <v>350</v>
      </c>
      <c r="T217" s="20">
        <f t="shared" si="401"/>
        <v>450</v>
      </c>
      <c r="U217" s="20">
        <f t="shared" si="401"/>
        <v>800</v>
      </c>
      <c r="V217" s="20">
        <f t="shared" si="401"/>
        <v>800</v>
      </c>
      <c r="W217" s="20">
        <f t="shared" si="401"/>
        <v>600</v>
      </c>
      <c r="X217" s="20">
        <f t="shared" si="401"/>
        <v>2</v>
      </c>
      <c r="Y217" s="20">
        <v>0</v>
      </c>
      <c r="Z217" s="20">
        <f t="shared" ref="Z217:Z280" si="402">Y67</f>
        <v>0</v>
      </c>
      <c r="AA217" s="20">
        <v>0</v>
      </c>
      <c r="AB217" s="20">
        <v>0</v>
      </c>
      <c r="AC217" s="20">
        <v>0</v>
      </c>
      <c r="AD217" s="23">
        <f t="shared" ref="AD217:AE217" si="403">AD187</f>
        <v>10</v>
      </c>
      <c r="AE217" s="23">
        <f t="shared" si="403"/>
        <v>14</v>
      </c>
    </row>
    <row r="218" spans="1:31">
      <c r="A218" s="8">
        <v>2002</v>
      </c>
      <c r="B218" s="20">
        <v>7</v>
      </c>
      <c r="C218" s="19" t="s">
        <v>72</v>
      </c>
      <c r="D218" s="44">
        <v>0</v>
      </c>
      <c r="E218" s="18">
        <f t="shared" si="400"/>
        <v>348</v>
      </c>
      <c r="F218" s="18">
        <v>0</v>
      </c>
      <c r="G218" s="18">
        <v>0</v>
      </c>
      <c r="H218" s="45">
        <v>0</v>
      </c>
      <c r="I218" s="21">
        <f t="shared" si="285"/>
        <v>110</v>
      </c>
      <c r="J218" s="21">
        <f t="shared" si="371"/>
        <v>6</v>
      </c>
      <c r="K218" s="21">
        <v>0</v>
      </c>
      <c r="L218" s="20">
        <v>16</v>
      </c>
      <c r="M218" s="20">
        <v>0</v>
      </c>
      <c r="N218" s="20">
        <f t="shared" si="286"/>
        <v>700</v>
      </c>
      <c r="O218" s="19" t="s">
        <v>72</v>
      </c>
      <c r="P218" s="20">
        <v>2332</v>
      </c>
      <c r="Q218" s="20">
        <f t="shared" ref="Q218:X218" si="404">Q188</f>
        <v>70</v>
      </c>
      <c r="R218" s="20">
        <f t="shared" si="404"/>
        <v>280</v>
      </c>
      <c r="S218" s="20">
        <f t="shared" si="404"/>
        <v>489.99999999999994</v>
      </c>
      <c r="T218" s="20">
        <f t="shared" si="404"/>
        <v>630</v>
      </c>
      <c r="U218" s="20">
        <f t="shared" si="404"/>
        <v>650</v>
      </c>
      <c r="V218" s="20">
        <f t="shared" si="404"/>
        <v>800</v>
      </c>
      <c r="W218" s="20">
        <f t="shared" si="404"/>
        <v>300</v>
      </c>
      <c r="X218" s="20">
        <f t="shared" si="404"/>
        <v>2</v>
      </c>
      <c r="Y218" s="20">
        <v>0</v>
      </c>
      <c r="Z218" s="20">
        <f t="shared" si="402"/>
        <v>0</v>
      </c>
      <c r="AA218" s="20">
        <v>0</v>
      </c>
      <c r="AB218" s="20">
        <v>0</v>
      </c>
      <c r="AC218" s="20">
        <v>0</v>
      </c>
      <c r="AD218" s="23">
        <f t="shared" ref="AD218:AE218" si="405">AD188</f>
        <v>12</v>
      </c>
      <c r="AE218" s="23">
        <f t="shared" si="405"/>
        <v>16</v>
      </c>
    </row>
    <row r="219" spans="1:31">
      <c r="A219" s="4">
        <v>2002</v>
      </c>
      <c r="B219" s="20">
        <v>8</v>
      </c>
      <c r="C219" s="19" t="s">
        <v>73</v>
      </c>
      <c r="D219" s="44">
        <v>0</v>
      </c>
      <c r="E219" s="18">
        <f t="shared" si="400"/>
        <v>378</v>
      </c>
      <c r="F219" s="18">
        <v>0</v>
      </c>
      <c r="G219" s="18">
        <v>0</v>
      </c>
      <c r="H219" s="45">
        <v>0</v>
      </c>
      <c r="I219" s="21">
        <f t="shared" si="285"/>
        <v>110</v>
      </c>
      <c r="J219" s="21">
        <f t="shared" si="371"/>
        <v>7</v>
      </c>
      <c r="K219" s="21">
        <v>0</v>
      </c>
      <c r="L219" s="20">
        <v>12</v>
      </c>
      <c r="M219" s="20">
        <v>0</v>
      </c>
      <c r="N219" s="20">
        <f t="shared" si="286"/>
        <v>800</v>
      </c>
      <c r="O219" s="19" t="s">
        <v>73</v>
      </c>
      <c r="P219" s="20">
        <v>1487</v>
      </c>
      <c r="Q219" s="20">
        <f t="shared" ref="Q219:X219" si="406">Q189</f>
        <v>80</v>
      </c>
      <c r="R219" s="20">
        <f t="shared" si="406"/>
        <v>320</v>
      </c>
      <c r="S219" s="20">
        <f t="shared" si="406"/>
        <v>560</v>
      </c>
      <c r="T219" s="20">
        <f t="shared" si="406"/>
        <v>720</v>
      </c>
      <c r="U219" s="20">
        <f t="shared" si="406"/>
        <v>200</v>
      </c>
      <c r="V219" s="20">
        <f t="shared" si="406"/>
        <v>2000</v>
      </c>
      <c r="W219" s="20">
        <f t="shared" si="406"/>
        <v>1000</v>
      </c>
      <c r="X219" s="20">
        <f t="shared" si="406"/>
        <v>2</v>
      </c>
      <c r="Y219" s="20">
        <v>0</v>
      </c>
      <c r="Z219" s="20">
        <f t="shared" si="402"/>
        <v>57</v>
      </c>
      <c r="AA219" s="20">
        <v>0</v>
      </c>
      <c r="AB219" s="20">
        <v>0</v>
      </c>
      <c r="AC219" s="20">
        <v>0</v>
      </c>
      <c r="AD219" s="23">
        <f t="shared" ref="AD219:AE219" si="407">AD189</f>
        <v>14</v>
      </c>
      <c r="AE219" s="23">
        <f t="shared" si="407"/>
        <v>18</v>
      </c>
    </row>
    <row r="220" spans="1:31">
      <c r="A220" s="4">
        <v>2002</v>
      </c>
      <c r="B220" s="20">
        <v>9</v>
      </c>
      <c r="C220" s="19" t="s">
        <v>74</v>
      </c>
      <c r="D220" s="44">
        <v>0</v>
      </c>
      <c r="E220" s="18">
        <f t="shared" si="400"/>
        <v>408</v>
      </c>
      <c r="F220" s="18">
        <v>0</v>
      </c>
      <c r="G220" s="18">
        <v>0</v>
      </c>
      <c r="H220" s="45">
        <v>0</v>
      </c>
      <c r="I220" s="21">
        <f t="shared" si="285"/>
        <v>165</v>
      </c>
      <c r="J220" s="21">
        <f t="shared" si="371"/>
        <v>8</v>
      </c>
      <c r="K220" s="21">
        <v>0</v>
      </c>
      <c r="L220" s="20">
        <v>8</v>
      </c>
      <c r="M220" s="20">
        <v>0</v>
      </c>
      <c r="N220" s="20">
        <f t="shared" si="286"/>
        <v>900</v>
      </c>
      <c r="O220" s="19" t="s">
        <v>74</v>
      </c>
      <c r="P220" s="20">
        <v>1518</v>
      </c>
      <c r="Q220" s="20">
        <f t="shared" ref="Q220:X220" si="408">Q190</f>
        <v>90</v>
      </c>
      <c r="R220" s="20">
        <f t="shared" si="408"/>
        <v>360</v>
      </c>
      <c r="S220" s="20">
        <f t="shared" si="408"/>
        <v>630</v>
      </c>
      <c r="T220" s="20">
        <f t="shared" si="408"/>
        <v>810</v>
      </c>
      <c r="U220" s="20">
        <f t="shared" si="408"/>
        <v>120</v>
      </c>
      <c r="V220" s="20">
        <f t="shared" si="408"/>
        <v>1500</v>
      </c>
      <c r="W220" s="20">
        <f t="shared" si="408"/>
        <v>1000</v>
      </c>
      <c r="X220" s="20">
        <f t="shared" si="408"/>
        <v>3</v>
      </c>
      <c r="Y220" s="20">
        <v>0</v>
      </c>
      <c r="Z220" s="20">
        <f t="shared" si="402"/>
        <v>0</v>
      </c>
      <c r="AA220" s="20">
        <v>0</v>
      </c>
      <c r="AB220" s="20">
        <v>0</v>
      </c>
      <c r="AC220" s="20">
        <v>0</v>
      </c>
      <c r="AD220" s="23">
        <f t="shared" ref="AD220:AE220" si="409">AD190</f>
        <v>16</v>
      </c>
      <c r="AE220" s="23">
        <f t="shared" si="409"/>
        <v>20</v>
      </c>
    </row>
    <row r="221" spans="1:31">
      <c r="A221" s="4">
        <v>2002</v>
      </c>
      <c r="B221" s="20">
        <v>10</v>
      </c>
      <c r="C221" s="19" t="s">
        <v>75</v>
      </c>
      <c r="D221" s="44">
        <v>0</v>
      </c>
      <c r="E221" s="18">
        <f t="shared" si="400"/>
        <v>441</v>
      </c>
      <c r="F221" s="18">
        <v>0</v>
      </c>
      <c r="G221" s="18">
        <v>0</v>
      </c>
      <c r="H221" s="45">
        <v>0</v>
      </c>
      <c r="I221" s="21">
        <f t="shared" si="285"/>
        <v>165</v>
      </c>
      <c r="J221" s="21">
        <f t="shared" si="371"/>
        <v>9</v>
      </c>
      <c r="K221" s="21">
        <v>0</v>
      </c>
      <c r="L221" s="20">
        <v>6</v>
      </c>
      <c r="M221" s="20">
        <v>0</v>
      </c>
      <c r="N221" s="20">
        <f t="shared" si="286"/>
        <v>2000</v>
      </c>
      <c r="O221" s="19" t="s">
        <v>75</v>
      </c>
      <c r="P221" s="20">
        <v>861</v>
      </c>
      <c r="Q221" s="20">
        <f t="shared" ref="Q221:X221" si="410">Q191</f>
        <v>200</v>
      </c>
      <c r="R221" s="20">
        <f t="shared" si="410"/>
        <v>800</v>
      </c>
      <c r="S221" s="20">
        <f t="shared" si="410"/>
        <v>1400</v>
      </c>
      <c r="T221" s="20">
        <f t="shared" si="410"/>
        <v>1800</v>
      </c>
      <c r="U221" s="20">
        <f t="shared" si="410"/>
        <v>150</v>
      </c>
      <c r="V221" s="20">
        <f t="shared" si="410"/>
        <v>5000</v>
      </c>
      <c r="W221" s="20">
        <f t="shared" si="410"/>
        <v>800</v>
      </c>
      <c r="X221" s="20">
        <f t="shared" si="410"/>
        <v>3</v>
      </c>
      <c r="Y221" s="20">
        <v>0</v>
      </c>
      <c r="Z221" s="20">
        <f t="shared" si="402"/>
        <v>0</v>
      </c>
      <c r="AA221" s="20">
        <v>0</v>
      </c>
      <c r="AB221" s="20">
        <v>0</v>
      </c>
      <c r="AC221" s="20">
        <v>0</v>
      </c>
      <c r="AD221" s="23">
        <f t="shared" ref="AD221:AE221" si="411">AD191</f>
        <v>18</v>
      </c>
      <c r="AE221" s="23">
        <f t="shared" si="411"/>
        <v>22</v>
      </c>
    </row>
    <row r="222" spans="1:31">
      <c r="A222" s="4">
        <v>2002</v>
      </c>
      <c r="B222" s="20">
        <v>11</v>
      </c>
      <c r="C222" s="19" t="s">
        <v>66</v>
      </c>
      <c r="D222" s="44">
        <v>0</v>
      </c>
      <c r="E222" s="18">
        <f t="shared" si="400"/>
        <v>477</v>
      </c>
      <c r="F222" s="18">
        <v>0</v>
      </c>
      <c r="G222" s="18">
        <v>0</v>
      </c>
      <c r="H222" s="45">
        <v>0</v>
      </c>
      <c r="I222" s="21">
        <f t="shared" si="285"/>
        <v>165</v>
      </c>
      <c r="J222" s="21">
        <f t="shared" si="371"/>
        <v>10</v>
      </c>
      <c r="K222" s="21">
        <v>0</v>
      </c>
      <c r="L222" s="20">
        <v>6</v>
      </c>
      <c r="M222" s="20">
        <v>0</v>
      </c>
      <c r="N222" s="20">
        <f t="shared" si="286"/>
        <v>2200</v>
      </c>
      <c r="O222" s="19" t="s">
        <v>66</v>
      </c>
      <c r="P222" s="20">
        <v>9400</v>
      </c>
      <c r="Q222" s="20">
        <f t="shared" ref="Q222:X222" si="412">Q192</f>
        <v>220</v>
      </c>
      <c r="R222" s="20">
        <f t="shared" si="412"/>
        <v>880</v>
      </c>
      <c r="S222" s="20">
        <f t="shared" si="412"/>
        <v>1540</v>
      </c>
      <c r="T222" s="20">
        <f t="shared" si="412"/>
        <v>1980</v>
      </c>
      <c r="U222" s="20">
        <f t="shared" si="412"/>
        <v>100</v>
      </c>
      <c r="V222" s="20">
        <f t="shared" si="412"/>
        <v>800</v>
      </c>
      <c r="W222" s="20">
        <f t="shared" si="412"/>
        <v>600</v>
      </c>
      <c r="X222" s="20">
        <f t="shared" si="412"/>
        <v>3</v>
      </c>
      <c r="Y222" s="20">
        <v>0</v>
      </c>
      <c r="Z222" s="20">
        <f t="shared" si="402"/>
        <v>0</v>
      </c>
      <c r="AA222" s="20">
        <v>0</v>
      </c>
      <c r="AB222" s="20">
        <v>0</v>
      </c>
      <c r="AC222" s="20">
        <v>0</v>
      </c>
      <c r="AD222" s="23">
        <f t="shared" ref="AD222:AE222" si="413">AD192</f>
        <v>20</v>
      </c>
      <c r="AE222" s="23">
        <f t="shared" si="413"/>
        <v>24</v>
      </c>
    </row>
    <row r="223" spans="1:31">
      <c r="A223" s="4">
        <v>2002</v>
      </c>
      <c r="B223" s="20">
        <v>12</v>
      </c>
      <c r="C223" s="19" t="s">
        <v>67</v>
      </c>
      <c r="D223" s="44">
        <v>0</v>
      </c>
      <c r="E223" s="18">
        <f t="shared" si="400"/>
        <v>516</v>
      </c>
      <c r="F223" s="18">
        <v>0</v>
      </c>
      <c r="G223" s="18">
        <v>0</v>
      </c>
      <c r="H223" s="45">
        <v>0</v>
      </c>
      <c r="I223" s="21">
        <f t="shared" si="285"/>
        <v>165</v>
      </c>
      <c r="J223" s="21">
        <f t="shared" si="371"/>
        <v>11</v>
      </c>
      <c r="K223" s="21">
        <v>0</v>
      </c>
      <c r="L223" s="20">
        <v>6</v>
      </c>
      <c r="M223" s="20">
        <v>0</v>
      </c>
      <c r="N223" s="20">
        <f t="shared" si="286"/>
        <v>2400</v>
      </c>
      <c r="O223" s="19" t="s">
        <v>67</v>
      </c>
      <c r="P223" s="20">
        <v>9100</v>
      </c>
      <c r="Q223" s="20">
        <f t="shared" ref="Q223:X223" si="414">Q193</f>
        <v>240</v>
      </c>
      <c r="R223" s="20">
        <f t="shared" si="414"/>
        <v>960</v>
      </c>
      <c r="S223" s="20">
        <f t="shared" si="414"/>
        <v>1680</v>
      </c>
      <c r="T223" s="20">
        <f t="shared" si="414"/>
        <v>2160</v>
      </c>
      <c r="U223" s="20">
        <f t="shared" si="414"/>
        <v>150</v>
      </c>
      <c r="V223" s="20">
        <f t="shared" si="414"/>
        <v>700</v>
      </c>
      <c r="W223" s="20">
        <f t="shared" si="414"/>
        <v>900</v>
      </c>
      <c r="X223" s="20">
        <f t="shared" si="414"/>
        <v>3</v>
      </c>
      <c r="Y223" s="20">
        <v>0</v>
      </c>
      <c r="Z223" s="20">
        <f t="shared" si="402"/>
        <v>0</v>
      </c>
      <c r="AA223" s="20">
        <v>0</v>
      </c>
      <c r="AB223" s="20">
        <v>0</v>
      </c>
      <c r="AC223" s="20">
        <v>0</v>
      </c>
      <c r="AD223" s="23">
        <f t="shared" ref="AD223:AE223" si="415">AD193</f>
        <v>22</v>
      </c>
      <c r="AE223" s="23">
        <f t="shared" si="415"/>
        <v>26</v>
      </c>
    </row>
    <row r="224" spans="1:31">
      <c r="A224" s="4">
        <v>2002</v>
      </c>
      <c r="B224" s="20">
        <v>13</v>
      </c>
      <c r="C224" s="19" t="s">
        <v>68</v>
      </c>
      <c r="D224" s="44">
        <v>0</v>
      </c>
      <c r="E224" s="18">
        <f t="shared" si="400"/>
        <v>561</v>
      </c>
      <c r="F224" s="18">
        <v>0</v>
      </c>
      <c r="G224" s="18">
        <v>0</v>
      </c>
      <c r="H224" s="45">
        <v>0</v>
      </c>
      <c r="I224" s="21">
        <f t="shared" si="285"/>
        <v>220</v>
      </c>
      <c r="J224" s="21">
        <f t="shared" si="371"/>
        <v>12</v>
      </c>
      <c r="K224" s="21">
        <v>0</v>
      </c>
      <c r="L224" s="20">
        <v>6</v>
      </c>
      <c r="M224" s="20">
        <v>0</v>
      </c>
      <c r="N224" s="20">
        <f t="shared" si="286"/>
        <v>2600</v>
      </c>
      <c r="O224" s="19" t="s">
        <v>68</v>
      </c>
      <c r="P224" s="20">
        <v>8600</v>
      </c>
      <c r="Q224" s="20">
        <f t="shared" ref="Q224:X224" si="416">Q194</f>
        <v>260</v>
      </c>
      <c r="R224" s="20">
        <f t="shared" si="416"/>
        <v>1040</v>
      </c>
      <c r="S224" s="20">
        <f t="shared" si="416"/>
        <v>1819.9999999999998</v>
      </c>
      <c r="T224" s="20">
        <f t="shared" si="416"/>
        <v>2340</v>
      </c>
      <c r="U224" s="20">
        <f t="shared" si="416"/>
        <v>100</v>
      </c>
      <c r="V224" s="20">
        <f t="shared" si="416"/>
        <v>700</v>
      </c>
      <c r="W224" s="20">
        <f t="shared" si="416"/>
        <v>1000</v>
      </c>
      <c r="X224" s="20">
        <f t="shared" si="416"/>
        <v>4</v>
      </c>
      <c r="Y224" s="20">
        <v>0</v>
      </c>
      <c r="Z224" s="20">
        <f t="shared" si="402"/>
        <v>115</v>
      </c>
      <c r="AA224" s="20">
        <v>0</v>
      </c>
      <c r="AB224" s="20">
        <v>0</v>
      </c>
      <c r="AC224" s="20">
        <v>0</v>
      </c>
      <c r="AD224" s="23">
        <f t="shared" ref="AD224:AE224" si="417">AD194</f>
        <v>24</v>
      </c>
      <c r="AE224" s="23">
        <f t="shared" si="417"/>
        <v>28</v>
      </c>
    </row>
    <row r="225" spans="1:31">
      <c r="A225" s="4">
        <v>2002</v>
      </c>
      <c r="B225" s="20">
        <v>14</v>
      </c>
      <c r="C225" s="19" t="s">
        <v>69</v>
      </c>
      <c r="D225" s="44">
        <v>0</v>
      </c>
      <c r="E225" s="18">
        <f t="shared" si="400"/>
        <v>606</v>
      </c>
      <c r="F225" s="18">
        <v>0</v>
      </c>
      <c r="G225" s="18">
        <v>0</v>
      </c>
      <c r="H225" s="45">
        <v>0</v>
      </c>
      <c r="I225" s="21">
        <f t="shared" ref="I225:I288" si="418">I195</f>
        <v>220</v>
      </c>
      <c r="J225" s="21">
        <f t="shared" si="371"/>
        <v>13</v>
      </c>
      <c r="K225" s="21">
        <v>0</v>
      </c>
      <c r="L225" s="20">
        <v>6</v>
      </c>
      <c r="M225" s="20">
        <v>0</v>
      </c>
      <c r="N225" s="20">
        <f t="shared" ref="N225:N288" si="419">N195</f>
        <v>2800</v>
      </c>
      <c r="O225" s="19" t="s">
        <v>69</v>
      </c>
      <c r="P225" s="20">
        <v>6400</v>
      </c>
      <c r="Q225" s="20">
        <f t="shared" ref="Q225:X225" si="420">Q195</f>
        <v>280</v>
      </c>
      <c r="R225" s="20">
        <f t="shared" si="420"/>
        <v>1120</v>
      </c>
      <c r="S225" s="20">
        <f t="shared" si="420"/>
        <v>1959.9999999999998</v>
      </c>
      <c r="T225" s="20">
        <f t="shared" si="420"/>
        <v>2520</v>
      </c>
      <c r="U225" s="20">
        <f t="shared" si="420"/>
        <v>100</v>
      </c>
      <c r="V225" s="20">
        <f t="shared" si="420"/>
        <v>400</v>
      </c>
      <c r="W225" s="20">
        <f t="shared" si="420"/>
        <v>1200</v>
      </c>
      <c r="X225" s="20">
        <f t="shared" si="420"/>
        <v>4</v>
      </c>
      <c r="Y225" s="20">
        <v>0</v>
      </c>
      <c r="Z225" s="20">
        <f t="shared" si="402"/>
        <v>0</v>
      </c>
      <c r="AA225" s="20">
        <v>0</v>
      </c>
      <c r="AB225" s="20">
        <v>0</v>
      </c>
      <c r="AC225" s="20">
        <v>0</v>
      </c>
      <c r="AD225" s="23">
        <f t="shared" ref="AD225:AE225" si="421">AD195</f>
        <v>26</v>
      </c>
      <c r="AE225" s="23">
        <f t="shared" si="421"/>
        <v>30</v>
      </c>
    </row>
    <row r="226" spans="1:31">
      <c r="A226" s="4">
        <v>2002</v>
      </c>
      <c r="B226" s="20">
        <v>15</v>
      </c>
      <c r="C226" s="19" t="s">
        <v>70</v>
      </c>
      <c r="D226" s="44">
        <v>0</v>
      </c>
      <c r="E226" s="18">
        <f t="shared" si="400"/>
        <v>657</v>
      </c>
      <c r="F226" s="18">
        <v>0</v>
      </c>
      <c r="G226" s="18">
        <v>0</v>
      </c>
      <c r="H226" s="45">
        <v>0</v>
      </c>
      <c r="I226" s="21">
        <f t="shared" si="418"/>
        <v>220</v>
      </c>
      <c r="J226" s="21">
        <f t="shared" si="371"/>
        <v>14</v>
      </c>
      <c r="K226" s="21">
        <v>0</v>
      </c>
      <c r="L226" s="20">
        <v>6</v>
      </c>
      <c r="M226" s="20">
        <v>0</v>
      </c>
      <c r="N226" s="20">
        <f t="shared" si="419"/>
        <v>4500</v>
      </c>
      <c r="O226" s="19" t="s">
        <v>70</v>
      </c>
      <c r="P226" s="20">
        <v>3100</v>
      </c>
      <c r="Q226" s="20">
        <f t="shared" ref="Q226:X226" si="422">Q196</f>
        <v>450</v>
      </c>
      <c r="R226" s="20">
        <f t="shared" si="422"/>
        <v>1800</v>
      </c>
      <c r="S226" s="20">
        <f t="shared" si="422"/>
        <v>3150</v>
      </c>
      <c r="T226" s="20">
        <f t="shared" si="422"/>
        <v>4050</v>
      </c>
      <c r="U226" s="20">
        <f t="shared" si="422"/>
        <v>100</v>
      </c>
      <c r="V226" s="20">
        <f t="shared" si="422"/>
        <v>1000</v>
      </c>
      <c r="W226" s="20">
        <f t="shared" si="422"/>
        <v>600</v>
      </c>
      <c r="X226" s="20">
        <f t="shared" si="422"/>
        <v>4</v>
      </c>
      <c r="Y226" s="20">
        <v>0</v>
      </c>
      <c r="Z226" s="20">
        <f t="shared" si="402"/>
        <v>0</v>
      </c>
      <c r="AA226" s="20">
        <v>0</v>
      </c>
      <c r="AB226" s="20">
        <v>0</v>
      </c>
      <c r="AC226" s="20">
        <v>0</v>
      </c>
      <c r="AD226" s="23">
        <f t="shared" ref="AD226:AE226" si="423">AD196</f>
        <v>28</v>
      </c>
      <c r="AE226" s="23">
        <f t="shared" si="423"/>
        <v>32</v>
      </c>
    </row>
    <row r="227" spans="1:31">
      <c r="A227" s="4">
        <v>2002</v>
      </c>
      <c r="B227" s="20">
        <v>16</v>
      </c>
      <c r="C227" s="19" t="s">
        <v>71</v>
      </c>
      <c r="D227" s="44">
        <v>0</v>
      </c>
      <c r="E227" s="18">
        <f t="shared" si="400"/>
        <v>711</v>
      </c>
      <c r="F227" s="18">
        <v>0</v>
      </c>
      <c r="G227" s="18">
        <v>0</v>
      </c>
      <c r="H227" s="45">
        <v>0</v>
      </c>
      <c r="I227" s="21">
        <f t="shared" si="418"/>
        <v>220</v>
      </c>
      <c r="J227" s="21">
        <f t="shared" si="371"/>
        <v>15</v>
      </c>
      <c r="K227" s="21">
        <v>0</v>
      </c>
      <c r="L227" s="20">
        <v>6</v>
      </c>
      <c r="M227" s="20">
        <v>0</v>
      </c>
      <c r="N227" s="20">
        <f t="shared" si="419"/>
        <v>4800</v>
      </c>
      <c r="O227" s="19" t="s">
        <v>71</v>
      </c>
      <c r="P227" s="20">
        <v>1777</v>
      </c>
      <c r="Q227" s="20">
        <f t="shared" ref="Q227:X227" si="424">Q197</f>
        <v>480</v>
      </c>
      <c r="R227" s="20">
        <f t="shared" si="424"/>
        <v>1920</v>
      </c>
      <c r="S227" s="20">
        <f t="shared" si="424"/>
        <v>3360</v>
      </c>
      <c r="T227" s="20">
        <f t="shared" si="424"/>
        <v>4320</v>
      </c>
      <c r="U227" s="20">
        <f t="shared" si="424"/>
        <v>100</v>
      </c>
      <c r="V227" s="20">
        <f t="shared" si="424"/>
        <v>800</v>
      </c>
      <c r="W227" s="20">
        <f t="shared" si="424"/>
        <v>800</v>
      </c>
      <c r="X227" s="20">
        <f t="shared" si="424"/>
        <v>4</v>
      </c>
      <c r="Y227" s="20">
        <v>0</v>
      </c>
      <c r="Z227" s="20">
        <f t="shared" si="402"/>
        <v>0</v>
      </c>
      <c r="AA227" s="20">
        <v>0</v>
      </c>
      <c r="AB227" s="20">
        <v>0</v>
      </c>
      <c r="AC227" s="20">
        <v>0</v>
      </c>
      <c r="AD227" s="23">
        <f t="shared" ref="AD227:AE227" si="425">AD197</f>
        <v>30</v>
      </c>
      <c r="AE227" s="23">
        <f t="shared" si="425"/>
        <v>34</v>
      </c>
    </row>
    <row r="228" spans="1:31">
      <c r="A228" s="4">
        <v>2002</v>
      </c>
      <c r="B228" s="20">
        <v>17</v>
      </c>
      <c r="C228" s="19" t="s">
        <v>72</v>
      </c>
      <c r="D228" s="44">
        <v>0</v>
      </c>
      <c r="E228" s="18">
        <f t="shared" si="400"/>
        <v>768</v>
      </c>
      <c r="F228" s="18">
        <v>0</v>
      </c>
      <c r="G228" s="18">
        <v>0</v>
      </c>
      <c r="H228" s="45">
        <v>0</v>
      </c>
      <c r="I228" s="21">
        <f t="shared" si="418"/>
        <v>275</v>
      </c>
      <c r="J228" s="21">
        <f t="shared" si="371"/>
        <v>16</v>
      </c>
      <c r="K228" s="21">
        <v>0</v>
      </c>
      <c r="L228" s="20">
        <v>6</v>
      </c>
      <c r="M228" s="20">
        <v>0</v>
      </c>
      <c r="N228" s="20">
        <f t="shared" si="419"/>
        <v>5100</v>
      </c>
      <c r="O228" s="19" t="s">
        <v>72</v>
      </c>
      <c r="P228" s="20">
        <v>2332</v>
      </c>
      <c r="Q228" s="20">
        <f t="shared" ref="Q228:X228" si="426">Q198</f>
        <v>510</v>
      </c>
      <c r="R228" s="20">
        <f t="shared" si="426"/>
        <v>2040</v>
      </c>
      <c r="S228" s="20">
        <f t="shared" si="426"/>
        <v>3570</v>
      </c>
      <c r="T228" s="20">
        <f t="shared" si="426"/>
        <v>4590</v>
      </c>
      <c r="U228" s="20">
        <f t="shared" si="426"/>
        <v>80</v>
      </c>
      <c r="V228" s="20">
        <f t="shared" si="426"/>
        <v>800</v>
      </c>
      <c r="W228" s="20">
        <f t="shared" si="426"/>
        <v>600</v>
      </c>
      <c r="X228" s="20">
        <f t="shared" si="426"/>
        <v>5</v>
      </c>
      <c r="Y228" s="20">
        <v>0</v>
      </c>
      <c r="Z228" s="20">
        <f t="shared" si="402"/>
        <v>0</v>
      </c>
      <c r="AA228" s="20">
        <v>0</v>
      </c>
      <c r="AB228" s="20">
        <v>0</v>
      </c>
      <c r="AC228" s="20">
        <v>0</v>
      </c>
      <c r="AD228" s="23">
        <f t="shared" ref="AD228:AE228" si="427">AD198</f>
        <v>32</v>
      </c>
      <c r="AE228" s="23">
        <f t="shared" si="427"/>
        <v>36</v>
      </c>
    </row>
    <row r="229" spans="1:31">
      <c r="A229" s="4">
        <v>2002</v>
      </c>
      <c r="B229" s="20">
        <v>18</v>
      </c>
      <c r="C229" s="19" t="s">
        <v>73</v>
      </c>
      <c r="D229" s="44">
        <v>0</v>
      </c>
      <c r="E229" s="18">
        <f t="shared" si="400"/>
        <v>834</v>
      </c>
      <c r="F229" s="18">
        <v>0</v>
      </c>
      <c r="G229" s="18">
        <v>0</v>
      </c>
      <c r="H229" s="45">
        <v>0</v>
      </c>
      <c r="I229" s="21">
        <f t="shared" si="418"/>
        <v>275</v>
      </c>
      <c r="J229" s="21">
        <f t="shared" si="371"/>
        <v>17</v>
      </c>
      <c r="K229" s="21">
        <v>0</v>
      </c>
      <c r="L229" s="20">
        <v>6</v>
      </c>
      <c r="M229" s="20">
        <v>0</v>
      </c>
      <c r="N229" s="20">
        <f t="shared" si="419"/>
        <v>5400</v>
      </c>
      <c r="O229" s="19" t="s">
        <v>73</v>
      </c>
      <c r="P229" s="20">
        <v>1487</v>
      </c>
      <c r="Q229" s="20">
        <f t="shared" ref="Q229:X229" si="428">Q199</f>
        <v>540</v>
      </c>
      <c r="R229" s="20">
        <f t="shared" si="428"/>
        <v>2160</v>
      </c>
      <c r="S229" s="20">
        <f t="shared" si="428"/>
        <v>3779.9999999999995</v>
      </c>
      <c r="T229" s="20">
        <f t="shared" si="428"/>
        <v>4860</v>
      </c>
      <c r="U229" s="20">
        <f t="shared" si="428"/>
        <v>100</v>
      </c>
      <c r="V229" s="20">
        <f t="shared" si="428"/>
        <v>600</v>
      </c>
      <c r="W229" s="20">
        <f t="shared" si="428"/>
        <v>300</v>
      </c>
      <c r="X229" s="20">
        <f t="shared" si="428"/>
        <v>5</v>
      </c>
      <c r="Y229" s="20">
        <v>0</v>
      </c>
      <c r="Z229" s="20">
        <f t="shared" si="402"/>
        <v>172</v>
      </c>
      <c r="AA229" s="20">
        <v>0</v>
      </c>
      <c r="AB229" s="20">
        <v>0</v>
      </c>
      <c r="AC229" s="20">
        <v>0</v>
      </c>
      <c r="AD229" s="23">
        <f t="shared" ref="AD229:AE229" si="429">AD199</f>
        <v>34</v>
      </c>
      <c r="AE229" s="23">
        <f t="shared" si="429"/>
        <v>38</v>
      </c>
    </row>
    <row r="230" spans="1:31">
      <c r="A230" s="8">
        <v>2002</v>
      </c>
      <c r="B230" s="20">
        <v>19</v>
      </c>
      <c r="C230" s="19" t="s">
        <v>74</v>
      </c>
      <c r="D230" s="44">
        <v>0</v>
      </c>
      <c r="E230" s="18">
        <f t="shared" si="400"/>
        <v>903</v>
      </c>
      <c r="F230" s="18">
        <v>0</v>
      </c>
      <c r="G230" s="18">
        <v>0</v>
      </c>
      <c r="H230" s="45">
        <v>0</v>
      </c>
      <c r="I230" s="21">
        <f t="shared" si="418"/>
        <v>275</v>
      </c>
      <c r="J230" s="21">
        <f t="shared" si="371"/>
        <v>18</v>
      </c>
      <c r="K230" s="21">
        <v>0</v>
      </c>
      <c r="L230" s="20">
        <v>6</v>
      </c>
      <c r="M230" s="20">
        <v>0</v>
      </c>
      <c r="N230" s="20">
        <f t="shared" si="419"/>
        <v>5700</v>
      </c>
      <c r="O230" s="19" t="s">
        <v>74</v>
      </c>
      <c r="P230" s="20">
        <v>1518</v>
      </c>
      <c r="Q230" s="20">
        <f t="shared" ref="Q230:X230" si="430">Q200</f>
        <v>570</v>
      </c>
      <c r="R230" s="20">
        <f t="shared" si="430"/>
        <v>2280</v>
      </c>
      <c r="S230" s="20">
        <f t="shared" si="430"/>
        <v>3989.9999999999995</v>
      </c>
      <c r="T230" s="20">
        <f t="shared" si="430"/>
        <v>5130</v>
      </c>
      <c r="U230" s="20">
        <f t="shared" si="430"/>
        <v>100</v>
      </c>
      <c r="V230" s="20">
        <f t="shared" si="430"/>
        <v>500</v>
      </c>
      <c r="W230" s="20">
        <f t="shared" si="430"/>
        <v>400</v>
      </c>
      <c r="X230" s="20">
        <f t="shared" si="430"/>
        <v>5</v>
      </c>
      <c r="Y230" s="20">
        <v>0</v>
      </c>
      <c r="Z230" s="20">
        <f t="shared" si="402"/>
        <v>0</v>
      </c>
      <c r="AA230" s="20">
        <v>0</v>
      </c>
      <c r="AB230" s="20">
        <v>0</v>
      </c>
      <c r="AC230" s="20">
        <v>0</v>
      </c>
      <c r="AD230" s="23">
        <f t="shared" ref="AD230:AE230" si="431">AD200</f>
        <v>36</v>
      </c>
      <c r="AE230" s="23">
        <f t="shared" si="431"/>
        <v>40</v>
      </c>
    </row>
    <row r="231" spans="1:31">
      <c r="A231" s="4">
        <v>2002</v>
      </c>
      <c r="B231" s="20">
        <v>20</v>
      </c>
      <c r="C231" s="19" t="s">
        <v>75</v>
      </c>
      <c r="D231" s="44">
        <v>0</v>
      </c>
      <c r="E231" s="18">
        <f t="shared" si="400"/>
        <v>975</v>
      </c>
      <c r="F231" s="18">
        <v>0</v>
      </c>
      <c r="G231" s="18">
        <v>0</v>
      </c>
      <c r="H231" s="45">
        <v>0</v>
      </c>
      <c r="I231" s="21">
        <f t="shared" si="418"/>
        <v>275</v>
      </c>
      <c r="J231" s="21">
        <f t="shared" si="371"/>
        <v>19</v>
      </c>
      <c r="K231" s="21">
        <v>0</v>
      </c>
      <c r="L231" s="20">
        <v>6</v>
      </c>
      <c r="M231" s="20">
        <v>0</v>
      </c>
      <c r="N231" s="20">
        <f t="shared" si="419"/>
        <v>8000</v>
      </c>
      <c r="O231" s="19" t="s">
        <v>75</v>
      </c>
      <c r="P231" s="20">
        <v>861</v>
      </c>
      <c r="Q231" s="20">
        <f t="shared" ref="Q231:X231" si="432">Q201</f>
        <v>800</v>
      </c>
      <c r="R231" s="20">
        <f t="shared" si="432"/>
        <v>3200</v>
      </c>
      <c r="S231" s="20">
        <f t="shared" si="432"/>
        <v>5600</v>
      </c>
      <c r="T231" s="20">
        <f t="shared" si="432"/>
        <v>7200</v>
      </c>
      <c r="U231" s="20">
        <f t="shared" si="432"/>
        <v>100</v>
      </c>
      <c r="V231" s="20">
        <f t="shared" si="432"/>
        <v>800</v>
      </c>
      <c r="W231" s="20">
        <f t="shared" si="432"/>
        <v>8000</v>
      </c>
      <c r="X231" s="20">
        <f t="shared" si="432"/>
        <v>5</v>
      </c>
      <c r="Y231" s="20">
        <v>0</v>
      </c>
      <c r="Z231" s="20">
        <f t="shared" si="402"/>
        <v>0</v>
      </c>
      <c r="AA231" s="20">
        <v>0</v>
      </c>
      <c r="AB231" s="20">
        <v>0</v>
      </c>
      <c r="AC231" s="20">
        <v>0</v>
      </c>
      <c r="AD231" s="23">
        <f t="shared" ref="AD231:AE231" si="433">AD201</f>
        <v>38</v>
      </c>
      <c r="AE231" s="23">
        <f t="shared" si="433"/>
        <v>42</v>
      </c>
    </row>
    <row r="232" spans="1:31">
      <c r="A232" s="4">
        <v>2002</v>
      </c>
      <c r="B232" s="20">
        <v>21</v>
      </c>
      <c r="C232" s="19" t="s">
        <v>66</v>
      </c>
      <c r="D232" s="44">
        <v>0</v>
      </c>
      <c r="E232" s="18">
        <f t="shared" si="400"/>
        <v>1056</v>
      </c>
      <c r="F232" s="18">
        <v>0</v>
      </c>
      <c r="G232" s="18">
        <v>0</v>
      </c>
      <c r="H232" s="45">
        <v>0</v>
      </c>
      <c r="I232" s="21">
        <f t="shared" si="418"/>
        <v>330</v>
      </c>
      <c r="J232" s="21">
        <f t="shared" si="371"/>
        <v>20</v>
      </c>
      <c r="K232" s="21">
        <v>0</v>
      </c>
      <c r="L232" s="20">
        <v>6</v>
      </c>
      <c r="M232" s="20">
        <v>0</v>
      </c>
      <c r="N232" s="20">
        <f t="shared" si="419"/>
        <v>8400</v>
      </c>
      <c r="O232" s="19" t="s">
        <v>66</v>
      </c>
      <c r="P232" s="20">
        <v>9400</v>
      </c>
      <c r="Q232" s="20">
        <f t="shared" ref="Q232:X232" si="434">Q202</f>
        <v>840</v>
      </c>
      <c r="R232" s="20">
        <f t="shared" si="434"/>
        <v>3360</v>
      </c>
      <c r="S232" s="20">
        <f t="shared" si="434"/>
        <v>5880</v>
      </c>
      <c r="T232" s="20">
        <f t="shared" si="434"/>
        <v>7560</v>
      </c>
      <c r="U232" s="20">
        <f t="shared" si="434"/>
        <v>50</v>
      </c>
      <c r="V232" s="20">
        <f t="shared" si="434"/>
        <v>1000</v>
      </c>
      <c r="W232" s="20">
        <f t="shared" si="434"/>
        <v>600</v>
      </c>
      <c r="X232" s="20">
        <f t="shared" si="434"/>
        <v>6</v>
      </c>
      <c r="Y232" s="20">
        <v>0</v>
      </c>
      <c r="Z232" s="20">
        <f t="shared" si="402"/>
        <v>0</v>
      </c>
      <c r="AA232" s="20">
        <v>0</v>
      </c>
      <c r="AB232" s="20">
        <v>0</v>
      </c>
      <c r="AC232" s="20">
        <v>0</v>
      </c>
      <c r="AD232" s="23">
        <f t="shared" ref="AD232:AE232" si="435">AD202</f>
        <v>40</v>
      </c>
      <c r="AE232" s="23">
        <f t="shared" si="435"/>
        <v>44</v>
      </c>
    </row>
    <row r="233" spans="1:31">
      <c r="A233" s="4">
        <v>2002</v>
      </c>
      <c r="B233" s="20">
        <v>22</v>
      </c>
      <c r="C233" s="19" t="s">
        <v>67</v>
      </c>
      <c r="D233" s="44">
        <v>0</v>
      </c>
      <c r="E233" s="18">
        <f t="shared" si="400"/>
        <v>1143</v>
      </c>
      <c r="F233" s="18">
        <v>0</v>
      </c>
      <c r="G233" s="18">
        <v>0</v>
      </c>
      <c r="H233" s="45">
        <v>0</v>
      </c>
      <c r="I233" s="21">
        <f t="shared" si="418"/>
        <v>330</v>
      </c>
      <c r="J233" s="21">
        <f t="shared" si="371"/>
        <v>21</v>
      </c>
      <c r="K233" s="21">
        <v>0</v>
      </c>
      <c r="L233" s="20">
        <v>6</v>
      </c>
      <c r="M233" s="20">
        <v>0</v>
      </c>
      <c r="N233" s="20">
        <f t="shared" si="419"/>
        <v>8800</v>
      </c>
      <c r="O233" s="19" t="s">
        <v>67</v>
      </c>
      <c r="P233" s="20">
        <v>9100</v>
      </c>
      <c r="Q233" s="20">
        <f t="shared" ref="Q233:X233" si="436">Q203</f>
        <v>880</v>
      </c>
      <c r="R233" s="20">
        <f t="shared" si="436"/>
        <v>3520</v>
      </c>
      <c r="S233" s="20">
        <f t="shared" si="436"/>
        <v>6160</v>
      </c>
      <c r="T233" s="20">
        <f t="shared" si="436"/>
        <v>7920</v>
      </c>
      <c r="U233" s="20">
        <f t="shared" si="436"/>
        <v>100</v>
      </c>
      <c r="V233" s="20">
        <f t="shared" si="436"/>
        <v>600</v>
      </c>
      <c r="W233" s="20">
        <f t="shared" si="436"/>
        <v>700</v>
      </c>
      <c r="X233" s="20">
        <f t="shared" si="436"/>
        <v>6</v>
      </c>
      <c r="Y233" s="20">
        <v>0</v>
      </c>
      <c r="Z233" s="20">
        <f t="shared" si="402"/>
        <v>0</v>
      </c>
      <c r="AA233" s="20">
        <v>0</v>
      </c>
      <c r="AB233" s="20">
        <v>0</v>
      </c>
      <c r="AC233" s="20">
        <v>0</v>
      </c>
      <c r="AD233" s="23">
        <f t="shared" ref="AD233:AE233" si="437">AD203</f>
        <v>42</v>
      </c>
      <c r="AE233" s="23">
        <f t="shared" si="437"/>
        <v>46</v>
      </c>
    </row>
    <row r="234" spans="1:31">
      <c r="A234" s="4">
        <v>2002</v>
      </c>
      <c r="B234" s="20">
        <v>23</v>
      </c>
      <c r="C234" s="19" t="s">
        <v>68</v>
      </c>
      <c r="D234" s="44">
        <v>0</v>
      </c>
      <c r="E234" s="18">
        <f t="shared" si="400"/>
        <v>1239</v>
      </c>
      <c r="F234" s="18">
        <v>0</v>
      </c>
      <c r="G234" s="18">
        <v>0</v>
      </c>
      <c r="H234" s="45">
        <v>0</v>
      </c>
      <c r="I234" s="21">
        <f t="shared" si="418"/>
        <v>330</v>
      </c>
      <c r="J234" s="21">
        <f t="shared" si="371"/>
        <v>22</v>
      </c>
      <c r="K234" s="21">
        <v>0</v>
      </c>
      <c r="L234" s="20">
        <v>6</v>
      </c>
      <c r="M234" s="20">
        <v>0</v>
      </c>
      <c r="N234" s="20">
        <f t="shared" si="419"/>
        <v>9200</v>
      </c>
      <c r="O234" s="19" t="s">
        <v>68</v>
      </c>
      <c r="P234" s="20">
        <v>8600</v>
      </c>
      <c r="Q234" s="20">
        <f t="shared" ref="Q234:X234" si="438">Q204</f>
        <v>920</v>
      </c>
      <c r="R234" s="20">
        <f t="shared" si="438"/>
        <v>3680</v>
      </c>
      <c r="S234" s="20">
        <f t="shared" si="438"/>
        <v>6440</v>
      </c>
      <c r="T234" s="20">
        <f t="shared" si="438"/>
        <v>8280</v>
      </c>
      <c r="U234" s="20">
        <f t="shared" si="438"/>
        <v>100</v>
      </c>
      <c r="V234" s="20">
        <f t="shared" si="438"/>
        <v>550</v>
      </c>
      <c r="W234" s="20">
        <f t="shared" si="438"/>
        <v>500</v>
      </c>
      <c r="X234" s="20">
        <f t="shared" si="438"/>
        <v>6</v>
      </c>
      <c r="Y234" s="20">
        <v>0</v>
      </c>
      <c r="Z234" s="20">
        <f t="shared" si="402"/>
        <v>230</v>
      </c>
      <c r="AA234" s="20">
        <v>0</v>
      </c>
      <c r="AB234" s="20">
        <v>0</v>
      </c>
      <c r="AC234" s="20">
        <v>0</v>
      </c>
      <c r="AD234" s="23">
        <f t="shared" ref="AD234:AE234" si="439">AD204</f>
        <v>44</v>
      </c>
      <c r="AE234" s="23">
        <f t="shared" si="439"/>
        <v>48</v>
      </c>
    </row>
    <row r="235" spans="1:31">
      <c r="A235" s="4">
        <v>2002</v>
      </c>
      <c r="B235" s="20">
        <v>24</v>
      </c>
      <c r="C235" s="19" t="s">
        <v>69</v>
      </c>
      <c r="D235" s="44">
        <v>0</v>
      </c>
      <c r="E235" s="18">
        <f t="shared" si="400"/>
        <v>1341</v>
      </c>
      <c r="F235" s="18">
        <v>0</v>
      </c>
      <c r="G235" s="18">
        <v>0</v>
      </c>
      <c r="H235" s="45">
        <v>0</v>
      </c>
      <c r="I235" s="21">
        <f t="shared" si="418"/>
        <v>330</v>
      </c>
      <c r="J235" s="21">
        <f t="shared" si="371"/>
        <v>23</v>
      </c>
      <c r="K235" s="21">
        <v>0</v>
      </c>
      <c r="L235" s="20">
        <v>6</v>
      </c>
      <c r="M235" s="20">
        <v>0</v>
      </c>
      <c r="N235" s="20">
        <f t="shared" si="419"/>
        <v>9600</v>
      </c>
      <c r="O235" s="19" t="s">
        <v>69</v>
      </c>
      <c r="P235" s="20">
        <v>6400</v>
      </c>
      <c r="Q235" s="20">
        <f t="shared" ref="Q235:X235" si="440">Q205</f>
        <v>960</v>
      </c>
      <c r="R235" s="20">
        <f t="shared" si="440"/>
        <v>3840</v>
      </c>
      <c r="S235" s="20">
        <f t="shared" si="440"/>
        <v>6720</v>
      </c>
      <c r="T235" s="20">
        <f t="shared" si="440"/>
        <v>8640</v>
      </c>
      <c r="U235" s="20">
        <f t="shared" si="440"/>
        <v>100</v>
      </c>
      <c r="V235" s="20">
        <f t="shared" si="440"/>
        <v>500</v>
      </c>
      <c r="W235" s="20">
        <f t="shared" si="440"/>
        <v>900</v>
      </c>
      <c r="X235" s="20">
        <f t="shared" si="440"/>
        <v>6</v>
      </c>
      <c r="Y235" s="20">
        <v>0</v>
      </c>
      <c r="Z235" s="20">
        <f t="shared" si="402"/>
        <v>0</v>
      </c>
      <c r="AA235" s="20">
        <v>0</v>
      </c>
      <c r="AB235" s="20">
        <v>0</v>
      </c>
      <c r="AC235" s="20">
        <v>0</v>
      </c>
      <c r="AD235" s="23">
        <f t="shared" ref="AD235:AE235" si="441">AD205</f>
        <v>46</v>
      </c>
      <c r="AE235" s="23">
        <f t="shared" si="441"/>
        <v>50</v>
      </c>
    </row>
    <row r="236" spans="1:31">
      <c r="A236" s="4">
        <v>2002</v>
      </c>
      <c r="B236" s="20">
        <v>25</v>
      </c>
      <c r="C236" s="19" t="s">
        <v>70</v>
      </c>
      <c r="D236" s="44">
        <v>0</v>
      </c>
      <c r="E236" s="18">
        <f t="shared" si="400"/>
        <v>1452</v>
      </c>
      <c r="F236" s="18">
        <v>0</v>
      </c>
      <c r="G236" s="18">
        <v>0</v>
      </c>
      <c r="H236" s="45">
        <v>0</v>
      </c>
      <c r="I236" s="21">
        <f t="shared" si="418"/>
        <v>385</v>
      </c>
      <c r="J236" s="21">
        <f t="shared" si="371"/>
        <v>24</v>
      </c>
      <c r="K236" s="21">
        <v>0</v>
      </c>
      <c r="L236" s="20">
        <v>6</v>
      </c>
      <c r="M236" s="20">
        <v>0</v>
      </c>
      <c r="N236" s="20">
        <f t="shared" si="419"/>
        <v>12500</v>
      </c>
      <c r="O236" s="19" t="s">
        <v>70</v>
      </c>
      <c r="P236" s="20">
        <v>3100</v>
      </c>
      <c r="Q236" s="20">
        <f t="shared" ref="Q236:X236" si="442">Q206</f>
        <v>1250</v>
      </c>
      <c r="R236" s="20">
        <f t="shared" si="442"/>
        <v>5000</v>
      </c>
      <c r="S236" s="20">
        <f t="shared" si="442"/>
        <v>8750</v>
      </c>
      <c r="T236" s="20">
        <f t="shared" si="442"/>
        <v>11250</v>
      </c>
      <c r="U236" s="20">
        <f t="shared" si="442"/>
        <v>10</v>
      </c>
      <c r="V236" s="20">
        <f t="shared" si="442"/>
        <v>1300</v>
      </c>
      <c r="W236" s="20">
        <f t="shared" si="442"/>
        <v>1000</v>
      </c>
      <c r="X236" s="20">
        <f t="shared" si="442"/>
        <v>7</v>
      </c>
      <c r="Y236" s="20">
        <v>0</v>
      </c>
      <c r="Z236" s="20">
        <f t="shared" si="402"/>
        <v>0</v>
      </c>
      <c r="AA236" s="20">
        <v>0</v>
      </c>
      <c r="AB236" s="20">
        <v>0</v>
      </c>
      <c r="AC236" s="20">
        <v>0</v>
      </c>
      <c r="AD236" s="23">
        <f t="shared" ref="AD236:AE236" si="443">AD206</f>
        <v>48</v>
      </c>
      <c r="AE236" s="23">
        <f t="shared" si="443"/>
        <v>52</v>
      </c>
    </row>
    <row r="237" spans="1:31">
      <c r="A237" s="4">
        <v>2002</v>
      </c>
      <c r="B237" s="20">
        <v>26</v>
      </c>
      <c r="C237" s="19" t="s">
        <v>71</v>
      </c>
      <c r="D237" s="44">
        <v>0</v>
      </c>
      <c r="E237" s="18">
        <f t="shared" si="400"/>
        <v>1572</v>
      </c>
      <c r="F237" s="18">
        <v>0</v>
      </c>
      <c r="G237" s="18">
        <v>0</v>
      </c>
      <c r="H237" s="45">
        <v>0</v>
      </c>
      <c r="I237" s="21">
        <f t="shared" si="418"/>
        <v>385</v>
      </c>
      <c r="J237" s="21">
        <f t="shared" si="371"/>
        <v>25</v>
      </c>
      <c r="K237" s="21">
        <v>0</v>
      </c>
      <c r="L237" s="20">
        <v>6</v>
      </c>
      <c r="M237" s="20">
        <v>0</v>
      </c>
      <c r="N237" s="20">
        <f t="shared" si="419"/>
        <v>13000</v>
      </c>
      <c r="O237" s="19" t="s">
        <v>71</v>
      </c>
      <c r="P237" s="20">
        <v>1777</v>
      </c>
      <c r="Q237" s="20">
        <f t="shared" ref="Q237:X237" si="444">Q207</f>
        <v>1300</v>
      </c>
      <c r="R237" s="20">
        <f t="shared" si="444"/>
        <v>5200</v>
      </c>
      <c r="S237" s="20">
        <f t="shared" si="444"/>
        <v>9100</v>
      </c>
      <c r="T237" s="20">
        <f t="shared" si="444"/>
        <v>11700</v>
      </c>
      <c r="U237" s="20">
        <f t="shared" si="444"/>
        <v>90</v>
      </c>
      <c r="V237" s="20">
        <f t="shared" si="444"/>
        <v>800</v>
      </c>
      <c r="W237" s="20">
        <f t="shared" si="444"/>
        <v>2000</v>
      </c>
      <c r="X237" s="20">
        <f t="shared" si="444"/>
        <v>7</v>
      </c>
      <c r="Y237" s="20">
        <v>0</v>
      </c>
      <c r="Z237" s="20">
        <f t="shared" si="402"/>
        <v>0</v>
      </c>
      <c r="AA237" s="20">
        <v>0</v>
      </c>
      <c r="AB237" s="20">
        <v>0</v>
      </c>
      <c r="AC237" s="20">
        <v>0</v>
      </c>
      <c r="AD237" s="23">
        <f t="shared" ref="AD237:AE237" si="445">AD207</f>
        <v>50</v>
      </c>
      <c r="AE237" s="23">
        <f t="shared" si="445"/>
        <v>54</v>
      </c>
    </row>
    <row r="238" spans="1:31">
      <c r="A238" s="4">
        <v>2002</v>
      </c>
      <c r="B238" s="20">
        <v>27</v>
      </c>
      <c r="C238" s="19" t="s">
        <v>72</v>
      </c>
      <c r="D238" s="44">
        <v>0</v>
      </c>
      <c r="E238" s="18">
        <f t="shared" si="400"/>
        <v>1701</v>
      </c>
      <c r="F238" s="18">
        <v>0</v>
      </c>
      <c r="G238" s="18">
        <v>0</v>
      </c>
      <c r="H238" s="45">
        <v>0</v>
      </c>
      <c r="I238" s="21">
        <f t="shared" si="418"/>
        <v>385</v>
      </c>
      <c r="J238" s="21">
        <f t="shared" si="371"/>
        <v>26</v>
      </c>
      <c r="K238" s="21">
        <v>0</v>
      </c>
      <c r="L238" s="20">
        <v>6</v>
      </c>
      <c r="M238" s="20">
        <v>0</v>
      </c>
      <c r="N238" s="20">
        <f t="shared" si="419"/>
        <v>13500</v>
      </c>
      <c r="O238" s="19" t="s">
        <v>72</v>
      </c>
      <c r="P238" s="20">
        <v>2332</v>
      </c>
      <c r="Q238" s="20">
        <f t="shared" ref="Q238:X238" si="446">Q208</f>
        <v>1350</v>
      </c>
      <c r="R238" s="20">
        <f t="shared" si="446"/>
        <v>5400</v>
      </c>
      <c r="S238" s="20">
        <f t="shared" si="446"/>
        <v>9450</v>
      </c>
      <c r="T238" s="20">
        <f t="shared" si="446"/>
        <v>12150</v>
      </c>
      <c r="U238" s="20">
        <f t="shared" si="446"/>
        <v>80</v>
      </c>
      <c r="V238" s="20">
        <f t="shared" si="446"/>
        <v>700</v>
      </c>
      <c r="W238" s="20">
        <f t="shared" si="446"/>
        <v>800</v>
      </c>
      <c r="X238" s="20">
        <f t="shared" si="446"/>
        <v>7</v>
      </c>
      <c r="Y238" s="20">
        <v>0</v>
      </c>
      <c r="Z238" s="20">
        <f t="shared" si="402"/>
        <v>0</v>
      </c>
      <c r="AA238" s="20">
        <v>0</v>
      </c>
      <c r="AB238" s="20">
        <v>0</v>
      </c>
      <c r="AC238" s="20">
        <v>0</v>
      </c>
      <c r="AD238" s="23">
        <f t="shared" ref="AD238:AE238" si="447">AD208</f>
        <v>52</v>
      </c>
      <c r="AE238" s="23">
        <f t="shared" si="447"/>
        <v>56</v>
      </c>
    </row>
    <row r="239" spans="1:31">
      <c r="A239" s="4">
        <v>2002</v>
      </c>
      <c r="B239" s="20">
        <v>28</v>
      </c>
      <c r="C239" s="19" t="s">
        <v>73</v>
      </c>
      <c r="D239" s="44">
        <v>0</v>
      </c>
      <c r="E239" s="18">
        <f t="shared" si="400"/>
        <v>1842</v>
      </c>
      <c r="F239" s="18">
        <v>0</v>
      </c>
      <c r="G239" s="18">
        <v>0</v>
      </c>
      <c r="H239" s="45">
        <v>0</v>
      </c>
      <c r="I239" s="21">
        <f t="shared" si="418"/>
        <v>385</v>
      </c>
      <c r="J239" s="21">
        <f t="shared" si="371"/>
        <v>27</v>
      </c>
      <c r="K239" s="21">
        <v>0</v>
      </c>
      <c r="L239" s="20">
        <v>6</v>
      </c>
      <c r="M239" s="20">
        <v>0</v>
      </c>
      <c r="N239" s="20">
        <f t="shared" si="419"/>
        <v>14000</v>
      </c>
      <c r="O239" s="19" t="s">
        <v>73</v>
      </c>
      <c r="P239" s="20">
        <v>1487</v>
      </c>
      <c r="Q239" s="20">
        <f t="shared" ref="Q239:X239" si="448">Q209</f>
        <v>1400</v>
      </c>
      <c r="R239" s="20">
        <f t="shared" si="448"/>
        <v>5600</v>
      </c>
      <c r="S239" s="20">
        <f t="shared" si="448"/>
        <v>9800</v>
      </c>
      <c r="T239" s="20">
        <f t="shared" si="448"/>
        <v>12600</v>
      </c>
      <c r="U239" s="20">
        <f t="shared" si="448"/>
        <v>80</v>
      </c>
      <c r="V239" s="20">
        <f t="shared" si="448"/>
        <v>500</v>
      </c>
      <c r="W239" s="20">
        <f t="shared" si="448"/>
        <v>600</v>
      </c>
      <c r="X239" s="20">
        <f t="shared" si="448"/>
        <v>7</v>
      </c>
      <c r="Y239" s="20">
        <v>0</v>
      </c>
      <c r="Z239" s="20">
        <f t="shared" si="402"/>
        <v>288</v>
      </c>
      <c r="AA239" s="20">
        <v>0</v>
      </c>
      <c r="AB239" s="20">
        <v>0</v>
      </c>
      <c r="AC239" s="20">
        <v>0</v>
      </c>
      <c r="AD239" s="23">
        <f t="shared" ref="AD239:AE239" si="449">AD209</f>
        <v>54</v>
      </c>
      <c r="AE239" s="23">
        <f t="shared" si="449"/>
        <v>58</v>
      </c>
    </row>
    <row r="240" spans="1:31">
      <c r="A240" s="4">
        <v>2002</v>
      </c>
      <c r="B240" s="20">
        <v>29</v>
      </c>
      <c r="C240" s="19" t="s">
        <v>74</v>
      </c>
      <c r="D240" s="44">
        <v>0</v>
      </c>
      <c r="E240" s="18">
        <f t="shared" si="400"/>
        <v>1995</v>
      </c>
      <c r="F240" s="18">
        <v>0</v>
      </c>
      <c r="G240" s="18">
        <v>0</v>
      </c>
      <c r="H240" s="45">
        <v>0</v>
      </c>
      <c r="I240" s="21">
        <f t="shared" si="418"/>
        <v>440</v>
      </c>
      <c r="J240" s="21">
        <f t="shared" si="371"/>
        <v>28</v>
      </c>
      <c r="K240" s="21">
        <v>0</v>
      </c>
      <c r="L240" s="20">
        <v>6</v>
      </c>
      <c r="M240" s="20">
        <v>0</v>
      </c>
      <c r="N240" s="20">
        <f t="shared" si="419"/>
        <v>14500</v>
      </c>
      <c r="O240" s="19" t="s">
        <v>74</v>
      </c>
      <c r="P240" s="20">
        <v>1518</v>
      </c>
      <c r="Q240" s="20">
        <f t="shared" ref="Q240:X240" si="450">Q210</f>
        <v>1450</v>
      </c>
      <c r="R240" s="20">
        <f t="shared" si="450"/>
        <v>5800</v>
      </c>
      <c r="S240" s="20">
        <f t="shared" si="450"/>
        <v>10150</v>
      </c>
      <c r="T240" s="20">
        <f t="shared" si="450"/>
        <v>13050</v>
      </c>
      <c r="U240" s="20">
        <f t="shared" si="450"/>
        <v>80</v>
      </c>
      <c r="V240" s="20">
        <f t="shared" si="450"/>
        <v>600</v>
      </c>
      <c r="W240" s="20">
        <f t="shared" si="450"/>
        <v>700</v>
      </c>
      <c r="X240" s="20">
        <f t="shared" si="450"/>
        <v>8</v>
      </c>
      <c r="Y240" s="20">
        <v>0</v>
      </c>
      <c r="Z240" s="20">
        <f t="shared" si="402"/>
        <v>0</v>
      </c>
      <c r="AA240" s="20">
        <v>0</v>
      </c>
      <c r="AB240" s="20">
        <v>0</v>
      </c>
      <c r="AC240" s="20">
        <v>0</v>
      </c>
      <c r="AD240" s="23">
        <f t="shared" ref="AD240:AE240" si="451">AD210</f>
        <v>56</v>
      </c>
      <c r="AE240" s="23">
        <f t="shared" si="451"/>
        <v>60</v>
      </c>
    </row>
    <row r="241" spans="1:31">
      <c r="A241" s="4">
        <v>2002</v>
      </c>
      <c r="B241" s="20">
        <v>30</v>
      </c>
      <c r="C241" s="19" t="s">
        <v>75</v>
      </c>
      <c r="D241" s="44">
        <v>0</v>
      </c>
      <c r="E241" s="18">
        <f t="shared" si="400"/>
        <v>2160</v>
      </c>
      <c r="F241" s="18">
        <v>0</v>
      </c>
      <c r="G241" s="18">
        <v>0</v>
      </c>
      <c r="H241" s="45">
        <v>0</v>
      </c>
      <c r="I241" s="21">
        <f t="shared" si="418"/>
        <v>440</v>
      </c>
      <c r="J241" s="21">
        <f t="shared" si="371"/>
        <v>29</v>
      </c>
      <c r="K241" s="21">
        <v>0</v>
      </c>
      <c r="L241" s="20">
        <v>6</v>
      </c>
      <c r="M241" s="20">
        <v>0</v>
      </c>
      <c r="N241" s="20">
        <f t="shared" si="419"/>
        <v>15000</v>
      </c>
      <c r="O241" s="19" t="s">
        <v>75</v>
      </c>
      <c r="P241" s="20">
        <v>861</v>
      </c>
      <c r="Q241" s="20">
        <f t="shared" ref="Q241:X241" si="452">Q211</f>
        <v>1500</v>
      </c>
      <c r="R241" s="20">
        <f t="shared" si="452"/>
        <v>6000</v>
      </c>
      <c r="S241" s="20">
        <f t="shared" si="452"/>
        <v>10500</v>
      </c>
      <c r="T241" s="20">
        <f t="shared" si="452"/>
        <v>13500</v>
      </c>
      <c r="U241" s="20">
        <f t="shared" si="452"/>
        <v>20</v>
      </c>
      <c r="V241" s="20">
        <f t="shared" si="452"/>
        <v>450</v>
      </c>
      <c r="W241" s="20">
        <f t="shared" si="452"/>
        <v>1000</v>
      </c>
      <c r="X241" s="20">
        <f t="shared" si="452"/>
        <v>8</v>
      </c>
      <c r="Y241" s="20">
        <v>0</v>
      </c>
      <c r="Z241" s="20">
        <f t="shared" si="402"/>
        <v>0</v>
      </c>
      <c r="AA241" s="20">
        <v>0</v>
      </c>
      <c r="AB241" s="20">
        <v>0</v>
      </c>
      <c r="AC241" s="20">
        <v>0</v>
      </c>
      <c r="AD241" s="23">
        <f t="shared" ref="AD241:AE241" si="453">AD211</f>
        <v>58</v>
      </c>
      <c r="AE241" s="23">
        <f t="shared" si="453"/>
        <v>62</v>
      </c>
    </row>
    <row r="242" spans="1:31">
      <c r="A242" s="8">
        <v>2003</v>
      </c>
      <c r="B242" s="28">
        <v>1</v>
      </c>
      <c r="C242" s="29" t="s">
        <v>66</v>
      </c>
      <c r="D242" s="46">
        <v>0</v>
      </c>
      <c r="E242" s="18">
        <f t="shared" si="400"/>
        <v>288</v>
      </c>
      <c r="F242" s="28">
        <v>0</v>
      </c>
      <c r="G242" s="28">
        <v>0</v>
      </c>
      <c r="H242" s="47">
        <v>0</v>
      </c>
      <c r="I242" s="21">
        <f t="shared" si="418"/>
        <v>55</v>
      </c>
      <c r="J242" s="21">
        <f t="shared" si="371"/>
        <v>0</v>
      </c>
      <c r="K242" s="21">
        <v>0</v>
      </c>
      <c r="L242" s="20">
        <v>45</v>
      </c>
      <c r="M242" s="20">
        <v>0</v>
      </c>
      <c r="N242" s="20">
        <f t="shared" si="419"/>
        <v>10</v>
      </c>
      <c r="O242" s="19" t="s">
        <v>66</v>
      </c>
      <c r="P242" s="20">
        <v>9400</v>
      </c>
      <c r="Q242" s="20">
        <f t="shared" ref="Q242:X242" si="454">Q212</f>
        <v>1</v>
      </c>
      <c r="R242" s="20">
        <f t="shared" si="454"/>
        <v>4</v>
      </c>
      <c r="S242" s="20">
        <f t="shared" si="454"/>
        <v>7</v>
      </c>
      <c r="T242" s="20">
        <f t="shared" si="454"/>
        <v>9</v>
      </c>
      <c r="U242" s="20">
        <f t="shared" si="454"/>
        <v>9400</v>
      </c>
      <c r="V242" s="20">
        <f t="shared" si="454"/>
        <v>9400</v>
      </c>
      <c r="W242" s="20">
        <f t="shared" si="454"/>
        <v>9400</v>
      </c>
      <c r="X242" s="20">
        <f t="shared" si="454"/>
        <v>1</v>
      </c>
      <c r="Y242" s="27">
        <v>0</v>
      </c>
      <c r="Z242" s="20">
        <f t="shared" si="402"/>
        <v>0</v>
      </c>
      <c r="AA242" s="27">
        <v>0</v>
      </c>
      <c r="AB242" s="27">
        <v>0</v>
      </c>
      <c r="AC242" s="27">
        <v>0</v>
      </c>
      <c r="AD242" s="23">
        <f t="shared" ref="AD242:AE242" si="455">AD212</f>
        <v>1</v>
      </c>
      <c r="AE242" s="23">
        <f t="shared" si="455"/>
        <v>3</v>
      </c>
    </row>
    <row r="243" spans="1:31">
      <c r="A243" s="4">
        <v>2003</v>
      </c>
      <c r="B243" s="27">
        <v>2</v>
      </c>
      <c r="C243" s="29" t="s">
        <v>67</v>
      </c>
      <c r="D243" s="46">
        <v>0</v>
      </c>
      <c r="E243" s="18">
        <f t="shared" si="400"/>
        <v>312</v>
      </c>
      <c r="F243" s="28">
        <v>0</v>
      </c>
      <c r="G243" s="28">
        <v>0</v>
      </c>
      <c r="H243" s="47">
        <v>0</v>
      </c>
      <c r="I243" s="21">
        <f t="shared" si="418"/>
        <v>55</v>
      </c>
      <c r="J243" s="21">
        <f t="shared" si="371"/>
        <v>1</v>
      </c>
      <c r="K243" s="21">
        <v>0</v>
      </c>
      <c r="L243" s="20">
        <v>40</v>
      </c>
      <c r="M243" s="20">
        <v>0</v>
      </c>
      <c r="N243" s="20">
        <f t="shared" si="419"/>
        <v>20</v>
      </c>
      <c r="O243" s="19" t="s">
        <v>67</v>
      </c>
      <c r="P243" s="20">
        <v>9100</v>
      </c>
      <c r="Q243" s="20">
        <f t="shared" ref="Q243:X243" si="456">Q213</f>
        <v>2</v>
      </c>
      <c r="R243" s="20">
        <f t="shared" si="456"/>
        <v>8</v>
      </c>
      <c r="S243" s="20">
        <f t="shared" si="456"/>
        <v>14</v>
      </c>
      <c r="T243" s="20">
        <f t="shared" si="456"/>
        <v>18</v>
      </c>
      <c r="U243" s="20">
        <f t="shared" si="456"/>
        <v>4000</v>
      </c>
      <c r="V243" s="20">
        <f t="shared" si="456"/>
        <v>8000</v>
      </c>
      <c r="W243" s="20">
        <f t="shared" si="456"/>
        <v>8000</v>
      </c>
      <c r="X243" s="20">
        <f t="shared" si="456"/>
        <v>1</v>
      </c>
      <c r="Y243" s="27">
        <v>0</v>
      </c>
      <c r="Z243" s="20">
        <f t="shared" si="402"/>
        <v>0</v>
      </c>
      <c r="AA243" s="27">
        <v>0</v>
      </c>
      <c r="AB243" s="27">
        <v>0</v>
      </c>
      <c r="AC243" s="27">
        <v>0</v>
      </c>
      <c r="AD243" s="23">
        <f t="shared" ref="AD243:AE243" si="457">AD213</f>
        <v>2</v>
      </c>
      <c r="AE243" s="23">
        <f t="shared" si="457"/>
        <v>5</v>
      </c>
    </row>
    <row r="244" spans="1:31">
      <c r="A244" s="4">
        <v>2003</v>
      </c>
      <c r="B244" s="27">
        <v>3</v>
      </c>
      <c r="C244" s="29" t="s">
        <v>68</v>
      </c>
      <c r="D244" s="46">
        <v>0</v>
      </c>
      <c r="E244" s="18">
        <f t="shared" si="400"/>
        <v>336</v>
      </c>
      <c r="F244" s="28">
        <v>0</v>
      </c>
      <c r="G244" s="28">
        <v>0</v>
      </c>
      <c r="H244" s="47">
        <v>0</v>
      </c>
      <c r="I244" s="21">
        <f t="shared" si="418"/>
        <v>55</v>
      </c>
      <c r="J244" s="21">
        <f t="shared" si="371"/>
        <v>2</v>
      </c>
      <c r="K244" s="21">
        <v>0</v>
      </c>
      <c r="L244" s="20">
        <v>35</v>
      </c>
      <c r="M244" s="20">
        <v>0</v>
      </c>
      <c r="N244" s="20">
        <f t="shared" si="419"/>
        <v>40</v>
      </c>
      <c r="O244" s="19" t="s">
        <v>68</v>
      </c>
      <c r="P244" s="20">
        <v>8600</v>
      </c>
      <c r="Q244" s="20">
        <f t="shared" ref="Q244:X244" si="458">Q214</f>
        <v>4</v>
      </c>
      <c r="R244" s="20">
        <f t="shared" si="458"/>
        <v>16</v>
      </c>
      <c r="S244" s="20">
        <f t="shared" si="458"/>
        <v>28</v>
      </c>
      <c r="T244" s="20">
        <f t="shared" si="458"/>
        <v>36</v>
      </c>
      <c r="U244" s="20">
        <f t="shared" si="458"/>
        <v>1600</v>
      </c>
      <c r="V244" s="20">
        <f t="shared" si="458"/>
        <v>5000</v>
      </c>
      <c r="W244" s="20">
        <f t="shared" si="458"/>
        <v>6000</v>
      </c>
      <c r="X244" s="20">
        <f t="shared" si="458"/>
        <v>1</v>
      </c>
      <c r="Y244" s="27">
        <v>0</v>
      </c>
      <c r="Z244" s="20">
        <f t="shared" si="402"/>
        <v>0</v>
      </c>
      <c r="AA244" s="27">
        <v>0</v>
      </c>
      <c r="AB244" s="27">
        <v>0</v>
      </c>
      <c r="AC244" s="27">
        <v>0</v>
      </c>
      <c r="AD244" s="23">
        <f t="shared" ref="AD244:AE244" si="459">AD214</f>
        <v>4</v>
      </c>
      <c r="AE244" s="23">
        <f t="shared" si="459"/>
        <v>8</v>
      </c>
    </row>
    <row r="245" spans="1:31">
      <c r="A245" s="4">
        <v>2003</v>
      </c>
      <c r="B245" s="27">
        <v>4</v>
      </c>
      <c r="C245" s="29" t="s">
        <v>69</v>
      </c>
      <c r="D245" s="46">
        <v>0</v>
      </c>
      <c r="E245" s="18">
        <f t="shared" si="400"/>
        <v>364</v>
      </c>
      <c r="F245" s="28">
        <v>0</v>
      </c>
      <c r="G245" s="28">
        <v>0</v>
      </c>
      <c r="H245" s="47">
        <v>0</v>
      </c>
      <c r="I245" s="21">
        <f t="shared" si="418"/>
        <v>55</v>
      </c>
      <c r="J245" s="21">
        <f t="shared" si="371"/>
        <v>3</v>
      </c>
      <c r="K245" s="21">
        <v>0</v>
      </c>
      <c r="L245" s="20">
        <v>30</v>
      </c>
      <c r="M245" s="20">
        <v>0</v>
      </c>
      <c r="N245" s="20">
        <f t="shared" si="419"/>
        <v>100</v>
      </c>
      <c r="O245" s="19" t="s">
        <v>69</v>
      </c>
      <c r="P245" s="20">
        <v>6400</v>
      </c>
      <c r="Q245" s="20">
        <f t="shared" ref="Q245:X245" si="460">Q215</f>
        <v>10</v>
      </c>
      <c r="R245" s="20">
        <f t="shared" si="460"/>
        <v>40</v>
      </c>
      <c r="S245" s="20">
        <f t="shared" si="460"/>
        <v>70</v>
      </c>
      <c r="T245" s="20">
        <f t="shared" si="460"/>
        <v>90</v>
      </c>
      <c r="U245" s="20">
        <f t="shared" si="460"/>
        <v>900</v>
      </c>
      <c r="V245" s="20">
        <f t="shared" si="460"/>
        <v>2000</v>
      </c>
      <c r="W245" s="20">
        <f t="shared" si="460"/>
        <v>8000</v>
      </c>
      <c r="X245" s="20">
        <f t="shared" si="460"/>
        <v>1</v>
      </c>
      <c r="Y245" s="27">
        <v>0</v>
      </c>
      <c r="Z245" s="20">
        <f t="shared" si="402"/>
        <v>0</v>
      </c>
      <c r="AA245" s="27">
        <v>0</v>
      </c>
      <c r="AB245" s="27">
        <v>0</v>
      </c>
      <c r="AC245" s="27">
        <v>0</v>
      </c>
      <c r="AD245" s="23">
        <f t="shared" ref="AD245:AE245" si="461">AD215</f>
        <v>6</v>
      </c>
      <c r="AE245" s="23">
        <f t="shared" si="461"/>
        <v>10</v>
      </c>
    </row>
    <row r="246" spans="1:31">
      <c r="A246" s="4">
        <v>2003</v>
      </c>
      <c r="B246" s="27">
        <v>5</v>
      </c>
      <c r="C246" s="29" t="s">
        <v>70</v>
      </c>
      <c r="D246" s="46">
        <v>0</v>
      </c>
      <c r="E246" s="18">
        <f t="shared" si="400"/>
        <v>396</v>
      </c>
      <c r="F246" s="28">
        <v>0</v>
      </c>
      <c r="G246" s="28">
        <v>0</v>
      </c>
      <c r="H246" s="47">
        <v>0</v>
      </c>
      <c r="I246" s="21">
        <f t="shared" si="418"/>
        <v>110</v>
      </c>
      <c r="J246" s="21">
        <f t="shared" si="371"/>
        <v>4</v>
      </c>
      <c r="K246" s="21">
        <v>0</v>
      </c>
      <c r="L246" s="20">
        <v>25</v>
      </c>
      <c r="M246" s="20">
        <v>0</v>
      </c>
      <c r="N246" s="20">
        <f t="shared" si="419"/>
        <v>200</v>
      </c>
      <c r="O246" s="19" t="s">
        <v>70</v>
      </c>
      <c r="P246" s="20">
        <v>3100</v>
      </c>
      <c r="Q246" s="20">
        <f t="shared" ref="Q246:X246" si="462">Q216</f>
        <v>20</v>
      </c>
      <c r="R246" s="20">
        <f t="shared" si="462"/>
        <v>80</v>
      </c>
      <c r="S246" s="20">
        <f t="shared" si="462"/>
        <v>140</v>
      </c>
      <c r="T246" s="20">
        <f t="shared" si="462"/>
        <v>180</v>
      </c>
      <c r="U246" s="20">
        <f t="shared" si="462"/>
        <v>1000</v>
      </c>
      <c r="V246" s="20">
        <f t="shared" si="462"/>
        <v>2000</v>
      </c>
      <c r="W246" s="20">
        <f t="shared" si="462"/>
        <v>2000</v>
      </c>
      <c r="X246" s="20">
        <f t="shared" si="462"/>
        <v>2</v>
      </c>
      <c r="Y246" s="27">
        <v>0</v>
      </c>
      <c r="Z246" s="20">
        <f t="shared" si="402"/>
        <v>0</v>
      </c>
      <c r="AA246" s="27">
        <v>0</v>
      </c>
      <c r="AB246" s="27">
        <v>0</v>
      </c>
      <c r="AC246" s="27">
        <v>0</v>
      </c>
      <c r="AD246" s="23">
        <f t="shared" ref="AD246:AE246" si="463">AD216</f>
        <v>8</v>
      </c>
      <c r="AE246" s="23">
        <f t="shared" si="463"/>
        <v>12</v>
      </c>
    </row>
    <row r="247" spans="1:31">
      <c r="A247" s="4">
        <v>2003</v>
      </c>
      <c r="B247" s="27">
        <v>6</v>
      </c>
      <c r="C247" s="29" t="s">
        <v>71</v>
      </c>
      <c r="D247" s="46">
        <v>0</v>
      </c>
      <c r="E247" s="18">
        <f t="shared" si="400"/>
        <v>428</v>
      </c>
      <c r="F247" s="28">
        <v>0</v>
      </c>
      <c r="G247" s="28">
        <v>0</v>
      </c>
      <c r="H247" s="47">
        <v>0</v>
      </c>
      <c r="I247" s="21">
        <f t="shared" si="418"/>
        <v>110</v>
      </c>
      <c r="J247" s="21">
        <f t="shared" si="371"/>
        <v>5</v>
      </c>
      <c r="K247" s="21">
        <v>0</v>
      </c>
      <c r="L247" s="20">
        <v>20</v>
      </c>
      <c r="M247" s="20">
        <v>0</v>
      </c>
      <c r="N247" s="20">
        <f t="shared" si="419"/>
        <v>500</v>
      </c>
      <c r="O247" s="19" t="s">
        <v>71</v>
      </c>
      <c r="P247" s="20">
        <v>1777</v>
      </c>
      <c r="Q247" s="20">
        <f t="shared" ref="Q247:X247" si="464">Q217</f>
        <v>50</v>
      </c>
      <c r="R247" s="20">
        <f t="shared" si="464"/>
        <v>200</v>
      </c>
      <c r="S247" s="20">
        <f t="shared" si="464"/>
        <v>350</v>
      </c>
      <c r="T247" s="20">
        <f t="shared" si="464"/>
        <v>450</v>
      </c>
      <c r="U247" s="20">
        <f t="shared" si="464"/>
        <v>800</v>
      </c>
      <c r="V247" s="20">
        <f t="shared" si="464"/>
        <v>800</v>
      </c>
      <c r="W247" s="20">
        <f t="shared" si="464"/>
        <v>600</v>
      </c>
      <c r="X247" s="20">
        <f t="shared" si="464"/>
        <v>2</v>
      </c>
      <c r="Y247" s="27">
        <v>0</v>
      </c>
      <c r="Z247" s="20">
        <f t="shared" si="402"/>
        <v>0</v>
      </c>
      <c r="AA247" s="27">
        <v>0</v>
      </c>
      <c r="AB247" s="27">
        <v>0</v>
      </c>
      <c r="AC247" s="27">
        <v>0</v>
      </c>
      <c r="AD247" s="23">
        <f t="shared" ref="AD247:AE247" si="465">AD217</f>
        <v>10</v>
      </c>
      <c r="AE247" s="23">
        <f t="shared" si="465"/>
        <v>14</v>
      </c>
    </row>
    <row r="248" spans="1:31">
      <c r="A248" s="4">
        <v>2003</v>
      </c>
      <c r="B248" s="27">
        <v>7</v>
      </c>
      <c r="C248" s="29" t="s">
        <v>72</v>
      </c>
      <c r="D248" s="46">
        <v>0</v>
      </c>
      <c r="E248" s="18">
        <f t="shared" si="400"/>
        <v>464</v>
      </c>
      <c r="F248" s="28">
        <v>0</v>
      </c>
      <c r="G248" s="28">
        <v>0</v>
      </c>
      <c r="H248" s="47">
        <v>0</v>
      </c>
      <c r="I248" s="21">
        <f t="shared" si="418"/>
        <v>110</v>
      </c>
      <c r="J248" s="21">
        <f t="shared" si="371"/>
        <v>6</v>
      </c>
      <c r="K248" s="21">
        <v>0</v>
      </c>
      <c r="L248" s="20">
        <v>16</v>
      </c>
      <c r="M248" s="20">
        <v>0</v>
      </c>
      <c r="N248" s="20">
        <f t="shared" si="419"/>
        <v>700</v>
      </c>
      <c r="O248" s="19" t="s">
        <v>72</v>
      </c>
      <c r="P248" s="20">
        <v>2332</v>
      </c>
      <c r="Q248" s="20">
        <f t="shared" ref="Q248:X248" si="466">Q218</f>
        <v>70</v>
      </c>
      <c r="R248" s="20">
        <f t="shared" si="466"/>
        <v>280</v>
      </c>
      <c r="S248" s="20">
        <f t="shared" si="466"/>
        <v>489.99999999999994</v>
      </c>
      <c r="T248" s="20">
        <f t="shared" si="466"/>
        <v>630</v>
      </c>
      <c r="U248" s="20">
        <f t="shared" si="466"/>
        <v>650</v>
      </c>
      <c r="V248" s="20">
        <f t="shared" si="466"/>
        <v>800</v>
      </c>
      <c r="W248" s="20">
        <f t="shared" si="466"/>
        <v>300</v>
      </c>
      <c r="X248" s="20">
        <f t="shared" si="466"/>
        <v>2</v>
      </c>
      <c r="Y248" s="27">
        <v>0</v>
      </c>
      <c r="Z248" s="20">
        <f t="shared" si="402"/>
        <v>0</v>
      </c>
      <c r="AA248" s="27">
        <v>0</v>
      </c>
      <c r="AB248" s="27">
        <v>0</v>
      </c>
      <c r="AC248" s="27">
        <v>0</v>
      </c>
      <c r="AD248" s="23">
        <f t="shared" ref="AD248:AE248" si="467">AD218</f>
        <v>12</v>
      </c>
      <c r="AE248" s="23">
        <f t="shared" si="467"/>
        <v>16</v>
      </c>
    </row>
    <row r="249" spans="1:31">
      <c r="A249" s="4">
        <v>2003</v>
      </c>
      <c r="B249" s="27">
        <v>8</v>
      </c>
      <c r="C249" s="29" t="s">
        <v>73</v>
      </c>
      <c r="D249" s="46">
        <v>0</v>
      </c>
      <c r="E249" s="18">
        <f t="shared" si="400"/>
        <v>504</v>
      </c>
      <c r="F249" s="28">
        <v>0</v>
      </c>
      <c r="G249" s="28">
        <v>0</v>
      </c>
      <c r="H249" s="47">
        <v>0</v>
      </c>
      <c r="I249" s="21">
        <f t="shared" si="418"/>
        <v>110</v>
      </c>
      <c r="J249" s="21">
        <f t="shared" si="371"/>
        <v>7</v>
      </c>
      <c r="K249" s="21">
        <v>0</v>
      </c>
      <c r="L249" s="20">
        <v>12</v>
      </c>
      <c r="M249" s="20">
        <v>0</v>
      </c>
      <c r="N249" s="20">
        <f t="shared" si="419"/>
        <v>800</v>
      </c>
      <c r="O249" s="19" t="s">
        <v>73</v>
      </c>
      <c r="P249" s="20">
        <v>1487</v>
      </c>
      <c r="Q249" s="20">
        <f t="shared" ref="Q249:X249" si="468">Q219</f>
        <v>80</v>
      </c>
      <c r="R249" s="20">
        <f t="shared" si="468"/>
        <v>320</v>
      </c>
      <c r="S249" s="20">
        <f t="shared" si="468"/>
        <v>560</v>
      </c>
      <c r="T249" s="20">
        <f t="shared" si="468"/>
        <v>720</v>
      </c>
      <c r="U249" s="20">
        <f t="shared" si="468"/>
        <v>200</v>
      </c>
      <c r="V249" s="20">
        <f t="shared" si="468"/>
        <v>2000</v>
      </c>
      <c r="W249" s="20">
        <f t="shared" si="468"/>
        <v>1000</v>
      </c>
      <c r="X249" s="20">
        <f t="shared" si="468"/>
        <v>2</v>
      </c>
      <c r="Y249" s="27">
        <v>0</v>
      </c>
      <c r="Z249" s="20">
        <f t="shared" si="402"/>
        <v>64</v>
      </c>
      <c r="AA249" s="27">
        <v>0</v>
      </c>
      <c r="AB249" s="27">
        <v>0</v>
      </c>
      <c r="AC249" s="27">
        <v>0</v>
      </c>
      <c r="AD249" s="23">
        <f t="shared" ref="AD249:AE249" si="469">AD219</f>
        <v>14</v>
      </c>
      <c r="AE249" s="23">
        <f t="shared" si="469"/>
        <v>18</v>
      </c>
    </row>
    <row r="250" spans="1:31">
      <c r="A250" s="4">
        <v>2003</v>
      </c>
      <c r="B250" s="27">
        <v>9</v>
      </c>
      <c r="C250" s="29" t="s">
        <v>74</v>
      </c>
      <c r="D250" s="46">
        <v>0</v>
      </c>
      <c r="E250" s="18">
        <f t="shared" si="400"/>
        <v>544</v>
      </c>
      <c r="F250" s="28">
        <v>0</v>
      </c>
      <c r="G250" s="28">
        <v>0</v>
      </c>
      <c r="H250" s="47">
        <v>0</v>
      </c>
      <c r="I250" s="21">
        <f t="shared" si="418"/>
        <v>165</v>
      </c>
      <c r="J250" s="21">
        <f t="shared" si="371"/>
        <v>8</v>
      </c>
      <c r="K250" s="21">
        <v>0</v>
      </c>
      <c r="L250" s="20">
        <v>8</v>
      </c>
      <c r="M250" s="20">
        <v>0</v>
      </c>
      <c r="N250" s="20">
        <f t="shared" si="419"/>
        <v>900</v>
      </c>
      <c r="O250" s="19" t="s">
        <v>74</v>
      </c>
      <c r="P250" s="20">
        <v>1518</v>
      </c>
      <c r="Q250" s="20">
        <f t="shared" ref="Q250:X250" si="470">Q220</f>
        <v>90</v>
      </c>
      <c r="R250" s="20">
        <f t="shared" si="470"/>
        <v>360</v>
      </c>
      <c r="S250" s="20">
        <f t="shared" si="470"/>
        <v>630</v>
      </c>
      <c r="T250" s="20">
        <f t="shared" si="470"/>
        <v>810</v>
      </c>
      <c r="U250" s="20">
        <f t="shared" si="470"/>
        <v>120</v>
      </c>
      <c r="V250" s="20">
        <f t="shared" si="470"/>
        <v>1500</v>
      </c>
      <c r="W250" s="20">
        <f t="shared" si="470"/>
        <v>1000</v>
      </c>
      <c r="X250" s="20">
        <f t="shared" si="470"/>
        <v>3</v>
      </c>
      <c r="Y250" s="27">
        <v>0</v>
      </c>
      <c r="Z250" s="20">
        <f t="shared" si="402"/>
        <v>0</v>
      </c>
      <c r="AA250" s="27">
        <v>0</v>
      </c>
      <c r="AB250" s="27">
        <v>0</v>
      </c>
      <c r="AC250" s="27">
        <v>0</v>
      </c>
      <c r="AD250" s="23">
        <f t="shared" ref="AD250:AE250" si="471">AD220</f>
        <v>16</v>
      </c>
      <c r="AE250" s="23">
        <f t="shared" si="471"/>
        <v>20</v>
      </c>
    </row>
    <row r="251" spans="1:31">
      <c r="A251" s="4">
        <v>2003</v>
      </c>
      <c r="B251" s="27">
        <v>10</v>
      </c>
      <c r="C251" s="29" t="s">
        <v>75</v>
      </c>
      <c r="D251" s="46">
        <v>0</v>
      </c>
      <c r="E251" s="18">
        <f t="shared" si="400"/>
        <v>588</v>
      </c>
      <c r="F251" s="28">
        <v>0</v>
      </c>
      <c r="G251" s="28">
        <v>0</v>
      </c>
      <c r="H251" s="47">
        <v>0</v>
      </c>
      <c r="I251" s="21">
        <f t="shared" si="418"/>
        <v>165</v>
      </c>
      <c r="J251" s="21">
        <f t="shared" si="371"/>
        <v>9</v>
      </c>
      <c r="K251" s="21">
        <v>0</v>
      </c>
      <c r="L251" s="20">
        <v>6</v>
      </c>
      <c r="M251" s="20">
        <v>0</v>
      </c>
      <c r="N251" s="20">
        <f t="shared" si="419"/>
        <v>2000</v>
      </c>
      <c r="O251" s="19" t="s">
        <v>75</v>
      </c>
      <c r="P251" s="20">
        <v>861</v>
      </c>
      <c r="Q251" s="20">
        <f t="shared" ref="Q251:X251" si="472">Q221</f>
        <v>200</v>
      </c>
      <c r="R251" s="20">
        <f t="shared" si="472"/>
        <v>800</v>
      </c>
      <c r="S251" s="20">
        <f t="shared" si="472"/>
        <v>1400</v>
      </c>
      <c r="T251" s="20">
        <f t="shared" si="472"/>
        <v>1800</v>
      </c>
      <c r="U251" s="20">
        <f t="shared" si="472"/>
        <v>150</v>
      </c>
      <c r="V251" s="20">
        <f t="shared" si="472"/>
        <v>5000</v>
      </c>
      <c r="W251" s="20">
        <f t="shared" si="472"/>
        <v>800</v>
      </c>
      <c r="X251" s="20">
        <f t="shared" si="472"/>
        <v>3</v>
      </c>
      <c r="Y251" s="27">
        <v>0</v>
      </c>
      <c r="Z251" s="20">
        <f t="shared" si="402"/>
        <v>0</v>
      </c>
      <c r="AA251" s="27">
        <v>0</v>
      </c>
      <c r="AB251" s="27">
        <v>0</v>
      </c>
      <c r="AC251" s="27">
        <v>0</v>
      </c>
      <c r="AD251" s="23">
        <f t="shared" ref="AD251:AE251" si="473">AD221</f>
        <v>18</v>
      </c>
      <c r="AE251" s="23">
        <f t="shared" si="473"/>
        <v>22</v>
      </c>
    </row>
    <row r="252" spans="1:31">
      <c r="A252" s="4">
        <v>2003</v>
      </c>
      <c r="B252" s="27">
        <v>11</v>
      </c>
      <c r="C252" s="29" t="s">
        <v>66</v>
      </c>
      <c r="D252" s="46">
        <v>0</v>
      </c>
      <c r="E252" s="18">
        <f t="shared" si="400"/>
        <v>636</v>
      </c>
      <c r="F252" s="28">
        <v>0</v>
      </c>
      <c r="G252" s="28">
        <v>0</v>
      </c>
      <c r="H252" s="47">
        <v>0</v>
      </c>
      <c r="I252" s="21">
        <f t="shared" si="418"/>
        <v>165</v>
      </c>
      <c r="J252" s="21">
        <f t="shared" si="371"/>
        <v>10</v>
      </c>
      <c r="K252" s="21">
        <v>0</v>
      </c>
      <c r="L252" s="20">
        <v>6</v>
      </c>
      <c r="M252" s="20">
        <v>0</v>
      </c>
      <c r="N252" s="20">
        <f t="shared" si="419"/>
        <v>2200</v>
      </c>
      <c r="O252" s="19" t="s">
        <v>66</v>
      </c>
      <c r="P252" s="20">
        <v>9400</v>
      </c>
      <c r="Q252" s="20">
        <f t="shared" ref="Q252:X252" si="474">Q222</f>
        <v>220</v>
      </c>
      <c r="R252" s="20">
        <f t="shared" si="474"/>
        <v>880</v>
      </c>
      <c r="S252" s="20">
        <f t="shared" si="474"/>
        <v>1540</v>
      </c>
      <c r="T252" s="20">
        <f t="shared" si="474"/>
        <v>1980</v>
      </c>
      <c r="U252" s="20">
        <f t="shared" si="474"/>
        <v>100</v>
      </c>
      <c r="V252" s="20">
        <f t="shared" si="474"/>
        <v>800</v>
      </c>
      <c r="W252" s="20">
        <f t="shared" si="474"/>
        <v>600</v>
      </c>
      <c r="X252" s="20">
        <f t="shared" si="474"/>
        <v>3</v>
      </c>
      <c r="Y252" s="27">
        <v>0</v>
      </c>
      <c r="Z252" s="20">
        <f t="shared" si="402"/>
        <v>0</v>
      </c>
      <c r="AA252" s="27">
        <v>0</v>
      </c>
      <c r="AB252" s="27">
        <v>0</v>
      </c>
      <c r="AC252" s="27">
        <v>0</v>
      </c>
      <c r="AD252" s="23">
        <f t="shared" ref="AD252:AE252" si="475">AD222</f>
        <v>20</v>
      </c>
      <c r="AE252" s="23">
        <f t="shared" si="475"/>
        <v>24</v>
      </c>
    </row>
    <row r="253" spans="1:31">
      <c r="A253" s="4">
        <v>2003</v>
      </c>
      <c r="B253" s="27">
        <v>12</v>
      </c>
      <c r="C253" s="29" t="s">
        <v>67</v>
      </c>
      <c r="D253" s="46">
        <v>0</v>
      </c>
      <c r="E253" s="18">
        <f t="shared" si="400"/>
        <v>688</v>
      </c>
      <c r="F253" s="28">
        <v>0</v>
      </c>
      <c r="G253" s="28">
        <v>0</v>
      </c>
      <c r="H253" s="47">
        <v>0</v>
      </c>
      <c r="I253" s="21">
        <f t="shared" si="418"/>
        <v>165</v>
      </c>
      <c r="J253" s="21">
        <f t="shared" si="371"/>
        <v>11</v>
      </c>
      <c r="K253" s="21">
        <v>0</v>
      </c>
      <c r="L253" s="20">
        <v>6</v>
      </c>
      <c r="M253" s="20">
        <v>0</v>
      </c>
      <c r="N253" s="20">
        <f t="shared" si="419"/>
        <v>2400</v>
      </c>
      <c r="O253" s="19" t="s">
        <v>67</v>
      </c>
      <c r="P253" s="20">
        <v>9100</v>
      </c>
      <c r="Q253" s="20">
        <f t="shared" ref="Q253:X253" si="476">Q223</f>
        <v>240</v>
      </c>
      <c r="R253" s="20">
        <f t="shared" si="476"/>
        <v>960</v>
      </c>
      <c r="S253" s="20">
        <f t="shared" si="476"/>
        <v>1680</v>
      </c>
      <c r="T253" s="20">
        <f t="shared" si="476"/>
        <v>2160</v>
      </c>
      <c r="U253" s="20">
        <f t="shared" si="476"/>
        <v>150</v>
      </c>
      <c r="V253" s="20">
        <f t="shared" si="476"/>
        <v>700</v>
      </c>
      <c r="W253" s="20">
        <f t="shared" si="476"/>
        <v>900</v>
      </c>
      <c r="X253" s="20">
        <f t="shared" si="476"/>
        <v>3</v>
      </c>
      <c r="Y253" s="27">
        <v>0</v>
      </c>
      <c r="Z253" s="20">
        <f t="shared" si="402"/>
        <v>0</v>
      </c>
      <c r="AA253" s="27">
        <v>0</v>
      </c>
      <c r="AB253" s="27">
        <v>0</v>
      </c>
      <c r="AC253" s="27">
        <v>0</v>
      </c>
      <c r="AD253" s="23">
        <f t="shared" ref="AD253:AE253" si="477">AD223</f>
        <v>22</v>
      </c>
      <c r="AE253" s="23">
        <f t="shared" si="477"/>
        <v>26</v>
      </c>
    </row>
    <row r="254" spans="1:31">
      <c r="A254" s="8">
        <v>2003</v>
      </c>
      <c r="B254" s="27">
        <v>13</v>
      </c>
      <c r="C254" s="29" t="s">
        <v>68</v>
      </c>
      <c r="D254" s="46">
        <v>0</v>
      </c>
      <c r="E254" s="18">
        <f t="shared" si="400"/>
        <v>748</v>
      </c>
      <c r="F254" s="28">
        <v>0</v>
      </c>
      <c r="G254" s="28">
        <v>0</v>
      </c>
      <c r="H254" s="47">
        <v>0</v>
      </c>
      <c r="I254" s="21">
        <f t="shared" si="418"/>
        <v>220</v>
      </c>
      <c r="J254" s="21">
        <f t="shared" si="371"/>
        <v>12</v>
      </c>
      <c r="K254" s="21">
        <v>0</v>
      </c>
      <c r="L254" s="20">
        <v>6</v>
      </c>
      <c r="M254" s="20">
        <v>0</v>
      </c>
      <c r="N254" s="20">
        <f t="shared" si="419"/>
        <v>2600</v>
      </c>
      <c r="O254" s="19" t="s">
        <v>68</v>
      </c>
      <c r="P254" s="20">
        <v>8600</v>
      </c>
      <c r="Q254" s="20">
        <f t="shared" ref="Q254:X254" si="478">Q224</f>
        <v>260</v>
      </c>
      <c r="R254" s="20">
        <f t="shared" si="478"/>
        <v>1040</v>
      </c>
      <c r="S254" s="20">
        <f t="shared" si="478"/>
        <v>1819.9999999999998</v>
      </c>
      <c r="T254" s="20">
        <f t="shared" si="478"/>
        <v>2340</v>
      </c>
      <c r="U254" s="20">
        <f t="shared" si="478"/>
        <v>100</v>
      </c>
      <c r="V254" s="20">
        <f t="shared" si="478"/>
        <v>700</v>
      </c>
      <c r="W254" s="20">
        <f t="shared" si="478"/>
        <v>1000</v>
      </c>
      <c r="X254" s="20">
        <f t="shared" si="478"/>
        <v>4</v>
      </c>
      <c r="Y254" s="27">
        <v>0</v>
      </c>
      <c r="Z254" s="20">
        <f t="shared" si="402"/>
        <v>129</v>
      </c>
      <c r="AA254" s="27">
        <v>0</v>
      </c>
      <c r="AB254" s="27">
        <v>0</v>
      </c>
      <c r="AC254" s="27">
        <v>0</v>
      </c>
      <c r="AD254" s="23">
        <f t="shared" ref="AD254:AE254" si="479">AD224</f>
        <v>24</v>
      </c>
      <c r="AE254" s="23">
        <f t="shared" si="479"/>
        <v>28</v>
      </c>
    </row>
    <row r="255" spans="1:31">
      <c r="A255" s="4">
        <v>2003</v>
      </c>
      <c r="B255" s="27">
        <v>14</v>
      </c>
      <c r="C255" s="29" t="s">
        <v>69</v>
      </c>
      <c r="D255" s="46">
        <v>0</v>
      </c>
      <c r="E255" s="18">
        <f t="shared" si="400"/>
        <v>808</v>
      </c>
      <c r="F255" s="28">
        <v>0</v>
      </c>
      <c r="G255" s="28">
        <v>0</v>
      </c>
      <c r="H255" s="47">
        <v>0</v>
      </c>
      <c r="I255" s="21">
        <f t="shared" si="418"/>
        <v>220</v>
      </c>
      <c r="J255" s="21">
        <f t="shared" si="371"/>
        <v>13</v>
      </c>
      <c r="K255" s="21">
        <v>0</v>
      </c>
      <c r="L255" s="20">
        <v>6</v>
      </c>
      <c r="M255" s="20">
        <v>0</v>
      </c>
      <c r="N255" s="20">
        <f t="shared" si="419"/>
        <v>2800</v>
      </c>
      <c r="O255" s="19" t="s">
        <v>69</v>
      </c>
      <c r="P255" s="20">
        <v>6400</v>
      </c>
      <c r="Q255" s="20">
        <f t="shared" ref="Q255:X255" si="480">Q225</f>
        <v>280</v>
      </c>
      <c r="R255" s="20">
        <f t="shared" si="480"/>
        <v>1120</v>
      </c>
      <c r="S255" s="20">
        <f t="shared" si="480"/>
        <v>1959.9999999999998</v>
      </c>
      <c r="T255" s="20">
        <f t="shared" si="480"/>
        <v>2520</v>
      </c>
      <c r="U255" s="20">
        <f t="shared" si="480"/>
        <v>100</v>
      </c>
      <c r="V255" s="20">
        <f t="shared" si="480"/>
        <v>400</v>
      </c>
      <c r="W255" s="20">
        <f t="shared" si="480"/>
        <v>1200</v>
      </c>
      <c r="X255" s="20">
        <f t="shared" si="480"/>
        <v>4</v>
      </c>
      <c r="Y255" s="27">
        <v>0</v>
      </c>
      <c r="Z255" s="20">
        <f t="shared" si="402"/>
        <v>0</v>
      </c>
      <c r="AA255" s="27">
        <v>0</v>
      </c>
      <c r="AB255" s="27">
        <v>0</v>
      </c>
      <c r="AC255" s="27">
        <v>0</v>
      </c>
      <c r="AD255" s="23">
        <f t="shared" ref="AD255:AE255" si="481">AD225</f>
        <v>26</v>
      </c>
      <c r="AE255" s="23">
        <f t="shared" si="481"/>
        <v>30</v>
      </c>
    </row>
    <row r="256" spans="1:31">
      <c r="A256" s="4">
        <v>2003</v>
      </c>
      <c r="B256" s="27">
        <v>15</v>
      </c>
      <c r="C256" s="29" t="s">
        <v>70</v>
      </c>
      <c r="D256" s="46">
        <v>0</v>
      </c>
      <c r="E256" s="18">
        <f t="shared" si="400"/>
        <v>876</v>
      </c>
      <c r="F256" s="28">
        <v>0</v>
      </c>
      <c r="G256" s="28">
        <v>0</v>
      </c>
      <c r="H256" s="47">
        <v>0</v>
      </c>
      <c r="I256" s="21">
        <f t="shared" si="418"/>
        <v>220</v>
      </c>
      <c r="J256" s="21">
        <f t="shared" si="371"/>
        <v>14</v>
      </c>
      <c r="K256" s="21">
        <v>0</v>
      </c>
      <c r="L256" s="20">
        <v>6</v>
      </c>
      <c r="M256" s="20">
        <v>0</v>
      </c>
      <c r="N256" s="20">
        <f t="shared" si="419"/>
        <v>4500</v>
      </c>
      <c r="O256" s="19" t="s">
        <v>70</v>
      </c>
      <c r="P256" s="20">
        <v>3100</v>
      </c>
      <c r="Q256" s="20">
        <f t="shared" ref="Q256:X256" si="482">Q226</f>
        <v>450</v>
      </c>
      <c r="R256" s="20">
        <f t="shared" si="482"/>
        <v>1800</v>
      </c>
      <c r="S256" s="20">
        <f t="shared" si="482"/>
        <v>3150</v>
      </c>
      <c r="T256" s="20">
        <f t="shared" si="482"/>
        <v>4050</v>
      </c>
      <c r="U256" s="20">
        <f t="shared" si="482"/>
        <v>100</v>
      </c>
      <c r="V256" s="20">
        <f t="shared" si="482"/>
        <v>1000</v>
      </c>
      <c r="W256" s="20">
        <f t="shared" si="482"/>
        <v>600</v>
      </c>
      <c r="X256" s="20">
        <f t="shared" si="482"/>
        <v>4</v>
      </c>
      <c r="Y256" s="27">
        <v>0</v>
      </c>
      <c r="Z256" s="20">
        <f t="shared" si="402"/>
        <v>0</v>
      </c>
      <c r="AA256" s="27">
        <v>0</v>
      </c>
      <c r="AB256" s="27">
        <v>0</v>
      </c>
      <c r="AC256" s="27">
        <v>0</v>
      </c>
      <c r="AD256" s="23">
        <f t="shared" ref="AD256:AE256" si="483">AD226</f>
        <v>28</v>
      </c>
      <c r="AE256" s="23">
        <f t="shared" si="483"/>
        <v>32</v>
      </c>
    </row>
    <row r="257" spans="1:31">
      <c r="A257" s="4">
        <v>2003</v>
      </c>
      <c r="B257" s="27">
        <v>16</v>
      </c>
      <c r="C257" s="29" t="s">
        <v>71</v>
      </c>
      <c r="D257" s="46">
        <v>0</v>
      </c>
      <c r="E257" s="18">
        <f t="shared" si="400"/>
        <v>948</v>
      </c>
      <c r="F257" s="28">
        <v>0</v>
      </c>
      <c r="G257" s="28">
        <v>0</v>
      </c>
      <c r="H257" s="47">
        <v>0</v>
      </c>
      <c r="I257" s="21">
        <f t="shared" si="418"/>
        <v>220</v>
      </c>
      <c r="J257" s="21">
        <f t="shared" si="371"/>
        <v>15</v>
      </c>
      <c r="K257" s="21">
        <v>0</v>
      </c>
      <c r="L257" s="20">
        <v>6</v>
      </c>
      <c r="M257" s="20">
        <v>0</v>
      </c>
      <c r="N257" s="20">
        <f t="shared" si="419"/>
        <v>4800</v>
      </c>
      <c r="O257" s="19" t="s">
        <v>71</v>
      </c>
      <c r="P257" s="20">
        <v>1777</v>
      </c>
      <c r="Q257" s="20">
        <f t="shared" ref="Q257:X257" si="484">Q227</f>
        <v>480</v>
      </c>
      <c r="R257" s="20">
        <f t="shared" si="484"/>
        <v>1920</v>
      </c>
      <c r="S257" s="20">
        <f t="shared" si="484"/>
        <v>3360</v>
      </c>
      <c r="T257" s="20">
        <f t="shared" si="484"/>
        <v>4320</v>
      </c>
      <c r="U257" s="20">
        <f t="shared" si="484"/>
        <v>100</v>
      </c>
      <c r="V257" s="20">
        <f t="shared" si="484"/>
        <v>800</v>
      </c>
      <c r="W257" s="20">
        <f t="shared" si="484"/>
        <v>800</v>
      </c>
      <c r="X257" s="20">
        <f t="shared" si="484"/>
        <v>4</v>
      </c>
      <c r="Y257" s="27">
        <v>0</v>
      </c>
      <c r="Z257" s="20">
        <f t="shared" si="402"/>
        <v>0</v>
      </c>
      <c r="AA257" s="27">
        <v>0</v>
      </c>
      <c r="AB257" s="27">
        <v>0</v>
      </c>
      <c r="AC257" s="27">
        <v>0</v>
      </c>
      <c r="AD257" s="23">
        <f t="shared" ref="AD257:AE257" si="485">AD227</f>
        <v>30</v>
      </c>
      <c r="AE257" s="23">
        <f t="shared" si="485"/>
        <v>34</v>
      </c>
    </row>
    <row r="258" spans="1:31">
      <c r="A258" s="4">
        <v>2003</v>
      </c>
      <c r="B258" s="27">
        <v>17</v>
      </c>
      <c r="C258" s="29" t="s">
        <v>72</v>
      </c>
      <c r="D258" s="46">
        <v>0</v>
      </c>
      <c r="E258" s="18">
        <f t="shared" si="400"/>
        <v>1024</v>
      </c>
      <c r="F258" s="28">
        <v>0</v>
      </c>
      <c r="G258" s="28">
        <v>0</v>
      </c>
      <c r="H258" s="47">
        <v>0</v>
      </c>
      <c r="I258" s="21">
        <f t="shared" si="418"/>
        <v>275</v>
      </c>
      <c r="J258" s="21">
        <f t="shared" si="371"/>
        <v>16</v>
      </c>
      <c r="K258" s="21">
        <v>0</v>
      </c>
      <c r="L258" s="20">
        <v>6</v>
      </c>
      <c r="M258" s="20">
        <v>0</v>
      </c>
      <c r="N258" s="20">
        <f t="shared" si="419"/>
        <v>5100</v>
      </c>
      <c r="O258" s="19" t="s">
        <v>72</v>
      </c>
      <c r="P258" s="20">
        <v>2332</v>
      </c>
      <c r="Q258" s="20">
        <f t="shared" ref="Q258:X258" si="486">Q228</f>
        <v>510</v>
      </c>
      <c r="R258" s="20">
        <f t="shared" si="486"/>
        <v>2040</v>
      </c>
      <c r="S258" s="20">
        <f t="shared" si="486"/>
        <v>3570</v>
      </c>
      <c r="T258" s="20">
        <f t="shared" si="486"/>
        <v>4590</v>
      </c>
      <c r="U258" s="20">
        <f t="shared" si="486"/>
        <v>80</v>
      </c>
      <c r="V258" s="20">
        <f t="shared" si="486"/>
        <v>800</v>
      </c>
      <c r="W258" s="20">
        <f t="shared" si="486"/>
        <v>600</v>
      </c>
      <c r="X258" s="20">
        <f t="shared" si="486"/>
        <v>5</v>
      </c>
      <c r="Y258" s="27">
        <v>0</v>
      </c>
      <c r="Z258" s="20">
        <f t="shared" si="402"/>
        <v>0</v>
      </c>
      <c r="AA258" s="27">
        <v>0</v>
      </c>
      <c r="AB258" s="27">
        <v>0</v>
      </c>
      <c r="AC258" s="27">
        <v>0</v>
      </c>
      <c r="AD258" s="23">
        <f t="shared" ref="AD258:AE258" si="487">AD228</f>
        <v>32</v>
      </c>
      <c r="AE258" s="23">
        <f t="shared" si="487"/>
        <v>36</v>
      </c>
    </row>
    <row r="259" spans="1:31">
      <c r="A259" s="4">
        <v>2003</v>
      </c>
      <c r="B259" s="27">
        <v>18</v>
      </c>
      <c r="C259" s="29" t="s">
        <v>73</v>
      </c>
      <c r="D259" s="46">
        <v>0</v>
      </c>
      <c r="E259" s="18">
        <f t="shared" si="400"/>
        <v>1112</v>
      </c>
      <c r="F259" s="28">
        <v>0</v>
      </c>
      <c r="G259" s="28">
        <v>0</v>
      </c>
      <c r="H259" s="47">
        <v>0</v>
      </c>
      <c r="I259" s="21">
        <f t="shared" si="418"/>
        <v>275</v>
      </c>
      <c r="J259" s="21">
        <f t="shared" si="371"/>
        <v>17</v>
      </c>
      <c r="K259" s="21">
        <v>0</v>
      </c>
      <c r="L259" s="20">
        <v>6</v>
      </c>
      <c r="M259" s="20">
        <v>0</v>
      </c>
      <c r="N259" s="20">
        <f t="shared" si="419"/>
        <v>5400</v>
      </c>
      <c r="O259" s="19" t="s">
        <v>73</v>
      </c>
      <c r="P259" s="20">
        <v>1487</v>
      </c>
      <c r="Q259" s="20">
        <f t="shared" ref="Q259:X259" si="488">Q229</f>
        <v>540</v>
      </c>
      <c r="R259" s="20">
        <f t="shared" si="488"/>
        <v>2160</v>
      </c>
      <c r="S259" s="20">
        <f t="shared" si="488"/>
        <v>3779.9999999999995</v>
      </c>
      <c r="T259" s="20">
        <f t="shared" si="488"/>
        <v>4860</v>
      </c>
      <c r="U259" s="20">
        <f t="shared" si="488"/>
        <v>100</v>
      </c>
      <c r="V259" s="20">
        <f t="shared" si="488"/>
        <v>600</v>
      </c>
      <c r="W259" s="20">
        <f t="shared" si="488"/>
        <v>300</v>
      </c>
      <c r="X259" s="20">
        <f t="shared" si="488"/>
        <v>5</v>
      </c>
      <c r="Y259" s="27">
        <v>0</v>
      </c>
      <c r="Z259" s="20">
        <f t="shared" si="402"/>
        <v>194</v>
      </c>
      <c r="AA259" s="27">
        <v>0</v>
      </c>
      <c r="AB259" s="27">
        <v>0</v>
      </c>
      <c r="AC259" s="27">
        <v>0</v>
      </c>
      <c r="AD259" s="23">
        <f t="shared" ref="AD259:AE259" si="489">AD229</f>
        <v>34</v>
      </c>
      <c r="AE259" s="23">
        <f t="shared" si="489"/>
        <v>38</v>
      </c>
    </row>
    <row r="260" spans="1:31">
      <c r="A260" s="4">
        <v>2003</v>
      </c>
      <c r="B260" s="27">
        <v>19</v>
      </c>
      <c r="C260" s="29" t="s">
        <v>74</v>
      </c>
      <c r="D260" s="46">
        <v>0</v>
      </c>
      <c r="E260" s="18">
        <f t="shared" si="400"/>
        <v>1204</v>
      </c>
      <c r="F260" s="28">
        <v>0</v>
      </c>
      <c r="G260" s="28">
        <v>0</v>
      </c>
      <c r="H260" s="47">
        <v>0</v>
      </c>
      <c r="I260" s="21">
        <f t="shared" si="418"/>
        <v>275</v>
      </c>
      <c r="J260" s="21">
        <f t="shared" si="371"/>
        <v>18</v>
      </c>
      <c r="K260" s="21">
        <v>0</v>
      </c>
      <c r="L260" s="20">
        <v>6</v>
      </c>
      <c r="M260" s="20">
        <v>0</v>
      </c>
      <c r="N260" s="20">
        <f t="shared" si="419"/>
        <v>5700</v>
      </c>
      <c r="O260" s="19" t="s">
        <v>74</v>
      </c>
      <c r="P260" s="20">
        <v>1518</v>
      </c>
      <c r="Q260" s="20">
        <f t="shared" ref="Q260:X260" si="490">Q230</f>
        <v>570</v>
      </c>
      <c r="R260" s="20">
        <f t="shared" si="490"/>
        <v>2280</v>
      </c>
      <c r="S260" s="20">
        <f t="shared" si="490"/>
        <v>3989.9999999999995</v>
      </c>
      <c r="T260" s="20">
        <f t="shared" si="490"/>
        <v>5130</v>
      </c>
      <c r="U260" s="20">
        <f t="shared" si="490"/>
        <v>100</v>
      </c>
      <c r="V260" s="20">
        <f t="shared" si="490"/>
        <v>500</v>
      </c>
      <c r="W260" s="20">
        <f t="shared" si="490"/>
        <v>400</v>
      </c>
      <c r="X260" s="20">
        <f t="shared" si="490"/>
        <v>5</v>
      </c>
      <c r="Y260" s="27">
        <v>0</v>
      </c>
      <c r="Z260" s="20">
        <f t="shared" si="402"/>
        <v>0</v>
      </c>
      <c r="AA260" s="27">
        <v>0</v>
      </c>
      <c r="AB260" s="27">
        <v>0</v>
      </c>
      <c r="AC260" s="27">
        <v>0</v>
      </c>
      <c r="AD260" s="23">
        <f t="shared" ref="AD260:AE260" si="491">AD230</f>
        <v>36</v>
      </c>
      <c r="AE260" s="23">
        <f t="shared" si="491"/>
        <v>40</v>
      </c>
    </row>
    <row r="261" spans="1:31">
      <c r="A261" s="4">
        <v>2003</v>
      </c>
      <c r="B261" s="27">
        <v>20</v>
      </c>
      <c r="C261" s="29" t="s">
        <v>75</v>
      </c>
      <c r="D261" s="46">
        <v>0</v>
      </c>
      <c r="E261" s="18">
        <f t="shared" si="400"/>
        <v>1300</v>
      </c>
      <c r="F261" s="28">
        <v>0</v>
      </c>
      <c r="G261" s="28">
        <v>0</v>
      </c>
      <c r="H261" s="47">
        <v>0</v>
      </c>
      <c r="I261" s="21">
        <f t="shared" si="418"/>
        <v>275</v>
      </c>
      <c r="J261" s="21">
        <f t="shared" si="371"/>
        <v>19</v>
      </c>
      <c r="K261" s="21">
        <v>0</v>
      </c>
      <c r="L261" s="20">
        <v>6</v>
      </c>
      <c r="M261" s="20">
        <v>0</v>
      </c>
      <c r="N261" s="20">
        <f t="shared" si="419"/>
        <v>8000</v>
      </c>
      <c r="O261" s="19" t="s">
        <v>75</v>
      </c>
      <c r="P261" s="20">
        <v>861</v>
      </c>
      <c r="Q261" s="20">
        <f t="shared" ref="Q261:X261" si="492">Q231</f>
        <v>800</v>
      </c>
      <c r="R261" s="20">
        <f t="shared" si="492"/>
        <v>3200</v>
      </c>
      <c r="S261" s="20">
        <f t="shared" si="492"/>
        <v>5600</v>
      </c>
      <c r="T261" s="20">
        <f t="shared" si="492"/>
        <v>7200</v>
      </c>
      <c r="U261" s="20">
        <f t="shared" si="492"/>
        <v>100</v>
      </c>
      <c r="V261" s="20">
        <f t="shared" si="492"/>
        <v>800</v>
      </c>
      <c r="W261" s="20">
        <f t="shared" si="492"/>
        <v>8000</v>
      </c>
      <c r="X261" s="20">
        <f t="shared" si="492"/>
        <v>5</v>
      </c>
      <c r="Y261" s="27">
        <v>0</v>
      </c>
      <c r="Z261" s="20">
        <f t="shared" si="402"/>
        <v>0</v>
      </c>
      <c r="AA261" s="27">
        <v>0</v>
      </c>
      <c r="AB261" s="27">
        <v>0</v>
      </c>
      <c r="AC261" s="27">
        <v>0</v>
      </c>
      <c r="AD261" s="23">
        <f t="shared" ref="AD261:AE261" si="493">AD231</f>
        <v>38</v>
      </c>
      <c r="AE261" s="23">
        <f t="shared" si="493"/>
        <v>42</v>
      </c>
    </row>
    <row r="262" spans="1:31">
      <c r="A262" s="4">
        <v>2003</v>
      </c>
      <c r="B262" s="27">
        <v>21</v>
      </c>
      <c r="C262" s="29" t="s">
        <v>66</v>
      </c>
      <c r="D262" s="46">
        <v>0</v>
      </c>
      <c r="E262" s="18">
        <f t="shared" si="400"/>
        <v>1408</v>
      </c>
      <c r="F262" s="28">
        <v>0</v>
      </c>
      <c r="G262" s="28">
        <v>0</v>
      </c>
      <c r="H262" s="47">
        <v>0</v>
      </c>
      <c r="I262" s="21">
        <f t="shared" si="418"/>
        <v>330</v>
      </c>
      <c r="J262" s="21">
        <f t="shared" si="371"/>
        <v>20</v>
      </c>
      <c r="K262" s="21">
        <v>0</v>
      </c>
      <c r="L262" s="20">
        <v>6</v>
      </c>
      <c r="M262" s="20">
        <v>0</v>
      </c>
      <c r="N262" s="20">
        <f t="shared" si="419"/>
        <v>8400</v>
      </c>
      <c r="O262" s="19" t="s">
        <v>66</v>
      </c>
      <c r="P262" s="20">
        <v>9400</v>
      </c>
      <c r="Q262" s="20">
        <f t="shared" ref="Q262:X262" si="494">Q232</f>
        <v>840</v>
      </c>
      <c r="R262" s="20">
        <f t="shared" si="494"/>
        <v>3360</v>
      </c>
      <c r="S262" s="20">
        <f t="shared" si="494"/>
        <v>5880</v>
      </c>
      <c r="T262" s="20">
        <f t="shared" si="494"/>
        <v>7560</v>
      </c>
      <c r="U262" s="20">
        <f t="shared" si="494"/>
        <v>50</v>
      </c>
      <c r="V262" s="20">
        <f t="shared" si="494"/>
        <v>1000</v>
      </c>
      <c r="W262" s="20">
        <f t="shared" si="494"/>
        <v>600</v>
      </c>
      <c r="X262" s="20">
        <f t="shared" si="494"/>
        <v>6</v>
      </c>
      <c r="Y262" s="27">
        <v>0</v>
      </c>
      <c r="Z262" s="20">
        <f t="shared" si="402"/>
        <v>0</v>
      </c>
      <c r="AA262" s="27">
        <v>0</v>
      </c>
      <c r="AB262" s="27">
        <v>0</v>
      </c>
      <c r="AC262" s="27">
        <v>0</v>
      </c>
      <c r="AD262" s="23">
        <f t="shared" ref="AD262:AE262" si="495">AD232</f>
        <v>40</v>
      </c>
      <c r="AE262" s="23">
        <f t="shared" si="495"/>
        <v>44</v>
      </c>
    </row>
    <row r="263" spans="1:31">
      <c r="A263" s="4">
        <v>2003</v>
      </c>
      <c r="B263" s="27">
        <v>22</v>
      </c>
      <c r="C263" s="29" t="s">
        <v>67</v>
      </c>
      <c r="D263" s="46">
        <v>0</v>
      </c>
      <c r="E263" s="18">
        <f t="shared" si="400"/>
        <v>1524</v>
      </c>
      <c r="F263" s="28">
        <v>0</v>
      </c>
      <c r="G263" s="28">
        <v>0</v>
      </c>
      <c r="H263" s="47">
        <v>0</v>
      </c>
      <c r="I263" s="21">
        <f t="shared" si="418"/>
        <v>330</v>
      </c>
      <c r="J263" s="21">
        <f t="shared" si="371"/>
        <v>21</v>
      </c>
      <c r="K263" s="21">
        <v>0</v>
      </c>
      <c r="L263" s="20">
        <v>6</v>
      </c>
      <c r="M263" s="20">
        <v>0</v>
      </c>
      <c r="N263" s="20">
        <f t="shared" si="419"/>
        <v>8800</v>
      </c>
      <c r="O263" s="19" t="s">
        <v>67</v>
      </c>
      <c r="P263" s="20">
        <v>9100</v>
      </c>
      <c r="Q263" s="20">
        <f t="shared" ref="Q263:X263" si="496">Q233</f>
        <v>880</v>
      </c>
      <c r="R263" s="20">
        <f t="shared" si="496"/>
        <v>3520</v>
      </c>
      <c r="S263" s="20">
        <f t="shared" si="496"/>
        <v>6160</v>
      </c>
      <c r="T263" s="20">
        <f t="shared" si="496"/>
        <v>7920</v>
      </c>
      <c r="U263" s="20">
        <f t="shared" si="496"/>
        <v>100</v>
      </c>
      <c r="V263" s="20">
        <f t="shared" si="496"/>
        <v>600</v>
      </c>
      <c r="W263" s="20">
        <f t="shared" si="496"/>
        <v>700</v>
      </c>
      <c r="X263" s="20">
        <f t="shared" si="496"/>
        <v>6</v>
      </c>
      <c r="Y263" s="27">
        <v>0</v>
      </c>
      <c r="Z263" s="20">
        <f t="shared" si="402"/>
        <v>0</v>
      </c>
      <c r="AA263" s="27">
        <v>0</v>
      </c>
      <c r="AB263" s="27">
        <v>0</v>
      </c>
      <c r="AC263" s="27">
        <v>0</v>
      </c>
      <c r="AD263" s="23">
        <f t="shared" ref="AD263:AE263" si="497">AD233</f>
        <v>42</v>
      </c>
      <c r="AE263" s="23">
        <f t="shared" si="497"/>
        <v>46</v>
      </c>
    </row>
    <row r="264" spans="1:31">
      <c r="A264" s="4">
        <v>2003</v>
      </c>
      <c r="B264" s="27">
        <v>23</v>
      </c>
      <c r="C264" s="29" t="s">
        <v>68</v>
      </c>
      <c r="D264" s="46">
        <v>0</v>
      </c>
      <c r="E264" s="18">
        <f t="shared" si="400"/>
        <v>1652</v>
      </c>
      <c r="F264" s="28">
        <v>0</v>
      </c>
      <c r="G264" s="28">
        <v>0</v>
      </c>
      <c r="H264" s="47">
        <v>0</v>
      </c>
      <c r="I264" s="21">
        <f t="shared" si="418"/>
        <v>330</v>
      </c>
      <c r="J264" s="21">
        <f t="shared" si="371"/>
        <v>22</v>
      </c>
      <c r="K264" s="21">
        <v>0</v>
      </c>
      <c r="L264" s="20">
        <v>6</v>
      </c>
      <c r="M264" s="20">
        <v>0</v>
      </c>
      <c r="N264" s="20">
        <f t="shared" si="419"/>
        <v>9200</v>
      </c>
      <c r="O264" s="19" t="s">
        <v>68</v>
      </c>
      <c r="P264" s="20">
        <v>8600</v>
      </c>
      <c r="Q264" s="20">
        <f t="shared" ref="Q264:X264" si="498">Q234</f>
        <v>920</v>
      </c>
      <c r="R264" s="20">
        <f t="shared" si="498"/>
        <v>3680</v>
      </c>
      <c r="S264" s="20">
        <f t="shared" si="498"/>
        <v>6440</v>
      </c>
      <c r="T264" s="20">
        <f t="shared" si="498"/>
        <v>8280</v>
      </c>
      <c r="U264" s="20">
        <f t="shared" si="498"/>
        <v>100</v>
      </c>
      <c r="V264" s="20">
        <f t="shared" si="498"/>
        <v>550</v>
      </c>
      <c r="W264" s="20">
        <f t="shared" si="498"/>
        <v>500</v>
      </c>
      <c r="X264" s="20">
        <f t="shared" si="498"/>
        <v>6</v>
      </c>
      <c r="Y264" s="27">
        <v>0</v>
      </c>
      <c r="Z264" s="20">
        <f t="shared" si="402"/>
        <v>259</v>
      </c>
      <c r="AA264" s="27">
        <v>0</v>
      </c>
      <c r="AB264" s="27">
        <v>0</v>
      </c>
      <c r="AC264" s="27">
        <v>0</v>
      </c>
      <c r="AD264" s="23">
        <f t="shared" ref="AD264:AE264" si="499">AD234</f>
        <v>44</v>
      </c>
      <c r="AE264" s="23">
        <f t="shared" si="499"/>
        <v>48</v>
      </c>
    </row>
    <row r="265" spans="1:31">
      <c r="A265" s="4">
        <v>2003</v>
      </c>
      <c r="B265" s="27">
        <v>24</v>
      </c>
      <c r="C265" s="29" t="s">
        <v>69</v>
      </c>
      <c r="D265" s="46">
        <v>0</v>
      </c>
      <c r="E265" s="18">
        <f t="shared" si="400"/>
        <v>1788</v>
      </c>
      <c r="F265" s="28">
        <v>0</v>
      </c>
      <c r="G265" s="28">
        <v>0</v>
      </c>
      <c r="H265" s="47">
        <v>0</v>
      </c>
      <c r="I265" s="21">
        <f t="shared" si="418"/>
        <v>330</v>
      </c>
      <c r="J265" s="21">
        <f t="shared" si="371"/>
        <v>23</v>
      </c>
      <c r="K265" s="21">
        <v>0</v>
      </c>
      <c r="L265" s="20">
        <v>6</v>
      </c>
      <c r="M265" s="20">
        <v>0</v>
      </c>
      <c r="N265" s="20">
        <f t="shared" si="419"/>
        <v>9600</v>
      </c>
      <c r="O265" s="19" t="s">
        <v>69</v>
      </c>
      <c r="P265" s="20">
        <v>6400</v>
      </c>
      <c r="Q265" s="20">
        <f t="shared" ref="Q265:X265" si="500">Q235</f>
        <v>960</v>
      </c>
      <c r="R265" s="20">
        <f t="shared" si="500"/>
        <v>3840</v>
      </c>
      <c r="S265" s="20">
        <f t="shared" si="500"/>
        <v>6720</v>
      </c>
      <c r="T265" s="20">
        <f t="shared" si="500"/>
        <v>8640</v>
      </c>
      <c r="U265" s="20">
        <f t="shared" si="500"/>
        <v>100</v>
      </c>
      <c r="V265" s="20">
        <f t="shared" si="500"/>
        <v>500</v>
      </c>
      <c r="W265" s="20">
        <f t="shared" si="500"/>
        <v>900</v>
      </c>
      <c r="X265" s="20">
        <f t="shared" si="500"/>
        <v>6</v>
      </c>
      <c r="Y265" s="27">
        <v>0</v>
      </c>
      <c r="Z265" s="20">
        <f t="shared" si="402"/>
        <v>0</v>
      </c>
      <c r="AA265" s="27">
        <v>0</v>
      </c>
      <c r="AB265" s="27">
        <v>0</v>
      </c>
      <c r="AC265" s="27">
        <v>0</v>
      </c>
      <c r="AD265" s="23">
        <f t="shared" ref="AD265:AE265" si="501">AD235</f>
        <v>46</v>
      </c>
      <c r="AE265" s="23">
        <f t="shared" si="501"/>
        <v>50</v>
      </c>
    </row>
    <row r="266" spans="1:31">
      <c r="A266" s="8">
        <v>2003</v>
      </c>
      <c r="B266" s="27">
        <v>25</v>
      </c>
      <c r="C266" s="29" t="s">
        <v>70</v>
      </c>
      <c r="D266" s="46">
        <v>0</v>
      </c>
      <c r="E266" s="18">
        <f t="shared" si="400"/>
        <v>1936</v>
      </c>
      <c r="F266" s="28">
        <v>0</v>
      </c>
      <c r="G266" s="28">
        <v>0</v>
      </c>
      <c r="H266" s="47">
        <v>0</v>
      </c>
      <c r="I266" s="21">
        <f t="shared" si="418"/>
        <v>385</v>
      </c>
      <c r="J266" s="21">
        <f t="shared" si="371"/>
        <v>24</v>
      </c>
      <c r="K266" s="21">
        <v>0</v>
      </c>
      <c r="L266" s="20">
        <v>6</v>
      </c>
      <c r="M266" s="20">
        <v>0</v>
      </c>
      <c r="N266" s="20">
        <f t="shared" si="419"/>
        <v>12500</v>
      </c>
      <c r="O266" s="19" t="s">
        <v>70</v>
      </c>
      <c r="P266" s="20">
        <v>3100</v>
      </c>
      <c r="Q266" s="20">
        <f t="shared" ref="Q266:X266" si="502">Q236</f>
        <v>1250</v>
      </c>
      <c r="R266" s="20">
        <f t="shared" si="502"/>
        <v>5000</v>
      </c>
      <c r="S266" s="20">
        <f t="shared" si="502"/>
        <v>8750</v>
      </c>
      <c r="T266" s="20">
        <f t="shared" si="502"/>
        <v>11250</v>
      </c>
      <c r="U266" s="20">
        <f t="shared" si="502"/>
        <v>10</v>
      </c>
      <c r="V266" s="20">
        <f t="shared" si="502"/>
        <v>1300</v>
      </c>
      <c r="W266" s="20">
        <f t="shared" si="502"/>
        <v>1000</v>
      </c>
      <c r="X266" s="20">
        <f t="shared" si="502"/>
        <v>7</v>
      </c>
      <c r="Y266" s="27">
        <v>0</v>
      </c>
      <c r="Z266" s="20">
        <f t="shared" si="402"/>
        <v>0</v>
      </c>
      <c r="AA266" s="27">
        <v>0</v>
      </c>
      <c r="AB266" s="27">
        <v>0</v>
      </c>
      <c r="AC266" s="27">
        <v>0</v>
      </c>
      <c r="AD266" s="23">
        <f t="shared" ref="AD266:AE266" si="503">AD236</f>
        <v>48</v>
      </c>
      <c r="AE266" s="23">
        <f t="shared" si="503"/>
        <v>52</v>
      </c>
    </row>
    <row r="267" spans="1:31">
      <c r="A267" s="4">
        <v>2003</v>
      </c>
      <c r="B267" s="27">
        <v>26</v>
      </c>
      <c r="C267" s="29" t="s">
        <v>71</v>
      </c>
      <c r="D267" s="46">
        <v>0</v>
      </c>
      <c r="E267" s="18">
        <f t="shared" si="400"/>
        <v>2096</v>
      </c>
      <c r="F267" s="28">
        <v>0</v>
      </c>
      <c r="G267" s="28">
        <v>0</v>
      </c>
      <c r="H267" s="47">
        <v>0</v>
      </c>
      <c r="I267" s="21">
        <f t="shared" si="418"/>
        <v>385</v>
      </c>
      <c r="J267" s="21">
        <f t="shared" ref="J267:J301" si="504">B267-1</f>
        <v>25</v>
      </c>
      <c r="K267" s="21">
        <v>0</v>
      </c>
      <c r="L267" s="20">
        <v>6</v>
      </c>
      <c r="M267" s="20">
        <v>0</v>
      </c>
      <c r="N267" s="20">
        <f t="shared" si="419"/>
        <v>13000</v>
      </c>
      <c r="O267" s="19" t="s">
        <v>71</v>
      </c>
      <c r="P267" s="20">
        <v>1777</v>
      </c>
      <c r="Q267" s="20">
        <f t="shared" ref="Q267:X267" si="505">Q237</f>
        <v>1300</v>
      </c>
      <c r="R267" s="20">
        <f t="shared" si="505"/>
        <v>5200</v>
      </c>
      <c r="S267" s="20">
        <f t="shared" si="505"/>
        <v>9100</v>
      </c>
      <c r="T267" s="20">
        <f t="shared" si="505"/>
        <v>11700</v>
      </c>
      <c r="U267" s="20">
        <f t="shared" si="505"/>
        <v>90</v>
      </c>
      <c r="V267" s="20">
        <f t="shared" si="505"/>
        <v>800</v>
      </c>
      <c r="W267" s="20">
        <f t="shared" si="505"/>
        <v>2000</v>
      </c>
      <c r="X267" s="20">
        <f t="shared" si="505"/>
        <v>7</v>
      </c>
      <c r="Y267" s="27">
        <v>0</v>
      </c>
      <c r="Z267" s="20">
        <f t="shared" si="402"/>
        <v>0</v>
      </c>
      <c r="AA267" s="27">
        <v>0</v>
      </c>
      <c r="AB267" s="27">
        <v>0</v>
      </c>
      <c r="AC267" s="27">
        <v>0</v>
      </c>
      <c r="AD267" s="23">
        <f t="shared" ref="AD267:AE267" si="506">AD237</f>
        <v>50</v>
      </c>
      <c r="AE267" s="23">
        <f t="shared" si="506"/>
        <v>54</v>
      </c>
    </row>
    <row r="268" spans="1:31">
      <c r="A268" s="4">
        <v>2003</v>
      </c>
      <c r="B268" s="27">
        <v>27</v>
      </c>
      <c r="C268" s="29" t="s">
        <v>72</v>
      </c>
      <c r="D268" s="46">
        <v>0</v>
      </c>
      <c r="E268" s="18">
        <f t="shared" si="400"/>
        <v>2268</v>
      </c>
      <c r="F268" s="28">
        <v>0</v>
      </c>
      <c r="G268" s="28">
        <v>0</v>
      </c>
      <c r="H268" s="47">
        <v>0</v>
      </c>
      <c r="I268" s="21">
        <f t="shared" si="418"/>
        <v>385</v>
      </c>
      <c r="J268" s="21">
        <f t="shared" si="504"/>
        <v>26</v>
      </c>
      <c r="K268" s="21">
        <v>0</v>
      </c>
      <c r="L268" s="20">
        <v>6</v>
      </c>
      <c r="M268" s="20">
        <v>0</v>
      </c>
      <c r="N268" s="20">
        <f t="shared" si="419"/>
        <v>13500</v>
      </c>
      <c r="O268" s="19" t="s">
        <v>72</v>
      </c>
      <c r="P268" s="20">
        <v>2332</v>
      </c>
      <c r="Q268" s="20">
        <f t="shared" ref="Q268:X268" si="507">Q238</f>
        <v>1350</v>
      </c>
      <c r="R268" s="20">
        <f t="shared" si="507"/>
        <v>5400</v>
      </c>
      <c r="S268" s="20">
        <f t="shared" si="507"/>
        <v>9450</v>
      </c>
      <c r="T268" s="20">
        <f t="shared" si="507"/>
        <v>12150</v>
      </c>
      <c r="U268" s="20">
        <f t="shared" si="507"/>
        <v>80</v>
      </c>
      <c r="V268" s="20">
        <f t="shared" si="507"/>
        <v>700</v>
      </c>
      <c r="W268" s="20">
        <f t="shared" si="507"/>
        <v>800</v>
      </c>
      <c r="X268" s="20">
        <f t="shared" si="507"/>
        <v>7</v>
      </c>
      <c r="Y268" s="27">
        <v>0</v>
      </c>
      <c r="Z268" s="20">
        <f t="shared" si="402"/>
        <v>0</v>
      </c>
      <c r="AA268" s="27">
        <v>0</v>
      </c>
      <c r="AB268" s="27">
        <v>0</v>
      </c>
      <c r="AC268" s="27">
        <v>0</v>
      </c>
      <c r="AD268" s="23">
        <f t="shared" ref="AD268:AE268" si="508">AD238</f>
        <v>52</v>
      </c>
      <c r="AE268" s="23">
        <f t="shared" si="508"/>
        <v>56</v>
      </c>
    </row>
    <row r="269" spans="1:31">
      <c r="A269" s="4">
        <v>2003</v>
      </c>
      <c r="B269" s="27">
        <v>28</v>
      </c>
      <c r="C269" s="29" t="s">
        <v>73</v>
      </c>
      <c r="D269" s="46">
        <v>0</v>
      </c>
      <c r="E269" s="18">
        <f t="shared" si="400"/>
        <v>2456</v>
      </c>
      <c r="F269" s="28">
        <v>0</v>
      </c>
      <c r="G269" s="28">
        <v>0</v>
      </c>
      <c r="H269" s="47">
        <v>0</v>
      </c>
      <c r="I269" s="21">
        <f t="shared" si="418"/>
        <v>385</v>
      </c>
      <c r="J269" s="21">
        <f t="shared" si="504"/>
        <v>27</v>
      </c>
      <c r="K269" s="21">
        <v>0</v>
      </c>
      <c r="L269" s="20">
        <v>6</v>
      </c>
      <c r="M269" s="20">
        <v>0</v>
      </c>
      <c r="N269" s="20">
        <f t="shared" si="419"/>
        <v>14000</v>
      </c>
      <c r="O269" s="19" t="s">
        <v>73</v>
      </c>
      <c r="P269" s="20">
        <v>1487</v>
      </c>
      <c r="Q269" s="20">
        <f t="shared" ref="Q269:X269" si="509">Q239</f>
        <v>1400</v>
      </c>
      <c r="R269" s="20">
        <f t="shared" si="509"/>
        <v>5600</v>
      </c>
      <c r="S269" s="20">
        <f t="shared" si="509"/>
        <v>9800</v>
      </c>
      <c r="T269" s="20">
        <f t="shared" si="509"/>
        <v>12600</v>
      </c>
      <c r="U269" s="20">
        <f t="shared" si="509"/>
        <v>80</v>
      </c>
      <c r="V269" s="20">
        <f t="shared" si="509"/>
        <v>500</v>
      </c>
      <c r="W269" s="20">
        <f t="shared" si="509"/>
        <v>600</v>
      </c>
      <c r="X269" s="20">
        <f t="shared" si="509"/>
        <v>7</v>
      </c>
      <c r="Y269" s="27">
        <v>0</v>
      </c>
      <c r="Z269" s="20">
        <f t="shared" si="402"/>
        <v>324</v>
      </c>
      <c r="AA269" s="27">
        <v>0</v>
      </c>
      <c r="AB269" s="27">
        <v>0</v>
      </c>
      <c r="AC269" s="27">
        <v>0</v>
      </c>
      <c r="AD269" s="23">
        <f t="shared" ref="AD269:AE269" si="510">AD239</f>
        <v>54</v>
      </c>
      <c r="AE269" s="23">
        <f t="shared" si="510"/>
        <v>58</v>
      </c>
    </row>
    <row r="270" spans="1:31">
      <c r="A270" s="4">
        <v>2003</v>
      </c>
      <c r="B270" s="27">
        <v>29</v>
      </c>
      <c r="C270" s="29" t="s">
        <v>74</v>
      </c>
      <c r="D270" s="46">
        <v>0</v>
      </c>
      <c r="E270" s="18">
        <f t="shared" si="400"/>
        <v>2660</v>
      </c>
      <c r="F270" s="28">
        <v>0</v>
      </c>
      <c r="G270" s="28">
        <v>0</v>
      </c>
      <c r="H270" s="47">
        <v>0</v>
      </c>
      <c r="I270" s="21">
        <f t="shared" si="418"/>
        <v>440</v>
      </c>
      <c r="J270" s="21">
        <f t="shared" si="504"/>
        <v>28</v>
      </c>
      <c r="K270" s="21">
        <v>0</v>
      </c>
      <c r="L270" s="20">
        <v>6</v>
      </c>
      <c r="M270" s="20">
        <v>0</v>
      </c>
      <c r="N270" s="20">
        <f t="shared" si="419"/>
        <v>14500</v>
      </c>
      <c r="O270" s="19" t="s">
        <v>74</v>
      </c>
      <c r="P270" s="20">
        <v>1518</v>
      </c>
      <c r="Q270" s="20">
        <f t="shared" ref="Q270:X270" si="511">Q240</f>
        <v>1450</v>
      </c>
      <c r="R270" s="20">
        <f t="shared" si="511"/>
        <v>5800</v>
      </c>
      <c r="S270" s="20">
        <f t="shared" si="511"/>
        <v>10150</v>
      </c>
      <c r="T270" s="20">
        <f t="shared" si="511"/>
        <v>13050</v>
      </c>
      <c r="U270" s="20">
        <f t="shared" si="511"/>
        <v>80</v>
      </c>
      <c r="V270" s="20">
        <f t="shared" si="511"/>
        <v>600</v>
      </c>
      <c r="W270" s="20">
        <f t="shared" si="511"/>
        <v>700</v>
      </c>
      <c r="X270" s="20">
        <f t="shared" si="511"/>
        <v>8</v>
      </c>
      <c r="Y270" s="27">
        <v>0</v>
      </c>
      <c r="Z270" s="20">
        <f t="shared" si="402"/>
        <v>0</v>
      </c>
      <c r="AA270" s="27">
        <v>0</v>
      </c>
      <c r="AB270" s="27">
        <v>0</v>
      </c>
      <c r="AC270" s="27">
        <v>0</v>
      </c>
      <c r="AD270" s="23">
        <f t="shared" ref="AD270:AE270" si="512">AD240</f>
        <v>56</v>
      </c>
      <c r="AE270" s="23">
        <f t="shared" si="512"/>
        <v>60</v>
      </c>
    </row>
    <row r="271" spans="1:31">
      <c r="A271" s="4">
        <v>2003</v>
      </c>
      <c r="B271" s="27">
        <v>30</v>
      </c>
      <c r="C271" s="29" t="s">
        <v>75</v>
      </c>
      <c r="D271" s="46">
        <v>0</v>
      </c>
      <c r="E271" s="18">
        <f t="shared" si="400"/>
        <v>2880</v>
      </c>
      <c r="F271" s="28">
        <v>0</v>
      </c>
      <c r="G271" s="28">
        <v>0</v>
      </c>
      <c r="H271" s="47">
        <v>0</v>
      </c>
      <c r="I271" s="21">
        <f t="shared" si="418"/>
        <v>440</v>
      </c>
      <c r="J271" s="21">
        <f t="shared" si="504"/>
        <v>29</v>
      </c>
      <c r="K271" s="21">
        <v>0</v>
      </c>
      <c r="L271" s="20">
        <v>6</v>
      </c>
      <c r="M271" s="20">
        <v>0</v>
      </c>
      <c r="N271" s="20">
        <f t="shared" si="419"/>
        <v>15000</v>
      </c>
      <c r="O271" s="19" t="s">
        <v>75</v>
      </c>
      <c r="P271" s="20">
        <v>861</v>
      </c>
      <c r="Q271" s="20">
        <f t="shared" ref="Q271:X271" si="513">Q241</f>
        <v>1500</v>
      </c>
      <c r="R271" s="20">
        <f t="shared" si="513"/>
        <v>6000</v>
      </c>
      <c r="S271" s="20">
        <f t="shared" si="513"/>
        <v>10500</v>
      </c>
      <c r="T271" s="20">
        <f t="shared" si="513"/>
        <v>13500</v>
      </c>
      <c r="U271" s="20">
        <f t="shared" si="513"/>
        <v>20</v>
      </c>
      <c r="V271" s="20">
        <f t="shared" si="513"/>
        <v>450</v>
      </c>
      <c r="W271" s="20">
        <f t="shared" si="513"/>
        <v>1000</v>
      </c>
      <c r="X271" s="20">
        <f t="shared" si="513"/>
        <v>8</v>
      </c>
      <c r="Y271" s="27">
        <v>0</v>
      </c>
      <c r="Z271" s="20">
        <f t="shared" si="402"/>
        <v>0</v>
      </c>
      <c r="AA271" s="27">
        <v>0</v>
      </c>
      <c r="AB271" s="27">
        <v>0</v>
      </c>
      <c r="AC271" s="27">
        <v>0</v>
      </c>
      <c r="AD271" s="23">
        <f t="shared" ref="AD271:AE271" si="514">AD241</f>
        <v>58</v>
      </c>
      <c r="AE271" s="23">
        <f t="shared" si="514"/>
        <v>62</v>
      </c>
    </row>
    <row r="272" spans="1:31">
      <c r="A272" s="4">
        <v>2004</v>
      </c>
      <c r="B272" s="18">
        <v>1</v>
      </c>
      <c r="C272" s="19" t="s">
        <v>66</v>
      </c>
      <c r="D272" s="44">
        <v>0</v>
      </c>
      <c r="E272" s="18">
        <f t="shared" si="400"/>
        <v>324</v>
      </c>
      <c r="F272" s="18">
        <v>0</v>
      </c>
      <c r="G272" s="18">
        <v>0</v>
      </c>
      <c r="H272" s="45">
        <v>0</v>
      </c>
      <c r="I272" s="21">
        <f t="shared" si="418"/>
        <v>55</v>
      </c>
      <c r="J272" s="21">
        <f t="shared" si="504"/>
        <v>0</v>
      </c>
      <c r="K272" s="21">
        <v>0</v>
      </c>
      <c r="L272" s="20">
        <v>45</v>
      </c>
      <c r="M272" s="20">
        <v>0</v>
      </c>
      <c r="N272" s="20">
        <f t="shared" si="419"/>
        <v>10</v>
      </c>
      <c r="O272" s="19" t="s">
        <v>66</v>
      </c>
      <c r="P272" s="20">
        <v>9400</v>
      </c>
      <c r="Q272" s="20">
        <f t="shared" ref="Q272:X272" si="515">Q242</f>
        <v>1</v>
      </c>
      <c r="R272" s="20">
        <f t="shared" si="515"/>
        <v>4</v>
      </c>
      <c r="S272" s="20">
        <f t="shared" si="515"/>
        <v>7</v>
      </c>
      <c r="T272" s="20">
        <f t="shared" si="515"/>
        <v>9</v>
      </c>
      <c r="U272" s="20">
        <f t="shared" si="515"/>
        <v>9400</v>
      </c>
      <c r="V272" s="20">
        <f t="shared" si="515"/>
        <v>9400</v>
      </c>
      <c r="W272" s="20">
        <f t="shared" si="515"/>
        <v>9400</v>
      </c>
      <c r="X272" s="20">
        <f t="shared" si="515"/>
        <v>1</v>
      </c>
      <c r="Y272" s="20">
        <v>0</v>
      </c>
      <c r="Z272" s="20">
        <f t="shared" si="402"/>
        <v>0</v>
      </c>
      <c r="AA272" s="20">
        <v>0</v>
      </c>
      <c r="AB272" s="20">
        <v>0</v>
      </c>
      <c r="AC272" s="20">
        <v>0</v>
      </c>
      <c r="AD272" s="23">
        <f t="shared" ref="AD272:AE272" si="516">AD242</f>
        <v>1</v>
      </c>
      <c r="AE272" s="23">
        <f t="shared" si="516"/>
        <v>3</v>
      </c>
    </row>
    <row r="273" spans="1:31">
      <c r="A273" s="4">
        <v>2004</v>
      </c>
      <c r="B273" s="20">
        <v>2</v>
      </c>
      <c r="C273" s="19" t="s">
        <v>67</v>
      </c>
      <c r="D273" s="44">
        <v>0</v>
      </c>
      <c r="E273" s="18">
        <f t="shared" si="400"/>
        <v>351</v>
      </c>
      <c r="F273" s="18">
        <v>0</v>
      </c>
      <c r="G273" s="18">
        <v>0</v>
      </c>
      <c r="H273" s="45">
        <v>0</v>
      </c>
      <c r="I273" s="21">
        <f t="shared" si="418"/>
        <v>55</v>
      </c>
      <c r="J273" s="21">
        <f t="shared" si="504"/>
        <v>1</v>
      </c>
      <c r="K273" s="21">
        <v>0</v>
      </c>
      <c r="L273" s="20">
        <v>40</v>
      </c>
      <c r="M273" s="20">
        <v>0</v>
      </c>
      <c r="N273" s="20">
        <f t="shared" si="419"/>
        <v>20</v>
      </c>
      <c r="O273" s="19" t="s">
        <v>67</v>
      </c>
      <c r="P273" s="20">
        <v>9100</v>
      </c>
      <c r="Q273" s="20">
        <f t="shared" ref="Q273:X273" si="517">Q243</f>
        <v>2</v>
      </c>
      <c r="R273" s="20">
        <f t="shared" si="517"/>
        <v>8</v>
      </c>
      <c r="S273" s="20">
        <f t="shared" si="517"/>
        <v>14</v>
      </c>
      <c r="T273" s="20">
        <f t="shared" si="517"/>
        <v>18</v>
      </c>
      <c r="U273" s="20">
        <f t="shared" si="517"/>
        <v>4000</v>
      </c>
      <c r="V273" s="20">
        <f t="shared" si="517"/>
        <v>8000</v>
      </c>
      <c r="W273" s="20">
        <f t="shared" si="517"/>
        <v>8000</v>
      </c>
      <c r="X273" s="20">
        <f t="shared" si="517"/>
        <v>1</v>
      </c>
      <c r="Y273" s="20">
        <v>0</v>
      </c>
      <c r="Z273" s="20">
        <f t="shared" si="402"/>
        <v>0</v>
      </c>
      <c r="AA273" s="20">
        <v>0</v>
      </c>
      <c r="AB273" s="20">
        <v>0</v>
      </c>
      <c r="AC273" s="20">
        <v>0</v>
      </c>
      <c r="AD273" s="23">
        <f t="shared" ref="AD273:AE273" si="518">AD243</f>
        <v>2</v>
      </c>
      <c r="AE273" s="23">
        <f t="shared" si="518"/>
        <v>5</v>
      </c>
    </row>
    <row r="274" spans="1:31">
      <c r="A274" s="4">
        <v>2004</v>
      </c>
      <c r="B274" s="20">
        <v>3</v>
      </c>
      <c r="C274" s="19" t="s">
        <v>68</v>
      </c>
      <c r="D274" s="44">
        <v>0</v>
      </c>
      <c r="E274" s="18">
        <f t="shared" si="400"/>
        <v>378</v>
      </c>
      <c r="F274" s="18">
        <v>0</v>
      </c>
      <c r="G274" s="18">
        <v>0</v>
      </c>
      <c r="H274" s="45">
        <v>0</v>
      </c>
      <c r="I274" s="21">
        <f t="shared" si="418"/>
        <v>55</v>
      </c>
      <c r="J274" s="21">
        <f t="shared" si="504"/>
        <v>2</v>
      </c>
      <c r="K274" s="21">
        <v>0</v>
      </c>
      <c r="L274" s="20">
        <v>35</v>
      </c>
      <c r="M274" s="20">
        <v>0</v>
      </c>
      <c r="N274" s="20">
        <f t="shared" si="419"/>
        <v>40</v>
      </c>
      <c r="O274" s="19" t="s">
        <v>68</v>
      </c>
      <c r="P274" s="20">
        <v>8600</v>
      </c>
      <c r="Q274" s="20">
        <f t="shared" ref="Q274:X274" si="519">Q244</f>
        <v>4</v>
      </c>
      <c r="R274" s="20">
        <f t="shared" si="519"/>
        <v>16</v>
      </c>
      <c r="S274" s="20">
        <f t="shared" si="519"/>
        <v>28</v>
      </c>
      <c r="T274" s="20">
        <f t="shared" si="519"/>
        <v>36</v>
      </c>
      <c r="U274" s="20">
        <f t="shared" si="519"/>
        <v>1600</v>
      </c>
      <c r="V274" s="20">
        <f t="shared" si="519"/>
        <v>5000</v>
      </c>
      <c r="W274" s="20">
        <f t="shared" si="519"/>
        <v>6000</v>
      </c>
      <c r="X274" s="20">
        <f t="shared" si="519"/>
        <v>1</v>
      </c>
      <c r="Y274" s="20">
        <v>0</v>
      </c>
      <c r="Z274" s="20">
        <f t="shared" si="402"/>
        <v>0</v>
      </c>
      <c r="AA274" s="20">
        <v>0</v>
      </c>
      <c r="AB274" s="20">
        <v>0</v>
      </c>
      <c r="AC274" s="20">
        <v>0</v>
      </c>
      <c r="AD274" s="23">
        <f t="shared" ref="AD274:AE274" si="520">AD244</f>
        <v>4</v>
      </c>
      <c r="AE274" s="23">
        <f t="shared" si="520"/>
        <v>8</v>
      </c>
    </row>
    <row r="275" spans="1:31">
      <c r="A275" s="4">
        <v>2004</v>
      </c>
      <c r="B275" s="20">
        <v>4</v>
      </c>
      <c r="C275" s="19" t="s">
        <v>69</v>
      </c>
      <c r="D275" s="44">
        <v>0</v>
      </c>
      <c r="E275" s="18">
        <f t="shared" si="400"/>
        <v>410</v>
      </c>
      <c r="F275" s="18">
        <v>0</v>
      </c>
      <c r="G275" s="18">
        <v>0</v>
      </c>
      <c r="H275" s="45">
        <v>0</v>
      </c>
      <c r="I275" s="21">
        <f t="shared" si="418"/>
        <v>55</v>
      </c>
      <c r="J275" s="21">
        <f t="shared" si="504"/>
        <v>3</v>
      </c>
      <c r="K275" s="21">
        <v>0</v>
      </c>
      <c r="L275" s="20">
        <v>30</v>
      </c>
      <c r="M275" s="20">
        <v>0</v>
      </c>
      <c r="N275" s="20">
        <f t="shared" si="419"/>
        <v>100</v>
      </c>
      <c r="O275" s="19" t="s">
        <v>69</v>
      </c>
      <c r="P275" s="20">
        <v>6400</v>
      </c>
      <c r="Q275" s="20">
        <f t="shared" ref="Q275:X275" si="521">Q245</f>
        <v>10</v>
      </c>
      <c r="R275" s="20">
        <f t="shared" si="521"/>
        <v>40</v>
      </c>
      <c r="S275" s="20">
        <f t="shared" si="521"/>
        <v>70</v>
      </c>
      <c r="T275" s="20">
        <f t="shared" si="521"/>
        <v>90</v>
      </c>
      <c r="U275" s="20">
        <f t="shared" si="521"/>
        <v>900</v>
      </c>
      <c r="V275" s="20">
        <f t="shared" si="521"/>
        <v>2000</v>
      </c>
      <c r="W275" s="20">
        <f t="shared" si="521"/>
        <v>8000</v>
      </c>
      <c r="X275" s="20">
        <f t="shared" si="521"/>
        <v>1</v>
      </c>
      <c r="Y275" s="20">
        <v>0</v>
      </c>
      <c r="Z275" s="20">
        <f t="shared" si="402"/>
        <v>0</v>
      </c>
      <c r="AA275" s="20">
        <v>0</v>
      </c>
      <c r="AB275" s="20">
        <v>0</v>
      </c>
      <c r="AC275" s="20">
        <v>0</v>
      </c>
      <c r="AD275" s="23">
        <f t="shared" ref="AD275:AE275" si="522">AD245</f>
        <v>6</v>
      </c>
      <c r="AE275" s="23">
        <f t="shared" si="522"/>
        <v>10</v>
      </c>
    </row>
    <row r="276" spans="1:31">
      <c r="A276" s="4">
        <v>2004</v>
      </c>
      <c r="B276" s="20">
        <v>5</v>
      </c>
      <c r="C276" s="19" t="s">
        <v>70</v>
      </c>
      <c r="D276" s="44">
        <v>0</v>
      </c>
      <c r="E276" s="18">
        <f t="shared" si="400"/>
        <v>446</v>
      </c>
      <c r="F276" s="18">
        <v>0</v>
      </c>
      <c r="G276" s="18">
        <v>0</v>
      </c>
      <c r="H276" s="45">
        <v>0</v>
      </c>
      <c r="I276" s="21">
        <f t="shared" si="418"/>
        <v>110</v>
      </c>
      <c r="J276" s="21">
        <f t="shared" si="504"/>
        <v>4</v>
      </c>
      <c r="K276" s="21">
        <v>0</v>
      </c>
      <c r="L276" s="20">
        <v>25</v>
      </c>
      <c r="M276" s="20">
        <v>0</v>
      </c>
      <c r="N276" s="20">
        <f t="shared" si="419"/>
        <v>200</v>
      </c>
      <c r="O276" s="19" t="s">
        <v>70</v>
      </c>
      <c r="P276" s="20">
        <v>3100</v>
      </c>
      <c r="Q276" s="20">
        <f t="shared" ref="Q276:X276" si="523">Q246</f>
        <v>20</v>
      </c>
      <c r="R276" s="20">
        <f t="shared" si="523"/>
        <v>80</v>
      </c>
      <c r="S276" s="20">
        <f t="shared" si="523"/>
        <v>140</v>
      </c>
      <c r="T276" s="20">
        <f t="shared" si="523"/>
        <v>180</v>
      </c>
      <c r="U276" s="20">
        <f t="shared" si="523"/>
        <v>1000</v>
      </c>
      <c r="V276" s="20">
        <f t="shared" si="523"/>
        <v>2000</v>
      </c>
      <c r="W276" s="20">
        <f t="shared" si="523"/>
        <v>2000</v>
      </c>
      <c r="X276" s="20">
        <f t="shared" si="523"/>
        <v>2</v>
      </c>
      <c r="Y276" s="20">
        <v>0</v>
      </c>
      <c r="Z276" s="20">
        <f t="shared" si="402"/>
        <v>0</v>
      </c>
      <c r="AA276" s="20">
        <v>0</v>
      </c>
      <c r="AB276" s="20">
        <v>0</v>
      </c>
      <c r="AC276" s="20">
        <v>0</v>
      </c>
      <c r="AD276" s="23">
        <f t="shared" ref="AD276:AE276" si="524">AD246</f>
        <v>8</v>
      </c>
      <c r="AE276" s="23">
        <f t="shared" si="524"/>
        <v>12</v>
      </c>
    </row>
    <row r="277" spans="1:31">
      <c r="A277" s="4">
        <v>2004</v>
      </c>
      <c r="B277" s="20">
        <v>6</v>
      </c>
      <c r="C277" s="19" t="s">
        <v>71</v>
      </c>
      <c r="D277" s="44">
        <v>0</v>
      </c>
      <c r="E277" s="18">
        <f t="shared" si="400"/>
        <v>482</v>
      </c>
      <c r="F277" s="18">
        <v>0</v>
      </c>
      <c r="G277" s="18">
        <v>0</v>
      </c>
      <c r="H277" s="45">
        <v>0</v>
      </c>
      <c r="I277" s="21">
        <f t="shared" si="418"/>
        <v>110</v>
      </c>
      <c r="J277" s="21">
        <f t="shared" si="504"/>
        <v>5</v>
      </c>
      <c r="K277" s="21">
        <v>0</v>
      </c>
      <c r="L277" s="20">
        <v>20</v>
      </c>
      <c r="M277" s="20">
        <v>0</v>
      </c>
      <c r="N277" s="20">
        <f t="shared" si="419"/>
        <v>500</v>
      </c>
      <c r="O277" s="19" t="s">
        <v>71</v>
      </c>
      <c r="P277" s="20">
        <v>1777</v>
      </c>
      <c r="Q277" s="20">
        <f t="shared" ref="Q277:X277" si="525">Q247</f>
        <v>50</v>
      </c>
      <c r="R277" s="20">
        <f t="shared" si="525"/>
        <v>200</v>
      </c>
      <c r="S277" s="20">
        <f t="shared" si="525"/>
        <v>350</v>
      </c>
      <c r="T277" s="20">
        <f t="shared" si="525"/>
        <v>450</v>
      </c>
      <c r="U277" s="20">
        <f t="shared" si="525"/>
        <v>800</v>
      </c>
      <c r="V277" s="20">
        <f t="shared" si="525"/>
        <v>800</v>
      </c>
      <c r="W277" s="20">
        <f t="shared" si="525"/>
        <v>600</v>
      </c>
      <c r="X277" s="20">
        <f t="shared" si="525"/>
        <v>2</v>
      </c>
      <c r="Y277" s="20">
        <v>0</v>
      </c>
      <c r="Z277" s="20">
        <f t="shared" si="402"/>
        <v>0</v>
      </c>
      <c r="AA277" s="20">
        <v>0</v>
      </c>
      <c r="AB277" s="20">
        <v>0</v>
      </c>
      <c r="AC277" s="20">
        <v>0</v>
      </c>
      <c r="AD277" s="23">
        <f t="shared" ref="AD277:AE277" si="526">AD247</f>
        <v>10</v>
      </c>
      <c r="AE277" s="23">
        <f t="shared" si="526"/>
        <v>14</v>
      </c>
    </row>
    <row r="278" spans="1:31">
      <c r="A278" s="8">
        <v>2004</v>
      </c>
      <c r="B278" s="20">
        <v>7</v>
      </c>
      <c r="C278" s="19" t="s">
        <v>72</v>
      </c>
      <c r="D278" s="44">
        <v>0</v>
      </c>
      <c r="E278" s="18">
        <f t="shared" si="400"/>
        <v>522</v>
      </c>
      <c r="F278" s="18">
        <v>0</v>
      </c>
      <c r="G278" s="18">
        <v>0</v>
      </c>
      <c r="H278" s="45">
        <v>0</v>
      </c>
      <c r="I278" s="21">
        <f t="shared" si="418"/>
        <v>110</v>
      </c>
      <c r="J278" s="21">
        <f t="shared" si="504"/>
        <v>6</v>
      </c>
      <c r="K278" s="21">
        <v>0</v>
      </c>
      <c r="L278" s="20">
        <v>16</v>
      </c>
      <c r="M278" s="20">
        <v>0</v>
      </c>
      <c r="N278" s="20">
        <f t="shared" si="419"/>
        <v>700</v>
      </c>
      <c r="O278" s="19" t="s">
        <v>72</v>
      </c>
      <c r="P278" s="20">
        <v>2332</v>
      </c>
      <c r="Q278" s="20">
        <f t="shared" ref="Q278:X278" si="527">Q248</f>
        <v>70</v>
      </c>
      <c r="R278" s="20">
        <f t="shared" si="527"/>
        <v>280</v>
      </c>
      <c r="S278" s="20">
        <f t="shared" si="527"/>
        <v>489.99999999999994</v>
      </c>
      <c r="T278" s="20">
        <f t="shared" si="527"/>
        <v>630</v>
      </c>
      <c r="U278" s="20">
        <f t="shared" si="527"/>
        <v>650</v>
      </c>
      <c r="V278" s="20">
        <f t="shared" si="527"/>
        <v>800</v>
      </c>
      <c r="W278" s="20">
        <f t="shared" si="527"/>
        <v>300</v>
      </c>
      <c r="X278" s="20">
        <f t="shared" si="527"/>
        <v>2</v>
      </c>
      <c r="Y278" s="20">
        <v>0</v>
      </c>
      <c r="Z278" s="20">
        <f t="shared" si="402"/>
        <v>0</v>
      </c>
      <c r="AA278" s="20">
        <v>0</v>
      </c>
      <c r="AB278" s="20">
        <v>0</v>
      </c>
      <c r="AC278" s="20">
        <v>0</v>
      </c>
      <c r="AD278" s="23">
        <f t="shared" ref="AD278:AE278" si="528">AD248</f>
        <v>12</v>
      </c>
      <c r="AE278" s="23">
        <f t="shared" si="528"/>
        <v>16</v>
      </c>
    </row>
    <row r="279" spans="1:31">
      <c r="A279" s="4">
        <v>2004</v>
      </c>
      <c r="B279" s="20">
        <v>8</v>
      </c>
      <c r="C279" s="19" t="s">
        <v>73</v>
      </c>
      <c r="D279" s="44">
        <v>0</v>
      </c>
      <c r="E279" s="18">
        <f t="shared" si="400"/>
        <v>567</v>
      </c>
      <c r="F279" s="18">
        <v>0</v>
      </c>
      <c r="G279" s="18">
        <v>0</v>
      </c>
      <c r="H279" s="45">
        <v>0</v>
      </c>
      <c r="I279" s="21">
        <f t="shared" si="418"/>
        <v>110</v>
      </c>
      <c r="J279" s="21">
        <f t="shared" si="504"/>
        <v>7</v>
      </c>
      <c r="K279" s="21">
        <v>0</v>
      </c>
      <c r="L279" s="20">
        <v>12</v>
      </c>
      <c r="M279" s="20">
        <v>0</v>
      </c>
      <c r="N279" s="20">
        <f t="shared" si="419"/>
        <v>800</v>
      </c>
      <c r="O279" s="19" t="s">
        <v>73</v>
      </c>
      <c r="P279" s="20">
        <v>1487</v>
      </c>
      <c r="Q279" s="20">
        <f t="shared" ref="Q279:X279" si="529">Q249</f>
        <v>80</v>
      </c>
      <c r="R279" s="20">
        <f t="shared" si="529"/>
        <v>320</v>
      </c>
      <c r="S279" s="20">
        <f t="shared" si="529"/>
        <v>560</v>
      </c>
      <c r="T279" s="20">
        <f t="shared" si="529"/>
        <v>720</v>
      </c>
      <c r="U279" s="20">
        <f t="shared" si="529"/>
        <v>200</v>
      </c>
      <c r="V279" s="20">
        <f t="shared" si="529"/>
        <v>2000</v>
      </c>
      <c r="W279" s="20">
        <f t="shared" si="529"/>
        <v>1000</v>
      </c>
      <c r="X279" s="20">
        <f t="shared" si="529"/>
        <v>2</v>
      </c>
      <c r="Y279" s="20">
        <v>0</v>
      </c>
      <c r="Z279" s="20">
        <f t="shared" si="402"/>
        <v>72</v>
      </c>
      <c r="AA279" s="20">
        <v>0</v>
      </c>
      <c r="AB279" s="20">
        <v>0</v>
      </c>
      <c r="AC279" s="20">
        <v>0</v>
      </c>
      <c r="AD279" s="23">
        <f t="shared" ref="AD279:AE279" si="530">AD249</f>
        <v>14</v>
      </c>
      <c r="AE279" s="23">
        <f t="shared" si="530"/>
        <v>18</v>
      </c>
    </row>
    <row r="280" spans="1:31">
      <c r="A280" s="4">
        <v>2004</v>
      </c>
      <c r="B280" s="20">
        <v>9</v>
      </c>
      <c r="C280" s="19" t="s">
        <v>74</v>
      </c>
      <c r="D280" s="44">
        <v>0</v>
      </c>
      <c r="E280" s="18">
        <f t="shared" si="400"/>
        <v>612</v>
      </c>
      <c r="F280" s="18">
        <v>0</v>
      </c>
      <c r="G280" s="18">
        <v>0</v>
      </c>
      <c r="H280" s="45">
        <v>0</v>
      </c>
      <c r="I280" s="21">
        <f t="shared" si="418"/>
        <v>165</v>
      </c>
      <c r="J280" s="21">
        <f t="shared" si="504"/>
        <v>8</v>
      </c>
      <c r="K280" s="21">
        <v>0</v>
      </c>
      <c r="L280" s="20">
        <v>8</v>
      </c>
      <c r="M280" s="20">
        <v>0</v>
      </c>
      <c r="N280" s="20">
        <f t="shared" si="419"/>
        <v>900</v>
      </c>
      <c r="O280" s="19" t="s">
        <v>74</v>
      </c>
      <c r="P280" s="20">
        <v>1518</v>
      </c>
      <c r="Q280" s="20">
        <f t="shared" ref="Q280:X280" si="531">Q250</f>
        <v>90</v>
      </c>
      <c r="R280" s="20">
        <f t="shared" si="531"/>
        <v>360</v>
      </c>
      <c r="S280" s="20">
        <f t="shared" si="531"/>
        <v>630</v>
      </c>
      <c r="T280" s="20">
        <f t="shared" si="531"/>
        <v>810</v>
      </c>
      <c r="U280" s="20">
        <f t="shared" si="531"/>
        <v>120</v>
      </c>
      <c r="V280" s="20">
        <f t="shared" si="531"/>
        <v>1500</v>
      </c>
      <c r="W280" s="20">
        <f t="shared" si="531"/>
        <v>1000</v>
      </c>
      <c r="X280" s="20">
        <f t="shared" si="531"/>
        <v>3</v>
      </c>
      <c r="Y280" s="20">
        <v>0</v>
      </c>
      <c r="Z280" s="20">
        <f t="shared" si="402"/>
        <v>0</v>
      </c>
      <c r="AA280" s="20">
        <v>0</v>
      </c>
      <c r="AB280" s="20">
        <v>0</v>
      </c>
      <c r="AC280" s="20">
        <v>0</v>
      </c>
      <c r="AD280" s="23">
        <f t="shared" ref="AD280:AE280" si="532">AD250</f>
        <v>16</v>
      </c>
      <c r="AE280" s="23">
        <f t="shared" si="532"/>
        <v>20</v>
      </c>
    </row>
    <row r="281" spans="1:31">
      <c r="A281" s="4">
        <v>2004</v>
      </c>
      <c r="B281" s="20">
        <v>10</v>
      </c>
      <c r="C281" s="19" t="s">
        <v>75</v>
      </c>
      <c r="D281" s="44">
        <v>0</v>
      </c>
      <c r="E281" s="18">
        <f t="shared" ref="E281:E301" si="533">D131</f>
        <v>662</v>
      </c>
      <c r="F281" s="18">
        <v>0</v>
      </c>
      <c r="G281" s="18">
        <v>0</v>
      </c>
      <c r="H281" s="45">
        <v>0</v>
      </c>
      <c r="I281" s="21">
        <f t="shared" si="418"/>
        <v>165</v>
      </c>
      <c r="J281" s="21">
        <f t="shared" si="504"/>
        <v>9</v>
      </c>
      <c r="K281" s="21">
        <v>0</v>
      </c>
      <c r="L281" s="20">
        <v>6</v>
      </c>
      <c r="M281" s="20">
        <v>0</v>
      </c>
      <c r="N281" s="20">
        <f t="shared" si="419"/>
        <v>2000</v>
      </c>
      <c r="O281" s="19" t="s">
        <v>75</v>
      </c>
      <c r="P281" s="20">
        <v>861</v>
      </c>
      <c r="Q281" s="20">
        <f t="shared" ref="Q281:X281" si="534">Q251</f>
        <v>200</v>
      </c>
      <c r="R281" s="20">
        <f t="shared" si="534"/>
        <v>800</v>
      </c>
      <c r="S281" s="20">
        <f t="shared" si="534"/>
        <v>1400</v>
      </c>
      <c r="T281" s="20">
        <f t="shared" si="534"/>
        <v>1800</v>
      </c>
      <c r="U281" s="20">
        <f t="shared" si="534"/>
        <v>150</v>
      </c>
      <c r="V281" s="20">
        <f t="shared" si="534"/>
        <v>5000</v>
      </c>
      <c r="W281" s="20">
        <f t="shared" si="534"/>
        <v>800</v>
      </c>
      <c r="X281" s="20">
        <f t="shared" si="534"/>
        <v>3</v>
      </c>
      <c r="Y281" s="20">
        <v>0</v>
      </c>
      <c r="Z281" s="20">
        <f t="shared" ref="Z281:Z301" si="535">Y131</f>
        <v>0</v>
      </c>
      <c r="AA281" s="20">
        <v>0</v>
      </c>
      <c r="AB281" s="20">
        <v>0</v>
      </c>
      <c r="AC281" s="20">
        <v>0</v>
      </c>
      <c r="AD281" s="23">
        <f t="shared" ref="AD281:AE281" si="536">AD251</f>
        <v>18</v>
      </c>
      <c r="AE281" s="23">
        <f t="shared" si="536"/>
        <v>22</v>
      </c>
    </row>
    <row r="282" spans="1:31">
      <c r="A282" s="4">
        <v>2004</v>
      </c>
      <c r="B282" s="20">
        <v>11</v>
      </c>
      <c r="C282" s="19" t="s">
        <v>66</v>
      </c>
      <c r="D282" s="44">
        <v>0</v>
      </c>
      <c r="E282" s="18">
        <f t="shared" si="533"/>
        <v>716</v>
      </c>
      <c r="F282" s="18">
        <v>0</v>
      </c>
      <c r="G282" s="18">
        <v>0</v>
      </c>
      <c r="H282" s="45">
        <v>0</v>
      </c>
      <c r="I282" s="21">
        <f t="shared" si="418"/>
        <v>165</v>
      </c>
      <c r="J282" s="21">
        <f t="shared" si="504"/>
        <v>10</v>
      </c>
      <c r="K282" s="21">
        <v>0</v>
      </c>
      <c r="L282" s="20">
        <v>6</v>
      </c>
      <c r="M282" s="20">
        <v>0</v>
      </c>
      <c r="N282" s="20">
        <f t="shared" si="419"/>
        <v>2200</v>
      </c>
      <c r="O282" s="19" t="s">
        <v>66</v>
      </c>
      <c r="P282" s="20">
        <v>9400</v>
      </c>
      <c r="Q282" s="20">
        <f t="shared" ref="Q282:X282" si="537">Q252</f>
        <v>220</v>
      </c>
      <c r="R282" s="20">
        <f t="shared" si="537"/>
        <v>880</v>
      </c>
      <c r="S282" s="20">
        <f t="shared" si="537"/>
        <v>1540</v>
      </c>
      <c r="T282" s="20">
        <f t="shared" si="537"/>
        <v>1980</v>
      </c>
      <c r="U282" s="20">
        <f t="shared" si="537"/>
        <v>100</v>
      </c>
      <c r="V282" s="20">
        <f t="shared" si="537"/>
        <v>800</v>
      </c>
      <c r="W282" s="20">
        <f t="shared" si="537"/>
        <v>600</v>
      </c>
      <c r="X282" s="20">
        <f t="shared" si="537"/>
        <v>3</v>
      </c>
      <c r="Y282" s="20">
        <v>0</v>
      </c>
      <c r="Z282" s="20">
        <f t="shared" si="535"/>
        <v>0</v>
      </c>
      <c r="AA282" s="20">
        <v>0</v>
      </c>
      <c r="AB282" s="20">
        <v>0</v>
      </c>
      <c r="AC282" s="20">
        <v>0</v>
      </c>
      <c r="AD282" s="23">
        <f t="shared" ref="AD282:AE282" si="538">AD252</f>
        <v>20</v>
      </c>
      <c r="AE282" s="23">
        <f t="shared" si="538"/>
        <v>24</v>
      </c>
    </row>
    <row r="283" spans="1:31">
      <c r="A283" s="4">
        <v>2004</v>
      </c>
      <c r="B283" s="20">
        <v>12</v>
      </c>
      <c r="C283" s="19" t="s">
        <v>67</v>
      </c>
      <c r="D283" s="44">
        <v>0</v>
      </c>
      <c r="E283" s="18">
        <f t="shared" si="533"/>
        <v>774</v>
      </c>
      <c r="F283" s="18">
        <v>0</v>
      </c>
      <c r="G283" s="18">
        <v>0</v>
      </c>
      <c r="H283" s="45">
        <v>0</v>
      </c>
      <c r="I283" s="21">
        <f t="shared" si="418"/>
        <v>165</v>
      </c>
      <c r="J283" s="21">
        <f t="shared" si="504"/>
        <v>11</v>
      </c>
      <c r="K283" s="21">
        <v>0</v>
      </c>
      <c r="L283" s="20">
        <v>6</v>
      </c>
      <c r="M283" s="20">
        <v>0</v>
      </c>
      <c r="N283" s="20">
        <f t="shared" si="419"/>
        <v>2400</v>
      </c>
      <c r="O283" s="19" t="s">
        <v>67</v>
      </c>
      <c r="P283" s="20">
        <v>9100</v>
      </c>
      <c r="Q283" s="20">
        <f t="shared" ref="Q283:X283" si="539">Q253</f>
        <v>240</v>
      </c>
      <c r="R283" s="20">
        <f t="shared" si="539"/>
        <v>960</v>
      </c>
      <c r="S283" s="20">
        <f t="shared" si="539"/>
        <v>1680</v>
      </c>
      <c r="T283" s="20">
        <f t="shared" si="539"/>
        <v>2160</v>
      </c>
      <c r="U283" s="20">
        <f t="shared" si="539"/>
        <v>150</v>
      </c>
      <c r="V283" s="20">
        <f t="shared" si="539"/>
        <v>700</v>
      </c>
      <c r="W283" s="20">
        <f t="shared" si="539"/>
        <v>900</v>
      </c>
      <c r="X283" s="20">
        <f t="shared" si="539"/>
        <v>3</v>
      </c>
      <c r="Y283" s="20">
        <v>0</v>
      </c>
      <c r="Z283" s="20">
        <f t="shared" si="535"/>
        <v>0</v>
      </c>
      <c r="AA283" s="20">
        <v>0</v>
      </c>
      <c r="AB283" s="20">
        <v>0</v>
      </c>
      <c r="AC283" s="20">
        <v>0</v>
      </c>
      <c r="AD283" s="23">
        <f t="shared" ref="AD283:AE283" si="540">AD253</f>
        <v>22</v>
      </c>
      <c r="AE283" s="23">
        <f t="shared" si="540"/>
        <v>26</v>
      </c>
    </row>
    <row r="284" spans="1:31">
      <c r="A284" s="4">
        <v>2004</v>
      </c>
      <c r="B284" s="20">
        <v>13</v>
      </c>
      <c r="C284" s="19" t="s">
        <v>68</v>
      </c>
      <c r="D284" s="44">
        <v>0</v>
      </c>
      <c r="E284" s="18">
        <f t="shared" si="533"/>
        <v>842</v>
      </c>
      <c r="F284" s="18">
        <v>0</v>
      </c>
      <c r="G284" s="18">
        <v>0</v>
      </c>
      <c r="H284" s="45">
        <v>0</v>
      </c>
      <c r="I284" s="21">
        <f t="shared" si="418"/>
        <v>220</v>
      </c>
      <c r="J284" s="21">
        <f t="shared" si="504"/>
        <v>12</v>
      </c>
      <c r="K284" s="21">
        <v>0</v>
      </c>
      <c r="L284" s="20">
        <v>6</v>
      </c>
      <c r="M284" s="20">
        <v>0</v>
      </c>
      <c r="N284" s="20">
        <f t="shared" si="419"/>
        <v>2600</v>
      </c>
      <c r="O284" s="19" t="s">
        <v>68</v>
      </c>
      <c r="P284" s="20">
        <v>8600</v>
      </c>
      <c r="Q284" s="20">
        <f t="shared" ref="Q284:X284" si="541">Q254</f>
        <v>260</v>
      </c>
      <c r="R284" s="20">
        <f t="shared" si="541"/>
        <v>1040</v>
      </c>
      <c r="S284" s="20">
        <f t="shared" si="541"/>
        <v>1819.9999999999998</v>
      </c>
      <c r="T284" s="20">
        <f t="shared" si="541"/>
        <v>2340</v>
      </c>
      <c r="U284" s="20">
        <f t="shared" si="541"/>
        <v>100</v>
      </c>
      <c r="V284" s="20">
        <f t="shared" si="541"/>
        <v>700</v>
      </c>
      <c r="W284" s="20">
        <f t="shared" si="541"/>
        <v>1000</v>
      </c>
      <c r="X284" s="20">
        <f t="shared" si="541"/>
        <v>4</v>
      </c>
      <c r="Y284" s="20">
        <v>0</v>
      </c>
      <c r="Z284" s="20">
        <f t="shared" si="535"/>
        <v>144</v>
      </c>
      <c r="AA284" s="20">
        <v>0</v>
      </c>
      <c r="AB284" s="20">
        <v>0</v>
      </c>
      <c r="AC284" s="20">
        <v>0</v>
      </c>
      <c r="AD284" s="23">
        <f t="shared" ref="AD284:AE284" si="542">AD254</f>
        <v>24</v>
      </c>
      <c r="AE284" s="23">
        <f t="shared" si="542"/>
        <v>28</v>
      </c>
    </row>
    <row r="285" spans="1:31">
      <c r="A285" s="4">
        <v>2004</v>
      </c>
      <c r="B285" s="20">
        <v>14</v>
      </c>
      <c r="C285" s="19" t="s">
        <v>69</v>
      </c>
      <c r="D285" s="44">
        <v>0</v>
      </c>
      <c r="E285" s="18">
        <f t="shared" si="533"/>
        <v>909</v>
      </c>
      <c r="F285" s="18">
        <v>0</v>
      </c>
      <c r="G285" s="18">
        <v>0</v>
      </c>
      <c r="H285" s="45">
        <v>0</v>
      </c>
      <c r="I285" s="21">
        <f t="shared" si="418"/>
        <v>220</v>
      </c>
      <c r="J285" s="21">
        <f t="shared" si="504"/>
        <v>13</v>
      </c>
      <c r="K285" s="21">
        <v>0</v>
      </c>
      <c r="L285" s="20">
        <v>6</v>
      </c>
      <c r="M285" s="20">
        <v>0</v>
      </c>
      <c r="N285" s="20">
        <f t="shared" si="419"/>
        <v>2800</v>
      </c>
      <c r="O285" s="19" t="s">
        <v>69</v>
      </c>
      <c r="P285" s="20">
        <v>6400</v>
      </c>
      <c r="Q285" s="20">
        <f t="shared" ref="Q285:X285" si="543">Q255</f>
        <v>280</v>
      </c>
      <c r="R285" s="20">
        <f t="shared" si="543"/>
        <v>1120</v>
      </c>
      <c r="S285" s="20">
        <f t="shared" si="543"/>
        <v>1959.9999999999998</v>
      </c>
      <c r="T285" s="20">
        <f t="shared" si="543"/>
        <v>2520</v>
      </c>
      <c r="U285" s="20">
        <f t="shared" si="543"/>
        <v>100</v>
      </c>
      <c r="V285" s="20">
        <f t="shared" si="543"/>
        <v>400</v>
      </c>
      <c r="W285" s="20">
        <f t="shared" si="543"/>
        <v>1200</v>
      </c>
      <c r="X285" s="20">
        <f t="shared" si="543"/>
        <v>4</v>
      </c>
      <c r="Y285" s="20">
        <v>0</v>
      </c>
      <c r="Z285" s="20">
        <f t="shared" si="535"/>
        <v>0</v>
      </c>
      <c r="AA285" s="20">
        <v>0</v>
      </c>
      <c r="AB285" s="20">
        <v>0</v>
      </c>
      <c r="AC285" s="20">
        <v>0</v>
      </c>
      <c r="AD285" s="23">
        <f t="shared" ref="AD285:AE285" si="544">AD255</f>
        <v>26</v>
      </c>
      <c r="AE285" s="23">
        <f t="shared" si="544"/>
        <v>30</v>
      </c>
    </row>
    <row r="286" spans="1:31">
      <c r="A286" s="4">
        <v>2004</v>
      </c>
      <c r="B286" s="20">
        <v>15</v>
      </c>
      <c r="C286" s="19" t="s">
        <v>70</v>
      </c>
      <c r="D286" s="44">
        <v>0</v>
      </c>
      <c r="E286" s="18">
        <f t="shared" si="533"/>
        <v>986</v>
      </c>
      <c r="F286" s="18">
        <v>0</v>
      </c>
      <c r="G286" s="18">
        <v>0</v>
      </c>
      <c r="H286" s="45">
        <v>0</v>
      </c>
      <c r="I286" s="21">
        <f t="shared" si="418"/>
        <v>220</v>
      </c>
      <c r="J286" s="21">
        <f t="shared" si="504"/>
        <v>14</v>
      </c>
      <c r="K286" s="21">
        <v>0</v>
      </c>
      <c r="L286" s="20">
        <v>6</v>
      </c>
      <c r="M286" s="20">
        <v>0</v>
      </c>
      <c r="N286" s="20">
        <f t="shared" si="419"/>
        <v>4500</v>
      </c>
      <c r="O286" s="19" t="s">
        <v>70</v>
      </c>
      <c r="P286" s="20">
        <v>3100</v>
      </c>
      <c r="Q286" s="20">
        <f t="shared" ref="Q286:X286" si="545">Q256</f>
        <v>450</v>
      </c>
      <c r="R286" s="20">
        <f t="shared" si="545"/>
        <v>1800</v>
      </c>
      <c r="S286" s="20">
        <f t="shared" si="545"/>
        <v>3150</v>
      </c>
      <c r="T286" s="20">
        <f t="shared" si="545"/>
        <v>4050</v>
      </c>
      <c r="U286" s="20">
        <f t="shared" si="545"/>
        <v>100</v>
      </c>
      <c r="V286" s="20">
        <f t="shared" si="545"/>
        <v>1000</v>
      </c>
      <c r="W286" s="20">
        <f t="shared" si="545"/>
        <v>600</v>
      </c>
      <c r="X286" s="20">
        <f t="shared" si="545"/>
        <v>4</v>
      </c>
      <c r="Y286" s="20">
        <v>0</v>
      </c>
      <c r="Z286" s="20">
        <f t="shared" si="535"/>
        <v>0</v>
      </c>
      <c r="AA286" s="20">
        <v>0</v>
      </c>
      <c r="AB286" s="20">
        <v>0</v>
      </c>
      <c r="AC286" s="20">
        <v>0</v>
      </c>
      <c r="AD286" s="23">
        <f t="shared" ref="AD286:AE286" si="546">AD256</f>
        <v>28</v>
      </c>
      <c r="AE286" s="23">
        <f t="shared" si="546"/>
        <v>32</v>
      </c>
    </row>
    <row r="287" spans="1:31">
      <c r="A287" s="4">
        <v>2004</v>
      </c>
      <c r="B287" s="20">
        <v>16</v>
      </c>
      <c r="C287" s="19" t="s">
        <v>71</v>
      </c>
      <c r="D287" s="44">
        <v>0</v>
      </c>
      <c r="E287" s="18">
        <f t="shared" si="533"/>
        <v>1067</v>
      </c>
      <c r="F287" s="18">
        <v>0</v>
      </c>
      <c r="G287" s="18">
        <v>0</v>
      </c>
      <c r="H287" s="45">
        <v>0</v>
      </c>
      <c r="I287" s="21">
        <f t="shared" si="418"/>
        <v>220</v>
      </c>
      <c r="J287" s="21">
        <f t="shared" si="504"/>
        <v>15</v>
      </c>
      <c r="K287" s="21">
        <v>0</v>
      </c>
      <c r="L287" s="20">
        <v>6</v>
      </c>
      <c r="M287" s="20">
        <v>0</v>
      </c>
      <c r="N287" s="20">
        <f t="shared" si="419"/>
        <v>4800</v>
      </c>
      <c r="O287" s="19" t="s">
        <v>71</v>
      </c>
      <c r="P287" s="20">
        <v>1777</v>
      </c>
      <c r="Q287" s="20">
        <f t="shared" ref="Q287:X287" si="547">Q257</f>
        <v>480</v>
      </c>
      <c r="R287" s="20">
        <f t="shared" si="547"/>
        <v>1920</v>
      </c>
      <c r="S287" s="20">
        <f t="shared" si="547"/>
        <v>3360</v>
      </c>
      <c r="T287" s="20">
        <f t="shared" si="547"/>
        <v>4320</v>
      </c>
      <c r="U287" s="20">
        <f t="shared" si="547"/>
        <v>100</v>
      </c>
      <c r="V287" s="20">
        <f t="shared" si="547"/>
        <v>800</v>
      </c>
      <c r="W287" s="20">
        <f t="shared" si="547"/>
        <v>800</v>
      </c>
      <c r="X287" s="20">
        <f t="shared" si="547"/>
        <v>4</v>
      </c>
      <c r="Y287" s="20">
        <v>0</v>
      </c>
      <c r="Z287" s="20">
        <f t="shared" si="535"/>
        <v>0</v>
      </c>
      <c r="AA287" s="20">
        <v>0</v>
      </c>
      <c r="AB287" s="20">
        <v>0</v>
      </c>
      <c r="AC287" s="20">
        <v>0</v>
      </c>
      <c r="AD287" s="23">
        <f t="shared" ref="AD287:AE287" si="548">AD257</f>
        <v>30</v>
      </c>
      <c r="AE287" s="23">
        <f t="shared" si="548"/>
        <v>34</v>
      </c>
    </row>
    <row r="288" spans="1:31">
      <c r="A288" s="4">
        <v>2004</v>
      </c>
      <c r="B288" s="20">
        <v>17</v>
      </c>
      <c r="C288" s="19" t="s">
        <v>72</v>
      </c>
      <c r="D288" s="44">
        <v>0</v>
      </c>
      <c r="E288" s="18">
        <f t="shared" si="533"/>
        <v>1152</v>
      </c>
      <c r="F288" s="18">
        <v>0</v>
      </c>
      <c r="G288" s="18">
        <v>0</v>
      </c>
      <c r="H288" s="45">
        <v>0</v>
      </c>
      <c r="I288" s="21">
        <f t="shared" si="418"/>
        <v>275</v>
      </c>
      <c r="J288" s="21">
        <f t="shared" si="504"/>
        <v>16</v>
      </c>
      <c r="K288" s="21">
        <v>0</v>
      </c>
      <c r="L288" s="20">
        <v>6</v>
      </c>
      <c r="M288" s="20">
        <v>0</v>
      </c>
      <c r="N288" s="20">
        <f t="shared" si="419"/>
        <v>5100</v>
      </c>
      <c r="O288" s="19" t="s">
        <v>72</v>
      </c>
      <c r="P288" s="20">
        <v>2332</v>
      </c>
      <c r="Q288" s="20">
        <f t="shared" ref="Q288:X288" si="549">Q258</f>
        <v>510</v>
      </c>
      <c r="R288" s="20">
        <f t="shared" si="549"/>
        <v>2040</v>
      </c>
      <c r="S288" s="20">
        <f t="shared" si="549"/>
        <v>3570</v>
      </c>
      <c r="T288" s="20">
        <f t="shared" si="549"/>
        <v>4590</v>
      </c>
      <c r="U288" s="20">
        <f t="shared" si="549"/>
        <v>80</v>
      </c>
      <c r="V288" s="20">
        <f t="shared" si="549"/>
        <v>800</v>
      </c>
      <c r="W288" s="20">
        <f t="shared" si="549"/>
        <v>600</v>
      </c>
      <c r="X288" s="20">
        <f t="shared" si="549"/>
        <v>5</v>
      </c>
      <c r="Y288" s="20">
        <v>0</v>
      </c>
      <c r="Z288" s="20">
        <f t="shared" si="535"/>
        <v>0</v>
      </c>
      <c r="AA288" s="20">
        <v>0</v>
      </c>
      <c r="AB288" s="20">
        <v>0</v>
      </c>
      <c r="AC288" s="20">
        <v>0</v>
      </c>
      <c r="AD288" s="23">
        <f t="shared" ref="AD288:AE288" si="550">AD258</f>
        <v>32</v>
      </c>
      <c r="AE288" s="23">
        <f t="shared" si="550"/>
        <v>36</v>
      </c>
    </row>
    <row r="289" spans="1:31">
      <c r="A289" s="4">
        <v>2004</v>
      </c>
      <c r="B289" s="20">
        <v>18</v>
      </c>
      <c r="C289" s="19" t="s">
        <v>73</v>
      </c>
      <c r="D289" s="44">
        <v>0</v>
      </c>
      <c r="E289" s="18">
        <f t="shared" si="533"/>
        <v>1251</v>
      </c>
      <c r="F289" s="18">
        <v>0</v>
      </c>
      <c r="G289" s="18">
        <v>0</v>
      </c>
      <c r="H289" s="45">
        <v>0</v>
      </c>
      <c r="I289" s="21">
        <f t="shared" ref="I289:I352" si="551">I259</f>
        <v>275</v>
      </c>
      <c r="J289" s="21">
        <f t="shared" si="504"/>
        <v>17</v>
      </c>
      <c r="K289" s="21">
        <v>0</v>
      </c>
      <c r="L289" s="20">
        <v>6</v>
      </c>
      <c r="M289" s="20">
        <v>0</v>
      </c>
      <c r="N289" s="20">
        <f t="shared" ref="N289:N352" si="552">N259</f>
        <v>5400</v>
      </c>
      <c r="O289" s="19" t="s">
        <v>73</v>
      </c>
      <c r="P289" s="20">
        <v>1487</v>
      </c>
      <c r="Q289" s="20">
        <f t="shared" ref="Q289:X289" si="553">Q259</f>
        <v>540</v>
      </c>
      <c r="R289" s="20">
        <f t="shared" si="553"/>
        <v>2160</v>
      </c>
      <c r="S289" s="20">
        <f t="shared" si="553"/>
        <v>3779.9999999999995</v>
      </c>
      <c r="T289" s="20">
        <f t="shared" si="553"/>
        <v>4860</v>
      </c>
      <c r="U289" s="20">
        <f t="shared" si="553"/>
        <v>100</v>
      </c>
      <c r="V289" s="20">
        <f t="shared" si="553"/>
        <v>600</v>
      </c>
      <c r="W289" s="20">
        <f t="shared" si="553"/>
        <v>300</v>
      </c>
      <c r="X289" s="20">
        <f t="shared" si="553"/>
        <v>5</v>
      </c>
      <c r="Y289" s="20">
        <v>0</v>
      </c>
      <c r="Z289" s="20">
        <f t="shared" si="535"/>
        <v>216</v>
      </c>
      <c r="AA289" s="20">
        <v>0</v>
      </c>
      <c r="AB289" s="20">
        <v>0</v>
      </c>
      <c r="AC289" s="20">
        <v>0</v>
      </c>
      <c r="AD289" s="23">
        <f t="shared" ref="AD289:AE289" si="554">AD259</f>
        <v>34</v>
      </c>
      <c r="AE289" s="23">
        <f t="shared" si="554"/>
        <v>38</v>
      </c>
    </row>
    <row r="290" spans="1:31">
      <c r="A290" s="8">
        <v>2004</v>
      </c>
      <c r="B290" s="20">
        <v>19</v>
      </c>
      <c r="C290" s="19" t="s">
        <v>74</v>
      </c>
      <c r="D290" s="44">
        <v>0</v>
      </c>
      <c r="E290" s="18">
        <f t="shared" si="533"/>
        <v>1355</v>
      </c>
      <c r="F290" s="18">
        <v>0</v>
      </c>
      <c r="G290" s="18">
        <v>0</v>
      </c>
      <c r="H290" s="45">
        <v>0</v>
      </c>
      <c r="I290" s="21">
        <f t="shared" si="551"/>
        <v>275</v>
      </c>
      <c r="J290" s="21">
        <f t="shared" si="504"/>
        <v>18</v>
      </c>
      <c r="K290" s="21">
        <v>0</v>
      </c>
      <c r="L290" s="20">
        <v>6</v>
      </c>
      <c r="M290" s="20">
        <v>0</v>
      </c>
      <c r="N290" s="20">
        <f t="shared" si="552"/>
        <v>5700</v>
      </c>
      <c r="O290" s="19" t="s">
        <v>74</v>
      </c>
      <c r="P290" s="20">
        <v>1518</v>
      </c>
      <c r="Q290" s="20">
        <f t="shared" ref="Q290:X290" si="555">Q260</f>
        <v>570</v>
      </c>
      <c r="R290" s="20">
        <f t="shared" si="555"/>
        <v>2280</v>
      </c>
      <c r="S290" s="20">
        <f t="shared" si="555"/>
        <v>3989.9999999999995</v>
      </c>
      <c r="T290" s="20">
        <f t="shared" si="555"/>
        <v>5130</v>
      </c>
      <c r="U290" s="20">
        <f t="shared" si="555"/>
        <v>100</v>
      </c>
      <c r="V290" s="20">
        <f t="shared" si="555"/>
        <v>500</v>
      </c>
      <c r="W290" s="20">
        <f t="shared" si="555"/>
        <v>400</v>
      </c>
      <c r="X290" s="20">
        <f t="shared" si="555"/>
        <v>5</v>
      </c>
      <c r="Y290" s="20">
        <v>0</v>
      </c>
      <c r="Z290" s="20">
        <f t="shared" si="535"/>
        <v>0</v>
      </c>
      <c r="AA290" s="20">
        <v>0</v>
      </c>
      <c r="AB290" s="20">
        <v>0</v>
      </c>
      <c r="AC290" s="20">
        <v>0</v>
      </c>
      <c r="AD290" s="23">
        <f t="shared" ref="AD290:AE290" si="556">AD260</f>
        <v>36</v>
      </c>
      <c r="AE290" s="23">
        <f t="shared" si="556"/>
        <v>40</v>
      </c>
    </row>
    <row r="291" spans="1:31">
      <c r="A291" s="4">
        <v>2004</v>
      </c>
      <c r="B291" s="20">
        <v>20</v>
      </c>
      <c r="C291" s="19" t="s">
        <v>75</v>
      </c>
      <c r="D291" s="44">
        <v>0</v>
      </c>
      <c r="E291" s="18">
        <f t="shared" si="533"/>
        <v>1463</v>
      </c>
      <c r="F291" s="18">
        <v>0</v>
      </c>
      <c r="G291" s="18">
        <v>0</v>
      </c>
      <c r="H291" s="45">
        <v>0</v>
      </c>
      <c r="I291" s="21">
        <f t="shared" si="551"/>
        <v>275</v>
      </c>
      <c r="J291" s="21">
        <f t="shared" si="504"/>
        <v>19</v>
      </c>
      <c r="K291" s="21">
        <v>0</v>
      </c>
      <c r="L291" s="20">
        <v>6</v>
      </c>
      <c r="M291" s="20">
        <v>0</v>
      </c>
      <c r="N291" s="20">
        <f t="shared" si="552"/>
        <v>8000</v>
      </c>
      <c r="O291" s="19" t="s">
        <v>75</v>
      </c>
      <c r="P291" s="20">
        <v>861</v>
      </c>
      <c r="Q291" s="20">
        <f t="shared" ref="Q291:X291" si="557">Q261</f>
        <v>800</v>
      </c>
      <c r="R291" s="20">
        <f t="shared" si="557"/>
        <v>3200</v>
      </c>
      <c r="S291" s="20">
        <f t="shared" si="557"/>
        <v>5600</v>
      </c>
      <c r="T291" s="20">
        <f t="shared" si="557"/>
        <v>7200</v>
      </c>
      <c r="U291" s="20">
        <f t="shared" si="557"/>
        <v>100</v>
      </c>
      <c r="V291" s="20">
        <f t="shared" si="557"/>
        <v>800</v>
      </c>
      <c r="W291" s="20">
        <f t="shared" si="557"/>
        <v>8000</v>
      </c>
      <c r="X291" s="20">
        <f t="shared" si="557"/>
        <v>5</v>
      </c>
      <c r="Y291" s="20">
        <v>0</v>
      </c>
      <c r="Z291" s="20">
        <f t="shared" si="535"/>
        <v>0</v>
      </c>
      <c r="AA291" s="20">
        <v>0</v>
      </c>
      <c r="AB291" s="20">
        <v>0</v>
      </c>
      <c r="AC291" s="20">
        <v>0</v>
      </c>
      <c r="AD291" s="23">
        <f t="shared" ref="AD291:AE291" si="558">AD261</f>
        <v>38</v>
      </c>
      <c r="AE291" s="23">
        <f t="shared" si="558"/>
        <v>42</v>
      </c>
    </row>
    <row r="292" spans="1:31">
      <c r="A292" s="4">
        <v>2004</v>
      </c>
      <c r="B292" s="20">
        <v>21</v>
      </c>
      <c r="C292" s="19" t="s">
        <v>66</v>
      </c>
      <c r="D292" s="44">
        <v>0</v>
      </c>
      <c r="E292" s="18">
        <f t="shared" si="533"/>
        <v>1584</v>
      </c>
      <c r="F292" s="18">
        <v>0</v>
      </c>
      <c r="G292" s="18">
        <v>0</v>
      </c>
      <c r="H292" s="45">
        <v>0</v>
      </c>
      <c r="I292" s="21">
        <f t="shared" si="551"/>
        <v>330</v>
      </c>
      <c r="J292" s="21">
        <f t="shared" si="504"/>
        <v>20</v>
      </c>
      <c r="K292" s="21">
        <v>0</v>
      </c>
      <c r="L292" s="20">
        <v>6</v>
      </c>
      <c r="M292" s="20">
        <v>0</v>
      </c>
      <c r="N292" s="20">
        <f t="shared" si="552"/>
        <v>8400</v>
      </c>
      <c r="O292" s="19" t="s">
        <v>66</v>
      </c>
      <c r="P292" s="20">
        <v>9400</v>
      </c>
      <c r="Q292" s="20">
        <f t="shared" ref="Q292:X292" si="559">Q262</f>
        <v>840</v>
      </c>
      <c r="R292" s="20">
        <f t="shared" si="559"/>
        <v>3360</v>
      </c>
      <c r="S292" s="20">
        <f t="shared" si="559"/>
        <v>5880</v>
      </c>
      <c r="T292" s="20">
        <f t="shared" si="559"/>
        <v>7560</v>
      </c>
      <c r="U292" s="20">
        <f t="shared" si="559"/>
        <v>50</v>
      </c>
      <c r="V292" s="20">
        <f t="shared" si="559"/>
        <v>1000</v>
      </c>
      <c r="W292" s="20">
        <f t="shared" si="559"/>
        <v>600</v>
      </c>
      <c r="X292" s="20">
        <f t="shared" si="559"/>
        <v>6</v>
      </c>
      <c r="Y292" s="20">
        <v>0</v>
      </c>
      <c r="Z292" s="20">
        <f t="shared" si="535"/>
        <v>0</v>
      </c>
      <c r="AA292" s="20">
        <v>0</v>
      </c>
      <c r="AB292" s="20">
        <v>0</v>
      </c>
      <c r="AC292" s="20">
        <v>0</v>
      </c>
      <c r="AD292" s="23">
        <f t="shared" ref="AD292:AE292" si="560">AD262</f>
        <v>40</v>
      </c>
      <c r="AE292" s="23">
        <f t="shared" si="560"/>
        <v>44</v>
      </c>
    </row>
    <row r="293" spans="1:31">
      <c r="A293" s="4">
        <v>2004</v>
      </c>
      <c r="B293" s="20">
        <v>22</v>
      </c>
      <c r="C293" s="19" t="s">
        <v>67</v>
      </c>
      <c r="D293" s="44">
        <v>0</v>
      </c>
      <c r="E293" s="18">
        <f t="shared" si="533"/>
        <v>1715</v>
      </c>
      <c r="F293" s="18">
        <v>0</v>
      </c>
      <c r="G293" s="18">
        <v>0</v>
      </c>
      <c r="H293" s="45">
        <v>0</v>
      </c>
      <c r="I293" s="21">
        <f t="shared" si="551"/>
        <v>330</v>
      </c>
      <c r="J293" s="21">
        <f t="shared" si="504"/>
        <v>21</v>
      </c>
      <c r="K293" s="21">
        <v>0</v>
      </c>
      <c r="L293" s="20">
        <v>6</v>
      </c>
      <c r="M293" s="20">
        <v>0</v>
      </c>
      <c r="N293" s="20">
        <f t="shared" si="552"/>
        <v>8800</v>
      </c>
      <c r="O293" s="19" t="s">
        <v>67</v>
      </c>
      <c r="P293" s="20">
        <v>9100</v>
      </c>
      <c r="Q293" s="20">
        <f t="shared" ref="Q293:X293" si="561">Q263</f>
        <v>880</v>
      </c>
      <c r="R293" s="20">
        <f t="shared" si="561"/>
        <v>3520</v>
      </c>
      <c r="S293" s="20">
        <f t="shared" si="561"/>
        <v>6160</v>
      </c>
      <c r="T293" s="20">
        <f t="shared" si="561"/>
        <v>7920</v>
      </c>
      <c r="U293" s="20">
        <f t="shared" si="561"/>
        <v>100</v>
      </c>
      <c r="V293" s="20">
        <f t="shared" si="561"/>
        <v>600</v>
      </c>
      <c r="W293" s="20">
        <f t="shared" si="561"/>
        <v>700</v>
      </c>
      <c r="X293" s="20">
        <f t="shared" si="561"/>
        <v>6</v>
      </c>
      <c r="Y293" s="20">
        <v>0</v>
      </c>
      <c r="Z293" s="20">
        <f t="shared" si="535"/>
        <v>0</v>
      </c>
      <c r="AA293" s="20">
        <v>0</v>
      </c>
      <c r="AB293" s="20">
        <v>0</v>
      </c>
      <c r="AC293" s="20">
        <v>0</v>
      </c>
      <c r="AD293" s="23">
        <f t="shared" ref="AD293:AE293" si="562">AD263</f>
        <v>42</v>
      </c>
      <c r="AE293" s="23">
        <f t="shared" si="562"/>
        <v>46</v>
      </c>
    </row>
    <row r="294" spans="1:31">
      <c r="A294" s="4">
        <v>2004</v>
      </c>
      <c r="B294" s="20">
        <v>23</v>
      </c>
      <c r="C294" s="19" t="s">
        <v>68</v>
      </c>
      <c r="D294" s="44">
        <v>0</v>
      </c>
      <c r="E294" s="18">
        <f t="shared" si="533"/>
        <v>1859</v>
      </c>
      <c r="F294" s="18">
        <v>0</v>
      </c>
      <c r="G294" s="18">
        <v>0</v>
      </c>
      <c r="H294" s="45">
        <v>0</v>
      </c>
      <c r="I294" s="21">
        <f t="shared" si="551"/>
        <v>330</v>
      </c>
      <c r="J294" s="21">
        <f t="shared" si="504"/>
        <v>22</v>
      </c>
      <c r="K294" s="21">
        <v>0</v>
      </c>
      <c r="L294" s="20">
        <v>6</v>
      </c>
      <c r="M294" s="20">
        <v>0</v>
      </c>
      <c r="N294" s="20">
        <f t="shared" si="552"/>
        <v>9200</v>
      </c>
      <c r="O294" s="19" t="s">
        <v>68</v>
      </c>
      <c r="P294" s="20">
        <v>8600</v>
      </c>
      <c r="Q294" s="20">
        <f t="shared" ref="Q294:X294" si="563">Q264</f>
        <v>920</v>
      </c>
      <c r="R294" s="20">
        <f t="shared" si="563"/>
        <v>3680</v>
      </c>
      <c r="S294" s="20">
        <f t="shared" si="563"/>
        <v>6440</v>
      </c>
      <c r="T294" s="20">
        <f t="shared" si="563"/>
        <v>8280</v>
      </c>
      <c r="U294" s="20">
        <f t="shared" si="563"/>
        <v>100</v>
      </c>
      <c r="V294" s="20">
        <f t="shared" si="563"/>
        <v>550</v>
      </c>
      <c r="W294" s="20">
        <f t="shared" si="563"/>
        <v>500</v>
      </c>
      <c r="X294" s="20">
        <f t="shared" si="563"/>
        <v>6</v>
      </c>
      <c r="Y294" s="20">
        <v>0</v>
      </c>
      <c r="Z294" s="20">
        <f t="shared" si="535"/>
        <v>288</v>
      </c>
      <c r="AA294" s="20">
        <v>0</v>
      </c>
      <c r="AB294" s="20">
        <v>0</v>
      </c>
      <c r="AC294" s="20">
        <v>0</v>
      </c>
      <c r="AD294" s="23">
        <f t="shared" ref="AD294:AE294" si="564">AD264</f>
        <v>44</v>
      </c>
      <c r="AE294" s="23">
        <f t="shared" si="564"/>
        <v>48</v>
      </c>
    </row>
    <row r="295" spans="1:31">
      <c r="A295" s="4">
        <v>2004</v>
      </c>
      <c r="B295" s="20">
        <v>24</v>
      </c>
      <c r="C295" s="19" t="s">
        <v>69</v>
      </c>
      <c r="D295" s="44">
        <v>0</v>
      </c>
      <c r="E295" s="18">
        <f t="shared" si="533"/>
        <v>2012</v>
      </c>
      <c r="F295" s="18">
        <v>0</v>
      </c>
      <c r="G295" s="18">
        <v>0</v>
      </c>
      <c r="H295" s="45">
        <v>0</v>
      </c>
      <c r="I295" s="21">
        <f t="shared" si="551"/>
        <v>330</v>
      </c>
      <c r="J295" s="21">
        <f t="shared" si="504"/>
        <v>23</v>
      </c>
      <c r="K295" s="21">
        <v>0</v>
      </c>
      <c r="L295" s="20">
        <v>6</v>
      </c>
      <c r="M295" s="20">
        <v>0</v>
      </c>
      <c r="N295" s="20">
        <f t="shared" si="552"/>
        <v>9600</v>
      </c>
      <c r="O295" s="19" t="s">
        <v>69</v>
      </c>
      <c r="P295" s="20">
        <v>6400</v>
      </c>
      <c r="Q295" s="20">
        <f t="shared" ref="Q295:X295" si="565">Q265</f>
        <v>960</v>
      </c>
      <c r="R295" s="20">
        <f t="shared" si="565"/>
        <v>3840</v>
      </c>
      <c r="S295" s="20">
        <f t="shared" si="565"/>
        <v>6720</v>
      </c>
      <c r="T295" s="20">
        <f t="shared" si="565"/>
        <v>8640</v>
      </c>
      <c r="U295" s="20">
        <f t="shared" si="565"/>
        <v>100</v>
      </c>
      <c r="V295" s="20">
        <f t="shared" si="565"/>
        <v>500</v>
      </c>
      <c r="W295" s="20">
        <f t="shared" si="565"/>
        <v>900</v>
      </c>
      <c r="X295" s="20">
        <f t="shared" si="565"/>
        <v>6</v>
      </c>
      <c r="Y295" s="20">
        <v>0</v>
      </c>
      <c r="Z295" s="20">
        <f t="shared" si="535"/>
        <v>0</v>
      </c>
      <c r="AA295" s="20">
        <v>0</v>
      </c>
      <c r="AB295" s="20">
        <v>0</v>
      </c>
      <c r="AC295" s="20">
        <v>0</v>
      </c>
      <c r="AD295" s="23">
        <f t="shared" ref="AD295:AE295" si="566">AD265</f>
        <v>46</v>
      </c>
      <c r="AE295" s="23">
        <f t="shared" si="566"/>
        <v>50</v>
      </c>
    </row>
    <row r="296" spans="1:31">
      <c r="A296" s="4">
        <v>2004</v>
      </c>
      <c r="B296" s="20">
        <v>25</v>
      </c>
      <c r="C296" s="19" t="s">
        <v>70</v>
      </c>
      <c r="D296" s="44">
        <v>0</v>
      </c>
      <c r="E296" s="18">
        <f t="shared" si="533"/>
        <v>2178</v>
      </c>
      <c r="F296" s="18">
        <v>0</v>
      </c>
      <c r="G296" s="18">
        <v>0</v>
      </c>
      <c r="H296" s="45">
        <v>0</v>
      </c>
      <c r="I296" s="21">
        <f t="shared" si="551"/>
        <v>385</v>
      </c>
      <c r="J296" s="21">
        <f t="shared" si="504"/>
        <v>24</v>
      </c>
      <c r="K296" s="21">
        <v>0</v>
      </c>
      <c r="L296" s="20">
        <v>6</v>
      </c>
      <c r="M296" s="20">
        <v>0</v>
      </c>
      <c r="N296" s="20">
        <f t="shared" si="552"/>
        <v>12500</v>
      </c>
      <c r="O296" s="19" t="s">
        <v>70</v>
      </c>
      <c r="P296" s="20">
        <v>3100</v>
      </c>
      <c r="Q296" s="20">
        <f t="shared" ref="Q296:X296" si="567">Q266</f>
        <v>1250</v>
      </c>
      <c r="R296" s="20">
        <f t="shared" si="567"/>
        <v>5000</v>
      </c>
      <c r="S296" s="20">
        <f t="shared" si="567"/>
        <v>8750</v>
      </c>
      <c r="T296" s="20">
        <f t="shared" si="567"/>
        <v>11250</v>
      </c>
      <c r="U296" s="20">
        <f t="shared" si="567"/>
        <v>10</v>
      </c>
      <c r="V296" s="20">
        <f t="shared" si="567"/>
        <v>1300</v>
      </c>
      <c r="W296" s="20">
        <f t="shared" si="567"/>
        <v>1000</v>
      </c>
      <c r="X296" s="20">
        <f t="shared" si="567"/>
        <v>7</v>
      </c>
      <c r="Y296" s="20">
        <v>0</v>
      </c>
      <c r="Z296" s="20">
        <f t="shared" si="535"/>
        <v>0</v>
      </c>
      <c r="AA296" s="20">
        <v>0</v>
      </c>
      <c r="AB296" s="20">
        <v>0</v>
      </c>
      <c r="AC296" s="20">
        <v>0</v>
      </c>
      <c r="AD296" s="23">
        <f t="shared" ref="AD296:AE296" si="568">AD266</f>
        <v>48</v>
      </c>
      <c r="AE296" s="23">
        <f t="shared" si="568"/>
        <v>52</v>
      </c>
    </row>
    <row r="297" spans="1:31">
      <c r="A297" s="4">
        <v>2004</v>
      </c>
      <c r="B297" s="20">
        <v>26</v>
      </c>
      <c r="C297" s="19" t="s">
        <v>71</v>
      </c>
      <c r="D297" s="44">
        <v>0</v>
      </c>
      <c r="E297" s="18">
        <f t="shared" si="533"/>
        <v>2358</v>
      </c>
      <c r="F297" s="18">
        <v>0</v>
      </c>
      <c r="G297" s="18">
        <v>0</v>
      </c>
      <c r="H297" s="45">
        <v>0</v>
      </c>
      <c r="I297" s="21">
        <f t="shared" si="551"/>
        <v>385</v>
      </c>
      <c r="J297" s="21">
        <f t="shared" si="504"/>
        <v>25</v>
      </c>
      <c r="K297" s="21">
        <v>0</v>
      </c>
      <c r="L297" s="20">
        <v>6</v>
      </c>
      <c r="M297" s="20">
        <v>0</v>
      </c>
      <c r="N297" s="20">
        <f t="shared" si="552"/>
        <v>13000</v>
      </c>
      <c r="O297" s="19" t="s">
        <v>71</v>
      </c>
      <c r="P297" s="20">
        <v>1777</v>
      </c>
      <c r="Q297" s="20">
        <f t="shared" ref="Q297:X297" si="569">Q267</f>
        <v>1300</v>
      </c>
      <c r="R297" s="20">
        <f t="shared" si="569"/>
        <v>5200</v>
      </c>
      <c r="S297" s="20">
        <f t="shared" si="569"/>
        <v>9100</v>
      </c>
      <c r="T297" s="20">
        <f t="shared" si="569"/>
        <v>11700</v>
      </c>
      <c r="U297" s="20">
        <f t="shared" si="569"/>
        <v>90</v>
      </c>
      <c r="V297" s="20">
        <f t="shared" si="569"/>
        <v>800</v>
      </c>
      <c r="W297" s="20">
        <f t="shared" si="569"/>
        <v>2000</v>
      </c>
      <c r="X297" s="20">
        <f t="shared" si="569"/>
        <v>7</v>
      </c>
      <c r="Y297" s="20">
        <v>0</v>
      </c>
      <c r="Z297" s="20">
        <f t="shared" si="535"/>
        <v>0</v>
      </c>
      <c r="AA297" s="20">
        <v>0</v>
      </c>
      <c r="AB297" s="20">
        <v>0</v>
      </c>
      <c r="AC297" s="20">
        <v>0</v>
      </c>
      <c r="AD297" s="23">
        <f t="shared" ref="AD297:AE297" si="570">AD267</f>
        <v>50</v>
      </c>
      <c r="AE297" s="23">
        <f t="shared" si="570"/>
        <v>54</v>
      </c>
    </row>
    <row r="298" spans="1:31">
      <c r="A298" s="4">
        <v>2004</v>
      </c>
      <c r="B298" s="20">
        <v>27</v>
      </c>
      <c r="C298" s="19" t="s">
        <v>72</v>
      </c>
      <c r="D298" s="44">
        <v>0</v>
      </c>
      <c r="E298" s="18">
        <f t="shared" si="533"/>
        <v>2552</v>
      </c>
      <c r="F298" s="18">
        <v>0</v>
      </c>
      <c r="G298" s="18">
        <v>0</v>
      </c>
      <c r="H298" s="45">
        <v>0</v>
      </c>
      <c r="I298" s="21">
        <f t="shared" si="551"/>
        <v>385</v>
      </c>
      <c r="J298" s="21">
        <f t="shared" si="504"/>
        <v>26</v>
      </c>
      <c r="K298" s="21">
        <v>0</v>
      </c>
      <c r="L298" s="20">
        <v>6</v>
      </c>
      <c r="M298" s="20">
        <v>0</v>
      </c>
      <c r="N298" s="20">
        <f t="shared" si="552"/>
        <v>13500</v>
      </c>
      <c r="O298" s="19" t="s">
        <v>72</v>
      </c>
      <c r="P298" s="20">
        <v>2332</v>
      </c>
      <c r="Q298" s="20">
        <f t="shared" ref="Q298:X298" si="571">Q268</f>
        <v>1350</v>
      </c>
      <c r="R298" s="20">
        <f t="shared" si="571"/>
        <v>5400</v>
      </c>
      <c r="S298" s="20">
        <f t="shared" si="571"/>
        <v>9450</v>
      </c>
      <c r="T298" s="20">
        <f t="shared" si="571"/>
        <v>12150</v>
      </c>
      <c r="U298" s="20">
        <f t="shared" si="571"/>
        <v>80</v>
      </c>
      <c r="V298" s="20">
        <f t="shared" si="571"/>
        <v>700</v>
      </c>
      <c r="W298" s="20">
        <f t="shared" si="571"/>
        <v>800</v>
      </c>
      <c r="X298" s="20">
        <f t="shared" si="571"/>
        <v>7</v>
      </c>
      <c r="Y298" s="20">
        <v>0</v>
      </c>
      <c r="Z298" s="20">
        <f t="shared" si="535"/>
        <v>0</v>
      </c>
      <c r="AA298" s="20">
        <v>0</v>
      </c>
      <c r="AB298" s="20">
        <v>0</v>
      </c>
      <c r="AC298" s="20">
        <v>0</v>
      </c>
      <c r="AD298" s="23">
        <f t="shared" ref="AD298:AE298" si="572">AD268</f>
        <v>52</v>
      </c>
      <c r="AE298" s="23">
        <f t="shared" si="572"/>
        <v>56</v>
      </c>
    </row>
    <row r="299" spans="1:31">
      <c r="A299" s="4">
        <v>2004</v>
      </c>
      <c r="B299" s="20">
        <v>28</v>
      </c>
      <c r="C299" s="19" t="s">
        <v>73</v>
      </c>
      <c r="D299" s="44">
        <v>0</v>
      </c>
      <c r="E299" s="18">
        <f t="shared" si="533"/>
        <v>2763</v>
      </c>
      <c r="F299" s="18">
        <v>0</v>
      </c>
      <c r="G299" s="18">
        <v>0</v>
      </c>
      <c r="H299" s="45">
        <v>0</v>
      </c>
      <c r="I299" s="21">
        <f t="shared" si="551"/>
        <v>385</v>
      </c>
      <c r="J299" s="21">
        <f t="shared" si="504"/>
        <v>27</v>
      </c>
      <c r="K299" s="21">
        <v>0</v>
      </c>
      <c r="L299" s="20">
        <v>6</v>
      </c>
      <c r="M299" s="20">
        <v>0</v>
      </c>
      <c r="N299" s="20">
        <f t="shared" si="552"/>
        <v>14000</v>
      </c>
      <c r="O299" s="19" t="s">
        <v>73</v>
      </c>
      <c r="P299" s="20">
        <v>1487</v>
      </c>
      <c r="Q299" s="20">
        <f t="shared" ref="Q299:X299" si="573">Q269</f>
        <v>1400</v>
      </c>
      <c r="R299" s="20">
        <f t="shared" si="573"/>
        <v>5600</v>
      </c>
      <c r="S299" s="20">
        <f t="shared" si="573"/>
        <v>9800</v>
      </c>
      <c r="T299" s="20">
        <f t="shared" si="573"/>
        <v>12600</v>
      </c>
      <c r="U299" s="20">
        <f t="shared" si="573"/>
        <v>80</v>
      </c>
      <c r="V299" s="20">
        <f t="shared" si="573"/>
        <v>500</v>
      </c>
      <c r="W299" s="20">
        <f t="shared" si="573"/>
        <v>600</v>
      </c>
      <c r="X299" s="20">
        <f t="shared" si="573"/>
        <v>7</v>
      </c>
      <c r="Y299" s="20">
        <v>0</v>
      </c>
      <c r="Z299" s="20">
        <f t="shared" si="535"/>
        <v>360</v>
      </c>
      <c r="AA299" s="20">
        <v>0</v>
      </c>
      <c r="AB299" s="20">
        <v>0</v>
      </c>
      <c r="AC299" s="20">
        <v>0</v>
      </c>
      <c r="AD299" s="23">
        <f t="shared" ref="AD299:AE299" si="574">AD269</f>
        <v>54</v>
      </c>
      <c r="AE299" s="23">
        <f t="shared" si="574"/>
        <v>58</v>
      </c>
    </row>
    <row r="300" spans="1:31">
      <c r="A300" s="4">
        <v>2004</v>
      </c>
      <c r="B300" s="20">
        <v>29</v>
      </c>
      <c r="C300" s="19" t="s">
        <v>74</v>
      </c>
      <c r="D300" s="44">
        <v>0</v>
      </c>
      <c r="E300" s="18">
        <f t="shared" si="533"/>
        <v>2993</v>
      </c>
      <c r="F300" s="18">
        <v>0</v>
      </c>
      <c r="G300" s="18">
        <v>0</v>
      </c>
      <c r="H300" s="45">
        <v>0</v>
      </c>
      <c r="I300" s="21">
        <f t="shared" si="551"/>
        <v>440</v>
      </c>
      <c r="J300" s="21">
        <f t="shared" si="504"/>
        <v>28</v>
      </c>
      <c r="K300" s="21">
        <v>0</v>
      </c>
      <c r="L300" s="20">
        <v>6</v>
      </c>
      <c r="M300" s="20">
        <v>0</v>
      </c>
      <c r="N300" s="20">
        <f t="shared" si="552"/>
        <v>14500</v>
      </c>
      <c r="O300" s="19" t="s">
        <v>74</v>
      </c>
      <c r="P300" s="20">
        <v>1518</v>
      </c>
      <c r="Q300" s="20">
        <f t="shared" ref="Q300:X300" si="575">Q270</f>
        <v>1450</v>
      </c>
      <c r="R300" s="20">
        <f t="shared" si="575"/>
        <v>5800</v>
      </c>
      <c r="S300" s="20">
        <f t="shared" si="575"/>
        <v>10150</v>
      </c>
      <c r="T300" s="20">
        <f t="shared" si="575"/>
        <v>13050</v>
      </c>
      <c r="U300" s="20">
        <f t="shared" si="575"/>
        <v>80</v>
      </c>
      <c r="V300" s="20">
        <f t="shared" si="575"/>
        <v>600</v>
      </c>
      <c r="W300" s="20">
        <f t="shared" si="575"/>
        <v>700</v>
      </c>
      <c r="X300" s="20">
        <f t="shared" si="575"/>
        <v>8</v>
      </c>
      <c r="Y300" s="20">
        <v>0</v>
      </c>
      <c r="Z300" s="20">
        <f t="shared" si="535"/>
        <v>0</v>
      </c>
      <c r="AA300" s="20">
        <v>0</v>
      </c>
      <c r="AB300" s="20">
        <v>0</v>
      </c>
      <c r="AC300" s="20">
        <v>0</v>
      </c>
      <c r="AD300" s="23">
        <f t="shared" ref="AD300:AE300" si="576">AD270</f>
        <v>56</v>
      </c>
      <c r="AE300" s="23">
        <f t="shared" si="576"/>
        <v>60</v>
      </c>
    </row>
    <row r="301" spans="1:31">
      <c r="A301" s="4">
        <v>2004</v>
      </c>
      <c r="B301" s="20">
        <v>30</v>
      </c>
      <c r="C301" s="19" t="s">
        <v>75</v>
      </c>
      <c r="D301" s="44">
        <v>0</v>
      </c>
      <c r="E301" s="18">
        <f t="shared" si="533"/>
        <v>3240</v>
      </c>
      <c r="F301" s="18">
        <v>0</v>
      </c>
      <c r="G301" s="18">
        <v>0</v>
      </c>
      <c r="H301" s="45">
        <v>0</v>
      </c>
      <c r="I301" s="21">
        <f t="shared" si="551"/>
        <v>440</v>
      </c>
      <c r="J301" s="21">
        <f t="shared" si="504"/>
        <v>29</v>
      </c>
      <c r="K301" s="21">
        <v>0</v>
      </c>
      <c r="L301" s="20">
        <v>6</v>
      </c>
      <c r="M301" s="20">
        <v>0</v>
      </c>
      <c r="N301" s="20">
        <f t="shared" si="552"/>
        <v>15000</v>
      </c>
      <c r="O301" s="19" t="s">
        <v>75</v>
      </c>
      <c r="P301" s="20">
        <v>861</v>
      </c>
      <c r="Q301" s="20">
        <f t="shared" ref="Q301:X301" si="577">Q271</f>
        <v>1500</v>
      </c>
      <c r="R301" s="20">
        <f t="shared" si="577"/>
        <v>6000</v>
      </c>
      <c r="S301" s="20">
        <f t="shared" si="577"/>
        <v>10500</v>
      </c>
      <c r="T301" s="20">
        <f t="shared" si="577"/>
        <v>13500</v>
      </c>
      <c r="U301" s="20">
        <f t="shared" si="577"/>
        <v>20</v>
      </c>
      <c r="V301" s="20">
        <f t="shared" si="577"/>
        <v>450</v>
      </c>
      <c r="W301" s="20">
        <f t="shared" si="577"/>
        <v>1000</v>
      </c>
      <c r="X301" s="20">
        <f t="shared" si="577"/>
        <v>8</v>
      </c>
      <c r="Y301" s="20">
        <v>0</v>
      </c>
      <c r="Z301" s="20">
        <f t="shared" si="535"/>
        <v>0</v>
      </c>
      <c r="AA301" s="20">
        <v>0</v>
      </c>
      <c r="AB301" s="20">
        <v>0</v>
      </c>
      <c r="AC301" s="20">
        <v>0</v>
      </c>
      <c r="AD301" s="23">
        <f t="shared" ref="AD301:AE301" si="578">AD271</f>
        <v>58</v>
      </c>
      <c r="AE301" s="23">
        <f t="shared" si="578"/>
        <v>62</v>
      </c>
    </row>
    <row r="302" spans="1:31">
      <c r="A302" s="8">
        <v>3000</v>
      </c>
      <c r="B302" s="8">
        <v>1</v>
      </c>
      <c r="C302" s="19" t="s">
        <v>66</v>
      </c>
      <c r="D302" s="44">
        <v>0</v>
      </c>
      <c r="E302" s="18">
        <f>E152</f>
        <v>72</v>
      </c>
      <c r="F302" s="18">
        <v>0</v>
      </c>
      <c r="G302" s="18">
        <v>0</v>
      </c>
      <c r="H302" s="45">
        <v>0</v>
      </c>
      <c r="I302" s="21">
        <f t="shared" si="551"/>
        <v>55</v>
      </c>
      <c r="J302" s="21">
        <f t="shared" ref="J302:J338" si="579">B302-1</f>
        <v>0</v>
      </c>
      <c r="K302" s="21">
        <v>0</v>
      </c>
      <c r="L302" s="20">
        <v>45</v>
      </c>
      <c r="M302" s="20">
        <v>0</v>
      </c>
      <c r="N302" s="20">
        <f t="shared" si="552"/>
        <v>10</v>
      </c>
      <c r="O302" s="19" t="s">
        <v>66</v>
      </c>
      <c r="P302" s="20">
        <v>9400</v>
      </c>
      <c r="Q302" s="20">
        <f t="shared" ref="Q302:X302" si="580">Q272</f>
        <v>1</v>
      </c>
      <c r="R302" s="20">
        <f t="shared" si="580"/>
        <v>4</v>
      </c>
      <c r="S302" s="20">
        <f t="shared" si="580"/>
        <v>7</v>
      </c>
      <c r="T302" s="20">
        <f t="shared" si="580"/>
        <v>9</v>
      </c>
      <c r="U302" s="20">
        <f t="shared" si="580"/>
        <v>9400</v>
      </c>
      <c r="V302" s="20">
        <f t="shared" si="580"/>
        <v>9400</v>
      </c>
      <c r="W302" s="20">
        <f t="shared" si="580"/>
        <v>9400</v>
      </c>
      <c r="X302" s="20">
        <f t="shared" si="580"/>
        <v>1</v>
      </c>
      <c r="Y302" s="20">
        <v>0</v>
      </c>
      <c r="Z302" s="20">
        <f>Z152</f>
        <v>0</v>
      </c>
      <c r="AA302" s="20">
        <v>0</v>
      </c>
      <c r="AB302" s="20">
        <v>0</v>
      </c>
      <c r="AC302" s="20">
        <v>0</v>
      </c>
      <c r="AD302" s="23">
        <f t="shared" ref="AD302:AE302" si="581">AD272</f>
        <v>1</v>
      </c>
      <c r="AE302" s="23">
        <f t="shared" si="581"/>
        <v>3</v>
      </c>
    </row>
    <row r="303" spans="1:31">
      <c r="A303" s="4">
        <v>3000</v>
      </c>
      <c r="B303" s="4">
        <v>2</v>
      </c>
      <c r="C303" s="19" t="s">
        <v>67</v>
      </c>
      <c r="D303" s="44">
        <v>0</v>
      </c>
      <c r="E303" s="18">
        <f t="shared" ref="E303:E366" si="582">E153</f>
        <v>78</v>
      </c>
      <c r="F303" s="18">
        <v>0</v>
      </c>
      <c r="G303" s="18">
        <v>0</v>
      </c>
      <c r="H303" s="45">
        <v>0</v>
      </c>
      <c r="I303" s="21">
        <f t="shared" si="551"/>
        <v>55</v>
      </c>
      <c r="J303" s="21">
        <f t="shared" si="579"/>
        <v>1</v>
      </c>
      <c r="K303" s="21">
        <v>0</v>
      </c>
      <c r="L303" s="20">
        <v>40</v>
      </c>
      <c r="M303" s="20">
        <v>0</v>
      </c>
      <c r="N303" s="20">
        <f t="shared" si="552"/>
        <v>20</v>
      </c>
      <c r="O303" s="19" t="s">
        <v>67</v>
      </c>
      <c r="P303" s="20">
        <v>9100</v>
      </c>
      <c r="Q303" s="20">
        <f t="shared" ref="Q303:X303" si="583">Q273</f>
        <v>2</v>
      </c>
      <c r="R303" s="20">
        <f t="shared" si="583"/>
        <v>8</v>
      </c>
      <c r="S303" s="20">
        <f t="shared" si="583"/>
        <v>14</v>
      </c>
      <c r="T303" s="20">
        <f t="shared" si="583"/>
        <v>18</v>
      </c>
      <c r="U303" s="20">
        <f t="shared" si="583"/>
        <v>4000</v>
      </c>
      <c r="V303" s="20">
        <f t="shared" si="583"/>
        <v>8000</v>
      </c>
      <c r="W303" s="20">
        <f t="shared" si="583"/>
        <v>8000</v>
      </c>
      <c r="X303" s="20">
        <f t="shared" si="583"/>
        <v>1</v>
      </c>
      <c r="Y303" s="20">
        <v>0</v>
      </c>
      <c r="Z303" s="20">
        <f t="shared" ref="Z303:Z366" si="584">Z153</f>
        <v>0</v>
      </c>
      <c r="AA303" s="20">
        <v>0</v>
      </c>
      <c r="AB303" s="20">
        <v>0</v>
      </c>
      <c r="AC303" s="20">
        <v>0</v>
      </c>
      <c r="AD303" s="23">
        <f t="shared" ref="AD303:AE303" si="585">AD273</f>
        <v>2</v>
      </c>
      <c r="AE303" s="23">
        <f t="shared" si="585"/>
        <v>5</v>
      </c>
    </row>
    <row r="304" spans="1:31">
      <c r="A304" s="4">
        <v>3000</v>
      </c>
      <c r="B304" s="4">
        <v>3</v>
      </c>
      <c r="C304" s="19" t="s">
        <v>68</v>
      </c>
      <c r="D304" s="44">
        <v>0</v>
      </c>
      <c r="E304" s="18">
        <f t="shared" si="582"/>
        <v>84</v>
      </c>
      <c r="F304" s="18">
        <v>0</v>
      </c>
      <c r="G304" s="18">
        <v>0</v>
      </c>
      <c r="H304" s="45">
        <v>0</v>
      </c>
      <c r="I304" s="21">
        <f t="shared" si="551"/>
        <v>55</v>
      </c>
      <c r="J304" s="21">
        <f t="shared" si="579"/>
        <v>2</v>
      </c>
      <c r="K304" s="21">
        <v>0</v>
      </c>
      <c r="L304" s="20">
        <v>35</v>
      </c>
      <c r="M304" s="20">
        <v>0</v>
      </c>
      <c r="N304" s="20">
        <f t="shared" si="552"/>
        <v>40</v>
      </c>
      <c r="O304" s="19" t="s">
        <v>68</v>
      </c>
      <c r="P304" s="20">
        <v>8600</v>
      </c>
      <c r="Q304" s="20">
        <f t="shared" ref="Q304:X304" si="586">Q274</f>
        <v>4</v>
      </c>
      <c r="R304" s="20">
        <f t="shared" si="586"/>
        <v>16</v>
      </c>
      <c r="S304" s="20">
        <f t="shared" si="586"/>
        <v>28</v>
      </c>
      <c r="T304" s="20">
        <f t="shared" si="586"/>
        <v>36</v>
      </c>
      <c r="U304" s="20">
        <f t="shared" si="586"/>
        <v>1600</v>
      </c>
      <c r="V304" s="20">
        <f t="shared" si="586"/>
        <v>5000</v>
      </c>
      <c r="W304" s="20">
        <f t="shared" si="586"/>
        <v>6000</v>
      </c>
      <c r="X304" s="20">
        <f t="shared" si="586"/>
        <v>1</v>
      </c>
      <c r="Y304" s="20">
        <v>0</v>
      </c>
      <c r="Z304" s="20">
        <f t="shared" si="584"/>
        <v>0</v>
      </c>
      <c r="AA304" s="20">
        <v>0</v>
      </c>
      <c r="AB304" s="20">
        <v>0</v>
      </c>
      <c r="AC304" s="20">
        <v>0</v>
      </c>
      <c r="AD304" s="23">
        <f t="shared" ref="AD304:AE304" si="587">AD274</f>
        <v>4</v>
      </c>
      <c r="AE304" s="23">
        <f t="shared" si="587"/>
        <v>8</v>
      </c>
    </row>
    <row r="305" spans="1:31">
      <c r="A305" s="4">
        <v>3000</v>
      </c>
      <c r="B305" s="4">
        <v>4</v>
      </c>
      <c r="C305" s="19" t="s">
        <v>69</v>
      </c>
      <c r="D305" s="44">
        <v>0</v>
      </c>
      <c r="E305" s="18">
        <f t="shared" si="582"/>
        <v>91</v>
      </c>
      <c r="F305" s="18">
        <v>0</v>
      </c>
      <c r="G305" s="18">
        <v>0</v>
      </c>
      <c r="H305" s="45">
        <v>0</v>
      </c>
      <c r="I305" s="21">
        <f t="shared" si="551"/>
        <v>55</v>
      </c>
      <c r="J305" s="21">
        <f t="shared" si="579"/>
        <v>3</v>
      </c>
      <c r="K305" s="21">
        <v>0</v>
      </c>
      <c r="L305" s="20">
        <v>30</v>
      </c>
      <c r="M305" s="20">
        <v>0</v>
      </c>
      <c r="N305" s="20">
        <f t="shared" si="552"/>
        <v>100</v>
      </c>
      <c r="O305" s="19" t="s">
        <v>69</v>
      </c>
      <c r="P305" s="20">
        <v>6400</v>
      </c>
      <c r="Q305" s="20">
        <f t="shared" ref="Q305:X305" si="588">Q275</f>
        <v>10</v>
      </c>
      <c r="R305" s="20">
        <f t="shared" si="588"/>
        <v>40</v>
      </c>
      <c r="S305" s="20">
        <f t="shared" si="588"/>
        <v>70</v>
      </c>
      <c r="T305" s="20">
        <f t="shared" si="588"/>
        <v>90</v>
      </c>
      <c r="U305" s="20">
        <f t="shared" si="588"/>
        <v>900</v>
      </c>
      <c r="V305" s="20">
        <f t="shared" si="588"/>
        <v>2000</v>
      </c>
      <c r="W305" s="20">
        <f t="shared" si="588"/>
        <v>8000</v>
      </c>
      <c r="X305" s="20">
        <f t="shared" si="588"/>
        <v>1</v>
      </c>
      <c r="Y305" s="20">
        <v>0</v>
      </c>
      <c r="Z305" s="20">
        <f t="shared" si="584"/>
        <v>0</v>
      </c>
      <c r="AA305" s="20">
        <v>0</v>
      </c>
      <c r="AB305" s="20">
        <v>0</v>
      </c>
      <c r="AC305" s="20">
        <v>0</v>
      </c>
      <c r="AD305" s="23">
        <f t="shared" ref="AD305:AE305" si="589">AD275</f>
        <v>6</v>
      </c>
      <c r="AE305" s="23">
        <f t="shared" si="589"/>
        <v>10</v>
      </c>
    </row>
    <row r="306" spans="1:31">
      <c r="A306" s="4">
        <v>3000</v>
      </c>
      <c r="B306" s="4">
        <v>5</v>
      </c>
      <c r="C306" s="19" t="s">
        <v>70</v>
      </c>
      <c r="D306" s="44">
        <v>0</v>
      </c>
      <c r="E306" s="18">
        <f t="shared" si="582"/>
        <v>99</v>
      </c>
      <c r="F306" s="18">
        <v>0</v>
      </c>
      <c r="G306" s="18">
        <v>0</v>
      </c>
      <c r="H306" s="45">
        <v>0</v>
      </c>
      <c r="I306" s="21">
        <f t="shared" si="551"/>
        <v>110</v>
      </c>
      <c r="J306" s="21">
        <f t="shared" si="579"/>
        <v>4</v>
      </c>
      <c r="K306" s="21">
        <v>0</v>
      </c>
      <c r="L306" s="20">
        <v>25</v>
      </c>
      <c r="M306" s="20">
        <v>0</v>
      </c>
      <c r="N306" s="20">
        <f t="shared" si="552"/>
        <v>200</v>
      </c>
      <c r="O306" s="19" t="s">
        <v>70</v>
      </c>
      <c r="P306" s="20">
        <v>3100</v>
      </c>
      <c r="Q306" s="20">
        <f t="shared" ref="Q306:X306" si="590">Q276</f>
        <v>20</v>
      </c>
      <c r="R306" s="20">
        <f t="shared" si="590"/>
        <v>80</v>
      </c>
      <c r="S306" s="20">
        <f t="shared" si="590"/>
        <v>140</v>
      </c>
      <c r="T306" s="20">
        <f t="shared" si="590"/>
        <v>180</v>
      </c>
      <c r="U306" s="20">
        <f t="shared" si="590"/>
        <v>1000</v>
      </c>
      <c r="V306" s="20">
        <f t="shared" si="590"/>
        <v>2000</v>
      </c>
      <c r="W306" s="20">
        <f t="shared" si="590"/>
        <v>2000</v>
      </c>
      <c r="X306" s="20">
        <f t="shared" si="590"/>
        <v>2</v>
      </c>
      <c r="Y306" s="20">
        <v>0</v>
      </c>
      <c r="Z306" s="20">
        <f t="shared" si="584"/>
        <v>0</v>
      </c>
      <c r="AA306" s="20">
        <v>0</v>
      </c>
      <c r="AB306" s="20">
        <v>0</v>
      </c>
      <c r="AC306" s="20">
        <v>0</v>
      </c>
      <c r="AD306" s="23">
        <f t="shared" ref="AD306:AE306" si="591">AD276</f>
        <v>8</v>
      </c>
      <c r="AE306" s="23">
        <f t="shared" si="591"/>
        <v>12</v>
      </c>
    </row>
    <row r="307" spans="1:31">
      <c r="A307" s="4">
        <v>3000</v>
      </c>
      <c r="B307" s="4">
        <v>6</v>
      </c>
      <c r="C307" s="19" t="s">
        <v>71</v>
      </c>
      <c r="D307" s="44">
        <v>0</v>
      </c>
      <c r="E307" s="18">
        <f t="shared" si="582"/>
        <v>107</v>
      </c>
      <c r="F307" s="18">
        <v>0</v>
      </c>
      <c r="G307" s="18">
        <v>0</v>
      </c>
      <c r="H307" s="45">
        <v>0</v>
      </c>
      <c r="I307" s="21">
        <f t="shared" si="551"/>
        <v>110</v>
      </c>
      <c r="J307" s="21">
        <f t="shared" si="579"/>
        <v>5</v>
      </c>
      <c r="K307" s="21">
        <v>0</v>
      </c>
      <c r="L307" s="20">
        <v>20</v>
      </c>
      <c r="M307" s="20">
        <v>0</v>
      </c>
      <c r="N307" s="20">
        <f t="shared" si="552"/>
        <v>500</v>
      </c>
      <c r="O307" s="19" t="s">
        <v>71</v>
      </c>
      <c r="P307" s="20">
        <v>1777</v>
      </c>
      <c r="Q307" s="20">
        <f t="shared" ref="Q307:X307" si="592">Q277</f>
        <v>50</v>
      </c>
      <c r="R307" s="20">
        <f t="shared" si="592"/>
        <v>200</v>
      </c>
      <c r="S307" s="20">
        <f t="shared" si="592"/>
        <v>350</v>
      </c>
      <c r="T307" s="20">
        <f t="shared" si="592"/>
        <v>450</v>
      </c>
      <c r="U307" s="20">
        <f t="shared" si="592"/>
        <v>800</v>
      </c>
      <c r="V307" s="20">
        <f t="shared" si="592"/>
        <v>800</v>
      </c>
      <c r="W307" s="20">
        <f t="shared" si="592"/>
        <v>600</v>
      </c>
      <c r="X307" s="20">
        <f t="shared" si="592"/>
        <v>2</v>
      </c>
      <c r="Y307" s="20">
        <v>0</v>
      </c>
      <c r="Z307" s="20">
        <f t="shared" si="584"/>
        <v>0</v>
      </c>
      <c r="AA307" s="20">
        <v>0</v>
      </c>
      <c r="AB307" s="20">
        <v>0</v>
      </c>
      <c r="AC307" s="20">
        <v>0</v>
      </c>
      <c r="AD307" s="23">
        <f t="shared" ref="AD307:AE307" si="593">AD277</f>
        <v>10</v>
      </c>
      <c r="AE307" s="23">
        <f t="shared" si="593"/>
        <v>14</v>
      </c>
    </row>
    <row r="308" spans="1:31">
      <c r="A308" s="4">
        <v>3000</v>
      </c>
      <c r="B308" s="4">
        <v>7</v>
      </c>
      <c r="C308" s="19" t="s">
        <v>72</v>
      </c>
      <c r="D308" s="44">
        <v>0</v>
      </c>
      <c r="E308" s="18">
        <f t="shared" si="582"/>
        <v>116</v>
      </c>
      <c r="F308" s="18">
        <v>0</v>
      </c>
      <c r="G308" s="18">
        <v>0</v>
      </c>
      <c r="H308" s="45">
        <v>0</v>
      </c>
      <c r="I308" s="21">
        <f t="shared" si="551"/>
        <v>110</v>
      </c>
      <c r="J308" s="21">
        <f t="shared" si="579"/>
        <v>6</v>
      </c>
      <c r="K308" s="21">
        <v>0</v>
      </c>
      <c r="L308" s="20">
        <v>16</v>
      </c>
      <c r="M308" s="20">
        <v>0</v>
      </c>
      <c r="N308" s="20">
        <f t="shared" si="552"/>
        <v>700</v>
      </c>
      <c r="O308" s="19" t="s">
        <v>72</v>
      </c>
      <c r="P308" s="20">
        <v>2332</v>
      </c>
      <c r="Q308" s="20">
        <f t="shared" ref="Q308:X308" si="594">Q278</f>
        <v>70</v>
      </c>
      <c r="R308" s="20">
        <f t="shared" si="594"/>
        <v>280</v>
      </c>
      <c r="S308" s="20">
        <f t="shared" si="594"/>
        <v>489.99999999999994</v>
      </c>
      <c r="T308" s="20">
        <f t="shared" si="594"/>
        <v>630</v>
      </c>
      <c r="U308" s="20">
        <f t="shared" si="594"/>
        <v>650</v>
      </c>
      <c r="V308" s="20">
        <f t="shared" si="594"/>
        <v>800</v>
      </c>
      <c r="W308" s="20">
        <f t="shared" si="594"/>
        <v>300</v>
      </c>
      <c r="X308" s="20">
        <f t="shared" si="594"/>
        <v>2</v>
      </c>
      <c r="Y308" s="20">
        <v>0</v>
      </c>
      <c r="Z308" s="20">
        <f t="shared" si="584"/>
        <v>0</v>
      </c>
      <c r="AA308" s="20">
        <v>0</v>
      </c>
      <c r="AB308" s="20">
        <v>0</v>
      </c>
      <c r="AC308" s="20">
        <v>0</v>
      </c>
      <c r="AD308" s="23">
        <f t="shared" ref="AD308:AE308" si="595">AD278</f>
        <v>12</v>
      </c>
      <c r="AE308" s="23">
        <f t="shared" si="595"/>
        <v>16</v>
      </c>
    </row>
    <row r="309" spans="1:31">
      <c r="A309" s="4">
        <v>3000</v>
      </c>
      <c r="B309" s="4">
        <v>8</v>
      </c>
      <c r="C309" s="19" t="s">
        <v>73</v>
      </c>
      <c r="D309" s="44">
        <v>0</v>
      </c>
      <c r="E309" s="18">
        <f t="shared" si="582"/>
        <v>126</v>
      </c>
      <c r="F309" s="18">
        <v>0</v>
      </c>
      <c r="G309" s="18">
        <v>0</v>
      </c>
      <c r="H309" s="45">
        <v>0</v>
      </c>
      <c r="I309" s="21">
        <f t="shared" si="551"/>
        <v>110</v>
      </c>
      <c r="J309" s="21">
        <f t="shared" si="579"/>
        <v>7</v>
      </c>
      <c r="K309" s="21">
        <v>0</v>
      </c>
      <c r="L309" s="20">
        <v>12</v>
      </c>
      <c r="M309" s="20">
        <v>0</v>
      </c>
      <c r="N309" s="20">
        <f t="shared" si="552"/>
        <v>800</v>
      </c>
      <c r="O309" s="19" t="s">
        <v>73</v>
      </c>
      <c r="P309" s="20">
        <v>1487</v>
      </c>
      <c r="Q309" s="20">
        <f t="shared" ref="Q309:X309" si="596">Q279</f>
        <v>80</v>
      </c>
      <c r="R309" s="20">
        <f t="shared" si="596"/>
        <v>320</v>
      </c>
      <c r="S309" s="20">
        <f t="shared" si="596"/>
        <v>560</v>
      </c>
      <c r="T309" s="20">
        <f t="shared" si="596"/>
        <v>720</v>
      </c>
      <c r="U309" s="20">
        <f t="shared" si="596"/>
        <v>200</v>
      </c>
      <c r="V309" s="20">
        <f t="shared" si="596"/>
        <v>2000</v>
      </c>
      <c r="W309" s="20">
        <f t="shared" si="596"/>
        <v>1000</v>
      </c>
      <c r="X309" s="20">
        <f t="shared" si="596"/>
        <v>2</v>
      </c>
      <c r="Y309" s="20">
        <v>0</v>
      </c>
      <c r="Z309" s="20">
        <f t="shared" si="584"/>
        <v>43</v>
      </c>
      <c r="AA309" s="20">
        <v>0</v>
      </c>
      <c r="AB309" s="20">
        <v>0</v>
      </c>
      <c r="AC309" s="20">
        <v>0</v>
      </c>
      <c r="AD309" s="23">
        <f t="shared" ref="AD309:AE309" si="597">AD279</f>
        <v>14</v>
      </c>
      <c r="AE309" s="23">
        <f t="shared" si="597"/>
        <v>18</v>
      </c>
    </row>
    <row r="310" spans="1:31">
      <c r="A310" s="4">
        <v>3000</v>
      </c>
      <c r="B310" s="4">
        <v>9</v>
      </c>
      <c r="C310" s="19" t="s">
        <v>74</v>
      </c>
      <c r="D310" s="44">
        <v>0</v>
      </c>
      <c r="E310" s="18">
        <f t="shared" si="582"/>
        <v>136</v>
      </c>
      <c r="F310" s="18">
        <v>0</v>
      </c>
      <c r="G310" s="18">
        <v>0</v>
      </c>
      <c r="H310" s="45">
        <v>0</v>
      </c>
      <c r="I310" s="21">
        <f t="shared" si="551"/>
        <v>165</v>
      </c>
      <c r="J310" s="21">
        <f t="shared" si="579"/>
        <v>8</v>
      </c>
      <c r="K310" s="21">
        <v>0</v>
      </c>
      <c r="L310" s="20">
        <v>8</v>
      </c>
      <c r="M310" s="20">
        <v>0</v>
      </c>
      <c r="N310" s="20">
        <f t="shared" si="552"/>
        <v>900</v>
      </c>
      <c r="O310" s="19" t="s">
        <v>74</v>
      </c>
      <c r="P310" s="20">
        <v>1518</v>
      </c>
      <c r="Q310" s="20">
        <f t="shared" ref="Q310:X310" si="598">Q280</f>
        <v>90</v>
      </c>
      <c r="R310" s="20">
        <f t="shared" si="598"/>
        <v>360</v>
      </c>
      <c r="S310" s="20">
        <f t="shared" si="598"/>
        <v>630</v>
      </c>
      <c r="T310" s="20">
        <f t="shared" si="598"/>
        <v>810</v>
      </c>
      <c r="U310" s="20">
        <f t="shared" si="598"/>
        <v>120</v>
      </c>
      <c r="V310" s="20">
        <f t="shared" si="598"/>
        <v>1500</v>
      </c>
      <c r="W310" s="20">
        <f t="shared" si="598"/>
        <v>1000</v>
      </c>
      <c r="X310" s="20">
        <f t="shared" si="598"/>
        <v>3</v>
      </c>
      <c r="Y310" s="20">
        <v>0</v>
      </c>
      <c r="Z310" s="20">
        <f t="shared" si="584"/>
        <v>0</v>
      </c>
      <c r="AA310" s="20">
        <v>0</v>
      </c>
      <c r="AB310" s="20">
        <v>0</v>
      </c>
      <c r="AC310" s="20">
        <v>0</v>
      </c>
      <c r="AD310" s="23">
        <f t="shared" ref="AD310:AE310" si="599">AD280</f>
        <v>16</v>
      </c>
      <c r="AE310" s="23">
        <f t="shared" si="599"/>
        <v>20</v>
      </c>
    </row>
    <row r="311" spans="1:31">
      <c r="A311" s="4">
        <v>3000</v>
      </c>
      <c r="B311" s="4">
        <v>10</v>
      </c>
      <c r="C311" s="19" t="s">
        <v>75</v>
      </c>
      <c r="D311" s="44">
        <v>0</v>
      </c>
      <c r="E311" s="18">
        <f t="shared" si="582"/>
        <v>147</v>
      </c>
      <c r="F311" s="18">
        <v>0</v>
      </c>
      <c r="G311" s="18">
        <v>0</v>
      </c>
      <c r="H311" s="45">
        <v>0</v>
      </c>
      <c r="I311" s="21">
        <f t="shared" si="551"/>
        <v>165</v>
      </c>
      <c r="J311" s="21">
        <f t="shared" si="579"/>
        <v>9</v>
      </c>
      <c r="K311" s="21">
        <v>0</v>
      </c>
      <c r="L311" s="20">
        <v>6</v>
      </c>
      <c r="M311" s="20">
        <v>0</v>
      </c>
      <c r="N311" s="20">
        <f t="shared" si="552"/>
        <v>2000</v>
      </c>
      <c r="O311" s="19" t="s">
        <v>75</v>
      </c>
      <c r="P311" s="20">
        <v>861</v>
      </c>
      <c r="Q311" s="20">
        <f t="shared" ref="Q311:X311" si="600">Q281</f>
        <v>200</v>
      </c>
      <c r="R311" s="20">
        <f t="shared" si="600"/>
        <v>800</v>
      </c>
      <c r="S311" s="20">
        <f t="shared" si="600"/>
        <v>1400</v>
      </c>
      <c r="T311" s="20">
        <f t="shared" si="600"/>
        <v>1800</v>
      </c>
      <c r="U311" s="20">
        <f t="shared" si="600"/>
        <v>150</v>
      </c>
      <c r="V311" s="20">
        <f t="shared" si="600"/>
        <v>5000</v>
      </c>
      <c r="W311" s="20">
        <f t="shared" si="600"/>
        <v>800</v>
      </c>
      <c r="X311" s="20">
        <f t="shared" si="600"/>
        <v>3</v>
      </c>
      <c r="Y311" s="20">
        <v>0</v>
      </c>
      <c r="Z311" s="20">
        <f t="shared" si="584"/>
        <v>0</v>
      </c>
      <c r="AA311" s="20">
        <v>0</v>
      </c>
      <c r="AB311" s="20">
        <v>0</v>
      </c>
      <c r="AC311" s="20">
        <v>0</v>
      </c>
      <c r="AD311" s="23">
        <f t="shared" ref="AD311:AE311" si="601">AD281</f>
        <v>18</v>
      </c>
      <c r="AE311" s="23">
        <f t="shared" si="601"/>
        <v>22</v>
      </c>
    </row>
    <row r="312" spans="1:31">
      <c r="A312" s="4">
        <v>3000</v>
      </c>
      <c r="B312" s="4">
        <v>11</v>
      </c>
      <c r="C312" s="19" t="s">
        <v>66</v>
      </c>
      <c r="D312" s="44">
        <v>0</v>
      </c>
      <c r="E312" s="18">
        <f t="shared" si="582"/>
        <v>159</v>
      </c>
      <c r="F312" s="18">
        <v>0</v>
      </c>
      <c r="G312" s="18">
        <v>0</v>
      </c>
      <c r="H312" s="45">
        <v>0</v>
      </c>
      <c r="I312" s="21">
        <f t="shared" si="551"/>
        <v>165</v>
      </c>
      <c r="J312" s="21">
        <f t="shared" si="579"/>
        <v>10</v>
      </c>
      <c r="K312" s="21">
        <v>0</v>
      </c>
      <c r="L312" s="20">
        <v>6</v>
      </c>
      <c r="M312" s="20">
        <v>0</v>
      </c>
      <c r="N312" s="20">
        <f t="shared" si="552"/>
        <v>2200</v>
      </c>
      <c r="O312" s="19" t="s">
        <v>66</v>
      </c>
      <c r="P312" s="20">
        <v>9400</v>
      </c>
      <c r="Q312" s="20">
        <f t="shared" ref="Q312:X312" si="602">Q282</f>
        <v>220</v>
      </c>
      <c r="R312" s="20">
        <f t="shared" si="602"/>
        <v>880</v>
      </c>
      <c r="S312" s="20">
        <f t="shared" si="602"/>
        <v>1540</v>
      </c>
      <c r="T312" s="20">
        <f t="shared" si="602"/>
        <v>1980</v>
      </c>
      <c r="U312" s="20">
        <f t="shared" si="602"/>
        <v>100</v>
      </c>
      <c r="V312" s="20">
        <f t="shared" si="602"/>
        <v>800</v>
      </c>
      <c r="W312" s="20">
        <f t="shared" si="602"/>
        <v>600</v>
      </c>
      <c r="X312" s="20">
        <f t="shared" si="602"/>
        <v>3</v>
      </c>
      <c r="Y312" s="20">
        <v>0</v>
      </c>
      <c r="Z312" s="20">
        <f t="shared" si="584"/>
        <v>0</v>
      </c>
      <c r="AA312" s="20">
        <v>0</v>
      </c>
      <c r="AB312" s="20">
        <v>0</v>
      </c>
      <c r="AC312" s="20">
        <v>0</v>
      </c>
      <c r="AD312" s="23">
        <f t="shared" ref="AD312:AE312" si="603">AD282</f>
        <v>20</v>
      </c>
      <c r="AE312" s="23">
        <f t="shared" si="603"/>
        <v>24</v>
      </c>
    </row>
    <row r="313" spans="1:31">
      <c r="A313" s="4">
        <v>3000</v>
      </c>
      <c r="B313" s="4">
        <v>12</v>
      </c>
      <c r="C313" s="19" t="s">
        <v>67</v>
      </c>
      <c r="D313" s="44">
        <v>0</v>
      </c>
      <c r="E313" s="18">
        <f t="shared" si="582"/>
        <v>172</v>
      </c>
      <c r="F313" s="18">
        <v>0</v>
      </c>
      <c r="G313" s="18">
        <v>0</v>
      </c>
      <c r="H313" s="45">
        <v>0</v>
      </c>
      <c r="I313" s="21">
        <f t="shared" si="551"/>
        <v>165</v>
      </c>
      <c r="J313" s="21">
        <f t="shared" si="579"/>
        <v>11</v>
      </c>
      <c r="K313" s="21">
        <v>0</v>
      </c>
      <c r="L313" s="20">
        <v>6</v>
      </c>
      <c r="M313" s="20">
        <v>0</v>
      </c>
      <c r="N313" s="20">
        <f t="shared" si="552"/>
        <v>2400</v>
      </c>
      <c r="O313" s="19" t="s">
        <v>67</v>
      </c>
      <c r="P313" s="20">
        <v>9100</v>
      </c>
      <c r="Q313" s="20">
        <f t="shared" ref="Q313:X313" si="604">Q283</f>
        <v>240</v>
      </c>
      <c r="R313" s="20">
        <f t="shared" si="604"/>
        <v>960</v>
      </c>
      <c r="S313" s="20">
        <f t="shared" si="604"/>
        <v>1680</v>
      </c>
      <c r="T313" s="20">
        <f t="shared" si="604"/>
        <v>2160</v>
      </c>
      <c r="U313" s="20">
        <f t="shared" si="604"/>
        <v>150</v>
      </c>
      <c r="V313" s="20">
        <f t="shared" si="604"/>
        <v>700</v>
      </c>
      <c r="W313" s="20">
        <f t="shared" si="604"/>
        <v>900</v>
      </c>
      <c r="X313" s="20">
        <f t="shared" si="604"/>
        <v>3</v>
      </c>
      <c r="Y313" s="20">
        <v>0</v>
      </c>
      <c r="Z313" s="20">
        <f t="shared" si="584"/>
        <v>0</v>
      </c>
      <c r="AA313" s="20">
        <v>0</v>
      </c>
      <c r="AB313" s="20">
        <v>0</v>
      </c>
      <c r="AC313" s="20">
        <v>0</v>
      </c>
      <c r="AD313" s="23">
        <f t="shared" ref="AD313:AE313" si="605">AD283</f>
        <v>22</v>
      </c>
      <c r="AE313" s="23">
        <f t="shared" si="605"/>
        <v>26</v>
      </c>
    </row>
    <row r="314" spans="1:31">
      <c r="A314" s="4">
        <v>3000</v>
      </c>
      <c r="B314" s="4">
        <v>13</v>
      </c>
      <c r="C314" s="19" t="s">
        <v>68</v>
      </c>
      <c r="D314" s="44">
        <v>0</v>
      </c>
      <c r="E314" s="18">
        <f t="shared" si="582"/>
        <v>187</v>
      </c>
      <c r="F314" s="18">
        <v>0</v>
      </c>
      <c r="G314" s="18">
        <v>0</v>
      </c>
      <c r="H314" s="45">
        <v>0</v>
      </c>
      <c r="I314" s="21">
        <f t="shared" si="551"/>
        <v>220</v>
      </c>
      <c r="J314" s="21">
        <f t="shared" si="579"/>
        <v>12</v>
      </c>
      <c r="K314" s="21">
        <v>0</v>
      </c>
      <c r="L314" s="20">
        <v>6</v>
      </c>
      <c r="M314" s="20">
        <v>0</v>
      </c>
      <c r="N314" s="20">
        <f t="shared" si="552"/>
        <v>2600</v>
      </c>
      <c r="O314" s="19" t="s">
        <v>68</v>
      </c>
      <c r="P314" s="20">
        <v>8600</v>
      </c>
      <c r="Q314" s="20">
        <f t="shared" ref="Q314:X314" si="606">Q284</f>
        <v>260</v>
      </c>
      <c r="R314" s="20">
        <f t="shared" si="606"/>
        <v>1040</v>
      </c>
      <c r="S314" s="20">
        <f t="shared" si="606"/>
        <v>1819.9999999999998</v>
      </c>
      <c r="T314" s="20">
        <f t="shared" si="606"/>
        <v>2340</v>
      </c>
      <c r="U314" s="20">
        <f t="shared" si="606"/>
        <v>100</v>
      </c>
      <c r="V314" s="20">
        <f t="shared" si="606"/>
        <v>700</v>
      </c>
      <c r="W314" s="20">
        <f t="shared" si="606"/>
        <v>1000</v>
      </c>
      <c r="X314" s="20">
        <f t="shared" si="606"/>
        <v>4</v>
      </c>
      <c r="Y314" s="20">
        <v>0</v>
      </c>
      <c r="Z314" s="20">
        <f t="shared" si="584"/>
        <v>86</v>
      </c>
      <c r="AA314" s="20">
        <v>0</v>
      </c>
      <c r="AB314" s="20">
        <v>0</v>
      </c>
      <c r="AC314" s="20">
        <v>0</v>
      </c>
      <c r="AD314" s="23">
        <f t="shared" ref="AD314:AE314" si="607">AD284</f>
        <v>24</v>
      </c>
      <c r="AE314" s="23">
        <f t="shared" si="607"/>
        <v>28</v>
      </c>
    </row>
    <row r="315" spans="1:31">
      <c r="A315" s="4">
        <v>3000</v>
      </c>
      <c r="B315" s="4">
        <v>14</v>
      </c>
      <c r="C315" s="19" t="s">
        <v>69</v>
      </c>
      <c r="D315" s="44">
        <v>0</v>
      </c>
      <c r="E315" s="18">
        <f t="shared" si="582"/>
        <v>202</v>
      </c>
      <c r="F315" s="18">
        <v>0</v>
      </c>
      <c r="G315" s="18">
        <v>0</v>
      </c>
      <c r="H315" s="45">
        <v>0</v>
      </c>
      <c r="I315" s="21">
        <f t="shared" si="551"/>
        <v>220</v>
      </c>
      <c r="J315" s="21">
        <f t="shared" si="579"/>
        <v>13</v>
      </c>
      <c r="K315" s="21">
        <v>0</v>
      </c>
      <c r="L315" s="20">
        <v>6</v>
      </c>
      <c r="M315" s="20">
        <v>0</v>
      </c>
      <c r="N315" s="20">
        <f t="shared" si="552"/>
        <v>2800</v>
      </c>
      <c r="O315" s="19" t="s">
        <v>69</v>
      </c>
      <c r="P315" s="20">
        <v>6400</v>
      </c>
      <c r="Q315" s="20">
        <f t="shared" ref="Q315:X315" si="608">Q285</f>
        <v>280</v>
      </c>
      <c r="R315" s="20">
        <f t="shared" si="608"/>
        <v>1120</v>
      </c>
      <c r="S315" s="20">
        <f t="shared" si="608"/>
        <v>1959.9999999999998</v>
      </c>
      <c r="T315" s="20">
        <f t="shared" si="608"/>
        <v>2520</v>
      </c>
      <c r="U315" s="20">
        <f t="shared" si="608"/>
        <v>100</v>
      </c>
      <c r="V315" s="20">
        <f t="shared" si="608"/>
        <v>400</v>
      </c>
      <c r="W315" s="20">
        <f t="shared" si="608"/>
        <v>1200</v>
      </c>
      <c r="X315" s="20">
        <f t="shared" si="608"/>
        <v>4</v>
      </c>
      <c r="Y315" s="20">
        <v>0</v>
      </c>
      <c r="Z315" s="20">
        <f t="shared" si="584"/>
        <v>0</v>
      </c>
      <c r="AA315" s="20">
        <v>0</v>
      </c>
      <c r="AB315" s="20">
        <v>0</v>
      </c>
      <c r="AC315" s="20">
        <v>0</v>
      </c>
      <c r="AD315" s="23">
        <f t="shared" ref="AD315:AE315" si="609">AD285</f>
        <v>26</v>
      </c>
      <c r="AE315" s="23">
        <f t="shared" si="609"/>
        <v>30</v>
      </c>
    </row>
    <row r="316" spans="1:31">
      <c r="A316" s="4">
        <v>3000</v>
      </c>
      <c r="B316" s="4">
        <v>15</v>
      </c>
      <c r="C316" s="19" t="s">
        <v>70</v>
      </c>
      <c r="D316" s="44">
        <v>0</v>
      </c>
      <c r="E316" s="18">
        <f t="shared" si="582"/>
        <v>219</v>
      </c>
      <c r="F316" s="18">
        <v>0</v>
      </c>
      <c r="G316" s="18">
        <v>0</v>
      </c>
      <c r="H316" s="45">
        <v>0</v>
      </c>
      <c r="I316" s="21">
        <f t="shared" si="551"/>
        <v>220</v>
      </c>
      <c r="J316" s="21">
        <f t="shared" si="579"/>
        <v>14</v>
      </c>
      <c r="K316" s="21">
        <v>0</v>
      </c>
      <c r="L316" s="20">
        <v>6</v>
      </c>
      <c r="M316" s="20">
        <v>0</v>
      </c>
      <c r="N316" s="20">
        <f t="shared" si="552"/>
        <v>4500</v>
      </c>
      <c r="O316" s="19" t="s">
        <v>70</v>
      </c>
      <c r="P316" s="20">
        <v>3100</v>
      </c>
      <c r="Q316" s="20">
        <f t="shared" ref="Q316:X316" si="610">Q286</f>
        <v>450</v>
      </c>
      <c r="R316" s="20">
        <f t="shared" si="610"/>
        <v>1800</v>
      </c>
      <c r="S316" s="20">
        <f t="shared" si="610"/>
        <v>3150</v>
      </c>
      <c r="T316" s="20">
        <f t="shared" si="610"/>
        <v>4050</v>
      </c>
      <c r="U316" s="20">
        <f t="shared" si="610"/>
        <v>100</v>
      </c>
      <c r="V316" s="20">
        <f t="shared" si="610"/>
        <v>1000</v>
      </c>
      <c r="W316" s="20">
        <f t="shared" si="610"/>
        <v>600</v>
      </c>
      <c r="X316" s="20">
        <f t="shared" si="610"/>
        <v>4</v>
      </c>
      <c r="Y316" s="20">
        <v>0</v>
      </c>
      <c r="Z316" s="20">
        <f t="shared" si="584"/>
        <v>0</v>
      </c>
      <c r="AA316" s="20">
        <v>0</v>
      </c>
      <c r="AB316" s="20">
        <v>0</v>
      </c>
      <c r="AC316" s="20">
        <v>0</v>
      </c>
      <c r="AD316" s="23">
        <f t="shared" ref="AD316:AE316" si="611">AD286</f>
        <v>28</v>
      </c>
      <c r="AE316" s="23">
        <f t="shared" si="611"/>
        <v>32</v>
      </c>
    </row>
    <row r="317" spans="1:31">
      <c r="A317" s="4">
        <v>3000</v>
      </c>
      <c r="B317" s="4">
        <v>16</v>
      </c>
      <c r="C317" s="19" t="s">
        <v>71</v>
      </c>
      <c r="D317" s="44">
        <v>0</v>
      </c>
      <c r="E317" s="18">
        <f t="shared" si="582"/>
        <v>237</v>
      </c>
      <c r="F317" s="18">
        <v>0</v>
      </c>
      <c r="G317" s="18">
        <v>0</v>
      </c>
      <c r="H317" s="45">
        <v>0</v>
      </c>
      <c r="I317" s="21">
        <f t="shared" si="551"/>
        <v>220</v>
      </c>
      <c r="J317" s="21">
        <f t="shared" si="579"/>
        <v>15</v>
      </c>
      <c r="K317" s="21">
        <v>0</v>
      </c>
      <c r="L317" s="20">
        <v>6</v>
      </c>
      <c r="M317" s="20">
        <v>0</v>
      </c>
      <c r="N317" s="20">
        <f t="shared" si="552"/>
        <v>4800</v>
      </c>
      <c r="O317" s="19" t="s">
        <v>71</v>
      </c>
      <c r="P317" s="20">
        <v>1777</v>
      </c>
      <c r="Q317" s="20">
        <f t="shared" ref="Q317:X317" si="612">Q287</f>
        <v>480</v>
      </c>
      <c r="R317" s="20">
        <f t="shared" si="612"/>
        <v>1920</v>
      </c>
      <c r="S317" s="20">
        <f t="shared" si="612"/>
        <v>3360</v>
      </c>
      <c r="T317" s="20">
        <f t="shared" si="612"/>
        <v>4320</v>
      </c>
      <c r="U317" s="20">
        <f t="shared" si="612"/>
        <v>100</v>
      </c>
      <c r="V317" s="20">
        <f t="shared" si="612"/>
        <v>800</v>
      </c>
      <c r="W317" s="20">
        <f t="shared" si="612"/>
        <v>800</v>
      </c>
      <c r="X317" s="20">
        <f t="shared" si="612"/>
        <v>4</v>
      </c>
      <c r="Y317" s="20">
        <v>0</v>
      </c>
      <c r="Z317" s="20">
        <f t="shared" si="584"/>
        <v>0</v>
      </c>
      <c r="AA317" s="20">
        <v>0</v>
      </c>
      <c r="AB317" s="20">
        <v>0</v>
      </c>
      <c r="AC317" s="20">
        <v>0</v>
      </c>
      <c r="AD317" s="23">
        <f t="shared" ref="AD317:AE317" si="613">AD287</f>
        <v>30</v>
      </c>
      <c r="AE317" s="23">
        <f t="shared" si="613"/>
        <v>34</v>
      </c>
    </row>
    <row r="318" spans="1:31">
      <c r="A318" s="4">
        <v>3000</v>
      </c>
      <c r="B318" s="4">
        <v>17</v>
      </c>
      <c r="C318" s="19" t="s">
        <v>72</v>
      </c>
      <c r="D318" s="44">
        <v>0</v>
      </c>
      <c r="E318" s="18">
        <f t="shared" si="582"/>
        <v>256</v>
      </c>
      <c r="F318" s="18">
        <v>0</v>
      </c>
      <c r="G318" s="18">
        <v>0</v>
      </c>
      <c r="H318" s="45">
        <v>0</v>
      </c>
      <c r="I318" s="21">
        <f t="shared" si="551"/>
        <v>275</v>
      </c>
      <c r="J318" s="21">
        <f t="shared" si="579"/>
        <v>16</v>
      </c>
      <c r="K318" s="21">
        <v>0</v>
      </c>
      <c r="L318" s="20">
        <v>6</v>
      </c>
      <c r="M318" s="20">
        <v>0</v>
      </c>
      <c r="N318" s="20">
        <f t="shared" si="552"/>
        <v>5100</v>
      </c>
      <c r="O318" s="19" t="s">
        <v>72</v>
      </c>
      <c r="P318" s="20">
        <v>2332</v>
      </c>
      <c r="Q318" s="20">
        <f t="shared" ref="Q318:X318" si="614">Q288</f>
        <v>510</v>
      </c>
      <c r="R318" s="20">
        <f t="shared" si="614"/>
        <v>2040</v>
      </c>
      <c r="S318" s="20">
        <f t="shared" si="614"/>
        <v>3570</v>
      </c>
      <c r="T318" s="20">
        <f t="shared" si="614"/>
        <v>4590</v>
      </c>
      <c r="U318" s="20">
        <f t="shared" si="614"/>
        <v>80</v>
      </c>
      <c r="V318" s="20">
        <f t="shared" si="614"/>
        <v>800</v>
      </c>
      <c r="W318" s="20">
        <f t="shared" si="614"/>
        <v>600</v>
      </c>
      <c r="X318" s="20">
        <f t="shared" si="614"/>
        <v>5</v>
      </c>
      <c r="Y318" s="20">
        <v>0</v>
      </c>
      <c r="Z318" s="20">
        <f t="shared" si="584"/>
        <v>0</v>
      </c>
      <c r="AA318" s="20">
        <v>0</v>
      </c>
      <c r="AB318" s="20">
        <v>0</v>
      </c>
      <c r="AC318" s="20">
        <v>0</v>
      </c>
      <c r="AD318" s="23">
        <f t="shared" ref="AD318:AE318" si="615">AD288</f>
        <v>32</v>
      </c>
      <c r="AE318" s="23">
        <f t="shared" si="615"/>
        <v>36</v>
      </c>
    </row>
    <row r="319" spans="1:31">
      <c r="A319" s="4">
        <v>3000</v>
      </c>
      <c r="B319" s="4">
        <v>18</v>
      </c>
      <c r="C319" s="19" t="s">
        <v>73</v>
      </c>
      <c r="D319" s="44">
        <v>0</v>
      </c>
      <c r="E319" s="18">
        <f t="shared" si="582"/>
        <v>278</v>
      </c>
      <c r="F319" s="18">
        <v>0</v>
      </c>
      <c r="G319" s="18">
        <v>0</v>
      </c>
      <c r="H319" s="45">
        <v>0</v>
      </c>
      <c r="I319" s="21">
        <f t="shared" si="551"/>
        <v>275</v>
      </c>
      <c r="J319" s="21">
        <f t="shared" si="579"/>
        <v>17</v>
      </c>
      <c r="K319" s="21">
        <v>0</v>
      </c>
      <c r="L319" s="20">
        <v>6</v>
      </c>
      <c r="M319" s="20">
        <v>0</v>
      </c>
      <c r="N319" s="20">
        <f t="shared" si="552"/>
        <v>5400</v>
      </c>
      <c r="O319" s="19" t="s">
        <v>73</v>
      </c>
      <c r="P319" s="20">
        <v>1487</v>
      </c>
      <c r="Q319" s="20">
        <f t="shared" ref="Q319:X319" si="616">Q289</f>
        <v>540</v>
      </c>
      <c r="R319" s="20">
        <f t="shared" si="616"/>
        <v>2160</v>
      </c>
      <c r="S319" s="20">
        <f t="shared" si="616"/>
        <v>3779.9999999999995</v>
      </c>
      <c r="T319" s="20">
        <f t="shared" si="616"/>
        <v>4860</v>
      </c>
      <c r="U319" s="20">
        <f t="shared" si="616"/>
        <v>100</v>
      </c>
      <c r="V319" s="20">
        <f t="shared" si="616"/>
        <v>600</v>
      </c>
      <c r="W319" s="20">
        <f t="shared" si="616"/>
        <v>300</v>
      </c>
      <c r="X319" s="20">
        <f t="shared" si="616"/>
        <v>5</v>
      </c>
      <c r="Y319" s="20">
        <v>0</v>
      </c>
      <c r="Z319" s="20">
        <f t="shared" si="584"/>
        <v>129</v>
      </c>
      <c r="AA319" s="20">
        <v>0</v>
      </c>
      <c r="AB319" s="20">
        <v>0</v>
      </c>
      <c r="AC319" s="20">
        <v>0</v>
      </c>
      <c r="AD319" s="23">
        <f t="shared" ref="AD319:AE319" si="617">AD289</f>
        <v>34</v>
      </c>
      <c r="AE319" s="23">
        <f t="shared" si="617"/>
        <v>38</v>
      </c>
    </row>
    <row r="320" spans="1:31">
      <c r="A320" s="4">
        <v>3000</v>
      </c>
      <c r="B320" s="4">
        <v>19</v>
      </c>
      <c r="C320" s="19" t="s">
        <v>74</v>
      </c>
      <c r="D320" s="44">
        <v>0</v>
      </c>
      <c r="E320" s="18">
        <f t="shared" si="582"/>
        <v>301</v>
      </c>
      <c r="F320" s="18">
        <v>0</v>
      </c>
      <c r="G320" s="18">
        <v>0</v>
      </c>
      <c r="H320" s="45">
        <v>0</v>
      </c>
      <c r="I320" s="21">
        <f t="shared" si="551"/>
        <v>275</v>
      </c>
      <c r="J320" s="21">
        <f t="shared" si="579"/>
        <v>18</v>
      </c>
      <c r="K320" s="21">
        <v>0</v>
      </c>
      <c r="L320" s="20">
        <v>6</v>
      </c>
      <c r="M320" s="20">
        <v>0</v>
      </c>
      <c r="N320" s="20">
        <f t="shared" si="552"/>
        <v>5700</v>
      </c>
      <c r="O320" s="19" t="s">
        <v>74</v>
      </c>
      <c r="P320" s="20">
        <v>1518</v>
      </c>
      <c r="Q320" s="20">
        <f t="shared" ref="Q320:X320" si="618">Q290</f>
        <v>570</v>
      </c>
      <c r="R320" s="20">
        <f t="shared" si="618"/>
        <v>2280</v>
      </c>
      <c r="S320" s="20">
        <f t="shared" si="618"/>
        <v>3989.9999999999995</v>
      </c>
      <c r="T320" s="20">
        <f t="shared" si="618"/>
        <v>5130</v>
      </c>
      <c r="U320" s="20">
        <f t="shared" si="618"/>
        <v>100</v>
      </c>
      <c r="V320" s="20">
        <f t="shared" si="618"/>
        <v>500</v>
      </c>
      <c r="W320" s="20">
        <f t="shared" si="618"/>
        <v>400</v>
      </c>
      <c r="X320" s="20">
        <f t="shared" si="618"/>
        <v>5</v>
      </c>
      <c r="Y320" s="20">
        <v>0</v>
      </c>
      <c r="Z320" s="20">
        <f t="shared" si="584"/>
        <v>0</v>
      </c>
      <c r="AA320" s="20">
        <v>0</v>
      </c>
      <c r="AB320" s="20">
        <v>0</v>
      </c>
      <c r="AC320" s="20">
        <v>0</v>
      </c>
      <c r="AD320" s="23">
        <f t="shared" ref="AD320:AE320" si="619">AD290</f>
        <v>36</v>
      </c>
      <c r="AE320" s="23">
        <f t="shared" si="619"/>
        <v>40</v>
      </c>
    </row>
    <row r="321" spans="1:31">
      <c r="A321" s="4">
        <v>3000</v>
      </c>
      <c r="B321" s="4">
        <v>20</v>
      </c>
      <c r="C321" s="19" t="s">
        <v>75</v>
      </c>
      <c r="D321" s="44">
        <v>0</v>
      </c>
      <c r="E321" s="18">
        <f t="shared" si="582"/>
        <v>325</v>
      </c>
      <c r="F321" s="18">
        <v>0</v>
      </c>
      <c r="G321" s="18">
        <v>0</v>
      </c>
      <c r="H321" s="45">
        <v>0</v>
      </c>
      <c r="I321" s="21">
        <f t="shared" si="551"/>
        <v>275</v>
      </c>
      <c r="J321" s="21">
        <f t="shared" si="579"/>
        <v>19</v>
      </c>
      <c r="K321" s="21">
        <v>0</v>
      </c>
      <c r="L321" s="20">
        <v>6</v>
      </c>
      <c r="M321" s="20">
        <v>0</v>
      </c>
      <c r="N321" s="20">
        <f t="shared" si="552"/>
        <v>8000</v>
      </c>
      <c r="O321" s="19" t="s">
        <v>75</v>
      </c>
      <c r="P321" s="20">
        <v>861</v>
      </c>
      <c r="Q321" s="20">
        <f t="shared" ref="Q321:X321" si="620">Q291</f>
        <v>800</v>
      </c>
      <c r="R321" s="20">
        <f t="shared" si="620"/>
        <v>3200</v>
      </c>
      <c r="S321" s="20">
        <f t="shared" si="620"/>
        <v>5600</v>
      </c>
      <c r="T321" s="20">
        <f t="shared" si="620"/>
        <v>7200</v>
      </c>
      <c r="U321" s="20">
        <f t="shared" si="620"/>
        <v>100</v>
      </c>
      <c r="V321" s="20">
        <f t="shared" si="620"/>
        <v>800</v>
      </c>
      <c r="W321" s="20">
        <f t="shared" si="620"/>
        <v>8000</v>
      </c>
      <c r="X321" s="20">
        <f t="shared" si="620"/>
        <v>5</v>
      </c>
      <c r="Y321" s="20">
        <v>0</v>
      </c>
      <c r="Z321" s="20">
        <f t="shared" si="584"/>
        <v>0</v>
      </c>
      <c r="AA321" s="20">
        <v>0</v>
      </c>
      <c r="AB321" s="20">
        <v>0</v>
      </c>
      <c r="AC321" s="20">
        <v>0</v>
      </c>
      <c r="AD321" s="23">
        <f t="shared" ref="AD321:AE321" si="621">AD291</f>
        <v>38</v>
      </c>
      <c r="AE321" s="23">
        <f t="shared" si="621"/>
        <v>42</v>
      </c>
    </row>
    <row r="322" spans="1:31">
      <c r="A322" s="4">
        <v>3000</v>
      </c>
      <c r="B322" s="4">
        <v>21</v>
      </c>
      <c r="C322" s="19" t="s">
        <v>66</v>
      </c>
      <c r="D322" s="44">
        <v>0</v>
      </c>
      <c r="E322" s="18">
        <f t="shared" si="582"/>
        <v>352</v>
      </c>
      <c r="F322" s="18">
        <v>0</v>
      </c>
      <c r="G322" s="18">
        <v>0</v>
      </c>
      <c r="H322" s="45">
        <v>0</v>
      </c>
      <c r="I322" s="21">
        <f t="shared" si="551"/>
        <v>330</v>
      </c>
      <c r="J322" s="21">
        <f t="shared" si="579"/>
        <v>20</v>
      </c>
      <c r="K322" s="21">
        <v>0</v>
      </c>
      <c r="L322" s="20">
        <v>6</v>
      </c>
      <c r="M322" s="20">
        <v>0</v>
      </c>
      <c r="N322" s="20">
        <f t="shared" si="552"/>
        <v>8400</v>
      </c>
      <c r="O322" s="19" t="s">
        <v>66</v>
      </c>
      <c r="P322" s="20">
        <v>9400</v>
      </c>
      <c r="Q322" s="20">
        <f t="shared" ref="Q322:X322" si="622">Q292</f>
        <v>840</v>
      </c>
      <c r="R322" s="20">
        <f t="shared" si="622"/>
        <v>3360</v>
      </c>
      <c r="S322" s="20">
        <f t="shared" si="622"/>
        <v>5880</v>
      </c>
      <c r="T322" s="20">
        <f t="shared" si="622"/>
        <v>7560</v>
      </c>
      <c r="U322" s="20">
        <f t="shared" si="622"/>
        <v>50</v>
      </c>
      <c r="V322" s="20">
        <f t="shared" si="622"/>
        <v>1000</v>
      </c>
      <c r="W322" s="20">
        <f t="shared" si="622"/>
        <v>600</v>
      </c>
      <c r="X322" s="20">
        <f t="shared" si="622"/>
        <v>6</v>
      </c>
      <c r="Y322" s="20">
        <v>0</v>
      </c>
      <c r="Z322" s="20">
        <f t="shared" si="584"/>
        <v>0</v>
      </c>
      <c r="AA322" s="20">
        <v>0</v>
      </c>
      <c r="AB322" s="20">
        <v>0</v>
      </c>
      <c r="AC322" s="20">
        <v>0</v>
      </c>
      <c r="AD322" s="23">
        <f t="shared" ref="AD322:AE322" si="623">AD292</f>
        <v>40</v>
      </c>
      <c r="AE322" s="23">
        <f t="shared" si="623"/>
        <v>44</v>
      </c>
    </row>
    <row r="323" spans="1:31">
      <c r="A323" s="4">
        <v>3000</v>
      </c>
      <c r="B323" s="4">
        <v>22</v>
      </c>
      <c r="C323" s="19" t="s">
        <v>67</v>
      </c>
      <c r="D323" s="44">
        <v>0</v>
      </c>
      <c r="E323" s="18">
        <f t="shared" si="582"/>
        <v>381</v>
      </c>
      <c r="F323" s="18">
        <v>0</v>
      </c>
      <c r="G323" s="18">
        <v>0</v>
      </c>
      <c r="H323" s="45">
        <v>0</v>
      </c>
      <c r="I323" s="21">
        <f t="shared" si="551"/>
        <v>330</v>
      </c>
      <c r="J323" s="21">
        <f t="shared" si="579"/>
        <v>21</v>
      </c>
      <c r="K323" s="21">
        <v>0</v>
      </c>
      <c r="L323" s="20">
        <v>6</v>
      </c>
      <c r="M323" s="20">
        <v>0</v>
      </c>
      <c r="N323" s="20">
        <f t="shared" si="552"/>
        <v>8800</v>
      </c>
      <c r="O323" s="19" t="s">
        <v>67</v>
      </c>
      <c r="P323" s="20">
        <v>9100</v>
      </c>
      <c r="Q323" s="20">
        <f t="shared" ref="Q323:X323" si="624">Q293</f>
        <v>880</v>
      </c>
      <c r="R323" s="20">
        <f t="shared" si="624"/>
        <v>3520</v>
      </c>
      <c r="S323" s="20">
        <f t="shared" si="624"/>
        <v>6160</v>
      </c>
      <c r="T323" s="20">
        <f t="shared" si="624"/>
        <v>7920</v>
      </c>
      <c r="U323" s="20">
        <f t="shared" si="624"/>
        <v>100</v>
      </c>
      <c r="V323" s="20">
        <f t="shared" si="624"/>
        <v>600</v>
      </c>
      <c r="W323" s="20">
        <f t="shared" si="624"/>
        <v>700</v>
      </c>
      <c r="X323" s="20">
        <f t="shared" si="624"/>
        <v>6</v>
      </c>
      <c r="Y323" s="20">
        <v>0</v>
      </c>
      <c r="Z323" s="20">
        <f t="shared" si="584"/>
        <v>0</v>
      </c>
      <c r="AA323" s="20">
        <v>0</v>
      </c>
      <c r="AB323" s="20">
        <v>0</v>
      </c>
      <c r="AC323" s="20">
        <v>0</v>
      </c>
      <c r="AD323" s="23">
        <f t="shared" ref="AD323:AE323" si="625">AD293</f>
        <v>42</v>
      </c>
      <c r="AE323" s="23">
        <f t="shared" si="625"/>
        <v>46</v>
      </c>
    </row>
    <row r="324" spans="1:31">
      <c r="A324" s="4">
        <v>3000</v>
      </c>
      <c r="B324" s="4">
        <v>23</v>
      </c>
      <c r="C324" s="19" t="s">
        <v>68</v>
      </c>
      <c r="D324" s="44">
        <v>0</v>
      </c>
      <c r="E324" s="18">
        <f t="shared" si="582"/>
        <v>413</v>
      </c>
      <c r="F324" s="18">
        <v>0</v>
      </c>
      <c r="G324" s="18">
        <v>0</v>
      </c>
      <c r="H324" s="45">
        <v>0</v>
      </c>
      <c r="I324" s="21">
        <f t="shared" si="551"/>
        <v>330</v>
      </c>
      <c r="J324" s="21">
        <f t="shared" si="579"/>
        <v>22</v>
      </c>
      <c r="K324" s="21">
        <v>0</v>
      </c>
      <c r="L324" s="20">
        <v>6</v>
      </c>
      <c r="M324" s="20">
        <v>0</v>
      </c>
      <c r="N324" s="20">
        <f t="shared" si="552"/>
        <v>9200</v>
      </c>
      <c r="O324" s="19" t="s">
        <v>68</v>
      </c>
      <c r="P324" s="20">
        <v>8600</v>
      </c>
      <c r="Q324" s="20">
        <f t="shared" ref="Q324:X324" si="626">Q294</f>
        <v>920</v>
      </c>
      <c r="R324" s="20">
        <f t="shared" si="626"/>
        <v>3680</v>
      </c>
      <c r="S324" s="20">
        <f t="shared" si="626"/>
        <v>6440</v>
      </c>
      <c r="T324" s="20">
        <f t="shared" si="626"/>
        <v>8280</v>
      </c>
      <c r="U324" s="20">
        <f t="shared" si="626"/>
        <v>100</v>
      </c>
      <c r="V324" s="20">
        <f t="shared" si="626"/>
        <v>550</v>
      </c>
      <c r="W324" s="20">
        <f t="shared" si="626"/>
        <v>500</v>
      </c>
      <c r="X324" s="20">
        <f t="shared" si="626"/>
        <v>6</v>
      </c>
      <c r="Y324" s="20">
        <v>0</v>
      </c>
      <c r="Z324" s="20">
        <f t="shared" si="584"/>
        <v>172</v>
      </c>
      <c r="AA324" s="20">
        <v>0</v>
      </c>
      <c r="AB324" s="20">
        <v>0</v>
      </c>
      <c r="AC324" s="20">
        <v>0</v>
      </c>
      <c r="AD324" s="23">
        <f t="shared" ref="AD324:AE324" si="627">AD294</f>
        <v>44</v>
      </c>
      <c r="AE324" s="23">
        <f t="shared" si="627"/>
        <v>48</v>
      </c>
    </row>
    <row r="325" spans="1:31">
      <c r="A325" s="4">
        <v>3000</v>
      </c>
      <c r="B325" s="4">
        <v>24</v>
      </c>
      <c r="C325" s="19" t="s">
        <v>69</v>
      </c>
      <c r="D325" s="44">
        <v>0</v>
      </c>
      <c r="E325" s="18">
        <f t="shared" si="582"/>
        <v>447</v>
      </c>
      <c r="F325" s="18">
        <v>0</v>
      </c>
      <c r="G325" s="18">
        <v>0</v>
      </c>
      <c r="H325" s="45">
        <v>0</v>
      </c>
      <c r="I325" s="21">
        <f t="shared" si="551"/>
        <v>330</v>
      </c>
      <c r="J325" s="21">
        <f t="shared" si="579"/>
        <v>23</v>
      </c>
      <c r="K325" s="21">
        <v>0</v>
      </c>
      <c r="L325" s="20">
        <v>6</v>
      </c>
      <c r="M325" s="20">
        <v>0</v>
      </c>
      <c r="N325" s="20">
        <f t="shared" si="552"/>
        <v>9600</v>
      </c>
      <c r="O325" s="19" t="s">
        <v>69</v>
      </c>
      <c r="P325" s="20">
        <v>6400</v>
      </c>
      <c r="Q325" s="20">
        <f t="shared" ref="Q325:X325" si="628">Q295</f>
        <v>960</v>
      </c>
      <c r="R325" s="20">
        <f t="shared" si="628"/>
        <v>3840</v>
      </c>
      <c r="S325" s="20">
        <f t="shared" si="628"/>
        <v>6720</v>
      </c>
      <c r="T325" s="20">
        <f t="shared" si="628"/>
        <v>8640</v>
      </c>
      <c r="U325" s="20">
        <f t="shared" si="628"/>
        <v>100</v>
      </c>
      <c r="V325" s="20">
        <f t="shared" si="628"/>
        <v>500</v>
      </c>
      <c r="W325" s="20">
        <f t="shared" si="628"/>
        <v>900</v>
      </c>
      <c r="X325" s="20">
        <f t="shared" si="628"/>
        <v>6</v>
      </c>
      <c r="Y325" s="20">
        <v>0</v>
      </c>
      <c r="Z325" s="20">
        <f t="shared" si="584"/>
        <v>0</v>
      </c>
      <c r="AA325" s="20">
        <v>0</v>
      </c>
      <c r="AB325" s="20">
        <v>0</v>
      </c>
      <c r="AC325" s="20">
        <v>0</v>
      </c>
      <c r="AD325" s="23">
        <f t="shared" ref="AD325:AE325" si="629">AD295</f>
        <v>46</v>
      </c>
      <c r="AE325" s="23">
        <f t="shared" si="629"/>
        <v>50</v>
      </c>
    </row>
    <row r="326" spans="1:31">
      <c r="A326" s="4">
        <v>3000</v>
      </c>
      <c r="B326" s="4">
        <v>25</v>
      </c>
      <c r="C326" s="19" t="s">
        <v>70</v>
      </c>
      <c r="D326" s="44">
        <v>0</v>
      </c>
      <c r="E326" s="18">
        <f t="shared" si="582"/>
        <v>484</v>
      </c>
      <c r="F326" s="18">
        <v>0</v>
      </c>
      <c r="G326" s="18">
        <v>0</v>
      </c>
      <c r="H326" s="45">
        <v>0</v>
      </c>
      <c r="I326" s="21">
        <f t="shared" si="551"/>
        <v>385</v>
      </c>
      <c r="J326" s="21">
        <f t="shared" si="579"/>
        <v>24</v>
      </c>
      <c r="K326" s="21">
        <v>0</v>
      </c>
      <c r="L326" s="20">
        <v>6</v>
      </c>
      <c r="M326" s="20">
        <v>0</v>
      </c>
      <c r="N326" s="20">
        <f t="shared" si="552"/>
        <v>12500</v>
      </c>
      <c r="O326" s="19" t="s">
        <v>70</v>
      </c>
      <c r="P326" s="20">
        <v>3100</v>
      </c>
      <c r="Q326" s="20">
        <f t="shared" ref="Q326:X326" si="630">Q296</f>
        <v>1250</v>
      </c>
      <c r="R326" s="20">
        <f t="shared" si="630"/>
        <v>5000</v>
      </c>
      <c r="S326" s="20">
        <f t="shared" si="630"/>
        <v>8750</v>
      </c>
      <c r="T326" s="20">
        <f t="shared" si="630"/>
        <v>11250</v>
      </c>
      <c r="U326" s="20">
        <f t="shared" si="630"/>
        <v>10</v>
      </c>
      <c r="V326" s="20">
        <f t="shared" si="630"/>
        <v>1300</v>
      </c>
      <c r="W326" s="20">
        <f t="shared" si="630"/>
        <v>1000</v>
      </c>
      <c r="X326" s="20">
        <f t="shared" si="630"/>
        <v>7</v>
      </c>
      <c r="Y326" s="20">
        <v>0</v>
      </c>
      <c r="Z326" s="20">
        <f t="shared" si="584"/>
        <v>0</v>
      </c>
      <c r="AA326" s="20">
        <v>0</v>
      </c>
      <c r="AB326" s="20">
        <v>0</v>
      </c>
      <c r="AC326" s="20">
        <v>0</v>
      </c>
      <c r="AD326" s="23">
        <f t="shared" ref="AD326:AE326" si="631">AD296</f>
        <v>48</v>
      </c>
      <c r="AE326" s="23">
        <f t="shared" si="631"/>
        <v>52</v>
      </c>
    </row>
    <row r="327" spans="1:31">
      <c r="A327" s="4">
        <v>3000</v>
      </c>
      <c r="B327" s="4">
        <v>26</v>
      </c>
      <c r="C327" s="19" t="s">
        <v>71</v>
      </c>
      <c r="D327" s="44">
        <v>0</v>
      </c>
      <c r="E327" s="18">
        <f t="shared" si="582"/>
        <v>524</v>
      </c>
      <c r="F327" s="18">
        <v>0</v>
      </c>
      <c r="G327" s="18">
        <v>0</v>
      </c>
      <c r="H327" s="45">
        <v>0</v>
      </c>
      <c r="I327" s="21">
        <f t="shared" si="551"/>
        <v>385</v>
      </c>
      <c r="J327" s="21">
        <f t="shared" si="579"/>
        <v>25</v>
      </c>
      <c r="K327" s="21">
        <v>0</v>
      </c>
      <c r="L327" s="20">
        <v>6</v>
      </c>
      <c r="M327" s="20">
        <v>0</v>
      </c>
      <c r="N327" s="20">
        <f t="shared" si="552"/>
        <v>13000</v>
      </c>
      <c r="O327" s="19" t="s">
        <v>71</v>
      </c>
      <c r="P327" s="20">
        <v>1777</v>
      </c>
      <c r="Q327" s="20">
        <f t="shared" ref="Q327:X327" si="632">Q297</f>
        <v>1300</v>
      </c>
      <c r="R327" s="20">
        <f t="shared" si="632"/>
        <v>5200</v>
      </c>
      <c r="S327" s="20">
        <f t="shared" si="632"/>
        <v>9100</v>
      </c>
      <c r="T327" s="20">
        <f t="shared" si="632"/>
        <v>11700</v>
      </c>
      <c r="U327" s="20">
        <f t="shared" si="632"/>
        <v>90</v>
      </c>
      <c r="V327" s="20">
        <f t="shared" si="632"/>
        <v>800</v>
      </c>
      <c r="W327" s="20">
        <f t="shared" si="632"/>
        <v>2000</v>
      </c>
      <c r="X327" s="20">
        <f t="shared" si="632"/>
        <v>7</v>
      </c>
      <c r="Y327" s="20">
        <v>0</v>
      </c>
      <c r="Z327" s="20">
        <f t="shared" si="584"/>
        <v>0</v>
      </c>
      <c r="AA327" s="20">
        <v>0</v>
      </c>
      <c r="AB327" s="20">
        <v>0</v>
      </c>
      <c r="AC327" s="20">
        <v>0</v>
      </c>
      <c r="AD327" s="23">
        <f t="shared" ref="AD327:AE327" si="633">AD297</f>
        <v>50</v>
      </c>
      <c r="AE327" s="23">
        <f t="shared" si="633"/>
        <v>54</v>
      </c>
    </row>
    <row r="328" spans="1:31">
      <c r="A328" s="4">
        <v>3000</v>
      </c>
      <c r="B328" s="4">
        <v>27</v>
      </c>
      <c r="C328" s="19" t="s">
        <v>72</v>
      </c>
      <c r="D328" s="44">
        <v>0</v>
      </c>
      <c r="E328" s="18">
        <f t="shared" si="582"/>
        <v>567</v>
      </c>
      <c r="F328" s="18">
        <v>0</v>
      </c>
      <c r="G328" s="18">
        <v>0</v>
      </c>
      <c r="H328" s="45">
        <v>0</v>
      </c>
      <c r="I328" s="21">
        <f t="shared" si="551"/>
        <v>385</v>
      </c>
      <c r="J328" s="21">
        <f t="shared" si="579"/>
        <v>26</v>
      </c>
      <c r="K328" s="21">
        <v>0</v>
      </c>
      <c r="L328" s="20">
        <v>6</v>
      </c>
      <c r="M328" s="20">
        <v>0</v>
      </c>
      <c r="N328" s="20">
        <f t="shared" si="552"/>
        <v>13500</v>
      </c>
      <c r="O328" s="19" t="s">
        <v>72</v>
      </c>
      <c r="P328" s="20">
        <v>2332</v>
      </c>
      <c r="Q328" s="20">
        <f t="shared" ref="Q328:X328" si="634">Q298</f>
        <v>1350</v>
      </c>
      <c r="R328" s="20">
        <f t="shared" si="634"/>
        <v>5400</v>
      </c>
      <c r="S328" s="20">
        <f t="shared" si="634"/>
        <v>9450</v>
      </c>
      <c r="T328" s="20">
        <f t="shared" si="634"/>
        <v>12150</v>
      </c>
      <c r="U328" s="20">
        <f t="shared" si="634"/>
        <v>80</v>
      </c>
      <c r="V328" s="20">
        <f t="shared" si="634"/>
        <v>700</v>
      </c>
      <c r="W328" s="20">
        <f t="shared" si="634"/>
        <v>800</v>
      </c>
      <c r="X328" s="20">
        <f t="shared" si="634"/>
        <v>7</v>
      </c>
      <c r="Y328" s="20">
        <v>0</v>
      </c>
      <c r="Z328" s="20">
        <f t="shared" si="584"/>
        <v>0</v>
      </c>
      <c r="AA328" s="20">
        <v>0</v>
      </c>
      <c r="AB328" s="20">
        <v>0</v>
      </c>
      <c r="AC328" s="20">
        <v>0</v>
      </c>
      <c r="AD328" s="23">
        <f t="shared" ref="AD328:AE328" si="635">AD298</f>
        <v>52</v>
      </c>
      <c r="AE328" s="23">
        <f t="shared" si="635"/>
        <v>56</v>
      </c>
    </row>
    <row r="329" spans="1:31">
      <c r="A329" s="4">
        <v>3000</v>
      </c>
      <c r="B329" s="4">
        <v>28</v>
      </c>
      <c r="C329" s="19" t="s">
        <v>73</v>
      </c>
      <c r="D329" s="44">
        <v>0</v>
      </c>
      <c r="E329" s="18">
        <f t="shared" si="582"/>
        <v>614</v>
      </c>
      <c r="F329" s="18">
        <v>0</v>
      </c>
      <c r="G329" s="18">
        <v>0</v>
      </c>
      <c r="H329" s="45">
        <v>0</v>
      </c>
      <c r="I329" s="21">
        <f t="shared" si="551"/>
        <v>385</v>
      </c>
      <c r="J329" s="21">
        <f t="shared" si="579"/>
        <v>27</v>
      </c>
      <c r="K329" s="21">
        <v>0</v>
      </c>
      <c r="L329" s="20">
        <v>6</v>
      </c>
      <c r="M329" s="20">
        <v>0</v>
      </c>
      <c r="N329" s="20">
        <f t="shared" si="552"/>
        <v>14000</v>
      </c>
      <c r="O329" s="19" t="s">
        <v>73</v>
      </c>
      <c r="P329" s="20">
        <v>1487</v>
      </c>
      <c r="Q329" s="20">
        <f t="shared" ref="Q329:X329" si="636">Q299</f>
        <v>1400</v>
      </c>
      <c r="R329" s="20">
        <f t="shared" si="636"/>
        <v>5600</v>
      </c>
      <c r="S329" s="20">
        <f t="shared" si="636"/>
        <v>9800</v>
      </c>
      <c r="T329" s="20">
        <f t="shared" si="636"/>
        <v>12600</v>
      </c>
      <c r="U329" s="20">
        <f t="shared" si="636"/>
        <v>80</v>
      </c>
      <c r="V329" s="20">
        <f t="shared" si="636"/>
        <v>500</v>
      </c>
      <c r="W329" s="20">
        <f t="shared" si="636"/>
        <v>600</v>
      </c>
      <c r="X329" s="20">
        <f t="shared" si="636"/>
        <v>7</v>
      </c>
      <c r="Y329" s="20">
        <v>0</v>
      </c>
      <c r="Z329" s="20">
        <f t="shared" si="584"/>
        <v>216</v>
      </c>
      <c r="AA329" s="20">
        <v>0</v>
      </c>
      <c r="AB329" s="20">
        <v>0</v>
      </c>
      <c r="AC329" s="20">
        <v>0</v>
      </c>
      <c r="AD329" s="23">
        <f t="shared" ref="AD329:AE329" si="637">AD299</f>
        <v>54</v>
      </c>
      <c r="AE329" s="23">
        <f t="shared" si="637"/>
        <v>58</v>
      </c>
    </row>
    <row r="330" spans="1:31">
      <c r="A330" s="4">
        <v>3000</v>
      </c>
      <c r="B330" s="4">
        <v>29</v>
      </c>
      <c r="C330" s="19" t="s">
        <v>74</v>
      </c>
      <c r="D330" s="44">
        <v>0</v>
      </c>
      <c r="E330" s="18">
        <f t="shared" si="582"/>
        <v>665</v>
      </c>
      <c r="F330" s="18">
        <v>0</v>
      </c>
      <c r="G330" s="18">
        <v>0</v>
      </c>
      <c r="H330" s="45">
        <v>0</v>
      </c>
      <c r="I330" s="21">
        <f t="shared" si="551"/>
        <v>440</v>
      </c>
      <c r="J330" s="21">
        <f t="shared" si="579"/>
        <v>28</v>
      </c>
      <c r="K330" s="21">
        <v>0</v>
      </c>
      <c r="L330" s="20">
        <v>6</v>
      </c>
      <c r="M330" s="20">
        <v>0</v>
      </c>
      <c r="N330" s="20">
        <f t="shared" si="552"/>
        <v>14500</v>
      </c>
      <c r="O330" s="19" t="s">
        <v>74</v>
      </c>
      <c r="P330" s="20">
        <v>1518</v>
      </c>
      <c r="Q330" s="20">
        <f t="shared" ref="Q330:X330" si="638">Q300</f>
        <v>1450</v>
      </c>
      <c r="R330" s="20">
        <f t="shared" si="638"/>
        <v>5800</v>
      </c>
      <c r="S330" s="20">
        <f t="shared" si="638"/>
        <v>10150</v>
      </c>
      <c r="T330" s="20">
        <f t="shared" si="638"/>
        <v>13050</v>
      </c>
      <c r="U330" s="20">
        <f t="shared" si="638"/>
        <v>80</v>
      </c>
      <c r="V330" s="20">
        <f t="shared" si="638"/>
        <v>600</v>
      </c>
      <c r="W330" s="20">
        <f t="shared" si="638"/>
        <v>700</v>
      </c>
      <c r="X330" s="20">
        <f t="shared" si="638"/>
        <v>8</v>
      </c>
      <c r="Y330" s="20">
        <v>0</v>
      </c>
      <c r="Z330" s="20">
        <f t="shared" si="584"/>
        <v>0</v>
      </c>
      <c r="AA330" s="20">
        <v>0</v>
      </c>
      <c r="AB330" s="20">
        <v>0</v>
      </c>
      <c r="AC330" s="20">
        <v>0</v>
      </c>
      <c r="AD330" s="23">
        <f t="shared" ref="AD330:AE330" si="639">AD300</f>
        <v>56</v>
      </c>
      <c r="AE330" s="23">
        <f t="shared" si="639"/>
        <v>60</v>
      </c>
    </row>
    <row r="331" spans="1:31">
      <c r="A331" s="4">
        <v>3000</v>
      </c>
      <c r="B331" s="4">
        <v>30</v>
      </c>
      <c r="C331" s="19" t="s">
        <v>75</v>
      </c>
      <c r="D331" s="44">
        <v>0</v>
      </c>
      <c r="E331" s="18">
        <f t="shared" si="582"/>
        <v>720</v>
      </c>
      <c r="F331" s="18">
        <v>0</v>
      </c>
      <c r="G331" s="18">
        <v>0</v>
      </c>
      <c r="H331" s="45">
        <v>0</v>
      </c>
      <c r="I331" s="21">
        <f t="shared" si="551"/>
        <v>440</v>
      </c>
      <c r="J331" s="21">
        <f t="shared" si="579"/>
        <v>29</v>
      </c>
      <c r="K331" s="21">
        <v>0</v>
      </c>
      <c r="L331" s="20">
        <v>6</v>
      </c>
      <c r="M331" s="20">
        <v>0</v>
      </c>
      <c r="N331" s="20">
        <f t="shared" si="552"/>
        <v>15000</v>
      </c>
      <c r="O331" s="19" t="s">
        <v>75</v>
      </c>
      <c r="P331" s="20">
        <v>861</v>
      </c>
      <c r="Q331" s="20">
        <f t="shared" ref="Q331:X331" si="640">Q301</f>
        <v>1500</v>
      </c>
      <c r="R331" s="20">
        <f t="shared" si="640"/>
        <v>6000</v>
      </c>
      <c r="S331" s="20">
        <f t="shared" si="640"/>
        <v>10500</v>
      </c>
      <c r="T331" s="20">
        <f t="shared" si="640"/>
        <v>13500</v>
      </c>
      <c r="U331" s="20">
        <f t="shared" si="640"/>
        <v>20</v>
      </c>
      <c r="V331" s="20">
        <f t="shared" si="640"/>
        <v>450</v>
      </c>
      <c r="W331" s="20">
        <f t="shared" si="640"/>
        <v>1000</v>
      </c>
      <c r="X331" s="20">
        <f t="shared" si="640"/>
        <v>8</v>
      </c>
      <c r="Y331" s="20">
        <v>0</v>
      </c>
      <c r="Z331" s="20">
        <f t="shared" si="584"/>
        <v>0</v>
      </c>
      <c r="AA331" s="20">
        <v>0</v>
      </c>
      <c r="AB331" s="20">
        <v>0</v>
      </c>
      <c r="AC331" s="20">
        <v>0</v>
      </c>
      <c r="AD331" s="23">
        <f t="shared" ref="AD331:AE331" si="641">AD301</f>
        <v>58</v>
      </c>
      <c r="AE331" s="23">
        <f t="shared" si="641"/>
        <v>62</v>
      </c>
    </row>
    <row r="332" spans="1:31">
      <c r="A332" s="4">
        <v>3001</v>
      </c>
      <c r="B332" s="4">
        <v>1</v>
      </c>
      <c r="C332" s="29" t="s">
        <v>66</v>
      </c>
      <c r="D332" s="46">
        <v>0</v>
      </c>
      <c r="E332" s="18">
        <f t="shared" si="582"/>
        <v>144</v>
      </c>
      <c r="F332" s="28">
        <v>0</v>
      </c>
      <c r="G332" s="28">
        <v>0</v>
      </c>
      <c r="H332" s="47">
        <v>0</v>
      </c>
      <c r="I332" s="21">
        <f t="shared" si="551"/>
        <v>55</v>
      </c>
      <c r="J332" s="21">
        <f t="shared" si="579"/>
        <v>0</v>
      </c>
      <c r="K332" s="21">
        <v>0</v>
      </c>
      <c r="L332" s="20">
        <v>45</v>
      </c>
      <c r="M332" s="20">
        <v>0</v>
      </c>
      <c r="N332" s="20">
        <f t="shared" si="552"/>
        <v>10</v>
      </c>
      <c r="O332" s="19" t="s">
        <v>66</v>
      </c>
      <c r="P332" s="20">
        <v>9400</v>
      </c>
      <c r="Q332" s="20">
        <f t="shared" ref="Q332:X332" si="642">Q302</f>
        <v>1</v>
      </c>
      <c r="R332" s="20">
        <f t="shared" si="642"/>
        <v>4</v>
      </c>
      <c r="S332" s="20">
        <f t="shared" si="642"/>
        <v>7</v>
      </c>
      <c r="T332" s="20">
        <f t="shared" si="642"/>
        <v>9</v>
      </c>
      <c r="U332" s="20">
        <f t="shared" si="642"/>
        <v>9400</v>
      </c>
      <c r="V332" s="20">
        <f t="shared" si="642"/>
        <v>9400</v>
      </c>
      <c r="W332" s="20">
        <f t="shared" si="642"/>
        <v>9400</v>
      </c>
      <c r="X332" s="20">
        <f t="shared" si="642"/>
        <v>1</v>
      </c>
      <c r="Y332" s="27">
        <v>0</v>
      </c>
      <c r="Z332" s="20">
        <f t="shared" si="584"/>
        <v>0</v>
      </c>
      <c r="AA332" s="27">
        <v>0</v>
      </c>
      <c r="AB332" s="27">
        <v>0</v>
      </c>
      <c r="AC332" s="27">
        <v>0</v>
      </c>
      <c r="AD332" s="23">
        <f t="shared" ref="AD332:AE332" si="643">AD302</f>
        <v>1</v>
      </c>
      <c r="AE332" s="23">
        <f t="shared" si="643"/>
        <v>3</v>
      </c>
    </row>
    <row r="333" spans="1:31">
      <c r="A333" s="4">
        <v>3001</v>
      </c>
      <c r="B333" s="4">
        <v>2</v>
      </c>
      <c r="C333" s="29" t="s">
        <v>67</v>
      </c>
      <c r="D333" s="46">
        <v>0</v>
      </c>
      <c r="E333" s="18">
        <f t="shared" si="582"/>
        <v>156</v>
      </c>
      <c r="F333" s="28">
        <v>0</v>
      </c>
      <c r="G333" s="28">
        <v>0</v>
      </c>
      <c r="H333" s="47">
        <v>0</v>
      </c>
      <c r="I333" s="21">
        <f t="shared" si="551"/>
        <v>55</v>
      </c>
      <c r="J333" s="21">
        <f t="shared" si="579"/>
        <v>1</v>
      </c>
      <c r="K333" s="21">
        <v>0</v>
      </c>
      <c r="L333" s="20">
        <v>40</v>
      </c>
      <c r="M333" s="20">
        <v>0</v>
      </c>
      <c r="N333" s="20">
        <f t="shared" si="552"/>
        <v>20</v>
      </c>
      <c r="O333" s="19" t="s">
        <v>67</v>
      </c>
      <c r="P333" s="20">
        <v>9100</v>
      </c>
      <c r="Q333" s="20">
        <f t="shared" ref="Q333:X333" si="644">Q303</f>
        <v>2</v>
      </c>
      <c r="R333" s="20">
        <f t="shared" si="644"/>
        <v>8</v>
      </c>
      <c r="S333" s="20">
        <f t="shared" si="644"/>
        <v>14</v>
      </c>
      <c r="T333" s="20">
        <f t="shared" si="644"/>
        <v>18</v>
      </c>
      <c r="U333" s="20">
        <f t="shared" si="644"/>
        <v>4000</v>
      </c>
      <c r="V333" s="20">
        <f t="shared" si="644"/>
        <v>8000</v>
      </c>
      <c r="W333" s="20">
        <f t="shared" si="644"/>
        <v>8000</v>
      </c>
      <c r="X333" s="20">
        <f t="shared" si="644"/>
        <v>1</v>
      </c>
      <c r="Y333" s="27">
        <v>0</v>
      </c>
      <c r="Z333" s="20">
        <f t="shared" si="584"/>
        <v>0</v>
      </c>
      <c r="AA333" s="27">
        <v>0</v>
      </c>
      <c r="AB333" s="27">
        <v>0</v>
      </c>
      <c r="AC333" s="27">
        <v>0</v>
      </c>
      <c r="AD333" s="23">
        <f t="shared" ref="AD333:AE333" si="645">AD303</f>
        <v>2</v>
      </c>
      <c r="AE333" s="23">
        <f t="shared" si="645"/>
        <v>5</v>
      </c>
    </row>
    <row r="334" spans="1:31">
      <c r="A334" s="8">
        <v>3001</v>
      </c>
      <c r="B334" s="8">
        <v>3</v>
      </c>
      <c r="C334" s="29" t="s">
        <v>68</v>
      </c>
      <c r="D334" s="46">
        <v>0</v>
      </c>
      <c r="E334" s="18">
        <f t="shared" si="582"/>
        <v>168</v>
      </c>
      <c r="F334" s="28">
        <v>0</v>
      </c>
      <c r="G334" s="28">
        <v>0</v>
      </c>
      <c r="H334" s="47">
        <v>0</v>
      </c>
      <c r="I334" s="21">
        <f t="shared" si="551"/>
        <v>55</v>
      </c>
      <c r="J334" s="21">
        <f t="shared" si="579"/>
        <v>2</v>
      </c>
      <c r="K334" s="21">
        <v>0</v>
      </c>
      <c r="L334" s="20">
        <v>35</v>
      </c>
      <c r="M334" s="20">
        <v>0</v>
      </c>
      <c r="N334" s="20">
        <f t="shared" si="552"/>
        <v>40</v>
      </c>
      <c r="O334" s="19" t="s">
        <v>68</v>
      </c>
      <c r="P334" s="20">
        <v>8600</v>
      </c>
      <c r="Q334" s="20">
        <f t="shared" ref="Q334:X334" si="646">Q304</f>
        <v>4</v>
      </c>
      <c r="R334" s="20">
        <f t="shared" si="646"/>
        <v>16</v>
      </c>
      <c r="S334" s="20">
        <f t="shared" si="646"/>
        <v>28</v>
      </c>
      <c r="T334" s="20">
        <f t="shared" si="646"/>
        <v>36</v>
      </c>
      <c r="U334" s="20">
        <f t="shared" si="646"/>
        <v>1600</v>
      </c>
      <c r="V334" s="20">
        <f t="shared" si="646"/>
        <v>5000</v>
      </c>
      <c r="W334" s="20">
        <f t="shared" si="646"/>
        <v>6000</v>
      </c>
      <c r="X334" s="20">
        <f t="shared" si="646"/>
        <v>1</v>
      </c>
      <c r="Y334" s="27">
        <v>0</v>
      </c>
      <c r="Z334" s="20">
        <f t="shared" si="584"/>
        <v>0</v>
      </c>
      <c r="AA334" s="27">
        <v>0</v>
      </c>
      <c r="AB334" s="27">
        <v>0</v>
      </c>
      <c r="AC334" s="27">
        <v>0</v>
      </c>
      <c r="AD334" s="23">
        <f t="shared" ref="AD334:AE334" si="647">AD304</f>
        <v>4</v>
      </c>
      <c r="AE334" s="23">
        <f t="shared" si="647"/>
        <v>8</v>
      </c>
    </row>
    <row r="335" spans="1:31">
      <c r="A335" s="4">
        <v>3001</v>
      </c>
      <c r="B335" s="4">
        <v>4</v>
      </c>
      <c r="C335" s="29" t="s">
        <v>69</v>
      </c>
      <c r="D335" s="46">
        <v>0</v>
      </c>
      <c r="E335" s="18">
        <f t="shared" si="582"/>
        <v>182</v>
      </c>
      <c r="F335" s="28">
        <v>0</v>
      </c>
      <c r="G335" s="28">
        <v>0</v>
      </c>
      <c r="H335" s="47">
        <v>0</v>
      </c>
      <c r="I335" s="21">
        <f t="shared" si="551"/>
        <v>55</v>
      </c>
      <c r="J335" s="21">
        <f t="shared" si="579"/>
        <v>3</v>
      </c>
      <c r="K335" s="21">
        <v>0</v>
      </c>
      <c r="L335" s="20">
        <v>30</v>
      </c>
      <c r="M335" s="20">
        <v>0</v>
      </c>
      <c r="N335" s="20">
        <f t="shared" si="552"/>
        <v>100</v>
      </c>
      <c r="O335" s="19" t="s">
        <v>69</v>
      </c>
      <c r="P335" s="20">
        <v>6400</v>
      </c>
      <c r="Q335" s="20">
        <f t="shared" ref="Q335:X335" si="648">Q305</f>
        <v>10</v>
      </c>
      <c r="R335" s="20">
        <f t="shared" si="648"/>
        <v>40</v>
      </c>
      <c r="S335" s="20">
        <f t="shared" si="648"/>
        <v>70</v>
      </c>
      <c r="T335" s="20">
        <f t="shared" si="648"/>
        <v>90</v>
      </c>
      <c r="U335" s="20">
        <f t="shared" si="648"/>
        <v>900</v>
      </c>
      <c r="V335" s="20">
        <f t="shared" si="648"/>
        <v>2000</v>
      </c>
      <c r="W335" s="20">
        <f t="shared" si="648"/>
        <v>8000</v>
      </c>
      <c r="X335" s="20">
        <f t="shared" si="648"/>
        <v>1</v>
      </c>
      <c r="Y335" s="27">
        <v>0</v>
      </c>
      <c r="Z335" s="20">
        <f t="shared" si="584"/>
        <v>0</v>
      </c>
      <c r="AA335" s="27">
        <v>0</v>
      </c>
      <c r="AB335" s="27">
        <v>0</v>
      </c>
      <c r="AC335" s="27">
        <v>0</v>
      </c>
      <c r="AD335" s="23">
        <f t="shared" ref="AD335:AE335" si="649">AD305</f>
        <v>6</v>
      </c>
      <c r="AE335" s="23">
        <f t="shared" si="649"/>
        <v>10</v>
      </c>
    </row>
    <row r="336" spans="1:31">
      <c r="A336" s="4">
        <v>3001</v>
      </c>
      <c r="B336" s="4">
        <v>5</v>
      </c>
      <c r="C336" s="29" t="s">
        <v>70</v>
      </c>
      <c r="D336" s="46">
        <v>0</v>
      </c>
      <c r="E336" s="18">
        <f t="shared" si="582"/>
        <v>198</v>
      </c>
      <c r="F336" s="28">
        <v>0</v>
      </c>
      <c r="G336" s="28">
        <v>0</v>
      </c>
      <c r="H336" s="47">
        <v>0</v>
      </c>
      <c r="I336" s="21">
        <f t="shared" si="551"/>
        <v>110</v>
      </c>
      <c r="J336" s="21">
        <f t="shared" si="579"/>
        <v>4</v>
      </c>
      <c r="K336" s="21">
        <v>0</v>
      </c>
      <c r="L336" s="20">
        <v>25</v>
      </c>
      <c r="M336" s="20">
        <v>0</v>
      </c>
      <c r="N336" s="20">
        <f t="shared" si="552"/>
        <v>200</v>
      </c>
      <c r="O336" s="19" t="s">
        <v>70</v>
      </c>
      <c r="P336" s="20">
        <v>3100</v>
      </c>
      <c r="Q336" s="20">
        <f t="shared" ref="Q336:X336" si="650">Q306</f>
        <v>20</v>
      </c>
      <c r="R336" s="20">
        <f t="shared" si="650"/>
        <v>80</v>
      </c>
      <c r="S336" s="20">
        <f t="shared" si="650"/>
        <v>140</v>
      </c>
      <c r="T336" s="20">
        <f t="shared" si="650"/>
        <v>180</v>
      </c>
      <c r="U336" s="20">
        <f t="shared" si="650"/>
        <v>1000</v>
      </c>
      <c r="V336" s="20">
        <f t="shared" si="650"/>
        <v>2000</v>
      </c>
      <c r="W336" s="20">
        <f t="shared" si="650"/>
        <v>2000</v>
      </c>
      <c r="X336" s="20">
        <f t="shared" si="650"/>
        <v>2</v>
      </c>
      <c r="Y336" s="27">
        <v>0</v>
      </c>
      <c r="Z336" s="20">
        <f t="shared" si="584"/>
        <v>0</v>
      </c>
      <c r="AA336" s="27">
        <v>0</v>
      </c>
      <c r="AB336" s="27">
        <v>0</v>
      </c>
      <c r="AC336" s="27">
        <v>0</v>
      </c>
      <c r="AD336" s="23">
        <f t="shared" ref="AD336:AE336" si="651">AD306</f>
        <v>8</v>
      </c>
      <c r="AE336" s="23">
        <f t="shared" si="651"/>
        <v>12</v>
      </c>
    </row>
    <row r="337" spans="1:31">
      <c r="A337" s="4">
        <v>3001</v>
      </c>
      <c r="B337" s="4">
        <v>6</v>
      </c>
      <c r="C337" s="29" t="s">
        <v>71</v>
      </c>
      <c r="D337" s="46">
        <v>0</v>
      </c>
      <c r="E337" s="18">
        <f t="shared" si="582"/>
        <v>214</v>
      </c>
      <c r="F337" s="28">
        <v>0</v>
      </c>
      <c r="G337" s="28">
        <v>0</v>
      </c>
      <c r="H337" s="47">
        <v>0</v>
      </c>
      <c r="I337" s="21">
        <f t="shared" si="551"/>
        <v>110</v>
      </c>
      <c r="J337" s="21">
        <f t="shared" si="579"/>
        <v>5</v>
      </c>
      <c r="K337" s="21">
        <v>0</v>
      </c>
      <c r="L337" s="20">
        <v>20</v>
      </c>
      <c r="M337" s="20">
        <v>0</v>
      </c>
      <c r="N337" s="20">
        <f t="shared" si="552"/>
        <v>500</v>
      </c>
      <c r="O337" s="19" t="s">
        <v>71</v>
      </c>
      <c r="P337" s="20">
        <v>1777</v>
      </c>
      <c r="Q337" s="20">
        <f t="shared" ref="Q337:X337" si="652">Q307</f>
        <v>50</v>
      </c>
      <c r="R337" s="20">
        <f t="shared" si="652"/>
        <v>200</v>
      </c>
      <c r="S337" s="20">
        <f t="shared" si="652"/>
        <v>350</v>
      </c>
      <c r="T337" s="20">
        <f t="shared" si="652"/>
        <v>450</v>
      </c>
      <c r="U337" s="20">
        <f t="shared" si="652"/>
        <v>800</v>
      </c>
      <c r="V337" s="20">
        <f t="shared" si="652"/>
        <v>800</v>
      </c>
      <c r="W337" s="20">
        <f t="shared" si="652"/>
        <v>600</v>
      </c>
      <c r="X337" s="20">
        <f t="shared" si="652"/>
        <v>2</v>
      </c>
      <c r="Y337" s="27">
        <v>0</v>
      </c>
      <c r="Z337" s="20">
        <f t="shared" si="584"/>
        <v>0</v>
      </c>
      <c r="AA337" s="27">
        <v>0</v>
      </c>
      <c r="AB337" s="27">
        <v>0</v>
      </c>
      <c r="AC337" s="27">
        <v>0</v>
      </c>
      <c r="AD337" s="23">
        <f t="shared" ref="AD337:AE337" si="653">AD307</f>
        <v>10</v>
      </c>
      <c r="AE337" s="23">
        <f t="shared" si="653"/>
        <v>14</v>
      </c>
    </row>
    <row r="338" spans="1:31">
      <c r="A338" s="4">
        <v>3001</v>
      </c>
      <c r="B338" s="4">
        <v>7</v>
      </c>
      <c r="C338" s="29" t="s">
        <v>72</v>
      </c>
      <c r="D338" s="46">
        <v>0</v>
      </c>
      <c r="E338" s="18">
        <f t="shared" si="582"/>
        <v>232</v>
      </c>
      <c r="F338" s="28">
        <v>0</v>
      </c>
      <c r="G338" s="28">
        <v>0</v>
      </c>
      <c r="H338" s="47">
        <v>0</v>
      </c>
      <c r="I338" s="21">
        <f t="shared" si="551"/>
        <v>110</v>
      </c>
      <c r="J338" s="21">
        <f t="shared" si="579"/>
        <v>6</v>
      </c>
      <c r="K338" s="21">
        <v>0</v>
      </c>
      <c r="L338" s="20">
        <v>16</v>
      </c>
      <c r="M338" s="20">
        <v>0</v>
      </c>
      <c r="N338" s="20">
        <f t="shared" si="552"/>
        <v>700</v>
      </c>
      <c r="O338" s="19" t="s">
        <v>72</v>
      </c>
      <c r="P338" s="20">
        <v>2332</v>
      </c>
      <c r="Q338" s="20">
        <f t="shared" ref="Q338:X338" si="654">Q308</f>
        <v>70</v>
      </c>
      <c r="R338" s="20">
        <f t="shared" si="654"/>
        <v>280</v>
      </c>
      <c r="S338" s="20">
        <f t="shared" si="654"/>
        <v>489.99999999999994</v>
      </c>
      <c r="T338" s="20">
        <f t="shared" si="654"/>
        <v>630</v>
      </c>
      <c r="U338" s="20">
        <f t="shared" si="654"/>
        <v>650</v>
      </c>
      <c r="V338" s="20">
        <f t="shared" si="654"/>
        <v>800</v>
      </c>
      <c r="W338" s="20">
        <f t="shared" si="654"/>
        <v>300</v>
      </c>
      <c r="X338" s="20">
        <f t="shared" si="654"/>
        <v>2</v>
      </c>
      <c r="Y338" s="27">
        <v>0</v>
      </c>
      <c r="Z338" s="20">
        <f t="shared" si="584"/>
        <v>0</v>
      </c>
      <c r="AA338" s="27">
        <v>0</v>
      </c>
      <c r="AB338" s="27">
        <v>0</v>
      </c>
      <c r="AC338" s="27">
        <v>0</v>
      </c>
      <c r="AD338" s="23">
        <f t="shared" ref="AD338:AE338" si="655">AD308</f>
        <v>12</v>
      </c>
      <c r="AE338" s="23">
        <f t="shared" si="655"/>
        <v>16</v>
      </c>
    </row>
    <row r="339" spans="1:31">
      <c r="A339" s="4">
        <v>3001</v>
      </c>
      <c r="B339" s="4">
        <v>8</v>
      </c>
      <c r="C339" s="29" t="s">
        <v>73</v>
      </c>
      <c r="D339" s="46">
        <v>0</v>
      </c>
      <c r="E339" s="18">
        <f t="shared" si="582"/>
        <v>252</v>
      </c>
      <c r="F339" s="28">
        <v>0</v>
      </c>
      <c r="G339" s="28">
        <v>0</v>
      </c>
      <c r="H339" s="47">
        <v>0</v>
      </c>
      <c r="I339" s="21">
        <f t="shared" si="551"/>
        <v>110</v>
      </c>
      <c r="J339" s="21">
        <f t="shared" ref="J339:J402" si="656">B339-1</f>
        <v>7</v>
      </c>
      <c r="K339" s="21">
        <v>0</v>
      </c>
      <c r="L339" s="20">
        <v>12</v>
      </c>
      <c r="M339" s="20">
        <v>0</v>
      </c>
      <c r="N339" s="20">
        <f t="shared" si="552"/>
        <v>800</v>
      </c>
      <c r="O339" s="19" t="s">
        <v>73</v>
      </c>
      <c r="P339" s="20">
        <v>1487</v>
      </c>
      <c r="Q339" s="20">
        <f t="shared" ref="Q339:X339" si="657">Q309</f>
        <v>80</v>
      </c>
      <c r="R339" s="20">
        <f t="shared" si="657"/>
        <v>320</v>
      </c>
      <c r="S339" s="20">
        <f t="shared" si="657"/>
        <v>560</v>
      </c>
      <c r="T339" s="20">
        <f t="shared" si="657"/>
        <v>720</v>
      </c>
      <c r="U339" s="20">
        <f t="shared" si="657"/>
        <v>200</v>
      </c>
      <c r="V339" s="20">
        <f t="shared" si="657"/>
        <v>2000</v>
      </c>
      <c r="W339" s="20">
        <f t="shared" si="657"/>
        <v>1000</v>
      </c>
      <c r="X339" s="20">
        <f t="shared" si="657"/>
        <v>2</v>
      </c>
      <c r="Y339" s="27">
        <v>0</v>
      </c>
      <c r="Z339" s="20">
        <f t="shared" si="584"/>
        <v>50</v>
      </c>
      <c r="AA339" s="27">
        <v>0</v>
      </c>
      <c r="AB339" s="27">
        <v>0</v>
      </c>
      <c r="AC339" s="27">
        <v>0</v>
      </c>
      <c r="AD339" s="23">
        <f t="shared" ref="AD339:AE339" si="658">AD309</f>
        <v>14</v>
      </c>
      <c r="AE339" s="23">
        <f t="shared" si="658"/>
        <v>18</v>
      </c>
    </row>
    <row r="340" spans="1:31">
      <c r="A340" s="4">
        <v>3001</v>
      </c>
      <c r="B340" s="4">
        <v>9</v>
      </c>
      <c r="C340" s="29" t="s">
        <v>74</v>
      </c>
      <c r="D340" s="46">
        <v>0</v>
      </c>
      <c r="E340" s="18">
        <f t="shared" si="582"/>
        <v>272</v>
      </c>
      <c r="F340" s="28">
        <v>0</v>
      </c>
      <c r="G340" s="28">
        <v>0</v>
      </c>
      <c r="H340" s="47">
        <v>0</v>
      </c>
      <c r="I340" s="21">
        <f t="shared" si="551"/>
        <v>165</v>
      </c>
      <c r="J340" s="21">
        <f t="shared" si="656"/>
        <v>8</v>
      </c>
      <c r="K340" s="21">
        <v>0</v>
      </c>
      <c r="L340" s="20">
        <v>8</v>
      </c>
      <c r="M340" s="20">
        <v>0</v>
      </c>
      <c r="N340" s="20">
        <f t="shared" si="552"/>
        <v>900</v>
      </c>
      <c r="O340" s="19" t="s">
        <v>74</v>
      </c>
      <c r="P340" s="20">
        <v>1518</v>
      </c>
      <c r="Q340" s="20">
        <f t="shared" ref="Q340:X340" si="659">Q310</f>
        <v>90</v>
      </c>
      <c r="R340" s="20">
        <f t="shared" si="659"/>
        <v>360</v>
      </c>
      <c r="S340" s="20">
        <f t="shared" si="659"/>
        <v>630</v>
      </c>
      <c r="T340" s="20">
        <f t="shared" si="659"/>
        <v>810</v>
      </c>
      <c r="U340" s="20">
        <f t="shared" si="659"/>
        <v>120</v>
      </c>
      <c r="V340" s="20">
        <f t="shared" si="659"/>
        <v>1500</v>
      </c>
      <c r="W340" s="20">
        <f t="shared" si="659"/>
        <v>1000</v>
      </c>
      <c r="X340" s="20">
        <f t="shared" si="659"/>
        <v>3</v>
      </c>
      <c r="Y340" s="27">
        <v>0</v>
      </c>
      <c r="Z340" s="20">
        <f t="shared" si="584"/>
        <v>0</v>
      </c>
      <c r="AA340" s="27">
        <v>0</v>
      </c>
      <c r="AB340" s="27">
        <v>0</v>
      </c>
      <c r="AC340" s="27">
        <v>0</v>
      </c>
      <c r="AD340" s="23">
        <f t="shared" ref="AD340:AE340" si="660">AD310</f>
        <v>16</v>
      </c>
      <c r="AE340" s="23">
        <f t="shared" si="660"/>
        <v>20</v>
      </c>
    </row>
    <row r="341" spans="1:31">
      <c r="A341" s="4">
        <v>3001</v>
      </c>
      <c r="B341" s="4">
        <v>10</v>
      </c>
      <c r="C341" s="29" t="s">
        <v>75</v>
      </c>
      <c r="D341" s="46">
        <v>0</v>
      </c>
      <c r="E341" s="18">
        <f t="shared" si="582"/>
        <v>294</v>
      </c>
      <c r="F341" s="28">
        <v>0</v>
      </c>
      <c r="G341" s="28">
        <v>0</v>
      </c>
      <c r="H341" s="47">
        <v>0</v>
      </c>
      <c r="I341" s="21">
        <f t="shared" si="551"/>
        <v>165</v>
      </c>
      <c r="J341" s="21">
        <f t="shared" si="656"/>
        <v>9</v>
      </c>
      <c r="K341" s="21">
        <v>0</v>
      </c>
      <c r="L341" s="20">
        <v>6</v>
      </c>
      <c r="M341" s="20">
        <v>0</v>
      </c>
      <c r="N341" s="20">
        <f t="shared" si="552"/>
        <v>2000</v>
      </c>
      <c r="O341" s="19" t="s">
        <v>75</v>
      </c>
      <c r="P341" s="20">
        <v>861</v>
      </c>
      <c r="Q341" s="20">
        <f t="shared" ref="Q341:X341" si="661">Q311</f>
        <v>200</v>
      </c>
      <c r="R341" s="20">
        <f t="shared" si="661"/>
        <v>800</v>
      </c>
      <c r="S341" s="20">
        <f t="shared" si="661"/>
        <v>1400</v>
      </c>
      <c r="T341" s="20">
        <f t="shared" si="661"/>
        <v>1800</v>
      </c>
      <c r="U341" s="20">
        <f t="shared" si="661"/>
        <v>150</v>
      </c>
      <c r="V341" s="20">
        <f t="shared" si="661"/>
        <v>5000</v>
      </c>
      <c r="W341" s="20">
        <f t="shared" si="661"/>
        <v>800</v>
      </c>
      <c r="X341" s="20">
        <f t="shared" si="661"/>
        <v>3</v>
      </c>
      <c r="Y341" s="27">
        <v>0</v>
      </c>
      <c r="Z341" s="20">
        <f t="shared" si="584"/>
        <v>0</v>
      </c>
      <c r="AA341" s="27">
        <v>0</v>
      </c>
      <c r="AB341" s="27">
        <v>0</v>
      </c>
      <c r="AC341" s="27">
        <v>0</v>
      </c>
      <c r="AD341" s="23">
        <f t="shared" ref="AD341:AE341" si="662">AD311</f>
        <v>18</v>
      </c>
      <c r="AE341" s="23">
        <f t="shared" si="662"/>
        <v>22</v>
      </c>
    </row>
    <row r="342" spans="1:31">
      <c r="A342" s="4">
        <v>3001</v>
      </c>
      <c r="B342" s="4">
        <v>11</v>
      </c>
      <c r="C342" s="29" t="s">
        <v>66</v>
      </c>
      <c r="D342" s="46">
        <v>0</v>
      </c>
      <c r="E342" s="18">
        <f t="shared" si="582"/>
        <v>318</v>
      </c>
      <c r="F342" s="28">
        <v>0</v>
      </c>
      <c r="G342" s="28">
        <v>0</v>
      </c>
      <c r="H342" s="47">
        <v>0</v>
      </c>
      <c r="I342" s="21">
        <f t="shared" si="551"/>
        <v>165</v>
      </c>
      <c r="J342" s="21">
        <f t="shared" si="656"/>
        <v>10</v>
      </c>
      <c r="K342" s="21">
        <v>0</v>
      </c>
      <c r="L342" s="20">
        <v>6</v>
      </c>
      <c r="M342" s="20">
        <v>0</v>
      </c>
      <c r="N342" s="20">
        <f t="shared" si="552"/>
        <v>2200</v>
      </c>
      <c r="O342" s="19" t="s">
        <v>66</v>
      </c>
      <c r="P342" s="20">
        <v>9400</v>
      </c>
      <c r="Q342" s="20">
        <f t="shared" ref="Q342:X342" si="663">Q312</f>
        <v>220</v>
      </c>
      <c r="R342" s="20">
        <f t="shared" si="663"/>
        <v>880</v>
      </c>
      <c r="S342" s="20">
        <f t="shared" si="663"/>
        <v>1540</v>
      </c>
      <c r="T342" s="20">
        <f t="shared" si="663"/>
        <v>1980</v>
      </c>
      <c r="U342" s="20">
        <f t="shared" si="663"/>
        <v>100</v>
      </c>
      <c r="V342" s="20">
        <f t="shared" si="663"/>
        <v>800</v>
      </c>
      <c r="W342" s="20">
        <f t="shared" si="663"/>
        <v>600</v>
      </c>
      <c r="X342" s="20">
        <f t="shared" si="663"/>
        <v>3</v>
      </c>
      <c r="Y342" s="27">
        <v>0</v>
      </c>
      <c r="Z342" s="20">
        <f t="shared" si="584"/>
        <v>0</v>
      </c>
      <c r="AA342" s="27">
        <v>0</v>
      </c>
      <c r="AB342" s="27">
        <v>0</v>
      </c>
      <c r="AC342" s="27">
        <v>0</v>
      </c>
      <c r="AD342" s="23">
        <f t="shared" ref="AD342:AE342" si="664">AD312</f>
        <v>20</v>
      </c>
      <c r="AE342" s="23">
        <f t="shared" si="664"/>
        <v>24</v>
      </c>
    </row>
    <row r="343" spans="1:31">
      <c r="A343" s="4">
        <v>3001</v>
      </c>
      <c r="B343" s="4">
        <v>12</v>
      </c>
      <c r="C343" s="29" t="s">
        <v>67</v>
      </c>
      <c r="D343" s="46">
        <v>0</v>
      </c>
      <c r="E343" s="18">
        <f t="shared" si="582"/>
        <v>344</v>
      </c>
      <c r="F343" s="28">
        <v>0</v>
      </c>
      <c r="G343" s="28">
        <v>0</v>
      </c>
      <c r="H343" s="47">
        <v>0</v>
      </c>
      <c r="I343" s="21">
        <f t="shared" si="551"/>
        <v>165</v>
      </c>
      <c r="J343" s="21">
        <f t="shared" si="656"/>
        <v>11</v>
      </c>
      <c r="K343" s="21">
        <v>0</v>
      </c>
      <c r="L343" s="20">
        <v>6</v>
      </c>
      <c r="M343" s="20">
        <v>0</v>
      </c>
      <c r="N343" s="20">
        <f t="shared" si="552"/>
        <v>2400</v>
      </c>
      <c r="O343" s="19" t="s">
        <v>67</v>
      </c>
      <c r="P343" s="20">
        <v>9100</v>
      </c>
      <c r="Q343" s="20">
        <f t="shared" ref="Q343:X343" si="665">Q313</f>
        <v>240</v>
      </c>
      <c r="R343" s="20">
        <f t="shared" si="665"/>
        <v>960</v>
      </c>
      <c r="S343" s="20">
        <f t="shared" si="665"/>
        <v>1680</v>
      </c>
      <c r="T343" s="20">
        <f t="shared" si="665"/>
        <v>2160</v>
      </c>
      <c r="U343" s="20">
        <f t="shared" si="665"/>
        <v>150</v>
      </c>
      <c r="V343" s="20">
        <f t="shared" si="665"/>
        <v>700</v>
      </c>
      <c r="W343" s="20">
        <f t="shared" si="665"/>
        <v>900</v>
      </c>
      <c r="X343" s="20">
        <f t="shared" si="665"/>
        <v>3</v>
      </c>
      <c r="Y343" s="27">
        <v>0</v>
      </c>
      <c r="Z343" s="20">
        <f t="shared" si="584"/>
        <v>0</v>
      </c>
      <c r="AA343" s="27">
        <v>0</v>
      </c>
      <c r="AB343" s="27">
        <v>0</v>
      </c>
      <c r="AC343" s="27">
        <v>0</v>
      </c>
      <c r="AD343" s="23">
        <f t="shared" ref="AD343:AE343" si="666">AD313</f>
        <v>22</v>
      </c>
      <c r="AE343" s="23">
        <f t="shared" si="666"/>
        <v>26</v>
      </c>
    </row>
    <row r="344" spans="1:31">
      <c r="A344" s="4">
        <v>3001</v>
      </c>
      <c r="B344" s="4">
        <v>13</v>
      </c>
      <c r="C344" s="29" t="s">
        <v>68</v>
      </c>
      <c r="D344" s="46">
        <v>0</v>
      </c>
      <c r="E344" s="18">
        <f t="shared" si="582"/>
        <v>374</v>
      </c>
      <c r="F344" s="28">
        <v>0</v>
      </c>
      <c r="G344" s="28">
        <v>0</v>
      </c>
      <c r="H344" s="47">
        <v>0</v>
      </c>
      <c r="I344" s="21">
        <f t="shared" si="551"/>
        <v>220</v>
      </c>
      <c r="J344" s="21">
        <f t="shared" si="656"/>
        <v>12</v>
      </c>
      <c r="K344" s="21">
        <v>0</v>
      </c>
      <c r="L344" s="20">
        <v>6</v>
      </c>
      <c r="M344" s="20">
        <v>0</v>
      </c>
      <c r="N344" s="20">
        <f t="shared" si="552"/>
        <v>2600</v>
      </c>
      <c r="O344" s="19" t="s">
        <v>68</v>
      </c>
      <c r="P344" s="20">
        <v>8600</v>
      </c>
      <c r="Q344" s="20">
        <f t="shared" ref="Q344:X344" si="667">Q314</f>
        <v>260</v>
      </c>
      <c r="R344" s="20">
        <f t="shared" si="667"/>
        <v>1040</v>
      </c>
      <c r="S344" s="20">
        <f t="shared" si="667"/>
        <v>1819.9999999999998</v>
      </c>
      <c r="T344" s="20">
        <f t="shared" si="667"/>
        <v>2340</v>
      </c>
      <c r="U344" s="20">
        <f t="shared" si="667"/>
        <v>100</v>
      </c>
      <c r="V344" s="20">
        <f t="shared" si="667"/>
        <v>700</v>
      </c>
      <c r="W344" s="20">
        <f t="shared" si="667"/>
        <v>1000</v>
      </c>
      <c r="X344" s="20">
        <f t="shared" si="667"/>
        <v>4</v>
      </c>
      <c r="Y344" s="27">
        <v>0</v>
      </c>
      <c r="Z344" s="20">
        <f t="shared" si="584"/>
        <v>100</v>
      </c>
      <c r="AA344" s="27">
        <v>0</v>
      </c>
      <c r="AB344" s="27">
        <v>0</v>
      </c>
      <c r="AC344" s="27">
        <v>0</v>
      </c>
      <c r="AD344" s="23">
        <f t="shared" ref="AD344:AE344" si="668">AD314</f>
        <v>24</v>
      </c>
      <c r="AE344" s="23">
        <f t="shared" si="668"/>
        <v>28</v>
      </c>
    </row>
    <row r="345" spans="1:31">
      <c r="A345" s="4">
        <v>3001</v>
      </c>
      <c r="B345" s="4">
        <v>14</v>
      </c>
      <c r="C345" s="29" t="s">
        <v>69</v>
      </c>
      <c r="D345" s="46">
        <v>0</v>
      </c>
      <c r="E345" s="18">
        <f t="shared" si="582"/>
        <v>404</v>
      </c>
      <c r="F345" s="28">
        <v>0</v>
      </c>
      <c r="G345" s="28">
        <v>0</v>
      </c>
      <c r="H345" s="47">
        <v>0</v>
      </c>
      <c r="I345" s="21">
        <f t="shared" si="551"/>
        <v>220</v>
      </c>
      <c r="J345" s="21">
        <f t="shared" si="656"/>
        <v>13</v>
      </c>
      <c r="K345" s="21">
        <v>0</v>
      </c>
      <c r="L345" s="20">
        <v>6</v>
      </c>
      <c r="M345" s="20">
        <v>0</v>
      </c>
      <c r="N345" s="20">
        <f t="shared" si="552"/>
        <v>2800</v>
      </c>
      <c r="O345" s="19" t="s">
        <v>69</v>
      </c>
      <c r="P345" s="20">
        <v>6400</v>
      </c>
      <c r="Q345" s="20">
        <f t="shared" ref="Q345:X345" si="669">Q315</f>
        <v>280</v>
      </c>
      <c r="R345" s="20">
        <f t="shared" si="669"/>
        <v>1120</v>
      </c>
      <c r="S345" s="20">
        <f t="shared" si="669"/>
        <v>1959.9999999999998</v>
      </c>
      <c r="T345" s="20">
        <f t="shared" si="669"/>
        <v>2520</v>
      </c>
      <c r="U345" s="20">
        <f t="shared" si="669"/>
        <v>100</v>
      </c>
      <c r="V345" s="20">
        <f t="shared" si="669"/>
        <v>400</v>
      </c>
      <c r="W345" s="20">
        <f t="shared" si="669"/>
        <v>1200</v>
      </c>
      <c r="X345" s="20">
        <f t="shared" si="669"/>
        <v>4</v>
      </c>
      <c r="Y345" s="27">
        <v>0</v>
      </c>
      <c r="Z345" s="20">
        <f t="shared" si="584"/>
        <v>0</v>
      </c>
      <c r="AA345" s="27">
        <v>0</v>
      </c>
      <c r="AB345" s="27">
        <v>0</v>
      </c>
      <c r="AC345" s="27">
        <v>0</v>
      </c>
      <c r="AD345" s="23">
        <f t="shared" ref="AD345:AE345" si="670">AD315</f>
        <v>26</v>
      </c>
      <c r="AE345" s="23">
        <f t="shared" si="670"/>
        <v>30</v>
      </c>
    </row>
    <row r="346" spans="1:31">
      <c r="A346" s="8">
        <v>3001</v>
      </c>
      <c r="B346" s="8">
        <v>15</v>
      </c>
      <c r="C346" s="29" t="s">
        <v>70</v>
      </c>
      <c r="D346" s="46">
        <v>0</v>
      </c>
      <c r="E346" s="18">
        <f t="shared" si="582"/>
        <v>438</v>
      </c>
      <c r="F346" s="28">
        <v>0</v>
      </c>
      <c r="G346" s="28">
        <v>0</v>
      </c>
      <c r="H346" s="47">
        <v>0</v>
      </c>
      <c r="I346" s="21">
        <f t="shared" si="551"/>
        <v>220</v>
      </c>
      <c r="J346" s="21">
        <f t="shared" si="656"/>
        <v>14</v>
      </c>
      <c r="K346" s="21">
        <v>0</v>
      </c>
      <c r="L346" s="20">
        <v>6</v>
      </c>
      <c r="M346" s="20">
        <v>0</v>
      </c>
      <c r="N346" s="20">
        <f t="shared" si="552"/>
        <v>4500</v>
      </c>
      <c r="O346" s="19" t="s">
        <v>70</v>
      </c>
      <c r="P346" s="20">
        <v>3100</v>
      </c>
      <c r="Q346" s="20">
        <f t="shared" ref="Q346:X346" si="671">Q316</f>
        <v>450</v>
      </c>
      <c r="R346" s="20">
        <f t="shared" si="671"/>
        <v>1800</v>
      </c>
      <c r="S346" s="20">
        <f t="shared" si="671"/>
        <v>3150</v>
      </c>
      <c r="T346" s="20">
        <f t="shared" si="671"/>
        <v>4050</v>
      </c>
      <c r="U346" s="20">
        <f t="shared" si="671"/>
        <v>100</v>
      </c>
      <c r="V346" s="20">
        <f t="shared" si="671"/>
        <v>1000</v>
      </c>
      <c r="W346" s="20">
        <f t="shared" si="671"/>
        <v>600</v>
      </c>
      <c r="X346" s="20">
        <f t="shared" si="671"/>
        <v>4</v>
      </c>
      <c r="Y346" s="27">
        <v>0</v>
      </c>
      <c r="Z346" s="20">
        <f t="shared" si="584"/>
        <v>0</v>
      </c>
      <c r="AA346" s="27">
        <v>0</v>
      </c>
      <c r="AB346" s="27">
        <v>0</v>
      </c>
      <c r="AC346" s="27">
        <v>0</v>
      </c>
      <c r="AD346" s="23">
        <f t="shared" ref="AD346:AE346" si="672">AD316</f>
        <v>28</v>
      </c>
      <c r="AE346" s="23">
        <f t="shared" si="672"/>
        <v>32</v>
      </c>
    </row>
    <row r="347" spans="1:31">
      <c r="A347" s="4">
        <v>3001</v>
      </c>
      <c r="B347" s="4">
        <v>16</v>
      </c>
      <c r="C347" s="29" t="s">
        <v>71</v>
      </c>
      <c r="D347" s="46">
        <v>0</v>
      </c>
      <c r="E347" s="18">
        <f t="shared" si="582"/>
        <v>474</v>
      </c>
      <c r="F347" s="28">
        <v>0</v>
      </c>
      <c r="G347" s="28">
        <v>0</v>
      </c>
      <c r="H347" s="47">
        <v>0</v>
      </c>
      <c r="I347" s="21">
        <f t="shared" si="551"/>
        <v>220</v>
      </c>
      <c r="J347" s="21">
        <f t="shared" si="656"/>
        <v>15</v>
      </c>
      <c r="K347" s="21">
        <v>0</v>
      </c>
      <c r="L347" s="20">
        <v>6</v>
      </c>
      <c r="M347" s="20">
        <v>0</v>
      </c>
      <c r="N347" s="20">
        <f t="shared" si="552"/>
        <v>4800</v>
      </c>
      <c r="O347" s="19" t="s">
        <v>71</v>
      </c>
      <c r="P347" s="20">
        <v>1777</v>
      </c>
      <c r="Q347" s="20">
        <f t="shared" ref="Q347:X347" si="673">Q317</f>
        <v>480</v>
      </c>
      <c r="R347" s="20">
        <f t="shared" si="673"/>
        <v>1920</v>
      </c>
      <c r="S347" s="20">
        <f t="shared" si="673"/>
        <v>3360</v>
      </c>
      <c r="T347" s="20">
        <f t="shared" si="673"/>
        <v>4320</v>
      </c>
      <c r="U347" s="20">
        <f t="shared" si="673"/>
        <v>100</v>
      </c>
      <c r="V347" s="20">
        <f t="shared" si="673"/>
        <v>800</v>
      </c>
      <c r="W347" s="20">
        <f t="shared" si="673"/>
        <v>800</v>
      </c>
      <c r="X347" s="20">
        <f t="shared" si="673"/>
        <v>4</v>
      </c>
      <c r="Y347" s="27">
        <v>0</v>
      </c>
      <c r="Z347" s="20">
        <f t="shared" si="584"/>
        <v>0</v>
      </c>
      <c r="AA347" s="27">
        <v>0</v>
      </c>
      <c r="AB347" s="27">
        <v>0</v>
      </c>
      <c r="AC347" s="27">
        <v>0</v>
      </c>
      <c r="AD347" s="23">
        <f t="shared" ref="AD347:AE347" si="674">AD317</f>
        <v>30</v>
      </c>
      <c r="AE347" s="23">
        <f t="shared" si="674"/>
        <v>34</v>
      </c>
    </row>
    <row r="348" spans="1:31">
      <c r="A348" s="4">
        <v>3001</v>
      </c>
      <c r="B348" s="4">
        <v>17</v>
      </c>
      <c r="C348" s="29" t="s">
        <v>72</v>
      </c>
      <c r="D348" s="46">
        <v>0</v>
      </c>
      <c r="E348" s="18">
        <f t="shared" si="582"/>
        <v>512</v>
      </c>
      <c r="F348" s="28">
        <v>0</v>
      </c>
      <c r="G348" s="28">
        <v>0</v>
      </c>
      <c r="H348" s="47">
        <v>0</v>
      </c>
      <c r="I348" s="21">
        <f t="shared" si="551"/>
        <v>275</v>
      </c>
      <c r="J348" s="21">
        <f t="shared" si="656"/>
        <v>16</v>
      </c>
      <c r="K348" s="21">
        <v>0</v>
      </c>
      <c r="L348" s="20">
        <v>6</v>
      </c>
      <c r="M348" s="20">
        <v>0</v>
      </c>
      <c r="N348" s="20">
        <f t="shared" si="552"/>
        <v>5100</v>
      </c>
      <c r="O348" s="19" t="s">
        <v>72</v>
      </c>
      <c r="P348" s="20">
        <v>2332</v>
      </c>
      <c r="Q348" s="20">
        <f t="shared" ref="Q348:X348" si="675">Q318</f>
        <v>510</v>
      </c>
      <c r="R348" s="20">
        <f t="shared" si="675"/>
        <v>2040</v>
      </c>
      <c r="S348" s="20">
        <f t="shared" si="675"/>
        <v>3570</v>
      </c>
      <c r="T348" s="20">
        <f t="shared" si="675"/>
        <v>4590</v>
      </c>
      <c r="U348" s="20">
        <f t="shared" si="675"/>
        <v>80</v>
      </c>
      <c r="V348" s="20">
        <f t="shared" si="675"/>
        <v>800</v>
      </c>
      <c r="W348" s="20">
        <f t="shared" si="675"/>
        <v>600</v>
      </c>
      <c r="X348" s="20">
        <f t="shared" si="675"/>
        <v>5</v>
      </c>
      <c r="Y348" s="27">
        <v>0</v>
      </c>
      <c r="Z348" s="20">
        <f t="shared" si="584"/>
        <v>0</v>
      </c>
      <c r="AA348" s="27">
        <v>0</v>
      </c>
      <c r="AB348" s="27">
        <v>0</v>
      </c>
      <c r="AC348" s="27">
        <v>0</v>
      </c>
      <c r="AD348" s="23">
        <f t="shared" ref="AD348:AE348" si="676">AD318</f>
        <v>32</v>
      </c>
      <c r="AE348" s="23">
        <f t="shared" si="676"/>
        <v>36</v>
      </c>
    </row>
    <row r="349" spans="1:31">
      <c r="A349" s="4">
        <v>3001</v>
      </c>
      <c r="B349" s="4">
        <v>18</v>
      </c>
      <c r="C349" s="29" t="s">
        <v>73</v>
      </c>
      <c r="D349" s="46">
        <v>0</v>
      </c>
      <c r="E349" s="18">
        <f t="shared" si="582"/>
        <v>556</v>
      </c>
      <c r="F349" s="28">
        <v>0</v>
      </c>
      <c r="G349" s="28">
        <v>0</v>
      </c>
      <c r="H349" s="47">
        <v>0</v>
      </c>
      <c r="I349" s="21">
        <f t="shared" si="551"/>
        <v>275</v>
      </c>
      <c r="J349" s="21">
        <f t="shared" si="656"/>
        <v>17</v>
      </c>
      <c r="K349" s="21">
        <v>0</v>
      </c>
      <c r="L349" s="20">
        <v>6</v>
      </c>
      <c r="M349" s="20">
        <v>0</v>
      </c>
      <c r="N349" s="20">
        <f t="shared" si="552"/>
        <v>5400</v>
      </c>
      <c r="O349" s="19" t="s">
        <v>73</v>
      </c>
      <c r="P349" s="20">
        <v>1487</v>
      </c>
      <c r="Q349" s="20">
        <f t="shared" ref="Q349:X349" si="677">Q319</f>
        <v>540</v>
      </c>
      <c r="R349" s="20">
        <f t="shared" si="677"/>
        <v>2160</v>
      </c>
      <c r="S349" s="20">
        <f t="shared" si="677"/>
        <v>3779.9999999999995</v>
      </c>
      <c r="T349" s="20">
        <f t="shared" si="677"/>
        <v>4860</v>
      </c>
      <c r="U349" s="20">
        <f t="shared" si="677"/>
        <v>100</v>
      </c>
      <c r="V349" s="20">
        <f t="shared" si="677"/>
        <v>600</v>
      </c>
      <c r="W349" s="20">
        <f t="shared" si="677"/>
        <v>300</v>
      </c>
      <c r="X349" s="20">
        <f t="shared" si="677"/>
        <v>5</v>
      </c>
      <c r="Y349" s="27">
        <v>0</v>
      </c>
      <c r="Z349" s="20">
        <f t="shared" si="584"/>
        <v>151</v>
      </c>
      <c r="AA349" s="27">
        <v>0</v>
      </c>
      <c r="AB349" s="27">
        <v>0</v>
      </c>
      <c r="AC349" s="27">
        <v>0</v>
      </c>
      <c r="AD349" s="23">
        <f t="shared" ref="AD349:AE349" si="678">AD319</f>
        <v>34</v>
      </c>
      <c r="AE349" s="23">
        <f t="shared" si="678"/>
        <v>38</v>
      </c>
    </row>
    <row r="350" spans="1:31">
      <c r="A350" s="4">
        <v>3001</v>
      </c>
      <c r="B350" s="4">
        <v>19</v>
      </c>
      <c r="C350" s="29" t="s">
        <v>74</v>
      </c>
      <c r="D350" s="46">
        <v>0</v>
      </c>
      <c r="E350" s="18">
        <f t="shared" si="582"/>
        <v>602</v>
      </c>
      <c r="F350" s="28">
        <v>0</v>
      </c>
      <c r="G350" s="28">
        <v>0</v>
      </c>
      <c r="H350" s="47">
        <v>0</v>
      </c>
      <c r="I350" s="21">
        <f t="shared" si="551"/>
        <v>275</v>
      </c>
      <c r="J350" s="21">
        <f t="shared" si="656"/>
        <v>18</v>
      </c>
      <c r="K350" s="21">
        <v>0</v>
      </c>
      <c r="L350" s="20">
        <v>6</v>
      </c>
      <c r="M350" s="20">
        <v>0</v>
      </c>
      <c r="N350" s="20">
        <f t="shared" si="552"/>
        <v>5700</v>
      </c>
      <c r="O350" s="19" t="s">
        <v>74</v>
      </c>
      <c r="P350" s="20">
        <v>1518</v>
      </c>
      <c r="Q350" s="20">
        <f t="shared" ref="Q350:X350" si="679">Q320</f>
        <v>570</v>
      </c>
      <c r="R350" s="20">
        <f t="shared" si="679"/>
        <v>2280</v>
      </c>
      <c r="S350" s="20">
        <f t="shared" si="679"/>
        <v>3989.9999999999995</v>
      </c>
      <c r="T350" s="20">
        <f t="shared" si="679"/>
        <v>5130</v>
      </c>
      <c r="U350" s="20">
        <f t="shared" si="679"/>
        <v>100</v>
      </c>
      <c r="V350" s="20">
        <f t="shared" si="679"/>
        <v>500</v>
      </c>
      <c r="W350" s="20">
        <f t="shared" si="679"/>
        <v>400</v>
      </c>
      <c r="X350" s="20">
        <f t="shared" si="679"/>
        <v>5</v>
      </c>
      <c r="Y350" s="27">
        <v>0</v>
      </c>
      <c r="Z350" s="20">
        <f t="shared" si="584"/>
        <v>0</v>
      </c>
      <c r="AA350" s="27">
        <v>0</v>
      </c>
      <c r="AB350" s="27">
        <v>0</v>
      </c>
      <c r="AC350" s="27">
        <v>0</v>
      </c>
      <c r="AD350" s="23">
        <f t="shared" ref="AD350:AE350" si="680">AD320</f>
        <v>36</v>
      </c>
      <c r="AE350" s="23">
        <f t="shared" si="680"/>
        <v>40</v>
      </c>
    </row>
    <row r="351" spans="1:31">
      <c r="A351" s="4">
        <v>3001</v>
      </c>
      <c r="B351" s="4">
        <v>20</v>
      </c>
      <c r="C351" s="29" t="s">
        <v>75</v>
      </c>
      <c r="D351" s="46">
        <v>0</v>
      </c>
      <c r="E351" s="18">
        <f t="shared" si="582"/>
        <v>650</v>
      </c>
      <c r="F351" s="28">
        <v>0</v>
      </c>
      <c r="G351" s="28">
        <v>0</v>
      </c>
      <c r="H351" s="47">
        <v>0</v>
      </c>
      <c r="I351" s="21">
        <f t="shared" si="551"/>
        <v>275</v>
      </c>
      <c r="J351" s="21">
        <f t="shared" si="656"/>
        <v>19</v>
      </c>
      <c r="K351" s="21">
        <v>0</v>
      </c>
      <c r="L351" s="20">
        <v>6</v>
      </c>
      <c r="M351" s="20">
        <v>0</v>
      </c>
      <c r="N351" s="20">
        <f t="shared" si="552"/>
        <v>8000</v>
      </c>
      <c r="O351" s="19" t="s">
        <v>75</v>
      </c>
      <c r="P351" s="20">
        <v>861</v>
      </c>
      <c r="Q351" s="20">
        <f t="shared" ref="Q351:X351" si="681">Q321</f>
        <v>800</v>
      </c>
      <c r="R351" s="20">
        <f t="shared" si="681"/>
        <v>3200</v>
      </c>
      <c r="S351" s="20">
        <f t="shared" si="681"/>
        <v>5600</v>
      </c>
      <c r="T351" s="20">
        <f t="shared" si="681"/>
        <v>7200</v>
      </c>
      <c r="U351" s="20">
        <f t="shared" si="681"/>
        <v>100</v>
      </c>
      <c r="V351" s="20">
        <f t="shared" si="681"/>
        <v>800</v>
      </c>
      <c r="W351" s="20">
        <f t="shared" si="681"/>
        <v>8000</v>
      </c>
      <c r="X351" s="20">
        <f t="shared" si="681"/>
        <v>5</v>
      </c>
      <c r="Y351" s="27">
        <v>0</v>
      </c>
      <c r="Z351" s="20">
        <f t="shared" si="584"/>
        <v>0</v>
      </c>
      <c r="AA351" s="27">
        <v>0</v>
      </c>
      <c r="AB351" s="27">
        <v>0</v>
      </c>
      <c r="AC351" s="27">
        <v>0</v>
      </c>
      <c r="AD351" s="23">
        <f t="shared" ref="AD351:AE351" si="682">AD321</f>
        <v>38</v>
      </c>
      <c r="AE351" s="23">
        <f t="shared" si="682"/>
        <v>42</v>
      </c>
    </row>
    <row r="352" spans="1:31">
      <c r="A352" s="4">
        <v>3001</v>
      </c>
      <c r="B352" s="4">
        <v>21</v>
      </c>
      <c r="C352" s="29" t="s">
        <v>66</v>
      </c>
      <c r="D352" s="46">
        <v>0</v>
      </c>
      <c r="E352" s="18">
        <f t="shared" si="582"/>
        <v>704</v>
      </c>
      <c r="F352" s="28">
        <v>0</v>
      </c>
      <c r="G352" s="28">
        <v>0</v>
      </c>
      <c r="H352" s="47">
        <v>0</v>
      </c>
      <c r="I352" s="21">
        <f t="shared" si="551"/>
        <v>330</v>
      </c>
      <c r="J352" s="21">
        <f t="shared" si="656"/>
        <v>20</v>
      </c>
      <c r="K352" s="21">
        <v>0</v>
      </c>
      <c r="L352" s="20">
        <v>6</v>
      </c>
      <c r="M352" s="20">
        <v>0</v>
      </c>
      <c r="N352" s="20">
        <f t="shared" si="552"/>
        <v>8400</v>
      </c>
      <c r="O352" s="19" t="s">
        <v>66</v>
      </c>
      <c r="P352" s="20">
        <v>9400</v>
      </c>
      <c r="Q352" s="20">
        <f t="shared" ref="Q352:X352" si="683">Q322</f>
        <v>840</v>
      </c>
      <c r="R352" s="20">
        <f t="shared" si="683"/>
        <v>3360</v>
      </c>
      <c r="S352" s="20">
        <f t="shared" si="683"/>
        <v>5880</v>
      </c>
      <c r="T352" s="20">
        <f t="shared" si="683"/>
        <v>7560</v>
      </c>
      <c r="U352" s="20">
        <f t="shared" si="683"/>
        <v>50</v>
      </c>
      <c r="V352" s="20">
        <f t="shared" si="683"/>
        <v>1000</v>
      </c>
      <c r="W352" s="20">
        <f t="shared" si="683"/>
        <v>600</v>
      </c>
      <c r="X352" s="20">
        <f t="shared" si="683"/>
        <v>6</v>
      </c>
      <c r="Y352" s="27">
        <v>0</v>
      </c>
      <c r="Z352" s="20">
        <f t="shared" si="584"/>
        <v>0</v>
      </c>
      <c r="AA352" s="27">
        <v>0</v>
      </c>
      <c r="AB352" s="27">
        <v>0</v>
      </c>
      <c r="AC352" s="27">
        <v>0</v>
      </c>
      <c r="AD352" s="23">
        <f t="shared" ref="AD352:AE352" si="684">AD322</f>
        <v>40</v>
      </c>
      <c r="AE352" s="23">
        <f t="shared" si="684"/>
        <v>44</v>
      </c>
    </row>
    <row r="353" spans="1:31">
      <c r="A353" s="4">
        <v>3001</v>
      </c>
      <c r="B353" s="4">
        <v>22</v>
      </c>
      <c r="C353" s="29" t="s">
        <v>67</v>
      </c>
      <c r="D353" s="46">
        <v>0</v>
      </c>
      <c r="E353" s="18">
        <f t="shared" si="582"/>
        <v>762</v>
      </c>
      <c r="F353" s="28">
        <v>0</v>
      </c>
      <c r="G353" s="28">
        <v>0</v>
      </c>
      <c r="H353" s="47">
        <v>0</v>
      </c>
      <c r="I353" s="21">
        <f t="shared" ref="I353:I416" si="685">I323</f>
        <v>330</v>
      </c>
      <c r="J353" s="21">
        <f t="shared" si="656"/>
        <v>21</v>
      </c>
      <c r="K353" s="21">
        <v>0</v>
      </c>
      <c r="L353" s="20">
        <v>6</v>
      </c>
      <c r="M353" s="20">
        <v>0</v>
      </c>
      <c r="N353" s="20">
        <f t="shared" ref="N353:N416" si="686">N323</f>
        <v>8800</v>
      </c>
      <c r="O353" s="19" t="s">
        <v>67</v>
      </c>
      <c r="P353" s="20">
        <v>9100</v>
      </c>
      <c r="Q353" s="20">
        <f t="shared" ref="Q353:X353" si="687">Q323</f>
        <v>880</v>
      </c>
      <c r="R353" s="20">
        <f t="shared" si="687"/>
        <v>3520</v>
      </c>
      <c r="S353" s="20">
        <f t="shared" si="687"/>
        <v>6160</v>
      </c>
      <c r="T353" s="20">
        <f t="shared" si="687"/>
        <v>7920</v>
      </c>
      <c r="U353" s="20">
        <f t="shared" si="687"/>
        <v>100</v>
      </c>
      <c r="V353" s="20">
        <f t="shared" si="687"/>
        <v>600</v>
      </c>
      <c r="W353" s="20">
        <f t="shared" si="687"/>
        <v>700</v>
      </c>
      <c r="X353" s="20">
        <f t="shared" si="687"/>
        <v>6</v>
      </c>
      <c r="Y353" s="27">
        <v>0</v>
      </c>
      <c r="Z353" s="20">
        <f t="shared" si="584"/>
        <v>0</v>
      </c>
      <c r="AA353" s="27">
        <v>0</v>
      </c>
      <c r="AB353" s="27">
        <v>0</v>
      </c>
      <c r="AC353" s="27">
        <v>0</v>
      </c>
      <c r="AD353" s="23">
        <f t="shared" ref="AD353:AE353" si="688">AD323</f>
        <v>42</v>
      </c>
      <c r="AE353" s="23">
        <f t="shared" si="688"/>
        <v>46</v>
      </c>
    </row>
    <row r="354" spans="1:31">
      <c r="A354" s="4">
        <v>3001</v>
      </c>
      <c r="B354" s="4">
        <v>23</v>
      </c>
      <c r="C354" s="29" t="s">
        <v>68</v>
      </c>
      <c r="D354" s="46">
        <v>0</v>
      </c>
      <c r="E354" s="18">
        <f t="shared" si="582"/>
        <v>826</v>
      </c>
      <c r="F354" s="28">
        <v>0</v>
      </c>
      <c r="G354" s="28">
        <v>0</v>
      </c>
      <c r="H354" s="47">
        <v>0</v>
      </c>
      <c r="I354" s="21">
        <f t="shared" si="685"/>
        <v>330</v>
      </c>
      <c r="J354" s="21">
        <f t="shared" si="656"/>
        <v>22</v>
      </c>
      <c r="K354" s="21">
        <v>0</v>
      </c>
      <c r="L354" s="20">
        <v>6</v>
      </c>
      <c r="M354" s="20">
        <v>0</v>
      </c>
      <c r="N354" s="20">
        <f t="shared" si="686"/>
        <v>9200</v>
      </c>
      <c r="O354" s="19" t="s">
        <v>68</v>
      </c>
      <c r="P354" s="20">
        <v>8600</v>
      </c>
      <c r="Q354" s="20">
        <f t="shared" ref="Q354:X354" si="689">Q324</f>
        <v>920</v>
      </c>
      <c r="R354" s="20">
        <f t="shared" si="689"/>
        <v>3680</v>
      </c>
      <c r="S354" s="20">
        <f t="shared" si="689"/>
        <v>6440</v>
      </c>
      <c r="T354" s="20">
        <f t="shared" si="689"/>
        <v>8280</v>
      </c>
      <c r="U354" s="20">
        <f t="shared" si="689"/>
        <v>100</v>
      </c>
      <c r="V354" s="20">
        <f t="shared" si="689"/>
        <v>550</v>
      </c>
      <c r="W354" s="20">
        <f t="shared" si="689"/>
        <v>500</v>
      </c>
      <c r="X354" s="20">
        <f t="shared" si="689"/>
        <v>6</v>
      </c>
      <c r="Y354" s="27">
        <v>0</v>
      </c>
      <c r="Z354" s="20">
        <f t="shared" si="584"/>
        <v>201</v>
      </c>
      <c r="AA354" s="27">
        <v>0</v>
      </c>
      <c r="AB354" s="27">
        <v>0</v>
      </c>
      <c r="AC354" s="27">
        <v>0</v>
      </c>
      <c r="AD354" s="23">
        <f t="shared" ref="AD354:AE354" si="690">AD324</f>
        <v>44</v>
      </c>
      <c r="AE354" s="23">
        <f t="shared" si="690"/>
        <v>48</v>
      </c>
    </row>
    <row r="355" spans="1:31">
      <c r="A355" s="4">
        <v>3001</v>
      </c>
      <c r="B355" s="4">
        <v>24</v>
      </c>
      <c r="C355" s="29" t="s">
        <v>69</v>
      </c>
      <c r="D355" s="46">
        <v>0</v>
      </c>
      <c r="E355" s="18">
        <f t="shared" si="582"/>
        <v>894</v>
      </c>
      <c r="F355" s="28">
        <v>0</v>
      </c>
      <c r="G355" s="28">
        <v>0</v>
      </c>
      <c r="H355" s="47">
        <v>0</v>
      </c>
      <c r="I355" s="21">
        <f t="shared" si="685"/>
        <v>330</v>
      </c>
      <c r="J355" s="21">
        <f t="shared" si="656"/>
        <v>23</v>
      </c>
      <c r="K355" s="21">
        <v>0</v>
      </c>
      <c r="L355" s="20">
        <v>6</v>
      </c>
      <c r="M355" s="20">
        <v>0</v>
      </c>
      <c r="N355" s="20">
        <f t="shared" si="686"/>
        <v>9600</v>
      </c>
      <c r="O355" s="19" t="s">
        <v>69</v>
      </c>
      <c r="P355" s="20">
        <v>6400</v>
      </c>
      <c r="Q355" s="20">
        <f t="shared" ref="Q355:X355" si="691">Q325</f>
        <v>960</v>
      </c>
      <c r="R355" s="20">
        <f t="shared" si="691"/>
        <v>3840</v>
      </c>
      <c r="S355" s="20">
        <f t="shared" si="691"/>
        <v>6720</v>
      </c>
      <c r="T355" s="20">
        <f t="shared" si="691"/>
        <v>8640</v>
      </c>
      <c r="U355" s="20">
        <f t="shared" si="691"/>
        <v>100</v>
      </c>
      <c r="V355" s="20">
        <f t="shared" si="691"/>
        <v>500</v>
      </c>
      <c r="W355" s="20">
        <f t="shared" si="691"/>
        <v>900</v>
      </c>
      <c r="X355" s="20">
        <f t="shared" si="691"/>
        <v>6</v>
      </c>
      <c r="Y355" s="27">
        <v>0</v>
      </c>
      <c r="Z355" s="20">
        <f t="shared" si="584"/>
        <v>0</v>
      </c>
      <c r="AA355" s="27">
        <v>0</v>
      </c>
      <c r="AB355" s="27">
        <v>0</v>
      </c>
      <c r="AC355" s="27">
        <v>0</v>
      </c>
      <c r="AD355" s="23">
        <f t="shared" ref="AD355:AE355" si="692">AD325</f>
        <v>46</v>
      </c>
      <c r="AE355" s="23">
        <f t="shared" si="692"/>
        <v>50</v>
      </c>
    </row>
    <row r="356" spans="1:31">
      <c r="A356" s="4">
        <v>3001</v>
      </c>
      <c r="B356" s="4">
        <v>25</v>
      </c>
      <c r="C356" s="29" t="s">
        <v>70</v>
      </c>
      <c r="D356" s="46">
        <v>0</v>
      </c>
      <c r="E356" s="18">
        <f t="shared" si="582"/>
        <v>968</v>
      </c>
      <c r="F356" s="28">
        <v>0</v>
      </c>
      <c r="G356" s="28">
        <v>0</v>
      </c>
      <c r="H356" s="47">
        <v>0</v>
      </c>
      <c r="I356" s="21">
        <f t="shared" si="685"/>
        <v>385</v>
      </c>
      <c r="J356" s="21">
        <f t="shared" si="656"/>
        <v>24</v>
      </c>
      <c r="K356" s="21">
        <v>0</v>
      </c>
      <c r="L356" s="20">
        <v>6</v>
      </c>
      <c r="M356" s="20">
        <v>0</v>
      </c>
      <c r="N356" s="20">
        <f t="shared" si="686"/>
        <v>12500</v>
      </c>
      <c r="O356" s="19" t="s">
        <v>70</v>
      </c>
      <c r="P356" s="20">
        <v>3100</v>
      </c>
      <c r="Q356" s="20">
        <f t="shared" ref="Q356:X356" si="693">Q326</f>
        <v>1250</v>
      </c>
      <c r="R356" s="20">
        <f t="shared" si="693"/>
        <v>5000</v>
      </c>
      <c r="S356" s="20">
        <f t="shared" si="693"/>
        <v>8750</v>
      </c>
      <c r="T356" s="20">
        <f t="shared" si="693"/>
        <v>11250</v>
      </c>
      <c r="U356" s="20">
        <f t="shared" si="693"/>
        <v>10</v>
      </c>
      <c r="V356" s="20">
        <f t="shared" si="693"/>
        <v>1300</v>
      </c>
      <c r="W356" s="20">
        <f t="shared" si="693"/>
        <v>1000</v>
      </c>
      <c r="X356" s="20">
        <f t="shared" si="693"/>
        <v>7</v>
      </c>
      <c r="Y356" s="27">
        <v>0</v>
      </c>
      <c r="Z356" s="20">
        <f t="shared" si="584"/>
        <v>0</v>
      </c>
      <c r="AA356" s="27">
        <v>0</v>
      </c>
      <c r="AB356" s="27">
        <v>0</v>
      </c>
      <c r="AC356" s="27">
        <v>0</v>
      </c>
      <c r="AD356" s="23">
        <f t="shared" ref="AD356:AE356" si="694">AD326</f>
        <v>48</v>
      </c>
      <c r="AE356" s="23">
        <f t="shared" si="694"/>
        <v>52</v>
      </c>
    </row>
    <row r="357" spans="1:31">
      <c r="A357" s="4">
        <v>3001</v>
      </c>
      <c r="B357" s="4">
        <v>26</v>
      </c>
      <c r="C357" s="29" t="s">
        <v>71</v>
      </c>
      <c r="D357" s="46">
        <v>0</v>
      </c>
      <c r="E357" s="18">
        <f t="shared" si="582"/>
        <v>1048</v>
      </c>
      <c r="F357" s="28">
        <v>0</v>
      </c>
      <c r="G357" s="28">
        <v>0</v>
      </c>
      <c r="H357" s="47">
        <v>0</v>
      </c>
      <c r="I357" s="21">
        <f t="shared" si="685"/>
        <v>385</v>
      </c>
      <c r="J357" s="21">
        <f t="shared" si="656"/>
        <v>25</v>
      </c>
      <c r="K357" s="21">
        <v>0</v>
      </c>
      <c r="L357" s="20">
        <v>6</v>
      </c>
      <c r="M357" s="20">
        <v>0</v>
      </c>
      <c r="N357" s="20">
        <f t="shared" si="686"/>
        <v>13000</v>
      </c>
      <c r="O357" s="19" t="s">
        <v>71</v>
      </c>
      <c r="P357" s="20">
        <v>1777</v>
      </c>
      <c r="Q357" s="20">
        <f t="shared" ref="Q357:X357" si="695">Q327</f>
        <v>1300</v>
      </c>
      <c r="R357" s="20">
        <f t="shared" si="695"/>
        <v>5200</v>
      </c>
      <c r="S357" s="20">
        <f t="shared" si="695"/>
        <v>9100</v>
      </c>
      <c r="T357" s="20">
        <f t="shared" si="695"/>
        <v>11700</v>
      </c>
      <c r="U357" s="20">
        <f t="shared" si="695"/>
        <v>90</v>
      </c>
      <c r="V357" s="20">
        <f t="shared" si="695"/>
        <v>800</v>
      </c>
      <c r="W357" s="20">
        <f t="shared" si="695"/>
        <v>2000</v>
      </c>
      <c r="X357" s="20">
        <f t="shared" si="695"/>
        <v>7</v>
      </c>
      <c r="Y357" s="27">
        <v>0</v>
      </c>
      <c r="Z357" s="20">
        <f t="shared" si="584"/>
        <v>0</v>
      </c>
      <c r="AA357" s="27">
        <v>0</v>
      </c>
      <c r="AB357" s="27">
        <v>0</v>
      </c>
      <c r="AC357" s="27">
        <v>0</v>
      </c>
      <c r="AD357" s="23">
        <f t="shared" ref="AD357:AE357" si="696">AD327</f>
        <v>50</v>
      </c>
      <c r="AE357" s="23">
        <f t="shared" si="696"/>
        <v>54</v>
      </c>
    </row>
    <row r="358" spans="1:31">
      <c r="A358" s="4">
        <v>3001</v>
      </c>
      <c r="B358" s="4">
        <v>27</v>
      </c>
      <c r="C358" s="29" t="s">
        <v>72</v>
      </c>
      <c r="D358" s="46">
        <v>0</v>
      </c>
      <c r="E358" s="18">
        <f t="shared" si="582"/>
        <v>1134</v>
      </c>
      <c r="F358" s="28">
        <v>0</v>
      </c>
      <c r="G358" s="28">
        <v>0</v>
      </c>
      <c r="H358" s="47">
        <v>0</v>
      </c>
      <c r="I358" s="21">
        <f t="shared" si="685"/>
        <v>385</v>
      </c>
      <c r="J358" s="21">
        <f t="shared" si="656"/>
        <v>26</v>
      </c>
      <c r="K358" s="21">
        <v>0</v>
      </c>
      <c r="L358" s="20">
        <v>6</v>
      </c>
      <c r="M358" s="20">
        <v>0</v>
      </c>
      <c r="N358" s="20">
        <f t="shared" si="686"/>
        <v>13500</v>
      </c>
      <c r="O358" s="19" t="s">
        <v>72</v>
      </c>
      <c r="P358" s="20">
        <v>2332</v>
      </c>
      <c r="Q358" s="20">
        <f t="shared" ref="Q358:X358" si="697">Q328</f>
        <v>1350</v>
      </c>
      <c r="R358" s="20">
        <f t="shared" si="697"/>
        <v>5400</v>
      </c>
      <c r="S358" s="20">
        <f t="shared" si="697"/>
        <v>9450</v>
      </c>
      <c r="T358" s="20">
        <f t="shared" si="697"/>
        <v>12150</v>
      </c>
      <c r="U358" s="20">
        <f t="shared" si="697"/>
        <v>80</v>
      </c>
      <c r="V358" s="20">
        <f t="shared" si="697"/>
        <v>700</v>
      </c>
      <c r="W358" s="20">
        <f t="shared" si="697"/>
        <v>800</v>
      </c>
      <c r="X358" s="20">
        <f t="shared" si="697"/>
        <v>7</v>
      </c>
      <c r="Y358" s="27">
        <v>0</v>
      </c>
      <c r="Z358" s="20">
        <f t="shared" si="584"/>
        <v>0</v>
      </c>
      <c r="AA358" s="27">
        <v>0</v>
      </c>
      <c r="AB358" s="27">
        <v>0</v>
      </c>
      <c r="AC358" s="27">
        <v>0</v>
      </c>
      <c r="AD358" s="23">
        <f t="shared" ref="AD358:AE358" si="698">AD328</f>
        <v>52</v>
      </c>
      <c r="AE358" s="23">
        <f t="shared" si="698"/>
        <v>56</v>
      </c>
    </row>
    <row r="359" spans="1:31">
      <c r="A359" s="4">
        <v>3001</v>
      </c>
      <c r="B359" s="4">
        <v>28</v>
      </c>
      <c r="C359" s="29" t="s">
        <v>73</v>
      </c>
      <c r="D359" s="46">
        <v>0</v>
      </c>
      <c r="E359" s="18">
        <f t="shared" si="582"/>
        <v>1228</v>
      </c>
      <c r="F359" s="28">
        <v>0</v>
      </c>
      <c r="G359" s="28">
        <v>0</v>
      </c>
      <c r="H359" s="47">
        <v>0</v>
      </c>
      <c r="I359" s="21">
        <f t="shared" si="685"/>
        <v>385</v>
      </c>
      <c r="J359" s="21">
        <f t="shared" si="656"/>
        <v>27</v>
      </c>
      <c r="K359" s="21">
        <v>0</v>
      </c>
      <c r="L359" s="20">
        <v>6</v>
      </c>
      <c r="M359" s="20">
        <v>0</v>
      </c>
      <c r="N359" s="20">
        <f t="shared" si="686"/>
        <v>14000</v>
      </c>
      <c r="O359" s="19" t="s">
        <v>73</v>
      </c>
      <c r="P359" s="20">
        <v>1487</v>
      </c>
      <c r="Q359" s="20">
        <f t="shared" ref="Q359:X359" si="699">Q329</f>
        <v>1400</v>
      </c>
      <c r="R359" s="20">
        <f t="shared" si="699"/>
        <v>5600</v>
      </c>
      <c r="S359" s="20">
        <f t="shared" si="699"/>
        <v>9800</v>
      </c>
      <c r="T359" s="20">
        <f t="shared" si="699"/>
        <v>12600</v>
      </c>
      <c r="U359" s="20">
        <f t="shared" si="699"/>
        <v>80</v>
      </c>
      <c r="V359" s="20">
        <f t="shared" si="699"/>
        <v>500</v>
      </c>
      <c r="W359" s="20">
        <f t="shared" si="699"/>
        <v>600</v>
      </c>
      <c r="X359" s="20">
        <f t="shared" si="699"/>
        <v>7</v>
      </c>
      <c r="Y359" s="27">
        <v>0</v>
      </c>
      <c r="Z359" s="20">
        <f t="shared" si="584"/>
        <v>252</v>
      </c>
      <c r="AA359" s="27">
        <v>0</v>
      </c>
      <c r="AB359" s="27">
        <v>0</v>
      </c>
      <c r="AC359" s="27">
        <v>0</v>
      </c>
      <c r="AD359" s="23">
        <f t="shared" ref="AD359:AE359" si="700">AD329</f>
        <v>54</v>
      </c>
      <c r="AE359" s="23">
        <f t="shared" si="700"/>
        <v>58</v>
      </c>
    </row>
    <row r="360" spans="1:31">
      <c r="A360" s="4">
        <v>3001</v>
      </c>
      <c r="B360" s="4">
        <v>29</v>
      </c>
      <c r="C360" s="29" t="s">
        <v>74</v>
      </c>
      <c r="D360" s="46">
        <v>0</v>
      </c>
      <c r="E360" s="18">
        <f t="shared" si="582"/>
        <v>1330</v>
      </c>
      <c r="F360" s="28">
        <v>0</v>
      </c>
      <c r="G360" s="28">
        <v>0</v>
      </c>
      <c r="H360" s="47">
        <v>0</v>
      </c>
      <c r="I360" s="21">
        <f t="shared" si="685"/>
        <v>440</v>
      </c>
      <c r="J360" s="21">
        <f t="shared" si="656"/>
        <v>28</v>
      </c>
      <c r="K360" s="21">
        <v>0</v>
      </c>
      <c r="L360" s="20">
        <v>6</v>
      </c>
      <c r="M360" s="20">
        <v>0</v>
      </c>
      <c r="N360" s="20">
        <f t="shared" si="686"/>
        <v>14500</v>
      </c>
      <c r="O360" s="19" t="s">
        <v>74</v>
      </c>
      <c r="P360" s="20">
        <v>1518</v>
      </c>
      <c r="Q360" s="20">
        <f t="shared" ref="Q360:X360" si="701">Q330</f>
        <v>1450</v>
      </c>
      <c r="R360" s="20">
        <f t="shared" si="701"/>
        <v>5800</v>
      </c>
      <c r="S360" s="20">
        <f t="shared" si="701"/>
        <v>10150</v>
      </c>
      <c r="T360" s="20">
        <f t="shared" si="701"/>
        <v>13050</v>
      </c>
      <c r="U360" s="20">
        <f t="shared" si="701"/>
        <v>80</v>
      </c>
      <c r="V360" s="20">
        <f t="shared" si="701"/>
        <v>600</v>
      </c>
      <c r="W360" s="20">
        <f t="shared" si="701"/>
        <v>700</v>
      </c>
      <c r="X360" s="20">
        <f t="shared" si="701"/>
        <v>8</v>
      </c>
      <c r="Y360" s="27">
        <v>0</v>
      </c>
      <c r="Z360" s="20">
        <f t="shared" si="584"/>
        <v>0</v>
      </c>
      <c r="AA360" s="27">
        <v>0</v>
      </c>
      <c r="AB360" s="27">
        <v>0</v>
      </c>
      <c r="AC360" s="27">
        <v>0</v>
      </c>
      <c r="AD360" s="23">
        <f t="shared" ref="AD360:AE360" si="702">AD330</f>
        <v>56</v>
      </c>
      <c r="AE360" s="23">
        <f t="shared" si="702"/>
        <v>60</v>
      </c>
    </row>
    <row r="361" spans="1:31">
      <c r="A361" s="4">
        <v>3001</v>
      </c>
      <c r="B361" s="4">
        <v>30</v>
      </c>
      <c r="C361" s="29" t="s">
        <v>75</v>
      </c>
      <c r="D361" s="46">
        <v>0</v>
      </c>
      <c r="E361" s="18">
        <f t="shared" si="582"/>
        <v>1440</v>
      </c>
      <c r="F361" s="28">
        <v>0</v>
      </c>
      <c r="G361" s="28">
        <v>0</v>
      </c>
      <c r="H361" s="47">
        <v>0</v>
      </c>
      <c r="I361" s="21">
        <f t="shared" si="685"/>
        <v>440</v>
      </c>
      <c r="J361" s="21">
        <f t="shared" si="656"/>
        <v>29</v>
      </c>
      <c r="K361" s="21">
        <v>0</v>
      </c>
      <c r="L361" s="20">
        <v>6</v>
      </c>
      <c r="M361" s="20">
        <v>0</v>
      </c>
      <c r="N361" s="20">
        <f t="shared" si="686"/>
        <v>15000</v>
      </c>
      <c r="O361" s="19" t="s">
        <v>75</v>
      </c>
      <c r="P361" s="20">
        <v>861</v>
      </c>
      <c r="Q361" s="20">
        <f t="shared" ref="Q361:X361" si="703">Q331</f>
        <v>1500</v>
      </c>
      <c r="R361" s="20">
        <f t="shared" si="703"/>
        <v>6000</v>
      </c>
      <c r="S361" s="20">
        <f t="shared" si="703"/>
        <v>10500</v>
      </c>
      <c r="T361" s="20">
        <f t="shared" si="703"/>
        <v>13500</v>
      </c>
      <c r="U361" s="20">
        <f t="shared" si="703"/>
        <v>20</v>
      </c>
      <c r="V361" s="20">
        <f t="shared" si="703"/>
        <v>450</v>
      </c>
      <c r="W361" s="20">
        <f t="shared" si="703"/>
        <v>1000</v>
      </c>
      <c r="X361" s="20">
        <f t="shared" si="703"/>
        <v>8</v>
      </c>
      <c r="Y361" s="27">
        <v>0</v>
      </c>
      <c r="Z361" s="20">
        <f t="shared" si="584"/>
        <v>0</v>
      </c>
      <c r="AA361" s="27">
        <v>0</v>
      </c>
      <c r="AB361" s="27">
        <v>0</v>
      </c>
      <c r="AC361" s="27">
        <v>0</v>
      </c>
      <c r="AD361" s="23">
        <f t="shared" ref="AD361:AE361" si="704">AD331</f>
        <v>58</v>
      </c>
      <c r="AE361" s="23">
        <f t="shared" si="704"/>
        <v>62</v>
      </c>
    </row>
    <row r="362" spans="1:31">
      <c r="A362" s="4">
        <v>3002</v>
      </c>
      <c r="B362" s="4">
        <v>1</v>
      </c>
      <c r="C362" s="19" t="s">
        <v>66</v>
      </c>
      <c r="D362" s="44">
        <v>0</v>
      </c>
      <c r="E362" s="18">
        <f t="shared" si="582"/>
        <v>216</v>
      </c>
      <c r="F362" s="18">
        <v>0</v>
      </c>
      <c r="G362" s="18">
        <v>0</v>
      </c>
      <c r="H362" s="45">
        <v>0</v>
      </c>
      <c r="I362" s="21">
        <f t="shared" si="685"/>
        <v>55</v>
      </c>
      <c r="J362" s="21">
        <f t="shared" si="656"/>
        <v>0</v>
      </c>
      <c r="K362" s="21">
        <v>0</v>
      </c>
      <c r="L362" s="20">
        <v>45</v>
      </c>
      <c r="M362" s="20">
        <v>0</v>
      </c>
      <c r="N362" s="20">
        <f t="shared" si="686"/>
        <v>10</v>
      </c>
      <c r="O362" s="19" t="s">
        <v>66</v>
      </c>
      <c r="P362" s="20">
        <v>9400</v>
      </c>
      <c r="Q362" s="20">
        <f t="shared" ref="Q362:X362" si="705">Q332</f>
        <v>1</v>
      </c>
      <c r="R362" s="20">
        <f t="shared" si="705"/>
        <v>4</v>
      </c>
      <c r="S362" s="20">
        <f t="shared" si="705"/>
        <v>7</v>
      </c>
      <c r="T362" s="20">
        <f t="shared" si="705"/>
        <v>9</v>
      </c>
      <c r="U362" s="20">
        <f t="shared" si="705"/>
        <v>9400</v>
      </c>
      <c r="V362" s="20">
        <f t="shared" si="705"/>
        <v>9400</v>
      </c>
      <c r="W362" s="20">
        <f t="shared" si="705"/>
        <v>9400</v>
      </c>
      <c r="X362" s="20">
        <f t="shared" si="705"/>
        <v>1</v>
      </c>
      <c r="Y362" s="20">
        <v>0</v>
      </c>
      <c r="Z362" s="20">
        <f t="shared" si="584"/>
        <v>0</v>
      </c>
      <c r="AA362" s="20">
        <v>0</v>
      </c>
      <c r="AB362" s="20">
        <v>0</v>
      </c>
      <c r="AC362" s="20">
        <v>0</v>
      </c>
      <c r="AD362" s="23">
        <f t="shared" ref="AD362:AE362" si="706">AD332</f>
        <v>1</v>
      </c>
      <c r="AE362" s="23">
        <f t="shared" si="706"/>
        <v>3</v>
      </c>
    </row>
    <row r="363" spans="1:31">
      <c r="A363" s="4">
        <v>3002</v>
      </c>
      <c r="B363" s="4">
        <v>2</v>
      </c>
      <c r="C363" s="19" t="s">
        <v>67</v>
      </c>
      <c r="D363" s="44">
        <v>0</v>
      </c>
      <c r="E363" s="18">
        <f t="shared" si="582"/>
        <v>234</v>
      </c>
      <c r="F363" s="18">
        <v>0</v>
      </c>
      <c r="G363" s="18">
        <v>0</v>
      </c>
      <c r="H363" s="45">
        <v>0</v>
      </c>
      <c r="I363" s="21">
        <f t="shared" si="685"/>
        <v>55</v>
      </c>
      <c r="J363" s="21">
        <f t="shared" si="656"/>
        <v>1</v>
      </c>
      <c r="K363" s="21">
        <v>0</v>
      </c>
      <c r="L363" s="20">
        <v>40</v>
      </c>
      <c r="M363" s="20">
        <v>0</v>
      </c>
      <c r="N363" s="20">
        <f t="shared" si="686"/>
        <v>20</v>
      </c>
      <c r="O363" s="19" t="s">
        <v>67</v>
      </c>
      <c r="P363" s="20">
        <v>9100</v>
      </c>
      <c r="Q363" s="20">
        <f t="shared" ref="Q363:X363" si="707">Q333</f>
        <v>2</v>
      </c>
      <c r="R363" s="20">
        <f t="shared" si="707"/>
        <v>8</v>
      </c>
      <c r="S363" s="20">
        <f t="shared" si="707"/>
        <v>14</v>
      </c>
      <c r="T363" s="20">
        <f t="shared" si="707"/>
        <v>18</v>
      </c>
      <c r="U363" s="20">
        <f t="shared" si="707"/>
        <v>4000</v>
      </c>
      <c r="V363" s="20">
        <f t="shared" si="707"/>
        <v>8000</v>
      </c>
      <c r="W363" s="20">
        <f t="shared" si="707"/>
        <v>8000</v>
      </c>
      <c r="X363" s="20">
        <f t="shared" si="707"/>
        <v>1</v>
      </c>
      <c r="Y363" s="20">
        <v>0</v>
      </c>
      <c r="Z363" s="20">
        <f t="shared" si="584"/>
        <v>0</v>
      </c>
      <c r="AA363" s="20">
        <v>0</v>
      </c>
      <c r="AB363" s="20">
        <v>0</v>
      </c>
      <c r="AC363" s="20">
        <v>0</v>
      </c>
      <c r="AD363" s="23">
        <f t="shared" ref="AD363:AE363" si="708">AD333</f>
        <v>2</v>
      </c>
      <c r="AE363" s="23">
        <f t="shared" si="708"/>
        <v>5</v>
      </c>
    </row>
    <row r="364" spans="1:31">
      <c r="A364" s="4">
        <v>3002</v>
      </c>
      <c r="B364" s="4">
        <v>3</v>
      </c>
      <c r="C364" s="19" t="s">
        <v>68</v>
      </c>
      <c r="D364" s="44">
        <v>0</v>
      </c>
      <c r="E364" s="18">
        <f t="shared" si="582"/>
        <v>252</v>
      </c>
      <c r="F364" s="18">
        <v>0</v>
      </c>
      <c r="G364" s="18">
        <v>0</v>
      </c>
      <c r="H364" s="45">
        <v>0</v>
      </c>
      <c r="I364" s="21">
        <f t="shared" si="685"/>
        <v>55</v>
      </c>
      <c r="J364" s="21">
        <f t="shared" si="656"/>
        <v>2</v>
      </c>
      <c r="K364" s="21">
        <v>0</v>
      </c>
      <c r="L364" s="20">
        <v>35</v>
      </c>
      <c r="M364" s="20">
        <v>0</v>
      </c>
      <c r="N364" s="20">
        <f t="shared" si="686"/>
        <v>40</v>
      </c>
      <c r="O364" s="19" t="s">
        <v>68</v>
      </c>
      <c r="P364" s="20">
        <v>8600</v>
      </c>
      <c r="Q364" s="20">
        <f t="shared" ref="Q364:X364" si="709">Q334</f>
        <v>4</v>
      </c>
      <c r="R364" s="20">
        <f t="shared" si="709"/>
        <v>16</v>
      </c>
      <c r="S364" s="20">
        <f t="shared" si="709"/>
        <v>28</v>
      </c>
      <c r="T364" s="20">
        <f t="shared" si="709"/>
        <v>36</v>
      </c>
      <c r="U364" s="20">
        <f t="shared" si="709"/>
        <v>1600</v>
      </c>
      <c r="V364" s="20">
        <f t="shared" si="709"/>
        <v>5000</v>
      </c>
      <c r="W364" s="20">
        <f t="shared" si="709"/>
        <v>6000</v>
      </c>
      <c r="X364" s="20">
        <f t="shared" si="709"/>
        <v>1</v>
      </c>
      <c r="Y364" s="20">
        <v>0</v>
      </c>
      <c r="Z364" s="20">
        <f t="shared" si="584"/>
        <v>0</v>
      </c>
      <c r="AA364" s="20">
        <v>0</v>
      </c>
      <c r="AB364" s="20">
        <v>0</v>
      </c>
      <c r="AC364" s="20">
        <v>0</v>
      </c>
      <c r="AD364" s="23">
        <f t="shared" ref="AD364:AE364" si="710">AD334</f>
        <v>4</v>
      </c>
      <c r="AE364" s="23">
        <f t="shared" si="710"/>
        <v>8</v>
      </c>
    </row>
    <row r="365" spans="1:31">
      <c r="A365" s="4">
        <v>3002</v>
      </c>
      <c r="B365" s="4">
        <v>4</v>
      </c>
      <c r="C365" s="19" t="s">
        <v>69</v>
      </c>
      <c r="D365" s="44">
        <v>0</v>
      </c>
      <c r="E365" s="18">
        <f t="shared" si="582"/>
        <v>273</v>
      </c>
      <c r="F365" s="18">
        <v>0</v>
      </c>
      <c r="G365" s="18">
        <v>0</v>
      </c>
      <c r="H365" s="45">
        <v>0</v>
      </c>
      <c r="I365" s="21">
        <f t="shared" si="685"/>
        <v>55</v>
      </c>
      <c r="J365" s="21">
        <f t="shared" si="656"/>
        <v>3</v>
      </c>
      <c r="K365" s="21">
        <v>0</v>
      </c>
      <c r="L365" s="20">
        <v>30</v>
      </c>
      <c r="M365" s="20">
        <v>0</v>
      </c>
      <c r="N365" s="20">
        <f t="shared" si="686"/>
        <v>100</v>
      </c>
      <c r="O365" s="19" t="s">
        <v>69</v>
      </c>
      <c r="P365" s="20">
        <v>6400</v>
      </c>
      <c r="Q365" s="20">
        <f t="shared" ref="Q365:X365" si="711">Q335</f>
        <v>10</v>
      </c>
      <c r="R365" s="20">
        <f t="shared" si="711"/>
        <v>40</v>
      </c>
      <c r="S365" s="20">
        <f t="shared" si="711"/>
        <v>70</v>
      </c>
      <c r="T365" s="20">
        <f t="shared" si="711"/>
        <v>90</v>
      </c>
      <c r="U365" s="20">
        <f t="shared" si="711"/>
        <v>900</v>
      </c>
      <c r="V365" s="20">
        <f t="shared" si="711"/>
        <v>2000</v>
      </c>
      <c r="W365" s="20">
        <f t="shared" si="711"/>
        <v>8000</v>
      </c>
      <c r="X365" s="20">
        <f t="shared" si="711"/>
        <v>1</v>
      </c>
      <c r="Y365" s="20">
        <v>0</v>
      </c>
      <c r="Z365" s="20">
        <f t="shared" si="584"/>
        <v>0</v>
      </c>
      <c r="AA365" s="20">
        <v>0</v>
      </c>
      <c r="AB365" s="20">
        <v>0</v>
      </c>
      <c r="AC365" s="20">
        <v>0</v>
      </c>
      <c r="AD365" s="23">
        <f t="shared" ref="AD365:AE365" si="712">AD335</f>
        <v>6</v>
      </c>
      <c r="AE365" s="23">
        <f t="shared" si="712"/>
        <v>10</v>
      </c>
    </row>
    <row r="366" spans="1:31">
      <c r="A366" s="4">
        <v>3002</v>
      </c>
      <c r="B366" s="4">
        <v>5</v>
      </c>
      <c r="C366" s="19" t="s">
        <v>70</v>
      </c>
      <c r="D366" s="44">
        <v>0</v>
      </c>
      <c r="E366" s="18">
        <f t="shared" si="582"/>
        <v>297</v>
      </c>
      <c r="F366" s="18">
        <v>0</v>
      </c>
      <c r="G366" s="18">
        <v>0</v>
      </c>
      <c r="H366" s="45">
        <v>0</v>
      </c>
      <c r="I366" s="21">
        <f t="shared" si="685"/>
        <v>110</v>
      </c>
      <c r="J366" s="21">
        <f t="shared" si="656"/>
        <v>4</v>
      </c>
      <c r="K366" s="21">
        <v>0</v>
      </c>
      <c r="L366" s="20">
        <v>25</v>
      </c>
      <c r="M366" s="20">
        <v>0</v>
      </c>
      <c r="N366" s="20">
        <f t="shared" si="686"/>
        <v>200</v>
      </c>
      <c r="O366" s="19" t="s">
        <v>70</v>
      </c>
      <c r="P366" s="20">
        <v>3100</v>
      </c>
      <c r="Q366" s="20">
        <f t="shared" ref="Q366:X366" si="713">Q336</f>
        <v>20</v>
      </c>
      <c r="R366" s="20">
        <f t="shared" si="713"/>
        <v>80</v>
      </c>
      <c r="S366" s="20">
        <f t="shared" si="713"/>
        <v>140</v>
      </c>
      <c r="T366" s="20">
        <f t="shared" si="713"/>
        <v>180</v>
      </c>
      <c r="U366" s="20">
        <f t="shared" si="713"/>
        <v>1000</v>
      </c>
      <c r="V366" s="20">
        <f t="shared" si="713"/>
        <v>2000</v>
      </c>
      <c r="W366" s="20">
        <f t="shared" si="713"/>
        <v>2000</v>
      </c>
      <c r="X366" s="20">
        <f t="shared" si="713"/>
        <v>2</v>
      </c>
      <c r="Y366" s="20">
        <v>0</v>
      </c>
      <c r="Z366" s="20">
        <f t="shared" si="584"/>
        <v>0</v>
      </c>
      <c r="AA366" s="20">
        <v>0</v>
      </c>
      <c r="AB366" s="20">
        <v>0</v>
      </c>
      <c r="AC366" s="20">
        <v>0</v>
      </c>
      <c r="AD366" s="23">
        <f t="shared" ref="AD366:AE366" si="714">AD336</f>
        <v>8</v>
      </c>
      <c r="AE366" s="23">
        <f t="shared" si="714"/>
        <v>12</v>
      </c>
    </row>
    <row r="367" spans="1:31">
      <c r="A367" s="4">
        <v>3002</v>
      </c>
      <c r="B367" s="4">
        <v>6</v>
      </c>
      <c r="C367" s="19" t="s">
        <v>71</v>
      </c>
      <c r="D367" s="44">
        <v>0</v>
      </c>
      <c r="E367" s="18">
        <f t="shared" ref="E367:E430" si="715">E217</f>
        <v>321</v>
      </c>
      <c r="F367" s="18">
        <v>0</v>
      </c>
      <c r="G367" s="18">
        <v>0</v>
      </c>
      <c r="H367" s="45">
        <v>0</v>
      </c>
      <c r="I367" s="21">
        <f t="shared" si="685"/>
        <v>110</v>
      </c>
      <c r="J367" s="21">
        <f t="shared" si="656"/>
        <v>5</v>
      </c>
      <c r="K367" s="21">
        <v>0</v>
      </c>
      <c r="L367" s="20">
        <v>20</v>
      </c>
      <c r="M367" s="20">
        <v>0</v>
      </c>
      <c r="N367" s="20">
        <f t="shared" si="686"/>
        <v>500</v>
      </c>
      <c r="O367" s="19" t="s">
        <v>71</v>
      </c>
      <c r="P367" s="20">
        <v>1777</v>
      </c>
      <c r="Q367" s="20">
        <f t="shared" ref="Q367:X367" si="716">Q337</f>
        <v>50</v>
      </c>
      <c r="R367" s="20">
        <f t="shared" si="716"/>
        <v>200</v>
      </c>
      <c r="S367" s="20">
        <f t="shared" si="716"/>
        <v>350</v>
      </c>
      <c r="T367" s="20">
        <f t="shared" si="716"/>
        <v>450</v>
      </c>
      <c r="U367" s="20">
        <f t="shared" si="716"/>
        <v>800</v>
      </c>
      <c r="V367" s="20">
        <f t="shared" si="716"/>
        <v>800</v>
      </c>
      <c r="W367" s="20">
        <f t="shared" si="716"/>
        <v>600</v>
      </c>
      <c r="X367" s="20">
        <f t="shared" si="716"/>
        <v>2</v>
      </c>
      <c r="Y367" s="20">
        <v>0</v>
      </c>
      <c r="Z367" s="20">
        <f t="shared" ref="Z367:Z430" si="717">Z217</f>
        <v>0</v>
      </c>
      <c r="AA367" s="20">
        <v>0</v>
      </c>
      <c r="AB367" s="20">
        <v>0</v>
      </c>
      <c r="AC367" s="20">
        <v>0</v>
      </c>
      <c r="AD367" s="23">
        <f t="shared" ref="AD367:AE367" si="718">AD337</f>
        <v>10</v>
      </c>
      <c r="AE367" s="23">
        <f t="shared" si="718"/>
        <v>14</v>
      </c>
    </row>
    <row r="368" spans="1:31">
      <c r="A368" s="8">
        <v>3002</v>
      </c>
      <c r="B368" s="8">
        <v>7</v>
      </c>
      <c r="C368" s="19" t="s">
        <v>72</v>
      </c>
      <c r="D368" s="44">
        <v>0</v>
      </c>
      <c r="E368" s="18">
        <f t="shared" si="715"/>
        <v>348</v>
      </c>
      <c r="F368" s="18">
        <v>0</v>
      </c>
      <c r="G368" s="18">
        <v>0</v>
      </c>
      <c r="H368" s="45">
        <v>0</v>
      </c>
      <c r="I368" s="21">
        <f t="shared" si="685"/>
        <v>110</v>
      </c>
      <c r="J368" s="21">
        <f t="shared" si="656"/>
        <v>6</v>
      </c>
      <c r="K368" s="21">
        <v>0</v>
      </c>
      <c r="L368" s="20">
        <v>16</v>
      </c>
      <c r="M368" s="20">
        <v>0</v>
      </c>
      <c r="N368" s="20">
        <f t="shared" si="686"/>
        <v>700</v>
      </c>
      <c r="O368" s="19" t="s">
        <v>72</v>
      </c>
      <c r="P368" s="20">
        <v>2332</v>
      </c>
      <c r="Q368" s="20">
        <f t="shared" ref="Q368:X368" si="719">Q338</f>
        <v>70</v>
      </c>
      <c r="R368" s="20">
        <f t="shared" si="719"/>
        <v>280</v>
      </c>
      <c r="S368" s="20">
        <f t="shared" si="719"/>
        <v>489.99999999999994</v>
      </c>
      <c r="T368" s="20">
        <f t="shared" si="719"/>
        <v>630</v>
      </c>
      <c r="U368" s="20">
        <f t="shared" si="719"/>
        <v>650</v>
      </c>
      <c r="V368" s="20">
        <f t="shared" si="719"/>
        <v>800</v>
      </c>
      <c r="W368" s="20">
        <f t="shared" si="719"/>
        <v>300</v>
      </c>
      <c r="X368" s="20">
        <f t="shared" si="719"/>
        <v>2</v>
      </c>
      <c r="Y368" s="20">
        <v>0</v>
      </c>
      <c r="Z368" s="20">
        <f t="shared" si="717"/>
        <v>0</v>
      </c>
      <c r="AA368" s="20">
        <v>0</v>
      </c>
      <c r="AB368" s="20">
        <v>0</v>
      </c>
      <c r="AC368" s="20">
        <v>0</v>
      </c>
      <c r="AD368" s="23">
        <f t="shared" ref="AD368:AE368" si="720">AD338</f>
        <v>12</v>
      </c>
      <c r="AE368" s="23">
        <f t="shared" si="720"/>
        <v>16</v>
      </c>
    </row>
    <row r="369" spans="1:31">
      <c r="A369" s="4">
        <v>3002</v>
      </c>
      <c r="B369" s="4">
        <v>8</v>
      </c>
      <c r="C369" s="19" t="s">
        <v>73</v>
      </c>
      <c r="D369" s="44">
        <v>0</v>
      </c>
      <c r="E369" s="18">
        <f t="shared" si="715"/>
        <v>378</v>
      </c>
      <c r="F369" s="18">
        <v>0</v>
      </c>
      <c r="G369" s="18">
        <v>0</v>
      </c>
      <c r="H369" s="45">
        <v>0</v>
      </c>
      <c r="I369" s="21">
        <f t="shared" si="685"/>
        <v>110</v>
      </c>
      <c r="J369" s="21">
        <f t="shared" si="656"/>
        <v>7</v>
      </c>
      <c r="K369" s="21">
        <v>0</v>
      </c>
      <c r="L369" s="20">
        <v>12</v>
      </c>
      <c r="M369" s="20">
        <v>0</v>
      </c>
      <c r="N369" s="20">
        <f t="shared" si="686"/>
        <v>800</v>
      </c>
      <c r="O369" s="19" t="s">
        <v>73</v>
      </c>
      <c r="P369" s="20">
        <v>1487</v>
      </c>
      <c r="Q369" s="20">
        <f t="shared" ref="Q369:X369" si="721">Q339</f>
        <v>80</v>
      </c>
      <c r="R369" s="20">
        <f t="shared" si="721"/>
        <v>320</v>
      </c>
      <c r="S369" s="20">
        <f t="shared" si="721"/>
        <v>560</v>
      </c>
      <c r="T369" s="20">
        <f t="shared" si="721"/>
        <v>720</v>
      </c>
      <c r="U369" s="20">
        <f t="shared" si="721"/>
        <v>200</v>
      </c>
      <c r="V369" s="20">
        <f t="shared" si="721"/>
        <v>2000</v>
      </c>
      <c r="W369" s="20">
        <f t="shared" si="721"/>
        <v>1000</v>
      </c>
      <c r="X369" s="20">
        <f t="shared" si="721"/>
        <v>2</v>
      </c>
      <c r="Y369" s="20">
        <v>0</v>
      </c>
      <c r="Z369" s="20">
        <f t="shared" si="717"/>
        <v>57</v>
      </c>
      <c r="AA369" s="20">
        <v>0</v>
      </c>
      <c r="AB369" s="20">
        <v>0</v>
      </c>
      <c r="AC369" s="20">
        <v>0</v>
      </c>
      <c r="AD369" s="23">
        <f t="shared" ref="AD369:AE369" si="722">AD339</f>
        <v>14</v>
      </c>
      <c r="AE369" s="23">
        <f t="shared" si="722"/>
        <v>18</v>
      </c>
    </row>
    <row r="370" spans="1:31">
      <c r="A370" s="4">
        <v>3002</v>
      </c>
      <c r="B370" s="4">
        <v>9</v>
      </c>
      <c r="C370" s="19" t="s">
        <v>74</v>
      </c>
      <c r="D370" s="44">
        <v>0</v>
      </c>
      <c r="E370" s="18">
        <f t="shared" si="715"/>
        <v>408</v>
      </c>
      <c r="F370" s="18">
        <v>0</v>
      </c>
      <c r="G370" s="18">
        <v>0</v>
      </c>
      <c r="H370" s="45">
        <v>0</v>
      </c>
      <c r="I370" s="21">
        <f t="shared" si="685"/>
        <v>165</v>
      </c>
      <c r="J370" s="21">
        <f t="shared" si="656"/>
        <v>8</v>
      </c>
      <c r="K370" s="21">
        <v>0</v>
      </c>
      <c r="L370" s="20">
        <v>8</v>
      </c>
      <c r="M370" s="20">
        <v>0</v>
      </c>
      <c r="N370" s="20">
        <f t="shared" si="686"/>
        <v>900</v>
      </c>
      <c r="O370" s="19" t="s">
        <v>74</v>
      </c>
      <c r="P370" s="20">
        <v>1518</v>
      </c>
      <c r="Q370" s="20">
        <f t="shared" ref="Q370:X370" si="723">Q340</f>
        <v>90</v>
      </c>
      <c r="R370" s="20">
        <f t="shared" si="723"/>
        <v>360</v>
      </c>
      <c r="S370" s="20">
        <f t="shared" si="723"/>
        <v>630</v>
      </c>
      <c r="T370" s="20">
        <f t="shared" si="723"/>
        <v>810</v>
      </c>
      <c r="U370" s="20">
        <f t="shared" si="723"/>
        <v>120</v>
      </c>
      <c r="V370" s="20">
        <f t="shared" si="723"/>
        <v>1500</v>
      </c>
      <c r="W370" s="20">
        <f t="shared" si="723"/>
        <v>1000</v>
      </c>
      <c r="X370" s="20">
        <f t="shared" si="723"/>
        <v>3</v>
      </c>
      <c r="Y370" s="20">
        <v>0</v>
      </c>
      <c r="Z370" s="20">
        <f t="shared" si="717"/>
        <v>0</v>
      </c>
      <c r="AA370" s="20">
        <v>0</v>
      </c>
      <c r="AB370" s="20">
        <v>0</v>
      </c>
      <c r="AC370" s="20">
        <v>0</v>
      </c>
      <c r="AD370" s="23">
        <f t="shared" ref="AD370:AE370" si="724">AD340</f>
        <v>16</v>
      </c>
      <c r="AE370" s="23">
        <f t="shared" si="724"/>
        <v>20</v>
      </c>
    </row>
    <row r="371" spans="1:31">
      <c r="A371" s="4">
        <v>3002</v>
      </c>
      <c r="B371" s="4">
        <v>10</v>
      </c>
      <c r="C371" s="19" t="s">
        <v>75</v>
      </c>
      <c r="D371" s="44">
        <v>0</v>
      </c>
      <c r="E371" s="18">
        <f t="shared" si="715"/>
        <v>441</v>
      </c>
      <c r="F371" s="18">
        <v>0</v>
      </c>
      <c r="G371" s="18">
        <v>0</v>
      </c>
      <c r="H371" s="45">
        <v>0</v>
      </c>
      <c r="I371" s="21">
        <f t="shared" si="685"/>
        <v>165</v>
      </c>
      <c r="J371" s="21">
        <f t="shared" si="656"/>
        <v>9</v>
      </c>
      <c r="K371" s="21">
        <v>0</v>
      </c>
      <c r="L371" s="20">
        <v>6</v>
      </c>
      <c r="M371" s="20">
        <v>0</v>
      </c>
      <c r="N371" s="20">
        <f t="shared" si="686"/>
        <v>2000</v>
      </c>
      <c r="O371" s="19" t="s">
        <v>75</v>
      </c>
      <c r="P371" s="20">
        <v>861</v>
      </c>
      <c r="Q371" s="20">
        <f t="shared" ref="Q371:X371" si="725">Q341</f>
        <v>200</v>
      </c>
      <c r="R371" s="20">
        <f t="shared" si="725"/>
        <v>800</v>
      </c>
      <c r="S371" s="20">
        <f t="shared" si="725"/>
        <v>1400</v>
      </c>
      <c r="T371" s="20">
        <f t="shared" si="725"/>
        <v>1800</v>
      </c>
      <c r="U371" s="20">
        <f t="shared" si="725"/>
        <v>150</v>
      </c>
      <c r="V371" s="20">
        <f t="shared" si="725"/>
        <v>5000</v>
      </c>
      <c r="W371" s="20">
        <f t="shared" si="725"/>
        <v>800</v>
      </c>
      <c r="X371" s="20">
        <f t="shared" si="725"/>
        <v>3</v>
      </c>
      <c r="Y371" s="20">
        <v>0</v>
      </c>
      <c r="Z371" s="20">
        <f t="shared" si="717"/>
        <v>0</v>
      </c>
      <c r="AA371" s="20">
        <v>0</v>
      </c>
      <c r="AB371" s="20">
        <v>0</v>
      </c>
      <c r="AC371" s="20">
        <v>0</v>
      </c>
      <c r="AD371" s="23">
        <f t="shared" ref="AD371:AE371" si="726">AD341</f>
        <v>18</v>
      </c>
      <c r="AE371" s="23">
        <f t="shared" si="726"/>
        <v>22</v>
      </c>
    </row>
    <row r="372" spans="1:31">
      <c r="A372" s="4">
        <v>3002</v>
      </c>
      <c r="B372" s="4">
        <v>11</v>
      </c>
      <c r="C372" s="19" t="s">
        <v>66</v>
      </c>
      <c r="D372" s="44">
        <v>0</v>
      </c>
      <c r="E372" s="18">
        <f t="shared" si="715"/>
        <v>477</v>
      </c>
      <c r="F372" s="18">
        <v>0</v>
      </c>
      <c r="G372" s="18">
        <v>0</v>
      </c>
      <c r="H372" s="45">
        <v>0</v>
      </c>
      <c r="I372" s="21">
        <f t="shared" si="685"/>
        <v>165</v>
      </c>
      <c r="J372" s="21">
        <f t="shared" si="656"/>
        <v>10</v>
      </c>
      <c r="K372" s="21">
        <v>0</v>
      </c>
      <c r="L372" s="20">
        <v>6</v>
      </c>
      <c r="M372" s="20">
        <v>0</v>
      </c>
      <c r="N372" s="20">
        <f t="shared" si="686"/>
        <v>2200</v>
      </c>
      <c r="O372" s="19" t="s">
        <v>66</v>
      </c>
      <c r="P372" s="20">
        <v>9400</v>
      </c>
      <c r="Q372" s="20">
        <f t="shared" ref="Q372:X372" si="727">Q342</f>
        <v>220</v>
      </c>
      <c r="R372" s="20">
        <f t="shared" si="727"/>
        <v>880</v>
      </c>
      <c r="S372" s="20">
        <f t="shared" si="727"/>
        <v>1540</v>
      </c>
      <c r="T372" s="20">
        <f t="shared" si="727"/>
        <v>1980</v>
      </c>
      <c r="U372" s="20">
        <f t="shared" si="727"/>
        <v>100</v>
      </c>
      <c r="V372" s="20">
        <f t="shared" si="727"/>
        <v>800</v>
      </c>
      <c r="W372" s="20">
        <f t="shared" si="727"/>
        <v>600</v>
      </c>
      <c r="X372" s="20">
        <f t="shared" si="727"/>
        <v>3</v>
      </c>
      <c r="Y372" s="20">
        <v>0</v>
      </c>
      <c r="Z372" s="20">
        <f t="shared" si="717"/>
        <v>0</v>
      </c>
      <c r="AA372" s="20">
        <v>0</v>
      </c>
      <c r="AB372" s="20">
        <v>0</v>
      </c>
      <c r="AC372" s="20">
        <v>0</v>
      </c>
      <c r="AD372" s="23">
        <f t="shared" ref="AD372:AE372" si="728">AD342</f>
        <v>20</v>
      </c>
      <c r="AE372" s="23">
        <f t="shared" si="728"/>
        <v>24</v>
      </c>
    </row>
    <row r="373" spans="1:31">
      <c r="A373" s="4">
        <v>3002</v>
      </c>
      <c r="B373" s="4">
        <v>12</v>
      </c>
      <c r="C373" s="19" t="s">
        <v>67</v>
      </c>
      <c r="D373" s="44">
        <v>0</v>
      </c>
      <c r="E373" s="18">
        <f t="shared" si="715"/>
        <v>516</v>
      </c>
      <c r="F373" s="18">
        <v>0</v>
      </c>
      <c r="G373" s="18">
        <v>0</v>
      </c>
      <c r="H373" s="45">
        <v>0</v>
      </c>
      <c r="I373" s="21">
        <f t="shared" si="685"/>
        <v>165</v>
      </c>
      <c r="J373" s="21">
        <f t="shared" si="656"/>
        <v>11</v>
      </c>
      <c r="K373" s="21">
        <v>0</v>
      </c>
      <c r="L373" s="20">
        <v>6</v>
      </c>
      <c r="M373" s="20">
        <v>0</v>
      </c>
      <c r="N373" s="20">
        <f t="shared" si="686"/>
        <v>2400</v>
      </c>
      <c r="O373" s="19" t="s">
        <v>67</v>
      </c>
      <c r="P373" s="20">
        <v>9100</v>
      </c>
      <c r="Q373" s="20">
        <f t="shared" ref="Q373:X373" si="729">Q343</f>
        <v>240</v>
      </c>
      <c r="R373" s="20">
        <f t="shared" si="729"/>
        <v>960</v>
      </c>
      <c r="S373" s="20">
        <f t="shared" si="729"/>
        <v>1680</v>
      </c>
      <c r="T373" s="20">
        <f t="shared" si="729"/>
        <v>2160</v>
      </c>
      <c r="U373" s="20">
        <f t="shared" si="729"/>
        <v>150</v>
      </c>
      <c r="V373" s="20">
        <f t="shared" si="729"/>
        <v>700</v>
      </c>
      <c r="W373" s="20">
        <f t="shared" si="729"/>
        <v>900</v>
      </c>
      <c r="X373" s="20">
        <f t="shared" si="729"/>
        <v>3</v>
      </c>
      <c r="Y373" s="20">
        <v>0</v>
      </c>
      <c r="Z373" s="20">
        <f t="shared" si="717"/>
        <v>0</v>
      </c>
      <c r="AA373" s="20">
        <v>0</v>
      </c>
      <c r="AB373" s="20">
        <v>0</v>
      </c>
      <c r="AC373" s="20">
        <v>0</v>
      </c>
      <c r="AD373" s="23">
        <f t="shared" ref="AD373:AE373" si="730">AD343</f>
        <v>22</v>
      </c>
      <c r="AE373" s="23">
        <f t="shared" si="730"/>
        <v>26</v>
      </c>
    </row>
    <row r="374" spans="1:31">
      <c r="A374" s="4">
        <v>3002</v>
      </c>
      <c r="B374" s="4">
        <v>13</v>
      </c>
      <c r="C374" s="19" t="s">
        <v>68</v>
      </c>
      <c r="D374" s="44">
        <v>0</v>
      </c>
      <c r="E374" s="18">
        <f t="shared" si="715"/>
        <v>561</v>
      </c>
      <c r="F374" s="18">
        <v>0</v>
      </c>
      <c r="G374" s="18">
        <v>0</v>
      </c>
      <c r="H374" s="45">
        <v>0</v>
      </c>
      <c r="I374" s="21">
        <f t="shared" si="685"/>
        <v>220</v>
      </c>
      <c r="J374" s="21">
        <f t="shared" si="656"/>
        <v>12</v>
      </c>
      <c r="K374" s="21">
        <v>0</v>
      </c>
      <c r="L374" s="20">
        <v>6</v>
      </c>
      <c r="M374" s="20">
        <v>0</v>
      </c>
      <c r="N374" s="20">
        <f t="shared" si="686"/>
        <v>2600</v>
      </c>
      <c r="O374" s="19" t="s">
        <v>68</v>
      </c>
      <c r="P374" s="20">
        <v>8600</v>
      </c>
      <c r="Q374" s="20">
        <f t="shared" ref="Q374:X374" si="731">Q344</f>
        <v>260</v>
      </c>
      <c r="R374" s="20">
        <f t="shared" si="731"/>
        <v>1040</v>
      </c>
      <c r="S374" s="20">
        <f t="shared" si="731"/>
        <v>1819.9999999999998</v>
      </c>
      <c r="T374" s="20">
        <f t="shared" si="731"/>
        <v>2340</v>
      </c>
      <c r="U374" s="20">
        <f t="shared" si="731"/>
        <v>100</v>
      </c>
      <c r="V374" s="20">
        <f t="shared" si="731"/>
        <v>700</v>
      </c>
      <c r="W374" s="20">
        <f t="shared" si="731"/>
        <v>1000</v>
      </c>
      <c r="X374" s="20">
        <f t="shared" si="731"/>
        <v>4</v>
      </c>
      <c r="Y374" s="20">
        <v>0</v>
      </c>
      <c r="Z374" s="20">
        <f t="shared" si="717"/>
        <v>115</v>
      </c>
      <c r="AA374" s="20">
        <v>0</v>
      </c>
      <c r="AB374" s="20">
        <v>0</v>
      </c>
      <c r="AC374" s="20">
        <v>0</v>
      </c>
      <c r="AD374" s="23">
        <f t="shared" ref="AD374:AE374" si="732">AD344</f>
        <v>24</v>
      </c>
      <c r="AE374" s="23">
        <f t="shared" si="732"/>
        <v>28</v>
      </c>
    </row>
    <row r="375" spans="1:31">
      <c r="A375" s="4">
        <v>3002</v>
      </c>
      <c r="B375" s="4">
        <v>14</v>
      </c>
      <c r="C375" s="19" t="s">
        <v>69</v>
      </c>
      <c r="D375" s="44">
        <v>0</v>
      </c>
      <c r="E375" s="18">
        <f t="shared" si="715"/>
        <v>606</v>
      </c>
      <c r="F375" s="18">
        <v>0</v>
      </c>
      <c r="G375" s="18">
        <v>0</v>
      </c>
      <c r="H375" s="45">
        <v>0</v>
      </c>
      <c r="I375" s="21">
        <f t="shared" si="685"/>
        <v>220</v>
      </c>
      <c r="J375" s="21">
        <f t="shared" si="656"/>
        <v>13</v>
      </c>
      <c r="K375" s="21">
        <v>0</v>
      </c>
      <c r="L375" s="20">
        <v>6</v>
      </c>
      <c r="M375" s="20">
        <v>0</v>
      </c>
      <c r="N375" s="20">
        <f t="shared" si="686"/>
        <v>2800</v>
      </c>
      <c r="O375" s="19" t="s">
        <v>69</v>
      </c>
      <c r="P375" s="20">
        <v>6400</v>
      </c>
      <c r="Q375" s="20">
        <f t="shared" ref="Q375:X375" si="733">Q345</f>
        <v>280</v>
      </c>
      <c r="R375" s="20">
        <f t="shared" si="733"/>
        <v>1120</v>
      </c>
      <c r="S375" s="20">
        <f t="shared" si="733"/>
        <v>1959.9999999999998</v>
      </c>
      <c r="T375" s="20">
        <f t="shared" si="733"/>
        <v>2520</v>
      </c>
      <c r="U375" s="20">
        <f t="shared" si="733"/>
        <v>100</v>
      </c>
      <c r="V375" s="20">
        <f t="shared" si="733"/>
        <v>400</v>
      </c>
      <c r="W375" s="20">
        <f t="shared" si="733"/>
        <v>1200</v>
      </c>
      <c r="X375" s="20">
        <f t="shared" si="733"/>
        <v>4</v>
      </c>
      <c r="Y375" s="20">
        <v>0</v>
      </c>
      <c r="Z375" s="20">
        <f t="shared" si="717"/>
        <v>0</v>
      </c>
      <c r="AA375" s="20">
        <v>0</v>
      </c>
      <c r="AB375" s="20">
        <v>0</v>
      </c>
      <c r="AC375" s="20">
        <v>0</v>
      </c>
      <c r="AD375" s="23">
        <f t="shared" ref="AD375:AE375" si="734">AD345</f>
        <v>26</v>
      </c>
      <c r="AE375" s="23">
        <f t="shared" si="734"/>
        <v>30</v>
      </c>
    </row>
    <row r="376" spans="1:31">
      <c r="A376" s="4">
        <v>3002</v>
      </c>
      <c r="B376" s="4">
        <v>15</v>
      </c>
      <c r="C376" s="19" t="s">
        <v>70</v>
      </c>
      <c r="D376" s="44">
        <v>0</v>
      </c>
      <c r="E376" s="18">
        <f t="shared" si="715"/>
        <v>657</v>
      </c>
      <c r="F376" s="18">
        <v>0</v>
      </c>
      <c r="G376" s="18">
        <v>0</v>
      </c>
      <c r="H376" s="45">
        <v>0</v>
      </c>
      <c r="I376" s="21">
        <f t="shared" si="685"/>
        <v>220</v>
      </c>
      <c r="J376" s="21">
        <f t="shared" si="656"/>
        <v>14</v>
      </c>
      <c r="K376" s="21">
        <v>0</v>
      </c>
      <c r="L376" s="20">
        <v>6</v>
      </c>
      <c r="M376" s="20">
        <v>0</v>
      </c>
      <c r="N376" s="20">
        <f t="shared" si="686"/>
        <v>4500</v>
      </c>
      <c r="O376" s="19" t="s">
        <v>70</v>
      </c>
      <c r="P376" s="20">
        <v>3100</v>
      </c>
      <c r="Q376" s="20">
        <f t="shared" ref="Q376:X376" si="735">Q346</f>
        <v>450</v>
      </c>
      <c r="R376" s="20">
        <f t="shared" si="735"/>
        <v>1800</v>
      </c>
      <c r="S376" s="20">
        <f t="shared" si="735"/>
        <v>3150</v>
      </c>
      <c r="T376" s="20">
        <f t="shared" si="735"/>
        <v>4050</v>
      </c>
      <c r="U376" s="20">
        <f t="shared" si="735"/>
        <v>100</v>
      </c>
      <c r="V376" s="20">
        <f t="shared" si="735"/>
        <v>1000</v>
      </c>
      <c r="W376" s="20">
        <f t="shared" si="735"/>
        <v>600</v>
      </c>
      <c r="X376" s="20">
        <f t="shared" si="735"/>
        <v>4</v>
      </c>
      <c r="Y376" s="20">
        <v>0</v>
      </c>
      <c r="Z376" s="20">
        <f t="shared" si="717"/>
        <v>0</v>
      </c>
      <c r="AA376" s="20">
        <v>0</v>
      </c>
      <c r="AB376" s="20">
        <v>0</v>
      </c>
      <c r="AC376" s="20">
        <v>0</v>
      </c>
      <c r="AD376" s="23">
        <f t="shared" ref="AD376:AE376" si="736">AD346</f>
        <v>28</v>
      </c>
      <c r="AE376" s="23">
        <f t="shared" si="736"/>
        <v>32</v>
      </c>
    </row>
    <row r="377" spans="1:31">
      <c r="A377" s="4">
        <v>3002</v>
      </c>
      <c r="B377" s="4">
        <v>16</v>
      </c>
      <c r="C377" s="19" t="s">
        <v>71</v>
      </c>
      <c r="D377" s="44">
        <v>0</v>
      </c>
      <c r="E377" s="18">
        <f t="shared" si="715"/>
        <v>711</v>
      </c>
      <c r="F377" s="18">
        <v>0</v>
      </c>
      <c r="G377" s="18">
        <v>0</v>
      </c>
      <c r="H377" s="45">
        <v>0</v>
      </c>
      <c r="I377" s="21">
        <f t="shared" si="685"/>
        <v>220</v>
      </c>
      <c r="J377" s="21">
        <f t="shared" si="656"/>
        <v>15</v>
      </c>
      <c r="K377" s="21">
        <v>0</v>
      </c>
      <c r="L377" s="20">
        <v>6</v>
      </c>
      <c r="M377" s="20">
        <v>0</v>
      </c>
      <c r="N377" s="20">
        <f t="shared" si="686"/>
        <v>4800</v>
      </c>
      <c r="O377" s="19" t="s">
        <v>71</v>
      </c>
      <c r="P377" s="20">
        <v>1777</v>
      </c>
      <c r="Q377" s="20">
        <f t="shared" ref="Q377:X377" si="737">Q347</f>
        <v>480</v>
      </c>
      <c r="R377" s="20">
        <f t="shared" si="737"/>
        <v>1920</v>
      </c>
      <c r="S377" s="20">
        <f t="shared" si="737"/>
        <v>3360</v>
      </c>
      <c r="T377" s="20">
        <f t="shared" si="737"/>
        <v>4320</v>
      </c>
      <c r="U377" s="20">
        <f t="shared" si="737"/>
        <v>100</v>
      </c>
      <c r="V377" s="20">
        <f t="shared" si="737"/>
        <v>800</v>
      </c>
      <c r="W377" s="20">
        <f t="shared" si="737"/>
        <v>800</v>
      </c>
      <c r="X377" s="20">
        <f t="shared" si="737"/>
        <v>4</v>
      </c>
      <c r="Y377" s="20">
        <v>0</v>
      </c>
      <c r="Z377" s="20">
        <f t="shared" si="717"/>
        <v>0</v>
      </c>
      <c r="AA377" s="20">
        <v>0</v>
      </c>
      <c r="AB377" s="20">
        <v>0</v>
      </c>
      <c r="AC377" s="20">
        <v>0</v>
      </c>
      <c r="AD377" s="23">
        <f t="shared" ref="AD377:AE377" si="738">AD347</f>
        <v>30</v>
      </c>
      <c r="AE377" s="23">
        <f t="shared" si="738"/>
        <v>34</v>
      </c>
    </row>
    <row r="378" spans="1:31">
      <c r="A378" s="4">
        <v>3002</v>
      </c>
      <c r="B378" s="4">
        <v>17</v>
      </c>
      <c r="C378" s="19" t="s">
        <v>72</v>
      </c>
      <c r="D378" s="44">
        <v>0</v>
      </c>
      <c r="E378" s="18">
        <f t="shared" si="715"/>
        <v>768</v>
      </c>
      <c r="F378" s="18">
        <v>0</v>
      </c>
      <c r="G378" s="18">
        <v>0</v>
      </c>
      <c r="H378" s="45">
        <v>0</v>
      </c>
      <c r="I378" s="21">
        <f t="shared" si="685"/>
        <v>275</v>
      </c>
      <c r="J378" s="21">
        <f t="shared" si="656"/>
        <v>16</v>
      </c>
      <c r="K378" s="21">
        <v>0</v>
      </c>
      <c r="L378" s="20">
        <v>6</v>
      </c>
      <c r="M378" s="20">
        <v>0</v>
      </c>
      <c r="N378" s="20">
        <f t="shared" si="686"/>
        <v>5100</v>
      </c>
      <c r="O378" s="19" t="s">
        <v>72</v>
      </c>
      <c r="P378" s="20">
        <v>2332</v>
      </c>
      <c r="Q378" s="20">
        <f t="shared" ref="Q378:X378" si="739">Q348</f>
        <v>510</v>
      </c>
      <c r="R378" s="20">
        <f t="shared" si="739"/>
        <v>2040</v>
      </c>
      <c r="S378" s="20">
        <f t="shared" si="739"/>
        <v>3570</v>
      </c>
      <c r="T378" s="20">
        <f t="shared" si="739"/>
        <v>4590</v>
      </c>
      <c r="U378" s="20">
        <f t="shared" si="739"/>
        <v>80</v>
      </c>
      <c r="V378" s="20">
        <f t="shared" si="739"/>
        <v>800</v>
      </c>
      <c r="W378" s="20">
        <f t="shared" si="739"/>
        <v>600</v>
      </c>
      <c r="X378" s="20">
        <f t="shared" si="739"/>
        <v>5</v>
      </c>
      <c r="Y378" s="20">
        <v>0</v>
      </c>
      <c r="Z378" s="20">
        <f t="shared" si="717"/>
        <v>0</v>
      </c>
      <c r="AA378" s="20">
        <v>0</v>
      </c>
      <c r="AB378" s="20">
        <v>0</v>
      </c>
      <c r="AC378" s="20">
        <v>0</v>
      </c>
      <c r="AD378" s="23">
        <f t="shared" ref="AD378:AE378" si="740">AD348</f>
        <v>32</v>
      </c>
      <c r="AE378" s="23">
        <f t="shared" si="740"/>
        <v>36</v>
      </c>
    </row>
    <row r="379" spans="1:31">
      <c r="A379" s="4">
        <v>3002</v>
      </c>
      <c r="B379" s="4">
        <v>18</v>
      </c>
      <c r="C379" s="19" t="s">
        <v>73</v>
      </c>
      <c r="D379" s="44">
        <v>0</v>
      </c>
      <c r="E379" s="18">
        <f t="shared" si="715"/>
        <v>834</v>
      </c>
      <c r="F379" s="18">
        <v>0</v>
      </c>
      <c r="G379" s="18">
        <v>0</v>
      </c>
      <c r="H379" s="45">
        <v>0</v>
      </c>
      <c r="I379" s="21">
        <f t="shared" si="685"/>
        <v>275</v>
      </c>
      <c r="J379" s="21">
        <f t="shared" si="656"/>
        <v>17</v>
      </c>
      <c r="K379" s="21">
        <v>0</v>
      </c>
      <c r="L379" s="20">
        <v>6</v>
      </c>
      <c r="M379" s="20">
        <v>0</v>
      </c>
      <c r="N379" s="20">
        <f t="shared" si="686"/>
        <v>5400</v>
      </c>
      <c r="O379" s="19" t="s">
        <v>73</v>
      </c>
      <c r="P379" s="20">
        <v>1487</v>
      </c>
      <c r="Q379" s="20">
        <f t="shared" ref="Q379:X379" si="741">Q349</f>
        <v>540</v>
      </c>
      <c r="R379" s="20">
        <f t="shared" si="741"/>
        <v>2160</v>
      </c>
      <c r="S379" s="20">
        <f t="shared" si="741"/>
        <v>3779.9999999999995</v>
      </c>
      <c r="T379" s="20">
        <f t="shared" si="741"/>
        <v>4860</v>
      </c>
      <c r="U379" s="20">
        <f t="shared" si="741"/>
        <v>100</v>
      </c>
      <c r="V379" s="20">
        <f t="shared" si="741"/>
        <v>600</v>
      </c>
      <c r="W379" s="20">
        <f t="shared" si="741"/>
        <v>300</v>
      </c>
      <c r="X379" s="20">
        <f t="shared" si="741"/>
        <v>5</v>
      </c>
      <c r="Y379" s="20">
        <v>0</v>
      </c>
      <c r="Z379" s="20">
        <f t="shared" si="717"/>
        <v>172</v>
      </c>
      <c r="AA379" s="20">
        <v>0</v>
      </c>
      <c r="AB379" s="20">
        <v>0</v>
      </c>
      <c r="AC379" s="20">
        <v>0</v>
      </c>
      <c r="AD379" s="23">
        <f t="shared" ref="AD379:AE379" si="742">AD349</f>
        <v>34</v>
      </c>
      <c r="AE379" s="23">
        <f t="shared" si="742"/>
        <v>38</v>
      </c>
    </row>
    <row r="380" spans="1:31">
      <c r="A380" s="8">
        <v>3002</v>
      </c>
      <c r="B380" s="8">
        <v>19</v>
      </c>
      <c r="C380" s="19" t="s">
        <v>74</v>
      </c>
      <c r="D380" s="44">
        <v>0</v>
      </c>
      <c r="E380" s="18">
        <f t="shared" si="715"/>
        <v>903</v>
      </c>
      <c r="F380" s="18">
        <v>0</v>
      </c>
      <c r="G380" s="18">
        <v>0</v>
      </c>
      <c r="H380" s="45">
        <v>0</v>
      </c>
      <c r="I380" s="21">
        <f t="shared" si="685"/>
        <v>275</v>
      </c>
      <c r="J380" s="21">
        <f t="shared" si="656"/>
        <v>18</v>
      </c>
      <c r="K380" s="21">
        <v>0</v>
      </c>
      <c r="L380" s="20">
        <v>6</v>
      </c>
      <c r="M380" s="20">
        <v>0</v>
      </c>
      <c r="N380" s="20">
        <f t="shared" si="686"/>
        <v>5700</v>
      </c>
      <c r="O380" s="19" t="s">
        <v>74</v>
      </c>
      <c r="P380" s="20">
        <v>1518</v>
      </c>
      <c r="Q380" s="20">
        <f t="shared" ref="Q380:X380" si="743">Q350</f>
        <v>570</v>
      </c>
      <c r="R380" s="20">
        <f t="shared" si="743"/>
        <v>2280</v>
      </c>
      <c r="S380" s="20">
        <f t="shared" si="743"/>
        <v>3989.9999999999995</v>
      </c>
      <c r="T380" s="20">
        <f t="shared" si="743"/>
        <v>5130</v>
      </c>
      <c r="U380" s="20">
        <f t="shared" si="743"/>
        <v>100</v>
      </c>
      <c r="V380" s="20">
        <f t="shared" si="743"/>
        <v>500</v>
      </c>
      <c r="W380" s="20">
        <f t="shared" si="743"/>
        <v>400</v>
      </c>
      <c r="X380" s="20">
        <f t="shared" si="743"/>
        <v>5</v>
      </c>
      <c r="Y380" s="20">
        <v>0</v>
      </c>
      <c r="Z380" s="20">
        <f t="shared" si="717"/>
        <v>0</v>
      </c>
      <c r="AA380" s="20">
        <v>0</v>
      </c>
      <c r="AB380" s="20">
        <v>0</v>
      </c>
      <c r="AC380" s="20">
        <v>0</v>
      </c>
      <c r="AD380" s="23">
        <f t="shared" ref="AD380:AE380" si="744">AD350</f>
        <v>36</v>
      </c>
      <c r="AE380" s="23">
        <f t="shared" si="744"/>
        <v>40</v>
      </c>
    </row>
    <row r="381" spans="1:31">
      <c r="A381" s="4">
        <v>3002</v>
      </c>
      <c r="B381" s="4">
        <v>20</v>
      </c>
      <c r="C381" s="19" t="s">
        <v>75</v>
      </c>
      <c r="D381" s="44">
        <v>0</v>
      </c>
      <c r="E381" s="18">
        <f t="shared" si="715"/>
        <v>975</v>
      </c>
      <c r="F381" s="18">
        <v>0</v>
      </c>
      <c r="G381" s="18">
        <v>0</v>
      </c>
      <c r="H381" s="45">
        <v>0</v>
      </c>
      <c r="I381" s="21">
        <f t="shared" si="685"/>
        <v>275</v>
      </c>
      <c r="J381" s="21">
        <f t="shared" si="656"/>
        <v>19</v>
      </c>
      <c r="K381" s="21">
        <v>0</v>
      </c>
      <c r="L381" s="20">
        <v>6</v>
      </c>
      <c r="M381" s="20">
        <v>0</v>
      </c>
      <c r="N381" s="20">
        <f t="shared" si="686"/>
        <v>8000</v>
      </c>
      <c r="O381" s="19" t="s">
        <v>75</v>
      </c>
      <c r="P381" s="20">
        <v>861</v>
      </c>
      <c r="Q381" s="20">
        <f t="shared" ref="Q381:X381" si="745">Q351</f>
        <v>800</v>
      </c>
      <c r="R381" s="20">
        <f t="shared" si="745"/>
        <v>3200</v>
      </c>
      <c r="S381" s="20">
        <f t="shared" si="745"/>
        <v>5600</v>
      </c>
      <c r="T381" s="20">
        <f t="shared" si="745"/>
        <v>7200</v>
      </c>
      <c r="U381" s="20">
        <f t="shared" si="745"/>
        <v>100</v>
      </c>
      <c r="V381" s="20">
        <f t="shared" si="745"/>
        <v>800</v>
      </c>
      <c r="W381" s="20">
        <f t="shared" si="745"/>
        <v>8000</v>
      </c>
      <c r="X381" s="20">
        <f t="shared" si="745"/>
        <v>5</v>
      </c>
      <c r="Y381" s="20">
        <v>0</v>
      </c>
      <c r="Z381" s="20">
        <f t="shared" si="717"/>
        <v>0</v>
      </c>
      <c r="AA381" s="20">
        <v>0</v>
      </c>
      <c r="AB381" s="20">
        <v>0</v>
      </c>
      <c r="AC381" s="20">
        <v>0</v>
      </c>
      <c r="AD381" s="23">
        <f t="shared" ref="AD381:AE381" si="746">AD351</f>
        <v>38</v>
      </c>
      <c r="AE381" s="23">
        <f t="shared" si="746"/>
        <v>42</v>
      </c>
    </row>
    <row r="382" spans="1:31">
      <c r="A382" s="4">
        <v>3002</v>
      </c>
      <c r="B382" s="4">
        <v>21</v>
      </c>
      <c r="C382" s="19" t="s">
        <v>66</v>
      </c>
      <c r="D382" s="44">
        <v>0</v>
      </c>
      <c r="E382" s="18">
        <f t="shared" si="715"/>
        <v>1056</v>
      </c>
      <c r="F382" s="18">
        <v>0</v>
      </c>
      <c r="G382" s="18">
        <v>0</v>
      </c>
      <c r="H382" s="45">
        <v>0</v>
      </c>
      <c r="I382" s="21">
        <f t="shared" si="685"/>
        <v>330</v>
      </c>
      <c r="J382" s="21">
        <f t="shared" si="656"/>
        <v>20</v>
      </c>
      <c r="K382" s="21">
        <v>0</v>
      </c>
      <c r="L382" s="20">
        <v>6</v>
      </c>
      <c r="M382" s="20">
        <v>0</v>
      </c>
      <c r="N382" s="20">
        <f t="shared" si="686"/>
        <v>8400</v>
      </c>
      <c r="O382" s="19" t="s">
        <v>66</v>
      </c>
      <c r="P382" s="20">
        <v>9400</v>
      </c>
      <c r="Q382" s="20">
        <f t="shared" ref="Q382:X382" si="747">Q352</f>
        <v>840</v>
      </c>
      <c r="R382" s="20">
        <f t="shared" si="747"/>
        <v>3360</v>
      </c>
      <c r="S382" s="20">
        <f t="shared" si="747"/>
        <v>5880</v>
      </c>
      <c r="T382" s="20">
        <f t="shared" si="747"/>
        <v>7560</v>
      </c>
      <c r="U382" s="20">
        <f t="shared" si="747"/>
        <v>50</v>
      </c>
      <c r="V382" s="20">
        <f t="shared" si="747"/>
        <v>1000</v>
      </c>
      <c r="W382" s="20">
        <f t="shared" si="747"/>
        <v>600</v>
      </c>
      <c r="X382" s="20">
        <f t="shared" si="747"/>
        <v>6</v>
      </c>
      <c r="Y382" s="20">
        <v>0</v>
      </c>
      <c r="Z382" s="20">
        <f t="shared" si="717"/>
        <v>0</v>
      </c>
      <c r="AA382" s="20">
        <v>0</v>
      </c>
      <c r="AB382" s="20">
        <v>0</v>
      </c>
      <c r="AC382" s="20">
        <v>0</v>
      </c>
      <c r="AD382" s="23">
        <f t="shared" ref="AD382:AE382" si="748">AD352</f>
        <v>40</v>
      </c>
      <c r="AE382" s="23">
        <f t="shared" si="748"/>
        <v>44</v>
      </c>
    </row>
    <row r="383" spans="1:31">
      <c r="A383" s="4">
        <v>3002</v>
      </c>
      <c r="B383" s="4">
        <v>22</v>
      </c>
      <c r="C383" s="19" t="s">
        <v>67</v>
      </c>
      <c r="D383" s="44">
        <v>0</v>
      </c>
      <c r="E383" s="18">
        <f t="shared" si="715"/>
        <v>1143</v>
      </c>
      <c r="F383" s="18">
        <v>0</v>
      </c>
      <c r="G383" s="18">
        <v>0</v>
      </c>
      <c r="H383" s="45">
        <v>0</v>
      </c>
      <c r="I383" s="21">
        <f t="shared" si="685"/>
        <v>330</v>
      </c>
      <c r="J383" s="21">
        <f t="shared" si="656"/>
        <v>21</v>
      </c>
      <c r="K383" s="21">
        <v>0</v>
      </c>
      <c r="L383" s="20">
        <v>6</v>
      </c>
      <c r="M383" s="20">
        <v>0</v>
      </c>
      <c r="N383" s="20">
        <f t="shared" si="686"/>
        <v>8800</v>
      </c>
      <c r="O383" s="19" t="s">
        <v>67</v>
      </c>
      <c r="P383" s="20">
        <v>9100</v>
      </c>
      <c r="Q383" s="20">
        <f t="shared" ref="Q383:X383" si="749">Q353</f>
        <v>880</v>
      </c>
      <c r="R383" s="20">
        <f t="shared" si="749"/>
        <v>3520</v>
      </c>
      <c r="S383" s="20">
        <f t="shared" si="749"/>
        <v>6160</v>
      </c>
      <c r="T383" s="20">
        <f t="shared" si="749"/>
        <v>7920</v>
      </c>
      <c r="U383" s="20">
        <f t="shared" si="749"/>
        <v>100</v>
      </c>
      <c r="V383" s="20">
        <f t="shared" si="749"/>
        <v>600</v>
      </c>
      <c r="W383" s="20">
        <f t="shared" si="749"/>
        <v>700</v>
      </c>
      <c r="X383" s="20">
        <f t="shared" si="749"/>
        <v>6</v>
      </c>
      <c r="Y383" s="20">
        <v>0</v>
      </c>
      <c r="Z383" s="20">
        <f t="shared" si="717"/>
        <v>0</v>
      </c>
      <c r="AA383" s="20">
        <v>0</v>
      </c>
      <c r="AB383" s="20">
        <v>0</v>
      </c>
      <c r="AC383" s="20">
        <v>0</v>
      </c>
      <c r="AD383" s="23">
        <f t="shared" ref="AD383:AE383" si="750">AD353</f>
        <v>42</v>
      </c>
      <c r="AE383" s="23">
        <f t="shared" si="750"/>
        <v>46</v>
      </c>
    </row>
    <row r="384" spans="1:31">
      <c r="A384" s="4">
        <v>3002</v>
      </c>
      <c r="B384" s="4">
        <v>23</v>
      </c>
      <c r="C384" s="19" t="s">
        <v>68</v>
      </c>
      <c r="D384" s="44">
        <v>0</v>
      </c>
      <c r="E384" s="18">
        <f t="shared" si="715"/>
        <v>1239</v>
      </c>
      <c r="F384" s="18">
        <v>0</v>
      </c>
      <c r="G384" s="18">
        <v>0</v>
      </c>
      <c r="H384" s="45">
        <v>0</v>
      </c>
      <c r="I384" s="21">
        <f t="shared" si="685"/>
        <v>330</v>
      </c>
      <c r="J384" s="21">
        <f t="shared" si="656"/>
        <v>22</v>
      </c>
      <c r="K384" s="21">
        <v>0</v>
      </c>
      <c r="L384" s="20">
        <v>6</v>
      </c>
      <c r="M384" s="20">
        <v>0</v>
      </c>
      <c r="N384" s="20">
        <f t="shared" si="686"/>
        <v>9200</v>
      </c>
      <c r="O384" s="19" t="s">
        <v>68</v>
      </c>
      <c r="P384" s="20">
        <v>8600</v>
      </c>
      <c r="Q384" s="20">
        <f t="shared" ref="Q384:X384" si="751">Q354</f>
        <v>920</v>
      </c>
      <c r="R384" s="20">
        <f t="shared" si="751"/>
        <v>3680</v>
      </c>
      <c r="S384" s="20">
        <f t="shared" si="751"/>
        <v>6440</v>
      </c>
      <c r="T384" s="20">
        <f t="shared" si="751"/>
        <v>8280</v>
      </c>
      <c r="U384" s="20">
        <f t="shared" si="751"/>
        <v>100</v>
      </c>
      <c r="V384" s="20">
        <f t="shared" si="751"/>
        <v>550</v>
      </c>
      <c r="W384" s="20">
        <f t="shared" si="751"/>
        <v>500</v>
      </c>
      <c r="X384" s="20">
        <f t="shared" si="751"/>
        <v>6</v>
      </c>
      <c r="Y384" s="20">
        <v>0</v>
      </c>
      <c r="Z384" s="20">
        <f t="shared" si="717"/>
        <v>230</v>
      </c>
      <c r="AA384" s="20">
        <v>0</v>
      </c>
      <c r="AB384" s="20">
        <v>0</v>
      </c>
      <c r="AC384" s="20">
        <v>0</v>
      </c>
      <c r="AD384" s="23">
        <f t="shared" ref="AD384:AE384" si="752">AD354</f>
        <v>44</v>
      </c>
      <c r="AE384" s="23">
        <f t="shared" si="752"/>
        <v>48</v>
      </c>
    </row>
    <row r="385" spans="1:31">
      <c r="A385" s="4">
        <v>3002</v>
      </c>
      <c r="B385" s="4">
        <v>24</v>
      </c>
      <c r="C385" s="19" t="s">
        <v>69</v>
      </c>
      <c r="D385" s="44">
        <v>0</v>
      </c>
      <c r="E385" s="18">
        <f t="shared" si="715"/>
        <v>1341</v>
      </c>
      <c r="F385" s="18">
        <v>0</v>
      </c>
      <c r="G385" s="18">
        <v>0</v>
      </c>
      <c r="H385" s="45">
        <v>0</v>
      </c>
      <c r="I385" s="21">
        <f t="shared" si="685"/>
        <v>330</v>
      </c>
      <c r="J385" s="21">
        <f t="shared" si="656"/>
        <v>23</v>
      </c>
      <c r="K385" s="21">
        <v>0</v>
      </c>
      <c r="L385" s="20">
        <v>6</v>
      </c>
      <c r="M385" s="20">
        <v>0</v>
      </c>
      <c r="N385" s="20">
        <f t="shared" si="686"/>
        <v>9600</v>
      </c>
      <c r="O385" s="19" t="s">
        <v>69</v>
      </c>
      <c r="P385" s="20">
        <v>6400</v>
      </c>
      <c r="Q385" s="20">
        <f t="shared" ref="Q385:X385" si="753">Q355</f>
        <v>960</v>
      </c>
      <c r="R385" s="20">
        <f t="shared" si="753"/>
        <v>3840</v>
      </c>
      <c r="S385" s="20">
        <f t="shared" si="753"/>
        <v>6720</v>
      </c>
      <c r="T385" s="20">
        <f t="shared" si="753"/>
        <v>8640</v>
      </c>
      <c r="U385" s="20">
        <f t="shared" si="753"/>
        <v>100</v>
      </c>
      <c r="V385" s="20">
        <f t="shared" si="753"/>
        <v>500</v>
      </c>
      <c r="W385" s="20">
        <f t="shared" si="753"/>
        <v>900</v>
      </c>
      <c r="X385" s="20">
        <f t="shared" si="753"/>
        <v>6</v>
      </c>
      <c r="Y385" s="20">
        <v>0</v>
      </c>
      <c r="Z385" s="20">
        <f t="shared" si="717"/>
        <v>0</v>
      </c>
      <c r="AA385" s="20">
        <v>0</v>
      </c>
      <c r="AB385" s="20">
        <v>0</v>
      </c>
      <c r="AC385" s="20">
        <v>0</v>
      </c>
      <c r="AD385" s="23">
        <f t="shared" ref="AD385:AE385" si="754">AD355</f>
        <v>46</v>
      </c>
      <c r="AE385" s="23">
        <f t="shared" si="754"/>
        <v>50</v>
      </c>
    </row>
    <row r="386" spans="1:31">
      <c r="A386" s="4">
        <v>3002</v>
      </c>
      <c r="B386" s="4">
        <v>25</v>
      </c>
      <c r="C386" s="19" t="s">
        <v>70</v>
      </c>
      <c r="D386" s="44">
        <v>0</v>
      </c>
      <c r="E386" s="18">
        <f t="shared" si="715"/>
        <v>1452</v>
      </c>
      <c r="F386" s="18">
        <v>0</v>
      </c>
      <c r="G386" s="18">
        <v>0</v>
      </c>
      <c r="H386" s="45">
        <v>0</v>
      </c>
      <c r="I386" s="21">
        <f t="shared" si="685"/>
        <v>385</v>
      </c>
      <c r="J386" s="21">
        <f t="shared" si="656"/>
        <v>24</v>
      </c>
      <c r="K386" s="21">
        <v>0</v>
      </c>
      <c r="L386" s="20">
        <v>6</v>
      </c>
      <c r="M386" s="20">
        <v>0</v>
      </c>
      <c r="N386" s="20">
        <f t="shared" si="686"/>
        <v>12500</v>
      </c>
      <c r="O386" s="19" t="s">
        <v>70</v>
      </c>
      <c r="P386" s="20">
        <v>3100</v>
      </c>
      <c r="Q386" s="20">
        <f t="shared" ref="Q386:X386" si="755">Q356</f>
        <v>1250</v>
      </c>
      <c r="R386" s="20">
        <f t="shared" si="755"/>
        <v>5000</v>
      </c>
      <c r="S386" s="20">
        <f t="shared" si="755"/>
        <v>8750</v>
      </c>
      <c r="T386" s="20">
        <f t="shared" si="755"/>
        <v>11250</v>
      </c>
      <c r="U386" s="20">
        <f t="shared" si="755"/>
        <v>10</v>
      </c>
      <c r="V386" s="20">
        <f t="shared" si="755"/>
        <v>1300</v>
      </c>
      <c r="W386" s="20">
        <f t="shared" si="755"/>
        <v>1000</v>
      </c>
      <c r="X386" s="20">
        <f t="shared" si="755"/>
        <v>7</v>
      </c>
      <c r="Y386" s="20">
        <v>0</v>
      </c>
      <c r="Z386" s="20">
        <f t="shared" si="717"/>
        <v>0</v>
      </c>
      <c r="AA386" s="20">
        <v>0</v>
      </c>
      <c r="AB386" s="20">
        <v>0</v>
      </c>
      <c r="AC386" s="20">
        <v>0</v>
      </c>
      <c r="AD386" s="23">
        <f t="shared" ref="AD386:AE386" si="756">AD356</f>
        <v>48</v>
      </c>
      <c r="AE386" s="23">
        <f t="shared" si="756"/>
        <v>52</v>
      </c>
    </row>
    <row r="387" spans="1:31">
      <c r="A387" s="4">
        <v>3002</v>
      </c>
      <c r="B387" s="4">
        <v>26</v>
      </c>
      <c r="C387" s="19" t="s">
        <v>71</v>
      </c>
      <c r="D387" s="44">
        <v>0</v>
      </c>
      <c r="E387" s="18">
        <f t="shared" si="715"/>
        <v>1572</v>
      </c>
      <c r="F387" s="18">
        <v>0</v>
      </c>
      <c r="G387" s="18">
        <v>0</v>
      </c>
      <c r="H387" s="45">
        <v>0</v>
      </c>
      <c r="I387" s="21">
        <f t="shared" si="685"/>
        <v>385</v>
      </c>
      <c r="J387" s="21">
        <f t="shared" si="656"/>
        <v>25</v>
      </c>
      <c r="K387" s="21">
        <v>0</v>
      </c>
      <c r="L387" s="20">
        <v>6</v>
      </c>
      <c r="M387" s="20">
        <v>0</v>
      </c>
      <c r="N387" s="20">
        <f t="shared" si="686"/>
        <v>13000</v>
      </c>
      <c r="O387" s="19" t="s">
        <v>71</v>
      </c>
      <c r="P387" s="20">
        <v>1777</v>
      </c>
      <c r="Q387" s="20">
        <f t="shared" ref="Q387:X387" si="757">Q357</f>
        <v>1300</v>
      </c>
      <c r="R387" s="20">
        <f t="shared" si="757"/>
        <v>5200</v>
      </c>
      <c r="S387" s="20">
        <f t="shared" si="757"/>
        <v>9100</v>
      </c>
      <c r="T387" s="20">
        <f t="shared" si="757"/>
        <v>11700</v>
      </c>
      <c r="U387" s="20">
        <f t="shared" si="757"/>
        <v>90</v>
      </c>
      <c r="V387" s="20">
        <f t="shared" si="757"/>
        <v>800</v>
      </c>
      <c r="W387" s="20">
        <f t="shared" si="757"/>
        <v>2000</v>
      </c>
      <c r="X387" s="20">
        <f t="shared" si="757"/>
        <v>7</v>
      </c>
      <c r="Y387" s="20">
        <v>0</v>
      </c>
      <c r="Z387" s="20">
        <f t="shared" si="717"/>
        <v>0</v>
      </c>
      <c r="AA387" s="20">
        <v>0</v>
      </c>
      <c r="AB387" s="20">
        <v>0</v>
      </c>
      <c r="AC387" s="20">
        <v>0</v>
      </c>
      <c r="AD387" s="23">
        <f t="shared" ref="AD387:AE387" si="758">AD357</f>
        <v>50</v>
      </c>
      <c r="AE387" s="23">
        <f t="shared" si="758"/>
        <v>54</v>
      </c>
    </row>
    <row r="388" spans="1:31">
      <c r="A388" s="4">
        <v>3002</v>
      </c>
      <c r="B388" s="4">
        <v>27</v>
      </c>
      <c r="C388" s="19" t="s">
        <v>72</v>
      </c>
      <c r="D388" s="44">
        <v>0</v>
      </c>
      <c r="E388" s="18">
        <f t="shared" si="715"/>
        <v>1701</v>
      </c>
      <c r="F388" s="18">
        <v>0</v>
      </c>
      <c r="G388" s="18">
        <v>0</v>
      </c>
      <c r="H388" s="45">
        <v>0</v>
      </c>
      <c r="I388" s="21">
        <f t="shared" si="685"/>
        <v>385</v>
      </c>
      <c r="J388" s="21">
        <f t="shared" si="656"/>
        <v>26</v>
      </c>
      <c r="K388" s="21">
        <v>0</v>
      </c>
      <c r="L388" s="20">
        <v>6</v>
      </c>
      <c r="M388" s="20">
        <v>0</v>
      </c>
      <c r="N388" s="20">
        <f t="shared" si="686"/>
        <v>13500</v>
      </c>
      <c r="O388" s="19" t="s">
        <v>72</v>
      </c>
      <c r="P388" s="20">
        <v>2332</v>
      </c>
      <c r="Q388" s="20">
        <f t="shared" ref="Q388:X388" si="759">Q358</f>
        <v>1350</v>
      </c>
      <c r="R388" s="20">
        <f t="shared" si="759"/>
        <v>5400</v>
      </c>
      <c r="S388" s="20">
        <f t="shared" si="759"/>
        <v>9450</v>
      </c>
      <c r="T388" s="20">
        <f t="shared" si="759"/>
        <v>12150</v>
      </c>
      <c r="U388" s="20">
        <f t="shared" si="759"/>
        <v>80</v>
      </c>
      <c r="V388" s="20">
        <f t="shared" si="759"/>
        <v>700</v>
      </c>
      <c r="W388" s="20">
        <f t="shared" si="759"/>
        <v>800</v>
      </c>
      <c r="X388" s="20">
        <f t="shared" si="759"/>
        <v>7</v>
      </c>
      <c r="Y388" s="20">
        <v>0</v>
      </c>
      <c r="Z388" s="20">
        <f t="shared" si="717"/>
        <v>0</v>
      </c>
      <c r="AA388" s="20">
        <v>0</v>
      </c>
      <c r="AB388" s="20">
        <v>0</v>
      </c>
      <c r="AC388" s="20">
        <v>0</v>
      </c>
      <c r="AD388" s="23">
        <f t="shared" ref="AD388:AE388" si="760">AD358</f>
        <v>52</v>
      </c>
      <c r="AE388" s="23">
        <f t="shared" si="760"/>
        <v>56</v>
      </c>
    </row>
    <row r="389" spans="1:31">
      <c r="A389" s="4">
        <v>3002</v>
      </c>
      <c r="B389" s="4">
        <v>28</v>
      </c>
      <c r="C389" s="19" t="s">
        <v>73</v>
      </c>
      <c r="D389" s="44">
        <v>0</v>
      </c>
      <c r="E389" s="18">
        <f t="shared" si="715"/>
        <v>1842</v>
      </c>
      <c r="F389" s="18">
        <v>0</v>
      </c>
      <c r="G389" s="18">
        <v>0</v>
      </c>
      <c r="H389" s="45">
        <v>0</v>
      </c>
      <c r="I389" s="21">
        <f t="shared" si="685"/>
        <v>385</v>
      </c>
      <c r="J389" s="21">
        <f t="shared" si="656"/>
        <v>27</v>
      </c>
      <c r="K389" s="21">
        <v>0</v>
      </c>
      <c r="L389" s="20">
        <v>6</v>
      </c>
      <c r="M389" s="20">
        <v>0</v>
      </c>
      <c r="N389" s="20">
        <f t="shared" si="686"/>
        <v>14000</v>
      </c>
      <c r="O389" s="19" t="s">
        <v>73</v>
      </c>
      <c r="P389" s="20">
        <v>1487</v>
      </c>
      <c r="Q389" s="20">
        <f t="shared" ref="Q389:X389" si="761">Q359</f>
        <v>1400</v>
      </c>
      <c r="R389" s="20">
        <f t="shared" si="761"/>
        <v>5600</v>
      </c>
      <c r="S389" s="20">
        <f t="shared" si="761"/>
        <v>9800</v>
      </c>
      <c r="T389" s="20">
        <f t="shared" si="761"/>
        <v>12600</v>
      </c>
      <c r="U389" s="20">
        <f t="shared" si="761"/>
        <v>80</v>
      </c>
      <c r="V389" s="20">
        <f t="shared" si="761"/>
        <v>500</v>
      </c>
      <c r="W389" s="20">
        <f t="shared" si="761"/>
        <v>600</v>
      </c>
      <c r="X389" s="20">
        <f t="shared" si="761"/>
        <v>7</v>
      </c>
      <c r="Y389" s="20">
        <v>0</v>
      </c>
      <c r="Z389" s="20">
        <f t="shared" si="717"/>
        <v>288</v>
      </c>
      <c r="AA389" s="20">
        <v>0</v>
      </c>
      <c r="AB389" s="20">
        <v>0</v>
      </c>
      <c r="AC389" s="20">
        <v>0</v>
      </c>
      <c r="AD389" s="23">
        <f t="shared" ref="AD389:AE389" si="762">AD359</f>
        <v>54</v>
      </c>
      <c r="AE389" s="23">
        <f t="shared" si="762"/>
        <v>58</v>
      </c>
    </row>
    <row r="390" spans="1:31">
      <c r="A390" s="4">
        <v>3002</v>
      </c>
      <c r="B390" s="4">
        <v>29</v>
      </c>
      <c r="C390" s="19" t="s">
        <v>74</v>
      </c>
      <c r="D390" s="44">
        <v>0</v>
      </c>
      <c r="E390" s="18">
        <f t="shared" si="715"/>
        <v>1995</v>
      </c>
      <c r="F390" s="18">
        <v>0</v>
      </c>
      <c r="G390" s="18">
        <v>0</v>
      </c>
      <c r="H390" s="45">
        <v>0</v>
      </c>
      <c r="I390" s="21">
        <f t="shared" si="685"/>
        <v>440</v>
      </c>
      <c r="J390" s="21">
        <f t="shared" si="656"/>
        <v>28</v>
      </c>
      <c r="K390" s="21">
        <v>0</v>
      </c>
      <c r="L390" s="20">
        <v>6</v>
      </c>
      <c r="M390" s="20">
        <v>0</v>
      </c>
      <c r="N390" s="20">
        <f t="shared" si="686"/>
        <v>14500</v>
      </c>
      <c r="O390" s="19" t="s">
        <v>74</v>
      </c>
      <c r="P390" s="20">
        <v>1518</v>
      </c>
      <c r="Q390" s="20">
        <f t="shared" ref="Q390:X390" si="763">Q360</f>
        <v>1450</v>
      </c>
      <c r="R390" s="20">
        <f t="shared" si="763"/>
        <v>5800</v>
      </c>
      <c r="S390" s="20">
        <f t="shared" si="763"/>
        <v>10150</v>
      </c>
      <c r="T390" s="20">
        <f t="shared" si="763"/>
        <v>13050</v>
      </c>
      <c r="U390" s="20">
        <f t="shared" si="763"/>
        <v>80</v>
      </c>
      <c r="V390" s="20">
        <f t="shared" si="763"/>
        <v>600</v>
      </c>
      <c r="W390" s="20">
        <f t="shared" si="763"/>
        <v>700</v>
      </c>
      <c r="X390" s="20">
        <f t="shared" si="763"/>
        <v>8</v>
      </c>
      <c r="Y390" s="20">
        <v>0</v>
      </c>
      <c r="Z390" s="20">
        <f t="shared" si="717"/>
        <v>0</v>
      </c>
      <c r="AA390" s="20">
        <v>0</v>
      </c>
      <c r="AB390" s="20">
        <v>0</v>
      </c>
      <c r="AC390" s="20">
        <v>0</v>
      </c>
      <c r="AD390" s="23">
        <f t="shared" ref="AD390:AE390" si="764">AD360</f>
        <v>56</v>
      </c>
      <c r="AE390" s="23">
        <f t="shared" si="764"/>
        <v>60</v>
      </c>
    </row>
    <row r="391" spans="1:31">
      <c r="A391" s="4">
        <v>3002</v>
      </c>
      <c r="B391" s="4">
        <v>30</v>
      </c>
      <c r="C391" s="19" t="s">
        <v>75</v>
      </c>
      <c r="D391" s="44">
        <v>0</v>
      </c>
      <c r="E391" s="18">
        <f t="shared" si="715"/>
        <v>2160</v>
      </c>
      <c r="F391" s="18">
        <v>0</v>
      </c>
      <c r="G391" s="18">
        <v>0</v>
      </c>
      <c r="H391" s="45">
        <v>0</v>
      </c>
      <c r="I391" s="21">
        <f t="shared" si="685"/>
        <v>440</v>
      </c>
      <c r="J391" s="21">
        <f t="shared" si="656"/>
        <v>29</v>
      </c>
      <c r="K391" s="21">
        <v>0</v>
      </c>
      <c r="L391" s="20">
        <v>6</v>
      </c>
      <c r="M391" s="20">
        <v>0</v>
      </c>
      <c r="N391" s="20">
        <f t="shared" si="686"/>
        <v>15000</v>
      </c>
      <c r="O391" s="19" t="s">
        <v>75</v>
      </c>
      <c r="P391" s="20">
        <v>861</v>
      </c>
      <c r="Q391" s="20">
        <f t="shared" ref="Q391:X391" si="765">Q361</f>
        <v>1500</v>
      </c>
      <c r="R391" s="20">
        <f t="shared" si="765"/>
        <v>6000</v>
      </c>
      <c r="S391" s="20">
        <f t="shared" si="765"/>
        <v>10500</v>
      </c>
      <c r="T391" s="20">
        <f t="shared" si="765"/>
        <v>13500</v>
      </c>
      <c r="U391" s="20">
        <f t="shared" si="765"/>
        <v>20</v>
      </c>
      <c r="V391" s="20">
        <f t="shared" si="765"/>
        <v>450</v>
      </c>
      <c r="W391" s="20">
        <f t="shared" si="765"/>
        <v>1000</v>
      </c>
      <c r="X391" s="20">
        <f t="shared" si="765"/>
        <v>8</v>
      </c>
      <c r="Y391" s="20">
        <v>0</v>
      </c>
      <c r="Z391" s="20">
        <f t="shared" si="717"/>
        <v>0</v>
      </c>
      <c r="AA391" s="20">
        <v>0</v>
      </c>
      <c r="AB391" s="20">
        <v>0</v>
      </c>
      <c r="AC391" s="20">
        <v>0</v>
      </c>
      <c r="AD391" s="23">
        <f t="shared" ref="AD391:AE391" si="766">AD361</f>
        <v>58</v>
      </c>
      <c r="AE391" s="23">
        <f t="shared" si="766"/>
        <v>62</v>
      </c>
    </row>
    <row r="392" spans="1:31">
      <c r="A392" s="8">
        <v>3003</v>
      </c>
      <c r="B392" s="8">
        <v>1</v>
      </c>
      <c r="C392" s="29" t="s">
        <v>66</v>
      </c>
      <c r="D392" s="46">
        <v>0</v>
      </c>
      <c r="E392" s="18">
        <f t="shared" si="715"/>
        <v>288</v>
      </c>
      <c r="F392" s="28">
        <v>0</v>
      </c>
      <c r="G392" s="28">
        <v>0</v>
      </c>
      <c r="H392" s="47">
        <v>0</v>
      </c>
      <c r="I392" s="21">
        <f t="shared" si="685"/>
        <v>55</v>
      </c>
      <c r="J392" s="21">
        <f t="shared" si="656"/>
        <v>0</v>
      </c>
      <c r="K392" s="21">
        <v>0</v>
      </c>
      <c r="L392" s="20">
        <v>45</v>
      </c>
      <c r="M392" s="20">
        <v>0</v>
      </c>
      <c r="N392" s="20">
        <f t="shared" si="686"/>
        <v>10</v>
      </c>
      <c r="O392" s="19" t="s">
        <v>66</v>
      </c>
      <c r="P392" s="20">
        <v>9400</v>
      </c>
      <c r="Q392" s="20">
        <f t="shared" ref="Q392:X392" si="767">Q362</f>
        <v>1</v>
      </c>
      <c r="R392" s="20">
        <f t="shared" si="767"/>
        <v>4</v>
      </c>
      <c r="S392" s="20">
        <f t="shared" si="767"/>
        <v>7</v>
      </c>
      <c r="T392" s="20">
        <f t="shared" si="767"/>
        <v>9</v>
      </c>
      <c r="U392" s="20">
        <f t="shared" si="767"/>
        <v>9400</v>
      </c>
      <c r="V392" s="20">
        <f t="shared" si="767"/>
        <v>9400</v>
      </c>
      <c r="W392" s="20">
        <f t="shared" si="767"/>
        <v>9400</v>
      </c>
      <c r="X392" s="20">
        <f t="shared" si="767"/>
        <v>1</v>
      </c>
      <c r="Y392" s="27">
        <v>0</v>
      </c>
      <c r="Z392" s="20">
        <f t="shared" si="717"/>
        <v>0</v>
      </c>
      <c r="AA392" s="27">
        <v>0</v>
      </c>
      <c r="AB392" s="27">
        <v>0</v>
      </c>
      <c r="AC392" s="27">
        <v>0</v>
      </c>
      <c r="AD392" s="23">
        <f t="shared" ref="AD392:AE392" si="768">AD362</f>
        <v>1</v>
      </c>
      <c r="AE392" s="23">
        <f t="shared" si="768"/>
        <v>3</v>
      </c>
    </row>
    <row r="393" spans="1:31">
      <c r="A393" s="4">
        <v>3003</v>
      </c>
      <c r="B393" s="4">
        <v>2</v>
      </c>
      <c r="C393" s="29" t="s">
        <v>67</v>
      </c>
      <c r="D393" s="46">
        <v>0</v>
      </c>
      <c r="E393" s="18">
        <f t="shared" si="715"/>
        <v>312</v>
      </c>
      <c r="F393" s="28">
        <v>0</v>
      </c>
      <c r="G393" s="28">
        <v>0</v>
      </c>
      <c r="H393" s="47">
        <v>0</v>
      </c>
      <c r="I393" s="21">
        <f t="shared" si="685"/>
        <v>55</v>
      </c>
      <c r="J393" s="21">
        <f t="shared" si="656"/>
        <v>1</v>
      </c>
      <c r="K393" s="21">
        <v>0</v>
      </c>
      <c r="L393" s="20">
        <v>40</v>
      </c>
      <c r="M393" s="20">
        <v>0</v>
      </c>
      <c r="N393" s="20">
        <f t="shared" si="686"/>
        <v>20</v>
      </c>
      <c r="O393" s="19" t="s">
        <v>67</v>
      </c>
      <c r="P393" s="20">
        <v>9100</v>
      </c>
      <c r="Q393" s="20">
        <f t="shared" ref="Q393:X393" si="769">Q363</f>
        <v>2</v>
      </c>
      <c r="R393" s="20">
        <f t="shared" si="769"/>
        <v>8</v>
      </c>
      <c r="S393" s="20">
        <f t="shared" si="769"/>
        <v>14</v>
      </c>
      <c r="T393" s="20">
        <f t="shared" si="769"/>
        <v>18</v>
      </c>
      <c r="U393" s="20">
        <f t="shared" si="769"/>
        <v>4000</v>
      </c>
      <c r="V393" s="20">
        <f t="shared" si="769"/>
        <v>8000</v>
      </c>
      <c r="W393" s="20">
        <f t="shared" si="769"/>
        <v>8000</v>
      </c>
      <c r="X393" s="20">
        <f t="shared" si="769"/>
        <v>1</v>
      </c>
      <c r="Y393" s="27">
        <v>0</v>
      </c>
      <c r="Z393" s="20">
        <f t="shared" si="717"/>
        <v>0</v>
      </c>
      <c r="AA393" s="27">
        <v>0</v>
      </c>
      <c r="AB393" s="27">
        <v>0</v>
      </c>
      <c r="AC393" s="27">
        <v>0</v>
      </c>
      <c r="AD393" s="23">
        <f t="shared" ref="AD393:AE393" si="770">AD363</f>
        <v>2</v>
      </c>
      <c r="AE393" s="23">
        <f t="shared" si="770"/>
        <v>5</v>
      </c>
    </row>
    <row r="394" spans="1:31">
      <c r="A394" s="4">
        <v>3003</v>
      </c>
      <c r="B394" s="4">
        <v>3</v>
      </c>
      <c r="C394" s="29" t="s">
        <v>68</v>
      </c>
      <c r="D394" s="46">
        <v>0</v>
      </c>
      <c r="E394" s="18">
        <f t="shared" si="715"/>
        <v>336</v>
      </c>
      <c r="F394" s="28">
        <v>0</v>
      </c>
      <c r="G394" s="28">
        <v>0</v>
      </c>
      <c r="H394" s="47">
        <v>0</v>
      </c>
      <c r="I394" s="21">
        <f t="shared" si="685"/>
        <v>55</v>
      </c>
      <c r="J394" s="21">
        <f t="shared" si="656"/>
        <v>2</v>
      </c>
      <c r="K394" s="21">
        <v>0</v>
      </c>
      <c r="L394" s="20">
        <v>35</v>
      </c>
      <c r="M394" s="20">
        <v>0</v>
      </c>
      <c r="N394" s="20">
        <f t="shared" si="686"/>
        <v>40</v>
      </c>
      <c r="O394" s="19" t="s">
        <v>68</v>
      </c>
      <c r="P394" s="20">
        <v>8600</v>
      </c>
      <c r="Q394" s="20">
        <f t="shared" ref="Q394:X394" si="771">Q364</f>
        <v>4</v>
      </c>
      <c r="R394" s="20">
        <f t="shared" si="771"/>
        <v>16</v>
      </c>
      <c r="S394" s="20">
        <f t="shared" si="771"/>
        <v>28</v>
      </c>
      <c r="T394" s="20">
        <f t="shared" si="771"/>
        <v>36</v>
      </c>
      <c r="U394" s="20">
        <f t="shared" si="771"/>
        <v>1600</v>
      </c>
      <c r="V394" s="20">
        <f t="shared" si="771"/>
        <v>5000</v>
      </c>
      <c r="W394" s="20">
        <f t="shared" si="771"/>
        <v>6000</v>
      </c>
      <c r="X394" s="20">
        <f t="shared" si="771"/>
        <v>1</v>
      </c>
      <c r="Y394" s="27">
        <v>0</v>
      </c>
      <c r="Z394" s="20">
        <f t="shared" si="717"/>
        <v>0</v>
      </c>
      <c r="AA394" s="27">
        <v>0</v>
      </c>
      <c r="AB394" s="27">
        <v>0</v>
      </c>
      <c r="AC394" s="27">
        <v>0</v>
      </c>
      <c r="AD394" s="23">
        <f t="shared" ref="AD394:AE394" si="772">AD364</f>
        <v>4</v>
      </c>
      <c r="AE394" s="23">
        <f t="shared" si="772"/>
        <v>8</v>
      </c>
    </row>
    <row r="395" spans="1:31">
      <c r="A395" s="4">
        <v>3003</v>
      </c>
      <c r="B395" s="4">
        <v>4</v>
      </c>
      <c r="C395" s="29" t="s">
        <v>69</v>
      </c>
      <c r="D395" s="46">
        <v>0</v>
      </c>
      <c r="E395" s="18">
        <f t="shared" si="715"/>
        <v>364</v>
      </c>
      <c r="F395" s="28">
        <v>0</v>
      </c>
      <c r="G395" s="28">
        <v>0</v>
      </c>
      <c r="H395" s="47">
        <v>0</v>
      </c>
      <c r="I395" s="21">
        <f t="shared" si="685"/>
        <v>55</v>
      </c>
      <c r="J395" s="21">
        <f t="shared" si="656"/>
        <v>3</v>
      </c>
      <c r="K395" s="21">
        <v>0</v>
      </c>
      <c r="L395" s="20">
        <v>30</v>
      </c>
      <c r="M395" s="20">
        <v>0</v>
      </c>
      <c r="N395" s="20">
        <f t="shared" si="686"/>
        <v>100</v>
      </c>
      <c r="O395" s="19" t="s">
        <v>69</v>
      </c>
      <c r="P395" s="20">
        <v>6400</v>
      </c>
      <c r="Q395" s="20">
        <f t="shared" ref="Q395:X395" si="773">Q365</f>
        <v>10</v>
      </c>
      <c r="R395" s="20">
        <f t="shared" si="773"/>
        <v>40</v>
      </c>
      <c r="S395" s="20">
        <f t="shared" si="773"/>
        <v>70</v>
      </c>
      <c r="T395" s="20">
        <f t="shared" si="773"/>
        <v>90</v>
      </c>
      <c r="U395" s="20">
        <f t="shared" si="773"/>
        <v>900</v>
      </c>
      <c r="V395" s="20">
        <f t="shared" si="773"/>
        <v>2000</v>
      </c>
      <c r="W395" s="20">
        <f t="shared" si="773"/>
        <v>8000</v>
      </c>
      <c r="X395" s="20">
        <f t="shared" si="773"/>
        <v>1</v>
      </c>
      <c r="Y395" s="27">
        <v>0</v>
      </c>
      <c r="Z395" s="20">
        <f t="shared" si="717"/>
        <v>0</v>
      </c>
      <c r="AA395" s="27">
        <v>0</v>
      </c>
      <c r="AB395" s="27">
        <v>0</v>
      </c>
      <c r="AC395" s="27">
        <v>0</v>
      </c>
      <c r="AD395" s="23">
        <f t="shared" ref="AD395:AE395" si="774">AD365</f>
        <v>6</v>
      </c>
      <c r="AE395" s="23">
        <f t="shared" si="774"/>
        <v>10</v>
      </c>
    </row>
    <row r="396" spans="1:31">
      <c r="A396" s="4">
        <v>3003</v>
      </c>
      <c r="B396" s="4">
        <v>5</v>
      </c>
      <c r="C396" s="29" t="s">
        <v>70</v>
      </c>
      <c r="D396" s="46">
        <v>0</v>
      </c>
      <c r="E396" s="18">
        <f t="shared" si="715"/>
        <v>396</v>
      </c>
      <c r="F396" s="28">
        <v>0</v>
      </c>
      <c r="G396" s="28">
        <v>0</v>
      </c>
      <c r="H396" s="47">
        <v>0</v>
      </c>
      <c r="I396" s="21">
        <f t="shared" si="685"/>
        <v>110</v>
      </c>
      <c r="J396" s="21">
        <f t="shared" si="656"/>
        <v>4</v>
      </c>
      <c r="K396" s="21">
        <v>0</v>
      </c>
      <c r="L396" s="20">
        <v>25</v>
      </c>
      <c r="M396" s="20">
        <v>0</v>
      </c>
      <c r="N396" s="20">
        <f t="shared" si="686"/>
        <v>200</v>
      </c>
      <c r="O396" s="19" t="s">
        <v>70</v>
      </c>
      <c r="P396" s="20">
        <v>3100</v>
      </c>
      <c r="Q396" s="20">
        <f t="shared" ref="Q396:X396" si="775">Q366</f>
        <v>20</v>
      </c>
      <c r="R396" s="20">
        <f t="shared" si="775"/>
        <v>80</v>
      </c>
      <c r="S396" s="20">
        <f t="shared" si="775"/>
        <v>140</v>
      </c>
      <c r="T396" s="20">
        <f t="shared" si="775"/>
        <v>180</v>
      </c>
      <c r="U396" s="20">
        <f t="shared" si="775"/>
        <v>1000</v>
      </c>
      <c r="V396" s="20">
        <f t="shared" si="775"/>
        <v>2000</v>
      </c>
      <c r="W396" s="20">
        <f t="shared" si="775"/>
        <v>2000</v>
      </c>
      <c r="X396" s="20">
        <f t="shared" si="775"/>
        <v>2</v>
      </c>
      <c r="Y396" s="27">
        <v>0</v>
      </c>
      <c r="Z396" s="20">
        <f t="shared" si="717"/>
        <v>0</v>
      </c>
      <c r="AA396" s="27">
        <v>0</v>
      </c>
      <c r="AB396" s="27">
        <v>0</v>
      </c>
      <c r="AC396" s="27">
        <v>0</v>
      </c>
      <c r="AD396" s="23">
        <f t="shared" ref="AD396:AE396" si="776">AD366</f>
        <v>8</v>
      </c>
      <c r="AE396" s="23">
        <f t="shared" si="776"/>
        <v>12</v>
      </c>
    </row>
    <row r="397" spans="1:31">
      <c r="A397" s="4">
        <v>3003</v>
      </c>
      <c r="B397" s="4">
        <v>6</v>
      </c>
      <c r="C397" s="29" t="s">
        <v>71</v>
      </c>
      <c r="D397" s="46">
        <v>0</v>
      </c>
      <c r="E397" s="18">
        <f t="shared" si="715"/>
        <v>428</v>
      </c>
      <c r="F397" s="28">
        <v>0</v>
      </c>
      <c r="G397" s="28">
        <v>0</v>
      </c>
      <c r="H397" s="47">
        <v>0</v>
      </c>
      <c r="I397" s="21">
        <f t="shared" si="685"/>
        <v>110</v>
      </c>
      <c r="J397" s="21">
        <f t="shared" si="656"/>
        <v>5</v>
      </c>
      <c r="K397" s="21">
        <v>0</v>
      </c>
      <c r="L397" s="20">
        <v>20</v>
      </c>
      <c r="M397" s="20">
        <v>0</v>
      </c>
      <c r="N397" s="20">
        <f t="shared" si="686"/>
        <v>500</v>
      </c>
      <c r="O397" s="19" t="s">
        <v>71</v>
      </c>
      <c r="P397" s="20">
        <v>1777</v>
      </c>
      <c r="Q397" s="20">
        <f t="shared" ref="Q397:X397" si="777">Q367</f>
        <v>50</v>
      </c>
      <c r="R397" s="20">
        <f t="shared" si="777"/>
        <v>200</v>
      </c>
      <c r="S397" s="20">
        <f t="shared" si="777"/>
        <v>350</v>
      </c>
      <c r="T397" s="20">
        <f t="shared" si="777"/>
        <v>450</v>
      </c>
      <c r="U397" s="20">
        <f t="shared" si="777"/>
        <v>800</v>
      </c>
      <c r="V397" s="20">
        <f t="shared" si="777"/>
        <v>800</v>
      </c>
      <c r="W397" s="20">
        <f t="shared" si="777"/>
        <v>600</v>
      </c>
      <c r="X397" s="20">
        <f t="shared" si="777"/>
        <v>2</v>
      </c>
      <c r="Y397" s="27">
        <v>0</v>
      </c>
      <c r="Z397" s="20">
        <f t="shared" si="717"/>
        <v>0</v>
      </c>
      <c r="AA397" s="27">
        <v>0</v>
      </c>
      <c r="AB397" s="27">
        <v>0</v>
      </c>
      <c r="AC397" s="27">
        <v>0</v>
      </c>
      <c r="AD397" s="23">
        <f t="shared" ref="AD397:AE397" si="778">AD367</f>
        <v>10</v>
      </c>
      <c r="AE397" s="23">
        <f t="shared" si="778"/>
        <v>14</v>
      </c>
    </row>
    <row r="398" spans="1:31">
      <c r="A398" s="4">
        <v>3003</v>
      </c>
      <c r="B398" s="4">
        <v>7</v>
      </c>
      <c r="C398" s="29" t="s">
        <v>72</v>
      </c>
      <c r="D398" s="46">
        <v>0</v>
      </c>
      <c r="E398" s="18">
        <f t="shared" si="715"/>
        <v>464</v>
      </c>
      <c r="F398" s="28">
        <v>0</v>
      </c>
      <c r="G398" s="28">
        <v>0</v>
      </c>
      <c r="H398" s="47">
        <v>0</v>
      </c>
      <c r="I398" s="21">
        <f t="shared" si="685"/>
        <v>110</v>
      </c>
      <c r="J398" s="21">
        <f t="shared" si="656"/>
        <v>6</v>
      </c>
      <c r="K398" s="21">
        <v>0</v>
      </c>
      <c r="L398" s="20">
        <v>16</v>
      </c>
      <c r="M398" s="20">
        <v>0</v>
      </c>
      <c r="N398" s="20">
        <f t="shared" si="686"/>
        <v>700</v>
      </c>
      <c r="O398" s="19" t="s">
        <v>72</v>
      </c>
      <c r="P398" s="20">
        <v>2332</v>
      </c>
      <c r="Q398" s="20">
        <f t="shared" ref="Q398:X398" si="779">Q368</f>
        <v>70</v>
      </c>
      <c r="R398" s="20">
        <f t="shared" si="779"/>
        <v>280</v>
      </c>
      <c r="S398" s="20">
        <f t="shared" si="779"/>
        <v>489.99999999999994</v>
      </c>
      <c r="T398" s="20">
        <f t="shared" si="779"/>
        <v>630</v>
      </c>
      <c r="U398" s="20">
        <f t="shared" si="779"/>
        <v>650</v>
      </c>
      <c r="V398" s="20">
        <f t="shared" si="779"/>
        <v>800</v>
      </c>
      <c r="W398" s="20">
        <f t="shared" si="779"/>
        <v>300</v>
      </c>
      <c r="X398" s="20">
        <f t="shared" si="779"/>
        <v>2</v>
      </c>
      <c r="Y398" s="27">
        <v>0</v>
      </c>
      <c r="Z398" s="20">
        <f t="shared" si="717"/>
        <v>0</v>
      </c>
      <c r="AA398" s="27">
        <v>0</v>
      </c>
      <c r="AB398" s="27">
        <v>0</v>
      </c>
      <c r="AC398" s="27">
        <v>0</v>
      </c>
      <c r="AD398" s="23">
        <f t="shared" ref="AD398:AE398" si="780">AD368</f>
        <v>12</v>
      </c>
      <c r="AE398" s="23">
        <f t="shared" si="780"/>
        <v>16</v>
      </c>
    </row>
    <row r="399" spans="1:31">
      <c r="A399" s="4">
        <v>3003</v>
      </c>
      <c r="B399" s="4">
        <v>8</v>
      </c>
      <c r="C399" s="29" t="s">
        <v>73</v>
      </c>
      <c r="D399" s="46">
        <v>0</v>
      </c>
      <c r="E399" s="18">
        <f t="shared" si="715"/>
        <v>504</v>
      </c>
      <c r="F399" s="28">
        <v>0</v>
      </c>
      <c r="G399" s="28">
        <v>0</v>
      </c>
      <c r="H399" s="47">
        <v>0</v>
      </c>
      <c r="I399" s="21">
        <f t="shared" si="685"/>
        <v>110</v>
      </c>
      <c r="J399" s="21">
        <f t="shared" si="656"/>
        <v>7</v>
      </c>
      <c r="K399" s="21">
        <v>0</v>
      </c>
      <c r="L399" s="20">
        <v>12</v>
      </c>
      <c r="M399" s="20">
        <v>0</v>
      </c>
      <c r="N399" s="20">
        <f t="shared" si="686"/>
        <v>800</v>
      </c>
      <c r="O399" s="19" t="s">
        <v>73</v>
      </c>
      <c r="P399" s="20">
        <v>1487</v>
      </c>
      <c r="Q399" s="20">
        <f t="shared" ref="Q399:X399" si="781">Q369</f>
        <v>80</v>
      </c>
      <c r="R399" s="20">
        <f t="shared" si="781"/>
        <v>320</v>
      </c>
      <c r="S399" s="20">
        <f t="shared" si="781"/>
        <v>560</v>
      </c>
      <c r="T399" s="20">
        <f t="shared" si="781"/>
        <v>720</v>
      </c>
      <c r="U399" s="20">
        <f t="shared" si="781"/>
        <v>200</v>
      </c>
      <c r="V399" s="20">
        <f t="shared" si="781"/>
        <v>2000</v>
      </c>
      <c r="W399" s="20">
        <f t="shared" si="781"/>
        <v>1000</v>
      </c>
      <c r="X399" s="20">
        <f t="shared" si="781"/>
        <v>2</v>
      </c>
      <c r="Y399" s="27">
        <v>0</v>
      </c>
      <c r="Z399" s="20">
        <f t="shared" si="717"/>
        <v>64</v>
      </c>
      <c r="AA399" s="27">
        <v>0</v>
      </c>
      <c r="AB399" s="27">
        <v>0</v>
      </c>
      <c r="AC399" s="27">
        <v>0</v>
      </c>
      <c r="AD399" s="23">
        <f t="shared" ref="AD399:AE399" si="782">AD369</f>
        <v>14</v>
      </c>
      <c r="AE399" s="23">
        <f t="shared" si="782"/>
        <v>18</v>
      </c>
    </row>
    <row r="400" spans="1:31">
      <c r="A400" s="4">
        <v>3003</v>
      </c>
      <c r="B400" s="4">
        <v>9</v>
      </c>
      <c r="C400" s="29" t="s">
        <v>74</v>
      </c>
      <c r="D400" s="46">
        <v>0</v>
      </c>
      <c r="E400" s="18">
        <f t="shared" si="715"/>
        <v>544</v>
      </c>
      <c r="F400" s="28">
        <v>0</v>
      </c>
      <c r="G400" s="28">
        <v>0</v>
      </c>
      <c r="H400" s="47">
        <v>0</v>
      </c>
      <c r="I400" s="21">
        <f t="shared" si="685"/>
        <v>165</v>
      </c>
      <c r="J400" s="21">
        <f t="shared" si="656"/>
        <v>8</v>
      </c>
      <c r="K400" s="21">
        <v>0</v>
      </c>
      <c r="L400" s="20">
        <v>8</v>
      </c>
      <c r="M400" s="20">
        <v>0</v>
      </c>
      <c r="N400" s="20">
        <f t="shared" si="686"/>
        <v>900</v>
      </c>
      <c r="O400" s="19" t="s">
        <v>74</v>
      </c>
      <c r="P400" s="20">
        <v>1518</v>
      </c>
      <c r="Q400" s="20">
        <f t="shared" ref="Q400:X400" si="783">Q370</f>
        <v>90</v>
      </c>
      <c r="R400" s="20">
        <f t="shared" si="783"/>
        <v>360</v>
      </c>
      <c r="S400" s="20">
        <f t="shared" si="783"/>
        <v>630</v>
      </c>
      <c r="T400" s="20">
        <f t="shared" si="783"/>
        <v>810</v>
      </c>
      <c r="U400" s="20">
        <f t="shared" si="783"/>
        <v>120</v>
      </c>
      <c r="V400" s="20">
        <f t="shared" si="783"/>
        <v>1500</v>
      </c>
      <c r="W400" s="20">
        <f t="shared" si="783"/>
        <v>1000</v>
      </c>
      <c r="X400" s="20">
        <f t="shared" si="783"/>
        <v>3</v>
      </c>
      <c r="Y400" s="27">
        <v>0</v>
      </c>
      <c r="Z400" s="20">
        <f t="shared" si="717"/>
        <v>0</v>
      </c>
      <c r="AA400" s="27">
        <v>0</v>
      </c>
      <c r="AB400" s="27">
        <v>0</v>
      </c>
      <c r="AC400" s="27">
        <v>0</v>
      </c>
      <c r="AD400" s="23">
        <f t="shared" ref="AD400:AE400" si="784">AD370</f>
        <v>16</v>
      </c>
      <c r="AE400" s="23">
        <f t="shared" si="784"/>
        <v>20</v>
      </c>
    </row>
    <row r="401" spans="1:31">
      <c r="A401" s="4">
        <v>3003</v>
      </c>
      <c r="B401" s="4">
        <v>10</v>
      </c>
      <c r="C401" s="29" t="s">
        <v>75</v>
      </c>
      <c r="D401" s="46">
        <v>0</v>
      </c>
      <c r="E401" s="18">
        <f t="shared" si="715"/>
        <v>588</v>
      </c>
      <c r="F401" s="28">
        <v>0</v>
      </c>
      <c r="G401" s="28">
        <v>0</v>
      </c>
      <c r="H401" s="47">
        <v>0</v>
      </c>
      <c r="I401" s="21">
        <f t="shared" si="685"/>
        <v>165</v>
      </c>
      <c r="J401" s="21">
        <f t="shared" si="656"/>
        <v>9</v>
      </c>
      <c r="K401" s="21">
        <v>0</v>
      </c>
      <c r="L401" s="20">
        <v>6</v>
      </c>
      <c r="M401" s="20">
        <v>0</v>
      </c>
      <c r="N401" s="20">
        <f t="shared" si="686"/>
        <v>2000</v>
      </c>
      <c r="O401" s="19" t="s">
        <v>75</v>
      </c>
      <c r="P401" s="20">
        <v>861</v>
      </c>
      <c r="Q401" s="20">
        <f t="shared" ref="Q401:X401" si="785">Q371</f>
        <v>200</v>
      </c>
      <c r="R401" s="20">
        <f t="shared" si="785"/>
        <v>800</v>
      </c>
      <c r="S401" s="20">
        <f t="shared" si="785"/>
        <v>1400</v>
      </c>
      <c r="T401" s="20">
        <f t="shared" si="785"/>
        <v>1800</v>
      </c>
      <c r="U401" s="20">
        <f t="shared" si="785"/>
        <v>150</v>
      </c>
      <c r="V401" s="20">
        <f t="shared" si="785"/>
        <v>5000</v>
      </c>
      <c r="W401" s="20">
        <f t="shared" si="785"/>
        <v>800</v>
      </c>
      <c r="X401" s="20">
        <f t="shared" si="785"/>
        <v>3</v>
      </c>
      <c r="Y401" s="27">
        <v>0</v>
      </c>
      <c r="Z401" s="20">
        <f t="shared" si="717"/>
        <v>0</v>
      </c>
      <c r="AA401" s="27">
        <v>0</v>
      </c>
      <c r="AB401" s="27">
        <v>0</v>
      </c>
      <c r="AC401" s="27">
        <v>0</v>
      </c>
      <c r="AD401" s="23">
        <f t="shared" ref="AD401:AE401" si="786">AD371</f>
        <v>18</v>
      </c>
      <c r="AE401" s="23">
        <f t="shared" si="786"/>
        <v>22</v>
      </c>
    </row>
    <row r="402" spans="1:31">
      <c r="A402" s="4">
        <v>3003</v>
      </c>
      <c r="B402" s="4">
        <v>11</v>
      </c>
      <c r="C402" s="29" t="s">
        <v>66</v>
      </c>
      <c r="D402" s="46">
        <v>0</v>
      </c>
      <c r="E402" s="18">
        <f t="shared" si="715"/>
        <v>636</v>
      </c>
      <c r="F402" s="28">
        <v>0</v>
      </c>
      <c r="G402" s="28">
        <v>0</v>
      </c>
      <c r="H402" s="47">
        <v>0</v>
      </c>
      <c r="I402" s="21">
        <f t="shared" si="685"/>
        <v>165</v>
      </c>
      <c r="J402" s="21">
        <f t="shared" si="656"/>
        <v>10</v>
      </c>
      <c r="K402" s="21">
        <v>0</v>
      </c>
      <c r="L402" s="20">
        <v>6</v>
      </c>
      <c r="M402" s="20">
        <v>0</v>
      </c>
      <c r="N402" s="20">
        <f t="shared" si="686"/>
        <v>2200</v>
      </c>
      <c r="O402" s="19" t="s">
        <v>66</v>
      </c>
      <c r="P402" s="20">
        <v>9400</v>
      </c>
      <c r="Q402" s="20">
        <f t="shared" ref="Q402:X402" si="787">Q372</f>
        <v>220</v>
      </c>
      <c r="R402" s="20">
        <f t="shared" si="787"/>
        <v>880</v>
      </c>
      <c r="S402" s="20">
        <f t="shared" si="787"/>
        <v>1540</v>
      </c>
      <c r="T402" s="20">
        <f t="shared" si="787"/>
        <v>1980</v>
      </c>
      <c r="U402" s="20">
        <f t="shared" si="787"/>
        <v>100</v>
      </c>
      <c r="V402" s="20">
        <f t="shared" si="787"/>
        <v>800</v>
      </c>
      <c r="W402" s="20">
        <f t="shared" si="787"/>
        <v>600</v>
      </c>
      <c r="X402" s="20">
        <f t="shared" si="787"/>
        <v>3</v>
      </c>
      <c r="Y402" s="27">
        <v>0</v>
      </c>
      <c r="Z402" s="20">
        <f t="shared" si="717"/>
        <v>0</v>
      </c>
      <c r="AA402" s="27">
        <v>0</v>
      </c>
      <c r="AB402" s="27">
        <v>0</v>
      </c>
      <c r="AC402" s="27">
        <v>0</v>
      </c>
      <c r="AD402" s="23">
        <f t="shared" ref="AD402:AE402" si="788">AD372</f>
        <v>20</v>
      </c>
      <c r="AE402" s="23">
        <f t="shared" si="788"/>
        <v>24</v>
      </c>
    </row>
    <row r="403" spans="1:31">
      <c r="A403" s="4">
        <v>3003</v>
      </c>
      <c r="B403" s="4">
        <v>12</v>
      </c>
      <c r="C403" s="29" t="s">
        <v>67</v>
      </c>
      <c r="D403" s="46">
        <v>0</v>
      </c>
      <c r="E403" s="18">
        <f t="shared" si="715"/>
        <v>688</v>
      </c>
      <c r="F403" s="28">
        <v>0</v>
      </c>
      <c r="G403" s="28">
        <v>0</v>
      </c>
      <c r="H403" s="47">
        <v>0</v>
      </c>
      <c r="I403" s="21">
        <f t="shared" si="685"/>
        <v>165</v>
      </c>
      <c r="J403" s="21">
        <f t="shared" ref="J403:J451" si="789">B403-1</f>
        <v>11</v>
      </c>
      <c r="K403" s="21">
        <v>0</v>
      </c>
      <c r="L403" s="20">
        <v>6</v>
      </c>
      <c r="M403" s="20">
        <v>0</v>
      </c>
      <c r="N403" s="20">
        <f t="shared" si="686"/>
        <v>2400</v>
      </c>
      <c r="O403" s="19" t="s">
        <v>67</v>
      </c>
      <c r="P403" s="20">
        <v>9100</v>
      </c>
      <c r="Q403" s="20">
        <f t="shared" ref="Q403:X403" si="790">Q373</f>
        <v>240</v>
      </c>
      <c r="R403" s="20">
        <f t="shared" si="790"/>
        <v>960</v>
      </c>
      <c r="S403" s="20">
        <f t="shared" si="790"/>
        <v>1680</v>
      </c>
      <c r="T403" s="20">
        <f t="shared" si="790"/>
        <v>2160</v>
      </c>
      <c r="U403" s="20">
        <f t="shared" si="790"/>
        <v>150</v>
      </c>
      <c r="V403" s="20">
        <f t="shared" si="790"/>
        <v>700</v>
      </c>
      <c r="W403" s="20">
        <f t="shared" si="790"/>
        <v>900</v>
      </c>
      <c r="X403" s="20">
        <f t="shared" si="790"/>
        <v>3</v>
      </c>
      <c r="Y403" s="27">
        <v>0</v>
      </c>
      <c r="Z403" s="20">
        <f t="shared" si="717"/>
        <v>0</v>
      </c>
      <c r="AA403" s="27">
        <v>0</v>
      </c>
      <c r="AB403" s="27">
        <v>0</v>
      </c>
      <c r="AC403" s="27">
        <v>0</v>
      </c>
      <c r="AD403" s="23">
        <f t="shared" ref="AD403:AE403" si="791">AD373</f>
        <v>22</v>
      </c>
      <c r="AE403" s="23">
        <f t="shared" si="791"/>
        <v>26</v>
      </c>
    </row>
    <row r="404" spans="1:31">
      <c r="A404" s="8">
        <v>3003</v>
      </c>
      <c r="B404" s="8">
        <v>13</v>
      </c>
      <c r="C404" s="29" t="s">
        <v>68</v>
      </c>
      <c r="D404" s="46">
        <v>0</v>
      </c>
      <c r="E404" s="18">
        <f t="shared" si="715"/>
        <v>748</v>
      </c>
      <c r="F404" s="28">
        <v>0</v>
      </c>
      <c r="G404" s="28">
        <v>0</v>
      </c>
      <c r="H404" s="47">
        <v>0</v>
      </c>
      <c r="I404" s="21">
        <f t="shared" si="685"/>
        <v>220</v>
      </c>
      <c r="J404" s="21">
        <f t="shared" si="789"/>
        <v>12</v>
      </c>
      <c r="K404" s="21">
        <v>0</v>
      </c>
      <c r="L404" s="20">
        <v>6</v>
      </c>
      <c r="M404" s="20">
        <v>0</v>
      </c>
      <c r="N404" s="20">
        <f t="shared" si="686"/>
        <v>2600</v>
      </c>
      <c r="O404" s="19" t="s">
        <v>68</v>
      </c>
      <c r="P404" s="20">
        <v>8600</v>
      </c>
      <c r="Q404" s="20">
        <f t="shared" ref="Q404:X404" si="792">Q374</f>
        <v>260</v>
      </c>
      <c r="R404" s="20">
        <f t="shared" si="792"/>
        <v>1040</v>
      </c>
      <c r="S404" s="20">
        <f t="shared" si="792"/>
        <v>1819.9999999999998</v>
      </c>
      <c r="T404" s="20">
        <f t="shared" si="792"/>
        <v>2340</v>
      </c>
      <c r="U404" s="20">
        <f t="shared" si="792"/>
        <v>100</v>
      </c>
      <c r="V404" s="20">
        <f t="shared" si="792"/>
        <v>700</v>
      </c>
      <c r="W404" s="20">
        <f t="shared" si="792"/>
        <v>1000</v>
      </c>
      <c r="X404" s="20">
        <f t="shared" si="792"/>
        <v>4</v>
      </c>
      <c r="Y404" s="27">
        <v>0</v>
      </c>
      <c r="Z404" s="20">
        <f t="shared" si="717"/>
        <v>129</v>
      </c>
      <c r="AA404" s="27">
        <v>0</v>
      </c>
      <c r="AB404" s="27">
        <v>0</v>
      </c>
      <c r="AC404" s="27">
        <v>0</v>
      </c>
      <c r="AD404" s="23">
        <f t="shared" ref="AD404:AE404" si="793">AD374</f>
        <v>24</v>
      </c>
      <c r="AE404" s="23">
        <f t="shared" si="793"/>
        <v>28</v>
      </c>
    </row>
    <row r="405" spans="1:31">
      <c r="A405" s="4">
        <v>3003</v>
      </c>
      <c r="B405" s="4">
        <v>14</v>
      </c>
      <c r="C405" s="29" t="s">
        <v>69</v>
      </c>
      <c r="D405" s="46">
        <v>0</v>
      </c>
      <c r="E405" s="18">
        <f t="shared" si="715"/>
        <v>808</v>
      </c>
      <c r="F405" s="28">
        <v>0</v>
      </c>
      <c r="G405" s="28">
        <v>0</v>
      </c>
      <c r="H405" s="47">
        <v>0</v>
      </c>
      <c r="I405" s="21">
        <f t="shared" si="685"/>
        <v>220</v>
      </c>
      <c r="J405" s="21">
        <f t="shared" si="789"/>
        <v>13</v>
      </c>
      <c r="K405" s="21">
        <v>0</v>
      </c>
      <c r="L405" s="20">
        <v>6</v>
      </c>
      <c r="M405" s="20">
        <v>0</v>
      </c>
      <c r="N405" s="20">
        <f t="shared" si="686"/>
        <v>2800</v>
      </c>
      <c r="O405" s="19" t="s">
        <v>69</v>
      </c>
      <c r="P405" s="20">
        <v>6400</v>
      </c>
      <c r="Q405" s="20">
        <f t="shared" ref="Q405:X405" si="794">Q375</f>
        <v>280</v>
      </c>
      <c r="R405" s="20">
        <f t="shared" si="794"/>
        <v>1120</v>
      </c>
      <c r="S405" s="20">
        <f t="shared" si="794"/>
        <v>1959.9999999999998</v>
      </c>
      <c r="T405" s="20">
        <f t="shared" si="794"/>
        <v>2520</v>
      </c>
      <c r="U405" s="20">
        <f t="shared" si="794"/>
        <v>100</v>
      </c>
      <c r="V405" s="20">
        <f t="shared" si="794"/>
        <v>400</v>
      </c>
      <c r="W405" s="20">
        <f t="shared" si="794"/>
        <v>1200</v>
      </c>
      <c r="X405" s="20">
        <f t="shared" si="794"/>
        <v>4</v>
      </c>
      <c r="Y405" s="27">
        <v>0</v>
      </c>
      <c r="Z405" s="20">
        <f t="shared" si="717"/>
        <v>0</v>
      </c>
      <c r="AA405" s="27">
        <v>0</v>
      </c>
      <c r="AB405" s="27">
        <v>0</v>
      </c>
      <c r="AC405" s="27">
        <v>0</v>
      </c>
      <c r="AD405" s="23">
        <f t="shared" ref="AD405:AE405" si="795">AD375</f>
        <v>26</v>
      </c>
      <c r="AE405" s="23">
        <f t="shared" si="795"/>
        <v>30</v>
      </c>
    </row>
    <row r="406" spans="1:31">
      <c r="A406" s="4">
        <v>3003</v>
      </c>
      <c r="B406" s="4">
        <v>15</v>
      </c>
      <c r="C406" s="29" t="s">
        <v>70</v>
      </c>
      <c r="D406" s="46">
        <v>0</v>
      </c>
      <c r="E406" s="18">
        <f t="shared" si="715"/>
        <v>876</v>
      </c>
      <c r="F406" s="28">
        <v>0</v>
      </c>
      <c r="G406" s="28">
        <v>0</v>
      </c>
      <c r="H406" s="47">
        <v>0</v>
      </c>
      <c r="I406" s="21">
        <f t="shared" si="685"/>
        <v>220</v>
      </c>
      <c r="J406" s="21">
        <f t="shared" si="789"/>
        <v>14</v>
      </c>
      <c r="K406" s="21">
        <v>0</v>
      </c>
      <c r="L406" s="20">
        <v>6</v>
      </c>
      <c r="M406" s="20">
        <v>0</v>
      </c>
      <c r="N406" s="20">
        <f t="shared" si="686"/>
        <v>4500</v>
      </c>
      <c r="O406" s="19" t="s">
        <v>70</v>
      </c>
      <c r="P406" s="20">
        <v>3100</v>
      </c>
      <c r="Q406" s="20">
        <f t="shared" ref="Q406:X406" si="796">Q376</f>
        <v>450</v>
      </c>
      <c r="R406" s="20">
        <f t="shared" si="796"/>
        <v>1800</v>
      </c>
      <c r="S406" s="20">
        <f t="shared" si="796"/>
        <v>3150</v>
      </c>
      <c r="T406" s="20">
        <f t="shared" si="796"/>
        <v>4050</v>
      </c>
      <c r="U406" s="20">
        <f t="shared" si="796"/>
        <v>100</v>
      </c>
      <c r="V406" s="20">
        <f t="shared" si="796"/>
        <v>1000</v>
      </c>
      <c r="W406" s="20">
        <f t="shared" si="796"/>
        <v>600</v>
      </c>
      <c r="X406" s="20">
        <f t="shared" si="796"/>
        <v>4</v>
      </c>
      <c r="Y406" s="27">
        <v>0</v>
      </c>
      <c r="Z406" s="20">
        <f t="shared" si="717"/>
        <v>0</v>
      </c>
      <c r="AA406" s="27">
        <v>0</v>
      </c>
      <c r="AB406" s="27">
        <v>0</v>
      </c>
      <c r="AC406" s="27">
        <v>0</v>
      </c>
      <c r="AD406" s="23">
        <f t="shared" ref="AD406:AE406" si="797">AD376</f>
        <v>28</v>
      </c>
      <c r="AE406" s="23">
        <f t="shared" si="797"/>
        <v>32</v>
      </c>
    </row>
    <row r="407" spans="1:31">
      <c r="A407" s="4">
        <v>3003</v>
      </c>
      <c r="B407" s="4">
        <v>16</v>
      </c>
      <c r="C407" s="29" t="s">
        <v>71</v>
      </c>
      <c r="D407" s="46">
        <v>0</v>
      </c>
      <c r="E407" s="18">
        <f t="shared" si="715"/>
        <v>948</v>
      </c>
      <c r="F407" s="28">
        <v>0</v>
      </c>
      <c r="G407" s="28">
        <v>0</v>
      </c>
      <c r="H407" s="47">
        <v>0</v>
      </c>
      <c r="I407" s="21">
        <f t="shared" si="685"/>
        <v>220</v>
      </c>
      <c r="J407" s="21">
        <f t="shared" si="789"/>
        <v>15</v>
      </c>
      <c r="K407" s="21">
        <v>0</v>
      </c>
      <c r="L407" s="20">
        <v>6</v>
      </c>
      <c r="M407" s="20">
        <v>0</v>
      </c>
      <c r="N407" s="20">
        <f t="shared" si="686"/>
        <v>4800</v>
      </c>
      <c r="O407" s="19" t="s">
        <v>71</v>
      </c>
      <c r="P407" s="20">
        <v>1777</v>
      </c>
      <c r="Q407" s="20">
        <f t="shared" ref="Q407:X407" si="798">Q377</f>
        <v>480</v>
      </c>
      <c r="R407" s="20">
        <f t="shared" si="798"/>
        <v>1920</v>
      </c>
      <c r="S407" s="20">
        <f t="shared" si="798"/>
        <v>3360</v>
      </c>
      <c r="T407" s="20">
        <f t="shared" si="798"/>
        <v>4320</v>
      </c>
      <c r="U407" s="20">
        <f t="shared" si="798"/>
        <v>100</v>
      </c>
      <c r="V407" s="20">
        <f t="shared" si="798"/>
        <v>800</v>
      </c>
      <c r="W407" s="20">
        <f t="shared" si="798"/>
        <v>800</v>
      </c>
      <c r="X407" s="20">
        <f t="shared" si="798"/>
        <v>4</v>
      </c>
      <c r="Y407" s="27">
        <v>0</v>
      </c>
      <c r="Z407" s="20">
        <f t="shared" si="717"/>
        <v>0</v>
      </c>
      <c r="AA407" s="27">
        <v>0</v>
      </c>
      <c r="AB407" s="27">
        <v>0</v>
      </c>
      <c r="AC407" s="27">
        <v>0</v>
      </c>
      <c r="AD407" s="23">
        <f t="shared" ref="AD407:AE407" si="799">AD377</f>
        <v>30</v>
      </c>
      <c r="AE407" s="23">
        <f t="shared" si="799"/>
        <v>34</v>
      </c>
    </row>
    <row r="408" spans="1:31">
      <c r="A408" s="4">
        <v>3003</v>
      </c>
      <c r="B408" s="4">
        <v>17</v>
      </c>
      <c r="C408" s="29" t="s">
        <v>72</v>
      </c>
      <c r="D408" s="46">
        <v>0</v>
      </c>
      <c r="E408" s="18">
        <f t="shared" si="715"/>
        <v>1024</v>
      </c>
      <c r="F408" s="28">
        <v>0</v>
      </c>
      <c r="G408" s="28">
        <v>0</v>
      </c>
      <c r="H408" s="47">
        <v>0</v>
      </c>
      <c r="I408" s="21">
        <f t="shared" si="685"/>
        <v>275</v>
      </c>
      <c r="J408" s="21">
        <f t="shared" si="789"/>
        <v>16</v>
      </c>
      <c r="K408" s="21">
        <v>0</v>
      </c>
      <c r="L408" s="20">
        <v>6</v>
      </c>
      <c r="M408" s="20">
        <v>0</v>
      </c>
      <c r="N408" s="20">
        <f t="shared" si="686"/>
        <v>5100</v>
      </c>
      <c r="O408" s="19" t="s">
        <v>72</v>
      </c>
      <c r="P408" s="20">
        <v>2332</v>
      </c>
      <c r="Q408" s="20">
        <f t="shared" ref="Q408:X408" si="800">Q378</f>
        <v>510</v>
      </c>
      <c r="R408" s="20">
        <f t="shared" si="800"/>
        <v>2040</v>
      </c>
      <c r="S408" s="20">
        <f t="shared" si="800"/>
        <v>3570</v>
      </c>
      <c r="T408" s="20">
        <f t="shared" si="800"/>
        <v>4590</v>
      </c>
      <c r="U408" s="20">
        <f t="shared" si="800"/>
        <v>80</v>
      </c>
      <c r="V408" s="20">
        <f t="shared" si="800"/>
        <v>800</v>
      </c>
      <c r="W408" s="20">
        <f t="shared" si="800"/>
        <v>600</v>
      </c>
      <c r="X408" s="20">
        <f t="shared" si="800"/>
        <v>5</v>
      </c>
      <c r="Y408" s="27">
        <v>0</v>
      </c>
      <c r="Z408" s="20">
        <f t="shared" si="717"/>
        <v>0</v>
      </c>
      <c r="AA408" s="27">
        <v>0</v>
      </c>
      <c r="AB408" s="27">
        <v>0</v>
      </c>
      <c r="AC408" s="27">
        <v>0</v>
      </c>
      <c r="AD408" s="23">
        <f t="shared" ref="AD408:AE408" si="801">AD378</f>
        <v>32</v>
      </c>
      <c r="AE408" s="23">
        <f t="shared" si="801"/>
        <v>36</v>
      </c>
    </row>
    <row r="409" spans="1:31">
      <c r="A409" s="4">
        <v>3003</v>
      </c>
      <c r="B409" s="4">
        <v>18</v>
      </c>
      <c r="C409" s="29" t="s">
        <v>73</v>
      </c>
      <c r="D409" s="46">
        <v>0</v>
      </c>
      <c r="E409" s="18">
        <f t="shared" si="715"/>
        <v>1112</v>
      </c>
      <c r="F409" s="28">
        <v>0</v>
      </c>
      <c r="G409" s="28">
        <v>0</v>
      </c>
      <c r="H409" s="47">
        <v>0</v>
      </c>
      <c r="I409" s="21">
        <f t="shared" si="685"/>
        <v>275</v>
      </c>
      <c r="J409" s="21">
        <f t="shared" si="789"/>
        <v>17</v>
      </c>
      <c r="K409" s="21">
        <v>0</v>
      </c>
      <c r="L409" s="20">
        <v>6</v>
      </c>
      <c r="M409" s="20">
        <v>0</v>
      </c>
      <c r="N409" s="20">
        <f t="shared" si="686"/>
        <v>5400</v>
      </c>
      <c r="O409" s="19" t="s">
        <v>73</v>
      </c>
      <c r="P409" s="20">
        <v>1487</v>
      </c>
      <c r="Q409" s="20">
        <f t="shared" ref="Q409:X409" si="802">Q379</f>
        <v>540</v>
      </c>
      <c r="R409" s="20">
        <f t="shared" si="802"/>
        <v>2160</v>
      </c>
      <c r="S409" s="20">
        <f t="shared" si="802"/>
        <v>3779.9999999999995</v>
      </c>
      <c r="T409" s="20">
        <f t="shared" si="802"/>
        <v>4860</v>
      </c>
      <c r="U409" s="20">
        <f t="shared" si="802"/>
        <v>100</v>
      </c>
      <c r="V409" s="20">
        <f t="shared" si="802"/>
        <v>600</v>
      </c>
      <c r="W409" s="20">
        <f t="shared" si="802"/>
        <v>300</v>
      </c>
      <c r="X409" s="20">
        <f t="shared" si="802"/>
        <v>5</v>
      </c>
      <c r="Y409" s="27">
        <v>0</v>
      </c>
      <c r="Z409" s="20">
        <f t="shared" si="717"/>
        <v>194</v>
      </c>
      <c r="AA409" s="27">
        <v>0</v>
      </c>
      <c r="AB409" s="27">
        <v>0</v>
      </c>
      <c r="AC409" s="27">
        <v>0</v>
      </c>
      <c r="AD409" s="23">
        <f t="shared" ref="AD409:AE409" si="803">AD379</f>
        <v>34</v>
      </c>
      <c r="AE409" s="23">
        <f t="shared" si="803"/>
        <v>38</v>
      </c>
    </row>
    <row r="410" spans="1:31">
      <c r="A410" s="4">
        <v>3003</v>
      </c>
      <c r="B410" s="4">
        <v>19</v>
      </c>
      <c r="C410" s="29" t="s">
        <v>74</v>
      </c>
      <c r="D410" s="46">
        <v>0</v>
      </c>
      <c r="E410" s="18">
        <f t="shared" si="715"/>
        <v>1204</v>
      </c>
      <c r="F410" s="28">
        <v>0</v>
      </c>
      <c r="G410" s="28">
        <v>0</v>
      </c>
      <c r="H410" s="47">
        <v>0</v>
      </c>
      <c r="I410" s="21">
        <f t="shared" si="685"/>
        <v>275</v>
      </c>
      <c r="J410" s="21">
        <f t="shared" si="789"/>
        <v>18</v>
      </c>
      <c r="K410" s="21">
        <v>0</v>
      </c>
      <c r="L410" s="20">
        <v>6</v>
      </c>
      <c r="M410" s="20">
        <v>0</v>
      </c>
      <c r="N410" s="20">
        <f t="shared" si="686"/>
        <v>5700</v>
      </c>
      <c r="O410" s="19" t="s">
        <v>74</v>
      </c>
      <c r="P410" s="20">
        <v>1518</v>
      </c>
      <c r="Q410" s="20">
        <f t="shared" ref="Q410:X410" si="804">Q380</f>
        <v>570</v>
      </c>
      <c r="R410" s="20">
        <f t="shared" si="804"/>
        <v>2280</v>
      </c>
      <c r="S410" s="20">
        <f t="shared" si="804"/>
        <v>3989.9999999999995</v>
      </c>
      <c r="T410" s="20">
        <f t="shared" si="804"/>
        <v>5130</v>
      </c>
      <c r="U410" s="20">
        <f t="shared" si="804"/>
        <v>100</v>
      </c>
      <c r="V410" s="20">
        <f t="shared" si="804"/>
        <v>500</v>
      </c>
      <c r="W410" s="20">
        <f t="shared" si="804"/>
        <v>400</v>
      </c>
      <c r="X410" s="20">
        <f t="shared" si="804"/>
        <v>5</v>
      </c>
      <c r="Y410" s="27">
        <v>0</v>
      </c>
      <c r="Z410" s="20">
        <f t="shared" si="717"/>
        <v>0</v>
      </c>
      <c r="AA410" s="27">
        <v>0</v>
      </c>
      <c r="AB410" s="27">
        <v>0</v>
      </c>
      <c r="AC410" s="27">
        <v>0</v>
      </c>
      <c r="AD410" s="23">
        <f t="shared" ref="AD410:AE410" si="805">AD380</f>
        <v>36</v>
      </c>
      <c r="AE410" s="23">
        <f t="shared" si="805"/>
        <v>40</v>
      </c>
    </row>
    <row r="411" spans="1:31">
      <c r="A411" s="4">
        <v>3003</v>
      </c>
      <c r="B411" s="4">
        <v>20</v>
      </c>
      <c r="C411" s="29" t="s">
        <v>75</v>
      </c>
      <c r="D411" s="46">
        <v>0</v>
      </c>
      <c r="E411" s="18">
        <f t="shared" si="715"/>
        <v>1300</v>
      </c>
      <c r="F411" s="28">
        <v>0</v>
      </c>
      <c r="G411" s="28">
        <v>0</v>
      </c>
      <c r="H411" s="47">
        <v>0</v>
      </c>
      <c r="I411" s="21">
        <f t="shared" si="685"/>
        <v>275</v>
      </c>
      <c r="J411" s="21">
        <f t="shared" si="789"/>
        <v>19</v>
      </c>
      <c r="K411" s="21">
        <v>0</v>
      </c>
      <c r="L411" s="20">
        <v>6</v>
      </c>
      <c r="M411" s="20">
        <v>0</v>
      </c>
      <c r="N411" s="20">
        <f t="shared" si="686"/>
        <v>8000</v>
      </c>
      <c r="O411" s="19" t="s">
        <v>75</v>
      </c>
      <c r="P411" s="20">
        <v>861</v>
      </c>
      <c r="Q411" s="20">
        <f t="shared" ref="Q411:X411" si="806">Q381</f>
        <v>800</v>
      </c>
      <c r="R411" s="20">
        <f t="shared" si="806"/>
        <v>3200</v>
      </c>
      <c r="S411" s="20">
        <f t="shared" si="806"/>
        <v>5600</v>
      </c>
      <c r="T411" s="20">
        <f t="shared" si="806"/>
        <v>7200</v>
      </c>
      <c r="U411" s="20">
        <f t="shared" si="806"/>
        <v>100</v>
      </c>
      <c r="V411" s="20">
        <f t="shared" si="806"/>
        <v>800</v>
      </c>
      <c r="W411" s="20">
        <f t="shared" si="806"/>
        <v>8000</v>
      </c>
      <c r="X411" s="20">
        <f t="shared" si="806"/>
        <v>5</v>
      </c>
      <c r="Y411" s="27">
        <v>0</v>
      </c>
      <c r="Z411" s="20">
        <f t="shared" si="717"/>
        <v>0</v>
      </c>
      <c r="AA411" s="27">
        <v>0</v>
      </c>
      <c r="AB411" s="27">
        <v>0</v>
      </c>
      <c r="AC411" s="27">
        <v>0</v>
      </c>
      <c r="AD411" s="23">
        <f t="shared" ref="AD411:AE411" si="807">AD381</f>
        <v>38</v>
      </c>
      <c r="AE411" s="23">
        <f t="shared" si="807"/>
        <v>42</v>
      </c>
    </row>
    <row r="412" spans="1:31">
      <c r="A412" s="4">
        <v>3003</v>
      </c>
      <c r="B412" s="4">
        <v>21</v>
      </c>
      <c r="C412" s="29" t="s">
        <v>66</v>
      </c>
      <c r="D412" s="46">
        <v>0</v>
      </c>
      <c r="E412" s="18">
        <f t="shared" si="715"/>
        <v>1408</v>
      </c>
      <c r="F412" s="28">
        <v>0</v>
      </c>
      <c r="G412" s="28">
        <v>0</v>
      </c>
      <c r="H412" s="47">
        <v>0</v>
      </c>
      <c r="I412" s="21">
        <f t="shared" si="685"/>
        <v>330</v>
      </c>
      <c r="J412" s="21">
        <f t="shared" si="789"/>
        <v>20</v>
      </c>
      <c r="K412" s="21">
        <v>0</v>
      </c>
      <c r="L412" s="20">
        <v>6</v>
      </c>
      <c r="M412" s="20">
        <v>0</v>
      </c>
      <c r="N412" s="20">
        <f t="shared" si="686"/>
        <v>8400</v>
      </c>
      <c r="O412" s="19" t="s">
        <v>66</v>
      </c>
      <c r="P412" s="20">
        <v>9400</v>
      </c>
      <c r="Q412" s="20">
        <f t="shared" ref="Q412:X412" si="808">Q382</f>
        <v>840</v>
      </c>
      <c r="R412" s="20">
        <f t="shared" si="808"/>
        <v>3360</v>
      </c>
      <c r="S412" s="20">
        <f t="shared" si="808"/>
        <v>5880</v>
      </c>
      <c r="T412" s="20">
        <f t="shared" si="808"/>
        <v>7560</v>
      </c>
      <c r="U412" s="20">
        <f t="shared" si="808"/>
        <v>50</v>
      </c>
      <c r="V412" s="20">
        <f t="shared" si="808"/>
        <v>1000</v>
      </c>
      <c r="W412" s="20">
        <f t="shared" si="808"/>
        <v>600</v>
      </c>
      <c r="X412" s="20">
        <f t="shared" si="808"/>
        <v>6</v>
      </c>
      <c r="Y412" s="27">
        <v>0</v>
      </c>
      <c r="Z412" s="20">
        <f t="shared" si="717"/>
        <v>0</v>
      </c>
      <c r="AA412" s="27">
        <v>0</v>
      </c>
      <c r="AB412" s="27">
        <v>0</v>
      </c>
      <c r="AC412" s="27">
        <v>0</v>
      </c>
      <c r="AD412" s="23">
        <f t="shared" ref="AD412:AE412" si="809">AD382</f>
        <v>40</v>
      </c>
      <c r="AE412" s="23">
        <f t="shared" si="809"/>
        <v>44</v>
      </c>
    </row>
    <row r="413" spans="1:31">
      <c r="A413" s="4">
        <v>3003</v>
      </c>
      <c r="B413" s="4">
        <v>22</v>
      </c>
      <c r="C413" s="29" t="s">
        <v>67</v>
      </c>
      <c r="D413" s="46">
        <v>0</v>
      </c>
      <c r="E413" s="18">
        <f t="shared" si="715"/>
        <v>1524</v>
      </c>
      <c r="F413" s="28">
        <v>0</v>
      </c>
      <c r="G413" s="28">
        <v>0</v>
      </c>
      <c r="H413" s="47">
        <v>0</v>
      </c>
      <c r="I413" s="21">
        <f t="shared" si="685"/>
        <v>330</v>
      </c>
      <c r="J413" s="21">
        <f t="shared" si="789"/>
        <v>21</v>
      </c>
      <c r="K413" s="21">
        <v>0</v>
      </c>
      <c r="L413" s="20">
        <v>6</v>
      </c>
      <c r="M413" s="20">
        <v>0</v>
      </c>
      <c r="N413" s="20">
        <f t="shared" si="686"/>
        <v>8800</v>
      </c>
      <c r="O413" s="19" t="s">
        <v>67</v>
      </c>
      <c r="P413" s="20">
        <v>9100</v>
      </c>
      <c r="Q413" s="20">
        <f t="shared" ref="Q413:X413" si="810">Q383</f>
        <v>880</v>
      </c>
      <c r="R413" s="20">
        <f t="shared" si="810"/>
        <v>3520</v>
      </c>
      <c r="S413" s="20">
        <f t="shared" si="810"/>
        <v>6160</v>
      </c>
      <c r="T413" s="20">
        <f t="shared" si="810"/>
        <v>7920</v>
      </c>
      <c r="U413" s="20">
        <f t="shared" si="810"/>
        <v>100</v>
      </c>
      <c r="V413" s="20">
        <f t="shared" si="810"/>
        <v>600</v>
      </c>
      <c r="W413" s="20">
        <f t="shared" si="810"/>
        <v>700</v>
      </c>
      <c r="X413" s="20">
        <f t="shared" si="810"/>
        <v>6</v>
      </c>
      <c r="Y413" s="27">
        <v>0</v>
      </c>
      <c r="Z413" s="20">
        <f t="shared" si="717"/>
        <v>0</v>
      </c>
      <c r="AA413" s="27">
        <v>0</v>
      </c>
      <c r="AB413" s="27">
        <v>0</v>
      </c>
      <c r="AC413" s="27">
        <v>0</v>
      </c>
      <c r="AD413" s="23">
        <f t="shared" ref="AD413:AE413" si="811">AD383</f>
        <v>42</v>
      </c>
      <c r="AE413" s="23">
        <f t="shared" si="811"/>
        <v>46</v>
      </c>
    </row>
    <row r="414" spans="1:31">
      <c r="A414" s="4">
        <v>3003</v>
      </c>
      <c r="B414" s="4">
        <v>23</v>
      </c>
      <c r="C414" s="29" t="s">
        <v>68</v>
      </c>
      <c r="D414" s="46">
        <v>0</v>
      </c>
      <c r="E414" s="18">
        <f t="shared" si="715"/>
        <v>1652</v>
      </c>
      <c r="F414" s="28">
        <v>0</v>
      </c>
      <c r="G414" s="28">
        <v>0</v>
      </c>
      <c r="H414" s="47">
        <v>0</v>
      </c>
      <c r="I414" s="21">
        <f t="shared" si="685"/>
        <v>330</v>
      </c>
      <c r="J414" s="21">
        <f t="shared" si="789"/>
        <v>22</v>
      </c>
      <c r="K414" s="21">
        <v>0</v>
      </c>
      <c r="L414" s="20">
        <v>6</v>
      </c>
      <c r="M414" s="20">
        <v>0</v>
      </c>
      <c r="N414" s="20">
        <f t="shared" si="686"/>
        <v>9200</v>
      </c>
      <c r="O414" s="19" t="s">
        <v>68</v>
      </c>
      <c r="P414" s="20">
        <v>8600</v>
      </c>
      <c r="Q414" s="20">
        <f t="shared" ref="Q414:X414" si="812">Q384</f>
        <v>920</v>
      </c>
      <c r="R414" s="20">
        <f t="shared" si="812"/>
        <v>3680</v>
      </c>
      <c r="S414" s="20">
        <f t="shared" si="812"/>
        <v>6440</v>
      </c>
      <c r="T414" s="20">
        <f t="shared" si="812"/>
        <v>8280</v>
      </c>
      <c r="U414" s="20">
        <f t="shared" si="812"/>
        <v>100</v>
      </c>
      <c r="V414" s="20">
        <f t="shared" si="812"/>
        <v>550</v>
      </c>
      <c r="W414" s="20">
        <f t="shared" si="812"/>
        <v>500</v>
      </c>
      <c r="X414" s="20">
        <f t="shared" si="812"/>
        <v>6</v>
      </c>
      <c r="Y414" s="27">
        <v>0</v>
      </c>
      <c r="Z414" s="20">
        <f t="shared" si="717"/>
        <v>259</v>
      </c>
      <c r="AA414" s="27">
        <v>0</v>
      </c>
      <c r="AB414" s="27">
        <v>0</v>
      </c>
      <c r="AC414" s="27">
        <v>0</v>
      </c>
      <c r="AD414" s="23">
        <f t="shared" ref="AD414:AE414" si="813">AD384</f>
        <v>44</v>
      </c>
      <c r="AE414" s="23">
        <f t="shared" si="813"/>
        <v>48</v>
      </c>
    </row>
    <row r="415" spans="1:31">
      <c r="A415" s="4">
        <v>3003</v>
      </c>
      <c r="B415" s="4">
        <v>24</v>
      </c>
      <c r="C415" s="29" t="s">
        <v>69</v>
      </c>
      <c r="D415" s="46">
        <v>0</v>
      </c>
      <c r="E415" s="18">
        <f t="shared" si="715"/>
        <v>1788</v>
      </c>
      <c r="F415" s="28">
        <v>0</v>
      </c>
      <c r="G415" s="28">
        <v>0</v>
      </c>
      <c r="H415" s="47">
        <v>0</v>
      </c>
      <c r="I415" s="21">
        <f t="shared" si="685"/>
        <v>330</v>
      </c>
      <c r="J415" s="21">
        <f t="shared" si="789"/>
        <v>23</v>
      </c>
      <c r="K415" s="21">
        <v>0</v>
      </c>
      <c r="L415" s="20">
        <v>6</v>
      </c>
      <c r="M415" s="20">
        <v>0</v>
      </c>
      <c r="N415" s="20">
        <f t="shared" si="686"/>
        <v>9600</v>
      </c>
      <c r="O415" s="19" t="s">
        <v>69</v>
      </c>
      <c r="P415" s="20">
        <v>6400</v>
      </c>
      <c r="Q415" s="20">
        <f t="shared" ref="Q415:X415" si="814">Q385</f>
        <v>960</v>
      </c>
      <c r="R415" s="20">
        <f t="shared" si="814"/>
        <v>3840</v>
      </c>
      <c r="S415" s="20">
        <f t="shared" si="814"/>
        <v>6720</v>
      </c>
      <c r="T415" s="20">
        <f t="shared" si="814"/>
        <v>8640</v>
      </c>
      <c r="U415" s="20">
        <f t="shared" si="814"/>
        <v>100</v>
      </c>
      <c r="V415" s="20">
        <f t="shared" si="814"/>
        <v>500</v>
      </c>
      <c r="W415" s="20">
        <f t="shared" si="814"/>
        <v>900</v>
      </c>
      <c r="X415" s="20">
        <f t="shared" si="814"/>
        <v>6</v>
      </c>
      <c r="Y415" s="27">
        <v>0</v>
      </c>
      <c r="Z415" s="20">
        <f t="shared" si="717"/>
        <v>0</v>
      </c>
      <c r="AA415" s="27">
        <v>0</v>
      </c>
      <c r="AB415" s="27">
        <v>0</v>
      </c>
      <c r="AC415" s="27">
        <v>0</v>
      </c>
      <c r="AD415" s="23">
        <f t="shared" ref="AD415:AE415" si="815">AD385</f>
        <v>46</v>
      </c>
      <c r="AE415" s="23">
        <f t="shared" si="815"/>
        <v>50</v>
      </c>
    </row>
    <row r="416" spans="1:31">
      <c r="A416" s="8">
        <v>3003</v>
      </c>
      <c r="B416" s="8">
        <v>25</v>
      </c>
      <c r="C416" s="29" t="s">
        <v>70</v>
      </c>
      <c r="D416" s="46">
        <v>0</v>
      </c>
      <c r="E416" s="18">
        <f t="shared" si="715"/>
        <v>1936</v>
      </c>
      <c r="F416" s="28">
        <v>0</v>
      </c>
      <c r="G416" s="28">
        <v>0</v>
      </c>
      <c r="H416" s="47">
        <v>0</v>
      </c>
      <c r="I416" s="21">
        <f t="shared" si="685"/>
        <v>385</v>
      </c>
      <c r="J416" s="21">
        <f t="shared" si="789"/>
        <v>24</v>
      </c>
      <c r="K416" s="21">
        <v>0</v>
      </c>
      <c r="L416" s="20">
        <v>6</v>
      </c>
      <c r="M416" s="20">
        <v>0</v>
      </c>
      <c r="N416" s="20">
        <f t="shared" si="686"/>
        <v>12500</v>
      </c>
      <c r="O416" s="19" t="s">
        <v>70</v>
      </c>
      <c r="P416" s="20">
        <v>3100</v>
      </c>
      <c r="Q416" s="20">
        <f t="shared" ref="Q416:X416" si="816">Q386</f>
        <v>1250</v>
      </c>
      <c r="R416" s="20">
        <f t="shared" si="816"/>
        <v>5000</v>
      </c>
      <c r="S416" s="20">
        <f t="shared" si="816"/>
        <v>8750</v>
      </c>
      <c r="T416" s="20">
        <f t="shared" si="816"/>
        <v>11250</v>
      </c>
      <c r="U416" s="20">
        <f t="shared" si="816"/>
        <v>10</v>
      </c>
      <c r="V416" s="20">
        <f t="shared" si="816"/>
        <v>1300</v>
      </c>
      <c r="W416" s="20">
        <f t="shared" si="816"/>
        <v>1000</v>
      </c>
      <c r="X416" s="20">
        <f t="shared" si="816"/>
        <v>7</v>
      </c>
      <c r="Y416" s="27">
        <v>0</v>
      </c>
      <c r="Z416" s="20">
        <f t="shared" si="717"/>
        <v>0</v>
      </c>
      <c r="AA416" s="27">
        <v>0</v>
      </c>
      <c r="AB416" s="27">
        <v>0</v>
      </c>
      <c r="AC416" s="27">
        <v>0</v>
      </c>
      <c r="AD416" s="23">
        <f t="shared" ref="AD416:AE416" si="817">AD386</f>
        <v>48</v>
      </c>
      <c r="AE416" s="23">
        <f t="shared" si="817"/>
        <v>52</v>
      </c>
    </row>
    <row r="417" spans="1:31">
      <c r="A417" s="4">
        <v>3003</v>
      </c>
      <c r="B417" s="4">
        <v>26</v>
      </c>
      <c r="C417" s="29" t="s">
        <v>71</v>
      </c>
      <c r="D417" s="46">
        <v>0</v>
      </c>
      <c r="E417" s="18">
        <f t="shared" si="715"/>
        <v>2096</v>
      </c>
      <c r="F417" s="28">
        <v>0</v>
      </c>
      <c r="G417" s="28">
        <v>0</v>
      </c>
      <c r="H417" s="47">
        <v>0</v>
      </c>
      <c r="I417" s="21">
        <f t="shared" ref="I417:I480" si="818">I387</f>
        <v>385</v>
      </c>
      <c r="J417" s="21">
        <f t="shared" si="789"/>
        <v>25</v>
      </c>
      <c r="K417" s="21">
        <v>0</v>
      </c>
      <c r="L417" s="20">
        <v>6</v>
      </c>
      <c r="M417" s="20">
        <v>0</v>
      </c>
      <c r="N417" s="20">
        <f t="shared" ref="N417:N480" si="819">N387</f>
        <v>13000</v>
      </c>
      <c r="O417" s="19" t="s">
        <v>71</v>
      </c>
      <c r="P417" s="20">
        <v>1777</v>
      </c>
      <c r="Q417" s="20">
        <f t="shared" ref="Q417:X417" si="820">Q387</f>
        <v>1300</v>
      </c>
      <c r="R417" s="20">
        <f t="shared" si="820"/>
        <v>5200</v>
      </c>
      <c r="S417" s="20">
        <f t="shared" si="820"/>
        <v>9100</v>
      </c>
      <c r="T417" s="20">
        <f t="shared" si="820"/>
        <v>11700</v>
      </c>
      <c r="U417" s="20">
        <f t="shared" si="820"/>
        <v>90</v>
      </c>
      <c r="V417" s="20">
        <f t="shared" si="820"/>
        <v>800</v>
      </c>
      <c r="W417" s="20">
        <f t="shared" si="820"/>
        <v>2000</v>
      </c>
      <c r="X417" s="20">
        <f t="shared" si="820"/>
        <v>7</v>
      </c>
      <c r="Y417" s="27">
        <v>0</v>
      </c>
      <c r="Z417" s="20">
        <f t="shared" si="717"/>
        <v>0</v>
      </c>
      <c r="AA417" s="27">
        <v>0</v>
      </c>
      <c r="AB417" s="27">
        <v>0</v>
      </c>
      <c r="AC417" s="27">
        <v>0</v>
      </c>
      <c r="AD417" s="23">
        <f t="shared" ref="AD417:AE417" si="821">AD387</f>
        <v>50</v>
      </c>
      <c r="AE417" s="23">
        <f t="shared" si="821"/>
        <v>54</v>
      </c>
    </row>
    <row r="418" spans="1:31">
      <c r="A418" s="4">
        <v>3003</v>
      </c>
      <c r="B418" s="4">
        <v>27</v>
      </c>
      <c r="C418" s="29" t="s">
        <v>72</v>
      </c>
      <c r="D418" s="46">
        <v>0</v>
      </c>
      <c r="E418" s="18">
        <f t="shared" si="715"/>
        <v>2268</v>
      </c>
      <c r="F418" s="28">
        <v>0</v>
      </c>
      <c r="G418" s="28">
        <v>0</v>
      </c>
      <c r="H418" s="47">
        <v>0</v>
      </c>
      <c r="I418" s="21">
        <f t="shared" si="818"/>
        <v>385</v>
      </c>
      <c r="J418" s="21">
        <f t="shared" si="789"/>
        <v>26</v>
      </c>
      <c r="K418" s="21">
        <v>0</v>
      </c>
      <c r="L418" s="20">
        <v>6</v>
      </c>
      <c r="M418" s="20">
        <v>0</v>
      </c>
      <c r="N418" s="20">
        <f t="shared" si="819"/>
        <v>13500</v>
      </c>
      <c r="O418" s="19" t="s">
        <v>72</v>
      </c>
      <c r="P418" s="20">
        <v>2332</v>
      </c>
      <c r="Q418" s="20">
        <f t="shared" ref="Q418:X418" si="822">Q388</f>
        <v>1350</v>
      </c>
      <c r="R418" s="20">
        <f t="shared" si="822"/>
        <v>5400</v>
      </c>
      <c r="S418" s="20">
        <f t="shared" si="822"/>
        <v>9450</v>
      </c>
      <c r="T418" s="20">
        <f t="shared" si="822"/>
        <v>12150</v>
      </c>
      <c r="U418" s="20">
        <f t="shared" si="822"/>
        <v>80</v>
      </c>
      <c r="V418" s="20">
        <f t="shared" si="822"/>
        <v>700</v>
      </c>
      <c r="W418" s="20">
        <f t="shared" si="822"/>
        <v>800</v>
      </c>
      <c r="X418" s="20">
        <f t="shared" si="822"/>
        <v>7</v>
      </c>
      <c r="Y418" s="27">
        <v>0</v>
      </c>
      <c r="Z418" s="20">
        <f t="shared" si="717"/>
        <v>0</v>
      </c>
      <c r="AA418" s="27">
        <v>0</v>
      </c>
      <c r="AB418" s="27">
        <v>0</v>
      </c>
      <c r="AC418" s="27">
        <v>0</v>
      </c>
      <c r="AD418" s="23">
        <f t="shared" ref="AD418:AE418" si="823">AD388</f>
        <v>52</v>
      </c>
      <c r="AE418" s="23">
        <f t="shared" si="823"/>
        <v>56</v>
      </c>
    </row>
    <row r="419" spans="1:31">
      <c r="A419" s="4">
        <v>3003</v>
      </c>
      <c r="B419" s="4">
        <v>28</v>
      </c>
      <c r="C419" s="29" t="s">
        <v>73</v>
      </c>
      <c r="D419" s="46">
        <v>0</v>
      </c>
      <c r="E419" s="18">
        <f t="shared" si="715"/>
        <v>2456</v>
      </c>
      <c r="F419" s="28">
        <v>0</v>
      </c>
      <c r="G419" s="28">
        <v>0</v>
      </c>
      <c r="H419" s="47">
        <v>0</v>
      </c>
      <c r="I419" s="21">
        <f t="shared" si="818"/>
        <v>385</v>
      </c>
      <c r="J419" s="21">
        <f t="shared" si="789"/>
        <v>27</v>
      </c>
      <c r="K419" s="21">
        <v>0</v>
      </c>
      <c r="L419" s="20">
        <v>6</v>
      </c>
      <c r="M419" s="20">
        <v>0</v>
      </c>
      <c r="N419" s="20">
        <f t="shared" si="819"/>
        <v>14000</v>
      </c>
      <c r="O419" s="19" t="s">
        <v>73</v>
      </c>
      <c r="P419" s="20">
        <v>1487</v>
      </c>
      <c r="Q419" s="20">
        <f t="shared" ref="Q419:X419" si="824">Q389</f>
        <v>1400</v>
      </c>
      <c r="R419" s="20">
        <f t="shared" si="824"/>
        <v>5600</v>
      </c>
      <c r="S419" s="20">
        <f t="shared" si="824"/>
        <v>9800</v>
      </c>
      <c r="T419" s="20">
        <f t="shared" si="824"/>
        <v>12600</v>
      </c>
      <c r="U419" s="20">
        <f t="shared" si="824"/>
        <v>80</v>
      </c>
      <c r="V419" s="20">
        <f t="shared" si="824"/>
        <v>500</v>
      </c>
      <c r="W419" s="20">
        <f t="shared" si="824"/>
        <v>600</v>
      </c>
      <c r="X419" s="20">
        <f t="shared" si="824"/>
        <v>7</v>
      </c>
      <c r="Y419" s="27">
        <v>0</v>
      </c>
      <c r="Z419" s="20">
        <f t="shared" si="717"/>
        <v>324</v>
      </c>
      <c r="AA419" s="27">
        <v>0</v>
      </c>
      <c r="AB419" s="27">
        <v>0</v>
      </c>
      <c r="AC419" s="27">
        <v>0</v>
      </c>
      <c r="AD419" s="23">
        <f t="shared" ref="AD419:AE419" si="825">AD389</f>
        <v>54</v>
      </c>
      <c r="AE419" s="23">
        <f t="shared" si="825"/>
        <v>58</v>
      </c>
    </row>
    <row r="420" spans="1:31">
      <c r="A420" s="4">
        <v>3003</v>
      </c>
      <c r="B420" s="4">
        <v>29</v>
      </c>
      <c r="C420" s="29" t="s">
        <v>74</v>
      </c>
      <c r="D420" s="46">
        <v>0</v>
      </c>
      <c r="E420" s="18">
        <f t="shared" si="715"/>
        <v>2660</v>
      </c>
      <c r="F420" s="28">
        <v>0</v>
      </c>
      <c r="G420" s="28">
        <v>0</v>
      </c>
      <c r="H420" s="47">
        <v>0</v>
      </c>
      <c r="I420" s="21">
        <f t="shared" si="818"/>
        <v>440</v>
      </c>
      <c r="J420" s="21">
        <f t="shared" si="789"/>
        <v>28</v>
      </c>
      <c r="K420" s="21">
        <v>0</v>
      </c>
      <c r="L420" s="20">
        <v>6</v>
      </c>
      <c r="M420" s="20">
        <v>0</v>
      </c>
      <c r="N420" s="20">
        <f t="shared" si="819"/>
        <v>14500</v>
      </c>
      <c r="O420" s="19" t="s">
        <v>74</v>
      </c>
      <c r="P420" s="20">
        <v>1518</v>
      </c>
      <c r="Q420" s="20">
        <f t="shared" ref="Q420:X420" si="826">Q390</f>
        <v>1450</v>
      </c>
      <c r="R420" s="20">
        <f t="shared" si="826"/>
        <v>5800</v>
      </c>
      <c r="S420" s="20">
        <f t="shared" si="826"/>
        <v>10150</v>
      </c>
      <c r="T420" s="20">
        <f t="shared" si="826"/>
        <v>13050</v>
      </c>
      <c r="U420" s="20">
        <f t="shared" si="826"/>
        <v>80</v>
      </c>
      <c r="V420" s="20">
        <f t="shared" si="826"/>
        <v>600</v>
      </c>
      <c r="W420" s="20">
        <f t="shared" si="826"/>
        <v>700</v>
      </c>
      <c r="X420" s="20">
        <f t="shared" si="826"/>
        <v>8</v>
      </c>
      <c r="Y420" s="27">
        <v>0</v>
      </c>
      <c r="Z420" s="20">
        <f t="shared" si="717"/>
        <v>0</v>
      </c>
      <c r="AA420" s="27">
        <v>0</v>
      </c>
      <c r="AB420" s="27">
        <v>0</v>
      </c>
      <c r="AC420" s="27">
        <v>0</v>
      </c>
      <c r="AD420" s="23">
        <f t="shared" ref="AD420:AE420" si="827">AD390</f>
        <v>56</v>
      </c>
      <c r="AE420" s="23">
        <f t="shared" si="827"/>
        <v>60</v>
      </c>
    </row>
    <row r="421" spans="1:31">
      <c r="A421" s="4">
        <v>3003</v>
      </c>
      <c r="B421" s="4">
        <v>30</v>
      </c>
      <c r="C421" s="29" t="s">
        <v>75</v>
      </c>
      <c r="D421" s="46">
        <v>0</v>
      </c>
      <c r="E421" s="18">
        <f t="shared" si="715"/>
        <v>2880</v>
      </c>
      <c r="F421" s="28">
        <v>0</v>
      </c>
      <c r="G421" s="28">
        <v>0</v>
      </c>
      <c r="H421" s="47">
        <v>0</v>
      </c>
      <c r="I421" s="21">
        <f t="shared" si="818"/>
        <v>440</v>
      </c>
      <c r="J421" s="21">
        <f t="shared" si="789"/>
        <v>29</v>
      </c>
      <c r="K421" s="21">
        <v>0</v>
      </c>
      <c r="L421" s="20">
        <v>6</v>
      </c>
      <c r="M421" s="20">
        <v>0</v>
      </c>
      <c r="N421" s="20">
        <f t="shared" si="819"/>
        <v>15000</v>
      </c>
      <c r="O421" s="19" t="s">
        <v>75</v>
      </c>
      <c r="P421" s="20">
        <v>861</v>
      </c>
      <c r="Q421" s="20">
        <f t="shared" ref="Q421:X421" si="828">Q391</f>
        <v>1500</v>
      </c>
      <c r="R421" s="20">
        <f t="shared" si="828"/>
        <v>6000</v>
      </c>
      <c r="S421" s="20">
        <f t="shared" si="828"/>
        <v>10500</v>
      </c>
      <c r="T421" s="20">
        <f t="shared" si="828"/>
        <v>13500</v>
      </c>
      <c r="U421" s="20">
        <f t="shared" si="828"/>
        <v>20</v>
      </c>
      <c r="V421" s="20">
        <f t="shared" si="828"/>
        <v>450</v>
      </c>
      <c r="W421" s="20">
        <f t="shared" si="828"/>
        <v>1000</v>
      </c>
      <c r="X421" s="20">
        <f t="shared" si="828"/>
        <v>8</v>
      </c>
      <c r="Y421" s="27">
        <v>0</v>
      </c>
      <c r="Z421" s="20">
        <f t="shared" si="717"/>
        <v>0</v>
      </c>
      <c r="AA421" s="27">
        <v>0</v>
      </c>
      <c r="AB421" s="27">
        <v>0</v>
      </c>
      <c r="AC421" s="27">
        <v>0</v>
      </c>
      <c r="AD421" s="23">
        <f t="shared" ref="AD421:AE421" si="829">AD391</f>
        <v>58</v>
      </c>
      <c r="AE421" s="23">
        <f t="shared" si="829"/>
        <v>62</v>
      </c>
    </row>
    <row r="422" spans="1:31">
      <c r="A422" s="4">
        <v>3004</v>
      </c>
      <c r="B422" s="4">
        <v>1</v>
      </c>
      <c r="C422" s="19" t="s">
        <v>66</v>
      </c>
      <c r="D422" s="44">
        <v>0</v>
      </c>
      <c r="E422" s="18">
        <f t="shared" si="715"/>
        <v>324</v>
      </c>
      <c r="F422" s="18">
        <v>0</v>
      </c>
      <c r="G422" s="18">
        <v>0</v>
      </c>
      <c r="H422" s="45">
        <v>0</v>
      </c>
      <c r="I422" s="21">
        <f t="shared" si="818"/>
        <v>55</v>
      </c>
      <c r="J422" s="21">
        <f t="shared" si="789"/>
        <v>0</v>
      </c>
      <c r="K422" s="21">
        <v>0</v>
      </c>
      <c r="L422" s="20">
        <v>45</v>
      </c>
      <c r="M422" s="20">
        <v>0</v>
      </c>
      <c r="N422" s="20">
        <f t="shared" si="819"/>
        <v>10</v>
      </c>
      <c r="O422" s="19" t="s">
        <v>66</v>
      </c>
      <c r="P422" s="20">
        <v>9400</v>
      </c>
      <c r="Q422" s="20">
        <f t="shared" ref="Q422:X422" si="830">Q392</f>
        <v>1</v>
      </c>
      <c r="R422" s="20">
        <f t="shared" si="830"/>
        <v>4</v>
      </c>
      <c r="S422" s="20">
        <f t="shared" si="830"/>
        <v>7</v>
      </c>
      <c r="T422" s="20">
        <f t="shared" si="830"/>
        <v>9</v>
      </c>
      <c r="U422" s="20">
        <f t="shared" si="830"/>
        <v>9400</v>
      </c>
      <c r="V422" s="20">
        <f t="shared" si="830"/>
        <v>9400</v>
      </c>
      <c r="W422" s="20">
        <f t="shared" si="830"/>
        <v>9400</v>
      </c>
      <c r="X422" s="20">
        <f t="shared" si="830"/>
        <v>1</v>
      </c>
      <c r="Y422" s="20">
        <v>0</v>
      </c>
      <c r="Z422" s="20">
        <f t="shared" si="717"/>
        <v>0</v>
      </c>
      <c r="AA422" s="20">
        <v>0</v>
      </c>
      <c r="AB422" s="20">
        <v>0</v>
      </c>
      <c r="AC422" s="20">
        <v>0</v>
      </c>
      <c r="AD422" s="23">
        <f t="shared" ref="AD422:AE422" si="831">AD392</f>
        <v>1</v>
      </c>
      <c r="AE422" s="23">
        <f t="shared" si="831"/>
        <v>3</v>
      </c>
    </row>
    <row r="423" spans="1:31">
      <c r="A423" s="4">
        <v>3004</v>
      </c>
      <c r="B423" s="4">
        <v>2</v>
      </c>
      <c r="C423" s="19" t="s">
        <v>67</v>
      </c>
      <c r="D423" s="44">
        <v>0</v>
      </c>
      <c r="E423" s="18">
        <f t="shared" si="715"/>
        <v>351</v>
      </c>
      <c r="F423" s="18">
        <v>0</v>
      </c>
      <c r="G423" s="18">
        <v>0</v>
      </c>
      <c r="H423" s="45">
        <v>0</v>
      </c>
      <c r="I423" s="21">
        <f t="shared" si="818"/>
        <v>55</v>
      </c>
      <c r="J423" s="21">
        <f t="shared" si="789"/>
        <v>1</v>
      </c>
      <c r="K423" s="21">
        <v>0</v>
      </c>
      <c r="L423" s="20">
        <v>40</v>
      </c>
      <c r="M423" s="20">
        <v>0</v>
      </c>
      <c r="N423" s="20">
        <f t="shared" si="819"/>
        <v>20</v>
      </c>
      <c r="O423" s="19" t="s">
        <v>67</v>
      </c>
      <c r="P423" s="20">
        <v>9100</v>
      </c>
      <c r="Q423" s="20">
        <f t="shared" ref="Q423:X423" si="832">Q393</f>
        <v>2</v>
      </c>
      <c r="R423" s="20">
        <f t="shared" si="832"/>
        <v>8</v>
      </c>
      <c r="S423" s="20">
        <f t="shared" si="832"/>
        <v>14</v>
      </c>
      <c r="T423" s="20">
        <f t="shared" si="832"/>
        <v>18</v>
      </c>
      <c r="U423" s="20">
        <f t="shared" si="832"/>
        <v>4000</v>
      </c>
      <c r="V423" s="20">
        <f t="shared" si="832"/>
        <v>8000</v>
      </c>
      <c r="W423" s="20">
        <f t="shared" si="832"/>
        <v>8000</v>
      </c>
      <c r="X423" s="20">
        <f t="shared" si="832"/>
        <v>1</v>
      </c>
      <c r="Y423" s="20">
        <v>0</v>
      </c>
      <c r="Z423" s="20">
        <f t="shared" si="717"/>
        <v>0</v>
      </c>
      <c r="AA423" s="20">
        <v>0</v>
      </c>
      <c r="AB423" s="20">
        <v>0</v>
      </c>
      <c r="AC423" s="20">
        <v>0</v>
      </c>
      <c r="AD423" s="23">
        <f t="shared" ref="AD423:AE423" si="833">AD393</f>
        <v>2</v>
      </c>
      <c r="AE423" s="23">
        <f t="shared" si="833"/>
        <v>5</v>
      </c>
    </row>
    <row r="424" spans="1:31">
      <c r="A424" s="4">
        <v>3004</v>
      </c>
      <c r="B424" s="4">
        <v>3</v>
      </c>
      <c r="C424" s="19" t="s">
        <v>68</v>
      </c>
      <c r="D424" s="44">
        <v>0</v>
      </c>
      <c r="E424" s="18">
        <f t="shared" si="715"/>
        <v>378</v>
      </c>
      <c r="F424" s="18">
        <v>0</v>
      </c>
      <c r="G424" s="18">
        <v>0</v>
      </c>
      <c r="H424" s="45">
        <v>0</v>
      </c>
      <c r="I424" s="21">
        <f t="shared" si="818"/>
        <v>55</v>
      </c>
      <c r="J424" s="21">
        <f t="shared" si="789"/>
        <v>2</v>
      </c>
      <c r="K424" s="21">
        <v>0</v>
      </c>
      <c r="L424" s="20">
        <v>35</v>
      </c>
      <c r="M424" s="20">
        <v>0</v>
      </c>
      <c r="N424" s="20">
        <f t="shared" si="819"/>
        <v>40</v>
      </c>
      <c r="O424" s="19" t="s">
        <v>68</v>
      </c>
      <c r="P424" s="20">
        <v>8600</v>
      </c>
      <c r="Q424" s="20">
        <f t="shared" ref="Q424:X424" si="834">Q394</f>
        <v>4</v>
      </c>
      <c r="R424" s="20">
        <f t="shared" si="834"/>
        <v>16</v>
      </c>
      <c r="S424" s="20">
        <f t="shared" si="834"/>
        <v>28</v>
      </c>
      <c r="T424" s="20">
        <f t="shared" si="834"/>
        <v>36</v>
      </c>
      <c r="U424" s="20">
        <f t="shared" si="834"/>
        <v>1600</v>
      </c>
      <c r="V424" s="20">
        <f t="shared" si="834"/>
        <v>5000</v>
      </c>
      <c r="W424" s="20">
        <f t="shared" si="834"/>
        <v>6000</v>
      </c>
      <c r="X424" s="20">
        <f t="shared" si="834"/>
        <v>1</v>
      </c>
      <c r="Y424" s="20">
        <v>0</v>
      </c>
      <c r="Z424" s="20">
        <f t="shared" si="717"/>
        <v>0</v>
      </c>
      <c r="AA424" s="20">
        <v>0</v>
      </c>
      <c r="AB424" s="20">
        <v>0</v>
      </c>
      <c r="AC424" s="20">
        <v>0</v>
      </c>
      <c r="AD424" s="23">
        <f t="shared" ref="AD424:AE424" si="835">AD394</f>
        <v>4</v>
      </c>
      <c r="AE424" s="23">
        <f t="shared" si="835"/>
        <v>8</v>
      </c>
    </row>
    <row r="425" spans="1:31">
      <c r="A425" s="4">
        <v>3004</v>
      </c>
      <c r="B425" s="4">
        <v>4</v>
      </c>
      <c r="C425" s="19" t="s">
        <v>69</v>
      </c>
      <c r="D425" s="44">
        <v>0</v>
      </c>
      <c r="E425" s="18">
        <f t="shared" si="715"/>
        <v>410</v>
      </c>
      <c r="F425" s="18">
        <v>0</v>
      </c>
      <c r="G425" s="18">
        <v>0</v>
      </c>
      <c r="H425" s="45">
        <v>0</v>
      </c>
      <c r="I425" s="21">
        <f t="shared" si="818"/>
        <v>55</v>
      </c>
      <c r="J425" s="21">
        <f t="shared" si="789"/>
        <v>3</v>
      </c>
      <c r="K425" s="21">
        <v>0</v>
      </c>
      <c r="L425" s="20">
        <v>30</v>
      </c>
      <c r="M425" s="20">
        <v>0</v>
      </c>
      <c r="N425" s="20">
        <f t="shared" si="819"/>
        <v>100</v>
      </c>
      <c r="O425" s="19" t="s">
        <v>69</v>
      </c>
      <c r="P425" s="20">
        <v>6400</v>
      </c>
      <c r="Q425" s="20">
        <f t="shared" ref="Q425:X425" si="836">Q395</f>
        <v>10</v>
      </c>
      <c r="R425" s="20">
        <f t="shared" si="836"/>
        <v>40</v>
      </c>
      <c r="S425" s="20">
        <f t="shared" si="836"/>
        <v>70</v>
      </c>
      <c r="T425" s="20">
        <f t="shared" si="836"/>
        <v>90</v>
      </c>
      <c r="U425" s="20">
        <f t="shared" si="836"/>
        <v>900</v>
      </c>
      <c r="V425" s="20">
        <f t="shared" si="836"/>
        <v>2000</v>
      </c>
      <c r="W425" s="20">
        <f t="shared" si="836"/>
        <v>8000</v>
      </c>
      <c r="X425" s="20">
        <f t="shared" si="836"/>
        <v>1</v>
      </c>
      <c r="Y425" s="20">
        <v>0</v>
      </c>
      <c r="Z425" s="20">
        <f t="shared" si="717"/>
        <v>0</v>
      </c>
      <c r="AA425" s="20">
        <v>0</v>
      </c>
      <c r="AB425" s="20">
        <v>0</v>
      </c>
      <c r="AC425" s="20">
        <v>0</v>
      </c>
      <c r="AD425" s="23">
        <f t="shared" ref="AD425:AE425" si="837">AD395</f>
        <v>6</v>
      </c>
      <c r="AE425" s="23">
        <f t="shared" si="837"/>
        <v>10</v>
      </c>
    </row>
    <row r="426" spans="1:31">
      <c r="A426" s="4">
        <v>3004</v>
      </c>
      <c r="B426" s="4">
        <v>5</v>
      </c>
      <c r="C426" s="19" t="s">
        <v>70</v>
      </c>
      <c r="D426" s="44">
        <v>0</v>
      </c>
      <c r="E426" s="18">
        <f t="shared" si="715"/>
        <v>446</v>
      </c>
      <c r="F426" s="18">
        <v>0</v>
      </c>
      <c r="G426" s="18">
        <v>0</v>
      </c>
      <c r="H426" s="45">
        <v>0</v>
      </c>
      <c r="I426" s="21">
        <f t="shared" si="818"/>
        <v>110</v>
      </c>
      <c r="J426" s="21">
        <f t="shared" si="789"/>
        <v>4</v>
      </c>
      <c r="K426" s="21">
        <v>0</v>
      </c>
      <c r="L426" s="20">
        <v>25</v>
      </c>
      <c r="M426" s="20">
        <v>0</v>
      </c>
      <c r="N426" s="20">
        <f t="shared" si="819"/>
        <v>200</v>
      </c>
      <c r="O426" s="19" t="s">
        <v>70</v>
      </c>
      <c r="P426" s="20">
        <v>3100</v>
      </c>
      <c r="Q426" s="20">
        <f t="shared" ref="Q426:X426" si="838">Q396</f>
        <v>20</v>
      </c>
      <c r="R426" s="20">
        <f t="shared" si="838"/>
        <v>80</v>
      </c>
      <c r="S426" s="20">
        <f t="shared" si="838"/>
        <v>140</v>
      </c>
      <c r="T426" s="20">
        <f t="shared" si="838"/>
        <v>180</v>
      </c>
      <c r="U426" s="20">
        <f t="shared" si="838"/>
        <v>1000</v>
      </c>
      <c r="V426" s="20">
        <f t="shared" si="838"/>
        <v>2000</v>
      </c>
      <c r="W426" s="20">
        <f t="shared" si="838"/>
        <v>2000</v>
      </c>
      <c r="X426" s="20">
        <f t="shared" si="838"/>
        <v>2</v>
      </c>
      <c r="Y426" s="20">
        <v>0</v>
      </c>
      <c r="Z426" s="20">
        <f t="shared" si="717"/>
        <v>0</v>
      </c>
      <c r="AA426" s="20">
        <v>0</v>
      </c>
      <c r="AB426" s="20">
        <v>0</v>
      </c>
      <c r="AC426" s="20">
        <v>0</v>
      </c>
      <c r="AD426" s="23">
        <f t="shared" ref="AD426:AE426" si="839">AD396</f>
        <v>8</v>
      </c>
      <c r="AE426" s="23">
        <f t="shared" si="839"/>
        <v>12</v>
      </c>
    </row>
    <row r="427" spans="1:31">
      <c r="A427" s="4">
        <v>3004</v>
      </c>
      <c r="B427" s="4">
        <v>6</v>
      </c>
      <c r="C427" s="19" t="s">
        <v>71</v>
      </c>
      <c r="D427" s="44">
        <v>0</v>
      </c>
      <c r="E427" s="18">
        <f t="shared" si="715"/>
        <v>482</v>
      </c>
      <c r="F427" s="18">
        <v>0</v>
      </c>
      <c r="G427" s="18">
        <v>0</v>
      </c>
      <c r="H427" s="45">
        <v>0</v>
      </c>
      <c r="I427" s="21">
        <f t="shared" si="818"/>
        <v>110</v>
      </c>
      <c r="J427" s="21">
        <f t="shared" si="789"/>
        <v>5</v>
      </c>
      <c r="K427" s="21">
        <v>0</v>
      </c>
      <c r="L427" s="20">
        <v>20</v>
      </c>
      <c r="M427" s="20">
        <v>0</v>
      </c>
      <c r="N427" s="20">
        <f t="shared" si="819"/>
        <v>500</v>
      </c>
      <c r="O427" s="19" t="s">
        <v>71</v>
      </c>
      <c r="P427" s="20">
        <v>1777</v>
      </c>
      <c r="Q427" s="20">
        <f t="shared" ref="Q427:X427" si="840">Q397</f>
        <v>50</v>
      </c>
      <c r="R427" s="20">
        <f t="shared" si="840"/>
        <v>200</v>
      </c>
      <c r="S427" s="20">
        <f t="shared" si="840"/>
        <v>350</v>
      </c>
      <c r="T427" s="20">
        <f t="shared" si="840"/>
        <v>450</v>
      </c>
      <c r="U427" s="20">
        <f t="shared" si="840"/>
        <v>800</v>
      </c>
      <c r="V427" s="20">
        <f t="shared" si="840"/>
        <v>800</v>
      </c>
      <c r="W427" s="20">
        <f t="shared" si="840"/>
        <v>600</v>
      </c>
      <c r="X427" s="20">
        <f t="shared" si="840"/>
        <v>2</v>
      </c>
      <c r="Y427" s="20">
        <v>0</v>
      </c>
      <c r="Z427" s="20">
        <f t="shared" si="717"/>
        <v>0</v>
      </c>
      <c r="AA427" s="20">
        <v>0</v>
      </c>
      <c r="AB427" s="20">
        <v>0</v>
      </c>
      <c r="AC427" s="20">
        <v>0</v>
      </c>
      <c r="AD427" s="23">
        <f t="shared" ref="AD427:AE427" si="841">AD397</f>
        <v>10</v>
      </c>
      <c r="AE427" s="23">
        <f t="shared" si="841"/>
        <v>14</v>
      </c>
    </row>
    <row r="428" spans="1:31">
      <c r="A428" s="8">
        <v>3004</v>
      </c>
      <c r="B428" s="8">
        <v>7</v>
      </c>
      <c r="C428" s="19" t="s">
        <v>72</v>
      </c>
      <c r="D428" s="44">
        <v>0</v>
      </c>
      <c r="E428" s="18">
        <f t="shared" si="715"/>
        <v>522</v>
      </c>
      <c r="F428" s="18">
        <v>0</v>
      </c>
      <c r="G428" s="18">
        <v>0</v>
      </c>
      <c r="H428" s="45">
        <v>0</v>
      </c>
      <c r="I428" s="21">
        <f t="shared" si="818"/>
        <v>110</v>
      </c>
      <c r="J428" s="21">
        <f t="shared" si="789"/>
        <v>6</v>
      </c>
      <c r="K428" s="21">
        <v>0</v>
      </c>
      <c r="L428" s="20">
        <v>16</v>
      </c>
      <c r="M428" s="20">
        <v>0</v>
      </c>
      <c r="N428" s="20">
        <f t="shared" si="819"/>
        <v>700</v>
      </c>
      <c r="O428" s="19" t="s">
        <v>72</v>
      </c>
      <c r="P428" s="20">
        <v>2332</v>
      </c>
      <c r="Q428" s="20">
        <f t="shared" ref="Q428:X428" si="842">Q398</f>
        <v>70</v>
      </c>
      <c r="R428" s="20">
        <f t="shared" si="842"/>
        <v>280</v>
      </c>
      <c r="S428" s="20">
        <f t="shared" si="842"/>
        <v>489.99999999999994</v>
      </c>
      <c r="T428" s="20">
        <f t="shared" si="842"/>
        <v>630</v>
      </c>
      <c r="U428" s="20">
        <f t="shared" si="842"/>
        <v>650</v>
      </c>
      <c r="V428" s="20">
        <f t="shared" si="842"/>
        <v>800</v>
      </c>
      <c r="W428" s="20">
        <f t="shared" si="842"/>
        <v>300</v>
      </c>
      <c r="X428" s="20">
        <f t="shared" si="842"/>
        <v>2</v>
      </c>
      <c r="Y428" s="20">
        <v>0</v>
      </c>
      <c r="Z428" s="20">
        <f t="shared" si="717"/>
        <v>0</v>
      </c>
      <c r="AA428" s="20">
        <v>0</v>
      </c>
      <c r="AB428" s="20">
        <v>0</v>
      </c>
      <c r="AC428" s="20">
        <v>0</v>
      </c>
      <c r="AD428" s="23">
        <f t="shared" ref="AD428:AE428" si="843">AD398</f>
        <v>12</v>
      </c>
      <c r="AE428" s="23">
        <f t="shared" si="843"/>
        <v>16</v>
      </c>
    </row>
    <row r="429" spans="1:31">
      <c r="A429" s="4">
        <v>3004</v>
      </c>
      <c r="B429" s="4">
        <v>8</v>
      </c>
      <c r="C429" s="19" t="s">
        <v>73</v>
      </c>
      <c r="D429" s="44">
        <v>0</v>
      </c>
      <c r="E429" s="18">
        <f t="shared" si="715"/>
        <v>567</v>
      </c>
      <c r="F429" s="18">
        <v>0</v>
      </c>
      <c r="G429" s="18">
        <v>0</v>
      </c>
      <c r="H429" s="45">
        <v>0</v>
      </c>
      <c r="I429" s="21">
        <f t="shared" si="818"/>
        <v>110</v>
      </c>
      <c r="J429" s="21">
        <f t="shared" si="789"/>
        <v>7</v>
      </c>
      <c r="K429" s="21">
        <v>0</v>
      </c>
      <c r="L429" s="20">
        <v>12</v>
      </c>
      <c r="M429" s="20">
        <v>0</v>
      </c>
      <c r="N429" s="20">
        <f t="shared" si="819"/>
        <v>800</v>
      </c>
      <c r="O429" s="19" t="s">
        <v>73</v>
      </c>
      <c r="P429" s="20">
        <v>1487</v>
      </c>
      <c r="Q429" s="20">
        <f t="shared" ref="Q429:X429" si="844">Q399</f>
        <v>80</v>
      </c>
      <c r="R429" s="20">
        <f t="shared" si="844"/>
        <v>320</v>
      </c>
      <c r="S429" s="20">
        <f t="shared" si="844"/>
        <v>560</v>
      </c>
      <c r="T429" s="20">
        <f t="shared" si="844"/>
        <v>720</v>
      </c>
      <c r="U429" s="20">
        <f t="shared" si="844"/>
        <v>200</v>
      </c>
      <c r="V429" s="20">
        <f t="shared" si="844"/>
        <v>2000</v>
      </c>
      <c r="W429" s="20">
        <f t="shared" si="844"/>
        <v>1000</v>
      </c>
      <c r="X429" s="20">
        <f t="shared" si="844"/>
        <v>2</v>
      </c>
      <c r="Y429" s="20">
        <v>0</v>
      </c>
      <c r="Z429" s="20">
        <f t="shared" si="717"/>
        <v>72</v>
      </c>
      <c r="AA429" s="20">
        <v>0</v>
      </c>
      <c r="AB429" s="20">
        <v>0</v>
      </c>
      <c r="AC429" s="20">
        <v>0</v>
      </c>
      <c r="AD429" s="23">
        <f t="shared" ref="AD429:AE429" si="845">AD399</f>
        <v>14</v>
      </c>
      <c r="AE429" s="23">
        <f t="shared" si="845"/>
        <v>18</v>
      </c>
    </row>
    <row r="430" spans="1:31">
      <c r="A430" s="4">
        <v>3004</v>
      </c>
      <c r="B430" s="4">
        <v>9</v>
      </c>
      <c r="C430" s="19" t="s">
        <v>74</v>
      </c>
      <c r="D430" s="44">
        <v>0</v>
      </c>
      <c r="E430" s="18">
        <f t="shared" si="715"/>
        <v>612</v>
      </c>
      <c r="F430" s="18">
        <v>0</v>
      </c>
      <c r="G430" s="18">
        <v>0</v>
      </c>
      <c r="H430" s="45">
        <v>0</v>
      </c>
      <c r="I430" s="21">
        <f t="shared" si="818"/>
        <v>165</v>
      </c>
      <c r="J430" s="21">
        <f t="shared" si="789"/>
        <v>8</v>
      </c>
      <c r="K430" s="21">
        <v>0</v>
      </c>
      <c r="L430" s="20">
        <v>8</v>
      </c>
      <c r="M430" s="20">
        <v>0</v>
      </c>
      <c r="N430" s="20">
        <f t="shared" si="819"/>
        <v>900</v>
      </c>
      <c r="O430" s="19" t="s">
        <v>74</v>
      </c>
      <c r="P430" s="20">
        <v>1518</v>
      </c>
      <c r="Q430" s="20">
        <f t="shared" ref="Q430:X430" si="846">Q400</f>
        <v>90</v>
      </c>
      <c r="R430" s="20">
        <f t="shared" si="846"/>
        <v>360</v>
      </c>
      <c r="S430" s="20">
        <f t="shared" si="846"/>
        <v>630</v>
      </c>
      <c r="T430" s="20">
        <f t="shared" si="846"/>
        <v>810</v>
      </c>
      <c r="U430" s="20">
        <f t="shared" si="846"/>
        <v>120</v>
      </c>
      <c r="V430" s="20">
        <f t="shared" si="846"/>
        <v>1500</v>
      </c>
      <c r="W430" s="20">
        <f t="shared" si="846"/>
        <v>1000</v>
      </c>
      <c r="X430" s="20">
        <f t="shared" si="846"/>
        <v>3</v>
      </c>
      <c r="Y430" s="20">
        <v>0</v>
      </c>
      <c r="Z430" s="20">
        <f t="shared" si="717"/>
        <v>0</v>
      </c>
      <c r="AA430" s="20">
        <v>0</v>
      </c>
      <c r="AB430" s="20">
        <v>0</v>
      </c>
      <c r="AC430" s="20">
        <v>0</v>
      </c>
      <c r="AD430" s="23">
        <f t="shared" ref="AD430:AE430" si="847">AD400</f>
        <v>16</v>
      </c>
      <c r="AE430" s="23">
        <f t="shared" si="847"/>
        <v>20</v>
      </c>
    </row>
    <row r="431" spans="1:31">
      <c r="A431" s="4">
        <v>3004</v>
      </c>
      <c r="B431" s="4">
        <v>10</v>
      </c>
      <c r="C431" s="19" t="s">
        <v>75</v>
      </c>
      <c r="D431" s="44">
        <v>0</v>
      </c>
      <c r="E431" s="18">
        <f t="shared" ref="E431:E451" si="848">E281</f>
        <v>662</v>
      </c>
      <c r="F431" s="18">
        <v>0</v>
      </c>
      <c r="G431" s="18">
        <v>0</v>
      </c>
      <c r="H431" s="45">
        <v>0</v>
      </c>
      <c r="I431" s="21">
        <f t="shared" si="818"/>
        <v>165</v>
      </c>
      <c r="J431" s="21">
        <f t="shared" si="789"/>
        <v>9</v>
      </c>
      <c r="K431" s="21">
        <v>0</v>
      </c>
      <c r="L431" s="20">
        <v>6</v>
      </c>
      <c r="M431" s="20">
        <v>0</v>
      </c>
      <c r="N431" s="20">
        <f t="shared" si="819"/>
        <v>2000</v>
      </c>
      <c r="O431" s="19" t="s">
        <v>75</v>
      </c>
      <c r="P431" s="20">
        <v>861</v>
      </c>
      <c r="Q431" s="20">
        <f t="shared" ref="Q431:X431" si="849">Q401</f>
        <v>200</v>
      </c>
      <c r="R431" s="20">
        <f t="shared" si="849"/>
        <v>800</v>
      </c>
      <c r="S431" s="20">
        <f t="shared" si="849"/>
        <v>1400</v>
      </c>
      <c r="T431" s="20">
        <f t="shared" si="849"/>
        <v>1800</v>
      </c>
      <c r="U431" s="20">
        <f t="shared" si="849"/>
        <v>150</v>
      </c>
      <c r="V431" s="20">
        <f t="shared" si="849"/>
        <v>5000</v>
      </c>
      <c r="W431" s="20">
        <f t="shared" si="849"/>
        <v>800</v>
      </c>
      <c r="X431" s="20">
        <f t="shared" si="849"/>
        <v>3</v>
      </c>
      <c r="Y431" s="20">
        <v>0</v>
      </c>
      <c r="Z431" s="20">
        <f t="shared" ref="Z431:Z451" si="850">Z281</f>
        <v>0</v>
      </c>
      <c r="AA431" s="20">
        <v>0</v>
      </c>
      <c r="AB431" s="20">
        <v>0</v>
      </c>
      <c r="AC431" s="20">
        <v>0</v>
      </c>
      <c r="AD431" s="23">
        <f t="shared" ref="AD431:AE431" si="851">AD401</f>
        <v>18</v>
      </c>
      <c r="AE431" s="23">
        <f t="shared" si="851"/>
        <v>22</v>
      </c>
    </row>
    <row r="432" spans="1:31">
      <c r="A432" s="4">
        <v>3004</v>
      </c>
      <c r="B432" s="4">
        <v>11</v>
      </c>
      <c r="C432" s="19" t="s">
        <v>66</v>
      </c>
      <c r="D432" s="44">
        <v>0</v>
      </c>
      <c r="E432" s="18">
        <f t="shared" si="848"/>
        <v>716</v>
      </c>
      <c r="F432" s="18">
        <v>0</v>
      </c>
      <c r="G432" s="18">
        <v>0</v>
      </c>
      <c r="H432" s="45">
        <v>0</v>
      </c>
      <c r="I432" s="21">
        <f t="shared" si="818"/>
        <v>165</v>
      </c>
      <c r="J432" s="21">
        <f t="shared" si="789"/>
        <v>10</v>
      </c>
      <c r="K432" s="21">
        <v>0</v>
      </c>
      <c r="L432" s="20">
        <v>6</v>
      </c>
      <c r="M432" s="20">
        <v>0</v>
      </c>
      <c r="N432" s="20">
        <f t="shared" si="819"/>
        <v>2200</v>
      </c>
      <c r="O432" s="19" t="s">
        <v>66</v>
      </c>
      <c r="P432" s="20">
        <v>9400</v>
      </c>
      <c r="Q432" s="20">
        <f t="shared" ref="Q432:X432" si="852">Q402</f>
        <v>220</v>
      </c>
      <c r="R432" s="20">
        <f t="shared" si="852"/>
        <v>880</v>
      </c>
      <c r="S432" s="20">
        <f t="shared" si="852"/>
        <v>1540</v>
      </c>
      <c r="T432" s="20">
        <f t="shared" si="852"/>
        <v>1980</v>
      </c>
      <c r="U432" s="20">
        <f t="shared" si="852"/>
        <v>100</v>
      </c>
      <c r="V432" s="20">
        <f t="shared" si="852"/>
        <v>800</v>
      </c>
      <c r="W432" s="20">
        <f t="shared" si="852"/>
        <v>600</v>
      </c>
      <c r="X432" s="20">
        <f t="shared" si="852"/>
        <v>3</v>
      </c>
      <c r="Y432" s="20">
        <v>0</v>
      </c>
      <c r="Z432" s="20">
        <f t="shared" si="850"/>
        <v>0</v>
      </c>
      <c r="AA432" s="20">
        <v>0</v>
      </c>
      <c r="AB432" s="20">
        <v>0</v>
      </c>
      <c r="AC432" s="20">
        <v>0</v>
      </c>
      <c r="AD432" s="23">
        <f t="shared" ref="AD432:AE432" si="853">AD402</f>
        <v>20</v>
      </c>
      <c r="AE432" s="23">
        <f t="shared" si="853"/>
        <v>24</v>
      </c>
    </row>
    <row r="433" spans="1:31">
      <c r="A433" s="4">
        <v>3004</v>
      </c>
      <c r="B433" s="4">
        <v>12</v>
      </c>
      <c r="C433" s="19" t="s">
        <v>67</v>
      </c>
      <c r="D433" s="44">
        <v>0</v>
      </c>
      <c r="E433" s="18">
        <f t="shared" si="848"/>
        <v>774</v>
      </c>
      <c r="F433" s="18">
        <v>0</v>
      </c>
      <c r="G433" s="18">
        <v>0</v>
      </c>
      <c r="H433" s="45">
        <v>0</v>
      </c>
      <c r="I433" s="21">
        <f t="shared" si="818"/>
        <v>165</v>
      </c>
      <c r="J433" s="21">
        <f t="shared" si="789"/>
        <v>11</v>
      </c>
      <c r="K433" s="21">
        <v>0</v>
      </c>
      <c r="L433" s="20">
        <v>6</v>
      </c>
      <c r="M433" s="20">
        <v>0</v>
      </c>
      <c r="N433" s="20">
        <f t="shared" si="819"/>
        <v>2400</v>
      </c>
      <c r="O433" s="19" t="s">
        <v>67</v>
      </c>
      <c r="P433" s="20">
        <v>9100</v>
      </c>
      <c r="Q433" s="20">
        <f t="shared" ref="Q433:X433" si="854">Q403</f>
        <v>240</v>
      </c>
      <c r="R433" s="20">
        <f t="shared" si="854"/>
        <v>960</v>
      </c>
      <c r="S433" s="20">
        <f t="shared" si="854"/>
        <v>1680</v>
      </c>
      <c r="T433" s="20">
        <f t="shared" si="854"/>
        <v>2160</v>
      </c>
      <c r="U433" s="20">
        <f t="shared" si="854"/>
        <v>150</v>
      </c>
      <c r="V433" s="20">
        <f t="shared" si="854"/>
        <v>700</v>
      </c>
      <c r="W433" s="20">
        <f t="shared" si="854"/>
        <v>900</v>
      </c>
      <c r="X433" s="20">
        <f t="shared" si="854"/>
        <v>3</v>
      </c>
      <c r="Y433" s="20">
        <v>0</v>
      </c>
      <c r="Z433" s="20">
        <f t="shared" si="850"/>
        <v>0</v>
      </c>
      <c r="AA433" s="20">
        <v>0</v>
      </c>
      <c r="AB433" s="20">
        <v>0</v>
      </c>
      <c r="AC433" s="20">
        <v>0</v>
      </c>
      <c r="AD433" s="23">
        <f t="shared" ref="AD433:AE433" si="855">AD403</f>
        <v>22</v>
      </c>
      <c r="AE433" s="23">
        <f t="shared" si="855"/>
        <v>26</v>
      </c>
    </row>
    <row r="434" spans="1:31">
      <c r="A434" s="4">
        <v>3004</v>
      </c>
      <c r="B434" s="4">
        <v>13</v>
      </c>
      <c r="C434" s="19" t="s">
        <v>68</v>
      </c>
      <c r="D434" s="44">
        <v>0</v>
      </c>
      <c r="E434" s="18">
        <f t="shared" si="848"/>
        <v>842</v>
      </c>
      <c r="F434" s="18">
        <v>0</v>
      </c>
      <c r="G434" s="18">
        <v>0</v>
      </c>
      <c r="H434" s="45">
        <v>0</v>
      </c>
      <c r="I434" s="21">
        <f t="shared" si="818"/>
        <v>220</v>
      </c>
      <c r="J434" s="21">
        <f t="shared" si="789"/>
        <v>12</v>
      </c>
      <c r="K434" s="21">
        <v>0</v>
      </c>
      <c r="L434" s="20">
        <v>6</v>
      </c>
      <c r="M434" s="20">
        <v>0</v>
      </c>
      <c r="N434" s="20">
        <f t="shared" si="819"/>
        <v>2600</v>
      </c>
      <c r="O434" s="19" t="s">
        <v>68</v>
      </c>
      <c r="P434" s="20">
        <v>8600</v>
      </c>
      <c r="Q434" s="20">
        <f t="shared" ref="Q434:X434" si="856">Q404</f>
        <v>260</v>
      </c>
      <c r="R434" s="20">
        <f t="shared" si="856"/>
        <v>1040</v>
      </c>
      <c r="S434" s="20">
        <f t="shared" si="856"/>
        <v>1819.9999999999998</v>
      </c>
      <c r="T434" s="20">
        <f t="shared" si="856"/>
        <v>2340</v>
      </c>
      <c r="U434" s="20">
        <f t="shared" si="856"/>
        <v>100</v>
      </c>
      <c r="V434" s="20">
        <f t="shared" si="856"/>
        <v>700</v>
      </c>
      <c r="W434" s="20">
        <f t="shared" si="856"/>
        <v>1000</v>
      </c>
      <c r="X434" s="20">
        <f t="shared" si="856"/>
        <v>4</v>
      </c>
      <c r="Y434" s="20">
        <v>0</v>
      </c>
      <c r="Z434" s="20">
        <f t="shared" si="850"/>
        <v>144</v>
      </c>
      <c r="AA434" s="20">
        <v>0</v>
      </c>
      <c r="AB434" s="20">
        <v>0</v>
      </c>
      <c r="AC434" s="20">
        <v>0</v>
      </c>
      <c r="AD434" s="23">
        <f t="shared" ref="AD434:AE434" si="857">AD404</f>
        <v>24</v>
      </c>
      <c r="AE434" s="23">
        <f t="shared" si="857"/>
        <v>28</v>
      </c>
    </row>
    <row r="435" spans="1:31">
      <c r="A435" s="4">
        <v>3004</v>
      </c>
      <c r="B435" s="4">
        <v>14</v>
      </c>
      <c r="C435" s="19" t="s">
        <v>69</v>
      </c>
      <c r="D435" s="44">
        <v>0</v>
      </c>
      <c r="E435" s="18">
        <f t="shared" si="848"/>
        <v>909</v>
      </c>
      <c r="F435" s="18">
        <v>0</v>
      </c>
      <c r="G435" s="18">
        <v>0</v>
      </c>
      <c r="H435" s="45">
        <v>0</v>
      </c>
      <c r="I435" s="21">
        <f t="shared" si="818"/>
        <v>220</v>
      </c>
      <c r="J435" s="21">
        <f t="shared" si="789"/>
        <v>13</v>
      </c>
      <c r="K435" s="21">
        <v>0</v>
      </c>
      <c r="L435" s="20">
        <v>6</v>
      </c>
      <c r="M435" s="20">
        <v>0</v>
      </c>
      <c r="N435" s="20">
        <f t="shared" si="819"/>
        <v>2800</v>
      </c>
      <c r="O435" s="19" t="s">
        <v>69</v>
      </c>
      <c r="P435" s="20">
        <v>6400</v>
      </c>
      <c r="Q435" s="20">
        <f t="shared" ref="Q435:X435" si="858">Q405</f>
        <v>280</v>
      </c>
      <c r="R435" s="20">
        <f t="shared" si="858"/>
        <v>1120</v>
      </c>
      <c r="S435" s="20">
        <f t="shared" si="858"/>
        <v>1959.9999999999998</v>
      </c>
      <c r="T435" s="20">
        <f t="shared" si="858"/>
        <v>2520</v>
      </c>
      <c r="U435" s="20">
        <f t="shared" si="858"/>
        <v>100</v>
      </c>
      <c r="V435" s="20">
        <f t="shared" si="858"/>
        <v>400</v>
      </c>
      <c r="W435" s="20">
        <f t="shared" si="858"/>
        <v>1200</v>
      </c>
      <c r="X435" s="20">
        <f t="shared" si="858"/>
        <v>4</v>
      </c>
      <c r="Y435" s="20">
        <v>0</v>
      </c>
      <c r="Z435" s="20">
        <f t="shared" si="850"/>
        <v>0</v>
      </c>
      <c r="AA435" s="20">
        <v>0</v>
      </c>
      <c r="AB435" s="20">
        <v>0</v>
      </c>
      <c r="AC435" s="20">
        <v>0</v>
      </c>
      <c r="AD435" s="23">
        <f t="shared" ref="AD435:AE435" si="859">AD405</f>
        <v>26</v>
      </c>
      <c r="AE435" s="23">
        <f t="shared" si="859"/>
        <v>30</v>
      </c>
    </row>
    <row r="436" spans="1:31">
      <c r="A436" s="4">
        <v>3004</v>
      </c>
      <c r="B436" s="4">
        <v>15</v>
      </c>
      <c r="C436" s="19" t="s">
        <v>70</v>
      </c>
      <c r="D436" s="44">
        <v>0</v>
      </c>
      <c r="E436" s="18">
        <f t="shared" si="848"/>
        <v>986</v>
      </c>
      <c r="F436" s="18">
        <v>0</v>
      </c>
      <c r="G436" s="18">
        <v>0</v>
      </c>
      <c r="H436" s="45">
        <v>0</v>
      </c>
      <c r="I436" s="21">
        <f t="shared" si="818"/>
        <v>220</v>
      </c>
      <c r="J436" s="21">
        <f t="shared" si="789"/>
        <v>14</v>
      </c>
      <c r="K436" s="21">
        <v>0</v>
      </c>
      <c r="L436" s="20">
        <v>6</v>
      </c>
      <c r="M436" s="20">
        <v>0</v>
      </c>
      <c r="N436" s="20">
        <f t="shared" si="819"/>
        <v>4500</v>
      </c>
      <c r="O436" s="19" t="s">
        <v>70</v>
      </c>
      <c r="P436" s="20">
        <v>3100</v>
      </c>
      <c r="Q436" s="20">
        <f t="shared" ref="Q436:X436" si="860">Q406</f>
        <v>450</v>
      </c>
      <c r="R436" s="20">
        <f t="shared" si="860"/>
        <v>1800</v>
      </c>
      <c r="S436" s="20">
        <f t="shared" si="860"/>
        <v>3150</v>
      </c>
      <c r="T436" s="20">
        <f t="shared" si="860"/>
        <v>4050</v>
      </c>
      <c r="U436" s="20">
        <f t="shared" si="860"/>
        <v>100</v>
      </c>
      <c r="V436" s="20">
        <f t="shared" si="860"/>
        <v>1000</v>
      </c>
      <c r="W436" s="20">
        <f t="shared" si="860"/>
        <v>600</v>
      </c>
      <c r="X436" s="20">
        <f t="shared" si="860"/>
        <v>4</v>
      </c>
      <c r="Y436" s="20">
        <v>0</v>
      </c>
      <c r="Z436" s="20">
        <f t="shared" si="850"/>
        <v>0</v>
      </c>
      <c r="AA436" s="20">
        <v>0</v>
      </c>
      <c r="AB436" s="20">
        <v>0</v>
      </c>
      <c r="AC436" s="20">
        <v>0</v>
      </c>
      <c r="AD436" s="23">
        <f t="shared" ref="AD436:AE436" si="861">AD406</f>
        <v>28</v>
      </c>
      <c r="AE436" s="23">
        <f t="shared" si="861"/>
        <v>32</v>
      </c>
    </row>
    <row r="437" spans="1:31">
      <c r="A437" s="4">
        <v>3004</v>
      </c>
      <c r="B437" s="4">
        <v>16</v>
      </c>
      <c r="C437" s="19" t="s">
        <v>71</v>
      </c>
      <c r="D437" s="44">
        <v>0</v>
      </c>
      <c r="E437" s="18">
        <f t="shared" si="848"/>
        <v>1067</v>
      </c>
      <c r="F437" s="18">
        <v>0</v>
      </c>
      <c r="G437" s="18">
        <v>0</v>
      </c>
      <c r="H437" s="45">
        <v>0</v>
      </c>
      <c r="I437" s="21">
        <f t="shared" si="818"/>
        <v>220</v>
      </c>
      <c r="J437" s="21">
        <f t="shared" si="789"/>
        <v>15</v>
      </c>
      <c r="K437" s="21">
        <v>0</v>
      </c>
      <c r="L437" s="20">
        <v>6</v>
      </c>
      <c r="M437" s="20">
        <v>0</v>
      </c>
      <c r="N437" s="20">
        <f t="shared" si="819"/>
        <v>4800</v>
      </c>
      <c r="O437" s="19" t="s">
        <v>71</v>
      </c>
      <c r="P437" s="20">
        <v>1777</v>
      </c>
      <c r="Q437" s="20">
        <f t="shared" ref="Q437:X437" si="862">Q407</f>
        <v>480</v>
      </c>
      <c r="R437" s="20">
        <f t="shared" si="862"/>
        <v>1920</v>
      </c>
      <c r="S437" s="20">
        <f t="shared" si="862"/>
        <v>3360</v>
      </c>
      <c r="T437" s="20">
        <f t="shared" si="862"/>
        <v>4320</v>
      </c>
      <c r="U437" s="20">
        <f t="shared" si="862"/>
        <v>100</v>
      </c>
      <c r="V437" s="20">
        <f t="shared" si="862"/>
        <v>800</v>
      </c>
      <c r="W437" s="20">
        <f t="shared" si="862"/>
        <v>800</v>
      </c>
      <c r="X437" s="20">
        <f t="shared" si="862"/>
        <v>4</v>
      </c>
      <c r="Y437" s="20">
        <v>0</v>
      </c>
      <c r="Z437" s="20">
        <f t="shared" si="850"/>
        <v>0</v>
      </c>
      <c r="AA437" s="20">
        <v>0</v>
      </c>
      <c r="AB437" s="20">
        <v>0</v>
      </c>
      <c r="AC437" s="20">
        <v>0</v>
      </c>
      <c r="AD437" s="23">
        <f t="shared" ref="AD437:AE437" si="863">AD407</f>
        <v>30</v>
      </c>
      <c r="AE437" s="23">
        <f t="shared" si="863"/>
        <v>34</v>
      </c>
    </row>
    <row r="438" spans="1:31">
      <c r="A438" s="4">
        <v>3004</v>
      </c>
      <c r="B438" s="4">
        <v>17</v>
      </c>
      <c r="C438" s="19" t="s">
        <v>72</v>
      </c>
      <c r="D438" s="44">
        <v>0</v>
      </c>
      <c r="E438" s="18">
        <f t="shared" si="848"/>
        <v>1152</v>
      </c>
      <c r="F438" s="18">
        <v>0</v>
      </c>
      <c r="G438" s="18">
        <v>0</v>
      </c>
      <c r="H438" s="45">
        <v>0</v>
      </c>
      <c r="I438" s="21">
        <f t="shared" si="818"/>
        <v>275</v>
      </c>
      <c r="J438" s="21">
        <f t="shared" si="789"/>
        <v>16</v>
      </c>
      <c r="K438" s="21">
        <v>0</v>
      </c>
      <c r="L438" s="20">
        <v>6</v>
      </c>
      <c r="M438" s="20">
        <v>0</v>
      </c>
      <c r="N438" s="20">
        <f t="shared" si="819"/>
        <v>5100</v>
      </c>
      <c r="O438" s="19" t="s">
        <v>72</v>
      </c>
      <c r="P438" s="20">
        <v>2332</v>
      </c>
      <c r="Q438" s="20">
        <f t="shared" ref="Q438:X438" si="864">Q408</f>
        <v>510</v>
      </c>
      <c r="R438" s="20">
        <f t="shared" si="864"/>
        <v>2040</v>
      </c>
      <c r="S438" s="20">
        <f t="shared" si="864"/>
        <v>3570</v>
      </c>
      <c r="T438" s="20">
        <f t="shared" si="864"/>
        <v>4590</v>
      </c>
      <c r="U438" s="20">
        <f t="shared" si="864"/>
        <v>80</v>
      </c>
      <c r="V438" s="20">
        <f t="shared" si="864"/>
        <v>800</v>
      </c>
      <c r="W438" s="20">
        <f t="shared" si="864"/>
        <v>600</v>
      </c>
      <c r="X438" s="20">
        <f t="shared" si="864"/>
        <v>5</v>
      </c>
      <c r="Y438" s="20">
        <v>0</v>
      </c>
      <c r="Z438" s="20">
        <f t="shared" si="850"/>
        <v>0</v>
      </c>
      <c r="AA438" s="20">
        <v>0</v>
      </c>
      <c r="AB438" s="20">
        <v>0</v>
      </c>
      <c r="AC438" s="20">
        <v>0</v>
      </c>
      <c r="AD438" s="23">
        <f t="shared" ref="AD438:AE438" si="865">AD408</f>
        <v>32</v>
      </c>
      <c r="AE438" s="23">
        <f t="shared" si="865"/>
        <v>36</v>
      </c>
    </row>
    <row r="439" spans="1:31">
      <c r="A439" s="4">
        <v>3004</v>
      </c>
      <c r="B439" s="4">
        <v>18</v>
      </c>
      <c r="C439" s="19" t="s">
        <v>73</v>
      </c>
      <c r="D439" s="44">
        <v>0</v>
      </c>
      <c r="E439" s="18">
        <f t="shared" si="848"/>
        <v>1251</v>
      </c>
      <c r="F439" s="18">
        <v>0</v>
      </c>
      <c r="G439" s="18">
        <v>0</v>
      </c>
      <c r="H439" s="45">
        <v>0</v>
      </c>
      <c r="I439" s="21">
        <f t="shared" si="818"/>
        <v>275</v>
      </c>
      <c r="J439" s="21">
        <f t="shared" si="789"/>
        <v>17</v>
      </c>
      <c r="K439" s="21">
        <v>0</v>
      </c>
      <c r="L439" s="20">
        <v>6</v>
      </c>
      <c r="M439" s="20">
        <v>0</v>
      </c>
      <c r="N439" s="20">
        <f t="shared" si="819"/>
        <v>5400</v>
      </c>
      <c r="O439" s="19" t="s">
        <v>73</v>
      </c>
      <c r="P439" s="20">
        <v>1487</v>
      </c>
      <c r="Q439" s="20">
        <f t="shared" ref="Q439:X439" si="866">Q409</f>
        <v>540</v>
      </c>
      <c r="R439" s="20">
        <f t="shared" si="866"/>
        <v>2160</v>
      </c>
      <c r="S439" s="20">
        <f t="shared" si="866"/>
        <v>3779.9999999999995</v>
      </c>
      <c r="T439" s="20">
        <f t="shared" si="866"/>
        <v>4860</v>
      </c>
      <c r="U439" s="20">
        <f t="shared" si="866"/>
        <v>100</v>
      </c>
      <c r="V439" s="20">
        <f t="shared" si="866"/>
        <v>600</v>
      </c>
      <c r="W439" s="20">
        <f t="shared" si="866"/>
        <v>300</v>
      </c>
      <c r="X439" s="20">
        <f t="shared" si="866"/>
        <v>5</v>
      </c>
      <c r="Y439" s="20">
        <v>0</v>
      </c>
      <c r="Z439" s="20">
        <f t="shared" si="850"/>
        <v>216</v>
      </c>
      <c r="AA439" s="20">
        <v>0</v>
      </c>
      <c r="AB439" s="20">
        <v>0</v>
      </c>
      <c r="AC439" s="20">
        <v>0</v>
      </c>
      <c r="AD439" s="23">
        <f t="shared" ref="AD439:AE439" si="867">AD409</f>
        <v>34</v>
      </c>
      <c r="AE439" s="23">
        <f t="shared" si="867"/>
        <v>38</v>
      </c>
    </row>
    <row r="440" spans="1:31">
      <c r="A440" s="8">
        <v>3004</v>
      </c>
      <c r="B440" s="8">
        <v>19</v>
      </c>
      <c r="C440" s="19" t="s">
        <v>74</v>
      </c>
      <c r="D440" s="44">
        <v>0</v>
      </c>
      <c r="E440" s="18">
        <f t="shared" si="848"/>
        <v>1355</v>
      </c>
      <c r="F440" s="18">
        <v>0</v>
      </c>
      <c r="G440" s="18">
        <v>0</v>
      </c>
      <c r="H440" s="45">
        <v>0</v>
      </c>
      <c r="I440" s="21">
        <f t="shared" si="818"/>
        <v>275</v>
      </c>
      <c r="J440" s="21">
        <f t="shared" si="789"/>
        <v>18</v>
      </c>
      <c r="K440" s="21">
        <v>0</v>
      </c>
      <c r="L440" s="20">
        <v>6</v>
      </c>
      <c r="M440" s="20">
        <v>0</v>
      </c>
      <c r="N440" s="20">
        <f t="shared" si="819"/>
        <v>5700</v>
      </c>
      <c r="O440" s="19" t="s">
        <v>74</v>
      </c>
      <c r="P440" s="20">
        <v>1518</v>
      </c>
      <c r="Q440" s="20">
        <f t="shared" ref="Q440:X440" si="868">Q410</f>
        <v>570</v>
      </c>
      <c r="R440" s="20">
        <f t="shared" si="868"/>
        <v>2280</v>
      </c>
      <c r="S440" s="20">
        <f t="shared" si="868"/>
        <v>3989.9999999999995</v>
      </c>
      <c r="T440" s="20">
        <f t="shared" si="868"/>
        <v>5130</v>
      </c>
      <c r="U440" s="20">
        <f t="shared" si="868"/>
        <v>100</v>
      </c>
      <c r="V440" s="20">
        <f t="shared" si="868"/>
        <v>500</v>
      </c>
      <c r="W440" s="20">
        <f t="shared" si="868"/>
        <v>400</v>
      </c>
      <c r="X440" s="20">
        <f t="shared" si="868"/>
        <v>5</v>
      </c>
      <c r="Y440" s="20">
        <v>0</v>
      </c>
      <c r="Z440" s="20">
        <f t="shared" si="850"/>
        <v>0</v>
      </c>
      <c r="AA440" s="20">
        <v>0</v>
      </c>
      <c r="AB440" s="20">
        <v>0</v>
      </c>
      <c r="AC440" s="20">
        <v>0</v>
      </c>
      <c r="AD440" s="23">
        <f t="shared" ref="AD440:AE440" si="869">AD410</f>
        <v>36</v>
      </c>
      <c r="AE440" s="23">
        <f t="shared" si="869"/>
        <v>40</v>
      </c>
    </row>
    <row r="441" spans="1:31">
      <c r="A441" s="4">
        <v>3004</v>
      </c>
      <c r="B441" s="4">
        <v>20</v>
      </c>
      <c r="C441" s="19" t="s">
        <v>75</v>
      </c>
      <c r="D441" s="44">
        <v>0</v>
      </c>
      <c r="E441" s="18">
        <f t="shared" si="848"/>
        <v>1463</v>
      </c>
      <c r="F441" s="18">
        <v>0</v>
      </c>
      <c r="G441" s="18">
        <v>0</v>
      </c>
      <c r="H441" s="45">
        <v>0</v>
      </c>
      <c r="I441" s="21">
        <f t="shared" si="818"/>
        <v>275</v>
      </c>
      <c r="J441" s="21">
        <f t="shared" si="789"/>
        <v>19</v>
      </c>
      <c r="K441" s="21">
        <v>0</v>
      </c>
      <c r="L441" s="20">
        <v>6</v>
      </c>
      <c r="M441" s="20">
        <v>0</v>
      </c>
      <c r="N441" s="20">
        <f t="shared" si="819"/>
        <v>8000</v>
      </c>
      <c r="O441" s="19" t="s">
        <v>75</v>
      </c>
      <c r="P441" s="20">
        <v>861</v>
      </c>
      <c r="Q441" s="20">
        <f t="shared" ref="Q441:X441" si="870">Q411</f>
        <v>800</v>
      </c>
      <c r="R441" s="20">
        <f t="shared" si="870"/>
        <v>3200</v>
      </c>
      <c r="S441" s="20">
        <f t="shared" si="870"/>
        <v>5600</v>
      </c>
      <c r="T441" s="20">
        <f t="shared" si="870"/>
        <v>7200</v>
      </c>
      <c r="U441" s="20">
        <f t="shared" si="870"/>
        <v>100</v>
      </c>
      <c r="V441" s="20">
        <f t="shared" si="870"/>
        <v>800</v>
      </c>
      <c r="W441" s="20">
        <f t="shared" si="870"/>
        <v>8000</v>
      </c>
      <c r="X441" s="20">
        <f t="shared" si="870"/>
        <v>5</v>
      </c>
      <c r="Y441" s="20">
        <v>0</v>
      </c>
      <c r="Z441" s="20">
        <f t="shared" si="850"/>
        <v>0</v>
      </c>
      <c r="AA441" s="20">
        <v>0</v>
      </c>
      <c r="AB441" s="20">
        <v>0</v>
      </c>
      <c r="AC441" s="20">
        <v>0</v>
      </c>
      <c r="AD441" s="23">
        <f t="shared" ref="AD441:AE441" si="871">AD411</f>
        <v>38</v>
      </c>
      <c r="AE441" s="23">
        <f t="shared" si="871"/>
        <v>42</v>
      </c>
    </row>
    <row r="442" spans="1:31">
      <c r="A442" s="4">
        <v>3004</v>
      </c>
      <c r="B442" s="4">
        <v>21</v>
      </c>
      <c r="C442" s="19" t="s">
        <v>66</v>
      </c>
      <c r="D442" s="44">
        <v>0</v>
      </c>
      <c r="E442" s="18">
        <f t="shared" si="848"/>
        <v>1584</v>
      </c>
      <c r="F442" s="18">
        <v>0</v>
      </c>
      <c r="G442" s="18">
        <v>0</v>
      </c>
      <c r="H442" s="45">
        <v>0</v>
      </c>
      <c r="I442" s="21">
        <f t="shared" si="818"/>
        <v>330</v>
      </c>
      <c r="J442" s="21">
        <f t="shared" si="789"/>
        <v>20</v>
      </c>
      <c r="K442" s="21">
        <v>0</v>
      </c>
      <c r="L442" s="20">
        <v>6</v>
      </c>
      <c r="M442" s="20">
        <v>0</v>
      </c>
      <c r="N442" s="20">
        <f t="shared" si="819"/>
        <v>8400</v>
      </c>
      <c r="O442" s="19" t="s">
        <v>66</v>
      </c>
      <c r="P442" s="20">
        <v>9400</v>
      </c>
      <c r="Q442" s="20">
        <f t="shared" ref="Q442:X442" si="872">Q412</f>
        <v>840</v>
      </c>
      <c r="R442" s="20">
        <f t="shared" si="872"/>
        <v>3360</v>
      </c>
      <c r="S442" s="20">
        <f t="shared" si="872"/>
        <v>5880</v>
      </c>
      <c r="T442" s="20">
        <f t="shared" si="872"/>
        <v>7560</v>
      </c>
      <c r="U442" s="20">
        <f t="shared" si="872"/>
        <v>50</v>
      </c>
      <c r="V442" s="20">
        <f t="shared" si="872"/>
        <v>1000</v>
      </c>
      <c r="W442" s="20">
        <f t="shared" si="872"/>
        <v>600</v>
      </c>
      <c r="X442" s="20">
        <f t="shared" si="872"/>
        <v>6</v>
      </c>
      <c r="Y442" s="20">
        <v>0</v>
      </c>
      <c r="Z442" s="20">
        <f t="shared" si="850"/>
        <v>0</v>
      </c>
      <c r="AA442" s="20">
        <v>0</v>
      </c>
      <c r="AB442" s="20">
        <v>0</v>
      </c>
      <c r="AC442" s="20">
        <v>0</v>
      </c>
      <c r="AD442" s="23">
        <f t="shared" ref="AD442:AE442" si="873">AD412</f>
        <v>40</v>
      </c>
      <c r="AE442" s="23">
        <f t="shared" si="873"/>
        <v>44</v>
      </c>
    </row>
    <row r="443" spans="1:31">
      <c r="A443" s="4">
        <v>3004</v>
      </c>
      <c r="B443" s="4">
        <v>22</v>
      </c>
      <c r="C443" s="19" t="s">
        <v>67</v>
      </c>
      <c r="D443" s="44">
        <v>0</v>
      </c>
      <c r="E443" s="18">
        <f t="shared" si="848"/>
        <v>1715</v>
      </c>
      <c r="F443" s="18">
        <v>0</v>
      </c>
      <c r="G443" s="18">
        <v>0</v>
      </c>
      <c r="H443" s="45">
        <v>0</v>
      </c>
      <c r="I443" s="21">
        <f t="shared" si="818"/>
        <v>330</v>
      </c>
      <c r="J443" s="21">
        <f t="shared" si="789"/>
        <v>21</v>
      </c>
      <c r="K443" s="21">
        <v>0</v>
      </c>
      <c r="L443" s="20">
        <v>6</v>
      </c>
      <c r="M443" s="20">
        <v>0</v>
      </c>
      <c r="N443" s="20">
        <f t="shared" si="819"/>
        <v>8800</v>
      </c>
      <c r="O443" s="19" t="s">
        <v>67</v>
      </c>
      <c r="P443" s="20">
        <v>9100</v>
      </c>
      <c r="Q443" s="20">
        <f t="shared" ref="Q443:X443" si="874">Q413</f>
        <v>880</v>
      </c>
      <c r="R443" s="20">
        <f t="shared" si="874"/>
        <v>3520</v>
      </c>
      <c r="S443" s="20">
        <f t="shared" si="874"/>
        <v>6160</v>
      </c>
      <c r="T443" s="20">
        <f t="shared" si="874"/>
        <v>7920</v>
      </c>
      <c r="U443" s="20">
        <f t="shared" si="874"/>
        <v>100</v>
      </c>
      <c r="V443" s="20">
        <f t="shared" si="874"/>
        <v>600</v>
      </c>
      <c r="W443" s="20">
        <f t="shared" si="874"/>
        <v>700</v>
      </c>
      <c r="X443" s="20">
        <f t="shared" si="874"/>
        <v>6</v>
      </c>
      <c r="Y443" s="20">
        <v>0</v>
      </c>
      <c r="Z443" s="20">
        <f t="shared" si="850"/>
        <v>0</v>
      </c>
      <c r="AA443" s="20">
        <v>0</v>
      </c>
      <c r="AB443" s="20">
        <v>0</v>
      </c>
      <c r="AC443" s="20">
        <v>0</v>
      </c>
      <c r="AD443" s="23">
        <f t="shared" ref="AD443:AE443" si="875">AD413</f>
        <v>42</v>
      </c>
      <c r="AE443" s="23">
        <f t="shared" si="875"/>
        <v>46</v>
      </c>
    </row>
    <row r="444" spans="1:31">
      <c r="A444" s="4">
        <v>3004</v>
      </c>
      <c r="B444" s="4">
        <v>23</v>
      </c>
      <c r="C444" s="19" t="s">
        <v>68</v>
      </c>
      <c r="D444" s="44">
        <v>0</v>
      </c>
      <c r="E444" s="18">
        <f t="shared" si="848"/>
        <v>1859</v>
      </c>
      <c r="F444" s="18">
        <v>0</v>
      </c>
      <c r="G444" s="18">
        <v>0</v>
      </c>
      <c r="H444" s="45">
        <v>0</v>
      </c>
      <c r="I444" s="21">
        <f t="shared" si="818"/>
        <v>330</v>
      </c>
      <c r="J444" s="21">
        <f t="shared" si="789"/>
        <v>22</v>
      </c>
      <c r="K444" s="21">
        <v>0</v>
      </c>
      <c r="L444" s="20">
        <v>6</v>
      </c>
      <c r="M444" s="20">
        <v>0</v>
      </c>
      <c r="N444" s="20">
        <f t="shared" si="819"/>
        <v>9200</v>
      </c>
      <c r="O444" s="19" t="s">
        <v>68</v>
      </c>
      <c r="P444" s="20">
        <v>8600</v>
      </c>
      <c r="Q444" s="20">
        <f t="shared" ref="Q444:X444" si="876">Q414</f>
        <v>920</v>
      </c>
      <c r="R444" s="20">
        <f t="shared" si="876"/>
        <v>3680</v>
      </c>
      <c r="S444" s="20">
        <f t="shared" si="876"/>
        <v>6440</v>
      </c>
      <c r="T444" s="20">
        <f t="shared" si="876"/>
        <v>8280</v>
      </c>
      <c r="U444" s="20">
        <f t="shared" si="876"/>
        <v>100</v>
      </c>
      <c r="V444" s="20">
        <f t="shared" si="876"/>
        <v>550</v>
      </c>
      <c r="W444" s="20">
        <f t="shared" si="876"/>
        <v>500</v>
      </c>
      <c r="X444" s="20">
        <f t="shared" si="876"/>
        <v>6</v>
      </c>
      <c r="Y444" s="20">
        <v>0</v>
      </c>
      <c r="Z444" s="20">
        <f t="shared" si="850"/>
        <v>288</v>
      </c>
      <c r="AA444" s="20">
        <v>0</v>
      </c>
      <c r="AB444" s="20">
        <v>0</v>
      </c>
      <c r="AC444" s="20">
        <v>0</v>
      </c>
      <c r="AD444" s="23">
        <f t="shared" ref="AD444:AE444" si="877">AD414</f>
        <v>44</v>
      </c>
      <c r="AE444" s="23">
        <f t="shared" si="877"/>
        <v>48</v>
      </c>
    </row>
    <row r="445" spans="1:31">
      <c r="A445" s="4">
        <v>3004</v>
      </c>
      <c r="B445" s="4">
        <v>24</v>
      </c>
      <c r="C445" s="19" t="s">
        <v>69</v>
      </c>
      <c r="D445" s="44">
        <v>0</v>
      </c>
      <c r="E445" s="18">
        <f t="shared" si="848"/>
        <v>2012</v>
      </c>
      <c r="F445" s="18">
        <v>0</v>
      </c>
      <c r="G445" s="18">
        <v>0</v>
      </c>
      <c r="H445" s="45">
        <v>0</v>
      </c>
      <c r="I445" s="21">
        <f t="shared" si="818"/>
        <v>330</v>
      </c>
      <c r="J445" s="21">
        <f t="shared" si="789"/>
        <v>23</v>
      </c>
      <c r="K445" s="21">
        <v>0</v>
      </c>
      <c r="L445" s="20">
        <v>6</v>
      </c>
      <c r="M445" s="20">
        <v>0</v>
      </c>
      <c r="N445" s="20">
        <f t="shared" si="819"/>
        <v>9600</v>
      </c>
      <c r="O445" s="19" t="s">
        <v>69</v>
      </c>
      <c r="P445" s="20">
        <v>6400</v>
      </c>
      <c r="Q445" s="20">
        <f t="shared" ref="Q445:X445" si="878">Q415</f>
        <v>960</v>
      </c>
      <c r="R445" s="20">
        <f t="shared" si="878"/>
        <v>3840</v>
      </c>
      <c r="S445" s="20">
        <f t="shared" si="878"/>
        <v>6720</v>
      </c>
      <c r="T445" s="20">
        <f t="shared" si="878"/>
        <v>8640</v>
      </c>
      <c r="U445" s="20">
        <f t="shared" si="878"/>
        <v>100</v>
      </c>
      <c r="V445" s="20">
        <f t="shared" si="878"/>
        <v>500</v>
      </c>
      <c r="W445" s="20">
        <f t="shared" si="878"/>
        <v>900</v>
      </c>
      <c r="X445" s="20">
        <f t="shared" si="878"/>
        <v>6</v>
      </c>
      <c r="Y445" s="20">
        <v>0</v>
      </c>
      <c r="Z445" s="20">
        <f t="shared" si="850"/>
        <v>0</v>
      </c>
      <c r="AA445" s="20">
        <v>0</v>
      </c>
      <c r="AB445" s="20">
        <v>0</v>
      </c>
      <c r="AC445" s="20">
        <v>0</v>
      </c>
      <c r="AD445" s="23">
        <f t="shared" ref="AD445:AE445" si="879">AD415</f>
        <v>46</v>
      </c>
      <c r="AE445" s="23">
        <f t="shared" si="879"/>
        <v>50</v>
      </c>
    </row>
    <row r="446" spans="1:31">
      <c r="A446" s="4">
        <v>3004</v>
      </c>
      <c r="B446" s="4">
        <v>25</v>
      </c>
      <c r="C446" s="19" t="s">
        <v>70</v>
      </c>
      <c r="D446" s="44">
        <v>0</v>
      </c>
      <c r="E446" s="18">
        <f t="shared" si="848"/>
        <v>2178</v>
      </c>
      <c r="F446" s="18">
        <v>0</v>
      </c>
      <c r="G446" s="18">
        <v>0</v>
      </c>
      <c r="H446" s="45">
        <v>0</v>
      </c>
      <c r="I446" s="21">
        <f t="shared" si="818"/>
        <v>385</v>
      </c>
      <c r="J446" s="21">
        <f t="shared" si="789"/>
        <v>24</v>
      </c>
      <c r="K446" s="21">
        <v>0</v>
      </c>
      <c r="L446" s="20">
        <v>6</v>
      </c>
      <c r="M446" s="20">
        <v>0</v>
      </c>
      <c r="N446" s="20">
        <f t="shared" si="819"/>
        <v>12500</v>
      </c>
      <c r="O446" s="19" t="s">
        <v>70</v>
      </c>
      <c r="P446" s="20">
        <v>3100</v>
      </c>
      <c r="Q446" s="20">
        <f t="shared" ref="Q446:X446" si="880">Q416</f>
        <v>1250</v>
      </c>
      <c r="R446" s="20">
        <f t="shared" si="880"/>
        <v>5000</v>
      </c>
      <c r="S446" s="20">
        <f t="shared" si="880"/>
        <v>8750</v>
      </c>
      <c r="T446" s="20">
        <f t="shared" si="880"/>
        <v>11250</v>
      </c>
      <c r="U446" s="20">
        <f t="shared" si="880"/>
        <v>10</v>
      </c>
      <c r="V446" s="20">
        <f t="shared" si="880"/>
        <v>1300</v>
      </c>
      <c r="W446" s="20">
        <f t="shared" si="880"/>
        <v>1000</v>
      </c>
      <c r="X446" s="20">
        <f t="shared" si="880"/>
        <v>7</v>
      </c>
      <c r="Y446" s="20">
        <v>0</v>
      </c>
      <c r="Z446" s="20">
        <f t="shared" si="850"/>
        <v>0</v>
      </c>
      <c r="AA446" s="20">
        <v>0</v>
      </c>
      <c r="AB446" s="20">
        <v>0</v>
      </c>
      <c r="AC446" s="20">
        <v>0</v>
      </c>
      <c r="AD446" s="23">
        <f t="shared" ref="AD446:AE446" si="881">AD416</f>
        <v>48</v>
      </c>
      <c r="AE446" s="23">
        <f t="shared" si="881"/>
        <v>52</v>
      </c>
    </row>
    <row r="447" spans="1:31">
      <c r="A447" s="4">
        <v>3004</v>
      </c>
      <c r="B447" s="4">
        <v>26</v>
      </c>
      <c r="C447" s="19" t="s">
        <v>71</v>
      </c>
      <c r="D447" s="44">
        <v>0</v>
      </c>
      <c r="E447" s="18">
        <f t="shared" si="848"/>
        <v>2358</v>
      </c>
      <c r="F447" s="18">
        <v>0</v>
      </c>
      <c r="G447" s="18">
        <v>0</v>
      </c>
      <c r="H447" s="45">
        <v>0</v>
      </c>
      <c r="I447" s="21">
        <f t="shared" si="818"/>
        <v>385</v>
      </c>
      <c r="J447" s="21">
        <f t="shared" si="789"/>
        <v>25</v>
      </c>
      <c r="K447" s="21">
        <v>0</v>
      </c>
      <c r="L447" s="20">
        <v>6</v>
      </c>
      <c r="M447" s="20">
        <v>0</v>
      </c>
      <c r="N447" s="20">
        <f t="shared" si="819"/>
        <v>13000</v>
      </c>
      <c r="O447" s="19" t="s">
        <v>71</v>
      </c>
      <c r="P447" s="20">
        <v>1777</v>
      </c>
      <c r="Q447" s="20">
        <f t="shared" ref="Q447:X447" si="882">Q417</f>
        <v>1300</v>
      </c>
      <c r="R447" s="20">
        <f t="shared" si="882"/>
        <v>5200</v>
      </c>
      <c r="S447" s="20">
        <f t="shared" si="882"/>
        <v>9100</v>
      </c>
      <c r="T447" s="20">
        <f t="shared" si="882"/>
        <v>11700</v>
      </c>
      <c r="U447" s="20">
        <f t="shared" si="882"/>
        <v>90</v>
      </c>
      <c r="V447" s="20">
        <f t="shared" si="882"/>
        <v>800</v>
      </c>
      <c r="W447" s="20">
        <f t="shared" si="882"/>
        <v>2000</v>
      </c>
      <c r="X447" s="20">
        <f t="shared" si="882"/>
        <v>7</v>
      </c>
      <c r="Y447" s="20">
        <v>0</v>
      </c>
      <c r="Z447" s="20">
        <f t="shared" si="850"/>
        <v>0</v>
      </c>
      <c r="AA447" s="20">
        <v>0</v>
      </c>
      <c r="AB447" s="20">
        <v>0</v>
      </c>
      <c r="AC447" s="20">
        <v>0</v>
      </c>
      <c r="AD447" s="23">
        <f t="shared" ref="AD447:AE447" si="883">AD417</f>
        <v>50</v>
      </c>
      <c r="AE447" s="23">
        <f t="shared" si="883"/>
        <v>54</v>
      </c>
    </row>
    <row r="448" spans="1:31">
      <c r="A448" s="4">
        <v>3004</v>
      </c>
      <c r="B448" s="4">
        <v>27</v>
      </c>
      <c r="C448" s="19" t="s">
        <v>72</v>
      </c>
      <c r="D448" s="44">
        <v>0</v>
      </c>
      <c r="E448" s="18">
        <f t="shared" si="848"/>
        <v>2552</v>
      </c>
      <c r="F448" s="18">
        <v>0</v>
      </c>
      <c r="G448" s="18">
        <v>0</v>
      </c>
      <c r="H448" s="45">
        <v>0</v>
      </c>
      <c r="I448" s="21">
        <f t="shared" si="818"/>
        <v>385</v>
      </c>
      <c r="J448" s="21">
        <f t="shared" si="789"/>
        <v>26</v>
      </c>
      <c r="K448" s="21">
        <v>0</v>
      </c>
      <c r="L448" s="20">
        <v>6</v>
      </c>
      <c r="M448" s="20">
        <v>0</v>
      </c>
      <c r="N448" s="20">
        <f t="shared" si="819"/>
        <v>13500</v>
      </c>
      <c r="O448" s="19" t="s">
        <v>72</v>
      </c>
      <c r="P448" s="20">
        <v>2332</v>
      </c>
      <c r="Q448" s="20">
        <f t="shared" ref="Q448:X448" si="884">Q418</f>
        <v>1350</v>
      </c>
      <c r="R448" s="20">
        <f t="shared" si="884"/>
        <v>5400</v>
      </c>
      <c r="S448" s="20">
        <f t="shared" si="884"/>
        <v>9450</v>
      </c>
      <c r="T448" s="20">
        <f t="shared" si="884"/>
        <v>12150</v>
      </c>
      <c r="U448" s="20">
        <f t="shared" si="884"/>
        <v>80</v>
      </c>
      <c r="V448" s="20">
        <f t="shared" si="884"/>
        <v>700</v>
      </c>
      <c r="W448" s="20">
        <f t="shared" si="884"/>
        <v>800</v>
      </c>
      <c r="X448" s="20">
        <f t="shared" si="884"/>
        <v>7</v>
      </c>
      <c r="Y448" s="20">
        <v>0</v>
      </c>
      <c r="Z448" s="20">
        <f t="shared" si="850"/>
        <v>0</v>
      </c>
      <c r="AA448" s="20">
        <v>0</v>
      </c>
      <c r="AB448" s="20">
        <v>0</v>
      </c>
      <c r="AC448" s="20">
        <v>0</v>
      </c>
      <c r="AD448" s="23">
        <f t="shared" ref="AD448:AE448" si="885">AD418</f>
        <v>52</v>
      </c>
      <c r="AE448" s="23">
        <f t="shared" si="885"/>
        <v>56</v>
      </c>
    </row>
    <row r="449" spans="1:31">
      <c r="A449" s="4">
        <v>3004</v>
      </c>
      <c r="B449" s="4">
        <v>28</v>
      </c>
      <c r="C449" s="19" t="s">
        <v>73</v>
      </c>
      <c r="D449" s="44">
        <v>0</v>
      </c>
      <c r="E449" s="18">
        <f t="shared" si="848"/>
        <v>2763</v>
      </c>
      <c r="F449" s="18">
        <v>0</v>
      </c>
      <c r="G449" s="18">
        <v>0</v>
      </c>
      <c r="H449" s="45">
        <v>0</v>
      </c>
      <c r="I449" s="21">
        <f t="shared" si="818"/>
        <v>385</v>
      </c>
      <c r="J449" s="21">
        <f t="shared" si="789"/>
        <v>27</v>
      </c>
      <c r="K449" s="21">
        <v>0</v>
      </c>
      <c r="L449" s="20">
        <v>6</v>
      </c>
      <c r="M449" s="20">
        <v>0</v>
      </c>
      <c r="N449" s="20">
        <f t="shared" si="819"/>
        <v>14000</v>
      </c>
      <c r="O449" s="19" t="s">
        <v>73</v>
      </c>
      <c r="P449" s="20">
        <v>1487</v>
      </c>
      <c r="Q449" s="20">
        <f t="shared" ref="Q449:X449" si="886">Q419</f>
        <v>1400</v>
      </c>
      <c r="R449" s="20">
        <f t="shared" si="886"/>
        <v>5600</v>
      </c>
      <c r="S449" s="20">
        <f t="shared" si="886"/>
        <v>9800</v>
      </c>
      <c r="T449" s="20">
        <f t="shared" si="886"/>
        <v>12600</v>
      </c>
      <c r="U449" s="20">
        <f t="shared" si="886"/>
        <v>80</v>
      </c>
      <c r="V449" s="20">
        <f t="shared" si="886"/>
        <v>500</v>
      </c>
      <c r="W449" s="20">
        <f t="shared" si="886"/>
        <v>600</v>
      </c>
      <c r="X449" s="20">
        <f t="shared" si="886"/>
        <v>7</v>
      </c>
      <c r="Y449" s="20">
        <v>0</v>
      </c>
      <c r="Z449" s="20">
        <f t="shared" si="850"/>
        <v>360</v>
      </c>
      <c r="AA449" s="20">
        <v>0</v>
      </c>
      <c r="AB449" s="20">
        <v>0</v>
      </c>
      <c r="AC449" s="20">
        <v>0</v>
      </c>
      <c r="AD449" s="23">
        <f t="shared" ref="AD449:AE449" si="887">AD419</f>
        <v>54</v>
      </c>
      <c r="AE449" s="23">
        <f t="shared" si="887"/>
        <v>58</v>
      </c>
    </row>
    <row r="450" spans="1:31">
      <c r="A450" s="4">
        <v>3004</v>
      </c>
      <c r="B450" s="4">
        <v>29</v>
      </c>
      <c r="C450" s="19" t="s">
        <v>74</v>
      </c>
      <c r="D450" s="44">
        <v>0</v>
      </c>
      <c r="E450" s="18">
        <f t="shared" si="848"/>
        <v>2993</v>
      </c>
      <c r="F450" s="18">
        <v>0</v>
      </c>
      <c r="G450" s="18">
        <v>0</v>
      </c>
      <c r="H450" s="45">
        <v>0</v>
      </c>
      <c r="I450" s="21">
        <f t="shared" si="818"/>
        <v>440</v>
      </c>
      <c r="J450" s="21">
        <f t="shared" si="789"/>
        <v>28</v>
      </c>
      <c r="K450" s="21">
        <v>0</v>
      </c>
      <c r="L450" s="20">
        <v>6</v>
      </c>
      <c r="M450" s="20">
        <v>0</v>
      </c>
      <c r="N450" s="20">
        <f t="shared" si="819"/>
        <v>14500</v>
      </c>
      <c r="O450" s="19" t="s">
        <v>74</v>
      </c>
      <c r="P450" s="20">
        <v>1518</v>
      </c>
      <c r="Q450" s="20">
        <f t="shared" ref="Q450:X450" si="888">Q420</f>
        <v>1450</v>
      </c>
      <c r="R450" s="20">
        <f t="shared" si="888"/>
        <v>5800</v>
      </c>
      <c r="S450" s="20">
        <f t="shared" si="888"/>
        <v>10150</v>
      </c>
      <c r="T450" s="20">
        <f t="shared" si="888"/>
        <v>13050</v>
      </c>
      <c r="U450" s="20">
        <f t="shared" si="888"/>
        <v>80</v>
      </c>
      <c r="V450" s="20">
        <f t="shared" si="888"/>
        <v>600</v>
      </c>
      <c r="W450" s="20">
        <f t="shared" si="888"/>
        <v>700</v>
      </c>
      <c r="X450" s="20">
        <f t="shared" si="888"/>
        <v>8</v>
      </c>
      <c r="Y450" s="20">
        <v>0</v>
      </c>
      <c r="Z450" s="20">
        <f t="shared" si="850"/>
        <v>0</v>
      </c>
      <c r="AA450" s="20">
        <v>0</v>
      </c>
      <c r="AB450" s="20">
        <v>0</v>
      </c>
      <c r="AC450" s="20">
        <v>0</v>
      </c>
      <c r="AD450" s="23">
        <f t="shared" ref="AD450:AE450" si="889">AD420</f>
        <v>56</v>
      </c>
      <c r="AE450" s="23">
        <f t="shared" si="889"/>
        <v>60</v>
      </c>
    </row>
    <row r="451" spans="1:31">
      <c r="A451" s="4">
        <v>3004</v>
      </c>
      <c r="B451" s="4">
        <v>30</v>
      </c>
      <c r="C451" s="19" t="s">
        <v>75</v>
      </c>
      <c r="D451" s="44">
        <v>0</v>
      </c>
      <c r="E451" s="18">
        <f t="shared" si="848"/>
        <v>3240</v>
      </c>
      <c r="F451" s="18">
        <v>0</v>
      </c>
      <c r="G451" s="18">
        <v>0</v>
      </c>
      <c r="H451" s="45">
        <v>0</v>
      </c>
      <c r="I451" s="21">
        <f t="shared" si="818"/>
        <v>440</v>
      </c>
      <c r="J451" s="21">
        <f t="shared" si="789"/>
        <v>29</v>
      </c>
      <c r="K451" s="21">
        <v>0</v>
      </c>
      <c r="L451" s="20">
        <v>6</v>
      </c>
      <c r="M451" s="20">
        <v>0</v>
      </c>
      <c r="N451" s="20">
        <f t="shared" si="819"/>
        <v>15000</v>
      </c>
      <c r="O451" s="19" t="s">
        <v>75</v>
      </c>
      <c r="P451" s="20">
        <v>861</v>
      </c>
      <c r="Q451" s="20">
        <f t="shared" ref="Q451:X451" si="890">Q421</f>
        <v>1500</v>
      </c>
      <c r="R451" s="20">
        <f t="shared" si="890"/>
        <v>6000</v>
      </c>
      <c r="S451" s="20">
        <f t="shared" si="890"/>
        <v>10500</v>
      </c>
      <c r="T451" s="20">
        <f t="shared" si="890"/>
        <v>13500</v>
      </c>
      <c r="U451" s="20">
        <f t="shared" si="890"/>
        <v>20</v>
      </c>
      <c r="V451" s="20">
        <f t="shared" si="890"/>
        <v>450</v>
      </c>
      <c r="W451" s="20">
        <f t="shared" si="890"/>
        <v>1000</v>
      </c>
      <c r="X451" s="20">
        <f t="shared" si="890"/>
        <v>8</v>
      </c>
      <c r="Y451" s="20">
        <v>0</v>
      </c>
      <c r="Z451" s="20">
        <f t="shared" si="850"/>
        <v>0</v>
      </c>
      <c r="AA451" s="20">
        <v>0</v>
      </c>
      <c r="AB451" s="20">
        <v>0</v>
      </c>
      <c r="AC451" s="20">
        <v>0</v>
      </c>
      <c r="AD451" s="23">
        <f t="shared" ref="AD451:AE451" si="891">AD421</f>
        <v>58</v>
      </c>
      <c r="AE451" s="23">
        <f t="shared" si="891"/>
        <v>62</v>
      </c>
    </row>
    <row r="452" spans="1:31">
      <c r="A452" s="8">
        <v>11100</v>
      </c>
      <c r="B452" s="8">
        <v>1</v>
      </c>
      <c r="C452" s="19" t="s">
        <v>66</v>
      </c>
      <c r="D452" s="44">
        <f>ROUND(D2/2,0)</f>
        <v>36</v>
      </c>
      <c r="E452" s="18">
        <v>0</v>
      </c>
      <c r="F452" s="18">
        <v>0</v>
      </c>
      <c r="G452" s="18">
        <v>0</v>
      </c>
      <c r="H452" s="45">
        <v>0</v>
      </c>
      <c r="I452" s="21">
        <f t="shared" si="818"/>
        <v>55</v>
      </c>
      <c r="J452" s="21">
        <f t="shared" ref="J452:J458" si="892">B452-1</f>
        <v>0</v>
      </c>
      <c r="K452" s="21">
        <v>0</v>
      </c>
      <c r="L452" s="20">
        <v>45</v>
      </c>
      <c r="M452" s="20">
        <v>0</v>
      </c>
      <c r="N452" s="20">
        <f t="shared" si="819"/>
        <v>10</v>
      </c>
      <c r="O452" s="19" t="s">
        <v>66</v>
      </c>
      <c r="P452" s="20">
        <v>9400</v>
      </c>
      <c r="Q452" s="20">
        <f t="shared" ref="Q452:X452" si="893">Q422</f>
        <v>1</v>
      </c>
      <c r="R452" s="20">
        <f t="shared" si="893"/>
        <v>4</v>
      </c>
      <c r="S452" s="20">
        <f t="shared" si="893"/>
        <v>7</v>
      </c>
      <c r="T452" s="20">
        <f t="shared" si="893"/>
        <v>9</v>
      </c>
      <c r="U452" s="20">
        <f t="shared" si="893"/>
        <v>9400</v>
      </c>
      <c r="V452" s="20">
        <f t="shared" si="893"/>
        <v>9400</v>
      </c>
      <c r="W452" s="20">
        <f t="shared" si="893"/>
        <v>9400</v>
      </c>
      <c r="X452" s="20">
        <f t="shared" si="893"/>
        <v>1</v>
      </c>
      <c r="Y452" s="20">
        <v>0</v>
      </c>
      <c r="Z452" s="22">
        <v>0</v>
      </c>
      <c r="AA452" s="20">
        <f>INT(AA572*0.6)</f>
        <v>0</v>
      </c>
      <c r="AB452" s="20">
        <v>0</v>
      </c>
      <c r="AC452" s="20">
        <v>0</v>
      </c>
      <c r="AD452" s="23">
        <f t="shared" ref="AD452:AE452" si="894">AD422</f>
        <v>1</v>
      </c>
      <c r="AE452" s="23">
        <f t="shared" si="894"/>
        <v>3</v>
      </c>
    </row>
    <row r="453" spans="1:31">
      <c r="A453" s="4">
        <v>11100</v>
      </c>
      <c r="B453" s="4">
        <v>2</v>
      </c>
      <c r="C453" s="19" t="s">
        <v>67</v>
      </c>
      <c r="D453" s="44">
        <f>ROUND(D3/2,0)</f>
        <v>39</v>
      </c>
      <c r="E453" s="18">
        <v>0</v>
      </c>
      <c r="F453" s="18">
        <v>0</v>
      </c>
      <c r="G453" s="18">
        <v>0</v>
      </c>
      <c r="H453" s="45">
        <v>0</v>
      </c>
      <c r="I453" s="21">
        <f t="shared" si="818"/>
        <v>55</v>
      </c>
      <c r="J453" s="21">
        <f t="shared" si="892"/>
        <v>1</v>
      </c>
      <c r="K453" s="21">
        <v>0</v>
      </c>
      <c r="L453" s="20">
        <v>40</v>
      </c>
      <c r="M453" s="20">
        <v>0</v>
      </c>
      <c r="N453" s="20">
        <f t="shared" si="819"/>
        <v>20</v>
      </c>
      <c r="O453" s="19" t="s">
        <v>67</v>
      </c>
      <c r="P453" s="20">
        <v>9100</v>
      </c>
      <c r="Q453" s="20">
        <f t="shared" ref="Q453:X453" si="895">Q423</f>
        <v>2</v>
      </c>
      <c r="R453" s="20">
        <f t="shared" si="895"/>
        <v>8</v>
      </c>
      <c r="S453" s="20">
        <f t="shared" si="895"/>
        <v>14</v>
      </c>
      <c r="T453" s="20">
        <f t="shared" si="895"/>
        <v>18</v>
      </c>
      <c r="U453" s="20">
        <f t="shared" si="895"/>
        <v>4000</v>
      </c>
      <c r="V453" s="20">
        <f t="shared" si="895"/>
        <v>8000</v>
      </c>
      <c r="W453" s="20">
        <f t="shared" si="895"/>
        <v>8000</v>
      </c>
      <c r="X453" s="20">
        <f t="shared" si="895"/>
        <v>1</v>
      </c>
      <c r="Y453" s="20">
        <v>0</v>
      </c>
      <c r="Z453" s="22">
        <v>0</v>
      </c>
      <c r="AA453" s="20">
        <f t="shared" ref="AA453:AA479" si="896">INT(AA573*0.6)</f>
        <v>0</v>
      </c>
      <c r="AB453" s="20">
        <v>0</v>
      </c>
      <c r="AC453" s="20">
        <v>0</v>
      </c>
      <c r="AD453" s="23">
        <f t="shared" ref="AD453:AE453" si="897">AD423</f>
        <v>2</v>
      </c>
      <c r="AE453" s="23">
        <f t="shared" si="897"/>
        <v>5</v>
      </c>
    </row>
    <row r="454" spans="1:31">
      <c r="A454" s="4">
        <v>11100</v>
      </c>
      <c r="B454" s="4">
        <v>3</v>
      </c>
      <c r="C454" s="19" t="s">
        <v>68</v>
      </c>
      <c r="D454" s="44">
        <f t="shared" ref="D454:D517" si="898">ROUND(D4/2,0)</f>
        <v>42</v>
      </c>
      <c r="E454" s="18">
        <v>0</v>
      </c>
      <c r="F454" s="18">
        <v>0</v>
      </c>
      <c r="G454" s="18">
        <v>0</v>
      </c>
      <c r="H454" s="45">
        <v>0</v>
      </c>
      <c r="I454" s="21">
        <f t="shared" si="818"/>
        <v>55</v>
      </c>
      <c r="J454" s="21">
        <f t="shared" si="892"/>
        <v>2</v>
      </c>
      <c r="K454" s="21">
        <v>0</v>
      </c>
      <c r="L454" s="20">
        <v>35</v>
      </c>
      <c r="M454" s="20">
        <v>0</v>
      </c>
      <c r="N454" s="20">
        <f t="shared" si="819"/>
        <v>40</v>
      </c>
      <c r="O454" s="19" t="s">
        <v>68</v>
      </c>
      <c r="P454" s="20">
        <v>8600</v>
      </c>
      <c r="Q454" s="20">
        <f t="shared" ref="Q454:X454" si="899">Q424</f>
        <v>4</v>
      </c>
      <c r="R454" s="20">
        <f t="shared" si="899"/>
        <v>16</v>
      </c>
      <c r="S454" s="20">
        <f t="shared" si="899"/>
        <v>28</v>
      </c>
      <c r="T454" s="20">
        <f t="shared" si="899"/>
        <v>36</v>
      </c>
      <c r="U454" s="20">
        <f t="shared" si="899"/>
        <v>1600</v>
      </c>
      <c r="V454" s="20">
        <f t="shared" si="899"/>
        <v>5000</v>
      </c>
      <c r="W454" s="20">
        <f t="shared" si="899"/>
        <v>6000</v>
      </c>
      <c r="X454" s="20">
        <f t="shared" si="899"/>
        <v>1</v>
      </c>
      <c r="Y454" s="20">
        <v>0</v>
      </c>
      <c r="Z454" s="22">
        <v>0</v>
      </c>
      <c r="AA454" s="20">
        <f t="shared" si="896"/>
        <v>0</v>
      </c>
      <c r="AB454" s="20">
        <v>0</v>
      </c>
      <c r="AC454" s="20">
        <v>0</v>
      </c>
      <c r="AD454" s="23">
        <f t="shared" ref="AD454:AE454" si="900">AD424</f>
        <v>4</v>
      </c>
      <c r="AE454" s="23">
        <f t="shared" si="900"/>
        <v>8</v>
      </c>
    </row>
    <row r="455" spans="1:31">
      <c r="A455" s="4">
        <v>11100</v>
      </c>
      <c r="B455" s="4">
        <v>4</v>
      </c>
      <c r="C455" s="19" t="s">
        <v>69</v>
      </c>
      <c r="D455" s="44">
        <f t="shared" si="898"/>
        <v>46</v>
      </c>
      <c r="E455" s="18">
        <v>0</v>
      </c>
      <c r="F455" s="18">
        <v>0</v>
      </c>
      <c r="G455" s="18">
        <v>0</v>
      </c>
      <c r="H455" s="45">
        <v>0</v>
      </c>
      <c r="I455" s="21">
        <f t="shared" si="818"/>
        <v>55</v>
      </c>
      <c r="J455" s="21">
        <f t="shared" si="892"/>
        <v>3</v>
      </c>
      <c r="K455" s="21">
        <v>0</v>
      </c>
      <c r="L455" s="20">
        <v>30</v>
      </c>
      <c r="M455" s="20">
        <v>0</v>
      </c>
      <c r="N455" s="20">
        <f t="shared" si="819"/>
        <v>100</v>
      </c>
      <c r="O455" s="19" t="s">
        <v>69</v>
      </c>
      <c r="P455" s="20">
        <v>6400</v>
      </c>
      <c r="Q455" s="20">
        <f t="shared" ref="Q455:X455" si="901">Q425</f>
        <v>10</v>
      </c>
      <c r="R455" s="20">
        <f t="shared" si="901"/>
        <v>40</v>
      </c>
      <c r="S455" s="20">
        <f t="shared" si="901"/>
        <v>70</v>
      </c>
      <c r="T455" s="20">
        <f t="shared" si="901"/>
        <v>90</v>
      </c>
      <c r="U455" s="20">
        <f t="shared" si="901"/>
        <v>900</v>
      </c>
      <c r="V455" s="20">
        <f t="shared" si="901"/>
        <v>2000</v>
      </c>
      <c r="W455" s="20">
        <f t="shared" si="901"/>
        <v>8000</v>
      </c>
      <c r="X455" s="20">
        <f t="shared" si="901"/>
        <v>1</v>
      </c>
      <c r="Y455" s="20">
        <v>0</v>
      </c>
      <c r="Z455" s="22">
        <v>0</v>
      </c>
      <c r="AA455" s="20">
        <f t="shared" si="896"/>
        <v>0</v>
      </c>
      <c r="AB455" s="20">
        <v>0</v>
      </c>
      <c r="AC455" s="20">
        <v>0</v>
      </c>
      <c r="AD455" s="23">
        <f t="shared" ref="AD455:AE455" si="902">AD425</f>
        <v>6</v>
      </c>
      <c r="AE455" s="23">
        <f t="shared" si="902"/>
        <v>10</v>
      </c>
    </row>
    <row r="456" spans="1:31">
      <c r="A456" s="4">
        <v>11100</v>
      </c>
      <c r="B456" s="4">
        <v>5</v>
      </c>
      <c r="C456" s="19" t="s">
        <v>70</v>
      </c>
      <c r="D456" s="44">
        <f t="shared" si="898"/>
        <v>50</v>
      </c>
      <c r="E456" s="18">
        <v>0</v>
      </c>
      <c r="F456" s="18">
        <v>0</v>
      </c>
      <c r="G456" s="18">
        <v>0</v>
      </c>
      <c r="H456" s="45">
        <v>0</v>
      </c>
      <c r="I456" s="21">
        <f t="shared" si="818"/>
        <v>110</v>
      </c>
      <c r="J456" s="21">
        <f t="shared" si="892"/>
        <v>4</v>
      </c>
      <c r="K456" s="21">
        <v>0</v>
      </c>
      <c r="L456" s="20">
        <v>25</v>
      </c>
      <c r="M456" s="20">
        <v>0</v>
      </c>
      <c r="N456" s="20">
        <f t="shared" si="819"/>
        <v>200</v>
      </c>
      <c r="O456" s="19" t="s">
        <v>70</v>
      </c>
      <c r="P456" s="20">
        <v>3100</v>
      </c>
      <c r="Q456" s="20">
        <f t="shared" ref="Q456:X456" si="903">Q426</f>
        <v>20</v>
      </c>
      <c r="R456" s="20">
        <f t="shared" si="903"/>
        <v>80</v>
      </c>
      <c r="S456" s="20">
        <f t="shared" si="903"/>
        <v>140</v>
      </c>
      <c r="T456" s="20">
        <f t="shared" si="903"/>
        <v>180</v>
      </c>
      <c r="U456" s="20">
        <f t="shared" si="903"/>
        <v>1000</v>
      </c>
      <c r="V456" s="20">
        <f t="shared" si="903"/>
        <v>2000</v>
      </c>
      <c r="W456" s="20">
        <f t="shared" si="903"/>
        <v>2000</v>
      </c>
      <c r="X456" s="20">
        <f t="shared" si="903"/>
        <v>2</v>
      </c>
      <c r="Y456" s="20">
        <v>0</v>
      </c>
      <c r="Z456" s="22">
        <v>0</v>
      </c>
      <c r="AA456" s="20">
        <f t="shared" si="896"/>
        <v>0</v>
      </c>
      <c r="AB456" s="20">
        <v>0</v>
      </c>
      <c r="AC456" s="20">
        <v>0</v>
      </c>
      <c r="AD456" s="23">
        <f t="shared" ref="AD456:AE456" si="904">AD426</f>
        <v>8</v>
      </c>
      <c r="AE456" s="23">
        <f t="shared" si="904"/>
        <v>12</v>
      </c>
    </row>
    <row r="457" spans="1:31">
      <c r="A457" s="4">
        <v>11100</v>
      </c>
      <c r="B457" s="4">
        <v>6</v>
      </c>
      <c r="C457" s="19" t="s">
        <v>71</v>
      </c>
      <c r="D457" s="44">
        <f t="shared" si="898"/>
        <v>54</v>
      </c>
      <c r="E457" s="18">
        <v>0</v>
      </c>
      <c r="F457" s="18">
        <v>0</v>
      </c>
      <c r="G457" s="18">
        <v>0</v>
      </c>
      <c r="H457" s="45">
        <v>0</v>
      </c>
      <c r="I457" s="21">
        <f t="shared" si="818"/>
        <v>110</v>
      </c>
      <c r="J457" s="21">
        <f t="shared" si="892"/>
        <v>5</v>
      </c>
      <c r="K457" s="21">
        <v>0</v>
      </c>
      <c r="L457" s="20">
        <v>20</v>
      </c>
      <c r="M457" s="20">
        <v>0</v>
      </c>
      <c r="N457" s="20">
        <f t="shared" si="819"/>
        <v>500</v>
      </c>
      <c r="O457" s="19" t="s">
        <v>71</v>
      </c>
      <c r="P457" s="20">
        <v>1777</v>
      </c>
      <c r="Q457" s="20">
        <f t="shared" ref="Q457:X457" si="905">Q427</f>
        <v>50</v>
      </c>
      <c r="R457" s="20">
        <f t="shared" si="905"/>
        <v>200</v>
      </c>
      <c r="S457" s="20">
        <f t="shared" si="905"/>
        <v>350</v>
      </c>
      <c r="T457" s="20">
        <f t="shared" si="905"/>
        <v>450</v>
      </c>
      <c r="U457" s="20">
        <f t="shared" si="905"/>
        <v>800</v>
      </c>
      <c r="V457" s="20">
        <f t="shared" si="905"/>
        <v>800</v>
      </c>
      <c r="W457" s="20">
        <f t="shared" si="905"/>
        <v>600</v>
      </c>
      <c r="X457" s="20">
        <f t="shared" si="905"/>
        <v>2</v>
      </c>
      <c r="Y457" s="20">
        <v>0</v>
      </c>
      <c r="Z457" s="22">
        <v>0</v>
      </c>
      <c r="AA457" s="20">
        <f t="shared" si="896"/>
        <v>0</v>
      </c>
      <c r="AB457" s="20">
        <v>0</v>
      </c>
      <c r="AC457" s="20">
        <v>0</v>
      </c>
      <c r="AD457" s="23">
        <f t="shared" ref="AD457:AE457" si="906">AD427</f>
        <v>10</v>
      </c>
      <c r="AE457" s="23">
        <f t="shared" si="906"/>
        <v>14</v>
      </c>
    </row>
    <row r="458" spans="1:31">
      <c r="A458" s="4">
        <v>11100</v>
      </c>
      <c r="B458" s="4">
        <v>7</v>
      </c>
      <c r="C458" s="19" t="s">
        <v>72</v>
      </c>
      <c r="D458" s="44">
        <f t="shared" si="898"/>
        <v>58</v>
      </c>
      <c r="E458" s="18">
        <v>0</v>
      </c>
      <c r="F458" s="18">
        <v>0</v>
      </c>
      <c r="G458" s="18">
        <v>0</v>
      </c>
      <c r="H458" s="45">
        <v>0</v>
      </c>
      <c r="I458" s="21">
        <f t="shared" si="818"/>
        <v>110</v>
      </c>
      <c r="J458" s="21">
        <f t="shared" si="892"/>
        <v>6</v>
      </c>
      <c r="K458" s="21">
        <v>0</v>
      </c>
      <c r="L458" s="20">
        <v>16</v>
      </c>
      <c r="M458" s="20">
        <v>0</v>
      </c>
      <c r="N458" s="20">
        <f t="shared" si="819"/>
        <v>700</v>
      </c>
      <c r="O458" s="19" t="s">
        <v>72</v>
      </c>
      <c r="P458" s="20">
        <v>2332</v>
      </c>
      <c r="Q458" s="20">
        <f t="shared" ref="Q458:X458" si="907">Q428</f>
        <v>70</v>
      </c>
      <c r="R458" s="20">
        <f t="shared" si="907"/>
        <v>280</v>
      </c>
      <c r="S458" s="20">
        <f t="shared" si="907"/>
        <v>489.99999999999994</v>
      </c>
      <c r="T458" s="20">
        <f t="shared" si="907"/>
        <v>630</v>
      </c>
      <c r="U458" s="20">
        <f t="shared" si="907"/>
        <v>650</v>
      </c>
      <c r="V458" s="20">
        <f t="shared" si="907"/>
        <v>800</v>
      </c>
      <c r="W458" s="20">
        <f t="shared" si="907"/>
        <v>300</v>
      </c>
      <c r="X458" s="20">
        <f t="shared" si="907"/>
        <v>2</v>
      </c>
      <c r="Y458" s="20">
        <v>0</v>
      </c>
      <c r="Z458" s="22">
        <v>0</v>
      </c>
      <c r="AA458" s="20">
        <f t="shared" si="896"/>
        <v>0</v>
      </c>
      <c r="AB458" s="20">
        <v>0</v>
      </c>
      <c r="AC458" s="20">
        <v>0</v>
      </c>
      <c r="AD458" s="23">
        <f t="shared" ref="AD458:AE458" si="908">AD428</f>
        <v>12</v>
      </c>
      <c r="AE458" s="23">
        <f t="shared" si="908"/>
        <v>16</v>
      </c>
    </row>
    <row r="459" spans="1:31">
      <c r="A459" s="4">
        <v>11100</v>
      </c>
      <c r="B459" s="4">
        <v>8</v>
      </c>
      <c r="C459" s="19" t="s">
        <v>73</v>
      </c>
      <c r="D459" s="44">
        <f t="shared" si="898"/>
        <v>63</v>
      </c>
      <c r="E459" s="18">
        <v>0</v>
      </c>
      <c r="F459" s="18">
        <v>0</v>
      </c>
      <c r="G459" s="18">
        <v>0</v>
      </c>
      <c r="H459" s="45">
        <v>0</v>
      </c>
      <c r="I459" s="21">
        <f t="shared" si="818"/>
        <v>110</v>
      </c>
      <c r="J459" s="21">
        <f t="shared" ref="J459:J522" si="909">B459-1</f>
        <v>7</v>
      </c>
      <c r="K459" s="21">
        <v>0</v>
      </c>
      <c r="L459" s="20">
        <v>12</v>
      </c>
      <c r="M459" s="20">
        <v>0</v>
      </c>
      <c r="N459" s="20">
        <f t="shared" si="819"/>
        <v>800</v>
      </c>
      <c r="O459" s="19" t="s">
        <v>73</v>
      </c>
      <c r="P459" s="20">
        <v>1487</v>
      </c>
      <c r="Q459" s="20">
        <f t="shared" ref="Q459:X459" si="910">Q429</f>
        <v>80</v>
      </c>
      <c r="R459" s="20">
        <f t="shared" si="910"/>
        <v>320</v>
      </c>
      <c r="S459" s="20">
        <f t="shared" si="910"/>
        <v>560</v>
      </c>
      <c r="T459" s="20">
        <f t="shared" si="910"/>
        <v>720</v>
      </c>
      <c r="U459" s="20">
        <f t="shared" si="910"/>
        <v>200</v>
      </c>
      <c r="V459" s="20">
        <f t="shared" si="910"/>
        <v>2000</v>
      </c>
      <c r="W459" s="20">
        <f t="shared" si="910"/>
        <v>1000</v>
      </c>
      <c r="X459" s="20">
        <f t="shared" si="910"/>
        <v>2</v>
      </c>
      <c r="Y459" s="20">
        <v>0</v>
      </c>
      <c r="Z459" s="22">
        <v>0</v>
      </c>
      <c r="AA459" s="20">
        <f t="shared" si="896"/>
        <v>22</v>
      </c>
      <c r="AB459" s="20">
        <v>0</v>
      </c>
      <c r="AC459" s="20">
        <v>0</v>
      </c>
      <c r="AD459" s="23">
        <f t="shared" ref="AD459:AE459" si="911">AD429</f>
        <v>14</v>
      </c>
      <c r="AE459" s="23">
        <f t="shared" si="911"/>
        <v>18</v>
      </c>
    </row>
    <row r="460" spans="1:31">
      <c r="A460" s="4">
        <v>11100</v>
      </c>
      <c r="B460" s="4">
        <v>9</v>
      </c>
      <c r="C460" s="19" t="s">
        <v>74</v>
      </c>
      <c r="D460" s="44">
        <f t="shared" si="898"/>
        <v>68</v>
      </c>
      <c r="E460" s="18">
        <v>0</v>
      </c>
      <c r="F460" s="18">
        <v>0</v>
      </c>
      <c r="G460" s="18">
        <v>0</v>
      </c>
      <c r="H460" s="45">
        <v>0</v>
      </c>
      <c r="I460" s="21">
        <f t="shared" si="818"/>
        <v>165</v>
      </c>
      <c r="J460" s="21">
        <f t="shared" si="909"/>
        <v>8</v>
      </c>
      <c r="K460" s="21">
        <v>0</v>
      </c>
      <c r="L460" s="20">
        <v>8</v>
      </c>
      <c r="M460" s="20">
        <v>0</v>
      </c>
      <c r="N460" s="20">
        <f t="shared" si="819"/>
        <v>900</v>
      </c>
      <c r="O460" s="19" t="s">
        <v>74</v>
      </c>
      <c r="P460" s="20">
        <v>1518</v>
      </c>
      <c r="Q460" s="20">
        <f t="shared" ref="Q460:X460" si="912">Q430</f>
        <v>90</v>
      </c>
      <c r="R460" s="20">
        <f t="shared" si="912"/>
        <v>360</v>
      </c>
      <c r="S460" s="20">
        <f t="shared" si="912"/>
        <v>630</v>
      </c>
      <c r="T460" s="20">
        <f t="shared" si="912"/>
        <v>810</v>
      </c>
      <c r="U460" s="20">
        <f t="shared" si="912"/>
        <v>120</v>
      </c>
      <c r="V460" s="20">
        <f t="shared" si="912"/>
        <v>1500</v>
      </c>
      <c r="W460" s="20">
        <f t="shared" si="912"/>
        <v>1000</v>
      </c>
      <c r="X460" s="20">
        <f t="shared" si="912"/>
        <v>3</v>
      </c>
      <c r="Y460" s="20">
        <v>0</v>
      </c>
      <c r="Z460" s="22">
        <v>0</v>
      </c>
      <c r="AA460" s="20">
        <v>0</v>
      </c>
      <c r="AB460" s="20">
        <v>0</v>
      </c>
      <c r="AC460" s="20">
        <v>0</v>
      </c>
      <c r="AD460" s="23">
        <f t="shared" ref="AD460:AE460" si="913">AD430</f>
        <v>16</v>
      </c>
      <c r="AE460" s="23">
        <f t="shared" si="913"/>
        <v>20</v>
      </c>
    </row>
    <row r="461" spans="1:31">
      <c r="A461" s="4">
        <v>11100</v>
      </c>
      <c r="B461" s="4">
        <v>10</v>
      </c>
      <c r="C461" s="19" t="s">
        <v>75</v>
      </c>
      <c r="D461" s="44">
        <f t="shared" si="898"/>
        <v>74</v>
      </c>
      <c r="E461" s="18">
        <v>0</v>
      </c>
      <c r="F461" s="18">
        <v>0</v>
      </c>
      <c r="G461" s="18">
        <v>0</v>
      </c>
      <c r="H461" s="45">
        <v>0</v>
      </c>
      <c r="I461" s="21">
        <f t="shared" si="818"/>
        <v>165</v>
      </c>
      <c r="J461" s="21">
        <f t="shared" si="909"/>
        <v>9</v>
      </c>
      <c r="K461" s="21">
        <v>0</v>
      </c>
      <c r="L461" s="20">
        <v>6</v>
      </c>
      <c r="M461" s="20">
        <v>0</v>
      </c>
      <c r="N461" s="20">
        <f t="shared" si="819"/>
        <v>2000</v>
      </c>
      <c r="O461" s="19" t="s">
        <v>75</v>
      </c>
      <c r="P461" s="20">
        <v>861</v>
      </c>
      <c r="Q461" s="20">
        <f t="shared" ref="Q461:X461" si="914">Q431</f>
        <v>200</v>
      </c>
      <c r="R461" s="20">
        <f t="shared" si="914"/>
        <v>800</v>
      </c>
      <c r="S461" s="20">
        <f t="shared" si="914"/>
        <v>1400</v>
      </c>
      <c r="T461" s="20">
        <f t="shared" si="914"/>
        <v>1800</v>
      </c>
      <c r="U461" s="20">
        <f t="shared" si="914"/>
        <v>150</v>
      </c>
      <c r="V461" s="20">
        <f t="shared" si="914"/>
        <v>5000</v>
      </c>
      <c r="W461" s="20">
        <f t="shared" si="914"/>
        <v>800</v>
      </c>
      <c r="X461" s="20">
        <f t="shared" si="914"/>
        <v>3</v>
      </c>
      <c r="Y461" s="20">
        <v>0</v>
      </c>
      <c r="Z461" s="22">
        <v>0</v>
      </c>
      <c r="AA461" s="20">
        <v>0</v>
      </c>
      <c r="AB461" s="20">
        <v>0</v>
      </c>
      <c r="AC461" s="20">
        <v>0</v>
      </c>
      <c r="AD461" s="23">
        <f t="shared" ref="AD461:AE461" si="915">AD431</f>
        <v>18</v>
      </c>
      <c r="AE461" s="23">
        <f t="shared" si="915"/>
        <v>22</v>
      </c>
    </row>
    <row r="462" spans="1:31">
      <c r="A462" s="4">
        <v>11100</v>
      </c>
      <c r="B462" s="4">
        <v>11</v>
      </c>
      <c r="C462" s="19" t="s">
        <v>66</v>
      </c>
      <c r="D462" s="44">
        <f t="shared" si="898"/>
        <v>80</v>
      </c>
      <c r="E462" s="18">
        <v>0</v>
      </c>
      <c r="F462" s="18">
        <v>0</v>
      </c>
      <c r="G462" s="18">
        <v>0</v>
      </c>
      <c r="H462" s="45">
        <v>0</v>
      </c>
      <c r="I462" s="21">
        <f t="shared" si="818"/>
        <v>165</v>
      </c>
      <c r="J462" s="21">
        <f t="shared" si="909"/>
        <v>10</v>
      </c>
      <c r="K462" s="21">
        <v>0</v>
      </c>
      <c r="L462" s="20">
        <v>6</v>
      </c>
      <c r="M462" s="20">
        <v>0</v>
      </c>
      <c r="N462" s="20">
        <f t="shared" si="819"/>
        <v>2200</v>
      </c>
      <c r="O462" s="19" t="s">
        <v>66</v>
      </c>
      <c r="P462" s="20">
        <v>9400</v>
      </c>
      <c r="Q462" s="20">
        <f t="shared" ref="Q462:X462" si="916">Q432</f>
        <v>220</v>
      </c>
      <c r="R462" s="20">
        <f t="shared" si="916"/>
        <v>880</v>
      </c>
      <c r="S462" s="20">
        <f t="shared" si="916"/>
        <v>1540</v>
      </c>
      <c r="T462" s="20">
        <f t="shared" si="916"/>
        <v>1980</v>
      </c>
      <c r="U462" s="20">
        <f t="shared" si="916"/>
        <v>100</v>
      </c>
      <c r="V462" s="20">
        <f t="shared" si="916"/>
        <v>800</v>
      </c>
      <c r="W462" s="20">
        <f t="shared" si="916"/>
        <v>600</v>
      </c>
      <c r="X462" s="20">
        <f t="shared" si="916"/>
        <v>3</v>
      </c>
      <c r="Y462" s="20">
        <v>0</v>
      </c>
      <c r="Z462" s="22">
        <v>0</v>
      </c>
      <c r="AA462" s="20">
        <v>0</v>
      </c>
      <c r="AB462" s="20">
        <v>0</v>
      </c>
      <c r="AC462" s="20">
        <v>0</v>
      </c>
      <c r="AD462" s="23">
        <f t="shared" ref="AD462:AE462" si="917">AD432</f>
        <v>20</v>
      </c>
      <c r="AE462" s="23">
        <f t="shared" si="917"/>
        <v>24</v>
      </c>
    </row>
    <row r="463" spans="1:31">
      <c r="A463" s="4">
        <v>11100</v>
      </c>
      <c r="B463" s="4">
        <v>12</v>
      </c>
      <c r="C463" s="19" t="s">
        <v>67</v>
      </c>
      <c r="D463" s="44">
        <f t="shared" si="898"/>
        <v>86</v>
      </c>
      <c r="E463" s="18">
        <v>0</v>
      </c>
      <c r="F463" s="18">
        <v>0</v>
      </c>
      <c r="G463" s="18">
        <v>0</v>
      </c>
      <c r="H463" s="45">
        <v>0</v>
      </c>
      <c r="I463" s="21">
        <f t="shared" si="818"/>
        <v>165</v>
      </c>
      <c r="J463" s="21">
        <f t="shared" si="909"/>
        <v>11</v>
      </c>
      <c r="K463" s="21">
        <v>0</v>
      </c>
      <c r="L463" s="20">
        <v>6</v>
      </c>
      <c r="M463" s="20">
        <v>0</v>
      </c>
      <c r="N463" s="20">
        <f t="shared" si="819"/>
        <v>2400</v>
      </c>
      <c r="O463" s="19" t="s">
        <v>67</v>
      </c>
      <c r="P463" s="20">
        <v>9100</v>
      </c>
      <c r="Q463" s="20">
        <f t="shared" ref="Q463:X463" si="918">Q433</f>
        <v>240</v>
      </c>
      <c r="R463" s="20">
        <f t="shared" si="918"/>
        <v>960</v>
      </c>
      <c r="S463" s="20">
        <f t="shared" si="918"/>
        <v>1680</v>
      </c>
      <c r="T463" s="20">
        <f t="shared" si="918"/>
        <v>2160</v>
      </c>
      <c r="U463" s="20">
        <f t="shared" si="918"/>
        <v>150</v>
      </c>
      <c r="V463" s="20">
        <f t="shared" si="918"/>
        <v>700</v>
      </c>
      <c r="W463" s="20">
        <f t="shared" si="918"/>
        <v>900</v>
      </c>
      <c r="X463" s="20">
        <f t="shared" si="918"/>
        <v>3</v>
      </c>
      <c r="Y463" s="20">
        <v>0</v>
      </c>
      <c r="Z463" s="22">
        <v>0</v>
      </c>
      <c r="AA463" s="20">
        <v>0</v>
      </c>
      <c r="AB463" s="20">
        <v>0</v>
      </c>
      <c r="AC463" s="20">
        <v>0</v>
      </c>
      <c r="AD463" s="23">
        <f t="shared" ref="AD463:AE463" si="919">AD433</f>
        <v>22</v>
      </c>
      <c r="AE463" s="23">
        <f t="shared" si="919"/>
        <v>26</v>
      </c>
    </row>
    <row r="464" spans="1:31">
      <c r="A464" s="4">
        <v>11100</v>
      </c>
      <c r="B464" s="4">
        <v>13</v>
      </c>
      <c r="C464" s="19" t="s">
        <v>68</v>
      </c>
      <c r="D464" s="44">
        <f t="shared" si="898"/>
        <v>94</v>
      </c>
      <c r="E464" s="18">
        <v>0</v>
      </c>
      <c r="F464" s="18">
        <v>0</v>
      </c>
      <c r="G464" s="18">
        <v>0</v>
      </c>
      <c r="H464" s="45">
        <v>0</v>
      </c>
      <c r="I464" s="21">
        <f t="shared" si="818"/>
        <v>220</v>
      </c>
      <c r="J464" s="21">
        <f t="shared" si="909"/>
        <v>12</v>
      </c>
      <c r="K464" s="21">
        <v>0</v>
      </c>
      <c r="L464" s="20">
        <v>6</v>
      </c>
      <c r="M464" s="20">
        <v>0</v>
      </c>
      <c r="N464" s="20">
        <f t="shared" si="819"/>
        <v>2600</v>
      </c>
      <c r="O464" s="19" t="s">
        <v>68</v>
      </c>
      <c r="P464" s="20">
        <v>8600</v>
      </c>
      <c r="Q464" s="20">
        <f t="shared" ref="Q464:X464" si="920">Q434</f>
        <v>260</v>
      </c>
      <c r="R464" s="20">
        <f t="shared" si="920"/>
        <v>1040</v>
      </c>
      <c r="S464" s="20">
        <f t="shared" si="920"/>
        <v>1819.9999999999998</v>
      </c>
      <c r="T464" s="20">
        <f t="shared" si="920"/>
        <v>2340</v>
      </c>
      <c r="U464" s="20">
        <f t="shared" si="920"/>
        <v>100</v>
      </c>
      <c r="V464" s="20">
        <f t="shared" si="920"/>
        <v>700</v>
      </c>
      <c r="W464" s="20">
        <f t="shared" si="920"/>
        <v>1000</v>
      </c>
      <c r="X464" s="20">
        <f t="shared" si="920"/>
        <v>4</v>
      </c>
      <c r="Y464" s="20">
        <v>0</v>
      </c>
      <c r="Z464" s="22">
        <v>0</v>
      </c>
      <c r="AA464" s="20">
        <f t="shared" si="896"/>
        <v>45</v>
      </c>
      <c r="AB464" s="20">
        <v>0</v>
      </c>
      <c r="AC464" s="20">
        <v>0</v>
      </c>
      <c r="AD464" s="23">
        <f t="shared" ref="AD464:AE464" si="921">AD434</f>
        <v>24</v>
      </c>
      <c r="AE464" s="23">
        <f t="shared" si="921"/>
        <v>28</v>
      </c>
    </row>
    <row r="465" spans="1:31">
      <c r="A465" s="4">
        <v>11100</v>
      </c>
      <c r="B465" s="4">
        <v>14</v>
      </c>
      <c r="C465" s="19" t="s">
        <v>69</v>
      </c>
      <c r="D465" s="44">
        <f t="shared" si="898"/>
        <v>101</v>
      </c>
      <c r="E465" s="18">
        <v>0</v>
      </c>
      <c r="F465" s="18">
        <v>0</v>
      </c>
      <c r="G465" s="18">
        <v>0</v>
      </c>
      <c r="H465" s="45">
        <v>0</v>
      </c>
      <c r="I465" s="21">
        <f t="shared" si="818"/>
        <v>220</v>
      </c>
      <c r="J465" s="21">
        <f t="shared" si="909"/>
        <v>13</v>
      </c>
      <c r="K465" s="21">
        <v>0</v>
      </c>
      <c r="L465" s="20">
        <v>6</v>
      </c>
      <c r="M465" s="20">
        <v>0</v>
      </c>
      <c r="N465" s="20">
        <f t="shared" si="819"/>
        <v>2800</v>
      </c>
      <c r="O465" s="19" t="s">
        <v>69</v>
      </c>
      <c r="P465" s="20">
        <v>6400</v>
      </c>
      <c r="Q465" s="20">
        <f t="shared" ref="Q465:X465" si="922">Q435</f>
        <v>280</v>
      </c>
      <c r="R465" s="20">
        <f t="shared" si="922"/>
        <v>1120</v>
      </c>
      <c r="S465" s="20">
        <f t="shared" si="922"/>
        <v>1959.9999999999998</v>
      </c>
      <c r="T465" s="20">
        <f t="shared" si="922"/>
        <v>2520</v>
      </c>
      <c r="U465" s="20">
        <f t="shared" si="922"/>
        <v>100</v>
      </c>
      <c r="V465" s="20">
        <f t="shared" si="922"/>
        <v>400</v>
      </c>
      <c r="W465" s="20">
        <f t="shared" si="922"/>
        <v>1200</v>
      </c>
      <c r="X465" s="20">
        <f t="shared" si="922"/>
        <v>4</v>
      </c>
      <c r="Y465" s="20">
        <v>0</v>
      </c>
      <c r="Z465" s="22">
        <v>0</v>
      </c>
      <c r="AA465" s="20">
        <v>0</v>
      </c>
      <c r="AB465" s="20">
        <v>0</v>
      </c>
      <c r="AC465" s="20">
        <v>0</v>
      </c>
      <c r="AD465" s="23">
        <f t="shared" ref="AD465:AE465" si="923">AD435</f>
        <v>26</v>
      </c>
      <c r="AE465" s="23">
        <f t="shared" si="923"/>
        <v>30</v>
      </c>
    </row>
    <row r="466" spans="1:31">
      <c r="A466" s="4">
        <v>11100</v>
      </c>
      <c r="B466" s="4">
        <v>15</v>
      </c>
      <c r="C466" s="19" t="s">
        <v>70</v>
      </c>
      <c r="D466" s="44">
        <f t="shared" si="898"/>
        <v>110</v>
      </c>
      <c r="E466" s="18">
        <v>0</v>
      </c>
      <c r="F466" s="18">
        <v>0</v>
      </c>
      <c r="G466" s="18">
        <v>0</v>
      </c>
      <c r="H466" s="45">
        <v>0</v>
      </c>
      <c r="I466" s="21">
        <f t="shared" si="818"/>
        <v>220</v>
      </c>
      <c r="J466" s="21">
        <f t="shared" si="909"/>
        <v>14</v>
      </c>
      <c r="K466" s="21">
        <v>0</v>
      </c>
      <c r="L466" s="20">
        <v>6</v>
      </c>
      <c r="M466" s="20">
        <v>0</v>
      </c>
      <c r="N466" s="20">
        <f t="shared" si="819"/>
        <v>4500</v>
      </c>
      <c r="O466" s="19" t="s">
        <v>70</v>
      </c>
      <c r="P466" s="20">
        <v>3100</v>
      </c>
      <c r="Q466" s="20">
        <f t="shared" ref="Q466:X466" si="924">Q436</f>
        <v>450</v>
      </c>
      <c r="R466" s="20">
        <f t="shared" si="924"/>
        <v>1800</v>
      </c>
      <c r="S466" s="20">
        <f t="shared" si="924"/>
        <v>3150</v>
      </c>
      <c r="T466" s="20">
        <f t="shared" si="924"/>
        <v>4050</v>
      </c>
      <c r="U466" s="20">
        <f t="shared" si="924"/>
        <v>100</v>
      </c>
      <c r="V466" s="20">
        <f t="shared" si="924"/>
        <v>1000</v>
      </c>
      <c r="W466" s="20">
        <f t="shared" si="924"/>
        <v>600</v>
      </c>
      <c r="X466" s="20">
        <f t="shared" si="924"/>
        <v>4</v>
      </c>
      <c r="Y466" s="20">
        <v>0</v>
      </c>
      <c r="Z466" s="22">
        <v>0</v>
      </c>
      <c r="AA466" s="20">
        <v>0</v>
      </c>
      <c r="AB466" s="20">
        <v>0</v>
      </c>
      <c r="AC466" s="20">
        <v>0</v>
      </c>
      <c r="AD466" s="23">
        <f t="shared" ref="AD466:AE466" si="925">AD436</f>
        <v>28</v>
      </c>
      <c r="AE466" s="23">
        <f t="shared" si="925"/>
        <v>32</v>
      </c>
    </row>
    <row r="467" spans="1:31">
      <c r="A467" s="4">
        <v>11100</v>
      </c>
      <c r="B467" s="4">
        <v>16</v>
      </c>
      <c r="C467" s="19" t="s">
        <v>71</v>
      </c>
      <c r="D467" s="44">
        <f t="shared" si="898"/>
        <v>119</v>
      </c>
      <c r="E467" s="18">
        <v>0</v>
      </c>
      <c r="F467" s="18">
        <v>0</v>
      </c>
      <c r="G467" s="18">
        <v>0</v>
      </c>
      <c r="H467" s="45">
        <v>0</v>
      </c>
      <c r="I467" s="21">
        <f t="shared" si="818"/>
        <v>220</v>
      </c>
      <c r="J467" s="21">
        <f t="shared" si="909"/>
        <v>15</v>
      </c>
      <c r="K467" s="21">
        <v>0</v>
      </c>
      <c r="L467" s="20">
        <v>6</v>
      </c>
      <c r="M467" s="20">
        <v>0</v>
      </c>
      <c r="N467" s="20">
        <f t="shared" si="819"/>
        <v>4800</v>
      </c>
      <c r="O467" s="19" t="s">
        <v>71</v>
      </c>
      <c r="P467" s="20">
        <v>1777</v>
      </c>
      <c r="Q467" s="20">
        <f t="shared" ref="Q467:X467" si="926">Q437</f>
        <v>480</v>
      </c>
      <c r="R467" s="20">
        <f t="shared" si="926"/>
        <v>1920</v>
      </c>
      <c r="S467" s="20">
        <f t="shared" si="926"/>
        <v>3360</v>
      </c>
      <c r="T467" s="20">
        <f t="shared" si="926"/>
        <v>4320</v>
      </c>
      <c r="U467" s="20">
        <f t="shared" si="926"/>
        <v>100</v>
      </c>
      <c r="V467" s="20">
        <f t="shared" si="926"/>
        <v>800</v>
      </c>
      <c r="W467" s="20">
        <f t="shared" si="926"/>
        <v>800</v>
      </c>
      <c r="X467" s="20">
        <f t="shared" si="926"/>
        <v>4</v>
      </c>
      <c r="Y467" s="20">
        <v>0</v>
      </c>
      <c r="Z467" s="22">
        <v>0</v>
      </c>
      <c r="AA467" s="20">
        <v>0</v>
      </c>
      <c r="AB467" s="20">
        <v>0</v>
      </c>
      <c r="AC467" s="20">
        <v>0</v>
      </c>
      <c r="AD467" s="23">
        <f t="shared" ref="AD467:AE467" si="927">AD437</f>
        <v>30</v>
      </c>
      <c r="AE467" s="23">
        <f t="shared" si="927"/>
        <v>34</v>
      </c>
    </row>
    <row r="468" spans="1:31">
      <c r="A468" s="4">
        <v>11100</v>
      </c>
      <c r="B468" s="4">
        <v>17</v>
      </c>
      <c r="C468" s="19" t="s">
        <v>72</v>
      </c>
      <c r="D468" s="44">
        <f t="shared" si="898"/>
        <v>128</v>
      </c>
      <c r="E468" s="18">
        <v>0</v>
      </c>
      <c r="F468" s="18">
        <v>0</v>
      </c>
      <c r="G468" s="18">
        <v>0</v>
      </c>
      <c r="H468" s="45">
        <v>0</v>
      </c>
      <c r="I468" s="21">
        <f t="shared" si="818"/>
        <v>275</v>
      </c>
      <c r="J468" s="21">
        <f t="shared" si="909"/>
        <v>16</v>
      </c>
      <c r="K468" s="21">
        <v>0</v>
      </c>
      <c r="L468" s="20">
        <v>6</v>
      </c>
      <c r="M468" s="20">
        <v>0</v>
      </c>
      <c r="N468" s="20">
        <f t="shared" si="819"/>
        <v>5100</v>
      </c>
      <c r="O468" s="19" t="s">
        <v>72</v>
      </c>
      <c r="P468" s="20">
        <v>2332</v>
      </c>
      <c r="Q468" s="20">
        <f t="shared" ref="Q468:X468" si="928">Q438</f>
        <v>510</v>
      </c>
      <c r="R468" s="20">
        <f t="shared" si="928"/>
        <v>2040</v>
      </c>
      <c r="S468" s="20">
        <f t="shared" si="928"/>
        <v>3570</v>
      </c>
      <c r="T468" s="20">
        <f t="shared" si="928"/>
        <v>4590</v>
      </c>
      <c r="U468" s="20">
        <f t="shared" si="928"/>
        <v>80</v>
      </c>
      <c r="V468" s="20">
        <f t="shared" si="928"/>
        <v>800</v>
      </c>
      <c r="W468" s="20">
        <f t="shared" si="928"/>
        <v>600</v>
      </c>
      <c r="X468" s="20">
        <f t="shared" si="928"/>
        <v>5</v>
      </c>
      <c r="Y468" s="20">
        <v>0</v>
      </c>
      <c r="Z468" s="22">
        <v>0</v>
      </c>
      <c r="AA468" s="20">
        <v>0</v>
      </c>
      <c r="AB468" s="20">
        <v>0</v>
      </c>
      <c r="AC468" s="20">
        <v>0</v>
      </c>
      <c r="AD468" s="23">
        <f t="shared" ref="AD468:AE468" si="929">AD438</f>
        <v>32</v>
      </c>
      <c r="AE468" s="23">
        <f t="shared" si="929"/>
        <v>36</v>
      </c>
    </row>
    <row r="469" spans="1:31">
      <c r="A469" s="4">
        <v>11100</v>
      </c>
      <c r="B469" s="4">
        <v>18</v>
      </c>
      <c r="C469" s="19" t="s">
        <v>73</v>
      </c>
      <c r="D469" s="44">
        <f t="shared" si="898"/>
        <v>139</v>
      </c>
      <c r="E469" s="18">
        <v>0</v>
      </c>
      <c r="F469" s="18">
        <v>0</v>
      </c>
      <c r="G469" s="18">
        <v>0</v>
      </c>
      <c r="H469" s="45">
        <v>0</v>
      </c>
      <c r="I469" s="21">
        <f t="shared" si="818"/>
        <v>275</v>
      </c>
      <c r="J469" s="21">
        <f t="shared" si="909"/>
        <v>17</v>
      </c>
      <c r="K469" s="21">
        <v>0</v>
      </c>
      <c r="L469" s="20">
        <v>6</v>
      </c>
      <c r="M469" s="20">
        <v>0</v>
      </c>
      <c r="N469" s="20">
        <f t="shared" si="819"/>
        <v>5400</v>
      </c>
      <c r="O469" s="19" t="s">
        <v>73</v>
      </c>
      <c r="P469" s="20">
        <v>1487</v>
      </c>
      <c r="Q469" s="20">
        <f t="shared" ref="Q469:X469" si="930">Q439</f>
        <v>540</v>
      </c>
      <c r="R469" s="20">
        <f t="shared" si="930"/>
        <v>2160</v>
      </c>
      <c r="S469" s="20">
        <f t="shared" si="930"/>
        <v>3779.9999999999995</v>
      </c>
      <c r="T469" s="20">
        <f t="shared" si="930"/>
        <v>4860</v>
      </c>
      <c r="U469" s="20">
        <f t="shared" si="930"/>
        <v>100</v>
      </c>
      <c r="V469" s="20">
        <f t="shared" si="930"/>
        <v>600</v>
      </c>
      <c r="W469" s="20">
        <f t="shared" si="930"/>
        <v>300</v>
      </c>
      <c r="X469" s="20">
        <f t="shared" si="930"/>
        <v>5</v>
      </c>
      <c r="Y469" s="20">
        <v>0</v>
      </c>
      <c r="Z469" s="22">
        <v>0</v>
      </c>
      <c r="AA469" s="20">
        <f t="shared" si="896"/>
        <v>67</v>
      </c>
      <c r="AB469" s="20">
        <v>0</v>
      </c>
      <c r="AC469" s="20">
        <v>0</v>
      </c>
      <c r="AD469" s="23">
        <f t="shared" ref="AD469:AE469" si="931">AD439</f>
        <v>34</v>
      </c>
      <c r="AE469" s="23">
        <f t="shared" si="931"/>
        <v>38</v>
      </c>
    </row>
    <row r="470" spans="1:31">
      <c r="A470" s="4">
        <v>11100</v>
      </c>
      <c r="B470" s="4">
        <v>19</v>
      </c>
      <c r="C470" s="19" t="s">
        <v>74</v>
      </c>
      <c r="D470" s="44">
        <f t="shared" si="898"/>
        <v>151</v>
      </c>
      <c r="E470" s="18">
        <v>0</v>
      </c>
      <c r="F470" s="18">
        <v>0</v>
      </c>
      <c r="G470" s="18">
        <v>0</v>
      </c>
      <c r="H470" s="45">
        <v>0</v>
      </c>
      <c r="I470" s="21">
        <f t="shared" si="818"/>
        <v>275</v>
      </c>
      <c r="J470" s="21">
        <f t="shared" si="909"/>
        <v>18</v>
      </c>
      <c r="K470" s="21">
        <v>0</v>
      </c>
      <c r="L470" s="20">
        <v>6</v>
      </c>
      <c r="M470" s="20">
        <v>0</v>
      </c>
      <c r="N470" s="20">
        <f t="shared" si="819"/>
        <v>5700</v>
      </c>
      <c r="O470" s="19" t="s">
        <v>74</v>
      </c>
      <c r="P470" s="20">
        <v>1518</v>
      </c>
      <c r="Q470" s="20">
        <f t="shared" ref="Q470:X470" si="932">Q440</f>
        <v>570</v>
      </c>
      <c r="R470" s="20">
        <f t="shared" si="932"/>
        <v>2280</v>
      </c>
      <c r="S470" s="20">
        <f t="shared" si="932"/>
        <v>3989.9999999999995</v>
      </c>
      <c r="T470" s="20">
        <f t="shared" si="932"/>
        <v>5130</v>
      </c>
      <c r="U470" s="20">
        <f t="shared" si="932"/>
        <v>100</v>
      </c>
      <c r="V470" s="20">
        <f t="shared" si="932"/>
        <v>500</v>
      </c>
      <c r="W470" s="20">
        <f t="shared" si="932"/>
        <v>400</v>
      </c>
      <c r="X470" s="20">
        <f t="shared" si="932"/>
        <v>5</v>
      </c>
      <c r="Y470" s="20">
        <v>0</v>
      </c>
      <c r="Z470" s="22">
        <v>0</v>
      </c>
      <c r="AA470" s="20">
        <v>0</v>
      </c>
      <c r="AB470" s="20">
        <v>0</v>
      </c>
      <c r="AC470" s="20">
        <v>0</v>
      </c>
      <c r="AD470" s="23">
        <f t="shared" ref="AD470:AE470" si="933">AD440</f>
        <v>36</v>
      </c>
      <c r="AE470" s="23">
        <f t="shared" si="933"/>
        <v>40</v>
      </c>
    </row>
    <row r="471" spans="1:31">
      <c r="A471" s="4">
        <v>11100</v>
      </c>
      <c r="B471" s="4">
        <v>20</v>
      </c>
      <c r="C471" s="19" t="s">
        <v>75</v>
      </c>
      <c r="D471" s="44">
        <f t="shared" si="898"/>
        <v>163</v>
      </c>
      <c r="E471" s="18">
        <v>0</v>
      </c>
      <c r="F471" s="18">
        <v>0</v>
      </c>
      <c r="G471" s="18">
        <v>0</v>
      </c>
      <c r="H471" s="45">
        <v>0</v>
      </c>
      <c r="I471" s="21">
        <f t="shared" si="818"/>
        <v>275</v>
      </c>
      <c r="J471" s="21">
        <f t="shared" si="909"/>
        <v>19</v>
      </c>
      <c r="K471" s="21">
        <v>0</v>
      </c>
      <c r="L471" s="20">
        <v>6</v>
      </c>
      <c r="M471" s="20">
        <v>0</v>
      </c>
      <c r="N471" s="20">
        <f t="shared" si="819"/>
        <v>8000</v>
      </c>
      <c r="O471" s="19" t="s">
        <v>75</v>
      </c>
      <c r="P471" s="20">
        <v>861</v>
      </c>
      <c r="Q471" s="20">
        <f t="shared" ref="Q471:X471" si="934">Q441</f>
        <v>800</v>
      </c>
      <c r="R471" s="20">
        <f t="shared" si="934"/>
        <v>3200</v>
      </c>
      <c r="S471" s="20">
        <f t="shared" si="934"/>
        <v>5600</v>
      </c>
      <c r="T471" s="20">
        <f t="shared" si="934"/>
        <v>7200</v>
      </c>
      <c r="U471" s="20">
        <f t="shared" si="934"/>
        <v>100</v>
      </c>
      <c r="V471" s="20">
        <f t="shared" si="934"/>
        <v>800</v>
      </c>
      <c r="W471" s="20">
        <f t="shared" si="934"/>
        <v>8000</v>
      </c>
      <c r="X471" s="20">
        <f t="shared" si="934"/>
        <v>5</v>
      </c>
      <c r="Y471" s="20">
        <v>0</v>
      </c>
      <c r="Z471" s="22">
        <v>0</v>
      </c>
      <c r="AA471" s="20">
        <v>0</v>
      </c>
      <c r="AB471" s="20">
        <v>0</v>
      </c>
      <c r="AC471" s="20">
        <v>0</v>
      </c>
      <c r="AD471" s="23">
        <f t="shared" ref="AD471:AE471" si="935">AD441</f>
        <v>38</v>
      </c>
      <c r="AE471" s="23">
        <f t="shared" si="935"/>
        <v>42</v>
      </c>
    </row>
    <row r="472" spans="1:31">
      <c r="A472" s="4">
        <v>11100</v>
      </c>
      <c r="B472" s="4">
        <v>21</v>
      </c>
      <c r="C472" s="19" t="s">
        <v>66</v>
      </c>
      <c r="D472" s="44">
        <f t="shared" si="898"/>
        <v>176</v>
      </c>
      <c r="E472" s="18">
        <v>0</v>
      </c>
      <c r="F472" s="18">
        <v>0</v>
      </c>
      <c r="G472" s="18">
        <v>0</v>
      </c>
      <c r="H472" s="45">
        <v>0</v>
      </c>
      <c r="I472" s="21">
        <f t="shared" si="818"/>
        <v>330</v>
      </c>
      <c r="J472" s="21">
        <f t="shared" si="909"/>
        <v>20</v>
      </c>
      <c r="K472" s="21">
        <v>0</v>
      </c>
      <c r="L472" s="20">
        <v>6</v>
      </c>
      <c r="M472" s="20">
        <v>0</v>
      </c>
      <c r="N472" s="20">
        <f t="shared" si="819"/>
        <v>8400</v>
      </c>
      <c r="O472" s="19" t="s">
        <v>66</v>
      </c>
      <c r="P472" s="20">
        <v>9400</v>
      </c>
      <c r="Q472" s="20">
        <f t="shared" ref="Q472:X472" si="936">Q442</f>
        <v>840</v>
      </c>
      <c r="R472" s="20">
        <f t="shared" si="936"/>
        <v>3360</v>
      </c>
      <c r="S472" s="20">
        <f t="shared" si="936"/>
        <v>5880</v>
      </c>
      <c r="T472" s="20">
        <f t="shared" si="936"/>
        <v>7560</v>
      </c>
      <c r="U472" s="20">
        <f t="shared" si="936"/>
        <v>50</v>
      </c>
      <c r="V472" s="20">
        <f t="shared" si="936"/>
        <v>1000</v>
      </c>
      <c r="W472" s="20">
        <f t="shared" si="936"/>
        <v>600</v>
      </c>
      <c r="X472" s="20">
        <f t="shared" si="936"/>
        <v>6</v>
      </c>
      <c r="Y472" s="20">
        <v>0</v>
      </c>
      <c r="Z472" s="22">
        <v>0</v>
      </c>
      <c r="AA472" s="20">
        <v>0</v>
      </c>
      <c r="AB472" s="20">
        <v>0</v>
      </c>
      <c r="AC472" s="20">
        <v>0</v>
      </c>
      <c r="AD472" s="23">
        <f t="shared" ref="AD472:AE472" si="937">AD442</f>
        <v>40</v>
      </c>
      <c r="AE472" s="23">
        <f t="shared" si="937"/>
        <v>44</v>
      </c>
    </row>
    <row r="473" spans="1:31">
      <c r="A473" s="4">
        <v>11100</v>
      </c>
      <c r="B473" s="4">
        <v>22</v>
      </c>
      <c r="C473" s="19" t="s">
        <v>67</v>
      </c>
      <c r="D473" s="44">
        <f t="shared" si="898"/>
        <v>191</v>
      </c>
      <c r="E473" s="18">
        <v>0</v>
      </c>
      <c r="F473" s="18">
        <v>0</v>
      </c>
      <c r="G473" s="18">
        <v>0</v>
      </c>
      <c r="H473" s="45">
        <v>0</v>
      </c>
      <c r="I473" s="21">
        <f t="shared" si="818"/>
        <v>330</v>
      </c>
      <c r="J473" s="21">
        <f t="shared" si="909"/>
        <v>21</v>
      </c>
      <c r="K473" s="21">
        <v>0</v>
      </c>
      <c r="L473" s="20">
        <v>6</v>
      </c>
      <c r="M473" s="20">
        <v>0</v>
      </c>
      <c r="N473" s="20">
        <f t="shared" si="819"/>
        <v>8800</v>
      </c>
      <c r="O473" s="19" t="s">
        <v>67</v>
      </c>
      <c r="P473" s="20">
        <v>9100</v>
      </c>
      <c r="Q473" s="20">
        <f t="shared" ref="Q473:X473" si="938">Q443</f>
        <v>880</v>
      </c>
      <c r="R473" s="20">
        <f t="shared" si="938"/>
        <v>3520</v>
      </c>
      <c r="S473" s="20">
        <f t="shared" si="938"/>
        <v>6160</v>
      </c>
      <c r="T473" s="20">
        <f t="shared" si="938"/>
        <v>7920</v>
      </c>
      <c r="U473" s="20">
        <f t="shared" si="938"/>
        <v>100</v>
      </c>
      <c r="V473" s="20">
        <f t="shared" si="938"/>
        <v>600</v>
      </c>
      <c r="W473" s="20">
        <f t="shared" si="938"/>
        <v>700</v>
      </c>
      <c r="X473" s="20">
        <f t="shared" si="938"/>
        <v>6</v>
      </c>
      <c r="Y473" s="20">
        <v>0</v>
      </c>
      <c r="Z473" s="22">
        <v>0</v>
      </c>
      <c r="AA473" s="20">
        <v>0</v>
      </c>
      <c r="AB473" s="20">
        <v>0</v>
      </c>
      <c r="AC473" s="20">
        <v>0</v>
      </c>
      <c r="AD473" s="23">
        <f t="shared" ref="AD473:AE473" si="939">AD443</f>
        <v>42</v>
      </c>
      <c r="AE473" s="23">
        <f t="shared" si="939"/>
        <v>46</v>
      </c>
    </row>
    <row r="474" spans="1:31">
      <c r="A474" s="4">
        <v>11100</v>
      </c>
      <c r="B474" s="4">
        <v>23</v>
      </c>
      <c r="C474" s="19" t="s">
        <v>68</v>
      </c>
      <c r="D474" s="44">
        <f t="shared" si="898"/>
        <v>207</v>
      </c>
      <c r="E474" s="18">
        <v>0</v>
      </c>
      <c r="F474" s="18">
        <v>0</v>
      </c>
      <c r="G474" s="18">
        <v>0</v>
      </c>
      <c r="H474" s="45">
        <v>0</v>
      </c>
      <c r="I474" s="21">
        <f t="shared" si="818"/>
        <v>330</v>
      </c>
      <c r="J474" s="21">
        <f t="shared" si="909"/>
        <v>22</v>
      </c>
      <c r="K474" s="21">
        <v>0</v>
      </c>
      <c r="L474" s="20">
        <v>6</v>
      </c>
      <c r="M474" s="20">
        <v>0</v>
      </c>
      <c r="N474" s="20">
        <f t="shared" si="819"/>
        <v>9200</v>
      </c>
      <c r="O474" s="19" t="s">
        <v>68</v>
      </c>
      <c r="P474" s="20">
        <v>8600</v>
      </c>
      <c r="Q474" s="20">
        <f t="shared" ref="Q474:X474" si="940">Q444</f>
        <v>920</v>
      </c>
      <c r="R474" s="20">
        <f t="shared" si="940"/>
        <v>3680</v>
      </c>
      <c r="S474" s="20">
        <f t="shared" si="940"/>
        <v>6440</v>
      </c>
      <c r="T474" s="20">
        <f t="shared" si="940"/>
        <v>8280</v>
      </c>
      <c r="U474" s="20">
        <f t="shared" si="940"/>
        <v>100</v>
      </c>
      <c r="V474" s="20">
        <f t="shared" si="940"/>
        <v>550</v>
      </c>
      <c r="W474" s="20">
        <f t="shared" si="940"/>
        <v>500</v>
      </c>
      <c r="X474" s="20">
        <f t="shared" si="940"/>
        <v>6</v>
      </c>
      <c r="Y474" s="20">
        <v>0</v>
      </c>
      <c r="Z474" s="22">
        <v>0</v>
      </c>
      <c r="AA474" s="20">
        <f t="shared" si="896"/>
        <v>90</v>
      </c>
      <c r="AB474" s="20">
        <v>0</v>
      </c>
      <c r="AC474" s="20">
        <v>0</v>
      </c>
      <c r="AD474" s="23">
        <f t="shared" ref="AD474:AE474" si="941">AD444</f>
        <v>44</v>
      </c>
      <c r="AE474" s="23">
        <f t="shared" si="941"/>
        <v>48</v>
      </c>
    </row>
    <row r="475" spans="1:31">
      <c r="A475" s="4">
        <v>11100</v>
      </c>
      <c r="B475" s="4">
        <v>24</v>
      </c>
      <c r="C475" s="19" t="s">
        <v>69</v>
      </c>
      <c r="D475" s="44">
        <f t="shared" si="898"/>
        <v>224</v>
      </c>
      <c r="E475" s="18">
        <v>0</v>
      </c>
      <c r="F475" s="18">
        <v>0</v>
      </c>
      <c r="G475" s="18">
        <v>0</v>
      </c>
      <c r="H475" s="45">
        <v>0</v>
      </c>
      <c r="I475" s="21">
        <f t="shared" si="818"/>
        <v>330</v>
      </c>
      <c r="J475" s="21">
        <f t="shared" si="909"/>
        <v>23</v>
      </c>
      <c r="K475" s="21">
        <v>0</v>
      </c>
      <c r="L475" s="20">
        <v>6</v>
      </c>
      <c r="M475" s="20">
        <v>0</v>
      </c>
      <c r="N475" s="20">
        <f t="shared" si="819"/>
        <v>9600</v>
      </c>
      <c r="O475" s="19" t="s">
        <v>69</v>
      </c>
      <c r="P475" s="20">
        <v>6400</v>
      </c>
      <c r="Q475" s="20">
        <f t="shared" ref="Q475:X475" si="942">Q445</f>
        <v>960</v>
      </c>
      <c r="R475" s="20">
        <f t="shared" si="942"/>
        <v>3840</v>
      </c>
      <c r="S475" s="20">
        <f t="shared" si="942"/>
        <v>6720</v>
      </c>
      <c r="T475" s="20">
        <f t="shared" si="942"/>
        <v>8640</v>
      </c>
      <c r="U475" s="20">
        <f t="shared" si="942"/>
        <v>100</v>
      </c>
      <c r="V475" s="20">
        <f t="shared" si="942"/>
        <v>500</v>
      </c>
      <c r="W475" s="20">
        <f t="shared" si="942"/>
        <v>900</v>
      </c>
      <c r="X475" s="20">
        <f t="shared" si="942"/>
        <v>6</v>
      </c>
      <c r="Y475" s="20">
        <v>0</v>
      </c>
      <c r="Z475" s="22">
        <v>0</v>
      </c>
      <c r="AA475" s="20">
        <v>0</v>
      </c>
      <c r="AB475" s="20">
        <v>0</v>
      </c>
      <c r="AC475" s="20">
        <v>0</v>
      </c>
      <c r="AD475" s="23">
        <f t="shared" ref="AD475:AE475" si="943">AD445</f>
        <v>46</v>
      </c>
      <c r="AE475" s="23">
        <f t="shared" si="943"/>
        <v>50</v>
      </c>
    </row>
    <row r="476" spans="1:31">
      <c r="A476" s="4">
        <v>11100</v>
      </c>
      <c r="B476" s="4">
        <v>25</v>
      </c>
      <c r="C476" s="19" t="s">
        <v>70</v>
      </c>
      <c r="D476" s="44">
        <f t="shared" si="898"/>
        <v>242</v>
      </c>
      <c r="E476" s="18">
        <v>0</v>
      </c>
      <c r="F476" s="18">
        <v>0</v>
      </c>
      <c r="G476" s="18">
        <v>0</v>
      </c>
      <c r="H476" s="45">
        <v>0</v>
      </c>
      <c r="I476" s="21">
        <f t="shared" si="818"/>
        <v>385</v>
      </c>
      <c r="J476" s="21">
        <f t="shared" si="909"/>
        <v>24</v>
      </c>
      <c r="K476" s="21">
        <v>0</v>
      </c>
      <c r="L476" s="20">
        <v>6</v>
      </c>
      <c r="M476" s="20">
        <v>0</v>
      </c>
      <c r="N476" s="20">
        <f t="shared" si="819"/>
        <v>12500</v>
      </c>
      <c r="O476" s="19" t="s">
        <v>70</v>
      </c>
      <c r="P476" s="20">
        <v>3100</v>
      </c>
      <c r="Q476" s="20">
        <f t="shared" ref="Q476:X476" si="944">Q446</f>
        <v>1250</v>
      </c>
      <c r="R476" s="20">
        <f t="shared" si="944"/>
        <v>5000</v>
      </c>
      <c r="S476" s="20">
        <f t="shared" si="944"/>
        <v>8750</v>
      </c>
      <c r="T476" s="20">
        <f t="shared" si="944"/>
        <v>11250</v>
      </c>
      <c r="U476" s="20">
        <f t="shared" si="944"/>
        <v>10</v>
      </c>
      <c r="V476" s="20">
        <f t="shared" si="944"/>
        <v>1300</v>
      </c>
      <c r="W476" s="20">
        <f t="shared" si="944"/>
        <v>1000</v>
      </c>
      <c r="X476" s="20">
        <f t="shared" si="944"/>
        <v>7</v>
      </c>
      <c r="Y476" s="20">
        <v>0</v>
      </c>
      <c r="Z476" s="22">
        <v>0</v>
      </c>
      <c r="AA476" s="20">
        <v>0</v>
      </c>
      <c r="AB476" s="20">
        <v>0</v>
      </c>
      <c r="AC476" s="20">
        <v>0</v>
      </c>
      <c r="AD476" s="23">
        <f t="shared" ref="AD476:AE476" si="945">AD446</f>
        <v>48</v>
      </c>
      <c r="AE476" s="23">
        <f t="shared" si="945"/>
        <v>52</v>
      </c>
    </row>
    <row r="477" spans="1:31">
      <c r="A477" s="4">
        <v>11100</v>
      </c>
      <c r="B477" s="4">
        <v>26</v>
      </c>
      <c r="C477" s="19" t="s">
        <v>71</v>
      </c>
      <c r="D477" s="44">
        <f t="shared" si="898"/>
        <v>262</v>
      </c>
      <c r="E477" s="18">
        <v>0</v>
      </c>
      <c r="F477" s="18">
        <v>0</v>
      </c>
      <c r="G477" s="18">
        <v>0</v>
      </c>
      <c r="H477" s="45">
        <v>0</v>
      </c>
      <c r="I477" s="21">
        <f t="shared" si="818"/>
        <v>385</v>
      </c>
      <c r="J477" s="21">
        <f t="shared" si="909"/>
        <v>25</v>
      </c>
      <c r="K477" s="21">
        <v>0</v>
      </c>
      <c r="L477" s="20">
        <v>6</v>
      </c>
      <c r="M477" s="20">
        <v>0</v>
      </c>
      <c r="N477" s="20">
        <f t="shared" si="819"/>
        <v>13000</v>
      </c>
      <c r="O477" s="19" t="s">
        <v>71</v>
      </c>
      <c r="P477" s="20">
        <v>1777</v>
      </c>
      <c r="Q477" s="20">
        <f t="shared" ref="Q477:X477" si="946">Q447</f>
        <v>1300</v>
      </c>
      <c r="R477" s="20">
        <f t="shared" si="946"/>
        <v>5200</v>
      </c>
      <c r="S477" s="20">
        <f t="shared" si="946"/>
        <v>9100</v>
      </c>
      <c r="T477" s="20">
        <f t="shared" si="946"/>
        <v>11700</v>
      </c>
      <c r="U477" s="20">
        <f t="shared" si="946"/>
        <v>90</v>
      </c>
      <c r="V477" s="20">
        <f t="shared" si="946"/>
        <v>800</v>
      </c>
      <c r="W477" s="20">
        <f t="shared" si="946"/>
        <v>2000</v>
      </c>
      <c r="X477" s="20">
        <f t="shared" si="946"/>
        <v>7</v>
      </c>
      <c r="Y477" s="20">
        <v>0</v>
      </c>
      <c r="Z477" s="22">
        <v>0</v>
      </c>
      <c r="AA477" s="20">
        <v>0</v>
      </c>
      <c r="AB477" s="20">
        <v>0</v>
      </c>
      <c r="AC477" s="20">
        <v>0</v>
      </c>
      <c r="AD477" s="23">
        <f t="shared" ref="AD477:AE477" si="947">AD447</f>
        <v>50</v>
      </c>
      <c r="AE477" s="23">
        <f t="shared" si="947"/>
        <v>54</v>
      </c>
    </row>
    <row r="478" spans="1:31">
      <c r="A478" s="4">
        <v>11100</v>
      </c>
      <c r="B478" s="4">
        <v>27</v>
      </c>
      <c r="C478" s="19" t="s">
        <v>72</v>
      </c>
      <c r="D478" s="44">
        <f t="shared" si="898"/>
        <v>284</v>
      </c>
      <c r="E478" s="18">
        <v>0</v>
      </c>
      <c r="F478" s="18">
        <v>0</v>
      </c>
      <c r="G478" s="18">
        <v>0</v>
      </c>
      <c r="H478" s="45">
        <v>0</v>
      </c>
      <c r="I478" s="21">
        <f t="shared" si="818"/>
        <v>385</v>
      </c>
      <c r="J478" s="21">
        <f t="shared" si="909"/>
        <v>26</v>
      </c>
      <c r="K478" s="21">
        <v>0</v>
      </c>
      <c r="L478" s="20">
        <v>6</v>
      </c>
      <c r="M478" s="20">
        <v>0</v>
      </c>
      <c r="N478" s="20">
        <f t="shared" si="819"/>
        <v>13500</v>
      </c>
      <c r="O478" s="19" t="s">
        <v>72</v>
      </c>
      <c r="P478" s="20">
        <v>2332</v>
      </c>
      <c r="Q478" s="20">
        <f t="shared" ref="Q478:X478" si="948">Q448</f>
        <v>1350</v>
      </c>
      <c r="R478" s="20">
        <f t="shared" si="948"/>
        <v>5400</v>
      </c>
      <c r="S478" s="20">
        <f t="shared" si="948"/>
        <v>9450</v>
      </c>
      <c r="T478" s="20">
        <f t="shared" si="948"/>
        <v>12150</v>
      </c>
      <c r="U478" s="20">
        <f t="shared" si="948"/>
        <v>80</v>
      </c>
      <c r="V478" s="20">
        <f t="shared" si="948"/>
        <v>700</v>
      </c>
      <c r="W478" s="20">
        <f t="shared" si="948"/>
        <v>800</v>
      </c>
      <c r="X478" s="20">
        <f t="shared" si="948"/>
        <v>7</v>
      </c>
      <c r="Y478" s="20">
        <v>0</v>
      </c>
      <c r="Z478" s="22">
        <v>0</v>
      </c>
      <c r="AA478" s="20">
        <v>0</v>
      </c>
      <c r="AB478" s="20">
        <v>0</v>
      </c>
      <c r="AC478" s="20">
        <v>0</v>
      </c>
      <c r="AD478" s="23">
        <f t="shared" ref="AD478:AE478" si="949">AD448</f>
        <v>52</v>
      </c>
      <c r="AE478" s="23">
        <f t="shared" si="949"/>
        <v>56</v>
      </c>
    </row>
    <row r="479" spans="1:31">
      <c r="A479" s="4">
        <v>11100</v>
      </c>
      <c r="B479" s="4">
        <v>28</v>
      </c>
      <c r="C479" s="19" t="s">
        <v>73</v>
      </c>
      <c r="D479" s="44">
        <f t="shared" si="898"/>
        <v>307</v>
      </c>
      <c r="E479" s="18">
        <v>0</v>
      </c>
      <c r="F479" s="18">
        <v>0</v>
      </c>
      <c r="G479" s="18">
        <v>0</v>
      </c>
      <c r="H479" s="45">
        <v>0</v>
      </c>
      <c r="I479" s="21">
        <f t="shared" si="818"/>
        <v>385</v>
      </c>
      <c r="J479" s="21">
        <f t="shared" si="909"/>
        <v>27</v>
      </c>
      <c r="K479" s="21">
        <v>0</v>
      </c>
      <c r="L479" s="20">
        <v>6</v>
      </c>
      <c r="M479" s="20">
        <v>0</v>
      </c>
      <c r="N479" s="20">
        <f t="shared" si="819"/>
        <v>14000</v>
      </c>
      <c r="O479" s="19" t="s">
        <v>73</v>
      </c>
      <c r="P479" s="20">
        <v>1487</v>
      </c>
      <c r="Q479" s="20">
        <f t="shared" ref="Q479:X479" si="950">Q449</f>
        <v>1400</v>
      </c>
      <c r="R479" s="20">
        <f t="shared" si="950"/>
        <v>5600</v>
      </c>
      <c r="S479" s="20">
        <f t="shared" si="950"/>
        <v>9800</v>
      </c>
      <c r="T479" s="20">
        <f t="shared" si="950"/>
        <v>12600</v>
      </c>
      <c r="U479" s="20">
        <f t="shared" si="950"/>
        <v>80</v>
      </c>
      <c r="V479" s="20">
        <f t="shared" si="950"/>
        <v>500</v>
      </c>
      <c r="W479" s="20">
        <f t="shared" si="950"/>
        <v>600</v>
      </c>
      <c r="X479" s="20">
        <f t="shared" si="950"/>
        <v>7</v>
      </c>
      <c r="Y479" s="20">
        <v>0</v>
      </c>
      <c r="Z479" s="22">
        <v>0</v>
      </c>
      <c r="AA479" s="20">
        <f t="shared" si="896"/>
        <v>113</v>
      </c>
      <c r="AB479" s="20">
        <v>0</v>
      </c>
      <c r="AC479" s="20">
        <v>0</v>
      </c>
      <c r="AD479" s="23">
        <f t="shared" ref="AD479:AE479" si="951">AD449</f>
        <v>54</v>
      </c>
      <c r="AE479" s="23">
        <f t="shared" si="951"/>
        <v>58</v>
      </c>
    </row>
    <row r="480" spans="1:31">
      <c r="A480" s="4">
        <v>11100</v>
      </c>
      <c r="B480" s="4">
        <v>29</v>
      </c>
      <c r="C480" s="19" t="s">
        <v>74</v>
      </c>
      <c r="D480" s="44">
        <f t="shared" si="898"/>
        <v>333</v>
      </c>
      <c r="E480" s="18">
        <v>0</v>
      </c>
      <c r="F480" s="18">
        <v>0</v>
      </c>
      <c r="G480" s="18">
        <v>0</v>
      </c>
      <c r="H480" s="45">
        <v>0</v>
      </c>
      <c r="I480" s="21">
        <f t="shared" si="818"/>
        <v>440</v>
      </c>
      <c r="J480" s="21">
        <f t="shared" si="909"/>
        <v>28</v>
      </c>
      <c r="K480" s="21">
        <v>0</v>
      </c>
      <c r="L480" s="20">
        <v>6</v>
      </c>
      <c r="M480" s="20">
        <v>0</v>
      </c>
      <c r="N480" s="20">
        <f t="shared" si="819"/>
        <v>14500</v>
      </c>
      <c r="O480" s="19" t="s">
        <v>74</v>
      </c>
      <c r="P480" s="20">
        <v>1518</v>
      </c>
      <c r="Q480" s="20">
        <f t="shared" ref="Q480:X480" si="952">Q450</f>
        <v>1450</v>
      </c>
      <c r="R480" s="20">
        <f t="shared" si="952"/>
        <v>5800</v>
      </c>
      <c r="S480" s="20">
        <f t="shared" si="952"/>
        <v>10150</v>
      </c>
      <c r="T480" s="20">
        <f t="shared" si="952"/>
        <v>13050</v>
      </c>
      <c r="U480" s="20">
        <f t="shared" si="952"/>
        <v>80</v>
      </c>
      <c r="V480" s="20">
        <f t="shared" si="952"/>
        <v>600</v>
      </c>
      <c r="W480" s="20">
        <f t="shared" si="952"/>
        <v>700</v>
      </c>
      <c r="X480" s="20">
        <f t="shared" si="952"/>
        <v>8</v>
      </c>
      <c r="Y480" s="20">
        <v>0</v>
      </c>
      <c r="Z480" s="22">
        <v>0</v>
      </c>
      <c r="AA480" s="20">
        <v>0</v>
      </c>
      <c r="AB480" s="20">
        <v>0</v>
      </c>
      <c r="AC480" s="20">
        <v>0</v>
      </c>
      <c r="AD480" s="23">
        <f t="shared" ref="AD480:AE480" si="953">AD450</f>
        <v>56</v>
      </c>
      <c r="AE480" s="23">
        <f t="shared" si="953"/>
        <v>60</v>
      </c>
    </row>
    <row r="481" spans="1:31">
      <c r="A481" s="4">
        <v>11100</v>
      </c>
      <c r="B481" s="4">
        <v>30</v>
      </c>
      <c r="C481" s="19" t="s">
        <v>75</v>
      </c>
      <c r="D481" s="44">
        <f t="shared" si="898"/>
        <v>360</v>
      </c>
      <c r="E481" s="18">
        <v>0</v>
      </c>
      <c r="F481" s="18">
        <v>0</v>
      </c>
      <c r="G481" s="18">
        <v>0</v>
      </c>
      <c r="H481" s="45">
        <v>0</v>
      </c>
      <c r="I481" s="21">
        <f t="shared" ref="I481:I544" si="954">I451</f>
        <v>440</v>
      </c>
      <c r="J481" s="21">
        <f t="shared" si="909"/>
        <v>29</v>
      </c>
      <c r="K481" s="21">
        <v>0</v>
      </c>
      <c r="L481" s="20">
        <v>6</v>
      </c>
      <c r="M481" s="20">
        <v>0</v>
      </c>
      <c r="N481" s="20">
        <f t="shared" ref="N481:N544" si="955">N451</f>
        <v>15000</v>
      </c>
      <c r="O481" s="19" t="s">
        <v>75</v>
      </c>
      <c r="P481" s="20">
        <v>861</v>
      </c>
      <c r="Q481" s="20">
        <f t="shared" ref="Q481:X481" si="956">Q451</f>
        <v>1500</v>
      </c>
      <c r="R481" s="20">
        <f t="shared" si="956"/>
        <v>6000</v>
      </c>
      <c r="S481" s="20">
        <f t="shared" si="956"/>
        <v>10500</v>
      </c>
      <c r="T481" s="20">
        <f t="shared" si="956"/>
        <v>13500</v>
      </c>
      <c r="U481" s="20">
        <f t="shared" si="956"/>
        <v>20</v>
      </c>
      <c r="V481" s="20">
        <f t="shared" si="956"/>
        <v>450</v>
      </c>
      <c r="W481" s="20">
        <f t="shared" si="956"/>
        <v>1000</v>
      </c>
      <c r="X481" s="20">
        <f t="shared" si="956"/>
        <v>8</v>
      </c>
      <c r="Y481" s="20">
        <v>0</v>
      </c>
      <c r="Z481" s="22">
        <v>0</v>
      </c>
      <c r="AA481" s="20">
        <v>0</v>
      </c>
      <c r="AB481" s="20">
        <v>0</v>
      </c>
      <c r="AC481" s="20">
        <v>0</v>
      </c>
      <c r="AD481" s="23">
        <f t="shared" ref="AD481:AE481" si="957">AD451</f>
        <v>58</v>
      </c>
      <c r="AE481" s="23">
        <f t="shared" si="957"/>
        <v>62</v>
      </c>
    </row>
    <row r="482" spans="1:31">
      <c r="A482" s="4">
        <v>11101</v>
      </c>
      <c r="B482" s="4">
        <v>1</v>
      </c>
      <c r="C482" s="29" t="s">
        <v>66</v>
      </c>
      <c r="D482" s="44">
        <f t="shared" si="898"/>
        <v>72</v>
      </c>
      <c r="E482" s="28">
        <v>0</v>
      </c>
      <c r="F482" s="28">
        <v>0</v>
      </c>
      <c r="G482" s="28">
        <v>0</v>
      </c>
      <c r="H482" s="47">
        <v>0</v>
      </c>
      <c r="I482" s="21">
        <f t="shared" si="954"/>
        <v>55</v>
      </c>
      <c r="J482" s="21">
        <f t="shared" si="909"/>
        <v>0</v>
      </c>
      <c r="K482" s="21">
        <v>0</v>
      </c>
      <c r="L482" s="20">
        <v>45</v>
      </c>
      <c r="M482" s="20">
        <v>0</v>
      </c>
      <c r="N482" s="20">
        <f t="shared" si="955"/>
        <v>10</v>
      </c>
      <c r="O482" s="19" t="s">
        <v>66</v>
      </c>
      <c r="P482" s="20">
        <v>9400</v>
      </c>
      <c r="Q482" s="20">
        <f t="shared" ref="Q482:X482" si="958">Q452</f>
        <v>1</v>
      </c>
      <c r="R482" s="20">
        <f t="shared" si="958"/>
        <v>4</v>
      </c>
      <c r="S482" s="20">
        <f t="shared" si="958"/>
        <v>7</v>
      </c>
      <c r="T482" s="20">
        <f t="shared" si="958"/>
        <v>9</v>
      </c>
      <c r="U482" s="20">
        <f t="shared" si="958"/>
        <v>9400</v>
      </c>
      <c r="V482" s="20">
        <f t="shared" si="958"/>
        <v>9400</v>
      </c>
      <c r="W482" s="20">
        <f t="shared" si="958"/>
        <v>9400</v>
      </c>
      <c r="X482" s="20">
        <f t="shared" si="958"/>
        <v>1</v>
      </c>
      <c r="Y482" s="20">
        <v>0</v>
      </c>
      <c r="Z482" s="30">
        <v>0</v>
      </c>
      <c r="AA482" s="27">
        <f>INT(AA572*0.7)</f>
        <v>0</v>
      </c>
      <c r="AB482" s="27">
        <v>0</v>
      </c>
      <c r="AC482" s="27">
        <v>0</v>
      </c>
      <c r="AD482" s="23">
        <f t="shared" ref="AD482:AE482" si="959">AD452</f>
        <v>1</v>
      </c>
      <c r="AE482" s="23">
        <f t="shared" si="959"/>
        <v>3</v>
      </c>
    </row>
    <row r="483" spans="1:31">
      <c r="A483" s="4">
        <v>11101</v>
      </c>
      <c r="B483" s="4">
        <v>2</v>
      </c>
      <c r="C483" s="29" t="s">
        <v>67</v>
      </c>
      <c r="D483" s="44">
        <f t="shared" si="898"/>
        <v>78</v>
      </c>
      <c r="E483" s="28">
        <v>0</v>
      </c>
      <c r="F483" s="28">
        <v>0</v>
      </c>
      <c r="G483" s="28">
        <v>0</v>
      </c>
      <c r="H483" s="47">
        <v>0</v>
      </c>
      <c r="I483" s="21">
        <f t="shared" si="954"/>
        <v>55</v>
      </c>
      <c r="J483" s="21">
        <f t="shared" si="909"/>
        <v>1</v>
      </c>
      <c r="K483" s="21">
        <v>0</v>
      </c>
      <c r="L483" s="20">
        <v>40</v>
      </c>
      <c r="M483" s="20">
        <v>0</v>
      </c>
      <c r="N483" s="20">
        <f t="shared" si="955"/>
        <v>20</v>
      </c>
      <c r="O483" s="19" t="s">
        <v>67</v>
      </c>
      <c r="P483" s="20">
        <v>9100</v>
      </c>
      <c r="Q483" s="20">
        <f t="shared" ref="Q483:X483" si="960">Q453</f>
        <v>2</v>
      </c>
      <c r="R483" s="20">
        <f t="shared" si="960"/>
        <v>8</v>
      </c>
      <c r="S483" s="20">
        <f t="shared" si="960"/>
        <v>14</v>
      </c>
      <c r="T483" s="20">
        <f t="shared" si="960"/>
        <v>18</v>
      </c>
      <c r="U483" s="20">
        <f t="shared" si="960"/>
        <v>4000</v>
      </c>
      <c r="V483" s="20">
        <f t="shared" si="960"/>
        <v>8000</v>
      </c>
      <c r="W483" s="20">
        <f t="shared" si="960"/>
        <v>8000</v>
      </c>
      <c r="X483" s="20">
        <f t="shared" si="960"/>
        <v>1</v>
      </c>
      <c r="Y483" s="20">
        <v>0</v>
      </c>
      <c r="Z483" s="30">
        <v>0</v>
      </c>
      <c r="AA483" s="27">
        <f t="shared" ref="AA483:AA509" si="961">INT(AA573*0.7)</f>
        <v>0</v>
      </c>
      <c r="AB483" s="27">
        <v>0</v>
      </c>
      <c r="AC483" s="27">
        <v>0</v>
      </c>
      <c r="AD483" s="23">
        <f t="shared" ref="AD483:AE483" si="962">AD453</f>
        <v>2</v>
      </c>
      <c r="AE483" s="23">
        <f t="shared" si="962"/>
        <v>5</v>
      </c>
    </row>
    <row r="484" spans="1:31">
      <c r="A484" s="8">
        <v>11101</v>
      </c>
      <c r="B484" s="8">
        <v>3</v>
      </c>
      <c r="C484" s="29" t="s">
        <v>68</v>
      </c>
      <c r="D484" s="44">
        <f t="shared" si="898"/>
        <v>84</v>
      </c>
      <c r="E484" s="28">
        <v>0</v>
      </c>
      <c r="F484" s="28">
        <v>0</v>
      </c>
      <c r="G484" s="28">
        <v>0</v>
      </c>
      <c r="H484" s="47">
        <v>0</v>
      </c>
      <c r="I484" s="21">
        <f t="shared" si="954"/>
        <v>55</v>
      </c>
      <c r="J484" s="21">
        <f t="shared" si="909"/>
        <v>2</v>
      </c>
      <c r="K484" s="21">
        <v>0</v>
      </c>
      <c r="L484" s="20">
        <v>35</v>
      </c>
      <c r="M484" s="20">
        <v>0</v>
      </c>
      <c r="N484" s="20">
        <f t="shared" si="955"/>
        <v>40</v>
      </c>
      <c r="O484" s="19" t="s">
        <v>68</v>
      </c>
      <c r="P484" s="20">
        <v>8600</v>
      </c>
      <c r="Q484" s="20">
        <f t="shared" ref="Q484:X484" si="963">Q454</f>
        <v>4</v>
      </c>
      <c r="R484" s="20">
        <f t="shared" si="963"/>
        <v>16</v>
      </c>
      <c r="S484" s="20">
        <f t="shared" si="963"/>
        <v>28</v>
      </c>
      <c r="T484" s="20">
        <f t="shared" si="963"/>
        <v>36</v>
      </c>
      <c r="U484" s="20">
        <f t="shared" si="963"/>
        <v>1600</v>
      </c>
      <c r="V484" s="20">
        <f t="shared" si="963"/>
        <v>5000</v>
      </c>
      <c r="W484" s="20">
        <f t="shared" si="963"/>
        <v>6000</v>
      </c>
      <c r="X484" s="20">
        <f t="shared" si="963"/>
        <v>1</v>
      </c>
      <c r="Y484" s="20">
        <v>0</v>
      </c>
      <c r="Z484" s="30">
        <v>0</v>
      </c>
      <c r="AA484" s="27">
        <f t="shared" si="961"/>
        <v>0</v>
      </c>
      <c r="AB484" s="27">
        <v>0</v>
      </c>
      <c r="AC484" s="27">
        <v>0</v>
      </c>
      <c r="AD484" s="23">
        <f t="shared" ref="AD484:AE484" si="964">AD454</f>
        <v>4</v>
      </c>
      <c r="AE484" s="23">
        <f t="shared" si="964"/>
        <v>8</v>
      </c>
    </row>
    <row r="485" spans="1:31">
      <c r="A485" s="4">
        <v>11101</v>
      </c>
      <c r="B485" s="4">
        <v>4</v>
      </c>
      <c r="C485" s="29" t="s">
        <v>69</v>
      </c>
      <c r="D485" s="44">
        <f t="shared" si="898"/>
        <v>91</v>
      </c>
      <c r="E485" s="28">
        <v>0</v>
      </c>
      <c r="F485" s="28">
        <v>0</v>
      </c>
      <c r="G485" s="28">
        <v>0</v>
      </c>
      <c r="H485" s="47">
        <v>0</v>
      </c>
      <c r="I485" s="21">
        <f t="shared" si="954"/>
        <v>55</v>
      </c>
      <c r="J485" s="21">
        <f t="shared" si="909"/>
        <v>3</v>
      </c>
      <c r="K485" s="21">
        <v>0</v>
      </c>
      <c r="L485" s="20">
        <v>30</v>
      </c>
      <c r="M485" s="20">
        <v>0</v>
      </c>
      <c r="N485" s="20">
        <f t="shared" si="955"/>
        <v>100</v>
      </c>
      <c r="O485" s="19" t="s">
        <v>69</v>
      </c>
      <c r="P485" s="20">
        <v>6400</v>
      </c>
      <c r="Q485" s="20">
        <f t="shared" ref="Q485:X485" si="965">Q455</f>
        <v>10</v>
      </c>
      <c r="R485" s="20">
        <f t="shared" si="965"/>
        <v>40</v>
      </c>
      <c r="S485" s="20">
        <f t="shared" si="965"/>
        <v>70</v>
      </c>
      <c r="T485" s="20">
        <f t="shared" si="965"/>
        <v>90</v>
      </c>
      <c r="U485" s="20">
        <f t="shared" si="965"/>
        <v>900</v>
      </c>
      <c r="V485" s="20">
        <f t="shared" si="965"/>
        <v>2000</v>
      </c>
      <c r="W485" s="20">
        <f t="shared" si="965"/>
        <v>8000</v>
      </c>
      <c r="X485" s="20">
        <f t="shared" si="965"/>
        <v>1</v>
      </c>
      <c r="Y485" s="20">
        <v>0</v>
      </c>
      <c r="Z485" s="30">
        <v>0</v>
      </c>
      <c r="AA485" s="27">
        <f t="shared" si="961"/>
        <v>0</v>
      </c>
      <c r="AB485" s="27">
        <v>0</v>
      </c>
      <c r="AC485" s="27">
        <v>0</v>
      </c>
      <c r="AD485" s="23">
        <f t="shared" ref="AD485:AE485" si="966">AD455</f>
        <v>6</v>
      </c>
      <c r="AE485" s="23">
        <f t="shared" si="966"/>
        <v>10</v>
      </c>
    </row>
    <row r="486" spans="1:31">
      <c r="A486" s="4">
        <v>11101</v>
      </c>
      <c r="B486" s="4">
        <v>5</v>
      </c>
      <c r="C486" s="29" t="s">
        <v>70</v>
      </c>
      <c r="D486" s="44">
        <f t="shared" si="898"/>
        <v>99</v>
      </c>
      <c r="E486" s="28">
        <v>0</v>
      </c>
      <c r="F486" s="28">
        <v>0</v>
      </c>
      <c r="G486" s="28">
        <v>0</v>
      </c>
      <c r="H486" s="47">
        <v>0</v>
      </c>
      <c r="I486" s="21">
        <f t="shared" si="954"/>
        <v>110</v>
      </c>
      <c r="J486" s="21">
        <f t="shared" si="909"/>
        <v>4</v>
      </c>
      <c r="K486" s="21">
        <v>0</v>
      </c>
      <c r="L486" s="20">
        <v>25</v>
      </c>
      <c r="M486" s="20">
        <v>0</v>
      </c>
      <c r="N486" s="20">
        <f t="shared" si="955"/>
        <v>200</v>
      </c>
      <c r="O486" s="19" t="s">
        <v>70</v>
      </c>
      <c r="P486" s="20">
        <v>3100</v>
      </c>
      <c r="Q486" s="20">
        <f t="shared" ref="Q486:X486" si="967">Q456</f>
        <v>20</v>
      </c>
      <c r="R486" s="20">
        <f t="shared" si="967"/>
        <v>80</v>
      </c>
      <c r="S486" s="20">
        <f t="shared" si="967"/>
        <v>140</v>
      </c>
      <c r="T486" s="20">
        <f t="shared" si="967"/>
        <v>180</v>
      </c>
      <c r="U486" s="20">
        <f t="shared" si="967"/>
        <v>1000</v>
      </c>
      <c r="V486" s="20">
        <f t="shared" si="967"/>
        <v>2000</v>
      </c>
      <c r="W486" s="20">
        <f t="shared" si="967"/>
        <v>2000</v>
      </c>
      <c r="X486" s="20">
        <f t="shared" si="967"/>
        <v>2</v>
      </c>
      <c r="Y486" s="20">
        <v>0</v>
      </c>
      <c r="Z486" s="30">
        <v>0</v>
      </c>
      <c r="AA486" s="27">
        <f t="shared" si="961"/>
        <v>0</v>
      </c>
      <c r="AB486" s="27">
        <v>0</v>
      </c>
      <c r="AC486" s="27">
        <v>0</v>
      </c>
      <c r="AD486" s="23">
        <f t="shared" ref="AD486:AE486" si="968">AD456</f>
        <v>8</v>
      </c>
      <c r="AE486" s="23">
        <f t="shared" si="968"/>
        <v>12</v>
      </c>
    </row>
    <row r="487" spans="1:31">
      <c r="A487" s="4">
        <v>11101</v>
      </c>
      <c r="B487" s="4">
        <v>6</v>
      </c>
      <c r="C487" s="29" t="s">
        <v>71</v>
      </c>
      <c r="D487" s="44">
        <f t="shared" si="898"/>
        <v>107</v>
      </c>
      <c r="E487" s="28">
        <v>0</v>
      </c>
      <c r="F487" s="28">
        <v>0</v>
      </c>
      <c r="G487" s="28">
        <v>0</v>
      </c>
      <c r="H487" s="47">
        <v>0</v>
      </c>
      <c r="I487" s="21">
        <f t="shared" si="954"/>
        <v>110</v>
      </c>
      <c r="J487" s="21">
        <f t="shared" si="909"/>
        <v>5</v>
      </c>
      <c r="K487" s="21">
        <v>0</v>
      </c>
      <c r="L487" s="20">
        <v>20</v>
      </c>
      <c r="M487" s="20">
        <v>0</v>
      </c>
      <c r="N487" s="20">
        <f t="shared" si="955"/>
        <v>500</v>
      </c>
      <c r="O487" s="19" t="s">
        <v>71</v>
      </c>
      <c r="P487" s="20">
        <v>1777</v>
      </c>
      <c r="Q487" s="20">
        <f t="shared" ref="Q487:X487" si="969">Q457</f>
        <v>50</v>
      </c>
      <c r="R487" s="20">
        <f t="shared" si="969"/>
        <v>200</v>
      </c>
      <c r="S487" s="20">
        <f t="shared" si="969"/>
        <v>350</v>
      </c>
      <c r="T487" s="20">
        <f t="shared" si="969"/>
        <v>450</v>
      </c>
      <c r="U487" s="20">
        <f t="shared" si="969"/>
        <v>800</v>
      </c>
      <c r="V487" s="20">
        <f t="shared" si="969"/>
        <v>800</v>
      </c>
      <c r="W487" s="20">
        <f t="shared" si="969"/>
        <v>600</v>
      </c>
      <c r="X487" s="20">
        <f t="shared" si="969"/>
        <v>2</v>
      </c>
      <c r="Y487" s="20">
        <v>0</v>
      </c>
      <c r="Z487" s="30">
        <v>0</v>
      </c>
      <c r="AA487" s="27">
        <f t="shared" si="961"/>
        <v>0</v>
      </c>
      <c r="AB487" s="27">
        <v>0</v>
      </c>
      <c r="AC487" s="27">
        <v>0</v>
      </c>
      <c r="AD487" s="23">
        <f t="shared" ref="AD487:AE487" si="970">AD457</f>
        <v>10</v>
      </c>
      <c r="AE487" s="23">
        <f t="shared" si="970"/>
        <v>14</v>
      </c>
    </row>
    <row r="488" spans="1:31">
      <c r="A488" s="4">
        <v>11101</v>
      </c>
      <c r="B488" s="4">
        <v>7</v>
      </c>
      <c r="C488" s="29" t="s">
        <v>72</v>
      </c>
      <c r="D488" s="44">
        <f t="shared" si="898"/>
        <v>116</v>
      </c>
      <c r="E488" s="28">
        <v>0</v>
      </c>
      <c r="F488" s="28">
        <v>0</v>
      </c>
      <c r="G488" s="28">
        <v>0</v>
      </c>
      <c r="H488" s="47">
        <v>0</v>
      </c>
      <c r="I488" s="21">
        <f t="shared" si="954"/>
        <v>110</v>
      </c>
      <c r="J488" s="21">
        <f t="shared" si="909"/>
        <v>6</v>
      </c>
      <c r="K488" s="21">
        <v>0</v>
      </c>
      <c r="L488" s="20">
        <v>16</v>
      </c>
      <c r="M488" s="20">
        <v>0</v>
      </c>
      <c r="N488" s="20">
        <f t="shared" si="955"/>
        <v>700</v>
      </c>
      <c r="O488" s="19" t="s">
        <v>72</v>
      </c>
      <c r="P488" s="20">
        <v>2332</v>
      </c>
      <c r="Q488" s="20">
        <f t="shared" ref="Q488:X488" si="971">Q458</f>
        <v>70</v>
      </c>
      <c r="R488" s="20">
        <f t="shared" si="971"/>
        <v>280</v>
      </c>
      <c r="S488" s="20">
        <f t="shared" si="971"/>
        <v>489.99999999999994</v>
      </c>
      <c r="T488" s="20">
        <f t="shared" si="971"/>
        <v>630</v>
      </c>
      <c r="U488" s="20">
        <f t="shared" si="971"/>
        <v>650</v>
      </c>
      <c r="V488" s="20">
        <f t="shared" si="971"/>
        <v>800</v>
      </c>
      <c r="W488" s="20">
        <f t="shared" si="971"/>
        <v>300</v>
      </c>
      <c r="X488" s="20">
        <f t="shared" si="971"/>
        <v>2</v>
      </c>
      <c r="Y488" s="20">
        <v>0</v>
      </c>
      <c r="Z488" s="30">
        <v>0</v>
      </c>
      <c r="AA488" s="27">
        <f t="shared" si="961"/>
        <v>0</v>
      </c>
      <c r="AB488" s="27">
        <v>0</v>
      </c>
      <c r="AC488" s="27">
        <v>0</v>
      </c>
      <c r="AD488" s="23">
        <f t="shared" ref="AD488:AE488" si="972">AD458</f>
        <v>12</v>
      </c>
      <c r="AE488" s="23">
        <f t="shared" si="972"/>
        <v>16</v>
      </c>
    </row>
    <row r="489" spans="1:31">
      <c r="A489" s="4">
        <v>11101</v>
      </c>
      <c r="B489" s="4">
        <v>8</v>
      </c>
      <c r="C489" s="29" t="s">
        <v>73</v>
      </c>
      <c r="D489" s="44">
        <f t="shared" si="898"/>
        <v>126</v>
      </c>
      <c r="E489" s="28">
        <v>0</v>
      </c>
      <c r="F489" s="28">
        <v>0</v>
      </c>
      <c r="G489" s="28">
        <v>0</v>
      </c>
      <c r="H489" s="47">
        <v>0</v>
      </c>
      <c r="I489" s="21">
        <f t="shared" si="954"/>
        <v>110</v>
      </c>
      <c r="J489" s="21">
        <f t="shared" si="909"/>
        <v>7</v>
      </c>
      <c r="K489" s="21">
        <v>0</v>
      </c>
      <c r="L489" s="20">
        <v>12</v>
      </c>
      <c r="M489" s="20">
        <v>0</v>
      </c>
      <c r="N489" s="20">
        <f t="shared" si="955"/>
        <v>800</v>
      </c>
      <c r="O489" s="19" t="s">
        <v>73</v>
      </c>
      <c r="P489" s="20">
        <v>1487</v>
      </c>
      <c r="Q489" s="20">
        <f t="shared" ref="Q489:X489" si="973">Q459</f>
        <v>80</v>
      </c>
      <c r="R489" s="20">
        <f t="shared" si="973"/>
        <v>320</v>
      </c>
      <c r="S489" s="20">
        <f t="shared" si="973"/>
        <v>560</v>
      </c>
      <c r="T489" s="20">
        <f t="shared" si="973"/>
        <v>720</v>
      </c>
      <c r="U489" s="20">
        <f t="shared" si="973"/>
        <v>200</v>
      </c>
      <c r="V489" s="20">
        <f t="shared" si="973"/>
        <v>2000</v>
      </c>
      <c r="W489" s="20">
        <f t="shared" si="973"/>
        <v>1000</v>
      </c>
      <c r="X489" s="20">
        <f t="shared" si="973"/>
        <v>2</v>
      </c>
      <c r="Y489" s="20">
        <v>0</v>
      </c>
      <c r="Z489" s="30">
        <v>0</v>
      </c>
      <c r="AA489" s="27">
        <f t="shared" si="961"/>
        <v>25</v>
      </c>
      <c r="AB489" s="27">
        <v>0</v>
      </c>
      <c r="AC489" s="27">
        <v>0</v>
      </c>
      <c r="AD489" s="23">
        <f t="shared" ref="AD489:AE489" si="974">AD459</f>
        <v>14</v>
      </c>
      <c r="AE489" s="23">
        <f t="shared" si="974"/>
        <v>18</v>
      </c>
    </row>
    <row r="490" spans="1:31">
      <c r="A490" s="4">
        <v>11101</v>
      </c>
      <c r="B490" s="4">
        <v>9</v>
      </c>
      <c r="C490" s="29" t="s">
        <v>74</v>
      </c>
      <c r="D490" s="44">
        <f t="shared" si="898"/>
        <v>136</v>
      </c>
      <c r="E490" s="28">
        <v>0</v>
      </c>
      <c r="F490" s="28">
        <v>0</v>
      </c>
      <c r="G490" s="28">
        <v>0</v>
      </c>
      <c r="H490" s="47">
        <v>0</v>
      </c>
      <c r="I490" s="21">
        <f t="shared" si="954"/>
        <v>165</v>
      </c>
      <c r="J490" s="21">
        <f t="shared" si="909"/>
        <v>8</v>
      </c>
      <c r="K490" s="21">
        <v>0</v>
      </c>
      <c r="L490" s="20">
        <v>8</v>
      </c>
      <c r="M490" s="20">
        <v>0</v>
      </c>
      <c r="N490" s="20">
        <f t="shared" si="955"/>
        <v>900</v>
      </c>
      <c r="O490" s="19" t="s">
        <v>74</v>
      </c>
      <c r="P490" s="20">
        <v>1518</v>
      </c>
      <c r="Q490" s="20">
        <f t="shared" ref="Q490:X490" si="975">Q460</f>
        <v>90</v>
      </c>
      <c r="R490" s="20">
        <f t="shared" si="975"/>
        <v>360</v>
      </c>
      <c r="S490" s="20">
        <f t="shared" si="975"/>
        <v>630</v>
      </c>
      <c r="T490" s="20">
        <f t="shared" si="975"/>
        <v>810</v>
      </c>
      <c r="U490" s="20">
        <f t="shared" si="975"/>
        <v>120</v>
      </c>
      <c r="V490" s="20">
        <f t="shared" si="975"/>
        <v>1500</v>
      </c>
      <c r="W490" s="20">
        <f t="shared" si="975"/>
        <v>1000</v>
      </c>
      <c r="X490" s="20">
        <f t="shared" si="975"/>
        <v>3</v>
      </c>
      <c r="Y490" s="20">
        <v>0</v>
      </c>
      <c r="Z490" s="30">
        <v>0</v>
      </c>
      <c r="AA490" s="27">
        <v>0</v>
      </c>
      <c r="AB490" s="27">
        <v>0</v>
      </c>
      <c r="AC490" s="27">
        <v>0</v>
      </c>
      <c r="AD490" s="23">
        <f t="shared" ref="AD490:AE490" si="976">AD460</f>
        <v>16</v>
      </c>
      <c r="AE490" s="23">
        <f t="shared" si="976"/>
        <v>20</v>
      </c>
    </row>
    <row r="491" spans="1:31">
      <c r="A491" s="4">
        <v>11101</v>
      </c>
      <c r="B491" s="4">
        <v>10</v>
      </c>
      <c r="C491" s="29" t="s">
        <v>75</v>
      </c>
      <c r="D491" s="44">
        <f t="shared" si="898"/>
        <v>147</v>
      </c>
      <c r="E491" s="28">
        <v>0</v>
      </c>
      <c r="F491" s="28">
        <v>0</v>
      </c>
      <c r="G491" s="28">
        <v>0</v>
      </c>
      <c r="H491" s="47">
        <v>0</v>
      </c>
      <c r="I491" s="21">
        <f t="shared" si="954"/>
        <v>165</v>
      </c>
      <c r="J491" s="21">
        <f t="shared" si="909"/>
        <v>9</v>
      </c>
      <c r="K491" s="21">
        <v>0</v>
      </c>
      <c r="L491" s="20">
        <v>6</v>
      </c>
      <c r="M491" s="20">
        <v>0</v>
      </c>
      <c r="N491" s="20">
        <f t="shared" si="955"/>
        <v>2000</v>
      </c>
      <c r="O491" s="19" t="s">
        <v>75</v>
      </c>
      <c r="P491" s="20">
        <v>861</v>
      </c>
      <c r="Q491" s="20">
        <f t="shared" ref="Q491:X491" si="977">Q461</f>
        <v>200</v>
      </c>
      <c r="R491" s="20">
        <f t="shared" si="977"/>
        <v>800</v>
      </c>
      <c r="S491" s="20">
        <f t="shared" si="977"/>
        <v>1400</v>
      </c>
      <c r="T491" s="20">
        <f t="shared" si="977"/>
        <v>1800</v>
      </c>
      <c r="U491" s="20">
        <f t="shared" si="977"/>
        <v>150</v>
      </c>
      <c r="V491" s="20">
        <f t="shared" si="977"/>
        <v>5000</v>
      </c>
      <c r="W491" s="20">
        <f t="shared" si="977"/>
        <v>800</v>
      </c>
      <c r="X491" s="20">
        <f t="shared" si="977"/>
        <v>3</v>
      </c>
      <c r="Y491" s="20">
        <v>0</v>
      </c>
      <c r="Z491" s="30">
        <v>0</v>
      </c>
      <c r="AA491" s="27">
        <v>0</v>
      </c>
      <c r="AB491" s="27">
        <v>0</v>
      </c>
      <c r="AC491" s="27">
        <v>0</v>
      </c>
      <c r="AD491" s="23">
        <f t="shared" ref="AD491:AE491" si="978">AD461</f>
        <v>18</v>
      </c>
      <c r="AE491" s="23">
        <f t="shared" si="978"/>
        <v>22</v>
      </c>
    </row>
    <row r="492" spans="1:31">
      <c r="A492" s="4">
        <v>11101</v>
      </c>
      <c r="B492" s="4">
        <v>11</v>
      </c>
      <c r="C492" s="29" t="s">
        <v>66</v>
      </c>
      <c r="D492" s="44">
        <f t="shared" si="898"/>
        <v>159</v>
      </c>
      <c r="E492" s="28">
        <v>0</v>
      </c>
      <c r="F492" s="28">
        <v>0</v>
      </c>
      <c r="G492" s="28">
        <v>0</v>
      </c>
      <c r="H492" s="47">
        <v>0</v>
      </c>
      <c r="I492" s="21">
        <f t="shared" si="954"/>
        <v>165</v>
      </c>
      <c r="J492" s="21">
        <f t="shared" si="909"/>
        <v>10</v>
      </c>
      <c r="K492" s="21">
        <v>0</v>
      </c>
      <c r="L492" s="20">
        <v>6</v>
      </c>
      <c r="M492" s="20">
        <v>0</v>
      </c>
      <c r="N492" s="20">
        <f t="shared" si="955"/>
        <v>2200</v>
      </c>
      <c r="O492" s="19" t="s">
        <v>66</v>
      </c>
      <c r="P492" s="20">
        <v>9400</v>
      </c>
      <c r="Q492" s="20">
        <f t="shared" ref="Q492:X492" si="979">Q462</f>
        <v>220</v>
      </c>
      <c r="R492" s="20">
        <f t="shared" si="979"/>
        <v>880</v>
      </c>
      <c r="S492" s="20">
        <f t="shared" si="979"/>
        <v>1540</v>
      </c>
      <c r="T492" s="20">
        <f t="shared" si="979"/>
        <v>1980</v>
      </c>
      <c r="U492" s="20">
        <f t="shared" si="979"/>
        <v>100</v>
      </c>
      <c r="V492" s="20">
        <f t="shared" si="979"/>
        <v>800</v>
      </c>
      <c r="W492" s="20">
        <f t="shared" si="979"/>
        <v>600</v>
      </c>
      <c r="X492" s="20">
        <f t="shared" si="979"/>
        <v>3</v>
      </c>
      <c r="Y492" s="20">
        <v>0</v>
      </c>
      <c r="Z492" s="30">
        <v>0</v>
      </c>
      <c r="AA492" s="27">
        <v>0</v>
      </c>
      <c r="AB492" s="27">
        <v>0</v>
      </c>
      <c r="AC492" s="27">
        <v>0</v>
      </c>
      <c r="AD492" s="23">
        <f t="shared" ref="AD492:AE492" si="980">AD462</f>
        <v>20</v>
      </c>
      <c r="AE492" s="23">
        <f t="shared" si="980"/>
        <v>24</v>
      </c>
    </row>
    <row r="493" spans="1:31">
      <c r="A493" s="4">
        <v>11101</v>
      </c>
      <c r="B493" s="4">
        <v>12</v>
      </c>
      <c r="C493" s="29" t="s">
        <v>67</v>
      </c>
      <c r="D493" s="44">
        <f t="shared" si="898"/>
        <v>172</v>
      </c>
      <c r="E493" s="28">
        <v>0</v>
      </c>
      <c r="F493" s="28">
        <v>0</v>
      </c>
      <c r="G493" s="28">
        <v>0</v>
      </c>
      <c r="H493" s="47">
        <v>0</v>
      </c>
      <c r="I493" s="21">
        <f t="shared" si="954"/>
        <v>165</v>
      </c>
      <c r="J493" s="21">
        <f t="shared" si="909"/>
        <v>11</v>
      </c>
      <c r="K493" s="21">
        <v>0</v>
      </c>
      <c r="L493" s="20">
        <v>6</v>
      </c>
      <c r="M493" s="20">
        <v>0</v>
      </c>
      <c r="N493" s="20">
        <f t="shared" si="955"/>
        <v>2400</v>
      </c>
      <c r="O493" s="19" t="s">
        <v>67</v>
      </c>
      <c r="P493" s="20">
        <v>9100</v>
      </c>
      <c r="Q493" s="20">
        <f t="shared" ref="Q493:X493" si="981">Q463</f>
        <v>240</v>
      </c>
      <c r="R493" s="20">
        <f t="shared" si="981"/>
        <v>960</v>
      </c>
      <c r="S493" s="20">
        <f t="shared" si="981"/>
        <v>1680</v>
      </c>
      <c r="T493" s="20">
        <f t="shared" si="981"/>
        <v>2160</v>
      </c>
      <c r="U493" s="20">
        <f t="shared" si="981"/>
        <v>150</v>
      </c>
      <c r="V493" s="20">
        <f t="shared" si="981"/>
        <v>700</v>
      </c>
      <c r="W493" s="20">
        <f t="shared" si="981"/>
        <v>900</v>
      </c>
      <c r="X493" s="20">
        <f t="shared" si="981"/>
        <v>3</v>
      </c>
      <c r="Y493" s="20">
        <v>0</v>
      </c>
      <c r="Z493" s="30">
        <v>0</v>
      </c>
      <c r="AA493" s="27">
        <v>0</v>
      </c>
      <c r="AB493" s="27">
        <v>0</v>
      </c>
      <c r="AC493" s="27">
        <v>0</v>
      </c>
      <c r="AD493" s="23">
        <f t="shared" ref="AD493:AE493" si="982">AD463</f>
        <v>22</v>
      </c>
      <c r="AE493" s="23">
        <f t="shared" si="982"/>
        <v>26</v>
      </c>
    </row>
    <row r="494" spans="1:31">
      <c r="A494" s="4">
        <v>11101</v>
      </c>
      <c r="B494" s="4">
        <v>13</v>
      </c>
      <c r="C494" s="29" t="s">
        <v>68</v>
      </c>
      <c r="D494" s="44">
        <f t="shared" si="898"/>
        <v>187</v>
      </c>
      <c r="E494" s="28">
        <v>0</v>
      </c>
      <c r="F494" s="28">
        <v>0</v>
      </c>
      <c r="G494" s="28">
        <v>0</v>
      </c>
      <c r="H494" s="47">
        <v>0</v>
      </c>
      <c r="I494" s="21">
        <f t="shared" si="954"/>
        <v>220</v>
      </c>
      <c r="J494" s="21">
        <f t="shared" si="909"/>
        <v>12</v>
      </c>
      <c r="K494" s="21">
        <v>0</v>
      </c>
      <c r="L494" s="20">
        <v>6</v>
      </c>
      <c r="M494" s="20">
        <v>0</v>
      </c>
      <c r="N494" s="20">
        <f t="shared" si="955"/>
        <v>2600</v>
      </c>
      <c r="O494" s="19" t="s">
        <v>68</v>
      </c>
      <c r="P494" s="20">
        <v>8600</v>
      </c>
      <c r="Q494" s="20">
        <f t="shared" ref="Q494:X494" si="983">Q464</f>
        <v>260</v>
      </c>
      <c r="R494" s="20">
        <f t="shared" si="983"/>
        <v>1040</v>
      </c>
      <c r="S494" s="20">
        <f t="shared" si="983"/>
        <v>1819.9999999999998</v>
      </c>
      <c r="T494" s="20">
        <f t="shared" si="983"/>
        <v>2340</v>
      </c>
      <c r="U494" s="20">
        <f t="shared" si="983"/>
        <v>100</v>
      </c>
      <c r="V494" s="20">
        <f t="shared" si="983"/>
        <v>700</v>
      </c>
      <c r="W494" s="20">
        <f t="shared" si="983"/>
        <v>1000</v>
      </c>
      <c r="X494" s="20">
        <f t="shared" si="983"/>
        <v>4</v>
      </c>
      <c r="Y494" s="20">
        <v>0</v>
      </c>
      <c r="Z494" s="30">
        <v>0</v>
      </c>
      <c r="AA494" s="27">
        <f t="shared" si="961"/>
        <v>52</v>
      </c>
      <c r="AB494" s="27">
        <v>0</v>
      </c>
      <c r="AC494" s="27">
        <v>0</v>
      </c>
      <c r="AD494" s="23">
        <f t="shared" ref="AD494:AE494" si="984">AD464</f>
        <v>24</v>
      </c>
      <c r="AE494" s="23">
        <f t="shared" si="984"/>
        <v>28</v>
      </c>
    </row>
    <row r="495" spans="1:31">
      <c r="A495" s="4">
        <v>11101</v>
      </c>
      <c r="B495" s="4">
        <v>14</v>
      </c>
      <c r="C495" s="29" t="s">
        <v>69</v>
      </c>
      <c r="D495" s="44">
        <f t="shared" si="898"/>
        <v>202</v>
      </c>
      <c r="E495" s="28">
        <v>0</v>
      </c>
      <c r="F495" s="28">
        <v>0</v>
      </c>
      <c r="G495" s="28">
        <v>0</v>
      </c>
      <c r="H495" s="47">
        <v>0</v>
      </c>
      <c r="I495" s="21">
        <f t="shared" si="954"/>
        <v>220</v>
      </c>
      <c r="J495" s="21">
        <f t="shared" si="909"/>
        <v>13</v>
      </c>
      <c r="K495" s="21">
        <v>0</v>
      </c>
      <c r="L495" s="20">
        <v>6</v>
      </c>
      <c r="M495" s="20">
        <v>0</v>
      </c>
      <c r="N495" s="20">
        <f t="shared" si="955"/>
        <v>2800</v>
      </c>
      <c r="O495" s="19" t="s">
        <v>69</v>
      </c>
      <c r="P495" s="20">
        <v>6400</v>
      </c>
      <c r="Q495" s="20">
        <f t="shared" ref="Q495:X495" si="985">Q465</f>
        <v>280</v>
      </c>
      <c r="R495" s="20">
        <f t="shared" si="985"/>
        <v>1120</v>
      </c>
      <c r="S495" s="20">
        <f t="shared" si="985"/>
        <v>1959.9999999999998</v>
      </c>
      <c r="T495" s="20">
        <f t="shared" si="985"/>
        <v>2520</v>
      </c>
      <c r="U495" s="20">
        <f t="shared" si="985"/>
        <v>100</v>
      </c>
      <c r="V495" s="20">
        <f t="shared" si="985"/>
        <v>400</v>
      </c>
      <c r="W495" s="20">
        <f t="shared" si="985"/>
        <v>1200</v>
      </c>
      <c r="X495" s="20">
        <f t="shared" si="985"/>
        <v>4</v>
      </c>
      <c r="Y495" s="20">
        <v>0</v>
      </c>
      <c r="Z495" s="30">
        <v>0</v>
      </c>
      <c r="AA495" s="27">
        <v>0</v>
      </c>
      <c r="AB495" s="27">
        <v>0</v>
      </c>
      <c r="AC495" s="27">
        <v>0</v>
      </c>
      <c r="AD495" s="23">
        <f t="shared" ref="AD495:AE495" si="986">AD465</f>
        <v>26</v>
      </c>
      <c r="AE495" s="23">
        <f t="shared" si="986"/>
        <v>30</v>
      </c>
    </row>
    <row r="496" spans="1:31">
      <c r="A496" s="8">
        <v>11101</v>
      </c>
      <c r="B496" s="8">
        <v>15</v>
      </c>
      <c r="C496" s="29" t="s">
        <v>70</v>
      </c>
      <c r="D496" s="44">
        <f t="shared" si="898"/>
        <v>219</v>
      </c>
      <c r="E496" s="28">
        <v>0</v>
      </c>
      <c r="F496" s="28">
        <v>0</v>
      </c>
      <c r="G496" s="28">
        <v>0</v>
      </c>
      <c r="H496" s="47">
        <v>0</v>
      </c>
      <c r="I496" s="21">
        <f t="shared" si="954"/>
        <v>220</v>
      </c>
      <c r="J496" s="21">
        <f t="shared" si="909"/>
        <v>14</v>
      </c>
      <c r="K496" s="21">
        <v>0</v>
      </c>
      <c r="L496" s="20">
        <v>6</v>
      </c>
      <c r="M496" s="20">
        <v>0</v>
      </c>
      <c r="N496" s="20">
        <f t="shared" si="955"/>
        <v>4500</v>
      </c>
      <c r="O496" s="19" t="s">
        <v>70</v>
      </c>
      <c r="P496" s="20">
        <v>3100</v>
      </c>
      <c r="Q496" s="20">
        <f t="shared" ref="Q496:X496" si="987">Q466</f>
        <v>450</v>
      </c>
      <c r="R496" s="20">
        <f t="shared" si="987"/>
        <v>1800</v>
      </c>
      <c r="S496" s="20">
        <f t="shared" si="987"/>
        <v>3150</v>
      </c>
      <c r="T496" s="20">
        <f t="shared" si="987"/>
        <v>4050</v>
      </c>
      <c r="U496" s="20">
        <f t="shared" si="987"/>
        <v>100</v>
      </c>
      <c r="V496" s="20">
        <f t="shared" si="987"/>
        <v>1000</v>
      </c>
      <c r="W496" s="20">
        <f t="shared" si="987"/>
        <v>600</v>
      </c>
      <c r="X496" s="20">
        <f t="shared" si="987"/>
        <v>4</v>
      </c>
      <c r="Y496" s="20">
        <v>0</v>
      </c>
      <c r="Z496" s="30">
        <v>0</v>
      </c>
      <c r="AA496" s="27">
        <v>0</v>
      </c>
      <c r="AB496" s="27">
        <v>0</v>
      </c>
      <c r="AC496" s="27">
        <v>0</v>
      </c>
      <c r="AD496" s="23">
        <f t="shared" ref="AD496:AE496" si="988">AD466</f>
        <v>28</v>
      </c>
      <c r="AE496" s="23">
        <f t="shared" si="988"/>
        <v>32</v>
      </c>
    </row>
    <row r="497" spans="1:31">
      <c r="A497" s="4">
        <v>11101</v>
      </c>
      <c r="B497" s="4">
        <v>16</v>
      </c>
      <c r="C497" s="29" t="s">
        <v>71</v>
      </c>
      <c r="D497" s="44">
        <f t="shared" si="898"/>
        <v>237</v>
      </c>
      <c r="E497" s="28">
        <v>0</v>
      </c>
      <c r="F497" s="28">
        <v>0</v>
      </c>
      <c r="G497" s="28">
        <v>0</v>
      </c>
      <c r="H497" s="47">
        <v>0</v>
      </c>
      <c r="I497" s="21">
        <f t="shared" si="954"/>
        <v>220</v>
      </c>
      <c r="J497" s="21">
        <f t="shared" si="909"/>
        <v>15</v>
      </c>
      <c r="K497" s="21">
        <v>0</v>
      </c>
      <c r="L497" s="20">
        <v>6</v>
      </c>
      <c r="M497" s="20">
        <v>0</v>
      </c>
      <c r="N497" s="20">
        <f t="shared" si="955"/>
        <v>4800</v>
      </c>
      <c r="O497" s="19" t="s">
        <v>71</v>
      </c>
      <c r="P497" s="20">
        <v>1777</v>
      </c>
      <c r="Q497" s="20">
        <f t="shared" ref="Q497:X497" si="989">Q467</f>
        <v>480</v>
      </c>
      <c r="R497" s="20">
        <f t="shared" si="989"/>
        <v>1920</v>
      </c>
      <c r="S497" s="20">
        <f t="shared" si="989"/>
        <v>3360</v>
      </c>
      <c r="T497" s="20">
        <f t="shared" si="989"/>
        <v>4320</v>
      </c>
      <c r="U497" s="20">
        <f t="shared" si="989"/>
        <v>100</v>
      </c>
      <c r="V497" s="20">
        <f t="shared" si="989"/>
        <v>800</v>
      </c>
      <c r="W497" s="20">
        <f t="shared" si="989"/>
        <v>800</v>
      </c>
      <c r="X497" s="20">
        <f t="shared" si="989"/>
        <v>4</v>
      </c>
      <c r="Y497" s="20">
        <v>0</v>
      </c>
      <c r="Z497" s="30">
        <v>0</v>
      </c>
      <c r="AA497" s="27">
        <v>0</v>
      </c>
      <c r="AB497" s="27">
        <v>0</v>
      </c>
      <c r="AC497" s="27">
        <v>0</v>
      </c>
      <c r="AD497" s="23">
        <f t="shared" ref="AD497:AE497" si="990">AD467</f>
        <v>30</v>
      </c>
      <c r="AE497" s="23">
        <f t="shared" si="990"/>
        <v>34</v>
      </c>
    </row>
    <row r="498" spans="1:31">
      <c r="A498" s="4">
        <v>11101</v>
      </c>
      <c r="B498" s="4">
        <v>17</v>
      </c>
      <c r="C498" s="29" t="s">
        <v>72</v>
      </c>
      <c r="D498" s="44">
        <f t="shared" si="898"/>
        <v>256</v>
      </c>
      <c r="E498" s="28">
        <v>0</v>
      </c>
      <c r="F498" s="28">
        <v>0</v>
      </c>
      <c r="G498" s="28">
        <v>0</v>
      </c>
      <c r="H498" s="47">
        <v>0</v>
      </c>
      <c r="I498" s="21">
        <f t="shared" si="954"/>
        <v>275</v>
      </c>
      <c r="J498" s="21">
        <f t="shared" si="909"/>
        <v>16</v>
      </c>
      <c r="K498" s="21">
        <v>0</v>
      </c>
      <c r="L498" s="20">
        <v>6</v>
      </c>
      <c r="M498" s="20">
        <v>0</v>
      </c>
      <c r="N498" s="20">
        <f t="shared" si="955"/>
        <v>5100</v>
      </c>
      <c r="O498" s="19" t="s">
        <v>72</v>
      </c>
      <c r="P498" s="20">
        <v>2332</v>
      </c>
      <c r="Q498" s="20">
        <f t="shared" ref="Q498:X498" si="991">Q468</f>
        <v>510</v>
      </c>
      <c r="R498" s="20">
        <f t="shared" si="991"/>
        <v>2040</v>
      </c>
      <c r="S498" s="20">
        <f t="shared" si="991"/>
        <v>3570</v>
      </c>
      <c r="T498" s="20">
        <f t="shared" si="991"/>
        <v>4590</v>
      </c>
      <c r="U498" s="20">
        <f t="shared" si="991"/>
        <v>80</v>
      </c>
      <c r="V498" s="20">
        <f t="shared" si="991"/>
        <v>800</v>
      </c>
      <c r="W498" s="20">
        <f t="shared" si="991"/>
        <v>600</v>
      </c>
      <c r="X498" s="20">
        <f t="shared" si="991"/>
        <v>5</v>
      </c>
      <c r="Y498" s="20">
        <v>0</v>
      </c>
      <c r="Z498" s="30">
        <v>0</v>
      </c>
      <c r="AA498" s="27">
        <v>0</v>
      </c>
      <c r="AB498" s="27">
        <v>0</v>
      </c>
      <c r="AC498" s="27">
        <v>0</v>
      </c>
      <c r="AD498" s="23">
        <f t="shared" ref="AD498:AE498" si="992">AD468</f>
        <v>32</v>
      </c>
      <c r="AE498" s="23">
        <f t="shared" si="992"/>
        <v>36</v>
      </c>
    </row>
    <row r="499" spans="1:31">
      <c r="A499" s="4">
        <v>11101</v>
      </c>
      <c r="B499" s="4">
        <v>18</v>
      </c>
      <c r="C499" s="29" t="s">
        <v>73</v>
      </c>
      <c r="D499" s="44">
        <f t="shared" si="898"/>
        <v>278</v>
      </c>
      <c r="E499" s="28">
        <v>0</v>
      </c>
      <c r="F499" s="28">
        <v>0</v>
      </c>
      <c r="G499" s="28">
        <v>0</v>
      </c>
      <c r="H499" s="47">
        <v>0</v>
      </c>
      <c r="I499" s="21">
        <f t="shared" si="954"/>
        <v>275</v>
      </c>
      <c r="J499" s="21">
        <f t="shared" si="909"/>
        <v>17</v>
      </c>
      <c r="K499" s="21">
        <v>0</v>
      </c>
      <c r="L499" s="20">
        <v>6</v>
      </c>
      <c r="M499" s="20">
        <v>0</v>
      </c>
      <c r="N499" s="20">
        <f t="shared" si="955"/>
        <v>5400</v>
      </c>
      <c r="O499" s="19" t="s">
        <v>73</v>
      </c>
      <c r="P499" s="20">
        <v>1487</v>
      </c>
      <c r="Q499" s="20">
        <f t="shared" ref="Q499:X499" si="993">Q469</f>
        <v>540</v>
      </c>
      <c r="R499" s="20">
        <f t="shared" si="993"/>
        <v>2160</v>
      </c>
      <c r="S499" s="20">
        <f t="shared" si="993"/>
        <v>3779.9999999999995</v>
      </c>
      <c r="T499" s="20">
        <f t="shared" si="993"/>
        <v>4860</v>
      </c>
      <c r="U499" s="20">
        <f t="shared" si="993"/>
        <v>100</v>
      </c>
      <c r="V499" s="20">
        <f t="shared" si="993"/>
        <v>600</v>
      </c>
      <c r="W499" s="20">
        <f t="shared" si="993"/>
        <v>300</v>
      </c>
      <c r="X499" s="20">
        <f t="shared" si="993"/>
        <v>5</v>
      </c>
      <c r="Y499" s="20">
        <v>0</v>
      </c>
      <c r="Z499" s="30">
        <v>0</v>
      </c>
      <c r="AA499" s="27">
        <f t="shared" si="961"/>
        <v>79</v>
      </c>
      <c r="AB499" s="27">
        <v>0</v>
      </c>
      <c r="AC499" s="27">
        <v>0</v>
      </c>
      <c r="AD499" s="23">
        <f t="shared" ref="AD499:AE499" si="994">AD469</f>
        <v>34</v>
      </c>
      <c r="AE499" s="23">
        <f t="shared" si="994"/>
        <v>38</v>
      </c>
    </row>
    <row r="500" spans="1:31">
      <c r="A500" s="4">
        <v>11101</v>
      </c>
      <c r="B500" s="4">
        <v>19</v>
      </c>
      <c r="C500" s="29" t="s">
        <v>74</v>
      </c>
      <c r="D500" s="44">
        <f t="shared" si="898"/>
        <v>301</v>
      </c>
      <c r="E500" s="28">
        <v>0</v>
      </c>
      <c r="F500" s="28">
        <v>0</v>
      </c>
      <c r="G500" s="28">
        <v>0</v>
      </c>
      <c r="H500" s="47">
        <v>0</v>
      </c>
      <c r="I500" s="21">
        <f t="shared" si="954"/>
        <v>275</v>
      </c>
      <c r="J500" s="21">
        <f t="shared" si="909"/>
        <v>18</v>
      </c>
      <c r="K500" s="21">
        <v>0</v>
      </c>
      <c r="L500" s="20">
        <v>6</v>
      </c>
      <c r="M500" s="20">
        <v>0</v>
      </c>
      <c r="N500" s="20">
        <f t="shared" si="955"/>
        <v>5700</v>
      </c>
      <c r="O500" s="19" t="s">
        <v>74</v>
      </c>
      <c r="P500" s="20">
        <v>1518</v>
      </c>
      <c r="Q500" s="20">
        <f t="shared" ref="Q500:X500" si="995">Q470</f>
        <v>570</v>
      </c>
      <c r="R500" s="20">
        <f t="shared" si="995"/>
        <v>2280</v>
      </c>
      <c r="S500" s="20">
        <f t="shared" si="995"/>
        <v>3989.9999999999995</v>
      </c>
      <c r="T500" s="20">
        <f t="shared" si="995"/>
        <v>5130</v>
      </c>
      <c r="U500" s="20">
        <f t="shared" si="995"/>
        <v>100</v>
      </c>
      <c r="V500" s="20">
        <f t="shared" si="995"/>
        <v>500</v>
      </c>
      <c r="W500" s="20">
        <f t="shared" si="995"/>
        <v>400</v>
      </c>
      <c r="X500" s="20">
        <f t="shared" si="995"/>
        <v>5</v>
      </c>
      <c r="Y500" s="20">
        <v>0</v>
      </c>
      <c r="Z500" s="30">
        <v>0</v>
      </c>
      <c r="AA500" s="27">
        <v>0</v>
      </c>
      <c r="AB500" s="27">
        <v>0</v>
      </c>
      <c r="AC500" s="27">
        <v>0</v>
      </c>
      <c r="AD500" s="23">
        <f t="shared" ref="AD500:AE500" si="996">AD470</f>
        <v>36</v>
      </c>
      <c r="AE500" s="23">
        <f t="shared" si="996"/>
        <v>40</v>
      </c>
    </row>
    <row r="501" spans="1:31">
      <c r="A501" s="4">
        <v>11101</v>
      </c>
      <c r="B501" s="4">
        <v>20</v>
      </c>
      <c r="C501" s="29" t="s">
        <v>75</v>
      </c>
      <c r="D501" s="44">
        <f t="shared" si="898"/>
        <v>325</v>
      </c>
      <c r="E501" s="28">
        <v>0</v>
      </c>
      <c r="F501" s="28">
        <v>0</v>
      </c>
      <c r="G501" s="28">
        <v>0</v>
      </c>
      <c r="H501" s="47">
        <v>0</v>
      </c>
      <c r="I501" s="21">
        <f t="shared" si="954"/>
        <v>275</v>
      </c>
      <c r="J501" s="21">
        <f t="shared" si="909"/>
        <v>19</v>
      </c>
      <c r="K501" s="21">
        <v>0</v>
      </c>
      <c r="L501" s="20">
        <v>6</v>
      </c>
      <c r="M501" s="20">
        <v>0</v>
      </c>
      <c r="N501" s="20">
        <f t="shared" si="955"/>
        <v>8000</v>
      </c>
      <c r="O501" s="19" t="s">
        <v>75</v>
      </c>
      <c r="P501" s="20">
        <v>861</v>
      </c>
      <c r="Q501" s="20">
        <f t="shared" ref="Q501:X501" si="997">Q471</f>
        <v>800</v>
      </c>
      <c r="R501" s="20">
        <f t="shared" si="997"/>
        <v>3200</v>
      </c>
      <c r="S501" s="20">
        <f t="shared" si="997"/>
        <v>5600</v>
      </c>
      <c r="T501" s="20">
        <f t="shared" si="997"/>
        <v>7200</v>
      </c>
      <c r="U501" s="20">
        <f t="shared" si="997"/>
        <v>100</v>
      </c>
      <c r="V501" s="20">
        <f t="shared" si="997"/>
        <v>800</v>
      </c>
      <c r="W501" s="20">
        <f t="shared" si="997"/>
        <v>8000</v>
      </c>
      <c r="X501" s="20">
        <f t="shared" si="997"/>
        <v>5</v>
      </c>
      <c r="Y501" s="20">
        <v>0</v>
      </c>
      <c r="Z501" s="30">
        <v>0</v>
      </c>
      <c r="AA501" s="27">
        <v>0</v>
      </c>
      <c r="AB501" s="27">
        <v>0</v>
      </c>
      <c r="AC501" s="27">
        <v>0</v>
      </c>
      <c r="AD501" s="23">
        <f t="shared" ref="AD501:AE501" si="998">AD471</f>
        <v>38</v>
      </c>
      <c r="AE501" s="23">
        <f t="shared" si="998"/>
        <v>42</v>
      </c>
    </row>
    <row r="502" spans="1:31">
      <c r="A502" s="4">
        <v>11101</v>
      </c>
      <c r="B502" s="4">
        <v>21</v>
      </c>
      <c r="C502" s="29" t="s">
        <v>66</v>
      </c>
      <c r="D502" s="44">
        <f t="shared" si="898"/>
        <v>352</v>
      </c>
      <c r="E502" s="28">
        <v>0</v>
      </c>
      <c r="F502" s="28">
        <v>0</v>
      </c>
      <c r="G502" s="28">
        <v>0</v>
      </c>
      <c r="H502" s="47">
        <v>0</v>
      </c>
      <c r="I502" s="21">
        <f t="shared" si="954"/>
        <v>330</v>
      </c>
      <c r="J502" s="21">
        <f t="shared" si="909"/>
        <v>20</v>
      </c>
      <c r="K502" s="21">
        <v>0</v>
      </c>
      <c r="L502" s="20">
        <v>6</v>
      </c>
      <c r="M502" s="20">
        <v>0</v>
      </c>
      <c r="N502" s="20">
        <f t="shared" si="955"/>
        <v>8400</v>
      </c>
      <c r="O502" s="19" t="s">
        <v>66</v>
      </c>
      <c r="P502" s="20">
        <v>9400</v>
      </c>
      <c r="Q502" s="20">
        <f t="shared" ref="Q502:X502" si="999">Q472</f>
        <v>840</v>
      </c>
      <c r="R502" s="20">
        <f t="shared" si="999"/>
        <v>3360</v>
      </c>
      <c r="S502" s="20">
        <f t="shared" si="999"/>
        <v>5880</v>
      </c>
      <c r="T502" s="20">
        <f t="shared" si="999"/>
        <v>7560</v>
      </c>
      <c r="U502" s="20">
        <f t="shared" si="999"/>
        <v>50</v>
      </c>
      <c r="V502" s="20">
        <f t="shared" si="999"/>
        <v>1000</v>
      </c>
      <c r="W502" s="20">
        <f t="shared" si="999"/>
        <v>600</v>
      </c>
      <c r="X502" s="20">
        <f t="shared" si="999"/>
        <v>6</v>
      </c>
      <c r="Y502" s="20">
        <v>0</v>
      </c>
      <c r="Z502" s="30">
        <v>0</v>
      </c>
      <c r="AA502" s="27">
        <v>0</v>
      </c>
      <c r="AB502" s="27">
        <v>0</v>
      </c>
      <c r="AC502" s="27">
        <v>0</v>
      </c>
      <c r="AD502" s="23">
        <f t="shared" ref="AD502:AE502" si="1000">AD472</f>
        <v>40</v>
      </c>
      <c r="AE502" s="23">
        <f t="shared" si="1000"/>
        <v>44</v>
      </c>
    </row>
    <row r="503" spans="1:31">
      <c r="A503" s="4">
        <v>11101</v>
      </c>
      <c r="B503" s="4">
        <v>22</v>
      </c>
      <c r="C503" s="29" t="s">
        <v>67</v>
      </c>
      <c r="D503" s="44">
        <f t="shared" si="898"/>
        <v>381</v>
      </c>
      <c r="E503" s="28">
        <v>0</v>
      </c>
      <c r="F503" s="28">
        <v>0</v>
      </c>
      <c r="G503" s="28">
        <v>0</v>
      </c>
      <c r="H503" s="47">
        <v>0</v>
      </c>
      <c r="I503" s="21">
        <f t="shared" si="954"/>
        <v>330</v>
      </c>
      <c r="J503" s="21">
        <f t="shared" si="909"/>
        <v>21</v>
      </c>
      <c r="K503" s="21">
        <v>0</v>
      </c>
      <c r="L503" s="20">
        <v>6</v>
      </c>
      <c r="M503" s="20">
        <v>0</v>
      </c>
      <c r="N503" s="20">
        <f t="shared" si="955"/>
        <v>8800</v>
      </c>
      <c r="O503" s="19" t="s">
        <v>67</v>
      </c>
      <c r="P503" s="20">
        <v>9100</v>
      </c>
      <c r="Q503" s="20">
        <f t="shared" ref="Q503:X503" si="1001">Q473</f>
        <v>880</v>
      </c>
      <c r="R503" s="20">
        <f t="shared" si="1001"/>
        <v>3520</v>
      </c>
      <c r="S503" s="20">
        <f t="shared" si="1001"/>
        <v>6160</v>
      </c>
      <c r="T503" s="20">
        <f t="shared" si="1001"/>
        <v>7920</v>
      </c>
      <c r="U503" s="20">
        <f t="shared" si="1001"/>
        <v>100</v>
      </c>
      <c r="V503" s="20">
        <f t="shared" si="1001"/>
        <v>600</v>
      </c>
      <c r="W503" s="20">
        <f t="shared" si="1001"/>
        <v>700</v>
      </c>
      <c r="X503" s="20">
        <f t="shared" si="1001"/>
        <v>6</v>
      </c>
      <c r="Y503" s="20">
        <v>0</v>
      </c>
      <c r="Z503" s="30">
        <v>0</v>
      </c>
      <c r="AA503" s="27">
        <v>0</v>
      </c>
      <c r="AB503" s="27">
        <v>0</v>
      </c>
      <c r="AC503" s="27">
        <v>0</v>
      </c>
      <c r="AD503" s="23">
        <f t="shared" ref="AD503:AE503" si="1002">AD473</f>
        <v>42</v>
      </c>
      <c r="AE503" s="23">
        <f t="shared" si="1002"/>
        <v>46</v>
      </c>
    </row>
    <row r="504" spans="1:31">
      <c r="A504" s="4">
        <v>11101</v>
      </c>
      <c r="B504" s="4">
        <v>23</v>
      </c>
      <c r="C504" s="29" t="s">
        <v>68</v>
      </c>
      <c r="D504" s="44">
        <f t="shared" si="898"/>
        <v>413</v>
      </c>
      <c r="E504" s="28">
        <v>0</v>
      </c>
      <c r="F504" s="28">
        <v>0</v>
      </c>
      <c r="G504" s="28">
        <v>0</v>
      </c>
      <c r="H504" s="47">
        <v>0</v>
      </c>
      <c r="I504" s="21">
        <f t="shared" si="954"/>
        <v>330</v>
      </c>
      <c r="J504" s="21">
        <f t="shared" si="909"/>
        <v>22</v>
      </c>
      <c r="K504" s="21">
        <v>0</v>
      </c>
      <c r="L504" s="20">
        <v>6</v>
      </c>
      <c r="M504" s="20">
        <v>0</v>
      </c>
      <c r="N504" s="20">
        <f t="shared" si="955"/>
        <v>9200</v>
      </c>
      <c r="O504" s="19" t="s">
        <v>68</v>
      </c>
      <c r="P504" s="20">
        <v>8600</v>
      </c>
      <c r="Q504" s="20">
        <f t="shared" ref="Q504:X504" si="1003">Q474</f>
        <v>920</v>
      </c>
      <c r="R504" s="20">
        <f t="shared" si="1003"/>
        <v>3680</v>
      </c>
      <c r="S504" s="20">
        <f t="shared" si="1003"/>
        <v>6440</v>
      </c>
      <c r="T504" s="20">
        <f t="shared" si="1003"/>
        <v>8280</v>
      </c>
      <c r="U504" s="20">
        <f t="shared" si="1003"/>
        <v>100</v>
      </c>
      <c r="V504" s="20">
        <f t="shared" si="1003"/>
        <v>550</v>
      </c>
      <c r="W504" s="20">
        <f t="shared" si="1003"/>
        <v>500</v>
      </c>
      <c r="X504" s="20">
        <f t="shared" si="1003"/>
        <v>6</v>
      </c>
      <c r="Y504" s="20">
        <v>0</v>
      </c>
      <c r="Z504" s="30">
        <v>0</v>
      </c>
      <c r="AA504" s="27">
        <f t="shared" si="961"/>
        <v>105</v>
      </c>
      <c r="AB504" s="27">
        <v>0</v>
      </c>
      <c r="AC504" s="27">
        <v>0</v>
      </c>
      <c r="AD504" s="23">
        <f t="shared" ref="AD504:AE504" si="1004">AD474</f>
        <v>44</v>
      </c>
      <c r="AE504" s="23">
        <f t="shared" si="1004"/>
        <v>48</v>
      </c>
    </row>
    <row r="505" spans="1:31">
      <c r="A505" s="4">
        <v>11101</v>
      </c>
      <c r="B505" s="4">
        <v>24</v>
      </c>
      <c r="C505" s="29" t="s">
        <v>69</v>
      </c>
      <c r="D505" s="44">
        <f t="shared" si="898"/>
        <v>447</v>
      </c>
      <c r="E505" s="28">
        <v>0</v>
      </c>
      <c r="F505" s="28">
        <v>0</v>
      </c>
      <c r="G505" s="28">
        <v>0</v>
      </c>
      <c r="H505" s="47">
        <v>0</v>
      </c>
      <c r="I505" s="21">
        <f t="shared" si="954"/>
        <v>330</v>
      </c>
      <c r="J505" s="21">
        <f t="shared" si="909"/>
        <v>23</v>
      </c>
      <c r="K505" s="21">
        <v>0</v>
      </c>
      <c r="L505" s="20">
        <v>6</v>
      </c>
      <c r="M505" s="20">
        <v>0</v>
      </c>
      <c r="N505" s="20">
        <f t="shared" si="955"/>
        <v>9600</v>
      </c>
      <c r="O505" s="19" t="s">
        <v>69</v>
      </c>
      <c r="P505" s="20">
        <v>6400</v>
      </c>
      <c r="Q505" s="20">
        <f t="shared" ref="Q505:X505" si="1005">Q475</f>
        <v>960</v>
      </c>
      <c r="R505" s="20">
        <f t="shared" si="1005"/>
        <v>3840</v>
      </c>
      <c r="S505" s="20">
        <f t="shared" si="1005"/>
        <v>6720</v>
      </c>
      <c r="T505" s="20">
        <f t="shared" si="1005"/>
        <v>8640</v>
      </c>
      <c r="U505" s="20">
        <f t="shared" si="1005"/>
        <v>100</v>
      </c>
      <c r="V505" s="20">
        <f t="shared" si="1005"/>
        <v>500</v>
      </c>
      <c r="W505" s="20">
        <f t="shared" si="1005"/>
        <v>900</v>
      </c>
      <c r="X505" s="20">
        <f t="shared" si="1005"/>
        <v>6</v>
      </c>
      <c r="Y505" s="20">
        <v>0</v>
      </c>
      <c r="Z505" s="30">
        <v>0</v>
      </c>
      <c r="AA505" s="27">
        <v>0</v>
      </c>
      <c r="AB505" s="27">
        <v>0</v>
      </c>
      <c r="AC505" s="27">
        <v>0</v>
      </c>
      <c r="AD505" s="23">
        <f t="shared" ref="AD505:AE505" si="1006">AD475</f>
        <v>46</v>
      </c>
      <c r="AE505" s="23">
        <f t="shared" si="1006"/>
        <v>50</v>
      </c>
    </row>
    <row r="506" spans="1:31">
      <c r="A506" s="4">
        <v>11101</v>
      </c>
      <c r="B506" s="4">
        <v>25</v>
      </c>
      <c r="C506" s="29" t="s">
        <v>70</v>
      </c>
      <c r="D506" s="44">
        <f t="shared" si="898"/>
        <v>484</v>
      </c>
      <c r="E506" s="28">
        <v>0</v>
      </c>
      <c r="F506" s="28">
        <v>0</v>
      </c>
      <c r="G506" s="28">
        <v>0</v>
      </c>
      <c r="H506" s="47">
        <v>0</v>
      </c>
      <c r="I506" s="21">
        <f t="shared" si="954"/>
        <v>385</v>
      </c>
      <c r="J506" s="21">
        <f t="shared" si="909"/>
        <v>24</v>
      </c>
      <c r="K506" s="21">
        <v>0</v>
      </c>
      <c r="L506" s="20">
        <v>6</v>
      </c>
      <c r="M506" s="20">
        <v>0</v>
      </c>
      <c r="N506" s="20">
        <f t="shared" si="955"/>
        <v>12500</v>
      </c>
      <c r="O506" s="19" t="s">
        <v>70</v>
      </c>
      <c r="P506" s="20">
        <v>3100</v>
      </c>
      <c r="Q506" s="20">
        <f t="shared" ref="Q506:X506" si="1007">Q476</f>
        <v>1250</v>
      </c>
      <c r="R506" s="20">
        <f t="shared" si="1007"/>
        <v>5000</v>
      </c>
      <c r="S506" s="20">
        <f t="shared" si="1007"/>
        <v>8750</v>
      </c>
      <c r="T506" s="20">
        <f t="shared" si="1007"/>
        <v>11250</v>
      </c>
      <c r="U506" s="20">
        <f t="shared" si="1007"/>
        <v>10</v>
      </c>
      <c r="V506" s="20">
        <f t="shared" si="1007"/>
        <v>1300</v>
      </c>
      <c r="W506" s="20">
        <f t="shared" si="1007"/>
        <v>1000</v>
      </c>
      <c r="X506" s="20">
        <f t="shared" si="1007"/>
        <v>7</v>
      </c>
      <c r="Y506" s="20">
        <v>0</v>
      </c>
      <c r="Z506" s="30">
        <v>0</v>
      </c>
      <c r="AA506" s="27">
        <v>0</v>
      </c>
      <c r="AB506" s="27">
        <v>0</v>
      </c>
      <c r="AC506" s="27">
        <v>0</v>
      </c>
      <c r="AD506" s="23">
        <f t="shared" ref="AD506:AE506" si="1008">AD476</f>
        <v>48</v>
      </c>
      <c r="AE506" s="23">
        <f t="shared" si="1008"/>
        <v>52</v>
      </c>
    </row>
    <row r="507" spans="1:31">
      <c r="A507" s="4">
        <v>11101</v>
      </c>
      <c r="B507" s="4">
        <v>26</v>
      </c>
      <c r="C507" s="29" t="s">
        <v>71</v>
      </c>
      <c r="D507" s="44">
        <f t="shared" si="898"/>
        <v>524</v>
      </c>
      <c r="E507" s="28">
        <v>0</v>
      </c>
      <c r="F507" s="28">
        <v>0</v>
      </c>
      <c r="G507" s="28">
        <v>0</v>
      </c>
      <c r="H507" s="47">
        <v>0</v>
      </c>
      <c r="I507" s="21">
        <f t="shared" si="954"/>
        <v>385</v>
      </c>
      <c r="J507" s="21">
        <f t="shared" si="909"/>
        <v>25</v>
      </c>
      <c r="K507" s="21">
        <v>0</v>
      </c>
      <c r="L507" s="20">
        <v>6</v>
      </c>
      <c r="M507" s="20">
        <v>0</v>
      </c>
      <c r="N507" s="20">
        <f t="shared" si="955"/>
        <v>13000</v>
      </c>
      <c r="O507" s="19" t="s">
        <v>71</v>
      </c>
      <c r="P507" s="20">
        <v>1777</v>
      </c>
      <c r="Q507" s="20">
        <f t="shared" ref="Q507:X507" si="1009">Q477</f>
        <v>1300</v>
      </c>
      <c r="R507" s="20">
        <f t="shared" si="1009"/>
        <v>5200</v>
      </c>
      <c r="S507" s="20">
        <f t="shared" si="1009"/>
        <v>9100</v>
      </c>
      <c r="T507" s="20">
        <f t="shared" si="1009"/>
        <v>11700</v>
      </c>
      <c r="U507" s="20">
        <f t="shared" si="1009"/>
        <v>90</v>
      </c>
      <c r="V507" s="20">
        <f t="shared" si="1009"/>
        <v>800</v>
      </c>
      <c r="W507" s="20">
        <f t="shared" si="1009"/>
        <v>2000</v>
      </c>
      <c r="X507" s="20">
        <f t="shared" si="1009"/>
        <v>7</v>
      </c>
      <c r="Y507" s="20">
        <v>0</v>
      </c>
      <c r="Z507" s="30">
        <v>0</v>
      </c>
      <c r="AA507" s="27">
        <v>0</v>
      </c>
      <c r="AB507" s="27">
        <v>0</v>
      </c>
      <c r="AC507" s="27">
        <v>0</v>
      </c>
      <c r="AD507" s="23">
        <f t="shared" ref="AD507:AE507" si="1010">AD477</f>
        <v>50</v>
      </c>
      <c r="AE507" s="23">
        <f t="shared" si="1010"/>
        <v>54</v>
      </c>
    </row>
    <row r="508" spans="1:31">
      <c r="A508" s="4">
        <v>11101</v>
      </c>
      <c r="B508" s="4">
        <v>27</v>
      </c>
      <c r="C508" s="29" t="s">
        <v>72</v>
      </c>
      <c r="D508" s="44">
        <f t="shared" si="898"/>
        <v>567</v>
      </c>
      <c r="E508" s="28">
        <v>0</v>
      </c>
      <c r="F508" s="28">
        <v>0</v>
      </c>
      <c r="G508" s="28">
        <v>0</v>
      </c>
      <c r="H508" s="47">
        <v>0</v>
      </c>
      <c r="I508" s="21">
        <f t="shared" si="954"/>
        <v>385</v>
      </c>
      <c r="J508" s="21">
        <f t="shared" si="909"/>
        <v>26</v>
      </c>
      <c r="K508" s="21">
        <v>0</v>
      </c>
      <c r="L508" s="20">
        <v>6</v>
      </c>
      <c r="M508" s="20">
        <v>0</v>
      </c>
      <c r="N508" s="20">
        <f t="shared" si="955"/>
        <v>13500</v>
      </c>
      <c r="O508" s="19" t="s">
        <v>72</v>
      </c>
      <c r="P508" s="20">
        <v>2332</v>
      </c>
      <c r="Q508" s="20">
        <f t="shared" ref="Q508:X508" si="1011">Q478</f>
        <v>1350</v>
      </c>
      <c r="R508" s="20">
        <f t="shared" si="1011"/>
        <v>5400</v>
      </c>
      <c r="S508" s="20">
        <f t="shared" si="1011"/>
        <v>9450</v>
      </c>
      <c r="T508" s="20">
        <f t="shared" si="1011"/>
        <v>12150</v>
      </c>
      <c r="U508" s="20">
        <f t="shared" si="1011"/>
        <v>80</v>
      </c>
      <c r="V508" s="20">
        <f t="shared" si="1011"/>
        <v>700</v>
      </c>
      <c r="W508" s="20">
        <f t="shared" si="1011"/>
        <v>800</v>
      </c>
      <c r="X508" s="20">
        <f t="shared" si="1011"/>
        <v>7</v>
      </c>
      <c r="Y508" s="20">
        <v>0</v>
      </c>
      <c r="Z508" s="30">
        <v>0</v>
      </c>
      <c r="AA508" s="27">
        <v>0</v>
      </c>
      <c r="AB508" s="27">
        <v>0</v>
      </c>
      <c r="AC508" s="27">
        <v>0</v>
      </c>
      <c r="AD508" s="23">
        <f t="shared" ref="AD508:AE508" si="1012">AD478</f>
        <v>52</v>
      </c>
      <c r="AE508" s="23">
        <f t="shared" si="1012"/>
        <v>56</v>
      </c>
    </row>
    <row r="509" spans="1:31">
      <c r="A509" s="4">
        <v>11101</v>
      </c>
      <c r="B509" s="4">
        <v>28</v>
      </c>
      <c r="C509" s="29" t="s">
        <v>73</v>
      </c>
      <c r="D509" s="44">
        <f t="shared" si="898"/>
        <v>614</v>
      </c>
      <c r="E509" s="28">
        <v>0</v>
      </c>
      <c r="F509" s="28">
        <v>0</v>
      </c>
      <c r="G509" s="28">
        <v>0</v>
      </c>
      <c r="H509" s="47">
        <v>0</v>
      </c>
      <c r="I509" s="21">
        <f t="shared" si="954"/>
        <v>385</v>
      </c>
      <c r="J509" s="21">
        <f t="shared" si="909"/>
        <v>27</v>
      </c>
      <c r="K509" s="21">
        <v>0</v>
      </c>
      <c r="L509" s="20">
        <v>6</v>
      </c>
      <c r="M509" s="20">
        <v>0</v>
      </c>
      <c r="N509" s="20">
        <f t="shared" si="955"/>
        <v>14000</v>
      </c>
      <c r="O509" s="19" t="s">
        <v>73</v>
      </c>
      <c r="P509" s="20">
        <v>1487</v>
      </c>
      <c r="Q509" s="20">
        <f t="shared" ref="Q509:X509" si="1013">Q479</f>
        <v>1400</v>
      </c>
      <c r="R509" s="20">
        <f t="shared" si="1013"/>
        <v>5600</v>
      </c>
      <c r="S509" s="20">
        <f t="shared" si="1013"/>
        <v>9800</v>
      </c>
      <c r="T509" s="20">
        <f t="shared" si="1013"/>
        <v>12600</v>
      </c>
      <c r="U509" s="20">
        <f t="shared" si="1013"/>
        <v>80</v>
      </c>
      <c r="V509" s="20">
        <f t="shared" si="1013"/>
        <v>500</v>
      </c>
      <c r="W509" s="20">
        <f t="shared" si="1013"/>
        <v>600</v>
      </c>
      <c r="X509" s="20">
        <f t="shared" si="1013"/>
        <v>7</v>
      </c>
      <c r="Y509" s="20">
        <v>0</v>
      </c>
      <c r="Z509" s="30">
        <v>0</v>
      </c>
      <c r="AA509" s="27">
        <f t="shared" si="961"/>
        <v>132</v>
      </c>
      <c r="AB509" s="27">
        <v>0</v>
      </c>
      <c r="AC509" s="27">
        <v>0</v>
      </c>
      <c r="AD509" s="23">
        <f t="shared" ref="AD509:AE509" si="1014">AD479</f>
        <v>54</v>
      </c>
      <c r="AE509" s="23">
        <f t="shared" si="1014"/>
        <v>58</v>
      </c>
    </row>
    <row r="510" spans="1:31">
      <c r="A510" s="4">
        <v>11101</v>
      </c>
      <c r="B510" s="4">
        <v>29</v>
      </c>
      <c r="C510" s="29" t="s">
        <v>74</v>
      </c>
      <c r="D510" s="44">
        <f t="shared" si="898"/>
        <v>665</v>
      </c>
      <c r="E510" s="28">
        <v>0</v>
      </c>
      <c r="F510" s="28">
        <v>0</v>
      </c>
      <c r="G510" s="28">
        <v>0</v>
      </c>
      <c r="H510" s="47">
        <v>0</v>
      </c>
      <c r="I510" s="21">
        <f t="shared" si="954"/>
        <v>440</v>
      </c>
      <c r="J510" s="21">
        <f t="shared" si="909"/>
        <v>28</v>
      </c>
      <c r="K510" s="21">
        <v>0</v>
      </c>
      <c r="L510" s="20">
        <v>6</v>
      </c>
      <c r="M510" s="20">
        <v>0</v>
      </c>
      <c r="N510" s="20">
        <f t="shared" si="955"/>
        <v>14500</v>
      </c>
      <c r="O510" s="19" t="s">
        <v>74</v>
      </c>
      <c r="P510" s="20">
        <v>1518</v>
      </c>
      <c r="Q510" s="20">
        <f t="shared" ref="Q510:X510" si="1015">Q480</f>
        <v>1450</v>
      </c>
      <c r="R510" s="20">
        <f t="shared" si="1015"/>
        <v>5800</v>
      </c>
      <c r="S510" s="20">
        <f t="shared" si="1015"/>
        <v>10150</v>
      </c>
      <c r="T510" s="20">
        <f t="shared" si="1015"/>
        <v>13050</v>
      </c>
      <c r="U510" s="20">
        <f t="shared" si="1015"/>
        <v>80</v>
      </c>
      <c r="V510" s="20">
        <f t="shared" si="1015"/>
        <v>600</v>
      </c>
      <c r="W510" s="20">
        <f t="shared" si="1015"/>
        <v>700</v>
      </c>
      <c r="X510" s="20">
        <f t="shared" si="1015"/>
        <v>8</v>
      </c>
      <c r="Y510" s="20">
        <v>0</v>
      </c>
      <c r="Z510" s="30">
        <v>0</v>
      </c>
      <c r="AA510" s="27">
        <v>0</v>
      </c>
      <c r="AB510" s="27">
        <v>0</v>
      </c>
      <c r="AC510" s="27">
        <v>0</v>
      </c>
      <c r="AD510" s="23">
        <f t="shared" ref="AD510:AE510" si="1016">AD480</f>
        <v>56</v>
      </c>
      <c r="AE510" s="23">
        <f t="shared" si="1016"/>
        <v>60</v>
      </c>
    </row>
    <row r="511" spans="1:31">
      <c r="A511" s="4">
        <v>11101</v>
      </c>
      <c r="B511" s="4">
        <v>30</v>
      </c>
      <c r="C511" s="29" t="s">
        <v>75</v>
      </c>
      <c r="D511" s="44">
        <f t="shared" si="898"/>
        <v>720</v>
      </c>
      <c r="E511" s="28">
        <v>0</v>
      </c>
      <c r="F511" s="28">
        <v>0</v>
      </c>
      <c r="G511" s="28">
        <v>0</v>
      </c>
      <c r="H511" s="47">
        <v>0</v>
      </c>
      <c r="I511" s="21">
        <f t="shared" si="954"/>
        <v>440</v>
      </c>
      <c r="J511" s="21">
        <f t="shared" si="909"/>
        <v>29</v>
      </c>
      <c r="K511" s="21">
        <v>0</v>
      </c>
      <c r="L511" s="20">
        <v>6</v>
      </c>
      <c r="M511" s="20">
        <v>0</v>
      </c>
      <c r="N511" s="20">
        <f t="shared" si="955"/>
        <v>15000</v>
      </c>
      <c r="O511" s="19" t="s">
        <v>75</v>
      </c>
      <c r="P511" s="20">
        <v>861</v>
      </c>
      <c r="Q511" s="20">
        <f t="shared" ref="Q511:X511" si="1017">Q481</f>
        <v>1500</v>
      </c>
      <c r="R511" s="20">
        <f t="shared" si="1017"/>
        <v>6000</v>
      </c>
      <c r="S511" s="20">
        <f t="shared" si="1017"/>
        <v>10500</v>
      </c>
      <c r="T511" s="20">
        <f t="shared" si="1017"/>
        <v>13500</v>
      </c>
      <c r="U511" s="20">
        <f t="shared" si="1017"/>
        <v>20</v>
      </c>
      <c r="V511" s="20">
        <f t="shared" si="1017"/>
        <v>450</v>
      </c>
      <c r="W511" s="20">
        <f t="shared" si="1017"/>
        <v>1000</v>
      </c>
      <c r="X511" s="20">
        <f t="shared" si="1017"/>
        <v>8</v>
      </c>
      <c r="Y511" s="20">
        <v>0</v>
      </c>
      <c r="Z511" s="30">
        <v>0</v>
      </c>
      <c r="AA511" s="27">
        <v>0</v>
      </c>
      <c r="AB511" s="27">
        <v>0</v>
      </c>
      <c r="AC511" s="27">
        <v>0</v>
      </c>
      <c r="AD511" s="23">
        <f t="shared" ref="AD511:AE511" si="1018">AD481</f>
        <v>58</v>
      </c>
      <c r="AE511" s="23">
        <f t="shared" si="1018"/>
        <v>62</v>
      </c>
    </row>
    <row r="512" spans="1:31">
      <c r="A512" s="4">
        <v>11102</v>
      </c>
      <c r="B512" s="4">
        <v>1</v>
      </c>
      <c r="C512" s="19" t="s">
        <v>66</v>
      </c>
      <c r="D512" s="44">
        <f t="shared" si="898"/>
        <v>108</v>
      </c>
      <c r="E512" s="18">
        <v>0</v>
      </c>
      <c r="F512" s="18">
        <v>0</v>
      </c>
      <c r="G512" s="18">
        <v>0</v>
      </c>
      <c r="H512" s="45">
        <v>0</v>
      </c>
      <c r="I512" s="21">
        <f t="shared" si="954"/>
        <v>55</v>
      </c>
      <c r="J512" s="21">
        <f t="shared" si="909"/>
        <v>0</v>
      </c>
      <c r="K512" s="21">
        <v>0</v>
      </c>
      <c r="L512" s="20">
        <v>45</v>
      </c>
      <c r="M512" s="20">
        <v>0</v>
      </c>
      <c r="N512" s="20">
        <f t="shared" si="955"/>
        <v>10</v>
      </c>
      <c r="O512" s="19" t="s">
        <v>66</v>
      </c>
      <c r="P512" s="20">
        <v>9400</v>
      </c>
      <c r="Q512" s="20">
        <f t="shared" ref="Q512:X512" si="1019">Q482</f>
        <v>1</v>
      </c>
      <c r="R512" s="20">
        <f t="shared" si="1019"/>
        <v>4</v>
      </c>
      <c r="S512" s="20">
        <f t="shared" si="1019"/>
        <v>7</v>
      </c>
      <c r="T512" s="20">
        <f t="shared" si="1019"/>
        <v>9</v>
      </c>
      <c r="U512" s="20">
        <f t="shared" si="1019"/>
        <v>9400</v>
      </c>
      <c r="V512" s="20">
        <f t="shared" si="1019"/>
        <v>9400</v>
      </c>
      <c r="W512" s="20">
        <f t="shared" si="1019"/>
        <v>9400</v>
      </c>
      <c r="X512" s="20">
        <f t="shared" si="1019"/>
        <v>1</v>
      </c>
      <c r="Y512" s="20">
        <v>0</v>
      </c>
      <c r="Z512" s="22">
        <v>0</v>
      </c>
      <c r="AA512" s="20">
        <f>INT(AA572*0.8)</f>
        <v>0</v>
      </c>
      <c r="AB512" s="20">
        <v>0</v>
      </c>
      <c r="AC512" s="20">
        <v>0</v>
      </c>
      <c r="AD512" s="23">
        <f t="shared" ref="AD512:AE512" si="1020">AD482</f>
        <v>1</v>
      </c>
      <c r="AE512" s="23">
        <f t="shared" si="1020"/>
        <v>3</v>
      </c>
    </row>
    <row r="513" spans="1:31">
      <c r="A513" s="4">
        <v>11102</v>
      </c>
      <c r="B513" s="4">
        <v>2</v>
      </c>
      <c r="C513" s="19" t="s">
        <v>67</v>
      </c>
      <c r="D513" s="44">
        <f t="shared" si="898"/>
        <v>117</v>
      </c>
      <c r="E513" s="18">
        <v>0</v>
      </c>
      <c r="F513" s="18">
        <v>0</v>
      </c>
      <c r="G513" s="18">
        <v>0</v>
      </c>
      <c r="H513" s="45">
        <v>0</v>
      </c>
      <c r="I513" s="21">
        <f t="shared" si="954"/>
        <v>55</v>
      </c>
      <c r="J513" s="21">
        <f t="shared" si="909"/>
        <v>1</v>
      </c>
      <c r="K513" s="21">
        <v>0</v>
      </c>
      <c r="L513" s="20">
        <v>40</v>
      </c>
      <c r="M513" s="20">
        <v>0</v>
      </c>
      <c r="N513" s="20">
        <f t="shared" si="955"/>
        <v>20</v>
      </c>
      <c r="O513" s="19" t="s">
        <v>67</v>
      </c>
      <c r="P513" s="20">
        <v>9100</v>
      </c>
      <c r="Q513" s="20">
        <f t="shared" ref="Q513:X513" si="1021">Q483</f>
        <v>2</v>
      </c>
      <c r="R513" s="20">
        <f t="shared" si="1021"/>
        <v>8</v>
      </c>
      <c r="S513" s="20">
        <f t="shared" si="1021"/>
        <v>14</v>
      </c>
      <c r="T513" s="20">
        <f t="shared" si="1021"/>
        <v>18</v>
      </c>
      <c r="U513" s="20">
        <f t="shared" si="1021"/>
        <v>4000</v>
      </c>
      <c r="V513" s="20">
        <f t="shared" si="1021"/>
        <v>8000</v>
      </c>
      <c r="W513" s="20">
        <f t="shared" si="1021"/>
        <v>8000</v>
      </c>
      <c r="X513" s="20">
        <f t="shared" si="1021"/>
        <v>1</v>
      </c>
      <c r="Y513" s="20">
        <v>0</v>
      </c>
      <c r="Z513" s="22">
        <v>0</v>
      </c>
      <c r="AA513" s="20">
        <f t="shared" ref="AA513:AA539" si="1022">INT(AA573*0.8)</f>
        <v>0</v>
      </c>
      <c r="AB513" s="20">
        <v>0</v>
      </c>
      <c r="AC513" s="20">
        <v>0</v>
      </c>
      <c r="AD513" s="23">
        <f t="shared" ref="AD513:AE513" si="1023">AD483</f>
        <v>2</v>
      </c>
      <c r="AE513" s="23">
        <f t="shared" si="1023"/>
        <v>5</v>
      </c>
    </row>
    <row r="514" spans="1:31">
      <c r="A514" s="4">
        <v>11102</v>
      </c>
      <c r="B514" s="4">
        <v>3</v>
      </c>
      <c r="C514" s="19" t="s">
        <v>68</v>
      </c>
      <c r="D514" s="44">
        <f t="shared" si="898"/>
        <v>126</v>
      </c>
      <c r="E514" s="18">
        <v>0</v>
      </c>
      <c r="F514" s="18">
        <v>0</v>
      </c>
      <c r="G514" s="18">
        <v>0</v>
      </c>
      <c r="H514" s="45">
        <v>0</v>
      </c>
      <c r="I514" s="21">
        <f t="shared" si="954"/>
        <v>55</v>
      </c>
      <c r="J514" s="21">
        <f t="shared" si="909"/>
        <v>2</v>
      </c>
      <c r="K514" s="21">
        <v>0</v>
      </c>
      <c r="L514" s="20">
        <v>35</v>
      </c>
      <c r="M514" s="20">
        <v>0</v>
      </c>
      <c r="N514" s="20">
        <f t="shared" si="955"/>
        <v>40</v>
      </c>
      <c r="O514" s="19" t="s">
        <v>68</v>
      </c>
      <c r="P514" s="20">
        <v>8600</v>
      </c>
      <c r="Q514" s="20">
        <f t="shared" ref="Q514:X514" si="1024">Q484</f>
        <v>4</v>
      </c>
      <c r="R514" s="20">
        <f t="shared" si="1024"/>
        <v>16</v>
      </c>
      <c r="S514" s="20">
        <f t="shared" si="1024"/>
        <v>28</v>
      </c>
      <c r="T514" s="20">
        <f t="shared" si="1024"/>
        <v>36</v>
      </c>
      <c r="U514" s="20">
        <f t="shared" si="1024"/>
        <v>1600</v>
      </c>
      <c r="V514" s="20">
        <f t="shared" si="1024"/>
        <v>5000</v>
      </c>
      <c r="W514" s="20">
        <f t="shared" si="1024"/>
        <v>6000</v>
      </c>
      <c r="X514" s="20">
        <f t="shared" si="1024"/>
        <v>1</v>
      </c>
      <c r="Y514" s="20">
        <v>0</v>
      </c>
      <c r="Z514" s="22">
        <v>0</v>
      </c>
      <c r="AA514" s="20">
        <f t="shared" si="1022"/>
        <v>0</v>
      </c>
      <c r="AB514" s="20">
        <v>0</v>
      </c>
      <c r="AC514" s="20">
        <v>0</v>
      </c>
      <c r="AD514" s="23">
        <f t="shared" ref="AD514:AE514" si="1025">AD484</f>
        <v>4</v>
      </c>
      <c r="AE514" s="23">
        <f t="shared" si="1025"/>
        <v>8</v>
      </c>
    </row>
    <row r="515" spans="1:31">
      <c r="A515" s="4">
        <v>11102</v>
      </c>
      <c r="B515" s="4">
        <v>4</v>
      </c>
      <c r="C515" s="19" t="s">
        <v>69</v>
      </c>
      <c r="D515" s="44">
        <f t="shared" si="898"/>
        <v>137</v>
      </c>
      <c r="E515" s="18">
        <v>0</v>
      </c>
      <c r="F515" s="18">
        <v>0</v>
      </c>
      <c r="G515" s="18">
        <v>0</v>
      </c>
      <c r="H515" s="45">
        <v>0</v>
      </c>
      <c r="I515" s="21">
        <f t="shared" si="954"/>
        <v>55</v>
      </c>
      <c r="J515" s="21">
        <f t="shared" si="909"/>
        <v>3</v>
      </c>
      <c r="K515" s="21">
        <v>0</v>
      </c>
      <c r="L515" s="20">
        <v>30</v>
      </c>
      <c r="M515" s="20">
        <v>0</v>
      </c>
      <c r="N515" s="20">
        <f t="shared" si="955"/>
        <v>100</v>
      </c>
      <c r="O515" s="19" t="s">
        <v>69</v>
      </c>
      <c r="P515" s="20">
        <v>6400</v>
      </c>
      <c r="Q515" s="20">
        <f t="shared" ref="Q515:X515" si="1026">Q485</f>
        <v>10</v>
      </c>
      <c r="R515" s="20">
        <f t="shared" si="1026"/>
        <v>40</v>
      </c>
      <c r="S515" s="20">
        <f t="shared" si="1026"/>
        <v>70</v>
      </c>
      <c r="T515" s="20">
        <f t="shared" si="1026"/>
        <v>90</v>
      </c>
      <c r="U515" s="20">
        <f t="shared" si="1026"/>
        <v>900</v>
      </c>
      <c r="V515" s="20">
        <f t="shared" si="1026"/>
        <v>2000</v>
      </c>
      <c r="W515" s="20">
        <f t="shared" si="1026"/>
        <v>8000</v>
      </c>
      <c r="X515" s="20">
        <f t="shared" si="1026"/>
        <v>1</v>
      </c>
      <c r="Y515" s="20">
        <v>0</v>
      </c>
      <c r="Z515" s="22">
        <v>0</v>
      </c>
      <c r="AA515" s="20">
        <f t="shared" si="1022"/>
        <v>0</v>
      </c>
      <c r="AB515" s="20">
        <v>0</v>
      </c>
      <c r="AC515" s="20">
        <v>0</v>
      </c>
      <c r="AD515" s="23">
        <f t="shared" ref="AD515:AE515" si="1027">AD485</f>
        <v>6</v>
      </c>
      <c r="AE515" s="23">
        <f t="shared" si="1027"/>
        <v>10</v>
      </c>
    </row>
    <row r="516" spans="1:31">
      <c r="A516" s="4">
        <v>11102</v>
      </c>
      <c r="B516" s="4">
        <v>5</v>
      </c>
      <c r="C516" s="19" t="s">
        <v>70</v>
      </c>
      <c r="D516" s="44">
        <f t="shared" si="898"/>
        <v>149</v>
      </c>
      <c r="E516" s="18">
        <v>0</v>
      </c>
      <c r="F516" s="18">
        <v>0</v>
      </c>
      <c r="G516" s="18">
        <v>0</v>
      </c>
      <c r="H516" s="45">
        <v>0</v>
      </c>
      <c r="I516" s="21">
        <f t="shared" si="954"/>
        <v>110</v>
      </c>
      <c r="J516" s="21">
        <f t="shared" si="909"/>
        <v>4</v>
      </c>
      <c r="K516" s="21">
        <v>0</v>
      </c>
      <c r="L516" s="20">
        <v>25</v>
      </c>
      <c r="M516" s="20">
        <v>0</v>
      </c>
      <c r="N516" s="20">
        <f t="shared" si="955"/>
        <v>200</v>
      </c>
      <c r="O516" s="19" t="s">
        <v>70</v>
      </c>
      <c r="P516" s="20">
        <v>3100</v>
      </c>
      <c r="Q516" s="20">
        <f t="shared" ref="Q516:X516" si="1028">Q486</f>
        <v>20</v>
      </c>
      <c r="R516" s="20">
        <f t="shared" si="1028"/>
        <v>80</v>
      </c>
      <c r="S516" s="20">
        <f t="shared" si="1028"/>
        <v>140</v>
      </c>
      <c r="T516" s="20">
        <f t="shared" si="1028"/>
        <v>180</v>
      </c>
      <c r="U516" s="20">
        <f t="shared" si="1028"/>
        <v>1000</v>
      </c>
      <c r="V516" s="20">
        <f t="shared" si="1028"/>
        <v>2000</v>
      </c>
      <c r="W516" s="20">
        <f t="shared" si="1028"/>
        <v>2000</v>
      </c>
      <c r="X516" s="20">
        <f t="shared" si="1028"/>
        <v>2</v>
      </c>
      <c r="Y516" s="20">
        <v>0</v>
      </c>
      <c r="Z516" s="22">
        <v>0</v>
      </c>
      <c r="AA516" s="20">
        <f t="shared" si="1022"/>
        <v>0</v>
      </c>
      <c r="AB516" s="20">
        <v>0</v>
      </c>
      <c r="AC516" s="20">
        <v>0</v>
      </c>
      <c r="AD516" s="23">
        <f t="shared" ref="AD516:AE516" si="1029">AD486</f>
        <v>8</v>
      </c>
      <c r="AE516" s="23">
        <f t="shared" si="1029"/>
        <v>12</v>
      </c>
    </row>
    <row r="517" spans="1:31">
      <c r="A517" s="4">
        <v>11102</v>
      </c>
      <c r="B517" s="4">
        <v>6</v>
      </c>
      <c r="C517" s="19" t="s">
        <v>71</v>
      </c>
      <c r="D517" s="44">
        <f t="shared" si="898"/>
        <v>161</v>
      </c>
      <c r="E517" s="18">
        <v>0</v>
      </c>
      <c r="F517" s="18">
        <v>0</v>
      </c>
      <c r="G517" s="18">
        <v>0</v>
      </c>
      <c r="H517" s="45">
        <v>0</v>
      </c>
      <c r="I517" s="21">
        <f t="shared" si="954"/>
        <v>110</v>
      </c>
      <c r="J517" s="21">
        <f t="shared" si="909"/>
        <v>5</v>
      </c>
      <c r="K517" s="21">
        <v>0</v>
      </c>
      <c r="L517" s="20">
        <v>20</v>
      </c>
      <c r="M517" s="20">
        <v>0</v>
      </c>
      <c r="N517" s="20">
        <f t="shared" si="955"/>
        <v>500</v>
      </c>
      <c r="O517" s="19" t="s">
        <v>71</v>
      </c>
      <c r="P517" s="20">
        <v>1777</v>
      </c>
      <c r="Q517" s="20">
        <f t="shared" ref="Q517:X517" si="1030">Q487</f>
        <v>50</v>
      </c>
      <c r="R517" s="20">
        <f t="shared" si="1030"/>
        <v>200</v>
      </c>
      <c r="S517" s="20">
        <f t="shared" si="1030"/>
        <v>350</v>
      </c>
      <c r="T517" s="20">
        <f t="shared" si="1030"/>
        <v>450</v>
      </c>
      <c r="U517" s="20">
        <f t="shared" si="1030"/>
        <v>800</v>
      </c>
      <c r="V517" s="20">
        <f t="shared" si="1030"/>
        <v>800</v>
      </c>
      <c r="W517" s="20">
        <f t="shared" si="1030"/>
        <v>600</v>
      </c>
      <c r="X517" s="20">
        <f t="shared" si="1030"/>
        <v>2</v>
      </c>
      <c r="Y517" s="20">
        <v>0</v>
      </c>
      <c r="Z517" s="22">
        <v>0</v>
      </c>
      <c r="AA517" s="20">
        <f t="shared" si="1022"/>
        <v>0</v>
      </c>
      <c r="AB517" s="20">
        <v>0</v>
      </c>
      <c r="AC517" s="20">
        <v>0</v>
      </c>
      <c r="AD517" s="23">
        <f t="shared" ref="AD517:AE517" si="1031">AD487</f>
        <v>10</v>
      </c>
      <c r="AE517" s="23">
        <f t="shared" si="1031"/>
        <v>14</v>
      </c>
    </row>
    <row r="518" spans="1:31">
      <c r="A518" s="8">
        <v>11102</v>
      </c>
      <c r="B518" s="8">
        <v>7</v>
      </c>
      <c r="C518" s="19" t="s">
        <v>72</v>
      </c>
      <c r="D518" s="44">
        <f t="shared" ref="D518:D571" si="1032">ROUND(D68/2,0)</f>
        <v>174</v>
      </c>
      <c r="E518" s="18">
        <v>0</v>
      </c>
      <c r="F518" s="18">
        <v>0</v>
      </c>
      <c r="G518" s="18">
        <v>0</v>
      </c>
      <c r="H518" s="45">
        <v>0</v>
      </c>
      <c r="I518" s="21">
        <f t="shared" si="954"/>
        <v>110</v>
      </c>
      <c r="J518" s="21">
        <f t="shared" si="909"/>
        <v>6</v>
      </c>
      <c r="K518" s="21">
        <v>0</v>
      </c>
      <c r="L518" s="20">
        <v>16</v>
      </c>
      <c r="M518" s="20">
        <v>0</v>
      </c>
      <c r="N518" s="20">
        <f t="shared" si="955"/>
        <v>700</v>
      </c>
      <c r="O518" s="19" t="s">
        <v>72</v>
      </c>
      <c r="P518" s="20">
        <v>2332</v>
      </c>
      <c r="Q518" s="20">
        <f t="shared" ref="Q518:X518" si="1033">Q488</f>
        <v>70</v>
      </c>
      <c r="R518" s="20">
        <f t="shared" si="1033"/>
        <v>280</v>
      </c>
      <c r="S518" s="20">
        <f t="shared" si="1033"/>
        <v>489.99999999999994</v>
      </c>
      <c r="T518" s="20">
        <f t="shared" si="1033"/>
        <v>630</v>
      </c>
      <c r="U518" s="20">
        <f t="shared" si="1033"/>
        <v>650</v>
      </c>
      <c r="V518" s="20">
        <f t="shared" si="1033"/>
        <v>800</v>
      </c>
      <c r="W518" s="20">
        <f t="shared" si="1033"/>
        <v>300</v>
      </c>
      <c r="X518" s="20">
        <f t="shared" si="1033"/>
        <v>2</v>
      </c>
      <c r="Y518" s="20">
        <v>0</v>
      </c>
      <c r="Z518" s="22">
        <v>0</v>
      </c>
      <c r="AA518" s="20">
        <f t="shared" si="1022"/>
        <v>0</v>
      </c>
      <c r="AB518" s="20">
        <v>0</v>
      </c>
      <c r="AC518" s="20">
        <v>0</v>
      </c>
      <c r="AD518" s="23">
        <f t="shared" ref="AD518:AE518" si="1034">AD488</f>
        <v>12</v>
      </c>
      <c r="AE518" s="23">
        <f t="shared" si="1034"/>
        <v>16</v>
      </c>
    </row>
    <row r="519" spans="1:31">
      <c r="A519" s="4">
        <v>11102</v>
      </c>
      <c r="B519" s="4">
        <v>8</v>
      </c>
      <c r="C519" s="19" t="s">
        <v>73</v>
      </c>
      <c r="D519" s="44">
        <f t="shared" si="1032"/>
        <v>189</v>
      </c>
      <c r="E519" s="18">
        <v>0</v>
      </c>
      <c r="F519" s="18">
        <v>0</v>
      </c>
      <c r="G519" s="18">
        <v>0</v>
      </c>
      <c r="H519" s="45">
        <v>0</v>
      </c>
      <c r="I519" s="21">
        <f t="shared" si="954"/>
        <v>110</v>
      </c>
      <c r="J519" s="21">
        <f t="shared" si="909"/>
        <v>7</v>
      </c>
      <c r="K519" s="21">
        <v>0</v>
      </c>
      <c r="L519" s="20">
        <v>12</v>
      </c>
      <c r="M519" s="20">
        <v>0</v>
      </c>
      <c r="N519" s="20">
        <f t="shared" si="955"/>
        <v>800</v>
      </c>
      <c r="O519" s="19" t="s">
        <v>73</v>
      </c>
      <c r="P519" s="20">
        <v>1487</v>
      </c>
      <c r="Q519" s="20">
        <f t="shared" ref="Q519:X519" si="1035">Q489</f>
        <v>80</v>
      </c>
      <c r="R519" s="20">
        <f t="shared" si="1035"/>
        <v>320</v>
      </c>
      <c r="S519" s="20">
        <f t="shared" si="1035"/>
        <v>560</v>
      </c>
      <c r="T519" s="20">
        <f t="shared" si="1035"/>
        <v>720</v>
      </c>
      <c r="U519" s="20">
        <f t="shared" si="1035"/>
        <v>200</v>
      </c>
      <c r="V519" s="20">
        <f t="shared" si="1035"/>
        <v>2000</v>
      </c>
      <c r="W519" s="20">
        <f t="shared" si="1035"/>
        <v>1000</v>
      </c>
      <c r="X519" s="20">
        <f t="shared" si="1035"/>
        <v>2</v>
      </c>
      <c r="Y519" s="20">
        <v>0</v>
      </c>
      <c r="Z519" s="22">
        <v>0</v>
      </c>
      <c r="AA519" s="20">
        <f t="shared" si="1022"/>
        <v>29</v>
      </c>
      <c r="AB519" s="20">
        <v>0</v>
      </c>
      <c r="AC519" s="20">
        <v>0</v>
      </c>
      <c r="AD519" s="23">
        <f t="shared" ref="AD519:AE519" si="1036">AD489</f>
        <v>14</v>
      </c>
      <c r="AE519" s="23">
        <f t="shared" si="1036"/>
        <v>18</v>
      </c>
    </row>
    <row r="520" spans="1:31">
      <c r="A520" s="4">
        <v>11102</v>
      </c>
      <c r="B520" s="4">
        <v>9</v>
      </c>
      <c r="C520" s="19" t="s">
        <v>74</v>
      </c>
      <c r="D520" s="44">
        <f t="shared" si="1032"/>
        <v>204</v>
      </c>
      <c r="E520" s="18">
        <v>0</v>
      </c>
      <c r="F520" s="18">
        <v>0</v>
      </c>
      <c r="G520" s="18">
        <v>0</v>
      </c>
      <c r="H520" s="45">
        <v>0</v>
      </c>
      <c r="I520" s="21">
        <f t="shared" si="954"/>
        <v>165</v>
      </c>
      <c r="J520" s="21">
        <f t="shared" si="909"/>
        <v>8</v>
      </c>
      <c r="K520" s="21">
        <v>0</v>
      </c>
      <c r="L520" s="20">
        <v>8</v>
      </c>
      <c r="M520" s="20">
        <v>0</v>
      </c>
      <c r="N520" s="20">
        <f t="shared" si="955"/>
        <v>900</v>
      </c>
      <c r="O520" s="19" t="s">
        <v>74</v>
      </c>
      <c r="P520" s="20">
        <v>1518</v>
      </c>
      <c r="Q520" s="20">
        <f t="shared" ref="Q520:X520" si="1037">Q490</f>
        <v>90</v>
      </c>
      <c r="R520" s="20">
        <f t="shared" si="1037"/>
        <v>360</v>
      </c>
      <c r="S520" s="20">
        <f t="shared" si="1037"/>
        <v>630</v>
      </c>
      <c r="T520" s="20">
        <f t="shared" si="1037"/>
        <v>810</v>
      </c>
      <c r="U520" s="20">
        <f t="shared" si="1037"/>
        <v>120</v>
      </c>
      <c r="V520" s="20">
        <f t="shared" si="1037"/>
        <v>1500</v>
      </c>
      <c r="W520" s="20">
        <f t="shared" si="1037"/>
        <v>1000</v>
      </c>
      <c r="X520" s="20">
        <f t="shared" si="1037"/>
        <v>3</v>
      </c>
      <c r="Y520" s="20">
        <v>0</v>
      </c>
      <c r="Z520" s="22">
        <v>0</v>
      </c>
      <c r="AA520" s="20">
        <v>0</v>
      </c>
      <c r="AB520" s="20">
        <v>0</v>
      </c>
      <c r="AC520" s="20">
        <v>0</v>
      </c>
      <c r="AD520" s="23">
        <f t="shared" ref="AD520:AE520" si="1038">AD490</f>
        <v>16</v>
      </c>
      <c r="AE520" s="23">
        <f t="shared" si="1038"/>
        <v>20</v>
      </c>
    </row>
    <row r="521" spans="1:31">
      <c r="A521" s="4">
        <v>11102</v>
      </c>
      <c r="B521" s="4">
        <v>10</v>
      </c>
      <c r="C521" s="19" t="s">
        <v>75</v>
      </c>
      <c r="D521" s="44">
        <f t="shared" si="1032"/>
        <v>221</v>
      </c>
      <c r="E521" s="18">
        <v>0</v>
      </c>
      <c r="F521" s="18">
        <v>0</v>
      </c>
      <c r="G521" s="18">
        <v>0</v>
      </c>
      <c r="H521" s="45">
        <v>0</v>
      </c>
      <c r="I521" s="21">
        <f t="shared" si="954"/>
        <v>165</v>
      </c>
      <c r="J521" s="21">
        <f t="shared" si="909"/>
        <v>9</v>
      </c>
      <c r="K521" s="21">
        <v>0</v>
      </c>
      <c r="L521" s="20">
        <v>6</v>
      </c>
      <c r="M521" s="20">
        <v>0</v>
      </c>
      <c r="N521" s="20">
        <f t="shared" si="955"/>
        <v>2000</v>
      </c>
      <c r="O521" s="19" t="s">
        <v>75</v>
      </c>
      <c r="P521" s="20">
        <v>861</v>
      </c>
      <c r="Q521" s="20">
        <f t="shared" ref="Q521:X521" si="1039">Q491</f>
        <v>200</v>
      </c>
      <c r="R521" s="20">
        <f t="shared" si="1039"/>
        <v>800</v>
      </c>
      <c r="S521" s="20">
        <f t="shared" si="1039"/>
        <v>1400</v>
      </c>
      <c r="T521" s="20">
        <f t="shared" si="1039"/>
        <v>1800</v>
      </c>
      <c r="U521" s="20">
        <f t="shared" si="1039"/>
        <v>150</v>
      </c>
      <c r="V521" s="20">
        <f t="shared" si="1039"/>
        <v>5000</v>
      </c>
      <c r="W521" s="20">
        <f t="shared" si="1039"/>
        <v>800</v>
      </c>
      <c r="X521" s="20">
        <f t="shared" si="1039"/>
        <v>3</v>
      </c>
      <c r="Y521" s="20">
        <v>0</v>
      </c>
      <c r="Z521" s="22">
        <v>0</v>
      </c>
      <c r="AA521" s="20">
        <v>0</v>
      </c>
      <c r="AB521" s="20">
        <v>0</v>
      </c>
      <c r="AC521" s="20">
        <v>0</v>
      </c>
      <c r="AD521" s="23">
        <f t="shared" ref="AD521:AE521" si="1040">AD491</f>
        <v>18</v>
      </c>
      <c r="AE521" s="23">
        <f t="shared" si="1040"/>
        <v>22</v>
      </c>
    </row>
    <row r="522" spans="1:31">
      <c r="A522" s="4">
        <v>11102</v>
      </c>
      <c r="B522" s="4">
        <v>11</v>
      </c>
      <c r="C522" s="19" t="s">
        <v>66</v>
      </c>
      <c r="D522" s="44">
        <f t="shared" si="1032"/>
        <v>239</v>
      </c>
      <c r="E522" s="18">
        <v>0</v>
      </c>
      <c r="F522" s="18">
        <v>0</v>
      </c>
      <c r="G522" s="18">
        <v>0</v>
      </c>
      <c r="H522" s="45">
        <v>0</v>
      </c>
      <c r="I522" s="21">
        <f t="shared" si="954"/>
        <v>165</v>
      </c>
      <c r="J522" s="21">
        <f t="shared" si="909"/>
        <v>10</v>
      </c>
      <c r="K522" s="21">
        <v>0</v>
      </c>
      <c r="L522" s="20">
        <v>6</v>
      </c>
      <c r="M522" s="20">
        <v>0</v>
      </c>
      <c r="N522" s="20">
        <f t="shared" si="955"/>
        <v>2200</v>
      </c>
      <c r="O522" s="19" t="s">
        <v>66</v>
      </c>
      <c r="P522" s="20">
        <v>9400</v>
      </c>
      <c r="Q522" s="20">
        <f t="shared" ref="Q522:X522" si="1041">Q492</f>
        <v>220</v>
      </c>
      <c r="R522" s="20">
        <f t="shared" si="1041"/>
        <v>880</v>
      </c>
      <c r="S522" s="20">
        <f t="shared" si="1041"/>
        <v>1540</v>
      </c>
      <c r="T522" s="20">
        <f t="shared" si="1041"/>
        <v>1980</v>
      </c>
      <c r="U522" s="20">
        <f t="shared" si="1041"/>
        <v>100</v>
      </c>
      <c r="V522" s="20">
        <f t="shared" si="1041"/>
        <v>800</v>
      </c>
      <c r="W522" s="20">
        <f t="shared" si="1041"/>
        <v>600</v>
      </c>
      <c r="X522" s="20">
        <f t="shared" si="1041"/>
        <v>3</v>
      </c>
      <c r="Y522" s="20">
        <v>0</v>
      </c>
      <c r="Z522" s="22">
        <v>0</v>
      </c>
      <c r="AA522" s="20">
        <v>0</v>
      </c>
      <c r="AB522" s="20">
        <v>0</v>
      </c>
      <c r="AC522" s="20">
        <v>0</v>
      </c>
      <c r="AD522" s="23">
        <f t="shared" ref="AD522:AE522" si="1042">AD492</f>
        <v>20</v>
      </c>
      <c r="AE522" s="23">
        <f t="shared" si="1042"/>
        <v>24</v>
      </c>
    </row>
    <row r="523" spans="1:31">
      <c r="A523" s="4">
        <v>11102</v>
      </c>
      <c r="B523" s="4">
        <v>12</v>
      </c>
      <c r="C523" s="19" t="s">
        <v>67</v>
      </c>
      <c r="D523" s="44">
        <f t="shared" si="1032"/>
        <v>258</v>
      </c>
      <c r="E523" s="18">
        <v>0</v>
      </c>
      <c r="F523" s="18">
        <v>0</v>
      </c>
      <c r="G523" s="18">
        <v>0</v>
      </c>
      <c r="H523" s="45">
        <v>0</v>
      </c>
      <c r="I523" s="21">
        <f t="shared" si="954"/>
        <v>165</v>
      </c>
      <c r="J523" s="21">
        <f t="shared" ref="J523:J586" si="1043">B523-1</f>
        <v>11</v>
      </c>
      <c r="K523" s="21">
        <v>0</v>
      </c>
      <c r="L523" s="20">
        <v>6</v>
      </c>
      <c r="M523" s="20">
        <v>0</v>
      </c>
      <c r="N523" s="20">
        <f t="shared" si="955"/>
        <v>2400</v>
      </c>
      <c r="O523" s="19" t="s">
        <v>67</v>
      </c>
      <c r="P523" s="20">
        <v>9100</v>
      </c>
      <c r="Q523" s="20">
        <f t="shared" ref="Q523:X523" si="1044">Q493</f>
        <v>240</v>
      </c>
      <c r="R523" s="20">
        <f t="shared" si="1044"/>
        <v>960</v>
      </c>
      <c r="S523" s="20">
        <f t="shared" si="1044"/>
        <v>1680</v>
      </c>
      <c r="T523" s="20">
        <f t="shared" si="1044"/>
        <v>2160</v>
      </c>
      <c r="U523" s="20">
        <f t="shared" si="1044"/>
        <v>150</v>
      </c>
      <c r="V523" s="20">
        <f t="shared" si="1044"/>
        <v>700</v>
      </c>
      <c r="W523" s="20">
        <f t="shared" si="1044"/>
        <v>900</v>
      </c>
      <c r="X523" s="20">
        <f t="shared" si="1044"/>
        <v>3</v>
      </c>
      <c r="Y523" s="20">
        <v>0</v>
      </c>
      <c r="Z523" s="22">
        <v>0</v>
      </c>
      <c r="AA523" s="20">
        <v>0</v>
      </c>
      <c r="AB523" s="20">
        <v>0</v>
      </c>
      <c r="AC523" s="20">
        <v>0</v>
      </c>
      <c r="AD523" s="23">
        <f t="shared" ref="AD523:AE523" si="1045">AD493</f>
        <v>22</v>
      </c>
      <c r="AE523" s="23">
        <f t="shared" si="1045"/>
        <v>26</v>
      </c>
    </row>
    <row r="524" spans="1:31">
      <c r="A524" s="4">
        <v>11102</v>
      </c>
      <c r="B524" s="4">
        <v>13</v>
      </c>
      <c r="C524" s="19" t="s">
        <v>68</v>
      </c>
      <c r="D524" s="44">
        <f t="shared" si="1032"/>
        <v>281</v>
      </c>
      <c r="E524" s="18">
        <v>0</v>
      </c>
      <c r="F524" s="18">
        <v>0</v>
      </c>
      <c r="G524" s="18">
        <v>0</v>
      </c>
      <c r="H524" s="45">
        <v>0</v>
      </c>
      <c r="I524" s="21">
        <f t="shared" si="954"/>
        <v>220</v>
      </c>
      <c r="J524" s="21">
        <f t="shared" si="1043"/>
        <v>12</v>
      </c>
      <c r="K524" s="21">
        <v>0</v>
      </c>
      <c r="L524" s="20">
        <v>6</v>
      </c>
      <c r="M524" s="20">
        <v>0</v>
      </c>
      <c r="N524" s="20">
        <f t="shared" si="955"/>
        <v>2600</v>
      </c>
      <c r="O524" s="19" t="s">
        <v>68</v>
      </c>
      <c r="P524" s="20">
        <v>8600</v>
      </c>
      <c r="Q524" s="20">
        <f t="shared" ref="Q524:X524" si="1046">Q494</f>
        <v>260</v>
      </c>
      <c r="R524" s="20">
        <f t="shared" si="1046"/>
        <v>1040</v>
      </c>
      <c r="S524" s="20">
        <f t="shared" si="1046"/>
        <v>1819.9999999999998</v>
      </c>
      <c r="T524" s="20">
        <f t="shared" si="1046"/>
        <v>2340</v>
      </c>
      <c r="U524" s="20">
        <f t="shared" si="1046"/>
        <v>100</v>
      </c>
      <c r="V524" s="20">
        <f t="shared" si="1046"/>
        <v>700</v>
      </c>
      <c r="W524" s="20">
        <f t="shared" si="1046"/>
        <v>1000</v>
      </c>
      <c r="X524" s="20">
        <f t="shared" si="1046"/>
        <v>4</v>
      </c>
      <c r="Y524" s="20">
        <v>0</v>
      </c>
      <c r="Z524" s="22">
        <v>0</v>
      </c>
      <c r="AA524" s="20">
        <f t="shared" si="1022"/>
        <v>60</v>
      </c>
      <c r="AB524" s="20">
        <v>0</v>
      </c>
      <c r="AC524" s="20">
        <v>0</v>
      </c>
      <c r="AD524" s="23">
        <f t="shared" ref="AD524:AE524" si="1047">AD494</f>
        <v>24</v>
      </c>
      <c r="AE524" s="23">
        <f t="shared" si="1047"/>
        <v>28</v>
      </c>
    </row>
    <row r="525" spans="1:31">
      <c r="A525" s="4">
        <v>11102</v>
      </c>
      <c r="B525" s="4">
        <v>14</v>
      </c>
      <c r="C525" s="19" t="s">
        <v>69</v>
      </c>
      <c r="D525" s="44">
        <f t="shared" si="1032"/>
        <v>303</v>
      </c>
      <c r="E525" s="18">
        <v>0</v>
      </c>
      <c r="F525" s="18">
        <v>0</v>
      </c>
      <c r="G525" s="18">
        <v>0</v>
      </c>
      <c r="H525" s="45">
        <v>0</v>
      </c>
      <c r="I525" s="21">
        <f t="shared" si="954"/>
        <v>220</v>
      </c>
      <c r="J525" s="21">
        <f t="shared" si="1043"/>
        <v>13</v>
      </c>
      <c r="K525" s="21">
        <v>0</v>
      </c>
      <c r="L525" s="20">
        <v>6</v>
      </c>
      <c r="M525" s="20">
        <v>0</v>
      </c>
      <c r="N525" s="20">
        <f t="shared" si="955"/>
        <v>2800</v>
      </c>
      <c r="O525" s="19" t="s">
        <v>69</v>
      </c>
      <c r="P525" s="20">
        <v>6400</v>
      </c>
      <c r="Q525" s="20">
        <f t="shared" ref="Q525:X525" si="1048">Q495</f>
        <v>280</v>
      </c>
      <c r="R525" s="20">
        <f t="shared" si="1048"/>
        <v>1120</v>
      </c>
      <c r="S525" s="20">
        <f t="shared" si="1048"/>
        <v>1959.9999999999998</v>
      </c>
      <c r="T525" s="20">
        <f t="shared" si="1048"/>
        <v>2520</v>
      </c>
      <c r="U525" s="20">
        <f t="shared" si="1048"/>
        <v>100</v>
      </c>
      <c r="V525" s="20">
        <f t="shared" si="1048"/>
        <v>400</v>
      </c>
      <c r="W525" s="20">
        <f t="shared" si="1048"/>
        <v>1200</v>
      </c>
      <c r="X525" s="20">
        <f t="shared" si="1048"/>
        <v>4</v>
      </c>
      <c r="Y525" s="20">
        <v>0</v>
      </c>
      <c r="Z525" s="22">
        <v>0</v>
      </c>
      <c r="AA525" s="20">
        <v>0</v>
      </c>
      <c r="AB525" s="20">
        <v>0</v>
      </c>
      <c r="AC525" s="20">
        <v>0</v>
      </c>
      <c r="AD525" s="23">
        <f t="shared" ref="AD525:AE525" si="1049">AD495</f>
        <v>26</v>
      </c>
      <c r="AE525" s="23">
        <f t="shared" si="1049"/>
        <v>30</v>
      </c>
    </row>
    <row r="526" spans="1:31">
      <c r="A526" s="4">
        <v>11102</v>
      </c>
      <c r="B526" s="4">
        <v>15</v>
      </c>
      <c r="C526" s="19" t="s">
        <v>70</v>
      </c>
      <c r="D526" s="44">
        <f t="shared" si="1032"/>
        <v>329</v>
      </c>
      <c r="E526" s="18">
        <v>0</v>
      </c>
      <c r="F526" s="18">
        <v>0</v>
      </c>
      <c r="G526" s="18">
        <v>0</v>
      </c>
      <c r="H526" s="45">
        <v>0</v>
      </c>
      <c r="I526" s="21">
        <f t="shared" si="954"/>
        <v>220</v>
      </c>
      <c r="J526" s="21">
        <f t="shared" si="1043"/>
        <v>14</v>
      </c>
      <c r="K526" s="21">
        <v>0</v>
      </c>
      <c r="L526" s="20">
        <v>6</v>
      </c>
      <c r="M526" s="20">
        <v>0</v>
      </c>
      <c r="N526" s="20">
        <f t="shared" si="955"/>
        <v>4500</v>
      </c>
      <c r="O526" s="19" t="s">
        <v>70</v>
      </c>
      <c r="P526" s="20">
        <v>3100</v>
      </c>
      <c r="Q526" s="20">
        <f t="shared" ref="Q526:X526" si="1050">Q496</f>
        <v>450</v>
      </c>
      <c r="R526" s="20">
        <f t="shared" si="1050"/>
        <v>1800</v>
      </c>
      <c r="S526" s="20">
        <f t="shared" si="1050"/>
        <v>3150</v>
      </c>
      <c r="T526" s="20">
        <f t="shared" si="1050"/>
        <v>4050</v>
      </c>
      <c r="U526" s="20">
        <f t="shared" si="1050"/>
        <v>100</v>
      </c>
      <c r="V526" s="20">
        <f t="shared" si="1050"/>
        <v>1000</v>
      </c>
      <c r="W526" s="20">
        <f t="shared" si="1050"/>
        <v>600</v>
      </c>
      <c r="X526" s="20">
        <f t="shared" si="1050"/>
        <v>4</v>
      </c>
      <c r="Y526" s="20">
        <v>0</v>
      </c>
      <c r="Z526" s="22">
        <v>0</v>
      </c>
      <c r="AA526" s="20">
        <v>0</v>
      </c>
      <c r="AB526" s="20">
        <v>0</v>
      </c>
      <c r="AC526" s="20">
        <v>0</v>
      </c>
      <c r="AD526" s="23">
        <f t="shared" ref="AD526:AE526" si="1051">AD496</f>
        <v>28</v>
      </c>
      <c r="AE526" s="23">
        <f t="shared" si="1051"/>
        <v>32</v>
      </c>
    </row>
    <row r="527" spans="1:31">
      <c r="A527" s="4">
        <v>11102</v>
      </c>
      <c r="B527" s="4">
        <v>16</v>
      </c>
      <c r="C527" s="19" t="s">
        <v>71</v>
      </c>
      <c r="D527" s="44">
        <f t="shared" si="1032"/>
        <v>356</v>
      </c>
      <c r="E527" s="18">
        <v>0</v>
      </c>
      <c r="F527" s="18">
        <v>0</v>
      </c>
      <c r="G527" s="18">
        <v>0</v>
      </c>
      <c r="H527" s="45">
        <v>0</v>
      </c>
      <c r="I527" s="21">
        <f t="shared" si="954"/>
        <v>220</v>
      </c>
      <c r="J527" s="21">
        <f t="shared" si="1043"/>
        <v>15</v>
      </c>
      <c r="K527" s="21">
        <v>0</v>
      </c>
      <c r="L527" s="20">
        <v>6</v>
      </c>
      <c r="M527" s="20">
        <v>0</v>
      </c>
      <c r="N527" s="20">
        <f t="shared" si="955"/>
        <v>4800</v>
      </c>
      <c r="O527" s="19" t="s">
        <v>71</v>
      </c>
      <c r="P527" s="20">
        <v>1777</v>
      </c>
      <c r="Q527" s="20">
        <f t="shared" ref="Q527:X527" si="1052">Q497</f>
        <v>480</v>
      </c>
      <c r="R527" s="20">
        <f t="shared" si="1052"/>
        <v>1920</v>
      </c>
      <c r="S527" s="20">
        <f t="shared" si="1052"/>
        <v>3360</v>
      </c>
      <c r="T527" s="20">
        <f t="shared" si="1052"/>
        <v>4320</v>
      </c>
      <c r="U527" s="20">
        <f t="shared" si="1052"/>
        <v>100</v>
      </c>
      <c r="V527" s="20">
        <f t="shared" si="1052"/>
        <v>800</v>
      </c>
      <c r="W527" s="20">
        <f t="shared" si="1052"/>
        <v>800</v>
      </c>
      <c r="X527" s="20">
        <f t="shared" si="1052"/>
        <v>4</v>
      </c>
      <c r="Y527" s="20">
        <v>0</v>
      </c>
      <c r="Z527" s="22">
        <v>0</v>
      </c>
      <c r="AA527" s="20">
        <v>0</v>
      </c>
      <c r="AB527" s="20">
        <v>0</v>
      </c>
      <c r="AC527" s="20">
        <v>0</v>
      </c>
      <c r="AD527" s="23">
        <f t="shared" ref="AD527:AE527" si="1053">AD497</f>
        <v>30</v>
      </c>
      <c r="AE527" s="23">
        <f t="shared" si="1053"/>
        <v>34</v>
      </c>
    </row>
    <row r="528" spans="1:31">
      <c r="A528" s="4">
        <v>11102</v>
      </c>
      <c r="B528" s="4">
        <v>17</v>
      </c>
      <c r="C528" s="19" t="s">
        <v>72</v>
      </c>
      <c r="D528" s="44">
        <f t="shared" si="1032"/>
        <v>384</v>
      </c>
      <c r="E528" s="18">
        <v>0</v>
      </c>
      <c r="F528" s="18">
        <v>0</v>
      </c>
      <c r="G528" s="18">
        <v>0</v>
      </c>
      <c r="H528" s="45">
        <v>0</v>
      </c>
      <c r="I528" s="21">
        <f t="shared" si="954"/>
        <v>275</v>
      </c>
      <c r="J528" s="21">
        <f t="shared" si="1043"/>
        <v>16</v>
      </c>
      <c r="K528" s="21">
        <v>0</v>
      </c>
      <c r="L528" s="20">
        <v>6</v>
      </c>
      <c r="M528" s="20">
        <v>0</v>
      </c>
      <c r="N528" s="20">
        <f t="shared" si="955"/>
        <v>5100</v>
      </c>
      <c r="O528" s="19" t="s">
        <v>72</v>
      </c>
      <c r="P528" s="20">
        <v>2332</v>
      </c>
      <c r="Q528" s="20">
        <f t="shared" ref="Q528:X528" si="1054">Q498</f>
        <v>510</v>
      </c>
      <c r="R528" s="20">
        <f t="shared" si="1054"/>
        <v>2040</v>
      </c>
      <c r="S528" s="20">
        <f t="shared" si="1054"/>
        <v>3570</v>
      </c>
      <c r="T528" s="20">
        <f t="shared" si="1054"/>
        <v>4590</v>
      </c>
      <c r="U528" s="20">
        <f t="shared" si="1054"/>
        <v>80</v>
      </c>
      <c r="V528" s="20">
        <f t="shared" si="1054"/>
        <v>800</v>
      </c>
      <c r="W528" s="20">
        <f t="shared" si="1054"/>
        <v>600</v>
      </c>
      <c r="X528" s="20">
        <f t="shared" si="1054"/>
        <v>5</v>
      </c>
      <c r="Y528" s="20">
        <v>0</v>
      </c>
      <c r="Z528" s="22">
        <v>0</v>
      </c>
      <c r="AA528" s="20">
        <v>0</v>
      </c>
      <c r="AB528" s="20">
        <v>0</v>
      </c>
      <c r="AC528" s="20">
        <v>0</v>
      </c>
      <c r="AD528" s="23">
        <f t="shared" ref="AD528:AE528" si="1055">AD498</f>
        <v>32</v>
      </c>
      <c r="AE528" s="23">
        <f t="shared" si="1055"/>
        <v>36</v>
      </c>
    </row>
    <row r="529" spans="1:31">
      <c r="A529" s="4">
        <v>11102</v>
      </c>
      <c r="B529" s="4">
        <v>18</v>
      </c>
      <c r="C529" s="19" t="s">
        <v>73</v>
      </c>
      <c r="D529" s="44">
        <f t="shared" si="1032"/>
        <v>417</v>
      </c>
      <c r="E529" s="18">
        <v>0</v>
      </c>
      <c r="F529" s="18">
        <v>0</v>
      </c>
      <c r="G529" s="18">
        <v>0</v>
      </c>
      <c r="H529" s="45">
        <v>0</v>
      </c>
      <c r="I529" s="21">
        <f t="shared" si="954"/>
        <v>275</v>
      </c>
      <c r="J529" s="21">
        <f t="shared" si="1043"/>
        <v>17</v>
      </c>
      <c r="K529" s="21">
        <v>0</v>
      </c>
      <c r="L529" s="20">
        <v>6</v>
      </c>
      <c r="M529" s="20">
        <v>0</v>
      </c>
      <c r="N529" s="20">
        <f t="shared" si="955"/>
        <v>5400</v>
      </c>
      <c r="O529" s="19" t="s">
        <v>73</v>
      </c>
      <c r="P529" s="20">
        <v>1487</v>
      </c>
      <c r="Q529" s="20">
        <f t="shared" ref="Q529:X529" si="1056">Q499</f>
        <v>540</v>
      </c>
      <c r="R529" s="20">
        <f t="shared" si="1056"/>
        <v>2160</v>
      </c>
      <c r="S529" s="20">
        <f t="shared" si="1056"/>
        <v>3779.9999999999995</v>
      </c>
      <c r="T529" s="20">
        <f t="shared" si="1056"/>
        <v>4860</v>
      </c>
      <c r="U529" s="20">
        <f t="shared" si="1056"/>
        <v>100</v>
      </c>
      <c r="V529" s="20">
        <f t="shared" si="1056"/>
        <v>600</v>
      </c>
      <c r="W529" s="20">
        <f t="shared" si="1056"/>
        <v>300</v>
      </c>
      <c r="X529" s="20">
        <f t="shared" si="1056"/>
        <v>5</v>
      </c>
      <c r="Y529" s="20">
        <v>0</v>
      </c>
      <c r="Z529" s="22">
        <v>0</v>
      </c>
      <c r="AA529" s="20">
        <f t="shared" si="1022"/>
        <v>90</v>
      </c>
      <c r="AB529" s="20">
        <v>0</v>
      </c>
      <c r="AC529" s="20">
        <v>0</v>
      </c>
      <c r="AD529" s="23">
        <f t="shared" ref="AD529:AE529" si="1057">AD499</f>
        <v>34</v>
      </c>
      <c r="AE529" s="23">
        <f t="shared" si="1057"/>
        <v>38</v>
      </c>
    </row>
    <row r="530" spans="1:31">
      <c r="A530" s="8">
        <v>11102</v>
      </c>
      <c r="B530" s="8">
        <v>19</v>
      </c>
      <c r="C530" s="19" t="s">
        <v>74</v>
      </c>
      <c r="D530" s="44">
        <f t="shared" si="1032"/>
        <v>452</v>
      </c>
      <c r="E530" s="18">
        <v>0</v>
      </c>
      <c r="F530" s="18">
        <v>0</v>
      </c>
      <c r="G530" s="18">
        <v>0</v>
      </c>
      <c r="H530" s="45">
        <v>0</v>
      </c>
      <c r="I530" s="21">
        <f t="shared" si="954"/>
        <v>275</v>
      </c>
      <c r="J530" s="21">
        <f t="shared" si="1043"/>
        <v>18</v>
      </c>
      <c r="K530" s="21">
        <v>0</v>
      </c>
      <c r="L530" s="20">
        <v>6</v>
      </c>
      <c r="M530" s="20">
        <v>0</v>
      </c>
      <c r="N530" s="20">
        <f t="shared" si="955"/>
        <v>5700</v>
      </c>
      <c r="O530" s="19" t="s">
        <v>74</v>
      </c>
      <c r="P530" s="20">
        <v>1518</v>
      </c>
      <c r="Q530" s="20">
        <f t="shared" ref="Q530:X530" si="1058">Q500</f>
        <v>570</v>
      </c>
      <c r="R530" s="20">
        <f t="shared" si="1058"/>
        <v>2280</v>
      </c>
      <c r="S530" s="20">
        <f t="shared" si="1058"/>
        <v>3989.9999999999995</v>
      </c>
      <c r="T530" s="20">
        <f t="shared" si="1058"/>
        <v>5130</v>
      </c>
      <c r="U530" s="20">
        <f t="shared" si="1058"/>
        <v>100</v>
      </c>
      <c r="V530" s="20">
        <f t="shared" si="1058"/>
        <v>500</v>
      </c>
      <c r="W530" s="20">
        <f t="shared" si="1058"/>
        <v>400</v>
      </c>
      <c r="X530" s="20">
        <f t="shared" si="1058"/>
        <v>5</v>
      </c>
      <c r="Y530" s="20">
        <v>0</v>
      </c>
      <c r="Z530" s="22">
        <v>0</v>
      </c>
      <c r="AA530" s="20">
        <v>0</v>
      </c>
      <c r="AB530" s="20">
        <v>0</v>
      </c>
      <c r="AC530" s="20">
        <v>0</v>
      </c>
      <c r="AD530" s="23">
        <f t="shared" ref="AD530:AE530" si="1059">AD500</f>
        <v>36</v>
      </c>
      <c r="AE530" s="23">
        <f t="shared" si="1059"/>
        <v>40</v>
      </c>
    </row>
    <row r="531" spans="1:31">
      <c r="A531" s="4">
        <v>11102</v>
      </c>
      <c r="B531" s="4">
        <v>20</v>
      </c>
      <c r="C531" s="19" t="s">
        <v>75</v>
      </c>
      <c r="D531" s="44">
        <f t="shared" si="1032"/>
        <v>488</v>
      </c>
      <c r="E531" s="18">
        <v>0</v>
      </c>
      <c r="F531" s="18">
        <v>0</v>
      </c>
      <c r="G531" s="18">
        <v>0</v>
      </c>
      <c r="H531" s="45">
        <v>0</v>
      </c>
      <c r="I531" s="21">
        <f t="shared" si="954"/>
        <v>275</v>
      </c>
      <c r="J531" s="21">
        <f t="shared" si="1043"/>
        <v>19</v>
      </c>
      <c r="K531" s="21">
        <v>0</v>
      </c>
      <c r="L531" s="20">
        <v>6</v>
      </c>
      <c r="M531" s="20">
        <v>0</v>
      </c>
      <c r="N531" s="20">
        <f t="shared" si="955"/>
        <v>8000</v>
      </c>
      <c r="O531" s="19" t="s">
        <v>75</v>
      </c>
      <c r="P531" s="20">
        <v>861</v>
      </c>
      <c r="Q531" s="20">
        <f t="shared" ref="Q531:X531" si="1060">Q501</f>
        <v>800</v>
      </c>
      <c r="R531" s="20">
        <f t="shared" si="1060"/>
        <v>3200</v>
      </c>
      <c r="S531" s="20">
        <f t="shared" si="1060"/>
        <v>5600</v>
      </c>
      <c r="T531" s="20">
        <f t="shared" si="1060"/>
        <v>7200</v>
      </c>
      <c r="U531" s="20">
        <f t="shared" si="1060"/>
        <v>100</v>
      </c>
      <c r="V531" s="20">
        <f t="shared" si="1060"/>
        <v>800</v>
      </c>
      <c r="W531" s="20">
        <f t="shared" si="1060"/>
        <v>8000</v>
      </c>
      <c r="X531" s="20">
        <f t="shared" si="1060"/>
        <v>5</v>
      </c>
      <c r="Y531" s="20">
        <v>0</v>
      </c>
      <c r="Z531" s="22">
        <v>0</v>
      </c>
      <c r="AA531" s="20">
        <v>0</v>
      </c>
      <c r="AB531" s="20">
        <v>0</v>
      </c>
      <c r="AC531" s="20">
        <v>0</v>
      </c>
      <c r="AD531" s="23">
        <f t="shared" ref="AD531:AE531" si="1061">AD501</f>
        <v>38</v>
      </c>
      <c r="AE531" s="23">
        <f t="shared" si="1061"/>
        <v>42</v>
      </c>
    </row>
    <row r="532" spans="1:31">
      <c r="A532" s="4">
        <v>11102</v>
      </c>
      <c r="B532" s="4">
        <v>21</v>
      </c>
      <c r="C532" s="19" t="s">
        <v>66</v>
      </c>
      <c r="D532" s="44">
        <f t="shared" si="1032"/>
        <v>528</v>
      </c>
      <c r="E532" s="18">
        <v>0</v>
      </c>
      <c r="F532" s="18">
        <v>0</v>
      </c>
      <c r="G532" s="18">
        <v>0</v>
      </c>
      <c r="H532" s="45">
        <v>0</v>
      </c>
      <c r="I532" s="21">
        <f t="shared" si="954"/>
        <v>330</v>
      </c>
      <c r="J532" s="21">
        <f t="shared" si="1043"/>
        <v>20</v>
      </c>
      <c r="K532" s="21">
        <v>0</v>
      </c>
      <c r="L532" s="20">
        <v>6</v>
      </c>
      <c r="M532" s="20">
        <v>0</v>
      </c>
      <c r="N532" s="20">
        <f t="shared" si="955"/>
        <v>8400</v>
      </c>
      <c r="O532" s="19" t="s">
        <v>66</v>
      </c>
      <c r="P532" s="20">
        <v>9400</v>
      </c>
      <c r="Q532" s="20">
        <f t="shared" ref="Q532:X532" si="1062">Q502</f>
        <v>840</v>
      </c>
      <c r="R532" s="20">
        <f t="shared" si="1062"/>
        <v>3360</v>
      </c>
      <c r="S532" s="20">
        <f t="shared" si="1062"/>
        <v>5880</v>
      </c>
      <c r="T532" s="20">
        <f t="shared" si="1062"/>
        <v>7560</v>
      </c>
      <c r="U532" s="20">
        <f t="shared" si="1062"/>
        <v>50</v>
      </c>
      <c r="V532" s="20">
        <f t="shared" si="1062"/>
        <v>1000</v>
      </c>
      <c r="W532" s="20">
        <f t="shared" si="1062"/>
        <v>600</v>
      </c>
      <c r="X532" s="20">
        <f t="shared" si="1062"/>
        <v>6</v>
      </c>
      <c r="Y532" s="20">
        <v>0</v>
      </c>
      <c r="Z532" s="22">
        <v>0</v>
      </c>
      <c r="AA532" s="20">
        <v>0</v>
      </c>
      <c r="AB532" s="20">
        <v>0</v>
      </c>
      <c r="AC532" s="20">
        <v>0</v>
      </c>
      <c r="AD532" s="23">
        <f t="shared" ref="AD532:AE532" si="1063">AD502</f>
        <v>40</v>
      </c>
      <c r="AE532" s="23">
        <f t="shared" si="1063"/>
        <v>44</v>
      </c>
    </row>
    <row r="533" spans="1:31">
      <c r="A533" s="4">
        <v>11102</v>
      </c>
      <c r="B533" s="4">
        <v>22</v>
      </c>
      <c r="C533" s="19" t="s">
        <v>67</v>
      </c>
      <c r="D533" s="44">
        <f t="shared" si="1032"/>
        <v>572</v>
      </c>
      <c r="E533" s="18">
        <v>0</v>
      </c>
      <c r="F533" s="18">
        <v>0</v>
      </c>
      <c r="G533" s="18">
        <v>0</v>
      </c>
      <c r="H533" s="45">
        <v>0</v>
      </c>
      <c r="I533" s="21">
        <f t="shared" si="954"/>
        <v>330</v>
      </c>
      <c r="J533" s="21">
        <f t="shared" si="1043"/>
        <v>21</v>
      </c>
      <c r="K533" s="21">
        <v>0</v>
      </c>
      <c r="L533" s="20">
        <v>6</v>
      </c>
      <c r="M533" s="20">
        <v>0</v>
      </c>
      <c r="N533" s="20">
        <f t="shared" si="955"/>
        <v>8800</v>
      </c>
      <c r="O533" s="19" t="s">
        <v>67</v>
      </c>
      <c r="P533" s="20">
        <v>9100</v>
      </c>
      <c r="Q533" s="20">
        <f t="shared" ref="Q533:X533" si="1064">Q503</f>
        <v>880</v>
      </c>
      <c r="R533" s="20">
        <f t="shared" si="1064"/>
        <v>3520</v>
      </c>
      <c r="S533" s="20">
        <f t="shared" si="1064"/>
        <v>6160</v>
      </c>
      <c r="T533" s="20">
        <f t="shared" si="1064"/>
        <v>7920</v>
      </c>
      <c r="U533" s="20">
        <f t="shared" si="1064"/>
        <v>100</v>
      </c>
      <c r="V533" s="20">
        <f t="shared" si="1064"/>
        <v>600</v>
      </c>
      <c r="W533" s="20">
        <f t="shared" si="1064"/>
        <v>700</v>
      </c>
      <c r="X533" s="20">
        <f t="shared" si="1064"/>
        <v>6</v>
      </c>
      <c r="Y533" s="20">
        <v>0</v>
      </c>
      <c r="Z533" s="22">
        <v>0</v>
      </c>
      <c r="AA533" s="20">
        <v>0</v>
      </c>
      <c r="AB533" s="20">
        <v>0</v>
      </c>
      <c r="AC533" s="20">
        <v>0</v>
      </c>
      <c r="AD533" s="23">
        <f t="shared" ref="AD533:AE533" si="1065">AD503</f>
        <v>42</v>
      </c>
      <c r="AE533" s="23">
        <f t="shared" si="1065"/>
        <v>46</v>
      </c>
    </row>
    <row r="534" spans="1:31">
      <c r="A534" s="4">
        <v>11102</v>
      </c>
      <c r="B534" s="4">
        <v>23</v>
      </c>
      <c r="C534" s="19" t="s">
        <v>68</v>
      </c>
      <c r="D534" s="44">
        <f t="shared" si="1032"/>
        <v>620</v>
      </c>
      <c r="E534" s="18">
        <v>0</v>
      </c>
      <c r="F534" s="18">
        <v>0</v>
      </c>
      <c r="G534" s="18">
        <v>0</v>
      </c>
      <c r="H534" s="45">
        <v>0</v>
      </c>
      <c r="I534" s="21">
        <f t="shared" si="954"/>
        <v>330</v>
      </c>
      <c r="J534" s="21">
        <f t="shared" si="1043"/>
        <v>22</v>
      </c>
      <c r="K534" s="21">
        <v>0</v>
      </c>
      <c r="L534" s="20">
        <v>6</v>
      </c>
      <c r="M534" s="20">
        <v>0</v>
      </c>
      <c r="N534" s="20">
        <f t="shared" si="955"/>
        <v>9200</v>
      </c>
      <c r="O534" s="19" t="s">
        <v>68</v>
      </c>
      <c r="P534" s="20">
        <v>8600</v>
      </c>
      <c r="Q534" s="20">
        <f t="shared" ref="Q534:X534" si="1066">Q504</f>
        <v>920</v>
      </c>
      <c r="R534" s="20">
        <f t="shared" si="1066"/>
        <v>3680</v>
      </c>
      <c r="S534" s="20">
        <f t="shared" si="1066"/>
        <v>6440</v>
      </c>
      <c r="T534" s="20">
        <f t="shared" si="1066"/>
        <v>8280</v>
      </c>
      <c r="U534" s="20">
        <f t="shared" si="1066"/>
        <v>100</v>
      </c>
      <c r="V534" s="20">
        <f t="shared" si="1066"/>
        <v>550</v>
      </c>
      <c r="W534" s="20">
        <f t="shared" si="1066"/>
        <v>500</v>
      </c>
      <c r="X534" s="20">
        <f t="shared" si="1066"/>
        <v>6</v>
      </c>
      <c r="Y534" s="20">
        <v>0</v>
      </c>
      <c r="Z534" s="22">
        <v>0</v>
      </c>
      <c r="AA534" s="20">
        <f t="shared" si="1022"/>
        <v>120</v>
      </c>
      <c r="AB534" s="20">
        <v>0</v>
      </c>
      <c r="AC534" s="20">
        <v>0</v>
      </c>
      <c r="AD534" s="23">
        <f t="shared" ref="AD534:AE534" si="1067">AD504</f>
        <v>44</v>
      </c>
      <c r="AE534" s="23">
        <f t="shared" si="1067"/>
        <v>48</v>
      </c>
    </row>
    <row r="535" spans="1:31">
      <c r="A535" s="4">
        <v>11102</v>
      </c>
      <c r="B535" s="4">
        <v>24</v>
      </c>
      <c r="C535" s="19" t="s">
        <v>69</v>
      </c>
      <c r="D535" s="44">
        <f t="shared" si="1032"/>
        <v>671</v>
      </c>
      <c r="E535" s="18">
        <v>0</v>
      </c>
      <c r="F535" s="18">
        <v>0</v>
      </c>
      <c r="G535" s="18">
        <v>0</v>
      </c>
      <c r="H535" s="45">
        <v>0</v>
      </c>
      <c r="I535" s="21">
        <f t="shared" si="954"/>
        <v>330</v>
      </c>
      <c r="J535" s="21">
        <f t="shared" si="1043"/>
        <v>23</v>
      </c>
      <c r="K535" s="21">
        <v>0</v>
      </c>
      <c r="L535" s="20">
        <v>6</v>
      </c>
      <c r="M535" s="20">
        <v>0</v>
      </c>
      <c r="N535" s="20">
        <f t="shared" si="955"/>
        <v>9600</v>
      </c>
      <c r="O535" s="19" t="s">
        <v>69</v>
      </c>
      <c r="P535" s="20">
        <v>6400</v>
      </c>
      <c r="Q535" s="20">
        <f t="shared" ref="Q535:X535" si="1068">Q505</f>
        <v>960</v>
      </c>
      <c r="R535" s="20">
        <f t="shared" si="1068"/>
        <v>3840</v>
      </c>
      <c r="S535" s="20">
        <f t="shared" si="1068"/>
        <v>6720</v>
      </c>
      <c r="T535" s="20">
        <f t="shared" si="1068"/>
        <v>8640</v>
      </c>
      <c r="U535" s="20">
        <f t="shared" si="1068"/>
        <v>100</v>
      </c>
      <c r="V535" s="20">
        <f t="shared" si="1068"/>
        <v>500</v>
      </c>
      <c r="W535" s="20">
        <f t="shared" si="1068"/>
        <v>900</v>
      </c>
      <c r="X535" s="20">
        <f t="shared" si="1068"/>
        <v>6</v>
      </c>
      <c r="Y535" s="20">
        <v>0</v>
      </c>
      <c r="Z535" s="22">
        <v>0</v>
      </c>
      <c r="AA535" s="20">
        <v>0</v>
      </c>
      <c r="AB535" s="20">
        <v>0</v>
      </c>
      <c r="AC535" s="20">
        <v>0</v>
      </c>
      <c r="AD535" s="23">
        <f t="shared" ref="AD535:AE535" si="1069">AD505</f>
        <v>46</v>
      </c>
      <c r="AE535" s="23">
        <f t="shared" si="1069"/>
        <v>50</v>
      </c>
    </row>
    <row r="536" spans="1:31">
      <c r="A536" s="4">
        <v>11102</v>
      </c>
      <c r="B536" s="4">
        <v>25</v>
      </c>
      <c r="C536" s="19" t="s">
        <v>70</v>
      </c>
      <c r="D536" s="44">
        <f t="shared" si="1032"/>
        <v>726</v>
      </c>
      <c r="E536" s="18">
        <v>0</v>
      </c>
      <c r="F536" s="18">
        <v>0</v>
      </c>
      <c r="G536" s="18">
        <v>0</v>
      </c>
      <c r="H536" s="45">
        <v>0</v>
      </c>
      <c r="I536" s="21">
        <f t="shared" si="954"/>
        <v>385</v>
      </c>
      <c r="J536" s="21">
        <f t="shared" si="1043"/>
        <v>24</v>
      </c>
      <c r="K536" s="21">
        <v>0</v>
      </c>
      <c r="L536" s="20">
        <v>6</v>
      </c>
      <c r="M536" s="20">
        <v>0</v>
      </c>
      <c r="N536" s="20">
        <f t="shared" si="955"/>
        <v>12500</v>
      </c>
      <c r="O536" s="19" t="s">
        <v>70</v>
      </c>
      <c r="P536" s="20">
        <v>3100</v>
      </c>
      <c r="Q536" s="20">
        <f t="shared" ref="Q536:X536" si="1070">Q506</f>
        <v>1250</v>
      </c>
      <c r="R536" s="20">
        <f t="shared" si="1070"/>
        <v>5000</v>
      </c>
      <c r="S536" s="20">
        <f t="shared" si="1070"/>
        <v>8750</v>
      </c>
      <c r="T536" s="20">
        <f t="shared" si="1070"/>
        <v>11250</v>
      </c>
      <c r="U536" s="20">
        <f t="shared" si="1070"/>
        <v>10</v>
      </c>
      <c r="V536" s="20">
        <f t="shared" si="1070"/>
        <v>1300</v>
      </c>
      <c r="W536" s="20">
        <f t="shared" si="1070"/>
        <v>1000</v>
      </c>
      <c r="X536" s="20">
        <f t="shared" si="1070"/>
        <v>7</v>
      </c>
      <c r="Y536" s="20">
        <v>0</v>
      </c>
      <c r="Z536" s="22">
        <v>0</v>
      </c>
      <c r="AA536" s="20">
        <v>0</v>
      </c>
      <c r="AB536" s="20">
        <v>0</v>
      </c>
      <c r="AC536" s="20">
        <v>0</v>
      </c>
      <c r="AD536" s="23">
        <f t="shared" ref="AD536:AE536" si="1071">AD506</f>
        <v>48</v>
      </c>
      <c r="AE536" s="23">
        <f t="shared" si="1071"/>
        <v>52</v>
      </c>
    </row>
    <row r="537" spans="1:31">
      <c r="A537" s="4">
        <v>11102</v>
      </c>
      <c r="B537" s="4">
        <v>26</v>
      </c>
      <c r="C537" s="19" t="s">
        <v>71</v>
      </c>
      <c r="D537" s="44">
        <f t="shared" si="1032"/>
        <v>786</v>
      </c>
      <c r="E537" s="18">
        <v>0</v>
      </c>
      <c r="F537" s="18">
        <v>0</v>
      </c>
      <c r="G537" s="18">
        <v>0</v>
      </c>
      <c r="H537" s="45">
        <v>0</v>
      </c>
      <c r="I537" s="21">
        <f t="shared" si="954"/>
        <v>385</v>
      </c>
      <c r="J537" s="21">
        <f t="shared" si="1043"/>
        <v>25</v>
      </c>
      <c r="K537" s="21">
        <v>0</v>
      </c>
      <c r="L537" s="20">
        <v>6</v>
      </c>
      <c r="M537" s="20">
        <v>0</v>
      </c>
      <c r="N537" s="20">
        <f t="shared" si="955"/>
        <v>13000</v>
      </c>
      <c r="O537" s="19" t="s">
        <v>71</v>
      </c>
      <c r="P537" s="20">
        <v>1777</v>
      </c>
      <c r="Q537" s="20">
        <f t="shared" ref="Q537:X537" si="1072">Q507</f>
        <v>1300</v>
      </c>
      <c r="R537" s="20">
        <f t="shared" si="1072"/>
        <v>5200</v>
      </c>
      <c r="S537" s="20">
        <f t="shared" si="1072"/>
        <v>9100</v>
      </c>
      <c r="T537" s="20">
        <f t="shared" si="1072"/>
        <v>11700</v>
      </c>
      <c r="U537" s="20">
        <f t="shared" si="1072"/>
        <v>90</v>
      </c>
      <c r="V537" s="20">
        <f t="shared" si="1072"/>
        <v>800</v>
      </c>
      <c r="W537" s="20">
        <f t="shared" si="1072"/>
        <v>2000</v>
      </c>
      <c r="X537" s="20">
        <f t="shared" si="1072"/>
        <v>7</v>
      </c>
      <c r="Y537" s="20">
        <v>0</v>
      </c>
      <c r="Z537" s="22">
        <v>0</v>
      </c>
      <c r="AA537" s="20">
        <v>0</v>
      </c>
      <c r="AB537" s="20">
        <v>0</v>
      </c>
      <c r="AC537" s="20">
        <v>0</v>
      </c>
      <c r="AD537" s="23">
        <f t="shared" ref="AD537:AE537" si="1073">AD507</f>
        <v>50</v>
      </c>
      <c r="AE537" s="23">
        <f t="shared" si="1073"/>
        <v>54</v>
      </c>
    </row>
    <row r="538" spans="1:31">
      <c r="A538" s="4">
        <v>11102</v>
      </c>
      <c r="B538" s="4">
        <v>27</v>
      </c>
      <c r="C538" s="19" t="s">
        <v>72</v>
      </c>
      <c r="D538" s="44">
        <f t="shared" si="1032"/>
        <v>851</v>
      </c>
      <c r="E538" s="18">
        <v>0</v>
      </c>
      <c r="F538" s="18">
        <v>0</v>
      </c>
      <c r="G538" s="18">
        <v>0</v>
      </c>
      <c r="H538" s="45">
        <v>0</v>
      </c>
      <c r="I538" s="21">
        <f t="shared" si="954"/>
        <v>385</v>
      </c>
      <c r="J538" s="21">
        <f t="shared" si="1043"/>
        <v>26</v>
      </c>
      <c r="K538" s="21">
        <v>0</v>
      </c>
      <c r="L538" s="20">
        <v>6</v>
      </c>
      <c r="M538" s="20">
        <v>0</v>
      </c>
      <c r="N538" s="20">
        <f t="shared" si="955"/>
        <v>13500</v>
      </c>
      <c r="O538" s="19" t="s">
        <v>72</v>
      </c>
      <c r="P538" s="20">
        <v>2332</v>
      </c>
      <c r="Q538" s="20">
        <f t="shared" ref="Q538:X538" si="1074">Q508</f>
        <v>1350</v>
      </c>
      <c r="R538" s="20">
        <f t="shared" si="1074"/>
        <v>5400</v>
      </c>
      <c r="S538" s="20">
        <f t="shared" si="1074"/>
        <v>9450</v>
      </c>
      <c r="T538" s="20">
        <f t="shared" si="1074"/>
        <v>12150</v>
      </c>
      <c r="U538" s="20">
        <f t="shared" si="1074"/>
        <v>80</v>
      </c>
      <c r="V538" s="20">
        <f t="shared" si="1074"/>
        <v>700</v>
      </c>
      <c r="W538" s="20">
        <f t="shared" si="1074"/>
        <v>800</v>
      </c>
      <c r="X538" s="20">
        <f t="shared" si="1074"/>
        <v>7</v>
      </c>
      <c r="Y538" s="20">
        <v>0</v>
      </c>
      <c r="Z538" s="22">
        <v>0</v>
      </c>
      <c r="AA538" s="20">
        <v>0</v>
      </c>
      <c r="AB538" s="20">
        <v>0</v>
      </c>
      <c r="AC538" s="20">
        <v>0</v>
      </c>
      <c r="AD538" s="23">
        <f t="shared" ref="AD538:AE538" si="1075">AD508</f>
        <v>52</v>
      </c>
      <c r="AE538" s="23">
        <f t="shared" si="1075"/>
        <v>56</v>
      </c>
    </row>
    <row r="539" spans="1:31">
      <c r="A539" s="4">
        <v>11102</v>
      </c>
      <c r="B539" s="4">
        <v>28</v>
      </c>
      <c r="C539" s="19" t="s">
        <v>73</v>
      </c>
      <c r="D539" s="44">
        <f t="shared" si="1032"/>
        <v>921</v>
      </c>
      <c r="E539" s="18">
        <v>0</v>
      </c>
      <c r="F539" s="18">
        <v>0</v>
      </c>
      <c r="G539" s="18">
        <v>0</v>
      </c>
      <c r="H539" s="45">
        <v>0</v>
      </c>
      <c r="I539" s="21">
        <f t="shared" si="954"/>
        <v>385</v>
      </c>
      <c r="J539" s="21">
        <f t="shared" si="1043"/>
        <v>27</v>
      </c>
      <c r="K539" s="21">
        <v>0</v>
      </c>
      <c r="L539" s="20">
        <v>6</v>
      </c>
      <c r="M539" s="20">
        <v>0</v>
      </c>
      <c r="N539" s="20">
        <f t="shared" si="955"/>
        <v>14000</v>
      </c>
      <c r="O539" s="19" t="s">
        <v>73</v>
      </c>
      <c r="P539" s="20">
        <v>1487</v>
      </c>
      <c r="Q539" s="20">
        <f t="shared" ref="Q539:X539" si="1076">Q509</f>
        <v>1400</v>
      </c>
      <c r="R539" s="20">
        <f t="shared" si="1076"/>
        <v>5600</v>
      </c>
      <c r="S539" s="20">
        <f t="shared" si="1076"/>
        <v>9800</v>
      </c>
      <c r="T539" s="20">
        <f t="shared" si="1076"/>
        <v>12600</v>
      </c>
      <c r="U539" s="20">
        <f t="shared" si="1076"/>
        <v>80</v>
      </c>
      <c r="V539" s="20">
        <f t="shared" si="1076"/>
        <v>500</v>
      </c>
      <c r="W539" s="20">
        <f t="shared" si="1076"/>
        <v>600</v>
      </c>
      <c r="X539" s="20">
        <f t="shared" si="1076"/>
        <v>7</v>
      </c>
      <c r="Y539" s="20">
        <v>0</v>
      </c>
      <c r="Z539" s="22">
        <v>0</v>
      </c>
      <c r="AA539" s="20">
        <f t="shared" si="1022"/>
        <v>151</v>
      </c>
      <c r="AB539" s="20">
        <v>0</v>
      </c>
      <c r="AC539" s="20">
        <v>0</v>
      </c>
      <c r="AD539" s="23">
        <f t="shared" ref="AD539:AE539" si="1077">AD509</f>
        <v>54</v>
      </c>
      <c r="AE539" s="23">
        <f t="shared" si="1077"/>
        <v>58</v>
      </c>
    </row>
    <row r="540" spans="1:31">
      <c r="A540" s="4">
        <v>11102</v>
      </c>
      <c r="B540" s="4">
        <v>29</v>
      </c>
      <c r="C540" s="19" t="s">
        <v>74</v>
      </c>
      <c r="D540" s="44">
        <f t="shared" si="1032"/>
        <v>998</v>
      </c>
      <c r="E540" s="18">
        <v>0</v>
      </c>
      <c r="F540" s="18">
        <v>0</v>
      </c>
      <c r="G540" s="18">
        <v>0</v>
      </c>
      <c r="H540" s="45">
        <v>0</v>
      </c>
      <c r="I540" s="21">
        <f t="shared" si="954"/>
        <v>440</v>
      </c>
      <c r="J540" s="21">
        <f t="shared" si="1043"/>
        <v>28</v>
      </c>
      <c r="K540" s="21">
        <v>0</v>
      </c>
      <c r="L540" s="20">
        <v>6</v>
      </c>
      <c r="M540" s="20">
        <v>0</v>
      </c>
      <c r="N540" s="20">
        <f t="shared" si="955"/>
        <v>14500</v>
      </c>
      <c r="O540" s="19" t="s">
        <v>74</v>
      </c>
      <c r="P540" s="20">
        <v>1518</v>
      </c>
      <c r="Q540" s="20">
        <f t="shared" ref="Q540:X540" si="1078">Q510</f>
        <v>1450</v>
      </c>
      <c r="R540" s="20">
        <f t="shared" si="1078"/>
        <v>5800</v>
      </c>
      <c r="S540" s="20">
        <f t="shared" si="1078"/>
        <v>10150</v>
      </c>
      <c r="T540" s="20">
        <f t="shared" si="1078"/>
        <v>13050</v>
      </c>
      <c r="U540" s="20">
        <f t="shared" si="1078"/>
        <v>80</v>
      </c>
      <c r="V540" s="20">
        <f t="shared" si="1078"/>
        <v>600</v>
      </c>
      <c r="W540" s="20">
        <f t="shared" si="1078"/>
        <v>700</v>
      </c>
      <c r="X540" s="20">
        <f t="shared" si="1078"/>
        <v>8</v>
      </c>
      <c r="Y540" s="20">
        <v>0</v>
      </c>
      <c r="Z540" s="22">
        <v>0</v>
      </c>
      <c r="AA540" s="20">
        <v>0</v>
      </c>
      <c r="AB540" s="20">
        <v>0</v>
      </c>
      <c r="AC540" s="20">
        <v>0</v>
      </c>
      <c r="AD540" s="23">
        <f t="shared" ref="AD540:AE540" si="1079">AD510</f>
        <v>56</v>
      </c>
      <c r="AE540" s="23">
        <f t="shared" si="1079"/>
        <v>60</v>
      </c>
    </row>
    <row r="541" spans="1:31">
      <c r="A541" s="4">
        <v>11102</v>
      </c>
      <c r="B541" s="4">
        <v>30</v>
      </c>
      <c r="C541" s="19" t="s">
        <v>75</v>
      </c>
      <c r="D541" s="44">
        <f t="shared" si="1032"/>
        <v>1080</v>
      </c>
      <c r="E541" s="18">
        <v>0</v>
      </c>
      <c r="F541" s="18">
        <v>0</v>
      </c>
      <c r="G541" s="18">
        <v>0</v>
      </c>
      <c r="H541" s="45">
        <v>0</v>
      </c>
      <c r="I541" s="21">
        <f t="shared" si="954"/>
        <v>440</v>
      </c>
      <c r="J541" s="21">
        <f t="shared" si="1043"/>
        <v>29</v>
      </c>
      <c r="K541" s="21">
        <v>0</v>
      </c>
      <c r="L541" s="20">
        <v>6</v>
      </c>
      <c r="M541" s="20">
        <v>0</v>
      </c>
      <c r="N541" s="20">
        <f t="shared" si="955"/>
        <v>15000</v>
      </c>
      <c r="O541" s="19" t="s">
        <v>75</v>
      </c>
      <c r="P541" s="20">
        <v>861</v>
      </c>
      <c r="Q541" s="20">
        <f t="shared" ref="Q541:X541" si="1080">Q511</f>
        <v>1500</v>
      </c>
      <c r="R541" s="20">
        <f t="shared" si="1080"/>
        <v>6000</v>
      </c>
      <c r="S541" s="20">
        <f t="shared" si="1080"/>
        <v>10500</v>
      </c>
      <c r="T541" s="20">
        <f t="shared" si="1080"/>
        <v>13500</v>
      </c>
      <c r="U541" s="20">
        <f t="shared" si="1080"/>
        <v>20</v>
      </c>
      <c r="V541" s="20">
        <f t="shared" si="1080"/>
        <v>450</v>
      </c>
      <c r="W541" s="20">
        <f t="shared" si="1080"/>
        <v>1000</v>
      </c>
      <c r="X541" s="20">
        <f t="shared" si="1080"/>
        <v>8</v>
      </c>
      <c r="Y541" s="20">
        <v>0</v>
      </c>
      <c r="Z541" s="22">
        <v>0</v>
      </c>
      <c r="AA541" s="20">
        <v>0</v>
      </c>
      <c r="AB541" s="20">
        <v>0</v>
      </c>
      <c r="AC541" s="20">
        <v>0</v>
      </c>
      <c r="AD541" s="23">
        <f t="shared" ref="AD541:AE541" si="1081">AD511</f>
        <v>58</v>
      </c>
      <c r="AE541" s="23">
        <f t="shared" si="1081"/>
        <v>62</v>
      </c>
    </row>
    <row r="542" spans="1:31">
      <c r="A542" s="8">
        <v>11103</v>
      </c>
      <c r="B542" s="8">
        <v>1</v>
      </c>
      <c r="C542" s="29" t="s">
        <v>66</v>
      </c>
      <c r="D542" s="44">
        <f t="shared" si="1032"/>
        <v>144</v>
      </c>
      <c r="E542" s="28">
        <v>0</v>
      </c>
      <c r="F542" s="28">
        <v>0</v>
      </c>
      <c r="G542" s="28">
        <v>0</v>
      </c>
      <c r="H542" s="47">
        <v>0</v>
      </c>
      <c r="I542" s="21">
        <f t="shared" si="954"/>
        <v>55</v>
      </c>
      <c r="J542" s="21">
        <f t="shared" si="1043"/>
        <v>0</v>
      </c>
      <c r="K542" s="21">
        <v>0</v>
      </c>
      <c r="L542" s="20">
        <v>45</v>
      </c>
      <c r="M542" s="20">
        <v>0</v>
      </c>
      <c r="N542" s="20">
        <f t="shared" si="955"/>
        <v>10</v>
      </c>
      <c r="O542" s="19" t="s">
        <v>66</v>
      </c>
      <c r="P542" s="20">
        <v>9400</v>
      </c>
      <c r="Q542" s="20">
        <f t="shared" ref="Q542:X542" si="1082">Q512</f>
        <v>1</v>
      </c>
      <c r="R542" s="20">
        <f t="shared" si="1082"/>
        <v>4</v>
      </c>
      <c r="S542" s="20">
        <f t="shared" si="1082"/>
        <v>7</v>
      </c>
      <c r="T542" s="20">
        <f t="shared" si="1082"/>
        <v>9</v>
      </c>
      <c r="U542" s="20">
        <f t="shared" si="1082"/>
        <v>9400</v>
      </c>
      <c r="V542" s="20">
        <f t="shared" si="1082"/>
        <v>9400</v>
      </c>
      <c r="W542" s="20">
        <f t="shared" si="1082"/>
        <v>9400</v>
      </c>
      <c r="X542" s="20">
        <f t="shared" si="1082"/>
        <v>1</v>
      </c>
      <c r="Y542" s="20">
        <v>0</v>
      </c>
      <c r="Z542" s="30">
        <v>0</v>
      </c>
      <c r="AA542" s="27">
        <f>INT(AA572*0.9)</f>
        <v>0</v>
      </c>
      <c r="AB542" s="27">
        <v>0</v>
      </c>
      <c r="AC542" s="27">
        <v>0</v>
      </c>
      <c r="AD542" s="23">
        <f t="shared" ref="AD542:AE542" si="1083">AD512</f>
        <v>1</v>
      </c>
      <c r="AE542" s="23">
        <f t="shared" si="1083"/>
        <v>3</v>
      </c>
    </row>
    <row r="543" spans="1:31">
      <c r="A543" s="4">
        <v>11103</v>
      </c>
      <c r="B543" s="4">
        <v>2</v>
      </c>
      <c r="C543" s="29" t="s">
        <v>67</v>
      </c>
      <c r="D543" s="44">
        <f t="shared" si="1032"/>
        <v>156</v>
      </c>
      <c r="E543" s="28">
        <v>0</v>
      </c>
      <c r="F543" s="28">
        <v>0</v>
      </c>
      <c r="G543" s="28">
        <v>0</v>
      </c>
      <c r="H543" s="47">
        <v>0</v>
      </c>
      <c r="I543" s="21">
        <f t="shared" si="954"/>
        <v>55</v>
      </c>
      <c r="J543" s="21">
        <f t="shared" si="1043"/>
        <v>1</v>
      </c>
      <c r="K543" s="21">
        <v>0</v>
      </c>
      <c r="L543" s="20">
        <v>40</v>
      </c>
      <c r="M543" s="20">
        <v>0</v>
      </c>
      <c r="N543" s="20">
        <f t="shared" si="955"/>
        <v>20</v>
      </c>
      <c r="O543" s="19" t="s">
        <v>67</v>
      </c>
      <c r="P543" s="20">
        <v>9100</v>
      </c>
      <c r="Q543" s="20">
        <f t="shared" ref="Q543:X543" si="1084">Q513</f>
        <v>2</v>
      </c>
      <c r="R543" s="20">
        <f t="shared" si="1084"/>
        <v>8</v>
      </c>
      <c r="S543" s="20">
        <f t="shared" si="1084"/>
        <v>14</v>
      </c>
      <c r="T543" s="20">
        <f t="shared" si="1084"/>
        <v>18</v>
      </c>
      <c r="U543" s="20">
        <f t="shared" si="1084"/>
        <v>4000</v>
      </c>
      <c r="V543" s="20">
        <f t="shared" si="1084"/>
        <v>8000</v>
      </c>
      <c r="W543" s="20">
        <f t="shared" si="1084"/>
        <v>8000</v>
      </c>
      <c r="X543" s="20">
        <f t="shared" si="1084"/>
        <v>1</v>
      </c>
      <c r="Y543" s="20">
        <v>0</v>
      </c>
      <c r="Z543" s="30">
        <v>0</v>
      </c>
      <c r="AA543" s="27">
        <f t="shared" ref="AA543:AA569" si="1085">INT(AA573*0.9)</f>
        <v>0</v>
      </c>
      <c r="AB543" s="27">
        <v>0</v>
      </c>
      <c r="AC543" s="27">
        <v>0</v>
      </c>
      <c r="AD543" s="23">
        <f t="shared" ref="AD543:AE543" si="1086">AD513</f>
        <v>2</v>
      </c>
      <c r="AE543" s="23">
        <f t="shared" si="1086"/>
        <v>5</v>
      </c>
    </row>
    <row r="544" spans="1:31">
      <c r="A544" s="4">
        <v>11103</v>
      </c>
      <c r="B544" s="4">
        <v>3</v>
      </c>
      <c r="C544" s="29" t="s">
        <v>68</v>
      </c>
      <c r="D544" s="44">
        <f t="shared" si="1032"/>
        <v>168</v>
      </c>
      <c r="E544" s="28">
        <v>0</v>
      </c>
      <c r="F544" s="28">
        <v>0</v>
      </c>
      <c r="G544" s="28">
        <v>0</v>
      </c>
      <c r="H544" s="47">
        <v>0</v>
      </c>
      <c r="I544" s="21">
        <f t="shared" si="954"/>
        <v>55</v>
      </c>
      <c r="J544" s="21">
        <f t="shared" si="1043"/>
        <v>2</v>
      </c>
      <c r="K544" s="21">
        <v>0</v>
      </c>
      <c r="L544" s="20">
        <v>35</v>
      </c>
      <c r="M544" s="20">
        <v>0</v>
      </c>
      <c r="N544" s="20">
        <f t="shared" si="955"/>
        <v>40</v>
      </c>
      <c r="O544" s="19" t="s">
        <v>68</v>
      </c>
      <c r="P544" s="20">
        <v>8600</v>
      </c>
      <c r="Q544" s="20">
        <f t="shared" ref="Q544:X544" si="1087">Q514</f>
        <v>4</v>
      </c>
      <c r="R544" s="20">
        <f t="shared" si="1087"/>
        <v>16</v>
      </c>
      <c r="S544" s="20">
        <f t="shared" si="1087"/>
        <v>28</v>
      </c>
      <c r="T544" s="20">
        <f t="shared" si="1087"/>
        <v>36</v>
      </c>
      <c r="U544" s="20">
        <f t="shared" si="1087"/>
        <v>1600</v>
      </c>
      <c r="V544" s="20">
        <f t="shared" si="1087"/>
        <v>5000</v>
      </c>
      <c r="W544" s="20">
        <f t="shared" si="1087"/>
        <v>6000</v>
      </c>
      <c r="X544" s="20">
        <f t="shared" si="1087"/>
        <v>1</v>
      </c>
      <c r="Y544" s="20">
        <v>0</v>
      </c>
      <c r="Z544" s="30">
        <v>0</v>
      </c>
      <c r="AA544" s="27">
        <f t="shared" si="1085"/>
        <v>0</v>
      </c>
      <c r="AB544" s="27">
        <v>0</v>
      </c>
      <c r="AC544" s="27">
        <v>0</v>
      </c>
      <c r="AD544" s="23">
        <f t="shared" ref="AD544:AE544" si="1088">AD514</f>
        <v>4</v>
      </c>
      <c r="AE544" s="23">
        <f t="shared" si="1088"/>
        <v>8</v>
      </c>
    </row>
    <row r="545" spans="1:31">
      <c r="A545" s="4">
        <v>11103</v>
      </c>
      <c r="B545" s="4">
        <v>4</v>
      </c>
      <c r="C545" s="29" t="s">
        <v>69</v>
      </c>
      <c r="D545" s="44">
        <f t="shared" si="1032"/>
        <v>182</v>
      </c>
      <c r="E545" s="28">
        <v>0</v>
      </c>
      <c r="F545" s="28">
        <v>0</v>
      </c>
      <c r="G545" s="28">
        <v>0</v>
      </c>
      <c r="H545" s="47">
        <v>0</v>
      </c>
      <c r="I545" s="21">
        <f t="shared" ref="I545:I608" si="1089">I515</f>
        <v>55</v>
      </c>
      <c r="J545" s="21">
        <f t="shared" si="1043"/>
        <v>3</v>
      </c>
      <c r="K545" s="21">
        <v>0</v>
      </c>
      <c r="L545" s="20">
        <v>30</v>
      </c>
      <c r="M545" s="20">
        <v>0</v>
      </c>
      <c r="N545" s="20">
        <f t="shared" ref="N545:N608" si="1090">N515</f>
        <v>100</v>
      </c>
      <c r="O545" s="19" t="s">
        <v>69</v>
      </c>
      <c r="P545" s="20">
        <v>6400</v>
      </c>
      <c r="Q545" s="20">
        <f t="shared" ref="Q545:X545" si="1091">Q515</f>
        <v>10</v>
      </c>
      <c r="R545" s="20">
        <f t="shared" si="1091"/>
        <v>40</v>
      </c>
      <c r="S545" s="20">
        <f t="shared" si="1091"/>
        <v>70</v>
      </c>
      <c r="T545" s="20">
        <f t="shared" si="1091"/>
        <v>90</v>
      </c>
      <c r="U545" s="20">
        <f t="shared" si="1091"/>
        <v>900</v>
      </c>
      <c r="V545" s="20">
        <f t="shared" si="1091"/>
        <v>2000</v>
      </c>
      <c r="W545" s="20">
        <f t="shared" si="1091"/>
        <v>8000</v>
      </c>
      <c r="X545" s="20">
        <f t="shared" si="1091"/>
        <v>1</v>
      </c>
      <c r="Y545" s="20">
        <v>0</v>
      </c>
      <c r="Z545" s="30">
        <v>0</v>
      </c>
      <c r="AA545" s="27">
        <f t="shared" si="1085"/>
        <v>0</v>
      </c>
      <c r="AB545" s="27">
        <v>0</v>
      </c>
      <c r="AC545" s="27">
        <v>0</v>
      </c>
      <c r="AD545" s="23">
        <f t="shared" ref="AD545:AE545" si="1092">AD515</f>
        <v>6</v>
      </c>
      <c r="AE545" s="23">
        <f t="shared" si="1092"/>
        <v>10</v>
      </c>
    </row>
    <row r="546" spans="1:31">
      <c r="A546" s="4">
        <v>11103</v>
      </c>
      <c r="B546" s="4">
        <v>5</v>
      </c>
      <c r="C546" s="29" t="s">
        <v>70</v>
      </c>
      <c r="D546" s="44">
        <f t="shared" si="1032"/>
        <v>198</v>
      </c>
      <c r="E546" s="28">
        <v>0</v>
      </c>
      <c r="F546" s="28">
        <v>0</v>
      </c>
      <c r="G546" s="28">
        <v>0</v>
      </c>
      <c r="H546" s="47">
        <v>0</v>
      </c>
      <c r="I546" s="21">
        <f t="shared" si="1089"/>
        <v>110</v>
      </c>
      <c r="J546" s="21">
        <f t="shared" si="1043"/>
        <v>4</v>
      </c>
      <c r="K546" s="21">
        <v>0</v>
      </c>
      <c r="L546" s="20">
        <v>25</v>
      </c>
      <c r="M546" s="20">
        <v>0</v>
      </c>
      <c r="N546" s="20">
        <f t="shared" si="1090"/>
        <v>200</v>
      </c>
      <c r="O546" s="19" t="s">
        <v>70</v>
      </c>
      <c r="P546" s="20">
        <v>3100</v>
      </c>
      <c r="Q546" s="20">
        <f t="shared" ref="Q546:X546" si="1093">Q516</f>
        <v>20</v>
      </c>
      <c r="R546" s="20">
        <f t="shared" si="1093"/>
        <v>80</v>
      </c>
      <c r="S546" s="20">
        <f t="shared" si="1093"/>
        <v>140</v>
      </c>
      <c r="T546" s="20">
        <f t="shared" si="1093"/>
        <v>180</v>
      </c>
      <c r="U546" s="20">
        <f t="shared" si="1093"/>
        <v>1000</v>
      </c>
      <c r="V546" s="20">
        <f t="shared" si="1093"/>
        <v>2000</v>
      </c>
      <c r="W546" s="20">
        <f t="shared" si="1093"/>
        <v>2000</v>
      </c>
      <c r="X546" s="20">
        <f t="shared" si="1093"/>
        <v>2</v>
      </c>
      <c r="Y546" s="20">
        <v>0</v>
      </c>
      <c r="Z546" s="30">
        <v>0</v>
      </c>
      <c r="AA546" s="27">
        <f t="shared" si="1085"/>
        <v>0</v>
      </c>
      <c r="AB546" s="27">
        <v>0</v>
      </c>
      <c r="AC546" s="27">
        <v>0</v>
      </c>
      <c r="AD546" s="23">
        <f t="shared" ref="AD546:AE546" si="1094">AD516</f>
        <v>8</v>
      </c>
      <c r="AE546" s="23">
        <f t="shared" si="1094"/>
        <v>12</v>
      </c>
    </row>
    <row r="547" spans="1:31">
      <c r="A547" s="4">
        <v>11103</v>
      </c>
      <c r="B547" s="4">
        <v>6</v>
      </c>
      <c r="C547" s="29" t="s">
        <v>71</v>
      </c>
      <c r="D547" s="44">
        <f t="shared" si="1032"/>
        <v>214</v>
      </c>
      <c r="E547" s="28">
        <v>0</v>
      </c>
      <c r="F547" s="28">
        <v>0</v>
      </c>
      <c r="G547" s="28">
        <v>0</v>
      </c>
      <c r="H547" s="47">
        <v>0</v>
      </c>
      <c r="I547" s="21">
        <f t="shared" si="1089"/>
        <v>110</v>
      </c>
      <c r="J547" s="21">
        <f t="shared" si="1043"/>
        <v>5</v>
      </c>
      <c r="K547" s="21">
        <v>0</v>
      </c>
      <c r="L547" s="20">
        <v>20</v>
      </c>
      <c r="M547" s="20">
        <v>0</v>
      </c>
      <c r="N547" s="20">
        <f t="shared" si="1090"/>
        <v>500</v>
      </c>
      <c r="O547" s="19" t="s">
        <v>71</v>
      </c>
      <c r="P547" s="20">
        <v>1777</v>
      </c>
      <c r="Q547" s="20">
        <f t="shared" ref="Q547:X547" si="1095">Q517</f>
        <v>50</v>
      </c>
      <c r="R547" s="20">
        <f t="shared" si="1095"/>
        <v>200</v>
      </c>
      <c r="S547" s="20">
        <f t="shared" si="1095"/>
        <v>350</v>
      </c>
      <c r="T547" s="20">
        <f t="shared" si="1095"/>
        <v>450</v>
      </c>
      <c r="U547" s="20">
        <f t="shared" si="1095"/>
        <v>800</v>
      </c>
      <c r="V547" s="20">
        <f t="shared" si="1095"/>
        <v>800</v>
      </c>
      <c r="W547" s="20">
        <f t="shared" si="1095"/>
        <v>600</v>
      </c>
      <c r="X547" s="20">
        <f t="shared" si="1095"/>
        <v>2</v>
      </c>
      <c r="Y547" s="20">
        <v>0</v>
      </c>
      <c r="Z547" s="30">
        <v>0</v>
      </c>
      <c r="AA547" s="27">
        <f t="shared" si="1085"/>
        <v>0</v>
      </c>
      <c r="AB547" s="27">
        <v>0</v>
      </c>
      <c r="AC547" s="27">
        <v>0</v>
      </c>
      <c r="AD547" s="23">
        <f t="shared" ref="AD547:AE547" si="1096">AD517</f>
        <v>10</v>
      </c>
      <c r="AE547" s="23">
        <f t="shared" si="1096"/>
        <v>14</v>
      </c>
    </row>
    <row r="548" spans="1:31">
      <c r="A548" s="4">
        <v>11103</v>
      </c>
      <c r="B548" s="4">
        <v>7</v>
      </c>
      <c r="C548" s="29" t="s">
        <v>72</v>
      </c>
      <c r="D548" s="44">
        <f t="shared" si="1032"/>
        <v>232</v>
      </c>
      <c r="E548" s="28">
        <v>0</v>
      </c>
      <c r="F548" s="28">
        <v>0</v>
      </c>
      <c r="G548" s="28">
        <v>0</v>
      </c>
      <c r="H548" s="47">
        <v>0</v>
      </c>
      <c r="I548" s="21">
        <f t="shared" si="1089"/>
        <v>110</v>
      </c>
      <c r="J548" s="21">
        <f t="shared" si="1043"/>
        <v>6</v>
      </c>
      <c r="K548" s="21">
        <v>0</v>
      </c>
      <c r="L548" s="20">
        <v>16</v>
      </c>
      <c r="M548" s="20">
        <v>0</v>
      </c>
      <c r="N548" s="20">
        <f t="shared" si="1090"/>
        <v>700</v>
      </c>
      <c r="O548" s="19" t="s">
        <v>72</v>
      </c>
      <c r="P548" s="20">
        <v>2332</v>
      </c>
      <c r="Q548" s="20">
        <f t="shared" ref="Q548:X548" si="1097">Q518</f>
        <v>70</v>
      </c>
      <c r="R548" s="20">
        <f t="shared" si="1097"/>
        <v>280</v>
      </c>
      <c r="S548" s="20">
        <f t="shared" si="1097"/>
        <v>489.99999999999994</v>
      </c>
      <c r="T548" s="20">
        <f t="shared" si="1097"/>
        <v>630</v>
      </c>
      <c r="U548" s="20">
        <f t="shared" si="1097"/>
        <v>650</v>
      </c>
      <c r="V548" s="20">
        <f t="shared" si="1097"/>
        <v>800</v>
      </c>
      <c r="W548" s="20">
        <f t="shared" si="1097"/>
        <v>300</v>
      </c>
      <c r="X548" s="20">
        <f t="shared" si="1097"/>
        <v>2</v>
      </c>
      <c r="Y548" s="20">
        <v>0</v>
      </c>
      <c r="Z548" s="30">
        <v>0</v>
      </c>
      <c r="AA548" s="27">
        <f t="shared" si="1085"/>
        <v>0</v>
      </c>
      <c r="AB548" s="27">
        <v>0</v>
      </c>
      <c r="AC548" s="27">
        <v>0</v>
      </c>
      <c r="AD548" s="23">
        <f t="shared" ref="AD548:AE548" si="1098">AD518</f>
        <v>12</v>
      </c>
      <c r="AE548" s="23">
        <f t="shared" si="1098"/>
        <v>16</v>
      </c>
    </row>
    <row r="549" spans="1:31">
      <c r="A549" s="4">
        <v>11103</v>
      </c>
      <c r="B549" s="4">
        <v>8</v>
      </c>
      <c r="C549" s="29" t="s">
        <v>73</v>
      </c>
      <c r="D549" s="44">
        <f t="shared" si="1032"/>
        <v>252</v>
      </c>
      <c r="E549" s="28">
        <v>0</v>
      </c>
      <c r="F549" s="28">
        <v>0</v>
      </c>
      <c r="G549" s="28">
        <v>0</v>
      </c>
      <c r="H549" s="47">
        <v>0</v>
      </c>
      <c r="I549" s="21">
        <f t="shared" si="1089"/>
        <v>110</v>
      </c>
      <c r="J549" s="21">
        <f t="shared" si="1043"/>
        <v>7</v>
      </c>
      <c r="K549" s="21">
        <v>0</v>
      </c>
      <c r="L549" s="20">
        <v>12</v>
      </c>
      <c r="M549" s="20">
        <v>0</v>
      </c>
      <c r="N549" s="20">
        <f t="shared" si="1090"/>
        <v>800</v>
      </c>
      <c r="O549" s="19" t="s">
        <v>73</v>
      </c>
      <c r="P549" s="20">
        <v>1487</v>
      </c>
      <c r="Q549" s="20">
        <f t="shared" ref="Q549:X549" si="1099">Q519</f>
        <v>80</v>
      </c>
      <c r="R549" s="20">
        <f t="shared" si="1099"/>
        <v>320</v>
      </c>
      <c r="S549" s="20">
        <f t="shared" si="1099"/>
        <v>560</v>
      </c>
      <c r="T549" s="20">
        <f t="shared" si="1099"/>
        <v>720</v>
      </c>
      <c r="U549" s="20">
        <f t="shared" si="1099"/>
        <v>200</v>
      </c>
      <c r="V549" s="20">
        <f t="shared" si="1099"/>
        <v>2000</v>
      </c>
      <c r="W549" s="20">
        <f t="shared" si="1099"/>
        <v>1000</v>
      </c>
      <c r="X549" s="20">
        <f t="shared" si="1099"/>
        <v>2</v>
      </c>
      <c r="Y549" s="20">
        <v>0</v>
      </c>
      <c r="Z549" s="30">
        <v>0</v>
      </c>
      <c r="AA549" s="27">
        <f t="shared" si="1085"/>
        <v>33</v>
      </c>
      <c r="AB549" s="27">
        <v>0</v>
      </c>
      <c r="AC549" s="27">
        <v>0</v>
      </c>
      <c r="AD549" s="23">
        <f t="shared" ref="AD549:AE549" si="1100">AD519</f>
        <v>14</v>
      </c>
      <c r="AE549" s="23">
        <f t="shared" si="1100"/>
        <v>18</v>
      </c>
    </row>
    <row r="550" spans="1:31">
      <c r="A550" s="4">
        <v>11103</v>
      </c>
      <c r="B550" s="4">
        <v>9</v>
      </c>
      <c r="C550" s="29" t="s">
        <v>74</v>
      </c>
      <c r="D550" s="44">
        <f t="shared" si="1032"/>
        <v>272</v>
      </c>
      <c r="E550" s="28">
        <v>0</v>
      </c>
      <c r="F550" s="28">
        <v>0</v>
      </c>
      <c r="G550" s="28">
        <v>0</v>
      </c>
      <c r="H550" s="47">
        <v>0</v>
      </c>
      <c r="I550" s="21">
        <f t="shared" si="1089"/>
        <v>165</v>
      </c>
      <c r="J550" s="21">
        <f t="shared" si="1043"/>
        <v>8</v>
      </c>
      <c r="K550" s="21">
        <v>0</v>
      </c>
      <c r="L550" s="20">
        <v>8</v>
      </c>
      <c r="M550" s="20">
        <v>0</v>
      </c>
      <c r="N550" s="20">
        <f t="shared" si="1090"/>
        <v>900</v>
      </c>
      <c r="O550" s="19" t="s">
        <v>74</v>
      </c>
      <c r="P550" s="20">
        <v>1518</v>
      </c>
      <c r="Q550" s="20">
        <f t="shared" ref="Q550:X550" si="1101">Q520</f>
        <v>90</v>
      </c>
      <c r="R550" s="20">
        <f t="shared" si="1101"/>
        <v>360</v>
      </c>
      <c r="S550" s="20">
        <f t="shared" si="1101"/>
        <v>630</v>
      </c>
      <c r="T550" s="20">
        <f t="shared" si="1101"/>
        <v>810</v>
      </c>
      <c r="U550" s="20">
        <f t="shared" si="1101"/>
        <v>120</v>
      </c>
      <c r="V550" s="20">
        <f t="shared" si="1101"/>
        <v>1500</v>
      </c>
      <c r="W550" s="20">
        <f t="shared" si="1101"/>
        <v>1000</v>
      </c>
      <c r="X550" s="20">
        <f t="shared" si="1101"/>
        <v>3</v>
      </c>
      <c r="Y550" s="20">
        <v>0</v>
      </c>
      <c r="Z550" s="30">
        <v>0</v>
      </c>
      <c r="AA550" s="27">
        <v>0</v>
      </c>
      <c r="AB550" s="27">
        <v>0</v>
      </c>
      <c r="AC550" s="27">
        <v>0</v>
      </c>
      <c r="AD550" s="23">
        <f t="shared" ref="AD550:AE550" si="1102">AD520</f>
        <v>16</v>
      </c>
      <c r="AE550" s="23">
        <f t="shared" si="1102"/>
        <v>20</v>
      </c>
    </row>
    <row r="551" spans="1:31">
      <c r="A551" s="4">
        <v>11103</v>
      </c>
      <c r="B551" s="4">
        <v>10</v>
      </c>
      <c r="C551" s="29" t="s">
        <v>75</v>
      </c>
      <c r="D551" s="44">
        <f t="shared" si="1032"/>
        <v>294</v>
      </c>
      <c r="E551" s="28">
        <v>0</v>
      </c>
      <c r="F551" s="28">
        <v>0</v>
      </c>
      <c r="G551" s="28">
        <v>0</v>
      </c>
      <c r="H551" s="47">
        <v>0</v>
      </c>
      <c r="I551" s="21">
        <f t="shared" si="1089"/>
        <v>165</v>
      </c>
      <c r="J551" s="21">
        <f t="shared" si="1043"/>
        <v>9</v>
      </c>
      <c r="K551" s="21">
        <v>0</v>
      </c>
      <c r="L551" s="20">
        <v>6</v>
      </c>
      <c r="M551" s="20">
        <v>0</v>
      </c>
      <c r="N551" s="20">
        <f t="shared" si="1090"/>
        <v>2000</v>
      </c>
      <c r="O551" s="19" t="s">
        <v>75</v>
      </c>
      <c r="P551" s="20">
        <v>861</v>
      </c>
      <c r="Q551" s="20">
        <f t="shared" ref="Q551:X551" si="1103">Q521</f>
        <v>200</v>
      </c>
      <c r="R551" s="20">
        <f t="shared" si="1103"/>
        <v>800</v>
      </c>
      <c r="S551" s="20">
        <f t="shared" si="1103"/>
        <v>1400</v>
      </c>
      <c r="T551" s="20">
        <f t="shared" si="1103"/>
        <v>1800</v>
      </c>
      <c r="U551" s="20">
        <f t="shared" si="1103"/>
        <v>150</v>
      </c>
      <c r="V551" s="20">
        <f t="shared" si="1103"/>
        <v>5000</v>
      </c>
      <c r="W551" s="20">
        <f t="shared" si="1103"/>
        <v>800</v>
      </c>
      <c r="X551" s="20">
        <f t="shared" si="1103"/>
        <v>3</v>
      </c>
      <c r="Y551" s="20">
        <v>0</v>
      </c>
      <c r="Z551" s="30">
        <v>0</v>
      </c>
      <c r="AA551" s="27">
        <v>0</v>
      </c>
      <c r="AB551" s="27">
        <v>0</v>
      </c>
      <c r="AC551" s="27">
        <v>0</v>
      </c>
      <c r="AD551" s="23">
        <f t="shared" ref="AD551:AE551" si="1104">AD521</f>
        <v>18</v>
      </c>
      <c r="AE551" s="23">
        <f t="shared" si="1104"/>
        <v>22</v>
      </c>
    </row>
    <row r="552" spans="1:31">
      <c r="A552" s="4">
        <v>11103</v>
      </c>
      <c r="B552" s="4">
        <v>11</v>
      </c>
      <c r="C552" s="29" t="s">
        <v>66</v>
      </c>
      <c r="D552" s="44">
        <f t="shared" si="1032"/>
        <v>318</v>
      </c>
      <c r="E552" s="28">
        <v>0</v>
      </c>
      <c r="F552" s="28">
        <v>0</v>
      </c>
      <c r="G552" s="28">
        <v>0</v>
      </c>
      <c r="H552" s="47">
        <v>0</v>
      </c>
      <c r="I552" s="21">
        <f t="shared" si="1089"/>
        <v>165</v>
      </c>
      <c r="J552" s="21">
        <f t="shared" si="1043"/>
        <v>10</v>
      </c>
      <c r="K552" s="21">
        <v>0</v>
      </c>
      <c r="L552" s="20">
        <v>6</v>
      </c>
      <c r="M552" s="20">
        <v>0</v>
      </c>
      <c r="N552" s="20">
        <f t="shared" si="1090"/>
        <v>2200</v>
      </c>
      <c r="O552" s="19" t="s">
        <v>66</v>
      </c>
      <c r="P552" s="20">
        <v>9400</v>
      </c>
      <c r="Q552" s="20">
        <f t="shared" ref="Q552:X552" si="1105">Q522</f>
        <v>220</v>
      </c>
      <c r="R552" s="20">
        <f t="shared" si="1105"/>
        <v>880</v>
      </c>
      <c r="S552" s="20">
        <f t="shared" si="1105"/>
        <v>1540</v>
      </c>
      <c r="T552" s="20">
        <f t="shared" si="1105"/>
        <v>1980</v>
      </c>
      <c r="U552" s="20">
        <f t="shared" si="1105"/>
        <v>100</v>
      </c>
      <c r="V552" s="20">
        <f t="shared" si="1105"/>
        <v>800</v>
      </c>
      <c r="W552" s="20">
        <f t="shared" si="1105"/>
        <v>600</v>
      </c>
      <c r="X552" s="20">
        <f t="shared" si="1105"/>
        <v>3</v>
      </c>
      <c r="Y552" s="20">
        <v>0</v>
      </c>
      <c r="Z552" s="30">
        <v>0</v>
      </c>
      <c r="AA552" s="27">
        <v>0</v>
      </c>
      <c r="AB552" s="27">
        <v>0</v>
      </c>
      <c r="AC552" s="27">
        <v>0</v>
      </c>
      <c r="AD552" s="23">
        <f t="shared" ref="AD552:AE552" si="1106">AD522</f>
        <v>20</v>
      </c>
      <c r="AE552" s="23">
        <f t="shared" si="1106"/>
        <v>24</v>
      </c>
    </row>
    <row r="553" spans="1:31">
      <c r="A553" s="4">
        <v>11103</v>
      </c>
      <c r="B553" s="4">
        <v>12</v>
      </c>
      <c r="C553" s="29" t="s">
        <v>67</v>
      </c>
      <c r="D553" s="44">
        <f t="shared" si="1032"/>
        <v>344</v>
      </c>
      <c r="E553" s="28">
        <v>0</v>
      </c>
      <c r="F553" s="28">
        <v>0</v>
      </c>
      <c r="G553" s="28">
        <v>0</v>
      </c>
      <c r="H553" s="47">
        <v>0</v>
      </c>
      <c r="I553" s="21">
        <f t="shared" si="1089"/>
        <v>165</v>
      </c>
      <c r="J553" s="21">
        <f t="shared" si="1043"/>
        <v>11</v>
      </c>
      <c r="K553" s="21">
        <v>0</v>
      </c>
      <c r="L553" s="20">
        <v>6</v>
      </c>
      <c r="M553" s="20">
        <v>0</v>
      </c>
      <c r="N553" s="20">
        <f t="shared" si="1090"/>
        <v>2400</v>
      </c>
      <c r="O553" s="19" t="s">
        <v>67</v>
      </c>
      <c r="P553" s="20">
        <v>9100</v>
      </c>
      <c r="Q553" s="20">
        <f t="shared" ref="Q553:X553" si="1107">Q523</f>
        <v>240</v>
      </c>
      <c r="R553" s="20">
        <f t="shared" si="1107"/>
        <v>960</v>
      </c>
      <c r="S553" s="20">
        <f t="shared" si="1107"/>
        <v>1680</v>
      </c>
      <c r="T553" s="20">
        <f t="shared" si="1107"/>
        <v>2160</v>
      </c>
      <c r="U553" s="20">
        <f t="shared" si="1107"/>
        <v>150</v>
      </c>
      <c r="V553" s="20">
        <f t="shared" si="1107"/>
        <v>700</v>
      </c>
      <c r="W553" s="20">
        <f t="shared" si="1107"/>
        <v>900</v>
      </c>
      <c r="X553" s="20">
        <f t="shared" si="1107"/>
        <v>3</v>
      </c>
      <c r="Y553" s="20">
        <v>0</v>
      </c>
      <c r="Z553" s="30">
        <v>0</v>
      </c>
      <c r="AA553" s="27">
        <v>0</v>
      </c>
      <c r="AB553" s="27">
        <v>0</v>
      </c>
      <c r="AC553" s="27">
        <v>0</v>
      </c>
      <c r="AD553" s="23">
        <f t="shared" ref="AD553:AE553" si="1108">AD523</f>
        <v>22</v>
      </c>
      <c r="AE553" s="23">
        <f t="shared" si="1108"/>
        <v>26</v>
      </c>
    </row>
    <row r="554" spans="1:31">
      <c r="A554" s="8">
        <v>11103</v>
      </c>
      <c r="B554" s="8">
        <v>13</v>
      </c>
      <c r="C554" s="29" t="s">
        <v>68</v>
      </c>
      <c r="D554" s="44">
        <f t="shared" si="1032"/>
        <v>374</v>
      </c>
      <c r="E554" s="28">
        <v>0</v>
      </c>
      <c r="F554" s="28">
        <v>0</v>
      </c>
      <c r="G554" s="28">
        <v>0</v>
      </c>
      <c r="H554" s="47">
        <v>0</v>
      </c>
      <c r="I554" s="21">
        <f t="shared" si="1089"/>
        <v>220</v>
      </c>
      <c r="J554" s="21">
        <f t="shared" si="1043"/>
        <v>12</v>
      </c>
      <c r="K554" s="21">
        <v>0</v>
      </c>
      <c r="L554" s="20">
        <v>6</v>
      </c>
      <c r="M554" s="20">
        <v>0</v>
      </c>
      <c r="N554" s="20">
        <f t="shared" si="1090"/>
        <v>2600</v>
      </c>
      <c r="O554" s="19" t="s">
        <v>68</v>
      </c>
      <c r="P554" s="20">
        <v>8600</v>
      </c>
      <c r="Q554" s="20">
        <f t="shared" ref="Q554:X554" si="1109">Q524</f>
        <v>260</v>
      </c>
      <c r="R554" s="20">
        <f t="shared" si="1109"/>
        <v>1040</v>
      </c>
      <c r="S554" s="20">
        <f t="shared" si="1109"/>
        <v>1819.9999999999998</v>
      </c>
      <c r="T554" s="20">
        <f t="shared" si="1109"/>
        <v>2340</v>
      </c>
      <c r="U554" s="20">
        <f t="shared" si="1109"/>
        <v>100</v>
      </c>
      <c r="V554" s="20">
        <f t="shared" si="1109"/>
        <v>700</v>
      </c>
      <c r="W554" s="20">
        <f t="shared" si="1109"/>
        <v>1000</v>
      </c>
      <c r="X554" s="20">
        <f t="shared" si="1109"/>
        <v>4</v>
      </c>
      <c r="Y554" s="20">
        <v>0</v>
      </c>
      <c r="Z554" s="30">
        <v>0</v>
      </c>
      <c r="AA554" s="27">
        <f t="shared" si="1085"/>
        <v>67</v>
      </c>
      <c r="AB554" s="27">
        <v>0</v>
      </c>
      <c r="AC554" s="27">
        <v>0</v>
      </c>
      <c r="AD554" s="23">
        <f t="shared" ref="AD554:AE554" si="1110">AD524</f>
        <v>24</v>
      </c>
      <c r="AE554" s="23">
        <f t="shared" si="1110"/>
        <v>28</v>
      </c>
    </row>
    <row r="555" spans="1:31">
      <c r="A555" s="4">
        <v>11103</v>
      </c>
      <c r="B555" s="4">
        <v>14</v>
      </c>
      <c r="C555" s="29" t="s">
        <v>69</v>
      </c>
      <c r="D555" s="44">
        <f t="shared" si="1032"/>
        <v>404</v>
      </c>
      <c r="E555" s="28">
        <v>0</v>
      </c>
      <c r="F555" s="28">
        <v>0</v>
      </c>
      <c r="G555" s="28">
        <v>0</v>
      </c>
      <c r="H555" s="47">
        <v>0</v>
      </c>
      <c r="I555" s="21">
        <f t="shared" si="1089"/>
        <v>220</v>
      </c>
      <c r="J555" s="21">
        <f t="shared" si="1043"/>
        <v>13</v>
      </c>
      <c r="K555" s="21">
        <v>0</v>
      </c>
      <c r="L555" s="20">
        <v>6</v>
      </c>
      <c r="M555" s="20">
        <v>0</v>
      </c>
      <c r="N555" s="20">
        <f t="shared" si="1090"/>
        <v>2800</v>
      </c>
      <c r="O555" s="19" t="s">
        <v>69</v>
      </c>
      <c r="P555" s="20">
        <v>6400</v>
      </c>
      <c r="Q555" s="20">
        <f t="shared" ref="Q555:X555" si="1111">Q525</f>
        <v>280</v>
      </c>
      <c r="R555" s="20">
        <f t="shared" si="1111"/>
        <v>1120</v>
      </c>
      <c r="S555" s="20">
        <f t="shared" si="1111"/>
        <v>1959.9999999999998</v>
      </c>
      <c r="T555" s="20">
        <f t="shared" si="1111"/>
        <v>2520</v>
      </c>
      <c r="U555" s="20">
        <f t="shared" si="1111"/>
        <v>100</v>
      </c>
      <c r="V555" s="20">
        <f t="shared" si="1111"/>
        <v>400</v>
      </c>
      <c r="W555" s="20">
        <f t="shared" si="1111"/>
        <v>1200</v>
      </c>
      <c r="X555" s="20">
        <f t="shared" si="1111"/>
        <v>4</v>
      </c>
      <c r="Y555" s="20">
        <v>0</v>
      </c>
      <c r="Z555" s="30">
        <v>0</v>
      </c>
      <c r="AA555" s="27">
        <v>0</v>
      </c>
      <c r="AB555" s="27">
        <v>0</v>
      </c>
      <c r="AC555" s="27">
        <v>0</v>
      </c>
      <c r="AD555" s="23">
        <f t="shared" ref="AD555:AE555" si="1112">AD525</f>
        <v>26</v>
      </c>
      <c r="AE555" s="23">
        <f t="shared" si="1112"/>
        <v>30</v>
      </c>
    </row>
    <row r="556" spans="1:31">
      <c r="A556" s="4">
        <v>11103</v>
      </c>
      <c r="B556" s="4">
        <v>15</v>
      </c>
      <c r="C556" s="29" t="s">
        <v>70</v>
      </c>
      <c r="D556" s="44">
        <f t="shared" si="1032"/>
        <v>438</v>
      </c>
      <c r="E556" s="28">
        <v>0</v>
      </c>
      <c r="F556" s="28">
        <v>0</v>
      </c>
      <c r="G556" s="28">
        <v>0</v>
      </c>
      <c r="H556" s="47">
        <v>0</v>
      </c>
      <c r="I556" s="21">
        <f t="shared" si="1089"/>
        <v>220</v>
      </c>
      <c r="J556" s="21">
        <f t="shared" si="1043"/>
        <v>14</v>
      </c>
      <c r="K556" s="21">
        <v>0</v>
      </c>
      <c r="L556" s="20">
        <v>6</v>
      </c>
      <c r="M556" s="20">
        <v>0</v>
      </c>
      <c r="N556" s="20">
        <f t="shared" si="1090"/>
        <v>4500</v>
      </c>
      <c r="O556" s="19" t="s">
        <v>70</v>
      </c>
      <c r="P556" s="20">
        <v>3100</v>
      </c>
      <c r="Q556" s="20">
        <f t="shared" ref="Q556:X556" si="1113">Q526</f>
        <v>450</v>
      </c>
      <c r="R556" s="20">
        <f t="shared" si="1113"/>
        <v>1800</v>
      </c>
      <c r="S556" s="20">
        <f t="shared" si="1113"/>
        <v>3150</v>
      </c>
      <c r="T556" s="20">
        <f t="shared" si="1113"/>
        <v>4050</v>
      </c>
      <c r="U556" s="20">
        <f t="shared" si="1113"/>
        <v>100</v>
      </c>
      <c r="V556" s="20">
        <f t="shared" si="1113"/>
        <v>1000</v>
      </c>
      <c r="W556" s="20">
        <f t="shared" si="1113"/>
        <v>600</v>
      </c>
      <c r="X556" s="20">
        <f t="shared" si="1113"/>
        <v>4</v>
      </c>
      <c r="Y556" s="20">
        <v>0</v>
      </c>
      <c r="Z556" s="30">
        <v>0</v>
      </c>
      <c r="AA556" s="27">
        <v>0</v>
      </c>
      <c r="AB556" s="27">
        <v>0</v>
      </c>
      <c r="AC556" s="27">
        <v>0</v>
      </c>
      <c r="AD556" s="23">
        <f t="shared" ref="AD556:AE556" si="1114">AD526</f>
        <v>28</v>
      </c>
      <c r="AE556" s="23">
        <f t="shared" si="1114"/>
        <v>32</v>
      </c>
    </row>
    <row r="557" spans="1:31">
      <c r="A557" s="4">
        <v>11103</v>
      </c>
      <c r="B557" s="4">
        <v>16</v>
      </c>
      <c r="C557" s="29" t="s">
        <v>71</v>
      </c>
      <c r="D557" s="44">
        <f t="shared" si="1032"/>
        <v>474</v>
      </c>
      <c r="E557" s="28">
        <v>0</v>
      </c>
      <c r="F557" s="28">
        <v>0</v>
      </c>
      <c r="G557" s="28">
        <v>0</v>
      </c>
      <c r="H557" s="47">
        <v>0</v>
      </c>
      <c r="I557" s="21">
        <f t="shared" si="1089"/>
        <v>220</v>
      </c>
      <c r="J557" s="21">
        <f t="shared" si="1043"/>
        <v>15</v>
      </c>
      <c r="K557" s="21">
        <v>0</v>
      </c>
      <c r="L557" s="20">
        <v>6</v>
      </c>
      <c r="M557" s="20">
        <v>0</v>
      </c>
      <c r="N557" s="20">
        <f t="shared" si="1090"/>
        <v>4800</v>
      </c>
      <c r="O557" s="19" t="s">
        <v>71</v>
      </c>
      <c r="P557" s="20">
        <v>1777</v>
      </c>
      <c r="Q557" s="20">
        <f t="shared" ref="Q557:X557" si="1115">Q527</f>
        <v>480</v>
      </c>
      <c r="R557" s="20">
        <f t="shared" si="1115"/>
        <v>1920</v>
      </c>
      <c r="S557" s="20">
        <f t="shared" si="1115"/>
        <v>3360</v>
      </c>
      <c r="T557" s="20">
        <f t="shared" si="1115"/>
        <v>4320</v>
      </c>
      <c r="U557" s="20">
        <f t="shared" si="1115"/>
        <v>100</v>
      </c>
      <c r="V557" s="20">
        <f t="shared" si="1115"/>
        <v>800</v>
      </c>
      <c r="W557" s="20">
        <f t="shared" si="1115"/>
        <v>800</v>
      </c>
      <c r="X557" s="20">
        <f t="shared" si="1115"/>
        <v>4</v>
      </c>
      <c r="Y557" s="20">
        <v>0</v>
      </c>
      <c r="Z557" s="30">
        <v>0</v>
      </c>
      <c r="AA557" s="27">
        <v>0</v>
      </c>
      <c r="AB557" s="27">
        <v>0</v>
      </c>
      <c r="AC557" s="27">
        <v>0</v>
      </c>
      <c r="AD557" s="23">
        <f t="shared" ref="AD557:AE557" si="1116">AD527</f>
        <v>30</v>
      </c>
      <c r="AE557" s="23">
        <f t="shared" si="1116"/>
        <v>34</v>
      </c>
    </row>
    <row r="558" spans="1:31">
      <c r="A558" s="4">
        <v>11103</v>
      </c>
      <c r="B558" s="4">
        <v>17</v>
      </c>
      <c r="C558" s="29" t="s">
        <v>72</v>
      </c>
      <c r="D558" s="44">
        <f t="shared" si="1032"/>
        <v>512</v>
      </c>
      <c r="E558" s="28">
        <v>0</v>
      </c>
      <c r="F558" s="28">
        <v>0</v>
      </c>
      <c r="G558" s="28">
        <v>0</v>
      </c>
      <c r="H558" s="47">
        <v>0</v>
      </c>
      <c r="I558" s="21">
        <f t="shared" si="1089"/>
        <v>275</v>
      </c>
      <c r="J558" s="21">
        <f t="shared" si="1043"/>
        <v>16</v>
      </c>
      <c r="K558" s="21">
        <v>0</v>
      </c>
      <c r="L558" s="20">
        <v>6</v>
      </c>
      <c r="M558" s="20">
        <v>0</v>
      </c>
      <c r="N558" s="20">
        <f t="shared" si="1090"/>
        <v>5100</v>
      </c>
      <c r="O558" s="19" t="s">
        <v>72</v>
      </c>
      <c r="P558" s="20">
        <v>2332</v>
      </c>
      <c r="Q558" s="20">
        <f t="shared" ref="Q558:X558" si="1117">Q528</f>
        <v>510</v>
      </c>
      <c r="R558" s="20">
        <f t="shared" si="1117"/>
        <v>2040</v>
      </c>
      <c r="S558" s="20">
        <f t="shared" si="1117"/>
        <v>3570</v>
      </c>
      <c r="T558" s="20">
        <f t="shared" si="1117"/>
        <v>4590</v>
      </c>
      <c r="U558" s="20">
        <f t="shared" si="1117"/>
        <v>80</v>
      </c>
      <c r="V558" s="20">
        <f t="shared" si="1117"/>
        <v>800</v>
      </c>
      <c r="W558" s="20">
        <f t="shared" si="1117"/>
        <v>600</v>
      </c>
      <c r="X558" s="20">
        <f t="shared" si="1117"/>
        <v>5</v>
      </c>
      <c r="Y558" s="20">
        <v>0</v>
      </c>
      <c r="Z558" s="30">
        <v>0</v>
      </c>
      <c r="AA558" s="27">
        <v>0</v>
      </c>
      <c r="AB558" s="27">
        <v>0</v>
      </c>
      <c r="AC558" s="27">
        <v>0</v>
      </c>
      <c r="AD558" s="23">
        <f t="shared" ref="AD558:AE558" si="1118">AD528</f>
        <v>32</v>
      </c>
      <c r="AE558" s="23">
        <f t="shared" si="1118"/>
        <v>36</v>
      </c>
    </row>
    <row r="559" spans="1:31">
      <c r="A559" s="4">
        <v>11103</v>
      </c>
      <c r="B559" s="4">
        <v>18</v>
      </c>
      <c r="C559" s="29" t="s">
        <v>73</v>
      </c>
      <c r="D559" s="44">
        <f t="shared" si="1032"/>
        <v>556</v>
      </c>
      <c r="E559" s="28">
        <v>0</v>
      </c>
      <c r="F559" s="28">
        <v>0</v>
      </c>
      <c r="G559" s="28">
        <v>0</v>
      </c>
      <c r="H559" s="47">
        <v>0</v>
      </c>
      <c r="I559" s="21">
        <f t="shared" si="1089"/>
        <v>275</v>
      </c>
      <c r="J559" s="21">
        <f t="shared" si="1043"/>
        <v>17</v>
      </c>
      <c r="K559" s="21">
        <v>0</v>
      </c>
      <c r="L559" s="20">
        <v>6</v>
      </c>
      <c r="M559" s="20">
        <v>0</v>
      </c>
      <c r="N559" s="20">
        <f t="shared" si="1090"/>
        <v>5400</v>
      </c>
      <c r="O559" s="19" t="s">
        <v>73</v>
      </c>
      <c r="P559" s="20">
        <v>1487</v>
      </c>
      <c r="Q559" s="20">
        <f t="shared" ref="Q559:X559" si="1119">Q529</f>
        <v>540</v>
      </c>
      <c r="R559" s="20">
        <f t="shared" si="1119"/>
        <v>2160</v>
      </c>
      <c r="S559" s="20">
        <f t="shared" si="1119"/>
        <v>3779.9999999999995</v>
      </c>
      <c r="T559" s="20">
        <f t="shared" si="1119"/>
        <v>4860</v>
      </c>
      <c r="U559" s="20">
        <f t="shared" si="1119"/>
        <v>100</v>
      </c>
      <c r="V559" s="20">
        <f t="shared" si="1119"/>
        <v>600</v>
      </c>
      <c r="W559" s="20">
        <f t="shared" si="1119"/>
        <v>300</v>
      </c>
      <c r="X559" s="20">
        <f t="shared" si="1119"/>
        <v>5</v>
      </c>
      <c r="Y559" s="20">
        <v>0</v>
      </c>
      <c r="Z559" s="30">
        <v>0</v>
      </c>
      <c r="AA559" s="27">
        <f t="shared" si="1085"/>
        <v>101</v>
      </c>
      <c r="AB559" s="27">
        <v>0</v>
      </c>
      <c r="AC559" s="27">
        <v>0</v>
      </c>
      <c r="AD559" s="23">
        <f t="shared" ref="AD559:AE559" si="1120">AD529</f>
        <v>34</v>
      </c>
      <c r="AE559" s="23">
        <f t="shared" si="1120"/>
        <v>38</v>
      </c>
    </row>
    <row r="560" spans="1:31">
      <c r="A560" s="4">
        <v>11103</v>
      </c>
      <c r="B560" s="4">
        <v>19</v>
      </c>
      <c r="C560" s="29" t="s">
        <v>74</v>
      </c>
      <c r="D560" s="44">
        <f t="shared" si="1032"/>
        <v>602</v>
      </c>
      <c r="E560" s="28">
        <v>0</v>
      </c>
      <c r="F560" s="28">
        <v>0</v>
      </c>
      <c r="G560" s="28">
        <v>0</v>
      </c>
      <c r="H560" s="47">
        <v>0</v>
      </c>
      <c r="I560" s="21">
        <f t="shared" si="1089"/>
        <v>275</v>
      </c>
      <c r="J560" s="21">
        <f t="shared" si="1043"/>
        <v>18</v>
      </c>
      <c r="K560" s="21">
        <v>0</v>
      </c>
      <c r="L560" s="20">
        <v>6</v>
      </c>
      <c r="M560" s="20">
        <v>0</v>
      </c>
      <c r="N560" s="20">
        <f t="shared" si="1090"/>
        <v>5700</v>
      </c>
      <c r="O560" s="19" t="s">
        <v>74</v>
      </c>
      <c r="P560" s="20">
        <v>1518</v>
      </c>
      <c r="Q560" s="20">
        <f t="shared" ref="Q560:X560" si="1121">Q530</f>
        <v>570</v>
      </c>
      <c r="R560" s="20">
        <f t="shared" si="1121"/>
        <v>2280</v>
      </c>
      <c r="S560" s="20">
        <f t="shared" si="1121"/>
        <v>3989.9999999999995</v>
      </c>
      <c r="T560" s="20">
        <f t="shared" si="1121"/>
        <v>5130</v>
      </c>
      <c r="U560" s="20">
        <f t="shared" si="1121"/>
        <v>100</v>
      </c>
      <c r="V560" s="20">
        <f t="shared" si="1121"/>
        <v>500</v>
      </c>
      <c r="W560" s="20">
        <f t="shared" si="1121"/>
        <v>400</v>
      </c>
      <c r="X560" s="20">
        <f t="shared" si="1121"/>
        <v>5</v>
      </c>
      <c r="Y560" s="20">
        <v>0</v>
      </c>
      <c r="Z560" s="30">
        <v>0</v>
      </c>
      <c r="AA560" s="27">
        <v>0</v>
      </c>
      <c r="AB560" s="27">
        <v>0</v>
      </c>
      <c r="AC560" s="27">
        <v>0</v>
      </c>
      <c r="AD560" s="23">
        <f t="shared" ref="AD560:AE560" si="1122">AD530</f>
        <v>36</v>
      </c>
      <c r="AE560" s="23">
        <f t="shared" si="1122"/>
        <v>40</v>
      </c>
    </row>
    <row r="561" spans="1:31">
      <c r="A561" s="4">
        <v>11103</v>
      </c>
      <c r="B561" s="4">
        <v>20</v>
      </c>
      <c r="C561" s="29" t="s">
        <v>75</v>
      </c>
      <c r="D561" s="44">
        <f t="shared" si="1032"/>
        <v>650</v>
      </c>
      <c r="E561" s="28">
        <v>0</v>
      </c>
      <c r="F561" s="28">
        <v>0</v>
      </c>
      <c r="G561" s="28">
        <v>0</v>
      </c>
      <c r="H561" s="47">
        <v>0</v>
      </c>
      <c r="I561" s="21">
        <f t="shared" si="1089"/>
        <v>275</v>
      </c>
      <c r="J561" s="21">
        <f t="shared" si="1043"/>
        <v>19</v>
      </c>
      <c r="K561" s="21">
        <v>0</v>
      </c>
      <c r="L561" s="20">
        <v>6</v>
      </c>
      <c r="M561" s="20">
        <v>0</v>
      </c>
      <c r="N561" s="20">
        <f t="shared" si="1090"/>
        <v>8000</v>
      </c>
      <c r="O561" s="19" t="s">
        <v>75</v>
      </c>
      <c r="P561" s="20">
        <v>861</v>
      </c>
      <c r="Q561" s="20">
        <f t="shared" ref="Q561:X561" si="1123">Q531</f>
        <v>800</v>
      </c>
      <c r="R561" s="20">
        <f t="shared" si="1123"/>
        <v>3200</v>
      </c>
      <c r="S561" s="20">
        <f t="shared" si="1123"/>
        <v>5600</v>
      </c>
      <c r="T561" s="20">
        <f t="shared" si="1123"/>
        <v>7200</v>
      </c>
      <c r="U561" s="20">
        <f t="shared" si="1123"/>
        <v>100</v>
      </c>
      <c r="V561" s="20">
        <f t="shared" si="1123"/>
        <v>800</v>
      </c>
      <c r="W561" s="20">
        <f t="shared" si="1123"/>
        <v>8000</v>
      </c>
      <c r="X561" s="20">
        <f t="shared" si="1123"/>
        <v>5</v>
      </c>
      <c r="Y561" s="20">
        <v>0</v>
      </c>
      <c r="Z561" s="30">
        <v>0</v>
      </c>
      <c r="AA561" s="27">
        <v>0</v>
      </c>
      <c r="AB561" s="27">
        <v>0</v>
      </c>
      <c r="AC561" s="27">
        <v>0</v>
      </c>
      <c r="AD561" s="23">
        <f t="shared" ref="AD561:AE561" si="1124">AD531</f>
        <v>38</v>
      </c>
      <c r="AE561" s="23">
        <f t="shared" si="1124"/>
        <v>42</v>
      </c>
    </row>
    <row r="562" spans="1:31">
      <c r="A562" s="4">
        <v>11103</v>
      </c>
      <c r="B562" s="4">
        <v>21</v>
      </c>
      <c r="C562" s="29" t="s">
        <v>66</v>
      </c>
      <c r="D562" s="44">
        <f t="shared" si="1032"/>
        <v>704</v>
      </c>
      <c r="E562" s="28">
        <v>0</v>
      </c>
      <c r="F562" s="28">
        <v>0</v>
      </c>
      <c r="G562" s="28">
        <v>0</v>
      </c>
      <c r="H562" s="47">
        <v>0</v>
      </c>
      <c r="I562" s="21">
        <f t="shared" si="1089"/>
        <v>330</v>
      </c>
      <c r="J562" s="21">
        <f t="shared" si="1043"/>
        <v>20</v>
      </c>
      <c r="K562" s="21">
        <v>0</v>
      </c>
      <c r="L562" s="20">
        <v>6</v>
      </c>
      <c r="M562" s="20">
        <v>0</v>
      </c>
      <c r="N562" s="20">
        <f t="shared" si="1090"/>
        <v>8400</v>
      </c>
      <c r="O562" s="19" t="s">
        <v>66</v>
      </c>
      <c r="P562" s="20">
        <v>9400</v>
      </c>
      <c r="Q562" s="20">
        <f t="shared" ref="Q562:X562" si="1125">Q532</f>
        <v>840</v>
      </c>
      <c r="R562" s="20">
        <f t="shared" si="1125"/>
        <v>3360</v>
      </c>
      <c r="S562" s="20">
        <f t="shared" si="1125"/>
        <v>5880</v>
      </c>
      <c r="T562" s="20">
        <f t="shared" si="1125"/>
        <v>7560</v>
      </c>
      <c r="U562" s="20">
        <f t="shared" si="1125"/>
        <v>50</v>
      </c>
      <c r="V562" s="20">
        <f t="shared" si="1125"/>
        <v>1000</v>
      </c>
      <c r="W562" s="20">
        <f t="shared" si="1125"/>
        <v>600</v>
      </c>
      <c r="X562" s="20">
        <f t="shared" si="1125"/>
        <v>6</v>
      </c>
      <c r="Y562" s="20">
        <v>0</v>
      </c>
      <c r="Z562" s="30">
        <v>0</v>
      </c>
      <c r="AA562" s="27">
        <v>0</v>
      </c>
      <c r="AB562" s="27">
        <v>0</v>
      </c>
      <c r="AC562" s="27">
        <v>0</v>
      </c>
      <c r="AD562" s="23">
        <f t="shared" ref="AD562:AE562" si="1126">AD532</f>
        <v>40</v>
      </c>
      <c r="AE562" s="23">
        <f t="shared" si="1126"/>
        <v>44</v>
      </c>
    </row>
    <row r="563" spans="1:31">
      <c r="A563" s="4">
        <v>11103</v>
      </c>
      <c r="B563" s="4">
        <v>22</v>
      </c>
      <c r="C563" s="29" t="s">
        <v>67</v>
      </c>
      <c r="D563" s="44">
        <f t="shared" si="1032"/>
        <v>762</v>
      </c>
      <c r="E563" s="28">
        <v>0</v>
      </c>
      <c r="F563" s="28">
        <v>0</v>
      </c>
      <c r="G563" s="28">
        <v>0</v>
      </c>
      <c r="H563" s="47">
        <v>0</v>
      </c>
      <c r="I563" s="21">
        <f t="shared" si="1089"/>
        <v>330</v>
      </c>
      <c r="J563" s="21">
        <f t="shared" si="1043"/>
        <v>21</v>
      </c>
      <c r="K563" s="21">
        <v>0</v>
      </c>
      <c r="L563" s="20">
        <v>6</v>
      </c>
      <c r="M563" s="20">
        <v>0</v>
      </c>
      <c r="N563" s="20">
        <f t="shared" si="1090"/>
        <v>8800</v>
      </c>
      <c r="O563" s="19" t="s">
        <v>67</v>
      </c>
      <c r="P563" s="20">
        <v>9100</v>
      </c>
      <c r="Q563" s="20">
        <f t="shared" ref="Q563:X563" si="1127">Q533</f>
        <v>880</v>
      </c>
      <c r="R563" s="20">
        <f t="shared" si="1127"/>
        <v>3520</v>
      </c>
      <c r="S563" s="20">
        <f t="shared" si="1127"/>
        <v>6160</v>
      </c>
      <c r="T563" s="20">
        <f t="shared" si="1127"/>
        <v>7920</v>
      </c>
      <c r="U563" s="20">
        <f t="shared" si="1127"/>
        <v>100</v>
      </c>
      <c r="V563" s="20">
        <f t="shared" si="1127"/>
        <v>600</v>
      </c>
      <c r="W563" s="20">
        <f t="shared" si="1127"/>
        <v>700</v>
      </c>
      <c r="X563" s="20">
        <f t="shared" si="1127"/>
        <v>6</v>
      </c>
      <c r="Y563" s="20">
        <v>0</v>
      </c>
      <c r="Z563" s="30">
        <v>0</v>
      </c>
      <c r="AA563" s="27">
        <v>0</v>
      </c>
      <c r="AB563" s="27">
        <v>0</v>
      </c>
      <c r="AC563" s="27">
        <v>0</v>
      </c>
      <c r="AD563" s="23">
        <f t="shared" ref="AD563:AE563" si="1128">AD533</f>
        <v>42</v>
      </c>
      <c r="AE563" s="23">
        <f t="shared" si="1128"/>
        <v>46</v>
      </c>
    </row>
    <row r="564" spans="1:31">
      <c r="A564" s="4">
        <v>11103</v>
      </c>
      <c r="B564" s="4">
        <v>23</v>
      </c>
      <c r="C564" s="29" t="s">
        <v>68</v>
      </c>
      <c r="D564" s="44">
        <f t="shared" si="1032"/>
        <v>826</v>
      </c>
      <c r="E564" s="28">
        <v>0</v>
      </c>
      <c r="F564" s="28">
        <v>0</v>
      </c>
      <c r="G564" s="28">
        <v>0</v>
      </c>
      <c r="H564" s="47">
        <v>0</v>
      </c>
      <c r="I564" s="21">
        <f t="shared" si="1089"/>
        <v>330</v>
      </c>
      <c r="J564" s="21">
        <f t="shared" si="1043"/>
        <v>22</v>
      </c>
      <c r="K564" s="21">
        <v>0</v>
      </c>
      <c r="L564" s="20">
        <v>6</v>
      </c>
      <c r="M564" s="20">
        <v>0</v>
      </c>
      <c r="N564" s="20">
        <f t="shared" si="1090"/>
        <v>9200</v>
      </c>
      <c r="O564" s="19" t="s">
        <v>68</v>
      </c>
      <c r="P564" s="20">
        <v>8600</v>
      </c>
      <c r="Q564" s="20">
        <f t="shared" ref="Q564:X564" si="1129">Q534</f>
        <v>920</v>
      </c>
      <c r="R564" s="20">
        <f t="shared" si="1129"/>
        <v>3680</v>
      </c>
      <c r="S564" s="20">
        <f t="shared" si="1129"/>
        <v>6440</v>
      </c>
      <c r="T564" s="20">
        <f t="shared" si="1129"/>
        <v>8280</v>
      </c>
      <c r="U564" s="20">
        <f t="shared" si="1129"/>
        <v>100</v>
      </c>
      <c r="V564" s="20">
        <f t="shared" si="1129"/>
        <v>550</v>
      </c>
      <c r="W564" s="20">
        <f t="shared" si="1129"/>
        <v>500</v>
      </c>
      <c r="X564" s="20">
        <f t="shared" si="1129"/>
        <v>6</v>
      </c>
      <c r="Y564" s="20">
        <v>0</v>
      </c>
      <c r="Z564" s="30">
        <v>0</v>
      </c>
      <c r="AA564" s="27">
        <f t="shared" si="1085"/>
        <v>135</v>
      </c>
      <c r="AB564" s="27">
        <v>0</v>
      </c>
      <c r="AC564" s="27">
        <v>0</v>
      </c>
      <c r="AD564" s="23">
        <f t="shared" ref="AD564:AE564" si="1130">AD534</f>
        <v>44</v>
      </c>
      <c r="AE564" s="23">
        <f t="shared" si="1130"/>
        <v>48</v>
      </c>
    </row>
    <row r="565" spans="1:31">
      <c r="A565" s="4">
        <v>11103</v>
      </c>
      <c r="B565" s="4">
        <v>24</v>
      </c>
      <c r="C565" s="29" t="s">
        <v>69</v>
      </c>
      <c r="D565" s="44">
        <f t="shared" si="1032"/>
        <v>894</v>
      </c>
      <c r="E565" s="28">
        <v>0</v>
      </c>
      <c r="F565" s="28">
        <v>0</v>
      </c>
      <c r="G565" s="28">
        <v>0</v>
      </c>
      <c r="H565" s="47">
        <v>0</v>
      </c>
      <c r="I565" s="21">
        <f t="shared" si="1089"/>
        <v>330</v>
      </c>
      <c r="J565" s="21">
        <f t="shared" si="1043"/>
        <v>23</v>
      </c>
      <c r="K565" s="21">
        <v>0</v>
      </c>
      <c r="L565" s="20">
        <v>6</v>
      </c>
      <c r="M565" s="20">
        <v>0</v>
      </c>
      <c r="N565" s="20">
        <f t="shared" si="1090"/>
        <v>9600</v>
      </c>
      <c r="O565" s="19" t="s">
        <v>69</v>
      </c>
      <c r="P565" s="20">
        <v>6400</v>
      </c>
      <c r="Q565" s="20">
        <f t="shared" ref="Q565:X565" si="1131">Q535</f>
        <v>960</v>
      </c>
      <c r="R565" s="20">
        <f t="shared" si="1131"/>
        <v>3840</v>
      </c>
      <c r="S565" s="20">
        <f t="shared" si="1131"/>
        <v>6720</v>
      </c>
      <c r="T565" s="20">
        <f t="shared" si="1131"/>
        <v>8640</v>
      </c>
      <c r="U565" s="20">
        <f t="shared" si="1131"/>
        <v>100</v>
      </c>
      <c r="V565" s="20">
        <f t="shared" si="1131"/>
        <v>500</v>
      </c>
      <c r="W565" s="20">
        <f t="shared" si="1131"/>
        <v>900</v>
      </c>
      <c r="X565" s="20">
        <f t="shared" si="1131"/>
        <v>6</v>
      </c>
      <c r="Y565" s="20">
        <v>0</v>
      </c>
      <c r="Z565" s="30">
        <v>0</v>
      </c>
      <c r="AA565" s="27">
        <v>0</v>
      </c>
      <c r="AB565" s="27">
        <v>0</v>
      </c>
      <c r="AC565" s="27">
        <v>0</v>
      </c>
      <c r="AD565" s="23">
        <f t="shared" ref="AD565:AE565" si="1132">AD535</f>
        <v>46</v>
      </c>
      <c r="AE565" s="23">
        <f t="shared" si="1132"/>
        <v>50</v>
      </c>
    </row>
    <row r="566" spans="1:31">
      <c r="A566" s="8">
        <v>11103</v>
      </c>
      <c r="B566" s="8">
        <v>25</v>
      </c>
      <c r="C566" s="29" t="s">
        <v>70</v>
      </c>
      <c r="D566" s="44">
        <f t="shared" si="1032"/>
        <v>968</v>
      </c>
      <c r="E566" s="28">
        <v>0</v>
      </c>
      <c r="F566" s="28">
        <v>0</v>
      </c>
      <c r="G566" s="28">
        <v>0</v>
      </c>
      <c r="H566" s="47">
        <v>0</v>
      </c>
      <c r="I566" s="21">
        <f t="shared" si="1089"/>
        <v>385</v>
      </c>
      <c r="J566" s="21">
        <f t="shared" si="1043"/>
        <v>24</v>
      </c>
      <c r="K566" s="21">
        <v>0</v>
      </c>
      <c r="L566" s="20">
        <v>6</v>
      </c>
      <c r="M566" s="20">
        <v>0</v>
      </c>
      <c r="N566" s="20">
        <f t="shared" si="1090"/>
        <v>12500</v>
      </c>
      <c r="O566" s="19" t="s">
        <v>70</v>
      </c>
      <c r="P566" s="20">
        <v>3100</v>
      </c>
      <c r="Q566" s="20">
        <f t="shared" ref="Q566:X566" si="1133">Q536</f>
        <v>1250</v>
      </c>
      <c r="R566" s="20">
        <f t="shared" si="1133"/>
        <v>5000</v>
      </c>
      <c r="S566" s="20">
        <f t="shared" si="1133"/>
        <v>8750</v>
      </c>
      <c r="T566" s="20">
        <f t="shared" si="1133"/>
        <v>11250</v>
      </c>
      <c r="U566" s="20">
        <f t="shared" si="1133"/>
        <v>10</v>
      </c>
      <c r="V566" s="20">
        <f t="shared" si="1133"/>
        <v>1300</v>
      </c>
      <c r="W566" s="20">
        <f t="shared" si="1133"/>
        <v>1000</v>
      </c>
      <c r="X566" s="20">
        <f t="shared" si="1133"/>
        <v>7</v>
      </c>
      <c r="Y566" s="20">
        <v>0</v>
      </c>
      <c r="Z566" s="30">
        <v>0</v>
      </c>
      <c r="AA566" s="27">
        <v>0</v>
      </c>
      <c r="AB566" s="27">
        <v>0</v>
      </c>
      <c r="AC566" s="27">
        <v>0</v>
      </c>
      <c r="AD566" s="23">
        <f t="shared" ref="AD566:AE566" si="1134">AD536</f>
        <v>48</v>
      </c>
      <c r="AE566" s="23">
        <f t="shared" si="1134"/>
        <v>52</v>
      </c>
    </row>
    <row r="567" spans="1:31">
      <c r="A567" s="4">
        <v>11103</v>
      </c>
      <c r="B567" s="4">
        <v>26</v>
      </c>
      <c r="C567" s="29" t="s">
        <v>71</v>
      </c>
      <c r="D567" s="44">
        <f t="shared" si="1032"/>
        <v>1048</v>
      </c>
      <c r="E567" s="28">
        <v>0</v>
      </c>
      <c r="F567" s="28">
        <v>0</v>
      </c>
      <c r="G567" s="28">
        <v>0</v>
      </c>
      <c r="H567" s="47">
        <v>0</v>
      </c>
      <c r="I567" s="21">
        <f t="shared" si="1089"/>
        <v>385</v>
      </c>
      <c r="J567" s="21">
        <f t="shared" si="1043"/>
        <v>25</v>
      </c>
      <c r="K567" s="21">
        <v>0</v>
      </c>
      <c r="L567" s="20">
        <v>6</v>
      </c>
      <c r="M567" s="20">
        <v>0</v>
      </c>
      <c r="N567" s="20">
        <f t="shared" si="1090"/>
        <v>13000</v>
      </c>
      <c r="O567" s="19" t="s">
        <v>71</v>
      </c>
      <c r="P567" s="20">
        <v>1777</v>
      </c>
      <c r="Q567" s="20">
        <f t="shared" ref="Q567:X567" si="1135">Q537</f>
        <v>1300</v>
      </c>
      <c r="R567" s="20">
        <f t="shared" si="1135"/>
        <v>5200</v>
      </c>
      <c r="S567" s="20">
        <f t="shared" si="1135"/>
        <v>9100</v>
      </c>
      <c r="T567" s="20">
        <f t="shared" si="1135"/>
        <v>11700</v>
      </c>
      <c r="U567" s="20">
        <f t="shared" si="1135"/>
        <v>90</v>
      </c>
      <c r="V567" s="20">
        <f t="shared" si="1135"/>
        <v>800</v>
      </c>
      <c r="W567" s="20">
        <f t="shared" si="1135"/>
        <v>2000</v>
      </c>
      <c r="X567" s="20">
        <f t="shared" si="1135"/>
        <v>7</v>
      </c>
      <c r="Y567" s="20">
        <v>0</v>
      </c>
      <c r="Z567" s="30">
        <v>0</v>
      </c>
      <c r="AA567" s="27">
        <v>0</v>
      </c>
      <c r="AB567" s="27">
        <v>0</v>
      </c>
      <c r="AC567" s="27">
        <v>0</v>
      </c>
      <c r="AD567" s="23">
        <f t="shared" ref="AD567:AE567" si="1136">AD537</f>
        <v>50</v>
      </c>
      <c r="AE567" s="23">
        <f t="shared" si="1136"/>
        <v>54</v>
      </c>
    </row>
    <row r="568" spans="1:31">
      <c r="A568" s="4">
        <v>11103</v>
      </c>
      <c r="B568" s="4">
        <v>27</v>
      </c>
      <c r="C568" s="29" t="s">
        <v>72</v>
      </c>
      <c r="D568" s="44">
        <f t="shared" si="1032"/>
        <v>1134</v>
      </c>
      <c r="E568" s="28">
        <v>0</v>
      </c>
      <c r="F568" s="28">
        <v>0</v>
      </c>
      <c r="G568" s="28">
        <v>0</v>
      </c>
      <c r="H568" s="47">
        <v>0</v>
      </c>
      <c r="I568" s="21">
        <f t="shared" si="1089"/>
        <v>385</v>
      </c>
      <c r="J568" s="21">
        <f t="shared" si="1043"/>
        <v>26</v>
      </c>
      <c r="K568" s="21">
        <v>0</v>
      </c>
      <c r="L568" s="20">
        <v>6</v>
      </c>
      <c r="M568" s="20">
        <v>0</v>
      </c>
      <c r="N568" s="20">
        <f t="shared" si="1090"/>
        <v>13500</v>
      </c>
      <c r="O568" s="19" t="s">
        <v>72</v>
      </c>
      <c r="P568" s="20">
        <v>2332</v>
      </c>
      <c r="Q568" s="20">
        <f t="shared" ref="Q568:X568" si="1137">Q538</f>
        <v>1350</v>
      </c>
      <c r="R568" s="20">
        <f t="shared" si="1137"/>
        <v>5400</v>
      </c>
      <c r="S568" s="20">
        <f t="shared" si="1137"/>
        <v>9450</v>
      </c>
      <c r="T568" s="20">
        <f t="shared" si="1137"/>
        <v>12150</v>
      </c>
      <c r="U568" s="20">
        <f t="shared" si="1137"/>
        <v>80</v>
      </c>
      <c r="V568" s="20">
        <f t="shared" si="1137"/>
        <v>700</v>
      </c>
      <c r="W568" s="20">
        <f t="shared" si="1137"/>
        <v>800</v>
      </c>
      <c r="X568" s="20">
        <f t="shared" si="1137"/>
        <v>7</v>
      </c>
      <c r="Y568" s="20">
        <v>0</v>
      </c>
      <c r="Z568" s="30">
        <v>0</v>
      </c>
      <c r="AA568" s="27">
        <v>0</v>
      </c>
      <c r="AB568" s="27">
        <v>0</v>
      </c>
      <c r="AC568" s="27">
        <v>0</v>
      </c>
      <c r="AD568" s="23">
        <f t="shared" ref="AD568:AE568" si="1138">AD538</f>
        <v>52</v>
      </c>
      <c r="AE568" s="23">
        <f t="shared" si="1138"/>
        <v>56</v>
      </c>
    </row>
    <row r="569" spans="1:31">
      <c r="A569" s="4">
        <v>11103</v>
      </c>
      <c r="B569" s="4">
        <v>28</v>
      </c>
      <c r="C569" s="29" t="s">
        <v>73</v>
      </c>
      <c r="D569" s="44">
        <f t="shared" si="1032"/>
        <v>1228</v>
      </c>
      <c r="E569" s="28">
        <v>0</v>
      </c>
      <c r="F569" s="28">
        <v>0</v>
      </c>
      <c r="G569" s="28">
        <v>0</v>
      </c>
      <c r="H569" s="47">
        <v>0</v>
      </c>
      <c r="I569" s="21">
        <f t="shared" si="1089"/>
        <v>385</v>
      </c>
      <c r="J569" s="21">
        <f t="shared" si="1043"/>
        <v>27</v>
      </c>
      <c r="K569" s="21">
        <v>0</v>
      </c>
      <c r="L569" s="20">
        <v>6</v>
      </c>
      <c r="M569" s="20">
        <v>0</v>
      </c>
      <c r="N569" s="20">
        <f t="shared" si="1090"/>
        <v>14000</v>
      </c>
      <c r="O569" s="19" t="s">
        <v>73</v>
      </c>
      <c r="P569" s="20">
        <v>1487</v>
      </c>
      <c r="Q569" s="20">
        <f t="shared" ref="Q569:X569" si="1139">Q539</f>
        <v>1400</v>
      </c>
      <c r="R569" s="20">
        <f t="shared" si="1139"/>
        <v>5600</v>
      </c>
      <c r="S569" s="20">
        <f t="shared" si="1139"/>
        <v>9800</v>
      </c>
      <c r="T569" s="20">
        <f t="shared" si="1139"/>
        <v>12600</v>
      </c>
      <c r="U569" s="20">
        <f t="shared" si="1139"/>
        <v>80</v>
      </c>
      <c r="V569" s="20">
        <f t="shared" si="1139"/>
        <v>500</v>
      </c>
      <c r="W569" s="20">
        <f t="shared" si="1139"/>
        <v>600</v>
      </c>
      <c r="X569" s="20">
        <f t="shared" si="1139"/>
        <v>7</v>
      </c>
      <c r="Y569" s="20">
        <v>0</v>
      </c>
      <c r="Z569" s="30">
        <v>0</v>
      </c>
      <c r="AA569" s="27">
        <f t="shared" si="1085"/>
        <v>170</v>
      </c>
      <c r="AB569" s="27">
        <v>0</v>
      </c>
      <c r="AC569" s="27">
        <v>0</v>
      </c>
      <c r="AD569" s="23">
        <f t="shared" ref="AD569:AE569" si="1140">AD539</f>
        <v>54</v>
      </c>
      <c r="AE569" s="23">
        <f t="shared" si="1140"/>
        <v>58</v>
      </c>
    </row>
    <row r="570" spans="1:31">
      <c r="A570" s="4">
        <v>11103</v>
      </c>
      <c r="B570" s="4">
        <v>29</v>
      </c>
      <c r="C570" s="29" t="s">
        <v>74</v>
      </c>
      <c r="D570" s="44">
        <f t="shared" si="1032"/>
        <v>1330</v>
      </c>
      <c r="E570" s="28">
        <v>0</v>
      </c>
      <c r="F570" s="28">
        <v>0</v>
      </c>
      <c r="G570" s="28">
        <v>0</v>
      </c>
      <c r="H570" s="47">
        <v>0</v>
      </c>
      <c r="I570" s="21">
        <f t="shared" si="1089"/>
        <v>440</v>
      </c>
      <c r="J570" s="21">
        <f t="shared" si="1043"/>
        <v>28</v>
      </c>
      <c r="K570" s="21">
        <v>0</v>
      </c>
      <c r="L570" s="20">
        <v>6</v>
      </c>
      <c r="M570" s="20">
        <v>0</v>
      </c>
      <c r="N570" s="20">
        <f t="shared" si="1090"/>
        <v>14500</v>
      </c>
      <c r="O570" s="19" t="s">
        <v>74</v>
      </c>
      <c r="P570" s="20">
        <v>1518</v>
      </c>
      <c r="Q570" s="20">
        <f t="shared" ref="Q570:X570" si="1141">Q540</f>
        <v>1450</v>
      </c>
      <c r="R570" s="20">
        <f t="shared" si="1141"/>
        <v>5800</v>
      </c>
      <c r="S570" s="20">
        <f t="shared" si="1141"/>
        <v>10150</v>
      </c>
      <c r="T570" s="20">
        <f t="shared" si="1141"/>
        <v>13050</v>
      </c>
      <c r="U570" s="20">
        <f t="shared" si="1141"/>
        <v>80</v>
      </c>
      <c r="V570" s="20">
        <f t="shared" si="1141"/>
        <v>600</v>
      </c>
      <c r="W570" s="20">
        <f t="shared" si="1141"/>
        <v>700</v>
      </c>
      <c r="X570" s="20">
        <f t="shared" si="1141"/>
        <v>8</v>
      </c>
      <c r="Y570" s="20">
        <v>0</v>
      </c>
      <c r="Z570" s="30">
        <v>0</v>
      </c>
      <c r="AA570" s="27">
        <v>0</v>
      </c>
      <c r="AB570" s="27">
        <v>0</v>
      </c>
      <c r="AC570" s="27">
        <v>0</v>
      </c>
      <c r="AD570" s="23">
        <f t="shared" ref="AD570:AE570" si="1142">AD540</f>
        <v>56</v>
      </c>
      <c r="AE570" s="23">
        <f t="shared" si="1142"/>
        <v>60</v>
      </c>
    </row>
    <row r="571" spans="1:31">
      <c r="A571" s="4">
        <v>11103</v>
      </c>
      <c r="B571" s="4">
        <v>30</v>
      </c>
      <c r="C571" s="29" t="s">
        <v>75</v>
      </c>
      <c r="D571" s="44">
        <f t="shared" si="1032"/>
        <v>1440</v>
      </c>
      <c r="E571" s="28">
        <v>0</v>
      </c>
      <c r="F571" s="28">
        <v>0</v>
      </c>
      <c r="G571" s="28">
        <v>0</v>
      </c>
      <c r="H571" s="47">
        <v>0</v>
      </c>
      <c r="I571" s="21">
        <f t="shared" si="1089"/>
        <v>440</v>
      </c>
      <c r="J571" s="21">
        <f t="shared" si="1043"/>
        <v>29</v>
      </c>
      <c r="K571" s="21">
        <v>0</v>
      </c>
      <c r="L571" s="20">
        <v>6</v>
      </c>
      <c r="M571" s="20">
        <v>0</v>
      </c>
      <c r="N571" s="20">
        <f t="shared" si="1090"/>
        <v>15000</v>
      </c>
      <c r="O571" s="19" t="s">
        <v>75</v>
      </c>
      <c r="P571" s="20">
        <v>861</v>
      </c>
      <c r="Q571" s="20">
        <f t="shared" ref="Q571:X571" si="1143">Q541</f>
        <v>1500</v>
      </c>
      <c r="R571" s="20">
        <f t="shared" si="1143"/>
        <v>6000</v>
      </c>
      <c r="S571" s="20">
        <f t="shared" si="1143"/>
        <v>10500</v>
      </c>
      <c r="T571" s="20">
        <f t="shared" si="1143"/>
        <v>13500</v>
      </c>
      <c r="U571" s="20">
        <f t="shared" si="1143"/>
        <v>20</v>
      </c>
      <c r="V571" s="20">
        <f t="shared" si="1143"/>
        <v>450</v>
      </c>
      <c r="W571" s="20">
        <f t="shared" si="1143"/>
        <v>1000</v>
      </c>
      <c r="X571" s="20">
        <f t="shared" si="1143"/>
        <v>8</v>
      </c>
      <c r="Y571" s="20">
        <v>0</v>
      </c>
      <c r="Z571" s="30">
        <v>0</v>
      </c>
      <c r="AA571" s="27">
        <v>0</v>
      </c>
      <c r="AB571" s="27">
        <v>0</v>
      </c>
      <c r="AC571" s="27">
        <v>0</v>
      </c>
      <c r="AD571" s="23">
        <f t="shared" ref="AD571:AE571" si="1144">AD541</f>
        <v>58</v>
      </c>
      <c r="AE571" s="23">
        <f t="shared" si="1144"/>
        <v>62</v>
      </c>
    </row>
    <row r="572" spans="1:31">
      <c r="A572" s="4">
        <v>11104</v>
      </c>
      <c r="B572" s="4">
        <v>1</v>
      </c>
      <c r="C572" s="19" t="s">
        <v>66</v>
      </c>
      <c r="D572" s="44">
        <f>ROUND(D122/2,0)</f>
        <v>162</v>
      </c>
      <c r="E572" s="18">
        <v>0</v>
      </c>
      <c r="F572" s="18">
        <v>0</v>
      </c>
      <c r="G572" s="18">
        <v>0</v>
      </c>
      <c r="H572" s="45">
        <v>0</v>
      </c>
      <c r="I572" s="21">
        <f t="shared" si="1089"/>
        <v>55</v>
      </c>
      <c r="J572" s="21">
        <f t="shared" si="1043"/>
        <v>0</v>
      </c>
      <c r="K572" s="21">
        <v>0</v>
      </c>
      <c r="L572" s="20">
        <v>45</v>
      </c>
      <c r="M572" s="20">
        <v>0</v>
      </c>
      <c r="N572" s="20">
        <f t="shared" si="1090"/>
        <v>10</v>
      </c>
      <c r="O572" s="19" t="s">
        <v>66</v>
      </c>
      <c r="P572" s="20">
        <v>9400</v>
      </c>
      <c r="Q572" s="20">
        <f t="shared" ref="Q572:X572" si="1145">Q542</f>
        <v>1</v>
      </c>
      <c r="R572" s="20">
        <f t="shared" si="1145"/>
        <v>4</v>
      </c>
      <c r="S572" s="20">
        <f t="shared" si="1145"/>
        <v>7</v>
      </c>
      <c r="T572" s="20">
        <f t="shared" si="1145"/>
        <v>9</v>
      </c>
      <c r="U572" s="20">
        <f t="shared" si="1145"/>
        <v>9400</v>
      </c>
      <c r="V572" s="20">
        <f t="shared" si="1145"/>
        <v>9400</v>
      </c>
      <c r="W572" s="20">
        <f t="shared" si="1145"/>
        <v>9400</v>
      </c>
      <c r="X572" s="20">
        <f t="shared" si="1145"/>
        <v>1</v>
      </c>
      <c r="Y572" s="20">
        <v>0</v>
      </c>
      <c r="Z572" s="22">
        <v>0</v>
      </c>
      <c r="AA572" s="20">
        <v>0</v>
      </c>
      <c r="AB572" s="20">
        <v>0</v>
      </c>
      <c r="AC572" s="20">
        <v>0</v>
      </c>
      <c r="AD572" s="23">
        <f t="shared" ref="AD572:AE572" si="1146">AD542</f>
        <v>1</v>
      </c>
      <c r="AE572" s="23">
        <f t="shared" si="1146"/>
        <v>3</v>
      </c>
    </row>
    <row r="573" spans="1:31">
      <c r="A573" s="4">
        <v>11104</v>
      </c>
      <c r="B573" s="4">
        <v>2</v>
      </c>
      <c r="C573" s="19" t="s">
        <v>67</v>
      </c>
      <c r="D573" s="44">
        <f>ROUND(D123/2,0)</f>
        <v>176</v>
      </c>
      <c r="E573" s="18">
        <v>0</v>
      </c>
      <c r="F573" s="18">
        <v>0</v>
      </c>
      <c r="G573" s="18">
        <v>0</v>
      </c>
      <c r="H573" s="45">
        <v>0</v>
      </c>
      <c r="I573" s="21">
        <f t="shared" si="1089"/>
        <v>55</v>
      </c>
      <c r="J573" s="21">
        <f t="shared" si="1043"/>
        <v>1</v>
      </c>
      <c r="K573" s="21">
        <v>0</v>
      </c>
      <c r="L573" s="20">
        <v>40</v>
      </c>
      <c r="M573" s="20">
        <v>0</v>
      </c>
      <c r="N573" s="20">
        <f t="shared" si="1090"/>
        <v>20</v>
      </c>
      <c r="O573" s="19" t="s">
        <v>67</v>
      </c>
      <c r="P573" s="20">
        <v>9100</v>
      </c>
      <c r="Q573" s="20">
        <f t="shared" ref="Q573:X573" si="1147">Q543</f>
        <v>2</v>
      </c>
      <c r="R573" s="20">
        <f t="shared" si="1147"/>
        <v>8</v>
      </c>
      <c r="S573" s="20">
        <f t="shared" si="1147"/>
        <v>14</v>
      </c>
      <c r="T573" s="20">
        <f t="shared" si="1147"/>
        <v>18</v>
      </c>
      <c r="U573" s="20">
        <f t="shared" si="1147"/>
        <v>4000</v>
      </c>
      <c r="V573" s="20">
        <f t="shared" si="1147"/>
        <v>8000</v>
      </c>
      <c r="W573" s="20">
        <f t="shared" si="1147"/>
        <v>8000</v>
      </c>
      <c r="X573" s="20">
        <f t="shared" si="1147"/>
        <v>1</v>
      </c>
      <c r="Y573" s="20">
        <v>0</v>
      </c>
      <c r="Z573" s="22">
        <v>0</v>
      </c>
      <c r="AA573" s="20">
        <v>0</v>
      </c>
      <c r="AB573" s="20">
        <v>0</v>
      </c>
      <c r="AC573" s="20">
        <v>0</v>
      </c>
      <c r="AD573" s="23">
        <f t="shared" ref="AD573:AE573" si="1148">AD543</f>
        <v>2</v>
      </c>
      <c r="AE573" s="23">
        <f t="shared" si="1148"/>
        <v>5</v>
      </c>
    </row>
    <row r="574" spans="1:31">
      <c r="A574" s="4">
        <v>11104</v>
      </c>
      <c r="B574" s="4">
        <v>3</v>
      </c>
      <c r="C574" s="19" t="s">
        <v>68</v>
      </c>
      <c r="D574" s="44">
        <f t="shared" ref="D574:D601" si="1149">ROUND(D124/2,0)</f>
        <v>189</v>
      </c>
      <c r="E574" s="18">
        <v>0</v>
      </c>
      <c r="F574" s="18">
        <v>0</v>
      </c>
      <c r="G574" s="18">
        <v>0</v>
      </c>
      <c r="H574" s="45">
        <v>0</v>
      </c>
      <c r="I574" s="21">
        <f t="shared" si="1089"/>
        <v>55</v>
      </c>
      <c r="J574" s="21">
        <f t="shared" si="1043"/>
        <v>2</v>
      </c>
      <c r="K574" s="21">
        <v>0</v>
      </c>
      <c r="L574" s="20">
        <v>35</v>
      </c>
      <c r="M574" s="20">
        <v>0</v>
      </c>
      <c r="N574" s="20">
        <f t="shared" si="1090"/>
        <v>40</v>
      </c>
      <c r="O574" s="19" t="s">
        <v>68</v>
      </c>
      <c r="P574" s="20">
        <v>8600</v>
      </c>
      <c r="Q574" s="20">
        <f t="shared" ref="Q574:X574" si="1150">Q544</f>
        <v>4</v>
      </c>
      <c r="R574" s="20">
        <f t="shared" si="1150"/>
        <v>16</v>
      </c>
      <c r="S574" s="20">
        <f t="shared" si="1150"/>
        <v>28</v>
      </c>
      <c r="T574" s="20">
        <f t="shared" si="1150"/>
        <v>36</v>
      </c>
      <c r="U574" s="20">
        <f t="shared" si="1150"/>
        <v>1600</v>
      </c>
      <c r="V574" s="20">
        <f t="shared" si="1150"/>
        <v>5000</v>
      </c>
      <c r="W574" s="20">
        <f t="shared" si="1150"/>
        <v>6000</v>
      </c>
      <c r="X574" s="20">
        <f t="shared" si="1150"/>
        <v>1</v>
      </c>
      <c r="Y574" s="20">
        <v>0</v>
      </c>
      <c r="Z574" s="22">
        <v>0</v>
      </c>
      <c r="AA574" s="20">
        <v>0</v>
      </c>
      <c r="AB574" s="20">
        <v>0</v>
      </c>
      <c r="AC574" s="20">
        <v>0</v>
      </c>
      <c r="AD574" s="23">
        <f t="shared" ref="AD574:AE574" si="1151">AD544</f>
        <v>4</v>
      </c>
      <c r="AE574" s="23">
        <f t="shared" si="1151"/>
        <v>8</v>
      </c>
    </row>
    <row r="575" spans="1:31">
      <c r="A575" s="4">
        <v>11104</v>
      </c>
      <c r="B575" s="4">
        <v>4</v>
      </c>
      <c r="C575" s="19" t="s">
        <v>69</v>
      </c>
      <c r="D575" s="44">
        <f t="shared" si="1149"/>
        <v>205</v>
      </c>
      <c r="E575" s="18">
        <v>0</v>
      </c>
      <c r="F575" s="18">
        <v>0</v>
      </c>
      <c r="G575" s="18">
        <v>0</v>
      </c>
      <c r="H575" s="45">
        <v>0</v>
      </c>
      <c r="I575" s="21">
        <f t="shared" si="1089"/>
        <v>55</v>
      </c>
      <c r="J575" s="21">
        <f t="shared" si="1043"/>
        <v>3</v>
      </c>
      <c r="K575" s="21">
        <v>0</v>
      </c>
      <c r="L575" s="20">
        <v>30</v>
      </c>
      <c r="M575" s="20">
        <v>0</v>
      </c>
      <c r="N575" s="20">
        <f t="shared" si="1090"/>
        <v>100</v>
      </c>
      <c r="O575" s="19" t="s">
        <v>69</v>
      </c>
      <c r="P575" s="20">
        <v>6400</v>
      </c>
      <c r="Q575" s="20">
        <f t="shared" ref="Q575:X575" si="1152">Q545</f>
        <v>10</v>
      </c>
      <c r="R575" s="20">
        <f t="shared" si="1152"/>
        <v>40</v>
      </c>
      <c r="S575" s="20">
        <f t="shared" si="1152"/>
        <v>70</v>
      </c>
      <c r="T575" s="20">
        <f t="shared" si="1152"/>
        <v>90</v>
      </c>
      <c r="U575" s="20">
        <f t="shared" si="1152"/>
        <v>900</v>
      </c>
      <c r="V575" s="20">
        <f t="shared" si="1152"/>
        <v>2000</v>
      </c>
      <c r="W575" s="20">
        <f t="shared" si="1152"/>
        <v>8000</v>
      </c>
      <c r="X575" s="20">
        <f t="shared" si="1152"/>
        <v>1</v>
      </c>
      <c r="Y575" s="20">
        <v>0</v>
      </c>
      <c r="Z575" s="22">
        <v>0</v>
      </c>
      <c r="AA575" s="20">
        <v>0</v>
      </c>
      <c r="AB575" s="20">
        <v>0</v>
      </c>
      <c r="AC575" s="20">
        <v>0</v>
      </c>
      <c r="AD575" s="23">
        <f t="shared" ref="AD575:AE575" si="1153">AD545</f>
        <v>6</v>
      </c>
      <c r="AE575" s="23">
        <f t="shared" si="1153"/>
        <v>10</v>
      </c>
    </row>
    <row r="576" spans="1:31">
      <c r="A576" s="4">
        <v>11104</v>
      </c>
      <c r="B576" s="4">
        <v>5</v>
      </c>
      <c r="C576" s="19" t="s">
        <v>70</v>
      </c>
      <c r="D576" s="44">
        <f t="shared" si="1149"/>
        <v>223</v>
      </c>
      <c r="E576" s="18">
        <v>0</v>
      </c>
      <c r="F576" s="18">
        <v>0</v>
      </c>
      <c r="G576" s="18">
        <v>0</v>
      </c>
      <c r="H576" s="45">
        <v>0</v>
      </c>
      <c r="I576" s="21">
        <f t="shared" si="1089"/>
        <v>110</v>
      </c>
      <c r="J576" s="21">
        <f t="shared" si="1043"/>
        <v>4</v>
      </c>
      <c r="K576" s="21">
        <v>0</v>
      </c>
      <c r="L576" s="20">
        <v>25</v>
      </c>
      <c r="M576" s="20">
        <v>0</v>
      </c>
      <c r="N576" s="20">
        <f t="shared" si="1090"/>
        <v>200</v>
      </c>
      <c r="O576" s="19" t="s">
        <v>70</v>
      </c>
      <c r="P576" s="20">
        <v>3100</v>
      </c>
      <c r="Q576" s="20">
        <f t="shared" ref="Q576:X576" si="1154">Q546</f>
        <v>20</v>
      </c>
      <c r="R576" s="20">
        <f t="shared" si="1154"/>
        <v>80</v>
      </c>
      <c r="S576" s="20">
        <f t="shared" si="1154"/>
        <v>140</v>
      </c>
      <c r="T576" s="20">
        <f t="shared" si="1154"/>
        <v>180</v>
      </c>
      <c r="U576" s="20">
        <f t="shared" si="1154"/>
        <v>1000</v>
      </c>
      <c r="V576" s="20">
        <f t="shared" si="1154"/>
        <v>2000</v>
      </c>
      <c r="W576" s="20">
        <f t="shared" si="1154"/>
        <v>2000</v>
      </c>
      <c r="X576" s="20">
        <f t="shared" si="1154"/>
        <v>2</v>
      </c>
      <c r="Y576" s="20">
        <v>0</v>
      </c>
      <c r="Z576" s="22">
        <v>0</v>
      </c>
      <c r="AA576" s="20">
        <v>0</v>
      </c>
      <c r="AB576" s="20">
        <v>0</v>
      </c>
      <c r="AC576" s="20">
        <v>0</v>
      </c>
      <c r="AD576" s="23">
        <f t="shared" ref="AD576:AE576" si="1155">AD546</f>
        <v>8</v>
      </c>
      <c r="AE576" s="23">
        <f t="shared" si="1155"/>
        <v>12</v>
      </c>
    </row>
    <row r="577" spans="1:31">
      <c r="A577" s="4">
        <v>11104</v>
      </c>
      <c r="B577" s="4">
        <v>6</v>
      </c>
      <c r="C577" s="19" t="s">
        <v>71</v>
      </c>
      <c r="D577" s="44">
        <f t="shared" si="1149"/>
        <v>241</v>
      </c>
      <c r="E577" s="18">
        <v>0</v>
      </c>
      <c r="F577" s="18">
        <v>0</v>
      </c>
      <c r="G577" s="18">
        <v>0</v>
      </c>
      <c r="H577" s="45">
        <v>0</v>
      </c>
      <c r="I577" s="21">
        <f t="shared" si="1089"/>
        <v>110</v>
      </c>
      <c r="J577" s="21">
        <f t="shared" si="1043"/>
        <v>5</v>
      </c>
      <c r="K577" s="21">
        <v>0</v>
      </c>
      <c r="L577" s="20">
        <v>20</v>
      </c>
      <c r="M577" s="20">
        <v>0</v>
      </c>
      <c r="N577" s="20">
        <f t="shared" si="1090"/>
        <v>500</v>
      </c>
      <c r="O577" s="19" t="s">
        <v>71</v>
      </c>
      <c r="P577" s="20">
        <v>1777</v>
      </c>
      <c r="Q577" s="20">
        <f t="shared" ref="Q577:X577" si="1156">Q547</f>
        <v>50</v>
      </c>
      <c r="R577" s="20">
        <f t="shared" si="1156"/>
        <v>200</v>
      </c>
      <c r="S577" s="20">
        <f t="shared" si="1156"/>
        <v>350</v>
      </c>
      <c r="T577" s="20">
        <f t="shared" si="1156"/>
        <v>450</v>
      </c>
      <c r="U577" s="20">
        <f t="shared" si="1156"/>
        <v>800</v>
      </c>
      <c r="V577" s="20">
        <f t="shared" si="1156"/>
        <v>800</v>
      </c>
      <c r="W577" s="20">
        <f t="shared" si="1156"/>
        <v>600</v>
      </c>
      <c r="X577" s="20">
        <f t="shared" si="1156"/>
        <v>2</v>
      </c>
      <c r="Y577" s="20">
        <v>0</v>
      </c>
      <c r="Z577" s="22">
        <v>0</v>
      </c>
      <c r="AA577" s="20">
        <v>0</v>
      </c>
      <c r="AB577" s="20">
        <v>0</v>
      </c>
      <c r="AC577" s="20">
        <v>0</v>
      </c>
      <c r="AD577" s="23">
        <f t="shared" ref="AD577:AE577" si="1157">AD547</f>
        <v>10</v>
      </c>
      <c r="AE577" s="23">
        <f t="shared" si="1157"/>
        <v>14</v>
      </c>
    </row>
    <row r="578" spans="1:31">
      <c r="A578" s="8">
        <v>11104</v>
      </c>
      <c r="B578" s="8">
        <v>7</v>
      </c>
      <c r="C578" s="19" t="s">
        <v>72</v>
      </c>
      <c r="D578" s="44">
        <f t="shared" si="1149"/>
        <v>261</v>
      </c>
      <c r="E578" s="18">
        <v>0</v>
      </c>
      <c r="F578" s="18">
        <v>0</v>
      </c>
      <c r="G578" s="18">
        <v>0</v>
      </c>
      <c r="H578" s="45">
        <v>0</v>
      </c>
      <c r="I578" s="21">
        <f t="shared" si="1089"/>
        <v>110</v>
      </c>
      <c r="J578" s="21">
        <f t="shared" si="1043"/>
        <v>6</v>
      </c>
      <c r="K578" s="21">
        <v>0</v>
      </c>
      <c r="L578" s="20">
        <v>16</v>
      </c>
      <c r="M578" s="20">
        <v>0</v>
      </c>
      <c r="N578" s="20">
        <f t="shared" si="1090"/>
        <v>700</v>
      </c>
      <c r="O578" s="19" t="s">
        <v>72</v>
      </c>
      <c r="P578" s="20">
        <v>2332</v>
      </c>
      <c r="Q578" s="20">
        <f t="shared" ref="Q578:X578" si="1158">Q548</f>
        <v>70</v>
      </c>
      <c r="R578" s="20">
        <f t="shared" si="1158"/>
        <v>280</v>
      </c>
      <c r="S578" s="20">
        <f t="shared" si="1158"/>
        <v>489.99999999999994</v>
      </c>
      <c r="T578" s="20">
        <f t="shared" si="1158"/>
        <v>630</v>
      </c>
      <c r="U578" s="20">
        <f t="shared" si="1158"/>
        <v>650</v>
      </c>
      <c r="V578" s="20">
        <f t="shared" si="1158"/>
        <v>800</v>
      </c>
      <c r="W578" s="20">
        <f t="shared" si="1158"/>
        <v>300</v>
      </c>
      <c r="X578" s="20">
        <f t="shared" si="1158"/>
        <v>2</v>
      </c>
      <c r="Y578" s="20">
        <v>0</v>
      </c>
      <c r="Z578" s="22">
        <v>0</v>
      </c>
      <c r="AA578" s="20">
        <v>0</v>
      </c>
      <c r="AB578" s="20">
        <v>0</v>
      </c>
      <c r="AC578" s="20">
        <v>0</v>
      </c>
      <c r="AD578" s="23">
        <f t="shared" ref="AD578:AE578" si="1159">AD548</f>
        <v>12</v>
      </c>
      <c r="AE578" s="23">
        <f t="shared" si="1159"/>
        <v>16</v>
      </c>
    </row>
    <row r="579" spans="1:31">
      <c r="A579" s="4">
        <v>11104</v>
      </c>
      <c r="B579" s="4">
        <v>8</v>
      </c>
      <c r="C579" s="19" t="s">
        <v>73</v>
      </c>
      <c r="D579" s="44">
        <f t="shared" si="1149"/>
        <v>284</v>
      </c>
      <c r="E579" s="18">
        <v>0</v>
      </c>
      <c r="F579" s="18">
        <v>0</v>
      </c>
      <c r="G579" s="18">
        <v>0</v>
      </c>
      <c r="H579" s="45">
        <v>0</v>
      </c>
      <c r="I579" s="21">
        <f t="shared" si="1089"/>
        <v>110</v>
      </c>
      <c r="J579" s="21">
        <f t="shared" si="1043"/>
        <v>7</v>
      </c>
      <c r="K579" s="21">
        <v>0</v>
      </c>
      <c r="L579" s="20">
        <v>12</v>
      </c>
      <c r="M579" s="20">
        <v>0</v>
      </c>
      <c r="N579" s="20">
        <f t="shared" si="1090"/>
        <v>800</v>
      </c>
      <c r="O579" s="19" t="s">
        <v>73</v>
      </c>
      <c r="P579" s="20">
        <v>1487</v>
      </c>
      <c r="Q579" s="20">
        <f t="shared" ref="Q579:X579" si="1160">Q549</f>
        <v>80</v>
      </c>
      <c r="R579" s="20">
        <f t="shared" si="1160"/>
        <v>320</v>
      </c>
      <c r="S579" s="20">
        <f t="shared" si="1160"/>
        <v>560</v>
      </c>
      <c r="T579" s="20">
        <f t="shared" si="1160"/>
        <v>720</v>
      </c>
      <c r="U579" s="20">
        <f t="shared" si="1160"/>
        <v>200</v>
      </c>
      <c r="V579" s="20">
        <f t="shared" si="1160"/>
        <v>2000</v>
      </c>
      <c r="W579" s="20">
        <f t="shared" si="1160"/>
        <v>1000</v>
      </c>
      <c r="X579" s="20">
        <f t="shared" si="1160"/>
        <v>2</v>
      </c>
      <c r="Y579" s="20">
        <v>0</v>
      </c>
      <c r="Z579" s="22">
        <v>0</v>
      </c>
      <c r="AA579" s="20">
        <f>INT(AA599*0.2)</f>
        <v>37</v>
      </c>
      <c r="AB579" s="20">
        <v>0</v>
      </c>
      <c r="AC579" s="20">
        <v>0</v>
      </c>
      <c r="AD579" s="23">
        <f t="shared" ref="AD579:AE579" si="1161">AD549</f>
        <v>14</v>
      </c>
      <c r="AE579" s="23">
        <f t="shared" si="1161"/>
        <v>18</v>
      </c>
    </row>
    <row r="580" spans="1:31">
      <c r="A580" s="4">
        <v>11104</v>
      </c>
      <c r="B580" s="4">
        <v>9</v>
      </c>
      <c r="C580" s="19" t="s">
        <v>74</v>
      </c>
      <c r="D580" s="44">
        <f t="shared" si="1149"/>
        <v>306</v>
      </c>
      <c r="E580" s="18">
        <v>0</v>
      </c>
      <c r="F580" s="18">
        <v>0</v>
      </c>
      <c r="G580" s="18">
        <v>0</v>
      </c>
      <c r="H580" s="45">
        <v>0</v>
      </c>
      <c r="I580" s="21">
        <f t="shared" si="1089"/>
        <v>165</v>
      </c>
      <c r="J580" s="21">
        <f t="shared" si="1043"/>
        <v>8</v>
      </c>
      <c r="K580" s="21">
        <v>0</v>
      </c>
      <c r="L580" s="20">
        <v>8</v>
      </c>
      <c r="M580" s="20">
        <v>0</v>
      </c>
      <c r="N580" s="20">
        <f t="shared" si="1090"/>
        <v>900</v>
      </c>
      <c r="O580" s="19" t="s">
        <v>74</v>
      </c>
      <c r="P580" s="20">
        <v>1518</v>
      </c>
      <c r="Q580" s="20">
        <f t="shared" ref="Q580:X580" si="1162">Q550</f>
        <v>90</v>
      </c>
      <c r="R580" s="20">
        <f t="shared" si="1162"/>
        <v>360</v>
      </c>
      <c r="S580" s="20">
        <f t="shared" si="1162"/>
        <v>630</v>
      </c>
      <c r="T580" s="20">
        <f t="shared" si="1162"/>
        <v>810</v>
      </c>
      <c r="U580" s="20">
        <f t="shared" si="1162"/>
        <v>120</v>
      </c>
      <c r="V580" s="20">
        <f t="shared" si="1162"/>
        <v>1500</v>
      </c>
      <c r="W580" s="20">
        <f t="shared" si="1162"/>
        <v>1000</v>
      </c>
      <c r="X580" s="20">
        <f t="shared" si="1162"/>
        <v>3</v>
      </c>
      <c r="Y580" s="20">
        <v>0</v>
      </c>
      <c r="Z580" s="22">
        <v>0</v>
      </c>
      <c r="AA580" s="20">
        <v>0</v>
      </c>
      <c r="AB580" s="20">
        <v>0</v>
      </c>
      <c r="AC580" s="20">
        <v>0</v>
      </c>
      <c r="AD580" s="23">
        <f t="shared" ref="AD580:AE580" si="1163">AD550</f>
        <v>16</v>
      </c>
      <c r="AE580" s="23">
        <f t="shared" si="1163"/>
        <v>20</v>
      </c>
    </row>
    <row r="581" spans="1:31">
      <c r="A581" s="4">
        <v>11104</v>
      </c>
      <c r="B581" s="4">
        <v>10</v>
      </c>
      <c r="C581" s="19" t="s">
        <v>75</v>
      </c>
      <c r="D581" s="44">
        <f t="shared" si="1149"/>
        <v>331</v>
      </c>
      <c r="E581" s="18">
        <v>0</v>
      </c>
      <c r="F581" s="18">
        <v>0</v>
      </c>
      <c r="G581" s="18">
        <v>0</v>
      </c>
      <c r="H581" s="45">
        <v>0</v>
      </c>
      <c r="I581" s="21">
        <f t="shared" si="1089"/>
        <v>165</v>
      </c>
      <c r="J581" s="21">
        <f t="shared" si="1043"/>
        <v>9</v>
      </c>
      <c r="K581" s="21">
        <v>0</v>
      </c>
      <c r="L581" s="20">
        <v>6</v>
      </c>
      <c r="M581" s="20">
        <v>0</v>
      </c>
      <c r="N581" s="20">
        <f t="shared" si="1090"/>
        <v>2000</v>
      </c>
      <c r="O581" s="19" t="s">
        <v>75</v>
      </c>
      <c r="P581" s="20">
        <v>861</v>
      </c>
      <c r="Q581" s="20">
        <f t="shared" ref="Q581:X581" si="1164">Q551</f>
        <v>200</v>
      </c>
      <c r="R581" s="20">
        <f t="shared" si="1164"/>
        <v>800</v>
      </c>
      <c r="S581" s="20">
        <f t="shared" si="1164"/>
        <v>1400</v>
      </c>
      <c r="T581" s="20">
        <f t="shared" si="1164"/>
        <v>1800</v>
      </c>
      <c r="U581" s="20">
        <f t="shared" si="1164"/>
        <v>150</v>
      </c>
      <c r="V581" s="20">
        <f t="shared" si="1164"/>
        <v>5000</v>
      </c>
      <c r="W581" s="20">
        <f t="shared" si="1164"/>
        <v>800</v>
      </c>
      <c r="X581" s="20">
        <f t="shared" si="1164"/>
        <v>3</v>
      </c>
      <c r="Y581" s="20">
        <v>0</v>
      </c>
      <c r="Z581" s="22">
        <v>0</v>
      </c>
      <c r="AA581" s="20">
        <v>0</v>
      </c>
      <c r="AB581" s="20">
        <v>0</v>
      </c>
      <c r="AC581" s="20">
        <v>0</v>
      </c>
      <c r="AD581" s="23">
        <f t="shared" ref="AD581:AE581" si="1165">AD551</f>
        <v>18</v>
      </c>
      <c r="AE581" s="23">
        <f t="shared" si="1165"/>
        <v>22</v>
      </c>
    </row>
    <row r="582" spans="1:31">
      <c r="A582" s="4">
        <v>11104</v>
      </c>
      <c r="B582" s="4">
        <v>11</v>
      </c>
      <c r="C582" s="19" t="s">
        <v>66</v>
      </c>
      <c r="D582" s="44">
        <f t="shared" si="1149"/>
        <v>358</v>
      </c>
      <c r="E582" s="18">
        <v>0</v>
      </c>
      <c r="F582" s="18">
        <v>0</v>
      </c>
      <c r="G582" s="18">
        <v>0</v>
      </c>
      <c r="H582" s="45">
        <v>0</v>
      </c>
      <c r="I582" s="21">
        <f t="shared" si="1089"/>
        <v>165</v>
      </c>
      <c r="J582" s="21">
        <f t="shared" si="1043"/>
        <v>10</v>
      </c>
      <c r="K582" s="21">
        <v>0</v>
      </c>
      <c r="L582" s="20">
        <v>6</v>
      </c>
      <c r="M582" s="20">
        <v>0</v>
      </c>
      <c r="N582" s="20">
        <f t="shared" si="1090"/>
        <v>2200</v>
      </c>
      <c r="O582" s="19" t="s">
        <v>66</v>
      </c>
      <c r="P582" s="20">
        <v>9400</v>
      </c>
      <c r="Q582" s="20">
        <f t="shared" ref="Q582:X582" si="1166">Q552</f>
        <v>220</v>
      </c>
      <c r="R582" s="20">
        <f t="shared" si="1166"/>
        <v>880</v>
      </c>
      <c r="S582" s="20">
        <f t="shared" si="1166"/>
        <v>1540</v>
      </c>
      <c r="T582" s="20">
        <f t="shared" si="1166"/>
        <v>1980</v>
      </c>
      <c r="U582" s="20">
        <f t="shared" si="1166"/>
        <v>100</v>
      </c>
      <c r="V582" s="20">
        <f t="shared" si="1166"/>
        <v>800</v>
      </c>
      <c r="W582" s="20">
        <f t="shared" si="1166"/>
        <v>600</v>
      </c>
      <c r="X582" s="20">
        <f t="shared" si="1166"/>
        <v>3</v>
      </c>
      <c r="Y582" s="20">
        <v>0</v>
      </c>
      <c r="Z582" s="22">
        <v>0</v>
      </c>
      <c r="AA582" s="20">
        <v>0</v>
      </c>
      <c r="AB582" s="20">
        <v>0</v>
      </c>
      <c r="AC582" s="20">
        <v>0</v>
      </c>
      <c r="AD582" s="23">
        <f t="shared" ref="AD582:AE582" si="1167">AD552</f>
        <v>20</v>
      </c>
      <c r="AE582" s="23">
        <f t="shared" si="1167"/>
        <v>24</v>
      </c>
    </row>
    <row r="583" spans="1:31">
      <c r="A583" s="4">
        <v>11104</v>
      </c>
      <c r="B583" s="4">
        <v>12</v>
      </c>
      <c r="C583" s="19" t="s">
        <v>67</v>
      </c>
      <c r="D583" s="44">
        <f t="shared" si="1149"/>
        <v>387</v>
      </c>
      <c r="E583" s="18">
        <v>0</v>
      </c>
      <c r="F583" s="18">
        <v>0</v>
      </c>
      <c r="G583" s="18">
        <v>0</v>
      </c>
      <c r="H583" s="45">
        <v>0</v>
      </c>
      <c r="I583" s="21">
        <f t="shared" si="1089"/>
        <v>165</v>
      </c>
      <c r="J583" s="21">
        <f t="shared" si="1043"/>
        <v>11</v>
      </c>
      <c r="K583" s="21">
        <v>0</v>
      </c>
      <c r="L583" s="20">
        <v>6</v>
      </c>
      <c r="M583" s="20">
        <v>0</v>
      </c>
      <c r="N583" s="20">
        <f t="shared" si="1090"/>
        <v>2400</v>
      </c>
      <c r="O583" s="19" t="s">
        <v>67</v>
      </c>
      <c r="P583" s="20">
        <v>9100</v>
      </c>
      <c r="Q583" s="20">
        <f t="shared" ref="Q583:X583" si="1168">Q553</f>
        <v>240</v>
      </c>
      <c r="R583" s="20">
        <f t="shared" si="1168"/>
        <v>960</v>
      </c>
      <c r="S583" s="20">
        <f t="shared" si="1168"/>
        <v>1680</v>
      </c>
      <c r="T583" s="20">
        <f t="shared" si="1168"/>
        <v>2160</v>
      </c>
      <c r="U583" s="20">
        <f t="shared" si="1168"/>
        <v>150</v>
      </c>
      <c r="V583" s="20">
        <f t="shared" si="1168"/>
        <v>700</v>
      </c>
      <c r="W583" s="20">
        <f t="shared" si="1168"/>
        <v>900</v>
      </c>
      <c r="X583" s="20">
        <f t="shared" si="1168"/>
        <v>3</v>
      </c>
      <c r="Y583" s="20">
        <v>0</v>
      </c>
      <c r="Z583" s="22">
        <v>0</v>
      </c>
      <c r="AA583" s="20">
        <v>0</v>
      </c>
      <c r="AB583" s="20">
        <v>0</v>
      </c>
      <c r="AC583" s="20">
        <v>0</v>
      </c>
      <c r="AD583" s="23">
        <f t="shared" ref="AD583:AE583" si="1169">AD553</f>
        <v>22</v>
      </c>
      <c r="AE583" s="23">
        <f t="shared" si="1169"/>
        <v>26</v>
      </c>
    </row>
    <row r="584" spans="1:31">
      <c r="A584" s="4">
        <v>11104</v>
      </c>
      <c r="B584" s="4">
        <v>13</v>
      </c>
      <c r="C584" s="19" t="s">
        <v>68</v>
      </c>
      <c r="D584" s="44">
        <f t="shared" si="1149"/>
        <v>421</v>
      </c>
      <c r="E584" s="18">
        <v>0</v>
      </c>
      <c r="F584" s="18">
        <v>0</v>
      </c>
      <c r="G584" s="18">
        <v>0</v>
      </c>
      <c r="H584" s="45">
        <v>0</v>
      </c>
      <c r="I584" s="21">
        <f t="shared" si="1089"/>
        <v>220</v>
      </c>
      <c r="J584" s="21">
        <f t="shared" si="1043"/>
        <v>12</v>
      </c>
      <c r="K584" s="21">
        <v>0</v>
      </c>
      <c r="L584" s="20">
        <v>6</v>
      </c>
      <c r="M584" s="20">
        <v>0</v>
      </c>
      <c r="N584" s="20">
        <f t="shared" si="1090"/>
        <v>2600</v>
      </c>
      <c r="O584" s="19" t="s">
        <v>68</v>
      </c>
      <c r="P584" s="20">
        <v>8600</v>
      </c>
      <c r="Q584" s="20">
        <f t="shared" ref="Q584:X584" si="1170">Q554</f>
        <v>260</v>
      </c>
      <c r="R584" s="20">
        <f t="shared" si="1170"/>
        <v>1040</v>
      </c>
      <c r="S584" s="20">
        <f t="shared" si="1170"/>
        <v>1819.9999999999998</v>
      </c>
      <c r="T584" s="20">
        <f t="shared" si="1170"/>
        <v>2340</v>
      </c>
      <c r="U584" s="20">
        <f t="shared" si="1170"/>
        <v>100</v>
      </c>
      <c r="V584" s="20">
        <f t="shared" si="1170"/>
        <v>700</v>
      </c>
      <c r="W584" s="20">
        <f t="shared" si="1170"/>
        <v>1000</v>
      </c>
      <c r="X584" s="20">
        <f t="shared" si="1170"/>
        <v>4</v>
      </c>
      <c r="Y584" s="20">
        <v>0</v>
      </c>
      <c r="Z584" s="22">
        <v>0</v>
      </c>
      <c r="AA584" s="20">
        <f>INT(AA599*0.4)</f>
        <v>75</v>
      </c>
      <c r="AB584" s="20">
        <v>0</v>
      </c>
      <c r="AC584" s="20">
        <v>0</v>
      </c>
      <c r="AD584" s="23">
        <f t="shared" ref="AD584:AE584" si="1171">AD554</f>
        <v>24</v>
      </c>
      <c r="AE584" s="23">
        <f t="shared" si="1171"/>
        <v>28</v>
      </c>
    </row>
    <row r="585" spans="1:31">
      <c r="A585" s="4">
        <v>11104</v>
      </c>
      <c r="B585" s="4">
        <v>14</v>
      </c>
      <c r="C585" s="19" t="s">
        <v>69</v>
      </c>
      <c r="D585" s="44">
        <f t="shared" si="1149"/>
        <v>455</v>
      </c>
      <c r="E585" s="18">
        <v>0</v>
      </c>
      <c r="F585" s="18">
        <v>0</v>
      </c>
      <c r="G585" s="18">
        <v>0</v>
      </c>
      <c r="H585" s="45">
        <v>0</v>
      </c>
      <c r="I585" s="21">
        <f t="shared" si="1089"/>
        <v>220</v>
      </c>
      <c r="J585" s="21">
        <f t="shared" si="1043"/>
        <v>13</v>
      </c>
      <c r="K585" s="21">
        <v>0</v>
      </c>
      <c r="L585" s="20">
        <v>6</v>
      </c>
      <c r="M585" s="20">
        <v>0</v>
      </c>
      <c r="N585" s="20">
        <f t="shared" si="1090"/>
        <v>2800</v>
      </c>
      <c r="O585" s="19" t="s">
        <v>69</v>
      </c>
      <c r="P585" s="20">
        <v>6400</v>
      </c>
      <c r="Q585" s="20">
        <f t="shared" ref="Q585:X585" si="1172">Q555</f>
        <v>280</v>
      </c>
      <c r="R585" s="20">
        <f t="shared" si="1172"/>
        <v>1120</v>
      </c>
      <c r="S585" s="20">
        <f t="shared" si="1172"/>
        <v>1959.9999999999998</v>
      </c>
      <c r="T585" s="20">
        <f t="shared" si="1172"/>
        <v>2520</v>
      </c>
      <c r="U585" s="20">
        <f t="shared" si="1172"/>
        <v>100</v>
      </c>
      <c r="V585" s="20">
        <f t="shared" si="1172"/>
        <v>400</v>
      </c>
      <c r="W585" s="20">
        <f t="shared" si="1172"/>
        <v>1200</v>
      </c>
      <c r="X585" s="20">
        <f t="shared" si="1172"/>
        <v>4</v>
      </c>
      <c r="Y585" s="20">
        <v>0</v>
      </c>
      <c r="Z585" s="22">
        <v>0</v>
      </c>
      <c r="AA585" s="20">
        <v>0</v>
      </c>
      <c r="AB585" s="20">
        <v>0</v>
      </c>
      <c r="AC585" s="20">
        <v>0</v>
      </c>
      <c r="AD585" s="23">
        <f t="shared" ref="AD585:AE585" si="1173">AD555</f>
        <v>26</v>
      </c>
      <c r="AE585" s="23">
        <f t="shared" si="1173"/>
        <v>30</v>
      </c>
    </row>
    <row r="586" spans="1:31">
      <c r="A586" s="4">
        <v>11104</v>
      </c>
      <c r="B586" s="4">
        <v>15</v>
      </c>
      <c r="C586" s="19" t="s">
        <v>70</v>
      </c>
      <c r="D586" s="44">
        <f t="shared" si="1149"/>
        <v>493</v>
      </c>
      <c r="E586" s="18">
        <v>0</v>
      </c>
      <c r="F586" s="18">
        <v>0</v>
      </c>
      <c r="G586" s="18">
        <v>0</v>
      </c>
      <c r="H586" s="45">
        <v>0</v>
      </c>
      <c r="I586" s="21">
        <f t="shared" si="1089"/>
        <v>220</v>
      </c>
      <c r="J586" s="21">
        <f t="shared" si="1043"/>
        <v>14</v>
      </c>
      <c r="K586" s="21">
        <v>0</v>
      </c>
      <c r="L586" s="20">
        <v>6</v>
      </c>
      <c r="M586" s="20">
        <v>0</v>
      </c>
      <c r="N586" s="20">
        <f t="shared" si="1090"/>
        <v>4500</v>
      </c>
      <c r="O586" s="19" t="s">
        <v>70</v>
      </c>
      <c r="P586" s="20">
        <v>3100</v>
      </c>
      <c r="Q586" s="20">
        <f t="shared" ref="Q586:X586" si="1174">Q556</f>
        <v>450</v>
      </c>
      <c r="R586" s="20">
        <f t="shared" si="1174"/>
        <v>1800</v>
      </c>
      <c r="S586" s="20">
        <f t="shared" si="1174"/>
        <v>3150</v>
      </c>
      <c r="T586" s="20">
        <f t="shared" si="1174"/>
        <v>4050</v>
      </c>
      <c r="U586" s="20">
        <f t="shared" si="1174"/>
        <v>100</v>
      </c>
      <c r="V586" s="20">
        <f t="shared" si="1174"/>
        <v>1000</v>
      </c>
      <c r="W586" s="20">
        <f t="shared" si="1174"/>
        <v>600</v>
      </c>
      <c r="X586" s="20">
        <f t="shared" si="1174"/>
        <v>4</v>
      </c>
      <c r="Y586" s="20">
        <v>0</v>
      </c>
      <c r="Z586" s="22">
        <v>0</v>
      </c>
      <c r="AA586" s="20">
        <v>0</v>
      </c>
      <c r="AB586" s="20">
        <v>0</v>
      </c>
      <c r="AC586" s="20">
        <v>0</v>
      </c>
      <c r="AD586" s="23">
        <f t="shared" ref="AD586:AE586" si="1175">AD556</f>
        <v>28</v>
      </c>
      <c r="AE586" s="23">
        <f t="shared" si="1175"/>
        <v>32</v>
      </c>
    </row>
    <row r="587" spans="1:31">
      <c r="A587" s="4">
        <v>11104</v>
      </c>
      <c r="B587" s="4">
        <v>16</v>
      </c>
      <c r="C587" s="19" t="s">
        <v>71</v>
      </c>
      <c r="D587" s="44">
        <f t="shared" si="1149"/>
        <v>534</v>
      </c>
      <c r="E587" s="18">
        <v>0</v>
      </c>
      <c r="F587" s="18">
        <v>0</v>
      </c>
      <c r="G587" s="18">
        <v>0</v>
      </c>
      <c r="H587" s="45">
        <v>0</v>
      </c>
      <c r="I587" s="21">
        <f t="shared" si="1089"/>
        <v>220</v>
      </c>
      <c r="J587" s="21">
        <f t="shared" ref="J587:J650" si="1176">B587-1</f>
        <v>15</v>
      </c>
      <c r="K587" s="21">
        <v>0</v>
      </c>
      <c r="L587" s="20">
        <v>6</v>
      </c>
      <c r="M587" s="20">
        <v>0</v>
      </c>
      <c r="N587" s="20">
        <f t="shared" si="1090"/>
        <v>4800</v>
      </c>
      <c r="O587" s="19" t="s">
        <v>71</v>
      </c>
      <c r="P587" s="20">
        <v>1777</v>
      </c>
      <c r="Q587" s="20">
        <f t="shared" ref="Q587:X587" si="1177">Q557</f>
        <v>480</v>
      </c>
      <c r="R587" s="20">
        <f t="shared" si="1177"/>
        <v>1920</v>
      </c>
      <c r="S587" s="20">
        <f t="shared" si="1177"/>
        <v>3360</v>
      </c>
      <c r="T587" s="20">
        <f t="shared" si="1177"/>
        <v>4320</v>
      </c>
      <c r="U587" s="20">
        <f t="shared" si="1177"/>
        <v>100</v>
      </c>
      <c r="V587" s="20">
        <f t="shared" si="1177"/>
        <v>800</v>
      </c>
      <c r="W587" s="20">
        <f t="shared" si="1177"/>
        <v>800</v>
      </c>
      <c r="X587" s="20">
        <f t="shared" si="1177"/>
        <v>4</v>
      </c>
      <c r="Y587" s="20">
        <v>0</v>
      </c>
      <c r="Z587" s="22">
        <v>0</v>
      </c>
      <c r="AA587" s="20">
        <v>0</v>
      </c>
      <c r="AB587" s="20">
        <v>0</v>
      </c>
      <c r="AC587" s="20">
        <v>0</v>
      </c>
      <c r="AD587" s="23">
        <f t="shared" ref="AD587:AE587" si="1178">AD557</f>
        <v>30</v>
      </c>
      <c r="AE587" s="23">
        <f t="shared" si="1178"/>
        <v>34</v>
      </c>
    </row>
    <row r="588" spans="1:31">
      <c r="A588" s="4">
        <v>11104</v>
      </c>
      <c r="B588" s="4">
        <v>17</v>
      </c>
      <c r="C588" s="19" t="s">
        <v>72</v>
      </c>
      <c r="D588" s="44">
        <f t="shared" si="1149"/>
        <v>576</v>
      </c>
      <c r="E588" s="18">
        <v>0</v>
      </c>
      <c r="F588" s="18">
        <v>0</v>
      </c>
      <c r="G588" s="18">
        <v>0</v>
      </c>
      <c r="H588" s="45">
        <v>0</v>
      </c>
      <c r="I588" s="21">
        <f t="shared" si="1089"/>
        <v>275</v>
      </c>
      <c r="J588" s="21">
        <f t="shared" si="1176"/>
        <v>16</v>
      </c>
      <c r="K588" s="21">
        <v>0</v>
      </c>
      <c r="L588" s="20">
        <v>6</v>
      </c>
      <c r="M588" s="20">
        <v>0</v>
      </c>
      <c r="N588" s="20">
        <f t="shared" si="1090"/>
        <v>5100</v>
      </c>
      <c r="O588" s="19" t="s">
        <v>72</v>
      </c>
      <c r="P588" s="20">
        <v>2332</v>
      </c>
      <c r="Q588" s="20">
        <f t="shared" ref="Q588:X588" si="1179">Q558</f>
        <v>510</v>
      </c>
      <c r="R588" s="20">
        <f t="shared" si="1179"/>
        <v>2040</v>
      </c>
      <c r="S588" s="20">
        <f t="shared" si="1179"/>
        <v>3570</v>
      </c>
      <c r="T588" s="20">
        <f t="shared" si="1179"/>
        <v>4590</v>
      </c>
      <c r="U588" s="20">
        <f t="shared" si="1179"/>
        <v>80</v>
      </c>
      <c r="V588" s="20">
        <f t="shared" si="1179"/>
        <v>800</v>
      </c>
      <c r="W588" s="20">
        <f t="shared" si="1179"/>
        <v>600</v>
      </c>
      <c r="X588" s="20">
        <f t="shared" si="1179"/>
        <v>5</v>
      </c>
      <c r="Y588" s="20">
        <v>0</v>
      </c>
      <c r="Z588" s="22">
        <v>0</v>
      </c>
      <c r="AA588" s="20">
        <v>0</v>
      </c>
      <c r="AB588" s="20">
        <v>0</v>
      </c>
      <c r="AC588" s="20">
        <v>0</v>
      </c>
      <c r="AD588" s="23">
        <f t="shared" ref="AD588:AE588" si="1180">AD558</f>
        <v>32</v>
      </c>
      <c r="AE588" s="23">
        <f t="shared" si="1180"/>
        <v>36</v>
      </c>
    </row>
    <row r="589" spans="1:31">
      <c r="A589" s="4">
        <v>11104</v>
      </c>
      <c r="B589" s="4">
        <v>18</v>
      </c>
      <c r="C589" s="19" t="s">
        <v>73</v>
      </c>
      <c r="D589" s="44">
        <f t="shared" si="1149"/>
        <v>626</v>
      </c>
      <c r="E589" s="18">
        <v>0</v>
      </c>
      <c r="F589" s="18">
        <v>0</v>
      </c>
      <c r="G589" s="18">
        <v>0</v>
      </c>
      <c r="H589" s="45">
        <v>0</v>
      </c>
      <c r="I589" s="21">
        <f t="shared" si="1089"/>
        <v>275</v>
      </c>
      <c r="J589" s="21">
        <f t="shared" si="1176"/>
        <v>17</v>
      </c>
      <c r="K589" s="21">
        <v>0</v>
      </c>
      <c r="L589" s="20">
        <v>6</v>
      </c>
      <c r="M589" s="20">
        <v>0</v>
      </c>
      <c r="N589" s="20">
        <f t="shared" si="1090"/>
        <v>5400</v>
      </c>
      <c r="O589" s="19" t="s">
        <v>73</v>
      </c>
      <c r="P589" s="20">
        <v>1487</v>
      </c>
      <c r="Q589" s="20">
        <f t="shared" ref="Q589:X589" si="1181">Q559</f>
        <v>540</v>
      </c>
      <c r="R589" s="20">
        <f t="shared" si="1181"/>
        <v>2160</v>
      </c>
      <c r="S589" s="20">
        <f t="shared" si="1181"/>
        <v>3779.9999999999995</v>
      </c>
      <c r="T589" s="20">
        <f t="shared" si="1181"/>
        <v>4860</v>
      </c>
      <c r="U589" s="20">
        <f t="shared" si="1181"/>
        <v>100</v>
      </c>
      <c r="V589" s="20">
        <f t="shared" si="1181"/>
        <v>600</v>
      </c>
      <c r="W589" s="20">
        <f t="shared" si="1181"/>
        <v>300</v>
      </c>
      <c r="X589" s="20">
        <f t="shared" si="1181"/>
        <v>5</v>
      </c>
      <c r="Y589" s="20">
        <v>0</v>
      </c>
      <c r="Z589" s="22">
        <v>0</v>
      </c>
      <c r="AA589" s="20">
        <f>INT(AA599*0.6)</f>
        <v>113</v>
      </c>
      <c r="AB589" s="20">
        <v>0</v>
      </c>
      <c r="AC589" s="20">
        <v>0</v>
      </c>
      <c r="AD589" s="23">
        <f t="shared" ref="AD589:AE589" si="1182">AD559</f>
        <v>34</v>
      </c>
      <c r="AE589" s="23">
        <f t="shared" si="1182"/>
        <v>38</v>
      </c>
    </row>
    <row r="590" spans="1:31">
      <c r="A590" s="8">
        <v>11104</v>
      </c>
      <c r="B590" s="8">
        <v>19</v>
      </c>
      <c r="C590" s="19" t="s">
        <v>74</v>
      </c>
      <c r="D590" s="44">
        <f t="shared" si="1149"/>
        <v>678</v>
      </c>
      <c r="E590" s="18">
        <v>0</v>
      </c>
      <c r="F590" s="18">
        <v>0</v>
      </c>
      <c r="G590" s="18">
        <v>0</v>
      </c>
      <c r="H590" s="45">
        <v>0</v>
      </c>
      <c r="I590" s="21">
        <f t="shared" si="1089"/>
        <v>275</v>
      </c>
      <c r="J590" s="21">
        <f t="shared" si="1176"/>
        <v>18</v>
      </c>
      <c r="K590" s="21">
        <v>0</v>
      </c>
      <c r="L590" s="20">
        <v>6</v>
      </c>
      <c r="M590" s="20">
        <v>0</v>
      </c>
      <c r="N590" s="20">
        <f t="shared" si="1090"/>
        <v>5700</v>
      </c>
      <c r="O590" s="19" t="s">
        <v>74</v>
      </c>
      <c r="P590" s="20">
        <v>1518</v>
      </c>
      <c r="Q590" s="20">
        <f t="shared" ref="Q590:X590" si="1183">Q560</f>
        <v>570</v>
      </c>
      <c r="R590" s="20">
        <f t="shared" si="1183"/>
        <v>2280</v>
      </c>
      <c r="S590" s="20">
        <f t="shared" si="1183"/>
        <v>3989.9999999999995</v>
      </c>
      <c r="T590" s="20">
        <f t="shared" si="1183"/>
        <v>5130</v>
      </c>
      <c r="U590" s="20">
        <f t="shared" si="1183"/>
        <v>100</v>
      </c>
      <c r="V590" s="20">
        <f t="shared" si="1183"/>
        <v>500</v>
      </c>
      <c r="W590" s="20">
        <f t="shared" si="1183"/>
        <v>400</v>
      </c>
      <c r="X590" s="20">
        <f t="shared" si="1183"/>
        <v>5</v>
      </c>
      <c r="Y590" s="20">
        <v>0</v>
      </c>
      <c r="Z590" s="22">
        <v>0</v>
      </c>
      <c r="AA590" s="20">
        <v>0</v>
      </c>
      <c r="AB590" s="20">
        <v>0</v>
      </c>
      <c r="AC590" s="20">
        <v>0</v>
      </c>
      <c r="AD590" s="23">
        <f t="shared" ref="AD590:AE590" si="1184">AD560</f>
        <v>36</v>
      </c>
      <c r="AE590" s="23">
        <f t="shared" si="1184"/>
        <v>40</v>
      </c>
    </row>
    <row r="591" spans="1:31">
      <c r="A591" s="4">
        <v>11104</v>
      </c>
      <c r="B591" s="4">
        <v>20</v>
      </c>
      <c r="C591" s="19" t="s">
        <v>75</v>
      </c>
      <c r="D591" s="44">
        <f t="shared" si="1149"/>
        <v>732</v>
      </c>
      <c r="E591" s="18">
        <v>0</v>
      </c>
      <c r="F591" s="18">
        <v>0</v>
      </c>
      <c r="G591" s="18">
        <v>0</v>
      </c>
      <c r="H591" s="45">
        <v>0</v>
      </c>
      <c r="I591" s="21">
        <f t="shared" si="1089"/>
        <v>275</v>
      </c>
      <c r="J591" s="21">
        <f t="shared" si="1176"/>
        <v>19</v>
      </c>
      <c r="K591" s="21">
        <v>0</v>
      </c>
      <c r="L591" s="20">
        <v>6</v>
      </c>
      <c r="M591" s="20">
        <v>0</v>
      </c>
      <c r="N591" s="20">
        <f t="shared" si="1090"/>
        <v>8000</v>
      </c>
      <c r="O591" s="19" t="s">
        <v>75</v>
      </c>
      <c r="P591" s="20">
        <v>861</v>
      </c>
      <c r="Q591" s="20">
        <f t="shared" ref="Q591:X591" si="1185">Q561</f>
        <v>800</v>
      </c>
      <c r="R591" s="20">
        <f t="shared" si="1185"/>
        <v>3200</v>
      </c>
      <c r="S591" s="20">
        <f t="shared" si="1185"/>
        <v>5600</v>
      </c>
      <c r="T591" s="20">
        <f t="shared" si="1185"/>
        <v>7200</v>
      </c>
      <c r="U591" s="20">
        <f t="shared" si="1185"/>
        <v>100</v>
      </c>
      <c r="V591" s="20">
        <f t="shared" si="1185"/>
        <v>800</v>
      </c>
      <c r="W591" s="20">
        <f t="shared" si="1185"/>
        <v>8000</v>
      </c>
      <c r="X591" s="20">
        <f t="shared" si="1185"/>
        <v>5</v>
      </c>
      <c r="Y591" s="20">
        <v>0</v>
      </c>
      <c r="Z591" s="22">
        <v>0</v>
      </c>
      <c r="AA591" s="20">
        <v>0</v>
      </c>
      <c r="AB591" s="20">
        <v>0</v>
      </c>
      <c r="AC591" s="20">
        <v>0</v>
      </c>
      <c r="AD591" s="23">
        <f t="shared" ref="AD591:AE591" si="1186">AD561</f>
        <v>38</v>
      </c>
      <c r="AE591" s="23">
        <f t="shared" si="1186"/>
        <v>42</v>
      </c>
    </row>
    <row r="592" spans="1:31">
      <c r="A592" s="4">
        <v>11104</v>
      </c>
      <c r="B592" s="4">
        <v>21</v>
      </c>
      <c r="C592" s="19" t="s">
        <v>66</v>
      </c>
      <c r="D592" s="44">
        <f t="shared" si="1149"/>
        <v>792</v>
      </c>
      <c r="E592" s="18">
        <v>0</v>
      </c>
      <c r="F592" s="18">
        <v>0</v>
      </c>
      <c r="G592" s="18">
        <v>0</v>
      </c>
      <c r="H592" s="45">
        <v>0</v>
      </c>
      <c r="I592" s="21">
        <f t="shared" si="1089"/>
        <v>330</v>
      </c>
      <c r="J592" s="21">
        <f t="shared" si="1176"/>
        <v>20</v>
      </c>
      <c r="K592" s="21">
        <v>0</v>
      </c>
      <c r="L592" s="20">
        <v>6</v>
      </c>
      <c r="M592" s="20">
        <v>0</v>
      </c>
      <c r="N592" s="20">
        <f t="shared" si="1090"/>
        <v>8400</v>
      </c>
      <c r="O592" s="19" t="s">
        <v>66</v>
      </c>
      <c r="P592" s="20">
        <v>9400</v>
      </c>
      <c r="Q592" s="20">
        <f t="shared" ref="Q592:X592" si="1187">Q562</f>
        <v>840</v>
      </c>
      <c r="R592" s="20">
        <f t="shared" si="1187"/>
        <v>3360</v>
      </c>
      <c r="S592" s="20">
        <f t="shared" si="1187"/>
        <v>5880</v>
      </c>
      <c r="T592" s="20">
        <f t="shared" si="1187"/>
        <v>7560</v>
      </c>
      <c r="U592" s="20">
        <f t="shared" si="1187"/>
        <v>50</v>
      </c>
      <c r="V592" s="20">
        <f t="shared" si="1187"/>
        <v>1000</v>
      </c>
      <c r="W592" s="20">
        <f t="shared" si="1187"/>
        <v>600</v>
      </c>
      <c r="X592" s="20">
        <f t="shared" si="1187"/>
        <v>6</v>
      </c>
      <c r="Y592" s="20">
        <v>0</v>
      </c>
      <c r="Z592" s="22">
        <v>0</v>
      </c>
      <c r="AA592" s="20">
        <v>0</v>
      </c>
      <c r="AB592" s="20">
        <v>0</v>
      </c>
      <c r="AC592" s="20">
        <v>0</v>
      </c>
      <c r="AD592" s="23">
        <f t="shared" ref="AD592:AE592" si="1188">AD562</f>
        <v>40</v>
      </c>
      <c r="AE592" s="23">
        <f t="shared" si="1188"/>
        <v>44</v>
      </c>
    </row>
    <row r="593" spans="1:31">
      <c r="A593" s="4">
        <v>11104</v>
      </c>
      <c r="B593" s="4">
        <v>22</v>
      </c>
      <c r="C593" s="19" t="s">
        <v>67</v>
      </c>
      <c r="D593" s="44">
        <f t="shared" si="1149"/>
        <v>858</v>
      </c>
      <c r="E593" s="18">
        <v>0</v>
      </c>
      <c r="F593" s="18">
        <v>0</v>
      </c>
      <c r="G593" s="18">
        <v>0</v>
      </c>
      <c r="H593" s="45">
        <v>0</v>
      </c>
      <c r="I593" s="21">
        <f t="shared" si="1089"/>
        <v>330</v>
      </c>
      <c r="J593" s="21">
        <f t="shared" si="1176"/>
        <v>21</v>
      </c>
      <c r="K593" s="21">
        <v>0</v>
      </c>
      <c r="L593" s="20">
        <v>6</v>
      </c>
      <c r="M593" s="20">
        <v>0</v>
      </c>
      <c r="N593" s="20">
        <f t="shared" si="1090"/>
        <v>8800</v>
      </c>
      <c r="O593" s="19" t="s">
        <v>67</v>
      </c>
      <c r="P593" s="20">
        <v>9100</v>
      </c>
      <c r="Q593" s="20">
        <f t="shared" ref="Q593:X593" si="1189">Q563</f>
        <v>880</v>
      </c>
      <c r="R593" s="20">
        <f t="shared" si="1189"/>
        <v>3520</v>
      </c>
      <c r="S593" s="20">
        <f t="shared" si="1189"/>
        <v>6160</v>
      </c>
      <c r="T593" s="20">
        <f t="shared" si="1189"/>
        <v>7920</v>
      </c>
      <c r="U593" s="20">
        <f t="shared" si="1189"/>
        <v>100</v>
      </c>
      <c r="V593" s="20">
        <f t="shared" si="1189"/>
        <v>600</v>
      </c>
      <c r="W593" s="20">
        <f t="shared" si="1189"/>
        <v>700</v>
      </c>
      <c r="X593" s="20">
        <f t="shared" si="1189"/>
        <v>6</v>
      </c>
      <c r="Y593" s="20">
        <v>0</v>
      </c>
      <c r="Z593" s="22">
        <v>0</v>
      </c>
      <c r="AA593" s="20">
        <v>0</v>
      </c>
      <c r="AB593" s="20">
        <v>0</v>
      </c>
      <c r="AC593" s="20">
        <v>0</v>
      </c>
      <c r="AD593" s="23">
        <f t="shared" ref="AD593:AE593" si="1190">AD563</f>
        <v>42</v>
      </c>
      <c r="AE593" s="23">
        <f t="shared" si="1190"/>
        <v>46</v>
      </c>
    </row>
    <row r="594" spans="1:31">
      <c r="A594" s="4">
        <v>11104</v>
      </c>
      <c r="B594" s="4">
        <v>23</v>
      </c>
      <c r="C594" s="19" t="s">
        <v>68</v>
      </c>
      <c r="D594" s="44">
        <f t="shared" si="1149"/>
        <v>930</v>
      </c>
      <c r="E594" s="18">
        <v>0</v>
      </c>
      <c r="F594" s="18">
        <v>0</v>
      </c>
      <c r="G594" s="18">
        <v>0</v>
      </c>
      <c r="H594" s="45">
        <v>0</v>
      </c>
      <c r="I594" s="21">
        <f t="shared" si="1089"/>
        <v>330</v>
      </c>
      <c r="J594" s="21">
        <f t="shared" si="1176"/>
        <v>22</v>
      </c>
      <c r="K594" s="21">
        <v>0</v>
      </c>
      <c r="L594" s="20">
        <v>6</v>
      </c>
      <c r="M594" s="20">
        <v>0</v>
      </c>
      <c r="N594" s="20">
        <f t="shared" si="1090"/>
        <v>9200</v>
      </c>
      <c r="O594" s="19" t="s">
        <v>68</v>
      </c>
      <c r="P594" s="20">
        <v>8600</v>
      </c>
      <c r="Q594" s="20">
        <f t="shared" ref="Q594:X594" si="1191">Q564</f>
        <v>920</v>
      </c>
      <c r="R594" s="20">
        <f t="shared" si="1191"/>
        <v>3680</v>
      </c>
      <c r="S594" s="20">
        <f t="shared" si="1191"/>
        <v>6440</v>
      </c>
      <c r="T594" s="20">
        <f t="shared" si="1191"/>
        <v>8280</v>
      </c>
      <c r="U594" s="20">
        <f t="shared" si="1191"/>
        <v>100</v>
      </c>
      <c r="V594" s="20">
        <f t="shared" si="1191"/>
        <v>550</v>
      </c>
      <c r="W594" s="20">
        <f t="shared" si="1191"/>
        <v>500</v>
      </c>
      <c r="X594" s="20">
        <f t="shared" si="1191"/>
        <v>6</v>
      </c>
      <c r="Y594" s="20">
        <v>0</v>
      </c>
      <c r="Z594" s="22">
        <v>0</v>
      </c>
      <c r="AA594" s="20">
        <f>INT(AA599*0.8)</f>
        <v>151</v>
      </c>
      <c r="AB594" s="20">
        <v>0</v>
      </c>
      <c r="AC594" s="20">
        <v>0</v>
      </c>
      <c r="AD594" s="23">
        <f t="shared" ref="AD594:AE594" si="1192">AD564</f>
        <v>44</v>
      </c>
      <c r="AE594" s="23">
        <f t="shared" si="1192"/>
        <v>48</v>
      </c>
    </row>
    <row r="595" spans="1:31">
      <c r="A595" s="4">
        <v>11104</v>
      </c>
      <c r="B595" s="4">
        <v>24</v>
      </c>
      <c r="C595" s="19" t="s">
        <v>69</v>
      </c>
      <c r="D595" s="44">
        <f t="shared" si="1149"/>
        <v>1006</v>
      </c>
      <c r="E595" s="18">
        <v>0</v>
      </c>
      <c r="F595" s="18">
        <v>0</v>
      </c>
      <c r="G595" s="18">
        <v>0</v>
      </c>
      <c r="H595" s="45">
        <v>0</v>
      </c>
      <c r="I595" s="21">
        <f t="shared" si="1089"/>
        <v>330</v>
      </c>
      <c r="J595" s="21">
        <f t="shared" si="1176"/>
        <v>23</v>
      </c>
      <c r="K595" s="21">
        <v>0</v>
      </c>
      <c r="L595" s="20">
        <v>6</v>
      </c>
      <c r="M595" s="20">
        <v>0</v>
      </c>
      <c r="N595" s="20">
        <f t="shared" si="1090"/>
        <v>9600</v>
      </c>
      <c r="O595" s="19" t="s">
        <v>69</v>
      </c>
      <c r="P595" s="20">
        <v>6400</v>
      </c>
      <c r="Q595" s="20">
        <f t="shared" ref="Q595:X595" si="1193">Q565</f>
        <v>960</v>
      </c>
      <c r="R595" s="20">
        <f t="shared" si="1193"/>
        <v>3840</v>
      </c>
      <c r="S595" s="20">
        <f t="shared" si="1193"/>
        <v>6720</v>
      </c>
      <c r="T595" s="20">
        <f t="shared" si="1193"/>
        <v>8640</v>
      </c>
      <c r="U595" s="20">
        <f t="shared" si="1193"/>
        <v>100</v>
      </c>
      <c r="V595" s="20">
        <f t="shared" si="1193"/>
        <v>500</v>
      </c>
      <c r="W595" s="20">
        <f t="shared" si="1193"/>
        <v>900</v>
      </c>
      <c r="X595" s="20">
        <f t="shared" si="1193"/>
        <v>6</v>
      </c>
      <c r="Y595" s="20">
        <v>0</v>
      </c>
      <c r="Z595" s="22">
        <v>0</v>
      </c>
      <c r="AA595" s="20">
        <v>0</v>
      </c>
      <c r="AB595" s="20">
        <v>0</v>
      </c>
      <c r="AC595" s="20">
        <v>0</v>
      </c>
      <c r="AD595" s="23">
        <f t="shared" ref="AD595:AE595" si="1194">AD565</f>
        <v>46</v>
      </c>
      <c r="AE595" s="23">
        <f t="shared" si="1194"/>
        <v>50</v>
      </c>
    </row>
    <row r="596" spans="1:31">
      <c r="A596" s="4">
        <v>11104</v>
      </c>
      <c r="B596" s="4">
        <v>25</v>
      </c>
      <c r="C596" s="19" t="s">
        <v>70</v>
      </c>
      <c r="D596" s="44">
        <f t="shared" si="1149"/>
        <v>1089</v>
      </c>
      <c r="E596" s="18">
        <v>0</v>
      </c>
      <c r="F596" s="18">
        <v>0</v>
      </c>
      <c r="G596" s="18">
        <v>0</v>
      </c>
      <c r="H596" s="45">
        <v>0</v>
      </c>
      <c r="I596" s="21">
        <f t="shared" si="1089"/>
        <v>385</v>
      </c>
      <c r="J596" s="21">
        <f t="shared" si="1176"/>
        <v>24</v>
      </c>
      <c r="K596" s="21">
        <v>0</v>
      </c>
      <c r="L596" s="20">
        <v>6</v>
      </c>
      <c r="M596" s="20">
        <v>0</v>
      </c>
      <c r="N596" s="20">
        <f t="shared" si="1090"/>
        <v>12500</v>
      </c>
      <c r="O596" s="19" t="s">
        <v>70</v>
      </c>
      <c r="P596" s="20">
        <v>3100</v>
      </c>
      <c r="Q596" s="20">
        <f t="shared" ref="Q596:X596" si="1195">Q566</f>
        <v>1250</v>
      </c>
      <c r="R596" s="20">
        <f t="shared" si="1195"/>
        <v>5000</v>
      </c>
      <c r="S596" s="20">
        <f t="shared" si="1195"/>
        <v>8750</v>
      </c>
      <c r="T596" s="20">
        <f t="shared" si="1195"/>
        <v>11250</v>
      </c>
      <c r="U596" s="20">
        <f t="shared" si="1195"/>
        <v>10</v>
      </c>
      <c r="V596" s="20">
        <f t="shared" si="1195"/>
        <v>1300</v>
      </c>
      <c r="W596" s="20">
        <f t="shared" si="1195"/>
        <v>1000</v>
      </c>
      <c r="X596" s="20">
        <f t="shared" si="1195"/>
        <v>7</v>
      </c>
      <c r="Y596" s="20">
        <v>0</v>
      </c>
      <c r="Z596" s="22">
        <v>0</v>
      </c>
      <c r="AA596" s="20">
        <v>0</v>
      </c>
      <c r="AB596" s="20">
        <v>0</v>
      </c>
      <c r="AC596" s="20">
        <v>0</v>
      </c>
      <c r="AD596" s="23">
        <f t="shared" ref="AD596:AE596" si="1196">AD566</f>
        <v>48</v>
      </c>
      <c r="AE596" s="23">
        <f t="shared" si="1196"/>
        <v>52</v>
      </c>
    </row>
    <row r="597" spans="1:31">
      <c r="A597" s="4">
        <v>11104</v>
      </c>
      <c r="B597" s="4">
        <v>26</v>
      </c>
      <c r="C597" s="19" t="s">
        <v>71</v>
      </c>
      <c r="D597" s="44">
        <f t="shared" si="1149"/>
        <v>1179</v>
      </c>
      <c r="E597" s="18">
        <v>0</v>
      </c>
      <c r="F597" s="18">
        <v>0</v>
      </c>
      <c r="G597" s="18">
        <v>0</v>
      </c>
      <c r="H597" s="45">
        <v>0</v>
      </c>
      <c r="I597" s="21">
        <f t="shared" si="1089"/>
        <v>385</v>
      </c>
      <c r="J597" s="21">
        <f t="shared" si="1176"/>
        <v>25</v>
      </c>
      <c r="K597" s="21">
        <v>0</v>
      </c>
      <c r="L597" s="20">
        <v>6</v>
      </c>
      <c r="M597" s="20">
        <v>0</v>
      </c>
      <c r="N597" s="20">
        <f t="shared" si="1090"/>
        <v>13000</v>
      </c>
      <c r="O597" s="19" t="s">
        <v>71</v>
      </c>
      <c r="P597" s="20">
        <v>1777</v>
      </c>
      <c r="Q597" s="20">
        <f t="shared" ref="Q597:X597" si="1197">Q567</f>
        <v>1300</v>
      </c>
      <c r="R597" s="20">
        <f t="shared" si="1197"/>
        <v>5200</v>
      </c>
      <c r="S597" s="20">
        <f t="shared" si="1197"/>
        <v>9100</v>
      </c>
      <c r="T597" s="20">
        <f t="shared" si="1197"/>
        <v>11700</v>
      </c>
      <c r="U597" s="20">
        <f t="shared" si="1197"/>
        <v>90</v>
      </c>
      <c r="V597" s="20">
        <f t="shared" si="1197"/>
        <v>800</v>
      </c>
      <c r="W597" s="20">
        <f t="shared" si="1197"/>
        <v>2000</v>
      </c>
      <c r="X597" s="20">
        <f t="shared" si="1197"/>
        <v>7</v>
      </c>
      <c r="Y597" s="20">
        <v>0</v>
      </c>
      <c r="Z597" s="22">
        <v>0</v>
      </c>
      <c r="AA597" s="20">
        <v>0</v>
      </c>
      <c r="AB597" s="20">
        <v>0</v>
      </c>
      <c r="AC597" s="20">
        <v>0</v>
      </c>
      <c r="AD597" s="23">
        <f t="shared" ref="AD597:AE597" si="1198">AD567</f>
        <v>50</v>
      </c>
      <c r="AE597" s="23">
        <f t="shared" si="1198"/>
        <v>54</v>
      </c>
    </row>
    <row r="598" spans="1:31">
      <c r="A598" s="4">
        <v>11104</v>
      </c>
      <c r="B598" s="4">
        <v>27</v>
      </c>
      <c r="C598" s="19" t="s">
        <v>72</v>
      </c>
      <c r="D598" s="44">
        <f t="shared" si="1149"/>
        <v>1276</v>
      </c>
      <c r="E598" s="18">
        <v>0</v>
      </c>
      <c r="F598" s="18">
        <v>0</v>
      </c>
      <c r="G598" s="18">
        <v>0</v>
      </c>
      <c r="H598" s="45">
        <v>0</v>
      </c>
      <c r="I598" s="21">
        <f t="shared" si="1089"/>
        <v>385</v>
      </c>
      <c r="J598" s="21">
        <f t="shared" si="1176"/>
        <v>26</v>
      </c>
      <c r="K598" s="21">
        <v>0</v>
      </c>
      <c r="L598" s="20">
        <v>6</v>
      </c>
      <c r="M598" s="20">
        <v>0</v>
      </c>
      <c r="N598" s="20">
        <f t="shared" si="1090"/>
        <v>13500</v>
      </c>
      <c r="O598" s="19" t="s">
        <v>72</v>
      </c>
      <c r="P598" s="20">
        <v>2332</v>
      </c>
      <c r="Q598" s="20">
        <f t="shared" ref="Q598:X598" si="1199">Q568</f>
        <v>1350</v>
      </c>
      <c r="R598" s="20">
        <f t="shared" si="1199"/>
        <v>5400</v>
      </c>
      <c r="S598" s="20">
        <f t="shared" si="1199"/>
        <v>9450</v>
      </c>
      <c r="T598" s="20">
        <f t="shared" si="1199"/>
        <v>12150</v>
      </c>
      <c r="U598" s="20">
        <f t="shared" si="1199"/>
        <v>80</v>
      </c>
      <c r="V598" s="20">
        <f t="shared" si="1199"/>
        <v>700</v>
      </c>
      <c r="W598" s="20">
        <f t="shared" si="1199"/>
        <v>800</v>
      </c>
      <c r="X598" s="20">
        <f t="shared" si="1199"/>
        <v>7</v>
      </c>
      <c r="Y598" s="20">
        <v>0</v>
      </c>
      <c r="Z598" s="22">
        <v>0</v>
      </c>
      <c r="AA598" s="20">
        <v>0</v>
      </c>
      <c r="AB598" s="20">
        <v>0</v>
      </c>
      <c r="AC598" s="20">
        <v>0</v>
      </c>
      <c r="AD598" s="23">
        <f t="shared" ref="AD598:AE598" si="1200">AD568</f>
        <v>52</v>
      </c>
      <c r="AE598" s="23">
        <f t="shared" si="1200"/>
        <v>56</v>
      </c>
    </row>
    <row r="599" spans="1:31">
      <c r="A599" s="4">
        <v>11104</v>
      </c>
      <c r="B599" s="4">
        <v>28</v>
      </c>
      <c r="C599" s="19" t="s">
        <v>73</v>
      </c>
      <c r="D599" s="44">
        <f t="shared" si="1149"/>
        <v>1382</v>
      </c>
      <c r="E599" s="18">
        <v>0</v>
      </c>
      <c r="F599" s="18">
        <v>0</v>
      </c>
      <c r="G599" s="18">
        <v>0</v>
      </c>
      <c r="H599" s="45">
        <v>0</v>
      </c>
      <c r="I599" s="21">
        <f t="shared" si="1089"/>
        <v>385</v>
      </c>
      <c r="J599" s="21">
        <f t="shared" si="1176"/>
        <v>27</v>
      </c>
      <c r="K599" s="21">
        <v>0</v>
      </c>
      <c r="L599" s="20">
        <v>6</v>
      </c>
      <c r="M599" s="20">
        <v>0</v>
      </c>
      <c r="N599" s="20">
        <f t="shared" si="1090"/>
        <v>14000</v>
      </c>
      <c r="O599" s="19" t="s">
        <v>73</v>
      </c>
      <c r="P599" s="20">
        <v>1487</v>
      </c>
      <c r="Q599" s="20">
        <f t="shared" ref="Q599:X599" si="1201">Q569</f>
        <v>1400</v>
      </c>
      <c r="R599" s="20">
        <f t="shared" si="1201"/>
        <v>5600</v>
      </c>
      <c r="S599" s="20">
        <f t="shared" si="1201"/>
        <v>9800</v>
      </c>
      <c r="T599" s="20">
        <f t="shared" si="1201"/>
        <v>12600</v>
      </c>
      <c r="U599" s="20">
        <f t="shared" si="1201"/>
        <v>80</v>
      </c>
      <c r="V599" s="20">
        <f t="shared" si="1201"/>
        <v>500</v>
      </c>
      <c r="W599" s="20">
        <f t="shared" si="1201"/>
        <v>600</v>
      </c>
      <c r="X599" s="20">
        <f t="shared" si="1201"/>
        <v>7</v>
      </c>
      <c r="Y599" s="20">
        <v>0</v>
      </c>
      <c r="Z599" s="22">
        <v>0</v>
      </c>
      <c r="AA599" s="20">
        <v>189</v>
      </c>
      <c r="AB599" s="20">
        <v>0</v>
      </c>
      <c r="AC599" s="20">
        <v>0</v>
      </c>
      <c r="AD599" s="23">
        <f t="shared" ref="AD599:AE599" si="1202">AD569</f>
        <v>54</v>
      </c>
      <c r="AE599" s="23">
        <f t="shared" si="1202"/>
        <v>58</v>
      </c>
    </row>
    <row r="600" spans="1:31">
      <c r="A600" s="4">
        <v>11104</v>
      </c>
      <c r="B600" s="4">
        <v>29</v>
      </c>
      <c r="C600" s="19" t="s">
        <v>74</v>
      </c>
      <c r="D600" s="44">
        <f t="shared" si="1149"/>
        <v>1497</v>
      </c>
      <c r="E600" s="18">
        <v>0</v>
      </c>
      <c r="F600" s="18">
        <v>0</v>
      </c>
      <c r="G600" s="18">
        <v>0</v>
      </c>
      <c r="H600" s="45">
        <v>0</v>
      </c>
      <c r="I600" s="21">
        <f t="shared" si="1089"/>
        <v>440</v>
      </c>
      <c r="J600" s="21">
        <f t="shared" si="1176"/>
        <v>28</v>
      </c>
      <c r="K600" s="21">
        <v>0</v>
      </c>
      <c r="L600" s="20">
        <v>6</v>
      </c>
      <c r="M600" s="20">
        <v>0</v>
      </c>
      <c r="N600" s="20">
        <f t="shared" si="1090"/>
        <v>14500</v>
      </c>
      <c r="O600" s="19" t="s">
        <v>74</v>
      </c>
      <c r="P600" s="20">
        <v>1518</v>
      </c>
      <c r="Q600" s="20">
        <f t="shared" ref="Q600:X600" si="1203">Q570</f>
        <v>1450</v>
      </c>
      <c r="R600" s="20">
        <f t="shared" si="1203"/>
        <v>5800</v>
      </c>
      <c r="S600" s="20">
        <f t="shared" si="1203"/>
        <v>10150</v>
      </c>
      <c r="T600" s="20">
        <f t="shared" si="1203"/>
        <v>13050</v>
      </c>
      <c r="U600" s="20">
        <f t="shared" si="1203"/>
        <v>80</v>
      </c>
      <c r="V600" s="20">
        <f t="shared" si="1203"/>
        <v>600</v>
      </c>
      <c r="W600" s="20">
        <f t="shared" si="1203"/>
        <v>700</v>
      </c>
      <c r="X600" s="20">
        <f t="shared" si="1203"/>
        <v>8</v>
      </c>
      <c r="Y600" s="20">
        <v>0</v>
      </c>
      <c r="Z600" s="22">
        <v>0</v>
      </c>
      <c r="AA600" s="20">
        <v>0</v>
      </c>
      <c r="AB600" s="20">
        <v>0</v>
      </c>
      <c r="AC600" s="20">
        <v>0</v>
      </c>
      <c r="AD600" s="23">
        <f t="shared" ref="AD600:AE600" si="1204">AD570</f>
        <v>56</v>
      </c>
      <c r="AE600" s="23">
        <f t="shared" si="1204"/>
        <v>60</v>
      </c>
    </row>
    <row r="601" spans="1:31">
      <c r="A601" s="4">
        <v>11104</v>
      </c>
      <c r="B601" s="4">
        <v>30</v>
      </c>
      <c r="C601" s="19" t="s">
        <v>75</v>
      </c>
      <c r="D601" s="44">
        <f t="shared" si="1149"/>
        <v>1620</v>
      </c>
      <c r="E601" s="18">
        <v>0</v>
      </c>
      <c r="F601" s="18">
        <v>0</v>
      </c>
      <c r="G601" s="18">
        <v>0</v>
      </c>
      <c r="H601" s="45">
        <v>0</v>
      </c>
      <c r="I601" s="21">
        <f t="shared" si="1089"/>
        <v>440</v>
      </c>
      <c r="J601" s="21">
        <f t="shared" si="1176"/>
        <v>29</v>
      </c>
      <c r="K601" s="21">
        <v>0</v>
      </c>
      <c r="L601" s="20">
        <v>6</v>
      </c>
      <c r="M601" s="20">
        <v>0</v>
      </c>
      <c r="N601" s="20">
        <f t="shared" si="1090"/>
        <v>15000</v>
      </c>
      <c r="O601" s="19" t="s">
        <v>75</v>
      </c>
      <c r="P601" s="20">
        <v>861</v>
      </c>
      <c r="Q601" s="20">
        <f t="shared" ref="Q601:X601" si="1205">Q571</f>
        <v>1500</v>
      </c>
      <c r="R601" s="20">
        <f t="shared" si="1205"/>
        <v>6000</v>
      </c>
      <c r="S601" s="20">
        <f t="shared" si="1205"/>
        <v>10500</v>
      </c>
      <c r="T601" s="20">
        <f t="shared" si="1205"/>
        <v>13500</v>
      </c>
      <c r="U601" s="20">
        <f t="shared" si="1205"/>
        <v>20</v>
      </c>
      <c r="V601" s="20">
        <f t="shared" si="1205"/>
        <v>450</v>
      </c>
      <c r="W601" s="20">
        <f t="shared" si="1205"/>
        <v>1000</v>
      </c>
      <c r="X601" s="20">
        <f t="shared" si="1205"/>
        <v>8</v>
      </c>
      <c r="Y601" s="20">
        <v>0</v>
      </c>
      <c r="Z601" s="22">
        <v>0</v>
      </c>
      <c r="AA601" s="20">
        <v>0</v>
      </c>
      <c r="AB601" s="20">
        <v>0</v>
      </c>
      <c r="AC601" s="20">
        <v>0</v>
      </c>
      <c r="AD601" s="23">
        <f t="shared" ref="AD601:AE601" si="1206">AD571</f>
        <v>58</v>
      </c>
      <c r="AE601" s="23">
        <f t="shared" si="1206"/>
        <v>62</v>
      </c>
    </row>
    <row r="602" spans="1:31">
      <c r="A602" s="8">
        <v>11200</v>
      </c>
      <c r="B602" s="8">
        <v>1</v>
      </c>
      <c r="C602" s="19" t="s">
        <v>66</v>
      </c>
      <c r="D602" s="44">
        <v>0</v>
      </c>
      <c r="E602" s="18">
        <f>D452</f>
        <v>36</v>
      </c>
      <c r="F602" s="18">
        <v>0</v>
      </c>
      <c r="G602" s="18">
        <v>0</v>
      </c>
      <c r="H602" s="45">
        <v>0</v>
      </c>
      <c r="I602" s="21">
        <f t="shared" si="1089"/>
        <v>55</v>
      </c>
      <c r="J602" s="21">
        <f t="shared" si="1176"/>
        <v>0</v>
      </c>
      <c r="K602" s="21">
        <v>0</v>
      </c>
      <c r="L602" s="20">
        <v>45</v>
      </c>
      <c r="M602" s="20">
        <v>0</v>
      </c>
      <c r="N602" s="20">
        <f t="shared" si="1090"/>
        <v>10</v>
      </c>
      <c r="O602" s="19" t="s">
        <v>66</v>
      </c>
      <c r="P602" s="20">
        <v>9400</v>
      </c>
      <c r="Q602" s="20">
        <f t="shared" ref="Q602:X602" si="1207">Q572</f>
        <v>1</v>
      </c>
      <c r="R602" s="20">
        <f t="shared" si="1207"/>
        <v>4</v>
      </c>
      <c r="S602" s="20">
        <f t="shared" si="1207"/>
        <v>7</v>
      </c>
      <c r="T602" s="20">
        <f t="shared" si="1207"/>
        <v>9</v>
      </c>
      <c r="U602" s="20">
        <f t="shared" si="1207"/>
        <v>9400</v>
      </c>
      <c r="V602" s="20">
        <f t="shared" si="1207"/>
        <v>9400</v>
      </c>
      <c r="W602" s="20">
        <f t="shared" si="1207"/>
        <v>9400</v>
      </c>
      <c r="X602" s="20">
        <f t="shared" si="1207"/>
        <v>1</v>
      </c>
      <c r="Y602" s="20">
        <v>0</v>
      </c>
      <c r="Z602" s="22">
        <v>0</v>
      </c>
      <c r="AA602" s="20">
        <f>AA452</f>
        <v>0</v>
      </c>
      <c r="AB602" s="20">
        <v>0</v>
      </c>
      <c r="AC602" s="20">
        <v>0</v>
      </c>
      <c r="AD602" s="23">
        <f t="shared" ref="AD602:AE602" si="1208">AD572</f>
        <v>1</v>
      </c>
      <c r="AE602" s="23">
        <f t="shared" si="1208"/>
        <v>3</v>
      </c>
    </row>
    <row r="603" spans="1:31">
      <c r="A603" s="4">
        <v>11200</v>
      </c>
      <c r="B603" s="4">
        <v>2</v>
      </c>
      <c r="C603" s="19" t="s">
        <v>67</v>
      </c>
      <c r="D603" s="44">
        <v>0</v>
      </c>
      <c r="E603" s="18">
        <f t="shared" ref="E603:E666" si="1209">D453</f>
        <v>39</v>
      </c>
      <c r="F603" s="18">
        <v>0</v>
      </c>
      <c r="G603" s="18">
        <v>0</v>
      </c>
      <c r="H603" s="45">
        <v>0</v>
      </c>
      <c r="I603" s="21">
        <f t="shared" si="1089"/>
        <v>55</v>
      </c>
      <c r="J603" s="21">
        <f t="shared" si="1176"/>
        <v>1</v>
      </c>
      <c r="K603" s="21">
        <v>0</v>
      </c>
      <c r="L603" s="20">
        <v>40</v>
      </c>
      <c r="M603" s="20">
        <v>0</v>
      </c>
      <c r="N603" s="20">
        <f t="shared" si="1090"/>
        <v>20</v>
      </c>
      <c r="O603" s="19" t="s">
        <v>67</v>
      </c>
      <c r="P603" s="20">
        <v>9100</v>
      </c>
      <c r="Q603" s="20">
        <f t="shared" ref="Q603:X603" si="1210">Q573</f>
        <v>2</v>
      </c>
      <c r="R603" s="20">
        <f t="shared" si="1210"/>
        <v>8</v>
      </c>
      <c r="S603" s="20">
        <f t="shared" si="1210"/>
        <v>14</v>
      </c>
      <c r="T603" s="20">
        <f t="shared" si="1210"/>
        <v>18</v>
      </c>
      <c r="U603" s="20">
        <f t="shared" si="1210"/>
        <v>4000</v>
      </c>
      <c r="V603" s="20">
        <f t="shared" si="1210"/>
        <v>8000</v>
      </c>
      <c r="W603" s="20">
        <f t="shared" si="1210"/>
        <v>8000</v>
      </c>
      <c r="X603" s="20">
        <f t="shared" si="1210"/>
        <v>1</v>
      </c>
      <c r="Y603" s="20">
        <v>0</v>
      </c>
      <c r="Z603" s="22">
        <v>0</v>
      </c>
      <c r="AA603" s="20">
        <f t="shared" ref="AA603:AA666" si="1211">AA453</f>
        <v>0</v>
      </c>
      <c r="AB603" s="20">
        <v>0</v>
      </c>
      <c r="AC603" s="20">
        <v>0</v>
      </c>
      <c r="AD603" s="23">
        <f t="shared" ref="AD603:AE603" si="1212">AD573</f>
        <v>2</v>
      </c>
      <c r="AE603" s="23">
        <f t="shared" si="1212"/>
        <v>5</v>
      </c>
    </row>
    <row r="604" spans="1:31">
      <c r="A604" s="4">
        <v>11200</v>
      </c>
      <c r="B604" s="4">
        <v>3</v>
      </c>
      <c r="C604" s="19" t="s">
        <v>68</v>
      </c>
      <c r="D604" s="44">
        <v>0</v>
      </c>
      <c r="E604" s="18">
        <f t="shared" si="1209"/>
        <v>42</v>
      </c>
      <c r="F604" s="18">
        <v>0</v>
      </c>
      <c r="G604" s="18">
        <v>0</v>
      </c>
      <c r="H604" s="45">
        <v>0</v>
      </c>
      <c r="I604" s="21">
        <f t="shared" si="1089"/>
        <v>55</v>
      </c>
      <c r="J604" s="21">
        <f t="shared" si="1176"/>
        <v>2</v>
      </c>
      <c r="K604" s="21">
        <v>0</v>
      </c>
      <c r="L604" s="20">
        <v>35</v>
      </c>
      <c r="M604" s="20">
        <v>0</v>
      </c>
      <c r="N604" s="20">
        <f t="shared" si="1090"/>
        <v>40</v>
      </c>
      <c r="O604" s="19" t="s">
        <v>68</v>
      </c>
      <c r="P604" s="20">
        <v>8600</v>
      </c>
      <c r="Q604" s="20">
        <f t="shared" ref="Q604:X604" si="1213">Q574</f>
        <v>4</v>
      </c>
      <c r="R604" s="20">
        <f t="shared" si="1213"/>
        <v>16</v>
      </c>
      <c r="S604" s="20">
        <f t="shared" si="1213"/>
        <v>28</v>
      </c>
      <c r="T604" s="20">
        <f t="shared" si="1213"/>
        <v>36</v>
      </c>
      <c r="U604" s="20">
        <f t="shared" si="1213"/>
        <v>1600</v>
      </c>
      <c r="V604" s="20">
        <f t="shared" si="1213"/>
        <v>5000</v>
      </c>
      <c r="W604" s="20">
        <f t="shared" si="1213"/>
        <v>6000</v>
      </c>
      <c r="X604" s="20">
        <f t="shared" si="1213"/>
        <v>1</v>
      </c>
      <c r="Y604" s="20">
        <v>0</v>
      </c>
      <c r="Z604" s="22">
        <v>0</v>
      </c>
      <c r="AA604" s="20">
        <f t="shared" si="1211"/>
        <v>0</v>
      </c>
      <c r="AB604" s="20">
        <v>0</v>
      </c>
      <c r="AC604" s="20">
        <v>0</v>
      </c>
      <c r="AD604" s="23">
        <f t="shared" ref="AD604:AE604" si="1214">AD574</f>
        <v>4</v>
      </c>
      <c r="AE604" s="23">
        <f t="shared" si="1214"/>
        <v>8</v>
      </c>
    </row>
    <row r="605" spans="1:31">
      <c r="A605" s="4">
        <v>11200</v>
      </c>
      <c r="B605" s="4">
        <v>4</v>
      </c>
      <c r="C605" s="19" t="s">
        <v>69</v>
      </c>
      <c r="D605" s="44">
        <v>0</v>
      </c>
      <c r="E605" s="18">
        <f t="shared" si="1209"/>
        <v>46</v>
      </c>
      <c r="F605" s="18">
        <v>0</v>
      </c>
      <c r="G605" s="18">
        <v>0</v>
      </c>
      <c r="H605" s="45">
        <v>0</v>
      </c>
      <c r="I605" s="21">
        <f t="shared" si="1089"/>
        <v>55</v>
      </c>
      <c r="J605" s="21">
        <f t="shared" si="1176"/>
        <v>3</v>
      </c>
      <c r="K605" s="21">
        <v>0</v>
      </c>
      <c r="L605" s="20">
        <v>30</v>
      </c>
      <c r="M605" s="20">
        <v>0</v>
      </c>
      <c r="N605" s="20">
        <f t="shared" si="1090"/>
        <v>100</v>
      </c>
      <c r="O605" s="19" t="s">
        <v>69</v>
      </c>
      <c r="P605" s="20">
        <v>6400</v>
      </c>
      <c r="Q605" s="20">
        <f t="shared" ref="Q605:X605" si="1215">Q575</f>
        <v>10</v>
      </c>
      <c r="R605" s="20">
        <f t="shared" si="1215"/>
        <v>40</v>
      </c>
      <c r="S605" s="20">
        <f t="shared" si="1215"/>
        <v>70</v>
      </c>
      <c r="T605" s="20">
        <f t="shared" si="1215"/>
        <v>90</v>
      </c>
      <c r="U605" s="20">
        <f t="shared" si="1215"/>
        <v>900</v>
      </c>
      <c r="V605" s="20">
        <f t="shared" si="1215"/>
        <v>2000</v>
      </c>
      <c r="W605" s="20">
        <f t="shared" si="1215"/>
        <v>8000</v>
      </c>
      <c r="X605" s="20">
        <f t="shared" si="1215"/>
        <v>1</v>
      </c>
      <c r="Y605" s="20">
        <v>0</v>
      </c>
      <c r="Z605" s="22">
        <v>0</v>
      </c>
      <c r="AA605" s="20">
        <f t="shared" si="1211"/>
        <v>0</v>
      </c>
      <c r="AB605" s="20">
        <v>0</v>
      </c>
      <c r="AC605" s="20">
        <v>0</v>
      </c>
      <c r="AD605" s="23">
        <f t="shared" ref="AD605:AE605" si="1216">AD575</f>
        <v>6</v>
      </c>
      <c r="AE605" s="23">
        <f t="shared" si="1216"/>
        <v>10</v>
      </c>
    </row>
    <row r="606" spans="1:31">
      <c r="A606" s="4">
        <v>11200</v>
      </c>
      <c r="B606" s="4">
        <v>5</v>
      </c>
      <c r="C606" s="19" t="s">
        <v>70</v>
      </c>
      <c r="D606" s="44">
        <v>0</v>
      </c>
      <c r="E606" s="18">
        <f t="shared" si="1209"/>
        <v>50</v>
      </c>
      <c r="F606" s="18">
        <v>0</v>
      </c>
      <c r="G606" s="18">
        <v>0</v>
      </c>
      <c r="H606" s="45">
        <v>0</v>
      </c>
      <c r="I606" s="21">
        <f t="shared" si="1089"/>
        <v>110</v>
      </c>
      <c r="J606" s="21">
        <f t="shared" si="1176"/>
        <v>4</v>
      </c>
      <c r="K606" s="21">
        <v>0</v>
      </c>
      <c r="L606" s="20">
        <v>25</v>
      </c>
      <c r="M606" s="20">
        <v>0</v>
      </c>
      <c r="N606" s="20">
        <f t="shared" si="1090"/>
        <v>200</v>
      </c>
      <c r="O606" s="19" t="s">
        <v>70</v>
      </c>
      <c r="P606" s="20">
        <v>3100</v>
      </c>
      <c r="Q606" s="20">
        <f t="shared" ref="Q606:X606" si="1217">Q576</f>
        <v>20</v>
      </c>
      <c r="R606" s="20">
        <f t="shared" si="1217"/>
        <v>80</v>
      </c>
      <c r="S606" s="20">
        <f t="shared" si="1217"/>
        <v>140</v>
      </c>
      <c r="T606" s="20">
        <f t="shared" si="1217"/>
        <v>180</v>
      </c>
      <c r="U606" s="20">
        <f t="shared" si="1217"/>
        <v>1000</v>
      </c>
      <c r="V606" s="20">
        <f t="shared" si="1217"/>
        <v>2000</v>
      </c>
      <c r="W606" s="20">
        <f t="shared" si="1217"/>
        <v>2000</v>
      </c>
      <c r="X606" s="20">
        <f t="shared" si="1217"/>
        <v>2</v>
      </c>
      <c r="Y606" s="20">
        <v>0</v>
      </c>
      <c r="Z606" s="22">
        <v>0</v>
      </c>
      <c r="AA606" s="20">
        <f t="shared" si="1211"/>
        <v>0</v>
      </c>
      <c r="AB606" s="20">
        <v>0</v>
      </c>
      <c r="AC606" s="20">
        <v>0</v>
      </c>
      <c r="AD606" s="23">
        <f t="shared" ref="AD606:AE606" si="1218">AD576</f>
        <v>8</v>
      </c>
      <c r="AE606" s="23">
        <f t="shared" si="1218"/>
        <v>12</v>
      </c>
    </row>
    <row r="607" spans="1:31">
      <c r="A607" s="4">
        <v>11200</v>
      </c>
      <c r="B607" s="4">
        <v>6</v>
      </c>
      <c r="C607" s="19" t="s">
        <v>71</v>
      </c>
      <c r="D607" s="44">
        <v>0</v>
      </c>
      <c r="E607" s="18">
        <f t="shared" si="1209"/>
        <v>54</v>
      </c>
      <c r="F607" s="18">
        <v>0</v>
      </c>
      <c r="G607" s="18">
        <v>0</v>
      </c>
      <c r="H607" s="45">
        <v>0</v>
      </c>
      <c r="I607" s="21">
        <f t="shared" si="1089"/>
        <v>110</v>
      </c>
      <c r="J607" s="21">
        <f t="shared" si="1176"/>
        <v>5</v>
      </c>
      <c r="K607" s="21">
        <v>0</v>
      </c>
      <c r="L607" s="20">
        <v>20</v>
      </c>
      <c r="M607" s="20">
        <v>0</v>
      </c>
      <c r="N607" s="20">
        <f t="shared" si="1090"/>
        <v>500</v>
      </c>
      <c r="O607" s="19" t="s">
        <v>71</v>
      </c>
      <c r="P607" s="20">
        <v>1777</v>
      </c>
      <c r="Q607" s="20">
        <f t="shared" ref="Q607:X607" si="1219">Q577</f>
        <v>50</v>
      </c>
      <c r="R607" s="20">
        <f t="shared" si="1219"/>
        <v>200</v>
      </c>
      <c r="S607" s="20">
        <f t="shared" si="1219"/>
        <v>350</v>
      </c>
      <c r="T607" s="20">
        <f t="shared" si="1219"/>
        <v>450</v>
      </c>
      <c r="U607" s="20">
        <f t="shared" si="1219"/>
        <v>800</v>
      </c>
      <c r="V607" s="20">
        <f t="shared" si="1219"/>
        <v>800</v>
      </c>
      <c r="W607" s="20">
        <f t="shared" si="1219"/>
        <v>600</v>
      </c>
      <c r="X607" s="20">
        <f t="shared" si="1219"/>
        <v>2</v>
      </c>
      <c r="Y607" s="20">
        <v>0</v>
      </c>
      <c r="Z607" s="22">
        <v>0</v>
      </c>
      <c r="AA607" s="20">
        <f t="shared" si="1211"/>
        <v>0</v>
      </c>
      <c r="AB607" s="20">
        <v>0</v>
      </c>
      <c r="AC607" s="20">
        <v>0</v>
      </c>
      <c r="AD607" s="23">
        <f t="shared" ref="AD607:AE607" si="1220">AD577</f>
        <v>10</v>
      </c>
      <c r="AE607" s="23">
        <f t="shared" si="1220"/>
        <v>14</v>
      </c>
    </row>
    <row r="608" spans="1:31">
      <c r="A608" s="4">
        <v>11200</v>
      </c>
      <c r="B608" s="4">
        <v>7</v>
      </c>
      <c r="C608" s="19" t="s">
        <v>72</v>
      </c>
      <c r="D608" s="44">
        <v>0</v>
      </c>
      <c r="E608" s="18">
        <f t="shared" si="1209"/>
        <v>58</v>
      </c>
      <c r="F608" s="18">
        <v>0</v>
      </c>
      <c r="G608" s="18">
        <v>0</v>
      </c>
      <c r="H608" s="45">
        <v>0</v>
      </c>
      <c r="I608" s="21">
        <f t="shared" si="1089"/>
        <v>110</v>
      </c>
      <c r="J608" s="21">
        <f t="shared" si="1176"/>
        <v>6</v>
      </c>
      <c r="K608" s="21">
        <v>0</v>
      </c>
      <c r="L608" s="20">
        <v>16</v>
      </c>
      <c r="M608" s="20">
        <v>0</v>
      </c>
      <c r="N608" s="20">
        <f t="shared" si="1090"/>
        <v>700</v>
      </c>
      <c r="O608" s="19" t="s">
        <v>72</v>
      </c>
      <c r="P608" s="20">
        <v>2332</v>
      </c>
      <c r="Q608" s="20">
        <f t="shared" ref="Q608:X608" si="1221">Q578</f>
        <v>70</v>
      </c>
      <c r="R608" s="20">
        <f t="shared" si="1221"/>
        <v>280</v>
      </c>
      <c r="S608" s="20">
        <f t="shared" si="1221"/>
        <v>489.99999999999994</v>
      </c>
      <c r="T608" s="20">
        <f t="shared" si="1221"/>
        <v>630</v>
      </c>
      <c r="U608" s="20">
        <f t="shared" si="1221"/>
        <v>650</v>
      </c>
      <c r="V608" s="20">
        <f t="shared" si="1221"/>
        <v>800</v>
      </c>
      <c r="W608" s="20">
        <f t="shared" si="1221"/>
        <v>300</v>
      </c>
      <c r="X608" s="20">
        <f t="shared" si="1221"/>
        <v>2</v>
      </c>
      <c r="Y608" s="20">
        <v>0</v>
      </c>
      <c r="Z608" s="22">
        <v>0</v>
      </c>
      <c r="AA608" s="20">
        <f t="shared" si="1211"/>
        <v>0</v>
      </c>
      <c r="AB608" s="20">
        <v>0</v>
      </c>
      <c r="AC608" s="20">
        <v>0</v>
      </c>
      <c r="AD608" s="23">
        <f t="shared" ref="AD608:AE608" si="1222">AD578</f>
        <v>12</v>
      </c>
      <c r="AE608" s="23">
        <f t="shared" si="1222"/>
        <v>16</v>
      </c>
    </row>
    <row r="609" spans="1:31">
      <c r="A609" s="4">
        <v>11200</v>
      </c>
      <c r="B609" s="4">
        <v>8</v>
      </c>
      <c r="C609" s="19" t="s">
        <v>73</v>
      </c>
      <c r="D609" s="44">
        <v>0</v>
      </c>
      <c r="E609" s="18">
        <f t="shared" si="1209"/>
        <v>63</v>
      </c>
      <c r="F609" s="18">
        <v>0</v>
      </c>
      <c r="G609" s="18">
        <v>0</v>
      </c>
      <c r="H609" s="45">
        <v>0</v>
      </c>
      <c r="I609" s="21">
        <f t="shared" ref="I609:I672" si="1223">I579</f>
        <v>110</v>
      </c>
      <c r="J609" s="21">
        <f t="shared" si="1176"/>
        <v>7</v>
      </c>
      <c r="K609" s="21">
        <v>0</v>
      </c>
      <c r="L609" s="20">
        <v>12</v>
      </c>
      <c r="M609" s="20">
        <v>0</v>
      </c>
      <c r="N609" s="20">
        <f t="shared" ref="N609:N672" si="1224">N579</f>
        <v>800</v>
      </c>
      <c r="O609" s="19" t="s">
        <v>73</v>
      </c>
      <c r="P609" s="20">
        <v>1487</v>
      </c>
      <c r="Q609" s="20">
        <f t="shared" ref="Q609:X609" si="1225">Q579</f>
        <v>80</v>
      </c>
      <c r="R609" s="20">
        <f t="shared" si="1225"/>
        <v>320</v>
      </c>
      <c r="S609" s="20">
        <f t="shared" si="1225"/>
        <v>560</v>
      </c>
      <c r="T609" s="20">
        <f t="shared" si="1225"/>
        <v>720</v>
      </c>
      <c r="U609" s="20">
        <f t="shared" si="1225"/>
        <v>200</v>
      </c>
      <c r="V609" s="20">
        <f t="shared" si="1225"/>
        <v>2000</v>
      </c>
      <c r="W609" s="20">
        <f t="shared" si="1225"/>
        <v>1000</v>
      </c>
      <c r="X609" s="20">
        <f t="shared" si="1225"/>
        <v>2</v>
      </c>
      <c r="Y609" s="20">
        <v>0</v>
      </c>
      <c r="Z609" s="22">
        <v>0</v>
      </c>
      <c r="AA609" s="20">
        <f t="shared" si="1211"/>
        <v>22</v>
      </c>
      <c r="AB609" s="20">
        <v>0</v>
      </c>
      <c r="AC609" s="20">
        <v>0</v>
      </c>
      <c r="AD609" s="23">
        <f t="shared" ref="AD609:AE609" si="1226">AD579</f>
        <v>14</v>
      </c>
      <c r="AE609" s="23">
        <f t="shared" si="1226"/>
        <v>18</v>
      </c>
    </row>
    <row r="610" spans="1:31">
      <c r="A610" s="4">
        <v>11200</v>
      </c>
      <c r="B610" s="4">
        <v>9</v>
      </c>
      <c r="C610" s="19" t="s">
        <v>74</v>
      </c>
      <c r="D610" s="44">
        <v>0</v>
      </c>
      <c r="E610" s="18">
        <f t="shared" si="1209"/>
        <v>68</v>
      </c>
      <c r="F610" s="18">
        <v>0</v>
      </c>
      <c r="G610" s="18">
        <v>0</v>
      </c>
      <c r="H610" s="45">
        <v>0</v>
      </c>
      <c r="I610" s="21">
        <f t="shared" si="1223"/>
        <v>165</v>
      </c>
      <c r="J610" s="21">
        <f t="shared" si="1176"/>
        <v>8</v>
      </c>
      <c r="K610" s="21">
        <v>0</v>
      </c>
      <c r="L610" s="20">
        <v>8</v>
      </c>
      <c r="M610" s="20">
        <v>0</v>
      </c>
      <c r="N610" s="20">
        <f t="shared" si="1224"/>
        <v>900</v>
      </c>
      <c r="O610" s="19" t="s">
        <v>74</v>
      </c>
      <c r="P610" s="20">
        <v>1518</v>
      </c>
      <c r="Q610" s="20">
        <f t="shared" ref="Q610:X610" si="1227">Q580</f>
        <v>90</v>
      </c>
      <c r="R610" s="20">
        <f t="shared" si="1227"/>
        <v>360</v>
      </c>
      <c r="S610" s="20">
        <f t="shared" si="1227"/>
        <v>630</v>
      </c>
      <c r="T610" s="20">
        <f t="shared" si="1227"/>
        <v>810</v>
      </c>
      <c r="U610" s="20">
        <f t="shared" si="1227"/>
        <v>120</v>
      </c>
      <c r="V610" s="20">
        <f t="shared" si="1227"/>
        <v>1500</v>
      </c>
      <c r="W610" s="20">
        <f t="shared" si="1227"/>
        <v>1000</v>
      </c>
      <c r="X610" s="20">
        <f t="shared" si="1227"/>
        <v>3</v>
      </c>
      <c r="Y610" s="20">
        <v>0</v>
      </c>
      <c r="Z610" s="22">
        <v>0</v>
      </c>
      <c r="AA610" s="20">
        <f t="shared" si="1211"/>
        <v>0</v>
      </c>
      <c r="AB610" s="20">
        <v>0</v>
      </c>
      <c r="AC610" s="20">
        <v>0</v>
      </c>
      <c r="AD610" s="23">
        <f t="shared" ref="AD610:AE610" si="1228">AD580</f>
        <v>16</v>
      </c>
      <c r="AE610" s="23">
        <f t="shared" si="1228"/>
        <v>20</v>
      </c>
    </row>
    <row r="611" spans="1:31">
      <c r="A611" s="4">
        <v>11200</v>
      </c>
      <c r="B611" s="4">
        <v>10</v>
      </c>
      <c r="C611" s="19" t="s">
        <v>75</v>
      </c>
      <c r="D611" s="44">
        <v>0</v>
      </c>
      <c r="E611" s="18">
        <f t="shared" si="1209"/>
        <v>74</v>
      </c>
      <c r="F611" s="18">
        <v>0</v>
      </c>
      <c r="G611" s="18">
        <v>0</v>
      </c>
      <c r="H611" s="45">
        <v>0</v>
      </c>
      <c r="I611" s="21">
        <f t="shared" si="1223"/>
        <v>165</v>
      </c>
      <c r="J611" s="21">
        <f t="shared" si="1176"/>
        <v>9</v>
      </c>
      <c r="K611" s="21">
        <v>0</v>
      </c>
      <c r="L611" s="20">
        <v>6</v>
      </c>
      <c r="M611" s="20">
        <v>0</v>
      </c>
      <c r="N611" s="20">
        <f t="shared" si="1224"/>
        <v>2000</v>
      </c>
      <c r="O611" s="19" t="s">
        <v>75</v>
      </c>
      <c r="P611" s="20">
        <v>861</v>
      </c>
      <c r="Q611" s="20">
        <f t="shared" ref="Q611:X611" si="1229">Q581</f>
        <v>200</v>
      </c>
      <c r="R611" s="20">
        <f t="shared" si="1229"/>
        <v>800</v>
      </c>
      <c r="S611" s="20">
        <f t="shared" si="1229"/>
        <v>1400</v>
      </c>
      <c r="T611" s="20">
        <f t="shared" si="1229"/>
        <v>1800</v>
      </c>
      <c r="U611" s="20">
        <f t="shared" si="1229"/>
        <v>150</v>
      </c>
      <c r="V611" s="20">
        <f t="shared" si="1229"/>
        <v>5000</v>
      </c>
      <c r="W611" s="20">
        <f t="shared" si="1229"/>
        <v>800</v>
      </c>
      <c r="X611" s="20">
        <f t="shared" si="1229"/>
        <v>3</v>
      </c>
      <c r="Y611" s="20">
        <v>0</v>
      </c>
      <c r="Z611" s="22">
        <v>0</v>
      </c>
      <c r="AA611" s="20">
        <f t="shared" si="1211"/>
        <v>0</v>
      </c>
      <c r="AB611" s="20">
        <v>0</v>
      </c>
      <c r="AC611" s="20">
        <v>0</v>
      </c>
      <c r="AD611" s="23">
        <f t="shared" ref="AD611:AE611" si="1230">AD581</f>
        <v>18</v>
      </c>
      <c r="AE611" s="23">
        <f t="shared" si="1230"/>
        <v>22</v>
      </c>
    </row>
    <row r="612" spans="1:31">
      <c r="A612" s="4">
        <v>11200</v>
      </c>
      <c r="B612" s="4">
        <v>11</v>
      </c>
      <c r="C612" s="19" t="s">
        <v>66</v>
      </c>
      <c r="D612" s="44">
        <v>0</v>
      </c>
      <c r="E612" s="18">
        <f t="shared" si="1209"/>
        <v>80</v>
      </c>
      <c r="F612" s="18">
        <v>0</v>
      </c>
      <c r="G612" s="18">
        <v>0</v>
      </c>
      <c r="H612" s="45">
        <v>0</v>
      </c>
      <c r="I612" s="21">
        <f t="shared" si="1223"/>
        <v>165</v>
      </c>
      <c r="J612" s="21">
        <f t="shared" si="1176"/>
        <v>10</v>
      </c>
      <c r="K612" s="21">
        <v>0</v>
      </c>
      <c r="L612" s="20">
        <v>6</v>
      </c>
      <c r="M612" s="20">
        <v>0</v>
      </c>
      <c r="N612" s="20">
        <f t="shared" si="1224"/>
        <v>2200</v>
      </c>
      <c r="O612" s="19" t="s">
        <v>66</v>
      </c>
      <c r="P612" s="20">
        <v>9400</v>
      </c>
      <c r="Q612" s="20">
        <f t="shared" ref="Q612:X612" si="1231">Q582</f>
        <v>220</v>
      </c>
      <c r="R612" s="20">
        <f t="shared" si="1231"/>
        <v>880</v>
      </c>
      <c r="S612" s="20">
        <f t="shared" si="1231"/>
        <v>1540</v>
      </c>
      <c r="T612" s="20">
        <f t="shared" si="1231"/>
        <v>1980</v>
      </c>
      <c r="U612" s="20">
        <f t="shared" si="1231"/>
        <v>100</v>
      </c>
      <c r="V612" s="20">
        <f t="shared" si="1231"/>
        <v>800</v>
      </c>
      <c r="W612" s="20">
        <f t="shared" si="1231"/>
        <v>600</v>
      </c>
      <c r="X612" s="20">
        <f t="shared" si="1231"/>
        <v>3</v>
      </c>
      <c r="Y612" s="20">
        <v>0</v>
      </c>
      <c r="Z612" s="22">
        <v>0</v>
      </c>
      <c r="AA612" s="20">
        <f t="shared" si="1211"/>
        <v>0</v>
      </c>
      <c r="AB612" s="20">
        <v>0</v>
      </c>
      <c r="AC612" s="20">
        <v>0</v>
      </c>
      <c r="AD612" s="23">
        <f t="shared" ref="AD612:AE612" si="1232">AD582</f>
        <v>20</v>
      </c>
      <c r="AE612" s="23">
        <f t="shared" si="1232"/>
        <v>24</v>
      </c>
    </row>
    <row r="613" spans="1:31">
      <c r="A613" s="4">
        <v>11200</v>
      </c>
      <c r="B613" s="4">
        <v>12</v>
      </c>
      <c r="C613" s="19" t="s">
        <v>67</v>
      </c>
      <c r="D613" s="44">
        <v>0</v>
      </c>
      <c r="E613" s="18">
        <f t="shared" si="1209"/>
        <v>86</v>
      </c>
      <c r="F613" s="18">
        <v>0</v>
      </c>
      <c r="G613" s="18">
        <v>0</v>
      </c>
      <c r="H613" s="45">
        <v>0</v>
      </c>
      <c r="I613" s="21">
        <f t="shared" si="1223"/>
        <v>165</v>
      </c>
      <c r="J613" s="21">
        <f t="shared" si="1176"/>
        <v>11</v>
      </c>
      <c r="K613" s="21">
        <v>0</v>
      </c>
      <c r="L613" s="20">
        <v>6</v>
      </c>
      <c r="M613" s="20">
        <v>0</v>
      </c>
      <c r="N613" s="20">
        <f t="shared" si="1224"/>
        <v>2400</v>
      </c>
      <c r="O613" s="19" t="s">
        <v>67</v>
      </c>
      <c r="P613" s="20">
        <v>9100</v>
      </c>
      <c r="Q613" s="20">
        <f t="shared" ref="Q613:X613" si="1233">Q583</f>
        <v>240</v>
      </c>
      <c r="R613" s="20">
        <f t="shared" si="1233"/>
        <v>960</v>
      </c>
      <c r="S613" s="20">
        <f t="shared" si="1233"/>
        <v>1680</v>
      </c>
      <c r="T613" s="20">
        <f t="shared" si="1233"/>
        <v>2160</v>
      </c>
      <c r="U613" s="20">
        <f t="shared" si="1233"/>
        <v>150</v>
      </c>
      <c r="V613" s="20">
        <f t="shared" si="1233"/>
        <v>700</v>
      </c>
      <c r="W613" s="20">
        <f t="shared" si="1233"/>
        <v>900</v>
      </c>
      <c r="X613" s="20">
        <f t="shared" si="1233"/>
        <v>3</v>
      </c>
      <c r="Y613" s="20">
        <v>0</v>
      </c>
      <c r="Z613" s="22">
        <v>0</v>
      </c>
      <c r="AA613" s="20">
        <f t="shared" si="1211"/>
        <v>0</v>
      </c>
      <c r="AB613" s="20">
        <v>0</v>
      </c>
      <c r="AC613" s="20">
        <v>0</v>
      </c>
      <c r="AD613" s="23">
        <f t="shared" ref="AD613:AE613" si="1234">AD583</f>
        <v>22</v>
      </c>
      <c r="AE613" s="23">
        <f t="shared" si="1234"/>
        <v>26</v>
      </c>
    </row>
    <row r="614" spans="1:31">
      <c r="A614" s="4">
        <v>11200</v>
      </c>
      <c r="B614" s="4">
        <v>13</v>
      </c>
      <c r="C614" s="19" t="s">
        <v>68</v>
      </c>
      <c r="D614" s="44">
        <v>0</v>
      </c>
      <c r="E614" s="18">
        <f t="shared" si="1209"/>
        <v>94</v>
      </c>
      <c r="F614" s="18">
        <v>0</v>
      </c>
      <c r="G614" s="18">
        <v>0</v>
      </c>
      <c r="H614" s="45">
        <v>0</v>
      </c>
      <c r="I614" s="21">
        <f t="shared" si="1223"/>
        <v>220</v>
      </c>
      <c r="J614" s="21">
        <f t="shared" si="1176"/>
        <v>12</v>
      </c>
      <c r="K614" s="21">
        <v>0</v>
      </c>
      <c r="L614" s="20">
        <v>6</v>
      </c>
      <c r="M614" s="20">
        <v>0</v>
      </c>
      <c r="N614" s="20">
        <f t="shared" si="1224"/>
        <v>2600</v>
      </c>
      <c r="O614" s="19" t="s">
        <v>68</v>
      </c>
      <c r="P614" s="20">
        <v>8600</v>
      </c>
      <c r="Q614" s="20">
        <f t="shared" ref="Q614:X614" si="1235">Q584</f>
        <v>260</v>
      </c>
      <c r="R614" s="20">
        <f t="shared" si="1235"/>
        <v>1040</v>
      </c>
      <c r="S614" s="20">
        <f t="shared" si="1235"/>
        <v>1819.9999999999998</v>
      </c>
      <c r="T614" s="20">
        <f t="shared" si="1235"/>
        <v>2340</v>
      </c>
      <c r="U614" s="20">
        <f t="shared" si="1235"/>
        <v>100</v>
      </c>
      <c r="V614" s="20">
        <f t="shared" si="1235"/>
        <v>700</v>
      </c>
      <c r="W614" s="20">
        <f t="shared" si="1235"/>
        <v>1000</v>
      </c>
      <c r="X614" s="20">
        <f t="shared" si="1235"/>
        <v>4</v>
      </c>
      <c r="Y614" s="20">
        <v>0</v>
      </c>
      <c r="Z614" s="22">
        <v>0</v>
      </c>
      <c r="AA614" s="20">
        <f t="shared" si="1211"/>
        <v>45</v>
      </c>
      <c r="AB614" s="20">
        <v>0</v>
      </c>
      <c r="AC614" s="20">
        <v>0</v>
      </c>
      <c r="AD614" s="23">
        <f t="shared" ref="AD614:AE614" si="1236">AD584</f>
        <v>24</v>
      </c>
      <c r="AE614" s="23">
        <f t="shared" si="1236"/>
        <v>28</v>
      </c>
    </row>
    <row r="615" spans="1:31">
      <c r="A615" s="4">
        <v>11200</v>
      </c>
      <c r="B615" s="4">
        <v>14</v>
      </c>
      <c r="C615" s="19" t="s">
        <v>69</v>
      </c>
      <c r="D615" s="44">
        <v>0</v>
      </c>
      <c r="E615" s="18">
        <f t="shared" si="1209"/>
        <v>101</v>
      </c>
      <c r="F615" s="18">
        <v>0</v>
      </c>
      <c r="G615" s="18">
        <v>0</v>
      </c>
      <c r="H615" s="45">
        <v>0</v>
      </c>
      <c r="I615" s="21">
        <f t="shared" si="1223"/>
        <v>220</v>
      </c>
      <c r="J615" s="21">
        <f t="shared" si="1176"/>
        <v>13</v>
      </c>
      <c r="K615" s="21">
        <v>0</v>
      </c>
      <c r="L615" s="20">
        <v>6</v>
      </c>
      <c r="M615" s="20">
        <v>0</v>
      </c>
      <c r="N615" s="20">
        <f t="shared" si="1224"/>
        <v>2800</v>
      </c>
      <c r="O615" s="19" t="s">
        <v>69</v>
      </c>
      <c r="P615" s="20">
        <v>6400</v>
      </c>
      <c r="Q615" s="20">
        <f t="shared" ref="Q615:X615" si="1237">Q585</f>
        <v>280</v>
      </c>
      <c r="R615" s="20">
        <f t="shared" si="1237"/>
        <v>1120</v>
      </c>
      <c r="S615" s="20">
        <f t="shared" si="1237"/>
        <v>1959.9999999999998</v>
      </c>
      <c r="T615" s="20">
        <f t="shared" si="1237"/>
        <v>2520</v>
      </c>
      <c r="U615" s="20">
        <f t="shared" si="1237"/>
        <v>100</v>
      </c>
      <c r="V615" s="20">
        <f t="shared" si="1237"/>
        <v>400</v>
      </c>
      <c r="W615" s="20">
        <f t="shared" si="1237"/>
        <v>1200</v>
      </c>
      <c r="X615" s="20">
        <f t="shared" si="1237"/>
        <v>4</v>
      </c>
      <c r="Y615" s="20">
        <v>0</v>
      </c>
      <c r="Z615" s="22">
        <v>0</v>
      </c>
      <c r="AA615" s="20">
        <f t="shared" si="1211"/>
        <v>0</v>
      </c>
      <c r="AB615" s="20">
        <v>0</v>
      </c>
      <c r="AC615" s="20">
        <v>0</v>
      </c>
      <c r="AD615" s="23">
        <f t="shared" ref="AD615:AE615" si="1238">AD585</f>
        <v>26</v>
      </c>
      <c r="AE615" s="23">
        <f t="shared" si="1238"/>
        <v>30</v>
      </c>
    </row>
    <row r="616" spans="1:31">
      <c r="A616" s="4">
        <v>11200</v>
      </c>
      <c r="B616" s="4">
        <v>15</v>
      </c>
      <c r="C616" s="19" t="s">
        <v>70</v>
      </c>
      <c r="D616" s="44">
        <v>0</v>
      </c>
      <c r="E616" s="18">
        <f t="shared" si="1209"/>
        <v>110</v>
      </c>
      <c r="F616" s="18">
        <v>0</v>
      </c>
      <c r="G616" s="18">
        <v>0</v>
      </c>
      <c r="H616" s="45">
        <v>0</v>
      </c>
      <c r="I616" s="21">
        <f t="shared" si="1223"/>
        <v>220</v>
      </c>
      <c r="J616" s="21">
        <f t="shared" si="1176"/>
        <v>14</v>
      </c>
      <c r="K616" s="21">
        <v>0</v>
      </c>
      <c r="L616" s="20">
        <v>6</v>
      </c>
      <c r="M616" s="20">
        <v>0</v>
      </c>
      <c r="N616" s="20">
        <f t="shared" si="1224"/>
        <v>4500</v>
      </c>
      <c r="O616" s="19" t="s">
        <v>70</v>
      </c>
      <c r="P616" s="20">
        <v>3100</v>
      </c>
      <c r="Q616" s="20">
        <f t="shared" ref="Q616:X616" si="1239">Q586</f>
        <v>450</v>
      </c>
      <c r="R616" s="20">
        <f t="shared" si="1239"/>
        <v>1800</v>
      </c>
      <c r="S616" s="20">
        <f t="shared" si="1239"/>
        <v>3150</v>
      </c>
      <c r="T616" s="20">
        <f t="shared" si="1239"/>
        <v>4050</v>
      </c>
      <c r="U616" s="20">
        <f t="shared" si="1239"/>
        <v>100</v>
      </c>
      <c r="V616" s="20">
        <f t="shared" si="1239"/>
        <v>1000</v>
      </c>
      <c r="W616" s="20">
        <f t="shared" si="1239"/>
        <v>600</v>
      </c>
      <c r="X616" s="20">
        <f t="shared" si="1239"/>
        <v>4</v>
      </c>
      <c r="Y616" s="20">
        <v>0</v>
      </c>
      <c r="Z616" s="22">
        <v>0</v>
      </c>
      <c r="AA616" s="20">
        <f t="shared" si="1211"/>
        <v>0</v>
      </c>
      <c r="AB616" s="20">
        <v>0</v>
      </c>
      <c r="AC616" s="20">
        <v>0</v>
      </c>
      <c r="AD616" s="23">
        <f t="shared" ref="AD616:AE616" si="1240">AD586</f>
        <v>28</v>
      </c>
      <c r="AE616" s="23">
        <f t="shared" si="1240"/>
        <v>32</v>
      </c>
    </row>
    <row r="617" spans="1:31">
      <c r="A617" s="4">
        <v>11200</v>
      </c>
      <c r="B617" s="4">
        <v>16</v>
      </c>
      <c r="C617" s="19" t="s">
        <v>71</v>
      </c>
      <c r="D617" s="44">
        <v>0</v>
      </c>
      <c r="E617" s="18">
        <f t="shared" si="1209"/>
        <v>119</v>
      </c>
      <c r="F617" s="18">
        <v>0</v>
      </c>
      <c r="G617" s="18">
        <v>0</v>
      </c>
      <c r="H617" s="45">
        <v>0</v>
      </c>
      <c r="I617" s="21">
        <f t="shared" si="1223"/>
        <v>220</v>
      </c>
      <c r="J617" s="21">
        <f t="shared" si="1176"/>
        <v>15</v>
      </c>
      <c r="K617" s="21">
        <v>0</v>
      </c>
      <c r="L617" s="20">
        <v>6</v>
      </c>
      <c r="M617" s="20">
        <v>0</v>
      </c>
      <c r="N617" s="20">
        <f t="shared" si="1224"/>
        <v>4800</v>
      </c>
      <c r="O617" s="19" t="s">
        <v>71</v>
      </c>
      <c r="P617" s="20">
        <v>1777</v>
      </c>
      <c r="Q617" s="20">
        <f t="shared" ref="Q617:X617" si="1241">Q587</f>
        <v>480</v>
      </c>
      <c r="R617" s="20">
        <f t="shared" si="1241"/>
        <v>1920</v>
      </c>
      <c r="S617" s="20">
        <f t="shared" si="1241"/>
        <v>3360</v>
      </c>
      <c r="T617" s="20">
        <f t="shared" si="1241"/>
        <v>4320</v>
      </c>
      <c r="U617" s="20">
        <f t="shared" si="1241"/>
        <v>100</v>
      </c>
      <c r="V617" s="20">
        <f t="shared" si="1241"/>
        <v>800</v>
      </c>
      <c r="W617" s="20">
        <f t="shared" si="1241"/>
        <v>800</v>
      </c>
      <c r="X617" s="20">
        <f t="shared" si="1241"/>
        <v>4</v>
      </c>
      <c r="Y617" s="20">
        <v>0</v>
      </c>
      <c r="Z617" s="22">
        <v>0</v>
      </c>
      <c r="AA617" s="20">
        <f t="shared" si="1211"/>
        <v>0</v>
      </c>
      <c r="AB617" s="20">
        <v>0</v>
      </c>
      <c r="AC617" s="20">
        <v>0</v>
      </c>
      <c r="AD617" s="23">
        <f t="shared" ref="AD617:AE617" si="1242">AD587</f>
        <v>30</v>
      </c>
      <c r="AE617" s="23">
        <f t="shared" si="1242"/>
        <v>34</v>
      </c>
    </row>
    <row r="618" spans="1:31">
      <c r="A618" s="4">
        <v>11200</v>
      </c>
      <c r="B618" s="4">
        <v>17</v>
      </c>
      <c r="C618" s="19" t="s">
        <v>72</v>
      </c>
      <c r="D618" s="44">
        <v>0</v>
      </c>
      <c r="E618" s="18">
        <f t="shared" si="1209"/>
        <v>128</v>
      </c>
      <c r="F618" s="18">
        <v>0</v>
      </c>
      <c r="G618" s="18">
        <v>0</v>
      </c>
      <c r="H618" s="45">
        <v>0</v>
      </c>
      <c r="I618" s="21">
        <f t="shared" si="1223"/>
        <v>275</v>
      </c>
      <c r="J618" s="21">
        <f t="shared" si="1176"/>
        <v>16</v>
      </c>
      <c r="K618" s="21">
        <v>0</v>
      </c>
      <c r="L618" s="20">
        <v>6</v>
      </c>
      <c r="M618" s="20">
        <v>0</v>
      </c>
      <c r="N618" s="20">
        <f t="shared" si="1224"/>
        <v>5100</v>
      </c>
      <c r="O618" s="19" t="s">
        <v>72</v>
      </c>
      <c r="P618" s="20">
        <v>2332</v>
      </c>
      <c r="Q618" s="20">
        <f t="shared" ref="Q618:X618" si="1243">Q588</f>
        <v>510</v>
      </c>
      <c r="R618" s="20">
        <f t="shared" si="1243"/>
        <v>2040</v>
      </c>
      <c r="S618" s="20">
        <f t="shared" si="1243"/>
        <v>3570</v>
      </c>
      <c r="T618" s="20">
        <f t="shared" si="1243"/>
        <v>4590</v>
      </c>
      <c r="U618" s="20">
        <f t="shared" si="1243"/>
        <v>80</v>
      </c>
      <c r="V618" s="20">
        <f t="shared" si="1243"/>
        <v>800</v>
      </c>
      <c r="W618" s="20">
        <f t="shared" si="1243"/>
        <v>600</v>
      </c>
      <c r="X618" s="20">
        <f t="shared" si="1243"/>
        <v>5</v>
      </c>
      <c r="Y618" s="20">
        <v>0</v>
      </c>
      <c r="Z618" s="22">
        <v>0</v>
      </c>
      <c r="AA618" s="20">
        <f t="shared" si="1211"/>
        <v>0</v>
      </c>
      <c r="AB618" s="20">
        <v>0</v>
      </c>
      <c r="AC618" s="20">
        <v>0</v>
      </c>
      <c r="AD618" s="23">
        <f t="shared" ref="AD618:AE618" si="1244">AD588</f>
        <v>32</v>
      </c>
      <c r="AE618" s="23">
        <f t="shared" si="1244"/>
        <v>36</v>
      </c>
    </row>
    <row r="619" spans="1:31">
      <c r="A619" s="4">
        <v>11200</v>
      </c>
      <c r="B619" s="4">
        <v>18</v>
      </c>
      <c r="C619" s="19" t="s">
        <v>73</v>
      </c>
      <c r="D619" s="44">
        <v>0</v>
      </c>
      <c r="E619" s="18">
        <f t="shared" si="1209"/>
        <v>139</v>
      </c>
      <c r="F619" s="18">
        <v>0</v>
      </c>
      <c r="G619" s="18">
        <v>0</v>
      </c>
      <c r="H619" s="45">
        <v>0</v>
      </c>
      <c r="I619" s="21">
        <f t="shared" si="1223"/>
        <v>275</v>
      </c>
      <c r="J619" s="21">
        <f t="shared" si="1176"/>
        <v>17</v>
      </c>
      <c r="K619" s="21">
        <v>0</v>
      </c>
      <c r="L619" s="20">
        <v>6</v>
      </c>
      <c r="M619" s="20">
        <v>0</v>
      </c>
      <c r="N619" s="20">
        <f t="shared" si="1224"/>
        <v>5400</v>
      </c>
      <c r="O619" s="19" t="s">
        <v>73</v>
      </c>
      <c r="P619" s="20">
        <v>1487</v>
      </c>
      <c r="Q619" s="20">
        <f t="shared" ref="Q619:X619" si="1245">Q589</f>
        <v>540</v>
      </c>
      <c r="R619" s="20">
        <f t="shared" si="1245"/>
        <v>2160</v>
      </c>
      <c r="S619" s="20">
        <f t="shared" si="1245"/>
        <v>3779.9999999999995</v>
      </c>
      <c r="T619" s="20">
        <f t="shared" si="1245"/>
        <v>4860</v>
      </c>
      <c r="U619" s="20">
        <f t="shared" si="1245"/>
        <v>100</v>
      </c>
      <c r="V619" s="20">
        <f t="shared" si="1245"/>
        <v>600</v>
      </c>
      <c r="W619" s="20">
        <f t="shared" si="1245"/>
        <v>300</v>
      </c>
      <c r="X619" s="20">
        <f t="shared" si="1245"/>
        <v>5</v>
      </c>
      <c r="Y619" s="20">
        <v>0</v>
      </c>
      <c r="Z619" s="22">
        <v>0</v>
      </c>
      <c r="AA619" s="20">
        <f t="shared" si="1211"/>
        <v>67</v>
      </c>
      <c r="AB619" s="20">
        <v>0</v>
      </c>
      <c r="AC619" s="20">
        <v>0</v>
      </c>
      <c r="AD619" s="23">
        <f t="shared" ref="AD619:AE619" si="1246">AD589</f>
        <v>34</v>
      </c>
      <c r="AE619" s="23">
        <f t="shared" si="1246"/>
        <v>38</v>
      </c>
    </row>
    <row r="620" spans="1:31">
      <c r="A620" s="4">
        <v>11200</v>
      </c>
      <c r="B620" s="4">
        <v>19</v>
      </c>
      <c r="C620" s="19" t="s">
        <v>74</v>
      </c>
      <c r="D620" s="44">
        <v>0</v>
      </c>
      <c r="E620" s="18">
        <f t="shared" si="1209"/>
        <v>151</v>
      </c>
      <c r="F620" s="18">
        <v>0</v>
      </c>
      <c r="G620" s="18">
        <v>0</v>
      </c>
      <c r="H620" s="45">
        <v>0</v>
      </c>
      <c r="I620" s="21">
        <f t="shared" si="1223"/>
        <v>275</v>
      </c>
      <c r="J620" s="21">
        <f t="shared" si="1176"/>
        <v>18</v>
      </c>
      <c r="K620" s="21">
        <v>0</v>
      </c>
      <c r="L620" s="20">
        <v>6</v>
      </c>
      <c r="M620" s="20">
        <v>0</v>
      </c>
      <c r="N620" s="20">
        <f t="shared" si="1224"/>
        <v>5700</v>
      </c>
      <c r="O620" s="19" t="s">
        <v>74</v>
      </c>
      <c r="P620" s="20">
        <v>1518</v>
      </c>
      <c r="Q620" s="20">
        <f t="shared" ref="Q620:X620" si="1247">Q590</f>
        <v>570</v>
      </c>
      <c r="R620" s="20">
        <f t="shared" si="1247"/>
        <v>2280</v>
      </c>
      <c r="S620" s="20">
        <f t="shared" si="1247"/>
        <v>3989.9999999999995</v>
      </c>
      <c r="T620" s="20">
        <f t="shared" si="1247"/>
        <v>5130</v>
      </c>
      <c r="U620" s="20">
        <f t="shared" si="1247"/>
        <v>100</v>
      </c>
      <c r="V620" s="20">
        <f t="shared" si="1247"/>
        <v>500</v>
      </c>
      <c r="W620" s="20">
        <f t="shared" si="1247"/>
        <v>400</v>
      </c>
      <c r="X620" s="20">
        <f t="shared" si="1247"/>
        <v>5</v>
      </c>
      <c r="Y620" s="20">
        <v>0</v>
      </c>
      <c r="Z620" s="22">
        <v>0</v>
      </c>
      <c r="AA620" s="20">
        <f t="shared" si="1211"/>
        <v>0</v>
      </c>
      <c r="AB620" s="20">
        <v>0</v>
      </c>
      <c r="AC620" s="20">
        <v>0</v>
      </c>
      <c r="AD620" s="23">
        <f t="shared" ref="AD620:AE620" si="1248">AD590</f>
        <v>36</v>
      </c>
      <c r="AE620" s="23">
        <f t="shared" si="1248"/>
        <v>40</v>
      </c>
    </row>
    <row r="621" spans="1:31">
      <c r="A621" s="4">
        <v>11200</v>
      </c>
      <c r="B621" s="4">
        <v>20</v>
      </c>
      <c r="C621" s="19" t="s">
        <v>75</v>
      </c>
      <c r="D621" s="44">
        <v>0</v>
      </c>
      <c r="E621" s="18">
        <f t="shared" si="1209"/>
        <v>163</v>
      </c>
      <c r="F621" s="18">
        <v>0</v>
      </c>
      <c r="G621" s="18">
        <v>0</v>
      </c>
      <c r="H621" s="45">
        <v>0</v>
      </c>
      <c r="I621" s="21">
        <f t="shared" si="1223"/>
        <v>275</v>
      </c>
      <c r="J621" s="21">
        <f t="shared" si="1176"/>
        <v>19</v>
      </c>
      <c r="K621" s="21">
        <v>0</v>
      </c>
      <c r="L621" s="20">
        <v>6</v>
      </c>
      <c r="M621" s="20">
        <v>0</v>
      </c>
      <c r="N621" s="20">
        <f t="shared" si="1224"/>
        <v>8000</v>
      </c>
      <c r="O621" s="19" t="s">
        <v>75</v>
      </c>
      <c r="P621" s="20">
        <v>861</v>
      </c>
      <c r="Q621" s="20">
        <f t="shared" ref="Q621:X621" si="1249">Q591</f>
        <v>800</v>
      </c>
      <c r="R621" s="20">
        <f t="shared" si="1249"/>
        <v>3200</v>
      </c>
      <c r="S621" s="20">
        <f t="shared" si="1249"/>
        <v>5600</v>
      </c>
      <c r="T621" s="20">
        <f t="shared" si="1249"/>
        <v>7200</v>
      </c>
      <c r="U621" s="20">
        <f t="shared" si="1249"/>
        <v>100</v>
      </c>
      <c r="V621" s="20">
        <f t="shared" si="1249"/>
        <v>800</v>
      </c>
      <c r="W621" s="20">
        <f t="shared" si="1249"/>
        <v>8000</v>
      </c>
      <c r="X621" s="20">
        <f t="shared" si="1249"/>
        <v>5</v>
      </c>
      <c r="Y621" s="20">
        <v>0</v>
      </c>
      <c r="Z621" s="22">
        <v>0</v>
      </c>
      <c r="AA621" s="20">
        <f t="shared" si="1211"/>
        <v>0</v>
      </c>
      <c r="AB621" s="20">
        <v>0</v>
      </c>
      <c r="AC621" s="20">
        <v>0</v>
      </c>
      <c r="AD621" s="23">
        <f t="shared" ref="AD621:AE621" si="1250">AD591</f>
        <v>38</v>
      </c>
      <c r="AE621" s="23">
        <f t="shared" si="1250"/>
        <v>42</v>
      </c>
    </row>
    <row r="622" spans="1:31">
      <c r="A622" s="4">
        <v>11200</v>
      </c>
      <c r="B622" s="4">
        <v>21</v>
      </c>
      <c r="C622" s="19" t="s">
        <v>66</v>
      </c>
      <c r="D622" s="44">
        <v>0</v>
      </c>
      <c r="E622" s="18">
        <f t="shared" si="1209"/>
        <v>176</v>
      </c>
      <c r="F622" s="18">
        <v>0</v>
      </c>
      <c r="G622" s="18">
        <v>0</v>
      </c>
      <c r="H622" s="45">
        <v>0</v>
      </c>
      <c r="I622" s="21">
        <f t="shared" si="1223"/>
        <v>330</v>
      </c>
      <c r="J622" s="21">
        <f t="shared" si="1176"/>
        <v>20</v>
      </c>
      <c r="K622" s="21">
        <v>0</v>
      </c>
      <c r="L622" s="20">
        <v>6</v>
      </c>
      <c r="M622" s="20">
        <v>0</v>
      </c>
      <c r="N622" s="20">
        <f t="shared" si="1224"/>
        <v>8400</v>
      </c>
      <c r="O622" s="19" t="s">
        <v>66</v>
      </c>
      <c r="P622" s="20">
        <v>9400</v>
      </c>
      <c r="Q622" s="20">
        <f t="shared" ref="Q622:X622" si="1251">Q592</f>
        <v>840</v>
      </c>
      <c r="R622" s="20">
        <f t="shared" si="1251"/>
        <v>3360</v>
      </c>
      <c r="S622" s="20">
        <f t="shared" si="1251"/>
        <v>5880</v>
      </c>
      <c r="T622" s="20">
        <f t="shared" si="1251"/>
        <v>7560</v>
      </c>
      <c r="U622" s="20">
        <f t="shared" si="1251"/>
        <v>50</v>
      </c>
      <c r="V622" s="20">
        <f t="shared" si="1251"/>
        <v>1000</v>
      </c>
      <c r="W622" s="20">
        <f t="shared" si="1251"/>
        <v>600</v>
      </c>
      <c r="X622" s="20">
        <f t="shared" si="1251"/>
        <v>6</v>
      </c>
      <c r="Y622" s="20">
        <v>0</v>
      </c>
      <c r="Z622" s="22">
        <v>0</v>
      </c>
      <c r="AA622" s="20">
        <f t="shared" si="1211"/>
        <v>0</v>
      </c>
      <c r="AB622" s="20">
        <v>0</v>
      </c>
      <c r="AC622" s="20">
        <v>0</v>
      </c>
      <c r="AD622" s="23">
        <f t="shared" ref="AD622:AE622" si="1252">AD592</f>
        <v>40</v>
      </c>
      <c r="AE622" s="23">
        <f t="shared" si="1252"/>
        <v>44</v>
      </c>
    </row>
    <row r="623" spans="1:31">
      <c r="A623" s="4">
        <v>11200</v>
      </c>
      <c r="B623" s="4">
        <v>22</v>
      </c>
      <c r="C623" s="19" t="s">
        <v>67</v>
      </c>
      <c r="D623" s="44">
        <v>0</v>
      </c>
      <c r="E623" s="18">
        <f t="shared" si="1209"/>
        <v>191</v>
      </c>
      <c r="F623" s="18">
        <v>0</v>
      </c>
      <c r="G623" s="18">
        <v>0</v>
      </c>
      <c r="H623" s="45">
        <v>0</v>
      </c>
      <c r="I623" s="21">
        <f t="shared" si="1223"/>
        <v>330</v>
      </c>
      <c r="J623" s="21">
        <f t="shared" si="1176"/>
        <v>21</v>
      </c>
      <c r="K623" s="21">
        <v>0</v>
      </c>
      <c r="L623" s="20">
        <v>6</v>
      </c>
      <c r="M623" s="20">
        <v>0</v>
      </c>
      <c r="N623" s="20">
        <f t="shared" si="1224"/>
        <v>8800</v>
      </c>
      <c r="O623" s="19" t="s">
        <v>67</v>
      </c>
      <c r="P623" s="20">
        <v>9100</v>
      </c>
      <c r="Q623" s="20">
        <f t="shared" ref="Q623:X623" si="1253">Q593</f>
        <v>880</v>
      </c>
      <c r="R623" s="20">
        <f t="shared" si="1253"/>
        <v>3520</v>
      </c>
      <c r="S623" s="20">
        <f t="shared" si="1253"/>
        <v>6160</v>
      </c>
      <c r="T623" s="20">
        <f t="shared" si="1253"/>
        <v>7920</v>
      </c>
      <c r="U623" s="20">
        <f t="shared" si="1253"/>
        <v>100</v>
      </c>
      <c r="V623" s="20">
        <f t="shared" si="1253"/>
        <v>600</v>
      </c>
      <c r="W623" s="20">
        <f t="shared" si="1253"/>
        <v>700</v>
      </c>
      <c r="X623" s="20">
        <f t="shared" si="1253"/>
        <v>6</v>
      </c>
      <c r="Y623" s="20">
        <v>0</v>
      </c>
      <c r="Z623" s="22">
        <v>0</v>
      </c>
      <c r="AA623" s="20">
        <f t="shared" si="1211"/>
        <v>0</v>
      </c>
      <c r="AB623" s="20">
        <v>0</v>
      </c>
      <c r="AC623" s="20">
        <v>0</v>
      </c>
      <c r="AD623" s="23">
        <f t="shared" ref="AD623:AE623" si="1254">AD593</f>
        <v>42</v>
      </c>
      <c r="AE623" s="23">
        <f t="shared" si="1254"/>
        <v>46</v>
      </c>
    </row>
    <row r="624" spans="1:31">
      <c r="A624" s="4">
        <v>11200</v>
      </c>
      <c r="B624" s="4">
        <v>23</v>
      </c>
      <c r="C624" s="19" t="s">
        <v>68</v>
      </c>
      <c r="D624" s="44">
        <v>0</v>
      </c>
      <c r="E624" s="18">
        <f t="shared" si="1209"/>
        <v>207</v>
      </c>
      <c r="F624" s="18">
        <v>0</v>
      </c>
      <c r="G624" s="18">
        <v>0</v>
      </c>
      <c r="H624" s="45">
        <v>0</v>
      </c>
      <c r="I624" s="21">
        <f t="shared" si="1223"/>
        <v>330</v>
      </c>
      <c r="J624" s="21">
        <f t="shared" si="1176"/>
        <v>22</v>
      </c>
      <c r="K624" s="21">
        <v>0</v>
      </c>
      <c r="L624" s="20">
        <v>6</v>
      </c>
      <c r="M624" s="20">
        <v>0</v>
      </c>
      <c r="N624" s="20">
        <f t="shared" si="1224"/>
        <v>9200</v>
      </c>
      <c r="O624" s="19" t="s">
        <v>68</v>
      </c>
      <c r="P624" s="20">
        <v>8600</v>
      </c>
      <c r="Q624" s="20">
        <f t="shared" ref="Q624:X624" si="1255">Q594</f>
        <v>920</v>
      </c>
      <c r="R624" s="20">
        <f t="shared" si="1255"/>
        <v>3680</v>
      </c>
      <c r="S624" s="20">
        <f t="shared" si="1255"/>
        <v>6440</v>
      </c>
      <c r="T624" s="20">
        <f t="shared" si="1255"/>
        <v>8280</v>
      </c>
      <c r="U624" s="20">
        <f t="shared" si="1255"/>
        <v>100</v>
      </c>
      <c r="V624" s="20">
        <f t="shared" si="1255"/>
        <v>550</v>
      </c>
      <c r="W624" s="20">
        <f t="shared" si="1255"/>
        <v>500</v>
      </c>
      <c r="X624" s="20">
        <f t="shared" si="1255"/>
        <v>6</v>
      </c>
      <c r="Y624" s="20">
        <v>0</v>
      </c>
      <c r="Z624" s="22">
        <v>0</v>
      </c>
      <c r="AA624" s="20">
        <f t="shared" si="1211"/>
        <v>90</v>
      </c>
      <c r="AB624" s="20">
        <v>0</v>
      </c>
      <c r="AC624" s="20">
        <v>0</v>
      </c>
      <c r="AD624" s="23">
        <f t="shared" ref="AD624:AE624" si="1256">AD594</f>
        <v>44</v>
      </c>
      <c r="AE624" s="23">
        <f t="shared" si="1256"/>
        <v>48</v>
      </c>
    </row>
    <row r="625" spans="1:31">
      <c r="A625" s="4">
        <v>11200</v>
      </c>
      <c r="B625" s="4">
        <v>24</v>
      </c>
      <c r="C625" s="19" t="s">
        <v>69</v>
      </c>
      <c r="D625" s="44">
        <v>0</v>
      </c>
      <c r="E625" s="18">
        <f t="shared" si="1209"/>
        <v>224</v>
      </c>
      <c r="F625" s="18">
        <v>0</v>
      </c>
      <c r="G625" s="18">
        <v>0</v>
      </c>
      <c r="H625" s="45">
        <v>0</v>
      </c>
      <c r="I625" s="21">
        <f t="shared" si="1223"/>
        <v>330</v>
      </c>
      <c r="J625" s="21">
        <f t="shared" si="1176"/>
        <v>23</v>
      </c>
      <c r="K625" s="21">
        <v>0</v>
      </c>
      <c r="L625" s="20">
        <v>6</v>
      </c>
      <c r="M625" s="20">
        <v>0</v>
      </c>
      <c r="N625" s="20">
        <f t="shared" si="1224"/>
        <v>9600</v>
      </c>
      <c r="O625" s="19" t="s">
        <v>69</v>
      </c>
      <c r="P625" s="20">
        <v>6400</v>
      </c>
      <c r="Q625" s="20">
        <f t="shared" ref="Q625:X625" si="1257">Q595</f>
        <v>960</v>
      </c>
      <c r="R625" s="20">
        <f t="shared" si="1257"/>
        <v>3840</v>
      </c>
      <c r="S625" s="20">
        <f t="shared" si="1257"/>
        <v>6720</v>
      </c>
      <c r="T625" s="20">
        <f t="shared" si="1257"/>
        <v>8640</v>
      </c>
      <c r="U625" s="20">
        <f t="shared" si="1257"/>
        <v>100</v>
      </c>
      <c r="V625" s="20">
        <f t="shared" si="1257"/>
        <v>500</v>
      </c>
      <c r="W625" s="20">
        <f t="shared" si="1257"/>
        <v>900</v>
      </c>
      <c r="X625" s="20">
        <f t="shared" si="1257"/>
        <v>6</v>
      </c>
      <c r="Y625" s="20">
        <v>0</v>
      </c>
      <c r="Z625" s="22">
        <v>0</v>
      </c>
      <c r="AA625" s="20">
        <f t="shared" si="1211"/>
        <v>0</v>
      </c>
      <c r="AB625" s="20">
        <v>0</v>
      </c>
      <c r="AC625" s="20">
        <v>0</v>
      </c>
      <c r="AD625" s="23">
        <f t="shared" ref="AD625:AE625" si="1258">AD595</f>
        <v>46</v>
      </c>
      <c r="AE625" s="23">
        <f t="shared" si="1258"/>
        <v>50</v>
      </c>
    </row>
    <row r="626" spans="1:31">
      <c r="A626" s="4">
        <v>11200</v>
      </c>
      <c r="B626" s="4">
        <v>25</v>
      </c>
      <c r="C626" s="19" t="s">
        <v>70</v>
      </c>
      <c r="D626" s="44">
        <v>0</v>
      </c>
      <c r="E626" s="18">
        <f t="shared" si="1209"/>
        <v>242</v>
      </c>
      <c r="F626" s="18">
        <v>0</v>
      </c>
      <c r="G626" s="18">
        <v>0</v>
      </c>
      <c r="H626" s="45">
        <v>0</v>
      </c>
      <c r="I626" s="21">
        <f t="shared" si="1223"/>
        <v>385</v>
      </c>
      <c r="J626" s="21">
        <f t="shared" si="1176"/>
        <v>24</v>
      </c>
      <c r="K626" s="21">
        <v>0</v>
      </c>
      <c r="L626" s="20">
        <v>6</v>
      </c>
      <c r="M626" s="20">
        <v>0</v>
      </c>
      <c r="N626" s="20">
        <f t="shared" si="1224"/>
        <v>12500</v>
      </c>
      <c r="O626" s="19" t="s">
        <v>70</v>
      </c>
      <c r="P626" s="20">
        <v>3100</v>
      </c>
      <c r="Q626" s="20">
        <f t="shared" ref="Q626:X626" si="1259">Q596</f>
        <v>1250</v>
      </c>
      <c r="R626" s="20">
        <f t="shared" si="1259"/>
        <v>5000</v>
      </c>
      <c r="S626" s="20">
        <f t="shared" si="1259"/>
        <v>8750</v>
      </c>
      <c r="T626" s="20">
        <f t="shared" si="1259"/>
        <v>11250</v>
      </c>
      <c r="U626" s="20">
        <f t="shared" si="1259"/>
        <v>10</v>
      </c>
      <c r="V626" s="20">
        <f t="shared" si="1259"/>
        <v>1300</v>
      </c>
      <c r="W626" s="20">
        <f t="shared" si="1259"/>
        <v>1000</v>
      </c>
      <c r="X626" s="20">
        <f t="shared" si="1259"/>
        <v>7</v>
      </c>
      <c r="Y626" s="20">
        <v>0</v>
      </c>
      <c r="Z626" s="22">
        <v>0</v>
      </c>
      <c r="AA626" s="20">
        <f t="shared" si="1211"/>
        <v>0</v>
      </c>
      <c r="AB626" s="20">
        <v>0</v>
      </c>
      <c r="AC626" s="20">
        <v>0</v>
      </c>
      <c r="AD626" s="23">
        <f t="shared" ref="AD626:AE626" si="1260">AD596</f>
        <v>48</v>
      </c>
      <c r="AE626" s="23">
        <f t="shared" si="1260"/>
        <v>52</v>
      </c>
    </row>
    <row r="627" spans="1:31">
      <c r="A627" s="4">
        <v>11200</v>
      </c>
      <c r="B627" s="4">
        <v>26</v>
      </c>
      <c r="C627" s="19" t="s">
        <v>71</v>
      </c>
      <c r="D627" s="44">
        <v>0</v>
      </c>
      <c r="E627" s="18">
        <f t="shared" si="1209"/>
        <v>262</v>
      </c>
      <c r="F627" s="18">
        <v>0</v>
      </c>
      <c r="G627" s="18">
        <v>0</v>
      </c>
      <c r="H627" s="45">
        <v>0</v>
      </c>
      <c r="I627" s="21">
        <f t="shared" si="1223"/>
        <v>385</v>
      </c>
      <c r="J627" s="21">
        <f t="shared" si="1176"/>
        <v>25</v>
      </c>
      <c r="K627" s="21">
        <v>0</v>
      </c>
      <c r="L627" s="20">
        <v>6</v>
      </c>
      <c r="M627" s="20">
        <v>0</v>
      </c>
      <c r="N627" s="20">
        <f t="shared" si="1224"/>
        <v>13000</v>
      </c>
      <c r="O627" s="19" t="s">
        <v>71</v>
      </c>
      <c r="P627" s="20">
        <v>1777</v>
      </c>
      <c r="Q627" s="20">
        <f t="shared" ref="Q627:X627" si="1261">Q597</f>
        <v>1300</v>
      </c>
      <c r="R627" s="20">
        <f t="shared" si="1261"/>
        <v>5200</v>
      </c>
      <c r="S627" s="20">
        <f t="shared" si="1261"/>
        <v>9100</v>
      </c>
      <c r="T627" s="20">
        <f t="shared" si="1261"/>
        <v>11700</v>
      </c>
      <c r="U627" s="20">
        <f t="shared" si="1261"/>
        <v>90</v>
      </c>
      <c r="V627" s="20">
        <f t="shared" si="1261"/>
        <v>800</v>
      </c>
      <c r="W627" s="20">
        <f t="shared" si="1261"/>
        <v>2000</v>
      </c>
      <c r="X627" s="20">
        <f t="shared" si="1261"/>
        <v>7</v>
      </c>
      <c r="Y627" s="20">
        <v>0</v>
      </c>
      <c r="Z627" s="22">
        <v>0</v>
      </c>
      <c r="AA627" s="20">
        <f t="shared" si="1211"/>
        <v>0</v>
      </c>
      <c r="AB627" s="20">
        <v>0</v>
      </c>
      <c r="AC627" s="20">
        <v>0</v>
      </c>
      <c r="AD627" s="23">
        <f t="shared" ref="AD627:AE627" si="1262">AD597</f>
        <v>50</v>
      </c>
      <c r="AE627" s="23">
        <f t="shared" si="1262"/>
        <v>54</v>
      </c>
    </row>
    <row r="628" spans="1:31">
      <c r="A628" s="4">
        <v>11200</v>
      </c>
      <c r="B628" s="4">
        <v>27</v>
      </c>
      <c r="C628" s="19" t="s">
        <v>72</v>
      </c>
      <c r="D628" s="44">
        <v>0</v>
      </c>
      <c r="E628" s="18">
        <f t="shared" si="1209"/>
        <v>284</v>
      </c>
      <c r="F628" s="18">
        <v>0</v>
      </c>
      <c r="G628" s="18">
        <v>0</v>
      </c>
      <c r="H628" s="45">
        <v>0</v>
      </c>
      <c r="I628" s="21">
        <f t="shared" si="1223"/>
        <v>385</v>
      </c>
      <c r="J628" s="21">
        <f t="shared" si="1176"/>
        <v>26</v>
      </c>
      <c r="K628" s="21">
        <v>0</v>
      </c>
      <c r="L628" s="20">
        <v>6</v>
      </c>
      <c r="M628" s="20">
        <v>0</v>
      </c>
      <c r="N628" s="20">
        <f t="shared" si="1224"/>
        <v>13500</v>
      </c>
      <c r="O628" s="19" t="s">
        <v>72</v>
      </c>
      <c r="P628" s="20">
        <v>2332</v>
      </c>
      <c r="Q628" s="20">
        <f t="shared" ref="Q628:X628" si="1263">Q598</f>
        <v>1350</v>
      </c>
      <c r="R628" s="20">
        <f t="shared" si="1263"/>
        <v>5400</v>
      </c>
      <c r="S628" s="20">
        <f t="shared" si="1263"/>
        <v>9450</v>
      </c>
      <c r="T628" s="20">
        <f t="shared" si="1263"/>
        <v>12150</v>
      </c>
      <c r="U628" s="20">
        <f t="shared" si="1263"/>
        <v>80</v>
      </c>
      <c r="V628" s="20">
        <f t="shared" si="1263"/>
        <v>700</v>
      </c>
      <c r="W628" s="20">
        <f t="shared" si="1263"/>
        <v>800</v>
      </c>
      <c r="X628" s="20">
        <f t="shared" si="1263"/>
        <v>7</v>
      </c>
      <c r="Y628" s="20">
        <v>0</v>
      </c>
      <c r="Z628" s="22">
        <v>0</v>
      </c>
      <c r="AA628" s="20">
        <f t="shared" si="1211"/>
        <v>0</v>
      </c>
      <c r="AB628" s="20">
        <v>0</v>
      </c>
      <c r="AC628" s="20">
        <v>0</v>
      </c>
      <c r="AD628" s="23">
        <f t="shared" ref="AD628:AE628" si="1264">AD598</f>
        <v>52</v>
      </c>
      <c r="AE628" s="23">
        <f t="shared" si="1264"/>
        <v>56</v>
      </c>
    </row>
    <row r="629" spans="1:31">
      <c r="A629" s="4">
        <v>11200</v>
      </c>
      <c r="B629" s="4">
        <v>28</v>
      </c>
      <c r="C629" s="19" t="s">
        <v>73</v>
      </c>
      <c r="D629" s="44">
        <v>0</v>
      </c>
      <c r="E629" s="18">
        <f t="shared" si="1209"/>
        <v>307</v>
      </c>
      <c r="F629" s="18">
        <v>0</v>
      </c>
      <c r="G629" s="18">
        <v>0</v>
      </c>
      <c r="H629" s="45">
        <v>0</v>
      </c>
      <c r="I629" s="21">
        <f t="shared" si="1223"/>
        <v>385</v>
      </c>
      <c r="J629" s="21">
        <f t="shared" si="1176"/>
        <v>27</v>
      </c>
      <c r="K629" s="21">
        <v>0</v>
      </c>
      <c r="L629" s="20">
        <v>6</v>
      </c>
      <c r="M629" s="20">
        <v>0</v>
      </c>
      <c r="N629" s="20">
        <f t="shared" si="1224"/>
        <v>14000</v>
      </c>
      <c r="O629" s="19" t="s">
        <v>73</v>
      </c>
      <c r="P629" s="20">
        <v>1487</v>
      </c>
      <c r="Q629" s="20">
        <f t="shared" ref="Q629:X629" si="1265">Q599</f>
        <v>1400</v>
      </c>
      <c r="R629" s="20">
        <f t="shared" si="1265"/>
        <v>5600</v>
      </c>
      <c r="S629" s="20">
        <f t="shared" si="1265"/>
        <v>9800</v>
      </c>
      <c r="T629" s="20">
        <f t="shared" si="1265"/>
        <v>12600</v>
      </c>
      <c r="U629" s="20">
        <f t="shared" si="1265"/>
        <v>80</v>
      </c>
      <c r="V629" s="20">
        <f t="shared" si="1265"/>
        <v>500</v>
      </c>
      <c r="W629" s="20">
        <f t="shared" si="1265"/>
        <v>600</v>
      </c>
      <c r="X629" s="20">
        <f t="shared" si="1265"/>
        <v>7</v>
      </c>
      <c r="Y629" s="20">
        <v>0</v>
      </c>
      <c r="Z629" s="22">
        <v>0</v>
      </c>
      <c r="AA629" s="20">
        <f t="shared" si="1211"/>
        <v>113</v>
      </c>
      <c r="AB629" s="20">
        <v>0</v>
      </c>
      <c r="AC629" s="20">
        <v>0</v>
      </c>
      <c r="AD629" s="23">
        <f t="shared" ref="AD629:AE629" si="1266">AD599</f>
        <v>54</v>
      </c>
      <c r="AE629" s="23">
        <f t="shared" si="1266"/>
        <v>58</v>
      </c>
    </row>
    <row r="630" spans="1:31">
      <c r="A630" s="4">
        <v>11200</v>
      </c>
      <c r="B630" s="4">
        <v>29</v>
      </c>
      <c r="C630" s="19" t="s">
        <v>74</v>
      </c>
      <c r="D630" s="44">
        <v>0</v>
      </c>
      <c r="E630" s="18">
        <f t="shared" si="1209"/>
        <v>333</v>
      </c>
      <c r="F630" s="18">
        <v>0</v>
      </c>
      <c r="G630" s="18">
        <v>0</v>
      </c>
      <c r="H630" s="45">
        <v>0</v>
      </c>
      <c r="I630" s="21">
        <f t="shared" si="1223"/>
        <v>440</v>
      </c>
      <c r="J630" s="21">
        <f t="shared" si="1176"/>
        <v>28</v>
      </c>
      <c r="K630" s="21">
        <v>0</v>
      </c>
      <c r="L630" s="20">
        <v>6</v>
      </c>
      <c r="M630" s="20">
        <v>0</v>
      </c>
      <c r="N630" s="20">
        <f t="shared" si="1224"/>
        <v>14500</v>
      </c>
      <c r="O630" s="19" t="s">
        <v>74</v>
      </c>
      <c r="P630" s="20">
        <v>1518</v>
      </c>
      <c r="Q630" s="20">
        <f t="shared" ref="Q630:X630" si="1267">Q600</f>
        <v>1450</v>
      </c>
      <c r="R630" s="20">
        <f t="shared" si="1267"/>
        <v>5800</v>
      </c>
      <c r="S630" s="20">
        <f t="shared" si="1267"/>
        <v>10150</v>
      </c>
      <c r="T630" s="20">
        <f t="shared" si="1267"/>
        <v>13050</v>
      </c>
      <c r="U630" s="20">
        <f t="shared" si="1267"/>
        <v>80</v>
      </c>
      <c r="V630" s="20">
        <f t="shared" si="1267"/>
        <v>600</v>
      </c>
      <c r="W630" s="20">
        <f t="shared" si="1267"/>
        <v>700</v>
      </c>
      <c r="X630" s="20">
        <f t="shared" si="1267"/>
        <v>8</v>
      </c>
      <c r="Y630" s="20">
        <v>0</v>
      </c>
      <c r="Z630" s="22">
        <v>0</v>
      </c>
      <c r="AA630" s="20">
        <f t="shared" si="1211"/>
        <v>0</v>
      </c>
      <c r="AB630" s="20">
        <v>0</v>
      </c>
      <c r="AC630" s="20">
        <v>0</v>
      </c>
      <c r="AD630" s="23">
        <f t="shared" ref="AD630:AE630" si="1268">AD600</f>
        <v>56</v>
      </c>
      <c r="AE630" s="23">
        <f t="shared" si="1268"/>
        <v>60</v>
      </c>
    </row>
    <row r="631" spans="1:31">
      <c r="A631" s="4">
        <v>11200</v>
      </c>
      <c r="B631" s="4">
        <v>30</v>
      </c>
      <c r="C631" s="19" t="s">
        <v>75</v>
      </c>
      <c r="D631" s="44">
        <v>0</v>
      </c>
      <c r="E631" s="18">
        <f t="shared" si="1209"/>
        <v>360</v>
      </c>
      <c r="F631" s="18">
        <v>0</v>
      </c>
      <c r="G631" s="18">
        <v>0</v>
      </c>
      <c r="H631" s="45">
        <v>0</v>
      </c>
      <c r="I631" s="21">
        <f t="shared" si="1223"/>
        <v>440</v>
      </c>
      <c r="J631" s="21">
        <f t="shared" si="1176"/>
        <v>29</v>
      </c>
      <c r="K631" s="21">
        <v>0</v>
      </c>
      <c r="L631" s="20">
        <v>6</v>
      </c>
      <c r="M631" s="20">
        <v>0</v>
      </c>
      <c r="N631" s="20">
        <f t="shared" si="1224"/>
        <v>15000</v>
      </c>
      <c r="O631" s="19" t="s">
        <v>75</v>
      </c>
      <c r="P631" s="20">
        <v>861</v>
      </c>
      <c r="Q631" s="20">
        <f t="shared" ref="Q631:X631" si="1269">Q601</f>
        <v>1500</v>
      </c>
      <c r="R631" s="20">
        <f t="shared" si="1269"/>
        <v>6000</v>
      </c>
      <c r="S631" s="20">
        <f t="shared" si="1269"/>
        <v>10500</v>
      </c>
      <c r="T631" s="20">
        <f t="shared" si="1269"/>
        <v>13500</v>
      </c>
      <c r="U631" s="20">
        <f t="shared" si="1269"/>
        <v>20</v>
      </c>
      <c r="V631" s="20">
        <f t="shared" si="1269"/>
        <v>450</v>
      </c>
      <c r="W631" s="20">
        <f t="shared" si="1269"/>
        <v>1000</v>
      </c>
      <c r="X631" s="20">
        <f t="shared" si="1269"/>
        <v>8</v>
      </c>
      <c r="Y631" s="20">
        <v>0</v>
      </c>
      <c r="Z631" s="22">
        <v>0</v>
      </c>
      <c r="AA631" s="20">
        <f t="shared" si="1211"/>
        <v>0</v>
      </c>
      <c r="AB631" s="20">
        <v>0</v>
      </c>
      <c r="AC631" s="20">
        <v>0</v>
      </c>
      <c r="AD631" s="23">
        <f t="shared" ref="AD631:AE631" si="1270">AD601</f>
        <v>58</v>
      </c>
      <c r="AE631" s="23">
        <f t="shared" si="1270"/>
        <v>62</v>
      </c>
    </row>
    <row r="632" spans="1:31">
      <c r="A632" s="4">
        <v>11201</v>
      </c>
      <c r="B632" s="4">
        <v>1</v>
      </c>
      <c r="C632" s="29" t="s">
        <v>66</v>
      </c>
      <c r="D632" s="46">
        <v>0</v>
      </c>
      <c r="E632" s="18">
        <f t="shared" si="1209"/>
        <v>72</v>
      </c>
      <c r="F632" s="28">
        <v>0</v>
      </c>
      <c r="G632" s="28">
        <v>0</v>
      </c>
      <c r="H632" s="47">
        <v>0</v>
      </c>
      <c r="I632" s="21">
        <f t="shared" si="1223"/>
        <v>55</v>
      </c>
      <c r="J632" s="21">
        <f t="shared" si="1176"/>
        <v>0</v>
      </c>
      <c r="K632" s="21">
        <v>0</v>
      </c>
      <c r="L632" s="20">
        <v>45</v>
      </c>
      <c r="M632" s="20">
        <v>0</v>
      </c>
      <c r="N632" s="20">
        <f t="shared" si="1224"/>
        <v>10</v>
      </c>
      <c r="O632" s="19" t="s">
        <v>66</v>
      </c>
      <c r="P632" s="20">
        <v>9400</v>
      </c>
      <c r="Q632" s="20">
        <f t="shared" ref="Q632:X632" si="1271">Q602</f>
        <v>1</v>
      </c>
      <c r="R632" s="20">
        <f t="shared" si="1271"/>
        <v>4</v>
      </c>
      <c r="S632" s="20">
        <f t="shared" si="1271"/>
        <v>7</v>
      </c>
      <c r="T632" s="20">
        <f t="shared" si="1271"/>
        <v>9</v>
      </c>
      <c r="U632" s="20">
        <f t="shared" si="1271"/>
        <v>9400</v>
      </c>
      <c r="V632" s="20">
        <f t="shared" si="1271"/>
        <v>9400</v>
      </c>
      <c r="W632" s="20">
        <f t="shared" si="1271"/>
        <v>9400</v>
      </c>
      <c r="X632" s="20">
        <f t="shared" si="1271"/>
        <v>1</v>
      </c>
      <c r="Y632" s="27">
        <v>0</v>
      </c>
      <c r="Z632" s="22">
        <v>0</v>
      </c>
      <c r="AA632" s="20">
        <f t="shared" si="1211"/>
        <v>0</v>
      </c>
      <c r="AB632" s="27">
        <v>0</v>
      </c>
      <c r="AC632" s="27">
        <v>0</v>
      </c>
      <c r="AD632" s="23">
        <f t="shared" ref="AD632:AE632" si="1272">AD602</f>
        <v>1</v>
      </c>
      <c r="AE632" s="23">
        <f t="shared" si="1272"/>
        <v>3</v>
      </c>
    </row>
    <row r="633" spans="1:31">
      <c r="A633" s="4">
        <v>11201</v>
      </c>
      <c r="B633" s="4">
        <v>2</v>
      </c>
      <c r="C633" s="29" t="s">
        <v>67</v>
      </c>
      <c r="D633" s="46">
        <v>0</v>
      </c>
      <c r="E633" s="18">
        <f t="shared" si="1209"/>
        <v>78</v>
      </c>
      <c r="F633" s="28">
        <v>0</v>
      </c>
      <c r="G633" s="28">
        <v>0</v>
      </c>
      <c r="H633" s="47">
        <v>0</v>
      </c>
      <c r="I633" s="21">
        <f t="shared" si="1223"/>
        <v>55</v>
      </c>
      <c r="J633" s="21">
        <f t="shared" si="1176"/>
        <v>1</v>
      </c>
      <c r="K633" s="21">
        <v>0</v>
      </c>
      <c r="L633" s="20">
        <v>40</v>
      </c>
      <c r="M633" s="20">
        <v>0</v>
      </c>
      <c r="N633" s="20">
        <f t="shared" si="1224"/>
        <v>20</v>
      </c>
      <c r="O633" s="19" t="s">
        <v>67</v>
      </c>
      <c r="P633" s="20">
        <v>9100</v>
      </c>
      <c r="Q633" s="20">
        <f t="shared" ref="Q633:X633" si="1273">Q603</f>
        <v>2</v>
      </c>
      <c r="R633" s="20">
        <f t="shared" si="1273"/>
        <v>8</v>
      </c>
      <c r="S633" s="20">
        <f t="shared" si="1273"/>
        <v>14</v>
      </c>
      <c r="T633" s="20">
        <f t="shared" si="1273"/>
        <v>18</v>
      </c>
      <c r="U633" s="20">
        <f t="shared" si="1273"/>
        <v>4000</v>
      </c>
      <c r="V633" s="20">
        <f t="shared" si="1273"/>
        <v>8000</v>
      </c>
      <c r="W633" s="20">
        <f t="shared" si="1273"/>
        <v>8000</v>
      </c>
      <c r="X633" s="20">
        <f t="shared" si="1273"/>
        <v>1</v>
      </c>
      <c r="Y633" s="27">
        <v>0</v>
      </c>
      <c r="Z633" s="22">
        <v>0</v>
      </c>
      <c r="AA633" s="20">
        <f t="shared" si="1211"/>
        <v>0</v>
      </c>
      <c r="AB633" s="27">
        <v>0</v>
      </c>
      <c r="AC633" s="27">
        <v>0</v>
      </c>
      <c r="AD633" s="23">
        <f t="shared" ref="AD633:AE633" si="1274">AD603</f>
        <v>2</v>
      </c>
      <c r="AE633" s="23">
        <f t="shared" si="1274"/>
        <v>5</v>
      </c>
    </row>
    <row r="634" spans="1:31">
      <c r="A634" s="8">
        <v>11201</v>
      </c>
      <c r="B634" s="8">
        <v>3</v>
      </c>
      <c r="C634" s="29" t="s">
        <v>68</v>
      </c>
      <c r="D634" s="46">
        <v>0</v>
      </c>
      <c r="E634" s="18">
        <f t="shared" si="1209"/>
        <v>84</v>
      </c>
      <c r="F634" s="28">
        <v>0</v>
      </c>
      <c r="G634" s="28">
        <v>0</v>
      </c>
      <c r="H634" s="47">
        <v>0</v>
      </c>
      <c r="I634" s="21">
        <f t="shared" si="1223"/>
        <v>55</v>
      </c>
      <c r="J634" s="21">
        <f t="shared" si="1176"/>
        <v>2</v>
      </c>
      <c r="K634" s="21">
        <v>0</v>
      </c>
      <c r="L634" s="20">
        <v>35</v>
      </c>
      <c r="M634" s="20">
        <v>0</v>
      </c>
      <c r="N634" s="20">
        <f t="shared" si="1224"/>
        <v>40</v>
      </c>
      <c r="O634" s="19" t="s">
        <v>68</v>
      </c>
      <c r="P634" s="20">
        <v>8600</v>
      </c>
      <c r="Q634" s="20">
        <f t="shared" ref="Q634:X634" si="1275">Q604</f>
        <v>4</v>
      </c>
      <c r="R634" s="20">
        <f t="shared" si="1275"/>
        <v>16</v>
      </c>
      <c r="S634" s="20">
        <f t="shared" si="1275"/>
        <v>28</v>
      </c>
      <c r="T634" s="20">
        <f t="shared" si="1275"/>
        <v>36</v>
      </c>
      <c r="U634" s="20">
        <f t="shared" si="1275"/>
        <v>1600</v>
      </c>
      <c r="V634" s="20">
        <f t="shared" si="1275"/>
        <v>5000</v>
      </c>
      <c r="W634" s="20">
        <f t="shared" si="1275"/>
        <v>6000</v>
      </c>
      <c r="X634" s="20">
        <f t="shared" si="1275"/>
        <v>1</v>
      </c>
      <c r="Y634" s="27">
        <v>0</v>
      </c>
      <c r="Z634" s="22">
        <v>0</v>
      </c>
      <c r="AA634" s="20">
        <f t="shared" si="1211"/>
        <v>0</v>
      </c>
      <c r="AB634" s="27">
        <v>0</v>
      </c>
      <c r="AC634" s="27">
        <v>0</v>
      </c>
      <c r="AD634" s="23">
        <f t="shared" ref="AD634:AE634" si="1276">AD604</f>
        <v>4</v>
      </c>
      <c r="AE634" s="23">
        <f t="shared" si="1276"/>
        <v>8</v>
      </c>
    </row>
    <row r="635" spans="1:31">
      <c r="A635" s="4">
        <v>11201</v>
      </c>
      <c r="B635" s="4">
        <v>4</v>
      </c>
      <c r="C635" s="29" t="s">
        <v>69</v>
      </c>
      <c r="D635" s="46">
        <v>0</v>
      </c>
      <c r="E635" s="18">
        <f t="shared" si="1209"/>
        <v>91</v>
      </c>
      <c r="F635" s="28">
        <v>0</v>
      </c>
      <c r="G635" s="28">
        <v>0</v>
      </c>
      <c r="H635" s="47">
        <v>0</v>
      </c>
      <c r="I635" s="21">
        <f t="shared" si="1223"/>
        <v>55</v>
      </c>
      <c r="J635" s="21">
        <f t="shared" si="1176"/>
        <v>3</v>
      </c>
      <c r="K635" s="21">
        <v>0</v>
      </c>
      <c r="L635" s="20">
        <v>30</v>
      </c>
      <c r="M635" s="20">
        <v>0</v>
      </c>
      <c r="N635" s="20">
        <f t="shared" si="1224"/>
        <v>100</v>
      </c>
      <c r="O635" s="19" t="s">
        <v>69</v>
      </c>
      <c r="P635" s="20">
        <v>6400</v>
      </c>
      <c r="Q635" s="20">
        <f t="shared" ref="Q635:X635" si="1277">Q605</f>
        <v>10</v>
      </c>
      <c r="R635" s="20">
        <f t="shared" si="1277"/>
        <v>40</v>
      </c>
      <c r="S635" s="20">
        <f t="shared" si="1277"/>
        <v>70</v>
      </c>
      <c r="T635" s="20">
        <f t="shared" si="1277"/>
        <v>90</v>
      </c>
      <c r="U635" s="20">
        <f t="shared" si="1277"/>
        <v>900</v>
      </c>
      <c r="V635" s="20">
        <f t="shared" si="1277"/>
        <v>2000</v>
      </c>
      <c r="W635" s="20">
        <f t="shared" si="1277"/>
        <v>8000</v>
      </c>
      <c r="X635" s="20">
        <f t="shared" si="1277"/>
        <v>1</v>
      </c>
      <c r="Y635" s="27">
        <v>0</v>
      </c>
      <c r="Z635" s="22">
        <v>0</v>
      </c>
      <c r="AA635" s="20">
        <f t="shared" si="1211"/>
        <v>0</v>
      </c>
      <c r="AB635" s="27">
        <v>0</v>
      </c>
      <c r="AC635" s="27">
        <v>0</v>
      </c>
      <c r="AD635" s="23">
        <f t="shared" ref="AD635:AE635" si="1278">AD605</f>
        <v>6</v>
      </c>
      <c r="AE635" s="23">
        <f t="shared" si="1278"/>
        <v>10</v>
      </c>
    </row>
    <row r="636" spans="1:31">
      <c r="A636" s="4">
        <v>11201</v>
      </c>
      <c r="B636" s="4">
        <v>5</v>
      </c>
      <c r="C636" s="29" t="s">
        <v>70</v>
      </c>
      <c r="D636" s="46">
        <v>0</v>
      </c>
      <c r="E636" s="18">
        <f t="shared" si="1209"/>
        <v>99</v>
      </c>
      <c r="F636" s="28">
        <v>0</v>
      </c>
      <c r="G636" s="28">
        <v>0</v>
      </c>
      <c r="H636" s="47">
        <v>0</v>
      </c>
      <c r="I636" s="21">
        <f t="shared" si="1223"/>
        <v>110</v>
      </c>
      <c r="J636" s="21">
        <f t="shared" si="1176"/>
        <v>4</v>
      </c>
      <c r="K636" s="21">
        <v>0</v>
      </c>
      <c r="L636" s="20">
        <v>25</v>
      </c>
      <c r="M636" s="20">
        <v>0</v>
      </c>
      <c r="N636" s="20">
        <f t="shared" si="1224"/>
        <v>200</v>
      </c>
      <c r="O636" s="19" t="s">
        <v>70</v>
      </c>
      <c r="P636" s="20">
        <v>3100</v>
      </c>
      <c r="Q636" s="20">
        <f t="shared" ref="Q636:X636" si="1279">Q606</f>
        <v>20</v>
      </c>
      <c r="R636" s="20">
        <f t="shared" si="1279"/>
        <v>80</v>
      </c>
      <c r="S636" s="20">
        <f t="shared" si="1279"/>
        <v>140</v>
      </c>
      <c r="T636" s="20">
        <f t="shared" si="1279"/>
        <v>180</v>
      </c>
      <c r="U636" s="20">
        <f t="shared" si="1279"/>
        <v>1000</v>
      </c>
      <c r="V636" s="20">
        <f t="shared" si="1279"/>
        <v>2000</v>
      </c>
      <c r="W636" s="20">
        <f t="shared" si="1279"/>
        <v>2000</v>
      </c>
      <c r="X636" s="20">
        <f t="shared" si="1279"/>
        <v>2</v>
      </c>
      <c r="Y636" s="27">
        <v>0</v>
      </c>
      <c r="Z636" s="22">
        <v>0</v>
      </c>
      <c r="AA636" s="20">
        <f t="shared" si="1211"/>
        <v>0</v>
      </c>
      <c r="AB636" s="27">
        <v>0</v>
      </c>
      <c r="AC636" s="27">
        <v>0</v>
      </c>
      <c r="AD636" s="23">
        <f t="shared" ref="AD636:AE636" si="1280">AD606</f>
        <v>8</v>
      </c>
      <c r="AE636" s="23">
        <f t="shared" si="1280"/>
        <v>12</v>
      </c>
    </row>
    <row r="637" spans="1:31">
      <c r="A637" s="4">
        <v>11201</v>
      </c>
      <c r="B637" s="4">
        <v>6</v>
      </c>
      <c r="C637" s="29" t="s">
        <v>71</v>
      </c>
      <c r="D637" s="46">
        <v>0</v>
      </c>
      <c r="E637" s="18">
        <f t="shared" si="1209"/>
        <v>107</v>
      </c>
      <c r="F637" s="28">
        <v>0</v>
      </c>
      <c r="G637" s="28">
        <v>0</v>
      </c>
      <c r="H637" s="47">
        <v>0</v>
      </c>
      <c r="I637" s="21">
        <f t="shared" si="1223"/>
        <v>110</v>
      </c>
      <c r="J637" s="21">
        <f t="shared" si="1176"/>
        <v>5</v>
      </c>
      <c r="K637" s="21">
        <v>0</v>
      </c>
      <c r="L637" s="20">
        <v>20</v>
      </c>
      <c r="M637" s="20">
        <v>0</v>
      </c>
      <c r="N637" s="20">
        <f t="shared" si="1224"/>
        <v>500</v>
      </c>
      <c r="O637" s="19" t="s">
        <v>71</v>
      </c>
      <c r="P637" s="20">
        <v>1777</v>
      </c>
      <c r="Q637" s="20">
        <f t="shared" ref="Q637:X637" si="1281">Q607</f>
        <v>50</v>
      </c>
      <c r="R637" s="20">
        <f t="shared" si="1281"/>
        <v>200</v>
      </c>
      <c r="S637" s="20">
        <f t="shared" si="1281"/>
        <v>350</v>
      </c>
      <c r="T637" s="20">
        <f t="shared" si="1281"/>
        <v>450</v>
      </c>
      <c r="U637" s="20">
        <f t="shared" si="1281"/>
        <v>800</v>
      </c>
      <c r="V637" s="20">
        <f t="shared" si="1281"/>
        <v>800</v>
      </c>
      <c r="W637" s="20">
        <f t="shared" si="1281"/>
        <v>600</v>
      </c>
      <c r="X637" s="20">
        <f t="shared" si="1281"/>
        <v>2</v>
      </c>
      <c r="Y637" s="27">
        <v>0</v>
      </c>
      <c r="Z637" s="22">
        <v>0</v>
      </c>
      <c r="AA637" s="20">
        <f t="shared" si="1211"/>
        <v>0</v>
      </c>
      <c r="AB637" s="27">
        <v>0</v>
      </c>
      <c r="AC637" s="27">
        <v>0</v>
      </c>
      <c r="AD637" s="23">
        <f t="shared" ref="AD637:AE637" si="1282">AD607</f>
        <v>10</v>
      </c>
      <c r="AE637" s="23">
        <f t="shared" si="1282"/>
        <v>14</v>
      </c>
    </row>
    <row r="638" spans="1:31">
      <c r="A638" s="4">
        <v>11201</v>
      </c>
      <c r="B638" s="4">
        <v>7</v>
      </c>
      <c r="C638" s="29" t="s">
        <v>72</v>
      </c>
      <c r="D638" s="46">
        <v>0</v>
      </c>
      <c r="E638" s="18">
        <f t="shared" si="1209"/>
        <v>116</v>
      </c>
      <c r="F638" s="28">
        <v>0</v>
      </c>
      <c r="G638" s="28">
        <v>0</v>
      </c>
      <c r="H638" s="47">
        <v>0</v>
      </c>
      <c r="I638" s="21">
        <f t="shared" si="1223"/>
        <v>110</v>
      </c>
      <c r="J638" s="21">
        <f t="shared" si="1176"/>
        <v>6</v>
      </c>
      <c r="K638" s="21">
        <v>0</v>
      </c>
      <c r="L638" s="20">
        <v>16</v>
      </c>
      <c r="M638" s="20">
        <v>0</v>
      </c>
      <c r="N638" s="20">
        <f t="shared" si="1224"/>
        <v>700</v>
      </c>
      <c r="O638" s="19" t="s">
        <v>72</v>
      </c>
      <c r="P638" s="20">
        <v>2332</v>
      </c>
      <c r="Q638" s="20">
        <f t="shared" ref="Q638:X638" si="1283">Q608</f>
        <v>70</v>
      </c>
      <c r="R638" s="20">
        <f t="shared" si="1283"/>
        <v>280</v>
      </c>
      <c r="S638" s="20">
        <f t="shared" si="1283"/>
        <v>489.99999999999994</v>
      </c>
      <c r="T638" s="20">
        <f t="shared" si="1283"/>
        <v>630</v>
      </c>
      <c r="U638" s="20">
        <f t="shared" si="1283"/>
        <v>650</v>
      </c>
      <c r="V638" s="20">
        <f t="shared" si="1283"/>
        <v>800</v>
      </c>
      <c r="W638" s="20">
        <f t="shared" si="1283"/>
        <v>300</v>
      </c>
      <c r="X638" s="20">
        <f t="shared" si="1283"/>
        <v>2</v>
      </c>
      <c r="Y638" s="27">
        <v>0</v>
      </c>
      <c r="Z638" s="22">
        <v>0</v>
      </c>
      <c r="AA638" s="20">
        <f t="shared" si="1211"/>
        <v>0</v>
      </c>
      <c r="AB638" s="27">
        <v>0</v>
      </c>
      <c r="AC638" s="27">
        <v>0</v>
      </c>
      <c r="AD638" s="23">
        <f t="shared" ref="AD638:AE638" si="1284">AD608</f>
        <v>12</v>
      </c>
      <c r="AE638" s="23">
        <f t="shared" si="1284"/>
        <v>16</v>
      </c>
    </row>
    <row r="639" spans="1:31">
      <c r="A639" s="4">
        <v>11201</v>
      </c>
      <c r="B639" s="4">
        <v>8</v>
      </c>
      <c r="C639" s="29" t="s">
        <v>73</v>
      </c>
      <c r="D639" s="46">
        <v>0</v>
      </c>
      <c r="E639" s="18">
        <f t="shared" si="1209"/>
        <v>126</v>
      </c>
      <c r="F639" s="28">
        <v>0</v>
      </c>
      <c r="G639" s="28">
        <v>0</v>
      </c>
      <c r="H639" s="47">
        <v>0</v>
      </c>
      <c r="I639" s="21">
        <f t="shared" si="1223"/>
        <v>110</v>
      </c>
      <c r="J639" s="21">
        <f t="shared" si="1176"/>
        <v>7</v>
      </c>
      <c r="K639" s="21">
        <v>0</v>
      </c>
      <c r="L639" s="20">
        <v>12</v>
      </c>
      <c r="M639" s="20">
        <v>0</v>
      </c>
      <c r="N639" s="20">
        <f t="shared" si="1224"/>
        <v>800</v>
      </c>
      <c r="O639" s="19" t="s">
        <v>73</v>
      </c>
      <c r="P639" s="20">
        <v>1487</v>
      </c>
      <c r="Q639" s="20">
        <f t="shared" ref="Q639:X639" si="1285">Q609</f>
        <v>80</v>
      </c>
      <c r="R639" s="20">
        <f t="shared" si="1285"/>
        <v>320</v>
      </c>
      <c r="S639" s="20">
        <f t="shared" si="1285"/>
        <v>560</v>
      </c>
      <c r="T639" s="20">
        <f t="shared" si="1285"/>
        <v>720</v>
      </c>
      <c r="U639" s="20">
        <f t="shared" si="1285"/>
        <v>200</v>
      </c>
      <c r="V639" s="20">
        <f t="shared" si="1285"/>
        <v>2000</v>
      </c>
      <c r="W639" s="20">
        <f t="shared" si="1285"/>
        <v>1000</v>
      </c>
      <c r="X639" s="20">
        <f t="shared" si="1285"/>
        <v>2</v>
      </c>
      <c r="Y639" s="27">
        <v>0</v>
      </c>
      <c r="Z639" s="22">
        <v>0</v>
      </c>
      <c r="AA639" s="20">
        <f t="shared" si="1211"/>
        <v>25</v>
      </c>
      <c r="AB639" s="27">
        <v>0</v>
      </c>
      <c r="AC639" s="27">
        <v>0</v>
      </c>
      <c r="AD639" s="23">
        <f t="shared" ref="AD639:AE639" si="1286">AD609</f>
        <v>14</v>
      </c>
      <c r="AE639" s="23">
        <f t="shared" si="1286"/>
        <v>18</v>
      </c>
    </row>
    <row r="640" spans="1:31">
      <c r="A640" s="4">
        <v>11201</v>
      </c>
      <c r="B640" s="4">
        <v>9</v>
      </c>
      <c r="C640" s="29" t="s">
        <v>74</v>
      </c>
      <c r="D640" s="46">
        <v>0</v>
      </c>
      <c r="E640" s="18">
        <f t="shared" si="1209"/>
        <v>136</v>
      </c>
      <c r="F640" s="28">
        <v>0</v>
      </c>
      <c r="G640" s="28">
        <v>0</v>
      </c>
      <c r="H640" s="47">
        <v>0</v>
      </c>
      <c r="I640" s="21">
        <f t="shared" si="1223"/>
        <v>165</v>
      </c>
      <c r="J640" s="21">
        <f t="shared" si="1176"/>
        <v>8</v>
      </c>
      <c r="K640" s="21">
        <v>0</v>
      </c>
      <c r="L640" s="20">
        <v>8</v>
      </c>
      <c r="M640" s="20">
        <v>0</v>
      </c>
      <c r="N640" s="20">
        <f t="shared" si="1224"/>
        <v>900</v>
      </c>
      <c r="O640" s="19" t="s">
        <v>74</v>
      </c>
      <c r="P640" s="20">
        <v>1518</v>
      </c>
      <c r="Q640" s="20">
        <f t="shared" ref="Q640:X640" si="1287">Q610</f>
        <v>90</v>
      </c>
      <c r="R640" s="20">
        <f t="shared" si="1287"/>
        <v>360</v>
      </c>
      <c r="S640" s="20">
        <f t="shared" si="1287"/>
        <v>630</v>
      </c>
      <c r="T640" s="20">
        <f t="shared" si="1287"/>
        <v>810</v>
      </c>
      <c r="U640" s="20">
        <f t="shared" si="1287"/>
        <v>120</v>
      </c>
      <c r="V640" s="20">
        <f t="shared" si="1287"/>
        <v>1500</v>
      </c>
      <c r="W640" s="20">
        <f t="shared" si="1287"/>
        <v>1000</v>
      </c>
      <c r="X640" s="20">
        <f t="shared" si="1287"/>
        <v>3</v>
      </c>
      <c r="Y640" s="27">
        <v>0</v>
      </c>
      <c r="Z640" s="22">
        <v>0</v>
      </c>
      <c r="AA640" s="20">
        <f t="shared" si="1211"/>
        <v>0</v>
      </c>
      <c r="AB640" s="27">
        <v>0</v>
      </c>
      <c r="AC640" s="27">
        <v>0</v>
      </c>
      <c r="AD640" s="23">
        <f t="shared" ref="AD640:AE640" si="1288">AD610</f>
        <v>16</v>
      </c>
      <c r="AE640" s="23">
        <f t="shared" si="1288"/>
        <v>20</v>
      </c>
    </row>
    <row r="641" spans="1:31">
      <c r="A641" s="4">
        <v>11201</v>
      </c>
      <c r="B641" s="4">
        <v>10</v>
      </c>
      <c r="C641" s="29" t="s">
        <v>75</v>
      </c>
      <c r="D641" s="46">
        <v>0</v>
      </c>
      <c r="E641" s="18">
        <f t="shared" si="1209"/>
        <v>147</v>
      </c>
      <c r="F641" s="28">
        <v>0</v>
      </c>
      <c r="G641" s="28">
        <v>0</v>
      </c>
      <c r="H641" s="47">
        <v>0</v>
      </c>
      <c r="I641" s="21">
        <f t="shared" si="1223"/>
        <v>165</v>
      </c>
      <c r="J641" s="21">
        <f t="shared" si="1176"/>
        <v>9</v>
      </c>
      <c r="K641" s="21">
        <v>0</v>
      </c>
      <c r="L641" s="20">
        <v>6</v>
      </c>
      <c r="M641" s="20">
        <v>0</v>
      </c>
      <c r="N641" s="20">
        <f t="shared" si="1224"/>
        <v>2000</v>
      </c>
      <c r="O641" s="19" t="s">
        <v>75</v>
      </c>
      <c r="P641" s="20">
        <v>861</v>
      </c>
      <c r="Q641" s="20">
        <f t="shared" ref="Q641:X641" si="1289">Q611</f>
        <v>200</v>
      </c>
      <c r="R641" s="20">
        <f t="shared" si="1289"/>
        <v>800</v>
      </c>
      <c r="S641" s="20">
        <f t="shared" si="1289"/>
        <v>1400</v>
      </c>
      <c r="T641" s="20">
        <f t="shared" si="1289"/>
        <v>1800</v>
      </c>
      <c r="U641" s="20">
        <f t="shared" si="1289"/>
        <v>150</v>
      </c>
      <c r="V641" s="20">
        <f t="shared" si="1289"/>
        <v>5000</v>
      </c>
      <c r="W641" s="20">
        <f t="shared" si="1289"/>
        <v>800</v>
      </c>
      <c r="X641" s="20">
        <f t="shared" si="1289"/>
        <v>3</v>
      </c>
      <c r="Y641" s="27">
        <v>0</v>
      </c>
      <c r="Z641" s="22">
        <v>0</v>
      </c>
      <c r="AA641" s="20">
        <f t="shared" si="1211"/>
        <v>0</v>
      </c>
      <c r="AB641" s="27">
        <v>0</v>
      </c>
      <c r="AC641" s="27">
        <v>0</v>
      </c>
      <c r="AD641" s="23">
        <f t="shared" ref="AD641:AE641" si="1290">AD611</f>
        <v>18</v>
      </c>
      <c r="AE641" s="23">
        <f t="shared" si="1290"/>
        <v>22</v>
      </c>
    </row>
    <row r="642" spans="1:31">
      <c r="A642" s="4">
        <v>11201</v>
      </c>
      <c r="B642" s="4">
        <v>11</v>
      </c>
      <c r="C642" s="29" t="s">
        <v>66</v>
      </c>
      <c r="D642" s="46">
        <v>0</v>
      </c>
      <c r="E642" s="18">
        <f t="shared" si="1209"/>
        <v>159</v>
      </c>
      <c r="F642" s="28">
        <v>0</v>
      </c>
      <c r="G642" s="28">
        <v>0</v>
      </c>
      <c r="H642" s="47">
        <v>0</v>
      </c>
      <c r="I642" s="21">
        <f t="shared" si="1223"/>
        <v>165</v>
      </c>
      <c r="J642" s="21">
        <f t="shared" si="1176"/>
        <v>10</v>
      </c>
      <c r="K642" s="21">
        <v>0</v>
      </c>
      <c r="L642" s="20">
        <v>6</v>
      </c>
      <c r="M642" s="20">
        <v>0</v>
      </c>
      <c r="N642" s="20">
        <f t="shared" si="1224"/>
        <v>2200</v>
      </c>
      <c r="O642" s="19" t="s">
        <v>66</v>
      </c>
      <c r="P642" s="20">
        <v>9400</v>
      </c>
      <c r="Q642" s="20">
        <f t="shared" ref="Q642:X642" si="1291">Q612</f>
        <v>220</v>
      </c>
      <c r="R642" s="20">
        <f t="shared" si="1291"/>
        <v>880</v>
      </c>
      <c r="S642" s="20">
        <f t="shared" si="1291"/>
        <v>1540</v>
      </c>
      <c r="T642" s="20">
        <f t="shared" si="1291"/>
        <v>1980</v>
      </c>
      <c r="U642" s="20">
        <f t="shared" si="1291"/>
        <v>100</v>
      </c>
      <c r="V642" s="20">
        <f t="shared" si="1291"/>
        <v>800</v>
      </c>
      <c r="W642" s="20">
        <f t="shared" si="1291"/>
        <v>600</v>
      </c>
      <c r="X642" s="20">
        <f t="shared" si="1291"/>
        <v>3</v>
      </c>
      <c r="Y642" s="27">
        <v>0</v>
      </c>
      <c r="Z642" s="22">
        <v>0</v>
      </c>
      <c r="AA642" s="20">
        <f t="shared" si="1211"/>
        <v>0</v>
      </c>
      <c r="AB642" s="27">
        <v>0</v>
      </c>
      <c r="AC642" s="27">
        <v>0</v>
      </c>
      <c r="AD642" s="23">
        <f t="shared" ref="AD642:AE642" si="1292">AD612</f>
        <v>20</v>
      </c>
      <c r="AE642" s="23">
        <f t="shared" si="1292"/>
        <v>24</v>
      </c>
    </row>
    <row r="643" spans="1:31">
      <c r="A643" s="4">
        <v>11201</v>
      </c>
      <c r="B643" s="4">
        <v>12</v>
      </c>
      <c r="C643" s="29" t="s">
        <v>67</v>
      </c>
      <c r="D643" s="46">
        <v>0</v>
      </c>
      <c r="E643" s="18">
        <f t="shared" si="1209"/>
        <v>172</v>
      </c>
      <c r="F643" s="28">
        <v>0</v>
      </c>
      <c r="G643" s="28">
        <v>0</v>
      </c>
      <c r="H643" s="47">
        <v>0</v>
      </c>
      <c r="I643" s="21">
        <f t="shared" si="1223"/>
        <v>165</v>
      </c>
      <c r="J643" s="21">
        <f t="shared" si="1176"/>
        <v>11</v>
      </c>
      <c r="K643" s="21">
        <v>0</v>
      </c>
      <c r="L643" s="20">
        <v>6</v>
      </c>
      <c r="M643" s="20">
        <v>0</v>
      </c>
      <c r="N643" s="20">
        <f t="shared" si="1224"/>
        <v>2400</v>
      </c>
      <c r="O643" s="19" t="s">
        <v>67</v>
      </c>
      <c r="P643" s="20">
        <v>9100</v>
      </c>
      <c r="Q643" s="20">
        <f t="shared" ref="Q643:X643" si="1293">Q613</f>
        <v>240</v>
      </c>
      <c r="R643" s="20">
        <f t="shared" si="1293"/>
        <v>960</v>
      </c>
      <c r="S643" s="20">
        <f t="shared" si="1293"/>
        <v>1680</v>
      </c>
      <c r="T643" s="20">
        <f t="shared" si="1293"/>
        <v>2160</v>
      </c>
      <c r="U643" s="20">
        <f t="shared" si="1293"/>
        <v>150</v>
      </c>
      <c r="V643" s="20">
        <f t="shared" si="1293"/>
        <v>700</v>
      </c>
      <c r="W643" s="20">
        <f t="shared" si="1293"/>
        <v>900</v>
      </c>
      <c r="X643" s="20">
        <f t="shared" si="1293"/>
        <v>3</v>
      </c>
      <c r="Y643" s="27">
        <v>0</v>
      </c>
      <c r="Z643" s="22">
        <v>0</v>
      </c>
      <c r="AA643" s="20">
        <f t="shared" si="1211"/>
        <v>0</v>
      </c>
      <c r="AB643" s="27">
        <v>0</v>
      </c>
      <c r="AC643" s="27">
        <v>0</v>
      </c>
      <c r="AD643" s="23">
        <f t="shared" ref="AD643:AE643" si="1294">AD613</f>
        <v>22</v>
      </c>
      <c r="AE643" s="23">
        <f t="shared" si="1294"/>
        <v>26</v>
      </c>
    </row>
    <row r="644" spans="1:31">
      <c r="A644" s="4">
        <v>11201</v>
      </c>
      <c r="B644" s="4">
        <v>13</v>
      </c>
      <c r="C644" s="29" t="s">
        <v>68</v>
      </c>
      <c r="D644" s="46">
        <v>0</v>
      </c>
      <c r="E644" s="18">
        <f t="shared" si="1209"/>
        <v>187</v>
      </c>
      <c r="F644" s="28">
        <v>0</v>
      </c>
      <c r="G644" s="28">
        <v>0</v>
      </c>
      <c r="H644" s="47">
        <v>0</v>
      </c>
      <c r="I644" s="21">
        <f t="shared" si="1223"/>
        <v>220</v>
      </c>
      <c r="J644" s="21">
        <f t="shared" si="1176"/>
        <v>12</v>
      </c>
      <c r="K644" s="21">
        <v>0</v>
      </c>
      <c r="L644" s="20">
        <v>6</v>
      </c>
      <c r="M644" s="20">
        <v>0</v>
      </c>
      <c r="N644" s="20">
        <f t="shared" si="1224"/>
        <v>2600</v>
      </c>
      <c r="O644" s="19" t="s">
        <v>68</v>
      </c>
      <c r="P644" s="20">
        <v>8600</v>
      </c>
      <c r="Q644" s="20">
        <f t="shared" ref="Q644:X644" si="1295">Q614</f>
        <v>260</v>
      </c>
      <c r="R644" s="20">
        <f t="shared" si="1295"/>
        <v>1040</v>
      </c>
      <c r="S644" s="20">
        <f t="shared" si="1295"/>
        <v>1819.9999999999998</v>
      </c>
      <c r="T644" s="20">
        <f t="shared" si="1295"/>
        <v>2340</v>
      </c>
      <c r="U644" s="20">
        <f t="shared" si="1295"/>
        <v>100</v>
      </c>
      <c r="V644" s="20">
        <f t="shared" si="1295"/>
        <v>700</v>
      </c>
      <c r="W644" s="20">
        <f t="shared" si="1295"/>
        <v>1000</v>
      </c>
      <c r="X644" s="20">
        <f t="shared" si="1295"/>
        <v>4</v>
      </c>
      <c r="Y644" s="27">
        <v>0</v>
      </c>
      <c r="Z644" s="22">
        <v>0</v>
      </c>
      <c r="AA644" s="20">
        <f t="shared" si="1211"/>
        <v>52</v>
      </c>
      <c r="AB644" s="27">
        <v>0</v>
      </c>
      <c r="AC644" s="27">
        <v>0</v>
      </c>
      <c r="AD644" s="23">
        <f t="shared" ref="AD644:AE644" si="1296">AD614</f>
        <v>24</v>
      </c>
      <c r="AE644" s="23">
        <f t="shared" si="1296"/>
        <v>28</v>
      </c>
    </row>
    <row r="645" spans="1:31">
      <c r="A645" s="4">
        <v>11201</v>
      </c>
      <c r="B645" s="4">
        <v>14</v>
      </c>
      <c r="C645" s="29" t="s">
        <v>69</v>
      </c>
      <c r="D645" s="46">
        <v>0</v>
      </c>
      <c r="E645" s="18">
        <f t="shared" si="1209"/>
        <v>202</v>
      </c>
      <c r="F645" s="28">
        <v>0</v>
      </c>
      <c r="G645" s="28">
        <v>0</v>
      </c>
      <c r="H645" s="47">
        <v>0</v>
      </c>
      <c r="I645" s="21">
        <f t="shared" si="1223"/>
        <v>220</v>
      </c>
      <c r="J645" s="21">
        <f t="shared" si="1176"/>
        <v>13</v>
      </c>
      <c r="K645" s="21">
        <v>0</v>
      </c>
      <c r="L645" s="20">
        <v>6</v>
      </c>
      <c r="M645" s="20">
        <v>0</v>
      </c>
      <c r="N645" s="20">
        <f t="shared" si="1224"/>
        <v>2800</v>
      </c>
      <c r="O645" s="19" t="s">
        <v>69</v>
      </c>
      <c r="P645" s="20">
        <v>6400</v>
      </c>
      <c r="Q645" s="20">
        <f t="shared" ref="Q645:X645" si="1297">Q615</f>
        <v>280</v>
      </c>
      <c r="R645" s="20">
        <f t="shared" si="1297"/>
        <v>1120</v>
      </c>
      <c r="S645" s="20">
        <f t="shared" si="1297"/>
        <v>1959.9999999999998</v>
      </c>
      <c r="T645" s="20">
        <f t="shared" si="1297"/>
        <v>2520</v>
      </c>
      <c r="U645" s="20">
        <f t="shared" si="1297"/>
        <v>100</v>
      </c>
      <c r="V645" s="20">
        <f t="shared" si="1297"/>
        <v>400</v>
      </c>
      <c r="W645" s="20">
        <f t="shared" si="1297"/>
        <v>1200</v>
      </c>
      <c r="X645" s="20">
        <f t="shared" si="1297"/>
        <v>4</v>
      </c>
      <c r="Y645" s="27">
        <v>0</v>
      </c>
      <c r="Z645" s="22">
        <v>0</v>
      </c>
      <c r="AA645" s="20">
        <f t="shared" si="1211"/>
        <v>0</v>
      </c>
      <c r="AB645" s="27">
        <v>0</v>
      </c>
      <c r="AC645" s="27">
        <v>0</v>
      </c>
      <c r="AD645" s="23">
        <f t="shared" ref="AD645:AE645" si="1298">AD615</f>
        <v>26</v>
      </c>
      <c r="AE645" s="23">
        <f t="shared" si="1298"/>
        <v>30</v>
      </c>
    </row>
    <row r="646" spans="1:31">
      <c r="A646" s="8">
        <v>11201</v>
      </c>
      <c r="B646" s="8">
        <v>15</v>
      </c>
      <c r="C646" s="29" t="s">
        <v>70</v>
      </c>
      <c r="D646" s="46">
        <v>0</v>
      </c>
      <c r="E646" s="18">
        <f t="shared" si="1209"/>
        <v>219</v>
      </c>
      <c r="F646" s="28">
        <v>0</v>
      </c>
      <c r="G646" s="28">
        <v>0</v>
      </c>
      <c r="H646" s="47">
        <v>0</v>
      </c>
      <c r="I646" s="21">
        <f t="shared" si="1223"/>
        <v>220</v>
      </c>
      <c r="J646" s="21">
        <f t="shared" si="1176"/>
        <v>14</v>
      </c>
      <c r="K646" s="21">
        <v>0</v>
      </c>
      <c r="L646" s="20">
        <v>6</v>
      </c>
      <c r="M646" s="20">
        <v>0</v>
      </c>
      <c r="N646" s="20">
        <f t="shared" si="1224"/>
        <v>4500</v>
      </c>
      <c r="O646" s="19" t="s">
        <v>70</v>
      </c>
      <c r="P646" s="20">
        <v>3100</v>
      </c>
      <c r="Q646" s="20">
        <f t="shared" ref="Q646:X646" si="1299">Q616</f>
        <v>450</v>
      </c>
      <c r="R646" s="20">
        <f t="shared" si="1299"/>
        <v>1800</v>
      </c>
      <c r="S646" s="20">
        <f t="shared" si="1299"/>
        <v>3150</v>
      </c>
      <c r="T646" s="20">
        <f t="shared" si="1299"/>
        <v>4050</v>
      </c>
      <c r="U646" s="20">
        <f t="shared" si="1299"/>
        <v>100</v>
      </c>
      <c r="V646" s="20">
        <f t="shared" si="1299"/>
        <v>1000</v>
      </c>
      <c r="W646" s="20">
        <f t="shared" si="1299"/>
        <v>600</v>
      </c>
      <c r="X646" s="20">
        <f t="shared" si="1299"/>
        <v>4</v>
      </c>
      <c r="Y646" s="27">
        <v>0</v>
      </c>
      <c r="Z646" s="22">
        <v>0</v>
      </c>
      <c r="AA646" s="20">
        <f t="shared" si="1211"/>
        <v>0</v>
      </c>
      <c r="AB646" s="27">
        <v>0</v>
      </c>
      <c r="AC646" s="27">
        <v>0</v>
      </c>
      <c r="AD646" s="23">
        <f t="shared" ref="AD646:AE646" si="1300">AD616</f>
        <v>28</v>
      </c>
      <c r="AE646" s="23">
        <f t="shared" si="1300"/>
        <v>32</v>
      </c>
    </row>
    <row r="647" spans="1:31">
      <c r="A647" s="4">
        <v>11201</v>
      </c>
      <c r="B647" s="4">
        <v>16</v>
      </c>
      <c r="C647" s="29" t="s">
        <v>71</v>
      </c>
      <c r="D647" s="46">
        <v>0</v>
      </c>
      <c r="E647" s="18">
        <f t="shared" si="1209"/>
        <v>237</v>
      </c>
      <c r="F647" s="28">
        <v>0</v>
      </c>
      <c r="G647" s="28">
        <v>0</v>
      </c>
      <c r="H647" s="47">
        <v>0</v>
      </c>
      <c r="I647" s="21">
        <f t="shared" si="1223"/>
        <v>220</v>
      </c>
      <c r="J647" s="21">
        <f t="shared" si="1176"/>
        <v>15</v>
      </c>
      <c r="K647" s="21">
        <v>0</v>
      </c>
      <c r="L647" s="20">
        <v>6</v>
      </c>
      <c r="M647" s="20">
        <v>0</v>
      </c>
      <c r="N647" s="20">
        <f t="shared" si="1224"/>
        <v>4800</v>
      </c>
      <c r="O647" s="19" t="s">
        <v>71</v>
      </c>
      <c r="P647" s="20">
        <v>1777</v>
      </c>
      <c r="Q647" s="20">
        <f t="shared" ref="Q647:X647" si="1301">Q617</f>
        <v>480</v>
      </c>
      <c r="R647" s="20">
        <f t="shared" si="1301"/>
        <v>1920</v>
      </c>
      <c r="S647" s="20">
        <f t="shared" si="1301"/>
        <v>3360</v>
      </c>
      <c r="T647" s="20">
        <f t="shared" si="1301"/>
        <v>4320</v>
      </c>
      <c r="U647" s="20">
        <f t="shared" si="1301"/>
        <v>100</v>
      </c>
      <c r="V647" s="20">
        <f t="shared" si="1301"/>
        <v>800</v>
      </c>
      <c r="W647" s="20">
        <f t="shared" si="1301"/>
        <v>800</v>
      </c>
      <c r="X647" s="20">
        <f t="shared" si="1301"/>
        <v>4</v>
      </c>
      <c r="Y647" s="27">
        <v>0</v>
      </c>
      <c r="Z647" s="22">
        <v>0</v>
      </c>
      <c r="AA647" s="20">
        <f t="shared" si="1211"/>
        <v>0</v>
      </c>
      <c r="AB647" s="27">
        <v>0</v>
      </c>
      <c r="AC647" s="27">
        <v>0</v>
      </c>
      <c r="AD647" s="23">
        <f t="shared" ref="AD647:AE647" si="1302">AD617</f>
        <v>30</v>
      </c>
      <c r="AE647" s="23">
        <f t="shared" si="1302"/>
        <v>34</v>
      </c>
    </row>
    <row r="648" spans="1:31">
      <c r="A648" s="4">
        <v>11201</v>
      </c>
      <c r="B648" s="4">
        <v>17</v>
      </c>
      <c r="C648" s="29" t="s">
        <v>72</v>
      </c>
      <c r="D648" s="46">
        <v>0</v>
      </c>
      <c r="E648" s="18">
        <f t="shared" si="1209"/>
        <v>256</v>
      </c>
      <c r="F648" s="28">
        <v>0</v>
      </c>
      <c r="G648" s="28">
        <v>0</v>
      </c>
      <c r="H648" s="47">
        <v>0</v>
      </c>
      <c r="I648" s="21">
        <f t="shared" si="1223"/>
        <v>275</v>
      </c>
      <c r="J648" s="21">
        <f t="shared" si="1176"/>
        <v>16</v>
      </c>
      <c r="K648" s="21">
        <v>0</v>
      </c>
      <c r="L648" s="20">
        <v>6</v>
      </c>
      <c r="M648" s="20">
        <v>0</v>
      </c>
      <c r="N648" s="20">
        <f t="shared" si="1224"/>
        <v>5100</v>
      </c>
      <c r="O648" s="19" t="s">
        <v>72</v>
      </c>
      <c r="P648" s="20">
        <v>2332</v>
      </c>
      <c r="Q648" s="20">
        <f t="shared" ref="Q648:X648" si="1303">Q618</f>
        <v>510</v>
      </c>
      <c r="R648" s="20">
        <f t="shared" si="1303"/>
        <v>2040</v>
      </c>
      <c r="S648" s="20">
        <f t="shared" si="1303"/>
        <v>3570</v>
      </c>
      <c r="T648" s="20">
        <f t="shared" si="1303"/>
        <v>4590</v>
      </c>
      <c r="U648" s="20">
        <f t="shared" si="1303"/>
        <v>80</v>
      </c>
      <c r="V648" s="20">
        <f t="shared" si="1303"/>
        <v>800</v>
      </c>
      <c r="W648" s="20">
        <f t="shared" si="1303"/>
        <v>600</v>
      </c>
      <c r="X648" s="20">
        <f t="shared" si="1303"/>
        <v>5</v>
      </c>
      <c r="Y648" s="27">
        <v>0</v>
      </c>
      <c r="Z648" s="22">
        <v>0</v>
      </c>
      <c r="AA648" s="20">
        <f t="shared" si="1211"/>
        <v>0</v>
      </c>
      <c r="AB648" s="27">
        <v>0</v>
      </c>
      <c r="AC648" s="27">
        <v>0</v>
      </c>
      <c r="AD648" s="23">
        <f t="shared" ref="AD648:AE648" si="1304">AD618</f>
        <v>32</v>
      </c>
      <c r="AE648" s="23">
        <f t="shared" si="1304"/>
        <v>36</v>
      </c>
    </row>
    <row r="649" spans="1:31">
      <c r="A649" s="4">
        <v>11201</v>
      </c>
      <c r="B649" s="4">
        <v>18</v>
      </c>
      <c r="C649" s="29" t="s">
        <v>73</v>
      </c>
      <c r="D649" s="46">
        <v>0</v>
      </c>
      <c r="E649" s="18">
        <f t="shared" si="1209"/>
        <v>278</v>
      </c>
      <c r="F649" s="28">
        <v>0</v>
      </c>
      <c r="G649" s="28">
        <v>0</v>
      </c>
      <c r="H649" s="47">
        <v>0</v>
      </c>
      <c r="I649" s="21">
        <f t="shared" si="1223"/>
        <v>275</v>
      </c>
      <c r="J649" s="21">
        <f t="shared" si="1176"/>
        <v>17</v>
      </c>
      <c r="K649" s="21">
        <v>0</v>
      </c>
      <c r="L649" s="20">
        <v>6</v>
      </c>
      <c r="M649" s="20">
        <v>0</v>
      </c>
      <c r="N649" s="20">
        <f t="shared" si="1224"/>
        <v>5400</v>
      </c>
      <c r="O649" s="19" t="s">
        <v>73</v>
      </c>
      <c r="P649" s="20">
        <v>1487</v>
      </c>
      <c r="Q649" s="20">
        <f t="shared" ref="Q649:X649" si="1305">Q619</f>
        <v>540</v>
      </c>
      <c r="R649" s="20">
        <f t="shared" si="1305"/>
        <v>2160</v>
      </c>
      <c r="S649" s="20">
        <f t="shared" si="1305"/>
        <v>3779.9999999999995</v>
      </c>
      <c r="T649" s="20">
        <f t="shared" si="1305"/>
        <v>4860</v>
      </c>
      <c r="U649" s="20">
        <f t="shared" si="1305"/>
        <v>100</v>
      </c>
      <c r="V649" s="20">
        <f t="shared" si="1305"/>
        <v>600</v>
      </c>
      <c r="W649" s="20">
        <f t="shared" si="1305"/>
        <v>300</v>
      </c>
      <c r="X649" s="20">
        <f t="shared" si="1305"/>
        <v>5</v>
      </c>
      <c r="Y649" s="27">
        <v>0</v>
      </c>
      <c r="Z649" s="22">
        <v>0</v>
      </c>
      <c r="AA649" s="20">
        <f t="shared" si="1211"/>
        <v>79</v>
      </c>
      <c r="AB649" s="27">
        <v>0</v>
      </c>
      <c r="AC649" s="27">
        <v>0</v>
      </c>
      <c r="AD649" s="23">
        <f t="shared" ref="AD649:AE649" si="1306">AD619</f>
        <v>34</v>
      </c>
      <c r="AE649" s="23">
        <f t="shared" si="1306"/>
        <v>38</v>
      </c>
    </row>
    <row r="650" spans="1:31">
      <c r="A650" s="4">
        <v>11201</v>
      </c>
      <c r="B650" s="4">
        <v>19</v>
      </c>
      <c r="C650" s="29" t="s">
        <v>74</v>
      </c>
      <c r="D650" s="46">
        <v>0</v>
      </c>
      <c r="E650" s="18">
        <f t="shared" si="1209"/>
        <v>301</v>
      </c>
      <c r="F650" s="28">
        <v>0</v>
      </c>
      <c r="G650" s="28">
        <v>0</v>
      </c>
      <c r="H650" s="47">
        <v>0</v>
      </c>
      <c r="I650" s="21">
        <f t="shared" si="1223"/>
        <v>275</v>
      </c>
      <c r="J650" s="21">
        <f t="shared" si="1176"/>
        <v>18</v>
      </c>
      <c r="K650" s="21">
        <v>0</v>
      </c>
      <c r="L650" s="20">
        <v>6</v>
      </c>
      <c r="M650" s="20">
        <v>0</v>
      </c>
      <c r="N650" s="20">
        <f t="shared" si="1224"/>
        <v>5700</v>
      </c>
      <c r="O650" s="19" t="s">
        <v>74</v>
      </c>
      <c r="P650" s="20">
        <v>1518</v>
      </c>
      <c r="Q650" s="20">
        <f t="shared" ref="Q650:X650" si="1307">Q620</f>
        <v>570</v>
      </c>
      <c r="R650" s="20">
        <f t="shared" si="1307"/>
        <v>2280</v>
      </c>
      <c r="S650" s="20">
        <f t="shared" si="1307"/>
        <v>3989.9999999999995</v>
      </c>
      <c r="T650" s="20">
        <f t="shared" si="1307"/>
        <v>5130</v>
      </c>
      <c r="U650" s="20">
        <f t="shared" si="1307"/>
        <v>100</v>
      </c>
      <c r="V650" s="20">
        <f t="shared" si="1307"/>
        <v>500</v>
      </c>
      <c r="W650" s="20">
        <f t="shared" si="1307"/>
        <v>400</v>
      </c>
      <c r="X650" s="20">
        <f t="shared" si="1307"/>
        <v>5</v>
      </c>
      <c r="Y650" s="27">
        <v>0</v>
      </c>
      <c r="Z650" s="22">
        <v>0</v>
      </c>
      <c r="AA650" s="20">
        <f t="shared" si="1211"/>
        <v>0</v>
      </c>
      <c r="AB650" s="27">
        <v>0</v>
      </c>
      <c r="AC650" s="27">
        <v>0</v>
      </c>
      <c r="AD650" s="23">
        <f t="shared" ref="AD650:AE650" si="1308">AD620</f>
        <v>36</v>
      </c>
      <c r="AE650" s="23">
        <f t="shared" si="1308"/>
        <v>40</v>
      </c>
    </row>
    <row r="651" spans="1:31">
      <c r="A651" s="4">
        <v>11201</v>
      </c>
      <c r="B651" s="4">
        <v>20</v>
      </c>
      <c r="C651" s="29" t="s">
        <v>75</v>
      </c>
      <c r="D651" s="46">
        <v>0</v>
      </c>
      <c r="E651" s="18">
        <f t="shared" si="1209"/>
        <v>325</v>
      </c>
      <c r="F651" s="28">
        <v>0</v>
      </c>
      <c r="G651" s="28">
        <v>0</v>
      </c>
      <c r="H651" s="47">
        <v>0</v>
      </c>
      <c r="I651" s="21">
        <f t="shared" si="1223"/>
        <v>275</v>
      </c>
      <c r="J651" s="21">
        <f t="shared" ref="J651:J714" si="1309">B651-1</f>
        <v>19</v>
      </c>
      <c r="K651" s="21">
        <v>0</v>
      </c>
      <c r="L651" s="20">
        <v>6</v>
      </c>
      <c r="M651" s="20">
        <v>0</v>
      </c>
      <c r="N651" s="20">
        <f t="shared" si="1224"/>
        <v>8000</v>
      </c>
      <c r="O651" s="19" t="s">
        <v>75</v>
      </c>
      <c r="P651" s="20">
        <v>861</v>
      </c>
      <c r="Q651" s="20">
        <f t="shared" ref="Q651:X651" si="1310">Q621</f>
        <v>800</v>
      </c>
      <c r="R651" s="20">
        <f t="shared" si="1310"/>
        <v>3200</v>
      </c>
      <c r="S651" s="20">
        <f t="shared" si="1310"/>
        <v>5600</v>
      </c>
      <c r="T651" s="20">
        <f t="shared" si="1310"/>
        <v>7200</v>
      </c>
      <c r="U651" s="20">
        <f t="shared" si="1310"/>
        <v>100</v>
      </c>
      <c r="V651" s="20">
        <f t="shared" si="1310"/>
        <v>800</v>
      </c>
      <c r="W651" s="20">
        <f t="shared" si="1310"/>
        <v>8000</v>
      </c>
      <c r="X651" s="20">
        <f t="shared" si="1310"/>
        <v>5</v>
      </c>
      <c r="Y651" s="27">
        <v>0</v>
      </c>
      <c r="Z651" s="22">
        <v>0</v>
      </c>
      <c r="AA651" s="20">
        <f t="shared" si="1211"/>
        <v>0</v>
      </c>
      <c r="AB651" s="27">
        <v>0</v>
      </c>
      <c r="AC651" s="27">
        <v>0</v>
      </c>
      <c r="AD651" s="23">
        <f t="shared" ref="AD651:AE651" si="1311">AD621</f>
        <v>38</v>
      </c>
      <c r="AE651" s="23">
        <f t="shared" si="1311"/>
        <v>42</v>
      </c>
    </row>
    <row r="652" spans="1:31">
      <c r="A652" s="4">
        <v>11201</v>
      </c>
      <c r="B652" s="4">
        <v>21</v>
      </c>
      <c r="C652" s="29" t="s">
        <v>66</v>
      </c>
      <c r="D652" s="46">
        <v>0</v>
      </c>
      <c r="E652" s="18">
        <f t="shared" si="1209"/>
        <v>352</v>
      </c>
      <c r="F652" s="28">
        <v>0</v>
      </c>
      <c r="G652" s="28">
        <v>0</v>
      </c>
      <c r="H652" s="47">
        <v>0</v>
      </c>
      <c r="I652" s="21">
        <f t="shared" si="1223"/>
        <v>330</v>
      </c>
      <c r="J652" s="21">
        <f t="shared" si="1309"/>
        <v>20</v>
      </c>
      <c r="K652" s="21">
        <v>0</v>
      </c>
      <c r="L652" s="20">
        <v>6</v>
      </c>
      <c r="M652" s="20">
        <v>0</v>
      </c>
      <c r="N652" s="20">
        <f t="shared" si="1224"/>
        <v>8400</v>
      </c>
      <c r="O652" s="19" t="s">
        <v>66</v>
      </c>
      <c r="P652" s="20">
        <v>9400</v>
      </c>
      <c r="Q652" s="20">
        <f t="shared" ref="Q652:X652" si="1312">Q622</f>
        <v>840</v>
      </c>
      <c r="R652" s="20">
        <f t="shared" si="1312"/>
        <v>3360</v>
      </c>
      <c r="S652" s="20">
        <f t="shared" si="1312"/>
        <v>5880</v>
      </c>
      <c r="T652" s="20">
        <f t="shared" si="1312"/>
        <v>7560</v>
      </c>
      <c r="U652" s="20">
        <f t="shared" si="1312"/>
        <v>50</v>
      </c>
      <c r="V652" s="20">
        <f t="shared" si="1312"/>
        <v>1000</v>
      </c>
      <c r="W652" s="20">
        <f t="shared" si="1312"/>
        <v>600</v>
      </c>
      <c r="X652" s="20">
        <f t="shared" si="1312"/>
        <v>6</v>
      </c>
      <c r="Y652" s="27">
        <v>0</v>
      </c>
      <c r="Z652" s="22">
        <v>0</v>
      </c>
      <c r="AA652" s="20">
        <f t="shared" si="1211"/>
        <v>0</v>
      </c>
      <c r="AB652" s="27">
        <v>0</v>
      </c>
      <c r="AC652" s="27">
        <v>0</v>
      </c>
      <c r="AD652" s="23">
        <f t="shared" ref="AD652:AE652" si="1313">AD622</f>
        <v>40</v>
      </c>
      <c r="AE652" s="23">
        <f t="shared" si="1313"/>
        <v>44</v>
      </c>
    </row>
    <row r="653" spans="1:31">
      <c r="A653" s="4">
        <v>11201</v>
      </c>
      <c r="B653" s="4">
        <v>22</v>
      </c>
      <c r="C653" s="29" t="s">
        <v>67</v>
      </c>
      <c r="D653" s="46">
        <v>0</v>
      </c>
      <c r="E653" s="18">
        <f t="shared" si="1209"/>
        <v>381</v>
      </c>
      <c r="F653" s="28">
        <v>0</v>
      </c>
      <c r="G653" s="28">
        <v>0</v>
      </c>
      <c r="H653" s="47">
        <v>0</v>
      </c>
      <c r="I653" s="21">
        <f t="shared" si="1223"/>
        <v>330</v>
      </c>
      <c r="J653" s="21">
        <f t="shared" si="1309"/>
        <v>21</v>
      </c>
      <c r="K653" s="21">
        <v>0</v>
      </c>
      <c r="L653" s="20">
        <v>6</v>
      </c>
      <c r="M653" s="20">
        <v>0</v>
      </c>
      <c r="N653" s="20">
        <f t="shared" si="1224"/>
        <v>8800</v>
      </c>
      <c r="O653" s="19" t="s">
        <v>67</v>
      </c>
      <c r="P653" s="20">
        <v>9100</v>
      </c>
      <c r="Q653" s="20">
        <f t="shared" ref="Q653:X653" si="1314">Q623</f>
        <v>880</v>
      </c>
      <c r="R653" s="20">
        <f t="shared" si="1314"/>
        <v>3520</v>
      </c>
      <c r="S653" s="20">
        <f t="shared" si="1314"/>
        <v>6160</v>
      </c>
      <c r="T653" s="20">
        <f t="shared" si="1314"/>
        <v>7920</v>
      </c>
      <c r="U653" s="20">
        <f t="shared" si="1314"/>
        <v>100</v>
      </c>
      <c r="V653" s="20">
        <f t="shared" si="1314"/>
        <v>600</v>
      </c>
      <c r="W653" s="20">
        <f t="shared" si="1314"/>
        <v>700</v>
      </c>
      <c r="X653" s="20">
        <f t="shared" si="1314"/>
        <v>6</v>
      </c>
      <c r="Y653" s="27">
        <v>0</v>
      </c>
      <c r="Z653" s="22">
        <v>0</v>
      </c>
      <c r="AA653" s="20">
        <f t="shared" si="1211"/>
        <v>0</v>
      </c>
      <c r="AB653" s="27">
        <v>0</v>
      </c>
      <c r="AC653" s="27">
        <v>0</v>
      </c>
      <c r="AD653" s="23">
        <f t="shared" ref="AD653:AE653" si="1315">AD623</f>
        <v>42</v>
      </c>
      <c r="AE653" s="23">
        <f t="shared" si="1315"/>
        <v>46</v>
      </c>
    </row>
    <row r="654" spans="1:31">
      <c r="A654" s="4">
        <v>11201</v>
      </c>
      <c r="B654" s="4">
        <v>23</v>
      </c>
      <c r="C654" s="29" t="s">
        <v>68</v>
      </c>
      <c r="D654" s="46">
        <v>0</v>
      </c>
      <c r="E654" s="18">
        <f t="shared" si="1209"/>
        <v>413</v>
      </c>
      <c r="F654" s="28">
        <v>0</v>
      </c>
      <c r="G654" s="28">
        <v>0</v>
      </c>
      <c r="H654" s="47">
        <v>0</v>
      </c>
      <c r="I654" s="21">
        <f t="shared" si="1223"/>
        <v>330</v>
      </c>
      <c r="J654" s="21">
        <f t="shared" si="1309"/>
        <v>22</v>
      </c>
      <c r="K654" s="21">
        <v>0</v>
      </c>
      <c r="L654" s="20">
        <v>6</v>
      </c>
      <c r="M654" s="20">
        <v>0</v>
      </c>
      <c r="N654" s="20">
        <f t="shared" si="1224"/>
        <v>9200</v>
      </c>
      <c r="O654" s="19" t="s">
        <v>68</v>
      </c>
      <c r="P654" s="20">
        <v>8600</v>
      </c>
      <c r="Q654" s="20">
        <f t="shared" ref="Q654:X654" si="1316">Q624</f>
        <v>920</v>
      </c>
      <c r="R654" s="20">
        <f t="shared" si="1316"/>
        <v>3680</v>
      </c>
      <c r="S654" s="20">
        <f t="shared" si="1316"/>
        <v>6440</v>
      </c>
      <c r="T654" s="20">
        <f t="shared" si="1316"/>
        <v>8280</v>
      </c>
      <c r="U654" s="20">
        <f t="shared" si="1316"/>
        <v>100</v>
      </c>
      <c r="V654" s="20">
        <f t="shared" si="1316"/>
        <v>550</v>
      </c>
      <c r="W654" s="20">
        <f t="shared" si="1316"/>
        <v>500</v>
      </c>
      <c r="X654" s="20">
        <f t="shared" si="1316"/>
        <v>6</v>
      </c>
      <c r="Y654" s="27">
        <v>0</v>
      </c>
      <c r="Z654" s="22">
        <v>0</v>
      </c>
      <c r="AA654" s="20">
        <f t="shared" si="1211"/>
        <v>105</v>
      </c>
      <c r="AB654" s="27">
        <v>0</v>
      </c>
      <c r="AC654" s="27">
        <v>0</v>
      </c>
      <c r="AD654" s="23">
        <f t="shared" ref="AD654:AE654" si="1317">AD624</f>
        <v>44</v>
      </c>
      <c r="AE654" s="23">
        <f t="shared" si="1317"/>
        <v>48</v>
      </c>
    </row>
    <row r="655" spans="1:31">
      <c r="A655" s="4">
        <v>11201</v>
      </c>
      <c r="B655" s="4">
        <v>24</v>
      </c>
      <c r="C655" s="29" t="s">
        <v>69</v>
      </c>
      <c r="D655" s="46">
        <v>0</v>
      </c>
      <c r="E655" s="18">
        <f t="shared" si="1209"/>
        <v>447</v>
      </c>
      <c r="F655" s="28">
        <v>0</v>
      </c>
      <c r="G655" s="28">
        <v>0</v>
      </c>
      <c r="H655" s="47">
        <v>0</v>
      </c>
      <c r="I655" s="21">
        <f t="shared" si="1223"/>
        <v>330</v>
      </c>
      <c r="J655" s="21">
        <f t="shared" si="1309"/>
        <v>23</v>
      </c>
      <c r="K655" s="21">
        <v>0</v>
      </c>
      <c r="L655" s="20">
        <v>6</v>
      </c>
      <c r="M655" s="20">
        <v>0</v>
      </c>
      <c r="N655" s="20">
        <f t="shared" si="1224"/>
        <v>9600</v>
      </c>
      <c r="O655" s="19" t="s">
        <v>69</v>
      </c>
      <c r="P655" s="20">
        <v>6400</v>
      </c>
      <c r="Q655" s="20">
        <f t="shared" ref="Q655:X655" si="1318">Q625</f>
        <v>960</v>
      </c>
      <c r="R655" s="20">
        <f t="shared" si="1318"/>
        <v>3840</v>
      </c>
      <c r="S655" s="20">
        <f t="shared" si="1318"/>
        <v>6720</v>
      </c>
      <c r="T655" s="20">
        <f t="shared" si="1318"/>
        <v>8640</v>
      </c>
      <c r="U655" s="20">
        <f t="shared" si="1318"/>
        <v>100</v>
      </c>
      <c r="V655" s="20">
        <f t="shared" si="1318"/>
        <v>500</v>
      </c>
      <c r="W655" s="20">
        <f t="shared" si="1318"/>
        <v>900</v>
      </c>
      <c r="X655" s="20">
        <f t="shared" si="1318"/>
        <v>6</v>
      </c>
      <c r="Y655" s="27">
        <v>0</v>
      </c>
      <c r="Z655" s="22">
        <v>0</v>
      </c>
      <c r="AA655" s="20">
        <f t="shared" si="1211"/>
        <v>0</v>
      </c>
      <c r="AB655" s="27">
        <v>0</v>
      </c>
      <c r="AC655" s="27">
        <v>0</v>
      </c>
      <c r="AD655" s="23">
        <f t="shared" ref="AD655:AE655" si="1319">AD625</f>
        <v>46</v>
      </c>
      <c r="AE655" s="23">
        <f t="shared" si="1319"/>
        <v>50</v>
      </c>
    </row>
    <row r="656" spans="1:31">
      <c r="A656" s="4">
        <v>11201</v>
      </c>
      <c r="B656" s="4">
        <v>25</v>
      </c>
      <c r="C656" s="29" t="s">
        <v>70</v>
      </c>
      <c r="D656" s="46">
        <v>0</v>
      </c>
      <c r="E656" s="18">
        <f t="shared" si="1209"/>
        <v>484</v>
      </c>
      <c r="F656" s="28">
        <v>0</v>
      </c>
      <c r="G656" s="28">
        <v>0</v>
      </c>
      <c r="H656" s="47">
        <v>0</v>
      </c>
      <c r="I656" s="21">
        <f t="shared" si="1223"/>
        <v>385</v>
      </c>
      <c r="J656" s="21">
        <f t="shared" si="1309"/>
        <v>24</v>
      </c>
      <c r="K656" s="21">
        <v>0</v>
      </c>
      <c r="L656" s="20">
        <v>6</v>
      </c>
      <c r="M656" s="20">
        <v>0</v>
      </c>
      <c r="N656" s="20">
        <f t="shared" si="1224"/>
        <v>12500</v>
      </c>
      <c r="O656" s="19" t="s">
        <v>70</v>
      </c>
      <c r="P656" s="20">
        <v>3100</v>
      </c>
      <c r="Q656" s="20">
        <f t="shared" ref="Q656:X656" si="1320">Q626</f>
        <v>1250</v>
      </c>
      <c r="R656" s="20">
        <f t="shared" si="1320"/>
        <v>5000</v>
      </c>
      <c r="S656" s="20">
        <f t="shared" si="1320"/>
        <v>8750</v>
      </c>
      <c r="T656" s="20">
        <f t="shared" si="1320"/>
        <v>11250</v>
      </c>
      <c r="U656" s="20">
        <f t="shared" si="1320"/>
        <v>10</v>
      </c>
      <c r="V656" s="20">
        <f t="shared" si="1320"/>
        <v>1300</v>
      </c>
      <c r="W656" s="20">
        <f t="shared" si="1320"/>
        <v>1000</v>
      </c>
      <c r="X656" s="20">
        <f t="shared" si="1320"/>
        <v>7</v>
      </c>
      <c r="Y656" s="27">
        <v>0</v>
      </c>
      <c r="Z656" s="22">
        <v>0</v>
      </c>
      <c r="AA656" s="20">
        <f t="shared" si="1211"/>
        <v>0</v>
      </c>
      <c r="AB656" s="27">
        <v>0</v>
      </c>
      <c r="AC656" s="27">
        <v>0</v>
      </c>
      <c r="AD656" s="23">
        <f t="shared" ref="AD656:AE656" si="1321">AD626</f>
        <v>48</v>
      </c>
      <c r="AE656" s="23">
        <f t="shared" si="1321"/>
        <v>52</v>
      </c>
    </row>
    <row r="657" spans="1:31">
      <c r="A657" s="4">
        <v>11201</v>
      </c>
      <c r="B657" s="4">
        <v>26</v>
      </c>
      <c r="C657" s="29" t="s">
        <v>71</v>
      </c>
      <c r="D657" s="46">
        <v>0</v>
      </c>
      <c r="E657" s="18">
        <f t="shared" si="1209"/>
        <v>524</v>
      </c>
      <c r="F657" s="28">
        <v>0</v>
      </c>
      <c r="G657" s="28">
        <v>0</v>
      </c>
      <c r="H657" s="47">
        <v>0</v>
      </c>
      <c r="I657" s="21">
        <f t="shared" si="1223"/>
        <v>385</v>
      </c>
      <c r="J657" s="21">
        <f t="shared" si="1309"/>
        <v>25</v>
      </c>
      <c r="K657" s="21">
        <v>0</v>
      </c>
      <c r="L657" s="20">
        <v>6</v>
      </c>
      <c r="M657" s="20">
        <v>0</v>
      </c>
      <c r="N657" s="20">
        <f t="shared" si="1224"/>
        <v>13000</v>
      </c>
      <c r="O657" s="19" t="s">
        <v>71</v>
      </c>
      <c r="P657" s="20">
        <v>1777</v>
      </c>
      <c r="Q657" s="20">
        <f t="shared" ref="Q657:X657" si="1322">Q627</f>
        <v>1300</v>
      </c>
      <c r="R657" s="20">
        <f t="shared" si="1322"/>
        <v>5200</v>
      </c>
      <c r="S657" s="20">
        <f t="shared" si="1322"/>
        <v>9100</v>
      </c>
      <c r="T657" s="20">
        <f t="shared" si="1322"/>
        <v>11700</v>
      </c>
      <c r="U657" s="20">
        <f t="shared" si="1322"/>
        <v>90</v>
      </c>
      <c r="V657" s="20">
        <f t="shared" si="1322"/>
        <v>800</v>
      </c>
      <c r="W657" s="20">
        <f t="shared" si="1322"/>
        <v>2000</v>
      </c>
      <c r="X657" s="20">
        <f t="shared" si="1322"/>
        <v>7</v>
      </c>
      <c r="Y657" s="27">
        <v>0</v>
      </c>
      <c r="Z657" s="22">
        <v>0</v>
      </c>
      <c r="AA657" s="20">
        <f t="shared" si="1211"/>
        <v>0</v>
      </c>
      <c r="AB657" s="27">
        <v>0</v>
      </c>
      <c r="AC657" s="27">
        <v>0</v>
      </c>
      <c r="AD657" s="23">
        <f t="shared" ref="AD657:AE657" si="1323">AD627</f>
        <v>50</v>
      </c>
      <c r="AE657" s="23">
        <f t="shared" si="1323"/>
        <v>54</v>
      </c>
    </row>
    <row r="658" spans="1:31">
      <c r="A658" s="4">
        <v>11201</v>
      </c>
      <c r="B658" s="4">
        <v>27</v>
      </c>
      <c r="C658" s="29" t="s">
        <v>72</v>
      </c>
      <c r="D658" s="46">
        <v>0</v>
      </c>
      <c r="E658" s="18">
        <f t="shared" si="1209"/>
        <v>567</v>
      </c>
      <c r="F658" s="28">
        <v>0</v>
      </c>
      <c r="G658" s="28">
        <v>0</v>
      </c>
      <c r="H658" s="47">
        <v>0</v>
      </c>
      <c r="I658" s="21">
        <f t="shared" si="1223"/>
        <v>385</v>
      </c>
      <c r="J658" s="21">
        <f t="shared" si="1309"/>
        <v>26</v>
      </c>
      <c r="K658" s="21">
        <v>0</v>
      </c>
      <c r="L658" s="20">
        <v>6</v>
      </c>
      <c r="M658" s="20">
        <v>0</v>
      </c>
      <c r="N658" s="20">
        <f t="shared" si="1224"/>
        <v>13500</v>
      </c>
      <c r="O658" s="19" t="s">
        <v>72</v>
      </c>
      <c r="P658" s="20">
        <v>2332</v>
      </c>
      <c r="Q658" s="20">
        <f t="shared" ref="Q658:X658" si="1324">Q628</f>
        <v>1350</v>
      </c>
      <c r="R658" s="20">
        <f t="shared" si="1324"/>
        <v>5400</v>
      </c>
      <c r="S658" s="20">
        <f t="shared" si="1324"/>
        <v>9450</v>
      </c>
      <c r="T658" s="20">
        <f t="shared" si="1324"/>
        <v>12150</v>
      </c>
      <c r="U658" s="20">
        <f t="shared" si="1324"/>
        <v>80</v>
      </c>
      <c r="V658" s="20">
        <f t="shared" si="1324"/>
        <v>700</v>
      </c>
      <c r="W658" s="20">
        <f t="shared" si="1324"/>
        <v>800</v>
      </c>
      <c r="X658" s="20">
        <f t="shared" si="1324"/>
        <v>7</v>
      </c>
      <c r="Y658" s="27">
        <v>0</v>
      </c>
      <c r="Z658" s="22">
        <v>0</v>
      </c>
      <c r="AA658" s="20">
        <f t="shared" si="1211"/>
        <v>0</v>
      </c>
      <c r="AB658" s="27">
        <v>0</v>
      </c>
      <c r="AC658" s="27">
        <v>0</v>
      </c>
      <c r="AD658" s="23">
        <f t="shared" ref="AD658:AE658" si="1325">AD628</f>
        <v>52</v>
      </c>
      <c r="AE658" s="23">
        <f t="shared" si="1325"/>
        <v>56</v>
      </c>
    </row>
    <row r="659" spans="1:31">
      <c r="A659" s="4">
        <v>11201</v>
      </c>
      <c r="B659" s="4">
        <v>28</v>
      </c>
      <c r="C659" s="29" t="s">
        <v>73</v>
      </c>
      <c r="D659" s="46">
        <v>0</v>
      </c>
      <c r="E659" s="18">
        <f t="shared" si="1209"/>
        <v>614</v>
      </c>
      <c r="F659" s="28">
        <v>0</v>
      </c>
      <c r="G659" s="28">
        <v>0</v>
      </c>
      <c r="H659" s="47">
        <v>0</v>
      </c>
      <c r="I659" s="21">
        <f t="shared" si="1223"/>
        <v>385</v>
      </c>
      <c r="J659" s="21">
        <f t="shared" si="1309"/>
        <v>27</v>
      </c>
      <c r="K659" s="21">
        <v>0</v>
      </c>
      <c r="L659" s="20">
        <v>6</v>
      </c>
      <c r="M659" s="20">
        <v>0</v>
      </c>
      <c r="N659" s="20">
        <f t="shared" si="1224"/>
        <v>14000</v>
      </c>
      <c r="O659" s="19" t="s">
        <v>73</v>
      </c>
      <c r="P659" s="20">
        <v>1487</v>
      </c>
      <c r="Q659" s="20">
        <f t="shared" ref="Q659:X659" si="1326">Q629</f>
        <v>1400</v>
      </c>
      <c r="R659" s="20">
        <f t="shared" si="1326"/>
        <v>5600</v>
      </c>
      <c r="S659" s="20">
        <f t="shared" si="1326"/>
        <v>9800</v>
      </c>
      <c r="T659" s="20">
        <f t="shared" si="1326"/>
        <v>12600</v>
      </c>
      <c r="U659" s="20">
        <f t="shared" si="1326"/>
        <v>80</v>
      </c>
      <c r="V659" s="20">
        <f t="shared" si="1326"/>
        <v>500</v>
      </c>
      <c r="W659" s="20">
        <f t="shared" si="1326"/>
        <v>600</v>
      </c>
      <c r="X659" s="20">
        <f t="shared" si="1326"/>
        <v>7</v>
      </c>
      <c r="Y659" s="27">
        <v>0</v>
      </c>
      <c r="Z659" s="22">
        <v>0</v>
      </c>
      <c r="AA659" s="20">
        <f t="shared" si="1211"/>
        <v>132</v>
      </c>
      <c r="AB659" s="27">
        <v>0</v>
      </c>
      <c r="AC659" s="27">
        <v>0</v>
      </c>
      <c r="AD659" s="23">
        <f t="shared" ref="AD659:AE659" si="1327">AD629</f>
        <v>54</v>
      </c>
      <c r="AE659" s="23">
        <f t="shared" si="1327"/>
        <v>58</v>
      </c>
    </row>
    <row r="660" spans="1:31">
      <c r="A660" s="4">
        <v>11201</v>
      </c>
      <c r="B660" s="4">
        <v>29</v>
      </c>
      <c r="C660" s="29" t="s">
        <v>74</v>
      </c>
      <c r="D660" s="46">
        <v>0</v>
      </c>
      <c r="E660" s="18">
        <f t="shared" si="1209"/>
        <v>665</v>
      </c>
      <c r="F660" s="28">
        <v>0</v>
      </c>
      <c r="G660" s="28">
        <v>0</v>
      </c>
      <c r="H660" s="47">
        <v>0</v>
      </c>
      <c r="I660" s="21">
        <f t="shared" si="1223"/>
        <v>440</v>
      </c>
      <c r="J660" s="21">
        <f t="shared" si="1309"/>
        <v>28</v>
      </c>
      <c r="K660" s="21">
        <v>0</v>
      </c>
      <c r="L660" s="20">
        <v>6</v>
      </c>
      <c r="M660" s="20">
        <v>0</v>
      </c>
      <c r="N660" s="20">
        <f t="shared" si="1224"/>
        <v>14500</v>
      </c>
      <c r="O660" s="19" t="s">
        <v>74</v>
      </c>
      <c r="P660" s="20">
        <v>1518</v>
      </c>
      <c r="Q660" s="20">
        <f t="shared" ref="Q660:X660" si="1328">Q630</f>
        <v>1450</v>
      </c>
      <c r="R660" s="20">
        <f t="shared" si="1328"/>
        <v>5800</v>
      </c>
      <c r="S660" s="20">
        <f t="shared" si="1328"/>
        <v>10150</v>
      </c>
      <c r="T660" s="20">
        <f t="shared" si="1328"/>
        <v>13050</v>
      </c>
      <c r="U660" s="20">
        <f t="shared" si="1328"/>
        <v>80</v>
      </c>
      <c r="V660" s="20">
        <f t="shared" si="1328"/>
        <v>600</v>
      </c>
      <c r="W660" s="20">
        <f t="shared" si="1328"/>
        <v>700</v>
      </c>
      <c r="X660" s="20">
        <f t="shared" si="1328"/>
        <v>8</v>
      </c>
      <c r="Y660" s="27">
        <v>0</v>
      </c>
      <c r="Z660" s="22">
        <v>0</v>
      </c>
      <c r="AA660" s="20">
        <f t="shared" si="1211"/>
        <v>0</v>
      </c>
      <c r="AB660" s="27">
        <v>0</v>
      </c>
      <c r="AC660" s="27">
        <v>0</v>
      </c>
      <c r="AD660" s="23">
        <f t="shared" ref="AD660:AE660" si="1329">AD630</f>
        <v>56</v>
      </c>
      <c r="AE660" s="23">
        <f t="shared" si="1329"/>
        <v>60</v>
      </c>
    </row>
    <row r="661" spans="1:31">
      <c r="A661" s="4">
        <v>11201</v>
      </c>
      <c r="B661" s="4">
        <v>30</v>
      </c>
      <c r="C661" s="29" t="s">
        <v>75</v>
      </c>
      <c r="D661" s="46">
        <v>0</v>
      </c>
      <c r="E661" s="18">
        <f t="shared" si="1209"/>
        <v>720</v>
      </c>
      <c r="F661" s="28">
        <v>0</v>
      </c>
      <c r="G661" s="28">
        <v>0</v>
      </c>
      <c r="H661" s="47">
        <v>0</v>
      </c>
      <c r="I661" s="21">
        <f t="shared" si="1223"/>
        <v>440</v>
      </c>
      <c r="J661" s="21">
        <f t="shared" si="1309"/>
        <v>29</v>
      </c>
      <c r="K661" s="21">
        <v>0</v>
      </c>
      <c r="L661" s="20">
        <v>6</v>
      </c>
      <c r="M661" s="20">
        <v>0</v>
      </c>
      <c r="N661" s="20">
        <f t="shared" si="1224"/>
        <v>15000</v>
      </c>
      <c r="O661" s="19" t="s">
        <v>75</v>
      </c>
      <c r="P661" s="20">
        <v>861</v>
      </c>
      <c r="Q661" s="20">
        <f t="shared" ref="Q661:X661" si="1330">Q631</f>
        <v>1500</v>
      </c>
      <c r="R661" s="20">
        <f t="shared" si="1330"/>
        <v>6000</v>
      </c>
      <c r="S661" s="20">
        <f t="shared" si="1330"/>
        <v>10500</v>
      </c>
      <c r="T661" s="20">
        <f t="shared" si="1330"/>
        <v>13500</v>
      </c>
      <c r="U661" s="20">
        <f t="shared" si="1330"/>
        <v>20</v>
      </c>
      <c r="V661" s="20">
        <f t="shared" si="1330"/>
        <v>450</v>
      </c>
      <c r="W661" s="20">
        <f t="shared" si="1330"/>
        <v>1000</v>
      </c>
      <c r="X661" s="20">
        <f t="shared" si="1330"/>
        <v>8</v>
      </c>
      <c r="Y661" s="27">
        <v>0</v>
      </c>
      <c r="Z661" s="22">
        <v>0</v>
      </c>
      <c r="AA661" s="20">
        <f t="shared" si="1211"/>
        <v>0</v>
      </c>
      <c r="AB661" s="27">
        <v>0</v>
      </c>
      <c r="AC661" s="27">
        <v>0</v>
      </c>
      <c r="AD661" s="23">
        <f t="shared" ref="AD661:AE661" si="1331">AD631</f>
        <v>58</v>
      </c>
      <c r="AE661" s="23">
        <f t="shared" si="1331"/>
        <v>62</v>
      </c>
    </row>
    <row r="662" spans="1:31">
      <c r="A662" s="4">
        <v>11202</v>
      </c>
      <c r="B662" s="4">
        <v>1</v>
      </c>
      <c r="C662" s="19" t="s">
        <v>66</v>
      </c>
      <c r="D662" s="44">
        <v>0</v>
      </c>
      <c r="E662" s="18">
        <f t="shared" si="1209"/>
        <v>108</v>
      </c>
      <c r="F662" s="18">
        <v>0</v>
      </c>
      <c r="G662" s="18">
        <v>0</v>
      </c>
      <c r="H662" s="45">
        <v>0</v>
      </c>
      <c r="I662" s="21">
        <f t="shared" si="1223"/>
        <v>55</v>
      </c>
      <c r="J662" s="21">
        <f t="shared" si="1309"/>
        <v>0</v>
      </c>
      <c r="K662" s="21">
        <v>0</v>
      </c>
      <c r="L662" s="20">
        <v>45</v>
      </c>
      <c r="M662" s="20">
        <v>0</v>
      </c>
      <c r="N662" s="20">
        <f t="shared" si="1224"/>
        <v>10</v>
      </c>
      <c r="O662" s="19" t="s">
        <v>66</v>
      </c>
      <c r="P662" s="20">
        <v>9400</v>
      </c>
      <c r="Q662" s="20">
        <f t="shared" ref="Q662:X662" si="1332">Q632</f>
        <v>1</v>
      </c>
      <c r="R662" s="20">
        <f t="shared" si="1332"/>
        <v>4</v>
      </c>
      <c r="S662" s="20">
        <f t="shared" si="1332"/>
        <v>7</v>
      </c>
      <c r="T662" s="20">
        <f t="shared" si="1332"/>
        <v>9</v>
      </c>
      <c r="U662" s="20">
        <f t="shared" si="1332"/>
        <v>9400</v>
      </c>
      <c r="V662" s="20">
        <f t="shared" si="1332"/>
        <v>9400</v>
      </c>
      <c r="W662" s="20">
        <f t="shared" si="1332"/>
        <v>9400</v>
      </c>
      <c r="X662" s="20">
        <f t="shared" si="1332"/>
        <v>1</v>
      </c>
      <c r="Y662" s="20">
        <v>0</v>
      </c>
      <c r="Z662" s="22">
        <v>0</v>
      </c>
      <c r="AA662" s="20">
        <f t="shared" si="1211"/>
        <v>0</v>
      </c>
      <c r="AB662" s="20">
        <v>0</v>
      </c>
      <c r="AC662" s="20">
        <v>0</v>
      </c>
      <c r="AD662" s="23">
        <f t="shared" ref="AD662:AE662" si="1333">AD632</f>
        <v>1</v>
      </c>
      <c r="AE662" s="23">
        <f t="shared" si="1333"/>
        <v>3</v>
      </c>
    </row>
    <row r="663" spans="1:31">
      <c r="A663" s="4">
        <v>11202</v>
      </c>
      <c r="B663" s="4">
        <v>2</v>
      </c>
      <c r="C663" s="19" t="s">
        <v>67</v>
      </c>
      <c r="D663" s="44">
        <v>0</v>
      </c>
      <c r="E663" s="18">
        <f t="shared" si="1209"/>
        <v>117</v>
      </c>
      <c r="F663" s="18">
        <v>0</v>
      </c>
      <c r="G663" s="18">
        <v>0</v>
      </c>
      <c r="H663" s="45">
        <v>0</v>
      </c>
      <c r="I663" s="21">
        <f t="shared" si="1223"/>
        <v>55</v>
      </c>
      <c r="J663" s="21">
        <f t="shared" si="1309"/>
        <v>1</v>
      </c>
      <c r="K663" s="21">
        <v>0</v>
      </c>
      <c r="L663" s="20">
        <v>40</v>
      </c>
      <c r="M663" s="20">
        <v>0</v>
      </c>
      <c r="N663" s="20">
        <f t="shared" si="1224"/>
        <v>20</v>
      </c>
      <c r="O663" s="19" t="s">
        <v>67</v>
      </c>
      <c r="P663" s="20">
        <v>9100</v>
      </c>
      <c r="Q663" s="20">
        <f t="shared" ref="Q663:X663" si="1334">Q633</f>
        <v>2</v>
      </c>
      <c r="R663" s="20">
        <f t="shared" si="1334"/>
        <v>8</v>
      </c>
      <c r="S663" s="20">
        <f t="shared" si="1334"/>
        <v>14</v>
      </c>
      <c r="T663" s="20">
        <f t="shared" si="1334"/>
        <v>18</v>
      </c>
      <c r="U663" s="20">
        <f t="shared" si="1334"/>
        <v>4000</v>
      </c>
      <c r="V663" s="20">
        <f t="shared" si="1334"/>
        <v>8000</v>
      </c>
      <c r="W663" s="20">
        <f t="shared" si="1334"/>
        <v>8000</v>
      </c>
      <c r="X663" s="20">
        <f t="shared" si="1334"/>
        <v>1</v>
      </c>
      <c r="Y663" s="20">
        <v>0</v>
      </c>
      <c r="Z663" s="22">
        <v>0</v>
      </c>
      <c r="AA663" s="20">
        <f t="shared" si="1211"/>
        <v>0</v>
      </c>
      <c r="AB663" s="20">
        <v>0</v>
      </c>
      <c r="AC663" s="20">
        <v>0</v>
      </c>
      <c r="AD663" s="23">
        <f t="shared" ref="AD663:AE663" si="1335">AD633</f>
        <v>2</v>
      </c>
      <c r="AE663" s="23">
        <f t="shared" si="1335"/>
        <v>5</v>
      </c>
    </row>
    <row r="664" spans="1:31">
      <c r="A664" s="4">
        <v>11202</v>
      </c>
      <c r="B664" s="4">
        <v>3</v>
      </c>
      <c r="C664" s="19" t="s">
        <v>68</v>
      </c>
      <c r="D664" s="44">
        <v>0</v>
      </c>
      <c r="E664" s="18">
        <f t="shared" si="1209"/>
        <v>126</v>
      </c>
      <c r="F664" s="18">
        <v>0</v>
      </c>
      <c r="G664" s="18">
        <v>0</v>
      </c>
      <c r="H664" s="45">
        <v>0</v>
      </c>
      <c r="I664" s="21">
        <f t="shared" si="1223"/>
        <v>55</v>
      </c>
      <c r="J664" s="21">
        <f t="shared" si="1309"/>
        <v>2</v>
      </c>
      <c r="K664" s="21">
        <v>0</v>
      </c>
      <c r="L664" s="20">
        <v>35</v>
      </c>
      <c r="M664" s="20">
        <v>0</v>
      </c>
      <c r="N664" s="20">
        <f t="shared" si="1224"/>
        <v>40</v>
      </c>
      <c r="O664" s="19" t="s">
        <v>68</v>
      </c>
      <c r="P664" s="20">
        <v>8600</v>
      </c>
      <c r="Q664" s="20">
        <f t="shared" ref="Q664:X664" si="1336">Q634</f>
        <v>4</v>
      </c>
      <c r="R664" s="20">
        <f t="shared" si="1336"/>
        <v>16</v>
      </c>
      <c r="S664" s="20">
        <f t="shared" si="1336"/>
        <v>28</v>
      </c>
      <c r="T664" s="20">
        <f t="shared" si="1336"/>
        <v>36</v>
      </c>
      <c r="U664" s="20">
        <f t="shared" si="1336"/>
        <v>1600</v>
      </c>
      <c r="V664" s="20">
        <f t="shared" si="1336"/>
        <v>5000</v>
      </c>
      <c r="W664" s="20">
        <f t="shared" si="1336"/>
        <v>6000</v>
      </c>
      <c r="X664" s="20">
        <f t="shared" si="1336"/>
        <v>1</v>
      </c>
      <c r="Y664" s="20">
        <v>0</v>
      </c>
      <c r="Z664" s="22">
        <v>0</v>
      </c>
      <c r="AA664" s="20">
        <f t="shared" si="1211"/>
        <v>0</v>
      </c>
      <c r="AB664" s="20">
        <v>0</v>
      </c>
      <c r="AC664" s="20">
        <v>0</v>
      </c>
      <c r="AD664" s="23">
        <f t="shared" ref="AD664:AE664" si="1337">AD634</f>
        <v>4</v>
      </c>
      <c r="AE664" s="23">
        <f t="shared" si="1337"/>
        <v>8</v>
      </c>
    </row>
    <row r="665" spans="1:31">
      <c r="A665" s="4">
        <v>11202</v>
      </c>
      <c r="B665" s="4">
        <v>4</v>
      </c>
      <c r="C665" s="19" t="s">
        <v>69</v>
      </c>
      <c r="D665" s="44">
        <v>0</v>
      </c>
      <c r="E665" s="18">
        <f t="shared" si="1209"/>
        <v>137</v>
      </c>
      <c r="F665" s="18">
        <v>0</v>
      </c>
      <c r="G665" s="18">
        <v>0</v>
      </c>
      <c r="H665" s="45">
        <v>0</v>
      </c>
      <c r="I665" s="21">
        <f t="shared" si="1223"/>
        <v>55</v>
      </c>
      <c r="J665" s="21">
        <f t="shared" si="1309"/>
        <v>3</v>
      </c>
      <c r="K665" s="21">
        <v>0</v>
      </c>
      <c r="L665" s="20">
        <v>30</v>
      </c>
      <c r="M665" s="20">
        <v>0</v>
      </c>
      <c r="N665" s="20">
        <f t="shared" si="1224"/>
        <v>100</v>
      </c>
      <c r="O665" s="19" t="s">
        <v>69</v>
      </c>
      <c r="P665" s="20">
        <v>6400</v>
      </c>
      <c r="Q665" s="20">
        <f t="shared" ref="Q665:X665" si="1338">Q635</f>
        <v>10</v>
      </c>
      <c r="R665" s="20">
        <f t="shared" si="1338"/>
        <v>40</v>
      </c>
      <c r="S665" s="20">
        <f t="shared" si="1338"/>
        <v>70</v>
      </c>
      <c r="T665" s="20">
        <f t="shared" si="1338"/>
        <v>90</v>
      </c>
      <c r="U665" s="20">
        <f t="shared" si="1338"/>
        <v>900</v>
      </c>
      <c r="V665" s="20">
        <f t="shared" si="1338"/>
        <v>2000</v>
      </c>
      <c r="W665" s="20">
        <f t="shared" si="1338"/>
        <v>8000</v>
      </c>
      <c r="X665" s="20">
        <f t="shared" si="1338"/>
        <v>1</v>
      </c>
      <c r="Y665" s="20">
        <v>0</v>
      </c>
      <c r="Z665" s="22">
        <v>0</v>
      </c>
      <c r="AA665" s="20">
        <f t="shared" si="1211"/>
        <v>0</v>
      </c>
      <c r="AB665" s="20">
        <v>0</v>
      </c>
      <c r="AC665" s="20">
        <v>0</v>
      </c>
      <c r="AD665" s="23">
        <f t="shared" ref="AD665:AE665" si="1339">AD635</f>
        <v>6</v>
      </c>
      <c r="AE665" s="23">
        <f t="shared" si="1339"/>
        <v>10</v>
      </c>
    </row>
    <row r="666" spans="1:31">
      <c r="A666" s="4">
        <v>11202</v>
      </c>
      <c r="B666" s="4">
        <v>5</v>
      </c>
      <c r="C666" s="19" t="s">
        <v>70</v>
      </c>
      <c r="D666" s="44">
        <v>0</v>
      </c>
      <c r="E666" s="18">
        <f t="shared" si="1209"/>
        <v>149</v>
      </c>
      <c r="F666" s="18">
        <v>0</v>
      </c>
      <c r="G666" s="18">
        <v>0</v>
      </c>
      <c r="H666" s="45">
        <v>0</v>
      </c>
      <c r="I666" s="21">
        <f t="shared" si="1223"/>
        <v>110</v>
      </c>
      <c r="J666" s="21">
        <f t="shared" si="1309"/>
        <v>4</v>
      </c>
      <c r="K666" s="21">
        <v>0</v>
      </c>
      <c r="L666" s="20">
        <v>25</v>
      </c>
      <c r="M666" s="20">
        <v>0</v>
      </c>
      <c r="N666" s="20">
        <f t="shared" si="1224"/>
        <v>200</v>
      </c>
      <c r="O666" s="19" t="s">
        <v>70</v>
      </c>
      <c r="P666" s="20">
        <v>3100</v>
      </c>
      <c r="Q666" s="20">
        <f t="shared" ref="Q666:X666" si="1340">Q636</f>
        <v>20</v>
      </c>
      <c r="R666" s="20">
        <f t="shared" si="1340"/>
        <v>80</v>
      </c>
      <c r="S666" s="20">
        <f t="shared" si="1340"/>
        <v>140</v>
      </c>
      <c r="T666" s="20">
        <f t="shared" si="1340"/>
        <v>180</v>
      </c>
      <c r="U666" s="20">
        <f t="shared" si="1340"/>
        <v>1000</v>
      </c>
      <c r="V666" s="20">
        <f t="shared" si="1340"/>
        <v>2000</v>
      </c>
      <c r="W666" s="20">
        <f t="shared" si="1340"/>
        <v>2000</v>
      </c>
      <c r="X666" s="20">
        <f t="shared" si="1340"/>
        <v>2</v>
      </c>
      <c r="Y666" s="20">
        <v>0</v>
      </c>
      <c r="Z666" s="22">
        <v>0</v>
      </c>
      <c r="AA666" s="20">
        <f t="shared" si="1211"/>
        <v>0</v>
      </c>
      <c r="AB666" s="20">
        <v>0</v>
      </c>
      <c r="AC666" s="20">
        <v>0</v>
      </c>
      <c r="AD666" s="23">
        <f t="shared" ref="AD666:AE666" si="1341">AD636</f>
        <v>8</v>
      </c>
      <c r="AE666" s="23">
        <f t="shared" si="1341"/>
        <v>12</v>
      </c>
    </row>
    <row r="667" spans="1:31">
      <c r="A667" s="4">
        <v>11202</v>
      </c>
      <c r="B667" s="4">
        <v>6</v>
      </c>
      <c r="C667" s="19" t="s">
        <v>71</v>
      </c>
      <c r="D667" s="44">
        <v>0</v>
      </c>
      <c r="E667" s="18">
        <f t="shared" ref="E667:E730" si="1342">D517</f>
        <v>161</v>
      </c>
      <c r="F667" s="18">
        <v>0</v>
      </c>
      <c r="G667" s="18">
        <v>0</v>
      </c>
      <c r="H667" s="45">
        <v>0</v>
      </c>
      <c r="I667" s="21">
        <f t="shared" si="1223"/>
        <v>110</v>
      </c>
      <c r="J667" s="21">
        <f t="shared" si="1309"/>
        <v>5</v>
      </c>
      <c r="K667" s="21">
        <v>0</v>
      </c>
      <c r="L667" s="20">
        <v>20</v>
      </c>
      <c r="M667" s="20">
        <v>0</v>
      </c>
      <c r="N667" s="20">
        <f t="shared" si="1224"/>
        <v>500</v>
      </c>
      <c r="O667" s="19" t="s">
        <v>71</v>
      </c>
      <c r="P667" s="20">
        <v>1777</v>
      </c>
      <c r="Q667" s="20">
        <f t="shared" ref="Q667:X667" si="1343">Q637</f>
        <v>50</v>
      </c>
      <c r="R667" s="20">
        <f t="shared" si="1343"/>
        <v>200</v>
      </c>
      <c r="S667" s="20">
        <f t="shared" si="1343"/>
        <v>350</v>
      </c>
      <c r="T667" s="20">
        <f t="shared" si="1343"/>
        <v>450</v>
      </c>
      <c r="U667" s="20">
        <f t="shared" si="1343"/>
        <v>800</v>
      </c>
      <c r="V667" s="20">
        <f t="shared" si="1343"/>
        <v>800</v>
      </c>
      <c r="W667" s="20">
        <f t="shared" si="1343"/>
        <v>600</v>
      </c>
      <c r="X667" s="20">
        <f t="shared" si="1343"/>
        <v>2</v>
      </c>
      <c r="Y667" s="20">
        <v>0</v>
      </c>
      <c r="Z667" s="22">
        <v>0</v>
      </c>
      <c r="AA667" s="20">
        <f t="shared" ref="AA667:AA730" si="1344">AA517</f>
        <v>0</v>
      </c>
      <c r="AB667" s="20">
        <v>0</v>
      </c>
      <c r="AC667" s="20">
        <v>0</v>
      </c>
      <c r="AD667" s="23">
        <f t="shared" ref="AD667:AE667" si="1345">AD637</f>
        <v>10</v>
      </c>
      <c r="AE667" s="23">
        <f t="shared" si="1345"/>
        <v>14</v>
      </c>
    </row>
    <row r="668" spans="1:31">
      <c r="A668" s="8">
        <v>11202</v>
      </c>
      <c r="B668" s="8">
        <v>7</v>
      </c>
      <c r="C668" s="19" t="s">
        <v>72</v>
      </c>
      <c r="D668" s="44">
        <v>0</v>
      </c>
      <c r="E668" s="18">
        <f t="shared" si="1342"/>
        <v>174</v>
      </c>
      <c r="F668" s="18">
        <v>0</v>
      </c>
      <c r="G668" s="18">
        <v>0</v>
      </c>
      <c r="H668" s="45">
        <v>0</v>
      </c>
      <c r="I668" s="21">
        <f t="shared" si="1223"/>
        <v>110</v>
      </c>
      <c r="J668" s="21">
        <f t="shared" si="1309"/>
        <v>6</v>
      </c>
      <c r="K668" s="21">
        <v>0</v>
      </c>
      <c r="L668" s="20">
        <v>16</v>
      </c>
      <c r="M668" s="20">
        <v>0</v>
      </c>
      <c r="N668" s="20">
        <f t="shared" si="1224"/>
        <v>700</v>
      </c>
      <c r="O668" s="19" t="s">
        <v>72</v>
      </c>
      <c r="P668" s="20">
        <v>2332</v>
      </c>
      <c r="Q668" s="20">
        <f t="shared" ref="Q668:X668" si="1346">Q638</f>
        <v>70</v>
      </c>
      <c r="R668" s="20">
        <f t="shared" si="1346"/>
        <v>280</v>
      </c>
      <c r="S668" s="20">
        <f t="shared" si="1346"/>
        <v>489.99999999999994</v>
      </c>
      <c r="T668" s="20">
        <f t="shared" si="1346"/>
        <v>630</v>
      </c>
      <c r="U668" s="20">
        <f t="shared" si="1346"/>
        <v>650</v>
      </c>
      <c r="V668" s="20">
        <f t="shared" si="1346"/>
        <v>800</v>
      </c>
      <c r="W668" s="20">
        <f t="shared" si="1346"/>
        <v>300</v>
      </c>
      <c r="X668" s="20">
        <f t="shared" si="1346"/>
        <v>2</v>
      </c>
      <c r="Y668" s="20">
        <v>0</v>
      </c>
      <c r="Z668" s="22">
        <v>0</v>
      </c>
      <c r="AA668" s="20">
        <f t="shared" si="1344"/>
        <v>0</v>
      </c>
      <c r="AB668" s="20">
        <v>0</v>
      </c>
      <c r="AC668" s="20">
        <v>0</v>
      </c>
      <c r="AD668" s="23">
        <f t="shared" ref="AD668:AE668" si="1347">AD638</f>
        <v>12</v>
      </c>
      <c r="AE668" s="23">
        <f t="shared" si="1347"/>
        <v>16</v>
      </c>
    </row>
    <row r="669" spans="1:31">
      <c r="A669" s="4">
        <v>11202</v>
      </c>
      <c r="B669" s="4">
        <v>8</v>
      </c>
      <c r="C669" s="19" t="s">
        <v>73</v>
      </c>
      <c r="D669" s="44">
        <v>0</v>
      </c>
      <c r="E669" s="18">
        <f t="shared" si="1342"/>
        <v>189</v>
      </c>
      <c r="F669" s="18">
        <v>0</v>
      </c>
      <c r="G669" s="18">
        <v>0</v>
      </c>
      <c r="H669" s="45">
        <v>0</v>
      </c>
      <c r="I669" s="21">
        <f t="shared" si="1223"/>
        <v>110</v>
      </c>
      <c r="J669" s="21">
        <f t="shared" si="1309"/>
        <v>7</v>
      </c>
      <c r="K669" s="21">
        <v>0</v>
      </c>
      <c r="L669" s="20">
        <v>12</v>
      </c>
      <c r="M669" s="20">
        <v>0</v>
      </c>
      <c r="N669" s="20">
        <f t="shared" si="1224"/>
        <v>800</v>
      </c>
      <c r="O669" s="19" t="s">
        <v>73</v>
      </c>
      <c r="P669" s="20">
        <v>1487</v>
      </c>
      <c r="Q669" s="20">
        <f t="shared" ref="Q669:X669" si="1348">Q639</f>
        <v>80</v>
      </c>
      <c r="R669" s="20">
        <f t="shared" si="1348"/>
        <v>320</v>
      </c>
      <c r="S669" s="20">
        <f t="shared" si="1348"/>
        <v>560</v>
      </c>
      <c r="T669" s="20">
        <f t="shared" si="1348"/>
        <v>720</v>
      </c>
      <c r="U669" s="20">
        <f t="shared" si="1348"/>
        <v>200</v>
      </c>
      <c r="V669" s="20">
        <f t="shared" si="1348"/>
        <v>2000</v>
      </c>
      <c r="W669" s="20">
        <f t="shared" si="1348"/>
        <v>1000</v>
      </c>
      <c r="X669" s="20">
        <f t="shared" si="1348"/>
        <v>2</v>
      </c>
      <c r="Y669" s="20">
        <v>0</v>
      </c>
      <c r="Z669" s="22">
        <v>0</v>
      </c>
      <c r="AA669" s="20">
        <f t="shared" si="1344"/>
        <v>29</v>
      </c>
      <c r="AB669" s="20">
        <v>0</v>
      </c>
      <c r="AC669" s="20">
        <v>0</v>
      </c>
      <c r="AD669" s="23">
        <f t="shared" ref="AD669:AE669" si="1349">AD639</f>
        <v>14</v>
      </c>
      <c r="AE669" s="23">
        <f t="shared" si="1349"/>
        <v>18</v>
      </c>
    </row>
    <row r="670" spans="1:31">
      <c r="A670" s="4">
        <v>11202</v>
      </c>
      <c r="B670" s="4">
        <v>9</v>
      </c>
      <c r="C670" s="19" t="s">
        <v>74</v>
      </c>
      <c r="D670" s="44">
        <v>0</v>
      </c>
      <c r="E670" s="18">
        <f t="shared" si="1342"/>
        <v>204</v>
      </c>
      <c r="F670" s="18">
        <v>0</v>
      </c>
      <c r="G670" s="18">
        <v>0</v>
      </c>
      <c r="H670" s="45">
        <v>0</v>
      </c>
      <c r="I670" s="21">
        <f t="shared" si="1223"/>
        <v>165</v>
      </c>
      <c r="J670" s="21">
        <f t="shared" si="1309"/>
        <v>8</v>
      </c>
      <c r="K670" s="21">
        <v>0</v>
      </c>
      <c r="L670" s="20">
        <v>8</v>
      </c>
      <c r="M670" s="20">
        <v>0</v>
      </c>
      <c r="N670" s="20">
        <f t="shared" si="1224"/>
        <v>900</v>
      </c>
      <c r="O670" s="19" t="s">
        <v>74</v>
      </c>
      <c r="P670" s="20">
        <v>1518</v>
      </c>
      <c r="Q670" s="20">
        <f t="shared" ref="Q670:X670" si="1350">Q640</f>
        <v>90</v>
      </c>
      <c r="R670" s="20">
        <f t="shared" si="1350"/>
        <v>360</v>
      </c>
      <c r="S670" s="20">
        <f t="shared" si="1350"/>
        <v>630</v>
      </c>
      <c r="T670" s="20">
        <f t="shared" si="1350"/>
        <v>810</v>
      </c>
      <c r="U670" s="20">
        <f t="shared" si="1350"/>
        <v>120</v>
      </c>
      <c r="V670" s="20">
        <f t="shared" si="1350"/>
        <v>1500</v>
      </c>
      <c r="W670" s="20">
        <f t="shared" si="1350"/>
        <v>1000</v>
      </c>
      <c r="X670" s="20">
        <f t="shared" si="1350"/>
        <v>3</v>
      </c>
      <c r="Y670" s="20">
        <v>0</v>
      </c>
      <c r="Z670" s="22">
        <v>0</v>
      </c>
      <c r="AA670" s="20">
        <f t="shared" si="1344"/>
        <v>0</v>
      </c>
      <c r="AB670" s="20">
        <v>0</v>
      </c>
      <c r="AC670" s="20">
        <v>0</v>
      </c>
      <c r="AD670" s="23">
        <f t="shared" ref="AD670:AE670" si="1351">AD640</f>
        <v>16</v>
      </c>
      <c r="AE670" s="23">
        <f t="shared" si="1351"/>
        <v>20</v>
      </c>
    </row>
    <row r="671" spans="1:31">
      <c r="A671" s="4">
        <v>11202</v>
      </c>
      <c r="B671" s="4">
        <v>10</v>
      </c>
      <c r="C671" s="19" t="s">
        <v>75</v>
      </c>
      <c r="D671" s="44">
        <v>0</v>
      </c>
      <c r="E671" s="18">
        <f t="shared" si="1342"/>
        <v>221</v>
      </c>
      <c r="F671" s="18">
        <v>0</v>
      </c>
      <c r="G671" s="18">
        <v>0</v>
      </c>
      <c r="H671" s="45">
        <v>0</v>
      </c>
      <c r="I671" s="21">
        <f t="shared" si="1223"/>
        <v>165</v>
      </c>
      <c r="J671" s="21">
        <f t="shared" si="1309"/>
        <v>9</v>
      </c>
      <c r="K671" s="21">
        <v>0</v>
      </c>
      <c r="L671" s="20">
        <v>6</v>
      </c>
      <c r="M671" s="20">
        <v>0</v>
      </c>
      <c r="N671" s="20">
        <f t="shared" si="1224"/>
        <v>2000</v>
      </c>
      <c r="O671" s="19" t="s">
        <v>75</v>
      </c>
      <c r="P671" s="20">
        <v>861</v>
      </c>
      <c r="Q671" s="20">
        <f t="shared" ref="Q671:X671" si="1352">Q641</f>
        <v>200</v>
      </c>
      <c r="R671" s="20">
        <f t="shared" si="1352"/>
        <v>800</v>
      </c>
      <c r="S671" s="20">
        <f t="shared" si="1352"/>
        <v>1400</v>
      </c>
      <c r="T671" s="20">
        <f t="shared" si="1352"/>
        <v>1800</v>
      </c>
      <c r="U671" s="20">
        <f t="shared" si="1352"/>
        <v>150</v>
      </c>
      <c r="V671" s="20">
        <f t="shared" si="1352"/>
        <v>5000</v>
      </c>
      <c r="W671" s="20">
        <f t="shared" si="1352"/>
        <v>800</v>
      </c>
      <c r="X671" s="20">
        <f t="shared" si="1352"/>
        <v>3</v>
      </c>
      <c r="Y671" s="20">
        <v>0</v>
      </c>
      <c r="Z671" s="22">
        <v>0</v>
      </c>
      <c r="AA671" s="20">
        <f t="shared" si="1344"/>
        <v>0</v>
      </c>
      <c r="AB671" s="20">
        <v>0</v>
      </c>
      <c r="AC671" s="20">
        <v>0</v>
      </c>
      <c r="AD671" s="23">
        <f t="shared" ref="AD671:AE671" si="1353">AD641</f>
        <v>18</v>
      </c>
      <c r="AE671" s="23">
        <f t="shared" si="1353"/>
        <v>22</v>
      </c>
    </row>
    <row r="672" spans="1:31">
      <c r="A672" s="4">
        <v>11202</v>
      </c>
      <c r="B672" s="4">
        <v>11</v>
      </c>
      <c r="C672" s="19" t="s">
        <v>66</v>
      </c>
      <c r="D672" s="44">
        <v>0</v>
      </c>
      <c r="E672" s="18">
        <f t="shared" si="1342"/>
        <v>239</v>
      </c>
      <c r="F672" s="18">
        <v>0</v>
      </c>
      <c r="G672" s="18">
        <v>0</v>
      </c>
      <c r="H672" s="45">
        <v>0</v>
      </c>
      <c r="I672" s="21">
        <f t="shared" si="1223"/>
        <v>165</v>
      </c>
      <c r="J672" s="21">
        <f t="shared" si="1309"/>
        <v>10</v>
      </c>
      <c r="K672" s="21">
        <v>0</v>
      </c>
      <c r="L672" s="20">
        <v>6</v>
      </c>
      <c r="M672" s="20">
        <v>0</v>
      </c>
      <c r="N672" s="20">
        <f t="shared" si="1224"/>
        <v>2200</v>
      </c>
      <c r="O672" s="19" t="s">
        <v>66</v>
      </c>
      <c r="P672" s="20">
        <v>9400</v>
      </c>
      <c r="Q672" s="20">
        <f t="shared" ref="Q672:X672" si="1354">Q642</f>
        <v>220</v>
      </c>
      <c r="R672" s="20">
        <f t="shared" si="1354"/>
        <v>880</v>
      </c>
      <c r="S672" s="20">
        <f t="shared" si="1354"/>
        <v>1540</v>
      </c>
      <c r="T672" s="20">
        <f t="shared" si="1354"/>
        <v>1980</v>
      </c>
      <c r="U672" s="20">
        <f t="shared" si="1354"/>
        <v>100</v>
      </c>
      <c r="V672" s="20">
        <f t="shared" si="1354"/>
        <v>800</v>
      </c>
      <c r="W672" s="20">
        <f t="shared" si="1354"/>
        <v>600</v>
      </c>
      <c r="X672" s="20">
        <f t="shared" si="1354"/>
        <v>3</v>
      </c>
      <c r="Y672" s="20">
        <v>0</v>
      </c>
      <c r="Z672" s="22">
        <v>0</v>
      </c>
      <c r="AA672" s="20">
        <f t="shared" si="1344"/>
        <v>0</v>
      </c>
      <c r="AB672" s="20">
        <v>0</v>
      </c>
      <c r="AC672" s="20">
        <v>0</v>
      </c>
      <c r="AD672" s="23">
        <f t="shared" ref="AD672:AE672" si="1355">AD642</f>
        <v>20</v>
      </c>
      <c r="AE672" s="23">
        <f t="shared" si="1355"/>
        <v>24</v>
      </c>
    </row>
    <row r="673" spans="1:31">
      <c r="A673" s="4">
        <v>11202</v>
      </c>
      <c r="B673" s="4">
        <v>12</v>
      </c>
      <c r="C673" s="19" t="s">
        <v>67</v>
      </c>
      <c r="D673" s="44">
        <v>0</v>
      </c>
      <c r="E673" s="18">
        <f t="shared" si="1342"/>
        <v>258</v>
      </c>
      <c r="F673" s="18">
        <v>0</v>
      </c>
      <c r="G673" s="18">
        <v>0</v>
      </c>
      <c r="H673" s="45">
        <v>0</v>
      </c>
      <c r="I673" s="21">
        <f t="shared" ref="I673:I736" si="1356">I643</f>
        <v>165</v>
      </c>
      <c r="J673" s="21">
        <f t="shared" si="1309"/>
        <v>11</v>
      </c>
      <c r="K673" s="21">
        <v>0</v>
      </c>
      <c r="L673" s="20">
        <v>6</v>
      </c>
      <c r="M673" s="20">
        <v>0</v>
      </c>
      <c r="N673" s="20">
        <f t="shared" ref="N673:N736" si="1357">N643</f>
        <v>2400</v>
      </c>
      <c r="O673" s="19" t="s">
        <v>67</v>
      </c>
      <c r="P673" s="20">
        <v>9100</v>
      </c>
      <c r="Q673" s="20">
        <f t="shared" ref="Q673:X673" si="1358">Q643</f>
        <v>240</v>
      </c>
      <c r="R673" s="20">
        <f t="shared" si="1358"/>
        <v>960</v>
      </c>
      <c r="S673" s="20">
        <f t="shared" si="1358"/>
        <v>1680</v>
      </c>
      <c r="T673" s="20">
        <f t="shared" si="1358"/>
        <v>2160</v>
      </c>
      <c r="U673" s="20">
        <f t="shared" si="1358"/>
        <v>150</v>
      </c>
      <c r="V673" s="20">
        <f t="shared" si="1358"/>
        <v>700</v>
      </c>
      <c r="W673" s="20">
        <f t="shared" si="1358"/>
        <v>900</v>
      </c>
      <c r="X673" s="20">
        <f t="shared" si="1358"/>
        <v>3</v>
      </c>
      <c r="Y673" s="20">
        <v>0</v>
      </c>
      <c r="Z673" s="22">
        <v>0</v>
      </c>
      <c r="AA673" s="20">
        <f t="shared" si="1344"/>
        <v>0</v>
      </c>
      <c r="AB673" s="20">
        <v>0</v>
      </c>
      <c r="AC673" s="20">
        <v>0</v>
      </c>
      <c r="AD673" s="23">
        <f t="shared" ref="AD673:AE673" si="1359">AD643</f>
        <v>22</v>
      </c>
      <c r="AE673" s="23">
        <f t="shared" si="1359"/>
        <v>26</v>
      </c>
    </row>
    <row r="674" spans="1:31">
      <c r="A674" s="4">
        <v>11202</v>
      </c>
      <c r="B674" s="4">
        <v>13</v>
      </c>
      <c r="C674" s="19" t="s">
        <v>68</v>
      </c>
      <c r="D674" s="44">
        <v>0</v>
      </c>
      <c r="E674" s="18">
        <f t="shared" si="1342"/>
        <v>281</v>
      </c>
      <c r="F674" s="18">
        <v>0</v>
      </c>
      <c r="G674" s="18">
        <v>0</v>
      </c>
      <c r="H674" s="45">
        <v>0</v>
      </c>
      <c r="I674" s="21">
        <f t="shared" si="1356"/>
        <v>220</v>
      </c>
      <c r="J674" s="21">
        <f t="shared" si="1309"/>
        <v>12</v>
      </c>
      <c r="K674" s="21">
        <v>0</v>
      </c>
      <c r="L674" s="20">
        <v>6</v>
      </c>
      <c r="M674" s="20">
        <v>0</v>
      </c>
      <c r="N674" s="20">
        <f t="shared" si="1357"/>
        <v>2600</v>
      </c>
      <c r="O674" s="19" t="s">
        <v>68</v>
      </c>
      <c r="P674" s="20">
        <v>8600</v>
      </c>
      <c r="Q674" s="20">
        <f t="shared" ref="Q674:X674" si="1360">Q644</f>
        <v>260</v>
      </c>
      <c r="R674" s="20">
        <f t="shared" si="1360"/>
        <v>1040</v>
      </c>
      <c r="S674" s="20">
        <f t="shared" si="1360"/>
        <v>1819.9999999999998</v>
      </c>
      <c r="T674" s="20">
        <f t="shared" si="1360"/>
        <v>2340</v>
      </c>
      <c r="U674" s="20">
        <f t="shared" si="1360"/>
        <v>100</v>
      </c>
      <c r="V674" s="20">
        <f t="shared" si="1360"/>
        <v>700</v>
      </c>
      <c r="W674" s="20">
        <f t="shared" si="1360"/>
        <v>1000</v>
      </c>
      <c r="X674" s="20">
        <f t="shared" si="1360"/>
        <v>4</v>
      </c>
      <c r="Y674" s="20">
        <v>0</v>
      </c>
      <c r="Z674" s="22">
        <v>0</v>
      </c>
      <c r="AA674" s="20">
        <f t="shared" si="1344"/>
        <v>60</v>
      </c>
      <c r="AB674" s="20">
        <v>0</v>
      </c>
      <c r="AC674" s="20">
        <v>0</v>
      </c>
      <c r="AD674" s="23">
        <f t="shared" ref="AD674:AE674" si="1361">AD644</f>
        <v>24</v>
      </c>
      <c r="AE674" s="23">
        <f t="shared" si="1361"/>
        <v>28</v>
      </c>
    </row>
    <row r="675" spans="1:31">
      <c r="A675" s="4">
        <v>11202</v>
      </c>
      <c r="B675" s="4">
        <v>14</v>
      </c>
      <c r="C675" s="19" t="s">
        <v>69</v>
      </c>
      <c r="D675" s="44">
        <v>0</v>
      </c>
      <c r="E675" s="18">
        <f t="shared" si="1342"/>
        <v>303</v>
      </c>
      <c r="F675" s="18">
        <v>0</v>
      </c>
      <c r="G675" s="18">
        <v>0</v>
      </c>
      <c r="H675" s="45">
        <v>0</v>
      </c>
      <c r="I675" s="21">
        <f t="shared" si="1356"/>
        <v>220</v>
      </c>
      <c r="J675" s="21">
        <f t="shared" si="1309"/>
        <v>13</v>
      </c>
      <c r="K675" s="21">
        <v>0</v>
      </c>
      <c r="L675" s="20">
        <v>6</v>
      </c>
      <c r="M675" s="20">
        <v>0</v>
      </c>
      <c r="N675" s="20">
        <f t="shared" si="1357"/>
        <v>2800</v>
      </c>
      <c r="O675" s="19" t="s">
        <v>69</v>
      </c>
      <c r="P675" s="20">
        <v>6400</v>
      </c>
      <c r="Q675" s="20">
        <f t="shared" ref="Q675:X675" si="1362">Q645</f>
        <v>280</v>
      </c>
      <c r="R675" s="20">
        <f t="shared" si="1362"/>
        <v>1120</v>
      </c>
      <c r="S675" s="20">
        <f t="shared" si="1362"/>
        <v>1959.9999999999998</v>
      </c>
      <c r="T675" s="20">
        <f t="shared" si="1362"/>
        <v>2520</v>
      </c>
      <c r="U675" s="20">
        <f t="shared" si="1362"/>
        <v>100</v>
      </c>
      <c r="V675" s="20">
        <f t="shared" si="1362"/>
        <v>400</v>
      </c>
      <c r="W675" s="20">
        <f t="shared" si="1362"/>
        <v>1200</v>
      </c>
      <c r="X675" s="20">
        <f t="shared" si="1362"/>
        <v>4</v>
      </c>
      <c r="Y675" s="20">
        <v>0</v>
      </c>
      <c r="Z675" s="22">
        <v>0</v>
      </c>
      <c r="AA675" s="20">
        <f t="shared" si="1344"/>
        <v>0</v>
      </c>
      <c r="AB675" s="20">
        <v>0</v>
      </c>
      <c r="AC675" s="20">
        <v>0</v>
      </c>
      <c r="AD675" s="23">
        <f t="shared" ref="AD675:AE675" si="1363">AD645</f>
        <v>26</v>
      </c>
      <c r="AE675" s="23">
        <f t="shared" si="1363"/>
        <v>30</v>
      </c>
    </row>
    <row r="676" spans="1:31">
      <c r="A676" s="4">
        <v>11202</v>
      </c>
      <c r="B676" s="4">
        <v>15</v>
      </c>
      <c r="C676" s="19" t="s">
        <v>70</v>
      </c>
      <c r="D676" s="44">
        <v>0</v>
      </c>
      <c r="E676" s="18">
        <f t="shared" si="1342"/>
        <v>329</v>
      </c>
      <c r="F676" s="18">
        <v>0</v>
      </c>
      <c r="G676" s="18">
        <v>0</v>
      </c>
      <c r="H676" s="45">
        <v>0</v>
      </c>
      <c r="I676" s="21">
        <f t="shared" si="1356"/>
        <v>220</v>
      </c>
      <c r="J676" s="21">
        <f t="shared" si="1309"/>
        <v>14</v>
      </c>
      <c r="K676" s="21">
        <v>0</v>
      </c>
      <c r="L676" s="20">
        <v>6</v>
      </c>
      <c r="M676" s="20">
        <v>0</v>
      </c>
      <c r="N676" s="20">
        <f t="shared" si="1357"/>
        <v>4500</v>
      </c>
      <c r="O676" s="19" t="s">
        <v>70</v>
      </c>
      <c r="P676" s="20">
        <v>3100</v>
      </c>
      <c r="Q676" s="20">
        <f t="shared" ref="Q676:X676" si="1364">Q646</f>
        <v>450</v>
      </c>
      <c r="R676" s="20">
        <f t="shared" si="1364"/>
        <v>1800</v>
      </c>
      <c r="S676" s="20">
        <f t="shared" si="1364"/>
        <v>3150</v>
      </c>
      <c r="T676" s="20">
        <f t="shared" si="1364"/>
        <v>4050</v>
      </c>
      <c r="U676" s="20">
        <f t="shared" si="1364"/>
        <v>100</v>
      </c>
      <c r="V676" s="20">
        <f t="shared" si="1364"/>
        <v>1000</v>
      </c>
      <c r="W676" s="20">
        <f t="shared" si="1364"/>
        <v>600</v>
      </c>
      <c r="X676" s="20">
        <f t="shared" si="1364"/>
        <v>4</v>
      </c>
      <c r="Y676" s="20">
        <v>0</v>
      </c>
      <c r="Z676" s="22">
        <v>0</v>
      </c>
      <c r="AA676" s="20">
        <f t="shared" si="1344"/>
        <v>0</v>
      </c>
      <c r="AB676" s="20">
        <v>0</v>
      </c>
      <c r="AC676" s="20">
        <v>0</v>
      </c>
      <c r="AD676" s="23">
        <f t="shared" ref="AD676:AE676" si="1365">AD646</f>
        <v>28</v>
      </c>
      <c r="AE676" s="23">
        <f t="shared" si="1365"/>
        <v>32</v>
      </c>
    </row>
    <row r="677" spans="1:31">
      <c r="A677" s="4">
        <v>11202</v>
      </c>
      <c r="B677" s="4">
        <v>16</v>
      </c>
      <c r="C677" s="19" t="s">
        <v>71</v>
      </c>
      <c r="D677" s="44">
        <v>0</v>
      </c>
      <c r="E677" s="18">
        <f t="shared" si="1342"/>
        <v>356</v>
      </c>
      <c r="F677" s="18">
        <v>0</v>
      </c>
      <c r="G677" s="18">
        <v>0</v>
      </c>
      <c r="H677" s="45">
        <v>0</v>
      </c>
      <c r="I677" s="21">
        <f t="shared" si="1356"/>
        <v>220</v>
      </c>
      <c r="J677" s="21">
        <f t="shared" si="1309"/>
        <v>15</v>
      </c>
      <c r="K677" s="21">
        <v>0</v>
      </c>
      <c r="L677" s="20">
        <v>6</v>
      </c>
      <c r="M677" s="20">
        <v>0</v>
      </c>
      <c r="N677" s="20">
        <f t="shared" si="1357"/>
        <v>4800</v>
      </c>
      <c r="O677" s="19" t="s">
        <v>71</v>
      </c>
      <c r="P677" s="20">
        <v>1777</v>
      </c>
      <c r="Q677" s="20">
        <f t="shared" ref="Q677:X677" si="1366">Q647</f>
        <v>480</v>
      </c>
      <c r="R677" s="20">
        <f t="shared" si="1366"/>
        <v>1920</v>
      </c>
      <c r="S677" s="20">
        <f t="shared" si="1366"/>
        <v>3360</v>
      </c>
      <c r="T677" s="20">
        <f t="shared" si="1366"/>
        <v>4320</v>
      </c>
      <c r="U677" s="20">
        <f t="shared" si="1366"/>
        <v>100</v>
      </c>
      <c r="V677" s="20">
        <f t="shared" si="1366"/>
        <v>800</v>
      </c>
      <c r="W677" s="20">
        <f t="shared" si="1366"/>
        <v>800</v>
      </c>
      <c r="X677" s="20">
        <f t="shared" si="1366"/>
        <v>4</v>
      </c>
      <c r="Y677" s="20">
        <v>0</v>
      </c>
      <c r="Z677" s="22">
        <v>0</v>
      </c>
      <c r="AA677" s="20">
        <f t="shared" si="1344"/>
        <v>0</v>
      </c>
      <c r="AB677" s="20">
        <v>0</v>
      </c>
      <c r="AC677" s="20">
        <v>0</v>
      </c>
      <c r="AD677" s="23">
        <f t="shared" ref="AD677:AE677" si="1367">AD647</f>
        <v>30</v>
      </c>
      <c r="AE677" s="23">
        <f t="shared" si="1367"/>
        <v>34</v>
      </c>
    </row>
    <row r="678" spans="1:31">
      <c r="A678" s="4">
        <v>11202</v>
      </c>
      <c r="B678" s="4">
        <v>17</v>
      </c>
      <c r="C678" s="19" t="s">
        <v>72</v>
      </c>
      <c r="D678" s="44">
        <v>0</v>
      </c>
      <c r="E678" s="18">
        <f t="shared" si="1342"/>
        <v>384</v>
      </c>
      <c r="F678" s="18">
        <v>0</v>
      </c>
      <c r="G678" s="18">
        <v>0</v>
      </c>
      <c r="H678" s="45">
        <v>0</v>
      </c>
      <c r="I678" s="21">
        <f t="shared" si="1356"/>
        <v>275</v>
      </c>
      <c r="J678" s="21">
        <f t="shared" si="1309"/>
        <v>16</v>
      </c>
      <c r="K678" s="21">
        <v>0</v>
      </c>
      <c r="L678" s="20">
        <v>6</v>
      </c>
      <c r="M678" s="20">
        <v>0</v>
      </c>
      <c r="N678" s="20">
        <f t="shared" si="1357"/>
        <v>5100</v>
      </c>
      <c r="O678" s="19" t="s">
        <v>72</v>
      </c>
      <c r="P678" s="20">
        <v>2332</v>
      </c>
      <c r="Q678" s="20">
        <f t="shared" ref="Q678:X678" si="1368">Q648</f>
        <v>510</v>
      </c>
      <c r="R678" s="20">
        <f t="shared" si="1368"/>
        <v>2040</v>
      </c>
      <c r="S678" s="20">
        <f t="shared" si="1368"/>
        <v>3570</v>
      </c>
      <c r="T678" s="20">
        <f t="shared" si="1368"/>
        <v>4590</v>
      </c>
      <c r="U678" s="20">
        <f t="shared" si="1368"/>
        <v>80</v>
      </c>
      <c r="V678" s="20">
        <f t="shared" si="1368"/>
        <v>800</v>
      </c>
      <c r="W678" s="20">
        <f t="shared" si="1368"/>
        <v>600</v>
      </c>
      <c r="X678" s="20">
        <f t="shared" si="1368"/>
        <v>5</v>
      </c>
      <c r="Y678" s="20">
        <v>0</v>
      </c>
      <c r="Z678" s="22">
        <v>0</v>
      </c>
      <c r="AA678" s="20">
        <f t="shared" si="1344"/>
        <v>0</v>
      </c>
      <c r="AB678" s="20">
        <v>0</v>
      </c>
      <c r="AC678" s="20">
        <v>0</v>
      </c>
      <c r="AD678" s="23">
        <f t="shared" ref="AD678:AE678" si="1369">AD648</f>
        <v>32</v>
      </c>
      <c r="AE678" s="23">
        <f t="shared" si="1369"/>
        <v>36</v>
      </c>
    </row>
    <row r="679" spans="1:31">
      <c r="A679" s="4">
        <v>11202</v>
      </c>
      <c r="B679" s="4">
        <v>18</v>
      </c>
      <c r="C679" s="19" t="s">
        <v>73</v>
      </c>
      <c r="D679" s="44">
        <v>0</v>
      </c>
      <c r="E679" s="18">
        <f t="shared" si="1342"/>
        <v>417</v>
      </c>
      <c r="F679" s="18">
        <v>0</v>
      </c>
      <c r="G679" s="18">
        <v>0</v>
      </c>
      <c r="H679" s="45">
        <v>0</v>
      </c>
      <c r="I679" s="21">
        <f t="shared" si="1356"/>
        <v>275</v>
      </c>
      <c r="J679" s="21">
        <f t="shared" si="1309"/>
        <v>17</v>
      </c>
      <c r="K679" s="21">
        <v>0</v>
      </c>
      <c r="L679" s="20">
        <v>6</v>
      </c>
      <c r="M679" s="20">
        <v>0</v>
      </c>
      <c r="N679" s="20">
        <f t="shared" si="1357"/>
        <v>5400</v>
      </c>
      <c r="O679" s="19" t="s">
        <v>73</v>
      </c>
      <c r="P679" s="20">
        <v>1487</v>
      </c>
      <c r="Q679" s="20">
        <f t="shared" ref="Q679:X679" si="1370">Q649</f>
        <v>540</v>
      </c>
      <c r="R679" s="20">
        <f t="shared" si="1370"/>
        <v>2160</v>
      </c>
      <c r="S679" s="20">
        <f t="shared" si="1370"/>
        <v>3779.9999999999995</v>
      </c>
      <c r="T679" s="20">
        <f t="shared" si="1370"/>
        <v>4860</v>
      </c>
      <c r="U679" s="20">
        <f t="shared" si="1370"/>
        <v>100</v>
      </c>
      <c r="V679" s="20">
        <f t="shared" si="1370"/>
        <v>600</v>
      </c>
      <c r="W679" s="20">
        <f t="shared" si="1370"/>
        <v>300</v>
      </c>
      <c r="X679" s="20">
        <f t="shared" si="1370"/>
        <v>5</v>
      </c>
      <c r="Y679" s="20">
        <v>0</v>
      </c>
      <c r="Z679" s="22">
        <v>0</v>
      </c>
      <c r="AA679" s="20">
        <f t="shared" si="1344"/>
        <v>90</v>
      </c>
      <c r="AB679" s="20">
        <v>0</v>
      </c>
      <c r="AC679" s="20">
        <v>0</v>
      </c>
      <c r="AD679" s="23">
        <f t="shared" ref="AD679:AE679" si="1371">AD649</f>
        <v>34</v>
      </c>
      <c r="AE679" s="23">
        <f t="shared" si="1371"/>
        <v>38</v>
      </c>
    </row>
    <row r="680" spans="1:31">
      <c r="A680" s="8">
        <v>11202</v>
      </c>
      <c r="B680" s="8">
        <v>19</v>
      </c>
      <c r="C680" s="19" t="s">
        <v>74</v>
      </c>
      <c r="D680" s="44">
        <v>0</v>
      </c>
      <c r="E680" s="18">
        <f t="shared" si="1342"/>
        <v>452</v>
      </c>
      <c r="F680" s="18">
        <v>0</v>
      </c>
      <c r="G680" s="18">
        <v>0</v>
      </c>
      <c r="H680" s="45">
        <v>0</v>
      </c>
      <c r="I680" s="21">
        <f t="shared" si="1356"/>
        <v>275</v>
      </c>
      <c r="J680" s="21">
        <f t="shared" si="1309"/>
        <v>18</v>
      </c>
      <c r="K680" s="21">
        <v>0</v>
      </c>
      <c r="L680" s="20">
        <v>6</v>
      </c>
      <c r="M680" s="20">
        <v>0</v>
      </c>
      <c r="N680" s="20">
        <f t="shared" si="1357"/>
        <v>5700</v>
      </c>
      <c r="O680" s="19" t="s">
        <v>74</v>
      </c>
      <c r="P680" s="20">
        <v>1518</v>
      </c>
      <c r="Q680" s="20">
        <f t="shared" ref="Q680:X680" si="1372">Q650</f>
        <v>570</v>
      </c>
      <c r="R680" s="20">
        <f t="shared" si="1372"/>
        <v>2280</v>
      </c>
      <c r="S680" s="20">
        <f t="shared" si="1372"/>
        <v>3989.9999999999995</v>
      </c>
      <c r="T680" s="20">
        <f t="shared" si="1372"/>
        <v>5130</v>
      </c>
      <c r="U680" s="20">
        <f t="shared" si="1372"/>
        <v>100</v>
      </c>
      <c r="V680" s="20">
        <f t="shared" si="1372"/>
        <v>500</v>
      </c>
      <c r="W680" s="20">
        <f t="shared" si="1372"/>
        <v>400</v>
      </c>
      <c r="X680" s="20">
        <f t="shared" si="1372"/>
        <v>5</v>
      </c>
      <c r="Y680" s="20">
        <v>0</v>
      </c>
      <c r="Z680" s="22">
        <v>0</v>
      </c>
      <c r="AA680" s="20">
        <f t="shared" si="1344"/>
        <v>0</v>
      </c>
      <c r="AB680" s="20">
        <v>0</v>
      </c>
      <c r="AC680" s="20">
        <v>0</v>
      </c>
      <c r="AD680" s="23">
        <f t="shared" ref="AD680:AE680" si="1373">AD650</f>
        <v>36</v>
      </c>
      <c r="AE680" s="23">
        <f t="shared" si="1373"/>
        <v>40</v>
      </c>
    </row>
    <row r="681" spans="1:31">
      <c r="A681" s="4">
        <v>11202</v>
      </c>
      <c r="B681" s="4">
        <v>20</v>
      </c>
      <c r="C681" s="19" t="s">
        <v>75</v>
      </c>
      <c r="D681" s="44">
        <v>0</v>
      </c>
      <c r="E681" s="18">
        <f t="shared" si="1342"/>
        <v>488</v>
      </c>
      <c r="F681" s="18">
        <v>0</v>
      </c>
      <c r="G681" s="18">
        <v>0</v>
      </c>
      <c r="H681" s="45">
        <v>0</v>
      </c>
      <c r="I681" s="21">
        <f t="shared" si="1356"/>
        <v>275</v>
      </c>
      <c r="J681" s="21">
        <f t="shared" si="1309"/>
        <v>19</v>
      </c>
      <c r="K681" s="21">
        <v>0</v>
      </c>
      <c r="L681" s="20">
        <v>6</v>
      </c>
      <c r="M681" s="20">
        <v>0</v>
      </c>
      <c r="N681" s="20">
        <f t="shared" si="1357"/>
        <v>8000</v>
      </c>
      <c r="O681" s="19" t="s">
        <v>75</v>
      </c>
      <c r="P681" s="20">
        <v>861</v>
      </c>
      <c r="Q681" s="20">
        <f t="shared" ref="Q681:X681" si="1374">Q651</f>
        <v>800</v>
      </c>
      <c r="R681" s="20">
        <f t="shared" si="1374"/>
        <v>3200</v>
      </c>
      <c r="S681" s="20">
        <f t="shared" si="1374"/>
        <v>5600</v>
      </c>
      <c r="T681" s="20">
        <f t="shared" si="1374"/>
        <v>7200</v>
      </c>
      <c r="U681" s="20">
        <f t="shared" si="1374"/>
        <v>100</v>
      </c>
      <c r="V681" s="20">
        <f t="shared" si="1374"/>
        <v>800</v>
      </c>
      <c r="W681" s="20">
        <f t="shared" si="1374"/>
        <v>8000</v>
      </c>
      <c r="X681" s="20">
        <f t="shared" si="1374"/>
        <v>5</v>
      </c>
      <c r="Y681" s="20">
        <v>0</v>
      </c>
      <c r="Z681" s="22">
        <v>0</v>
      </c>
      <c r="AA681" s="20">
        <f t="shared" si="1344"/>
        <v>0</v>
      </c>
      <c r="AB681" s="20">
        <v>0</v>
      </c>
      <c r="AC681" s="20">
        <v>0</v>
      </c>
      <c r="AD681" s="23">
        <f t="shared" ref="AD681:AE681" si="1375">AD651</f>
        <v>38</v>
      </c>
      <c r="AE681" s="23">
        <f t="shared" si="1375"/>
        <v>42</v>
      </c>
    </row>
    <row r="682" spans="1:31">
      <c r="A682" s="4">
        <v>11202</v>
      </c>
      <c r="B682" s="4">
        <v>21</v>
      </c>
      <c r="C682" s="19" t="s">
        <v>66</v>
      </c>
      <c r="D682" s="44">
        <v>0</v>
      </c>
      <c r="E682" s="18">
        <f t="shared" si="1342"/>
        <v>528</v>
      </c>
      <c r="F682" s="18">
        <v>0</v>
      </c>
      <c r="G682" s="18">
        <v>0</v>
      </c>
      <c r="H682" s="45">
        <v>0</v>
      </c>
      <c r="I682" s="21">
        <f t="shared" si="1356"/>
        <v>330</v>
      </c>
      <c r="J682" s="21">
        <f t="shared" si="1309"/>
        <v>20</v>
      </c>
      <c r="K682" s="21">
        <v>0</v>
      </c>
      <c r="L682" s="20">
        <v>6</v>
      </c>
      <c r="M682" s="20">
        <v>0</v>
      </c>
      <c r="N682" s="20">
        <f t="shared" si="1357"/>
        <v>8400</v>
      </c>
      <c r="O682" s="19" t="s">
        <v>66</v>
      </c>
      <c r="P682" s="20">
        <v>9400</v>
      </c>
      <c r="Q682" s="20">
        <f t="shared" ref="Q682:X682" si="1376">Q652</f>
        <v>840</v>
      </c>
      <c r="R682" s="20">
        <f t="shared" si="1376"/>
        <v>3360</v>
      </c>
      <c r="S682" s="20">
        <f t="shared" si="1376"/>
        <v>5880</v>
      </c>
      <c r="T682" s="20">
        <f t="shared" si="1376"/>
        <v>7560</v>
      </c>
      <c r="U682" s="20">
        <f t="shared" si="1376"/>
        <v>50</v>
      </c>
      <c r="V682" s="20">
        <f t="shared" si="1376"/>
        <v>1000</v>
      </c>
      <c r="W682" s="20">
        <f t="shared" si="1376"/>
        <v>600</v>
      </c>
      <c r="X682" s="20">
        <f t="shared" si="1376"/>
        <v>6</v>
      </c>
      <c r="Y682" s="20">
        <v>0</v>
      </c>
      <c r="Z682" s="22">
        <v>0</v>
      </c>
      <c r="AA682" s="20">
        <f t="shared" si="1344"/>
        <v>0</v>
      </c>
      <c r="AB682" s="20">
        <v>0</v>
      </c>
      <c r="AC682" s="20">
        <v>0</v>
      </c>
      <c r="AD682" s="23">
        <f t="shared" ref="AD682:AE682" si="1377">AD652</f>
        <v>40</v>
      </c>
      <c r="AE682" s="23">
        <f t="shared" si="1377"/>
        <v>44</v>
      </c>
    </row>
    <row r="683" spans="1:31">
      <c r="A683" s="4">
        <v>11202</v>
      </c>
      <c r="B683" s="4">
        <v>22</v>
      </c>
      <c r="C683" s="19" t="s">
        <v>67</v>
      </c>
      <c r="D683" s="44">
        <v>0</v>
      </c>
      <c r="E683" s="18">
        <f t="shared" si="1342"/>
        <v>572</v>
      </c>
      <c r="F683" s="18">
        <v>0</v>
      </c>
      <c r="G683" s="18">
        <v>0</v>
      </c>
      <c r="H683" s="45">
        <v>0</v>
      </c>
      <c r="I683" s="21">
        <f t="shared" si="1356"/>
        <v>330</v>
      </c>
      <c r="J683" s="21">
        <f t="shared" si="1309"/>
        <v>21</v>
      </c>
      <c r="K683" s="21">
        <v>0</v>
      </c>
      <c r="L683" s="20">
        <v>6</v>
      </c>
      <c r="M683" s="20">
        <v>0</v>
      </c>
      <c r="N683" s="20">
        <f t="shared" si="1357"/>
        <v>8800</v>
      </c>
      <c r="O683" s="19" t="s">
        <v>67</v>
      </c>
      <c r="P683" s="20">
        <v>9100</v>
      </c>
      <c r="Q683" s="20">
        <f t="shared" ref="Q683:X683" si="1378">Q653</f>
        <v>880</v>
      </c>
      <c r="R683" s="20">
        <f t="shared" si="1378"/>
        <v>3520</v>
      </c>
      <c r="S683" s="20">
        <f t="shared" si="1378"/>
        <v>6160</v>
      </c>
      <c r="T683" s="20">
        <f t="shared" si="1378"/>
        <v>7920</v>
      </c>
      <c r="U683" s="20">
        <f t="shared" si="1378"/>
        <v>100</v>
      </c>
      <c r="V683" s="20">
        <f t="shared" si="1378"/>
        <v>600</v>
      </c>
      <c r="W683" s="20">
        <f t="shared" si="1378"/>
        <v>700</v>
      </c>
      <c r="X683" s="20">
        <f t="shared" si="1378"/>
        <v>6</v>
      </c>
      <c r="Y683" s="20">
        <v>0</v>
      </c>
      <c r="Z683" s="22">
        <v>0</v>
      </c>
      <c r="AA683" s="20">
        <f t="shared" si="1344"/>
        <v>0</v>
      </c>
      <c r="AB683" s="20">
        <v>0</v>
      </c>
      <c r="AC683" s="20">
        <v>0</v>
      </c>
      <c r="AD683" s="23">
        <f t="shared" ref="AD683:AE683" si="1379">AD653</f>
        <v>42</v>
      </c>
      <c r="AE683" s="23">
        <f t="shared" si="1379"/>
        <v>46</v>
      </c>
    </row>
    <row r="684" spans="1:31">
      <c r="A684" s="4">
        <v>11202</v>
      </c>
      <c r="B684" s="4">
        <v>23</v>
      </c>
      <c r="C684" s="19" t="s">
        <v>68</v>
      </c>
      <c r="D684" s="44">
        <v>0</v>
      </c>
      <c r="E684" s="18">
        <f t="shared" si="1342"/>
        <v>620</v>
      </c>
      <c r="F684" s="18">
        <v>0</v>
      </c>
      <c r="G684" s="18">
        <v>0</v>
      </c>
      <c r="H684" s="45">
        <v>0</v>
      </c>
      <c r="I684" s="21">
        <f t="shared" si="1356"/>
        <v>330</v>
      </c>
      <c r="J684" s="21">
        <f t="shared" si="1309"/>
        <v>22</v>
      </c>
      <c r="K684" s="21">
        <v>0</v>
      </c>
      <c r="L684" s="20">
        <v>6</v>
      </c>
      <c r="M684" s="20">
        <v>0</v>
      </c>
      <c r="N684" s="20">
        <f t="shared" si="1357"/>
        <v>9200</v>
      </c>
      <c r="O684" s="19" t="s">
        <v>68</v>
      </c>
      <c r="P684" s="20">
        <v>8600</v>
      </c>
      <c r="Q684" s="20">
        <f t="shared" ref="Q684:X684" si="1380">Q654</f>
        <v>920</v>
      </c>
      <c r="R684" s="20">
        <f t="shared" si="1380"/>
        <v>3680</v>
      </c>
      <c r="S684" s="20">
        <f t="shared" si="1380"/>
        <v>6440</v>
      </c>
      <c r="T684" s="20">
        <f t="shared" si="1380"/>
        <v>8280</v>
      </c>
      <c r="U684" s="20">
        <f t="shared" si="1380"/>
        <v>100</v>
      </c>
      <c r="V684" s="20">
        <f t="shared" si="1380"/>
        <v>550</v>
      </c>
      <c r="W684" s="20">
        <f t="shared" si="1380"/>
        <v>500</v>
      </c>
      <c r="X684" s="20">
        <f t="shared" si="1380"/>
        <v>6</v>
      </c>
      <c r="Y684" s="20">
        <v>0</v>
      </c>
      <c r="Z684" s="22">
        <v>0</v>
      </c>
      <c r="AA684" s="20">
        <f t="shared" si="1344"/>
        <v>120</v>
      </c>
      <c r="AB684" s="20">
        <v>0</v>
      </c>
      <c r="AC684" s="20">
        <v>0</v>
      </c>
      <c r="AD684" s="23">
        <f t="shared" ref="AD684:AE684" si="1381">AD654</f>
        <v>44</v>
      </c>
      <c r="AE684" s="23">
        <f t="shared" si="1381"/>
        <v>48</v>
      </c>
    </row>
    <row r="685" spans="1:31">
      <c r="A685" s="4">
        <v>11202</v>
      </c>
      <c r="B685" s="4">
        <v>24</v>
      </c>
      <c r="C685" s="19" t="s">
        <v>69</v>
      </c>
      <c r="D685" s="44">
        <v>0</v>
      </c>
      <c r="E685" s="18">
        <f t="shared" si="1342"/>
        <v>671</v>
      </c>
      <c r="F685" s="18">
        <v>0</v>
      </c>
      <c r="G685" s="18">
        <v>0</v>
      </c>
      <c r="H685" s="45">
        <v>0</v>
      </c>
      <c r="I685" s="21">
        <f t="shared" si="1356"/>
        <v>330</v>
      </c>
      <c r="J685" s="21">
        <f t="shared" si="1309"/>
        <v>23</v>
      </c>
      <c r="K685" s="21">
        <v>0</v>
      </c>
      <c r="L685" s="20">
        <v>6</v>
      </c>
      <c r="M685" s="20">
        <v>0</v>
      </c>
      <c r="N685" s="20">
        <f t="shared" si="1357"/>
        <v>9600</v>
      </c>
      <c r="O685" s="19" t="s">
        <v>69</v>
      </c>
      <c r="P685" s="20">
        <v>6400</v>
      </c>
      <c r="Q685" s="20">
        <f t="shared" ref="Q685:X685" si="1382">Q655</f>
        <v>960</v>
      </c>
      <c r="R685" s="20">
        <f t="shared" si="1382"/>
        <v>3840</v>
      </c>
      <c r="S685" s="20">
        <f t="shared" si="1382"/>
        <v>6720</v>
      </c>
      <c r="T685" s="20">
        <f t="shared" si="1382"/>
        <v>8640</v>
      </c>
      <c r="U685" s="20">
        <f t="shared" si="1382"/>
        <v>100</v>
      </c>
      <c r="V685" s="20">
        <f t="shared" si="1382"/>
        <v>500</v>
      </c>
      <c r="W685" s="20">
        <f t="shared" si="1382"/>
        <v>900</v>
      </c>
      <c r="X685" s="20">
        <f t="shared" si="1382"/>
        <v>6</v>
      </c>
      <c r="Y685" s="20">
        <v>0</v>
      </c>
      <c r="Z685" s="22">
        <v>0</v>
      </c>
      <c r="AA685" s="20">
        <f t="shared" si="1344"/>
        <v>0</v>
      </c>
      <c r="AB685" s="20">
        <v>0</v>
      </c>
      <c r="AC685" s="20">
        <v>0</v>
      </c>
      <c r="AD685" s="23">
        <f t="shared" ref="AD685:AE685" si="1383">AD655</f>
        <v>46</v>
      </c>
      <c r="AE685" s="23">
        <f t="shared" si="1383"/>
        <v>50</v>
      </c>
    </row>
    <row r="686" spans="1:31">
      <c r="A686" s="4">
        <v>11202</v>
      </c>
      <c r="B686" s="4">
        <v>25</v>
      </c>
      <c r="C686" s="19" t="s">
        <v>70</v>
      </c>
      <c r="D686" s="44">
        <v>0</v>
      </c>
      <c r="E686" s="18">
        <f t="shared" si="1342"/>
        <v>726</v>
      </c>
      <c r="F686" s="18">
        <v>0</v>
      </c>
      <c r="G686" s="18">
        <v>0</v>
      </c>
      <c r="H686" s="45">
        <v>0</v>
      </c>
      <c r="I686" s="21">
        <f t="shared" si="1356"/>
        <v>385</v>
      </c>
      <c r="J686" s="21">
        <f t="shared" si="1309"/>
        <v>24</v>
      </c>
      <c r="K686" s="21">
        <v>0</v>
      </c>
      <c r="L686" s="20">
        <v>6</v>
      </c>
      <c r="M686" s="20">
        <v>0</v>
      </c>
      <c r="N686" s="20">
        <f t="shared" si="1357"/>
        <v>12500</v>
      </c>
      <c r="O686" s="19" t="s">
        <v>70</v>
      </c>
      <c r="P686" s="20">
        <v>3100</v>
      </c>
      <c r="Q686" s="20">
        <f t="shared" ref="Q686:X686" si="1384">Q656</f>
        <v>1250</v>
      </c>
      <c r="R686" s="20">
        <f t="shared" si="1384"/>
        <v>5000</v>
      </c>
      <c r="S686" s="20">
        <f t="shared" si="1384"/>
        <v>8750</v>
      </c>
      <c r="T686" s="20">
        <f t="shared" si="1384"/>
        <v>11250</v>
      </c>
      <c r="U686" s="20">
        <f t="shared" si="1384"/>
        <v>10</v>
      </c>
      <c r="V686" s="20">
        <f t="shared" si="1384"/>
        <v>1300</v>
      </c>
      <c r="W686" s="20">
        <f t="shared" si="1384"/>
        <v>1000</v>
      </c>
      <c r="X686" s="20">
        <f t="shared" si="1384"/>
        <v>7</v>
      </c>
      <c r="Y686" s="20">
        <v>0</v>
      </c>
      <c r="Z686" s="22">
        <v>0</v>
      </c>
      <c r="AA686" s="20">
        <f t="shared" si="1344"/>
        <v>0</v>
      </c>
      <c r="AB686" s="20">
        <v>0</v>
      </c>
      <c r="AC686" s="20">
        <v>0</v>
      </c>
      <c r="AD686" s="23">
        <f t="shared" ref="AD686:AE686" si="1385">AD656</f>
        <v>48</v>
      </c>
      <c r="AE686" s="23">
        <f t="shared" si="1385"/>
        <v>52</v>
      </c>
    </row>
    <row r="687" spans="1:31">
      <c r="A687" s="4">
        <v>11202</v>
      </c>
      <c r="B687" s="4">
        <v>26</v>
      </c>
      <c r="C687" s="19" t="s">
        <v>71</v>
      </c>
      <c r="D687" s="44">
        <v>0</v>
      </c>
      <c r="E687" s="18">
        <f t="shared" si="1342"/>
        <v>786</v>
      </c>
      <c r="F687" s="18">
        <v>0</v>
      </c>
      <c r="G687" s="18">
        <v>0</v>
      </c>
      <c r="H687" s="45">
        <v>0</v>
      </c>
      <c r="I687" s="21">
        <f t="shared" si="1356"/>
        <v>385</v>
      </c>
      <c r="J687" s="21">
        <f t="shared" si="1309"/>
        <v>25</v>
      </c>
      <c r="K687" s="21">
        <v>0</v>
      </c>
      <c r="L687" s="20">
        <v>6</v>
      </c>
      <c r="M687" s="20">
        <v>0</v>
      </c>
      <c r="N687" s="20">
        <f t="shared" si="1357"/>
        <v>13000</v>
      </c>
      <c r="O687" s="19" t="s">
        <v>71</v>
      </c>
      <c r="P687" s="20">
        <v>1777</v>
      </c>
      <c r="Q687" s="20">
        <f t="shared" ref="Q687:X687" si="1386">Q657</f>
        <v>1300</v>
      </c>
      <c r="R687" s="20">
        <f t="shared" si="1386"/>
        <v>5200</v>
      </c>
      <c r="S687" s="20">
        <f t="shared" si="1386"/>
        <v>9100</v>
      </c>
      <c r="T687" s="20">
        <f t="shared" si="1386"/>
        <v>11700</v>
      </c>
      <c r="U687" s="20">
        <f t="shared" si="1386"/>
        <v>90</v>
      </c>
      <c r="V687" s="20">
        <f t="shared" si="1386"/>
        <v>800</v>
      </c>
      <c r="W687" s="20">
        <f t="shared" si="1386"/>
        <v>2000</v>
      </c>
      <c r="X687" s="20">
        <f t="shared" si="1386"/>
        <v>7</v>
      </c>
      <c r="Y687" s="20">
        <v>0</v>
      </c>
      <c r="Z687" s="22">
        <v>0</v>
      </c>
      <c r="AA687" s="20">
        <f t="shared" si="1344"/>
        <v>0</v>
      </c>
      <c r="AB687" s="20">
        <v>0</v>
      </c>
      <c r="AC687" s="20">
        <v>0</v>
      </c>
      <c r="AD687" s="23">
        <f t="shared" ref="AD687:AE687" si="1387">AD657</f>
        <v>50</v>
      </c>
      <c r="AE687" s="23">
        <f t="shared" si="1387"/>
        <v>54</v>
      </c>
    </row>
    <row r="688" spans="1:31">
      <c r="A688" s="4">
        <v>11202</v>
      </c>
      <c r="B688" s="4">
        <v>27</v>
      </c>
      <c r="C688" s="19" t="s">
        <v>72</v>
      </c>
      <c r="D688" s="44">
        <v>0</v>
      </c>
      <c r="E688" s="18">
        <f t="shared" si="1342"/>
        <v>851</v>
      </c>
      <c r="F688" s="18">
        <v>0</v>
      </c>
      <c r="G688" s="18">
        <v>0</v>
      </c>
      <c r="H688" s="45">
        <v>0</v>
      </c>
      <c r="I688" s="21">
        <f t="shared" si="1356"/>
        <v>385</v>
      </c>
      <c r="J688" s="21">
        <f t="shared" si="1309"/>
        <v>26</v>
      </c>
      <c r="K688" s="21">
        <v>0</v>
      </c>
      <c r="L688" s="20">
        <v>6</v>
      </c>
      <c r="M688" s="20">
        <v>0</v>
      </c>
      <c r="N688" s="20">
        <f t="shared" si="1357"/>
        <v>13500</v>
      </c>
      <c r="O688" s="19" t="s">
        <v>72</v>
      </c>
      <c r="P688" s="20">
        <v>2332</v>
      </c>
      <c r="Q688" s="20">
        <f t="shared" ref="Q688:X688" si="1388">Q658</f>
        <v>1350</v>
      </c>
      <c r="R688" s="20">
        <f t="shared" si="1388"/>
        <v>5400</v>
      </c>
      <c r="S688" s="20">
        <f t="shared" si="1388"/>
        <v>9450</v>
      </c>
      <c r="T688" s="20">
        <f t="shared" si="1388"/>
        <v>12150</v>
      </c>
      <c r="U688" s="20">
        <f t="shared" si="1388"/>
        <v>80</v>
      </c>
      <c r="V688" s="20">
        <f t="shared" si="1388"/>
        <v>700</v>
      </c>
      <c r="W688" s="20">
        <f t="shared" si="1388"/>
        <v>800</v>
      </c>
      <c r="X688" s="20">
        <f t="shared" si="1388"/>
        <v>7</v>
      </c>
      <c r="Y688" s="20">
        <v>0</v>
      </c>
      <c r="Z688" s="22">
        <v>0</v>
      </c>
      <c r="AA688" s="20">
        <f t="shared" si="1344"/>
        <v>0</v>
      </c>
      <c r="AB688" s="20">
        <v>0</v>
      </c>
      <c r="AC688" s="20">
        <v>0</v>
      </c>
      <c r="AD688" s="23">
        <f t="shared" ref="AD688:AE688" si="1389">AD658</f>
        <v>52</v>
      </c>
      <c r="AE688" s="23">
        <f t="shared" si="1389"/>
        <v>56</v>
      </c>
    </row>
    <row r="689" spans="1:31">
      <c r="A689" s="4">
        <v>11202</v>
      </c>
      <c r="B689" s="4">
        <v>28</v>
      </c>
      <c r="C689" s="19" t="s">
        <v>73</v>
      </c>
      <c r="D689" s="44">
        <v>0</v>
      </c>
      <c r="E689" s="18">
        <f t="shared" si="1342"/>
        <v>921</v>
      </c>
      <c r="F689" s="18">
        <v>0</v>
      </c>
      <c r="G689" s="18">
        <v>0</v>
      </c>
      <c r="H689" s="45">
        <v>0</v>
      </c>
      <c r="I689" s="21">
        <f t="shared" si="1356"/>
        <v>385</v>
      </c>
      <c r="J689" s="21">
        <f t="shared" si="1309"/>
        <v>27</v>
      </c>
      <c r="K689" s="21">
        <v>0</v>
      </c>
      <c r="L689" s="20">
        <v>6</v>
      </c>
      <c r="M689" s="20">
        <v>0</v>
      </c>
      <c r="N689" s="20">
        <f t="shared" si="1357"/>
        <v>14000</v>
      </c>
      <c r="O689" s="19" t="s">
        <v>73</v>
      </c>
      <c r="P689" s="20">
        <v>1487</v>
      </c>
      <c r="Q689" s="20">
        <f t="shared" ref="Q689:X689" si="1390">Q659</f>
        <v>1400</v>
      </c>
      <c r="R689" s="20">
        <f t="shared" si="1390"/>
        <v>5600</v>
      </c>
      <c r="S689" s="20">
        <f t="shared" si="1390"/>
        <v>9800</v>
      </c>
      <c r="T689" s="20">
        <f t="shared" si="1390"/>
        <v>12600</v>
      </c>
      <c r="U689" s="20">
        <f t="shared" si="1390"/>
        <v>80</v>
      </c>
      <c r="V689" s="20">
        <f t="shared" si="1390"/>
        <v>500</v>
      </c>
      <c r="W689" s="20">
        <f t="shared" si="1390"/>
        <v>600</v>
      </c>
      <c r="X689" s="20">
        <f t="shared" si="1390"/>
        <v>7</v>
      </c>
      <c r="Y689" s="20">
        <v>0</v>
      </c>
      <c r="Z689" s="22">
        <v>0</v>
      </c>
      <c r="AA689" s="20">
        <f t="shared" si="1344"/>
        <v>151</v>
      </c>
      <c r="AB689" s="20">
        <v>0</v>
      </c>
      <c r="AC689" s="20">
        <v>0</v>
      </c>
      <c r="AD689" s="23">
        <f t="shared" ref="AD689:AE689" si="1391">AD659</f>
        <v>54</v>
      </c>
      <c r="AE689" s="23">
        <f t="shared" si="1391"/>
        <v>58</v>
      </c>
    </row>
    <row r="690" spans="1:31">
      <c r="A690" s="4">
        <v>11202</v>
      </c>
      <c r="B690" s="4">
        <v>29</v>
      </c>
      <c r="C690" s="19" t="s">
        <v>74</v>
      </c>
      <c r="D690" s="44">
        <v>0</v>
      </c>
      <c r="E690" s="18">
        <f t="shared" si="1342"/>
        <v>998</v>
      </c>
      <c r="F690" s="18">
        <v>0</v>
      </c>
      <c r="G690" s="18">
        <v>0</v>
      </c>
      <c r="H690" s="45">
        <v>0</v>
      </c>
      <c r="I690" s="21">
        <f t="shared" si="1356"/>
        <v>440</v>
      </c>
      <c r="J690" s="21">
        <f t="shared" si="1309"/>
        <v>28</v>
      </c>
      <c r="K690" s="21">
        <v>0</v>
      </c>
      <c r="L690" s="20">
        <v>6</v>
      </c>
      <c r="M690" s="20">
        <v>0</v>
      </c>
      <c r="N690" s="20">
        <f t="shared" si="1357"/>
        <v>14500</v>
      </c>
      <c r="O690" s="19" t="s">
        <v>74</v>
      </c>
      <c r="P690" s="20">
        <v>1518</v>
      </c>
      <c r="Q690" s="20">
        <f t="shared" ref="Q690:X690" si="1392">Q660</f>
        <v>1450</v>
      </c>
      <c r="R690" s="20">
        <f t="shared" si="1392"/>
        <v>5800</v>
      </c>
      <c r="S690" s="20">
        <f t="shared" si="1392"/>
        <v>10150</v>
      </c>
      <c r="T690" s="20">
        <f t="shared" si="1392"/>
        <v>13050</v>
      </c>
      <c r="U690" s="20">
        <f t="shared" si="1392"/>
        <v>80</v>
      </c>
      <c r="V690" s="20">
        <f t="shared" si="1392"/>
        <v>600</v>
      </c>
      <c r="W690" s="20">
        <f t="shared" si="1392"/>
        <v>700</v>
      </c>
      <c r="X690" s="20">
        <f t="shared" si="1392"/>
        <v>8</v>
      </c>
      <c r="Y690" s="20">
        <v>0</v>
      </c>
      <c r="Z690" s="22">
        <v>0</v>
      </c>
      <c r="AA690" s="20">
        <f t="shared" si="1344"/>
        <v>0</v>
      </c>
      <c r="AB690" s="20">
        <v>0</v>
      </c>
      <c r="AC690" s="20">
        <v>0</v>
      </c>
      <c r="AD690" s="23">
        <f t="shared" ref="AD690:AE690" si="1393">AD660</f>
        <v>56</v>
      </c>
      <c r="AE690" s="23">
        <f t="shared" si="1393"/>
        <v>60</v>
      </c>
    </row>
    <row r="691" spans="1:31">
      <c r="A691" s="4">
        <v>11202</v>
      </c>
      <c r="B691" s="4">
        <v>30</v>
      </c>
      <c r="C691" s="19" t="s">
        <v>75</v>
      </c>
      <c r="D691" s="44">
        <v>0</v>
      </c>
      <c r="E691" s="18">
        <f t="shared" si="1342"/>
        <v>1080</v>
      </c>
      <c r="F691" s="18">
        <v>0</v>
      </c>
      <c r="G691" s="18">
        <v>0</v>
      </c>
      <c r="H691" s="45">
        <v>0</v>
      </c>
      <c r="I691" s="21">
        <f t="shared" si="1356"/>
        <v>440</v>
      </c>
      <c r="J691" s="21">
        <f t="shared" si="1309"/>
        <v>29</v>
      </c>
      <c r="K691" s="21">
        <v>0</v>
      </c>
      <c r="L691" s="20">
        <v>6</v>
      </c>
      <c r="M691" s="20">
        <v>0</v>
      </c>
      <c r="N691" s="20">
        <f t="shared" si="1357"/>
        <v>15000</v>
      </c>
      <c r="O691" s="19" t="s">
        <v>75</v>
      </c>
      <c r="P691" s="20">
        <v>861</v>
      </c>
      <c r="Q691" s="20">
        <f t="shared" ref="Q691:X691" si="1394">Q661</f>
        <v>1500</v>
      </c>
      <c r="R691" s="20">
        <f t="shared" si="1394"/>
        <v>6000</v>
      </c>
      <c r="S691" s="20">
        <f t="shared" si="1394"/>
        <v>10500</v>
      </c>
      <c r="T691" s="20">
        <f t="shared" si="1394"/>
        <v>13500</v>
      </c>
      <c r="U691" s="20">
        <f t="shared" si="1394"/>
        <v>20</v>
      </c>
      <c r="V691" s="20">
        <f t="shared" si="1394"/>
        <v>450</v>
      </c>
      <c r="W691" s="20">
        <f t="shared" si="1394"/>
        <v>1000</v>
      </c>
      <c r="X691" s="20">
        <f t="shared" si="1394"/>
        <v>8</v>
      </c>
      <c r="Y691" s="20">
        <v>0</v>
      </c>
      <c r="Z691" s="22">
        <v>0</v>
      </c>
      <c r="AA691" s="20">
        <f t="shared" si="1344"/>
        <v>0</v>
      </c>
      <c r="AB691" s="20">
        <v>0</v>
      </c>
      <c r="AC691" s="20">
        <v>0</v>
      </c>
      <c r="AD691" s="23">
        <f t="shared" ref="AD691:AE691" si="1395">AD661</f>
        <v>58</v>
      </c>
      <c r="AE691" s="23">
        <f t="shared" si="1395"/>
        <v>62</v>
      </c>
    </row>
    <row r="692" spans="1:31">
      <c r="A692" s="8">
        <v>11203</v>
      </c>
      <c r="B692" s="8">
        <v>1</v>
      </c>
      <c r="C692" s="29" t="s">
        <v>66</v>
      </c>
      <c r="D692" s="46">
        <v>0</v>
      </c>
      <c r="E692" s="18">
        <f t="shared" si="1342"/>
        <v>144</v>
      </c>
      <c r="F692" s="28">
        <v>0</v>
      </c>
      <c r="G692" s="28">
        <v>0</v>
      </c>
      <c r="H692" s="47">
        <v>0</v>
      </c>
      <c r="I692" s="21">
        <f t="shared" si="1356"/>
        <v>55</v>
      </c>
      <c r="J692" s="21">
        <f t="shared" si="1309"/>
        <v>0</v>
      </c>
      <c r="K692" s="21">
        <v>0</v>
      </c>
      <c r="L692" s="20">
        <v>45</v>
      </c>
      <c r="M692" s="20">
        <v>0</v>
      </c>
      <c r="N692" s="20">
        <f t="shared" si="1357"/>
        <v>10</v>
      </c>
      <c r="O692" s="19" t="s">
        <v>66</v>
      </c>
      <c r="P692" s="20">
        <v>9400</v>
      </c>
      <c r="Q692" s="20">
        <f t="shared" ref="Q692:X692" si="1396">Q662</f>
        <v>1</v>
      </c>
      <c r="R692" s="20">
        <f t="shared" si="1396"/>
        <v>4</v>
      </c>
      <c r="S692" s="20">
        <f t="shared" si="1396"/>
        <v>7</v>
      </c>
      <c r="T692" s="20">
        <f t="shared" si="1396"/>
        <v>9</v>
      </c>
      <c r="U692" s="20">
        <f t="shared" si="1396"/>
        <v>9400</v>
      </c>
      <c r="V692" s="20">
        <f t="shared" si="1396"/>
        <v>9400</v>
      </c>
      <c r="W692" s="20">
        <f t="shared" si="1396"/>
        <v>9400</v>
      </c>
      <c r="X692" s="20">
        <f t="shared" si="1396"/>
        <v>1</v>
      </c>
      <c r="Y692" s="27">
        <v>0</v>
      </c>
      <c r="Z692" s="22">
        <v>0</v>
      </c>
      <c r="AA692" s="20">
        <f t="shared" si="1344"/>
        <v>0</v>
      </c>
      <c r="AB692" s="27">
        <v>0</v>
      </c>
      <c r="AC692" s="27">
        <v>0</v>
      </c>
      <c r="AD692" s="23">
        <f t="shared" ref="AD692:AE692" si="1397">AD662</f>
        <v>1</v>
      </c>
      <c r="AE692" s="23">
        <f t="shared" si="1397"/>
        <v>3</v>
      </c>
    </row>
    <row r="693" spans="1:31">
      <c r="A693" s="4">
        <v>11203</v>
      </c>
      <c r="B693" s="4">
        <v>2</v>
      </c>
      <c r="C693" s="29" t="s">
        <v>67</v>
      </c>
      <c r="D693" s="46">
        <v>0</v>
      </c>
      <c r="E693" s="18">
        <f t="shared" si="1342"/>
        <v>156</v>
      </c>
      <c r="F693" s="28">
        <v>0</v>
      </c>
      <c r="G693" s="28">
        <v>0</v>
      </c>
      <c r="H693" s="47">
        <v>0</v>
      </c>
      <c r="I693" s="21">
        <f t="shared" si="1356"/>
        <v>55</v>
      </c>
      <c r="J693" s="21">
        <f t="shared" si="1309"/>
        <v>1</v>
      </c>
      <c r="K693" s="21">
        <v>0</v>
      </c>
      <c r="L693" s="20">
        <v>40</v>
      </c>
      <c r="M693" s="20">
        <v>0</v>
      </c>
      <c r="N693" s="20">
        <f t="shared" si="1357"/>
        <v>20</v>
      </c>
      <c r="O693" s="19" t="s">
        <v>67</v>
      </c>
      <c r="P693" s="20">
        <v>9100</v>
      </c>
      <c r="Q693" s="20">
        <f t="shared" ref="Q693:X693" si="1398">Q663</f>
        <v>2</v>
      </c>
      <c r="R693" s="20">
        <f t="shared" si="1398"/>
        <v>8</v>
      </c>
      <c r="S693" s="20">
        <f t="shared" si="1398"/>
        <v>14</v>
      </c>
      <c r="T693" s="20">
        <f t="shared" si="1398"/>
        <v>18</v>
      </c>
      <c r="U693" s="20">
        <f t="shared" si="1398"/>
        <v>4000</v>
      </c>
      <c r="V693" s="20">
        <f t="shared" si="1398"/>
        <v>8000</v>
      </c>
      <c r="W693" s="20">
        <f t="shared" si="1398"/>
        <v>8000</v>
      </c>
      <c r="X693" s="20">
        <f t="shared" si="1398"/>
        <v>1</v>
      </c>
      <c r="Y693" s="27">
        <v>0</v>
      </c>
      <c r="Z693" s="22">
        <v>0</v>
      </c>
      <c r="AA693" s="20">
        <f t="shared" si="1344"/>
        <v>0</v>
      </c>
      <c r="AB693" s="27">
        <v>0</v>
      </c>
      <c r="AC693" s="27">
        <v>0</v>
      </c>
      <c r="AD693" s="23">
        <f t="shared" ref="AD693:AE693" si="1399">AD663</f>
        <v>2</v>
      </c>
      <c r="AE693" s="23">
        <f t="shared" si="1399"/>
        <v>5</v>
      </c>
    </row>
    <row r="694" spans="1:31">
      <c r="A694" s="4">
        <v>11203</v>
      </c>
      <c r="B694" s="4">
        <v>3</v>
      </c>
      <c r="C694" s="29" t="s">
        <v>68</v>
      </c>
      <c r="D694" s="46">
        <v>0</v>
      </c>
      <c r="E694" s="18">
        <f t="shared" si="1342"/>
        <v>168</v>
      </c>
      <c r="F694" s="28">
        <v>0</v>
      </c>
      <c r="G694" s="28">
        <v>0</v>
      </c>
      <c r="H694" s="47">
        <v>0</v>
      </c>
      <c r="I694" s="21">
        <f t="shared" si="1356"/>
        <v>55</v>
      </c>
      <c r="J694" s="21">
        <f t="shared" si="1309"/>
        <v>2</v>
      </c>
      <c r="K694" s="21">
        <v>0</v>
      </c>
      <c r="L694" s="20">
        <v>35</v>
      </c>
      <c r="M694" s="20">
        <v>0</v>
      </c>
      <c r="N694" s="20">
        <f t="shared" si="1357"/>
        <v>40</v>
      </c>
      <c r="O694" s="19" t="s">
        <v>68</v>
      </c>
      <c r="P694" s="20">
        <v>8600</v>
      </c>
      <c r="Q694" s="20">
        <f t="shared" ref="Q694:X694" si="1400">Q664</f>
        <v>4</v>
      </c>
      <c r="R694" s="20">
        <f t="shared" si="1400"/>
        <v>16</v>
      </c>
      <c r="S694" s="20">
        <f t="shared" si="1400"/>
        <v>28</v>
      </c>
      <c r="T694" s="20">
        <f t="shared" si="1400"/>
        <v>36</v>
      </c>
      <c r="U694" s="20">
        <f t="shared" si="1400"/>
        <v>1600</v>
      </c>
      <c r="V694" s="20">
        <f t="shared" si="1400"/>
        <v>5000</v>
      </c>
      <c r="W694" s="20">
        <f t="shared" si="1400"/>
        <v>6000</v>
      </c>
      <c r="X694" s="20">
        <f t="shared" si="1400"/>
        <v>1</v>
      </c>
      <c r="Y694" s="27">
        <v>0</v>
      </c>
      <c r="Z694" s="22">
        <v>0</v>
      </c>
      <c r="AA694" s="20">
        <f t="shared" si="1344"/>
        <v>0</v>
      </c>
      <c r="AB694" s="27">
        <v>0</v>
      </c>
      <c r="AC694" s="27">
        <v>0</v>
      </c>
      <c r="AD694" s="23">
        <f t="shared" ref="AD694:AE694" si="1401">AD664</f>
        <v>4</v>
      </c>
      <c r="AE694" s="23">
        <f t="shared" si="1401"/>
        <v>8</v>
      </c>
    </row>
    <row r="695" spans="1:31">
      <c r="A695" s="4">
        <v>11203</v>
      </c>
      <c r="B695" s="4">
        <v>4</v>
      </c>
      <c r="C695" s="29" t="s">
        <v>69</v>
      </c>
      <c r="D695" s="46">
        <v>0</v>
      </c>
      <c r="E695" s="18">
        <f t="shared" si="1342"/>
        <v>182</v>
      </c>
      <c r="F695" s="28">
        <v>0</v>
      </c>
      <c r="G695" s="28">
        <v>0</v>
      </c>
      <c r="H695" s="47">
        <v>0</v>
      </c>
      <c r="I695" s="21">
        <f t="shared" si="1356"/>
        <v>55</v>
      </c>
      <c r="J695" s="21">
        <f t="shared" si="1309"/>
        <v>3</v>
      </c>
      <c r="K695" s="21">
        <v>0</v>
      </c>
      <c r="L695" s="20">
        <v>30</v>
      </c>
      <c r="M695" s="20">
        <v>0</v>
      </c>
      <c r="N695" s="20">
        <f t="shared" si="1357"/>
        <v>100</v>
      </c>
      <c r="O695" s="19" t="s">
        <v>69</v>
      </c>
      <c r="P695" s="20">
        <v>6400</v>
      </c>
      <c r="Q695" s="20">
        <f t="shared" ref="Q695:X695" si="1402">Q665</f>
        <v>10</v>
      </c>
      <c r="R695" s="20">
        <f t="shared" si="1402"/>
        <v>40</v>
      </c>
      <c r="S695" s="20">
        <f t="shared" si="1402"/>
        <v>70</v>
      </c>
      <c r="T695" s="20">
        <f t="shared" si="1402"/>
        <v>90</v>
      </c>
      <c r="U695" s="20">
        <f t="shared" si="1402"/>
        <v>900</v>
      </c>
      <c r="V695" s="20">
        <f t="shared" si="1402"/>
        <v>2000</v>
      </c>
      <c r="W695" s="20">
        <f t="shared" si="1402"/>
        <v>8000</v>
      </c>
      <c r="X695" s="20">
        <f t="shared" si="1402"/>
        <v>1</v>
      </c>
      <c r="Y695" s="27">
        <v>0</v>
      </c>
      <c r="Z695" s="22">
        <v>0</v>
      </c>
      <c r="AA695" s="20">
        <f t="shared" si="1344"/>
        <v>0</v>
      </c>
      <c r="AB695" s="27">
        <v>0</v>
      </c>
      <c r="AC695" s="27">
        <v>0</v>
      </c>
      <c r="AD695" s="23">
        <f t="shared" ref="AD695:AE695" si="1403">AD665</f>
        <v>6</v>
      </c>
      <c r="AE695" s="23">
        <f t="shared" si="1403"/>
        <v>10</v>
      </c>
    </row>
    <row r="696" spans="1:31">
      <c r="A696" s="4">
        <v>11203</v>
      </c>
      <c r="B696" s="4">
        <v>5</v>
      </c>
      <c r="C696" s="29" t="s">
        <v>70</v>
      </c>
      <c r="D696" s="46">
        <v>0</v>
      </c>
      <c r="E696" s="18">
        <f t="shared" si="1342"/>
        <v>198</v>
      </c>
      <c r="F696" s="28">
        <v>0</v>
      </c>
      <c r="G696" s="28">
        <v>0</v>
      </c>
      <c r="H696" s="47">
        <v>0</v>
      </c>
      <c r="I696" s="21">
        <f t="shared" si="1356"/>
        <v>110</v>
      </c>
      <c r="J696" s="21">
        <f t="shared" si="1309"/>
        <v>4</v>
      </c>
      <c r="K696" s="21">
        <v>0</v>
      </c>
      <c r="L696" s="20">
        <v>25</v>
      </c>
      <c r="M696" s="20">
        <v>0</v>
      </c>
      <c r="N696" s="20">
        <f t="shared" si="1357"/>
        <v>200</v>
      </c>
      <c r="O696" s="19" t="s">
        <v>70</v>
      </c>
      <c r="P696" s="20">
        <v>3100</v>
      </c>
      <c r="Q696" s="20">
        <f t="shared" ref="Q696:X696" si="1404">Q666</f>
        <v>20</v>
      </c>
      <c r="R696" s="20">
        <f t="shared" si="1404"/>
        <v>80</v>
      </c>
      <c r="S696" s="20">
        <f t="shared" si="1404"/>
        <v>140</v>
      </c>
      <c r="T696" s="20">
        <f t="shared" si="1404"/>
        <v>180</v>
      </c>
      <c r="U696" s="20">
        <f t="shared" si="1404"/>
        <v>1000</v>
      </c>
      <c r="V696" s="20">
        <f t="shared" si="1404"/>
        <v>2000</v>
      </c>
      <c r="W696" s="20">
        <f t="shared" si="1404"/>
        <v>2000</v>
      </c>
      <c r="X696" s="20">
        <f t="shared" si="1404"/>
        <v>2</v>
      </c>
      <c r="Y696" s="27">
        <v>0</v>
      </c>
      <c r="Z696" s="22">
        <v>0</v>
      </c>
      <c r="AA696" s="20">
        <f t="shared" si="1344"/>
        <v>0</v>
      </c>
      <c r="AB696" s="27">
        <v>0</v>
      </c>
      <c r="AC696" s="27">
        <v>0</v>
      </c>
      <c r="AD696" s="23">
        <f t="shared" ref="AD696:AE696" si="1405">AD666</f>
        <v>8</v>
      </c>
      <c r="AE696" s="23">
        <f t="shared" si="1405"/>
        <v>12</v>
      </c>
    </row>
    <row r="697" spans="1:31">
      <c r="A697" s="4">
        <v>11203</v>
      </c>
      <c r="B697" s="4">
        <v>6</v>
      </c>
      <c r="C697" s="29" t="s">
        <v>71</v>
      </c>
      <c r="D697" s="46">
        <v>0</v>
      </c>
      <c r="E697" s="18">
        <f t="shared" si="1342"/>
        <v>214</v>
      </c>
      <c r="F697" s="28">
        <v>0</v>
      </c>
      <c r="G697" s="28">
        <v>0</v>
      </c>
      <c r="H697" s="47">
        <v>0</v>
      </c>
      <c r="I697" s="21">
        <f t="shared" si="1356"/>
        <v>110</v>
      </c>
      <c r="J697" s="21">
        <f t="shared" si="1309"/>
        <v>5</v>
      </c>
      <c r="K697" s="21">
        <v>0</v>
      </c>
      <c r="L697" s="20">
        <v>20</v>
      </c>
      <c r="M697" s="20">
        <v>0</v>
      </c>
      <c r="N697" s="20">
        <f t="shared" si="1357"/>
        <v>500</v>
      </c>
      <c r="O697" s="19" t="s">
        <v>71</v>
      </c>
      <c r="P697" s="20">
        <v>1777</v>
      </c>
      <c r="Q697" s="20">
        <f t="shared" ref="Q697:X697" si="1406">Q667</f>
        <v>50</v>
      </c>
      <c r="R697" s="20">
        <f t="shared" si="1406"/>
        <v>200</v>
      </c>
      <c r="S697" s="20">
        <f t="shared" si="1406"/>
        <v>350</v>
      </c>
      <c r="T697" s="20">
        <f t="shared" si="1406"/>
        <v>450</v>
      </c>
      <c r="U697" s="20">
        <f t="shared" si="1406"/>
        <v>800</v>
      </c>
      <c r="V697" s="20">
        <f t="shared" si="1406"/>
        <v>800</v>
      </c>
      <c r="W697" s="20">
        <f t="shared" si="1406"/>
        <v>600</v>
      </c>
      <c r="X697" s="20">
        <f t="shared" si="1406"/>
        <v>2</v>
      </c>
      <c r="Y697" s="27">
        <v>0</v>
      </c>
      <c r="Z697" s="22">
        <v>0</v>
      </c>
      <c r="AA697" s="20">
        <f t="shared" si="1344"/>
        <v>0</v>
      </c>
      <c r="AB697" s="27">
        <v>0</v>
      </c>
      <c r="AC697" s="27">
        <v>0</v>
      </c>
      <c r="AD697" s="23">
        <f t="shared" ref="AD697:AE697" si="1407">AD667</f>
        <v>10</v>
      </c>
      <c r="AE697" s="23">
        <f t="shared" si="1407"/>
        <v>14</v>
      </c>
    </row>
    <row r="698" spans="1:31">
      <c r="A698" s="4">
        <v>11203</v>
      </c>
      <c r="B698" s="4">
        <v>7</v>
      </c>
      <c r="C698" s="29" t="s">
        <v>72</v>
      </c>
      <c r="D698" s="46">
        <v>0</v>
      </c>
      <c r="E698" s="18">
        <f t="shared" si="1342"/>
        <v>232</v>
      </c>
      <c r="F698" s="28">
        <v>0</v>
      </c>
      <c r="G698" s="28">
        <v>0</v>
      </c>
      <c r="H698" s="47">
        <v>0</v>
      </c>
      <c r="I698" s="21">
        <f t="shared" si="1356"/>
        <v>110</v>
      </c>
      <c r="J698" s="21">
        <f t="shared" si="1309"/>
        <v>6</v>
      </c>
      <c r="K698" s="21">
        <v>0</v>
      </c>
      <c r="L698" s="20">
        <v>16</v>
      </c>
      <c r="M698" s="20">
        <v>0</v>
      </c>
      <c r="N698" s="20">
        <f t="shared" si="1357"/>
        <v>700</v>
      </c>
      <c r="O698" s="19" t="s">
        <v>72</v>
      </c>
      <c r="P698" s="20">
        <v>2332</v>
      </c>
      <c r="Q698" s="20">
        <f t="shared" ref="Q698:X698" si="1408">Q668</f>
        <v>70</v>
      </c>
      <c r="R698" s="20">
        <f t="shared" si="1408"/>
        <v>280</v>
      </c>
      <c r="S698" s="20">
        <f t="shared" si="1408"/>
        <v>489.99999999999994</v>
      </c>
      <c r="T698" s="20">
        <f t="shared" si="1408"/>
        <v>630</v>
      </c>
      <c r="U698" s="20">
        <f t="shared" si="1408"/>
        <v>650</v>
      </c>
      <c r="V698" s="20">
        <f t="shared" si="1408"/>
        <v>800</v>
      </c>
      <c r="W698" s="20">
        <f t="shared" si="1408"/>
        <v>300</v>
      </c>
      <c r="X698" s="20">
        <f t="shared" si="1408"/>
        <v>2</v>
      </c>
      <c r="Y698" s="27">
        <v>0</v>
      </c>
      <c r="Z698" s="22">
        <v>0</v>
      </c>
      <c r="AA698" s="20">
        <f t="shared" si="1344"/>
        <v>0</v>
      </c>
      <c r="AB698" s="27">
        <v>0</v>
      </c>
      <c r="AC698" s="27">
        <v>0</v>
      </c>
      <c r="AD698" s="23">
        <f t="shared" ref="AD698:AE698" si="1409">AD668</f>
        <v>12</v>
      </c>
      <c r="AE698" s="23">
        <f t="shared" si="1409"/>
        <v>16</v>
      </c>
    </row>
    <row r="699" spans="1:31">
      <c r="A699" s="4">
        <v>11203</v>
      </c>
      <c r="B699" s="4">
        <v>8</v>
      </c>
      <c r="C699" s="29" t="s">
        <v>73</v>
      </c>
      <c r="D699" s="46">
        <v>0</v>
      </c>
      <c r="E699" s="18">
        <f t="shared" si="1342"/>
        <v>252</v>
      </c>
      <c r="F699" s="28">
        <v>0</v>
      </c>
      <c r="G699" s="28">
        <v>0</v>
      </c>
      <c r="H699" s="47">
        <v>0</v>
      </c>
      <c r="I699" s="21">
        <f t="shared" si="1356"/>
        <v>110</v>
      </c>
      <c r="J699" s="21">
        <f t="shared" si="1309"/>
        <v>7</v>
      </c>
      <c r="K699" s="21">
        <v>0</v>
      </c>
      <c r="L699" s="20">
        <v>12</v>
      </c>
      <c r="M699" s="20">
        <v>0</v>
      </c>
      <c r="N699" s="20">
        <f t="shared" si="1357"/>
        <v>800</v>
      </c>
      <c r="O699" s="19" t="s">
        <v>73</v>
      </c>
      <c r="P699" s="20">
        <v>1487</v>
      </c>
      <c r="Q699" s="20">
        <f t="shared" ref="Q699:X699" si="1410">Q669</f>
        <v>80</v>
      </c>
      <c r="R699" s="20">
        <f t="shared" si="1410"/>
        <v>320</v>
      </c>
      <c r="S699" s="20">
        <f t="shared" si="1410"/>
        <v>560</v>
      </c>
      <c r="T699" s="20">
        <f t="shared" si="1410"/>
        <v>720</v>
      </c>
      <c r="U699" s="20">
        <f t="shared" si="1410"/>
        <v>200</v>
      </c>
      <c r="V699" s="20">
        <f t="shared" si="1410"/>
        <v>2000</v>
      </c>
      <c r="W699" s="20">
        <f t="shared" si="1410"/>
        <v>1000</v>
      </c>
      <c r="X699" s="20">
        <f t="shared" si="1410"/>
        <v>2</v>
      </c>
      <c r="Y699" s="27">
        <v>0</v>
      </c>
      <c r="Z699" s="22">
        <v>0</v>
      </c>
      <c r="AA699" s="20">
        <f t="shared" si="1344"/>
        <v>33</v>
      </c>
      <c r="AB699" s="27">
        <v>0</v>
      </c>
      <c r="AC699" s="27">
        <v>0</v>
      </c>
      <c r="AD699" s="23">
        <f t="shared" ref="AD699:AE699" si="1411">AD669</f>
        <v>14</v>
      </c>
      <c r="AE699" s="23">
        <f t="shared" si="1411"/>
        <v>18</v>
      </c>
    </row>
    <row r="700" spans="1:31">
      <c r="A700" s="4">
        <v>11203</v>
      </c>
      <c r="B700" s="4">
        <v>9</v>
      </c>
      <c r="C700" s="29" t="s">
        <v>74</v>
      </c>
      <c r="D700" s="46">
        <v>0</v>
      </c>
      <c r="E700" s="18">
        <f t="shared" si="1342"/>
        <v>272</v>
      </c>
      <c r="F700" s="28">
        <v>0</v>
      </c>
      <c r="G700" s="28">
        <v>0</v>
      </c>
      <c r="H700" s="47">
        <v>0</v>
      </c>
      <c r="I700" s="21">
        <f t="shared" si="1356"/>
        <v>165</v>
      </c>
      <c r="J700" s="21">
        <f t="shared" si="1309"/>
        <v>8</v>
      </c>
      <c r="K700" s="21">
        <v>0</v>
      </c>
      <c r="L700" s="20">
        <v>8</v>
      </c>
      <c r="M700" s="20">
        <v>0</v>
      </c>
      <c r="N700" s="20">
        <f t="shared" si="1357"/>
        <v>900</v>
      </c>
      <c r="O700" s="19" t="s">
        <v>74</v>
      </c>
      <c r="P700" s="20">
        <v>1518</v>
      </c>
      <c r="Q700" s="20">
        <f t="shared" ref="Q700:X700" si="1412">Q670</f>
        <v>90</v>
      </c>
      <c r="R700" s="20">
        <f t="shared" si="1412"/>
        <v>360</v>
      </c>
      <c r="S700" s="20">
        <f t="shared" si="1412"/>
        <v>630</v>
      </c>
      <c r="T700" s="20">
        <f t="shared" si="1412"/>
        <v>810</v>
      </c>
      <c r="U700" s="20">
        <f t="shared" si="1412"/>
        <v>120</v>
      </c>
      <c r="V700" s="20">
        <f t="shared" si="1412"/>
        <v>1500</v>
      </c>
      <c r="W700" s="20">
        <f t="shared" si="1412"/>
        <v>1000</v>
      </c>
      <c r="X700" s="20">
        <f t="shared" si="1412"/>
        <v>3</v>
      </c>
      <c r="Y700" s="27">
        <v>0</v>
      </c>
      <c r="Z700" s="22">
        <v>0</v>
      </c>
      <c r="AA700" s="20">
        <f t="shared" si="1344"/>
        <v>0</v>
      </c>
      <c r="AB700" s="27">
        <v>0</v>
      </c>
      <c r="AC700" s="27">
        <v>0</v>
      </c>
      <c r="AD700" s="23">
        <f t="shared" ref="AD700:AE700" si="1413">AD670</f>
        <v>16</v>
      </c>
      <c r="AE700" s="23">
        <f t="shared" si="1413"/>
        <v>20</v>
      </c>
    </row>
    <row r="701" spans="1:31">
      <c r="A701" s="4">
        <v>11203</v>
      </c>
      <c r="B701" s="4">
        <v>10</v>
      </c>
      <c r="C701" s="29" t="s">
        <v>75</v>
      </c>
      <c r="D701" s="46">
        <v>0</v>
      </c>
      <c r="E701" s="18">
        <f t="shared" si="1342"/>
        <v>294</v>
      </c>
      <c r="F701" s="28">
        <v>0</v>
      </c>
      <c r="G701" s="28">
        <v>0</v>
      </c>
      <c r="H701" s="47">
        <v>0</v>
      </c>
      <c r="I701" s="21">
        <f t="shared" si="1356"/>
        <v>165</v>
      </c>
      <c r="J701" s="21">
        <f t="shared" si="1309"/>
        <v>9</v>
      </c>
      <c r="K701" s="21">
        <v>0</v>
      </c>
      <c r="L701" s="20">
        <v>6</v>
      </c>
      <c r="M701" s="20">
        <v>0</v>
      </c>
      <c r="N701" s="20">
        <f t="shared" si="1357"/>
        <v>2000</v>
      </c>
      <c r="O701" s="19" t="s">
        <v>75</v>
      </c>
      <c r="P701" s="20">
        <v>861</v>
      </c>
      <c r="Q701" s="20">
        <f t="shared" ref="Q701:X701" si="1414">Q671</f>
        <v>200</v>
      </c>
      <c r="R701" s="20">
        <f t="shared" si="1414"/>
        <v>800</v>
      </c>
      <c r="S701" s="20">
        <f t="shared" si="1414"/>
        <v>1400</v>
      </c>
      <c r="T701" s="20">
        <f t="shared" si="1414"/>
        <v>1800</v>
      </c>
      <c r="U701" s="20">
        <f t="shared" si="1414"/>
        <v>150</v>
      </c>
      <c r="V701" s="20">
        <f t="shared" si="1414"/>
        <v>5000</v>
      </c>
      <c r="W701" s="20">
        <f t="shared" si="1414"/>
        <v>800</v>
      </c>
      <c r="X701" s="20">
        <f t="shared" si="1414"/>
        <v>3</v>
      </c>
      <c r="Y701" s="27">
        <v>0</v>
      </c>
      <c r="Z701" s="22">
        <v>0</v>
      </c>
      <c r="AA701" s="20">
        <f t="shared" si="1344"/>
        <v>0</v>
      </c>
      <c r="AB701" s="27">
        <v>0</v>
      </c>
      <c r="AC701" s="27">
        <v>0</v>
      </c>
      <c r="AD701" s="23">
        <f t="shared" ref="AD701:AE701" si="1415">AD671</f>
        <v>18</v>
      </c>
      <c r="AE701" s="23">
        <f t="shared" si="1415"/>
        <v>22</v>
      </c>
    </row>
    <row r="702" spans="1:31">
      <c r="A702" s="4">
        <v>11203</v>
      </c>
      <c r="B702" s="4">
        <v>11</v>
      </c>
      <c r="C702" s="29" t="s">
        <v>66</v>
      </c>
      <c r="D702" s="46">
        <v>0</v>
      </c>
      <c r="E702" s="18">
        <f t="shared" si="1342"/>
        <v>318</v>
      </c>
      <c r="F702" s="28">
        <v>0</v>
      </c>
      <c r="G702" s="28">
        <v>0</v>
      </c>
      <c r="H702" s="47">
        <v>0</v>
      </c>
      <c r="I702" s="21">
        <f t="shared" si="1356"/>
        <v>165</v>
      </c>
      <c r="J702" s="21">
        <f t="shared" si="1309"/>
        <v>10</v>
      </c>
      <c r="K702" s="21">
        <v>0</v>
      </c>
      <c r="L702" s="20">
        <v>6</v>
      </c>
      <c r="M702" s="20">
        <v>0</v>
      </c>
      <c r="N702" s="20">
        <f t="shared" si="1357"/>
        <v>2200</v>
      </c>
      <c r="O702" s="19" t="s">
        <v>66</v>
      </c>
      <c r="P702" s="20">
        <v>9400</v>
      </c>
      <c r="Q702" s="20">
        <f t="shared" ref="Q702:X702" si="1416">Q672</f>
        <v>220</v>
      </c>
      <c r="R702" s="20">
        <f t="shared" si="1416"/>
        <v>880</v>
      </c>
      <c r="S702" s="20">
        <f t="shared" si="1416"/>
        <v>1540</v>
      </c>
      <c r="T702" s="20">
        <f t="shared" si="1416"/>
        <v>1980</v>
      </c>
      <c r="U702" s="20">
        <f t="shared" si="1416"/>
        <v>100</v>
      </c>
      <c r="V702" s="20">
        <f t="shared" si="1416"/>
        <v>800</v>
      </c>
      <c r="W702" s="20">
        <f t="shared" si="1416"/>
        <v>600</v>
      </c>
      <c r="X702" s="20">
        <f t="shared" si="1416"/>
        <v>3</v>
      </c>
      <c r="Y702" s="27">
        <v>0</v>
      </c>
      <c r="Z702" s="22">
        <v>0</v>
      </c>
      <c r="AA702" s="20">
        <f t="shared" si="1344"/>
        <v>0</v>
      </c>
      <c r="AB702" s="27">
        <v>0</v>
      </c>
      <c r="AC702" s="27">
        <v>0</v>
      </c>
      <c r="AD702" s="23">
        <f t="shared" ref="AD702:AE702" si="1417">AD672</f>
        <v>20</v>
      </c>
      <c r="AE702" s="23">
        <f t="shared" si="1417"/>
        <v>24</v>
      </c>
    </row>
    <row r="703" spans="1:31">
      <c r="A703" s="4">
        <v>11203</v>
      </c>
      <c r="B703" s="4">
        <v>12</v>
      </c>
      <c r="C703" s="29" t="s">
        <v>67</v>
      </c>
      <c r="D703" s="46">
        <v>0</v>
      </c>
      <c r="E703" s="18">
        <f t="shared" si="1342"/>
        <v>344</v>
      </c>
      <c r="F703" s="28">
        <v>0</v>
      </c>
      <c r="G703" s="28">
        <v>0</v>
      </c>
      <c r="H703" s="47">
        <v>0</v>
      </c>
      <c r="I703" s="21">
        <f t="shared" si="1356"/>
        <v>165</v>
      </c>
      <c r="J703" s="21">
        <f t="shared" si="1309"/>
        <v>11</v>
      </c>
      <c r="K703" s="21">
        <v>0</v>
      </c>
      <c r="L703" s="20">
        <v>6</v>
      </c>
      <c r="M703" s="20">
        <v>0</v>
      </c>
      <c r="N703" s="20">
        <f t="shared" si="1357"/>
        <v>2400</v>
      </c>
      <c r="O703" s="19" t="s">
        <v>67</v>
      </c>
      <c r="P703" s="20">
        <v>9100</v>
      </c>
      <c r="Q703" s="20">
        <f t="shared" ref="Q703:X703" si="1418">Q673</f>
        <v>240</v>
      </c>
      <c r="R703" s="20">
        <f t="shared" si="1418"/>
        <v>960</v>
      </c>
      <c r="S703" s="20">
        <f t="shared" si="1418"/>
        <v>1680</v>
      </c>
      <c r="T703" s="20">
        <f t="shared" si="1418"/>
        <v>2160</v>
      </c>
      <c r="U703" s="20">
        <f t="shared" si="1418"/>
        <v>150</v>
      </c>
      <c r="V703" s="20">
        <f t="shared" si="1418"/>
        <v>700</v>
      </c>
      <c r="W703" s="20">
        <f t="shared" si="1418"/>
        <v>900</v>
      </c>
      <c r="X703" s="20">
        <f t="shared" si="1418"/>
        <v>3</v>
      </c>
      <c r="Y703" s="27">
        <v>0</v>
      </c>
      <c r="Z703" s="22">
        <v>0</v>
      </c>
      <c r="AA703" s="20">
        <f t="shared" si="1344"/>
        <v>0</v>
      </c>
      <c r="AB703" s="27">
        <v>0</v>
      </c>
      <c r="AC703" s="27">
        <v>0</v>
      </c>
      <c r="AD703" s="23">
        <f t="shared" ref="AD703:AE703" si="1419">AD673</f>
        <v>22</v>
      </c>
      <c r="AE703" s="23">
        <f t="shared" si="1419"/>
        <v>26</v>
      </c>
    </row>
    <row r="704" spans="1:31">
      <c r="A704" s="8">
        <v>11203</v>
      </c>
      <c r="B704" s="8">
        <v>13</v>
      </c>
      <c r="C704" s="29" t="s">
        <v>68</v>
      </c>
      <c r="D704" s="46">
        <v>0</v>
      </c>
      <c r="E704" s="18">
        <f t="shared" si="1342"/>
        <v>374</v>
      </c>
      <c r="F704" s="28">
        <v>0</v>
      </c>
      <c r="G704" s="28">
        <v>0</v>
      </c>
      <c r="H704" s="47">
        <v>0</v>
      </c>
      <c r="I704" s="21">
        <f t="shared" si="1356"/>
        <v>220</v>
      </c>
      <c r="J704" s="21">
        <f t="shared" si="1309"/>
        <v>12</v>
      </c>
      <c r="K704" s="21">
        <v>0</v>
      </c>
      <c r="L704" s="20">
        <v>6</v>
      </c>
      <c r="M704" s="20">
        <v>0</v>
      </c>
      <c r="N704" s="20">
        <f t="shared" si="1357"/>
        <v>2600</v>
      </c>
      <c r="O704" s="19" t="s">
        <v>68</v>
      </c>
      <c r="P704" s="20">
        <v>8600</v>
      </c>
      <c r="Q704" s="20">
        <f t="shared" ref="Q704:X704" si="1420">Q674</f>
        <v>260</v>
      </c>
      <c r="R704" s="20">
        <f t="shared" si="1420"/>
        <v>1040</v>
      </c>
      <c r="S704" s="20">
        <f t="shared" si="1420"/>
        <v>1819.9999999999998</v>
      </c>
      <c r="T704" s="20">
        <f t="shared" si="1420"/>
        <v>2340</v>
      </c>
      <c r="U704" s="20">
        <f t="shared" si="1420"/>
        <v>100</v>
      </c>
      <c r="V704" s="20">
        <f t="shared" si="1420"/>
        <v>700</v>
      </c>
      <c r="W704" s="20">
        <f t="shared" si="1420"/>
        <v>1000</v>
      </c>
      <c r="X704" s="20">
        <f t="shared" si="1420"/>
        <v>4</v>
      </c>
      <c r="Y704" s="27">
        <v>0</v>
      </c>
      <c r="Z704" s="22">
        <v>0</v>
      </c>
      <c r="AA704" s="20">
        <f t="shared" si="1344"/>
        <v>67</v>
      </c>
      <c r="AB704" s="27">
        <v>0</v>
      </c>
      <c r="AC704" s="27">
        <v>0</v>
      </c>
      <c r="AD704" s="23">
        <f t="shared" ref="AD704:AE704" si="1421">AD674</f>
        <v>24</v>
      </c>
      <c r="AE704" s="23">
        <f t="shared" si="1421"/>
        <v>28</v>
      </c>
    </row>
    <row r="705" spans="1:31">
      <c r="A705" s="4">
        <v>11203</v>
      </c>
      <c r="B705" s="4">
        <v>14</v>
      </c>
      <c r="C705" s="29" t="s">
        <v>69</v>
      </c>
      <c r="D705" s="46">
        <v>0</v>
      </c>
      <c r="E705" s="18">
        <f t="shared" si="1342"/>
        <v>404</v>
      </c>
      <c r="F705" s="28">
        <v>0</v>
      </c>
      <c r="G705" s="28">
        <v>0</v>
      </c>
      <c r="H705" s="47">
        <v>0</v>
      </c>
      <c r="I705" s="21">
        <f t="shared" si="1356"/>
        <v>220</v>
      </c>
      <c r="J705" s="21">
        <f t="shared" si="1309"/>
        <v>13</v>
      </c>
      <c r="K705" s="21">
        <v>0</v>
      </c>
      <c r="L705" s="20">
        <v>6</v>
      </c>
      <c r="M705" s="20">
        <v>0</v>
      </c>
      <c r="N705" s="20">
        <f t="shared" si="1357"/>
        <v>2800</v>
      </c>
      <c r="O705" s="19" t="s">
        <v>69</v>
      </c>
      <c r="P705" s="20">
        <v>6400</v>
      </c>
      <c r="Q705" s="20">
        <f t="shared" ref="Q705:X705" si="1422">Q675</f>
        <v>280</v>
      </c>
      <c r="R705" s="20">
        <f t="shared" si="1422"/>
        <v>1120</v>
      </c>
      <c r="S705" s="20">
        <f t="shared" si="1422"/>
        <v>1959.9999999999998</v>
      </c>
      <c r="T705" s="20">
        <f t="shared" si="1422"/>
        <v>2520</v>
      </c>
      <c r="U705" s="20">
        <f t="shared" si="1422"/>
        <v>100</v>
      </c>
      <c r="V705" s="20">
        <f t="shared" si="1422"/>
        <v>400</v>
      </c>
      <c r="W705" s="20">
        <f t="shared" si="1422"/>
        <v>1200</v>
      </c>
      <c r="X705" s="20">
        <f t="shared" si="1422"/>
        <v>4</v>
      </c>
      <c r="Y705" s="27">
        <v>0</v>
      </c>
      <c r="Z705" s="22">
        <v>0</v>
      </c>
      <c r="AA705" s="20">
        <f t="shared" si="1344"/>
        <v>0</v>
      </c>
      <c r="AB705" s="27">
        <v>0</v>
      </c>
      <c r="AC705" s="27">
        <v>0</v>
      </c>
      <c r="AD705" s="23">
        <f t="shared" ref="AD705:AE705" si="1423">AD675</f>
        <v>26</v>
      </c>
      <c r="AE705" s="23">
        <f t="shared" si="1423"/>
        <v>30</v>
      </c>
    </row>
    <row r="706" spans="1:31">
      <c r="A706" s="4">
        <v>11203</v>
      </c>
      <c r="B706" s="4">
        <v>15</v>
      </c>
      <c r="C706" s="29" t="s">
        <v>70</v>
      </c>
      <c r="D706" s="46">
        <v>0</v>
      </c>
      <c r="E706" s="18">
        <f t="shared" si="1342"/>
        <v>438</v>
      </c>
      <c r="F706" s="28">
        <v>0</v>
      </c>
      <c r="G706" s="28">
        <v>0</v>
      </c>
      <c r="H706" s="47">
        <v>0</v>
      </c>
      <c r="I706" s="21">
        <f t="shared" si="1356"/>
        <v>220</v>
      </c>
      <c r="J706" s="21">
        <f t="shared" si="1309"/>
        <v>14</v>
      </c>
      <c r="K706" s="21">
        <v>0</v>
      </c>
      <c r="L706" s="20">
        <v>6</v>
      </c>
      <c r="M706" s="20">
        <v>0</v>
      </c>
      <c r="N706" s="20">
        <f t="shared" si="1357"/>
        <v>4500</v>
      </c>
      <c r="O706" s="19" t="s">
        <v>70</v>
      </c>
      <c r="P706" s="20">
        <v>3100</v>
      </c>
      <c r="Q706" s="20">
        <f t="shared" ref="Q706:X706" si="1424">Q676</f>
        <v>450</v>
      </c>
      <c r="R706" s="20">
        <f t="shared" si="1424"/>
        <v>1800</v>
      </c>
      <c r="S706" s="20">
        <f t="shared" si="1424"/>
        <v>3150</v>
      </c>
      <c r="T706" s="20">
        <f t="shared" si="1424"/>
        <v>4050</v>
      </c>
      <c r="U706" s="20">
        <f t="shared" si="1424"/>
        <v>100</v>
      </c>
      <c r="V706" s="20">
        <f t="shared" si="1424"/>
        <v>1000</v>
      </c>
      <c r="W706" s="20">
        <f t="shared" si="1424"/>
        <v>600</v>
      </c>
      <c r="X706" s="20">
        <f t="shared" si="1424"/>
        <v>4</v>
      </c>
      <c r="Y706" s="27">
        <v>0</v>
      </c>
      <c r="Z706" s="22">
        <v>0</v>
      </c>
      <c r="AA706" s="20">
        <f t="shared" si="1344"/>
        <v>0</v>
      </c>
      <c r="AB706" s="27">
        <v>0</v>
      </c>
      <c r="AC706" s="27">
        <v>0</v>
      </c>
      <c r="AD706" s="23">
        <f t="shared" ref="AD706:AE706" si="1425">AD676</f>
        <v>28</v>
      </c>
      <c r="AE706" s="23">
        <f t="shared" si="1425"/>
        <v>32</v>
      </c>
    </row>
    <row r="707" spans="1:31">
      <c r="A707" s="4">
        <v>11203</v>
      </c>
      <c r="B707" s="4">
        <v>16</v>
      </c>
      <c r="C707" s="29" t="s">
        <v>71</v>
      </c>
      <c r="D707" s="46">
        <v>0</v>
      </c>
      <c r="E707" s="18">
        <f t="shared" si="1342"/>
        <v>474</v>
      </c>
      <c r="F707" s="28">
        <v>0</v>
      </c>
      <c r="G707" s="28">
        <v>0</v>
      </c>
      <c r="H707" s="47">
        <v>0</v>
      </c>
      <c r="I707" s="21">
        <f t="shared" si="1356"/>
        <v>220</v>
      </c>
      <c r="J707" s="21">
        <f t="shared" si="1309"/>
        <v>15</v>
      </c>
      <c r="K707" s="21">
        <v>0</v>
      </c>
      <c r="L707" s="20">
        <v>6</v>
      </c>
      <c r="M707" s="20">
        <v>0</v>
      </c>
      <c r="N707" s="20">
        <f t="shared" si="1357"/>
        <v>4800</v>
      </c>
      <c r="O707" s="19" t="s">
        <v>71</v>
      </c>
      <c r="P707" s="20">
        <v>1777</v>
      </c>
      <c r="Q707" s="20">
        <f t="shared" ref="Q707:X707" si="1426">Q677</f>
        <v>480</v>
      </c>
      <c r="R707" s="20">
        <f t="shared" si="1426"/>
        <v>1920</v>
      </c>
      <c r="S707" s="20">
        <f t="shared" si="1426"/>
        <v>3360</v>
      </c>
      <c r="T707" s="20">
        <f t="shared" si="1426"/>
        <v>4320</v>
      </c>
      <c r="U707" s="20">
        <f t="shared" si="1426"/>
        <v>100</v>
      </c>
      <c r="V707" s="20">
        <f t="shared" si="1426"/>
        <v>800</v>
      </c>
      <c r="W707" s="20">
        <f t="shared" si="1426"/>
        <v>800</v>
      </c>
      <c r="X707" s="20">
        <f t="shared" si="1426"/>
        <v>4</v>
      </c>
      <c r="Y707" s="27">
        <v>0</v>
      </c>
      <c r="Z707" s="22">
        <v>0</v>
      </c>
      <c r="AA707" s="20">
        <f t="shared" si="1344"/>
        <v>0</v>
      </c>
      <c r="AB707" s="27">
        <v>0</v>
      </c>
      <c r="AC707" s="27">
        <v>0</v>
      </c>
      <c r="AD707" s="23">
        <f t="shared" ref="AD707:AE707" si="1427">AD677</f>
        <v>30</v>
      </c>
      <c r="AE707" s="23">
        <f t="shared" si="1427"/>
        <v>34</v>
      </c>
    </row>
    <row r="708" spans="1:31">
      <c r="A708" s="4">
        <v>11203</v>
      </c>
      <c r="B708" s="4">
        <v>17</v>
      </c>
      <c r="C708" s="29" t="s">
        <v>72</v>
      </c>
      <c r="D708" s="46">
        <v>0</v>
      </c>
      <c r="E708" s="18">
        <f t="shared" si="1342"/>
        <v>512</v>
      </c>
      <c r="F708" s="28">
        <v>0</v>
      </c>
      <c r="G708" s="28">
        <v>0</v>
      </c>
      <c r="H708" s="47">
        <v>0</v>
      </c>
      <c r="I708" s="21">
        <f t="shared" si="1356"/>
        <v>275</v>
      </c>
      <c r="J708" s="21">
        <f t="shared" si="1309"/>
        <v>16</v>
      </c>
      <c r="K708" s="21">
        <v>0</v>
      </c>
      <c r="L708" s="20">
        <v>6</v>
      </c>
      <c r="M708" s="20">
        <v>0</v>
      </c>
      <c r="N708" s="20">
        <f t="shared" si="1357"/>
        <v>5100</v>
      </c>
      <c r="O708" s="19" t="s">
        <v>72</v>
      </c>
      <c r="P708" s="20">
        <v>2332</v>
      </c>
      <c r="Q708" s="20">
        <f t="shared" ref="Q708:X708" si="1428">Q678</f>
        <v>510</v>
      </c>
      <c r="R708" s="20">
        <f t="shared" si="1428"/>
        <v>2040</v>
      </c>
      <c r="S708" s="20">
        <f t="shared" si="1428"/>
        <v>3570</v>
      </c>
      <c r="T708" s="20">
        <f t="shared" si="1428"/>
        <v>4590</v>
      </c>
      <c r="U708" s="20">
        <f t="shared" si="1428"/>
        <v>80</v>
      </c>
      <c r="V708" s="20">
        <f t="shared" si="1428"/>
        <v>800</v>
      </c>
      <c r="W708" s="20">
        <f t="shared" si="1428"/>
        <v>600</v>
      </c>
      <c r="X708" s="20">
        <f t="shared" si="1428"/>
        <v>5</v>
      </c>
      <c r="Y708" s="27">
        <v>0</v>
      </c>
      <c r="Z708" s="22">
        <v>0</v>
      </c>
      <c r="AA708" s="20">
        <f t="shared" si="1344"/>
        <v>0</v>
      </c>
      <c r="AB708" s="27">
        <v>0</v>
      </c>
      <c r="AC708" s="27">
        <v>0</v>
      </c>
      <c r="AD708" s="23">
        <f t="shared" ref="AD708:AE708" si="1429">AD678</f>
        <v>32</v>
      </c>
      <c r="AE708" s="23">
        <f t="shared" si="1429"/>
        <v>36</v>
      </c>
    </row>
    <row r="709" spans="1:31">
      <c r="A709" s="4">
        <v>11203</v>
      </c>
      <c r="B709" s="4">
        <v>18</v>
      </c>
      <c r="C709" s="29" t="s">
        <v>73</v>
      </c>
      <c r="D709" s="46">
        <v>0</v>
      </c>
      <c r="E709" s="18">
        <f t="shared" si="1342"/>
        <v>556</v>
      </c>
      <c r="F709" s="28">
        <v>0</v>
      </c>
      <c r="G709" s="28">
        <v>0</v>
      </c>
      <c r="H709" s="47">
        <v>0</v>
      </c>
      <c r="I709" s="21">
        <f t="shared" si="1356"/>
        <v>275</v>
      </c>
      <c r="J709" s="21">
        <f t="shared" si="1309"/>
        <v>17</v>
      </c>
      <c r="K709" s="21">
        <v>0</v>
      </c>
      <c r="L709" s="20">
        <v>6</v>
      </c>
      <c r="M709" s="20">
        <v>0</v>
      </c>
      <c r="N709" s="20">
        <f t="shared" si="1357"/>
        <v>5400</v>
      </c>
      <c r="O709" s="19" t="s">
        <v>73</v>
      </c>
      <c r="P709" s="20">
        <v>1487</v>
      </c>
      <c r="Q709" s="20">
        <f t="shared" ref="Q709:X709" si="1430">Q679</f>
        <v>540</v>
      </c>
      <c r="R709" s="20">
        <f t="shared" si="1430"/>
        <v>2160</v>
      </c>
      <c r="S709" s="20">
        <f t="shared" si="1430"/>
        <v>3779.9999999999995</v>
      </c>
      <c r="T709" s="20">
        <f t="shared" si="1430"/>
        <v>4860</v>
      </c>
      <c r="U709" s="20">
        <f t="shared" si="1430"/>
        <v>100</v>
      </c>
      <c r="V709" s="20">
        <f t="shared" si="1430"/>
        <v>600</v>
      </c>
      <c r="W709" s="20">
        <f t="shared" si="1430"/>
        <v>300</v>
      </c>
      <c r="X709" s="20">
        <f t="shared" si="1430"/>
        <v>5</v>
      </c>
      <c r="Y709" s="27">
        <v>0</v>
      </c>
      <c r="Z709" s="22">
        <v>0</v>
      </c>
      <c r="AA709" s="20">
        <f t="shared" si="1344"/>
        <v>101</v>
      </c>
      <c r="AB709" s="27">
        <v>0</v>
      </c>
      <c r="AC709" s="27">
        <v>0</v>
      </c>
      <c r="AD709" s="23">
        <f t="shared" ref="AD709:AE709" si="1431">AD679</f>
        <v>34</v>
      </c>
      <c r="AE709" s="23">
        <f t="shared" si="1431"/>
        <v>38</v>
      </c>
    </row>
    <row r="710" spans="1:31">
      <c r="A710" s="4">
        <v>11203</v>
      </c>
      <c r="B710" s="4">
        <v>19</v>
      </c>
      <c r="C710" s="29" t="s">
        <v>74</v>
      </c>
      <c r="D710" s="46">
        <v>0</v>
      </c>
      <c r="E710" s="18">
        <f t="shared" si="1342"/>
        <v>602</v>
      </c>
      <c r="F710" s="28">
        <v>0</v>
      </c>
      <c r="G710" s="28">
        <v>0</v>
      </c>
      <c r="H710" s="47">
        <v>0</v>
      </c>
      <c r="I710" s="21">
        <f t="shared" si="1356"/>
        <v>275</v>
      </c>
      <c r="J710" s="21">
        <f t="shared" si="1309"/>
        <v>18</v>
      </c>
      <c r="K710" s="21">
        <v>0</v>
      </c>
      <c r="L710" s="20">
        <v>6</v>
      </c>
      <c r="M710" s="20">
        <v>0</v>
      </c>
      <c r="N710" s="20">
        <f t="shared" si="1357"/>
        <v>5700</v>
      </c>
      <c r="O710" s="19" t="s">
        <v>74</v>
      </c>
      <c r="P710" s="20">
        <v>1518</v>
      </c>
      <c r="Q710" s="20">
        <f t="shared" ref="Q710:X710" si="1432">Q680</f>
        <v>570</v>
      </c>
      <c r="R710" s="20">
        <f t="shared" si="1432"/>
        <v>2280</v>
      </c>
      <c r="S710" s="20">
        <f t="shared" si="1432"/>
        <v>3989.9999999999995</v>
      </c>
      <c r="T710" s="20">
        <f t="shared" si="1432"/>
        <v>5130</v>
      </c>
      <c r="U710" s="20">
        <f t="shared" si="1432"/>
        <v>100</v>
      </c>
      <c r="V710" s="20">
        <f t="shared" si="1432"/>
        <v>500</v>
      </c>
      <c r="W710" s="20">
        <f t="shared" si="1432"/>
        <v>400</v>
      </c>
      <c r="X710" s="20">
        <f t="shared" si="1432"/>
        <v>5</v>
      </c>
      <c r="Y710" s="27">
        <v>0</v>
      </c>
      <c r="Z710" s="22">
        <v>0</v>
      </c>
      <c r="AA710" s="20">
        <f t="shared" si="1344"/>
        <v>0</v>
      </c>
      <c r="AB710" s="27">
        <v>0</v>
      </c>
      <c r="AC710" s="27">
        <v>0</v>
      </c>
      <c r="AD710" s="23">
        <f t="shared" ref="AD710:AE710" si="1433">AD680</f>
        <v>36</v>
      </c>
      <c r="AE710" s="23">
        <f t="shared" si="1433"/>
        <v>40</v>
      </c>
    </row>
    <row r="711" spans="1:31">
      <c r="A711" s="4">
        <v>11203</v>
      </c>
      <c r="B711" s="4">
        <v>20</v>
      </c>
      <c r="C711" s="29" t="s">
        <v>75</v>
      </c>
      <c r="D711" s="46">
        <v>0</v>
      </c>
      <c r="E711" s="18">
        <f t="shared" si="1342"/>
        <v>650</v>
      </c>
      <c r="F711" s="28">
        <v>0</v>
      </c>
      <c r="G711" s="28">
        <v>0</v>
      </c>
      <c r="H711" s="47">
        <v>0</v>
      </c>
      <c r="I711" s="21">
        <f t="shared" si="1356"/>
        <v>275</v>
      </c>
      <c r="J711" s="21">
        <f t="shared" si="1309"/>
        <v>19</v>
      </c>
      <c r="K711" s="21">
        <v>0</v>
      </c>
      <c r="L711" s="20">
        <v>6</v>
      </c>
      <c r="M711" s="20">
        <v>0</v>
      </c>
      <c r="N711" s="20">
        <f t="shared" si="1357"/>
        <v>8000</v>
      </c>
      <c r="O711" s="19" t="s">
        <v>75</v>
      </c>
      <c r="P711" s="20">
        <v>861</v>
      </c>
      <c r="Q711" s="20">
        <f t="shared" ref="Q711:X711" si="1434">Q681</f>
        <v>800</v>
      </c>
      <c r="R711" s="20">
        <f t="shared" si="1434"/>
        <v>3200</v>
      </c>
      <c r="S711" s="20">
        <f t="shared" si="1434"/>
        <v>5600</v>
      </c>
      <c r="T711" s="20">
        <f t="shared" si="1434"/>
        <v>7200</v>
      </c>
      <c r="U711" s="20">
        <f t="shared" si="1434"/>
        <v>100</v>
      </c>
      <c r="V711" s="20">
        <f t="shared" si="1434"/>
        <v>800</v>
      </c>
      <c r="W711" s="20">
        <f t="shared" si="1434"/>
        <v>8000</v>
      </c>
      <c r="X711" s="20">
        <f t="shared" si="1434"/>
        <v>5</v>
      </c>
      <c r="Y711" s="27">
        <v>0</v>
      </c>
      <c r="Z711" s="22">
        <v>0</v>
      </c>
      <c r="AA711" s="20">
        <f t="shared" si="1344"/>
        <v>0</v>
      </c>
      <c r="AB711" s="27">
        <v>0</v>
      </c>
      <c r="AC711" s="27">
        <v>0</v>
      </c>
      <c r="AD711" s="23">
        <f t="shared" ref="AD711:AE711" si="1435">AD681</f>
        <v>38</v>
      </c>
      <c r="AE711" s="23">
        <f t="shared" si="1435"/>
        <v>42</v>
      </c>
    </row>
    <row r="712" spans="1:31">
      <c r="A712" s="4">
        <v>11203</v>
      </c>
      <c r="B712" s="4">
        <v>21</v>
      </c>
      <c r="C712" s="29" t="s">
        <v>66</v>
      </c>
      <c r="D712" s="46">
        <v>0</v>
      </c>
      <c r="E712" s="18">
        <f t="shared" si="1342"/>
        <v>704</v>
      </c>
      <c r="F712" s="28">
        <v>0</v>
      </c>
      <c r="G712" s="28">
        <v>0</v>
      </c>
      <c r="H712" s="47">
        <v>0</v>
      </c>
      <c r="I712" s="21">
        <f t="shared" si="1356"/>
        <v>330</v>
      </c>
      <c r="J712" s="21">
        <f t="shared" si="1309"/>
        <v>20</v>
      </c>
      <c r="K712" s="21">
        <v>0</v>
      </c>
      <c r="L712" s="20">
        <v>6</v>
      </c>
      <c r="M712" s="20">
        <v>0</v>
      </c>
      <c r="N712" s="20">
        <f t="shared" si="1357"/>
        <v>8400</v>
      </c>
      <c r="O712" s="19" t="s">
        <v>66</v>
      </c>
      <c r="P712" s="20">
        <v>9400</v>
      </c>
      <c r="Q712" s="20">
        <f t="shared" ref="Q712:X712" si="1436">Q682</f>
        <v>840</v>
      </c>
      <c r="R712" s="20">
        <f t="shared" si="1436"/>
        <v>3360</v>
      </c>
      <c r="S712" s="20">
        <f t="shared" si="1436"/>
        <v>5880</v>
      </c>
      <c r="T712" s="20">
        <f t="shared" si="1436"/>
        <v>7560</v>
      </c>
      <c r="U712" s="20">
        <f t="shared" si="1436"/>
        <v>50</v>
      </c>
      <c r="V712" s="20">
        <f t="shared" si="1436"/>
        <v>1000</v>
      </c>
      <c r="W712" s="20">
        <f t="shared" si="1436"/>
        <v>600</v>
      </c>
      <c r="X712" s="20">
        <f t="shared" si="1436"/>
        <v>6</v>
      </c>
      <c r="Y712" s="27">
        <v>0</v>
      </c>
      <c r="Z712" s="22">
        <v>0</v>
      </c>
      <c r="AA712" s="20">
        <f t="shared" si="1344"/>
        <v>0</v>
      </c>
      <c r="AB712" s="27">
        <v>0</v>
      </c>
      <c r="AC712" s="27">
        <v>0</v>
      </c>
      <c r="AD712" s="23">
        <f t="shared" ref="AD712:AE712" si="1437">AD682</f>
        <v>40</v>
      </c>
      <c r="AE712" s="23">
        <f t="shared" si="1437"/>
        <v>44</v>
      </c>
    </row>
    <row r="713" spans="1:31">
      <c r="A713" s="4">
        <v>11203</v>
      </c>
      <c r="B713" s="4">
        <v>22</v>
      </c>
      <c r="C713" s="29" t="s">
        <v>67</v>
      </c>
      <c r="D713" s="46">
        <v>0</v>
      </c>
      <c r="E713" s="18">
        <f t="shared" si="1342"/>
        <v>762</v>
      </c>
      <c r="F713" s="28">
        <v>0</v>
      </c>
      <c r="G713" s="28">
        <v>0</v>
      </c>
      <c r="H713" s="47">
        <v>0</v>
      </c>
      <c r="I713" s="21">
        <f t="shared" si="1356"/>
        <v>330</v>
      </c>
      <c r="J713" s="21">
        <f t="shared" si="1309"/>
        <v>21</v>
      </c>
      <c r="K713" s="21">
        <v>0</v>
      </c>
      <c r="L713" s="20">
        <v>6</v>
      </c>
      <c r="M713" s="20">
        <v>0</v>
      </c>
      <c r="N713" s="20">
        <f t="shared" si="1357"/>
        <v>8800</v>
      </c>
      <c r="O713" s="19" t="s">
        <v>67</v>
      </c>
      <c r="P713" s="20">
        <v>9100</v>
      </c>
      <c r="Q713" s="20">
        <f t="shared" ref="Q713:X713" si="1438">Q683</f>
        <v>880</v>
      </c>
      <c r="R713" s="20">
        <f t="shared" si="1438"/>
        <v>3520</v>
      </c>
      <c r="S713" s="20">
        <f t="shared" si="1438"/>
        <v>6160</v>
      </c>
      <c r="T713" s="20">
        <f t="shared" si="1438"/>
        <v>7920</v>
      </c>
      <c r="U713" s="20">
        <f t="shared" si="1438"/>
        <v>100</v>
      </c>
      <c r="V713" s="20">
        <f t="shared" si="1438"/>
        <v>600</v>
      </c>
      <c r="W713" s="20">
        <f t="shared" si="1438"/>
        <v>700</v>
      </c>
      <c r="X713" s="20">
        <f t="shared" si="1438"/>
        <v>6</v>
      </c>
      <c r="Y713" s="27">
        <v>0</v>
      </c>
      <c r="Z713" s="22">
        <v>0</v>
      </c>
      <c r="AA713" s="20">
        <f t="shared" si="1344"/>
        <v>0</v>
      </c>
      <c r="AB713" s="27">
        <v>0</v>
      </c>
      <c r="AC713" s="27">
        <v>0</v>
      </c>
      <c r="AD713" s="23">
        <f t="shared" ref="AD713:AE713" si="1439">AD683</f>
        <v>42</v>
      </c>
      <c r="AE713" s="23">
        <f t="shared" si="1439"/>
        <v>46</v>
      </c>
    </row>
    <row r="714" spans="1:31">
      <c r="A714" s="4">
        <v>11203</v>
      </c>
      <c r="B714" s="4">
        <v>23</v>
      </c>
      <c r="C714" s="29" t="s">
        <v>68</v>
      </c>
      <c r="D714" s="46">
        <v>0</v>
      </c>
      <c r="E714" s="18">
        <f t="shared" si="1342"/>
        <v>826</v>
      </c>
      <c r="F714" s="28">
        <v>0</v>
      </c>
      <c r="G714" s="28">
        <v>0</v>
      </c>
      <c r="H714" s="47">
        <v>0</v>
      </c>
      <c r="I714" s="21">
        <f t="shared" si="1356"/>
        <v>330</v>
      </c>
      <c r="J714" s="21">
        <f t="shared" si="1309"/>
        <v>22</v>
      </c>
      <c r="K714" s="21">
        <v>0</v>
      </c>
      <c r="L714" s="20">
        <v>6</v>
      </c>
      <c r="M714" s="20">
        <v>0</v>
      </c>
      <c r="N714" s="20">
        <f t="shared" si="1357"/>
        <v>9200</v>
      </c>
      <c r="O714" s="19" t="s">
        <v>68</v>
      </c>
      <c r="P714" s="20">
        <v>8600</v>
      </c>
      <c r="Q714" s="20">
        <f t="shared" ref="Q714:X714" si="1440">Q684</f>
        <v>920</v>
      </c>
      <c r="R714" s="20">
        <f t="shared" si="1440"/>
        <v>3680</v>
      </c>
      <c r="S714" s="20">
        <f t="shared" si="1440"/>
        <v>6440</v>
      </c>
      <c r="T714" s="20">
        <f t="shared" si="1440"/>
        <v>8280</v>
      </c>
      <c r="U714" s="20">
        <f t="shared" si="1440"/>
        <v>100</v>
      </c>
      <c r="V714" s="20">
        <f t="shared" si="1440"/>
        <v>550</v>
      </c>
      <c r="W714" s="20">
        <f t="shared" si="1440"/>
        <v>500</v>
      </c>
      <c r="X714" s="20">
        <f t="shared" si="1440"/>
        <v>6</v>
      </c>
      <c r="Y714" s="27">
        <v>0</v>
      </c>
      <c r="Z714" s="22">
        <v>0</v>
      </c>
      <c r="AA714" s="20">
        <f t="shared" si="1344"/>
        <v>135</v>
      </c>
      <c r="AB714" s="27">
        <v>0</v>
      </c>
      <c r="AC714" s="27">
        <v>0</v>
      </c>
      <c r="AD714" s="23">
        <f t="shared" ref="AD714:AE714" si="1441">AD684</f>
        <v>44</v>
      </c>
      <c r="AE714" s="23">
        <f t="shared" si="1441"/>
        <v>48</v>
      </c>
    </row>
    <row r="715" spans="1:31">
      <c r="A715" s="4">
        <v>11203</v>
      </c>
      <c r="B715" s="4">
        <v>24</v>
      </c>
      <c r="C715" s="29" t="s">
        <v>69</v>
      </c>
      <c r="D715" s="46">
        <v>0</v>
      </c>
      <c r="E715" s="18">
        <f t="shared" si="1342"/>
        <v>894</v>
      </c>
      <c r="F715" s="28">
        <v>0</v>
      </c>
      <c r="G715" s="28">
        <v>0</v>
      </c>
      <c r="H715" s="47">
        <v>0</v>
      </c>
      <c r="I715" s="21">
        <f t="shared" si="1356"/>
        <v>330</v>
      </c>
      <c r="J715" s="21">
        <f t="shared" ref="J715:J778" si="1442">B715-1</f>
        <v>23</v>
      </c>
      <c r="K715" s="21">
        <v>0</v>
      </c>
      <c r="L715" s="20">
        <v>6</v>
      </c>
      <c r="M715" s="20">
        <v>0</v>
      </c>
      <c r="N715" s="20">
        <f t="shared" si="1357"/>
        <v>9600</v>
      </c>
      <c r="O715" s="19" t="s">
        <v>69</v>
      </c>
      <c r="P715" s="20">
        <v>6400</v>
      </c>
      <c r="Q715" s="20">
        <f t="shared" ref="Q715:X715" si="1443">Q685</f>
        <v>960</v>
      </c>
      <c r="R715" s="20">
        <f t="shared" si="1443"/>
        <v>3840</v>
      </c>
      <c r="S715" s="20">
        <f t="shared" si="1443"/>
        <v>6720</v>
      </c>
      <c r="T715" s="20">
        <f t="shared" si="1443"/>
        <v>8640</v>
      </c>
      <c r="U715" s="20">
        <f t="shared" si="1443"/>
        <v>100</v>
      </c>
      <c r="V715" s="20">
        <f t="shared" si="1443"/>
        <v>500</v>
      </c>
      <c r="W715" s="20">
        <f t="shared" si="1443"/>
        <v>900</v>
      </c>
      <c r="X715" s="20">
        <f t="shared" si="1443"/>
        <v>6</v>
      </c>
      <c r="Y715" s="27">
        <v>0</v>
      </c>
      <c r="Z715" s="22">
        <v>0</v>
      </c>
      <c r="AA715" s="20">
        <f t="shared" si="1344"/>
        <v>0</v>
      </c>
      <c r="AB715" s="27">
        <v>0</v>
      </c>
      <c r="AC715" s="27">
        <v>0</v>
      </c>
      <c r="AD715" s="23">
        <f t="shared" ref="AD715:AE715" si="1444">AD685</f>
        <v>46</v>
      </c>
      <c r="AE715" s="23">
        <f t="shared" si="1444"/>
        <v>50</v>
      </c>
    </row>
    <row r="716" spans="1:31">
      <c r="A716" s="8">
        <v>11203</v>
      </c>
      <c r="B716" s="8">
        <v>25</v>
      </c>
      <c r="C716" s="29" t="s">
        <v>70</v>
      </c>
      <c r="D716" s="46">
        <v>0</v>
      </c>
      <c r="E716" s="18">
        <f t="shared" si="1342"/>
        <v>968</v>
      </c>
      <c r="F716" s="28">
        <v>0</v>
      </c>
      <c r="G716" s="28">
        <v>0</v>
      </c>
      <c r="H716" s="47">
        <v>0</v>
      </c>
      <c r="I716" s="21">
        <f t="shared" si="1356"/>
        <v>385</v>
      </c>
      <c r="J716" s="21">
        <f t="shared" si="1442"/>
        <v>24</v>
      </c>
      <c r="K716" s="21">
        <v>0</v>
      </c>
      <c r="L716" s="20">
        <v>6</v>
      </c>
      <c r="M716" s="20">
        <v>0</v>
      </c>
      <c r="N716" s="20">
        <f t="shared" si="1357"/>
        <v>12500</v>
      </c>
      <c r="O716" s="19" t="s">
        <v>70</v>
      </c>
      <c r="P716" s="20">
        <v>3100</v>
      </c>
      <c r="Q716" s="20">
        <f t="shared" ref="Q716:X716" si="1445">Q686</f>
        <v>1250</v>
      </c>
      <c r="R716" s="20">
        <f t="shared" si="1445"/>
        <v>5000</v>
      </c>
      <c r="S716" s="20">
        <f t="shared" si="1445"/>
        <v>8750</v>
      </c>
      <c r="T716" s="20">
        <f t="shared" si="1445"/>
        <v>11250</v>
      </c>
      <c r="U716" s="20">
        <f t="shared" si="1445"/>
        <v>10</v>
      </c>
      <c r="V716" s="20">
        <f t="shared" si="1445"/>
        <v>1300</v>
      </c>
      <c r="W716" s="20">
        <f t="shared" si="1445"/>
        <v>1000</v>
      </c>
      <c r="X716" s="20">
        <f t="shared" si="1445"/>
        <v>7</v>
      </c>
      <c r="Y716" s="27">
        <v>0</v>
      </c>
      <c r="Z716" s="22">
        <v>0</v>
      </c>
      <c r="AA716" s="20">
        <f t="shared" si="1344"/>
        <v>0</v>
      </c>
      <c r="AB716" s="27">
        <v>0</v>
      </c>
      <c r="AC716" s="27">
        <v>0</v>
      </c>
      <c r="AD716" s="23">
        <f t="shared" ref="AD716:AE716" si="1446">AD686</f>
        <v>48</v>
      </c>
      <c r="AE716" s="23">
        <f t="shared" si="1446"/>
        <v>52</v>
      </c>
    </row>
    <row r="717" spans="1:31">
      <c r="A717" s="4">
        <v>11203</v>
      </c>
      <c r="B717" s="4">
        <v>26</v>
      </c>
      <c r="C717" s="29" t="s">
        <v>71</v>
      </c>
      <c r="D717" s="46">
        <v>0</v>
      </c>
      <c r="E717" s="18">
        <f t="shared" si="1342"/>
        <v>1048</v>
      </c>
      <c r="F717" s="28">
        <v>0</v>
      </c>
      <c r="G717" s="28">
        <v>0</v>
      </c>
      <c r="H717" s="47">
        <v>0</v>
      </c>
      <c r="I717" s="21">
        <f t="shared" si="1356"/>
        <v>385</v>
      </c>
      <c r="J717" s="21">
        <f t="shared" si="1442"/>
        <v>25</v>
      </c>
      <c r="K717" s="21">
        <v>0</v>
      </c>
      <c r="L717" s="20">
        <v>6</v>
      </c>
      <c r="M717" s="20">
        <v>0</v>
      </c>
      <c r="N717" s="20">
        <f t="shared" si="1357"/>
        <v>13000</v>
      </c>
      <c r="O717" s="19" t="s">
        <v>71</v>
      </c>
      <c r="P717" s="20">
        <v>1777</v>
      </c>
      <c r="Q717" s="20">
        <f t="shared" ref="Q717:X717" si="1447">Q687</f>
        <v>1300</v>
      </c>
      <c r="R717" s="20">
        <f t="shared" si="1447"/>
        <v>5200</v>
      </c>
      <c r="S717" s="20">
        <f t="shared" si="1447"/>
        <v>9100</v>
      </c>
      <c r="T717" s="20">
        <f t="shared" si="1447"/>
        <v>11700</v>
      </c>
      <c r="U717" s="20">
        <f t="shared" si="1447"/>
        <v>90</v>
      </c>
      <c r="V717" s="20">
        <f t="shared" si="1447"/>
        <v>800</v>
      </c>
      <c r="W717" s="20">
        <f t="shared" si="1447"/>
        <v>2000</v>
      </c>
      <c r="X717" s="20">
        <f t="shared" si="1447"/>
        <v>7</v>
      </c>
      <c r="Y717" s="27">
        <v>0</v>
      </c>
      <c r="Z717" s="22">
        <v>0</v>
      </c>
      <c r="AA717" s="20">
        <f t="shared" si="1344"/>
        <v>0</v>
      </c>
      <c r="AB717" s="27">
        <v>0</v>
      </c>
      <c r="AC717" s="27">
        <v>0</v>
      </c>
      <c r="AD717" s="23">
        <f t="shared" ref="AD717:AE717" si="1448">AD687</f>
        <v>50</v>
      </c>
      <c r="AE717" s="23">
        <f t="shared" si="1448"/>
        <v>54</v>
      </c>
    </row>
    <row r="718" spans="1:31">
      <c r="A718" s="4">
        <v>11203</v>
      </c>
      <c r="B718" s="4">
        <v>27</v>
      </c>
      <c r="C718" s="29" t="s">
        <v>72</v>
      </c>
      <c r="D718" s="46">
        <v>0</v>
      </c>
      <c r="E718" s="18">
        <f t="shared" si="1342"/>
        <v>1134</v>
      </c>
      <c r="F718" s="28">
        <v>0</v>
      </c>
      <c r="G718" s="28">
        <v>0</v>
      </c>
      <c r="H718" s="47">
        <v>0</v>
      </c>
      <c r="I718" s="21">
        <f t="shared" si="1356"/>
        <v>385</v>
      </c>
      <c r="J718" s="21">
        <f t="shared" si="1442"/>
        <v>26</v>
      </c>
      <c r="K718" s="21">
        <v>0</v>
      </c>
      <c r="L718" s="20">
        <v>6</v>
      </c>
      <c r="M718" s="20">
        <v>0</v>
      </c>
      <c r="N718" s="20">
        <f t="shared" si="1357"/>
        <v>13500</v>
      </c>
      <c r="O718" s="19" t="s">
        <v>72</v>
      </c>
      <c r="P718" s="20">
        <v>2332</v>
      </c>
      <c r="Q718" s="20">
        <f t="shared" ref="Q718:X718" si="1449">Q688</f>
        <v>1350</v>
      </c>
      <c r="R718" s="20">
        <f t="shared" si="1449"/>
        <v>5400</v>
      </c>
      <c r="S718" s="20">
        <f t="shared" si="1449"/>
        <v>9450</v>
      </c>
      <c r="T718" s="20">
        <f t="shared" si="1449"/>
        <v>12150</v>
      </c>
      <c r="U718" s="20">
        <f t="shared" si="1449"/>
        <v>80</v>
      </c>
      <c r="V718" s="20">
        <f t="shared" si="1449"/>
        <v>700</v>
      </c>
      <c r="W718" s="20">
        <f t="shared" si="1449"/>
        <v>800</v>
      </c>
      <c r="X718" s="20">
        <f t="shared" si="1449"/>
        <v>7</v>
      </c>
      <c r="Y718" s="27">
        <v>0</v>
      </c>
      <c r="Z718" s="22">
        <v>0</v>
      </c>
      <c r="AA718" s="20">
        <f t="shared" si="1344"/>
        <v>0</v>
      </c>
      <c r="AB718" s="27">
        <v>0</v>
      </c>
      <c r="AC718" s="27">
        <v>0</v>
      </c>
      <c r="AD718" s="23">
        <f t="shared" ref="AD718:AE718" si="1450">AD688</f>
        <v>52</v>
      </c>
      <c r="AE718" s="23">
        <f t="shared" si="1450"/>
        <v>56</v>
      </c>
    </row>
    <row r="719" spans="1:31">
      <c r="A719" s="4">
        <v>11203</v>
      </c>
      <c r="B719" s="4">
        <v>28</v>
      </c>
      <c r="C719" s="29" t="s">
        <v>73</v>
      </c>
      <c r="D719" s="46">
        <v>0</v>
      </c>
      <c r="E719" s="18">
        <f t="shared" si="1342"/>
        <v>1228</v>
      </c>
      <c r="F719" s="28">
        <v>0</v>
      </c>
      <c r="G719" s="28">
        <v>0</v>
      </c>
      <c r="H719" s="47">
        <v>0</v>
      </c>
      <c r="I719" s="21">
        <f t="shared" si="1356"/>
        <v>385</v>
      </c>
      <c r="J719" s="21">
        <f t="shared" si="1442"/>
        <v>27</v>
      </c>
      <c r="K719" s="21">
        <v>0</v>
      </c>
      <c r="L719" s="20">
        <v>6</v>
      </c>
      <c r="M719" s="20">
        <v>0</v>
      </c>
      <c r="N719" s="20">
        <f t="shared" si="1357"/>
        <v>14000</v>
      </c>
      <c r="O719" s="19" t="s">
        <v>73</v>
      </c>
      <c r="P719" s="20">
        <v>1487</v>
      </c>
      <c r="Q719" s="20">
        <f t="shared" ref="Q719:X719" si="1451">Q689</f>
        <v>1400</v>
      </c>
      <c r="R719" s="20">
        <f t="shared" si="1451"/>
        <v>5600</v>
      </c>
      <c r="S719" s="20">
        <f t="shared" si="1451"/>
        <v>9800</v>
      </c>
      <c r="T719" s="20">
        <f t="shared" si="1451"/>
        <v>12600</v>
      </c>
      <c r="U719" s="20">
        <f t="shared" si="1451"/>
        <v>80</v>
      </c>
      <c r="V719" s="20">
        <f t="shared" si="1451"/>
        <v>500</v>
      </c>
      <c r="W719" s="20">
        <f t="shared" si="1451"/>
        <v>600</v>
      </c>
      <c r="X719" s="20">
        <f t="shared" si="1451"/>
        <v>7</v>
      </c>
      <c r="Y719" s="27">
        <v>0</v>
      </c>
      <c r="Z719" s="22">
        <v>0</v>
      </c>
      <c r="AA719" s="20">
        <f t="shared" si="1344"/>
        <v>170</v>
      </c>
      <c r="AB719" s="27">
        <v>0</v>
      </c>
      <c r="AC719" s="27">
        <v>0</v>
      </c>
      <c r="AD719" s="23">
        <f t="shared" ref="AD719:AE719" si="1452">AD689</f>
        <v>54</v>
      </c>
      <c r="AE719" s="23">
        <f t="shared" si="1452"/>
        <v>58</v>
      </c>
    </row>
    <row r="720" spans="1:31">
      <c r="A720" s="4">
        <v>11203</v>
      </c>
      <c r="B720" s="4">
        <v>29</v>
      </c>
      <c r="C720" s="29" t="s">
        <v>74</v>
      </c>
      <c r="D720" s="46">
        <v>0</v>
      </c>
      <c r="E720" s="18">
        <f t="shared" si="1342"/>
        <v>1330</v>
      </c>
      <c r="F720" s="28">
        <v>0</v>
      </c>
      <c r="G720" s="28">
        <v>0</v>
      </c>
      <c r="H720" s="47">
        <v>0</v>
      </c>
      <c r="I720" s="21">
        <f t="shared" si="1356"/>
        <v>440</v>
      </c>
      <c r="J720" s="21">
        <f t="shared" si="1442"/>
        <v>28</v>
      </c>
      <c r="K720" s="21">
        <v>0</v>
      </c>
      <c r="L720" s="20">
        <v>6</v>
      </c>
      <c r="M720" s="20">
        <v>0</v>
      </c>
      <c r="N720" s="20">
        <f t="shared" si="1357"/>
        <v>14500</v>
      </c>
      <c r="O720" s="19" t="s">
        <v>74</v>
      </c>
      <c r="P720" s="20">
        <v>1518</v>
      </c>
      <c r="Q720" s="20">
        <f t="shared" ref="Q720:X720" si="1453">Q690</f>
        <v>1450</v>
      </c>
      <c r="R720" s="20">
        <f t="shared" si="1453"/>
        <v>5800</v>
      </c>
      <c r="S720" s="20">
        <f t="shared" si="1453"/>
        <v>10150</v>
      </c>
      <c r="T720" s="20">
        <f t="shared" si="1453"/>
        <v>13050</v>
      </c>
      <c r="U720" s="20">
        <f t="shared" si="1453"/>
        <v>80</v>
      </c>
      <c r="V720" s="20">
        <f t="shared" si="1453"/>
        <v>600</v>
      </c>
      <c r="W720" s="20">
        <f t="shared" si="1453"/>
        <v>700</v>
      </c>
      <c r="X720" s="20">
        <f t="shared" si="1453"/>
        <v>8</v>
      </c>
      <c r="Y720" s="27">
        <v>0</v>
      </c>
      <c r="Z720" s="22">
        <v>0</v>
      </c>
      <c r="AA720" s="20">
        <f t="shared" si="1344"/>
        <v>0</v>
      </c>
      <c r="AB720" s="27">
        <v>0</v>
      </c>
      <c r="AC720" s="27">
        <v>0</v>
      </c>
      <c r="AD720" s="23">
        <f t="shared" ref="AD720:AE720" si="1454">AD690</f>
        <v>56</v>
      </c>
      <c r="AE720" s="23">
        <f t="shared" si="1454"/>
        <v>60</v>
      </c>
    </row>
    <row r="721" spans="1:31">
      <c r="A721" s="4">
        <v>11203</v>
      </c>
      <c r="B721" s="4">
        <v>30</v>
      </c>
      <c r="C721" s="29" t="s">
        <v>75</v>
      </c>
      <c r="D721" s="46">
        <v>0</v>
      </c>
      <c r="E721" s="18">
        <f t="shared" si="1342"/>
        <v>1440</v>
      </c>
      <c r="F721" s="28">
        <v>0</v>
      </c>
      <c r="G721" s="28">
        <v>0</v>
      </c>
      <c r="H721" s="47">
        <v>0</v>
      </c>
      <c r="I721" s="21">
        <f t="shared" si="1356"/>
        <v>440</v>
      </c>
      <c r="J721" s="21">
        <f t="shared" si="1442"/>
        <v>29</v>
      </c>
      <c r="K721" s="21">
        <v>0</v>
      </c>
      <c r="L721" s="20">
        <v>6</v>
      </c>
      <c r="M721" s="20">
        <v>0</v>
      </c>
      <c r="N721" s="20">
        <f t="shared" si="1357"/>
        <v>15000</v>
      </c>
      <c r="O721" s="19" t="s">
        <v>75</v>
      </c>
      <c r="P721" s="20">
        <v>861</v>
      </c>
      <c r="Q721" s="20">
        <f t="shared" ref="Q721:X721" si="1455">Q691</f>
        <v>1500</v>
      </c>
      <c r="R721" s="20">
        <f t="shared" si="1455"/>
        <v>6000</v>
      </c>
      <c r="S721" s="20">
        <f t="shared" si="1455"/>
        <v>10500</v>
      </c>
      <c r="T721" s="20">
        <f t="shared" si="1455"/>
        <v>13500</v>
      </c>
      <c r="U721" s="20">
        <f t="shared" si="1455"/>
        <v>20</v>
      </c>
      <c r="V721" s="20">
        <f t="shared" si="1455"/>
        <v>450</v>
      </c>
      <c r="W721" s="20">
        <f t="shared" si="1455"/>
        <v>1000</v>
      </c>
      <c r="X721" s="20">
        <f t="shared" si="1455"/>
        <v>8</v>
      </c>
      <c r="Y721" s="27">
        <v>0</v>
      </c>
      <c r="Z721" s="22">
        <v>0</v>
      </c>
      <c r="AA721" s="20">
        <f t="shared" si="1344"/>
        <v>0</v>
      </c>
      <c r="AB721" s="27">
        <v>0</v>
      </c>
      <c r="AC721" s="27">
        <v>0</v>
      </c>
      <c r="AD721" s="23">
        <f t="shared" ref="AD721:AE721" si="1456">AD691</f>
        <v>58</v>
      </c>
      <c r="AE721" s="23">
        <f t="shared" si="1456"/>
        <v>62</v>
      </c>
    </row>
    <row r="722" spans="1:31">
      <c r="A722" s="4">
        <v>11204</v>
      </c>
      <c r="B722" s="4">
        <v>1</v>
      </c>
      <c r="C722" s="19" t="s">
        <v>66</v>
      </c>
      <c r="D722" s="44">
        <v>0</v>
      </c>
      <c r="E722" s="18">
        <f t="shared" si="1342"/>
        <v>162</v>
      </c>
      <c r="F722" s="18">
        <v>0</v>
      </c>
      <c r="G722" s="18">
        <v>0</v>
      </c>
      <c r="H722" s="45">
        <v>0</v>
      </c>
      <c r="I722" s="21">
        <f t="shared" si="1356"/>
        <v>55</v>
      </c>
      <c r="J722" s="21">
        <f t="shared" si="1442"/>
        <v>0</v>
      </c>
      <c r="K722" s="21">
        <v>0</v>
      </c>
      <c r="L722" s="20">
        <v>45</v>
      </c>
      <c r="M722" s="20">
        <v>0</v>
      </c>
      <c r="N722" s="20">
        <f t="shared" si="1357"/>
        <v>10</v>
      </c>
      <c r="O722" s="19" t="s">
        <v>66</v>
      </c>
      <c r="P722" s="20">
        <v>9400</v>
      </c>
      <c r="Q722" s="20">
        <f t="shared" ref="Q722:X722" si="1457">Q692</f>
        <v>1</v>
      </c>
      <c r="R722" s="20">
        <f t="shared" si="1457"/>
        <v>4</v>
      </c>
      <c r="S722" s="20">
        <f t="shared" si="1457"/>
        <v>7</v>
      </c>
      <c r="T722" s="20">
        <f t="shared" si="1457"/>
        <v>9</v>
      </c>
      <c r="U722" s="20">
        <f t="shared" si="1457"/>
        <v>9400</v>
      </c>
      <c r="V722" s="20">
        <f t="shared" si="1457"/>
        <v>9400</v>
      </c>
      <c r="W722" s="20">
        <f t="shared" si="1457"/>
        <v>9400</v>
      </c>
      <c r="X722" s="20">
        <f t="shared" si="1457"/>
        <v>1</v>
      </c>
      <c r="Y722" s="20">
        <v>0</v>
      </c>
      <c r="Z722" s="22">
        <v>0</v>
      </c>
      <c r="AA722" s="20">
        <f t="shared" si="1344"/>
        <v>0</v>
      </c>
      <c r="AB722" s="20">
        <v>0</v>
      </c>
      <c r="AC722" s="20">
        <v>0</v>
      </c>
      <c r="AD722" s="23">
        <f t="shared" ref="AD722:AE722" si="1458">AD692</f>
        <v>1</v>
      </c>
      <c r="AE722" s="23">
        <f t="shared" si="1458"/>
        <v>3</v>
      </c>
    </row>
    <row r="723" spans="1:31">
      <c r="A723" s="4">
        <v>11204</v>
      </c>
      <c r="B723" s="4">
        <v>2</v>
      </c>
      <c r="C723" s="19" t="s">
        <v>67</v>
      </c>
      <c r="D723" s="44">
        <v>0</v>
      </c>
      <c r="E723" s="18">
        <f t="shared" si="1342"/>
        <v>176</v>
      </c>
      <c r="F723" s="18">
        <v>0</v>
      </c>
      <c r="G723" s="18">
        <v>0</v>
      </c>
      <c r="H723" s="45">
        <v>0</v>
      </c>
      <c r="I723" s="21">
        <f t="shared" si="1356"/>
        <v>55</v>
      </c>
      <c r="J723" s="21">
        <f t="shared" si="1442"/>
        <v>1</v>
      </c>
      <c r="K723" s="21">
        <v>0</v>
      </c>
      <c r="L723" s="20">
        <v>40</v>
      </c>
      <c r="M723" s="20">
        <v>0</v>
      </c>
      <c r="N723" s="20">
        <f t="shared" si="1357"/>
        <v>20</v>
      </c>
      <c r="O723" s="19" t="s">
        <v>67</v>
      </c>
      <c r="P723" s="20">
        <v>9100</v>
      </c>
      <c r="Q723" s="20">
        <f t="shared" ref="Q723:X723" si="1459">Q693</f>
        <v>2</v>
      </c>
      <c r="R723" s="20">
        <f t="shared" si="1459"/>
        <v>8</v>
      </c>
      <c r="S723" s="20">
        <f t="shared" si="1459"/>
        <v>14</v>
      </c>
      <c r="T723" s="20">
        <f t="shared" si="1459"/>
        <v>18</v>
      </c>
      <c r="U723" s="20">
        <f t="shared" si="1459"/>
        <v>4000</v>
      </c>
      <c r="V723" s="20">
        <f t="shared" si="1459"/>
        <v>8000</v>
      </c>
      <c r="W723" s="20">
        <f t="shared" si="1459"/>
        <v>8000</v>
      </c>
      <c r="X723" s="20">
        <f t="shared" si="1459"/>
        <v>1</v>
      </c>
      <c r="Y723" s="20">
        <v>0</v>
      </c>
      <c r="Z723" s="22">
        <v>0</v>
      </c>
      <c r="AA723" s="20">
        <f t="shared" si="1344"/>
        <v>0</v>
      </c>
      <c r="AB723" s="20">
        <v>0</v>
      </c>
      <c r="AC723" s="20">
        <v>0</v>
      </c>
      <c r="AD723" s="23">
        <f t="shared" ref="AD723:AE723" si="1460">AD693</f>
        <v>2</v>
      </c>
      <c r="AE723" s="23">
        <f t="shared" si="1460"/>
        <v>5</v>
      </c>
    </row>
    <row r="724" spans="1:31">
      <c r="A724" s="4">
        <v>11204</v>
      </c>
      <c r="B724" s="4">
        <v>3</v>
      </c>
      <c r="C724" s="19" t="s">
        <v>68</v>
      </c>
      <c r="D724" s="44">
        <v>0</v>
      </c>
      <c r="E724" s="18">
        <f t="shared" si="1342"/>
        <v>189</v>
      </c>
      <c r="F724" s="18">
        <v>0</v>
      </c>
      <c r="G724" s="18">
        <v>0</v>
      </c>
      <c r="H724" s="45">
        <v>0</v>
      </c>
      <c r="I724" s="21">
        <f t="shared" si="1356"/>
        <v>55</v>
      </c>
      <c r="J724" s="21">
        <f t="shared" si="1442"/>
        <v>2</v>
      </c>
      <c r="K724" s="21">
        <v>0</v>
      </c>
      <c r="L724" s="20">
        <v>35</v>
      </c>
      <c r="M724" s="20">
        <v>0</v>
      </c>
      <c r="N724" s="20">
        <f t="shared" si="1357"/>
        <v>40</v>
      </c>
      <c r="O724" s="19" t="s">
        <v>68</v>
      </c>
      <c r="P724" s="20">
        <v>8600</v>
      </c>
      <c r="Q724" s="20">
        <f t="shared" ref="Q724:X724" si="1461">Q694</f>
        <v>4</v>
      </c>
      <c r="R724" s="20">
        <f t="shared" si="1461"/>
        <v>16</v>
      </c>
      <c r="S724" s="20">
        <f t="shared" si="1461"/>
        <v>28</v>
      </c>
      <c r="T724" s="20">
        <f t="shared" si="1461"/>
        <v>36</v>
      </c>
      <c r="U724" s="20">
        <f t="shared" si="1461"/>
        <v>1600</v>
      </c>
      <c r="V724" s="20">
        <f t="shared" si="1461"/>
        <v>5000</v>
      </c>
      <c r="W724" s="20">
        <f t="shared" si="1461"/>
        <v>6000</v>
      </c>
      <c r="X724" s="20">
        <f t="shared" si="1461"/>
        <v>1</v>
      </c>
      <c r="Y724" s="20">
        <v>0</v>
      </c>
      <c r="Z724" s="22">
        <v>0</v>
      </c>
      <c r="AA724" s="20">
        <f t="shared" si="1344"/>
        <v>0</v>
      </c>
      <c r="AB724" s="20">
        <v>0</v>
      </c>
      <c r="AC724" s="20">
        <v>0</v>
      </c>
      <c r="AD724" s="23">
        <f t="shared" ref="AD724:AE724" si="1462">AD694</f>
        <v>4</v>
      </c>
      <c r="AE724" s="23">
        <f t="shared" si="1462"/>
        <v>8</v>
      </c>
    </row>
    <row r="725" spans="1:31">
      <c r="A725" s="4">
        <v>11204</v>
      </c>
      <c r="B725" s="4">
        <v>4</v>
      </c>
      <c r="C725" s="19" t="s">
        <v>69</v>
      </c>
      <c r="D725" s="44">
        <v>0</v>
      </c>
      <c r="E725" s="18">
        <f t="shared" si="1342"/>
        <v>205</v>
      </c>
      <c r="F725" s="18">
        <v>0</v>
      </c>
      <c r="G725" s="18">
        <v>0</v>
      </c>
      <c r="H725" s="45">
        <v>0</v>
      </c>
      <c r="I725" s="21">
        <f t="shared" si="1356"/>
        <v>55</v>
      </c>
      <c r="J725" s="21">
        <f t="shared" si="1442"/>
        <v>3</v>
      </c>
      <c r="K725" s="21">
        <v>0</v>
      </c>
      <c r="L725" s="20">
        <v>30</v>
      </c>
      <c r="M725" s="20">
        <v>0</v>
      </c>
      <c r="N725" s="20">
        <f t="shared" si="1357"/>
        <v>100</v>
      </c>
      <c r="O725" s="19" t="s">
        <v>69</v>
      </c>
      <c r="P725" s="20">
        <v>6400</v>
      </c>
      <c r="Q725" s="20">
        <f t="shared" ref="Q725:X725" si="1463">Q695</f>
        <v>10</v>
      </c>
      <c r="R725" s="20">
        <f t="shared" si="1463"/>
        <v>40</v>
      </c>
      <c r="S725" s="20">
        <f t="shared" si="1463"/>
        <v>70</v>
      </c>
      <c r="T725" s="20">
        <f t="shared" si="1463"/>
        <v>90</v>
      </c>
      <c r="U725" s="20">
        <f t="shared" si="1463"/>
        <v>900</v>
      </c>
      <c r="V725" s="20">
        <f t="shared" si="1463"/>
        <v>2000</v>
      </c>
      <c r="W725" s="20">
        <f t="shared" si="1463"/>
        <v>8000</v>
      </c>
      <c r="X725" s="20">
        <f t="shared" si="1463"/>
        <v>1</v>
      </c>
      <c r="Y725" s="20">
        <v>0</v>
      </c>
      <c r="Z725" s="22">
        <v>0</v>
      </c>
      <c r="AA725" s="20">
        <f t="shared" si="1344"/>
        <v>0</v>
      </c>
      <c r="AB725" s="20">
        <v>0</v>
      </c>
      <c r="AC725" s="20">
        <v>0</v>
      </c>
      <c r="AD725" s="23">
        <f t="shared" ref="AD725:AE725" si="1464">AD695</f>
        <v>6</v>
      </c>
      <c r="AE725" s="23">
        <f t="shared" si="1464"/>
        <v>10</v>
      </c>
    </row>
    <row r="726" spans="1:31">
      <c r="A726" s="4">
        <v>11204</v>
      </c>
      <c r="B726" s="4">
        <v>5</v>
      </c>
      <c r="C726" s="19" t="s">
        <v>70</v>
      </c>
      <c r="D726" s="44">
        <v>0</v>
      </c>
      <c r="E726" s="18">
        <f t="shared" si="1342"/>
        <v>223</v>
      </c>
      <c r="F726" s="18">
        <v>0</v>
      </c>
      <c r="G726" s="18">
        <v>0</v>
      </c>
      <c r="H726" s="45">
        <v>0</v>
      </c>
      <c r="I726" s="21">
        <f t="shared" si="1356"/>
        <v>110</v>
      </c>
      <c r="J726" s="21">
        <f t="shared" si="1442"/>
        <v>4</v>
      </c>
      <c r="K726" s="21">
        <v>0</v>
      </c>
      <c r="L726" s="20">
        <v>25</v>
      </c>
      <c r="M726" s="20">
        <v>0</v>
      </c>
      <c r="N726" s="20">
        <f t="shared" si="1357"/>
        <v>200</v>
      </c>
      <c r="O726" s="19" t="s">
        <v>70</v>
      </c>
      <c r="P726" s="20">
        <v>3100</v>
      </c>
      <c r="Q726" s="20">
        <f t="shared" ref="Q726:X726" si="1465">Q696</f>
        <v>20</v>
      </c>
      <c r="R726" s="20">
        <f t="shared" si="1465"/>
        <v>80</v>
      </c>
      <c r="S726" s="20">
        <f t="shared" si="1465"/>
        <v>140</v>
      </c>
      <c r="T726" s="20">
        <f t="shared" si="1465"/>
        <v>180</v>
      </c>
      <c r="U726" s="20">
        <f t="shared" si="1465"/>
        <v>1000</v>
      </c>
      <c r="V726" s="20">
        <f t="shared" si="1465"/>
        <v>2000</v>
      </c>
      <c r="W726" s="20">
        <f t="shared" si="1465"/>
        <v>2000</v>
      </c>
      <c r="X726" s="20">
        <f t="shared" si="1465"/>
        <v>2</v>
      </c>
      <c r="Y726" s="20">
        <v>0</v>
      </c>
      <c r="Z726" s="22">
        <v>0</v>
      </c>
      <c r="AA726" s="20">
        <f t="shared" si="1344"/>
        <v>0</v>
      </c>
      <c r="AB726" s="20">
        <v>0</v>
      </c>
      <c r="AC726" s="20">
        <v>0</v>
      </c>
      <c r="AD726" s="23">
        <f t="shared" ref="AD726:AE726" si="1466">AD696</f>
        <v>8</v>
      </c>
      <c r="AE726" s="23">
        <f t="shared" si="1466"/>
        <v>12</v>
      </c>
    </row>
    <row r="727" spans="1:31">
      <c r="A727" s="4">
        <v>11204</v>
      </c>
      <c r="B727" s="4">
        <v>6</v>
      </c>
      <c r="C727" s="19" t="s">
        <v>71</v>
      </c>
      <c r="D727" s="44">
        <v>0</v>
      </c>
      <c r="E727" s="18">
        <f t="shared" si="1342"/>
        <v>241</v>
      </c>
      <c r="F727" s="18">
        <v>0</v>
      </c>
      <c r="G727" s="18">
        <v>0</v>
      </c>
      <c r="H727" s="45">
        <v>0</v>
      </c>
      <c r="I727" s="21">
        <f t="shared" si="1356"/>
        <v>110</v>
      </c>
      <c r="J727" s="21">
        <f t="shared" si="1442"/>
        <v>5</v>
      </c>
      <c r="K727" s="21">
        <v>0</v>
      </c>
      <c r="L727" s="20">
        <v>20</v>
      </c>
      <c r="M727" s="20">
        <v>0</v>
      </c>
      <c r="N727" s="20">
        <f t="shared" si="1357"/>
        <v>500</v>
      </c>
      <c r="O727" s="19" t="s">
        <v>71</v>
      </c>
      <c r="P727" s="20">
        <v>1777</v>
      </c>
      <c r="Q727" s="20">
        <f t="shared" ref="Q727:X727" si="1467">Q697</f>
        <v>50</v>
      </c>
      <c r="R727" s="20">
        <f t="shared" si="1467"/>
        <v>200</v>
      </c>
      <c r="S727" s="20">
        <f t="shared" si="1467"/>
        <v>350</v>
      </c>
      <c r="T727" s="20">
        <f t="shared" si="1467"/>
        <v>450</v>
      </c>
      <c r="U727" s="20">
        <f t="shared" si="1467"/>
        <v>800</v>
      </c>
      <c r="V727" s="20">
        <f t="shared" si="1467"/>
        <v>800</v>
      </c>
      <c r="W727" s="20">
        <f t="shared" si="1467"/>
        <v>600</v>
      </c>
      <c r="X727" s="20">
        <f t="shared" si="1467"/>
        <v>2</v>
      </c>
      <c r="Y727" s="20">
        <v>0</v>
      </c>
      <c r="Z727" s="22">
        <v>0</v>
      </c>
      <c r="AA727" s="20">
        <f t="shared" si="1344"/>
        <v>0</v>
      </c>
      <c r="AB727" s="20">
        <v>0</v>
      </c>
      <c r="AC727" s="20">
        <v>0</v>
      </c>
      <c r="AD727" s="23">
        <f t="shared" ref="AD727:AE727" si="1468">AD697</f>
        <v>10</v>
      </c>
      <c r="AE727" s="23">
        <f t="shared" si="1468"/>
        <v>14</v>
      </c>
    </row>
    <row r="728" spans="1:31">
      <c r="A728" s="8">
        <v>11204</v>
      </c>
      <c r="B728" s="8">
        <v>7</v>
      </c>
      <c r="C728" s="19" t="s">
        <v>72</v>
      </c>
      <c r="D728" s="44">
        <v>0</v>
      </c>
      <c r="E728" s="18">
        <f t="shared" si="1342"/>
        <v>261</v>
      </c>
      <c r="F728" s="18">
        <v>0</v>
      </c>
      <c r="G728" s="18">
        <v>0</v>
      </c>
      <c r="H728" s="45">
        <v>0</v>
      </c>
      <c r="I728" s="21">
        <f t="shared" si="1356"/>
        <v>110</v>
      </c>
      <c r="J728" s="21">
        <f t="shared" si="1442"/>
        <v>6</v>
      </c>
      <c r="K728" s="21">
        <v>0</v>
      </c>
      <c r="L728" s="20">
        <v>16</v>
      </c>
      <c r="M728" s="20">
        <v>0</v>
      </c>
      <c r="N728" s="20">
        <f t="shared" si="1357"/>
        <v>700</v>
      </c>
      <c r="O728" s="19" t="s">
        <v>72</v>
      </c>
      <c r="P728" s="20">
        <v>2332</v>
      </c>
      <c r="Q728" s="20">
        <f t="shared" ref="Q728:X728" si="1469">Q698</f>
        <v>70</v>
      </c>
      <c r="R728" s="20">
        <f t="shared" si="1469"/>
        <v>280</v>
      </c>
      <c r="S728" s="20">
        <f t="shared" si="1469"/>
        <v>489.99999999999994</v>
      </c>
      <c r="T728" s="20">
        <f t="shared" si="1469"/>
        <v>630</v>
      </c>
      <c r="U728" s="20">
        <f t="shared" si="1469"/>
        <v>650</v>
      </c>
      <c r="V728" s="20">
        <f t="shared" si="1469"/>
        <v>800</v>
      </c>
      <c r="W728" s="20">
        <f t="shared" si="1469"/>
        <v>300</v>
      </c>
      <c r="X728" s="20">
        <f t="shared" si="1469"/>
        <v>2</v>
      </c>
      <c r="Y728" s="20">
        <v>0</v>
      </c>
      <c r="Z728" s="22">
        <v>0</v>
      </c>
      <c r="AA728" s="20">
        <f t="shared" si="1344"/>
        <v>0</v>
      </c>
      <c r="AB728" s="20">
        <v>0</v>
      </c>
      <c r="AC728" s="20">
        <v>0</v>
      </c>
      <c r="AD728" s="23">
        <f t="shared" ref="AD728:AE728" si="1470">AD698</f>
        <v>12</v>
      </c>
      <c r="AE728" s="23">
        <f t="shared" si="1470"/>
        <v>16</v>
      </c>
    </row>
    <row r="729" spans="1:31">
      <c r="A729" s="4">
        <v>11204</v>
      </c>
      <c r="B729" s="4">
        <v>8</v>
      </c>
      <c r="C729" s="19" t="s">
        <v>73</v>
      </c>
      <c r="D729" s="44">
        <v>0</v>
      </c>
      <c r="E729" s="18">
        <f t="shared" si="1342"/>
        <v>284</v>
      </c>
      <c r="F729" s="18">
        <v>0</v>
      </c>
      <c r="G729" s="18">
        <v>0</v>
      </c>
      <c r="H729" s="45">
        <v>0</v>
      </c>
      <c r="I729" s="21">
        <f t="shared" si="1356"/>
        <v>110</v>
      </c>
      <c r="J729" s="21">
        <f t="shared" si="1442"/>
        <v>7</v>
      </c>
      <c r="K729" s="21">
        <v>0</v>
      </c>
      <c r="L729" s="20">
        <v>12</v>
      </c>
      <c r="M729" s="20">
        <v>0</v>
      </c>
      <c r="N729" s="20">
        <f t="shared" si="1357"/>
        <v>800</v>
      </c>
      <c r="O729" s="19" t="s">
        <v>73</v>
      </c>
      <c r="P729" s="20">
        <v>1487</v>
      </c>
      <c r="Q729" s="20">
        <f t="shared" ref="Q729:X729" si="1471">Q699</f>
        <v>80</v>
      </c>
      <c r="R729" s="20">
        <f t="shared" si="1471"/>
        <v>320</v>
      </c>
      <c r="S729" s="20">
        <f t="shared" si="1471"/>
        <v>560</v>
      </c>
      <c r="T729" s="20">
        <f t="shared" si="1471"/>
        <v>720</v>
      </c>
      <c r="U729" s="20">
        <f t="shared" si="1471"/>
        <v>200</v>
      </c>
      <c r="V729" s="20">
        <f t="shared" si="1471"/>
        <v>2000</v>
      </c>
      <c r="W729" s="20">
        <f t="shared" si="1471"/>
        <v>1000</v>
      </c>
      <c r="X729" s="20">
        <f t="shared" si="1471"/>
        <v>2</v>
      </c>
      <c r="Y729" s="20">
        <v>0</v>
      </c>
      <c r="Z729" s="22">
        <v>0</v>
      </c>
      <c r="AA729" s="20">
        <f t="shared" si="1344"/>
        <v>37</v>
      </c>
      <c r="AB729" s="20">
        <v>0</v>
      </c>
      <c r="AC729" s="20">
        <v>0</v>
      </c>
      <c r="AD729" s="23">
        <f t="shared" ref="AD729:AE729" si="1472">AD699</f>
        <v>14</v>
      </c>
      <c r="AE729" s="23">
        <f t="shared" si="1472"/>
        <v>18</v>
      </c>
    </row>
    <row r="730" spans="1:31">
      <c r="A730" s="4">
        <v>11204</v>
      </c>
      <c r="B730" s="4">
        <v>9</v>
      </c>
      <c r="C730" s="19" t="s">
        <v>74</v>
      </c>
      <c r="D730" s="44">
        <v>0</v>
      </c>
      <c r="E730" s="18">
        <f t="shared" si="1342"/>
        <v>306</v>
      </c>
      <c r="F730" s="18">
        <v>0</v>
      </c>
      <c r="G730" s="18">
        <v>0</v>
      </c>
      <c r="H730" s="45">
        <v>0</v>
      </c>
      <c r="I730" s="21">
        <f t="shared" si="1356"/>
        <v>165</v>
      </c>
      <c r="J730" s="21">
        <f t="shared" si="1442"/>
        <v>8</v>
      </c>
      <c r="K730" s="21">
        <v>0</v>
      </c>
      <c r="L730" s="20">
        <v>8</v>
      </c>
      <c r="M730" s="20">
        <v>0</v>
      </c>
      <c r="N730" s="20">
        <f t="shared" si="1357"/>
        <v>900</v>
      </c>
      <c r="O730" s="19" t="s">
        <v>74</v>
      </c>
      <c r="P730" s="20">
        <v>1518</v>
      </c>
      <c r="Q730" s="20">
        <f t="shared" ref="Q730:X730" si="1473">Q700</f>
        <v>90</v>
      </c>
      <c r="R730" s="20">
        <f t="shared" si="1473"/>
        <v>360</v>
      </c>
      <c r="S730" s="20">
        <f t="shared" si="1473"/>
        <v>630</v>
      </c>
      <c r="T730" s="20">
        <f t="shared" si="1473"/>
        <v>810</v>
      </c>
      <c r="U730" s="20">
        <f t="shared" si="1473"/>
        <v>120</v>
      </c>
      <c r="V730" s="20">
        <f t="shared" si="1473"/>
        <v>1500</v>
      </c>
      <c r="W730" s="20">
        <f t="shared" si="1473"/>
        <v>1000</v>
      </c>
      <c r="X730" s="20">
        <f t="shared" si="1473"/>
        <v>3</v>
      </c>
      <c r="Y730" s="20">
        <v>0</v>
      </c>
      <c r="Z730" s="22">
        <v>0</v>
      </c>
      <c r="AA730" s="20">
        <f t="shared" si="1344"/>
        <v>0</v>
      </c>
      <c r="AB730" s="20">
        <v>0</v>
      </c>
      <c r="AC730" s="20">
        <v>0</v>
      </c>
      <c r="AD730" s="23">
        <f t="shared" ref="AD730:AE730" si="1474">AD700</f>
        <v>16</v>
      </c>
      <c r="AE730" s="23">
        <f t="shared" si="1474"/>
        <v>20</v>
      </c>
    </row>
    <row r="731" spans="1:31">
      <c r="A731" s="4">
        <v>11204</v>
      </c>
      <c r="B731" s="4">
        <v>10</v>
      </c>
      <c r="C731" s="19" t="s">
        <v>75</v>
      </c>
      <c r="D731" s="44">
        <v>0</v>
      </c>
      <c r="E731" s="18">
        <f t="shared" ref="E731:E751" si="1475">D581</f>
        <v>331</v>
      </c>
      <c r="F731" s="18">
        <v>0</v>
      </c>
      <c r="G731" s="18">
        <v>0</v>
      </c>
      <c r="H731" s="45">
        <v>0</v>
      </c>
      <c r="I731" s="21">
        <f t="shared" si="1356"/>
        <v>165</v>
      </c>
      <c r="J731" s="21">
        <f t="shared" si="1442"/>
        <v>9</v>
      </c>
      <c r="K731" s="21">
        <v>0</v>
      </c>
      <c r="L731" s="20">
        <v>6</v>
      </c>
      <c r="M731" s="20">
        <v>0</v>
      </c>
      <c r="N731" s="20">
        <f t="shared" si="1357"/>
        <v>2000</v>
      </c>
      <c r="O731" s="19" t="s">
        <v>75</v>
      </c>
      <c r="P731" s="20">
        <v>861</v>
      </c>
      <c r="Q731" s="20">
        <f t="shared" ref="Q731:X731" si="1476">Q701</f>
        <v>200</v>
      </c>
      <c r="R731" s="20">
        <f t="shared" si="1476"/>
        <v>800</v>
      </c>
      <c r="S731" s="20">
        <f t="shared" si="1476"/>
        <v>1400</v>
      </c>
      <c r="T731" s="20">
        <f t="shared" si="1476"/>
        <v>1800</v>
      </c>
      <c r="U731" s="20">
        <f t="shared" si="1476"/>
        <v>150</v>
      </c>
      <c r="V731" s="20">
        <f t="shared" si="1476"/>
        <v>5000</v>
      </c>
      <c r="W731" s="20">
        <f t="shared" si="1476"/>
        <v>800</v>
      </c>
      <c r="X731" s="20">
        <f t="shared" si="1476"/>
        <v>3</v>
      </c>
      <c r="Y731" s="20">
        <v>0</v>
      </c>
      <c r="Z731" s="22">
        <v>0</v>
      </c>
      <c r="AA731" s="20">
        <f t="shared" ref="AA731:AA751" si="1477">AA581</f>
        <v>0</v>
      </c>
      <c r="AB731" s="20">
        <v>0</v>
      </c>
      <c r="AC731" s="20">
        <v>0</v>
      </c>
      <c r="AD731" s="23">
        <f t="shared" ref="AD731:AE731" si="1478">AD701</f>
        <v>18</v>
      </c>
      <c r="AE731" s="23">
        <f t="shared" si="1478"/>
        <v>22</v>
      </c>
    </row>
    <row r="732" spans="1:31">
      <c r="A732" s="4">
        <v>11204</v>
      </c>
      <c r="B732" s="4">
        <v>11</v>
      </c>
      <c r="C732" s="19" t="s">
        <v>66</v>
      </c>
      <c r="D732" s="44">
        <v>0</v>
      </c>
      <c r="E732" s="18">
        <f t="shared" si="1475"/>
        <v>358</v>
      </c>
      <c r="F732" s="18">
        <v>0</v>
      </c>
      <c r="G732" s="18">
        <v>0</v>
      </c>
      <c r="H732" s="45">
        <v>0</v>
      </c>
      <c r="I732" s="21">
        <f t="shared" si="1356"/>
        <v>165</v>
      </c>
      <c r="J732" s="21">
        <f t="shared" si="1442"/>
        <v>10</v>
      </c>
      <c r="K732" s="21">
        <v>0</v>
      </c>
      <c r="L732" s="20">
        <v>6</v>
      </c>
      <c r="M732" s="20">
        <v>0</v>
      </c>
      <c r="N732" s="20">
        <f t="shared" si="1357"/>
        <v>2200</v>
      </c>
      <c r="O732" s="19" t="s">
        <v>66</v>
      </c>
      <c r="P732" s="20">
        <v>9400</v>
      </c>
      <c r="Q732" s="20">
        <f t="shared" ref="Q732:X732" si="1479">Q702</f>
        <v>220</v>
      </c>
      <c r="R732" s="20">
        <f t="shared" si="1479"/>
        <v>880</v>
      </c>
      <c r="S732" s="20">
        <f t="shared" si="1479"/>
        <v>1540</v>
      </c>
      <c r="T732" s="20">
        <f t="shared" si="1479"/>
        <v>1980</v>
      </c>
      <c r="U732" s="20">
        <f t="shared" si="1479"/>
        <v>100</v>
      </c>
      <c r="V732" s="20">
        <f t="shared" si="1479"/>
        <v>800</v>
      </c>
      <c r="W732" s="20">
        <f t="shared" si="1479"/>
        <v>600</v>
      </c>
      <c r="X732" s="20">
        <f t="shared" si="1479"/>
        <v>3</v>
      </c>
      <c r="Y732" s="20">
        <v>0</v>
      </c>
      <c r="Z732" s="22">
        <v>0</v>
      </c>
      <c r="AA732" s="20">
        <f t="shared" si="1477"/>
        <v>0</v>
      </c>
      <c r="AB732" s="20">
        <v>0</v>
      </c>
      <c r="AC732" s="20">
        <v>0</v>
      </c>
      <c r="AD732" s="23">
        <f t="shared" ref="AD732:AE732" si="1480">AD702</f>
        <v>20</v>
      </c>
      <c r="AE732" s="23">
        <f t="shared" si="1480"/>
        <v>24</v>
      </c>
    </row>
    <row r="733" spans="1:31">
      <c r="A733" s="4">
        <v>11204</v>
      </c>
      <c r="B733" s="4">
        <v>12</v>
      </c>
      <c r="C733" s="19" t="s">
        <v>67</v>
      </c>
      <c r="D733" s="44">
        <v>0</v>
      </c>
      <c r="E733" s="18">
        <f t="shared" si="1475"/>
        <v>387</v>
      </c>
      <c r="F733" s="18">
        <v>0</v>
      </c>
      <c r="G733" s="18">
        <v>0</v>
      </c>
      <c r="H733" s="45">
        <v>0</v>
      </c>
      <c r="I733" s="21">
        <f t="shared" si="1356"/>
        <v>165</v>
      </c>
      <c r="J733" s="21">
        <f t="shared" si="1442"/>
        <v>11</v>
      </c>
      <c r="K733" s="21">
        <v>0</v>
      </c>
      <c r="L733" s="20">
        <v>6</v>
      </c>
      <c r="M733" s="20">
        <v>0</v>
      </c>
      <c r="N733" s="20">
        <f t="shared" si="1357"/>
        <v>2400</v>
      </c>
      <c r="O733" s="19" t="s">
        <v>67</v>
      </c>
      <c r="P733" s="20">
        <v>9100</v>
      </c>
      <c r="Q733" s="20">
        <f t="shared" ref="Q733:X733" si="1481">Q703</f>
        <v>240</v>
      </c>
      <c r="R733" s="20">
        <f t="shared" si="1481"/>
        <v>960</v>
      </c>
      <c r="S733" s="20">
        <f t="shared" si="1481"/>
        <v>1680</v>
      </c>
      <c r="T733" s="20">
        <f t="shared" si="1481"/>
        <v>2160</v>
      </c>
      <c r="U733" s="20">
        <f t="shared" si="1481"/>
        <v>150</v>
      </c>
      <c r="V733" s="20">
        <f t="shared" si="1481"/>
        <v>700</v>
      </c>
      <c r="W733" s="20">
        <f t="shared" si="1481"/>
        <v>900</v>
      </c>
      <c r="X733" s="20">
        <f t="shared" si="1481"/>
        <v>3</v>
      </c>
      <c r="Y733" s="20">
        <v>0</v>
      </c>
      <c r="Z733" s="22">
        <v>0</v>
      </c>
      <c r="AA733" s="20">
        <f t="shared" si="1477"/>
        <v>0</v>
      </c>
      <c r="AB733" s="20">
        <v>0</v>
      </c>
      <c r="AC733" s="20">
        <v>0</v>
      </c>
      <c r="AD733" s="23">
        <f t="shared" ref="AD733:AE733" si="1482">AD703</f>
        <v>22</v>
      </c>
      <c r="AE733" s="23">
        <f t="shared" si="1482"/>
        <v>26</v>
      </c>
    </row>
    <row r="734" spans="1:31">
      <c r="A734" s="4">
        <v>11204</v>
      </c>
      <c r="B734" s="4">
        <v>13</v>
      </c>
      <c r="C734" s="19" t="s">
        <v>68</v>
      </c>
      <c r="D734" s="44">
        <v>0</v>
      </c>
      <c r="E734" s="18">
        <f t="shared" si="1475"/>
        <v>421</v>
      </c>
      <c r="F734" s="18">
        <v>0</v>
      </c>
      <c r="G734" s="18">
        <v>0</v>
      </c>
      <c r="H734" s="45">
        <v>0</v>
      </c>
      <c r="I734" s="21">
        <f t="shared" si="1356"/>
        <v>220</v>
      </c>
      <c r="J734" s="21">
        <f t="shared" si="1442"/>
        <v>12</v>
      </c>
      <c r="K734" s="21">
        <v>0</v>
      </c>
      <c r="L734" s="20">
        <v>6</v>
      </c>
      <c r="M734" s="20">
        <v>0</v>
      </c>
      <c r="N734" s="20">
        <f t="shared" si="1357"/>
        <v>2600</v>
      </c>
      <c r="O734" s="19" t="s">
        <v>68</v>
      </c>
      <c r="P734" s="20">
        <v>8600</v>
      </c>
      <c r="Q734" s="20">
        <f t="shared" ref="Q734:X734" si="1483">Q704</f>
        <v>260</v>
      </c>
      <c r="R734" s="20">
        <f t="shared" si="1483"/>
        <v>1040</v>
      </c>
      <c r="S734" s="20">
        <f t="shared" si="1483"/>
        <v>1819.9999999999998</v>
      </c>
      <c r="T734" s="20">
        <f t="shared" si="1483"/>
        <v>2340</v>
      </c>
      <c r="U734" s="20">
        <f t="shared" si="1483"/>
        <v>100</v>
      </c>
      <c r="V734" s="20">
        <f t="shared" si="1483"/>
        <v>700</v>
      </c>
      <c r="W734" s="20">
        <f t="shared" si="1483"/>
        <v>1000</v>
      </c>
      <c r="X734" s="20">
        <f t="shared" si="1483"/>
        <v>4</v>
      </c>
      <c r="Y734" s="20">
        <v>0</v>
      </c>
      <c r="Z734" s="22">
        <v>0</v>
      </c>
      <c r="AA734" s="20">
        <f t="shared" si="1477"/>
        <v>75</v>
      </c>
      <c r="AB734" s="20">
        <v>0</v>
      </c>
      <c r="AC734" s="20">
        <v>0</v>
      </c>
      <c r="AD734" s="23">
        <f t="shared" ref="AD734:AE734" si="1484">AD704</f>
        <v>24</v>
      </c>
      <c r="AE734" s="23">
        <f t="shared" si="1484"/>
        <v>28</v>
      </c>
    </row>
    <row r="735" spans="1:31">
      <c r="A735" s="4">
        <v>11204</v>
      </c>
      <c r="B735" s="4">
        <v>14</v>
      </c>
      <c r="C735" s="19" t="s">
        <v>69</v>
      </c>
      <c r="D735" s="44">
        <v>0</v>
      </c>
      <c r="E735" s="18">
        <f t="shared" si="1475"/>
        <v>455</v>
      </c>
      <c r="F735" s="18">
        <v>0</v>
      </c>
      <c r="G735" s="18">
        <v>0</v>
      </c>
      <c r="H735" s="45">
        <v>0</v>
      </c>
      <c r="I735" s="21">
        <f t="shared" si="1356"/>
        <v>220</v>
      </c>
      <c r="J735" s="21">
        <f t="shared" si="1442"/>
        <v>13</v>
      </c>
      <c r="K735" s="21">
        <v>0</v>
      </c>
      <c r="L735" s="20">
        <v>6</v>
      </c>
      <c r="M735" s="20">
        <v>0</v>
      </c>
      <c r="N735" s="20">
        <f t="shared" si="1357"/>
        <v>2800</v>
      </c>
      <c r="O735" s="19" t="s">
        <v>69</v>
      </c>
      <c r="P735" s="20">
        <v>6400</v>
      </c>
      <c r="Q735" s="20">
        <f t="shared" ref="Q735:X735" si="1485">Q705</f>
        <v>280</v>
      </c>
      <c r="R735" s="20">
        <f t="shared" si="1485"/>
        <v>1120</v>
      </c>
      <c r="S735" s="20">
        <f t="shared" si="1485"/>
        <v>1959.9999999999998</v>
      </c>
      <c r="T735" s="20">
        <f t="shared" si="1485"/>
        <v>2520</v>
      </c>
      <c r="U735" s="20">
        <f t="shared" si="1485"/>
        <v>100</v>
      </c>
      <c r="V735" s="20">
        <f t="shared" si="1485"/>
        <v>400</v>
      </c>
      <c r="W735" s="20">
        <f t="shared" si="1485"/>
        <v>1200</v>
      </c>
      <c r="X735" s="20">
        <f t="shared" si="1485"/>
        <v>4</v>
      </c>
      <c r="Y735" s="20">
        <v>0</v>
      </c>
      <c r="Z735" s="22">
        <v>0</v>
      </c>
      <c r="AA735" s="20">
        <f t="shared" si="1477"/>
        <v>0</v>
      </c>
      <c r="AB735" s="20">
        <v>0</v>
      </c>
      <c r="AC735" s="20">
        <v>0</v>
      </c>
      <c r="AD735" s="23">
        <f t="shared" ref="AD735:AE735" si="1486">AD705</f>
        <v>26</v>
      </c>
      <c r="AE735" s="23">
        <f t="shared" si="1486"/>
        <v>30</v>
      </c>
    </row>
    <row r="736" spans="1:31">
      <c r="A736" s="4">
        <v>11204</v>
      </c>
      <c r="B736" s="4">
        <v>15</v>
      </c>
      <c r="C736" s="19" t="s">
        <v>70</v>
      </c>
      <c r="D736" s="44">
        <v>0</v>
      </c>
      <c r="E736" s="18">
        <f t="shared" si="1475"/>
        <v>493</v>
      </c>
      <c r="F736" s="18">
        <v>0</v>
      </c>
      <c r="G736" s="18">
        <v>0</v>
      </c>
      <c r="H736" s="45">
        <v>0</v>
      </c>
      <c r="I736" s="21">
        <f t="shared" si="1356"/>
        <v>220</v>
      </c>
      <c r="J736" s="21">
        <f t="shared" si="1442"/>
        <v>14</v>
      </c>
      <c r="K736" s="21">
        <v>0</v>
      </c>
      <c r="L736" s="20">
        <v>6</v>
      </c>
      <c r="M736" s="20">
        <v>0</v>
      </c>
      <c r="N736" s="20">
        <f t="shared" si="1357"/>
        <v>4500</v>
      </c>
      <c r="O736" s="19" t="s">
        <v>70</v>
      </c>
      <c r="P736" s="20">
        <v>3100</v>
      </c>
      <c r="Q736" s="20">
        <f t="shared" ref="Q736:X736" si="1487">Q706</f>
        <v>450</v>
      </c>
      <c r="R736" s="20">
        <f t="shared" si="1487"/>
        <v>1800</v>
      </c>
      <c r="S736" s="20">
        <f t="shared" si="1487"/>
        <v>3150</v>
      </c>
      <c r="T736" s="20">
        <f t="shared" si="1487"/>
        <v>4050</v>
      </c>
      <c r="U736" s="20">
        <f t="shared" si="1487"/>
        <v>100</v>
      </c>
      <c r="V736" s="20">
        <f t="shared" si="1487"/>
        <v>1000</v>
      </c>
      <c r="W736" s="20">
        <f t="shared" si="1487"/>
        <v>600</v>
      </c>
      <c r="X736" s="20">
        <f t="shared" si="1487"/>
        <v>4</v>
      </c>
      <c r="Y736" s="20">
        <v>0</v>
      </c>
      <c r="Z736" s="22">
        <v>0</v>
      </c>
      <c r="AA736" s="20">
        <f t="shared" si="1477"/>
        <v>0</v>
      </c>
      <c r="AB736" s="20">
        <v>0</v>
      </c>
      <c r="AC736" s="20">
        <v>0</v>
      </c>
      <c r="AD736" s="23">
        <f t="shared" ref="AD736:AE736" si="1488">AD706</f>
        <v>28</v>
      </c>
      <c r="AE736" s="23">
        <f t="shared" si="1488"/>
        <v>32</v>
      </c>
    </row>
    <row r="737" spans="1:31">
      <c r="A737" s="4">
        <v>11204</v>
      </c>
      <c r="B737" s="4">
        <v>16</v>
      </c>
      <c r="C737" s="19" t="s">
        <v>71</v>
      </c>
      <c r="D737" s="44">
        <v>0</v>
      </c>
      <c r="E737" s="18">
        <f t="shared" si="1475"/>
        <v>534</v>
      </c>
      <c r="F737" s="18">
        <v>0</v>
      </c>
      <c r="G737" s="18">
        <v>0</v>
      </c>
      <c r="H737" s="45">
        <v>0</v>
      </c>
      <c r="I737" s="21">
        <f t="shared" ref="I737:I800" si="1489">I707</f>
        <v>220</v>
      </c>
      <c r="J737" s="21">
        <f t="shared" si="1442"/>
        <v>15</v>
      </c>
      <c r="K737" s="21">
        <v>0</v>
      </c>
      <c r="L737" s="20">
        <v>6</v>
      </c>
      <c r="M737" s="20">
        <v>0</v>
      </c>
      <c r="N737" s="20">
        <f t="shared" ref="N737:N800" si="1490">N707</f>
        <v>4800</v>
      </c>
      <c r="O737" s="19" t="s">
        <v>71</v>
      </c>
      <c r="P737" s="20">
        <v>1777</v>
      </c>
      <c r="Q737" s="20">
        <f t="shared" ref="Q737:X737" si="1491">Q707</f>
        <v>480</v>
      </c>
      <c r="R737" s="20">
        <f t="shared" si="1491"/>
        <v>1920</v>
      </c>
      <c r="S737" s="20">
        <f t="shared" si="1491"/>
        <v>3360</v>
      </c>
      <c r="T737" s="20">
        <f t="shared" si="1491"/>
        <v>4320</v>
      </c>
      <c r="U737" s="20">
        <f t="shared" si="1491"/>
        <v>100</v>
      </c>
      <c r="V737" s="20">
        <f t="shared" si="1491"/>
        <v>800</v>
      </c>
      <c r="W737" s="20">
        <f t="shared" si="1491"/>
        <v>800</v>
      </c>
      <c r="X737" s="20">
        <f t="shared" si="1491"/>
        <v>4</v>
      </c>
      <c r="Y737" s="20">
        <v>0</v>
      </c>
      <c r="Z737" s="22">
        <v>0</v>
      </c>
      <c r="AA737" s="20">
        <f t="shared" si="1477"/>
        <v>0</v>
      </c>
      <c r="AB737" s="20">
        <v>0</v>
      </c>
      <c r="AC737" s="20">
        <v>0</v>
      </c>
      <c r="AD737" s="23">
        <f t="shared" ref="AD737:AE737" si="1492">AD707</f>
        <v>30</v>
      </c>
      <c r="AE737" s="23">
        <f t="shared" si="1492"/>
        <v>34</v>
      </c>
    </row>
    <row r="738" spans="1:31">
      <c r="A738" s="4">
        <v>11204</v>
      </c>
      <c r="B738" s="4">
        <v>17</v>
      </c>
      <c r="C738" s="19" t="s">
        <v>72</v>
      </c>
      <c r="D738" s="44">
        <v>0</v>
      </c>
      <c r="E738" s="18">
        <f t="shared" si="1475"/>
        <v>576</v>
      </c>
      <c r="F738" s="18">
        <v>0</v>
      </c>
      <c r="G738" s="18">
        <v>0</v>
      </c>
      <c r="H738" s="45">
        <v>0</v>
      </c>
      <c r="I738" s="21">
        <f t="shared" si="1489"/>
        <v>275</v>
      </c>
      <c r="J738" s="21">
        <f t="shared" si="1442"/>
        <v>16</v>
      </c>
      <c r="K738" s="21">
        <v>0</v>
      </c>
      <c r="L738" s="20">
        <v>6</v>
      </c>
      <c r="M738" s="20">
        <v>0</v>
      </c>
      <c r="N738" s="20">
        <f t="shared" si="1490"/>
        <v>5100</v>
      </c>
      <c r="O738" s="19" t="s">
        <v>72</v>
      </c>
      <c r="P738" s="20">
        <v>2332</v>
      </c>
      <c r="Q738" s="20">
        <f t="shared" ref="Q738:X738" si="1493">Q708</f>
        <v>510</v>
      </c>
      <c r="R738" s="20">
        <f t="shared" si="1493"/>
        <v>2040</v>
      </c>
      <c r="S738" s="20">
        <f t="shared" si="1493"/>
        <v>3570</v>
      </c>
      <c r="T738" s="20">
        <f t="shared" si="1493"/>
        <v>4590</v>
      </c>
      <c r="U738" s="20">
        <f t="shared" si="1493"/>
        <v>80</v>
      </c>
      <c r="V738" s="20">
        <f t="shared" si="1493"/>
        <v>800</v>
      </c>
      <c r="W738" s="20">
        <f t="shared" si="1493"/>
        <v>600</v>
      </c>
      <c r="X738" s="20">
        <f t="shared" si="1493"/>
        <v>5</v>
      </c>
      <c r="Y738" s="20">
        <v>0</v>
      </c>
      <c r="Z738" s="22">
        <v>0</v>
      </c>
      <c r="AA738" s="20">
        <f t="shared" si="1477"/>
        <v>0</v>
      </c>
      <c r="AB738" s="20">
        <v>0</v>
      </c>
      <c r="AC738" s="20">
        <v>0</v>
      </c>
      <c r="AD738" s="23">
        <f t="shared" ref="AD738:AE738" si="1494">AD708</f>
        <v>32</v>
      </c>
      <c r="AE738" s="23">
        <f t="shared" si="1494"/>
        <v>36</v>
      </c>
    </row>
    <row r="739" spans="1:31">
      <c r="A739" s="4">
        <v>11204</v>
      </c>
      <c r="B739" s="4">
        <v>18</v>
      </c>
      <c r="C739" s="19" t="s">
        <v>73</v>
      </c>
      <c r="D739" s="44">
        <v>0</v>
      </c>
      <c r="E739" s="18">
        <f t="shared" si="1475"/>
        <v>626</v>
      </c>
      <c r="F739" s="18">
        <v>0</v>
      </c>
      <c r="G739" s="18">
        <v>0</v>
      </c>
      <c r="H739" s="45">
        <v>0</v>
      </c>
      <c r="I739" s="21">
        <f t="shared" si="1489"/>
        <v>275</v>
      </c>
      <c r="J739" s="21">
        <f t="shared" si="1442"/>
        <v>17</v>
      </c>
      <c r="K739" s="21">
        <v>0</v>
      </c>
      <c r="L739" s="20">
        <v>6</v>
      </c>
      <c r="M739" s="20">
        <v>0</v>
      </c>
      <c r="N739" s="20">
        <f t="shared" si="1490"/>
        <v>5400</v>
      </c>
      <c r="O739" s="19" t="s">
        <v>73</v>
      </c>
      <c r="P739" s="20">
        <v>1487</v>
      </c>
      <c r="Q739" s="20">
        <f t="shared" ref="Q739:X739" si="1495">Q709</f>
        <v>540</v>
      </c>
      <c r="R739" s="20">
        <f t="shared" si="1495"/>
        <v>2160</v>
      </c>
      <c r="S739" s="20">
        <f t="shared" si="1495"/>
        <v>3779.9999999999995</v>
      </c>
      <c r="T739" s="20">
        <f t="shared" si="1495"/>
        <v>4860</v>
      </c>
      <c r="U739" s="20">
        <f t="shared" si="1495"/>
        <v>100</v>
      </c>
      <c r="V739" s="20">
        <f t="shared" si="1495"/>
        <v>600</v>
      </c>
      <c r="W739" s="20">
        <f t="shared" si="1495"/>
        <v>300</v>
      </c>
      <c r="X739" s="20">
        <f t="shared" si="1495"/>
        <v>5</v>
      </c>
      <c r="Y739" s="20">
        <v>0</v>
      </c>
      <c r="Z739" s="22">
        <v>0</v>
      </c>
      <c r="AA739" s="20">
        <f t="shared" si="1477"/>
        <v>113</v>
      </c>
      <c r="AB739" s="20">
        <v>0</v>
      </c>
      <c r="AC739" s="20">
        <v>0</v>
      </c>
      <c r="AD739" s="23">
        <f t="shared" ref="AD739:AE739" si="1496">AD709</f>
        <v>34</v>
      </c>
      <c r="AE739" s="23">
        <f t="shared" si="1496"/>
        <v>38</v>
      </c>
    </row>
    <row r="740" spans="1:31">
      <c r="A740" s="8">
        <v>11204</v>
      </c>
      <c r="B740" s="8">
        <v>19</v>
      </c>
      <c r="C740" s="19" t="s">
        <v>74</v>
      </c>
      <c r="D740" s="44">
        <v>0</v>
      </c>
      <c r="E740" s="18">
        <f t="shared" si="1475"/>
        <v>678</v>
      </c>
      <c r="F740" s="18">
        <v>0</v>
      </c>
      <c r="G740" s="18">
        <v>0</v>
      </c>
      <c r="H740" s="45">
        <v>0</v>
      </c>
      <c r="I740" s="21">
        <f t="shared" si="1489"/>
        <v>275</v>
      </c>
      <c r="J740" s="21">
        <f t="shared" si="1442"/>
        <v>18</v>
      </c>
      <c r="K740" s="21">
        <v>0</v>
      </c>
      <c r="L740" s="20">
        <v>6</v>
      </c>
      <c r="M740" s="20">
        <v>0</v>
      </c>
      <c r="N740" s="20">
        <f t="shared" si="1490"/>
        <v>5700</v>
      </c>
      <c r="O740" s="19" t="s">
        <v>74</v>
      </c>
      <c r="P740" s="20">
        <v>1518</v>
      </c>
      <c r="Q740" s="20">
        <f t="shared" ref="Q740:X740" si="1497">Q710</f>
        <v>570</v>
      </c>
      <c r="R740" s="20">
        <f t="shared" si="1497"/>
        <v>2280</v>
      </c>
      <c r="S740" s="20">
        <f t="shared" si="1497"/>
        <v>3989.9999999999995</v>
      </c>
      <c r="T740" s="20">
        <f t="shared" si="1497"/>
        <v>5130</v>
      </c>
      <c r="U740" s="20">
        <f t="shared" si="1497"/>
        <v>100</v>
      </c>
      <c r="V740" s="20">
        <f t="shared" si="1497"/>
        <v>500</v>
      </c>
      <c r="W740" s="20">
        <f t="shared" si="1497"/>
        <v>400</v>
      </c>
      <c r="X740" s="20">
        <f t="shared" si="1497"/>
        <v>5</v>
      </c>
      <c r="Y740" s="20">
        <v>0</v>
      </c>
      <c r="Z740" s="22">
        <v>0</v>
      </c>
      <c r="AA740" s="20">
        <f t="shared" si="1477"/>
        <v>0</v>
      </c>
      <c r="AB740" s="20">
        <v>0</v>
      </c>
      <c r="AC740" s="20">
        <v>0</v>
      </c>
      <c r="AD740" s="23">
        <f t="shared" ref="AD740:AE740" si="1498">AD710</f>
        <v>36</v>
      </c>
      <c r="AE740" s="23">
        <f t="shared" si="1498"/>
        <v>40</v>
      </c>
    </row>
    <row r="741" spans="1:31">
      <c r="A741" s="4">
        <v>11204</v>
      </c>
      <c r="B741" s="4">
        <v>20</v>
      </c>
      <c r="C741" s="19" t="s">
        <v>75</v>
      </c>
      <c r="D741" s="44">
        <v>0</v>
      </c>
      <c r="E741" s="18">
        <f t="shared" si="1475"/>
        <v>732</v>
      </c>
      <c r="F741" s="18">
        <v>0</v>
      </c>
      <c r="G741" s="18">
        <v>0</v>
      </c>
      <c r="H741" s="45">
        <v>0</v>
      </c>
      <c r="I741" s="21">
        <f t="shared" si="1489"/>
        <v>275</v>
      </c>
      <c r="J741" s="21">
        <f t="shared" si="1442"/>
        <v>19</v>
      </c>
      <c r="K741" s="21">
        <v>0</v>
      </c>
      <c r="L741" s="20">
        <v>6</v>
      </c>
      <c r="M741" s="20">
        <v>0</v>
      </c>
      <c r="N741" s="20">
        <f t="shared" si="1490"/>
        <v>8000</v>
      </c>
      <c r="O741" s="19" t="s">
        <v>75</v>
      </c>
      <c r="P741" s="20">
        <v>861</v>
      </c>
      <c r="Q741" s="20">
        <f t="shared" ref="Q741:X741" si="1499">Q711</f>
        <v>800</v>
      </c>
      <c r="R741" s="20">
        <f t="shared" si="1499"/>
        <v>3200</v>
      </c>
      <c r="S741" s="20">
        <f t="shared" si="1499"/>
        <v>5600</v>
      </c>
      <c r="T741" s="20">
        <f t="shared" si="1499"/>
        <v>7200</v>
      </c>
      <c r="U741" s="20">
        <f t="shared" si="1499"/>
        <v>100</v>
      </c>
      <c r="V741" s="20">
        <f t="shared" si="1499"/>
        <v>800</v>
      </c>
      <c r="W741" s="20">
        <f t="shared" si="1499"/>
        <v>8000</v>
      </c>
      <c r="X741" s="20">
        <f t="shared" si="1499"/>
        <v>5</v>
      </c>
      <c r="Y741" s="20">
        <v>0</v>
      </c>
      <c r="Z741" s="22">
        <v>0</v>
      </c>
      <c r="AA741" s="20">
        <f t="shared" si="1477"/>
        <v>0</v>
      </c>
      <c r="AB741" s="20">
        <v>0</v>
      </c>
      <c r="AC741" s="20">
        <v>0</v>
      </c>
      <c r="AD741" s="23">
        <f t="shared" ref="AD741:AE741" si="1500">AD711</f>
        <v>38</v>
      </c>
      <c r="AE741" s="23">
        <f t="shared" si="1500"/>
        <v>42</v>
      </c>
    </row>
    <row r="742" spans="1:31">
      <c r="A742" s="4">
        <v>11204</v>
      </c>
      <c r="B742" s="4">
        <v>21</v>
      </c>
      <c r="C742" s="19" t="s">
        <v>66</v>
      </c>
      <c r="D742" s="44">
        <v>0</v>
      </c>
      <c r="E742" s="18">
        <f t="shared" si="1475"/>
        <v>792</v>
      </c>
      <c r="F742" s="18">
        <v>0</v>
      </c>
      <c r="G742" s="18">
        <v>0</v>
      </c>
      <c r="H742" s="45">
        <v>0</v>
      </c>
      <c r="I742" s="21">
        <f t="shared" si="1489"/>
        <v>330</v>
      </c>
      <c r="J742" s="21">
        <f t="shared" si="1442"/>
        <v>20</v>
      </c>
      <c r="K742" s="21">
        <v>0</v>
      </c>
      <c r="L742" s="20">
        <v>6</v>
      </c>
      <c r="M742" s="20">
        <v>0</v>
      </c>
      <c r="N742" s="20">
        <f t="shared" si="1490"/>
        <v>8400</v>
      </c>
      <c r="O742" s="19" t="s">
        <v>66</v>
      </c>
      <c r="P742" s="20">
        <v>9400</v>
      </c>
      <c r="Q742" s="20">
        <f t="shared" ref="Q742:X742" si="1501">Q712</f>
        <v>840</v>
      </c>
      <c r="R742" s="20">
        <f t="shared" si="1501"/>
        <v>3360</v>
      </c>
      <c r="S742" s="20">
        <f t="shared" si="1501"/>
        <v>5880</v>
      </c>
      <c r="T742" s="20">
        <f t="shared" si="1501"/>
        <v>7560</v>
      </c>
      <c r="U742" s="20">
        <f t="shared" si="1501"/>
        <v>50</v>
      </c>
      <c r="V742" s="20">
        <f t="shared" si="1501"/>
        <v>1000</v>
      </c>
      <c r="W742" s="20">
        <f t="shared" si="1501"/>
        <v>600</v>
      </c>
      <c r="X742" s="20">
        <f t="shared" si="1501"/>
        <v>6</v>
      </c>
      <c r="Y742" s="20">
        <v>0</v>
      </c>
      <c r="Z742" s="22">
        <v>0</v>
      </c>
      <c r="AA742" s="20">
        <f t="shared" si="1477"/>
        <v>0</v>
      </c>
      <c r="AB742" s="20">
        <v>0</v>
      </c>
      <c r="AC742" s="20">
        <v>0</v>
      </c>
      <c r="AD742" s="23">
        <f t="shared" ref="AD742:AE742" si="1502">AD712</f>
        <v>40</v>
      </c>
      <c r="AE742" s="23">
        <f t="shared" si="1502"/>
        <v>44</v>
      </c>
    </row>
    <row r="743" spans="1:31">
      <c r="A743" s="4">
        <v>11204</v>
      </c>
      <c r="B743" s="4">
        <v>22</v>
      </c>
      <c r="C743" s="19" t="s">
        <v>67</v>
      </c>
      <c r="D743" s="44">
        <v>0</v>
      </c>
      <c r="E743" s="18">
        <f t="shared" si="1475"/>
        <v>858</v>
      </c>
      <c r="F743" s="18">
        <v>0</v>
      </c>
      <c r="G743" s="18">
        <v>0</v>
      </c>
      <c r="H743" s="45">
        <v>0</v>
      </c>
      <c r="I743" s="21">
        <f t="shared" si="1489"/>
        <v>330</v>
      </c>
      <c r="J743" s="21">
        <f t="shared" si="1442"/>
        <v>21</v>
      </c>
      <c r="K743" s="21">
        <v>0</v>
      </c>
      <c r="L743" s="20">
        <v>6</v>
      </c>
      <c r="M743" s="20">
        <v>0</v>
      </c>
      <c r="N743" s="20">
        <f t="shared" si="1490"/>
        <v>8800</v>
      </c>
      <c r="O743" s="19" t="s">
        <v>67</v>
      </c>
      <c r="P743" s="20">
        <v>9100</v>
      </c>
      <c r="Q743" s="20">
        <f t="shared" ref="Q743:X743" si="1503">Q713</f>
        <v>880</v>
      </c>
      <c r="R743" s="20">
        <f t="shared" si="1503"/>
        <v>3520</v>
      </c>
      <c r="S743" s="20">
        <f t="shared" si="1503"/>
        <v>6160</v>
      </c>
      <c r="T743" s="20">
        <f t="shared" si="1503"/>
        <v>7920</v>
      </c>
      <c r="U743" s="20">
        <f t="shared" si="1503"/>
        <v>100</v>
      </c>
      <c r="V743" s="20">
        <f t="shared" si="1503"/>
        <v>600</v>
      </c>
      <c r="W743" s="20">
        <f t="shared" si="1503"/>
        <v>700</v>
      </c>
      <c r="X743" s="20">
        <f t="shared" si="1503"/>
        <v>6</v>
      </c>
      <c r="Y743" s="20">
        <v>0</v>
      </c>
      <c r="Z743" s="22">
        <v>0</v>
      </c>
      <c r="AA743" s="20">
        <f t="shared" si="1477"/>
        <v>0</v>
      </c>
      <c r="AB743" s="20">
        <v>0</v>
      </c>
      <c r="AC743" s="20">
        <v>0</v>
      </c>
      <c r="AD743" s="23">
        <f t="shared" ref="AD743:AE743" si="1504">AD713</f>
        <v>42</v>
      </c>
      <c r="AE743" s="23">
        <f t="shared" si="1504"/>
        <v>46</v>
      </c>
    </row>
    <row r="744" spans="1:31">
      <c r="A744" s="4">
        <v>11204</v>
      </c>
      <c r="B744" s="4">
        <v>23</v>
      </c>
      <c r="C744" s="19" t="s">
        <v>68</v>
      </c>
      <c r="D744" s="44">
        <v>0</v>
      </c>
      <c r="E744" s="18">
        <f t="shared" si="1475"/>
        <v>930</v>
      </c>
      <c r="F744" s="18">
        <v>0</v>
      </c>
      <c r="G744" s="18">
        <v>0</v>
      </c>
      <c r="H744" s="45">
        <v>0</v>
      </c>
      <c r="I744" s="21">
        <f t="shared" si="1489"/>
        <v>330</v>
      </c>
      <c r="J744" s="21">
        <f t="shared" si="1442"/>
        <v>22</v>
      </c>
      <c r="K744" s="21">
        <v>0</v>
      </c>
      <c r="L744" s="20">
        <v>6</v>
      </c>
      <c r="M744" s="20">
        <v>0</v>
      </c>
      <c r="N744" s="20">
        <f t="shared" si="1490"/>
        <v>9200</v>
      </c>
      <c r="O744" s="19" t="s">
        <v>68</v>
      </c>
      <c r="P744" s="20">
        <v>8600</v>
      </c>
      <c r="Q744" s="20">
        <f t="shared" ref="Q744:X744" si="1505">Q714</f>
        <v>920</v>
      </c>
      <c r="R744" s="20">
        <f t="shared" si="1505"/>
        <v>3680</v>
      </c>
      <c r="S744" s="20">
        <f t="shared" si="1505"/>
        <v>6440</v>
      </c>
      <c r="T744" s="20">
        <f t="shared" si="1505"/>
        <v>8280</v>
      </c>
      <c r="U744" s="20">
        <f t="shared" si="1505"/>
        <v>100</v>
      </c>
      <c r="V744" s="20">
        <f t="shared" si="1505"/>
        <v>550</v>
      </c>
      <c r="W744" s="20">
        <f t="shared" si="1505"/>
        <v>500</v>
      </c>
      <c r="X744" s="20">
        <f t="shared" si="1505"/>
        <v>6</v>
      </c>
      <c r="Y744" s="20">
        <v>0</v>
      </c>
      <c r="Z744" s="22">
        <v>0</v>
      </c>
      <c r="AA744" s="20">
        <f t="shared" si="1477"/>
        <v>151</v>
      </c>
      <c r="AB744" s="20">
        <v>0</v>
      </c>
      <c r="AC744" s="20">
        <v>0</v>
      </c>
      <c r="AD744" s="23">
        <f t="shared" ref="AD744:AE744" si="1506">AD714</f>
        <v>44</v>
      </c>
      <c r="AE744" s="23">
        <f t="shared" si="1506"/>
        <v>48</v>
      </c>
    </row>
    <row r="745" spans="1:31">
      <c r="A745" s="4">
        <v>11204</v>
      </c>
      <c r="B745" s="4">
        <v>24</v>
      </c>
      <c r="C745" s="19" t="s">
        <v>69</v>
      </c>
      <c r="D745" s="44">
        <v>0</v>
      </c>
      <c r="E745" s="18">
        <f t="shared" si="1475"/>
        <v>1006</v>
      </c>
      <c r="F745" s="18">
        <v>0</v>
      </c>
      <c r="G745" s="18">
        <v>0</v>
      </c>
      <c r="H745" s="45">
        <v>0</v>
      </c>
      <c r="I745" s="21">
        <f t="shared" si="1489"/>
        <v>330</v>
      </c>
      <c r="J745" s="21">
        <f t="shared" si="1442"/>
        <v>23</v>
      </c>
      <c r="K745" s="21">
        <v>0</v>
      </c>
      <c r="L745" s="20">
        <v>6</v>
      </c>
      <c r="M745" s="20">
        <v>0</v>
      </c>
      <c r="N745" s="20">
        <f t="shared" si="1490"/>
        <v>9600</v>
      </c>
      <c r="O745" s="19" t="s">
        <v>69</v>
      </c>
      <c r="P745" s="20">
        <v>6400</v>
      </c>
      <c r="Q745" s="20">
        <f t="shared" ref="Q745:X745" si="1507">Q715</f>
        <v>960</v>
      </c>
      <c r="R745" s="20">
        <f t="shared" si="1507"/>
        <v>3840</v>
      </c>
      <c r="S745" s="20">
        <f t="shared" si="1507"/>
        <v>6720</v>
      </c>
      <c r="T745" s="20">
        <f t="shared" si="1507"/>
        <v>8640</v>
      </c>
      <c r="U745" s="20">
        <f t="shared" si="1507"/>
        <v>100</v>
      </c>
      <c r="V745" s="20">
        <f t="shared" si="1507"/>
        <v>500</v>
      </c>
      <c r="W745" s="20">
        <f t="shared" si="1507"/>
        <v>900</v>
      </c>
      <c r="X745" s="20">
        <f t="shared" si="1507"/>
        <v>6</v>
      </c>
      <c r="Y745" s="20">
        <v>0</v>
      </c>
      <c r="Z745" s="22">
        <v>0</v>
      </c>
      <c r="AA745" s="20">
        <f t="shared" si="1477"/>
        <v>0</v>
      </c>
      <c r="AB745" s="20">
        <v>0</v>
      </c>
      <c r="AC745" s="20">
        <v>0</v>
      </c>
      <c r="AD745" s="23">
        <f t="shared" ref="AD745:AE745" si="1508">AD715</f>
        <v>46</v>
      </c>
      <c r="AE745" s="23">
        <f t="shared" si="1508"/>
        <v>50</v>
      </c>
    </row>
    <row r="746" spans="1:31">
      <c r="A746" s="4">
        <v>11204</v>
      </c>
      <c r="B746" s="4">
        <v>25</v>
      </c>
      <c r="C746" s="19" t="s">
        <v>70</v>
      </c>
      <c r="D746" s="44">
        <v>0</v>
      </c>
      <c r="E746" s="18">
        <f t="shared" si="1475"/>
        <v>1089</v>
      </c>
      <c r="F746" s="18">
        <v>0</v>
      </c>
      <c r="G746" s="18">
        <v>0</v>
      </c>
      <c r="H746" s="45">
        <v>0</v>
      </c>
      <c r="I746" s="21">
        <f t="shared" si="1489"/>
        <v>385</v>
      </c>
      <c r="J746" s="21">
        <f t="shared" si="1442"/>
        <v>24</v>
      </c>
      <c r="K746" s="21">
        <v>0</v>
      </c>
      <c r="L746" s="20">
        <v>6</v>
      </c>
      <c r="M746" s="20">
        <v>0</v>
      </c>
      <c r="N746" s="20">
        <f t="shared" si="1490"/>
        <v>12500</v>
      </c>
      <c r="O746" s="19" t="s">
        <v>70</v>
      </c>
      <c r="P746" s="20">
        <v>3100</v>
      </c>
      <c r="Q746" s="20">
        <f t="shared" ref="Q746:X746" si="1509">Q716</f>
        <v>1250</v>
      </c>
      <c r="R746" s="20">
        <f t="shared" si="1509"/>
        <v>5000</v>
      </c>
      <c r="S746" s="20">
        <f t="shared" si="1509"/>
        <v>8750</v>
      </c>
      <c r="T746" s="20">
        <f t="shared" si="1509"/>
        <v>11250</v>
      </c>
      <c r="U746" s="20">
        <f t="shared" si="1509"/>
        <v>10</v>
      </c>
      <c r="V746" s="20">
        <f t="shared" si="1509"/>
        <v>1300</v>
      </c>
      <c r="W746" s="20">
        <f t="shared" si="1509"/>
        <v>1000</v>
      </c>
      <c r="X746" s="20">
        <f t="shared" si="1509"/>
        <v>7</v>
      </c>
      <c r="Y746" s="20">
        <v>0</v>
      </c>
      <c r="Z746" s="22">
        <v>0</v>
      </c>
      <c r="AA746" s="20">
        <f t="shared" si="1477"/>
        <v>0</v>
      </c>
      <c r="AB746" s="20">
        <v>0</v>
      </c>
      <c r="AC746" s="20">
        <v>0</v>
      </c>
      <c r="AD746" s="23">
        <f t="shared" ref="AD746:AE746" si="1510">AD716</f>
        <v>48</v>
      </c>
      <c r="AE746" s="23">
        <f t="shared" si="1510"/>
        <v>52</v>
      </c>
    </row>
    <row r="747" spans="1:31">
      <c r="A747" s="4">
        <v>11204</v>
      </c>
      <c r="B747" s="4">
        <v>26</v>
      </c>
      <c r="C747" s="19" t="s">
        <v>71</v>
      </c>
      <c r="D747" s="44">
        <v>0</v>
      </c>
      <c r="E747" s="18">
        <f t="shared" si="1475"/>
        <v>1179</v>
      </c>
      <c r="F747" s="18">
        <v>0</v>
      </c>
      <c r="G747" s="18">
        <v>0</v>
      </c>
      <c r="H747" s="45">
        <v>0</v>
      </c>
      <c r="I747" s="21">
        <f t="shared" si="1489"/>
        <v>385</v>
      </c>
      <c r="J747" s="21">
        <f t="shared" si="1442"/>
        <v>25</v>
      </c>
      <c r="K747" s="21">
        <v>0</v>
      </c>
      <c r="L747" s="20">
        <v>6</v>
      </c>
      <c r="M747" s="20">
        <v>0</v>
      </c>
      <c r="N747" s="20">
        <f t="shared" si="1490"/>
        <v>13000</v>
      </c>
      <c r="O747" s="19" t="s">
        <v>71</v>
      </c>
      <c r="P747" s="20">
        <v>1777</v>
      </c>
      <c r="Q747" s="20">
        <f t="shared" ref="Q747:X747" si="1511">Q717</f>
        <v>1300</v>
      </c>
      <c r="R747" s="20">
        <f t="shared" si="1511"/>
        <v>5200</v>
      </c>
      <c r="S747" s="20">
        <f t="shared" si="1511"/>
        <v>9100</v>
      </c>
      <c r="T747" s="20">
        <f t="shared" si="1511"/>
        <v>11700</v>
      </c>
      <c r="U747" s="20">
        <f t="shared" si="1511"/>
        <v>90</v>
      </c>
      <c r="V747" s="20">
        <f t="shared" si="1511"/>
        <v>800</v>
      </c>
      <c r="W747" s="20">
        <f t="shared" si="1511"/>
        <v>2000</v>
      </c>
      <c r="X747" s="20">
        <f t="shared" si="1511"/>
        <v>7</v>
      </c>
      <c r="Y747" s="20">
        <v>0</v>
      </c>
      <c r="Z747" s="22">
        <v>0</v>
      </c>
      <c r="AA747" s="20">
        <f t="shared" si="1477"/>
        <v>0</v>
      </c>
      <c r="AB747" s="20">
        <v>0</v>
      </c>
      <c r="AC747" s="20">
        <v>0</v>
      </c>
      <c r="AD747" s="23">
        <f t="shared" ref="AD747:AE747" si="1512">AD717</f>
        <v>50</v>
      </c>
      <c r="AE747" s="23">
        <f t="shared" si="1512"/>
        <v>54</v>
      </c>
    </row>
    <row r="748" spans="1:31">
      <c r="A748" s="4">
        <v>11204</v>
      </c>
      <c r="B748" s="4">
        <v>27</v>
      </c>
      <c r="C748" s="19" t="s">
        <v>72</v>
      </c>
      <c r="D748" s="44">
        <v>0</v>
      </c>
      <c r="E748" s="18">
        <f t="shared" si="1475"/>
        <v>1276</v>
      </c>
      <c r="F748" s="18">
        <v>0</v>
      </c>
      <c r="G748" s="18">
        <v>0</v>
      </c>
      <c r="H748" s="45">
        <v>0</v>
      </c>
      <c r="I748" s="21">
        <f t="shared" si="1489"/>
        <v>385</v>
      </c>
      <c r="J748" s="21">
        <f t="shared" si="1442"/>
        <v>26</v>
      </c>
      <c r="K748" s="21">
        <v>0</v>
      </c>
      <c r="L748" s="20">
        <v>6</v>
      </c>
      <c r="M748" s="20">
        <v>0</v>
      </c>
      <c r="N748" s="20">
        <f t="shared" si="1490"/>
        <v>13500</v>
      </c>
      <c r="O748" s="19" t="s">
        <v>72</v>
      </c>
      <c r="P748" s="20">
        <v>2332</v>
      </c>
      <c r="Q748" s="20">
        <f t="shared" ref="Q748:X748" si="1513">Q718</f>
        <v>1350</v>
      </c>
      <c r="R748" s="20">
        <f t="shared" si="1513"/>
        <v>5400</v>
      </c>
      <c r="S748" s="20">
        <f t="shared" si="1513"/>
        <v>9450</v>
      </c>
      <c r="T748" s="20">
        <f t="shared" si="1513"/>
        <v>12150</v>
      </c>
      <c r="U748" s="20">
        <f t="shared" si="1513"/>
        <v>80</v>
      </c>
      <c r="V748" s="20">
        <f t="shared" si="1513"/>
        <v>700</v>
      </c>
      <c r="W748" s="20">
        <f t="shared" si="1513"/>
        <v>800</v>
      </c>
      <c r="X748" s="20">
        <f t="shared" si="1513"/>
        <v>7</v>
      </c>
      <c r="Y748" s="20">
        <v>0</v>
      </c>
      <c r="Z748" s="22">
        <v>0</v>
      </c>
      <c r="AA748" s="20">
        <f t="shared" si="1477"/>
        <v>0</v>
      </c>
      <c r="AB748" s="20">
        <v>0</v>
      </c>
      <c r="AC748" s="20">
        <v>0</v>
      </c>
      <c r="AD748" s="23">
        <f t="shared" ref="AD748:AE748" si="1514">AD718</f>
        <v>52</v>
      </c>
      <c r="AE748" s="23">
        <f t="shared" si="1514"/>
        <v>56</v>
      </c>
    </row>
    <row r="749" spans="1:31">
      <c r="A749" s="4">
        <v>11204</v>
      </c>
      <c r="B749" s="4">
        <v>28</v>
      </c>
      <c r="C749" s="19" t="s">
        <v>73</v>
      </c>
      <c r="D749" s="44">
        <v>0</v>
      </c>
      <c r="E749" s="18">
        <f t="shared" si="1475"/>
        <v>1382</v>
      </c>
      <c r="F749" s="18">
        <v>0</v>
      </c>
      <c r="G749" s="18">
        <v>0</v>
      </c>
      <c r="H749" s="45">
        <v>0</v>
      </c>
      <c r="I749" s="21">
        <f t="shared" si="1489"/>
        <v>385</v>
      </c>
      <c r="J749" s="21">
        <f t="shared" si="1442"/>
        <v>27</v>
      </c>
      <c r="K749" s="21">
        <v>0</v>
      </c>
      <c r="L749" s="20">
        <v>6</v>
      </c>
      <c r="M749" s="20">
        <v>0</v>
      </c>
      <c r="N749" s="20">
        <f t="shared" si="1490"/>
        <v>14000</v>
      </c>
      <c r="O749" s="19" t="s">
        <v>73</v>
      </c>
      <c r="P749" s="20">
        <v>1487</v>
      </c>
      <c r="Q749" s="20">
        <f t="shared" ref="Q749:X749" si="1515">Q719</f>
        <v>1400</v>
      </c>
      <c r="R749" s="20">
        <f t="shared" si="1515"/>
        <v>5600</v>
      </c>
      <c r="S749" s="20">
        <f t="shared" si="1515"/>
        <v>9800</v>
      </c>
      <c r="T749" s="20">
        <f t="shared" si="1515"/>
        <v>12600</v>
      </c>
      <c r="U749" s="20">
        <f t="shared" si="1515"/>
        <v>80</v>
      </c>
      <c r="V749" s="20">
        <f t="shared" si="1515"/>
        <v>500</v>
      </c>
      <c r="W749" s="20">
        <f t="shared" si="1515"/>
        <v>600</v>
      </c>
      <c r="X749" s="20">
        <f t="shared" si="1515"/>
        <v>7</v>
      </c>
      <c r="Y749" s="20">
        <v>0</v>
      </c>
      <c r="Z749" s="22">
        <v>0</v>
      </c>
      <c r="AA749" s="20">
        <f t="shared" si="1477"/>
        <v>189</v>
      </c>
      <c r="AB749" s="20">
        <v>0</v>
      </c>
      <c r="AC749" s="20">
        <v>0</v>
      </c>
      <c r="AD749" s="23">
        <f t="shared" ref="AD749:AE749" si="1516">AD719</f>
        <v>54</v>
      </c>
      <c r="AE749" s="23">
        <f t="shared" si="1516"/>
        <v>58</v>
      </c>
    </row>
    <row r="750" spans="1:31">
      <c r="A750" s="4">
        <v>11204</v>
      </c>
      <c r="B750" s="4">
        <v>29</v>
      </c>
      <c r="C750" s="19" t="s">
        <v>74</v>
      </c>
      <c r="D750" s="44">
        <v>0</v>
      </c>
      <c r="E750" s="18">
        <f t="shared" si="1475"/>
        <v>1497</v>
      </c>
      <c r="F750" s="18">
        <v>0</v>
      </c>
      <c r="G750" s="18">
        <v>0</v>
      </c>
      <c r="H750" s="45">
        <v>0</v>
      </c>
      <c r="I750" s="21">
        <f t="shared" si="1489"/>
        <v>440</v>
      </c>
      <c r="J750" s="21">
        <f t="shared" si="1442"/>
        <v>28</v>
      </c>
      <c r="K750" s="21">
        <v>0</v>
      </c>
      <c r="L750" s="20">
        <v>6</v>
      </c>
      <c r="M750" s="20">
        <v>0</v>
      </c>
      <c r="N750" s="20">
        <f t="shared" si="1490"/>
        <v>14500</v>
      </c>
      <c r="O750" s="19" t="s">
        <v>74</v>
      </c>
      <c r="P750" s="20">
        <v>1518</v>
      </c>
      <c r="Q750" s="20">
        <f t="shared" ref="Q750:X750" si="1517">Q720</f>
        <v>1450</v>
      </c>
      <c r="R750" s="20">
        <f t="shared" si="1517"/>
        <v>5800</v>
      </c>
      <c r="S750" s="20">
        <f t="shared" si="1517"/>
        <v>10150</v>
      </c>
      <c r="T750" s="20">
        <f t="shared" si="1517"/>
        <v>13050</v>
      </c>
      <c r="U750" s="20">
        <f t="shared" si="1517"/>
        <v>80</v>
      </c>
      <c r="V750" s="20">
        <f t="shared" si="1517"/>
        <v>600</v>
      </c>
      <c r="W750" s="20">
        <f t="shared" si="1517"/>
        <v>700</v>
      </c>
      <c r="X750" s="20">
        <f t="shared" si="1517"/>
        <v>8</v>
      </c>
      <c r="Y750" s="20">
        <v>0</v>
      </c>
      <c r="Z750" s="22">
        <v>0</v>
      </c>
      <c r="AA750" s="20">
        <f t="shared" si="1477"/>
        <v>0</v>
      </c>
      <c r="AB750" s="20">
        <v>0</v>
      </c>
      <c r="AC750" s="20">
        <v>0</v>
      </c>
      <c r="AD750" s="23">
        <f t="shared" ref="AD750:AE750" si="1518">AD720</f>
        <v>56</v>
      </c>
      <c r="AE750" s="23">
        <f t="shared" si="1518"/>
        <v>60</v>
      </c>
    </row>
    <row r="751" spans="1:31">
      <c r="A751" s="4">
        <v>11204</v>
      </c>
      <c r="B751" s="4">
        <v>30</v>
      </c>
      <c r="C751" s="19" t="s">
        <v>75</v>
      </c>
      <c r="D751" s="44">
        <v>0</v>
      </c>
      <c r="E751" s="18">
        <f t="shared" si="1475"/>
        <v>1620</v>
      </c>
      <c r="F751" s="18">
        <v>0</v>
      </c>
      <c r="G751" s="18">
        <v>0</v>
      </c>
      <c r="H751" s="45">
        <v>0</v>
      </c>
      <c r="I751" s="21">
        <f t="shared" si="1489"/>
        <v>440</v>
      </c>
      <c r="J751" s="21">
        <f t="shared" si="1442"/>
        <v>29</v>
      </c>
      <c r="K751" s="21">
        <v>0</v>
      </c>
      <c r="L751" s="20">
        <v>6</v>
      </c>
      <c r="M751" s="20">
        <v>0</v>
      </c>
      <c r="N751" s="20">
        <f t="shared" si="1490"/>
        <v>15000</v>
      </c>
      <c r="O751" s="19" t="s">
        <v>75</v>
      </c>
      <c r="P751" s="20">
        <v>861</v>
      </c>
      <c r="Q751" s="20">
        <f t="shared" ref="Q751:X751" si="1519">Q721</f>
        <v>1500</v>
      </c>
      <c r="R751" s="20">
        <f t="shared" si="1519"/>
        <v>6000</v>
      </c>
      <c r="S751" s="20">
        <f t="shared" si="1519"/>
        <v>10500</v>
      </c>
      <c r="T751" s="20">
        <f t="shared" si="1519"/>
        <v>13500</v>
      </c>
      <c r="U751" s="20">
        <f t="shared" si="1519"/>
        <v>20</v>
      </c>
      <c r="V751" s="20">
        <f t="shared" si="1519"/>
        <v>450</v>
      </c>
      <c r="W751" s="20">
        <f t="shared" si="1519"/>
        <v>1000</v>
      </c>
      <c r="X751" s="20">
        <f t="shared" si="1519"/>
        <v>8</v>
      </c>
      <c r="Y751" s="20">
        <v>0</v>
      </c>
      <c r="Z751" s="22">
        <v>0</v>
      </c>
      <c r="AA751" s="20">
        <f t="shared" si="1477"/>
        <v>0</v>
      </c>
      <c r="AB751" s="20">
        <v>0</v>
      </c>
      <c r="AC751" s="20">
        <v>0</v>
      </c>
      <c r="AD751" s="23">
        <f t="shared" ref="AD751:AE751" si="1520">AD721</f>
        <v>58</v>
      </c>
      <c r="AE751" s="23">
        <f t="shared" si="1520"/>
        <v>62</v>
      </c>
    </row>
    <row r="752" spans="1:31">
      <c r="A752" s="8">
        <v>12100</v>
      </c>
      <c r="B752" s="8">
        <v>1</v>
      </c>
      <c r="C752" s="19" t="s">
        <v>66</v>
      </c>
      <c r="D752" s="44">
        <f>D452</f>
        <v>36</v>
      </c>
      <c r="E752" s="18">
        <v>0</v>
      </c>
      <c r="F752" s="18">
        <v>0</v>
      </c>
      <c r="G752" s="18">
        <v>0</v>
      </c>
      <c r="H752" s="45">
        <v>0</v>
      </c>
      <c r="I752" s="21">
        <f t="shared" si="1489"/>
        <v>55</v>
      </c>
      <c r="J752" s="21">
        <f t="shared" si="1442"/>
        <v>0</v>
      </c>
      <c r="K752" s="21">
        <v>0</v>
      </c>
      <c r="L752" s="20">
        <v>45</v>
      </c>
      <c r="M752" s="20">
        <v>0</v>
      </c>
      <c r="N752" s="20">
        <f t="shared" si="1490"/>
        <v>10</v>
      </c>
      <c r="O752" s="19" t="s">
        <v>66</v>
      </c>
      <c r="P752" s="20">
        <v>9400</v>
      </c>
      <c r="Q752" s="20">
        <f t="shared" ref="Q752:X752" si="1521">Q722</f>
        <v>1</v>
      </c>
      <c r="R752" s="20">
        <f t="shared" si="1521"/>
        <v>4</v>
      </c>
      <c r="S752" s="20">
        <f t="shared" si="1521"/>
        <v>7</v>
      </c>
      <c r="T752" s="20">
        <f t="shared" si="1521"/>
        <v>9</v>
      </c>
      <c r="U752" s="20">
        <f t="shared" si="1521"/>
        <v>9400</v>
      </c>
      <c r="V752" s="20">
        <f t="shared" si="1521"/>
        <v>9400</v>
      </c>
      <c r="W752" s="20">
        <f t="shared" si="1521"/>
        <v>9400</v>
      </c>
      <c r="X752" s="20">
        <f t="shared" si="1521"/>
        <v>1</v>
      </c>
      <c r="Y752" s="20">
        <f>INT(Y2*0.75)</f>
        <v>0</v>
      </c>
      <c r="Z752" s="22">
        <v>0</v>
      </c>
      <c r="AA752" s="20">
        <v>0</v>
      </c>
      <c r="AB752" s="20">
        <v>0</v>
      </c>
      <c r="AC752" s="20">
        <v>0</v>
      </c>
      <c r="AD752" s="23">
        <f t="shared" ref="AD752:AE752" si="1522">AD722</f>
        <v>1</v>
      </c>
      <c r="AE752" s="23">
        <f t="shared" si="1522"/>
        <v>3</v>
      </c>
    </row>
    <row r="753" spans="1:31">
      <c r="A753" s="4">
        <v>12100</v>
      </c>
      <c r="B753" s="4">
        <v>2</v>
      </c>
      <c r="C753" s="19" t="s">
        <v>67</v>
      </c>
      <c r="D753" s="44">
        <f t="shared" ref="D753:D816" si="1523">D453</f>
        <v>39</v>
      </c>
      <c r="E753" s="18">
        <v>0</v>
      </c>
      <c r="F753" s="18">
        <v>0</v>
      </c>
      <c r="G753" s="18">
        <v>0</v>
      </c>
      <c r="H753" s="45">
        <v>0</v>
      </c>
      <c r="I753" s="21">
        <f t="shared" si="1489"/>
        <v>55</v>
      </c>
      <c r="J753" s="21">
        <f t="shared" si="1442"/>
        <v>1</v>
      </c>
      <c r="K753" s="21">
        <v>0</v>
      </c>
      <c r="L753" s="20">
        <v>40</v>
      </c>
      <c r="M753" s="20">
        <v>0</v>
      </c>
      <c r="N753" s="20">
        <f t="shared" si="1490"/>
        <v>20</v>
      </c>
      <c r="O753" s="19" t="s">
        <v>67</v>
      </c>
      <c r="P753" s="20">
        <v>9100</v>
      </c>
      <c r="Q753" s="20">
        <f t="shared" ref="Q753:X753" si="1524">Q723</f>
        <v>2</v>
      </c>
      <c r="R753" s="20">
        <f t="shared" si="1524"/>
        <v>8</v>
      </c>
      <c r="S753" s="20">
        <f t="shared" si="1524"/>
        <v>14</v>
      </c>
      <c r="T753" s="20">
        <f t="shared" si="1524"/>
        <v>18</v>
      </c>
      <c r="U753" s="20">
        <f t="shared" si="1524"/>
        <v>4000</v>
      </c>
      <c r="V753" s="20">
        <f t="shared" si="1524"/>
        <v>8000</v>
      </c>
      <c r="W753" s="20">
        <f t="shared" si="1524"/>
        <v>8000</v>
      </c>
      <c r="X753" s="20">
        <f t="shared" si="1524"/>
        <v>1</v>
      </c>
      <c r="Y753" s="20">
        <f t="shared" ref="Y753:Y816" si="1525">INT(Y3*0.75)</f>
        <v>0</v>
      </c>
      <c r="Z753" s="22">
        <v>0</v>
      </c>
      <c r="AA753" s="20">
        <v>0</v>
      </c>
      <c r="AB753" s="20">
        <v>0</v>
      </c>
      <c r="AC753" s="20">
        <v>0</v>
      </c>
      <c r="AD753" s="23">
        <f t="shared" ref="AD753:AE753" si="1526">AD723</f>
        <v>2</v>
      </c>
      <c r="AE753" s="23">
        <f t="shared" si="1526"/>
        <v>5</v>
      </c>
    </row>
    <row r="754" spans="1:31">
      <c r="A754" s="4">
        <v>12100</v>
      </c>
      <c r="B754" s="4">
        <v>3</v>
      </c>
      <c r="C754" s="19" t="s">
        <v>68</v>
      </c>
      <c r="D754" s="44">
        <f t="shared" si="1523"/>
        <v>42</v>
      </c>
      <c r="E754" s="18">
        <v>0</v>
      </c>
      <c r="F754" s="18">
        <v>0</v>
      </c>
      <c r="G754" s="18">
        <v>0</v>
      </c>
      <c r="H754" s="45">
        <v>0</v>
      </c>
      <c r="I754" s="21">
        <f t="shared" si="1489"/>
        <v>55</v>
      </c>
      <c r="J754" s="21">
        <f t="shared" si="1442"/>
        <v>2</v>
      </c>
      <c r="K754" s="21">
        <v>0</v>
      </c>
      <c r="L754" s="20">
        <v>35</v>
      </c>
      <c r="M754" s="20">
        <v>0</v>
      </c>
      <c r="N754" s="20">
        <f t="shared" si="1490"/>
        <v>40</v>
      </c>
      <c r="O754" s="19" t="s">
        <v>68</v>
      </c>
      <c r="P754" s="20">
        <v>8600</v>
      </c>
      <c r="Q754" s="20">
        <f t="shared" ref="Q754:X754" si="1527">Q724</f>
        <v>4</v>
      </c>
      <c r="R754" s="20">
        <f t="shared" si="1527"/>
        <v>16</v>
      </c>
      <c r="S754" s="20">
        <f t="shared" si="1527"/>
        <v>28</v>
      </c>
      <c r="T754" s="20">
        <f t="shared" si="1527"/>
        <v>36</v>
      </c>
      <c r="U754" s="20">
        <f t="shared" si="1527"/>
        <v>1600</v>
      </c>
      <c r="V754" s="20">
        <f t="shared" si="1527"/>
        <v>5000</v>
      </c>
      <c r="W754" s="20">
        <f t="shared" si="1527"/>
        <v>6000</v>
      </c>
      <c r="X754" s="20">
        <f t="shared" si="1527"/>
        <v>1</v>
      </c>
      <c r="Y754" s="20">
        <f t="shared" si="1525"/>
        <v>0</v>
      </c>
      <c r="Z754" s="22">
        <v>0</v>
      </c>
      <c r="AA754" s="20">
        <v>0</v>
      </c>
      <c r="AB754" s="20">
        <v>0</v>
      </c>
      <c r="AC754" s="20">
        <v>0</v>
      </c>
      <c r="AD754" s="23">
        <f t="shared" ref="AD754:AE754" si="1528">AD724</f>
        <v>4</v>
      </c>
      <c r="AE754" s="23">
        <f t="shared" si="1528"/>
        <v>8</v>
      </c>
    </row>
    <row r="755" spans="1:31">
      <c r="A755" s="4">
        <v>12100</v>
      </c>
      <c r="B755" s="4">
        <v>4</v>
      </c>
      <c r="C755" s="19" t="s">
        <v>69</v>
      </c>
      <c r="D755" s="44">
        <f t="shared" si="1523"/>
        <v>46</v>
      </c>
      <c r="E755" s="18">
        <v>0</v>
      </c>
      <c r="F755" s="18">
        <v>0</v>
      </c>
      <c r="G755" s="18">
        <v>0</v>
      </c>
      <c r="H755" s="45">
        <v>0</v>
      </c>
      <c r="I755" s="21">
        <f t="shared" si="1489"/>
        <v>55</v>
      </c>
      <c r="J755" s="21">
        <f t="shared" si="1442"/>
        <v>3</v>
      </c>
      <c r="K755" s="21">
        <v>0</v>
      </c>
      <c r="L755" s="20">
        <v>30</v>
      </c>
      <c r="M755" s="20">
        <v>0</v>
      </c>
      <c r="N755" s="20">
        <f t="shared" si="1490"/>
        <v>100</v>
      </c>
      <c r="O755" s="19" t="s">
        <v>69</v>
      </c>
      <c r="P755" s="20">
        <v>6400</v>
      </c>
      <c r="Q755" s="20">
        <f t="shared" ref="Q755:X755" si="1529">Q725</f>
        <v>10</v>
      </c>
      <c r="R755" s="20">
        <f t="shared" si="1529"/>
        <v>40</v>
      </c>
      <c r="S755" s="20">
        <f t="shared" si="1529"/>
        <v>70</v>
      </c>
      <c r="T755" s="20">
        <f t="shared" si="1529"/>
        <v>90</v>
      </c>
      <c r="U755" s="20">
        <f t="shared" si="1529"/>
        <v>900</v>
      </c>
      <c r="V755" s="20">
        <f t="shared" si="1529"/>
        <v>2000</v>
      </c>
      <c r="W755" s="20">
        <f t="shared" si="1529"/>
        <v>8000</v>
      </c>
      <c r="X755" s="20">
        <f t="shared" si="1529"/>
        <v>1</v>
      </c>
      <c r="Y755" s="20">
        <f t="shared" si="1525"/>
        <v>0</v>
      </c>
      <c r="Z755" s="22">
        <v>0</v>
      </c>
      <c r="AA755" s="20">
        <v>0</v>
      </c>
      <c r="AB755" s="20">
        <v>0</v>
      </c>
      <c r="AC755" s="20">
        <v>0</v>
      </c>
      <c r="AD755" s="23">
        <f t="shared" ref="AD755:AE755" si="1530">AD725</f>
        <v>6</v>
      </c>
      <c r="AE755" s="23">
        <f t="shared" si="1530"/>
        <v>10</v>
      </c>
    </row>
    <row r="756" spans="1:31">
      <c r="A756" s="4">
        <v>12100</v>
      </c>
      <c r="B756" s="4">
        <v>5</v>
      </c>
      <c r="C756" s="19" t="s">
        <v>70</v>
      </c>
      <c r="D756" s="44">
        <f t="shared" si="1523"/>
        <v>50</v>
      </c>
      <c r="E756" s="18">
        <v>0</v>
      </c>
      <c r="F756" s="18">
        <v>0</v>
      </c>
      <c r="G756" s="18">
        <v>0</v>
      </c>
      <c r="H756" s="45">
        <v>0</v>
      </c>
      <c r="I756" s="21">
        <f t="shared" si="1489"/>
        <v>110</v>
      </c>
      <c r="J756" s="21">
        <f t="shared" si="1442"/>
        <v>4</v>
      </c>
      <c r="K756" s="21">
        <v>0</v>
      </c>
      <c r="L756" s="20">
        <v>25</v>
      </c>
      <c r="M756" s="20">
        <v>0</v>
      </c>
      <c r="N756" s="20">
        <f t="shared" si="1490"/>
        <v>200</v>
      </c>
      <c r="O756" s="19" t="s">
        <v>70</v>
      </c>
      <c r="P756" s="20">
        <v>3100</v>
      </c>
      <c r="Q756" s="20">
        <f t="shared" ref="Q756:X756" si="1531">Q726</f>
        <v>20</v>
      </c>
      <c r="R756" s="20">
        <f t="shared" si="1531"/>
        <v>80</v>
      </c>
      <c r="S756" s="20">
        <f t="shared" si="1531"/>
        <v>140</v>
      </c>
      <c r="T756" s="20">
        <f t="shared" si="1531"/>
        <v>180</v>
      </c>
      <c r="U756" s="20">
        <f t="shared" si="1531"/>
        <v>1000</v>
      </c>
      <c r="V756" s="20">
        <f t="shared" si="1531"/>
        <v>2000</v>
      </c>
      <c r="W756" s="20">
        <f t="shared" si="1531"/>
        <v>2000</v>
      </c>
      <c r="X756" s="20">
        <f t="shared" si="1531"/>
        <v>2</v>
      </c>
      <c r="Y756" s="20">
        <f t="shared" si="1525"/>
        <v>0</v>
      </c>
      <c r="Z756" s="22">
        <v>0</v>
      </c>
      <c r="AA756" s="20">
        <v>0</v>
      </c>
      <c r="AB756" s="20">
        <v>0</v>
      </c>
      <c r="AC756" s="20">
        <v>0</v>
      </c>
      <c r="AD756" s="23">
        <f t="shared" ref="AD756:AE756" si="1532">AD726</f>
        <v>8</v>
      </c>
      <c r="AE756" s="23">
        <f t="shared" si="1532"/>
        <v>12</v>
      </c>
    </row>
    <row r="757" spans="1:31">
      <c r="A757" s="4">
        <v>12100</v>
      </c>
      <c r="B757" s="4">
        <v>6</v>
      </c>
      <c r="C757" s="19" t="s">
        <v>71</v>
      </c>
      <c r="D757" s="44">
        <f t="shared" si="1523"/>
        <v>54</v>
      </c>
      <c r="E757" s="18">
        <v>0</v>
      </c>
      <c r="F757" s="18">
        <v>0</v>
      </c>
      <c r="G757" s="18">
        <v>0</v>
      </c>
      <c r="H757" s="45">
        <v>0</v>
      </c>
      <c r="I757" s="21">
        <f t="shared" si="1489"/>
        <v>110</v>
      </c>
      <c r="J757" s="21">
        <f t="shared" si="1442"/>
        <v>5</v>
      </c>
      <c r="K757" s="21">
        <v>0</v>
      </c>
      <c r="L757" s="20">
        <v>20</v>
      </c>
      <c r="M757" s="20">
        <v>0</v>
      </c>
      <c r="N757" s="20">
        <f t="shared" si="1490"/>
        <v>500</v>
      </c>
      <c r="O757" s="19" t="s">
        <v>71</v>
      </c>
      <c r="P757" s="20">
        <v>1777</v>
      </c>
      <c r="Q757" s="20">
        <f t="shared" ref="Q757:X757" si="1533">Q727</f>
        <v>50</v>
      </c>
      <c r="R757" s="20">
        <f t="shared" si="1533"/>
        <v>200</v>
      </c>
      <c r="S757" s="20">
        <f t="shared" si="1533"/>
        <v>350</v>
      </c>
      <c r="T757" s="20">
        <f t="shared" si="1533"/>
        <v>450</v>
      </c>
      <c r="U757" s="20">
        <f t="shared" si="1533"/>
        <v>800</v>
      </c>
      <c r="V757" s="20">
        <f t="shared" si="1533"/>
        <v>800</v>
      </c>
      <c r="W757" s="20">
        <f t="shared" si="1533"/>
        <v>600</v>
      </c>
      <c r="X757" s="20">
        <f t="shared" si="1533"/>
        <v>2</v>
      </c>
      <c r="Y757" s="20">
        <f t="shared" si="1525"/>
        <v>0</v>
      </c>
      <c r="Z757" s="22">
        <v>0</v>
      </c>
      <c r="AA757" s="20">
        <v>0</v>
      </c>
      <c r="AB757" s="20">
        <v>0</v>
      </c>
      <c r="AC757" s="20">
        <v>0</v>
      </c>
      <c r="AD757" s="23">
        <f t="shared" ref="AD757:AE757" si="1534">AD727</f>
        <v>10</v>
      </c>
      <c r="AE757" s="23">
        <f t="shared" si="1534"/>
        <v>14</v>
      </c>
    </row>
    <row r="758" spans="1:31">
      <c r="A758" s="4">
        <v>12100</v>
      </c>
      <c r="B758" s="4">
        <v>7</v>
      </c>
      <c r="C758" s="19" t="s">
        <v>72</v>
      </c>
      <c r="D758" s="44">
        <f t="shared" si="1523"/>
        <v>58</v>
      </c>
      <c r="E758" s="18">
        <v>0</v>
      </c>
      <c r="F758" s="18">
        <v>0</v>
      </c>
      <c r="G758" s="18">
        <v>0</v>
      </c>
      <c r="H758" s="45">
        <v>0</v>
      </c>
      <c r="I758" s="21">
        <f t="shared" si="1489"/>
        <v>110</v>
      </c>
      <c r="J758" s="21">
        <f t="shared" si="1442"/>
        <v>6</v>
      </c>
      <c r="K758" s="21">
        <v>0</v>
      </c>
      <c r="L758" s="20">
        <v>16</v>
      </c>
      <c r="M758" s="20">
        <v>0</v>
      </c>
      <c r="N758" s="20">
        <f t="shared" si="1490"/>
        <v>700</v>
      </c>
      <c r="O758" s="19" t="s">
        <v>72</v>
      </c>
      <c r="P758" s="20">
        <v>2332</v>
      </c>
      <c r="Q758" s="20">
        <f t="shared" ref="Q758:X758" si="1535">Q728</f>
        <v>70</v>
      </c>
      <c r="R758" s="20">
        <f t="shared" si="1535"/>
        <v>280</v>
      </c>
      <c r="S758" s="20">
        <f t="shared" si="1535"/>
        <v>489.99999999999994</v>
      </c>
      <c r="T758" s="20">
        <f t="shared" si="1535"/>
        <v>630</v>
      </c>
      <c r="U758" s="20">
        <f t="shared" si="1535"/>
        <v>650</v>
      </c>
      <c r="V758" s="20">
        <f t="shared" si="1535"/>
        <v>800</v>
      </c>
      <c r="W758" s="20">
        <f t="shared" si="1535"/>
        <v>300</v>
      </c>
      <c r="X758" s="20">
        <f t="shared" si="1535"/>
        <v>2</v>
      </c>
      <c r="Y758" s="20">
        <f t="shared" si="1525"/>
        <v>0</v>
      </c>
      <c r="Z758" s="22">
        <v>0</v>
      </c>
      <c r="AA758" s="20">
        <v>0</v>
      </c>
      <c r="AB758" s="20">
        <v>0</v>
      </c>
      <c r="AC758" s="20">
        <v>0</v>
      </c>
      <c r="AD758" s="23">
        <f t="shared" ref="AD758:AE758" si="1536">AD728</f>
        <v>12</v>
      </c>
      <c r="AE758" s="23">
        <f t="shared" si="1536"/>
        <v>16</v>
      </c>
    </row>
    <row r="759" spans="1:31">
      <c r="A759" s="4">
        <v>12100</v>
      </c>
      <c r="B759" s="4">
        <v>8</v>
      </c>
      <c r="C759" s="19" t="s">
        <v>73</v>
      </c>
      <c r="D759" s="44">
        <f t="shared" si="1523"/>
        <v>63</v>
      </c>
      <c r="E759" s="18">
        <v>0</v>
      </c>
      <c r="F759" s="18">
        <v>0</v>
      </c>
      <c r="G759" s="18">
        <v>0</v>
      </c>
      <c r="H759" s="45">
        <v>0</v>
      </c>
      <c r="I759" s="21">
        <f t="shared" si="1489"/>
        <v>110</v>
      </c>
      <c r="J759" s="21">
        <f t="shared" si="1442"/>
        <v>7</v>
      </c>
      <c r="K759" s="21">
        <v>0</v>
      </c>
      <c r="L759" s="20">
        <v>12</v>
      </c>
      <c r="M759" s="20">
        <v>0</v>
      </c>
      <c r="N759" s="20">
        <f t="shared" si="1490"/>
        <v>800</v>
      </c>
      <c r="O759" s="19" t="s">
        <v>73</v>
      </c>
      <c r="P759" s="20">
        <v>1487</v>
      </c>
      <c r="Q759" s="20">
        <f t="shared" ref="Q759:X759" si="1537">Q729</f>
        <v>80</v>
      </c>
      <c r="R759" s="20">
        <f t="shared" si="1537"/>
        <v>320</v>
      </c>
      <c r="S759" s="20">
        <f t="shared" si="1537"/>
        <v>560</v>
      </c>
      <c r="T759" s="20">
        <f t="shared" si="1537"/>
        <v>720</v>
      </c>
      <c r="U759" s="20">
        <f t="shared" si="1537"/>
        <v>200</v>
      </c>
      <c r="V759" s="20">
        <f t="shared" si="1537"/>
        <v>2000</v>
      </c>
      <c r="W759" s="20">
        <f t="shared" si="1537"/>
        <v>1000</v>
      </c>
      <c r="X759" s="20">
        <f t="shared" si="1537"/>
        <v>2</v>
      </c>
      <c r="Y759" s="20">
        <f t="shared" si="1525"/>
        <v>32</v>
      </c>
      <c r="Z759" s="22">
        <v>0</v>
      </c>
      <c r="AA759" s="20">
        <v>0</v>
      </c>
      <c r="AB759" s="20">
        <v>0</v>
      </c>
      <c r="AC759" s="20">
        <v>0</v>
      </c>
      <c r="AD759" s="23">
        <f t="shared" ref="AD759:AE759" si="1538">AD729</f>
        <v>14</v>
      </c>
      <c r="AE759" s="23">
        <f t="shared" si="1538"/>
        <v>18</v>
      </c>
    </row>
    <row r="760" spans="1:31">
      <c r="A760" s="4">
        <v>12100</v>
      </c>
      <c r="B760" s="4">
        <v>9</v>
      </c>
      <c r="C760" s="19" t="s">
        <v>74</v>
      </c>
      <c r="D760" s="44">
        <f t="shared" si="1523"/>
        <v>68</v>
      </c>
      <c r="E760" s="18">
        <v>0</v>
      </c>
      <c r="F760" s="18">
        <v>0</v>
      </c>
      <c r="G760" s="18">
        <v>0</v>
      </c>
      <c r="H760" s="45">
        <v>0</v>
      </c>
      <c r="I760" s="21">
        <f t="shared" si="1489"/>
        <v>165</v>
      </c>
      <c r="J760" s="21">
        <f t="shared" si="1442"/>
        <v>8</v>
      </c>
      <c r="K760" s="21">
        <v>0</v>
      </c>
      <c r="L760" s="20">
        <v>8</v>
      </c>
      <c r="M760" s="20">
        <v>0</v>
      </c>
      <c r="N760" s="20">
        <f t="shared" si="1490"/>
        <v>900</v>
      </c>
      <c r="O760" s="19" t="s">
        <v>74</v>
      </c>
      <c r="P760" s="20">
        <v>1518</v>
      </c>
      <c r="Q760" s="20">
        <f t="shared" ref="Q760:X760" si="1539">Q730</f>
        <v>90</v>
      </c>
      <c r="R760" s="20">
        <f t="shared" si="1539"/>
        <v>360</v>
      </c>
      <c r="S760" s="20">
        <f t="shared" si="1539"/>
        <v>630</v>
      </c>
      <c r="T760" s="20">
        <f t="shared" si="1539"/>
        <v>810</v>
      </c>
      <c r="U760" s="20">
        <f t="shared" si="1539"/>
        <v>120</v>
      </c>
      <c r="V760" s="20">
        <f t="shared" si="1539"/>
        <v>1500</v>
      </c>
      <c r="W760" s="20">
        <f t="shared" si="1539"/>
        <v>1000</v>
      </c>
      <c r="X760" s="20">
        <f t="shared" si="1539"/>
        <v>3</v>
      </c>
      <c r="Y760" s="20">
        <f t="shared" si="1525"/>
        <v>0</v>
      </c>
      <c r="Z760" s="22">
        <v>0</v>
      </c>
      <c r="AA760" s="20">
        <v>0</v>
      </c>
      <c r="AB760" s="20">
        <v>0</v>
      </c>
      <c r="AC760" s="20">
        <v>0</v>
      </c>
      <c r="AD760" s="23">
        <f t="shared" ref="AD760:AE760" si="1540">AD730</f>
        <v>16</v>
      </c>
      <c r="AE760" s="23">
        <f t="shared" si="1540"/>
        <v>20</v>
      </c>
    </row>
    <row r="761" spans="1:31">
      <c r="A761" s="4">
        <v>12100</v>
      </c>
      <c r="B761" s="4">
        <v>10</v>
      </c>
      <c r="C761" s="19" t="s">
        <v>75</v>
      </c>
      <c r="D761" s="44">
        <f t="shared" si="1523"/>
        <v>74</v>
      </c>
      <c r="E761" s="18">
        <v>0</v>
      </c>
      <c r="F761" s="18">
        <v>0</v>
      </c>
      <c r="G761" s="18">
        <v>0</v>
      </c>
      <c r="H761" s="45">
        <v>0</v>
      </c>
      <c r="I761" s="21">
        <f t="shared" si="1489"/>
        <v>165</v>
      </c>
      <c r="J761" s="21">
        <f t="shared" si="1442"/>
        <v>9</v>
      </c>
      <c r="K761" s="21">
        <v>0</v>
      </c>
      <c r="L761" s="20">
        <v>6</v>
      </c>
      <c r="M761" s="20">
        <v>0</v>
      </c>
      <c r="N761" s="20">
        <f t="shared" si="1490"/>
        <v>2000</v>
      </c>
      <c r="O761" s="19" t="s">
        <v>75</v>
      </c>
      <c r="P761" s="20">
        <v>861</v>
      </c>
      <c r="Q761" s="20">
        <f t="shared" ref="Q761:X761" si="1541">Q731</f>
        <v>200</v>
      </c>
      <c r="R761" s="20">
        <f t="shared" si="1541"/>
        <v>800</v>
      </c>
      <c r="S761" s="20">
        <f t="shared" si="1541"/>
        <v>1400</v>
      </c>
      <c r="T761" s="20">
        <f t="shared" si="1541"/>
        <v>1800</v>
      </c>
      <c r="U761" s="20">
        <f t="shared" si="1541"/>
        <v>150</v>
      </c>
      <c r="V761" s="20">
        <f t="shared" si="1541"/>
        <v>5000</v>
      </c>
      <c r="W761" s="20">
        <f t="shared" si="1541"/>
        <v>800</v>
      </c>
      <c r="X761" s="20">
        <f t="shared" si="1541"/>
        <v>3</v>
      </c>
      <c r="Y761" s="20">
        <f t="shared" si="1525"/>
        <v>0</v>
      </c>
      <c r="Z761" s="22">
        <v>0</v>
      </c>
      <c r="AA761" s="20">
        <v>0</v>
      </c>
      <c r="AB761" s="20">
        <v>0</v>
      </c>
      <c r="AC761" s="20">
        <v>0</v>
      </c>
      <c r="AD761" s="23">
        <f t="shared" ref="AD761:AE761" si="1542">AD731</f>
        <v>18</v>
      </c>
      <c r="AE761" s="23">
        <f t="shared" si="1542"/>
        <v>22</v>
      </c>
    </row>
    <row r="762" spans="1:31">
      <c r="A762" s="4">
        <v>12100</v>
      </c>
      <c r="B762" s="4">
        <v>11</v>
      </c>
      <c r="C762" s="19" t="s">
        <v>66</v>
      </c>
      <c r="D762" s="44">
        <f t="shared" si="1523"/>
        <v>80</v>
      </c>
      <c r="E762" s="18">
        <v>0</v>
      </c>
      <c r="F762" s="18">
        <v>0</v>
      </c>
      <c r="G762" s="18">
        <v>0</v>
      </c>
      <c r="H762" s="45">
        <v>0</v>
      </c>
      <c r="I762" s="21">
        <f t="shared" si="1489"/>
        <v>165</v>
      </c>
      <c r="J762" s="21">
        <f t="shared" si="1442"/>
        <v>10</v>
      </c>
      <c r="K762" s="21">
        <v>0</v>
      </c>
      <c r="L762" s="20">
        <v>6</v>
      </c>
      <c r="M762" s="20">
        <v>0</v>
      </c>
      <c r="N762" s="20">
        <f t="shared" si="1490"/>
        <v>2200</v>
      </c>
      <c r="O762" s="19" t="s">
        <v>66</v>
      </c>
      <c r="P762" s="20">
        <v>9400</v>
      </c>
      <c r="Q762" s="20">
        <f t="shared" ref="Q762:X762" si="1543">Q732</f>
        <v>220</v>
      </c>
      <c r="R762" s="20">
        <f t="shared" si="1543"/>
        <v>880</v>
      </c>
      <c r="S762" s="20">
        <f t="shared" si="1543"/>
        <v>1540</v>
      </c>
      <c r="T762" s="20">
        <f t="shared" si="1543"/>
        <v>1980</v>
      </c>
      <c r="U762" s="20">
        <f t="shared" si="1543"/>
        <v>100</v>
      </c>
      <c r="V762" s="20">
        <f t="shared" si="1543"/>
        <v>800</v>
      </c>
      <c r="W762" s="20">
        <f t="shared" si="1543"/>
        <v>600</v>
      </c>
      <c r="X762" s="20">
        <f t="shared" si="1543"/>
        <v>3</v>
      </c>
      <c r="Y762" s="20">
        <f t="shared" si="1525"/>
        <v>0</v>
      </c>
      <c r="Z762" s="22">
        <v>0</v>
      </c>
      <c r="AA762" s="20">
        <v>0</v>
      </c>
      <c r="AB762" s="20">
        <v>0</v>
      </c>
      <c r="AC762" s="20">
        <v>0</v>
      </c>
      <c r="AD762" s="23">
        <f t="shared" ref="AD762:AE762" si="1544">AD732</f>
        <v>20</v>
      </c>
      <c r="AE762" s="23">
        <f t="shared" si="1544"/>
        <v>24</v>
      </c>
    </row>
    <row r="763" spans="1:31">
      <c r="A763" s="4">
        <v>12100</v>
      </c>
      <c r="B763" s="4">
        <v>12</v>
      </c>
      <c r="C763" s="19" t="s">
        <v>67</v>
      </c>
      <c r="D763" s="44">
        <f t="shared" si="1523"/>
        <v>86</v>
      </c>
      <c r="E763" s="18">
        <v>0</v>
      </c>
      <c r="F763" s="18">
        <v>0</v>
      </c>
      <c r="G763" s="18">
        <v>0</v>
      </c>
      <c r="H763" s="45">
        <v>0</v>
      </c>
      <c r="I763" s="21">
        <f t="shared" si="1489"/>
        <v>165</v>
      </c>
      <c r="J763" s="21">
        <f t="shared" si="1442"/>
        <v>11</v>
      </c>
      <c r="K763" s="21">
        <v>0</v>
      </c>
      <c r="L763" s="20">
        <v>6</v>
      </c>
      <c r="M763" s="20">
        <v>0</v>
      </c>
      <c r="N763" s="20">
        <f t="shared" si="1490"/>
        <v>2400</v>
      </c>
      <c r="O763" s="19" t="s">
        <v>67</v>
      </c>
      <c r="P763" s="20">
        <v>9100</v>
      </c>
      <c r="Q763" s="20">
        <f t="shared" ref="Q763:X763" si="1545">Q733</f>
        <v>240</v>
      </c>
      <c r="R763" s="20">
        <f t="shared" si="1545"/>
        <v>960</v>
      </c>
      <c r="S763" s="20">
        <f t="shared" si="1545"/>
        <v>1680</v>
      </c>
      <c r="T763" s="20">
        <f t="shared" si="1545"/>
        <v>2160</v>
      </c>
      <c r="U763" s="20">
        <f t="shared" si="1545"/>
        <v>150</v>
      </c>
      <c r="V763" s="20">
        <f t="shared" si="1545"/>
        <v>700</v>
      </c>
      <c r="W763" s="20">
        <f t="shared" si="1545"/>
        <v>900</v>
      </c>
      <c r="X763" s="20">
        <f t="shared" si="1545"/>
        <v>3</v>
      </c>
      <c r="Y763" s="20">
        <f t="shared" si="1525"/>
        <v>0</v>
      </c>
      <c r="Z763" s="22">
        <v>0</v>
      </c>
      <c r="AA763" s="20">
        <v>0</v>
      </c>
      <c r="AB763" s="20">
        <v>0</v>
      </c>
      <c r="AC763" s="20">
        <v>0</v>
      </c>
      <c r="AD763" s="23">
        <f t="shared" ref="AD763:AE763" si="1546">AD733</f>
        <v>22</v>
      </c>
      <c r="AE763" s="23">
        <f t="shared" si="1546"/>
        <v>26</v>
      </c>
    </row>
    <row r="764" spans="1:31">
      <c r="A764" s="4">
        <v>12100</v>
      </c>
      <c r="B764" s="4">
        <v>13</v>
      </c>
      <c r="C764" s="19" t="s">
        <v>68</v>
      </c>
      <c r="D764" s="44">
        <f t="shared" si="1523"/>
        <v>94</v>
      </c>
      <c r="E764" s="18">
        <v>0</v>
      </c>
      <c r="F764" s="18">
        <v>0</v>
      </c>
      <c r="G764" s="18">
        <v>0</v>
      </c>
      <c r="H764" s="45">
        <v>0</v>
      </c>
      <c r="I764" s="21">
        <f t="shared" si="1489"/>
        <v>220</v>
      </c>
      <c r="J764" s="21">
        <f t="shared" si="1442"/>
        <v>12</v>
      </c>
      <c r="K764" s="21">
        <v>0</v>
      </c>
      <c r="L764" s="20">
        <v>6</v>
      </c>
      <c r="M764" s="20">
        <v>0</v>
      </c>
      <c r="N764" s="20">
        <f t="shared" si="1490"/>
        <v>2600</v>
      </c>
      <c r="O764" s="19" t="s">
        <v>68</v>
      </c>
      <c r="P764" s="20">
        <v>8600</v>
      </c>
      <c r="Q764" s="20">
        <f t="shared" ref="Q764:X764" si="1547">Q734</f>
        <v>260</v>
      </c>
      <c r="R764" s="20">
        <f t="shared" si="1547"/>
        <v>1040</v>
      </c>
      <c r="S764" s="20">
        <f t="shared" si="1547"/>
        <v>1819.9999999999998</v>
      </c>
      <c r="T764" s="20">
        <f t="shared" si="1547"/>
        <v>2340</v>
      </c>
      <c r="U764" s="20">
        <f t="shared" si="1547"/>
        <v>100</v>
      </c>
      <c r="V764" s="20">
        <f t="shared" si="1547"/>
        <v>700</v>
      </c>
      <c r="W764" s="20">
        <f t="shared" si="1547"/>
        <v>1000</v>
      </c>
      <c r="X764" s="20">
        <f t="shared" si="1547"/>
        <v>4</v>
      </c>
      <c r="Y764" s="20">
        <f t="shared" si="1525"/>
        <v>64</v>
      </c>
      <c r="Z764" s="22">
        <v>0</v>
      </c>
      <c r="AA764" s="20">
        <v>0</v>
      </c>
      <c r="AB764" s="20">
        <v>0</v>
      </c>
      <c r="AC764" s="20">
        <v>0</v>
      </c>
      <c r="AD764" s="23">
        <f t="shared" ref="AD764:AE764" si="1548">AD734</f>
        <v>24</v>
      </c>
      <c r="AE764" s="23">
        <f t="shared" si="1548"/>
        <v>28</v>
      </c>
    </row>
    <row r="765" spans="1:31">
      <c r="A765" s="4">
        <v>12100</v>
      </c>
      <c r="B765" s="4">
        <v>14</v>
      </c>
      <c r="C765" s="19" t="s">
        <v>69</v>
      </c>
      <c r="D765" s="44">
        <f t="shared" si="1523"/>
        <v>101</v>
      </c>
      <c r="E765" s="18">
        <v>0</v>
      </c>
      <c r="F765" s="18">
        <v>0</v>
      </c>
      <c r="G765" s="18">
        <v>0</v>
      </c>
      <c r="H765" s="45">
        <v>0</v>
      </c>
      <c r="I765" s="21">
        <f t="shared" si="1489"/>
        <v>220</v>
      </c>
      <c r="J765" s="21">
        <f t="shared" si="1442"/>
        <v>13</v>
      </c>
      <c r="K765" s="21">
        <v>0</v>
      </c>
      <c r="L765" s="20">
        <v>6</v>
      </c>
      <c r="M765" s="20">
        <v>0</v>
      </c>
      <c r="N765" s="20">
        <f t="shared" si="1490"/>
        <v>2800</v>
      </c>
      <c r="O765" s="19" t="s">
        <v>69</v>
      </c>
      <c r="P765" s="20">
        <v>6400</v>
      </c>
      <c r="Q765" s="20">
        <f t="shared" ref="Q765:X765" si="1549">Q735</f>
        <v>280</v>
      </c>
      <c r="R765" s="20">
        <f t="shared" si="1549"/>
        <v>1120</v>
      </c>
      <c r="S765" s="20">
        <f t="shared" si="1549"/>
        <v>1959.9999999999998</v>
      </c>
      <c r="T765" s="20">
        <f t="shared" si="1549"/>
        <v>2520</v>
      </c>
      <c r="U765" s="20">
        <f t="shared" si="1549"/>
        <v>100</v>
      </c>
      <c r="V765" s="20">
        <f t="shared" si="1549"/>
        <v>400</v>
      </c>
      <c r="W765" s="20">
        <f t="shared" si="1549"/>
        <v>1200</v>
      </c>
      <c r="X765" s="20">
        <f t="shared" si="1549"/>
        <v>4</v>
      </c>
      <c r="Y765" s="20">
        <f t="shared" si="1525"/>
        <v>0</v>
      </c>
      <c r="Z765" s="22">
        <v>0</v>
      </c>
      <c r="AA765" s="20">
        <v>0</v>
      </c>
      <c r="AB765" s="20">
        <v>0</v>
      </c>
      <c r="AC765" s="20">
        <v>0</v>
      </c>
      <c r="AD765" s="23">
        <f t="shared" ref="AD765:AE765" si="1550">AD735</f>
        <v>26</v>
      </c>
      <c r="AE765" s="23">
        <f t="shared" si="1550"/>
        <v>30</v>
      </c>
    </row>
    <row r="766" spans="1:31">
      <c r="A766" s="4">
        <v>12100</v>
      </c>
      <c r="B766" s="4">
        <v>15</v>
      </c>
      <c r="C766" s="19" t="s">
        <v>70</v>
      </c>
      <c r="D766" s="44">
        <f t="shared" si="1523"/>
        <v>110</v>
      </c>
      <c r="E766" s="18">
        <v>0</v>
      </c>
      <c r="F766" s="18">
        <v>0</v>
      </c>
      <c r="G766" s="18">
        <v>0</v>
      </c>
      <c r="H766" s="45">
        <v>0</v>
      </c>
      <c r="I766" s="21">
        <f t="shared" si="1489"/>
        <v>220</v>
      </c>
      <c r="J766" s="21">
        <f t="shared" si="1442"/>
        <v>14</v>
      </c>
      <c r="K766" s="21">
        <v>0</v>
      </c>
      <c r="L766" s="20">
        <v>6</v>
      </c>
      <c r="M766" s="20">
        <v>0</v>
      </c>
      <c r="N766" s="20">
        <f t="shared" si="1490"/>
        <v>4500</v>
      </c>
      <c r="O766" s="19" t="s">
        <v>70</v>
      </c>
      <c r="P766" s="20">
        <v>3100</v>
      </c>
      <c r="Q766" s="20">
        <f t="shared" ref="Q766:X766" si="1551">Q736</f>
        <v>450</v>
      </c>
      <c r="R766" s="20">
        <f t="shared" si="1551"/>
        <v>1800</v>
      </c>
      <c r="S766" s="20">
        <f t="shared" si="1551"/>
        <v>3150</v>
      </c>
      <c r="T766" s="20">
        <f t="shared" si="1551"/>
        <v>4050</v>
      </c>
      <c r="U766" s="20">
        <f t="shared" si="1551"/>
        <v>100</v>
      </c>
      <c r="V766" s="20">
        <f t="shared" si="1551"/>
        <v>1000</v>
      </c>
      <c r="W766" s="20">
        <f t="shared" si="1551"/>
        <v>600</v>
      </c>
      <c r="X766" s="20">
        <f t="shared" si="1551"/>
        <v>4</v>
      </c>
      <c r="Y766" s="20">
        <f t="shared" si="1525"/>
        <v>0</v>
      </c>
      <c r="Z766" s="22">
        <v>0</v>
      </c>
      <c r="AA766" s="20">
        <v>0</v>
      </c>
      <c r="AB766" s="20">
        <v>0</v>
      </c>
      <c r="AC766" s="20">
        <v>0</v>
      </c>
      <c r="AD766" s="23">
        <f t="shared" ref="AD766:AE766" si="1552">AD736</f>
        <v>28</v>
      </c>
      <c r="AE766" s="23">
        <f t="shared" si="1552"/>
        <v>32</v>
      </c>
    </row>
    <row r="767" spans="1:31">
      <c r="A767" s="4">
        <v>12100</v>
      </c>
      <c r="B767" s="4">
        <v>16</v>
      </c>
      <c r="C767" s="19" t="s">
        <v>71</v>
      </c>
      <c r="D767" s="44">
        <f t="shared" si="1523"/>
        <v>119</v>
      </c>
      <c r="E767" s="18">
        <v>0</v>
      </c>
      <c r="F767" s="18">
        <v>0</v>
      </c>
      <c r="G767" s="18">
        <v>0</v>
      </c>
      <c r="H767" s="45">
        <v>0</v>
      </c>
      <c r="I767" s="21">
        <f t="shared" si="1489"/>
        <v>220</v>
      </c>
      <c r="J767" s="21">
        <f t="shared" si="1442"/>
        <v>15</v>
      </c>
      <c r="K767" s="21">
        <v>0</v>
      </c>
      <c r="L767" s="20">
        <v>6</v>
      </c>
      <c r="M767" s="20">
        <v>0</v>
      </c>
      <c r="N767" s="20">
        <f t="shared" si="1490"/>
        <v>4800</v>
      </c>
      <c r="O767" s="19" t="s">
        <v>71</v>
      </c>
      <c r="P767" s="20">
        <v>1777</v>
      </c>
      <c r="Q767" s="20">
        <f t="shared" ref="Q767:X767" si="1553">Q737</f>
        <v>480</v>
      </c>
      <c r="R767" s="20">
        <f t="shared" si="1553"/>
        <v>1920</v>
      </c>
      <c r="S767" s="20">
        <f t="shared" si="1553"/>
        <v>3360</v>
      </c>
      <c r="T767" s="20">
        <f t="shared" si="1553"/>
        <v>4320</v>
      </c>
      <c r="U767" s="20">
        <f t="shared" si="1553"/>
        <v>100</v>
      </c>
      <c r="V767" s="20">
        <f t="shared" si="1553"/>
        <v>800</v>
      </c>
      <c r="W767" s="20">
        <f t="shared" si="1553"/>
        <v>800</v>
      </c>
      <c r="X767" s="20">
        <f t="shared" si="1553"/>
        <v>4</v>
      </c>
      <c r="Y767" s="20">
        <f t="shared" si="1525"/>
        <v>0</v>
      </c>
      <c r="Z767" s="22">
        <v>0</v>
      </c>
      <c r="AA767" s="20">
        <v>0</v>
      </c>
      <c r="AB767" s="20">
        <v>0</v>
      </c>
      <c r="AC767" s="20">
        <v>0</v>
      </c>
      <c r="AD767" s="23">
        <f t="shared" ref="AD767:AE767" si="1554">AD737</f>
        <v>30</v>
      </c>
      <c r="AE767" s="23">
        <f t="shared" si="1554"/>
        <v>34</v>
      </c>
    </row>
    <row r="768" spans="1:31">
      <c r="A768" s="4">
        <v>12100</v>
      </c>
      <c r="B768" s="4">
        <v>17</v>
      </c>
      <c r="C768" s="19" t="s">
        <v>72</v>
      </c>
      <c r="D768" s="44">
        <f t="shared" si="1523"/>
        <v>128</v>
      </c>
      <c r="E768" s="18">
        <v>0</v>
      </c>
      <c r="F768" s="18">
        <v>0</v>
      </c>
      <c r="G768" s="18">
        <v>0</v>
      </c>
      <c r="H768" s="45">
        <v>0</v>
      </c>
      <c r="I768" s="21">
        <f t="shared" si="1489"/>
        <v>275</v>
      </c>
      <c r="J768" s="21">
        <f t="shared" si="1442"/>
        <v>16</v>
      </c>
      <c r="K768" s="21">
        <v>0</v>
      </c>
      <c r="L768" s="20">
        <v>6</v>
      </c>
      <c r="M768" s="20">
        <v>0</v>
      </c>
      <c r="N768" s="20">
        <f t="shared" si="1490"/>
        <v>5100</v>
      </c>
      <c r="O768" s="19" t="s">
        <v>72</v>
      </c>
      <c r="P768" s="20">
        <v>2332</v>
      </c>
      <c r="Q768" s="20">
        <f t="shared" ref="Q768:X768" si="1555">Q738</f>
        <v>510</v>
      </c>
      <c r="R768" s="20">
        <f t="shared" si="1555"/>
        <v>2040</v>
      </c>
      <c r="S768" s="20">
        <f t="shared" si="1555"/>
        <v>3570</v>
      </c>
      <c r="T768" s="20">
        <f t="shared" si="1555"/>
        <v>4590</v>
      </c>
      <c r="U768" s="20">
        <f t="shared" si="1555"/>
        <v>80</v>
      </c>
      <c r="V768" s="20">
        <f t="shared" si="1555"/>
        <v>800</v>
      </c>
      <c r="W768" s="20">
        <f t="shared" si="1555"/>
        <v>600</v>
      </c>
      <c r="X768" s="20">
        <f t="shared" si="1555"/>
        <v>5</v>
      </c>
      <c r="Y768" s="20">
        <f t="shared" si="1525"/>
        <v>0</v>
      </c>
      <c r="Z768" s="22">
        <v>0</v>
      </c>
      <c r="AA768" s="20">
        <v>0</v>
      </c>
      <c r="AB768" s="20">
        <v>0</v>
      </c>
      <c r="AC768" s="20">
        <v>0</v>
      </c>
      <c r="AD768" s="23">
        <f t="shared" ref="AD768:AE768" si="1556">AD738</f>
        <v>32</v>
      </c>
      <c r="AE768" s="23">
        <f t="shared" si="1556"/>
        <v>36</v>
      </c>
    </row>
    <row r="769" spans="1:31">
      <c r="A769" s="4">
        <v>12100</v>
      </c>
      <c r="B769" s="4">
        <v>18</v>
      </c>
      <c r="C769" s="19" t="s">
        <v>73</v>
      </c>
      <c r="D769" s="44">
        <f t="shared" si="1523"/>
        <v>139</v>
      </c>
      <c r="E769" s="18">
        <v>0</v>
      </c>
      <c r="F769" s="18">
        <v>0</v>
      </c>
      <c r="G769" s="18">
        <v>0</v>
      </c>
      <c r="H769" s="45">
        <v>0</v>
      </c>
      <c r="I769" s="21">
        <f t="shared" si="1489"/>
        <v>275</v>
      </c>
      <c r="J769" s="21">
        <f t="shared" si="1442"/>
        <v>17</v>
      </c>
      <c r="K769" s="21">
        <v>0</v>
      </c>
      <c r="L769" s="20">
        <v>6</v>
      </c>
      <c r="M769" s="20">
        <v>0</v>
      </c>
      <c r="N769" s="20">
        <f t="shared" si="1490"/>
        <v>5400</v>
      </c>
      <c r="O769" s="19" t="s">
        <v>73</v>
      </c>
      <c r="P769" s="20">
        <v>1487</v>
      </c>
      <c r="Q769" s="20">
        <f t="shared" ref="Q769:X769" si="1557">Q739</f>
        <v>540</v>
      </c>
      <c r="R769" s="20">
        <f t="shared" si="1557"/>
        <v>2160</v>
      </c>
      <c r="S769" s="20">
        <f t="shared" si="1557"/>
        <v>3779.9999999999995</v>
      </c>
      <c r="T769" s="20">
        <f t="shared" si="1557"/>
        <v>4860</v>
      </c>
      <c r="U769" s="20">
        <f t="shared" si="1557"/>
        <v>100</v>
      </c>
      <c r="V769" s="20">
        <f t="shared" si="1557"/>
        <v>600</v>
      </c>
      <c r="W769" s="20">
        <f t="shared" si="1557"/>
        <v>300</v>
      </c>
      <c r="X769" s="20">
        <f t="shared" si="1557"/>
        <v>5</v>
      </c>
      <c r="Y769" s="20">
        <f t="shared" si="1525"/>
        <v>96</v>
      </c>
      <c r="Z769" s="22">
        <v>0</v>
      </c>
      <c r="AA769" s="20">
        <v>0</v>
      </c>
      <c r="AB769" s="20">
        <v>0</v>
      </c>
      <c r="AC769" s="20">
        <v>0</v>
      </c>
      <c r="AD769" s="23">
        <f t="shared" ref="AD769:AE769" si="1558">AD739</f>
        <v>34</v>
      </c>
      <c r="AE769" s="23">
        <f t="shared" si="1558"/>
        <v>38</v>
      </c>
    </row>
    <row r="770" spans="1:31">
      <c r="A770" s="4">
        <v>12100</v>
      </c>
      <c r="B770" s="4">
        <v>19</v>
      </c>
      <c r="C770" s="19" t="s">
        <v>74</v>
      </c>
      <c r="D770" s="44">
        <f t="shared" si="1523"/>
        <v>151</v>
      </c>
      <c r="E770" s="18">
        <v>0</v>
      </c>
      <c r="F770" s="18">
        <v>0</v>
      </c>
      <c r="G770" s="18">
        <v>0</v>
      </c>
      <c r="H770" s="45">
        <v>0</v>
      </c>
      <c r="I770" s="21">
        <f t="shared" si="1489"/>
        <v>275</v>
      </c>
      <c r="J770" s="21">
        <f t="shared" si="1442"/>
        <v>18</v>
      </c>
      <c r="K770" s="21">
        <v>0</v>
      </c>
      <c r="L770" s="20">
        <v>6</v>
      </c>
      <c r="M770" s="20">
        <v>0</v>
      </c>
      <c r="N770" s="20">
        <f t="shared" si="1490"/>
        <v>5700</v>
      </c>
      <c r="O770" s="19" t="s">
        <v>74</v>
      </c>
      <c r="P770" s="20">
        <v>1518</v>
      </c>
      <c r="Q770" s="20">
        <f t="shared" ref="Q770:X770" si="1559">Q740</f>
        <v>570</v>
      </c>
      <c r="R770" s="20">
        <f t="shared" si="1559"/>
        <v>2280</v>
      </c>
      <c r="S770" s="20">
        <f t="shared" si="1559"/>
        <v>3989.9999999999995</v>
      </c>
      <c r="T770" s="20">
        <f t="shared" si="1559"/>
        <v>5130</v>
      </c>
      <c r="U770" s="20">
        <f t="shared" si="1559"/>
        <v>100</v>
      </c>
      <c r="V770" s="20">
        <f t="shared" si="1559"/>
        <v>500</v>
      </c>
      <c r="W770" s="20">
        <f t="shared" si="1559"/>
        <v>400</v>
      </c>
      <c r="X770" s="20">
        <f t="shared" si="1559"/>
        <v>5</v>
      </c>
      <c r="Y770" s="20">
        <f t="shared" si="1525"/>
        <v>0</v>
      </c>
      <c r="Z770" s="22">
        <v>0</v>
      </c>
      <c r="AA770" s="20">
        <v>0</v>
      </c>
      <c r="AB770" s="20">
        <v>0</v>
      </c>
      <c r="AC770" s="20">
        <v>0</v>
      </c>
      <c r="AD770" s="23">
        <f t="shared" ref="AD770:AE770" si="1560">AD740</f>
        <v>36</v>
      </c>
      <c r="AE770" s="23">
        <f t="shared" si="1560"/>
        <v>40</v>
      </c>
    </row>
    <row r="771" spans="1:31">
      <c r="A771" s="4">
        <v>12100</v>
      </c>
      <c r="B771" s="4">
        <v>20</v>
      </c>
      <c r="C771" s="19" t="s">
        <v>75</v>
      </c>
      <c r="D771" s="44">
        <f t="shared" si="1523"/>
        <v>163</v>
      </c>
      <c r="E771" s="18">
        <v>0</v>
      </c>
      <c r="F771" s="18">
        <v>0</v>
      </c>
      <c r="G771" s="18">
        <v>0</v>
      </c>
      <c r="H771" s="45">
        <v>0</v>
      </c>
      <c r="I771" s="21">
        <f t="shared" si="1489"/>
        <v>275</v>
      </c>
      <c r="J771" s="21">
        <f t="shared" si="1442"/>
        <v>19</v>
      </c>
      <c r="K771" s="21">
        <v>0</v>
      </c>
      <c r="L771" s="20">
        <v>6</v>
      </c>
      <c r="M771" s="20">
        <v>0</v>
      </c>
      <c r="N771" s="20">
        <f t="shared" si="1490"/>
        <v>8000</v>
      </c>
      <c r="O771" s="19" t="s">
        <v>75</v>
      </c>
      <c r="P771" s="20">
        <v>861</v>
      </c>
      <c r="Q771" s="20">
        <f t="shared" ref="Q771:X771" si="1561">Q741</f>
        <v>800</v>
      </c>
      <c r="R771" s="20">
        <f t="shared" si="1561"/>
        <v>3200</v>
      </c>
      <c r="S771" s="20">
        <f t="shared" si="1561"/>
        <v>5600</v>
      </c>
      <c r="T771" s="20">
        <f t="shared" si="1561"/>
        <v>7200</v>
      </c>
      <c r="U771" s="20">
        <f t="shared" si="1561"/>
        <v>100</v>
      </c>
      <c r="V771" s="20">
        <f t="shared" si="1561"/>
        <v>800</v>
      </c>
      <c r="W771" s="20">
        <f t="shared" si="1561"/>
        <v>8000</v>
      </c>
      <c r="X771" s="20">
        <f t="shared" si="1561"/>
        <v>5</v>
      </c>
      <c r="Y771" s="20">
        <f t="shared" si="1525"/>
        <v>0</v>
      </c>
      <c r="Z771" s="22">
        <v>0</v>
      </c>
      <c r="AA771" s="20">
        <v>0</v>
      </c>
      <c r="AB771" s="20">
        <v>0</v>
      </c>
      <c r="AC771" s="20">
        <v>0</v>
      </c>
      <c r="AD771" s="23">
        <f t="shared" ref="AD771:AE771" si="1562">AD741</f>
        <v>38</v>
      </c>
      <c r="AE771" s="23">
        <f t="shared" si="1562"/>
        <v>42</v>
      </c>
    </row>
    <row r="772" spans="1:31">
      <c r="A772" s="4">
        <v>12100</v>
      </c>
      <c r="B772" s="4">
        <v>21</v>
      </c>
      <c r="C772" s="19" t="s">
        <v>66</v>
      </c>
      <c r="D772" s="44">
        <f t="shared" si="1523"/>
        <v>176</v>
      </c>
      <c r="E772" s="18">
        <v>0</v>
      </c>
      <c r="F772" s="18">
        <v>0</v>
      </c>
      <c r="G772" s="18">
        <v>0</v>
      </c>
      <c r="H772" s="45">
        <v>0</v>
      </c>
      <c r="I772" s="21">
        <f t="shared" si="1489"/>
        <v>330</v>
      </c>
      <c r="J772" s="21">
        <f t="shared" si="1442"/>
        <v>20</v>
      </c>
      <c r="K772" s="21">
        <v>0</v>
      </c>
      <c r="L772" s="20">
        <v>6</v>
      </c>
      <c r="M772" s="20">
        <v>0</v>
      </c>
      <c r="N772" s="20">
        <f t="shared" si="1490"/>
        <v>8400</v>
      </c>
      <c r="O772" s="19" t="s">
        <v>66</v>
      </c>
      <c r="P772" s="20">
        <v>9400</v>
      </c>
      <c r="Q772" s="20">
        <f t="shared" ref="Q772:X772" si="1563">Q742</f>
        <v>840</v>
      </c>
      <c r="R772" s="20">
        <f t="shared" si="1563"/>
        <v>3360</v>
      </c>
      <c r="S772" s="20">
        <f t="shared" si="1563"/>
        <v>5880</v>
      </c>
      <c r="T772" s="20">
        <f t="shared" si="1563"/>
        <v>7560</v>
      </c>
      <c r="U772" s="20">
        <f t="shared" si="1563"/>
        <v>50</v>
      </c>
      <c r="V772" s="20">
        <f t="shared" si="1563"/>
        <v>1000</v>
      </c>
      <c r="W772" s="20">
        <f t="shared" si="1563"/>
        <v>600</v>
      </c>
      <c r="X772" s="20">
        <f t="shared" si="1563"/>
        <v>6</v>
      </c>
      <c r="Y772" s="20">
        <f t="shared" si="1525"/>
        <v>0</v>
      </c>
      <c r="Z772" s="22">
        <v>0</v>
      </c>
      <c r="AA772" s="20">
        <v>0</v>
      </c>
      <c r="AB772" s="20">
        <v>0</v>
      </c>
      <c r="AC772" s="20">
        <v>0</v>
      </c>
      <c r="AD772" s="23">
        <f t="shared" ref="AD772:AE772" si="1564">AD742</f>
        <v>40</v>
      </c>
      <c r="AE772" s="23">
        <f t="shared" si="1564"/>
        <v>44</v>
      </c>
    </row>
    <row r="773" spans="1:31">
      <c r="A773" s="4">
        <v>12100</v>
      </c>
      <c r="B773" s="4">
        <v>22</v>
      </c>
      <c r="C773" s="19" t="s">
        <v>67</v>
      </c>
      <c r="D773" s="44">
        <f t="shared" si="1523"/>
        <v>191</v>
      </c>
      <c r="E773" s="18">
        <v>0</v>
      </c>
      <c r="F773" s="18">
        <v>0</v>
      </c>
      <c r="G773" s="18">
        <v>0</v>
      </c>
      <c r="H773" s="45">
        <v>0</v>
      </c>
      <c r="I773" s="21">
        <f t="shared" si="1489"/>
        <v>330</v>
      </c>
      <c r="J773" s="21">
        <f t="shared" si="1442"/>
        <v>21</v>
      </c>
      <c r="K773" s="21">
        <v>0</v>
      </c>
      <c r="L773" s="20">
        <v>6</v>
      </c>
      <c r="M773" s="20">
        <v>0</v>
      </c>
      <c r="N773" s="20">
        <f t="shared" si="1490"/>
        <v>8800</v>
      </c>
      <c r="O773" s="19" t="s">
        <v>67</v>
      </c>
      <c r="P773" s="20">
        <v>9100</v>
      </c>
      <c r="Q773" s="20">
        <f t="shared" ref="Q773:X773" si="1565">Q743</f>
        <v>880</v>
      </c>
      <c r="R773" s="20">
        <f t="shared" si="1565"/>
        <v>3520</v>
      </c>
      <c r="S773" s="20">
        <f t="shared" si="1565"/>
        <v>6160</v>
      </c>
      <c r="T773" s="20">
        <f t="shared" si="1565"/>
        <v>7920</v>
      </c>
      <c r="U773" s="20">
        <f t="shared" si="1565"/>
        <v>100</v>
      </c>
      <c r="V773" s="20">
        <f t="shared" si="1565"/>
        <v>600</v>
      </c>
      <c r="W773" s="20">
        <f t="shared" si="1565"/>
        <v>700</v>
      </c>
      <c r="X773" s="20">
        <f t="shared" si="1565"/>
        <v>6</v>
      </c>
      <c r="Y773" s="20">
        <f t="shared" si="1525"/>
        <v>0</v>
      </c>
      <c r="Z773" s="22">
        <v>0</v>
      </c>
      <c r="AA773" s="20">
        <v>0</v>
      </c>
      <c r="AB773" s="20">
        <v>0</v>
      </c>
      <c r="AC773" s="20">
        <v>0</v>
      </c>
      <c r="AD773" s="23">
        <f t="shared" ref="AD773:AE773" si="1566">AD743</f>
        <v>42</v>
      </c>
      <c r="AE773" s="23">
        <f t="shared" si="1566"/>
        <v>46</v>
      </c>
    </row>
    <row r="774" spans="1:31">
      <c r="A774" s="4">
        <v>12100</v>
      </c>
      <c r="B774" s="4">
        <v>23</v>
      </c>
      <c r="C774" s="19" t="s">
        <v>68</v>
      </c>
      <c r="D774" s="44">
        <f t="shared" si="1523"/>
        <v>207</v>
      </c>
      <c r="E774" s="18">
        <v>0</v>
      </c>
      <c r="F774" s="18">
        <v>0</v>
      </c>
      <c r="G774" s="18">
        <v>0</v>
      </c>
      <c r="H774" s="45">
        <v>0</v>
      </c>
      <c r="I774" s="21">
        <f t="shared" si="1489"/>
        <v>330</v>
      </c>
      <c r="J774" s="21">
        <f t="shared" si="1442"/>
        <v>22</v>
      </c>
      <c r="K774" s="21">
        <v>0</v>
      </c>
      <c r="L774" s="20">
        <v>6</v>
      </c>
      <c r="M774" s="20">
        <v>0</v>
      </c>
      <c r="N774" s="20">
        <f t="shared" si="1490"/>
        <v>9200</v>
      </c>
      <c r="O774" s="19" t="s">
        <v>68</v>
      </c>
      <c r="P774" s="20">
        <v>8600</v>
      </c>
      <c r="Q774" s="20">
        <f t="shared" ref="Q774:X774" si="1567">Q744</f>
        <v>920</v>
      </c>
      <c r="R774" s="20">
        <f t="shared" si="1567"/>
        <v>3680</v>
      </c>
      <c r="S774" s="20">
        <f t="shared" si="1567"/>
        <v>6440</v>
      </c>
      <c r="T774" s="20">
        <f t="shared" si="1567"/>
        <v>8280</v>
      </c>
      <c r="U774" s="20">
        <f t="shared" si="1567"/>
        <v>100</v>
      </c>
      <c r="V774" s="20">
        <f t="shared" si="1567"/>
        <v>550</v>
      </c>
      <c r="W774" s="20">
        <f t="shared" si="1567"/>
        <v>500</v>
      </c>
      <c r="X774" s="20">
        <f t="shared" si="1567"/>
        <v>6</v>
      </c>
      <c r="Y774" s="20">
        <f t="shared" si="1525"/>
        <v>129</v>
      </c>
      <c r="Z774" s="22">
        <v>0</v>
      </c>
      <c r="AA774" s="20">
        <v>0</v>
      </c>
      <c r="AB774" s="20">
        <v>0</v>
      </c>
      <c r="AC774" s="20">
        <v>0</v>
      </c>
      <c r="AD774" s="23">
        <f t="shared" ref="AD774:AE774" si="1568">AD744</f>
        <v>44</v>
      </c>
      <c r="AE774" s="23">
        <f t="shared" si="1568"/>
        <v>48</v>
      </c>
    </row>
    <row r="775" spans="1:31">
      <c r="A775" s="4">
        <v>12100</v>
      </c>
      <c r="B775" s="4">
        <v>24</v>
      </c>
      <c r="C775" s="19" t="s">
        <v>69</v>
      </c>
      <c r="D775" s="44">
        <f t="shared" si="1523"/>
        <v>224</v>
      </c>
      <c r="E775" s="18">
        <v>0</v>
      </c>
      <c r="F775" s="18">
        <v>0</v>
      </c>
      <c r="G775" s="18">
        <v>0</v>
      </c>
      <c r="H775" s="45">
        <v>0</v>
      </c>
      <c r="I775" s="21">
        <f t="shared" si="1489"/>
        <v>330</v>
      </c>
      <c r="J775" s="21">
        <f t="shared" si="1442"/>
        <v>23</v>
      </c>
      <c r="K775" s="21">
        <v>0</v>
      </c>
      <c r="L775" s="20">
        <v>6</v>
      </c>
      <c r="M775" s="20">
        <v>0</v>
      </c>
      <c r="N775" s="20">
        <f t="shared" si="1490"/>
        <v>9600</v>
      </c>
      <c r="O775" s="19" t="s">
        <v>69</v>
      </c>
      <c r="P775" s="20">
        <v>6400</v>
      </c>
      <c r="Q775" s="20">
        <f t="shared" ref="Q775:X775" si="1569">Q745</f>
        <v>960</v>
      </c>
      <c r="R775" s="20">
        <f t="shared" si="1569"/>
        <v>3840</v>
      </c>
      <c r="S775" s="20">
        <f t="shared" si="1569"/>
        <v>6720</v>
      </c>
      <c r="T775" s="20">
        <f t="shared" si="1569"/>
        <v>8640</v>
      </c>
      <c r="U775" s="20">
        <f t="shared" si="1569"/>
        <v>100</v>
      </c>
      <c r="V775" s="20">
        <f t="shared" si="1569"/>
        <v>500</v>
      </c>
      <c r="W775" s="20">
        <f t="shared" si="1569"/>
        <v>900</v>
      </c>
      <c r="X775" s="20">
        <f t="shared" si="1569"/>
        <v>6</v>
      </c>
      <c r="Y775" s="20">
        <f t="shared" si="1525"/>
        <v>0</v>
      </c>
      <c r="Z775" s="22">
        <v>0</v>
      </c>
      <c r="AA775" s="20">
        <v>0</v>
      </c>
      <c r="AB775" s="20">
        <v>0</v>
      </c>
      <c r="AC775" s="20">
        <v>0</v>
      </c>
      <c r="AD775" s="23">
        <f t="shared" ref="AD775:AE775" si="1570">AD745</f>
        <v>46</v>
      </c>
      <c r="AE775" s="23">
        <f t="shared" si="1570"/>
        <v>50</v>
      </c>
    </row>
    <row r="776" spans="1:31">
      <c r="A776" s="4">
        <v>12100</v>
      </c>
      <c r="B776" s="4">
        <v>25</v>
      </c>
      <c r="C776" s="19" t="s">
        <v>70</v>
      </c>
      <c r="D776" s="44">
        <f t="shared" si="1523"/>
        <v>242</v>
      </c>
      <c r="E776" s="18">
        <v>0</v>
      </c>
      <c r="F776" s="18">
        <v>0</v>
      </c>
      <c r="G776" s="18">
        <v>0</v>
      </c>
      <c r="H776" s="45">
        <v>0</v>
      </c>
      <c r="I776" s="21">
        <f t="shared" si="1489"/>
        <v>385</v>
      </c>
      <c r="J776" s="21">
        <f t="shared" si="1442"/>
        <v>24</v>
      </c>
      <c r="K776" s="21">
        <v>0</v>
      </c>
      <c r="L776" s="20">
        <v>6</v>
      </c>
      <c r="M776" s="20">
        <v>0</v>
      </c>
      <c r="N776" s="20">
        <f t="shared" si="1490"/>
        <v>12500</v>
      </c>
      <c r="O776" s="19" t="s">
        <v>70</v>
      </c>
      <c r="P776" s="20">
        <v>3100</v>
      </c>
      <c r="Q776" s="20">
        <f t="shared" ref="Q776:X776" si="1571">Q746</f>
        <v>1250</v>
      </c>
      <c r="R776" s="20">
        <f t="shared" si="1571"/>
        <v>5000</v>
      </c>
      <c r="S776" s="20">
        <f t="shared" si="1571"/>
        <v>8750</v>
      </c>
      <c r="T776" s="20">
        <f t="shared" si="1571"/>
        <v>11250</v>
      </c>
      <c r="U776" s="20">
        <f t="shared" si="1571"/>
        <v>10</v>
      </c>
      <c r="V776" s="20">
        <f t="shared" si="1571"/>
        <v>1300</v>
      </c>
      <c r="W776" s="20">
        <f t="shared" si="1571"/>
        <v>1000</v>
      </c>
      <c r="X776" s="20">
        <f t="shared" si="1571"/>
        <v>7</v>
      </c>
      <c r="Y776" s="20">
        <f t="shared" si="1525"/>
        <v>0</v>
      </c>
      <c r="Z776" s="22">
        <v>0</v>
      </c>
      <c r="AA776" s="20">
        <v>0</v>
      </c>
      <c r="AB776" s="20">
        <v>0</v>
      </c>
      <c r="AC776" s="20">
        <v>0</v>
      </c>
      <c r="AD776" s="23">
        <f t="shared" ref="AD776:AE776" si="1572">AD746</f>
        <v>48</v>
      </c>
      <c r="AE776" s="23">
        <f t="shared" si="1572"/>
        <v>52</v>
      </c>
    </row>
    <row r="777" spans="1:31">
      <c r="A777" s="4">
        <v>12100</v>
      </c>
      <c r="B777" s="4">
        <v>26</v>
      </c>
      <c r="C777" s="19" t="s">
        <v>71</v>
      </c>
      <c r="D777" s="44">
        <f t="shared" si="1523"/>
        <v>262</v>
      </c>
      <c r="E777" s="18">
        <v>0</v>
      </c>
      <c r="F777" s="18">
        <v>0</v>
      </c>
      <c r="G777" s="18">
        <v>0</v>
      </c>
      <c r="H777" s="45">
        <v>0</v>
      </c>
      <c r="I777" s="21">
        <f t="shared" si="1489"/>
        <v>385</v>
      </c>
      <c r="J777" s="21">
        <f t="shared" si="1442"/>
        <v>25</v>
      </c>
      <c r="K777" s="21">
        <v>0</v>
      </c>
      <c r="L777" s="20">
        <v>6</v>
      </c>
      <c r="M777" s="20">
        <v>0</v>
      </c>
      <c r="N777" s="20">
        <f t="shared" si="1490"/>
        <v>13000</v>
      </c>
      <c r="O777" s="19" t="s">
        <v>71</v>
      </c>
      <c r="P777" s="20">
        <v>1777</v>
      </c>
      <c r="Q777" s="20">
        <f t="shared" ref="Q777:X777" si="1573">Q747</f>
        <v>1300</v>
      </c>
      <c r="R777" s="20">
        <f t="shared" si="1573"/>
        <v>5200</v>
      </c>
      <c r="S777" s="20">
        <f t="shared" si="1573"/>
        <v>9100</v>
      </c>
      <c r="T777" s="20">
        <f t="shared" si="1573"/>
        <v>11700</v>
      </c>
      <c r="U777" s="20">
        <f t="shared" si="1573"/>
        <v>90</v>
      </c>
      <c r="V777" s="20">
        <f t="shared" si="1573"/>
        <v>800</v>
      </c>
      <c r="W777" s="20">
        <f t="shared" si="1573"/>
        <v>2000</v>
      </c>
      <c r="X777" s="20">
        <f t="shared" si="1573"/>
        <v>7</v>
      </c>
      <c r="Y777" s="20">
        <f t="shared" si="1525"/>
        <v>0</v>
      </c>
      <c r="Z777" s="22">
        <v>0</v>
      </c>
      <c r="AA777" s="20">
        <v>0</v>
      </c>
      <c r="AB777" s="20">
        <v>0</v>
      </c>
      <c r="AC777" s="20">
        <v>0</v>
      </c>
      <c r="AD777" s="23">
        <f t="shared" ref="AD777:AE777" si="1574">AD747</f>
        <v>50</v>
      </c>
      <c r="AE777" s="23">
        <f t="shared" si="1574"/>
        <v>54</v>
      </c>
    </row>
    <row r="778" spans="1:31">
      <c r="A778" s="4">
        <v>12100</v>
      </c>
      <c r="B778" s="4">
        <v>27</v>
      </c>
      <c r="C778" s="19" t="s">
        <v>72</v>
      </c>
      <c r="D778" s="44">
        <f t="shared" si="1523"/>
        <v>284</v>
      </c>
      <c r="E778" s="18">
        <v>0</v>
      </c>
      <c r="F778" s="18">
        <v>0</v>
      </c>
      <c r="G778" s="18">
        <v>0</v>
      </c>
      <c r="H778" s="45">
        <v>0</v>
      </c>
      <c r="I778" s="21">
        <f t="shared" si="1489"/>
        <v>385</v>
      </c>
      <c r="J778" s="21">
        <f t="shared" si="1442"/>
        <v>26</v>
      </c>
      <c r="K778" s="21">
        <v>0</v>
      </c>
      <c r="L778" s="20">
        <v>6</v>
      </c>
      <c r="M778" s="20">
        <v>0</v>
      </c>
      <c r="N778" s="20">
        <f t="shared" si="1490"/>
        <v>13500</v>
      </c>
      <c r="O778" s="19" t="s">
        <v>72</v>
      </c>
      <c r="P778" s="20">
        <v>2332</v>
      </c>
      <c r="Q778" s="20">
        <f t="shared" ref="Q778:X778" si="1575">Q748</f>
        <v>1350</v>
      </c>
      <c r="R778" s="20">
        <f t="shared" si="1575"/>
        <v>5400</v>
      </c>
      <c r="S778" s="20">
        <f t="shared" si="1575"/>
        <v>9450</v>
      </c>
      <c r="T778" s="20">
        <f t="shared" si="1575"/>
        <v>12150</v>
      </c>
      <c r="U778" s="20">
        <f t="shared" si="1575"/>
        <v>80</v>
      </c>
      <c r="V778" s="20">
        <f t="shared" si="1575"/>
        <v>700</v>
      </c>
      <c r="W778" s="20">
        <f t="shared" si="1575"/>
        <v>800</v>
      </c>
      <c r="X778" s="20">
        <f t="shared" si="1575"/>
        <v>7</v>
      </c>
      <c r="Y778" s="20">
        <f t="shared" si="1525"/>
        <v>0</v>
      </c>
      <c r="Z778" s="22">
        <v>0</v>
      </c>
      <c r="AA778" s="20">
        <v>0</v>
      </c>
      <c r="AB778" s="20">
        <v>0</v>
      </c>
      <c r="AC778" s="20">
        <v>0</v>
      </c>
      <c r="AD778" s="23">
        <f t="shared" ref="AD778:AE778" si="1576">AD748</f>
        <v>52</v>
      </c>
      <c r="AE778" s="23">
        <f t="shared" si="1576"/>
        <v>56</v>
      </c>
    </row>
    <row r="779" spans="1:31">
      <c r="A779" s="4">
        <v>12100</v>
      </c>
      <c r="B779" s="4">
        <v>28</v>
      </c>
      <c r="C779" s="19" t="s">
        <v>73</v>
      </c>
      <c r="D779" s="44">
        <f t="shared" si="1523"/>
        <v>307</v>
      </c>
      <c r="E779" s="18">
        <v>0</v>
      </c>
      <c r="F779" s="18">
        <v>0</v>
      </c>
      <c r="G779" s="18">
        <v>0</v>
      </c>
      <c r="H779" s="45">
        <v>0</v>
      </c>
      <c r="I779" s="21">
        <f t="shared" si="1489"/>
        <v>385</v>
      </c>
      <c r="J779" s="21">
        <f t="shared" ref="J779:J842" si="1577">B779-1</f>
        <v>27</v>
      </c>
      <c r="K779" s="21">
        <v>0</v>
      </c>
      <c r="L779" s="20">
        <v>6</v>
      </c>
      <c r="M779" s="20">
        <v>0</v>
      </c>
      <c r="N779" s="20">
        <f t="shared" si="1490"/>
        <v>14000</v>
      </c>
      <c r="O779" s="19" t="s">
        <v>73</v>
      </c>
      <c r="P779" s="20">
        <v>1487</v>
      </c>
      <c r="Q779" s="20">
        <f t="shared" ref="Q779:X779" si="1578">Q749</f>
        <v>1400</v>
      </c>
      <c r="R779" s="20">
        <f t="shared" si="1578"/>
        <v>5600</v>
      </c>
      <c r="S779" s="20">
        <f t="shared" si="1578"/>
        <v>9800</v>
      </c>
      <c r="T779" s="20">
        <f t="shared" si="1578"/>
        <v>12600</v>
      </c>
      <c r="U779" s="20">
        <f t="shared" si="1578"/>
        <v>80</v>
      </c>
      <c r="V779" s="20">
        <f t="shared" si="1578"/>
        <v>500</v>
      </c>
      <c r="W779" s="20">
        <f t="shared" si="1578"/>
        <v>600</v>
      </c>
      <c r="X779" s="20">
        <f t="shared" si="1578"/>
        <v>7</v>
      </c>
      <c r="Y779" s="20">
        <f t="shared" si="1525"/>
        <v>162</v>
      </c>
      <c r="Z779" s="22">
        <v>0</v>
      </c>
      <c r="AA779" s="20">
        <v>0</v>
      </c>
      <c r="AB779" s="20">
        <v>0</v>
      </c>
      <c r="AC779" s="20">
        <v>0</v>
      </c>
      <c r="AD779" s="23">
        <f t="shared" ref="AD779:AE779" si="1579">AD749</f>
        <v>54</v>
      </c>
      <c r="AE779" s="23">
        <f t="shared" si="1579"/>
        <v>58</v>
      </c>
    </row>
    <row r="780" spans="1:31">
      <c r="A780" s="4">
        <v>12100</v>
      </c>
      <c r="B780" s="4">
        <v>29</v>
      </c>
      <c r="C780" s="19" t="s">
        <v>74</v>
      </c>
      <c r="D780" s="44">
        <f t="shared" si="1523"/>
        <v>333</v>
      </c>
      <c r="E780" s="18">
        <v>0</v>
      </c>
      <c r="F780" s="18">
        <v>0</v>
      </c>
      <c r="G780" s="18">
        <v>0</v>
      </c>
      <c r="H780" s="45">
        <v>0</v>
      </c>
      <c r="I780" s="21">
        <f t="shared" si="1489"/>
        <v>440</v>
      </c>
      <c r="J780" s="21">
        <f t="shared" si="1577"/>
        <v>28</v>
      </c>
      <c r="K780" s="21">
        <v>0</v>
      </c>
      <c r="L780" s="20">
        <v>6</v>
      </c>
      <c r="M780" s="20">
        <v>0</v>
      </c>
      <c r="N780" s="20">
        <f t="shared" si="1490"/>
        <v>14500</v>
      </c>
      <c r="O780" s="19" t="s">
        <v>74</v>
      </c>
      <c r="P780" s="20">
        <v>1518</v>
      </c>
      <c r="Q780" s="20">
        <f t="shared" ref="Q780:X780" si="1580">Q750</f>
        <v>1450</v>
      </c>
      <c r="R780" s="20">
        <f t="shared" si="1580"/>
        <v>5800</v>
      </c>
      <c r="S780" s="20">
        <f t="shared" si="1580"/>
        <v>10150</v>
      </c>
      <c r="T780" s="20">
        <f t="shared" si="1580"/>
        <v>13050</v>
      </c>
      <c r="U780" s="20">
        <f t="shared" si="1580"/>
        <v>80</v>
      </c>
      <c r="V780" s="20">
        <f t="shared" si="1580"/>
        <v>600</v>
      </c>
      <c r="W780" s="20">
        <f t="shared" si="1580"/>
        <v>700</v>
      </c>
      <c r="X780" s="20">
        <f t="shared" si="1580"/>
        <v>8</v>
      </c>
      <c r="Y780" s="20">
        <f t="shared" si="1525"/>
        <v>0</v>
      </c>
      <c r="Z780" s="22">
        <v>0</v>
      </c>
      <c r="AA780" s="20">
        <v>0</v>
      </c>
      <c r="AB780" s="20">
        <v>0</v>
      </c>
      <c r="AC780" s="20">
        <v>0</v>
      </c>
      <c r="AD780" s="23">
        <f t="shared" ref="AD780:AE780" si="1581">AD750</f>
        <v>56</v>
      </c>
      <c r="AE780" s="23">
        <f t="shared" si="1581"/>
        <v>60</v>
      </c>
    </row>
    <row r="781" spans="1:31">
      <c r="A781" s="4">
        <v>12100</v>
      </c>
      <c r="B781" s="4">
        <v>30</v>
      </c>
      <c r="C781" s="19" t="s">
        <v>75</v>
      </c>
      <c r="D781" s="44">
        <f t="shared" si="1523"/>
        <v>360</v>
      </c>
      <c r="E781" s="18">
        <v>0</v>
      </c>
      <c r="F781" s="18">
        <v>0</v>
      </c>
      <c r="G781" s="18">
        <v>0</v>
      </c>
      <c r="H781" s="45">
        <v>0</v>
      </c>
      <c r="I781" s="21">
        <f t="shared" si="1489"/>
        <v>440</v>
      </c>
      <c r="J781" s="21">
        <f t="shared" si="1577"/>
        <v>29</v>
      </c>
      <c r="K781" s="21">
        <v>0</v>
      </c>
      <c r="L781" s="20">
        <v>6</v>
      </c>
      <c r="M781" s="20">
        <v>0</v>
      </c>
      <c r="N781" s="20">
        <f t="shared" si="1490"/>
        <v>15000</v>
      </c>
      <c r="O781" s="19" t="s">
        <v>75</v>
      </c>
      <c r="P781" s="20">
        <v>861</v>
      </c>
      <c r="Q781" s="20">
        <f t="shared" ref="Q781:X781" si="1582">Q751</f>
        <v>1500</v>
      </c>
      <c r="R781" s="20">
        <f t="shared" si="1582"/>
        <v>6000</v>
      </c>
      <c r="S781" s="20">
        <f t="shared" si="1582"/>
        <v>10500</v>
      </c>
      <c r="T781" s="20">
        <f t="shared" si="1582"/>
        <v>13500</v>
      </c>
      <c r="U781" s="20">
        <f t="shared" si="1582"/>
        <v>20</v>
      </c>
      <c r="V781" s="20">
        <f t="shared" si="1582"/>
        <v>450</v>
      </c>
      <c r="W781" s="20">
        <f t="shared" si="1582"/>
        <v>1000</v>
      </c>
      <c r="X781" s="20">
        <f t="shared" si="1582"/>
        <v>8</v>
      </c>
      <c r="Y781" s="20">
        <f t="shared" si="1525"/>
        <v>0</v>
      </c>
      <c r="Z781" s="22">
        <v>0</v>
      </c>
      <c r="AA781" s="20">
        <v>0</v>
      </c>
      <c r="AB781" s="20">
        <v>0</v>
      </c>
      <c r="AC781" s="20">
        <v>0</v>
      </c>
      <c r="AD781" s="23">
        <f t="shared" ref="AD781:AE781" si="1583">AD751</f>
        <v>58</v>
      </c>
      <c r="AE781" s="23">
        <f t="shared" si="1583"/>
        <v>62</v>
      </c>
    </row>
    <row r="782" spans="1:31">
      <c r="A782" s="4">
        <v>12101</v>
      </c>
      <c r="B782" s="4">
        <v>1</v>
      </c>
      <c r="C782" s="29" t="s">
        <v>66</v>
      </c>
      <c r="D782" s="44">
        <f t="shared" si="1523"/>
        <v>72</v>
      </c>
      <c r="E782" s="28">
        <v>0</v>
      </c>
      <c r="F782" s="28">
        <v>0</v>
      </c>
      <c r="G782" s="28">
        <v>0</v>
      </c>
      <c r="H782" s="47">
        <v>0</v>
      </c>
      <c r="I782" s="21">
        <f t="shared" si="1489"/>
        <v>55</v>
      </c>
      <c r="J782" s="21">
        <f t="shared" si="1577"/>
        <v>0</v>
      </c>
      <c r="K782" s="21">
        <v>0</v>
      </c>
      <c r="L782" s="20">
        <v>45</v>
      </c>
      <c r="M782" s="20">
        <v>0</v>
      </c>
      <c r="N782" s="20">
        <f t="shared" si="1490"/>
        <v>10</v>
      </c>
      <c r="O782" s="19" t="s">
        <v>66</v>
      </c>
      <c r="P782" s="20">
        <v>9400</v>
      </c>
      <c r="Q782" s="20">
        <f t="shared" ref="Q782:X782" si="1584">Q752</f>
        <v>1</v>
      </c>
      <c r="R782" s="20">
        <f t="shared" si="1584"/>
        <v>4</v>
      </c>
      <c r="S782" s="20">
        <f t="shared" si="1584"/>
        <v>7</v>
      </c>
      <c r="T782" s="20">
        <f t="shared" si="1584"/>
        <v>9</v>
      </c>
      <c r="U782" s="20">
        <f t="shared" si="1584"/>
        <v>9400</v>
      </c>
      <c r="V782" s="20">
        <f t="shared" si="1584"/>
        <v>9400</v>
      </c>
      <c r="W782" s="20">
        <f t="shared" si="1584"/>
        <v>9400</v>
      </c>
      <c r="X782" s="20">
        <f t="shared" si="1584"/>
        <v>1</v>
      </c>
      <c r="Y782" s="20">
        <f t="shared" si="1525"/>
        <v>0</v>
      </c>
      <c r="Z782" s="30">
        <v>0</v>
      </c>
      <c r="AA782" s="27">
        <v>0</v>
      </c>
      <c r="AB782" s="27">
        <v>0</v>
      </c>
      <c r="AC782" s="27">
        <v>0</v>
      </c>
      <c r="AD782" s="23">
        <f t="shared" ref="AD782:AE782" si="1585">AD752</f>
        <v>1</v>
      </c>
      <c r="AE782" s="23">
        <f t="shared" si="1585"/>
        <v>3</v>
      </c>
    </row>
    <row r="783" spans="1:31">
      <c r="A783" s="4">
        <v>12101</v>
      </c>
      <c r="B783" s="4">
        <v>2</v>
      </c>
      <c r="C783" s="29" t="s">
        <v>67</v>
      </c>
      <c r="D783" s="44">
        <f t="shared" si="1523"/>
        <v>78</v>
      </c>
      <c r="E783" s="28">
        <v>0</v>
      </c>
      <c r="F783" s="28">
        <v>0</v>
      </c>
      <c r="G783" s="28">
        <v>0</v>
      </c>
      <c r="H783" s="47">
        <v>0</v>
      </c>
      <c r="I783" s="21">
        <f t="shared" si="1489"/>
        <v>55</v>
      </c>
      <c r="J783" s="21">
        <f t="shared" si="1577"/>
        <v>1</v>
      </c>
      <c r="K783" s="21">
        <v>0</v>
      </c>
      <c r="L783" s="20">
        <v>40</v>
      </c>
      <c r="M783" s="20">
        <v>0</v>
      </c>
      <c r="N783" s="20">
        <f t="shared" si="1490"/>
        <v>20</v>
      </c>
      <c r="O783" s="19" t="s">
        <v>67</v>
      </c>
      <c r="P783" s="20">
        <v>9100</v>
      </c>
      <c r="Q783" s="20">
        <f t="shared" ref="Q783:X783" si="1586">Q753</f>
        <v>2</v>
      </c>
      <c r="R783" s="20">
        <f t="shared" si="1586"/>
        <v>8</v>
      </c>
      <c r="S783" s="20">
        <f t="shared" si="1586"/>
        <v>14</v>
      </c>
      <c r="T783" s="20">
        <f t="shared" si="1586"/>
        <v>18</v>
      </c>
      <c r="U783" s="20">
        <f t="shared" si="1586"/>
        <v>4000</v>
      </c>
      <c r="V783" s="20">
        <f t="shared" si="1586"/>
        <v>8000</v>
      </c>
      <c r="W783" s="20">
        <f t="shared" si="1586"/>
        <v>8000</v>
      </c>
      <c r="X783" s="20">
        <f t="shared" si="1586"/>
        <v>1</v>
      </c>
      <c r="Y783" s="20">
        <f t="shared" si="1525"/>
        <v>0</v>
      </c>
      <c r="Z783" s="30">
        <v>0</v>
      </c>
      <c r="AA783" s="27">
        <v>0</v>
      </c>
      <c r="AB783" s="27">
        <v>0</v>
      </c>
      <c r="AC783" s="27">
        <v>0</v>
      </c>
      <c r="AD783" s="23">
        <f t="shared" ref="AD783:AE783" si="1587">AD753</f>
        <v>2</v>
      </c>
      <c r="AE783" s="23">
        <f t="shared" si="1587"/>
        <v>5</v>
      </c>
    </row>
    <row r="784" spans="1:31">
      <c r="A784" s="8">
        <v>12101</v>
      </c>
      <c r="B784" s="8">
        <v>3</v>
      </c>
      <c r="C784" s="29" t="s">
        <v>68</v>
      </c>
      <c r="D784" s="44">
        <f t="shared" si="1523"/>
        <v>84</v>
      </c>
      <c r="E784" s="28">
        <v>0</v>
      </c>
      <c r="F784" s="28">
        <v>0</v>
      </c>
      <c r="G784" s="28">
        <v>0</v>
      </c>
      <c r="H784" s="47">
        <v>0</v>
      </c>
      <c r="I784" s="21">
        <f t="shared" si="1489"/>
        <v>55</v>
      </c>
      <c r="J784" s="21">
        <f t="shared" si="1577"/>
        <v>2</v>
      </c>
      <c r="K784" s="21">
        <v>0</v>
      </c>
      <c r="L784" s="20">
        <v>35</v>
      </c>
      <c r="M784" s="20">
        <v>0</v>
      </c>
      <c r="N784" s="20">
        <f t="shared" si="1490"/>
        <v>40</v>
      </c>
      <c r="O784" s="19" t="s">
        <v>68</v>
      </c>
      <c r="P784" s="20">
        <v>8600</v>
      </c>
      <c r="Q784" s="20">
        <f t="shared" ref="Q784:X784" si="1588">Q754</f>
        <v>4</v>
      </c>
      <c r="R784" s="20">
        <f t="shared" si="1588"/>
        <v>16</v>
      </c>
      <c r="S784" s="20">
        <f t="shared" si="1588"/>
        <v>28</v>
      </c>
      <c r="T784" s="20">
        <f t="shared" si="1588"/>
        <v>36</v>
      </c>
      <c r="U784" s="20">
        <f t="shared" si="1588"/>
        <v>1600</v>
      </c>
      <c r="V784" s="20">
        <f t="shared" si="1588"/>
        <v>5000</v>
      </c>
      <c r="W784" s="20">
        <f t="shared" si="1588"/>
        <v>6000</v>
      </c>
      <c r="X784" s="20">
        <f t="shared" si="1588"/>
        <v>1</v>
      </c>
      <c r="Y784" s="20">
        <f t="shared" si="1525"/>
        <v>0</v>
      </c>
      <c r="Z784" s="30">
        <v>0</v>
      </c>
      <c r="AA784" s="27">
        <v>0</v>
      </c>
      <c r="AB784" s="27">
        <v>0</v>
      </c>
      <c r="AC784" s="27">
        <v>0</v>
      </c>
      <c r="AD784" s="23">
        <f t="shared" ref="AD784:AE784" si="1589">AD754</f>
        <v>4</v>
      </c>
      <c r="AE784" s="23">
        <f t="shared" si="1589"/>
        <v>8</v>
      </c>
    </row>
    <row r="785" spans="1:31">
      <c r="A785" s="4">
        <v>12101</v>
      </c>
      <c r="B785" s="4">
        <v>4</v>
      </c>
      <c r="C785" s="29" t="s">
        <v>69</v>
      </c>
      <c r="D785" s="44">
        <f t="shared" si="1523"/>
        <v>91</v>
      </c>
      <c r="E785" s="28">
        <v>0</v>
      </c>
      <c r="F785" s="28">
        <v>0</v>
      </c>
      <c r="G785" s="28">
        <v>0</v>
      </c>
      <c r="H785" s="47">
        <v>0</v>
      </c>
      <c r="I785" s="21">
        <f t="shared" si="1489"/>
        <v>55</v>
      </c>
      <c r="J785" s="21">
        <f t="shared" si="1577"/>
        <v>3</v>
      </c>
      <c r="K785" s="21">
        <v>0</v>
      </c>
      <c r="L785" s="20">
        <v>30</v>
      </c>
      <c r="M785" s="20">
        <v>0</v>
      </c>
      <c r="N785" s="20">
        <f t="shared" si="1490"/>
        <v>100</v>
      </c>
      <c r="O785" s="19" t="s">
        <v>69</v>
      </c>
      <c r="P785" s="20">
        <v>6400</v>
      </c>
      <c r="Q785" s="20">
        <f t="shared" ref="Q785:X785" si="1590">Q755</f>
        <v>10</v>
      </c>
      <c r="R785" s="20">
        <f t="shared" si="1590"/>
        <v>40</v>
      </c>
      <c r="S785" s="20">
        <f t="shared" si="1590"/>
        <v>70</v>
      </c>
      <c r="T785" s="20">
        <f t="shared" si="1590"/>
        <v>90</v>
      </c>
      <c r="U785" s="20">
        <f t="shared" si="1590"/>
        <v>900</v>
      </c>
      <c r="V785" s="20">
        <f t="shared" si="1590"/>
        <v>2000</v>
      </c>
      <c r="W785" s="20">
        <f t="shared" si="1590"/>
        <v>8000</v>
      </c>
      <c r="X785" s="20">
        <f t="shared" si="1590"/>
        <v>1</v>
      </c>
      <c r="Y785" s="20">
        <f t="shared" si="1525"/>
        <v>0</v>
      </c>
      <c r="Z785" s="30">
        <v>0</v>
      </c>
      <c r="AA785" s="27">
        <v>0</v>
      </c>
      <c r="AB785" s="27">
        <v>0</v>
      </c>
      <c r="AC785" s="27">
        <v>0</v>
      </c>
      <c r="AD785" s="23">
        <f t="shared" ref="AD785:AE785" si="1591">AD755</f>
        <v>6</v>
      </c>
      <c r="AE785" s="23">
        <f t="shared" si="1591"/>
        <v>10</v>
      </c>
    </row>
    <row r="786" spans="1:31">
      <c r="A786" s="4">
        <v>12101</v>
      </c>
      <c r="B786" s="4">
        <v>5</v>
      </c>
      <c r="C786" s="29" t="s">
        <v>70</v>
      </c>
      <c r="D786" s="44">
        <f t="shared" si="1523"/>
        <v>99</v>
      </c>
      <c r="E786" s="28">
        <v>0</v>
      </c>
      <c r="F786" s="28">
        <v>0</v>
      </c>
      <c r="G786" s="28">
        <v>0</v>
      </c>
      <c r="H786" s="47">
        <v>0</v>
      </c>
      <c r="I786" s="21">
        <f t="shared" si="1489"/>
        <v>110</v>
      </c>
      <c r="J786" s="21">
        <f t="shared" si="1577"/>
        <v>4</v>
      </c>
      <c r="K786" s="21">
        <v>0</v>
      </c>
      <c r="L786" s="20">
        <v>25</v>
      </c>
      <c r="M786" s="20">
        <v>0</v>
      </c>
      <c r="N786" s="20">
        <f t="shared" si="1490"/>
        <v>200</v>
      </c>
      <c r="O786" s="19" t="s">
        <v>70</v>
      </c>
      <c r="P786" s="20">
        <v>3100</v>
      </c>
      <c r="Q786" s="20">
        <f t="shared" ref="Q786:X786" si="1592">Q756</f>
        <v>20</v>
      </c>
      <c r="R786" s="20">
        <f t="shared" si="1592"/>
        <v>80</v>
      </c>
      <c r="S786" s="20">
        <f t="shared" si="1592"/>
        <v>140</v>
      </c>
      <c r="T786" s="20">
        <f t="shared" si="1592"/>
        <v>180</v>
      </c>
      <c r="U786" s="20">
        <f t="shared" si="1592"/>
        <v>1000</v>
      </c>
      <c r="V786" s="20">
        <f t="shared" si="1592"/>
        <v>2000</v>
      </c>
      <c r="W786" s="20">
        <f t="shared" si="1592"/>
        <v>2000</v>
      </c>
      <c r="X786" s="20">
        <f t="shared" si="1592"/>
        <v>2</v>
      </c>
      <c r="Y786" s="20">
        <f t="shared" si="1525"/>
        <v>0</v>
      </c>
      <c r="Z786" s="30">
        <v>0</v>
      </c>
      <c r="AA786" s="27">
        <v>0</v>
      </c>
      <c r="AB786" s="27">
        <v>0</v>
      </c>
      <c r="AC786" s="27">
        <v>0</v>
      </c>
      <c r="AD786" s="23">
        <f t="shared" ref="AD786:AE786" si="1593">AD756</f>
        <v>8</v>
      </c>
      <c r="AE786" s="23">
        <f t="shared" si="1593"/>
        <v>12</v>
      </c>
    </row>
    <row r="787" spans="1:31">
      <c r="A787" s="4">
        <v>12101</v>
      </c>
      <c r="B787" s="4">
        <v>6</v>
      </c>
      <c r="C787" s="29" t="s">
        <v>71</v>
      </c>
      <c r="D787" s="44">
        <f t="shared" si="1523"/>
        <v>107</v>
      </c>
      <c r="E787" s="28">
        <v>0</v>
      </c>
      <c r="F787" s="28">
        <v>0</v>
      </c>
      <c r="G787" s="28">
        <v>0</v>
      </c>
      <c r="H787" s="47">
        <v>0</v>
      </c>
      <c r="I787" s="21">
        <f t="shared" si="1489"/>
        <v>110</v>
      </c>
      <c r="J787" s="21">
        <f t="shared" si="1577"/>
        <v>5</v>
      </c>
      <c r="K787" s="21">
        <v>0</v>
      </c>
      <c r="L787" s="20">
        <v>20</v>
      </c>
      <c r="M787" s="20">
        <v>0</v>
      </c>
      <c r="N787" s="20">
        <f t="shared" si="1490"/>
        <v>500</v>
      </c>
      <c r="O787" s="19" t="s">
        <v>71</v>
      </c>
      <c r="P787" s="20">
        <v>1777</v>
      </c>
      <c r="Q787" s="20">
        <f t="shared" ref="Q787:X787" si="1594">Q757</f>
        <v>50</v>
      </c>
      <c r="R787" s="20">
        <f t="shared" si="1594"/>
        <v>200</v>
      </c>
      <c r="S787" s="20">
        <f t="shared" si="1594"/>
        <v>350</v>
      </c>
      <c r="T787" s="20">
        <f t="shared" si="1594"/>
        <v>450</v>
      </c>
      <c r="U787" s="20">
        <f t="shared" si="1594"/>
        <v>800</v>
      </c>
      <c r="V787" s="20">
        <f t="shared" si="1594"/>
        <v>800</v>
      </c>
      <c r="W787" s="20">
        <f t="shared" si="1594"/>
        <v>600</v>
      </c>
      <c r="X787" s="20">
        <f t="shared" si="1594"/>
        <v>2</v>
      </c>
      <c r="Y787" s="20">
        <f t="shared" si="1525"/>
        <v>0</v>
      </c>
      <c r="Z787" s="30">
        <v>0</v>
      </c>
      <c r="AA787" s="27">
        <v>0</v>
      </c>
      <c r="AB787" s="27">
        <v>0</v>
      </c>
      <c r="AC787" s="27">
        <v>0</v>
      </c>
      <c r="AD787" s="23">
        <f t="shared" ref="AD787:AE787" si="1595">AD757</f>
        <v>10</v>
      </c>
      <c r="AE787" s="23">
        <f t="shared" si="1595"/>
        <v>14</v>
      </c>
    </row>
    <row r="788" spans="1:31">
      <c r="A788" s="4">
        <v>12101</v>
      </c>
      <c r="B788" s="4">
        <v>7</v>
      </c>
      <c r="C788" s="29" t="s">
        <v>72</v>
      </c>
      <c r="D788" s="44">
        <f t="shared" si="1523"/>
        <v>116</v>
      </c>
      <c r="E788" s="28">
        <v>0</v>
      </c>
      <c r="F788" s="28">
        <v>0</v>
      </c>
      <c r="G788" s="28">
        <v>0</v>
      </c>
      <c r="H788" s="47">
        <v>0</v>
      </c>
      <c r="I788" s="21">
        <f t="shared" si="1489"/>
        <v>110</v>
      </c>
      <c r="J788" s="21">
        <f t="shared" si="1577"/>
        <v>6</v>
      </c>
      <c r="K788" s="21">
        <v>0</v>
      </c>
      <c r="L788" s="20">
        <v>16</v>
      </c>
      <c r="M788" s="20">
        <v>0</v>
      </c>
      <c r="N788" s="20">
        <f t="shared" si="1490"/>
        <v>700</v>
      </c>
      <c r="O788" s="19" t="s">
        <v>72</v>
      </c>
      <c r="P788" s="20">
        <v>2332</v>
      </c>
      <c r="Q788" s="20">
        <f t="shared" ref="Q788:X788" si="1596">Q758</f>
        <v>70</v>
      </c>
      <c r="R788" s="20">
        <f t="shared" si="1596"/>
        <v>280</v>
      </c>
      <c r="S788" s="20">
        <f t="shared" si="1596"/>
        <v>489.99999999999994</v>
      </c>
      <c r="T788" s="20">
        <f t="shared" si="1596"/>
        <v>630</v>
      </c>
      <c r="U788" s="20">
        <f t="shared" si="1596"/>
        <v>650</v>
      </c>
      <c r="V788" s="20">
        <f t="shared" si="1596"/>
        <v>800</v>
      </c>
      <c r="W788" s="20">
        <f t="shared" si="1596"/>
        <v>300</v>
      </c>
      <c r="X788" s="20">
        <f t="shared" si="1596"/>
        <v>2</v>
      </c>
      <c r="Y788" s="20">
        <f t="shared" si="1525"/>
        <v>0</v>
      </c>
      <c r="Z788" s="30">
        <v>0</v>
      </c>
      <c r="AA788" s="27">
        <v>0</v>
      </c>
      <c r="AB788" s="27">
        <v>0</v>
      </c>
      <c r="AC788" s="27">
        <v>0</v>
      </c>
      <c r="AD788" s="23">
        <f t="shared" ref="AD788:AE788" si="1597">AD758</f>
        <v>12</v>
      </c>
      <c r="AE788" s="23">
        <f t="shared" si="1597"/>
        <v>16</v>
      </c>
    </row>
    <row r="789" spans="1:31">
      <c r="A789" s="4">
        <v>12101</v>
      </c>
      <c r="B789" s="4">
        <v>8</v>
      </c>
      <c r="C789" s="29" t="s">
        <v>73</v>
      </c>
      <c r="D789" s="44">
        <f t="shared" si="1523"/>
        <v>126</v>
      </c>
      <c r="E789" s="28">
        <v>0</v>
      </c>
      <c r="F789" s="28">
        <v>0</v>
      </c>
      <c r="G789" s="28">
        <v>0</v>
      </c>
      <c r="H789" s="47">
        <v>0</v>
      </c>
      <c r="I789" s="21">
        <f t="shared" si="1489"/>
        <v>110</v>
      </c>
      <c r="J789" s="21">
        <f t="shared" si="1577"/>
        <v>7</v>
      </c>
      <c r="K789" s="21">
        <v>0</v>
      </c>
      <c r="L789" s="20">
        <v>12</v>
      </c>
      <c r="M789" s="20">
        <v>0</v>
      </c>
      <c r="N789" s="20">
        <f t="shared" si="1490"/>
        <v>800</v>
      </c>
      <c r="O789" s="19" t="s">
        <v>73</v>
      </c>
      <c r="P789" s="20">
        <v>1487</v>
      </c>
      <c r="Q789" s="20">
        <f t="shared" ref="Q789:X789" si="1598">Q759</f>
        <v>80</v>
      </c>
      <c r="R789" s="20">
        <f t="shared" si="1598"/>
        <v>320</v>
      </c>
      <c r="S789" s="20">
        <f t="shared" si="1598"/>
        <v>560</v>
      </c>
      <c r="T789" s="20">
        <f t="shared" si="1598"/>
        <v>720</v>
      </c>
      <c r="U789" s="20">
        <f t="shared" si="1598"/>
        <v>200</v>
      </c>
      <c r="V789" s="20">
        <f t="shared" si="1598"/>
        <v>2000</v>
      </c>
      <c r="W789" s="20">
        <f t="shared" si="1598"/>
        <v>1000</v>
      </c>
      <c r="X789" s="20">
        <f t="shared" si="1598"/>
        <v>2</v>
      </c>
      <c r="Y789" s="20">
        <f t="shared" si="1525"/>
        <v>37</v>
      </c>
      <c r="Z789" s="30">
        <v>0</v>
      </c>
      <c r="AA789" s="27">
        <v>0</v>
      </c>
      <c r="AB789" s="27">
        <v>0</v>
      </c>
      <c r="AC789" s="27">
        <v>0</v>
      </c>
      <c r="AD789" s="23">
        <f t="shared" ref="AD789:AE789" si="1599">AD759</f>
        <v>14</v>
      </c>
      <c r="AE789" s="23">
        <f t="shared" si="1599"/>
        <v>18</v>
      </c>
    </row>
    <row r="790" spans="1:31">
      <c r="A790" s="4">
        <v>12101</v>
      </c>
      <c r="B790" s="4">
        <v>9</v>
      </c>
      <c r="C790" s="29" t="s">
        <v>74</v>
      </c>
      <c r="D790" s="44">
        <f t="shared" si="1523"/>
        <v>136</v>
      </c>
      <c r="E790" s="28">
        <v>0</v>
      </c>
      <c r="F790" s="28">
        <v>0</v>
      </c>
      <c r="G790" s="28">
        <v>0</v>
      </c>
      <c r="H790" s="47">
        <v>0</v>
      </c>
      <c r="I790" s="21">
        <f t="shared" si="1489"/>
        <v>165</v>
      </c>
      <c r="J790" s="21">
        <f t="shared" si="1577"/>
        <v>8</v>
      </c>
      <c r="K790" s="21">
        <v>0</v>
      </c>
      <c r="L790" s="20">
        <v>8</v>
      </c>
      <c r="M790" s="20">
        <v>0</v>
      </c>
      <c r="N790" s="20">
        <f t="shared" si="1490"/>
        <v>900</v>
      </c>
      <c r="O790" s="19" t="s">
        <v>74</v>
      </c>
      <c r="P790" s="20">
        <v>1518</v>
      </c>
      <c r="Q790" s="20">
        <f t="shared" ref="Q790:X790" si="1600">Q760</f>
        <v>90</v>
      </c>
      <c r="R790" s="20">
        <f t="shared" si="1600"/>
        <v>360</v>
      </c>
      <c r="S790" s="20">
        <f t="shared" si="1600"/>
        <v>630</v>
      </c>
      <c r="T790" s="20">
        <f t="shared" si="1600"/>
        <v>810</v>
      </c>
      <c r="U790" s="20">
        <f t="shared" si="1600"/>
        <v>120</v>
      </c>
      <c r="V790" s="20">
        <f t="shared" si="1600"/>
        <v>1500</v>
      </c>
      <c r="W790" s="20">
        <f t="shared" si="1600"/>
        <v>1000</v>
      </c>
      <c r="X790" s="20">
        <f t="shared" si="1600"/>
        <v>3</v>
      </c>
      <c r="Y790" s="20">
        <f t="shared" si="1525"/>
        <v>0</v>
      </c>
      <c r="Z790" s="30">
        <v>0</v>
      </c>
      <c r="AA790" s="27">
        <v>0</v>
      </c>
      <c r="AB790" s="27">
        <v>0</v>
      </c>
      <c r="AC790" s="27">
        <v>0</v>
      </c>
      <c r="AD790" s="23">
        <f t="shared" ref="AD790:AE790" si="1601">AD760</f>
        <v>16</v>
      </c>
      <c r="AE790" s="23">
        <f t="shared" si="1601"/>
        <v>20</v>
      </c>
    </row>
    <row r="791" spans="1:31">
      <c r="A791" s="4">
        <v>12101</v>
      </c>
      <c r="B791" s="4">
        <v>10</v>
      </c>
      <c r="C791" s="29" t="s">
        <v>75</v>
      </c>
      <c r="D791" s="44">
        <f t="shared" si="1523"/>
        <v>147</v>
      </c>
      <c r="E791" s="28">
        <v>0</v>
      </c>
      <c r="F791" s="28">
        <v>0</v>
      </c>
      <c r="G791" s="28">
        <v>0</v>
      </c>
      <c r="H791" s="47">
        <v>0</v>
      </c>
      <c r="I791" s="21">
        <f t="shared" si="1489"/>
        <v>165</v>
      </c>
      <c r="J791" s="21">
        <f t="shared" si="1577"/>
        <v>9</v>
      </c>
      <c r="K791" s="21">
        <v>0</v>
      </c>
      <c r="L791" s="20">
        <v>6</v>
      </c>
      <c r="M791" s="20">
        <v>0</v>
      </c>
      <c r="N791" s="20">
        <f t="shared" si="1490"/>
        <v>2000</v>
      </c>
      <c r="O791" s="19" t="s">
        <v>75</v>
      </c>
      <c r="P791" s="20">
        <v>861</v>
      </c>
      <c r="Q791" s="20">
        <f t="shared" ref="Q791:X791" si="1602">Q761</f>
        <v>200</v>
      </c>
      <c r="R791" s="20">
        <f t="shared" si="1602"/>
        <v>800</v>
      </c>
      <c r="S791" s="20">
        <f t="shared" si="1602"/>
        <v>1400</v>
      </c>
      <c r="T791" s="20">
        <f t="shared" si="1602"/>
        <v>1800</v>
      </c>
      <c r="U791" s="20">
        <f t="shared" si="1602"/>
        <v>150</v>
      </c>
      <c r="V791" s="20">
        <f t="shared" si="1602"/>
        <v>5000</v>
      </c>
      <c r="W791" s="20">
        <f t="shared" si="1602"/>
        <v>800</v>
      </c>
      <c r="X791" s="20">
        <f t="shared" si="1602"/>
        <v>3</v>
      </c>
      <c r="Y791" s="20">
        <f t="shared" si="1525"/>
        <v>0</v>
      </c>
      <c r="Z791" s="30">
        <v>0</v>
      </c>
      <c r="AA791" s="27">
        <v>0</v>
      </c>
      <c r="AB791" s="27">
        <v>0</v>
      </c>
      <c r="AC791" s="27">
        <v>0</v>
      </c>
      <c r="AD791" s="23">
        <f t="shared" ref="AD791:AE791" si="1603">AD761</f>
        <v>18</v>
      </c>
      <c r="AE791" s="23">
        <f t="shared" si="1603"/>
        <v>22</v>
      </c>
    </row>
    <row r="792" spans="1:31">
      <c r="A792" s="4">
        <v>12101</v>
      </c>
      <c r="B792" s="4">
        <v>11</v>
      </c>
      <c r="C792" s="29" t="s">
        <v>66</v>
      </c>
      <c r="D792" s="44">
        <f t="shared" si="1523"/>
        <v>159</v>
      </c>
      <c r="E792" s="28">
        <v>0</v>
      </c>
      <c r="F792" s="28">
        <v>0</v>
      </c>
      <c r="G792" s="28">
        <v>0</v>
      </c>
      <c r="H792" s="47">
        <v>0</v>
      </c>
      <c r="I792" s="21">
        <f t="shared" si="1489"/>
        <v>165</v>
      </c>
      <c r="J792" s="21">
        <f t="shared" si="1577"/>
        <v>10</v>
      </c>
      <c r="K792" s="21">
        <v>0</v>
      </c>
      <c r="L792" s="20">
        <v>6</v>
      </c>
      <c r="M792" s="20">
        <v>0</v>
      </c>
      <c r="N792" s="20">
        <f t="shared" si="1490"/>
        <v>2200</v>
      </c>
      <c r="O792" s="19" t="s">
        <v>66</v>
      </c>
      <c r="P792" s="20">
        <v>9400</v>
      </c>
      <c r="Q792" s="20">
        <f t="shared" ref="Q792:X792" si="1604">Q762</f>
        <v>220</v>
      </c>
      <c r="R792" s="20">
        <f t="shared" si="1604"/>
        <v>880</v>
      </c>
      <c r="S792" s="20">
        <f t="shared" si="1604"/>
        <v>1540</v>
      </c>
      <c r="T792" s="20">
        <f t="shared" si="1604"/>
        <v>1980</v>
      </c>
      <c r="U792" s="20">
        <f t="shared" si="1604"/>
        <v>100</v>
      </c>
      <c r="V792" s="20">
        <f t="shared" si="1604"/>
        <v>800</v>
      </c>
      <c r="W792" s="20">
        <f t="shared" si="1604"/>
        <v>600</v>
      </c>
      <c r="X792" s="20">
        <f t="shared" si="1604"/>
        <v>3</v>
      </c>
      <c r="Y792" s="20">
        <f t="shared" si="1525"/>
        <v>0</v>
      </c>
      <c r="Z792" s="30">
        <v>0</v>
      </c>
      <c r="AA792" s="27">
        <v>0</v>
      </c>
      <c r="AB792" s="27">
        <v>0</v>
      </c>
      <c r="AC792" s="27">
        <v>0</v>
      </c>
      <c r="AD792" s="23">
        <f t="shared" ref="AD792:AE792" si="1605">AD762</f>
        <v>20</v>
      </c>
      <c r="AE792" s="23">
        <f t="shared" si="1605"/>
        <v>24</v>
      </c>
    </row>
    <row r="793" spans="1:31">
      <c r="A793" s="4">
        <v>12101</v>
      </c>
      <c r="B793" s="4">
        <v>12</v>
      </c>
      <c r="C793" s="29" t="s">
        <v>67</v>
      </c>
      <c r="D793" s="44">
        <f t="shared" si="1523"/>
        <v>172</v>
      </c>
      <c r="E793" s="28">
        <v>0</v>
      </c>
      <c r="F793" s="28">
        <v>0</v>
      </c>
      <c r="G793" s="28">
        <v>0</v>
      </c>
      <c r="H793" s="47">
        <v>0</v>
      </c>
      <c r="I793" s="21">
        <f t="shared" si="1489"/>
        <v>165</v>
      </c>
      <c r="J793" s="21">
        <f t="shared" si="1577"/>
        <v>11</v>
      </c>
      <c r="K793" s="21">
        <v>0</v>
      </c>
      <c r="L793" s="20">
        <v>6</v>
      </c>
      <c r="M793" s="20">
        <v>0</v>
      </c>
      <c r="N793" s="20">
        <f t="shared" si="1490"/>
        <v>2400</v>
      </c>
      <c r="O793" s="19" t="s">
        <v>67</v>
      </c>
      <c r="P793" s="20">
        <v>9100</v>
      </c>
      <c r="Q793" s="20">
        <f t="shared" ref="Q793:X793" si="1606">Q763</f>
        <v>240</v>
      </c>
      <c r="R793" s="20">
        <f t="shared" si="1606"/>
        <v>960</v>
      </c>
      <c r="S793" s="20">
        <f t="shared" si="1606"/>
        <v>1680</v>
      </c>
      <c r="T793" s="20">
        <f t="shared" si="1606"/>
        <v>2160</v>
      </c>
      <c r="U793" s="20">
        <f t="shared" si="1606"/>
        <v>150</v>
      </c>
      <c r="V793" s="20">
        <f t="shared" si="1606"/>
        <v>700</v>
      </c>
      <c r="W793" s="20">
        <f t="shared" si="1606"/>
        <v>900</v>
      </c>
      <c r="X793" s="20">
        <f t="shared" si="1606"/>
        <v>3</v>
      </c>
      <c r="Y793" s="20">
        <f t="shared" si="1525"/>
        <v>0</v>
      </c>
      <c r="Z793" s="30">
        <v>0</v>
      </c>
      <c r="AA793" s="27">
        <v>0</v>
      </c>
      <c r="AB793" s="27">
        <v>0</v>
      </c>
      <c r="AC793" s="27">
        <v>0</v>
      </c>
      <c r="AD793" s="23">
        <f t="shared" ref="AD793:AE793" si="1607">AD763</f>
        <v>22</v>
      </c>
      <c r="AE793" s="23">
        <f t="shared" si="1607"/>
        <v>26</v>
      </c>
    </row>
    <row r="794" spans="1:31">
      <c r="A794" s="4">
        <v>12101</v>
      </c>
      <c r="B794" s="4">
        <v>13</v>
      </c>
      <c r="C794" s="29" t="s">
        <v>68</v>
      </c>
      <c r="D794" s="44">
        <f t="shared" si="1523"/>
        <v>187</v>
      </c>
      <c r="E794" s="28">
        <v>0</v>
      </c>
      <c r="F794" s="28">
        <v>0</v>
      </c>
      <c r="G794" s="28">
        <v>0</v>
      </c>
      <c r="H794" s="47">
        <v>0</v>
      </c>
      <c r="I794" s="21">
        <f t="shared" si="1489"/>
        <v>220</v>
      </c>
      <c r="J794" s="21">
        <f t="shared" si="1577"/>
        <v>12</v>
      </c>
      <c r="K794" s="21">
        <v>0</v>
      </c>
      <c r="L794" s="20">
        <v>6</v>
      </c>
      <c r="M794" s="20">
        <v>0</v>
      </c>
      <c r="N794" s="20">
        <f t="shared" si="1490"/>
        <v>2600</v>
      </c>
      <c r="O794" s="19" t="s">
        <v>68</v>
      </c>
      <c r="P794" s="20">
        <v>8600</v>
      </c>
      <c r="Q794" s="20">
        <f t="shared" ref="Q794:X794" si="1608">Q764</f>
        <v>260</v>
      </c>
      <c r="R794" s="20">
        <f t="shared" si="1608"/>
        <v>1040</v>
      </c>
      <c r="S794" s="20">
        <f t="shared" si="1608"/>
        <v>1819.9999999999998</v>
      </c>
      <c r="T794" s="20">
        <f t="shared" si="1608"/>
        <v>2340</v>
      </c>
      <c r="U794" s="20">
        <f t="shared" si="1608"/>
        <v>100</v>
      </c>
      <c r="V794" s="20">
        <f t="shared" si="1608"/>
        <v>700</v>
      </c>
      <c r="W794" s="20">
        <f t="shared" si="1608"/>
        <v>1000</v>
      </c>
      <c r="X794" s="20">
        <f t="shared" si="1608"/>
        <v>4</v>
      </c>
      <c r="Y794" s="20">
        <f t="shared" si="1525"/>
        <v>75</v>
      </c>
      <c r="Z794" s="30">
        <v>0</v>
      </c>
      <c r="AA794" s="27">
        <v>0</v>
      </c>
      <c r="AB794" s="27">
        <v>0</v>
      </c>
      <c r="AC794" s="27">
        <v>0</v>
      </c>
      <c r="AD794" s="23">
        <f t="shared" ref="AD794:AE794" si="1609">AD764</f>
        <v>24</v>
      </c>
      <c r="AE794" s="23">
        <f t="shared" si="1609"/>
        <v>28</v>
      </c>
    </row>
    <row r="795" spans="1:31">
      <c r="A795" s="4">
        <v>12101</v>
      </c>
      <c r="B795" s="4">
        <v>14</v>
      </c>
      <c r="C795" s="29" t="s">
        <v>69</v>
      </c>
      <c r="D795" s="44">
        <f t="shared" si="1523"/>
        <v>202</v>
      </c>
      <c r="E795" s="28">
        <v>0</v>
      </c>
      <c r="F795" s="28">
        <v>0</v>
      </c>
      <c r="G795" s="28">
        <v>0</v>
      </c>
      <c r="H795" s="47">
        <v>0</v>
      </c>
      <c r="I795" s="21">
        <f t="shared" si="1489"/>
        <v>220</v>
      </c>
      <c r="J795" s="21">
        <f t="shared" si="1577"/>
        <v>13</v>
      </c>
      <c r="K795" s="21">
        <v>0</v>
      </c>
      <c r="L795" s="20">
        <v>6</v>
      </c>
      <c r="M795" s="20">
        <v>0</v>
      </c>
      <c r="N795" s="20">
        <f t="shared" si="1490"/>
        <v>2800</v>
      </c>
      <c r="O795" s="19" t="s">
        <v>69</v>
      </c>
      <c r="P795" s="20">
        <v>6400</v>
      </c>
      <c r="Q795" s="20">
        <f t="shared" ref="Q795:X795" si="1610">Q765</f>
        <v>280</v>
      </c>
      <c r="R795" s="20">
        <f t="shared" si="1610"/>
        <v>1120</v>
      </c>
      <c r="S795" s="20">
        <f t="shared" si="1610"/>
        <v>1959.9999999999998</v>
      </c>
      <c r="T795" s="20">
        <f t="shared" si="1610"/>
        <v>2520</v>
      </c>
      <c r="U795" s="20">
        <f t="shared" si="1610"/>
        <v>100</v>
      </c>
      <c r="V795" s="20">
        <f t="shared" si="1610"/>
        <v>400</v>
      </c>
      <c r="W795" s="20">
        <f t="shared" si="1610"/>
        <v>1200</v>
      </c>
      <c r="X795" s="20">
        <f t="shared" si="1610"/>
        <v>4</v>
      </c>
      <c r="Y795" s="20">
        <f t="shared" si="1525"/>
        <v>0</v>
      </c>
      <c r="Z795" s="30">
        <v>0</v>
      </c>
      <c r="AA795" s="27">
        <v>0</v>
      </c>
      <c r="AB795" s="27">
        <v>0</v>
      </c>
      <c r="AC795" s="27">
        <v>0</v>
      </c>
      <c r="AD795" s="23">
        <f t="shared" ref="AD795:AE795" si="1611">AD765</f>
        <v>26</v>
      </c>
      <c r="AE795" s="23">
        <f t="shared" si="1611"/>
        <v>30</v>
      </c>
    </row>
    <row r="796" spans="1:31">
      <c r="A796" s="8">
        <v>12101</v>
      </c>
      <c r="B796" s="8">
        <v>15</v>
      </c>
      <c r="C796" s="29" t="s">
        <v>70</v>
      </c>
      <c r="D796" s="44">
        <f t="shared" si="1523"/>
        <v>219</v>
      </c>
      <c r="E796" s="28">
        <v>0</v>
      </c>
      <c r="F796" s="28">
        <v>0</v>
      </c>
      <c r="G796" s="28">
        <v>0</v>
      </c>
      <c r="H796" s="47">
        <v>0</v>
      </c>
      <c r="I796" s="21">
        <f t="shared" si="1489"/>
        <v>220</v>
      </c>
      <c r="J796" s="21">
        <f t="shared" si="1577"/>
        <v>14</v>
      </c>
      <c r="K796" s="21">
        <v>0</v>
      </c>
      <c r="L796" s="20">
        <v>6</v>
      </c>
      <c r="M796" s="20">
        <v>0</v>
      </c>
      <c r="N796" s="20">
        <f t="shared" si="1490"/>
        <v>4500</v>
      </c>
      <c r="O796" s="19" t="s">
        <v>70</v>
      </c>
      <c r="P796" s="20">
        <v>3100</v>
      </c>
      <c r="Q796" s="20">
        <f t="shared" ref="Q796:X796" si="1612">Q766</f>
        <v>450</v>
      </c>
      <c r="R796" s="20">
        <f t="shared" si="1612"/>
        <v>1800</v>
      </c>
      <c r="S796" s="20">
        <f t="shared" si="1612"/>
        <v>3150</v>
      </c>
      <c r="T796" s="20">
        <f t="shared" si="1612"/>
        <v>4050</v>
      </c>
      <c r="U796" s="20">
        <f t="shared" si="1612"/>
        <v>100</v>
      </c>
      <c r="V796" s="20">
        <f t="shared" si="1612"/>
        <v>1000</v>
      </c>
      <c r="W796" s="20">
        <f t="shared" si="1612"/>
        <v>600</v>
      </c>
      <c r="X796" s="20">
        <f t="shared" si="1612"/>
        <v>4</v>
      </c>
      <c r="Y796" s="20">
        <f t="shared" si="1525"/>
        <v>0</v>
      </c>
      <c r="Z796" s="30">
        <v>0</v>
      </c>
      <c r="AA796" s="27">
        <v>0</v>
      </c>
      <c r="AB796" s="27">
        <v>0</v>
      </c>
      <c r="AC796" s="27">
        <v>0</v>
      </c>
      <c r="AD796" s="23">
        <f t="shared" ref="AD796:AE796" si="1613">AD766</f>
        <v>28</v>
      </c>
      <c r="AE796" s="23">
        <f t="shared" si="1613"/>
        <v>32</v>
      </c>
    </row>
    <row r="797" spans="1:31">
      <c r="A797" s="4">
        <v>12101</v>
      </c>
      <c r="B797" s="4">
        <v>16</v>
      </c>
      <c r="C797" s="29" t="s">
        <v>71</v>
      </c>
      <c r="D797" s="44">
        <f t="shared" si="1523"/>
        <v>237</v>
      </c>
      <c r="E797" s="28">
        <v>0</v>
      </c>
      <c r="F797" s="28">
        <v>0</v>
      </c>
      <c r="G797" s="28">
        <v>0</v>
      </c>
      <c r="H797" s="47">
        <v>0</v>
      </c>
      <c r="I797" s="21">
        <f t="shared" si="1489"/>
        <v>220</v>
      </c>
      <c r="J797" s="21">
        <f t="shared" si="1577"/>
        <v>15</v>
      </c>
      <c r="K797" s="21">
        <v>0</v>
      </c>
      <c r="L797" s="20">
        <v>6</v>
      </c>
      <c r="M797" s="20">
        <v>0</v>
      </c>
      <c r="N797" s="20">
        <f t="shared" si="1490"/>
        <v>4800</v>
      </c>
      <c r="O797" s="19" t="s">
        <v>71</v>
      </c>
      <c r="P797" s="20">
        <v>1777</v>
      </c>
      <c r="Q797" s="20">
        <f t="shared" ref="Q797:X797" si="1614">Q767</f>
        <v>480</v>
      </c>
      <c r="R797" s="20">
        <f t="shared" si="1614"/>
        <v>1920</v>
      </c>
      <c r="S797" s="20">
        <f t="shared" si="1614"/>
        <v>3360</v>
      </c>
      <c r="T797" s="20">
        <f t="shared" si="1614"/>
        <v>4320</v>
      </c>
      <c r="U797" s="20">
        <f t="shared" si="1614"/>
        <v>100</v>
      </c>
      <c r="V797" s="20">
        <f t="shared" si="1614"/>
        <v>800</v>
      </c>
      <c r="W797" s="20">
        <f t="shared" si="1614"/>
        <v>800</v>
      </c>
      <c r="X797" s="20">
        <f t="shared" si="1614"/>
        <v>4</v>
      </c>
      <c r="Y797" s="20">
        <f t="shared" si="1525"/>
        <v>0</v>
      </c>
      <c r="Z797" s="30">
        <v>0</v>
      </c>
      <c r="AA797" s="27">
        <v>0</v>
      </c>
      <c r="AB797" s="27">
        <v>0</v>
      </c>
      <c r="AC797" s="27">
        <v>0</v>
      </c>
      <c r="AD797" s="23">
        <f t="shared" ref="AD797:AE797" si="1615">AD767</f>
        <v>30</v>
      </c>
      <c r="AE797" s="23">
        <f t="shared" si="1615"/>
        <v>34</v>
      </c>
    </row>
    <row r="798" spans="1:31">
      <c r="A798" s="4">
        <v>12101</v>
      </c>
      <c r="B798" s="4">
        <v>17</v>
      </c>
      <c r="C798" s="29" t="s">
        <v>72</v>
      </c>
      <c r="D798" s="44">
        <f t="shared" si="1523"/>
        <v>256</v>
      </c>
      <c r="E798" s="28">
        <v>0</v>
      </c>
      <c r="F798" s="28">
        <v>0</v>
      </c>
      <c r="G798" s="28">
        <v>0</v>
      </c>
      <c r="H798" s="47">
        <v>0</v>
      </c>
      <c r="I798" s="21">
        <f t="shared" si="1489"/>
        <v>275</v>
      </c>
      <c r="J798" s="21">
        <f t="shared" si="1577"/>
        <v>16</v>
      </c>
      <c r="K798" s="21">
        <v>0</v>
      </c>
      <c r="L798" s="20">
        <v>6</v>
      </c>
      <c r="M798" s="20">
        <v>0</v>
      </c>
      <c r="N798" s="20">
        <f t="shared" si="1490"/>
        <v>5100</v>
      </c>
      <c r="O798" s="19" t="s">
        <v>72</v>
      </c>
      <c r="P798" s="20">
        <v>2332</v>
      </c>
      <c r="Q798" s="20">
        <f t="shared" ref="Q798:X798" si="1616">Q768</f>
        <v>510</v>
      </c>
      <c r="R798" s="20">
        <f t="shared" si="1616"/>
        <v>2040</v>
      </c>
      <c r="S798" s="20">
        <f t="shared" si="1616"/>
        <v>3570</v>
      </c>
      <c r="T798" s="20">
        <f t="shared" si="1616"/>
        <v>4590</v>
      </c>
      <c r="U798" s="20">
        <f t="shared" si="1616"/>
        <v>80</v>
      </c>
      <c r="V798" s="20">
        <f t="shared" si="1616"/>
        <v>800</v>
      </c>
      <c r="W798" s="20">
        <f t="shared" si="1616"/>
        <v>600</v>
      </c>
      <c r="X798" s="20">
        <f t="shared" si="1616"/>
        <v>5</v>
      </c>
      <c r="Y798" s="20">
        <f t="shared" si="1525"/>
        <v>0</v>
      </c>
      <c r="Z798" s="30">
        <v>0</v>
      </c>
      <c r="AA798" s="27">
        <v>0</v>
      </c>
      <c r="AB798" s="27">
        <v>0</v>
      </c>
      <c r="AC798" s="27">
        <v>0</v>
      </c>
      <c r="AD798" s="23">
        <f t="shared" ref="AD798:AE798" si="1617">AD768</f>
        <v>32</v>
      </c>
      <c r="AE798" s="23">
        <f t="shared" si="1617"/>
        <v>36</v>
      </c>
    </row>
    <row r="799" spans="1:31">
      <c r="A799" s="4">
        <v>12101</v>
      </c>
      <c r="B799" s="4">
        <v>18</v>
      </c>
      <c r="C799" s="29" t="s">
        <v>73</v>
      </c>
      <c r="D799" s="44">
        <f t="shared" si="1523"/>
        <v>278</v>
      </c>
      <c r="E799" s="28">
        <v>0</v>
      </c>
      <c r="F799" s="28">
        <v>0</v>
      </c>
      <c r="G799" s="28">
        <v>0</v>
      </c>
      <c r="H799" s="47">
        <v>0</v>
      </c>
      <c r="I799" s="21">
        <f t="shared" si="1489"/>
        <v>275</v>
      </c>
      <c r="J799" s="21">
        <f t="shared" si="1577"/>
        <v>17</v>
      </c>
      <c r="K799" s="21">
        <v>0</v>
      </c>
      <c r="L799" s="20">
        <v>6</v>
      </c>
      <c r="M799" s="20">
        <v>0</v>
      </c>
      <c r="N799" s="20">
        <f t="shared" si="1490"/>
        <v>5400</v>
      </c>
      <c r="O799" s="19" t="s">
        <v>73</v>
      </c>
      <c r="P799" s="20">
        <v>1487</v>
      </c>
      <c r="Q799" s="20">
        <f t="shared" ref="Q799:X799" si="1618">Q769</f>
        <v>540</v>
      </c>
      <c r="R799" s="20">
        <f t="shared" si="1618"/>
        <v>2160</v>
      </c>
      <c r="S799" s="20">
        <f t="shared" si="1618"/>
        <v>3779.9999999999995</v>
      </c>
      <c r="T799" s="20">
        <f t="shared" si="1618"/>
        <v>4860</v>
      </c>
      <c r="U799" s="20">
        <f t="shared" si="1618"/>
        <v>100</v>
      </c>
      <c r="V799" s="20">
        <f t="shared" si="1618"/>
        <v>600</v>
      </c>
      <c r="W799" s="20">
        <f t="shared" si="1618"/>
        <v>300</v>
      </c>
      <c r="X799" s="20">
        <f t="shared" si="1618"/>
        <v>5</v>
      </c>
      <c r="Y799" s="20">
        <f t="shared" si="1525"/>
        <v>113</v>
      </c>
      <c r="Z799" s="30">
        <v>0</v>
      </c>
      <c r="AA799" s="27">
        <v>0</v>
      </c>
      <c r="AB799" s="27">
        <v>0</v>
      </c>
      <c r="AC799" s="27">
        <v>0</v>
      </c>
      <c r="AD799" s="23">
        <f t="shared" ref="AD799:AE799" si="1619">AD769</f>
        <v>34</v>
      </c>
      <c r="AE799" s="23">
        <f t="shared" si="1619"/>
        <v>38</v>
      </c>
    </row>
    <row r="800" spans="1:31">
      <c r="A800" s="4">
        <v>12101</v>
      </c>
      <c r="B800" s="4">
        <v>19</v>
      </c>
      <c r="C800" s="29" t="s">
        <v>74</v>
      </c>
      <c r="D800" s="44">
        <f t="shared" si="1523"/>
        <v>301</v>
      </c>
      <c r="E800" s="28">
        <v>0</v>
      </c>
      <c r="F800" s="28">
        <v>0</v>
      </c>
      <c r="G800" s="28">
        <v>0</v>
      </c>
      <c r="H800" s="47">
        <v>0</v>
      </c>
      <c r="I800" s="21">
        <f t="shared" si="1489"/>
        <v>275</v>
      </c>
      <c r="J800" s="21">
        <f t="shared" si="1577"/>
        <v>18</v>
      </c>
      <c r="K800" s="21">
        <v>0</v>
      </c>
      <c r="L800" s="20">
        <v>6</v>
      </c>
      <c r="M800" s="20">
        <v>0</v>
      </c>
      <c r="N800" s="20">
        <f t="shared" si="1490"/>
        <v>5700</v>
      </c>
      <c r="O800" s="19" t="s">
        <v>74</v>
      </c>
      <c r="P800" s="20">
        <v>1518</v>
      </c>
      <c r="Q800" s="20">
        <f t="shared" ref="Q800:X800" si="1620">Q770</f>
        <v>570</v>
      </c>
      <c r="R800" s="20">
        <f t="shared" si="1620"/>
        <v>2280</v>
      </c>
      <c r="S800" s="20">
        <f t="shared" si="1620"/>
        <v>3989.9999999999995</v>
      </c>
      <c r="T800" s="20">
        <f t="shared" si="1620"/>
        <v>5130</v>
      </c>
      <c r="U800" s="20">
        <f t="shared" si="1620"/>
        <v>100</v>
      </c>
      <c r="V800" s="20">
        <f t="shared" si="1620"/>
        <v>500</v>
      </c>
      <c r="W800" s="20">
        <f t="shared" si="1620"/>
        <v>400</v>
      </c>
      <c r="X800" s="20">
        <f t="shared" si="1620"/>
        <v>5</v>
      </c>
      <c r="Y800" s="20">
        <f t="shared" si="1525"/>
        <v>0</v>
      </c>
      <c r="Z800" s="30">
        <v>0</v>
      </c>
      <c r="AA800" s="27">
        <v>0</v>
      </c>
      <c r="AB800" s="27">
        <v>0</v>
      </c>
      <c r="AC800" s="27">
        <v>0</v>
      </c>
      <c r="AD800" s="23">
        <f t="shared" ref="AD800:AE800" si="1621">AD770</f>
        <v>36</v>
      </c>
      <c r="AE800" s="23">
        <f t="shared" si="1621"/>
        <v>40</v>
      </c>
    </row>
    <row r="801" spans="1:31">
      <c r="A801" s="4">
        <v>12101</v>
      </c>
      <c r="B801" s="4">
        <v>20</v>
      </c>
      <c r="C801" s="29" t="s">
        <v>75</v>
      </c>
      <c r="D801" s="44">
        <f t="shared" si="1523"/>
        <v>325</v>
      </c>
      <c r="E801" s="28">
        <v>0</v>
      </c>
      <c r="F801" s="28">
        <v>0</v>
      </c>
      <c r="G801" s="28">
        <v>0</v>
      </c>
      <c r="H801" s="47">
        <v>0</v>
      </c>
      <c r="I801" s="21">
        <f t="shared" ref="I801:I864" si="1622">I771</f>
        <v>275</v>
      </c>
      <c r="J801" s="21">
        <f t="shared" si="1577"/>
        <v>19</v>
      </c>
      <c r="K801" s="21">
        <v>0</v>
      </c>
      <c r="L801" s="20">
        <v>6</v>
      </c>
      <c r="M801" s="20">
        <v>0</v>
      </c>
      <c r="N801" s="20">
        <f t="shared" ref="N801:N864" si="1623">N771</f>
        <v>8000</v>
      </c>
      <c r="O801" s="19" t="s">
        <v>75</v>
      </c>
      <c r="P801" s="20">
        <v>861</v>
      </c>
      <c r="Q801" s="20">
        <f t="shared" ref="Q801:X801" si="1624">Q771</f>
        <v>800</v>
      </c>
      <c r="R801" s="20">
        <f t="shared" si="1624"/>
        <v>3200</v>
      </c>
      <c r="S801" s="20">
        <f t="shared" si="1624"/>
        <v>5600</v>
      </c>
      <c r="T801" s="20">
        <f t="shared" si="1624"/>
        <v>7200</v>
      </c>
      <c r="U801" s="20">
        <f t="shared" si="1624"/>
        <v>100</v>
      </c>
      <c r="V801" s="20">
        <f t="shared" si="1624"/>
        <v>800</v>
      </c>
      <c r="W801" s="20">
        <f t="shared" si="1624"/>
        <v>8000</v>
      </c>
      <c r="X801" s="20">
        <f t="shared" si="1624"/>
        <v>5</v>
      </c>
      <c r="Y801" s="20">
        <f t="shared" si="1525"/>
        <v>0</v>
      </c>
      <c r="Z801" s="30">
        <v>0</v>
      </c>
      <c r="AA801" s="27">
        <v>0</v>
      </c>
      <c r="AB801" s="27">
        <v>0</v>
      </c>
      <c r="AC801" s="27">
        <v>0</v>
      </c>
      <c r="AD801" s="23">
        <f t="shared" ref="AD801:AE801" si="1625">AD771</f>
        <v>38</v>
      </c>
      <c r="AE801" s="23">
        <f t="shared" si="1625"/>
        <v>42</v>
      </c>
    </row>
    <row r="802" spans="1:31">
      <c r="A802" s="4">
        <v>12101</v>
      </c>
      <c r="B802" s="4">
        <v>21</v>
      </c>
      <c r="C802" s="29" t="s">
        <v>66</v>
      </c>
      <c r="D802" s="44">
        <f t="shared" si="1523"/>
        <v>352</v>
      </c>
      <c r="E802" s="28">
        <v>0</v>
      </c>
      <c r="F802" s="28">
        <v>0</v>
      </c>
      <c r="G802" s="28">
        <v>0</v>
      </c>
      <c r="H802" s="47">
        <v>0</v>
      </c>
      <c r="I802" s="21">
        <f t="shared" si="1622"/>
        <v>330</v>
      </c>
      <c r="J802" s="21">
        <f t="shared" si="1577"/>
        <v>20</v>
      </c>
      <c r="K802" s="21">
        <v>0</v>
      </c>
      <c r="L802" s="20">
        <v>6</v>
      </c>
      <c r="M802" s="20">
        <v>0</v>
      </c>
      <c r="N802" s="20">
        <f t="shared" si="1623"/>
        <v>8400</v>
      </c>
      <c r="O802" s="19" t="s">
        <v>66</v>
      </c>
      <c r="P802" s="20">
        <v>9400</v>
      </c>
      <c r="Q802" s="20">
        <f t="shared" ref="Q802:X802" si="1626">Q772</f>
        <v>840</v>
      </c>
      <c r="R802" s="20">
        <f t="shared" si="1626"/>
        <v>3360</v>
      </c>
      <c r="S802" s="20">
        <f t="shared" si="1626"/>
        <v>5880</v>
      </c>
      <c r="T802" s="20">
        <f t="shared" si="1626"/>
        <v>7560</v>
      </c>
      <c r="U802" s="20">
        <f t="shared" si="1626"/>
        <v>50</v>
      </c>
      <c r="V802" s="20">
        <f t="shared" si="1626"/>
        <v>1000</v>
      </c>
      <c r="W802" s="20">
        <f t="shared" si="1626"/>
        <v>600</v>
      </c>
      <c r="X802" s="20">
        <f t="shared" si="1626"/>
        <v>6</v>
      </c>
      <c r="Y802" s="20">
        <f t="shared" si="1525"/>
        <v>0</v>
      </c>
      <c r="Z802" s="30">
        <v>0</v>
      </c>
      <c r="AA802" s="27">
        <v>0</v>
      </c>
      <c r="AB802" s="27">
        <v>0</v>
      </c>
      <c r="AC802" s="27">
        <v>0</v>
      </c>
      <c r="AD802" s="23">
        <f t="shared" ref="AD802:AE802" si="1627">AD772</f>
        <v>40</v>
      </c>
      <c r="AE802" s="23">
        <f t="shared" si="1627"/>
        <v>44</v>
      </c>
    </row>
    <row r="803" spans="1:31">
      <c r="A803" s="4">
        <v>12101</v>
      </c>
      <c r="B803" s="4">
        <v>22</v>
      </c>
      <c r="C803" s="29" t="s">
        <v>67</v>
      </c>
      <c r="D803" s="44">
        <f t="shared" si="1523"/>
        <v>381</v>
      </c>
      <c r="E803" s="28">
        <v>0</v>
      </c>
      <c r="F803" s="28">
        <v>0</v>
      </c>
      <c r="G803" s="28">
        <v>0</v>
      </c>
      <c r="H803" s="47">
        <v>0</v>
      </c>
      <c r="I803" s="21">
        <f t="shared" si="1622"/>
        <v>330</v>
      </c>
      <c r="J803" s="21">
        <f t="shared" si="1577"/>
        <v>21</v>
      </c>
      <c r="K803" s="21">
        <v>0</v>
      </c>
      <c r="L803" s="20">
        <v>6</v>
      </c>
      <c r="M803" s="20">
        <v>0</v>
      </c>
      <c r="N803" s="20">
        <f t="shared" si="1623"/>
        <v>8800</v>
      </c>
      <c r="O803" s="19" t="s">
        <v>67</v>
      </c>
      <c r="P803" s="20">
        <v>9100</v>
      </c>
      <c r="Q803" s="20">
        <f t="shared" ref="Q803:X803" si="1628">Q773</f>
        <v>880</v>
      </c>
      <c r="R803" s="20">
        <f t="shared" si="1628"/>
        <v>3520</v>
      </c>
      <c r="S803" s="20">
        <f t="shared" si="1628"/>
        <v>6160</v>
      </c>
      <c r="T803" s="20">
        <f t="shared" si="1628"/>
        <v>7920</v>
      </c>
      <c r="U803" s="20">
        <f t="shared" si="1628"/>
        <v>100</v>
      </c>
      <c r="V803" s="20">
        <f t="shared" si="1628"/>
        <v>600</v>
      </c>
      <c r="W803" s="20">
        <f t="shared" si="1628"/>
        <v>700</v>
      </c>
      <c r="X803" s="20">
        <f t="shared" si="1628"/>
        <v>6</v>
      </c>
      <c r="Y803" s="20">
        <f t="shared" si="1525"/>
        <v>0</v>
      </c>
      <c r="Z803" s="30">
        <v>0</v>
      </c>
      <c r="AA803" s="27">
        <v>0</v>
      </c>
      <c r="AB803" s="27">
        <v>0</v>
      </c>
      <c r="AC803" s="27">
        <v>0</v>
      </c>
      <c r="AD803" s="23">
        <f t="shared" ref="AD803:AE803" si="1629">AD773</f>
        <v>42</v>
      </c>
      <c r="AE803" s="23">
        <f t="shared" si="1629"/>
        <v>46</v>
      </c>
    </row>
    <row r="804" spans="1:31">
      <c r="A804" s="4">
        <v>12101</v>
      </c>
      <c r="B804" s="4">
        <v>23</v>
      </c>
      <c r="C804" s="29" t="s">
        <v>68</v>
      </c>
      <c r="D804" s="44">
        <f t="shared" si="1523"/>
        <v>413</v>
      </c>
      <c r="E804" s="28">
        <v>0</v>
      </c>
      <c r="F804" s="28">
        <v>0</v>
      </c>
      <c r="G804" s="28">
        <v>0</v>
      </c>
      <c r="H804" s="47">
        <v>0</v>
      </c>
      <c r="I804" s="21">
        <f t="shared" si="1622"/>
        <v>330</v>
      </c>
      <c r="J804" s="21">
        <f t="shared" si="1577"/>
        <v>22</v>
      </c>
      <c r="K804" s="21">
        <v>0</v>
      </c>
      <c r="L804" s="20">
        <v>6</v>
      </c>
      <c r="M804" s="20">
        <v>0</v>
      </c>
      <c r="N804" s="20">
        <f t="shared" si="1623"/>
        <v>9200</v>
      </c>
      <c r="O804" s="19" t="s">
        <v>68</v>
      </c>
      <c r="P804" s="20">
        <v>8600</v>
      </c>
      <c r="Q804" s="20">
        <f t="shared" ref="Q804:X804" si="1630">Q774</f>
        <v>920</v>
      </c>
      <c r="R804" s="20">
        <f t="shared" si="1630"/>
        <v>3680</v>
      </c>
      <c r="S804" s="20">
        <f t="shared" si="1630"/>
        <v>6440</v>
      </c>
      <c r="T804" s="20">
        <f t="shared" si="1630"/>
        <v>8280</v>
      </c>
      <c r="U804" s="20">
        <f t="shared" si="1630"/>
        <v>100</v>
      </c>
      <c r="V804" s="20">
        <f t="shared" si="1630"/>
        <v>550</v>
      </c>
      <c r="W804" s="20">
        <f t="shared" si="1630"/>
        <v>500</v>
      </c>
      <c r="X804" s="20">
        <f t="shared" si="1630"/>
        <v>6</v>
      </c>
      <c r="Y804" s="20">
        <f t="shared" si="1525"/>
        <v>150</v>
      </c>
      <c r="Z804" s="30">
        <v>0</v>
      </c>
      <c r="AA804" s="27">
        <v>0</v>
      </c>
      <c r="AB804" s="27">
        <v>0</v>
      </c>
      <c r="AC804" s="27">
        <v>0</v>
      </c>
      <c r="AD804" s="23">
        <f t="shared" ref="AD804:AE804" si="1631">AD774</f>
        <v>44</v>
      </c>
      <c r="AE804" s="23">
        <f t="shared" si="1631"/>
        <v>48</v>
      </c>
    </row>
    <row r="805" spans="1:31">
      <c r="A805" s="4">
        <v>12101</v>
      </c>
      <c r="B805" s="4">
        <v>24</v>
      </c>
      <c r="C805" s="29" t="s">
        <v>69</v>
      </c>
      <c r="D805" s="44">
        <f t="shared" si="1523"/>
        <v>447</v>
      </c>
      <c r="E805" s="28">
        <v>0</v>
      </c>
      <c r="F805" s="28">
        <v>0</v>
      </c>
      <c r="G805" s="28">
        <v>0</v>
      </c>
      <c r="H805" s="47">
        <v>0</v>
      </c>
      <c r="I805" s="21">
        <f t="shared" si="1622"/>
        <v>330</v>
      </c>
      <c r="J805" s="21">
        <f t="shared" si="1577"/>
        <v>23</v>
      </c>
      <c r="K805" s="21">
        <v>0</v>
      </c>
      <c r="L805" s="20">
        <v>6</v>
      </c>
      <c r="M805" s="20">
        <v>0</v>
      </c>
      <c r="N805" s="20">
        <f t="shared" si="1623"/>
        <v>9600</v>
      </c>
      <c r="O805" s="19" t="s">
        <v>69</v>
      </c>
      <c r="P805" s="20">
        <v>6400</v>
      </c>
      <c r="Q805" s="20">
        <f t="shared" ref="Q805:X805" si="1632">Q775</f>
        <v>960</v>
      </c>
      <c r="R805" s="20">
        <f t="shared" si="1632"/>
        <v>3840</v>
      </c>
      <c r="S805" s="20">
        <f t="shared" si="1632"/>
        <v>6720</v>
      </c>
      <c r="T805" s="20">
        <f t="shared" si="1632"/>
        <v>8640</v>
      </c>
      <c r="U805" s="20">
        <f t="shared" si="1632"/>
        <v>100</v>
      </c>
      <c r="V805" s="20">
        <f t="shared" si="1632"/>
        <v>500</v>
      </c>
      <c r="W805" s="20">
        <f t="shared" si="1632"/>
        <v>900</v>
      </c>
      <c r="X805" s="20">
        <f t="shared" si="1632"/>
        <v>6</v>
      </c>
      <c r="Y805" s="20">
        <f t="shared" si="1525"/>
        <v>0</v>
      </c>
      <c r="Z805" s="30">
        <v>0</v>
      </c>
      <c r="AA805" s="27">
        <v>0</v>
      </c>
      <c r="AB805" s="27">
        <v>0</v>
      </c>
      <c r="AC805" s="27">
        <v>0</v>
      </c>
      <c r="AD805" s="23">
        <f t="shared" ref="AD805:AE805" si="1633">AD775</f>
        <v>46</v>
      </c>
      <c r="AE805" s="23">
        <f t="shared" si="1633"/>
        <v>50</v>
      </c>
    </row>
    <row r="806" spans="1:31">
      <c r="A806" s="4">
        <v>12101</v>
      </c>
      <c r="B806" s="4">
        <v>25</v>
      </c>
      <c r="C806" s="29" t="s">
        <v>70</v>
      </c>
      <c r="D806" s="44">
        <f t="shared" si="1523"/>
        <v>484</v>
      </c>
      <c r="E806" s="28">
        <v>0</v>
      </c>
      <c r="F806" s="28">
        <v>0</v>
      </c>
      <c r="G806" s="28">
        <v>0</v>
      </c>
      <c r="H806" s="47">
        <v>0</v>
      </c>
      <c r="I806" s="21">
        <f t="shared" si="1622"/>
        <v>385</v>
      </c>
      <c r="J806" s="21">
        <f t="shared" si="1577"/>
        <v>24</v>
      </c>
      <c r="K806" s="21">
        <v>0</v>
      </c>
      <c r="L806" s="20">
        <v>6</v>
      </c>
      <c r="M806" s="20">
        <v>0</v>
      </c>
      <c r="N806" s="20">
        <f t="shared" si="1623"/>
        <v>12500</v>
      </c>
      <c r="O806" s="19" t="s">
        <v>70</v>
      </c>
      <c r="P806" s="20">
        <v>3100</v>
      </c>
      <c r="Q806" s="20">
        <f t="shared" ref="Q806:X806" si="1634">Q776</f>
        <v>1250</v>
      </c>
      <c r="R806" s="20">
        <f t="shared" si="1634"/>
        <v>5000</v>
      </c>
      <c r="S806" s="20">
        <f t="shared" si="1634"/>
        <v>8750</v>
      </c>
      <c r="T806" s="20">
        <f t="shared" si="1634"/>
        <v>11250</v>
      </c>
      <c r="U806" s="20">
        <f t="shared" si="1634"/>
        <v>10</v>
      </c>
      <c r="V806" s="20">
        <f t="shared" si="1634"/>
        <v>1300</v>
      </c>
      <c r="W806" s="20">
        <f t="shared" si="1634"/>
        <v>1000</v>
      </c>
      <c r="X806" s="20">
        <f t="shared" si="1634"/>
        <v>7</v>
      </c>
      <c r="Y806" s="20">
        <f t="shared" si="1525"/>
        <v>0</v>
      </c>
      <c r="Z806" s="30">
        <v>0</v>
      </c>
      <c r="AA806" s="27">
        <v>0</v>
      </c>
      <c r="AB806" s="27">
        <v>0</v>
      </c>
      <c r="AC806" s="27">
        <v>0</v>
      </c>
      <c r="AD806" s="23">
        <f t="shared" ref="AD806:AE806" si="1635">AD776</f>
        <v>48</v>
      </c>
      <c r="AE806" s="23">
        <f t="shared" si="1635"/>
        <v>52</v>
      </c>
    </row>
    <row r="807" spans="1:31">
      <c r="A807" s="4">
        <v>12101</v>
      </c>
      <c r="B807" s="4">
        <v>26</v>
      </c>
      <c r="C807" s="29" t="s">
        <v>71</v>
      </c>
      <c r="D807" s="44">
        <f t="shared" si="1523"/>
        <v>524</v>
      </c>
      <c r="E807" s="28">
        <v>0</v>
      </c>
      <c r="F807" s="28">
        <v>0</v>
      </c>
      <c r="G807" s="28">
        <v>0</v>
      </c>
      <c r="H807" s="47">
        <v>0</v>
      </c>
      <c r="I807" s="21">
        <f t="shared" si="1622"/>
        <v>385</v>
      </c>
      <c r="J807" s="21">
        <f t="shared" si="1577"/>
        <v>25</v>
      </c>
      <c r="K807" s="21">
        <v>0</v>
      </c>
      <c r="L807" s="20">
        <v>6</v>
      </c>
      <c r="M807" s="20">
        <v>0</v>
      </c>
      <c r="N807" s="20">
        <f t="shared" si="1623"/>
        <v>13000</v>
      </c>
      <c r="O807" s="19" t="s">
        <v>71</v>
      </c>
      <c r="P807" s="20">
        <v>1777</v>
      </c>
      <c r="Q807" s="20">
        <f t="shared" ref="Q807:X807" si="1636">Q777</f>
        <v>1300</v>
      </c>
      <c r="R807" s="20">
        <f t="shared" si="1636"/>
        <v>5200</v>
      </c>
      <c r="S807" s="20">
        <f t="shared" si="1636"/>
        <v>9100</v>
      </c>
      <c r="T807" s="20">
        <f t="shared" si="1636"/>
        <v>11700</v>
      </c>
      <c r="U807" s="20">
        <f t="shared" si="1636"/>
        <v>90</v>
      </c>
      <c r="V807" s="20">
        <f t="shared" si="1636"/>
        <v>800</v>
      </c>
      <c r="W807" s="20">
        <f t="shared" si="1636"/>
        <v>2000</v>
      </c>
      <c r="X807" s="20">
        <f t="shared" si="1636"/>
        <v>7</v>
      </c>
      <c r="Y807" s="20">
        <f t="shared" si="1525"/>
        <v>0</v>
      </c>
      <c r="Z807" s="30">
        <v>0</v>
      </c>
      <c r="AA807" s="27">
        <v>0</v>
      </c>
      <c r="AB807" s="27">
        <v>0</v>
      </c>
      <c r="AC807" s="27">
        <v>0</v>
      </c>
      <c r="AD807" s="23">
        <f t="shared" ref="AD807:AE807" si="1637">AD777</f>
        <v>50</v>
      </c>
      <c r="AE807" s="23">
        <f t="shared" si="1637"/>
        <v>54</v>
      </c>
    </row>
    <row r="808" spans="1:31">
      <c r="A808" s="4">
        <v>12101</v>
      </c>
      <c r="B808" s="4">
        <v>27</v>
      </c>
      <c r="C808" s="29" t="s">
        <v>72</v>
      </c>
      <c r="D808" s="44">
        <f t="shared" si="1523"/>
        <v>567</v>
      </c>
      <c r="E808" s="28">
        <v>0</v>
      </c>
      <c r="F808" s="28">
        <v>0</v>
      </c>
      <c r="G808" s="28">
        <v>0</v>
      </c>
      <c r="H808" s="47">
        <v>0</v>
      </c>
      <c r="I808" s="21">
        <f t="shared" si="1622"/>
        <v>385</v>
      </c>
      <c r="J808" s="21">
        <f t="shared" si="1577"/>
        <v>26</v>
      </c>
      <c r="K808" s="21">
        <v>0</v>
      </c>
      <c r="L808" s="20">
        <v>6</v>
      </c>
      <c r="M808" s="20">
        <v>0</v>
      </c>
      <c r="N808" s="20">
        <f t="shared" si="1623"/>
        <v>13500</v>
      </c>
      <c r="O808" s="19" t="s">
        <v>72</v>
      </c>
      <c r="P808" s="20">
        <v>2332</v>
      </c>
      <c r="Q808" s="20">
        <f t="shared" ref="Q808:X808" si="1638">Q778</f>
        <v>1350</v>
      </c>
      <c r="R808" s="20">
        <f t="shared" si="1638"/>
        <v>5400</v>
      </c>
      <c r="S808" s="20">
        <f t="shared" si="1638"/>
        <v>9450</v>
      </c>
      <c r="T808" s="20">
        <f t="shared" si="1638"/>
        <v>12150</v>
      </c>
      <c r="U808" s="20">
        <f t="shared" si="1638"/>
        <v>80</v>
      </c>
      <c r="V808" s="20">
        <f t="shared" si="1638"/>
        <v>700</v>
      </c>
      <c r="W808" s="20">
        <f t="shared" si="1638"/>
        <v>800</v>
      </c>
      <c r="X808" s="20">
        <f t="shared" si="1638"/>
        <v>7</v>
      </c>
      <c r="Y808" s="20">
        <f t="shared" si="1525"/>
        <v>0</v>
      </c>
      <c r="Z808" s="30">
        <v>0</v>
      </c>
      <c r="AA808" s="27">
        <v>0</v>
      </c>
      <c r="AB808" s="27">
        <v>0</v>
      </c>
      <c r="AC808" s="27">
        <v>0</v>
      </c>
      <c r="AD808" s="23">
        <f t="shared" ref="AD808:AE808" si="1639">AD778</f>
        <v>52</v>
      </c>
      <c r="AE808" s="23">
        <f t="shared" si="1639"/>
        <v>56</v>
      </c>
    </row>
    <row r="809" spans="1:31">
      <c r="A809" s="4">
        <v>12101</v>
      </c>
      <c r="B809" s="4">
        <v>28</v>
      </c>
      <c r="C809" s="29" t="s">
        <v>73</v>
      </c>
      <c r="D809" s="44">
        <f t="shared" si="1523"/>
        <v>614</v>
      </c>
      <c r="E809" s="28">
        <v>0</v>
      </c>
      <c r="F809" s="28">
        <v>0</v>
      </c>
      <c r="G809" s="28">
        <v>0</v>
      </c>
      <c r="H809" s="47">
        <v>0</v>
      </c>
      <c r="I809" s="21">
        <f t="shared" si="1622"/>
        <v>385</v>
      </c>
      <c r="J809" s="21">
        <f t="shared" si="1577"/>
        <v>27</v>
      </c>
      <c r="K809" s="21">
        <v>0</v>
      </c>
      <c r="L809" s="20">
        <v>6</v>
      </c>
      <c r="M809" s="20">
        <v>0</v>
      </c>
      <c r="N809" s="20">
        <f t="shared" si="1623"/>
        <v>14000</v>
      </c>
      <c r="O809" s="19" t="s">
        <v>73</v>
      </c>
      <c r="P809" s="20">
        <v>1487</v>
      </c>
      <c r="Q809" s="20">
        <f t="shared" ref="Q809:X809" si="1640">Q779</f>
        <v>1400</v>
      </c>
      <c r="R809" s="20">
        <f t="shared" si="1640"/>
        <v>5600</v>
      </c>
      <c r="S809" s="20">
        <f t="shared" si="1640"/>
        <v>9800</v>
      </c>
      <c r="T809" s="20">
        <f t="shared" si="1640"/>
        <v>12600</v>
      </c>
      <c r="U809" s="20">
        <f t="shared" si="1640"/>
        <v>80</v>
      </c>
      <c r="V809" s="20">
        <f t="shared" si="1640"/>
        <v>500</v>
      </c>
      <c r="W809" s="20">
        <f t="shared" si="1640"/>
        <v>600</v>
      </c>
      <c r="X809" s="20">
        <f t="shared" si="1640"/>
        <v>7</v>
      </c>
      <c r="Y809" s="20">
        <f t="shared" si="1525"/>
        <v>189</v>
      </c>
      <c r="Z809" s="30">
        <v>0</v>
      </c>
      <c r="AA809" s="27">
        <v>0</v>
      </c>
      <c r="AB809" s="27">
        <v>0</v>
      </c>
      <c r="AC809" s="27">
        <v>0</v>
      </c>
      <c r="AD809" s="23">
        <f t="shared" ref="AD809:AE809" si="1641">AD779</f>
        <v>54</v>
      </c>
      <c r="AE809" s="23">
        <f t="shared" si="1641"/>
        <v>58</v>
      </c>
    </row>
    <row r="810" spans="1:31">
      <c r="A810" s="4">
        <v>12101</v>
      </c>
      <c r="B810" s="4">
        <v>29</v>
      </c>
      <c r="C810" s="29" t="s">
        <v>74</v>
      </c>
      <c r="D810" s="44">
        <f t="shared" si="1523"/>
        <v>665</v>
      </c>
      <c r="E810" s="28">
        <v>0</v>
      </c>
      <c r="F810" s="28">
        <v>0</v>
      </c>
      <c r="G810" s="28">
        <v>0</v>
      </c>
      <c r="H810" s="47">
        <v>0</v>
      </c>
      <c r="I810" s="21">
        <f t="shared" si="1622"/>
        <v>440</v>
      </c>
      <c r="J810" s="21">
        <f t="shared" si="1577"/>
        <v>28</v>
      </c>
      <c r="K810" s="21">
        <v>0</v>
      </c>
      <c r="L810" s="20">
        <v>6</v>
      </c>
      <c r="M810" s="20">
        <v>0</v>
      </c>
      <c r="N810" s="20">
        <f t="shared" si="1623"/>
        <v>14500</v>
      </c>
      <c r="O810" s="19" t="s">
        <v>74</v>
      </c>
      <c r="P810" s="20">
        <v>1518</v>
      </c>
      <c r="Q810" s="20">
        <f t="shared" ref="Q810:X810" si="1642">Q780</f>
        <v>1450</v>
      </c>
      <c r="R810" s="20">
        <f t="shared" si="1642"/>
        <v>5800</v>
      </c>
      <c r="S810" s="20">
        <f t="shared" si="1642"/>
        <v>10150</v>
      </c>
      <c r="T810" s="20">
        <f t="shared" si="1642"/>
        <v>13050</v>
      </c>
      <c r="U810" s="20">
        <f t="shared" si="1642"/>
        <v>80</v>
      </c>
      <c r="V810" s="20">
        <f t="shared" si="1642"/>
        <v>600</v>
      </c>
      <c r="W810" s="20">
        <f t="shared" si="1642"/>
        <v>700</v>
      </c>
      <c r="X810" s="20">
        <f t="shared" si="1642"/>
        <v>8</v>
      </c>
      <c r="Y810" s="20">
        <f t="shared" si="1525"/>
        <v>0</v>
      </c>
      <c r="Z810" s="30">
        <v>0</v>
      </c>
      <c r="AA810" s="27">
        <v>0</v>
      </c>
      <c r="AB810" s="27">
        <v>0</v>
      </c>
      <c r="AC810" s="27">
        <v>0</v>
      </c>
      <c r="AD810" s="23">
        <f t="shared" ref="AD810:AE810" si="1643">AD780</f>
        <v>56</v>
      </c>
      <c r="AE810" s="23">
        <f t="shared" si="1643"/>
        <v>60</v>
      </c>
    </row>
    <row r="811" spans="1:31">
      <c r="A811" s="4">
        <v>12101</v>
      </c>
      <c r="B811" s="4">
        <v>30</v>
      </c>
      <c r="C811" s="29" t="s">
        <v>75</v>
      </c>
      <c r="D811" s="44">
        <f t="shared" si="1523"/>
        <v>720</v>
      </c>
      <c r="E811" s="28">
        <v>0</v>
      </c>
      <c r="F811" s="28">
        <v>0</v>
      </c>
      <c r="G811" s="28">
        <v>0</v>
      </c>
      <c r="H811" s="47">
        <v>0</v>
      </c>
      <c r="I811" s="21">
        <f t="shared" si="1622"/>
        <v>440</v>
      </c>
      <c r="J811" s="21">
        <f t="shared" si="1577"/>
        <v>29</v>
      </c>
      <c r="K811" s="21">
        <v>0</v>
      </c>
      <c r="L811" s="20">
        <v>6</v>
      </c>
      <c r="M811" s="20">
        <v>0</v>
      </c>
      <c r="N811" s="20">
        <f t="shared" si="1623"/>
        <v>15000</v>
      </c>
      <c r="O811" s="19" t="s">
        <v>75</v>
      </c>
      <c r="P811" s="20">
        <v>861</v>
      </c>
      <c r="Q811" s="20">
        <f t="shared" ref="Q811:X811" si="1644">Q781</f>
        <v>1500</v>
      </c>
      <c r="R811" s="20">
        <f t="shared" si="1644"/>
        <v>6000</v>
      </c>
      <c r="S811" s="20">
        <f t="shared" si="1644"/>
        <v>10500</v>
      </c>
      <c r="T811" s="20">
        <f t="shared" si="1644"/>
        <v>13500</v>
      </c>
      <c r="U811" s="20">
        <f t="shared" si="1644"/>
        <v>20</v>
      </c>
      <c r="V811" s="20">
        <f t="shared" si="1644"/>
        <v>450</v>
      </c>
      <c r="W811" s="20">
        <f t="shared" si="1644"/>
        <v>1000</v>
      </c>
      <c r="X811" s="20">
        <f t="shared" si="1644"/>
        <v>8</v>
      </c>
      <c r="Y811" s="20">
        <f t="shared" si="1525"/>
        <v>0</v>
      </c>
      <c r="Z811" s="30">
        <v>0</v>
      </c>
      <c r="AA811" s="27">
        <v>0</v>
      </c>
      <c r="AB811" s="27">
        <v>0</v>
      </c>
      <c r="AC811" s="27">
        <v>0</v>
      </c>
      <c r="AD811" s="23">
        <f t="shared" ref="AD811:AE811" si="1645">AD781</f>
        <v>58</v>
      </c>
      <c r="AE811" s="23">
        <f t="shared" si="1645"/>
        <v>62</v>
      </c>
    </row>
    <row r="812" spans="1:31">
      <c r="A812" s="4">
        <v>12102</v>
      </c>
      <c r="B812" s="4">
        <v>1</v>
      </c>
      <c r="C812" s="19" t="s">
        <v>66</v>
      </c>
      <c r="D812" s="44">
        <f t="shared" si="1523"/>
        <v>108</v>
      </c>
      <c r="E812" s="18">
        <v>0</v>
      </c>
      <c r="F812" s="18">
        <v>0</v>
      </c>
      <c r="G812" s="18">
        <v>0</v>
      </c>
      <c r="H812" s="45">
        <v>0</v>
      </c>
      <c r="I812" s="21">
        <f t="shared" si="1622"/>
        <v>55</v>
      </c>
      <c r="J812" s="21">
        <f t="shared" si="1577"/>
        <v>0</v>
      </c>
      <c r="K812" s="21">
        <v>0</v>
      </c>
      <c r="L812" s="20">
        <v>45</v>
      </c>
      <c r="M812" s="20">
        <v>0</v>
      </c>
      <c r="N812" s="20">
        <f t="shared" si="1623"/>
        <v>10</v>
      </c>
      <c r="O812" s="19" t="s">
        <v>66</v>
      </c>
      <c r="P812" s="20">
        <v>9400</v>
      </c>
      <c r="Q812" s="20">
        <f t="shared" ref="Q812:X812" si="1646">Q782</f>
        <v>1</v>
      </c>
      <c r="R812" s="20">
        <f t="shared" si="1646"/>
        <v>4</v>
      </c>
      <c r="S812" s="20">
        <f t="shared" si="1646"/>
        <v>7</v>
      </c>
      <c r="T812" s="20">
        <f t="shared" si="1646"/>
        <v>9</v>
      </c>
      <c r="U812" s="20">
        <f t="shared" si="1646"/>
        <v>9400</v>
      </c>
      <c r="V812" s="20">
        <f t="shared" si="1646"/>
        <v>9400</v>
      </c>
      <c r="W812" s="20">
        <f t="shared" si="1646"/>
        <v>9400</v>
      </c>
      <c r="X812" s="20">
        <f t="shared" si="1646"/>
        <v>1</v>
      </c>
      <c r="Y812" s="20">
        <f t="shared" si="1525"/>
        <v>0</v>
      </c>
      <c r="Z812" s="22">
        <v>0</v>
      </c>
      <c r="AA812" s="20">
        <v>0</v>
      </c>
      <c r="AB812" s="20">
        <v>0</v>
      </c>
      <c r="AC812" s="20">
        <v>0</v>
      </c>
      <c r="AD812" s="23">
        <f t="shared" ref="AD812:AE812" si="1647">AD782</f>
        <v>1</v>
      </c>
      <c r="AE812" s="23">
        <f t="shared" si="1647"/>
        <v>3</v>
      </c>
    </row>
    <row r="813" spans="1:31">
      <c r="A813" s="4">
        <v>12102</v>
      </c>
      <c r="B813" s="4">
        <v>2</v>
      </c>
      <c r="C813" s="19" t="s">
        <v>67</v>
      </c>
      <c r="D813" s="44">
        <f t="shared" si="1523"/>
        <v>117</v>
      </c>
      <c r="E813" s="18">
        <v>0</v>
      </c>
      <c r="F813" s="18">
        <v>0</v>
      </c>
      <c r="G813" s="18">
        <v>0</v>
      </c>
      <c r="H813" s="45">
        <v>0</v>
      </c>
      <c r="I813" s="21">
        <f t="shared" si="1622"/>
        <v>55</v>
      </c>
      <c r="J813" s="21">
        <f t="shared" si="1577"/>
        <v>1</v>
      </c>
      <c r="K813" s="21">
        <v>0</v>
      </c>
      <c r="L813" s="20">
        <v>40</v>
      </c>
      <c r="M813" s="20">
        <v>0</v>
      </c>
      <c r="N813" s="20">
        <f t="shared" si="1623"/>
        <v>20</v>
      </c>
      <c r="O813" s="19" t="s">
        <v>67</v>
      </c>
      <c r="P813" s="20">
        <v>9100</v>
      </c>
      <c r="Q813" s="20">
        <f t="shared" ref="Q813:X813" si="1648">Q783</f>
        <v>2</v>
      </c>
      <c r="R813" s="20">
        <f t="shared" si="1648"/>
        <v>8</v>
      </c>
      <c r="S813" s="20">
        <f t="shared" si="1648"/>
        <v>14</v>
      </c>
      <c r="T813" s="20">
        <f t="shared" si="1648"/>
        <v>18</v>
      </c>
      <c r="U813" s="20">
        <f t="shared" si="1648"/>
        <v>4000</v>
      </c>
      <c r="V813" s="20">
        <f t="shared" si="1648"/>
        <v>8000</v>
      </c>
      <c r="W813" s="20">
        <f t="shared" si="1648"/>
        <v>8000</v>
      </c>
      <c r="X813" s="20">
        <f t="shared" si="1648"/>
        <v>1</v>
      </c>
      <c r="Y813" s="20">
        <f t="shared" si="1525"/>
        <v>0</v>
      </c>
      <c r="Z813" s="22">
        <v>0</v>
      </c>
      <c r="AA813" s="20">
        <v>0</v>
      </c>
      <c r="AB813" s="20">
        <v>0</v>
      </c>
      <c r="AC813" s="20">
        <v>0</v>
      </c>
      <c r="AD813" s="23">
        <f t="shared" ref="AD813:AE813" si="1649">AD783</f>
        <v>2</v>
      </c>
      <c r="AE813" s="23">
        <f t="shared" si="1649"/>
        <v>5</v>
      </c>
    </row>
    <row r="814" spans="1:31">
      <c r="A814" s="4">
        <v>12102</v>
      </c>
      <c r="B814" s="4">
        <v>3</v>
      </c>
      <c r="C814" s="19" t="s">
        <v>68</v>
      </c>
      <c r="D814" s="44">
        <f t="shared" si="1523"/>
        <v>126</v>
      </c>
      <c r="E814" s="18">
        <v>0</v>
      </c>
      <c r="F814" s="18">
        <v>0</v>
      </c>
      <c r="G814" s="18">
        <v>0</v>
      </c>
      <c r="H814" s="45">
        <v>0</v>
      </c>
      <c r="I814" s="21">
        <f t="shared" si="1622"/>
        <v>55</v>
      </c>
      <c r="J814" s="21">
        <f t="shared" si="1577"/>
        <v>2</v>
      </c>
      <c r="K814" s="21">
        <v>0</v>
      </c>
      <c r="L814" s="20">
        <v>35</v>
      </c>
      <c r="M814" s="20">
        <v>0</v>
      </c>
      <c r="N814" s="20">
        <f t="shared" si="1623"/>
        <v>40</v>
      </c>
      <c r="O814" s="19" t="s">
        <v>68</v>
      </c>
      <c r="P814" s="20">
        <v>8600</v>
      </c>
      <c r="Q814" s="20">
        <f t="shared" ref="Q814:X814" si="1650">Q784</f>
        <v>4</v>
      </c>
      <c r="R814" s="20">
        <f t="shared" si="1650"/>
        <v>16</v>
      </c>
      <c r="S814" s="20">
        <f t="shared" si="1650"/>
        <v>28</v>
      </c>
      <c r="T814" s="20">
        <f t="shared" si="1650"/>
        <v>36</v>
      </c>
      <c r="U814" s="20">
        <f t="shared" si="1650"/>
        <v>1600</v>
      </c>
      <c r="V814" s="20">
        <f t="shared" si="1650"/>
        <v>5000</v>
      </c>
      <c r="W814" s="20">
        <f t="shared" si="1650"/>
        <v>6000</v>
      </c>
      <c r="X814" s="20">
        <f t="shared" si="1650"/>
        <v>1</v>
      </c>
      <c r="Y814" s="20">
        <f t="shared" si="1525"/>
        <v>0</v>
      </c>
      <c r="Z814" s="22">
        <v>0</v>
      </c>
      <c r="AA814" s="20">
        <v>0</v>
      </c>
      <c r="AB814" s="20">
        <v>0</v>
      </c>
      <c r="AC814" s="20">
        <v>0</v>
      </c>
      <c r="AD814" s="23">
        <f t="shared" ref="AD814:AE814" si="1651">AD784</f>
        <v>4</v>
      </c>
      <c r="AE814" s="23">
        <f t="shared" si="1651"/>
        <v>8</v>
      </c>
    </row>
    <row r="815" spans="1:31">
      <c r="A815" s="4">
        <v>12102</v>
      </c>
      <c r="B815" s="4">
        <v>4</v>
      </c>
      <c r="C815" s="19" t="s">
        <v>69</v>
      </c>
      <c r="D815" s="44">
        <f t="shared" si="1523"/>
        <v>137</v>
      </c>
      <c r="E815" s="18">
        <v>0</v>
      </c>
      <c r="F815" s="18">
        <v>0</v>
      </c>
      <c r="G815" s="18">
        <v>0</v>
      </c>
      <c r="H815" s="45">
        <v>0</v>
      </c>
      <c r="I815" s="21">
        <f t="shared" si="1622"/>
        <v>55</v>
      </c>
      <c r="J815" s="21">
        <f t="shared" si="1577"/>
        <v>3</v>
      </c>
      <c r="K815" s="21">
        <v>0</v>
      </c>
      <c r="L815" s="20">
        <v>30</v>
      </c>
      <c r="M815" s="20">
        <v>0</v>
      </c>
      <c r="N815" s="20">
        <f t="shared" si="1623"/>
        <v>100</v>
      </c>
      <c r="O815" s="19" t="s">
        <v>69</v>
      </c>
      <c r="P815" s="20">
        <v>6400</v>
      </c>
      <c r="Q815" s="20">
        <f t="shared" ref="Q815:X815" si="1652">Q785</f>
        <v>10</v>
      </c>
      <c r="R815" s="20">
        <f t="shared" si="1652"/>
        <v>40</v>
      </c>
      <c r="S815" s="20">
        <f t="shared" si="1652"/>
        <v>70</v>
      </c>
      <c r="T815" s="20">
        <f t="shared" si="1652"/>
        <v>90</v>
      </c>
      <c r="U815" s="20">
        <f t="shared" si="1652"/>
        <v>900</v>
      </c>
      <c r="V815" s="20">
        <f t="shared" si="1652"/>
        <v>2000</v>
      </c>
      <c r="W815" s="20">
        <f t="shared" si="1652"/>
        <v>8000</v>
      </c>
      <c r="X815" s="20">
        <f t="shared" si="1652"/>
        <v>1</v>
      </c>
      <c r="Y815" s="20">
        <f t="shared" si="1525"/>
        <v>0</v>
      </c>
      <c r="Z815" s="22">
        <v>0</v>
      </c>
      <c r="AA815" s="20">
        <v>0</v>
      </c>
      <c r="AB815" s="20">
        <v>0</v>
      </c>
      <c r="AC815" s="20">
        <v>0</v>
      </c>
      <c r="AD815" s="23">
        <f t="shared" ref="AD815:AE815" si="1653">AD785</f>
        <v>6</v>
      </c>
      <c r="AE815" s="23">
        <f t="shared" si="1653"/>
        <v>10</v>
      </c>
    </row>
    <row r="816" spans="1:31">
      <c r="A816" s="4">
        <v>12102</v>
      </c>
      <c r="B816" s="4">
        <v>5</v>
      </c>
      <c r="C816" s="19" t="s">
        <v>70</v>
      </c>
      <c r="D816" s="44">
        <f t="shared" si="1523"/>
        <v>149</v>
      </c>
      <c r="E816" s="18">
        <v>0</v>
      </c>
      <c r="F816" s="18">
        <v>0</v>
      </c>
      <c r="G816" s="18">
        <v>0</v>
      </c>
      <c r="H816" s="45">
        <v>0</v>
      </c>
      <c r="I816" s="21">
        <f t="shared" si="1622"/>
        <v>110</v>
      </c>
      <c r="J816" s="21">
        <f t="shared" si="1577"/>
        <v>4</v>
      </c>
      <c r="K816" s="21">
        <v>0</v>
      </c>
      <c r="L816" s="20">
        <v>25</v>
      </c>
      <c r="M816" s="20">
        <v>0</v>
      </c>
      <c r="N816" s="20">
        <f t="shared" si="1623"/>
        <v>200</v>
      </c>
      <c r="O816" s="19" t="s">
        <v>70</v>
      </c>
      <c r="P816" s="20">
        <v>3100</v>
      </c>
      <c r="Q816" s="20">
        <f t="shared" ref="Q816:X816" si="1654">Q786</f>
        <v>20</v>
      </c>
      <c r="R816" s="20">
        <f t="shared" si="1654"/>
        <v>80</v>
      </c>
      <c r="S816" s="20">
        <f t="shared" si="1654"/>
        <v>140</v>
      </c>
      <c r="T816" s="20">
        <f t="shared" si="1654"/>
        <v>180</v>
      </c>
      <c r="U816" s="20">
        <f t="shared" si="1654"/>
        <v>1000</v>
      </c>
      <c r="V816" s="20">
        <f t="shared" si="1654"/>
        <v>2000</v>
      </c>
      <c r="W816" s="20">
        <f t="shared" si="1654"/>
        <v>2000</v>
      </c>
      <c r="X816" s="20">
        <f t="shared" si="1654"/>
        <v>2</v>
      </c>
      <c r="Y816" s="20">
        <f t="shared" si="1525"/>
        <v>0</v>
      </c>
      <c r="Z816" s="22">
        <v>0</v>
      </c>
      <c r="AA816" s="20">
        <v>0</v>
      </c>
      <c r="AB816" s="20">
        <v>0</v>
      </c>
      <c r="AC816" s="20">
        <v>0</v>
      </c>
      <c r="AD816" s="23">
        <f t="shared" ref="AD816:AE816" si="1655">AD786</f>
        <v>8</v>
      </c>
      <c r="AE816" s="23">
        <f t="shared" si="1655"/>
        <v>12</v>
      </c>
    </row>
    <row r="817" spans="1:31">
      <c r="A817" s="4">
        <v>12102</v>
      </c>
      <c r="B817" s="4">
        <v>6</v>
      </c>
      <c r="C817" s="19" t="s">
        <v>71</v>
      </c>
      <c r="D817" s="44">
        <f t="shared" ref="D817:D880" si="1656">D517</f>
        <v>161</v>
      </c>
      <c r="E817" s="18">
        <v>0</v>
      </c>
      <c r="F817" s="18">
        <v>0</v>
      </c>
      <c r="G817" s="18">
        <v>0</v>
      </c>
      <c r="H817" s="45">
        <v>0</v>
      </c>
      <c r="I817" s="21">
        <f t="shared" si="1622"/>
        <v>110</v>
      </c>
      <c r="J817" s="21">
        <f t="shared" si="1577"/>
        <v>5</v>
      </c>
      <c r="K817" s="21">
        <v>0</v>
      </c>
      <c r="L817" s="20">
        <v>20</v>
      </c>
      <c r="M817" s="20">
        <v>0</v>
      </c>
      <c r="N817" s="20">
        <f t="shared" si="1623"/>
        <v>500</v>
      </c>
      <c r="O817" s="19" t="s">
        <v>71</v>
      </c>
      <c r="P817" s="20">
        <v>1777</v>
      </c>
      <c r="Q817" s="20">
        <f t="shared" ref="Q817:X817" si="1657">Q787</f>
        <v>50</v>
      </c>
      <c r="R817" s="20">
        <f t="shared" si="1657"/>
        <v>200</v>
      </c>
      <c r="S817" s="20">
        <f t="shared" si="1657"/>
        <v>350</v>
      </c>
      <c r="T817" s="20">
        <f t="shared" si="1657"/>
        <v>450</v>
      </c>
      <c r="U817" s="20">
        <f t="shared" si="1657"/>
        <v>800</v>
      </c>
      <c r="V817" s="20">
        <f t="shared" si="1657"/>
        <v>800</v>
      </c>
      <c r="W817" s="20">
        <f t="shared" si="1657"/>
        <v>600</v>
      </c>
      <c r="X817" s="20">
        <f t="shared" si="1657"/>
        <v>2</v>
      </c>
      <c r="Y817" s="20">
        <f t="shared" ref="Y817:Y880" si="1658">INT(Y67*0.75)</f>
        <v>0</v>
      </c>
      <c r="Z817" s="22">
        <v>0</v>
      </c>
      <c r="AA817" s="20">
        <v>0</v>
      </c>
      <c r="AB817" s="20">
        <v>0</v>
      </c>
      <c r="AC817" s="20">
        <v>0</v>
      </c>
      <c r="AD817" s="23">
        <f t="shared" ref="AD817:AE817" si="1659">AD787</f>
        <v>10</v>
      </c>
      <c r="AE817" s="23">
        <f t="shared" si="1659"/>
        <v>14</v>
      </c>
    </row>
    <row r="818" spans="1:31">
      <c r="A818" s="8">
        <v>12102</v>
      </c>
      <c r="B818" s="8">
        <v>7</v>
      </c>
      <c r="C818" s="19" t="s">
        <v>72</v>
      </c>
      <c r="D818" s="44">
        <f t="shared" si="1656"/>
        <v>174</v>
      </c>
      <c r="E818" s="18">
        <v>0</v>
      </c>
      <c r="F818" s="18">
        <v>0</v>
      </c>
      <c r="G818" s="18">
        <v>0</v>
      </c>
      <c r="H818" s="45">
        <v>0</v>
      </c>
      <c r="I818" s="21">
        <f t="shared" si="1622"/>
        <v>110</v>
      </c>
      <c r="J818" s="21">
        <f t="shared" si="1577"/>
        <v>6</v>
      </c>
      <c r="K818" s="21">
        <v>0</v>
      </c>
      <c r="L818" s="20">
        <v>16</v>
      </c>
      <c r="M818" s="20">
        <v>0</v>
      </c>
      <c r="N818" s="20">
        <f t="shared" si="1623"/>
        <v>700</v>
      </c>
      <c r="O818" s="19" t="s">
        <v>72</v>
      </c>
      <c r="P818" s="20">
        <v>2332</v>
      </c>
      <c r="Q818" s="20">
        <f t="shared" ref="Q818:X818" si="1660">Q788</f>
        <v>70</v>
      </c>
      <c r="R818" s="20">
        <f t="shared" si="1660"/>
        <v>280</v>
      </c>
      <c r="S818" s="20">
        <f t="shared" si="1660"/>
        <v>489.99999999999994</v>
      </c>
      <c r="T818" s="20">
        <f t="shared" si="1660"/>
        <v>630</v>
      </c>
      <c r="U818" s="20">
        <f t="shared" si="1660"/>
        <v>650</v>
      </c>
      <c r="V818" s="20">
        <f t="shared" si="1660"/>
        <v>800</v>
      </c>
      <c r="W818" s="20">
        <f t="shared" si="1660"/>
        <v>300</v>
      </c>
      <c r="X818" s="20">
        <f t="shared" si="1660"/>
        <v>2</v>
      </c>
      <c r="Y818" s="20">
        <f t="shared" si="1658"/>
        <v>0</v>
      </c>
      <c r="Z818" s="22">
        <v>0</v>
      </c>
      <c r="AA818" s="20">
        <v>0</v>
      </c>
      <c r="AB818" s="20">
        <v>0</v>
      </c>
      <c r="AC818" s="20">
        <v>0</v>
      </c>
      <c r="AD818" s="23">
        <f t="shared" ref="AD818:AE818" si="1661">AD788</f>
        <v>12</v>
      </c>
      <c r="AE818" s="23">
        <f t="shared" si="1661"/>
        <v>16</v>
      </c>
    </row>
    <row r="819" spans="1:31">
      <c r="A819" s="4">
        <v>12102</v>
      </c>
      <c r="B819" s="4">
        <v>8</v>
      </c>
      <c r="C819" s="19" t="s">
        <v>73</v>
      </c>
      <c r="D819" s="44">
        <f t="shared" si="1656"/>
        <v>189</v>
      </c>
      <c r="E819" s="18">
        <v>0</v>
      </c>
      <c r="F819" s="18">
        <v>0</v>
      </c>
      <c r="G819" s="18">
        <v>0</v>
      </c>
      <c r="H819" s="45">
        <v>0</v>
      </c>
      <c r="I819" s="21">
        <f t="shared" si="1622"/>
        <v>110</v>
      </c>
      <c r="J819" s="21">
        <f t="shared" si="1577"/>
        <v>7</v>
      </c>
      <c r="K819" s="21">
        <v>0</v>
      </c>
      <c r="L819" s="20">
        <v>12</v>
      </c>
      <c r="M819" s="20">
        <v>0</v>
      </c>
      <c r="N819" s="20">
        <f t="shared" si="1623"/>
        <v>800</v>
      </c>
      <c r="O819" s="19" t="s">
        <v>73</v>
      </c>
      <c r="P819" s="20">
        <v>1487</v>
      </c>
      <c r="Q819" s="20">
        <f t="shared" ref="Q819:X819" si="1662">Q789</f>
        <v>80</v>
      </c>
      <c r="R819" s="20">
        <f t="shared" si="1662"/>
        <v>320</v>
      </c>
      <c r="S819" s="20">
        <f t="shared" si="1662"/>
        <v>560</v>
      </c>
      <c r="T819" s="20">
        <f t="shared" si="1662"/>
        <v>720</v>
      </c>
      <c r="U819" s="20">
        <f t="shared" si="1662"/>
        <v>200</v>
      </c>
      <c r="V819" s="20">
        <f t="shared" si="1662"/>
        <v>2000</v>
      </c>
      <c r="W819" s="20">
        <f t="shared" si="1662"/>
        <v>1000</v>
      </c>
      <c r="X819" s="20">
        <f t="shared" si="1662"/>
        <v>2</v>
      </c>
      <c r="Y819" s="20">
        <f t="shared" si="1658"/>
        <v>42</v>
      </c>
      <c r="Z819" s="22">
        <v>0</v>
      </c>
      <c r="AA819" s="20">
        <v>0</v>
      </c>
      <c r="AB819" s="20">
        <v>0</v>
      </c>
      <c r="AC819" s="20">
        <v>0</v>
      </c>
      <c r="AD819" s="23">
        <f t="shared" ref="AD819:AE819" si="1663">AD789</f>
        <v>14</v>
      </c>
      <c r="AE819" s="23">
        <f t="shared" si="1663"/>
        <v>18</v>
      </c>
    </row>
    <row r="820" spans="1:31">
      <c r="A820" s="4">
        <v>12102</v>
      </c>
      <c r="B820" s="4">
        <v>9</v>
      </c>
      <c r="C820" s="19" t="s">
        <v>74</v>
      </c>
      <c r="D820" s="44">
        <f t="shared" si="1656"/>
        <v>204</v>
      </c>
      <c r="E820" s="18">
        <v>0</v>
      </c>
      <c r="F820" s="18">
        <v>0</v>
      </c>
      <c r="G820" s="18">
        <v>0</v>
      </c>
      <c r="H820" s="45">
        <v>0</v>
      </c>
      <c r="I820" s="21">
        <f t="shared" si="1622"/>
        <v>165</v>
      </c>
      <c r="J820" s="21">
        <f t="shared" si="1577"/>
        <v>8</v>
      </c>
      <c r="K820" s="21">
        <v>0</v>
      </c>
      <c r="L820" s="20">
        <v>8</v>
      </c>
      <c r="M820" s="20">
        <v>0</v>
      </c>
      <c r="N820" s="20">
        <f t="shared" si="1623"/>
        <v>900</v>
      </c>
      <c r="O820" s="19" t="s">
        <v>74</v>
      </c>
      <c r="P820" s="20">
        <v>1518</v>
      </c>
      <c r="Q820" s="20">
        <f t="shared" ref="Q820:X820" si="1664">Q790</f>
        <v>90</v>
      </c>
      <c r="R820" s="20">
        <f t="shared" si="1664"/>
        <v>360</v>
      </c>
      <c r="S820" s="20">
        <f t="shared" si="1664"/>
        <v>630</v>
      </c>
      <c r="T820" s="20">
        <f t="shared" si="1664"/>
        <v>810</v>
      </c>
      <c r="U820" s="20">
        <f t="shared" si="1664"/>
        <v>120</v>
      </c>
      <c r="V820" s="20">
        <f t="shared" si="1664"/>
        <v>1500</v>
      </c>
      <c r="W820" s="20">
        <f t="shared" si="1664"/>
        <v>1000</v>
      </c>
      <c r="X820" s="20">
        <f t="shared" si="1664"/>
        <v>3</v>
      </c>
      <c r="Y820" s="20">
        <f t="shared" si="1658"/>
        <v>0</v>
      </c>
      <c r="Z820" s="22">
        <v>0</v>
      </c>
      <c r="AA820" s="20">
        <v>0</v>
      </c>
      <c r="AB820" s="20">
        <v>0</v>
      </c>
      <c r="AC820" s="20">
        <v>0</v>
      </c>
      <c r="AD820" s="23">
        <f t="shared" ref="AD820:AE820" si="1665">AD790</f>
        <v>16</v>
      </c>
      <c r="AE820" s="23">
        <f t="shared" si="1665"/>
        <v>20</v>
      </c>
    </row>
    <row r="821" spans="1:31">
      <c r="A821" s="4">
        <v>12102</v>
      </c>
      <c r="B821" s="4">
        <v>10</v>
      </c>
      <c r="C821" s="19" t="s">
        <v>75</v>
      </c>
      <c r="D821" s="44">
        <f t="shared" si="1656"/>
        <v>221</v>
      </c>
      <c r="E821" s="18">
        <v>0</v>
      </c>
      <c r="F821" s="18">
        <v>0</v>
      </c>
      <c r="G821" s="18">
        <v>0</v>
      </c>
      <c r="H821" s="45">
        <v>0</v>
      </c>
      <c r="I821" s="21">
        <f t="shared" si="1622"/>
        <v>165</v>
      </c>
      <c r="J821" s="21">
        <f t="shared" si="1577"/>
        <v>9</v>
      </c>
      <c r="K821" s="21">
        <v>0</v>
      </c>
      <c r="L821" s="20">
        <v>6</v>
      </c>
      <c r="M821" s="20">
        <v>0</v>
      </c>
      <c r="N821" s="20">
        <f t="shared" si="1623"/>
        <v>2000</v>
      </c>
      <c r="O821" s="19" t="s">
        <v>75</v>
      </c>
      <c r="P821" s="20">
        <v>861</v>
      </c>
      <c r="Q821" s="20">
        <f t="shared" ref="Q821:X821" si="1666">Q791</f>
        <v>200</v>
      </c>
      <c r="R821" s="20">
        <f t="shared" si="1666"/>
        <v>800</v>
      </c>
      <c r="S821" s="20">
        <f t="shared" si="1666"/>
        <v>1400</v>
      </c>
      <c r="T821" s="20">
        <f t="shared" si="1666"/>
        <v>1800</v>
      </c>
      <c r="U821" s="20">
        <f t="shared" si="1666"/>
        <v>150</v>
      </c>
      <c r="V821" s="20">
        <f t="shared" si="1666"/>
        <v>5000</v>
      </c>
      <c r="W821" s="20">
        <f t="shared" si="1666"/>
        <v>800</v>
      </c>
      <c r="X821" s="20">
        <f t="shared" si="1666"/>
        <v>3</v>
      </c>
      <c r="Y821" s="20">
        <f t="shared" si="1658"/>
        <v>0</v>
      </c>
      <c r="Z821" s="22">
        <v>0</v>
      </c>
      <c r="AA821" s="20">
        <v>0</v>
      </c>
      <c r="AB821" s="20">
        <v>0</v>
      </c>
      <c r="AC821" s="20">
        <v>0</v>
      </c>
      <c r="AD821" s="23">
        <f t="shared" ref="AD821:AE821" si="1667">AD791</f>
        <v>18</v>
      </c>
      <c r="AE821" s="23">
        <f t="shared" si="1667"/>
        <v>22</v>
      </c>
    </row>
    <row r="822" spans="1:31">
      <c r="A822" s="4">
        <v>12102</v>
      </c>
      <c r="B822" s="4">
        <v>11</v>
      </c>
      <c r="C822" s="19" t="s">
        <v>66</v>
      </c>
      <c r="D822" s="44">
        <f t="shared" si="1656"/>
        <v>239</v>
      </c>
      <c r="E822" s="18">
        <v>0</v>
      </c>
      <c r="F822" s="18">
        <v>0</v>
      </c>
      <c r="G822" s="18">
        <v>0</v>
      </c>
      <c r="H822" s="45">
        <v>0</v>
      </c>
      <c r="I822" s="21">
        <f t="shared" si="1622"/>
        <v>165</v>
      </c>
      <c r="J822" s="21">
        <f t="shared" si="1577"/>
        <v>10</v>
      </c>
      <c r="K822" s="21">
        <v>0</v>
      </c>
      <c r="L822" s="20">
        <v>6</v>
      </c>
      <c r="M822" s="20">
        <v>0</v>
      </c>
      <c r="N822" s="20">
        <f t="shared" si="1623"/>
        <v>2200</v>
      </c>
      <c r="O822" s="19" t="s">
        <v>66</v>
      </c>
      <c r="P822" s="20">
        <v>9400</v>
      </c>
      <c r="Q822" s="20">
        <f t="shared" ref="Q822:X822" si="1668">Q792</f>
        <v>220</v>
      </c>
      <c r="R822" s="20">
        <f t="shared" si="1668"/>
        <v>880</v>
      </c>
      <c r="S822" s="20">
        <f t="shared" si="1668"/>
        <v>1540</v>
      </c>
      <c r="T822" s="20">
        <f t="shared" si="1668"/>
        <v>1980</v>
      </c>
      <c r="U822" s="20">
        <f t="shared" si="1668"/>
        <v>100</v>
      </c>
      <c r="V822" s="20">
        <f t="shared" si="1668"/>
        <v>800</v>
      </c>
      <c r="W822" s="20">
        <f t="shared" si="1668"/>
        <v>600</v>
      </c>
      <c r="X822" s="20">
        <f t="shared" si="1668"/>
        <v>3</v>
      </c>
      <c r="Y822" s="20">
        <f t="shared" si="1658"/>
        <v>0</v>
      </c>
      <c r="Z822" s="22">
        <v>0</v>
      </c>
      <c r="AA822" s="20">
        <v>0</v>
      </c>
      <c r="AB822" s="20">
        <v>0</v>
      </c>
      <c r="AC822" s="20">
        <v>0</v>
      </c>
      <c r="AD822" s="23">
        <f t="shared" ref="AD822:AE822" si="1669">AD792</f>
        <v>20</v>
      </c>
      <c r="AE822" s="23">
        <f t="shared" si="1669"/>
        <v>24</v>
      </c>
    </row>
    <row r="823" spans="1:31">
      <c r="A823" s="4">
        <v>12102</v>
      </c>
      <c r="B823" s="4">
        <v>12</v>
      </c>
      <c r="C823" s="19" t="s">
        <v>67</v>
      </c>
      <c r="D823" s="44">
        <f t="shared" si="1656"/>
        <v>258</v>
      </c>
      <c r="E823" s="18">
        <v>0</v>
      </c>
      <c r="F823" s="18">
        <v>0</v>
      </c>
      <c r="G823" s="18">
        <v>0</v>
      </c>
      <c r="H823" s="45">
        <v>0</v>
      </c>
      <c r="I823" s="21">
        <f t="shared" si="1622"/>
        <v>165</v>
      </c>
      <c r="J823" s="21">
        <f t="shared" si="1577"/>
        <v>11</v>
      </c>
      <c r="K823" s="21">
        <v>0</v>
      </c>
      <c r="L823" s="20">
        <v>6</v>
      </c>
      <c r="M823" s="20">
        <v>0</v>
      </c>
      <c r="N823" s="20">
        <f t="shared" si="1623"/>
        <v>2400</v>
      </c>
      <c r="O823" s="19" t="s">
        <v>67</v>
      </c>
      <c r="P823" s="20">
        <v>9100</v>
      </c>
      <c r="Q823" s="20">
        <f t="shared" ref="Q823:X823" si="1670">Q793</f>
        <v>240</v>
      </c>
      <c r="R823" s="20">
        <f t="shared" si="1670"/>
        <v>960</v>
      </c>
      <c r="S823" s="20">
        <f t="shared" si="1670"/>
        <v>1680</v>
      </c>
      <c r="T823" s="20">
        <f t="shared" si="1670"/>
        <v>2160</v>
      </c>
      <c r="U823" s="20">
        <f t="shared" si="1670"/>
        <v>150</v>
      </c>
      <c r="V823" s="20">
        <f t="shared" si="1670"/>
        <v>700</v>
      </c>
      <c r="W823" s="20">
        <f t="shared" si="1670"/>
        <v>900</v>
      </c>
      <c r="X823" s="20">
        <f t="shared" si="1670"/>
        <v>3</v>
      </c>
      <c r="Y823" s="20">
        <f t="shared" si="1658"/>
        <v>0</v>
      </c>
      <c r="Z823" s="22">
        <v>0</v>
      </c>
      <c r="AA823" s="20">
        <v>0</v>
      </c>
      <c r="AB823" s="20">
        <v>0</v>
      </c>
      <c r="AC823" s="20">
        <v>0</v>
      </c>
      <c r="AD823" s="23">
        <f t="shared" ref="AD823:AE823" si="1671">AD793</f>
        <v>22</v>
      </c>
      <c r="AE823" s="23">
        <f t="shared" si="1671"/>
        <v>26</v>
      </c>
    </row>
    <row r="824" spans="1:31">
      <c r="A824" s="4">
        <v>12102</v>
      </c>
      <c r="B824" s="4">
        <v>13</v>
      </c>
      <c r="C824" s="19" t="s">
        <v>68</v>
      </c>
      <c r="D824" s="44">
        <f t="shared" si="1656"/>
        <v>281</v>
      </c>
      <c r="E824" s="18">
        <v>0</v>
      </c>
      <c r="F824" s="18">
        <v>0</v>
      </c>
      <c r="G824" s="18">
        <v>0</v>
      </c>
      <c r="H824" s="45">
        <v>0</v>
      </c>
      <c r="I824" s="21">
        <f t="shared" si="1622"/>
        <v>220</v>
      </c>
      <c r="J824" s="21">
        <f t="shared" si="1577"/>
        <v>12</v>
      </c>
      <c r="K824" s="21">
        <v>0</v>
      </c>
      <c r="L824" s="20">
        <v>6</v>
      </c>
      <c r="M824" s="20">
        <v>0</v>
      </c>
      <c r="N824" s="20">
        <f t="shared" si="1623"/>
        <v>2600</v>
      </c>
      <c r="O824" s="19" t="s">
        <v>68</v>
      </c>
      <c r="P824" s="20">
        <v>8600</v>
      </c>
      <c r="Q824" s="20">
        <f t="shared" ref="Q824:X824" si="1672">Q794</f>
        <v>260</v>
      </c>
      <c r="R824" s="20">
        <f t="shared" si="1672"/>
        <v>1040</v>
      </c>
      <c r="S824" s="20">
        <f t="shared" si="1672"/>
        <v>1819.9999999999998</v>
      </c>
      <c r="T824" s="20">
        <f t="shared" si="1672"/>
        <v>2340</v>
      </c>
      <c r="U824" s="20">
        <f t="shared" si="1672"/>
        <v>100</v>
      </c>
      <c r="V824" s="20">
        <f t="shared" si="1672"/>
        <v>700</v>
      </c>
      <c r="W824" s="20">
        <f t="shared" si="1672"/>
        <v>1000</v>
      </c>
      <c r="X824" s="20">
        <f t="shared" si="1672"/>
        <v>4</v>
      </c>
      <c r="Y824" s="20">
        <f t="shared" si="1658"/>
        <v>86</v>
      </c>
      <c r="Z824" s="22">
        <v>0</v>
      </c>
      <c r="AA824" s="20">
        <v>0</v>
      </c>
      <c r="AB824" s="20">
        <v>0</v>
      </c>
      <c r="AC824" s="20">
        <v>0</v>
      </c>
      <c r="AD824" s="23">
        <f t="shared" ref="AD824:AE824" si="1673">AD794</f>
        <v>24</v>
      </c>
      <c r="AE824" s="23">
        <f t="shared" si="1673"/>
        <v>28</v>
      </c>
    </row>
    <row r="825" spans="1:31">
      <c r="A825" s="4">
        <v>12102</v>
      </c>
      <c r="B825" s="4">
        <v>14</v>
      </c>
      <c r="C825" s="19" t="s">
        <v>69</v>
      </c>
      <c r="D825" s="44">
        <f t="shared" si="1656"/>
        <v>303</v>
      </c>
      <c r="E825" s="18">
        <v>0</v>
      </c>
      <c r="F825" s="18">
        <v>0</v>
      </c>
      <c r="G825" s="18">
        <v>0</v>
      </c>
      <c r="H825" s="45">
        <v>0</v>
      </c>
      <c r="I825" s="21">
        <f t="shared" si="1622"/>
        <v>220</v>
      </c>
      <c r="J825" s="21">
        <f t="shared" si="1577"/>
        <v>13</v>
      </c>
      <c r="K825" s="21">
        <v>0</v>
      </c>
      <c r="L825" s="20">
        <v>6</v>
      </c>
      <c r="M825" s="20">
        <v>0</v>
      </c>
      <c r="N825" s="20">
        <f t="shared" si="1623"/>
        <v>2800</v>
      </c>
      <c r="O825" s="19" t="s">
        <v>69</v>
      </c>
      <c r="P825" s="20">
        <v>6400</v>
      </c>
      <c r="Q825" s="20">
        <f t="shared" ref="Q825:X825" si="1674">Q795</f>
        <v>280</v>
      </c>
      <c r="R825" s="20">
        <f t="shared" si="1674"/>
        <v>1120</v>
      </c>
      <c r="S825" s="20">
        <f t="shared" si="1674"/>
        <v>1959.9999999999998</v>
      </c>
      <c r="T825" s="20">
        <f t="shared" si="1674"/>
        <v>2520</v>
      </c>
      <c r="U825" s="20">
        <f t="shared" si="1674"/>
        <v>100</v>
      </c>
      <c r="V825" s="20">
        <f t="shared" si="1674"/>
        <v>400</v>
      </c>
      <c r="W825" s="20">
        <f t="shared" si="1674"/>
        <v>1200</v>
      </c>
      <c r="X825" s="20">
        <f t="shared" si="1674"/>
        <v>4</v>
      </c>
      <c r="Y825" s="20">
        <f t="shared" si="1658"/>
        <v>0</v>
      </c>
      <c r="Z825" s="22">
        <v>0</v>
      </c>
      <c r="AA825" s="20">
        <v>0</v>
      </c>
      <c r="AB825" s="20">
        <v>0</v>
      </c>
      <c r="AC825" s="20">
        <v>0</v>
      </c>
      <c r="AD825" s="23">
        <f t="shared" ref="AD825:AE825" si="1675">AD795</f>
        <v>26</v>
      </c>
      <c r="AE825" s="23">
        <f t="shared" si="1675"/>
        <v>30</v>
      </c>
    </row>
    <row r="826" spans="1:31">
      <c r="A826" s="4">
        <v>12102</v>
      </c>
      <c r="B826" s="4">
        <v>15</v>
      </c>
      <c r="C826" s="19" t="s">
        <v>70</v>
      </c>
      <c r="D826" s="44">
        <f t="shared" si="1656"/>
        <v>329</v>
      </c>
      <c r="E826" s="18">
        <v>0</v>
      </c>
      <c r="F826" s="18">
        <v>0</v>
      </c>
      <c r="G826" s="18">
        <v>0</v>
      </c>
      <c r="H826" s="45">
        <v>0</v>
      </c>
      <c r="I826" s="21">
        <f t="shared" si="1622"/>
        <v>220</v>
      </c>
      <c r="J826" s="21">
        <f t="shared" si="1577"/>
        <v>14</v>
      </c>
      <c r="K826" s="21">
        <v>0</v>
      </c>
      <c r="L826" s="20">
        <v>6</v>
      </c>
      <c r="M826" s="20">
        <v>0</v>
      </c>
      <c r="N826" s="20">
        <f t="shared" si="1623"/>
        <v>4500</v>
      </c>
      <c r="O826" s="19" t="s">
        <v>70</v>
      </c>
      <c r="P826" s="20">
        <v>3100</v>
      </c>
      <c r="Q826" s="20">
        <f t="shared" ref="Q826:X826" si="1676">Q796</f>
        <v>450</v>
      </c>
      <c r="R826" s="20">
        <f t="shared" si="1676"/>
        <v>1800</v>
      </c>
      <c r="S826" s="20">
        <f t="shared" si="1676"/>
        <v>3150</v>
      </c>
      <c r="T826" s="20">
        <f t="shared" si="1676"/>
        <v>4050</v>
      </c>
      <c r="U826" s="20">
        <f t="shared" si="1676"/>
        <v>100</v>
      </c>
      <c r="V826" s="20">
        <f t="shared" si="1676"/>
        <v>1000</v>
      </c>
      <c r="W826" s="20">
        <f t="shared" si="1676"/>
        <v>600</v>
      </c>
      <c r="X826" s="20">
        <f t="shared" si="1676"/>
        <v>4</v>
      </c>
      <c r="Y826" s="20">
        <f t="shared" si="1658"/>
        <v>0</v>
      </c>
      <c r="Z826" s="22">
        <v>0</v>
      </c>
      <c r="AA826" s="20">
        <v>0</v>
      </c>
      <c r="AB826" s="20">
        <v>0</v>
      </c>
      <c r="AC826" s="20">
        <v>0</v>
      </c>
      <c r="AD826" s="23">
        <f t="shared" ref="AD826:AE826" si="1677">AD796</f>
        <v>28</v>
      </c>
      <c r="AE826" s="23">
        <f t="shared" si="1677"/>
        <v>32</v>
      </c>
    </row>
    <row r="827" spans="1:31">
      <c r="A827" s="4">
        <v>12102</v>
      </c>
      <c r="B827" s="4">
        <v>16</v>
      </c>
      <c r="C827" s="19" t="s">
        <v>71</v>
      </c>
      <c r="D827" s="44">
        <f t="shared" si="1656"/>
        <v>356</v>
      </c>
      <c r="E827" s="18">
        <v>0</v>
      </c>
      <c r="F827" s="18">
        <v>0</v>
      </c>
      <c r="G827" s="18">
        <v>0</v>
      </c>
      <c r="H827" s="45">
        <v>0</v>
      </c>
      <c r="I827" s="21">
        <f t="shared" si="1622"/>
        <v>220</v>
      </c>
      <c r="J827" s="21">
        <f t="shared" si="1577"/>
        <v>15</v>
      </c>
      <c r="K827" s="21">
        <v>0</v>
      </c>
      <c r="L827" s="20">
        <v>6</v>
      </c>
      <c r="M827" s="20">
        <v>0</v>
      </c>
      <c r="N827" s="20">
        <f t="shared" si="1623"/>
        <v>4800</v>
      </c>
      <c r="O827" s="19" t="s">
        <v>71</v>
      </c>
      <c r="P827" s="20">
        <v>1777</v>
      </c>
      <c r="Q827" s="20">
        <f t="shared" ref="Q827:X827" si="1678">Q797</f>
        <v>480</v>
      </c>
      <c r="R827" s="20">
        <f t="shared" si="1678"/>
        <v>1920</v>
      </c>
      <c r="S827" s="20">
        <f t="shared" si="1678"/>
        <v>3360</v>
      </c>
      <c r="T827" s="20">
        <f t="shared" si="1678"/>
        <v>4320</v>
      </c>
      <c r="U827" s="20">
        <f t="shared" si="1678"/>
        <v>100</v>
      </c>
      <c r="V827" s="20">
        <f t="shared" si="1678"/>
        <v>800</v>
      </c>
      <c r="W827" s="20">
        <f t="shared" si="1678"/>
        <v>800</v>
      </c>
      <c r="X827" s="20">
        <f t="shared" si="1678"/>
        <v>4</v>
      </c>
      <c r="Y827" s="20">
        <f t="shared" si="1658"/>
        <v>0</v>
      </c>
      <c r="Z827" s="22">
        <v>0</v>
      </c>
      <c r="AA827" s="20">
        <v>0</v>
      </c>
      <c r="AB827" s="20">
        <v>0</v>
      </c>
      <c r="AC827" s="20">
        <v>0</v>
      </c>
      <c r="AD827" s="23">
        <f t="shared" ref="AD827:AE827" si="1679">AD797</f>
        <v>30</v>
      </c>
      <c r="AE827" s="23">
        <f t="shared" si="1679"/>
        <v>34</v>
      </c>
    </row>
    <row r="828" spans="1:31">
      <c r="A828" s="4">
        <v>12102</v>
      </c>
      <c r="B828" s="4">
        <v>17</v>
      </c>
      <c r="C828" s="19" t="s">
        <v>72</v>
      </c>
      <c r="D828" s="44">
        <f t="shared" si="1656"/>
        <v>384</v>
      </c>
      <c r="E828" s="18">
        <v>0</v>
      </c>
      <c r="F828" s="18">
        <v>0</v>
      </c>
      <c r="G828" s="18">
        <v>0</v>
      </c>
      <c r="H828" s="45">
        <v>0</v>
      </c>
      <c r="I828" s="21">
        <f t="shared" si="1622"/>
        <v>275</v>
      </c>
      <c r="J828" s="21">
        <f t="shared" si="1577"/>
        <v>16</v>
      </c>
      <c r="K828" s="21">
        <v>0</v>
      </c>
      <c r="L828" s="20">
        <v>6</v>
      </c>
      <c r="M828" s="20">
        <v>0</v>
      </c>
      <c r="N828" s="20">
        <f t="shared" si="1623"/>
        <v>5100</v>
      </c>
      <c r="O828" s="19" t="s">
        <v>72</v>
      </c>
      <c r="P828" s="20">
        <v>2332</v>
      </c>
      <c r="Q828" s="20">
        <f t="shared" ref="Q828:X828" si="1680">Q798</f>
        <v>510</v>
      </c>
      <c r="R828" s="20">
        <f t="shared" si="1680"/>
        <v>2040</v>
      </c>
      <c r="S828" s="20">
        <f t="shared" si="1680"/>
        <v>3570</v>
      </c>
      <c r="T828" s="20">
        <f t="shared" si="1680"/>
        <v>4590</v>
      </c>
      <c r="U828" s="20">
        <f t="shared" si="1680"/>
        <v>80</v>
      </c>
      <c r="V828" s="20">
        <f t="shared" si="1680"/>
        <v>800</v>
      </c>
      <c r="W828" s="20">
        <f t="shared" si="1680"/>
        <v>600</v>
      </c>
      <c r="X828" s="20">
        <f t="shared" si="1680"/>
        <v>5</v>
      </c>
      <c r="Y828" s="20">
        <f t="shared" si="1658"/>
        <v>0</v>
      </c>
      <c r="Z828" s="22">
        <v>0</v>
      </c>
      <c r="AA828" s="20">
        <v>0</v>
      </c>
      <c r="AB828" s="20">
        <v>0</v>
      </c>
      <c r="AC828" s="20">
        <v>0</v>
      </c>
      <c r="AD828" s="23">
        <f t="shared" ref="AD828:AE828" si="1681">AD798</f>
        <v>32</v>
      </c>
      <c r="AE828" s="23">
        <f t="shared" si="1681"/>
        <v>36</v>
      </c>
    </row>
    <row r="829" spans="1:31">
      <c r="A829" s="4">
        <v>12102</v>
      </c>
      <c r="B829" s="4">
        <v>18</v>
      </c>
      <c r="C829" s="19" t="s">
        <v>73</v>
      </c>
      <c r="D829" s="44">
        <f t="shared" si="1656"/>
        <v>417</v>
      </c>
      <c r="E829" s="18">
        <v>0</v>
      </c>
      <c r="F829" s="18">
        <v>0</v>
      </c>
      <c r="G829" s="18">
        <v>0</v>
      </c>
      <c r="H829" s="45">
        <v>0</v>
      </c>
      <c r="I829" s="21">
        <f t="shared" si="1622"/>
        <v>275</v>
      </c>
      <c r="J829" s="21">
        <f t="shared" si="1577"/>
        <v>17</v>
      </c>
      <c r="K829" s="21">
        <v>0</v>
      </c>
      <c r="L829" s="20">
        <v>6</v>
      </c>
      <c r="M829" s="20">
        <v>0</v>
      </c>
      <c r="N829" s="20">
        <f t="shared" si="1623"/>
        <v>5400</v>
      </c>
      <c r="O829" s="19" t="s">
        <v>73</v>
      </c>
      <c r="P829" s="20">
        <v>1487</v>
      </c>
      <c r="Q829" s="20">
        <f t="shared" ref="Q829:X829" si="1682">Q799</f>
        <v>540</v>
      </c>
      <c r="R829" s="20">
        <f t="shared" si="1682"/>
        <v>2160</v>
      </c>
      <c r="S829" s="20">
        <f t="shared" si="1682"/>
        <v>3779.9999999999995</v>
      </c>
      <c r="T829" s="20">
        <f t="shared" si="1682"/>
        <v>4860</v>
      </c>
      <c r="U829" s="20">
        <f t="shared" si="1682"/>
        <v>100</v>
      </c>
      <c r="V829" s="20">
        <f t="shared" si="1682"/>
        <v>600</v>
      </c>
      <c r="W829" s="20">
        <f t="shared" si="1682"/>
        <v>300</v>
      </c>
      <c r="X829" s="20">
        <f t="shared" si="1682"/>
        <v>5</v>
      </c>
      <c r="Y829" s="20">
        <f t="shared" si="1658"/>
        <v>129</v>
      </c>
      <c r="Z829" s="22">
        <v>0</v>
      </c>
      <c r="AA829" s="20">
        <v>0</v>
      </c>
      <c r="AB829" s="20">
        <v>0</v>
      </c>
      <c r="AC829" s="20">
        <v>0</v>
      </c>
      <c r="AD829" s="23">
        <f t="shared" ref="AD829:AE829" si="1683">AD799</f>
        <v>34</v>
      </c>
      <c r="AE829" s="23">
        <f t="shared" si="1683"/>
        <v>38</v>
      </c>
    </row>
    <row r="830" spans="1:31">
      <c r="A830" s="8">
        <v>12102</v>
      </c>
      <c r="B830" s="8">
        <v>19</v>
      </c>
      <c r="C830" s="19" t="s">
        <v>74</v>
      </c>
      <c r="D830" s="44">
        <f t="shared" si="1656"/>
        <v>452</v>
      </c>
      <c r="E830" s="18">
        <v>0</v>
      </c>
      <c r="F830" s="18">
        <v>0</v>
      </c>
      <c r="G830" s="18">
        <v>0</v>
      </c>
      <c r="H830" s="45">
        <v>0</v>
      </c>
      <c r="I830" s="21">
        <f t="shared" si="1622"/>
        <v>275</v>
      </c>
      <c r="J830" s="21">
        <f t="shared" si="1577"/>
        <v>18</v>
      </c>
      <c r="K830" s="21">
        <v>0</v>
      </c>
      <c r="L830" s="20">
        <v>6</v>
      </c>
      <c r="M830" s="20">
        <v>0</v>
      </c>
      <c r="N830" s="20">
        <f t="shared" si="1623"/>
        <v>5700</v>
      </c>
      <c r="O830" s="19" t="s">
        <v>74</v>
      </c>
      <c r="P830" s="20">
        <v>1518</v>
      </c>
      <c r="Q830" s="20">
        <f t="shared" ref="Q830:X830" si="1684">Q800</f>
        <v>570</v>
      </c>
      <c r="R830" s="20">
        <f t="shared" si="1684"/>
        <v>2280</v>
      </c>
      <c r="S830" s="20">
        <f t="shared" si="1684"/>
        <v>3989.9999999999995</v>
      </c>
      <c r="T830" s="20">
        <f t="shared" si="1684"/>
        <v>5130</v>
      </c>
      <c r="U830" s="20">
        <f t="shared" si="1684"/>
        <v>100</v>
      </c>
      <c r="V830" s="20">
        <f t="shared" si="1684"/>
        <v>500</v>
      </c>
      <c r="W830" s="20">
        <f t="shared" si="1684"/>
        <v>400</v>
      </c>
      <c r="X830" s="20">
        <f t="shared" si="1684"/>
        <v>5</v>
      </c>
      <c r="Y830" s="20">
        <f t="shared" si="1658"/>
        <v>0</v>
      </c>
      <c r="Z830" s="22">
        <v>0</v>
      </c>
      <c r="AA830" s="20">
        <v>0</v>
      </c>
      <c r="AB830" s="20">
        <v>0</v>
      </c>
      <c r="AC830" s="20">
        <v>0</v>
      </c>
      <c r="AD830" s="23">
        <f t="shared" ref="AD830:AE830" si="1685">AD800</f>
        <v>36</v>
      </c>
      <c r="AE830" s="23">
        <f t="shared" si="1685"/>
        <v>40</v>
      </c>
    </row>
    <row r="831" spans="1:31">
      <c r="A831" s="4">
        <v>12102</v>
      </c>
      <c r="B831" s="4">
        <v>20</v>
      </c>
      <c r="C831" s="19" t="s">
        <v>75</v>
      </c>
      <c r="D831" s="44">
        <f t="shared" si="1656"/>
        <v>488</v>
      </c>
      <c r="E831" s="18">
        <v>0</v>
      </c>
      <c r="F831" s="18">
        <v>0</v>
      </c>
      <c r="G831" s="18">
        <v>0</v>
      </c>
      <c r="H831" s="45">
        <v>0</v>
      </c>
      <c r="I831" s="21">
        <f t="shared" si="1622"/>
        <v>275</v>
      </c>
      <c r="J831" s="21">
        <f t="shared" si="1577"/>
        <v>19</v>
      </c>
      <c r="K831" s="21">
        <v>0</v>
      </c>
      <c r="L831" s="20">
        <v>6</v>
      </c>
      <c r="M831" s="20">
        <v>0</v>
      </c>
      <c r="N831" s="20">
        <f t="shared" si="1623"/>
        <v>8000</v>
      </c>
      <c r="O831" s="19" t="s">
        <v>75</v>
      </c>
      <c r="P831" s="20">
        <v>861</v>
      </c>
      <c r="Q831" s="20">
        <f t="shared" ref="Q831:X831" si="1686">Q801</f>
        <v>800</v>
      </c>
      <c r="R831" s="20">
        <f t="shared" si="1686"/>
        <v>3200</v>
      </c>
      <c r="S831" s="20">
        <f t="shared" si="1686"/>
        <v>5600</v>
      </c>
      <c r="T831" s="20">
        <f t="shared" si="1686"/>
        <v>7200</v>
      </c>
      <c r="U831" s="20">
        <f t="shared" si="1686"/>
        <v>100</v>
      </c>
      <c r="V831" s="20">
        <f t="shared" si="1686"/>
        <v>800</v>
      </c>
      <c r="W831" s="20">
        <f t="shared" si="1686"/>
        <v>8000</v>
      </c>
      <c r="X831" s="20">
        <f t="shared" si="1686"/>
        <v>5</v>
      </c>
      <c r="Y831" s="20">
        <f t="shared" si="1658"/>
        <v>0</v>
      </c>
      <c r="Z831" s="22">
        <v>0</v>
      </c>
      <c r="AA831" s="20">
        <v>0</v>
      </c>
      <c r="AB831" s="20">
        <v>0</v>
      </c>
      <c r="AC831" s="20">
        <v>0</v>
      </c>
      <c r="AD831" s="23">
        <f t="shared" ref="AD831:AE831" si="1687">AD801</f>
        <v>38</v>
      </c>
      <c r="AE831" s="23">
        <f t="shared" si="1687"/>
        <v>42</v>
      </c>
    </row>
    <row r="832" spans="1:31">
      <c r="A832" s="4">
        <v>12102</v>
      </c>
      <c r="B832" s="4">
        <v>21</v>
      </c>
      <c r="C832" s="19" t="s">
        <v>66</v>
      </c>
      <c r="D832" s="44">
        <f t="shared" si="1656"/>
        <v>528</v>
      </c>
      <c r="E832" s="18">
        <v>0</v>
      </c>
      <c r="F832" s="18">
        <v>0</v>
      </c>
      <c r="G832" s="18">
        <v>0</v>
      </c>
      <c r="H832" s="45">
        <v>0</v>
      </c>
      <c r="I832" s="21">
        <f t="shared" si="1622"/>
        <v>330</v>
      </c>
      <c r="J832" s="21">
        <f t="shared" si="1577"/>
        <v>20</v>
      </c>
      <c r="K832" s="21">
        <v>0</v>
      </c>
      <c r="L832" s="20">
        <v>6</v>
      </c>
      <c r="M832" s="20">
        <v>0</v>
      </c>
      <c r="N832" s="20">
        <f t="shared" si="1623"/>
        <v>8400</v>
      </c>
      <c r="O832" s="19" t="s">
        <v>66</v>
      </c>
      <c r="P832" s="20">
        <v>9400</v>
      </c>
      <c r="Q832" s="20">
        <f t="shared" ref="Q832:X832" si="1688">Q802</f>
        <v>840</v>
      </c>
      <c r="R832" s="20">
        <f t="shared" si="1688"/>
        <v>3360</v>
      </c>
      <c r="S832" s="20">
        <f t="shared" si="1688"/>
        <v>5880</v>
      </c>
      <c r="T832" s="20">
        <f t="shared" si="1688"/>
        <v>7560</v>
      </c>
      <c r="U832" s="20">
        <f t="shared" si="1688"/>
        <v>50</v>
      </c>
      <c r="V832" s="20">
        <f t="shared" si="1688"/>
        <v>1000</v>
      </c>
      <c r="W832" s="20">
        <f t="shared" si="1688"/>
        <v>600</v>
      </c>
      <c r="X832" s="20">
        <f t="shared" si="1688"/>
        <v>6</v>
      </c>
      <c r="Y832" s="20">
        <f t="shared" si="1658"/>
        <v>0</v>
      </c>
      <c r="Z832" s="22">
        <v>0</v>
      </c>
      <c r="AA832" s="20">
        <v>0</v>
      </c>
      <c r="AB832" s="20">
        <v>0</v>
      </c>
      <c r="AC832" s="20">
        <v>0</v>
      </c>
      <c r="AD832" s="23">
        <f t="shared" ref="AD832:AE832" si="1689">AD802</f>
        <v>40</v>
      </c>
      <c r="AE832" s="23">
        <f t="shared" si="1689"/>
        <v>44</v>
      </c>
    </row>
    <row r="833" spans="1:31">
      <c r="A833" s="4">
        <v>12102</v>
      </c>
      <c r="B833" s="4">
        <v>22</v>
      </c>
      <c r="C833" s="19" t="s">
        <v>67</v>
      </c>
      <c r="D833" s="44">
        <f t="shared" si="1656"/>
        <v>572</v>
      </c>
      <c r="E833" s="18">
        <v>0</v>
      </c>
      <c r="F833" s="18">
        <v>0</v>
      </c>
      <c r="G833" s="18">
        <v>0</v>
      </c>
      <c r="H833" s="45">
        <v>0</v>
      </c>
      <c r="I833" s="21">
        <f t="shared" si="1622"/>
        <v>330</v>
      </c>
      <c r="J833" s="21">
        <f t="shared" si="1577"/>
        <v>21</v>
      </c>
      <c r="K833" s="21">
        <v>0</v>
      </c>
      <c r="L833" s="20">
        <v>6</v>
      </c>
      <c r="M833" s="20">
        <v>0</v>
      </c>
      <c r="N833" s="20">
        <f t="shared" si="1623"/>
        <v>8800</v>
      </c>
      <c r="O833" s="19" t="s">
        <v>67</v>
      </c>
      <c r="P833" s="20">
        <v>9100</v>
      </c>
      <c r="Q833" s="20">
        <f t="shared" ref="Q833:X833" si="1690">Q803</f>
        <v>880</v>
      </c>
      <c r="R833" s="20">
        <f t="shared" si="1690"/>
        <v>3520</v>
      </c>
      <c r="S833" s="20">
        <f t="shared" si="1690"/>
        <v>6160</v>
      </c>
      <c r="T833" s="20">
        <f t="shared" si="1690"/>
        <v>7920</v>
      </c>
      <c r="U833" s="20">
        <f t="shared" si="1690"/>
        <v>100</v>
      </c>
      <c r="V833" s="20">
        <f t="shared" si="1690"/>
        <v>600</v>
      </c>
      <c r="W833" s="20">
        <f t="shared" si="1690"/>
        <v>700</v>
      </c>
      <c r="X833" s="20">
        <f t="shared" si="1690"/>
        <v>6</v>
      </c>
      <c r="Y833" s="20">
        <f t="shared" si="1658"/>
        <v>0</v>
      </c>
      <c r="Z833" s="22">
        <v>0</v>
      </c>
      <c r="AA833" s="20">
        <v>0</v>
      </c>
      <c r="AB833" s="20">
        <v>0</v>
      </c>
      <c r="AC833" s="20">
        <v>0</v>
      </c>
      <c r="AD833" s="23">
        <f t="shared" ref="AD833:AE833" si="1691">AD803</f>
        <v>42</v>
      </c>
      <c r="AE833" s="23">
        <f t="shared" si="1691"/>
        <v>46</v>
      </c>
    </row>
    <row r="834" spans="1:31">
      <c r="A834" s="4">
        <v>12102</v>
      </c>
      <c r="B834" s="4">
        <v>23</v>
      </c>
      <c r="C834" s="19" t="s">
        <v>68</v>
      </c>
      <c r="D834" s="44">
        <f t="shared" si="1656"/>
        <v>620</v>
      </c>
      <c r="E834" s="18">
        <v>0</v>
      </c>
      <c r="F834" s="18">
        <v>0</v>
      </c>
      <c r="G834" s="18">
        <v>0</v>
      </c>
      <c r="H834" s="45">
        <v>0</v>
      </c>
      <c r="I834" s="21">
        <f t="shared" si="1622"/>
        <v>330</v>
      </c>
      <c r="J834" s="21">
        <f t="shared" si="1577"/>
        <v>22</v>
      </c>
      <c r="K834" s="21">
        <v>0</v>
      </c>
      <c r="L834" s="20">
        <v>6</v>
      </c>
      <c r="M834" s="20">
        <v>0</v>
      </c>
      <c r="N834" s="20">
        <f t="shared" si="1623"/>
        <v>9200</v>
      </c>
      <c r="O834" s="19" t="s">
        <v>68</v>
      </c>
      <c r="P834" s="20">
        <v>8600</v>
      </c>
      <c r="Q834" s="20">
        <f t="shared" ref="Q834:X834" si="1692">Q804</f>
        <v>920</v>
      </c>
      <c r="R834" s="20">
        <f t="shared" si="1692"/>
        <v>3680</v>
      </c>
      <c r="S834" s="20">
        <f t="shared" si="1692"/>
        <v>6440</v>
      </c>
      <c r="T834" s="20">
        <f t="shared" si="1692"/>
        <v>8280</v>
      </c>
      <c r="U834" s="20">
        <f t="shared" si="1692"/>
        <v>100</v>
      </c>
      <c r="V834" s="20">
        <f t="shared" si="1692"/>
        <v>550</v>
      </c>
      <c r="W834" s="20">
        <f t="shared" si="1692"/>
        <v>500</v>
      </c>
      <c r="X834" s="20">
        <f t="shared" si="1692"/>
        <v>6</v>
      </c>
      <c r="Y834" s="20">
        <f t="shared" si="1658"/>
        <v>172</v>
      </c>
      <c r="Z834" s="22">
        <v>0</v>
      </c>
      <c r="AA834" s="20">
        <v>0</v>
      </c>
      <c r="AB834" s="20">
        <v>0</v>
      </c>
      <c r="AC834" s="20">
        <v>0</v>
      </c>
      <c r="AD834" s="23">
        <f t="shared" ref="AD834:AE834" si="1693">AD804</f>
        <v>44</v>
      </c>
      <c r="AE834" s="23">
        <f t="shared" si="1693"/>
        <v>48</v>
      </c>
    </row>
    <row r="835" spans="1:31">
      <c r="A835" s="4">
        <v>12102</v>
      </c>
      <c r="B835" s="4">
        <v>24</v>
      </c>
      <c r="C835" s="19" t="s">
        <v>69</v>
      </c>
      <c r="D835" s="44">
        <f t="shared" si="1656"/>
        <v>671</v>
      </c>
      <c r="E835" s="18">
        <v>0</v>
      </c>
      <c r="F835" s="18">
        <v>0</v>
      </c>
      <c r="G835" s="18">
        <v>0</v>
      </c>
      <c r="H835" s="45">
        <v>0</v>
      </c>
      <c r="I835" s="21">
        <f t="shared" si="1622"/>
        <v>330</v>
      </c>
      <c r="J835" s="21">
        <f t="shared" si="1577"/>
        <v>23</v>
      </c>
      <c r="K835" s="21">
        <v>0</v>
      </c>
      <c r="L835" s="20">
        <v>6</v>
      </c>
      <c r="M835" s="20">
        <v>0</v>
      </c>
      <c r="N835" s="20">
        <f t="shared" si="1623"/>
        <v>9600</v>
      </c>
      <c r="O835" s="19" t="s">
        <v>69</v>
      </c>
      <c r="P835" s="20">
        <v>6400</v>
      </c>
      <c r="Q835" s="20">
        <f t="shared" ref="Q835:X835" si="1694">Q805</f>
        <v>960</v>
      </c>
      <c r="R835" s="20">
        <f t="shared" si="1694"/>
        <v>3840</v>
      </c>
      <c r="S835" s="20">
        <f t="shared" si="1694"/>
        <v>6720</v>
      </c>
      <c r="T835" s="20">
        <f t="shared" si="1694"/>
        <v>8640</v>
      </c>
      <c r="U835" s="20">
        <f t="shared" si="1694"/>
        <v>100</v>
      </c>
      <c r="V835" s="20">
        <f t="shared" si="1694"/>
        <v>500</v>
      </c>
      <c r="W835" s="20">
        <f t="shared" si="1694"/>
        <v>900</v>
      </c>
      <c r="X835" s="20">
        <f t="shared" si="1694"/>
        <v>6</v>
      </c>
      <c r="Y835" s="20">
        <f t="shared" si="1658"/>
        <v>0</v>
      </c>
      <c r="Z835" s="22">
        <v>0</v>
      </c>
      <c r="AA835" s="20">
        <v>0</v>
      </c>
      <c r="AB835" s="20">
        <v>0</v>
      </c>
      <c r="AC835" s="20">
        <v>0</v>
      </c>
      <c r="AD835" s="23">
        <f t="shared" ref="AD835:AE835" si="1695">AD805</f>
        <v>46</v>
      </c>
      <c r="AE835" s="23">
        <f t="shared" si="1695"/>
        <v>50</v>
      </c>
    </row>
    <row r="836" spans="1:31">
      <c r="A836" s="4">
        <v>12102</v>
      </c>
      <c r="B836" s="4">
        <v>25</v>
      </c>
      <c r="C836" s="19" t="s">
        <v>70</v>
      </c>
      <c r="D836" s="44">
        <f t="shared" si="1656"/>
        <v>726</v>
      </c>
      <c r="E836" s="18">
        <v>0</v>
      </c>
      <c r="F836" s="18">
        <v>0</v>
      </c>
      <c r="G836" s="18">
        <v>0</v>
      </c>
      <c r="H836" s="45">
        <v>0</v>
      </c>
      <c r="I836" s="21">
        <f t="shared" si="1622"/>
        <v>385</v>
      </c>
      <c r="J836" s="21">
        <f t="shared" si="1577"/>
        <v>24</v>
      </c>
      <c r="K836" s="21">
        <v>0</v>
      </c>
      <c r="L836" s="20">
        <v>6</v>
      </c>
      <c r="M836" s="20">
        <v>0</v>
      </c>
      <c r="N836" s="20">
        <f t="shared" si="1623"/>
        <v>12500</v>
      </c>
      <c r="O836" s="19" t="s">
        <v>70</v>
      </c>
      <c r="P836" s="20">
        <v>3100</v>
      </c>
      <c r="Q836" s="20">
        <f t="shared" ref="Q836:X836" si="1696">Q806</f>
        <v>1250</v>
      </c>
      <c r="R836" s="20">
        <f t="shared" si="1696"/>
        <v>5000</v>
      </c>
      <c r="S836" s="20">
        <f t="shared" si="1696"/>
        <v>8750</v>
      </c>
      <c r="T836" s="20">
        <f t="shared" si="1696"/>
        <v>11250</v>
      </c>
      <c r="U836" s="20">
        <f t="shared" si="1696"/>
        <v>10</v>
      </c>
      <c r="V836" s="20">
        <f t="shared" si="1696"/>
        <v>1300</v>
      </c>
      <c r="W836" s="20">
        <f t="shared" si="1696"/>
        <v>1000</v>
      </c>
      <c r="X836" s="20">
        <f t="shared" si="1696"/>
        <v>7</v>
      </c>
      <c r="Y836" s="20">
        <f t="shared" si="1658"/>
        <v>0</v>
      </c>
      <c r="Z836" s="22">
        <v>0</v>
      </c>
      <c r="AA836" s="20">
        <v>0</v>
      </c>
      <c r="AB836" s="20">
        <v>0</v>
      </c>
      <c r="AC836" s="20">
        <v>0</v>
      </c>
      <c r="AD836" s="23">
        <f t="shared" ref="AD836:AE836" si="1697">AD806</f>
        <v>48</v>
      </c>
      <c r="AE836" s="23">
        <f t="shared" si="1697"/>
        <v>52</v>
      </c>
    </row>
    <row r="837" spans="1:31">
      <c r="A837" s="4">
        <v>12102</v>
      </c>
      <c r="B837" s="4">
        <v>26</v>
      </c>
      <c r="C837" s="19" t="s">
        <v>71</v>
      </c>
      <c r="D837" s="44">
        <f t="shared" si="1656"/>
        <v>786</v>
      </c>
      <c r="E837" s="18">
        <v>0</v>
      </c>
      <c r="F837" s="18">
        <v>0</v>
      </c>
      <c r="G837" s="18">
        <v>0</v>
      </c>
      <c r="H837" s="45">
        <v>0</v>
      </c>
      <c r="I837" s="21">
        <f t="shared" si="1622"/>
        <v>385</v>
      </c>
      <c r="J837" s="21">
        <f t="shared" si="1577"/>
        <v>25</v>
      </c>
      <c r="K837" s="21">
        <v>0</v>
      </c>
      <c r="L837" s="20">
        <v>6</v>
      </c>
      <c r="M837" s="20">
        <v>0</v>
      </c>
      <c r="N837" s="20">
        <f t="shared" si="1623"/>
        <v>13000</v>
      </c>
      <c r="O837" s="19" t="s">
        <v>71</v>
      </c>
      <c r="P837" s="20">
        <v>1777</v>
      </c>
      <c r="Q837" s="20">
        <f t="shared" ref="Q837:X837" si="1698">Q807</f>
        <v>1300</v>
      </c>
      <c r="R837" s="20">
        <f t="shared" si="1698"/>
        <v>5200</v>
      </c>
      <c r="S837" s="20">
        <f t="shared" si="1698"/>
        <v>9100</v>
      </c>
      <c r="T837" s="20">
        <f t="shared" si="1698"/>
        <v>11700</v>
      </c>
      <c r="U837" s="20">
        <f t="shared" si="1698"/>
        <v>90</v>
      </c>
      <c r="V837" s="20">
        <f t="shared" si="1698"/>
        <v>800</v>
      </c>
      <c r="W837" s="20">
        <f t="shared" si="1698"/>
        <v>2000</v>
      </c>
      <c r="X837" s="20">
        <f t="shared" si="1698"/>
        <v>7</v>
      </c>
      <c r="Y837" s="20">
        <f t="shared" si="1658"/>
        <v>0</v>
      </c>
      <c r="Z837" s="22">
        <v>0</v>
      </c>
      <c r="AA837" s="20">
        <v>0</v>
      </c>
      <c r="AB837" s="20">
        <v>0</v>
      </c>
      <c r="AC837" s="20">
        <v>0</v>
      </c>
      <c r="AD837" s="23">
        <f t="shared" ref="AD837:AE837" si="1699">AD807</f>
        <v>50</v>
      </c>
      <c r="AE837" s="23">
        <f t="shared" si="1699"/>
        <v>54</v>
      </c>
    </row>
    <row r="838" spans="1:31">
      <c r="A838" s="4">
        <v>12102</v>
      </c>
      <c r="B838" s="4">
        <v>27</v>
      </c>
      <c r="C838" s="19" t="s">
        <v>72</v>
      </c>
      <c r="D838" s="44">
        <f t="shared" si="1656"/>
        <v>851</v>
      </c>
      <c r="E838" s="18">
        <v>0</v>
      </c>
      <c r="F838" s="18">
        <v>0</v>
      </c>
      <c r="G838" s="18">
        <v>0</v>
      </c>
      <c r="H838" s="45">
        <v>0</v>
      </c>
      <c r="I838" s="21">
        <f t="shared" si="1622"/>
        <v>385</v>
      </c>
      <c r="J838" s="21">
        <f t="shared" si="1577"/>
        <v>26</v>
      </c>
      <c r="K838" s="21">
        <v>0</v>
      </c>
      <c r="L838" s="20">
        <v>6</v>
      </c>
      <c r="M838" s="20">
        <v>0</v>
      </c>
      <c r="N838" s="20">
        <f t="shared" si="1623"/>
        <v>13500</v>
      </c>
      <c r="O838" s="19" t="s">
        <v>72</v>
      </c>
      <c r="P838" s="20">
        <v>2332</v>
      </c>
      <c r="Q838" s="20">
        <f t="shared" ref="Q838:X838" si="1700">Q808</f>
        <v>1350</v>
      </c>
      <c r="R838" s="20">
        <f t="shared" si="1700"/>
        <v>5400</v>
      </c>
      <c r="S838" s="20">
        <f t="shared" si="1700"/>
        <v>9450</v>
      </c>
      <c r="T838" s="20">
        <f t="shared" si="1700"/>
        <v>12150</v>
      </c>
      <c r="U838" s="20">
        <f t="shared" si="1700"/>
        <v>80</v>
      </c>
      <c r="V838" s="20">
        <f t="shared" si="1700"/>
        <v>700</v>
      </c>
      <c r="W838" s="20">
        <f t="shared" si="1700"/>
        <v>800</v>
      </c>
      <c r="X838" s="20">
        <f t="shared" si="1700"/>
        <v>7</v>
      </c>
      <c r="Y838" s="20">
        <f t="shared" si="1658"/>
        <v>0</v>
      </c>
      <c r="Z838" s="22">
        <v>0</v>
      </c>
      <c r="AA838" s="20">
        <v>0</v>
      </c>
      <c r="AB838" s="20">
        <v>0</v>
      </c>
      <c r="AC838" s="20">
        <v>0</v>
      </c>
      <c r="AD838" s="23">
        <f t="shared" ref="AD838:AE838" si="1701">AD808</f>
        <v>52</v>
      </c>
      <c r="AE838" s="23">
        <f t="shared" si="1701"/>
        <v>56</v>
      </c>
    </row>
    <row r="839" spans="1:31">
      <c r="A839" s="4">
        <v>12102</v>
      </c>
      <c r="B839" s="4">
        <v>28</v>
      </c>
      <c r="C839" s="19" t="s">
        <v>73</v>
      </c>
      <c r="D839" s="44">
        <f t="shared" si="1656"/>
        <v>921</v>
      </c>
      <c r="E839" s="18">
        <v>0</v>
      </c>
      <c r="F839" s="18">
        <v>0</v>
      </c>
      <c r="G839" s="18">
        <v>0</v>
      </c>
      <c r="H839" s="45">
        <v>0</v>
      </c>
      <c r="I839" s="21">
        <f t="shared" si="1622"/>
        <v>385</v>
      </c>
      <c r="J839" s="21">
        <f t="shared" si="1577"/>
        <v>27</v>
      </c>
      <c r="K839" s="21">
        <v>0</v>
      </c>
      <c r="L839" s="20">
        <v>6</v>
      </c>
      <c r="M839" s="20">
        <v>0</v>
      </c>
      <c r="N839" s="20">
        <f t="shared" si="1623"/>
        <v>14000</v>
      </c>
      <c r="O839" s="19" t="s">
        <v>73</v>
      </c>
      <c r="P839" s="20">
        <v>1487</v>
      </c>
      <c r="Q839" s="20">
        <f t="shared" ref="Q839:X839" si="1702">Q809</f>
        <v>1400</v>
      </c>
      <c r="R839" s="20">
        <f t="shared" si="1702"/>
        <v>5600</v>
      </c>
      <c r="S839" s="20">
        <f t="shared" si="1702"/>
        <v>9800</v>
      </c>
      <c r="T839" s="20">
        <f t="shared" si="1702"/>
        <v>12600</v>
      </c>
      <c r="U839" s="20">
        <f t="shared" si="1702"/>
        <v>80</v>
      </c>
      <c r="V839" s="20">
        <f t="shared" si="1702"/>
        <v>500</v>
      </c>
      <c r="W839" s="20">
        <f t="shared" si="1702"/>
        <v>600</v>
      </c>
      <c r="X839" s="20">
        <f t="shared" si="1702"/>
        <v>7</v>
      </c>
      <c r="Y839" s="20">
        <f t="shared" si="1658"/>
        <v>216</v>
      </c>
      <c r="Z839" s="22">
        <v>0</v>
      </c>
      <c r="AA839" s="20">
        <v>0</v>
      </c>
      <c r="AB839" s="20">
        <v>0</v>
      </c>
      <c r="AC839" s="20">
        <v>0</v>
      </c>
      <c r="AD839" s="23">
        <f t="shared" ref="AD839:AE839" si="1703">AD809</f>
        <v>54</v>
      </c>
      <c r="AE839" s="23">
        <f t="shared" si="1703"/>
        <v>58</v>
      </c>
    </row>
    <row r="840" spans="1:31">
      <c r="A840" s="4">
        <v>12102</v>
      </c>
      <c r="B840" s="4">
        <v>29</v>
      </c>
      <c r="C840" s="19" t="s">
        <v>74</v>
      </c>
      <c r="D840" s="44">
        <f t="shared" si="1656"/>
        <v>998</v>
      </c>
      <c r="E840" s="18">
        <v>0</v>
      </c>
      <c r="F840" s="18">
        <v>0</v>
      </c>
      <c r="G840" s="18">
        <v>0</v>
      </c>
      <c r="H840" s="45">
        <v>0</v>
      </c>
      <c r="I840" s="21">
        <f t="shared" si="1622"/>
        <v>440</v>
      </c>
      <c r="J840" s="21">
        <f t="shared" si="1577"/>
        <v>28</v>
      </c>
      <c r="K840" s="21">
        <v>0</v>
      </c>
      <c r="L840" s="20">
        <v>6</v>
      </c>
      <c r="M840" s="20">
        <v>0</v>
      </c>
      <c r="N840" s="20">
        <f t="shared" si="1623"/>
        <v>14500</v>
      </c>
      <c r="O840" s="19" t="s">
        <v>74</v>
      </c>
      <c r="P840" s="20">
        <v>1518</v>
      </c>
      <c r="Q840" s="20">
        <f t="shared" ref="Q840:X840" si="1704">Q810</f>
        <v>1450</v>
      </c>
      <c r="R840" s="20">
        <f t="shared" si="1704"/>
        <v>5800</v>
      </c>
      <c r="S840" s="20">
        <f t="shared" si="1704"/>
        <v>10150</v>
      </c>
      <c r="T840" s="20">
        <f t="shared" si="1704"/>
        <v>13050</v>
      </c>
      <c r="U840" s="20">
        <f t="shared" si="1704"/>
        <v>80</v>
      </c>
      <c r="V840" s="20">
        <f t="shared" si="1704"/>
        <v>600</v>
      </c>
      <c r="W840" s="20">
        <f t="shared" si="1704"/>
        <v>700</v>
      </c>
      <c r="X840" s="20">
        <f t="shared" si="1704"/>
        <v>8</v>
      </c>
      <c r="Y840" s="20">
        <f t="shared" si="1658"/>
        <v>0</v>
      </c>
      <c r="Z840" s="22">
        <v>0</v>
      </c>
      <c r="AA840" s="20">
        <v>0</v>
      </c>
      <c r="AB840" s="20">
        <v>0</v>
      </c>
      <c r="AC840" s="20">
        <v>0</v>
      </c>
      <c r="AD840" s="23">
        <f t="shared" ref="AD840:AE840" si="1705">AD810</f>
        <v>56</v>
      </c>
      <c r="AE840" s="23">
        <f t="shared" si="1705"/>
        <v>60</v>
      </c>
    </row>
    <row r="841" spans="1:31">
      <c r="A841" s="4">
        <v>12102</v>
      </c>
      <c r="B841" s="4">
        <v>30</v>
      </c>
      <c r="C841" s="19" t="s">
        <v>75</v>
      </c>
      <c r="D841" s="44">
        <f t="shared" si="1656"/>
        <v>1080</v>
      </c>
      <c r="E841" s="18">
        <v>0</v>
      </c>
      <c r="F841" s="18">
        <v>0</v>
      </c>
      <c r="G841" s="18">
        <v>0</v>
      </c>
      <c r="H841" s="45">
        <v>0</v>
      </c>
      <c r="I841" s="21">
        <f t="shared" si="1622"/>
        <v>440</v>
      </c>
      <c r="J841" s="21">
        <f t="shared" si="1577"/>
        <v>29</v>
      </c>
      <c r="K841" s="21">
        <v>0</v>
      </c>
      <c r="L841" s="20">
        <v>6</v>
      </c>
      <c r="M841" s="20">
        <v>0</v>
      </c>
      <c r="N841" s="20">
        <f t="shared" si="1623"/>
        <v>15000</v>
      </c>
      <c r="O841" s="19" t="s">
        <v>75</v>
      </c>
      <c r="P841" s="20">
        <v>861</v>
      </c>
      <c r="Q841" s="20">
        <f t="shared" ref="Q841:X841" si="1706">Q811</f>
        <v>1500</v>
      </c>
      <c r="R841" s="20">
        <f t="shared" si="1706"/>
        <v>6000</v>
      </c>
      <c r="S841" s="20">
        <f t="shared" si="1706"/>
        <v>10500</v>
      </c>
      <c r="T841" s="20">
        <f t="shared" si="1706"/>
        <v>13500</v>
      </c>
      <c r="U841" s="20">
        <f t="shared" si="1706"/>
        <v>20</v>
      </c>
      <c r="V841" s="20">
        <f t="shared" si="1706"/>
        <v>450</v>
      </c>
      <c r="W841" s="20">
        <f t="shared" si="1706"/>
        <v>1000</v>
      </c>
      <c r="X841" s="20">
        <f t="shared" si="1706"/>
        <v>8</v>
      </c>
      <c r="Y841" s="20">
        <f t="shared" si="1658"/>
        <v>0</v>
      </c>
      <c r="Z841" s="22">
        <v>0</v>
      </c>
      <c r="AA841" s="20">
        <v>0</v>
      </c>
      <c r="AB841" s="20">
        <v>0</v>
      </c>
      <c r="AC841" s="20">
        <v>0</v>
      </c>
      <c r="AD841" s="23">
        <f t="shared" ref="AD841:AE841" si="1707">AD811</f>
        <v>58</v>
      </c>
      <c r="AE841" s="23">
        <f t="shared" si="1707"/>
        <v>62</v>
      </c>
    </row>
    <row r="842" spans="1:31">
      <c r="A842" s="8">
        <v>12103</v>
      </c>
      <c r="B842" s="8">
        <v>1</v>
      </c>
      <c r="C842" s="29" t="s">
        <v>66</v>
      </c>
      <c r="D842" s="44">
        <f t="shared" si="1656"/>
        <v>144</v>
      </c>
      <c r="E842" s="28">
        <v>0</v>
      </c>
      <c r="F842" s="28">
        <v>0</v>
      </c>
      <c r="G842" s="28">
        <v>0</v>
      </c>
      <c r="H842" s="47">
        <v>0</v>
      </c>
      <c r="I842" s="21">
        <f t="shared" si="1622"/>
        <v>55</v>
      </c>
      <c r="J842" s="21">
        <f t="shared" si="1577"/>
        <v>0</v>
      </c>
      <c r="K842" s="21">
        <v>0</v>
      </c>
      <c r="L842" s="20">
        <v>45</v>
      </c>
      <c r="M842" s="20">
        <v>0</v>
      </c>
      <c r="N842" s="20">
        <f t="shared" si="1623"/>
        <v>10</v>
      </c>
      <c r="O842" s="19" t="s">
        <v>66</v>
      </c>
      <c r="P842" s="20">
        <v>9400</v>
      </c>
      <c r="Q842" s="20">
        <f t="shared" ref="Q842:X842" si="1708">Q812</f>
        <v>1</v>
      </c>
      <c r="R842" s="20">
        <f t="shared" si="1708"/>
        <v>4</v>
      </c>
      <c r="S842" s="20">
        <f t="shared" si="1708"/>
        <v>7</v>
      </c>
      <c r="T842" s="20">
        <f t="shared" si="1708"/>
        <v>9</v>
      </c>
      <c r="U842" s="20">
        <f t="shared" si="1708"/>
        <v>9400</v>
      </c>
      <c r="V842" s="20">
        <f t="shared" si="1708"/>
        <v>9400</v>
      </c>
      <c r="W842" s="20">
        <f t="shared" si="1708"/>
        <v>9400</v>
      </c>
      <c r="X842" s="20">
        <f t="shared" si="1708"/>
        <v>1</v>
      </c>
      <c r="Y842" s="20">
        <f t="shared" si="1658"/>
        <v>0</v>
      </c>
      <c r="Z842" s="30">
        <v>0</v>
      </c>
      <c r="AA842" s="27">
        <v>0</v>
      </c>
      <c r="AB842" s="27">
        <v>0</v>
      </c>
      <c r="AC842" s="27">
        <v>0</v>
      </c>
      <c r="AD842" s="23">
        <f t="shared" ref="AD842:AE842" si="1709">AD812</f>
        <v>1</v>
      </c>
      <c r="AE842" s="23">
        <f t="shared" si="1709"/>
        <v>3</v>
      </c>
    </row>
    <row r="843" spans="1:31">
      <c r="A843" s="4">
        <v>12103</v>
      </c>
      <c r="B843" s="4">
        <v>2</v>
      </c>
      <c r="C843" s="29" t="s">
        <v>67</v>
      </c>
      <c r="D843" s="44">
        <f t="shared" si="1656"/>
        <v>156</v>
      </c>
      <c r="E843" s="28">
        <v>0</v>
      </c>
      <c r="F843" s="28">
        <v>0</v>
      </c>
      <c r="G843" s="28">
        <v>0</v>
      </c>
      <c r="H843" s="47">
        <v>0</v>
      </c>
      <c r="I843" s="21">
        <f t="shared" si="1622"/>
        <v>55</v>
      </c>
      <c r="J843" s="21">
        <f t="shared" ref="J843:J906" si="1710">B843-1</f>
        <v>1</v>
      </c>
      <c r="K843" s="21">
        <v>0</v>
      </c>
      <c r="L843" s="20">
        <v>40</v>
      </c>
      <c r="M843" s="20">
        <v>0</v>
      </c>
      <c r="N843" s="20">
        <f t="shared" si="1623"/>
        <v>20</v>
      </c>
      <c r="O843" s="19" t="s">
        <v>67</v>
      </c>
      <c r="P843" s="20">
        <v>9100</v>
      </c>
      <c r="Q843" s="20">
        <f t="shared" ref="Q843:X843" si="1711">Q813</f>
        <v>2</v>
      </c>
      <c r="R843" s="20">
        <f t="shared" si="1711"/>
        <v>8</v>
      </c>
      <c r="S843" s="20">
        <f t="shared" si="1711"/>
        <v>14</v>
      </c>
      <c r="T843" s="20">
        <f t="shared" si="1711"/>
        <v>18</v>
      </c>
      <c r="U843" s="20">
        <f t="shared" si="1711"/>
        <v>4000</v>
      </c>
      <c r="V843" s="20">
        <f t="shared" si="1711"/>
        <v>8000</v>
      </c>
      <c r="W843" s="20">
        <f t="shared" si="1711"/>
        <v>8000</v>
      </c>
      <c r="X843" s="20">
        <f t="shared" si="1711"/>
        <v>1</v>
      </c>
      <c r="Y843" s="20">
        <f t="shared" si="1658"/>
        <v>0</v>
      </c>
      <c r="Z843" s="30">
        <v>0</v>
      </c>
      <c r="AA843" s="27">
        <v>0</v>
      </c>
      <c r="AB843" s="27">
        <v>0</v>
      </c>
      <c r="AC843" s="27">
        <v>0</v>
      </c>
      <c r="AD843" s="23">
        <f t="shared" ref="AD843:AE843" si="1712">AD813</f>
        <v>2</v>
      </c>
      <c r="AE843" s="23">
        <f t="shared" si="1712"/>
        <v>5</v>
      </c>
    </row>
    <row r="844" spans="1:31">
      <c r="A844" s="4">
        <v>12103</v>
      </c>
      <c r="B844" s="4">
        <v>3</v>
      </c>
      <c r="C844" s="29" t="s">
        <v>68</v>
      </c>
      <c r="D844" s="44">
        <f t="shared" si="1656"/>
        <v>168</v>
      </c>
      <c r="E844" s="28">
        <v>0</v>
      </c>
      <c r="F844" s="28">
        <v>0</v>
      </c>
      <c r="G844" s="28">
        <v>0</v>
      </c>
      <c r="H844" s="47">
        <v>0</v>
      </c>
      <c r="I844" s="21">
        <f t="shared" si="1622"/>
        <v>55</v>
      </c>
      <c r="J844" s="21">
        <f t="shared" si="1710"/>
        <v>2</v>
      </c>
      <c r="K844" s="21">
        <v>0</v>
      </c>
      <c r="L844" s="20">
        <v>35</v>
      </c>
      <c r="M844" s="20">
        <v>0</v>
      </c>
      <c r="N844" s="20">
        <f t="shared" si="1623"/>
        <v>40</v>
      </c>
      <c r="O844" s="19" t="s">
        <v>68</v>
      </c>
      <c r="P844" s="20">
        <v>8600</v>
      </c>
      <c r="Q844" s="20">
        <f t="shared" ref="Q844:X844" si="1713">Q814</f>
        <v>4</v>
      </c>
      <c r="R844" s="20">
        <f t="shared" si="1713"/>
        <v>16</v>
      </c>
      <c r="S844" s="20">
        <f t="shared" si="1713"/>
        <v>28</v>
      </c>
      <c r="T844" s="20">
        <f t="shared" si="1713"/>
        <v>36</v>
      </c>
      <c r="U844" s="20">
        <f t="shared" si="1713"/>
        <v>1600</v>
      </c>
      <c r="V844" s="20">
        <f t="shared" si="1713"/>
        <v>5000</v>
      </c>
      <c r="W844" s="20">
        <f t="shared" si="1713"/>
        <v>6000</v>
      </c>
      <c r="X844" s="20">
        <f t="shared" si="1713"/>
        <v>1</v>
      </c>
      <c r="Y844" s="20">
        <f t="shared" si="1658"/>
        <v>0</v>
      </c>
      <c r="Z844" s="30">
        <v>0</v>
      </c>
      <c r="AA844" s="27">
        <v>0</v>
      </c>
      <c r="AB844" s="27">
        <v>0</v>
      </c>
      <c r="AC844" s="27">
        <v>0</v>
      </c>
      <c r="AD844" s="23">
        <f t="shared" ref="AD844:AE844" si="1714">AD814</f>
        <v>4</v>
      </c>
      <c r="AE844" s="23">
        <f t="shared" si="1714"/>
        <v>8</v>
      </c>
    </row>
    <row r="845" spans="1:31">
      <c r="A845" s="4">
        <v>12103</v>
      </c>
      <c r="B845" s="4">
        <v>4</v>
      </c>
      <c r="C845" s="29" t="s">
        <v>69</v>
      </c>
      <c r="D845" s="44">
        <f t="shared" si="1656"/>
        <v>182</v>
      </c>
      <c r="E845" s="28">
        <v>0</v>
      </c>
      <c r="F845" s="28">
        <v>0</v>
      </c>
      <c r="G845" s="28">
        <v>0</v>
      </c>
      <c r="H845" s="47">
        <v>0</v>
      </c>
      <c r="I845" s="21">
        <f t="shared" si="1622"/>
        <v>55</v>
      </c>
      <c r="J845" s="21">
        <f t="shared" si="1710"/>
        <v>3</v>
      </c>
      <c r="K845" s="21">
        <v>0</v>
      </c>
      <c r="L845" s="20">
        <v>30</v>
      </c>
      <c r="M845" s="20">
        <v>0</v>
      </c>
      <c r="N845" s="20">
        <f t="shared" si="1623"/>
        <v>100</v>
      </c>
      <c r="O845" s="19" t="s">
        <v>69</v>
      </c>
      <c r="P845" s="20">
        <v>6400</v>
      </c>
      <c r="Q845" s="20">
        <f t="shared" ref="Q845:X845" si="1715">Q815</f>
        <v>10</v>
      </c>
      <c r="R845" s="20">
        <f t="shared" si="1715"/>
        <v>40</v>
      </c>
      <c r="S845" s="20">
        <f t="shared" si="1715"/>
        <v>70</v>
      </c>
      <c r="T845" s="20">
        <f t="shared" si="1715"/>
        <v>90</v>
      </c>
      <c r="U845" s="20">
        <f t="shared" si="1715"/>
        <v>900</v>
      </c>
      <c r="V845" s="20">
        <f t="shared" si="1715"/>
        <v>2000</v>
      </c>
      <c r="W845" s="20">
        <f t="shared" si="1715"/>
        <v>8000</v>
      </c>
      <c r="X845" s="20">
        <f t="shared" si="1715"/>
        <v>1</v>
      </c>
      <c r="Y845" s="20">
        <f t="shared" si="1658"/>
        <v>0</v>
      </c>
      <c r="Z845" s="30">
        <v>0</v>
      </c>
      <c r="AA845" s="27">
        <v>0</v>
      </c>
      <c r="AB845" s="27">
        <v>0</v>
      </c>
      <c r="AC845" s="27">
        <v>0</v>
      </c>
      <c r="AD845" s="23">
        <f t="shared" ref="AD845:AE845" si="1716">AD815</f>
        <v>6</v>
      </c>
      <c r="AE845" s="23">
        <f t="shared" si="1716"/>
        <v>10</v>
      </c>
    </row>
    <row r="846" spans="1:31">
      <c r="A846" s="4">
        <v>12103</v>
      </c>
      <c r="B846" s="4">
        <v>5</v>
      </c>
      <c r="C846" s="29" t="s">
        <v>70</v>
      </c>
      <c r="D846" s="44">
        <f t="shared" si="1656"/>
        <v>198</v>
      </c>
      <c r="E846" s="28">
        <v>0</v>
      </c>
      <c r="F846" s="28">
        <v>0</v>
      </c>
      <c r="G846" s="28">
        <v>0</v>
      </c>
      <c r="H846" s="47">
        <v>0</v>
      </c>
      <c r="I846" s="21">
        <f t="shared" si="1622"/>
        <v>110</v>
      </c>
      <c r="J846" s="21">
        <f t="shared" si="1710"/>
        <v>4</v>
      </c>
      <c r="K846" s="21">
        <v>0</v>
      </c>
      <c r="L846" s="20">
        <v>25</v>
      </c>
      <c r="M846" s="20">
        <v>0</v>
      </c>
      <c r="N846" s="20">
        <f t="shared" si="1623"/>
        <v>200</v>
      </c>
      <c r="O846" s="19" t="s">
        <v>70</v>
      </c>
      <c r="P846" s="20">
        <v>3100</v>
      </c>
      <c r="Q846" s="20">
        <f t="shared" ref="Q846:X846" si="1717">Q816</f>
        <v>20</v>
      </c>
      <c r="R846" s="20">
        <f t="shared" si="1717"/>
        <v>80</v>
      </c>
      <c r="S846" s="20">
        <f t="shared" si="1717"/>
        <v>140</v>
      </c>
      <c r="T846" s="20">
        <f t="shared" si="1717"/>
        <v>180</v>
      </c>
      <c r="U846" s="20">
        <f t="shared" si="1717"/>
        <v>1000</v>
      </c>
      <c r="V846" s="20">
        <f t="shared" si="1717"/>
        <v>2000</v>
      </c>
      <c r="W846" s="20">
        <f t="shared" si="1717"/>
        <v>2000</v>
      </c>
      <c r="X846" s="20">
        <f t="shared" si="1717"/>
        <v>2</v>
      </c>
      <c r="Y846" s="20">
        <f t="shared" si="1658"/>
        <v>0</v>
      </c>
      <c r="Z846" s="30">
        <v>0</v>
      </c>
      <c r="AA846" s="27">
        <v>0</v>
      </c>
      <c r="AB846" s="27">
        <v>0</v>
      </c>
      <c r="AC846" s="27">
        <v>0</v>
      </c>
      <c r="AD846" s="23">
        <f t="shared" ref="AD846:AE846" si="1718">AD816</f>
        <v>8</v>
      </c>
      <c r="AE846" s="23">
        <f t="shared" si="1718"/>
        <v>12</v>
      </c>
    </row>
    <row r="847" spans="1:31">
      <c r="A847" s="4">
        <v>12103</v>
      </c>
      <c r="B847" s="4">
        <v>6</v>
      </c>
      <c r="C847" s="29" t="s">
        <v>71</v>
      </c>
      <c r="D847" s="44">
        <f t="shared" si="1656"/>
        <v>214</v>
      </c>
      <c r="E847" s="28">
        <v>0</v>
      </c>
      <c r="F847" s="28">
        <v>0</v>
      </c>
      <c r="G847" s="28">
        <v>0</v>
      </c>
      <c r="H847" s="47">
        <v>0</v>
      </c>
      <c r="I847" s="21">
        <f t="shared" si="1622"/>
        <v>110</v>
      </c>
      <c r="J847" s="21">
        <f t="shared" si="1710"/>
        <v>5</v>
      </c>
      <c r="K847" s="21">
        <v>0</v>
      </c>
      <c r="L847" s="20">
        <v>20</v>
      </c>
      <c r="M847" s="20">
        <v>0</v>
      </c>
      <c r="N847" s="20">
        <f t="shared" si="1623"/>
        <v>500</v>
      </c>
      <c r="O847" s="19" t="s">
        <v>71</v>
      </c>
      <c r="P847" s="20">
        <v>1777</v>
      </c>
      <c r="Q847" s="20">
        <f t="shared" ref="Q847:X847" si="1719">Q817</f>
        <v>50</v>
      </c>
      <c r="R847" s="20">
        <f t="shared" si="1719"/>
        <v>200</v>
      </c>
      <c r="S847" s="20">
        <f t="shared" si="1719"/>
        <v>350</v>
      </c>
      <c r="T847" s="20">
        <f t="shared" si="1719"/>
        <v>450</v>
      </c>
      <c r="U847" s="20">
        <f t="shared" si="1719"/>
        <v>800</v>
      </c>
      <c r="V847" s="20">
        <f t="shared" si="1719"/>
        <v>800</v>
      </c>
      <c r="W847" s="20">
        <f t="shared" si="1719"/>
        <v>600</v>
      </c>
      <c r="X847" s="20">
        <f t="shared" si="1719"/>
        <v>2</v>
      </c>
      <c r="Y847" s="20">
        <f t="shared" si="1658"/>
        <v>0</v>
      </c>
      <c r="Z847" s="30">
        <v>0</v>
      </c>
      <c r="AA847" s="27">
        <v>0</v>
      </c>
      <c r="AB847" s="27">
        <v>0</v>
      </c>
      <c r="AC847" s="27">
        <v>0</v>
      </c>
      <c r="AD847" s="23">
        <f t="shared" ref="AD847:AE847" si="1720">AD817</f>
        <v>10</v>
      </c>
      <c r="AE847" s="23">
        <f t="shared" si="1720"/>
        <v>14</v>
      </c>
    </row>
    <row r="848" spans="1:31">
      <c r="A848" s="4">
        <v>12103</v>
      </c>
      <c r="B848" s="4">
        <v>7</v>
      </c>
      <c r="C848" s="29" t="s">
        <v>72</v>
      </c>
      <c r="D848" s="44">
        <f t="shared" si="1656"/>
        <v>232</v>
      </c>
      <c r="E848" s="28">
        <v>0</v>
      </c>
      <c r="F848" s="28">
        <v>0</v>
      </c>
      <c r="G848" s="28">
        <v>0</v>
      </c>
      <c r="H848" s="47">
        <v>0</v>
      </c>
      <c r="I848" s="21">
        <f t="shared" si="1622"/>
        <v>110</v>
      </c>
      <c r="J848" s="21">
        <f t="shared" si="1710"/>
        <v>6</v>
      </c>
      <c r="K848" s="21">
        <v>0</v>
      </c>
      <c r="L848" s="20">
        <v>16</v>
      </c>
      <c r="M848" s="20">
        <v>0</v>
      </c>
      <c r="N848" s="20">
        <f t="shared" si="1623"/>
        <v>700</v>
      </c>
      <c r="O848" s="19" t="s">
        <v>72</v>
      </c>
      <c r="P848" s="20">
        <v>2332</v>
      </c>
      <c r="Q848" s="20">
        <f t="shared" ref="Q848:X848" si="1721">Q818</f>
        <v>70</v>
      </c>
      <c r="R848" s="20">
        <f t="shared" si="1721"/>
        <v>280</v>
      </c>
      <c r="S848" s="20">
        <f t="shared" si="1721"/>
        <v>489.99999999999994</v>
      </c>
      <c r="T848" s="20">
        <f t="shared" si="1721"/>
        <v>630</v>
      </c>
      <c r="U848" s="20">
        <f t="shared" si="1721"/>
        <v>650</v>
      </c>
      <c r="V848" s="20">
        <f t="shared" si="1721"/>
        <v>800</v>
      </c>
      <c r="W848" s="20">
        <f t="shared" si="1721"/>
        <v>300</v>
      </c>
      <c r="X848" s="20">
        <f t="shared" si="1721"/>
        <v>2</v>
      </c>
      <c r="Y848" s="20">
        <f t="shared" si="1658"/>
        <v>0</v>
      </c>
      <c r="Z848" s="30">
        <v>0</v>
      </c>
      <c r="AA848" s="27">
        <v>0</v>
      </c>
      <c r="AB848" s="27">
        <v>0</v>
      </c>
      <c r="AC848" s="27">
        <v>0</v>
      </c>
      <c r="AD848" s="23">
        <f t="shared" ref="AD848:AE848" si="1722">AD818</f>
        <v>12</v>
      </c>
      <c r="AE848" s="23">
        <f t="shared" si="1722"/>
        <v>16</v>
      </c>
    </row>
    <row r="849" spans="1:31">
      <c r="A849" s="4">
        <v>12103</v>
      </c>
      <c r="B849" s="4">
        <v>8</v>
      </c>
      <c r="C849" s="29" t="s">
        <v>73</v>
      </c>
      <c r="D849" s="44">
        <f t="shared" si="1656"/>
        <v>252</v>
      </c>
      <c r="E849" s="28">
        <v>0</v>
      </c>
      <c r="F849" s="28">
        <v>0</v>
      </c>
      <c r="G849" s="28">
        <v>0</v>
      </c>
      <c r="H849" s="47">
        <v>0</v>
      </c>
      <c r="I849" s="21">
        <f t="shared" si="1622"/>
        <v>110</v>
      </c>
      <c r="J849" s="21">
        <f t="shared" si="1710"/>
        <v>7</v>
      </c>
      <c r="K849" s="21">
        <v>0</v>
      </c>
      <c r="L849" s="20">
        <v>12</v>
      </c>
      <c r="M849" s="20">
        <v>0</v>
      </c>
      <c r="N849" s="20">
        <f t="shared" si="1623"/>
        <v>800</v>
      </c>
      <c r="O849" s="19" t="s">
        <v>73</v>
      </c>
      <c r="P849" s="20">
        <v>1487</v>
      </c>
      <c r="Q849" s="20">
        <f t="shared" ref="Q849:X849" si="1723">Q819</f>
        <v>80</v>
      </c>
      <c r="R849" s="20">
        <f t="shared" si="1723"/>
        <v>320</v>
      </c>
      <c r="S849" s="20">
        <f t="shared" si="1723"/>
        <v>560</v>
      </c>
      <c r="T849" s="20">
        <f t="shared" si="1723"/>
        <v>720</v>
      </c>
      <c r="U849" s="20">
        <f t="shared" si="1723"/>
        <v>200</v>
      </c>
      <c r="V849" s="20">
        <f t="shared" si="1723"/>
        <v>2000</v>
      </c>
      <c r="W849" s="20">
        <f t="shared" si="1723"/>
        <v>1000</v>
      </c>
      <c r="X849" s="20">
        <f t="shared" si="1723"/>
        <v>2</v>
      </c>
      <c r="Y849" s="20">
        <f t="shared" si="1658"/>
        <v>48</v>
      </c>
      <c r="Z849" s="30">
        <v>0</v>
      </c>
      <c r="AA849" s="27">
        <v>0</v>
      </c>
      <c r="AB849" s="27">
        <v>0</v>
      </c>
      <c r="AC849" s="27">
        <v>0</v>
      </c>
      <c r="AD849" s="23">
        <f t="shared" ref="AD849:AE849" si="1724">AD819</f>
        <v>14</v>
      </c>
      <c r="AE849" s="23">
        <f t="shared" si="1724"/>
        <v>18</v>
      </c>
    </row>
    <row r="850" spans="1:31">
      <c r="A850" s="4">
        <v>12103</v>
      </c>
      <c r="B850" s="4">
        <v>9</v>
      </c>
      <c r="C850" s="29" t="s">
        <v>74</v>
      </c>
      <c r="D850" s="44">
        <f t="shared" si="1656"/>
        <v>272</v>
      </c>
      <c r="E850" s="28">
        <v>0</v>
      </c>
      <c r="F850" s="28">
        <v>0</v>
      </c>
      <c r="G850" s="28">
        <v>0</v>
      </c>
      <c r="H850" s="47">
        <v>0</v>
      </c>
      <c r="I850" s="21">
        <f t="shared" si="1622"/>
        <v>165</v>
      </c>
      <c r="J850" s="21">
        <f t="shared" si="1710"/>
        <v>8</v>
      </c>
      <c r="K850" s="21">
        <v>0</v>
      </c>
      <c r="L850" s="20">
        <v>8</v>
      </c>
      <c r="M850" s="20">
        <v>0</v>
      </c>
      <c r="N850" s="20">
        <f t="shared" si="1623"/>
        <v>900</v>
      </c>
      <c r="O850" s="19" t="s">
        <v>74</v>
      </c>
      <c r="P850" s="20">
        <v>1518</v>
      </c>
      <c r="Q850" s="20">
        <f t="shared" ref="Q850:X850" si="1725">Q820</f>
        <v>90</v>
      </c>
      <c r="R850" s="20">
        <f t="shared" si="1725"/>
        <v>360</v>
      </c>
      <c r="S850" s="20">
        <f t="shared" si="1725"/>
        <v>630</v>
      </c>
      <c r="T850" s="20">
        <f t="shared" si="1725"/>
        <v>810</v>
      </c>
      <c r="U850" s="20">
        <f t="shared" si="1725"/>
        <v>120</v>
      </c>
      <c r="V850" s="20">
        <f t="shared" si="1725"/>
        <v>1500</v>
      </c>
      <c r="W850" s="20">
        <f t="shared" si="1725"/>
        <v>1000</v>
      </c>
      <c r="X850" s="20">
        <f t="shared" si="1725"/>
        <v>3</v>
      </c>
      <c r="Y850" s="20">
        <f t="shared" si="1658"/>
        <v>0</v>
      </c>
      <c r="Z850" s="30">
        <v>0</v>
      </c>
      <c r="AA850" s="27">
        <v>0</v>
      </c>
      <c r="AB850" s="27">
        <v>0</v>
      </c>
      <c r="AC850" s="27">
        <v>0</v>
      </c>
      <c r="AD850" s="23">
        <f t="shared" ref="AD850:AE850" si="1726">AD820</f>
        <v>16</v>
      </c>
      <c r="AE850" s="23">
        <f t="shared" si="1726"/>
        <v>20</v>
      </c>
    </row>
    <row r="851" spans="1:31">
      <c r="A851" s="4">
        <v>12103</v>
      </c>
      <c r="B851" s="4">
        <v>10</v>
      </c>
      <c r="C851" s="29" t="s">
        <v>75</v>
      </c>
      <c r="D851" s="44">
        <f t="shared" si="1656"/>
        <v>294</v>
      </c>
      <c r="E851" s="28">
        <v>0</v>
      </c>
      <c r="F851" s="28">
        <v>0</v>
      </c>
      <c r="G851" s="28">
        <v>0</v>
      </c>
      <c r="H851" s="47">
        <v>0</v>
      </c>
      <c r="I851" s="21">
        <f t="shared" si="1622"/>
        <v>165</v>
      </c>
      <c r="J851" s="21">
        <f t="shared" si="1710"/>
        <v>9</v>
      </c>
      <c r="K851" s="21">
        <v>0</v>
      </c>
      <c r="L851" s="20">
        <v>6</v>
      </c>
      <c r="M851" s="20">
        <v>0</v>
      </c>
      <c r="N851" s="20">
        <f t="shared" si="1623"/>
        <v>2000</v>
      </c>
      <c r="O851" s="19" t="s">
        <v>75</v>
      </c>
      <c r="P851" s="20">
        <v>861</v>
      </c>
      <c r="Q851" s="20">
        <f t="shared" ref="Q851:X851" si="1727">Q821</f>
        <v>200</v>
      </c>
      <c r="R851" s="20">
        <f t="shared" si="1727"/>
        <v>800</v>
      </c>
      <c r="S851" s="20">
        <f t="shared" si="1727"/>
        <v>1400</v>
      </c>
      <c r="T851" s="20">
        <f t="shared" si="1727"/>
        <v>1800</v>
      </c>
      <c r="U851" s="20">
        <f t="shared" si="1727"/>
        <v>150</v>
      </c>
      <c r="V851" s="20">
        <f t="shared" si="1727"/>
        <v>5000</v>
      </c>
      <c r="W851" s="20">
        <f t="shared" si="1727"/>
        <v>800</v>
      </c>
      <c r="X851" s="20">
        <f t="shared" si="1727"/>
        <v>3</v>
      </c>
      <c r="Y851" s="20">
        <f t="shared" si="1658"/>
        <v>0</v>
      </c>
      <c r="Z851" s="30">
        <v>0</v>
      </c>
      <c r="AA851" s="27">
        <v>0</v>
      </c>
      <c r="AB851" s="27">
        <v>0</v>
      </c>
      <c r="AC851" s="27">
        <v>0</v>
      </c>
      <c r="AD851" s="23">
        <f t="shared" ref="AD851:AE851" si="1728">AD821</f>
        <v>18</v>
      </c>
      <c r="AE851" s="23">
        <f t="shared" si="1728"/>
        <v>22</v>
      </c>
    </row>
    <row r="852" spans="1:31">
      <c r="A852" s="4">
        <v>12103</v>
      </c>
      <c r="B852" s="4">
        <v>11</v>
      </c>
      <c r="C852" s="29" t="s">
        <v>66</v>
      </c>
      <c r="D852" s="44">
        <f t="shared" si="1656"/>
        <v>318</v>
      </c>
      <c r="E852" s="28">
        <v>0</v>
      </c>
      <c r="F852" s="28">
        <v>0</v>
      </c>
      <c r="G852" s="28">
        <v>0</v>
      </c>
      <c r="H852" s="47">
        <v>0</v>
      </c>
      <c r="I852" s="21">
        <f t="shared" si="1622"/>
        <v>165</v>
      </c>
      <c r="J852" s="21">
        <f t="shared" si="1710"/>
        <v>10</v>
      </c>
      <c r="K852" s="21">
        <v>0</v>
      </c>
      <c r="L852" s="20">
        <v>6</v>
      </c>
      <c r="M852" s="20">
        <v>0</v>
      </c>
      <c r="N852" s="20">
        <f t="shared" si="1623"/>
        <v>2200</v>
      </c>
      <c r="O852" s="19" t="s">
        <v>66</v>
      </c>
      <c r="P852" s="20">
        <v>9400</v>
      </c>
      <c r="Q852" s="20">
        <f t="shared" ref="Q852:X852" si="1729">Q822</f>
        <v>220</v>
      </c>
      <c r="R852" s="20">
        <f t="shared" si="1729"/>
        <v>880</v>
      </c>
      <c r="S852" s="20">
        <f t="shared" si="1729"/>
        <v>1540</v>
      </c>
      <c r="T852" s="20">
        <f t="shared" si="1729"/>
        <v>1980</v>
      </c>
      <c r="U852" s="20">
        <f t="shared" si="1729"/>
        <v>100</v>
      </c>
      <c r="V852" s="20">
        <f t="shared" si="1729"/>
        <v>800</v>
      </c>
      <c r="W852" s="20">
        <f t="shared" si="1729"/>
        <v>600</v>
      </c>
      <c r="X852" s="20">
        <f t="shared" si="1729"/>
        <v>3</v>
      </c>
      <c r="Y852" s="20">
        <f t="shared" si="1658"/>
        <v>0</v>
      </c>
      <c r="Z852" s="30">
        <v>0</v>
      </c>
      <c r="AA852" s="27">
        <v>0</v>
      </c>
      <c r="AB852" s="27">
        <v>0</v>
      </c>
      <c r="AC852" s="27">
        <v>0</v>
      </c>
      <c r="AD852" s="23">
        <f t="shared" ref="AD852:AE852" si="1730">AD822</f>
        <v>20</v>
      </c>
      <c r="AE852" s="23">
        <f t="shared" si="1730"/>
        <v>24</v>
      </c>
    </row>
    <row r="853" spans="1:31">
      <c r="A853" s="4">
        <v>12103</v>
      </c>
      <c r="B853" s="4">
        <v>12</v>
      </c>
      <c r="C853" s="29" t="s">
        <v>67</v>
      </c>
      <c r="D853" s="44">
        <f t="shared" si="1656"/>
        <v>344</v>
      </c>
      <c r="E853" s="28">
        <v>0</v>
      </c>
      <c r="F853" s="28">
        <v>0</v>
      </c>
      <c r="G853" s="28">
        <v>0</v>
      </c>
      <c r="H853" s="47">
        <v>0</v>
      </c>
      <c r="I853" s="21">
        <f t="shared" si="1622"/>
        <v>165</v>
      </c>
      <c r="J853" s="21">
        <f t="shared" si="1710"/>
        <v>11</v>
      </c>
      <c r="K853" s="21">
        <v>0</v>
      </c>
      <c r="L853" s="20">
        <v>6</v>
      </c>
      <c r="M853" s="20">
        <v>0</v>
      </c>
      <c r="N853" s="20">
        <f t="shared" si="1623"/>
        <v>2400</v>
      </c>
      <c r="O853" s="19" t="s">
        <v>67</v>
      </c>
      <c r="P853" s="20">
        <v>9100</v>
      </c>
      <c r="Q853" s="20">
        <f t="shared" ref="Q853:X853" si="1731">Q823</f>
        <v>240</v>
      </c>
      <c r="R853" s="20">
        <f t="shared" si="1731"/>
        <v>960</v>
      </c>
      <c r="S853" s="20">
        <f t="shared" si="1731"/>
        <v>1680</v>
      </c>
      <c r="T853" s="20">
        <f t="shared" si="1731"/>
        <v>2160</v>
      </c>
      <c r="U853" s="20">
        <f t="shared" si="1731"/>
        <v>150</v>
      </c>
      <c r="V853" s="20">
        <f t="shared" si="1731"/>
        <v>700</v>
      </c>
      <c r="W853" s="20">
        <f t="shared" si="1731"/>
        <v>900</v>
      </c>
      <c r="X853" s="20">
        <f t="shared" si="1731"/>
        <v>3</v>
      </c>
      <c r="Y853" s="20">
        <f t="shared" si="1658"/>
        <v>0</v>
      </c>
      <c r="Z853" s="30">
        <v>0</v>
      </c>
      <c r="AA853" s="27">
        <v>0</v>
      </c>
      <c r="AB853" s="27">
        <v>0</v>
      </c>
      <c r="AC853" s="27">
        <v>0</v>
      </c>
      <c r="AD853" s="23">
        <f t="shared" ref="AD853:AE853" si="1732">AD823</f>
        <v>22</v>
      </c>
      <c r="AE853" s="23">
        <f t="shared" si="1732"/>
        <v>26</v>
      </c>
    </row>
    <row r="854" spans="1:31">
      <c r="A854" s="8">
        <v>12103</v>
      </c>
      <c r="B854" s="8">
        <v>13</v>
      </c>
      <c r="C854" s="29" t="s">
        <v>68</v>
      </c>
      <c r="D854" s="44">
        <f t="shared" si="1656"/>
        <v>374</v>
      </c>
      <c r="E854" s="28">
        <v>0</v>
      </c>
      <c r="F854" s="28">
        <v>0</v>
      </c>
      <c r="G854" s="28">
        <v>0</v>
      </c>
      <c r="H854" s="47">
        <v>0</v>
      </c>
      <c r="I854" s="21">
        <f t="shared" si="1622"/>
        <v>220</v>
      </c>
      <c r="J854" s="21">
        <f t="shared" si="1710"/>
        <v>12</v>
      </c>
      <c r="K854" s="21">
        <v>0</v>
      </c>
      <c r="L854" s="20">
        <v>6</v>
      </c>
      <c r="M854" s="20">
        <v>0</v>
      </c>
      <c r="N854" s="20">
        <f t="shared" si="1623"/>
        <v>2600</v>
      </c>
      <c r="O854" s="19" t="s">
        <v>68</v>
      </c>
      <c r="P854" s="20">
        <v>8600</v>
      </c>
      <c r="Q854" s="20">
        <f t="shared" ref="Q854:X854" si="1733">Q824</f>
        <v>260</v>
      </c>
      <c r="R854" s="20">
        <f t="shared" si="1733"/>
        <v>1040</v>
      </c>
      <c r="S854" s="20">
        <f t="shared" si="1733"/>
        <v>1819.9999999999998</v>
      </c>
      <c r="T854" s="20">
        <f t="shared" si="1733"/>
        <v>2340</v>
      </c>
      <c r="U854" s="20">
        <f t="shared" si="1733"/>
        <v>100</v>
      </c>
      <c r="V854" s="20">
        <f t="shared" si="1733"/>
        <v>700</v>
      </c>
      <c r="W854" s="20">
        <f t="shared" si="1733"/>
        <v>1000</v>
      </c>
      <c r="X854" s="20">
        <f t="shared" si="1733"/>
        <v>4</v>
      </c>
      <c r="Y854" s="20">
        <f t="shared" si="1658"/>
        <v>96</v>
      </c>
      <c r="Z854" s="30">
        <v>0</v>
      </c>
      <c r="AA854" s="27">
        <v>0</v>
      </c>
      <c r="AB854" s="27">
        <v>0</v>
      </c>
      <c r="AC854" s="27">
        <v>0</v>
      </c>
      <c r="AD854" s="23">
        <f t="shared" ref="AD854:AE854" si="1734">AD824</f>
        <v>24</v>
      </c>
      <c r="AE854" s="23">
        <f t="shared" si="1734"/>
        <v>28</v>
      </c>
    </row>
    <row r="855" spans="1:31">
      <c r="A855" s="4">
        <v>12103</v>
      </c>
      <c r="B855" s="4">
        <v>14</v>
      </c>
      <c r="C855" s="29" t="s">
        <v>69</v>
      </c>
      <c r="D855" s="44">
        <f t="shared" si="1656"/>
        <v>404</v>
      </c>
      <c r="E855" s="28">
        <v>0</v>
      </c>
      <c r="F855" s="28">
        <v>0</v>
      </c>
      <c r="G855" s="28">
        <v>0</v>
      </c>
      <c r="H855" s="47">
        <v>0</v>
      </c>
      <c r="I855" s="21">
        <f t="shared" si="1622"/>
        <v>220</v>
      </c>
      <c r="J855" s="21">
        <f t="shared" si="1710"/>
        <v>13</v>
      </c>
      <c r="K855" s="21">
        <v>0</v>
      </c>
      <c r="L855" s="20">
        <v>6</v>
      </c>
      <c r="M855" s="20">
        <v>0</v>
      </c>
      <c r="N855" s="20">
        <f t="shared" si="1623"/>
        <v>2800</v>
      </c>
      <c r="O855" s="19" t="s">
        <v>69</v>
      </c>
      <c r="P855" s="20">
        <v>6400</v>
      </c>
      <c r="Q855" s="20">
        <f t="shared" ref="Q855:X855" si="1735">Q825</f>
        <v>280</v>
      </c>
      <c r="R855" s="20">
        <f t="shared" si="1735"/>
        <v>1120</v>
      </c>
      <c r="S855" s="20">
        <f t="shared" si="1735"/>
        <v>1959.9999999999998</v>
      </c>
      <c r="T855" s="20">
        <f t="shared" si="1735"/>
        <v>2520</v>
      </c>
      <c r="U855" s="20">
        <f t="shared" si="1735"/>
        <v>100</v>
      </c>
      <c r="V855" s="20">
        <f t="shared" si="1735"/>
        <v>400</v>
      </c>
      <c r="W855" s="20">
        <f t="shared" si="1735"/>
        <v>1200</v>
      </c>
      <c r="X855" s="20">
        <f t="shared" si="1735"/>
        <v>4</v>
      </c>
      <c r="Y855" s="20">
        <f t="shared" si="1658"/>
        <v>0</v>
      </c>
      <c r="Z855" s="30">
        <v>0</v>
      </c>
      <c r="AA855" s="27">
        <v>0</v>
      </c>
      <c r="AB855" s="27">
        <v>0</v>
      </c>
      <c r="AC855" s="27">
        <v>0</v>
      </c>
      <c r="AD855" s="23">
        <f t="shared" ref="AD855:AE855" si="1736">AD825</f>
        <v>26</v>
      </c>
      <c r="AE855" s="23">
        <f t="shared" si="1736"/>
        <v>30</v>
      </c>
    </row>
    <row r="856" spans="1:31">
      <c r="A856" s="4">
        <v>12103</v>
      </c>
      <c r="B856" s="4">
        <v>15</v>
      </c>
      <c r="C856" s="29" t="s">
        <v>70</v>
      </c>
      <c r="D856" s="44">
        <f t="shared" si="1656"/>
        <v>438</v>
      </c>
      <c r="E856" s="28">
        <v>0</v>
      </c>
      <c r="F856" s="28">
        <v>0</v>
      </c>
      <c r="G856" s="28">
        <v>0</v>
      </c>
      <c r="H856" s="47">
        <v>0</v>
      </c>
      <c r="I856" s="21">
        <f t="shared" si="1622"/>
        <v>220</v>
      </c>
      <c r="J856" s="21">
        <f t="shared" si="1710"/>
        <v>14</v>
      </c>
      <c r="K856" s="21">
        <v>0</v>
      </c>
      <c r="L856" s="20">
        <v>6</v>
      </c>
      <c r="M856" s="20">
        <v>0</v>
      </c>
      <c r="N856" s="20">
        <f t="shared" si="1623"/>
        <v>4500</v>
      </c>
      <c r="O856" s="19" t="s">
        <v>70</v>
      </c>
      <c r="P856" s="20">
        <v>3100</v>
      </c>
      <c r="Q856" s="20">
        <f t="shared" ref="Q856:X856" si="1737">Q826</f>
        <v>450</v>
      </c>
      <c r="R856" s="20">
        <f t="shared" si="1737"/>
        <v>1800</v>
      </c>
      <c r="S856" s="20">
        <f t="shared" si="1737"/>
        <v>3150</v>
      </c>
      <c r="T856" s="20">
        <f t="shared" si="1737"/>
        <v>4050</v>
      </c>
      <c r="U856" s="20">
        <f t="shared" si="1737"/>
        <v>100</v>
      </c>
      <c r="V856" s="20">
        <f t="shared" si="1737"/>
        <v>1000</v>
      </c>
      <c r="W856" s="20">
        <f t="shared" si="1737"/>
        <v>600</v>
      </c>
      <c r="X856" s="20">
        <f t="shared" si="1737"/>
        <v>4</v>
      </c>
      <c r="Y856" s="20">
        <f t="shared" si="1658"/>
        <v>0</v>
      </c>
      <c r="Z856" s="30">
        <v>0</v>
      </c>
      <c r="AA856" s="27">
        <v>0</v>
      </c>
      <c r="AB856" s="27">
        <v>0</v>
      </c>
      <c r="AC856" s="27">
        <v>0</v>
      </c>
      <c r="AD856" s="23">
        <f t="shared" ref="AD856:AE856" si="1738">AD826</f>
        <v>28</v>
      </c>
      <c r="AE856" s="23">
        <f t="shared" si="1738"/>
        <v>32</v>
      </c>
    </row>
    <row r="857" spans="1:31">
      <c r="A857" s="4">
        <v>12103</v>
      </c>
      <c r="B857" s="4">
        <v>16</v>
      </c>
      <c r="C857" s="29" t="s">
        <v>71</v>
      </c>
      <c r="D857" s="44">
        <f t="shared" si="1656"/>
        <v>474</v>
      </c>
      <c r="E857" s="28">
        <v>0</v>
      </c>
      <c r="F857" s="28">
        <v>0</v>
      </c>
      <c r="G857" s="28">
        <v>0</v>
      </c>
      <c r="H857" s="47">
        <v>0</v>
      </c>
      <c r="I857" s="21">
        <f t="shared" si="1622"/>
        <v>220</v>
      </c>
      <c r="J857" s="21">
        <f t="shared" si="1710"/>
        <v>15</v>
      </c>
      <c r="K857" s="21">
        <v>0</v>
      </c>
      <c r="L857" s="20">
        <v>6</v>
      </c>
      <c r="M857" s="20">
        <v>0</v>
      </c>
      <c r="N857" s="20">
        <f t="shared" si="1623"/>
        <v>4800</v>
      </c>
      <c r="O857" s="19" t="s">
        <v>71</v>
      </c>
      <c r="P857" s="20">
        <v>1777</v>
      </c>
      <c r="Q857" s="20">
        <f t="shared" ref="Q857:X857" si="1739">Q827</f>
        <v>480</v>
      </c>
      <c r="R857" s="20">
        <f t="shared" si="1739"/>
        <v>1920</v>
      </c>
      <c r="S857" s="20">
        <f t="shared" si="1739"/>
        <v>3360</v>
      </c>
      <c r="T857" s="20">
        <f t="shared" si="1739"/>
        <v>4320</v>
      </c>
      <c r="U857" s="20">
        <f t="shared" si="1739"/>
        <v>100</v>
      </c>
      <c r="V857" s="20">
        <f t="shared" si="1739"/>
        <v>800</v>
      </c>
      <c r="W857" s="20">
        <f t="shared" si="1739"/>
        <v>800</v>
      </c>
      <c r="X857" s="20">
        <f t="shared" si="1739"/>
        <v>4</v>
      </c>
      <c r="Y857" s="20">
        <f t="shared" si="1658"/>
        <v>0</v>
      </c>
      <c r="Z857" s="30">
        <v>0</v>
      </c>
      <c r="AA857" s="27">
        <v>0</v>
      </c>
      <c r="AB857" s="27">
        <v>0</v>
      </c>
      <c r="AC857" s="27">
        <v>0</v>
      </c>
      <c r="AD857" s="23">
        <f t="shared" ref="AD857:AE857" si="1740">AD827</f>
        <v>30</v>
      </c>
      <c r="AE857" s="23">
        <f t="shared" si="1740"/>
        <v>34</v>
      </c>
    </row>
    <row r="858" spans="1:31">
      <c r="A858" s="4">
        <v>12103</v>
      </c>
      <c r="B858" s="4">
        <v>17</v>
      </c>
      <c r="C858" s="29" t="s">
        <v>72</v>
      </c>
      <c r="D858" s="44">
        <f t="shared" si="1656"/>
        <v>512</v>
      </c>
      <c r="E858" s="28">
        <v>0</v>
      </c>
      <c r="F858" s="28">
        <v>0</v>
      </c>
      <c r="G858" s="28">
        <v>0</v>
      </c>
      <c r="H858" s="47">
        <v>0</v>
      </c>
      <c r="I858" s="21">
        <f t="shared" si="1622"/>
        <v>275</v>
      </c>
      <c r="J858" s="21">
        <f t="shared" si="1710"/>
        <v>16</v>
      </c>
      <c r="K858" s="21">
        <v>0</v>
      </c>
      <c r="L858" s="20">
        <v>6</v>
      </c>
      <c r="M858" s="20">
        <v>0</v>
      </c>
      <c r="N858" s="20">
        <f t="shared" si="1623"/>
        <v>5100</v>
      </c>
      <c r="O858" s="19" t="s">
        <v>72</v>
      </c>
      <c r="P858" s="20">
        <v>2332</v>
      </c>
      <c r="Q858" s="20">
        <f t="shared" ref="Q858:X858" si="1741">Q828</f>
        <v>510</v>
      </c>
      <c r="R858" s="20">
        <f t="shared" si="1741"/>
        <v>2040</v>
      </c>
      <c r="S858" s="20">
        <f t="shared" si="1741"/>
        <v>3570</v>
      </c>
      <c r="T858" s="20">
        <f t="shared" si="1741"/>
        <v>4590</v>
      </c>
      <c r="U858" s="20">
        <f t="shared" si="1741"/>
        <v>80</v>
      </c>
      <c r="V858" s="20">
        <f t="shared" si="1741"/>
        <v>800</v>
      </c>
      <c r="W858" s="20">
        <f t="shared" si="1741"/>
        <v>600</v>
      </c>
      <c r="X858" s="20">
        <f t="shared" si="1741"/>
        <v>5</v>
      </c>
      <c r="Y858" s="20">
        <f t="shared" si="1658"/>
        <v>0</v>
      </c>
      <c r="Z858" s="30">
        <v>0</v>
      </c>
      <c r="AA858" s="27">
        <v>0</v>
      </c>
      <c r="AB858" s="27">
        <v>0</v>
      </c>
      <c r="AC858" s="27">
        <v>0</v>
      </c>
      <c r="AD858" s="23">
        <f t="shared" ref="AD858:AE858" si="1742">AD828</f>
        <v>32</v>
      </c>
      <c r="AE858" s="23">
        <f t="shared" si="1742"/>
        <v>36</v>
      </c>
    </row>
    <row r="859" spans="1:31">
      <c r="A859" s="4">
        <v>12103</v>
      </c>
      <c r="B859" s="4">
        <v>18</v>
      </c>
      <c r="C859" s="29" t="s">
        <v>73</v>
      </c>
      <c r="D859" s="44">
        <f t="shared" si="1656"/>
        <v>556</v>
      </c>
      <c r="E859" s="28">
        <v>0</v>
      </c>
      <c r="F859" s="28">
        <v>0</v>
      </c>
      <c r="G859" s="28">
        <v>0</v>
      </c>
      <c r="H859" s="47">
        <v>0</v>
      </c>
      <c r="I859" s="21">
        <f t="shared" si="1622"/>
        <v>275</v>
      </c>
      <c r="J859" s="21">
        <f t="shared" si="1710"/>
        <v>17</v>
      </c>
      <c r="K859" s="21">
        <v>0</v>
      </c>
      <c r="L859" s="20">
        <v>6</v>
      </c>
      <c r="M859" s="20">
        <v>0</v>
      </c>
      <c r="N859" s="20">
        <f t="shared" si="1623"/>
        <v>5400</v>
      </c>
      <c r="O859" s="19" t="s">
        <v>73</v>
      </c>
      <c r="P859" s="20">
        <v>1487</v>
      </c>
      <c r="Q859" s="20">
        <f t="shared" ref="Q859:X859" si="1743">Q829</f>
        <v>540</v>
      </c>
      <c r="R859" s="20">
        <f t="shared" si="1743"/>
        <v>2160</v>
      </c>
      <c r="S859" s="20">
        <f t="shared" si="1743"/>
        <v>3779.9999999999995</v>
      </c>
      <c r="T859" s="20">
        <f t="shared" si="1743"/>
        <v>4860</v>
      </c>
      <c r="U859" s="20">
        <f t="shared" si="1743"/>
        <v>100</v>
      </c>
      <c r="V859" s="20">
        <f t="shared" si="1743"/>
        <v>600</v>
      </c>
      <c r="W859" s="20">
        <f t="shared" si="1743"/>
        <v>300</v>
      </c>
      <c r="X859" s="20">
        <f t="shared" si="1743"/>
        <v>5</v>
      </c>
      <c r="Y859" s="20">
        <f t="shared" si="1658"/>
        <v>145</v>
      </c>
      <c r="Z859" s="30">
        <v>0</v>
      </c>
      <c r="AA859" s="27">
        <v>0</v>
      </c>
      <c r="AB859" s="27">
        <v>0</v>
      </c>
      <c r="AC859" s="27">
        <v>0</v>
      </c>
      <c r="AD859" s="23">
        <f t="shared" ref="AD859:AE859" si="1744">AD829</f>
        <v>34</v>
      </c>
      <c r="AE859" s="23">
        <f t="shared" si="1744"/>
        <v>38</v>
      </c>
    </row>
    <row r="860" spans="1:31">
      <c r="A860" s="4">
        <v>12103</v>
      </c>
      <c r="B860" s="4">
        <v>19</v>
      </c>
      <c r="C860" s="29" t="s">
        <v>74</v>
      </c>
      <c r="D860" s="44">
        <f t="shared" si="1656"/>
        <v>602</v>
      </c>
      <c r="E860" s="28">
        <v>0</v>
      </c>
      <c r="F860" s="28">
        <v>0</v>
      </c>
      <c r="G860" s="28">
        <v>0</v>
      </c>
      <c r="H860" s="47">
        <v>0</v>
      </c>
      <c r="I860" s="21">
        <f t="shared" si="1622"/>
        <v>275</v>
      </c>
      <c r="J860" s="21">
        <f t="shared" si="1710"/>
        <v>18</v>
      </c>
      <c r="K860" s="21">
        <v>0</v>
      </c>
      <c r="L860" s="20">
        <v>6</v>
      </c>
      <c r="M860" s="20">
        <v>0</v>
      </c>
      <c r="N860" s="20">
        <f t="shared" si="1623"/>
        <v>5700</v>
      </c>
      <c r="O860" s="19" t="s">
        <v>74</v>
      </c>
      <c r="P860" s="20">
        <v>1518</v>
      </c>
      <c r="Q860" s="20">
        <f t="shared" ref="Q860:X860" si="1745">Q830</f>
        <v>570</v>
      </c>
      <c r="R860" s="20">
        <f t="shared" si="1745"/>
        <v>2280</v>
      </c>
      <c r="S860" s="20">
        <f t="shared" si="1745"/>
        <v>3989.9999999999995</v>
      </c>
      <c r="T860" s="20">
        <f t="shared" si="1745"/>
        <v>5130</v>
      </c>
      <c r="U860" s="20">
        <f t="shared" si="1745"/>
        <v>100</v>
      </c>
      <c r="V860" s="20">
        <f t="shared" si="1745"/>
        <v>500</v>
      </c>
      <c r="W860" s="20">
        <f t="shared" si="1745"/>
        <v>400</v>
      </c>
      <c r="X860" s="20">
        <f t="shared" si="1745"/>
        <v>5</v>
      </c>
      <c r="Y860" s="20">
        <f t="shared" si="1658"/>
        <v>0</v>
      </c>
      <c r="Z860" s="30">
        <v>0</v>
      </c>
      <c r="AA860" s="27">
        <v>0</v>
      </c>
      <c r="AB860" s="27">
        <v>0</v>
      </c>
      <c r="AC860" s="27">
        <v>0</v>
      </c>
      <c r="AD860" s="23">
        <f t="shared" ref="AD860:AE860" si="1746">AD830</f>
        <v>36</v>
      </c>
      <c r="AE860" s="23">
        <f t="shared" si="1746"/>
        <v>40</v>
      </c>
    </row>
    <row r="861" spans="1:31">
      <c r="A861" s="4">
        <v>12103</v>
      </c>
      <c r="B861" s="4">
        <v>20</v>
      </c>
      <c r="C861" s="29" t="s">
        <v>75</v>
      </c>
      <c r="D861" s="44">
        <f t="shared" si="1656"/>
        <v>650</v>
      </c>
      <c r="E861" s="28">
        <v>0</v>
      </c>
      <c r="F861" s="28">
        <v>0</v>
      </c>
      <c r="G861" s="28">
        <v>0</v>
      </c>
      <c r="H861" s="47">
        <v>0</v>
      </c>
      <c r="I861" s="21">
        <f t="shared" si="1622"/>
        <v>275</v>
      </c>
      <c r="J861" s="21">
        <f t="shared" si="1710"/>
        <v>19</v>
      </c>
      <c r="K861" s="21">
        <v>0</v>
      </c>
      <c r="L861" s="20">
        <v>6</v>
      </c>
      <c r="M861" s="20">
        <v>0</v>
      </c>
      <c r="N861" s="20">
        <f t="shared" si="1623"/>
        <v>8000</v>
      </c>
      <c r="O861" s="19" t="s">
        <v>75</v>
      </c>
      <c r="P861" s="20">
        <v>861</v>
      </c>
      <c r="Q861" s="20">
        <f t="shared" ref="Q861:X861" si="1747">Q831</f>
        <v>800</v>
      </c>
      <c r="R861" s="20">
        <f t="shared" si="1747"/>
        <v>3200</v>
      </c>
      <c r="S861" s="20">
        <f t="shared" si="1747"/>
        <v>5600</v>
      </c>
      <c r="T861" s="20">
        <f t="shared" si="1747"/>
        <v>7200</v>
      </c>
      <c r="U861" s="20">
        <f t="shared" si="1747"/>
        <v>100</v>
      </c>
      <c r="V861" s="20">
        <f t="shared" si="1747"/>
        <v>800</v>
      </c>
      <c r="W861" s="20">
        <f t="shared" si="1747"/>
        <v>8000</v>
      </c>
      <c r="X861" s="20">
        <f t="shared" si="1747"/>
        <v>5</v>
      </c>
      <c r="Y861" s="20">
        <f t="shared" si="1658"/>
        <v>0</v>
      </c>
      <c r="Z861" s="30">
        <v>0</v>
      </c>
      <c r="AA861" s="27">
        <v>0</v>
      </c>
      <c r="AB861" s="27">
        <v>0</v>
      </c>
      <c r="AC861" s="27">
        <v>0</v>
      </c>
      <c r="AD861" s="23">
        <f t="shared" ref="AD861:AE861" si="1748">AD831</f>
        <v>38</v>
      </c>
      <c r="AE861" s="23">
        <f t="shared" si="1748"/>
        <v>42</v>
      </c>
    </row>
    <row r="862" spans="1:31">
      <c r="A862" s="4">
        <v>12103</v>
      </c>
      <c r="B862" s="4">
        <v>21</v>
      </c>
      <c r="C862" s="29" t="s">
        <v>66</v>
      </c>
      <c r="D862" s="44">
        <f t="shared" si="1656"/>
        <v>704</v>
      </c>
      <c r="E862" s="28">
        <v>0</v>
      </c>
      <c r="F862" s="28">
        <v>0</v>
      </c>
      <c r="G862" s="28">
        <v>0</v>
      </c>
      <c r="H862" s="47">
        <v>0</v>
      </c>
      <c r="I862" s="21">
        <f t="shared" si="1622"/>
        <v>330</v>
      </c>
      <c r="J862" s="21">
        <f t="shared" si="1710"/>
        <v>20</v>
      </c>
      <c r="K862" s="21">
        <v>0</v>
      </c>
      <c r="L862" s="20">
        <v>6</v>
      </c>
      <c r="M862" s="20">
        <v>0</v>
      </c>
      <c r="N862" s="20">
        <f t="shared" si="1623"/>
        <v>8400</v>
      </c>
      <c r="O862" s="19" t="s">
        <v>66</v>
      </c>
      <c r="P862" s="20">
        <v>9400</v>
      </c>
      <c r="Q862" s="20">
        <f t="shared" ref="Q862:X862" si="1749">Q832</f>
        <v>840</v>
      </c>
      <c r="R862" s="20">
        <f t="shared" si="1749"/>
        <v>3360</v>
      </c>
      <c r="S862" s="20">
        <f t="shared" si="1749"/>
        <v>5880</v>
      </c>
      <c r="T862" s="20">
        <f t="shared" si="1749"/>
        <v>7560</v>
      </c>
      <c r="U862" s="20">
        <f t="shared" si="1749"/>
        <v>50</v>
      </c>
      <c r="V862" s="20">
        <f t="shared" si="1749"/>
        <v>1000</v>
      </c>
      <c r="W862" s="20">
        <f t="shared" si="1749"/>
        <v>600</v>
      </c>
      <c r="X862" s="20">
        <f t="shared" si="1749"/>
        <v>6</v>
      </c>
      <c r="Y862" s="20">
        <f t="shared" si="1658"/>
        <v>0</v>
      </c>
      <c r="Z862" s="30">
        <v>0</v>
      </c>
      <c r="AA862" s="27">
        <v>0</v>
      </c>
      <c r="AB862" s="27">
        <v>0</v>
      </c>
      <c r="AC862" s="27">
        <v>0</v>
      </c>
      <c r="AD862" s="23">
        <f t="shared" ref="AD862:AE862" si="1750">AD832</f>
        <v>40</v>
      </c>
      <c r="AE862" s="23">
        <f t="shared" si="1750"/>
        <v>44</v>
      </c>
    </row>
    <row r="863" spans="1:31">
      <c r="A863" s="4">
        <v>12103</v>
      </c>
      <c r="B863" s="4">
        <v>22</v>
      </c>
      <c r="C863" s="29" t="s">
        <v>67</v>
      </c>
      <c r="D863" s="44">
        <f t="shared" si="1656"/>
        <v>762</v>
      </c>
      <c r="E863" s="28">
        <v>0</v>
      </c>
      <c r="F863" s="28">
        <v>0</v>
      </c>
      <c r="G863" s="28">
        <v>0</v>
      </c>
      <c r="H863" s="47">
        <v>0</v>
      </c>
      <c r="I863" s="21">
        <f t="shared" si="1622"/>
        <v>330</v>
      </c>
      <c r="J863" s="21">
        <f t="shared" si="1710"/>
        <v>21</v>
      </c>
      <c r="K863" s="21">
        <v>0</v>
      </c>
      <c r="L863" s="20">
        <v>6</v>
      </c>
      <c r="M863" s="20">
        <v>0</v>
      </c>
      <c r="N863" s="20">
        <f t="shared" si="1623"/>
        <v>8800</v>
      </c>
      <c r="O863" s="19" t="s">
        <v>67</v>
      </c>
      <c r="P863" s="20">
        <v>9100</v>
      </c>
      <c r="Q863" s="20">
        <f t="shared" ref="Q863:X863" si="1751">Q833</f>
        <v>880</v>
      </c>
      <c r="R863" s="20">
        <f t="shared" si="1751"/>
        <v>3520</v>
      </c>
      <c r="S863" s="20">
        <f t="shared" si="1751"/>
        <v>6160</v>
      </c>
      <c r="T863" s="20">
        <f t="shared" si="1751"/>
        <v>7920</v>
      </c>
      <c r="U863" s="20">
        <f t="shared" si="1751"/>
        <v>100</v>
      </c>
      <c r="V863" s="20">
        <f t="shared" si="1751"/>
        <v>600</v>
      </c>
      <c r="W863" s="20">
        <f t="shared" si="1751"/>
        <v>700</v>
      </c>
      <c r="X863" s="20">
        <f t="shared" si="1751"/>
        <v>6</v>
      </c>
      <c r="Y863" s="20">
        <f t="shared" si="1658"/>
        <v>0</v>
      </c>
      <c r="Z863" s="30">
        <v>0</v>
      </c>
      <c r="AA863" s="27">
        <v>0</v>
      </c>
      <c r="AB863" s="27">
        <v>0</v>
      </c>
      <c r="AC863" s="27">
        <v>0</v>
      </c>
      <c r="AD863" s="23">
        <f t="shared" ref="AD863:AE863" si="1752">AD833</f>
        <v>42</v>
      </c>
      <c r="AE863" s="23">
        <f t="shared" si="1752"/>
        <v>46</v>
      </c>
    </row>
    <row r="864" spans="1:31">
      <c r="A864" s="4">
        <v>12103</v>
      </c>
      <c r="B864" s="4">
        <v>23</v>
      </c>
      <c r="C864" s="29" t="s">
        <v>68</v>
      </c>
      <c r="D864" s="44">
        <f t="shared" si="1656"/>
        <v>826</v>
      </c>
      <c r="E864" s="28">
        <v>0</v>
      </c>
      <c r="F864" s="28">
        <v>0</v>
      </c>
      <c r="G864" s="28">
        <v>0</v>
      </c>
      <c r="H864" s="47">
        <v>0</v>
      </c>
      <c r="I864" s="21">
        <f t="shared" si="1622"/>
        <v>330</v>
      </c>
      <c r="J864" s="21">
        <f t="shared" si="1710"/>
        <v>22</v>
      </c>
      <c r="K864" s="21">
        <v>0</v>
      </c>
      <c r="L864" s="20">
        <v>6</v>
      </c>
      <c r="M864" s="20">
        <v>0</v>
      </c>
      <c r="N864" s="20">
        <f t="shared" si="1623"/>
        <v>9200</v>
      </c>
      <c r="O864" s="19" t="s">
        <v>68</v>
      </c>
      <c r="P864" s="20">
        <v>8600</v>
      </c>
      <c r="Q864" s="20">
        <f t="shared" ref="Q864:X864" si="1753">Q834</f>
        <v>920</v>
      </c>
      <c r="R864" s="20">
        <f t="shared" si="1753"/>
        <v>3680</v>
      </c>
      <c r="S864" s="20">
        <f t="shared" si="1753"/>
        <v>6440</v>
      </c>
      <c r="T864" s="20">
        <f t="shared" si="1753"/>
        <v>8280</v>
      </c>
      <c r="U864" s="20">
        <f t="shared" si="1753"/>
        <v>100</v>
      </c>
      <c r="V864" s="20">
        <f t="shared" si="1753"/>
        <v>550</v>
      </c>
      <c r="W864" s="20">
        <f t="shared" si="1753"/>
        <v>500</v>
      </c>
      <c r="X864" s="20">
        <f t="shared" si="1753"/>
        <v>6</v>
      </c>
      <c r="Y864" s="20">
        <f t="shared" si="1658"/>
        <v>194</v>
      </c>
      <c r="Z864" s="30">
        <v>0</v>
      </c>
      <c r="AA864" s="27">
        <v>0</v>
      </c>
      <c r="AB864" s="27">
        <v>0</v>
      </c>
      <c r="AC864" s="27">
        <v>0</v>
      </c>
      <c r="AD864" s="23">
        <f t="shared" ref="AD864:AE864" si="1754">AD834</f>
        <v>44</v>
      </c>
      <c r="AE864" s="23">
        <f t="shared" si="1754"/>
        <v>48</v>
      </c>
    </row>
    <row r="865" spans="1:31">
      <c r="A865" s="4">
        <v>12103</v>
      </c>
      <c r="B865" s="4">
        <v>24</v>
      </c>
      <c r="C865" s="29" t="s">
        <v>69</v>
      </c>
      <c r="D865" s="44">
        <f t="shared" si="1656"/>
        <v>894</v>
      </c>
      <c r="E865" s="28">
        <v>0</v>
      </c>
      <c r="F865" s="28">
        <v>0</v>
      </c>
      <c r="G865" s="28">
        <v>0</v>
      </c>
      <c r="H865" s="47">
        <v>0</v>
      </c>
      <c r="I865" s="21">
        <f t="shared" ref="I865:I928" si="1755">I835</f>
        <v>330</v>
      </c>
      <c r="J865" s="21">
        <f t="shared" si="1710"/>
        <v>23</v>
      </c>
      <c r="K865" s="21">
        <v>0</v>
      </c>
      <c r="L865" s="20">
        <v>6</v>
      </c>
      <c r="M865" s="20">
        <v>0</v>
      </c>
      <c r="N865" s="20">
        <f t="shared" ref="N865:N928" si="1756">N835</f>
        <v>9600</v>
      </c>
      <c r="O865" s="19" t="s">
        <v>69</v>
      </c>
      <c r="P865" s="20">
        <v>6400</v>
      </c>
      <c r="Q865" s="20">
        <f t="shared" ref="Q865:X865" si="1757">Q835</f>
        <v>960</v>
      </c>
      <c r="R865" s="20">
        <f t="shared" si="1757"/>
        <v>3840</v>
      </c>
      <c r="S865" s="20">
        <f t="shared" si="1757"/>
        <v>6720</v>
      </c>
      <c r="T865" s="20">
        <f t="shared" si="1757"/>
        <v>8640</v>
      </c>
      <c r="U865" s="20">
        <f t="shared" si="1757"/>
        <v>100</v>
      </c>
      <c r="V865" s="20">
        <f t="shared" si="1757"/>
        <v>500</v>
      </c>
      <c r="W865" s="20">
        <f t="shared" si="1757"/>
        <v>900</v>
      </c>
      <c r="X865" s="20">
        <f t="shared" si="1757"/>
        <v>6</v>
      </c>
      <c r="Y865" s="20">
        <f t="shared" si="1658"/>
        <v>0</v>
      </c>
      <c r="Z865" s="30">
        <v>0</v>
      </c>
      <c r="AA865" s="27">
        <v>0</v>
      </c>
      <c r="AB865" s="27">
        <v>0</v>
      </c>
      <c r="AC865" s="27">
        <v>0</v>
      </c>
      <c r="AD865" s="23">
        <f t="shared" ref="AD865:AE865" si="1758">AD835</f>
        <v>46</v>
      </c>
      <c r="AE865" s="23">
        <f t="shared" si="1758"/>
        <v>50</v>
      </c>
    </row>
    <row r="866" spans="1:31">
      <c r="A866" s="8">
        <v>12103</v>
      </c>
      <c r="B866" s="8">
        <v>25</v>
      </c>
      <c r="C866" s="29" t="s">
        <v>70</v>
      </c>
      <c r="D866" s="44">
        <f t="shared" si="1656"/>
        <v>968</v>
      </c>
      <c r="E866" s="28">
        <v>0</v>
      </c>
      <c r="F866" s="28">
        <v>0</v>
      </c>
      <c r="G866" s="28">
        <v>0</v>
      </c>
      <c r="H866" s="47">
        <v>0</v>
      </c>
      <c r="I866" s="21">
        <f t="shared" si="1755"/>
        <v>385</v>
      </c>
      <c r="J866" s="21">
        <f t="shared" si="1710"/>
        <v>24</v>
      </c>
      <c r="K866" s="21">
        <v>0</v>
      </c>
      <c r="L866" s="20">
        <v>6</v>
      </c>
      <c r="M866" s="20">
        <v>0</v>
      </c>
      <c r="N866" s="20">
        <f t="shared" si="1756"/>
        <v>12500</v>
      </c>
      <c r="O866" s="19" t="s">
        <v>70</v>
      </c>
      <c r="P866" s="20">
        <v>3100</v>
      </c>
      <c r="Q866" s="20">
        <f t="shared" ref="Q866:X866" si="1759">Q836</f>
        <v>1250</v>
      </c>
      <c r="R866" s="20">
        <f t="shared" si="1759"/>
        <v>5000</v>
      </c>
      <c r="S866" s="20">
        <f t="shared" si="1759"/>
        <v>8750</v>
      </c>
      <c r="T866" s="20">
        <f t="shared" si="1759"/>
        <v>11250</v>
      </c>
      <c r="U866" s="20">
        <f t="shared" si="1759"/>
        <v>10</v>
      </c>
      <c r="V866" s="20">
        <f t="shared" si="1759"/>
        <v>1300</v>
      </c>
      <c r="W866" s="20">
        <f t="shared" si="1759"/>
        <v>1000</v>
      </c>
      <c r="X866" s="20">
        <f t="shared" si="1759"/>
        <v>7</v>
      </c>
      <c r="Y866" s="20">
        <f t="shared" si="1658"/>
        <v>0</v>
      </c>
      <c r="Z866" s="30">
        <v>0</v>
      </c>
      <c r="AA866" s="27">
        <v>0</v>
      </c>
      <c r="AB866" s="27">
        <v>0</v>
      </c>
      <c r="AC866" s="27">
        <v>0</v>
      </c>
      <c r="AD866" s="23">
        <f t="shared" ref="AD866:AE866" si="1760">AD836</f>
        <v>48</v>
      </c>
      <c r="AE866" s="23">
        <f t="shared" si="1760"/>
        <v>52</v>
      </c>
    </row>
    <row r="867" spans="1:31">
      <c r="A867" s="4">
        <v>12103</v>
      </c>
      <c r="B867" s="4">
        <v>26</v>
      </c>
      <c r="C867" s="29" t="s">
        <v>71</v>
      </c>
      <c r="D867" s="44">
        <f t="shared" si="1656"/>
        <v>1048</v>
      </c>
      <c r="E867" s="28">
        <v>0</v>
      </c>
      <c r="F867" s="28">
        <v>0</v>
      </c>
      <c r="G867" s="28">
        <v>0</v>
      </c>
      <c r="H867" s="47">
        <v>0</v>
      </c>
      <c r="I867" s="21">
        <f t="shared" si="1755"/>
        <v>385</v>
      </c>
      <c r="J867" s="21">
        <f t="shared" si="1710"/>
        <v>25</v>
      </c>
      <c r="K867" s="21">
        <v>0</v>
      </c>
      <c r="L867" s="20">
        <v>6</v>
      </c>
      <c r="M867" s="20">
        <v>0</v>
      </c>
      <c r="N867" s="20">
        <f t="shared" si="1756"/>
        <v>13000</v>
      </c>
      <c r="O867" s="19" t="s">
        <v>71</v>
      </c>
      <c r="P867" s="20">
        <v>1777</v>
      </c>
      <c r="Q867" s="20">
        <f t="shared" ref="Q867:X867" si="1761">Q837</f>
        <v>1300</v>
      </c>
      <c r="R867" s="20">
        <f t="shared" si="1761"/>
        <v>5200</v>
      </c>
      <c r="S867" s="20">
        <f t="shared" si="1761"/>
        <v>9100</v>
      </c>
      <c r="T867" s="20">
        <f t="shared" si="1761"/>
        <v>11700</v>
      </c>
      <c r="U867" s="20">
        <f t="shared" si="1761"/>
        <v>90</v>
      </c>
      <c r="V867" s="20">
        <f t="shared" si="1761"/>
        <v>800</v>
      </c>
      <c r="W867" s="20">
        <f t="shared" si="1761"/>
        <v>2000</v>
      </c>
      <c r="X867" s="20">
        <f t="shared" si="1761"/>
        <v>7</v>
      </c>
      <c r="Y867" s="20">
        <f t="shared" si="1658"/>
        <v>0</v>
      </c>
      <c r="Z867" s="30">
        <v>0</v>
      </c>
      <c r="AA867" s="27">
        <v>0</v>
      </c>
      <c r="AB867" s="27">
        <v>0</v>
      </c>
      <c r="AC867" s="27">
        <v>0</v>
      </c>
      <c r="AD867" s="23">
        <f t="shared" ref="AD867:AE867" si="1762">AD837</f>
        <v>50</v>
      </c>
      <c r="AE867" s="23">
        <f t="shared" si="1762"/>
        <v>54</v>
      </c>
    </row>
    <row r="868" spans="1:31">
      <c r="A868" s="4">
        <v>12103</v>
      </c>
      <c r="B868" s="4">
        <v>27</v>
      </c>
      <c r="C868" s="29" t="s">
        <v>72</v>
      </c>
      <c r="D868" s="44">
        <f t="shared" si="1656"/>
        <v>1134</v>
      </c>
      <c r="E868" s="28">
        <v>0</v>
      </c>
      <c r="F868" s="28">
        <v>0</v>
      </c>
      <c r="G868" s="28">
        <v>0</v>
      </c>
      <c r="H868" s="47">
        <v>0</v>
      </c>
      <c r="I868" s="21">
        <f t="shared" si="1755"/>
        <v>385</v>
      </c>
      <c r="J868" s="21">
        <f t="shared" si="1710"/>
        <v>26</v>
      </c>
      <c r="K868" s="21">
        <v>0</v>
      </c>
      <c r="L868" s="20">
        <v>6</v>
      </c>
      <c r="M868" s="20">
        <v>0</v>
      </c>
      <c r="N868" s="20">
        <f t="shared" si="1756"/>
        <v>13500</v>
      </c>
      <c r="O868" s="19" t="s">
        <v>72</v>
      </c>
      <c r="P868" s="20">
        <v>2332</v>
      </c>
      <c r="Q868" s="20">
        <f t="shared" ref="Q868:X868" si="1763">Q838</f>
        <v>1350</v>
      </c>
      <c r="R868" s="20">
        <f t="shared" si="1763"/>
        <v>5400</v>
      </c>
      <c r="S868" s="20">
        <f t="shared" si="1763"/>
        <v>9450</v>
      </c>
      <c r="T868" s="20">
        <f t="shared" si="1763"/>
        <v>12150</v>
      </c>
      <c r="U868" s="20">
        <f t="shared" si="1763"/>
        <v>80</v>
      </c>
      <c r="V868" s="20">
        <f t="shared" si="1763"/>
        <v>700</v>
      </c>
      <c r="W868" s="20">
        <f t="shared" si="1763"/>
        <v>800</v>
      </c>
      <c r="X868" s="20">
        <f t="shared" si="1763"/>
        <v>7</v>
      </c>
      <c r="Y868" s="20">
        <f t="shared" si="1658"/>
        <v>0</v>
      </c>
      <c r="Z868" s="30">
        <v>0</v>
      </c>
      <c r="AA868" s="27">
        <v>0</v>
      </c>
      <c r="AB868" s="27">
        <v>0</v>
      </c>
      <c r="AC868" s="27">
        <v>0</v>
      </c>
      <c r="AD868" s="23">
        <f t="shared" ref="AD868:AE868" si="1764">AD838</f>
        <v>52</v>
      </c>
      <c r="AE868" s="23">
        <f t="shared" si="1764"/>
        <v>56</v>
      </c>
    </row>
    <row r="869" spans="1:31">
      <c r="A869" s="4">
        <v>12103</v>
      </c>
      <c r="B869" s="4">
        <v>28</v>
      </c>
      <c r="C869" s="29" t="s">
        <v>73</v>
      </c>
      <c r="D869" s="44">
        <f t="shared" si="1656"/>
        <v>1228</v>
      </c>
      <c r="E869" s="28">
        <v>0</v>
      </c>
      <c r="F869" s="28">
        <v>0</v>
      </c>
      <c r="G869" s="28">
        <v>0</v>
      </c>
      <c r="H869" s="47">
        <v>0</v>
      </c>
      <c r="I869" s="21">
        <f t="shared" si="1755"/>
        <v>385</v>
      </c>
      <c r="J869" s="21">
        <f t="shared" si="1710"/>
        <v>27</v>
      </c>
      <c r="K869" s="21">
        <v>0</v>
      </c>
      <c r="L869" s="20">
        <v>6</v>
      </c>
      <c r="M869" s="20">
        <v>0</v>
      </c>
      <c r="N869" s="20">
        <f t="shared" si="1756"/>
        <v>14000</v>
      </c>
      <c r="O869" s="19" t="s">
        <v>73</v>
      </c>
      <c r="P869" s="20">
        <v>1487</v>
      </c>
      <c r="Q869" s="20">
        <f t="shared" ref="Q869:X869" si="1765">Q839</f>
        <v>1400</v>
      </c>
      <c r="R869" s="20">
        <f t="shared" si="1765"/>
        <v>5600</v>
      </c>
      <c r="S869" s="20">
        <f t="shared" si="1765"/>
        <v>9800</v>
      </c>
      <c r="T869" s="20">
        <f t="shared" si="1765"/>
        <v>12600</v>
      </c>
      <c r="U869" s="20">
        <f t="shared" si="1765"/>
        <v>80</v>
      </c>
      <c r="V869" s="20">
        <f t="shared" si="1765"/>
        <v>500</v>
      </c>
      <c r="W869" s="20">
        <f t="shared" si="1765"/>
        <v>600</v>
      </c>
      <c r="X869" s="20">
        <f t="shared" si="1765"/>
        <v>7</v>
      </c>
      <c r="Y869" s="20">
        <f t="shared" si="1658"/>
        <v>243</v>
      </c>
      <c r="Z869" s="30">
        <v>0</v>
      </c>
      <c r="AA869" s="27">
        <v>0</v>
      </c>
      <c r="AB869" s="27">
        <v>0</v>
      </c>
      <c r="AC869" s="27">
        <v>0</v>
      </c>
      <c r="AD869" s="23">
        <f t="shared" ref="AD869:AE869" si="1766">AD839</f>
        <v>54</v>
      </c>
      <c r="AE869" s="23">
        <f t="shared" si="1766"/>
        <v>58</v>
      </c>
    </row>
    <row r="870" spans="1:31">
      <c r="A870" s="4">
        <v>12103</v>
      </c>
      <c r="B870" s="4">
        <v>29</v>
      </c>
      <c r="C870" s="29" t="s">
        <v>74</v>
      </c>
      <c r="D870" s="44">
        <f t="shared" si="1656"/>
        <v>1330</v>
      </c>
      <c r="E870" s="28">
        <v>0</v>
      </c>
      <c r="F870" s="28">
        <v>0</v>
      </c>
      <c r="G870" s="28">
        <v>0</v>
      </c>
      <c r="H870" s="47">
        <v>0</v>
      </c>
      <c r="I870" s="21">
        <f t="shared" si="1755"/>
        <v>440</v>
      </c>
      <c r="J870" s="21">
        <f t="shared" si="1710"/>
        <v>28</v>
      </c>
      <c r="K870" s="21">
        <v>0</v>
      </c>
      <c r="L870" s="20">
        <v>6</v>
      </c>
      <c r="M870" s="20">
        <v>0</v>
      </c>
      <c r="N870" s="20">
        <f t="shared" si="1756"/>
        <v>14500</v>
      </c>
      <c r="O870" s="19" t="s">
        <v>74</v>
      </c>
      <c r="P870" s="20">
        <v>1518</v>
      </c>
      <c r="Q870" s="20">
        <f t="shared" ref="Q870:X870" si="1767">Q840</f>
        <v>1450</v>
      </c>
      <c r="R870" s="20">
        <f t="shared" si="1767"/>
        <v>5800</v>
      </c>
      <c r="S870" s="20">
        <f t="shared" si="1767"/>
        <v>10150</v>
      </c>
      <c r="T870" s="20">
        <f t="shared" si="1767"/>
        <v>13050</v>
      </c>
      <c r="U870" s="20">
        <f t="shared" si="1767"/>
        <v>80</v>
      </c>
      <c r="V870" s="20">
        <f t="shared" si="1767"/>
        <v>600</v>
      </c>
      <c r="W870" s="20">
        <f t="shared" si="1767"/>
        <v>700</v>
      </c>
      <c r="X870" s="20">
        <f t="shared" si="1767"/>
        <v>8</v>
      </c>
      <c r="Y870" s="20">
        <f t="shared" si="1658"/>
        <v>0</v>
      </c>
      <c r="Z870" s="30">
        <v>0</v>
      </c>
      <c r="AA870" s="27">
        <v>0</v>
      </c>
      <c r="AB870" s="27">
        <v>0</v>
      </c>
      <c r="AC870" s="27">
        <v>0</v>
      </c>
      <c r="AD870" s="23">
        <f t="shared" ref="AD870:AE870" si="1768">AD840</f>
        <v>56</v>
      </c>
      <c r="AE870" s="23">
        <f t="shared" si="1768"/>
        <v>60</v>
      </c>
    </row>
    <row r="871" spans="1:31">
      <c r="A871" s="4">
        <v>12103</v>
      </c>
      <c r="B871" s="4">
        <v>30</v>
      </c>
      <c r="C871" s="29" t="s">
        <v>75</v>
      </c>
      <c r="D871" s="44">
        <f t="shared" si="1656"/>
        <v>1440</v>
      </c>
      <c r="E871" s="28">
        <v>0</v>
      </c>
      <c r="F871" s="28">
        <v>0</v>
      </c>
      <c r="G871" s="28">
        <v>0</v>
      </c>
      <c r="H871" s="47">
        <v>0</v>
      </c>
      <c r="I871" s="21">
        <f t="shared" si="1755"/>
        <v>440</v>
      </c>
      <c r="J871" s="21">
        <f t="shared" si="1710"/>
        <v>29</v>
      </c>
      <c r="K871" s="21">
        <v>0</v>
      </c>
      <c r="L871" s="20">
        <v>6</v>
      </c>
      <c r="M871" s="20">
        <v>0</v>
      </c>
      <c r="N871" s="20">
        <f t="shared" si="1756"/>
        <v>15000</v>
      </c>
      <c r="O871" s="19" t="s">
        <v>75</v>
      </c>
      <c r="P871" s="20">
        <v>861</v>
      </c>
      <c r="Q871" s="20">
        <f t="shared" ref="Q871:X871" si="1769">Q841</f>
        <v>1500</v>
      </c>
      <c r="R871" s="20">
        <f t="shared" si="1769"/>
        <v>6000</v>
      </c>
      <c r="S871" s="20">
        <f t="shared" si="1769"/>
        <v>10500</v>
      </c>
      <c r="T871" s="20">
        <f t="shared" si="1769"/>
        <v>13500</v>
      </c>
      <c r="U871" s="20">
        <f t="shared" si="1769"/>
        <v>20</v>
      </c>
      <c r="V871" s="20">
        <f t="shared" si="1769"/>
        <v>450</v>
      </c>
      <c r="W871" s="20">
        <f t="shared" si="1769"/>
        <v>1000</v>
      </c>
      <c r="X871" s="20">
        <f t="shared" si="1769"/>
        <v>8</v>
      </c>
      <c r="Y871" s="20">
        <f t="shared" si="1658"/>
        <v>0</v>
      </c>
      <c r="Z871" s="30">
        <v>0</v>
      </c>
      <c r="AA871" s="27">
        <v>0</v>
      </c>
      <c r="AB871" s="27">
        <v>0</v>
      </c>
      <c r="AC871" s="27">
        <v>0</v>
      </c>
      <c r="AD871" s="23">
        <f t="shared" ref="AD871:AE871" si="1770">AD841</f>
        <v>58</v>
      </c>
      <c r="AE871" s="23">
        <f t="shared" si="1770"/>
        <v>62</v>
      </c>
    </row>
    <row r="872" spans="1:31">
      <c r="A872" s="4">
        <v>12104</v>
      </c>
      <c r="B872" s="4">
        <v>1</v>
      </c>
      <c r="C872" s="19" t="s">
        <v>66</v>
      </c>
      <c r="D872" s="44">
        <f t="shared" si="1656"/>
        <v>162</v>
      </c>
      <c r="E872" s="18">
        <v>0</v>
      </c>
      <c r="F872" s="18">
        <v>0</v>
      </c>
      <c r="G872" s="18">
        <v>0</v>
      </c>
      <c r="H872" s="45">
        <v>0</v>
      </c>
      <c r="I872" s="21">
        <f t="shared" si="1755"/>
        <v>55</v>
      </c>
      <c r="J872" s="21">
        <f t="shared" si="1710"/>
        <v>0</v>
      </c>
      <c r="K872" s="21">
        <v>0</v>
      </c>
      <c r="L872" s="20">
        <v>45</v>
      </c>
      <c r="M872" s="20">
        <v>0</v>
      </c>
      <c r="N872" s="20">
        <f t="shared" si="1756"/>
        <v>10</v>
      </c>
      <c r="O872" s="19" t="s">
        <v>66</v>
      </c>
      <c r="P872" s="20">
        <v>9400</v>
      </c>
      <c r="Q872" s="20">
        <f t="shared" ref="Q872:X872" si="1771">Q842</f>
        <v>1</v>
      </c>
      <c r="R872" s="20">
        <f t="shared" si="1771"/>
        <v>4</v>
      </c>
      <c r="S872" s="20">
        <f t="shared" si="1771"/>
        <v>7</v>
      </c>
      <c r="T872" s="20">
        <f t="shared" si="1771"/>
        <v>9</v>
      </c>
      <c r="U872" s="20">
        <f t="shared" si="1771"/>
        <v>9400</v>
      </c>
      <c r="V872" s="20">
        <f t="shared" si="1771"/>
        <v>9400</v>
      </c>
      <c r="W872" s="20">
        <f t="shared" si="1771"/>
        <v>9400</v>
      </c>
      <c r="X872" s="20">
        <f t="shared" si="1771"/>
        <v>1</v>
      </c>
      <c r="Y872" s="20">
        <f t="shared" si="1658"/>
        <v>0</v>
      </c>
      <c r="Z872" s="22">
        <v>0</v>
      </c>
      <c r="AA872" s="20">
        <v>0</v>
      </c>
      <c r="AB872" s="20">
        <v>0</v>
      </c>
      <c r="AC872" s="20">
        <v>0</v>
      </c>
      <c r="AD872" s="23">
        <f t="shared" ref="AD872:AE872" si="1772">AD842</f>
        <v>1</v>
      </c>
      <c r="AE872" s="23">
        <f t="shared" si="1772"/>
        <v>3</v>
      </c>
    </row>
    <row r="873" spans="1:31">
      <c r="A873" s="4">
        <v>12104</v>
      </c>
      <c r="B873" s="4">
        <v>2</v>
      </c>
      <c r="C873" s="19" t="s">
        <v>67</v>
      </c>
      <c r="D873" s="44">
        <f t="shared" si="1656"/>
        <v>176</v>
      </c>
      <c r="E873" s="18">
        <v>0</v>
      </c>
      <c r="F873" s="18">
        <v>0</v>
      </c>
      <c r="G873" s="18">
        <v>0</v>
      </c>
      <c r="H873" s="45">
        <v>0</v>
      </c>
      <c r="I873" s="21">
        <f t="shared" si="1755"/>
        <v>55</v>
      </c>
      <c r="J873" s="21">
        <f t="shared" si="1710"/>
        <v>1</v>
      </c>
      <c r="K873" s="21">
        <v>0</v>
      </c>
      <c r="L873" s="20">
        <v>40</v>
      </c>
      <c r="M873" s="20">
        <v>0</v>
      </c>
      <c r="N873" s="20">
        <f t="shared" si="1756"/>
        <v>20</v>
      </c>
      <c r="O873" s="19" t="s">
        <v>67</v>
      </c>
      <c r="P873" s="20">
        <v>9100</v>
      </c>
      <c r="Q873" s="20">
        <f t="shared" ref="Q873:X873" si="1773">Q843</f>
        <v>2</v>
      </c>
      <c r="R873" s="20">
        <f t="shared" si="1773"/>
        <v>8</v>
      </c>
      <c r="S873" s="20">
        <f t="shared" si="1773"/>
        <v>14</v>
      </c>
      <c r="T873" s="20">
        <f t="shared" si="1773"/>
        <v>18</v>
      </c>
      <c r="U873" s="20">
        <f t="shared" si="1773"/>
        <v>4000</v>
      </c>
      <c r="V873" s="20">
        <f t="shared" si="1773"/>
        <v>8000</v>
      </c>
      <c r="W873" s="20">
        <f t="shared" si="1773"/>
        <v>8000</v>
      </c>
      <c r="X873" s="20">
        <f t="shared" si="1773"/>
        <v>1</v>
      </c>
      <c r="Y873" s="20">
        <f t="shared" si="1658"/>
        <v>0</v>
      </c>
      <c r="Z873" s="22">
        <v>0</v>
      </c>
      <c r="AA873" s="20">
        <v>0</v>
      </c>
      <c r="AB873" s="20">
        <v>0</v>
      </c>
      <c r="AC873" s="20">
        <v>0</v>
      </c>
      <c r="AD873" s="23">
        <f t="shared" ref="AD873:AE873" si="1774">AD843</f>
        <v>2</v>
      </c>
      <c r="AE873" s="23">
        <f t="shared" si="1774"/>
        <v>5</v>
      </c>
    </row>
    <row r="874" spans="1:31">
      <c r="A874" s="4">
        <v>12104</v>
      </c>
      <c r="B874" s="4">
        <v>3</v>
      </c>
      <c r="C874" s="19" t="s">
        <v>68</v>
      </c>
      <c r="D874" s="44">
        <f t="shared" si="1656"/>
        <v>189</v>
      </c>
      <c r="E874" s="18">
        <v>0</v>
      </c>
      <c r="F874" s="18">
        <v>0</v>
      </c>
      <c r="G874" s="18">
        <v>0</v>
      </c>
      <c r="H874" s="45">
        <v>0</v>
      </c>
      <c r="I874" s="21">
        <f t="shared" si="1755"/>
        <v>55</v>
      </c>
      <c r="J874" s="21">
        <f t="shared" si="1710"/>
        <v>2</v>
      </c>
      <c r="K874" s="21">
        <v>0</v>
      </c>
      <c r="L874" s="20">
        <v>35</v>
      </c>
      <c r="M874" s="20">
        <v>0</v>
      </c>
      <c r="N874" s="20">
        <f t="shared" si="1756"/>
        <v>40</v>
      </c>
      <c r="O874" s="19" t="s">
        <v>68</v>
      </c>
      <c r="P874" s="20">
        <v>8600</v>
      </c>
      <c r="Q874" s="20">
        <f t="shared" ref="Q874:X874" si="1775">Q844</f>
        <v>4</v>
      </c>
      <c r="R874" s="20">
        <f t="shared" si="1775"/>
        <v>16</v>
      </c>
      <c r="S874" s="20">
        <f t="shared" si="1775"/>
        <v>28</v>
      </c>
      <c r="T874" s="20">
        <f t="shared" si="1775"/>
        <v>36</v>
      </c>
      <c r="U874" s="20">
        <f t="shared" si="1775"/>
        <v>1600</v>
      </c>
      <c r="V874" s="20">
        <f t="shared" si="1775"/>
        <v>5000</v>
      </c>
      <c r="W874" s="20">
        <f t="shared" si="1775"/>
        <v>6000</v>
      </c>
      <c r="X874" s="20">
        <f t="shared" si="1775"/>
        <v>1</v>
      </c>
      <c r="Y874" s="20">
        <f t="shared" si="1658"/>
        <v>0</v>
      </c>
      <c r="Z874" s="22">
        <v>0</v>
      </c>
      <c r="AA874" s="20">
        <v>0</v>
      </c>
      <c r="AB874" s="20">
        <v>0</v>
      </c>
      <c r="AC874" s="20">
        <v>0</v>
      </c>
      <c r="AD874" s="23">
        <f t="shared" ref="AD874:AE874" si="1776">AD844</f>
        <v>4</v>
      </c>
      <c r="AE874" s="23">
        <f t="shared" si="1776"/>
        <v>8</v>
      </c>
    </row>
    <row r="875" spans="1:31">
      <c r="A875" s="4">
        <v>12104</v>
      </c>
      <c r="B875" s="4">
        <v>4</v>
      </c>
      <c r="C875" s="19" t="s">
        <v>69</v>
      </c>
      <c r="D875" s="44">
        <f t="shared" si="1656"/>
        <v>205</v>
      </c>
      <c r="E875" s="18">
        <v>0</v>
      </c>
      <c r="F875" s="18">
        <v>0</v>
      </c>
      <c r="G875" s="18">
        <v>0</v>
      </c>
      <c r="H875" s="45">
        <v>0</v>
      </c>
      <c r="I875" s="21">
        <f t="shared" si="1755"/>
        <v>55</v>
      </c>
      <c r="J875" s="21">
        <f t="shared" si="1710"/>
        <v>3</v>
      </c>
      <c r="K875" s="21">
        <v>0</v>
      </c>
      <c r="L875" s="20">
        <v>30</v>
      </c>
      <c r="M875" s="20">
        <v>0</v>
      </c>
      <c r="N875" s="20">
        <f t="shared" si="1756"/>
        <v>100</v>
      </c>
      <c r="O875" s="19" t="s">
        <v>69</v>
      </c>
      <c r="P875" s="20">
        <v>6400</v>
      </c>
      <c r="Q875" s="20">
        <f t="shared" ref="Q875:X875" si="1777">Q845</f>
        <v>10</v>
      </c>
      <c r="R875" s="20">
        <f t="shared" si="1777"/>
        <v>40</v>
      </c>
      <c r="S875" s="20">
        <f t="shared" si="1777"/>
        <v>70</v>
      </c>
      <c r="T875" s="20">
        <f t="shared" si="1777"/>
        <v>90</v>
      </c>
      <c r="U875" s="20">
        <f t="shared" si="1777"/>
        <v>900</v>
      </c>
      <c r="V875" s="20">
        <f t="shared" si="1777"/>
        <v>2000</v>
      </c>
      <c r="W875" s="20">
        <f t="shared" si="1777"/>
        <v>8000</v>
      </c>
      <c r="X875" s="20">
        <f t="shared" si="1777"/>
        <v>1</v>
      </c>
      <c r="Y875" s="20">
        <f t="shared" si="1658"/>
        <v>0</v>
      </c>
      <c r="Z875" s="22">
        <v>0</v>
      </c>
      <c r="AA875" s="20">
        <v>0</v>
      </c>
      <c r="AB875" s="20">
        <v>0</v>
      </c>
      <c r="AC875" s="20">
        <v>0</v>
      </c>
      <c r="AD875" s="23">
        <f t="shared" ref="AD875:AE875" si="1778">AD845</f>
        <v>6</v>
      </c>
      <c r="AE875" s="23">
        <f t="shared" si="1778"/>
        <v>10</v>
      </c>
    </row>
    <row r="876" spans="1:31">
      <c r="A876" s="4">
        <v>12104</v>
      </c>
      <c r="B876" s="4">
        <v>5</v>
      </c>
      <c r="C876" s="19" t="s">
        <v>70</v>
      </c>
      <c r="D876" s="44">
        <f t="shared" si="1656"/>
        <v>223</v>
      </c>
      <c r="E876" s="18">
        <v>0</v>
      </c>
      <c r="F876" s="18">
        <v>0</v>
      </c>
      <c r="G876" s="18">
        <v>0</v>
      </c>
      <c r="H876" s="45">
        <v>0</v>
      </c>
      <c r="I876" s="21">
        <f t="shared" si="1755"/>
        <v>110</v>
      </c>
      <c r="J876" s="21">
        <f t="shared" si="1710"/>
        <v>4</v>
      </c>
      <c r="K876" s="21">
        <v>0</v>
      </c>
      <c r="L876" s="20">
        <v>25</v>
      </c>
      <c r="M876" s="20">
        <v>0</v>
      </c>
      <c r="N876" s="20">
        <f t="shared" si="1756"/>
        <v>200</v>
      </c>
      <c r="O876" s="19" t="s">
        <v>70</v>
      </c>
      <c r="P876" s="20">
        <v>3100</v>
      </c>
      <c r="Q876" s="20">
        <f t="shared" ref="Q876:X876" si="1779">Q846</f>
        <v>20</v>
      </c>
      <c r="R876" s="20">
        <f t="shared" si="1779"/>
        <v>80</v>
      </c>
      <c r="S876" s="20">
        <f t="shared" si="1779"/>
        <v>140</v>
      </c>
      <c r="T876" s="20">
        <f t="shared" si="1779"/>
        <v>180</v>
      </c>
      <c r="U876" s="20">
        <f t="shared" si="1779"/>
        <v>1000</v>
      </c>
      <c r="V876" s="20">
        <f t="shared" si="1779"/>
        <v>2000</v>
      </c>
      <c r="W876" s="20">
        <f t="shared" si="1779"/>
        <v>2000</v>
      </c>
      <c r="X876" s="20">
        <f t="shared" si="1779"/>
        <v>2</v>
      </c>
      <c r="Y876" s="20">
        <f t="shared" si="1658"/>
        <v>0</v>
      </c>
      <c r="Z876" s="22">
        <v>0</v>
      </c>
      <c r="AA876" s="20">
        <v>0</v>
      </c>
      <c r="AB876" s="20">
        <v>0</v>
      </c>
      <c r="AC876" s="20">
        <v>0</v>
      </c>
      <c r="AD876" s="23">
        <f t="shared" ref="AD876:AE876" si="1780">AD846</f>
        <v>8</v>
      </c>
      <c r="AE876" s="23">
        <f t="shared" si="1780"/>
        <v>12</v>
      </c>
    </row>
    <row r="877" spans="1:31">
      <c r="A877" s="4">
        <v>12104</v>
      </c>
      <c r="B877" s="4">
        <v>6</v>
      </c>
      <c r="C877" s="19" t="s">
        <v>71</v>
      </c>
      <c r="D877" s="44">
        <f t="shared" si="1656"/>
        <v>241</v>
      </c>
      <c r="E877" s="18">
        <v>0</v>
      </c>
      <c r="F877" s="18">
        <v>0</v>
      </c>
      <c r="G877" s="18">
        <v>0</v>
      </c>
      <c r="H877" s="45">
        <v>0</v>
      </c>
      <c r="I877" s="21">
        <f t="shared" si="1755"/>
        <v>110</v>
      </c>
      <c r="J877" s="21">
        <f t="shared" si="1710"/>
        <v>5</v>
      </c>
      <c r="K877" s="21">
        <v>0</v>
      </c>
      <c r="L877" s="20">
        <v>20</v>
      </c>
      <c r="M877" s="20">
        <v>0</v>
      </c>
      <c r="N877" s="20">
        <f t="shared" si="1756"/>
        <v>500</v>
      </c>
      <c r="O877" s="19" t="s">
        <v>71</v>
      </c>
      <c r="P877" s="20">
        <v>1777</v>
      </c>
      <c r="Q877" s="20">
        <f t="shared" ref="Q877:X877" si="1781">Q847</f>
        <v>50</v>
      </c>
      <c r="R877" s="20">
        <f t="shared" si="1781"/>
        <v>200</v>
      </c>
      <c r="S877" s="20">
        <f t="shared" si="1781"/>
        <v>350</v>
      </c>
      <c r="T877" s="20">
        <f t="shared" si="1781"/>
        <v>450</v>
      </c>
      <c r="U877" s="20">
        <f t="shared" si="1781"/>
        <v>800</v>
      </c>
      <c r="V877" s="20">
        <f t="shared" si="1781"/>
        <v>800</v>
      </c>
      <c r="W877" s="20">
        <f t="shared" si="1781"/>
        <v>600</v>
      </c>
      <c r="X877" s="20">
        <f t="shared" si="1781"/>
        <v>2</v>
      </c>
      <c r="Y877" s="20">
        <f t="shared" si="1658"/>
        <v>0</v>
      </c>
      <c r="Z877" s="22">
        <v>0</v>
      </c>
      <c r="AA877" s="20">
        <v>0</v>
      </c>
      <c r="AB877" s="20">
        <v>0</v>
      </c>
      <c r="AC877" s="20">
        <v>0</v>
      </c>
      <c r="AD877" s="23">
        <f t="shared" ref="AD877:AE877" si="1782">AD847</f>
        <v>10</v>
      </c>
      <c r="AE877" s="23">
        <f t="shared" si="1782"/>
        <v>14</v>
      </c>
    </row>
    <row r="878" spans="1:31">
      <c r="A878" s="8">
        <v>12104</v>
      </c>
      <c r="B878" s="8">
        <v>7</v>
      </c>
      <c r="C878" s="19" t="s">
        <v>72</v>
      </c>
      <c r="D878" s="44">
        <f t="shared" si="1656"/>
        <v>261</v>
      </c>
      <c r="E878" s="18">
        <v>0</v>
      </c>
      <c r="F878" s="18">
        <v>0</v>
      </c>
      <c r="G878" s="18">
        <v>0</v>
      </c>
      <c r="H878" s="45">
        <v>0</v>
      </c>
      <c r="I878" s="21">
        <f t="shared" si="1755"/>
        <v>110</v>
      </c>
      <c r="J878" s="21">
        <f t="shared" si="1710"/>
        <v>6</v>
      </c>
      <c r="K878" s="21">
        <v>0</v>
      </c>
      <c r="L878" s="20">
        <v>16</v>
      </c>
      <c r="M878" s="20">
        <v>0</v>
      </c>
      <c r="N878" s="20">
        <f t="shared" si="1756"/>
        <v>700</v>
      </c>
      <c r="O878" s="19" t="s">
        <v>72</v>
      </c>
      <c r="P878" s="20">
        <v>2332</v>
      </c>
      <c r="Q878" s="20">
        <f t="shared" ref="Q878:X878" si="1783">Q848</f>
        <v>70</v>
      </c>
      <c r="R878" s="20">
        <f t="shared" si="1783"/>
        <v>280</v>
      </c>
      <c r="S878" s="20">
        <f t="shared" si="1783"/>
        <v>489.99999999999994</v>
      </c>
      <c r="T878" s="20">
        <f t="shared" si="1783"/>
        <v>630</v>
      </c>
      <c r="U878" s="20">
        <f t="shared" si="1783"/>
        <v>650</v>
      </c>
      <c r="V878" s="20">
        <f t="shared" si="1783"/>
        <v>800</v>
      </c>
      <c r="W878" s="20">
        <f t="shared" si="1783"/>
        <v>300</v>
      </c>
      <c r="X878" s="20">
        <f t="shared" si="1783"/>
        <v>2</v>
      </c>
      <c r="Y878" s="20">
        <f t="shared" si="1658"/>
        <v>0</v>
      </c>
      <c r="Z878" s="22">
        <v>0</v>
      </c>
      <c r="AA878" s="20">
        <v>0</v>
      </c>
      <c r="AB878" s="20">
        <v>0</v>
      </c>
      <c r="AC878" s="20">
        <v>0</v>
      </c>
      <c r="AD878" s="23">
        <f t="shared" ref="AD878:AE878" si="1784">AD848</f>
        <v>12</v>
      </c>
      <c r="AE878" s="23">
        <f t="shared" si="1784"/>
        <v>16</v>
      </c>
    </row>
    <row r="879" spans="1:31">
      <c r="A879" s="4">
        <v>12104</v>
      </c>
      <c r="B879" s="4">
        <v>8</v>
      </c>
      <c r="C879" s="19" t="s">
        <v>73</v>
      </c>
      <c r="D879" s="44">
        <f t="shared" si="1656"/>
        <v>284</v>
      </c>
      <c r="E879" s="18">
        <v>0</v>
      </c>
      <c r="F879" s="18">
        <v>0</v>
      </c>
      <c r="G879" s="18">
        <v>0</v>
      </c>
      <c r="H879" s="45">
        <v>0</v>
      </c>
      <c r="I879" s="21">
        <f t="shared" si="1755"/>
        <v>110</v>
      </c>
      <c r="J879" s="21">
        <f t="shared" si="1710"/>
        <v>7</v>
      </c>
      <c r="K879" s="21">
        <v>0</v>
      </c>
      <c r="L879" s="20">
        <v>12</v>
      </c>
      <c r="M879" s="20">
        <v>0</v>
      </c>
      <c r="N879" s="20">
        <f t="shared" si="1756"/>
        <v>800</v>
      </c>
      <c r="O879" s="19" t="s">
        <v>73</v>
      </c>
      <c r="P879" s="20">
        <v>1487</v>
      </c>
      <c r="Q879" s="20">
        <f t="shared" ref="Q879:X879" si="1785">Q849</f>
        <v>80</v>
      </c>
      <c r="R879" s="20">
        <f t="shared" si="1785"/>
        <v>320</v>
      </c>
      <c r="S879" s="20">
        <f t="shared" si="1785"/>
        <v>560</v>
      </c>
      <c r="T879" s="20">
        <f t="shared" si="1785"/>
        <v>720</v>
      </c>
      <c r="U879" s="20">
        <f t="shared" si="1785"/>
        <v>200</v>
      </c>
      <c r="V879" s="20">
        <f t="shared" si="1785"/>
        <v>2000</v>
      </c>
      <c r="W879" s="20">
        <f t="shared" si="1785"/>
        <v>1000</v>
      </c>
      <c r="X879" s="20">
        <f t="shared" si="1785"/>
        <v>2</v>
      </c>
      <c r="Y879" s="20">
        <f t="shared" si="1658"/>
        <v>54</v>
      </c>
      <c r="Z879" s="22">
        <v>0</v>
      </c>
      <c r="AA879" s="20">
        <v>0</v>
      </c>
      <c r="AB879" s="20">
        <v>0</v>
      </c>
      <c r="AC879" s="20">
        <v>0</v>
      </c>
      <c r="AD879" s="23">
        <f t="shared" ref="AD879:AE879" si="1786">AD849</f>
        <v>14</v>
      </c>
      <c r="AE879" s="23">
        <f t="shared" si="1786"/>
        <v>18</v>
      </c>
    </row>
    <row r="880" spans="1:31">
      <c r="A880" s="4">
        <v>12104</v>
      </c>
      <c r="B880" s="4">
        <v>9</v>
      </c>
      <c r="C880" s="19" t="s">
        <v>74</v>
      </c>
      <c r="D880" s="44">
        <f t="shared" si="1656"/>
        <v>306</v>
      </c>
      <c r="E880" s="18">
        <v>0</v>
      </c>
      <c r="F880" s="18">
        <v>0</v>
      </c>
      <c r="G880" s="18">
        <v>0</v>
      </c>
      <c r="H880" s="45">
        <v>0</v>
      </c>
      <c r="I880" s="21">
        <f t="shared" si="1755"/>
        <v>165</v>
      </c>
      <c r="J880" s="21">
        <f t="shared" si="1710"/>
        <v>8</v>
      </c>
      <c r="K880" s="21">
        <v>0</v>
      </c>
      <c r="L880" s="20">
        <v>8</v>
      </c>
      <c r="M880" s="20">
        <v>0</v>
      </c>
      <c r="N880" s="20">
        <f t="shared" si="1756"/>
        <v>900</v>
      </c>
      <c r="O880" s="19" t="s">
        <v>74</v>
      </c>
      <c r="P880" s="20">
        <v>1518</v>
      </c>
      <c r="Q880" s="20">
        <f t="shared" ref="Q880:X880" si="1787">Q850</f>
        <v>90</v>
      </c>
      <c r="R880" s="20">
        <f t="shared" si="1787"/>
        <v>360</v>
      </c>
      <c r="S880" s="20">
        <f t="shared" si="1787"/>
        <v>630</v>
      </c>
      <c r="T880" s="20">
        <f t="shared" si="1787"/>
        <v>810</v>
      </c>
      <c r="U880" s="20">
        <f t="shared" si="1787"/>
        <v>120</v>
      </c>
      <c r="V880" s="20">
        <f t="shared" si="1787"/>
        <v>1500</v>
      </c>
      <c r="W880" s="20">
        <f t="shared" si="1787"/>
        <v>1000</v>
      </c>
      <c r="X880" s="20">
        <f t="shared" si="1787"/>
        <v>3</v>
      </c>
      <c r="Y880" s="20">
        <f t="shared" si="1658"/>
        <v>0</v>
      </c>
      <c r="Z880" s="22">
        <v>0</v>
      </c>
      <c r="AA880" s="20">
        <v>0</v>
      </c>
      <c r="AB880" s="20">
        <v>0</v>
      </c>
      <c r="AC880" s="20">
        <v>0</v>
      </c>
      <c r="AD880" s="23">
        <f t="shared" ref="AD880:AE880" si="1788">AD850</f>
        <v>16</v>
      </c>
      <c r="AE880" s="23">
        <f t="shared" si="1788"/>
        <v>20</v>
      </c>
    </row>
    <row r="881" spans="1:31">
      <c r="A881" s="4">
        <v>12104</v>
      </c>
      <c r="B881" s="4">
        <v>10</v>
      </c>
      <c r="C881" s="19" t="s">
        <v>75</v>
      </c>
      <c r="D881" s="44">
        <f t="shared" ref="D881:D901" si="1789">D581</f>
        <v>331</v>
      </c>
      <c r="E881" s="18">
        <v>0</v>
      </c>
      <c r="F881" s="18">
        <v>0</v>
      </c>
      <c r="G881" s="18">
        <v>0</v>
      </c>
      <c r="H881" s="45">
        <v>0</v>
      </c>
      <c r="I881" s="21">
        <f t="shared" si="1755"/>
        <v>165</v>
      </c>
      <c r="J881" s="21">
        <f t="shared" si="1710"/>
        <v>9</v>
      </c>
      <c r="K881" s="21">
        <v>0</v>
      </c>
      <c r="L881" s="20">
        <v>6</v>
      </c>
      <c r="M881" s="20">
        <v>0</v>
      </c>
      <c r="N881" s="20">
        <f t="shared" si="1756"/>
        <v>2000</v>
      </c>
      <c r="O881" s="19" t="s">
        <v>75</v>
      </c>
      <c r="P881" s="20">
        <v>861</v>
      </c>
      <c r="Q881" s="20">
        <f t="shared" ref="Q881:X881" si="1790">Q851</f>
        <v>200</v>
      </c>
      <c r="R881" s="20">
        <f t="shared" si="1790"/>
        <v>800</v>
      </c>
      <c r="S881" s="20">
        <f t="shared" si="1790"/>
        <v>1400</v>
      </c>
      <c r="T881" s="20">
        <f t="shared" si="1790"/>
        <v>1800</v>
      </c>
      <c r="U881" s="20">
        <f t="shared" si="1790"/>
        <v>150</v>
      </c>
      <c r="V881" s="20">
        <f t="shared" si="1790"/>
        <v>5000</v>
      </c>
      <c r="W881" s="20">
        <f t="shared" si="1790"/>
        <v>800</v>
      </c>
      <c r="X881" s="20">
        <f t="shared" si="1790"/>
        <v>3</v>
      </c>
      <c r="Y881" s="20">
        <f t="shared" ref="Y881:Y901" si="1791">INT(Y131*0.75)</f>
        <v>0</v>
      </c>
      <c r="Z881" s="22">
        <v>0</v>
      </c>
      <c r="AA881" s="20">
        <v>0</v>
      </c>
      <c r="AB881" s="20">
        <v>0</v>
      </c>
      <c r="AC881" s="20">
        <v>0</v>
      </c>
      <c r="AD881" s="23">
        <f t="shared" ref="AD881:AE881" si="1792">AD851</f>
        <v>18</v>
      </c>
      <c r="AE881" s="23">
        <f t="shared" si="1792"/>
        <v>22</v>
      </c>
    </row>
    <row r="882" spans="1:31">
      <c r="A882" s="4">
        <v>12104</v>
      </c>
      <c r="B882" s="4">
        <v>11</v>
      </c>
      <c r="C882" s="19" t="s">
        <v>66</v>
      </c>
      <c r="D882" s="44">
        <f t="shared" si="1789"/>
        <v>358</v>
      </c>
      <c r="E882" s="18">
        <v>0</v>
      </c>
      <c r="F882" s="18">
        <v>0</v>
      </c>
      <c r="G882" s="18">
        <v>0</v>
      </c>
      <c r="H882" s="45">
        <v>0</v>
      </c>
      <c r="I882" s="21">
        <f t="shared" si="1755"/>
        <v>165</v>
      </c>
      <c r="J882" s="21">
        <f t="shared" si="1710"/>
        <v>10</v>
      </c>
      <c r="K882" s="21">
        <v>0</v>
      </c>
      <c r="L882" s="20">
        <v>6</v>
      </c>
      <c r="M882" s="20">
        <v>0</v>
      </c>
      <c r="N882" s="20">
        <f t="shared" si="1756"/>
        <v>2200</v>
      </c>
      <c r="O882" s="19" t="s">
        <v>66</v>
      </c>
      <c r="P882" s="20">
        <v>9400</v>
      </c>
      <c r="Q882" s="20">
        <f t="shared" ref="Q882:X882" si="1793">Q852</f>
        <v>220</v>
      </c>
      <c r="R882" s="20">
        <f t="shared" si="1793"/>
        <v>880</v>
      </c>
      <c r="S882" s="20">
        <f t="shared" si="1793"/>
        <v>1540</v>
      </c>
      <c r="T882" s="20">
        <f t="shared" si="1793"/>
        <v>1980</v>
      </c>
      <c r="U882" s="20">
        <f t="shared" si="1793"/>
        <v>100</v>
      </c>
      <c r="V882" s="20">
        <f t="shared" si="1793"/>
        <v>800</v>
      </c>
      <c r="W882" s="20">
        <f t="shared" si="1793"/>
        <v>600</v>
      </c>
      <c r="X882" s="20">
        <f t="shared" si="1793"/>
        <v>3</v>
      </c>
      <c r="Y882" s="20">
        <f t="shared" si="1791"/>
        <v>0</v>
      </c>
      <c r="Z882" s="22">
        <v>0</v>
      </c>
      <c r="AA882" s="20">
        <v>0</v>
      </c>
      <c r="AB882" s="20">
        <v>0</v>
      </c>
      <c r="AC882" s="20">
        <v>0</v>
      </c>
      <c r="AD882" s="23">
        <f t="shared" ref="AD882:AE882" si="1794">AD852</f>
        <v>20</v>
      </c>
      <c r="AE882" s="23">
        <f t="shared" si="1794"/>
        <v>24</v>
      </c>
    </row>
    <row r="883" spans="1:31">
      <c r="A883" s="4">
        <v>12104</v>
      </c>
      <c r="B883" s="4">
        <v>12</v>
      </c>
      <c r="C883" s="19" t="s">
        <v>67</v>
      </c>
      <c r="D883" s="44">
        <f t="shared" si="1789"/>
        <v>387</v>
      </c>
      <c r="E883" s="18">
        <v>0</v>
      </c>
      <c r="F883" s="18">
        <v>0</v>
      </c>
      <c r="G883" s="18">
        <v>0</v>
      </c>
      <c r="H883" s="45">
        <v>0</v>
      </c>
      <c r="I883" s="21">
        <f t="shared" si="1755"/>
        <v>165</v>
      </c>
      <c r="J883" s="21">
        <f t="shared" si="1710"/>
        <v>11</v>
      </c>
      <c r="K883" s="21">
        <v>0</v>
      </c>
      <c r="L883" s="20">
        <v>6</v>
      </c>
      <c r="M883" s="20">
        <v>0</v>
      </c>
      <c r="N883" s="20">
        <f t="shared" si="1756"/>
        <v>2400</v>
      </c>
      <c r="O883" s="19" t="s">
        <v>67</v>
      </c>
      <c r="P883" s="20">
        <v>9100</v>
      </c>
      <c r="Q883" s="20">
        <f t="shared" ref="Q883:X883" si="1795">Q853</f>
        <v>240</v>
      </c>
      <c r="R883" s="20">
        <f t="shared" si="1795"/>
        <v>960</v>
      </c>
      <c r="S883" s="20">
        <f t="shared" si="1795"/>
        <v>1680</v>
      </c>
      <c r="T883" s="20">
        <f t="shared" si="1795"/>
        <v>2160</v>
      </c>
      <c r="U883" s="20">
        <f t="shared" si="1795"/>
        <v>150</v>
      </c>
      <c r="V883" s="20">
        <f t="shared" si="1795"/>
        <v>700</v>
      </c>
      <c r="W883" s="20">
        <f t="shared" si="1795"/>
        <v>900</v>
      </c>
      <c r="X883" s="20">
        <f t="shared" si="1795"/>
        <v>3</v>
      </c>
      <c r="Y883" s="20">
        <f t="shared" si="1791"/>
        <v>0</v>
      </c>
      <c r="Z883" s="22">
        <v>0</v>
      </c>
      <c r="AA883" s="20">
        <v>0</v>
      </c>
      <c r="AB883" s="20">
        <v>0</v>
      </c>
      <c r="AC883" s="20">
        <v>0</v>
      </c>
      <c r="AD883" s="23">
        <f t="shared" ref="AD883:AE883" si="1796">AD853</f>
        <v>22</v>
      </c>
      <c r="AE883" s="23">
        <f t="shared" si="1796"/>
        <v>26</v>
      </c>
    </row>
    <row r="884" spans="1:31">
      <c r="A884" s="4">
        <v>12104</v>
      </c>
      <c r="B884" s="4">
        <v>13</v>
      </c>
      <c r="C884" s="19" t="s">
        <v>68</v>
      </c>
      <c r="D884" s="44">
        <f t="shared" si="1789"/>
        <v>421</v>
      </c>
      <c r="E884" s="18">
        <v>0</v>
      </c>
      <c r="F884" s="18">
        <v>0</v>
      </c>
      <c r="G884" s="18">
        <v>0</v>
      </c>
      <c r="H884" s="45">
        <v>0</v>
      </c>
      <c r="I884" s="21">
        <f t="shared" si="1755"/>
        <v>220</v>
      </c>
      <c r="J884" s="21">
        <f t="shared" si="1710"/>
        <v>12</v>
      </c>
      <c r="K884" s="21">
        <v>0</v>
      </c>
      <c r="L884" s="20">
        <v>6</v>
      </c>
      <c r="M884" s="20">
        <v>0</v>
      </c>
      <c r="N884" s="20">
        <f t="shared" si="1756"/>
        <v>2600</v>
      </c>
      <c r="O884" s="19" t="s">
        <v>68</v>
      </c>
      <c r="P884" s="20">
        <v>8600</v>
      </c>
      <c r="Q884" s="20">
        <f t="shared" ref="Q884:X884" si="1797">Q854</f>
        <v>260</v>
      </c>
      <c r="R884" s="20">
        <f t="shared" si="1797"/>
        <v>1040</v>
      </c>
      <c r="S884" s="20">
        <f t="shared" si="1797"/>
        <v>1819.9999999999998</v>
      </c>
      <c r="T884" s="20">
        <f t="shared" si="1797"/>
        <v>2340</v>
      </c>
      <c r="U884" s="20">
        <f t="shared" si="1797"/>
        <v>100</v>
      </c>
      <c r="V884" s="20">
        <f t="shared" si="1797"/>
        <v>700</v>
      </c>
      <c r="W884" s="20">
        <f t="shared" si="1797"/>
        <v>1000</v>
      </c>
      <c r="X884" s="20">
        <f t="shared" si="1797"/>
        <v>4</v>
      </c>
      <c r="Y884" s="20">
        <f t="shared" si="1791"/>
        <v>108</v>
      </c>
      <c r="Z884" s="22">
        <v>0</v>
      </c>
      <c r="AA884" s="20">
        <v>0</v>
      </c>
      <c r="AB884" s="20">
        <v>0</v>
      </c>
      <c r="AC884" s="20">
        <v>0</v>
      </c>
      <c r="AD884" s="23">
        <f t="shared" ref="AD884:AE884" si="1798">AD854</f>
        <v>24</v>
      </c>
      <c r="AE884" s="23">
        <f t="shared" si="1798"/>
        <v>28</v>
      </c>
    </row>
    <row r="885" spans="1:31">
      <c r="A885" s="4">
        <v>12104</v>
      </c>
      <c r="B885" s="4">
        <v>14</v>
      </c>
      <c r="C885" s="19" t="s">
        <v>69</v>
      </c>
      <c r="D885" s="44">
        <f t="shared" si="1789"/>
        <v>455</v>
      </c>
      <c r="E885" s="18">
        <v>0</v>
      </c>
      <c r="F885" s="18">
        <v>0</v>
      </c>
      <c r="G885" s="18">
        <v>0</v>
      </c>
      <c r="H885" s="45">
        <v>0</v>
      </c>
      <c r="I885" s="21">
        <f t="shared" si="1755"/>
        <v>220</v>
      </c>
      <c r="J885" s="21">
        <f t="shared" si="1710"/>
        <v>13</v>
      </c>
      <c r="K885" s="21">
        <v>0</v>
      </c>
      <c r="L885" s="20">
        <v>6</v>
      </c>
      <c r="M885" s="20">
        <v>0</v>
      </c>
      <c r="N885" s="20">
        <f t="shared" si="1756"/>
        <v>2800</v>
      </c>
      <c r="O885" s="19" t="s">
        <v>69</v>
      </c>
      <c r="P885" s="20">
        <v>6400</v>
      </c>
      <c r="Q885" s="20">
        <f t="shared" ref="Q885:X885" si="1799">Q855</f>
        <v>280</v>
      </c>
      <c r="R885" s="20">
        <f t="shared" si="1799"/>
        <v>1120</v>
      </c>
      <c r="S885" s="20">
        <f t="shared" si="1799"/>
        <v>1959.9999999999998</v>
      </c>
      <c r="T885" s="20">
        <f t="shared" si="1799"/>
        <v>2520</v>
      </c>
      <c r="U885" s="20">
        <f t="shared" si="1799"/>
        <v>100</v>
      </c>
      <c r="V885" s="20">
        <f t="shared" si="1799"/>
        <v>400</v>
      </c>
      <c r="W885" s="20">
        <f t="shared" si="1799"/>
        <v>1200</v>
      </c>
      <c r="X885" s="20">
        <f t="shared" si="1799"/>
        <v>4</v>
      </c>
      <c r="Y885" s="20">
        <f t="shared" si="1791"/>
        <v>0</v>
      </c>
      <c r="Z885" s="22">
        <v>0</v>
      </c>
      <c r="AA885" s="20">
        <v>0</v>
      </c>
      <c r="AB885" s="20">
        <v>0</v>
      </c>
      <c r="AC885" s="20">
        <v>0</v>
      </c>
      <c r="AD885" s="23">
        <f t="shared" ref="AD885:AE885" si="1800">AD855</f>
        <v>26</v>
      </c>
      <c r="AE885" s="23">
        <f t="shared" si="1800"/>
        <v>30</v>
      </c>
    </row>
    <row r="886" spans="1:31">
      <c r="A886" s="4">
        <v>12104</v>
      </c>
      <c r="B886" s="4">
        <v>15</v>
      </c>
      <c r="C886" s="19" t="s">
        <v>70</v>
      </c>
      <c r="D886" s="44">
        <f t="shared" si="1789"/>
        <v>493</v>
      </c>
      <c r="E886" s="18">
        <v>0</v>
      </c>
      <c r="F886" s="18">
        <v>0</v>
      </c>
      <c r="G886" s="18">
        <v>0</v>
      </c>
      <c r="H886" s="45">
        <v>0</v>
      </c>
      <c r="I886" s="21">
        <f t="shared" si="1755"/>
        <v>220</v>
      </c>
      <c r="J886" s="21">
        <f t="shared" si="1710"/>
        <v>14</v>
      </c>
      <c r="K886" s="21">
        <v>0</v>
      </c>
      <c r="L886" s="20">
        <v>6</v>
      </c>
      <c r="M886" s="20">
        <v>0</v>
      </c>
      <c r="N886" s="20">
        <f t="shared" si="1756"/>
        <v>4500</v>
      </c>
      <c r="O886" s="19" t="s">
        <v>70</v>
      </c>
      <c r="P886" s="20">
        <v>3100</v>
      </c>
      <c r="Q886" s="20">
        <f t="shared" ref="Q886:X886" si="1801">Q856</f>
        <v>450</v>
      </c>
      <c r="R886" s="20">
        <f t="shared" si="1801"/>
        <v>1800</v>
      </c>
      <c r="S886" s="20">
        <f t="shared" si="1801"/>
        <v>3150</v>
      </c>
      <c r="T886" s="20">
        <f t="shared" si="1801"/>
        <v>4050</v>
      </c>
      <c r="U886" s="20">
        <f t="shared" si="1801"/>
        <v>100</v>
      </c>
      <c r="V886" s="20">
        <f t="shared" si="1801"/>
        <v>1000</v>
      </c>
      <c r="W886" s="20">
        <f t="shared" si="1801"/>
        <v>600</v>
      </c>
      <c r="X886" s="20">
        <f t="shared" si="1801"/>
        <v>4</v>
      </c>
      <c r="Y886" s="20">
        <f t="shared" si="1791"/>
        <v>0</v>
      </c>
      <c r="Z886" s="22">
        <v>0</v>
      </c>
      <c r="AA886" s="20">
        <v>0</v>
      </c>
      <c r="AB886" s="20">
        <v>0</v>
      </c>
      <c r="AC886" s="20">
        <v>0</v>
      </c>
      <c r="AD886" s="23">
        <f t="shared" ref="AD886:AE886" si="1802">AD856</f>
        <v>28</v>
      </c>
      <c r="AE886" s="23">
        <f t="shared" si="1802"/>
        <v>32</v>
      </c>
    </row>
    <row r="887" spans="1:31">
      <c r="A887" s="4">
        <v>12104</v>
      </c>
      <c r="B887" s="4">
        <v>16</v>
      </c>
      <c r="C887" s="19" t="s">
        <v>71</v>
      </c>
      <c r="D887" s="44">
        <f t="shared" si="1789"/>
        <v>534</v>
      </c>
      <c r="E887" s="18">
        <v>0</v>
      </c>
      <c r="F887" s="18">
        <v>0</v>
      </c>
      <c r="G887" s="18">
        <v>0</v>
      </c>
      <c r="H887" s="45">
        <v>0</v>
      </c>
      <c r="I887" s="21">
        <f t="shared" si="1755"/>
        <v>220</v>
      </c>
      <c r="J887" s="21">
        <f t="shared" si="1710"/>
        <v>15</v>
      </c>
      <c r="K887" s="21">
        <v>0</v>
      </c>
      <c r="L887" s="20">
        <v>6</v>
      </c>
      <c r="M887" s="20">
        <v>0</v>
      </c>
      <c r="N887" s="20">
        <f t="shared" si="1756"/>
        <v>4800</v>
      </c>
      <c r="O887" s="19" t="s">
        <v>71</v>
      </c>
      <c r="P887" s="20">
        <v>1777</v>
      </c>
      <c r="Q887" s="20">
        <f t="shared" ref="Q887:X887" si="1803">Q857</f>
        <v>480</v>
      </c>
      <c r="R887" s="20">
        <f t="shared" si="1803"/>
        <v>1920</v>
      </c>
      <c r="S887" s="20">
        <f t="shared" si="1803"/>
        <v>3360</v>
      </c>
      <c r="T887" s="20">
        <f t="shared" si="1803"/>
        <v>4320</v>
      </c>
      <c r="U887" s="20">
        <f t="shared" si="1803"/>
        <v>100</v>
      </c>
      <c r="V887" s="20">
        <f t="shared" si="1803"/>
        <v>800</v>
      </c>
      <c r="W887" s="20">
        <f t="shared" si="1803"/>
        <v>800</v>
      </c>
      <c r="X887" s="20">
        <f t="shared" si="1803"/>
        <v>4</v>
      </c>
      <c r="Y887" s="20">
        <f t="shared" si="1791"/>
        <v>0</v>
      </c>
      <c r="Z887" s="22">
        <v>0</v>
      </c>
      <c r="AA887" s="20">
        <v>0</v>
      </c>
      <c r="AB887" s="20">
        <v>0</v>
      </c>
      <c r="AC887" s="20">
        <v>0</v>
      </c>
      <c r="AD887" s="23">
        <f t="shared" ref="AD887:AE887" si="1804">AD857</f>
        <v>30</v>
      </c>
      <c r="AE887" s="23">
        <f t="shared" si="1804"/>
        <v>34</v>
      </c>
    </row>
    <row r="888" spans="1:31">
      <c r="A888" s="4">
        <v>12104</v>
      </c>
      <c r="B888" s="4">
        <v>17</v>
      </c>
      <c r="C888" s="19" t="s">
        <v>72</v>
      </c>
      <c r="D888" s="44">
        <f t="shared" si="1789"/>
        <v>576</v>
      </c>
      <c r="E888" s="18">
        <v>0</v>
      </c>
      <c r="F888" s="18">
        <v>0</v>
      </c>
      <c r="G888" s="18">
        <v>0</v>
      </c>
      <c r="H888" s="45">
        <v>0</v>
      </c>
      <c r="I888" s="21">
        <f t="shared" si="1755"/>
        <v>275</v>
      </c>
      <c r="J888" s="21">
        <f t="shared" si="1710"/>
        <v>16</v>
      </c>
      <c r="K888" s="21">
        <v>0</v>
      </c>
      <c r="L888" s="20">
        <v>6</v>
      </c>
      <c r="M888" s="20">
        <v>0</v>
      </c>
      <c r="N888" s="20">
        <f t="shared" si="1756"/>
        <v>5100</v>
      </c>
      <c r="O888" s="19" t="s">
        <v>72</v>
      </c>
      <c r="P888" s="20">
        <v>2332</v>
      </c>
      <c r="Q888" s="20">
        <f t="shared" ref="Q888:X888" si="1805">Q858</f>
        <v>510</v>
      </c>
      <c r="R888" s="20">
        <f t="shared" si="1805"/>
        <v>2040</v>
      </c>
      <c r="S888" s="20">
        <f t="shared" si="1805"/>
        <v>3570</v>
      </c>
      <c r="T888" s="20">
        <f t="shared" si="1805"/>
        <v>4590</v>
      </c>
      <c r="U888" s="20">
        <f t="shared" si="1805"/>
        <v>80</v>
      </c>
      <c r="V888" s="20">
        <f t="shared" si="1805"/>
        <v>800</v>
      </c>
      <c r="W888" s="20">
        <f t="shared" si="1805"/>
        <v>600</v>
      </c>
      <c r="X888" s="20">
        <f t="shared" si="1805"/>
        <v>5</v>
      </c>
      <c r="Y888" s="20">
        <f t="shared" si="1791"/>
        <v>0</v>
      </c>
      <c r="Z888" s="22">
        <v>0</v>
      </c>
      <c r="AA888" s="20">
        <v>0</v>
      </c>
      <c r="AB888" s="20">
        <v>0</v>
      </c>
      <c r="AC888" s="20">
        <v>0</v>
      </c>
      <c r="AD888" s="23">
        <f t="shared" ref="AD888:AE888" si="1806">AD858</f>
        <v>32</v>
      </c>
      <c r="AE888" s="23">
        <f t="shared" si="1806"/>
        <v>36</v>
      </c>
    </row>
    <row r="889" spans="1:31">
      <c r="A889" s="4">
        <v>12104</v>
      </c>
      <c r="B889" s="4">
        <v>18</v>
      </c>
      <c r="C889" s="19" t="s">
        <v>73</v>
      </c>
      <c r="D889" s="44">
        <f t="shared" si="1789"/>
        <v>626</v>
      </c>
      <c r="E889" s="18">
        <v>0</v>
      </c>
      <c r="F889" s="18">
        <v>0</v>
      </c>
      <c r="G889" s="18">
        <v>0</v>
      </c>
      <c r="H889" s="45">
        <v>0</v>
      </c>
      <c r="I889" s="21">
        <f t="shared" si="1755"/>
        <v>275</v>
      </c>
      <c r="J889" s="21">
        <f t="shared" si="1710"/>
        <v>17</v>
      </c>
      <c r="K889" s="21">
        <v>0</v>
      </c>
      <c r="L889" s="20">
        <v>6</v>
      </c>
      <c r="M889" s="20">
        <v>0</v>
      </c>
      <c r="N889" s="20">
        <f t="shared" si="1756"/>
        <v>5400</v>
      </c>
      <c r="O889" s="19" t="s">
        <v>73</v>
      </c>
      <c r="P889" s="20">
        <v>1487</v>
      </c>
      <c r="Q889" s="20">
        <f t="shared" ref="Q889:X889" si="1807">Q859</f>
        <v>540</v>
      </c>
      <c r="R889" s="20">
        <f t="shared" si="1807"/>
        <v>2160</v>
      </c>
      <c r="S889" s="20">
        <f t="shared" si="1807"/>
        <v>3779.9999999999995</v>
      </c>
      <c r="T889" s="20">
        <f t="shared" si="1807"/>
        <v>4860</v>
      </c>
      <c r="U889" s="20">
        <f t="shared" si="1807"/>
        <v>100</v>
      </c>
      <c r="V889" s="20">
        <f t="shared" si="1807"/>
        <v>600</v>
      </c>
      <c r="W889" s="20">
        <f t="shared" si="1807"/>
        <v>300</v>
      </c>
      <c r="X889" s="20">
        <f t="shared" si="1807"/>
        <v>5</v>
      </c>
      <c r="Y889" s="20">
        <f t="shared" si="1791"/>
        <v>162</v>
      </c>
      <c r="Z889" s="22">
        <v>0</v>
      </c>
      <c r="AA889" s="20">
        <v>0</v>
      </c>
      <c r="AB889" s="20">
        <v>0</v>
      </c>
      <c r="AC889" s="20">
        <v>0</v>
      </c>
      <c r="AD889" s="23">
        <f t="shared" ref="AD889:AE889" si="1808">AD859</f>
        <v>34</v>
      </c>
      <c r="AE889" s="23">
        <f t="shared" si="1808"/>
        <v>38</v>
      </c>
    </row>
    <row r="890" spans="1:31">
      <c r="A890" s="8">
        <v>12104</v>
      </c>
      <c r="B890" s="8">
        <v>19</v>
      </c>
      <c r="C890" s="19" t="s">
        <v>74</v>
      </c>
      <c r="D890" s="44">
        <f t="shared" si="1789"/>
        <v>678</v>
      </c>
      <c r="E890" s="18">
        <v>0</v>
      </c>
      <c r="F890" s="18">
        <v>0</v>
      </c>
      <c r="G890" s="18">
        <v>0</v>
      </c>
      <c r="H890" s="45">
        <v>0</v>
      </c>
      <c r="I890" s="21">
        <f t="shared" si="1755"/>
        <v>275</v>
      </c>
      <c r="J890" s="21">
        <f t="shared" si="1710"/>
        <v>18</v>
      </c>
      <c r="K890" s="21">
        <v>0</v>
      </c>
      <c r="L890" s="20">
        <v>6</v>
      </c>
      <c r="M890" s="20">
        <v>0</v>
      </c>
      <c r="N890" s="20">
        <f t="shared" si="1756"/>
        <v>5700</v>
      </c>
      <c r="O890" s="19" t="s">
        <v>74</v>
      </c>
      <c r="P890" s="20">
        <v>1518</v>
      </c>
      <c r="Q890" s="20">
        <f t="shared" ref="Q890:X890" si="1809">Q860</f>
        <v>570</v>
      </c>
      <c r="R890" s="20">
        <f t="shared" si="1809"/>
        <v>2280</v>
      </c>
      <c r="S890" s="20">
        <f t="shared" si="1809"/>
        <v>3989.9999999999995</v>
      </c>
      <c r="T890" s="20">
        <f t="shared" si="1809"/>
        <v>5130</v>
      </c>
      <c r="U890" s="20">
        <f t="shared" si="1809"/>
        <v>100</v>
      </c>
      <c r="V890" s="20">
        <f t="shared" si="1809"/>
        <v>500</v>
      </c>
      <c r="W890" s="20">
        <f t="shared" si="1809"/>
        <v>400</v>
      </c>
      <c r="X890" s="20">
        <f t="shared" si="1809"/>
        <v>5</v>
      </c>
      <c r="Y890" s="20">
        <f t="shared" si="1791"/>
        <v>0</v>
      </c>
      <c r="Z890" s="22">
        <v>0</v>
      </c>
      <c r="AA890" s="20">
        <v>0</v>
      </c>
      <c r="AB890" s="20">
        <v>0</v>
      </c>
      <c r="AC890" s="20">
        <v>0</v>
      </c>
      <c r="AD890" s="23">
        <f t="shared" ref="AD890:AE890" si="1810">AD860</f>
        <v>36</v>
      </c>
      <c r="AE890" s="23">
        <f t="shared" si="1810"/>
        <v>40</v>
      </c>
    </row>
    <row r="891" spans="1:31">
      <c r="A891" s="4">
        <v>12104</v>
      </c>
      <c r="B891" s="4">
        <v>20</v>
      </c>
      <c r="C891" s="19" t="s">
        <v>75</v>
      </c>
      <c r="D891" s="44">
        <f t="shared" si="1789"/>
        <v>732</v>
      </c>
      <c r="E891" s="18">
        <v>0</v>
      </c>
      <c r="F891" s="18">
        <v>0</v>
      </c>
      <c r="G891" s="18">
        <v>0</v>
      </c>
      <c r="H891" s="45">
        <v>0</v>
      </c>
      <c r="I891" s="21">
        <f t="shared" si="1755"/>
        <v>275</v>
      </c>
      <c r="J891" s="21">
        <f t="shared" si="1710"/>
        <v>19</v>
      </c>
      <c r="K891" s="21">
        <v>0</v>
      </c>
      <c r="L891" s="20">
        <v>6</v>
      </c>
      <c r="M891" s="20">
        <v>0</v>
      </c>
      <c r="N891" s="20">
        <f t="shared" si="1756"/>
        <v>8000</v>
      </c>
      <c r="O891" s="19" t="s">
        <v>75</v>
      </c>
      <c r="P891" s="20">
        <v>861</v>
      </c>
      <c r="Q891" s="20">
        <f t="shared" ref="Q891:X891" si="1811">Q861</f>
        <v>800</v>
      </c>
      <c r="R891" s="20">
        <f t="shared" si="1811"/>
        <v>3200</v>
      </c>
      <c r="S891" s="20">
        <f t="shared" si="1811"/>
        <v>5600</v>
      </c>
      <c r="T891" s="20">
        <f t="shared" si="1811"/>
        <v>7200</v>
      </c>
      <c r="U891" s="20">
        <f t="shared" si="1811"/>
        <v>100</v>
      </c>
      <c r="V891" s="20">
        <f t="shared" si="1811"/>
        <v>800</v>
      </c>
      <c r="W891" s="20">
        <f t="shared" si="1811"/>
        <v>8000</v>
      </c>
      <c r="X891" s="20">
        <f t="shared" si="1811"/>
        <v>5</v>
      </c>
      <c r="Y891" s="20">
        <f t="shared" si="1791"/>
        <v>0</v>
      </c>
      <c r="Z891" s="22">
        <v>0</v>
      </c>
      <c r="AA891" s="20">
        <v>0</v>
      </c>
      <c r="AB891" s="20">
        <v>0</v>
      </c>
      <c r="AC891" s="20">
        <v>0</v>
      </c>
      <c r="AD891" s="23">
        <f t="shared" ref="AD891:AE891" si="1812">AD861</f>
        <v>38</v>
      </c>
      <c r="AE891" s="23">
        <f t="shared" si="1812"/>
        <v>42</v>
      </c>
    </row>
    <row r="892" spans="1:31">
      <c r="A892" s="4">
        <v>12104</v>
      </c>
      <c r="B892" s="4">
        <v>21</v>
      </c>
      <c r="C892" s="19" t="s">
        <v>66</v>
      </c>
      <c r="D892" s="44">
        <f t="shared" si="1789"/>
        <v>792</v>
      </c>
      <c r="E892" s="18">
        <v>0</v>
      </c>
      <c r="F892" s="18">
        <v>0</v>
      </c>
      <c r="G892" s="18">
        <v>0</v>
      </c>
      <c r="H892" s="45">
        <v>0</v>
      </c>
      <c r="I892" s="21">
        <f t="shared" si="1755"/>
        <v>330</v>
      </c>
      <c r="J892" s="21">
        <f t="shared" si="1710"/>
        <v>20</v>
      </c>
      <c r="K892" s="21">
        <v>0</v>
      </c>
      <c r="L892" s="20">
        <v>6</v>
      </c>
      <c r="M892" s="20">
        <v>0</v>
      </c>
      <c r="N892" s="20">
        <f t="shared" si="1756"/>
        <v>8400</v>
      </c>
      <c r="O892" s="19" t="s">
        <v>66</v>
      </c>
      <c r="P892" s="20">
        <v>9400</v>
      </c>
      <c r="Q892" s="20">
        <f t="shared" ref="Q892:X892" si="1813">Q862</f>
        <v>840</v>
      </c>
      <c r="R892" s="20">
        <f t="shared" si="1813"/>
        <v>3360</v>
      </c>
      <c r="S892" s="20">
        <f t="shared" si="1813"/>
        <v>5880</v>
      </c>
      <c r="T892" s="20">
        <f t="shared" si="1813"/>
        <v>7560</v>
      </c>
      <c r="U892" s="20">
        <f t="shared" si="1813"/>
        <v>50</v>
      </c>
      <c r="V892" s="20">
        <f t="shared" si="1813"/>
        <v>1000</v>
      </c>
      <c r="W892" s="20">
        <f t="shared" si="1813"/>
        <v>600</v>
      </c>
      <c r="X892" s="20">
        <f t="shared" si="1813"/>
        <v>6</v>
      </c>
      <c r="Y892" s="20">
        <f t="shared" si="1791"/>
        <v>0</v>
      </c>
      <c r="Z892" s="22">
        <v>0</v>
      </c>
      <c r="AA892" s="20">
        <v>0</v>
      </c>
      <c r="AB892" s="20">
        <v>0</v>
      </c>
      <c r="AC892" s="20">
        <v>0</v>
      </c>
      <c r="AD892" s="23">
        <f t="shared" ref="AD892:AE892" si="1814">AD862</f>
        <v>40</v>
      </c>
      <c r="AE892" s="23">
        <f t="shared" si="1814"/>
        <v>44</v>
      </c>
    </row>
    <row r="893" spans="1:31">
      <c r="A893" s="4">
        <v>12104</v>
      </c>
      <c r="B893" s="4">
        <v>22</v>
      </c>
      <c r="C893" s="19" t="s">
        <v>67</v>
      </c>
      <c r="D893" s="44">
        <f t="shared" si="1789"/>
        <v>858</v>
      </c>
      <c r="E893" s="18">
        <v>0</v>
      </c>
      <c r="F893" s="18">
        <v>0</v>
      </c>
      <c r="G893" s="18">
        <v>0</v>
      </c>
      <c r="H893" s="45">
        <v>0</v>
      </c>
      <c r="I893" s="21">
        <f t="shared" si="1755"/>
        <v>330</v>
      </c>
      <c r="J893" s="21">
        <f t="shared" si="1710"/>
        <v>21</v>
      </c>
      <c r="K893" s="21">
        <v>0</v>
      </c>
      <c r="L893" s="20">
        <v>6</v>
      </c>
      <c r="M893" s="20">
        <v>0</v>
      </c>
      <c r="N893" s="20">
        <f t="shared" si="1756"/>
        <v>8800</v>
      </c>
      <c r="O893" s="19" t="s">
        <v>67</v>
      </c>
      <c r="P893" s="20">
        <v>9100</v>
      </c>
      <c r="Q893" s="20">
        <f t="shared" ref="Q893:X893" si="1815">Q863</f>
        <v>880</v>
      </c>
      <c r="R893" s="20">
        <f t="shared" si="1815"/>
        <v>3520</v>
      </c>
      <c r="S893" s="20">
        <f t="shared" si="1815"/>
        <v>6160</v>
      </c>
      <c r="T893" s="20">
        <f t="shared" si="1815"/>
        <v>7920</v>
      </c>
      <c r="U893" s="20">
        <f t="shared" si="1815"/>
        <v>100</v>
      </c>
      <c r="V893" s="20">
        <f t="shared" si="1815"/>
        <v>600</v>
      </c>
      <c r="W893" s="20">
        <f t="shared" si="1815"/>
        <v>700</v>
      </c>
      <c r="X893" s="20">
        <f t="shared" si="1815"/>
        <v>6</v>
      </c>
      <c r="Y893" s="20">
        <f t="shared" si="1791"/>
        <v>0</v>
      </c>
      <c r="Z893" s="22">
        <v>0</v>
      </c>
      <c r="AA893" s="20">
        <v>0</v>
      </c>
      <c r="AB893" s="20">
        <v>0</v>
      </c>
      <c r="AC893" s="20">
        <v>0</v>
      </c>
      <c r="AD893" s="23">
        <f t="shared" ref="AD893:AE893" si="1816">AD863</f>
        <v>42</v>
      </c>
      <c r="AE893" s="23">
        <f t="shared" si="1816"/>
        <v>46</v>
      </c>
    </row>
    <row r="894" spans="1:31">
      <c r="A894" s="4">
        <v>12104</v>
      </c>
      <c r="B894" s="4">
        <v>23</v>
      </c>
      <c r="C894" s="19" t="s">
        <v>68</v>
      </c>
      <c r="D894" s="44">
        <f t="shared" si="1789"/>
        <v>930</v>
      </c>
      <c r="E894" s="18">
        <v>0</v>
      </c>
      <c r="F894" s="18">
        <v>0</v>
      </c>
      <c r="G894" s="18">
        <v>0</v>
      </c>
      <c r="H894" s="45">
        <v>0</v>
      </c>
      <c r="I894" s="21">
        <f t="shared" si="1755"/>
        <v>330</v>
      </c>
      <c r="J894" s="21">
        <f t="shared" si="1710"/>
        <v>22</v>
      </c>
      <c r="K894" s="21">
        <v>0</v>
      </c>
      <c r="L894" s="20">
        <v>6</v>
      </c>
      <c r="M894" s="20">
        <v>0</v>
      </c>
      <c r="N894" s="20">
        <f t="shared" si="1756"/>
        <v>9200</v>
      </c>
      <c r="O894" s="19" t="s">
        <v>68</v>
      </c>
      <c r="P894" s="20">
        <v>8600</v>
      </c>
      <c r="Q894" s="20">
        <f t="shared" ref="Q894:X894" si="1817">Q864</f>
        <v>920</v>
      </c>
      <c r="R894" s="20">
        <f t="shared" si="1817"/>
        <v>3680</v>
      </c>
      <c r="S894" s="20">
        <f t="shared" si="1817"/>
        <v>6440</v>
      </c>
      <c r="T894" s="20">
        <f t="shared" si="1817"/>
        <v>8280</v>
      </c>
      <c r="U894" s="20">
        <f t="shared" si="1817"/>
        <v>100</v>
      </c>
      <c r="V894" s="20">
        <f t="shared" si="1817"/>
        <v>550</v>
      </c>
      <c r="W894" s="20">
        <f t="shared" si="1817"/>
        <v>500</v>
      </c>
      <c r="X894" s="20">
        <f t="shared" si="1817"/>
        <v>6</v>
      </c>
      <c r="Y894" s="20">
        <f t="shared" si="1791"/>
        <v>216</v>
      </c>
      <c r="Z894" s="22">
        <v>0</v>
      </c>
      <c r="AA894" s="20">
        <v>0</v>
      </c>
      <c r="AB894" s="20">
        <v>0</v>
      </c>
      <c r="AC894" s="20">
        <v>0</v>
      </c>
      <c r="AD894" s="23">
        <f t="shared" ref="AD894:AE894" si="1818">AD864</f>
        <v>44</v>
      </c>
      <c r="AE894" s="23">
        <f t="shared" si="1818"/>
        <v>48</v>
      </c>
    </row>
    <row r="895" spans="1:31">
      <c r="A895" s="4">
        <v>12104</v>
      </c>
      <c r="B895" s="4">
        <v>24</v>
      </c>
      <c r="C895" s="19" t="s">
        <v>69</v>
      </c>
      <c r="D895" s="44">
        <f t="shared" si="1789"/>
        <v>1006</v>
      </c>
      <c r="E895" s="18">
        <v>0</v>
      </c>
      <c r="F895" s="18">
        <v>0</v>
      </c>
      <c r="G895" s="18">
        <v>0</v>
      </c>
      <c r="H895" s="45">
        <v>0</v>
      </c>
      <c r="I895" s="21">
        <f t="shared" si="1755"/>
        <v>330</v>
      </c>
      <c r="J895" s="21">
        <f t="shared" si="1710"/>
        <v>23</v>
      </c>
      <c r="K895" s="21">
        <v>0</v>
      </c>
      <c r="L895" s="20">
        <v>6</v>
      </c>
      <c r="M895" s="20">
        <v>0</v>
      </c>
      <c r="N895" s="20">
        <f t="shared" si="1756"/>
        <v>9600</v>
      </c>
      <c r="O895" s="19" t="s">
        <v>69</v>
      </c>
      <c r="P895" s="20">
        <v>6400</v>
      </c>
      <c r="Q895" s="20">
        <f t="shared" ref="Q895:X895" si="1819">Q865</f>
        <v>960</v>
      </c>
      <c r="R895" s="20">
        <f t="shared" si="1819"/>
        <v>3840</v>
      </c>
      <c r="S895" s="20">
        <f t="shared" si="1819"/>
        <v>6720</v>
      </c>
      <c r="T895" s="20">
        <f t="shared" si="1819"/>
        <v>8640</v>
      </c>
      <c r="U895" s="20">
        <f t="shared" si="1819"/>
        <v>100</v>
      </c>
      <c r="V895" s="20">
        <f t="shared" si="1819"/>
        <v>500</v>
      </c>
      <c r="W895" s="20">
        <f t="shared" si="1819"/>
        <v>900</v>
      </c>
      <c r="X895" s="20">
        <f t="shared" si="1819"/>
        <v>6</v>
      </c>
      <c r="Y895" s="20">
        <f t="shared" si="1791"/>
        <v>0</v>
      </c>
      <c r="Z895" s="22">
        <v>0</v>
      </c>
      <c r="AA895" s="20">
        <v>0</v>
      </c>
      <c r="AB895" s="20">
        <v>0</v>
      </c>
      <c r="AC895" s="20">
        <v>0</v>
      </c>
      <c r="AD895" s="23">
        <f t="shared" ref="AD895:AE895" si="1820">AD865</f>
        <v>46</v>
      </c>
      <c r="AE895" s="23">
        <f t="shared" si="1820"/>
        <v>50</v>
      </c>
    </row>
    <row r="896" spans="1:31">
      <c r="A896" s="4">
        <v>12104</v>
      </c>
      <c r="B896" s="4">
        <v>25</v>
      </c>
      <c r="C896" s="19" t="s">
        <v>70</v>
      </c>
      <c r="D896" s="44">
        <f t="shared" si="1789"/>
        <v>1089</v>
      </c>
      <c r="E896" s="18">
        <v>0</v>
      </c>
      <c r="F896" s="18">
        <v>0</v>
      </c>
      <c r="G896" s="18">
        <v>0</v>
      </c>
      <c r="H896" s="45">
        <v>0</v>
      </c>
      <c r="I896" s="21">
        <f t="shared" si="1755"/>
        <v>385</v>
      </c>
      <c r="J896" s="21">
        <f t="shared" si="1710"/>
        <v>24</v>
      </c>
      <c r="K896" s="21">
        <v>0</v>
      </c>
      <c r="L896" s="20">
        <v>6</v>
      </c>
      <c r="M896" s="20">
        <v>0</v>
      </c>
      <c r="N896" s="20">
        <f t="shared" si="1756"/>
        <v>12500</v>
      </c>
      <c r="O896" s="19" t="s">
        <v>70</v>
      </c>
      <c r="P896" s="20">
        <v>3100</v>
      </c>
      <c r="Q896" s="20">
        <f t="shared" ref="Q896:X896" si="1821">Q866</f>
        <v>1250</v>
      </c>
      <c r="R896" s="20">
        <f t="shared" si="1821"/>
        <v>5000</v>
      </c>
      <c r="S896" s="20">
        <f t="shared" si="1821"/>
        <v>8750</v>
      </c>
      <c r="T896" s="20">
        <f t="shared" si="1821"/>
        <v>11250</v>
      </c>
      <c r="U896" s="20">
        <f t="shared" si="1821"/>
        <v>10</v>
      </c>
      <c r="V896" s="20">
        <f t="shared" si="1821"/>
        <v>1300</v>
      </c>
      <c r="W896" s="20">
        <f t="shared" si="1821"/>
        <v>1000</v>
      </c>
      <c r="X896" s="20">
        <f t="shared" si="1821"/>
        <v>7</v>
      </c>
      <c r="Y896" s="20">
        <f t="shared" si="1791"/>
        <v>0</v>
      </c>
      <c r="Z896" s="22">
        <v>0</v>
      </c>
      <c r="AA896" s="20">
        <v>0</v>
      </c>
      <c r="AB896" s="20">
        <v>0</v>
      </c>
      <c r="AC896" s="20">
        <v>0</v>
      </c>
      <c r="AD896" s="23">
        <f t="shared" ref="AD896:AE896" si="1822">AD866</f>
        <v>48</v>
      </c>
      <c r="AE896" s="23">
        <f t="shared" si="1822"/>
        <v>52</v>
      </c>
    </row>
    <row r="897" spans="1:31">
      <c r="A897" s="4">
        <v>12104</v>
      </c>
      <c r="B897" s="4">
        <v>26</v>
      </c>
      <c r="C897" s="19" t="s">
        <v>71</v>
      </c>
      <c r="D897" s="44">
        <f t="shared" si="1789"/>
        <v>1179</v>
      </c>
      <c r="E897" s="18">
        <v>0</v>
      </c>
      <c r="F897" s="18">
        <v>0</v>
      </c>
      <c r="G897" s="18">
        <v>0</v>
      </c>
      <c r="H897" s="45">
        <v>0</v>
      </c>
      <c r="I897" s="21">
        <f t="shared" si="1755"/>
        <v>385</v>
      </c>
      <c r="J897" s="21">
        <f t="shared" si="1710"/>
        <v>25</v>
      </c>
      <c r="K897" s="21">
        <v>0</v>
      </c>
      <c r="L897" s="20">
        <v>6</v>
      </c>
      <c r="M897" s="20">
        <v>0</v>
      </c>
      <c r="N897" s="20">
        <f t="shared" si="1756"/>
        <v>13000</v>
      </c>
      <c r="O897" s="19" t="s">
        <v>71</v>
      </c>
      <c r="P897" s="20">
        <v>1777</v>
      </c>
      <c r="Q897" s="20">
        <f t="shared" ref="Q897:X897" si="1823">Q867</f>
        <v>1300</v>
      </c>
      <c r="R897" s="20">
        <f t="shared" si="1823"/>
        <v>5200</v>
      </c>
      <c r="S897" s="20">
        <f t="shared" si="1823"/>
        <v>9100</v>
      </c>
      <c r="T897" s="20">
        <f t="shared" si="1823"/>
        <v>11700</v>
      </c>
      <c r="U897" s="20">
        <f t="shared" si="1823"/>
        <v>90</v>
      </c>
      <c r="V897" s="20">
        <f t="shared" si="1823"/>
        <v>800</v>
      </c>
      <c r="W897" s="20">
        <f t="shared" si="1823"/>
        <v>2000</v>
      </c>
      <c r="X897" s="20">
        <f t="shared" si="1823"/>
        <v>7</v>
      </c>
      <c r="Y897" s="20">
        <f t="shared" si="1791"/>
        <v>0</v>
      </c>
      <c r="Z897" s="22">
        <v>0</v>
      </c>
      <c r="AA897" s="20">
        <v>0</v>
      </c>
      <c r="AB897" s="20">
        <v>0</v>
      </c>
      <c r="AC897" s="20">
        <v>0</v>
      </c>
      <c r="AD897" s="23">
        <f t="shared" ref="AD897:AE897" si="1824">AD867</f>
        <v>50</v>
      </c>
      <c r="AE897" s="23">
        <f t="shared" si="1824"/>
        <v>54</v>
      </c>
    </row>
    <row r="898" spans="1:31">
      <c r="A898" s="4">
        <v>12104</v>
      </c>
      <c r="B898" s="4">
        <v>27</v>
      </c>
      <c r="C898" s="19" t="s">
        <v>72</v>
      </c>
      <c r="D898" s="44">
        <f t="shared" si="1789"/>
        <v>1276</v>
      </c>
      <c r="E898" s="18">
        <v>0</v>
      </c>
      <c r="F898" s="18">
        <v>0</v>
      </c>
      <c r="G898" s="18">
        <v>0</v>
      </c>
      <c r="H898" s="45">
        <v>0</v>
      </c>
      <c r="I898" s="21">
        <f t="shared" si="1755"/>
        <v>385</v>
      </c>
      <c r="J898" s="21">
        <f t="shared" si="1710"/>
        <v>26</v>
      </c>
      <c r="K898" s="21">
        <v>0</v>
      </c>
      <c r="L898" s="20">
        <v>6</v>
      </c>
      <c r="M898" s="20">
        <v>0</v>
      </c>
      <c r="N898" s="20">
        <f t="shared" si="1756"/>
        <v>13500</v>
      </c>
      <c r="O898" s="19" t="s">
        <v>72</v>
      </c>
      <c r="P898" s="20">
        <v>2332</v>
      </c>
      <c r="Q898" s="20">
        <f t="shared" ref="Q898:X898" si="1825">Q868</f>
        <v>1350</v>
      </c>
      <c r="R898" s="20">
        <f t="shared" si="1825"/>
        <v>5400</v>
      </c>
      <c r="S898" s="20">
        <f t="shared" si="1825"/>
        <v>9450</v>
      </c>
      <c r="T898" s="20">
        <f t="shared" si="1825"/>
        <v>12150</v>
      </c>
      <c r="U898" s="20">
        <f t="shared" si="1825"/>
        <v>80</v>
      </c>
      <c r="V898" s="20">
        <f t="shared" si="1825"/>
        <v>700</v>
      </c>
      <c r="W898" s="20">
        <f t="shared" si="1825"/>
        <v>800</v>
      </c>
      <c r="X898" s="20">
        <f t="shared" si="1825"/>
        <v>7</v>
      </c>
      <c r="Y898" s="20">
        <f t="shared" si="1791"/>
        <v>0</v>
      </c>
      <c r="Z898" s="22">
        <v>0</v>
      </c>
      <c r="AA898" s="20">
        <v>0</v>
      </c>
      <c r="AB898" s="20">
        <v>0</v>
      </c>
      <c r="AC898" s="20">
        <v>0</v>
      </c>
      <c r="AD898" s="23">
        <f t="shared" ref="AD898:AE898" si="1826">AD868</f>
        <v>52</v>
      </c>
      <c r="AE898" s="23">
        <f t="shared" si="1826"/>
        <v>56</v>
      </c>
    </row>
    <row r="899" spans="1:31">
      <c r="A899" s="4">
        <v>12104</v>
      </c>
      <c r="B899" s="4">
        <v>28</v>
      </c>
      <c r="C899" s="19" t="s">
        <v>73</v>
      </c>
      <c r="D899" s="44">
        <f t="shared" si="1789"/>
        <v>1382</v>
      </c>
      <c r="E899" s="18">
        <v>0</v>
      </c>
      <c r="F899" s="18">
        <v>0</v>
      </c>
      <c r="G899" s="18">
        <v>0</v>
      </c>
      <c r="H899" s="45">
        <v>0</v>
      </c>
      <c r="I899" s="21">
        <f t="shared" si="1755"/>
        <v>385</v>
      </c>
      <c r="J899" s="21">
        <f t="shared" si="1710"/>
        <v>27</v>
      </c>
      <c r="K899" s="21">
        <v>0</v>
      </c>
      <c r="L899" s="20">
        <v>6</v>
      </c>
      <c r="M899" s="20">
        <v>0</v>
      </c>
      <c r="N899" s="20">
        <f t="shared" si="1756"/>
        <v>14000</v>
      </c>
      <c r="O899" s="19" t="s">
        <v>73</v>
      </c>
      <c r="P899" s="20">
        <v>1487</v>
      </c>
      <c r="Q899" s="20">
        <f t="shared" ref="Q899:X899" si="1827">Q869</f>
        <v>1400</v>
      </c>
      <c r="R899" s="20">
        <f t="shared" si="1827"/>
        <v>5600</v>
      </c>
      <c r="S899" s="20">
        <f t="shared" si="1827"/>
        <v>9800</v>
      </c>
      <c r="T899" s="20">
        <f t="shared" si="1827"/>
        <v>12600</v>
      </c>
      <c r="U899" s="20">
        <f t="shared" si="1827"/>
        <v>80</v>
      </c>
      <c r="V899" s="20">
        <f t="shared" si="1827"/>
        <v>500</v>
      </c>
      <c r="W899" s="20">
        <f t="shared" si="1827"/>
        <v>600</v>
      </c>
      <c r="X899" s="20">
        <f t="shared" si="1827"/>
        <v>7</v>
      </c>
      <c r="Y899" s="20">
        <f t="shared" si="1791"/>
        <v>270</v>
      </c>
      <c r="Z899" s="22">
        <v>0</v>
      </c>
      <c r="AA899" s="20">
        <v>0</v>
      </c>
      <c r="AB899" s="20">
        <v>0</v>
      </c>
      <c r="AC899" s="20">
        <v>0</v>
      </c>
      <c r="AD899" s="23">
        <f t="shared" ref="AD899:AE899" si="1828">AD869</f>
        <v>54</v>
      </c>
      <c r="AE899" s="23">
        <f t="shared" si="1828"/>
        <v>58</v>
      </c>
    </row>
    <row r="900" spans="1:31">
      <c r="A900" s="4">
        <v>12104</v>
      </c>
      <c r="B900" s="4">
        <v>29</v>
      </c>
      <c r="C900" s="19" t="s">
        <v>74</v>
      </c>
      <c r="D900" s="44">
        <f t="shared" si="1789"/>
        <v>1497</v>
      </c>
      <c r="E900" s="18">
        <v>0</v>
      </c>
      <c r="F900" s="18">
        <v>0</v>
      </c>
      <c r="G900" s="18">
        <v>0</v>
      </c>
      <c r="H900" s="45">
        <v>0</v>
      </c>
      <c r="I900" s="21">
        <f t="shared" si="1755"/>
        <v>440</v>
      </c>
      <c r="J900" s="21">
        <f t="shared" si="1710"/>
        <v>28</v>
      </c>
      <c r="K900" s="21">
        <v>0</v>
      </c>
      <c r="L900" s="20">
        <v>6</v>
      </c>
      <c r="M900" s="20">
        <v>0</v>
      </c>
      <c r="N900" s="20">
        <f t="shared" si="1756"/>
        <v>14500</v>
      </c>
      <c r="O900" s="19" t="s">
        <v>74</v>
      </c>
      <c r="P900" s="20">
        <v>1518</v>
      </c>
      <c r="Q900" s="20">
        <f t="shared" ref="Q900:X900" si="1829">Q870</f>
        <v>1450</v>
      </c>
      <c r="R900" s="20">
        <f t="shared" si="1829"/>
        <v>5800</v>
      </c>
      <c r="S900" s="20">
        <f t="shared" si="1829"/>
        <v>10150</v>
      </c>
      <c r="T900" s="20">
        <f t="shared" si="1829"/>
        <v>13050</v>
      </c>
      <c r="U900" s="20">
        <f t="shared" si="1829"/>
        <v>80</v>
      </c>
      <c r="V900" s="20">
        <f t="shared" si="1829"/>
        <v>600</v>
      </c>
      <c r="W900" s="20">
        <f t="shared" si="1829"/>
        <v>700</v>
      </c>
      <c r="X900" s="20">
        <f t="shared" si="1829"/>
        <v>8</v>
      </c>
      <c r="Y900" s="20">
        <f t="shared" si="1791"/>
        <v>0</v>
      </c>
      <c r="Z900" s="22">
        <v>0</v>
      </c>
      <c r="AA900" s="20">
        <v>0</v>
      </c>
      <c r="AB900" s="20">
        <v>0</v>
      </c>
      <c r="AC900" s="20">
        <v>0</v>
      </c>
      <c r="AD900" s="23">
        <f t="shared" ref="AD900:AE900" si="1830">AD870</f>
        <v>56</v>
      </c>
      <c r="AE900" s="23">
        <f t="shared" si="1830"/>
        <v>60</v>
      </c>
    </row>
    <row r="901" spans="1:31">
      <c r="A901" s="4">
        <v>12104</v>
      </c>
      <c r="B901" s="4">
        <v>30</v>
      </c>
      <c r="C901" s="19" t="s">
        <v>75</v>
      </c>
      <c r="D901" s="44">
        <f t="shared" si="1789"/>
        <v>1620</v>
      </c>
      <c r="E901" s="18">
        <v>0</v>
      </c>
      <c r="F901" s="18">
        <v>0</v>
      </c>
      <c r="G901" s="18">
        <v>0</v>
      </c>
      <c r="H901" s="45">
        <v>0</v>
      </c>
      <c r="I901" s="21">
        <f t="shared" si="1755"/>
        <v>440</v>
      </c>
      <c r="J901" s="21">
        <f t="shared" si="1710"/>
        <v>29</v>
      </c>
      <c r="K901" s="21">
        <v>0</v>
      </c>
      <c r="L901" s="20">
        <v>6</v>
      </c>
      <c r="M901" s="20">
        <v>0</v>
      </c>
      <c r="N901" s="20">
        <f t="shared" si="1756"/>
        <v>15000</v>
      </c>
      <c r="O901" s="19" t="s">
        <v>75</v>
      </c>
      <c r="P901" s="20">
        <v>861</v>
      </c>
      <c r="Q901" s="20">
        <f t="shared" ref="Q901:X901" si="1831">Q871</f>
        <v>1500</v>
      </c>
      <c r="R901" s="20">
        <f t="shared" si="1831"/>
        <v>6000</v>
      </c>
      <c r="S901" s="20">
        <f t="shared" si="1831"/>
        <v>10500</v>
      </c>
      <c r="T901" s="20">
        <f t="shared" si="1831"/>
        <v>13500</v>
      </c>
      <c r="U901" s="20">
        <f t="shared" si="1831"/>
        <v>20</v>
      </c>
      <c r="V901" s="20">
        <f t="shared" si="1831"/>
        <v>450</v>
      </c>
      <c r="W901" s="20">
        <f t="shared" si="1831"/>
        <v>1000</v>
      </c>
      <c r="X901" s="20">
        <f t="shared" si="1831"/>
        <v>8</v>
      </c>
      <c r="Y901" s="20">
        <f t="shared" si="1791"/>
        <v>0</v>
      </c>
      <c r="Z901" s="22">
        <v>0</v>
      </c>
      <c r="AA901" s="20">
        <v>0</v>
      </c>
      <c r="AB901" s="20">
        <v>0</v>
      </c>
      <c r="AC901" s="20">
        <v>0</v>
      </c>
      <c r="AD901" s="23">
        <f t="shared" ref="AD901:AE901" si="1832">AD871</f>
        <v>58</v>
      </c>
      <c r="AE901" s="23">
        <f t="shared" si="1832"/>
        <v>62</v>
      </c>
    </row>
    <row r="902" spans="1:31" s="9" customFormat="1">
      <c r="A902" s="51">
        <v>12200</v>
      </c>
      <c r="B902" s="51">
        <v>1</v>
      </c>
      <c r="C902" s="52" t="s">
        <v>66</v>
      </c>
      <c r="D902" s="53">
        <v>0</v>
      </c>
      <c r="E902" s="51">
        <f>D752</f>
        <v>36</v>
      </c>
      <c r="F902" s="51">
        <v>0</v>
      </c>
      <c r="G902" s="51">
        <v>0</v>
      </c>
      <c r="H902" s="54">
        <v>0</v>
      </c>
      <c r="I902" s="6">
        <f t="shared" si="1755"/>
        <v>55</v>
      </c>
      <c r="J902" s="6">
        <f t="shared" si="1710"/>
        <v>0</v>
      </c>
      <c r="K902" s="6">
        <v>0</v>
      </c>
      <c r="L902" s="9">
        <v>45</v>
      </c>
      <c r="M902" s="9">
        <v>0</v>
      </c>
      <c r="N902" s="9">
        <f t="shared" si="1756"/>
        <v>10</v>
      </c>
      <c r="O902" s="52" t="s">
        <v>66</v>
      </c>
      <c r="P902" s="9">
        <v>9400</v>
      </c>
      <c r="Q902" s="9">
        <f t="shared" ref="Q902:X902" si="1833">Q872</f>
        <v>1</v>
      </c>
      <c r="R902" s="9">
        <f t="shared" si="1833"/>
        <v>4</v>
      </c>
      <c r="S902" s="9">
        <f t="shared" si="1833"/>
        <v>7</v>
      </c>
      <c r="T902" s="9">
        <f t="shared" si="1833"/>
        <v>9</v>
      </c>
      <c r="U902" s="9">
        <f t="shared" si="1833"/>
        <v>9400</v>
      </c>
      <c r="V902" s="9">
        <f t="shared" si="1833"/>
        <v>9400</v>
      </c>
      <c r="W902" s="9">
        <f t="shared" si="1833"/>
        <v>9400</v>
      </c>
      <c r="X902" s="9">
        <f t="shared" si="1833"/>
        <v>1</v>
      </c>
      <c r="Y902" s="9">
        <v>0</v>
      </c>
      <c r="Z902" s="55">
        <v>0</v>
      </c>
      <c r="AA902" s="9">
        <v>0</v>
      </c>
      <c r="AB902" s="9">
        <v>0</v>
      </c>
      <c r="AC902" s="9">
        <v>0</v>
      </c>
      <c r="AD902" s="9">
        <f t="shared" ref="AD902:AE902" si="1834">AD872</f>
        <v>1</v>
      </c>
      <c r="AE902" s="9">
        <f t="shared" si="1834"/>
        <v>3</v>
      </c>
    </row>
    <row r="903" spans="1:31">
      <c r="A903" s="4">
        <v>12200</v>
      </c>
      <c r="B903" s="4">
        <v>2</v>
      </c>
      <c r="C903" s="19" t="s">
        <v>67</v>
      </c>
      <c r="D903" s="44">
        <v>0</v>
      </c>
      <c r="E903" s="18">
        <f t="shared" ref="E903:E966" si="1835">D753</f>
        <v>39</v>
      </c>
      <c r="F903" s="18">
        <v>0</v>
      </c>
      <c r="G903" s="18">
        <v>0</v>
      </c>
      <c r="H903" s="45">
        <v>0</v>
      </c>
      <c r="I903" s="21">
        <f t="shared" si="1755"/>
        <v>55</v>
      </c>
      <c r="J903" s="21">
        <f t="shared" si="1710"/>
        <v>1</v>
      </c>
      <c r="K903" s="21">
        <v>0</v>
      </c>
      <c r="L903" s="20">
        <v>40</v>
      </c>
      <c r="M903" s="20">
        <v>0</v>
      </c>
      <c r="N903" s="20">
        <f t="shared" si="1756"/>
        <v>20</v>
      </c>
      <c r="O903" s="19" t="s">
        <v>67</v>
      </c>
      <c r="P903" s="20">
        <v>9100</v>
      </c>
      <c r="Q903" s="20">
        <f t="shared" ref="Q903:X903" si="1836">Q873</f>
        <v>2</v>
      </c>
      <c r="R903" s="20">
        <f t="shared" si="1836"/>
        <v>8</v>
      </c>
      <c r="S903" s="20">
        <f t="shared" si="1836"/>
        <v>14</v>
      </c>
      <c r="T903" s="20">
        <f t="shared" si="1836"/>
        <v>18</v>
      </c>
      <c r="U903" s="20">
        <f t="shared" si="1836"/>
        <v>4000</v>
      </c>
      <c r="V903" s="20">
        <f t="shared" si="1836"/>
        <v>8000</v>
      </c>
      <c r="W903" s="20">
        <f t="shared" si="1836"/>
        <v>8000</v>
      </c>
      <c r="X903" s="20">
        <f t="shared" si="1836"/>
        <v>1</v>
      </c>
      <c r="Y903" s="20">
        <v>0</v>
      </c>
      <c r="Z903" s="22">
        <v>0</v>
      </c>
      <c r="AA903" s="20">
        <v>0</v>
      </c>
      <c r="AB903" s="20">
        <v>0</v>
      </c>
      <c r="AC903" s="20">
        <v>0</v>
      </c>
      <c r="AD903" s="23">
        <f t="shared" ref="AD903:AE903" si="1837">AD873</f>
        <v>2</v>
      </c>
      <c r="AE903" s="23">
        <f t="shared" si="1837"/>
        <v>5</v>
      </c>
    </row>
    <row r="904" spans="1:31">
      <c r="A904" s="4">
        <v>12200</v>
      </c>
      <c r="B904" s="4">
        <v>3</v>
      </c>
      <c r="C904" s="19" t="s">
        <v>68</v>
      </c>
      <c r="D904" s="44">
        <v>0</v>
      </c>
      <c r="E904" s="18">
        <f t="shared" si="1835"/>
        <v>42</v>
      </c>
      <c r="F904" s="18">
        <v>0</v>
      </c>
      <c r="G904" s="18">
        <v>0</v>
      </c>
      <c r="H904" s="45">
        <v>0</v>
      </c>
      <c r="I904" s="21">
        <f t="shared" si="1755"/>
        <v>55</v>
      </c>
      <c r="J904" s="21">
        <f t="shared" si="1710"/>
        <v>2</v>
      </c>
      <c r="K904" s="21">
        <v>0</v>
      </c>
      <c r="L904" s="20">
        <v>35</v>
      </c>
      <c r="M904" s="20">
        <v>0</v>
      </c>
      <c r="N904" s="20">
        <f t="shared" si="1756"/>
        <v>40</v>
      </c>
      <c r="O904" s="19" t="s">
        <v>68</v>
      </c>
      <c r="P904" s="20">
        <v>8600</v>
      </c>
      <c r="Q904" s="20">
        <f t="shared" ref="Q904:X904" si="1838">Q874</f>
        <v>4</v>
      </c>
      <c r="R904" s="20">
        <f t="shared" si="1838"/>
        <v>16</v>
      </c>
      <c r="S904" s="20">
        <f t="shared" si="1838"/>
        <v>28</v>
      </c>
      <c r="T904" s="20">
        <f t="shared" si="1838"/>
        <v>36</v>
      </c>
      <c r="U904" s="20">
        <f t="shared" si="1838"/>
        <v>1600</v>
      </c>
      <c r="V904" s="20">
        <f t="shared" si="1838"/>
        <v>5000</v>
      </c>
      <c r="W904" s="20">
        <f t="shared" si="1838"/>
        <v>6000</v>
      </c>
      <c r="X904" s="20">
        <f t="shared" si="1838"/>
        <v>1</v>
      </c>
      <c r="Y904" s="20">
        <v>0</v>
      </c>
      <c r="Z904" s="22">
        <v>0</v>
      </c>
      <c r="AA904" s="20">
        <v>0</v>
      </c>
      <c r="AB904" s="20">
        <v>0</v>
      </c>
      <c r="AC904" s="20">
        <v>0</v>
      </c>
      <c r="AD904" s="23">
        <f t="shared" ref="AD904:AE904" si="1839">AD874</f>
        <v>4</v>
      </c>
      <c r="AE904" s="23">
        <f t="shared" si="1839"/>
        <v>8</v>
      </c>
    </row>
    <row r="905" spans="1:31">
      <c r="A905" s="4">
        <v>12200</v>
      </c>
      <c r="B905" s="4">
        <v>4</v>
      </c>
      <c r="C905" s="19" t="s">
        <v>69</v>
      </c>
      <c r="D905" s="44">
        <v>0</v>
      </c>
      <c r="E905" s="18">
        <f t="shared" si="1835"/>
        <v>46</v>
      </c>
      <c r="F905" s="18">
        <v>0</v>
      </c>
      <c r="G905" s="18">
        <v>0</v>
      </c>
      <c r="H905" s="45">
        <v>0</v>
      </c>
      <c r="I905" s="21">
        <f t="shared" si="1755"/>
        <v>55</v>
      </c>
      <c r="J905" s="21">
        <f t="shared" si="1710"/>
        <v>3</v>
      </c>
      <c r="K905" s="21">
        <v>0</v>
      </c>
      <c r="L905" s="20">
        <v>30</v>
      </c>
      <c r="M905" s="20">
        <v>0</v>
      </c>
      <c r="N905" s="20">
        <f t="shared" si="1756"/>
        <v>100</v>
      </c>
      <c r="O905" s="19" t="s">
        <v>69</v>
      </c>
      <c r="P905" s="20">
        <v>6400</v>
      </c>
      <c r="Q905" s="20">
        <f t="shared" ref="Q905:X905" si="1840">Q875</f>
        <v>10</v>
      </c>
      <c r="R905" s="20">
        <f t="shared" si="1840"/>
        <v>40</v>
      </c>
      <c r="S905" s="20">
        <f t="shared" si="1840"/>
        <v>70</v>
      </c>
      <c r="T905" s="20">
        <f t="shared" si="1840"/>
        <v>90</v>
      </c>
      <c r="U905" s="20">
        <f t="shared" si="1840"/>
        <v>900</v>
      </c>
      <c r="V905" s="20">
        <f t="shared" si="1840"/>
        <v>2000</v>
      </c>
      <c r="W905" s="20">
        <f t="shared" si="1840"/>
        <v>8000</v>
      </c>
      <c r="X905" s="20">
        <f t="shared" si="1840"/>
        <v>1</v>
      </c>
      <c r="Y905" s="20">
        <v>0</v>
      </c>
      <c r="Z905" s="22">
        <v>0</v>
      </c>
      <c r="AA905" s="20">
        <v>0</v>
      </c>
      <c r="AB905" s="20">
        <v>0</v>
      </c>
      <c r="AC905" s="20">
        <v>0</v>
      </c>
      <c r="AD905" s="23">
        <f t="shared" ref="AD905:AE905" si="1841">AD875</f>
        <v>6</v>
      </c>
      <c r="AE905" s="23">
        <f t="shared" si="1841"/>
        <v>10</v>
      </c>
    </row>
    <row r="906" spans="1:31">
      <c r="A906" s="4">
        <v>12200</v>
      </c>
      <c r="B906" s="4">
        <v>5</v>
      </c>
      <c r="C906" s="19" t="s">
        <v>70</v>
      </c>
      <c r="D906" s="44">
        <v>0</v>
      </c>
      <c r="E906" s="18">
        <f t="shared" si="1835"/>
        <v>50</v>
      </c>
      <c r="F906" s="18">
        <v>0</v>
      </c>
      <c r="G906" s="18">
        <v>0</v>
      </c>
      <c r="H906" s="45">
        <v>0</v>
      </c>
      <c r="I906" s="21">
        <f t="shared" si="1755"/>
        <v>110</v>
      </c>
      <c r="J906" s="21">
        <f t="shared" si="1710"/>
        <v>4</v>
      </c>
      <c r="K906" s="21">
        <v>0</v>
      </c>
      <c r="L906" s="20">
        <v>25</v>
      </c>
      <c r="M906" s="20">
        <v>0</v>
      </c>
      <c r="N906" s="20">
        <f t="shared" si="1756"/>
        <v>200</v>
      </c>
      <c r="O906" s="19" t="s">
        <v>70</v>
      </c>
      <c r="P906" s="20">
        <v>3100</v>
      </c>
      <c r="Q906" s="20">
        <f t="shared" ref="Q906:X906" si="1842">Q876</f>
        <v>20</v>
      </c>
      <c r="R906" s="20">
        <f t="shared" si="1842"/>
        <v>80</v>
      </c>
      <c r="S906" s="20">
        <f t="shared" si="1842"/>
        <v>140</v>
      </c>
      <c r="T906" s="20">
        <f t="shared" si="1842"/>
        <v>180</v>
      </c>
      <c r="U906" s="20">
        <f t="shared" si="1842"/>
        <v>1000</v>
      </c>
      <c r="V906" s="20">
        <f t="shared" si="1842"/>
        <v>2000</v>
      </c>
      <c r="W906" s="20">
        <f t="shared" si="1842"/>
        <v>2000</v>
      </c>
      <c r="X906" s="20">
        <f t="shared" si="1842"/>
        <v>2</v>
      </c>
      <c r="Y906" s="20">
        <v>0</v>
      </c>
      <c r="Z906" s="22">
        <v>0</v>
      </c>
      <c r="AA906" s="20">
        <v>0</v>
      </c>
      <c r="AB906" s="20">
        <v>0</v>
      </c>
      <c r="AC906" s="20">
        <v>0</v>
      </c>
      <c r="AD906" s="23">
        <f t="shared" ref="AD906:AE906" si="1843">AD876</f>
        <v>8</v>
      </c>
      <c r="AE906" s="23">
        <f t="shared" si="1843"/>
        <v>12</v>
      </c>
    </row>
    <row r="907" spans="1:31">
      <c r="A907" s="4">
        <v>12200</v>
      </c>
      <c r="B907" s="4">
        <v>6</v>
      </c>
      <c r="C907" s="19" t="s">
        <v>71</v>
      </c>
      <c r="D907" s="44">
        <v>0</v>
      </c>
      <c r="E907" s="18">
        <f t="shared" si="1835"/>
        <v>54</v>
      </c>
      <c r="F907" s="18">
        <v>0</v>
      </c>
      <c r="G907" s="18">
        <v>0</v>
      </c>
      <c r="H907" s="45">
        <v>0</v>
      </c>
      <c r="I907" s="21">
        <f t="shared" si="1755"/>
        <v>110</v>
      </c>
      <c r="J907" s="21">
        <f t="shared" ref="J907:J970" si="1844">B907-1</f>
        <v>5</v>
      </c>
      <c r="K907" s="21">
        <v>0</v>
      </c>
      <c r="L907" s="20">
        <v>20</v>
      </c>
      <c r="M907" s="20">
        <v>0</v>
      </c>
      <c r="N907" s="20">
        <f t="shared" si="1756"/>
        <v>500</v>
      </c>
      <c r="O907" s="19" t="s">
        <v>71</v>
      </c>
      <c r="P907" s="20">
        <v>1777</v>
      </c>
      <c r="Q907" s="20">
        <f t="shared" ref="Q907:X907" si="1845">Q877</f>
        <v>50</v>
      </c>
      <c r="R907" s="20">
        <f t="shared" si="1845"/>
        <v>200</v>
      </c>
      <c r="S907" s="20">
        <f t="shared" si="1845"/>
        <v>350</v>
      </c>
      <c r="T907" s="20">
        <f t="shared" si="1845"/>
        <v>450</v>
      </c>
      <c r="U907" s="20">
        <f t="shared" si="1845"/>
        <v>800</v>
      </c>
      <c r="V907" s="20">
        <f t="shared" si="1845"/>
        <v>800</v>
      </c>
      <c r="W907" s="20">
        <f t="shared" si="1845"/>
        <v>600</v>
      </c>
      <c r="X907" s="20">
        <f t="shared" si="1845"/>
        <v>2</v>
      </c>
      <c r="Y907" s="20">
        <v>0</v>
      </c>
      <c r="Z907" s="22">
        <v>0</v>
      </c>
      <c r="AA907" s="20">
        <v>0</v>
      </c>
      <c r="AB907" s="20">
        <v>0</v>
      </c>
      <c r="AC907" s="20">
        <v>0</v>
      </c>
      <c r="AD907" s="23">
        <f t="shared" ref="AD907:AE907" si="1846">AD877</f>
        <v>10</v>
      </c>
      <c r="AE907" s="23">
        <f t="shared" si="1846"/>
        <v>14</v>
      </c>
    </row>
    <row r="908" spans="1:31">
      <c r="A908" s="4">
        <v>12200</v>
      </c>
      <c r="B908" s="4">
        <v>7</v>
      </c>
      <c r="C908" s="19" t="s">
        <v>72</v>
      </c>
      <c r="D908" s="44">
        <v>0</v>
      </c>
      <c r="E908" s="18">
        <f t="shared" si="1835"/>
        <v>58</v>
      </c>
      <c r="F908" s="18">
        <v>0</v>
      </c>
      <c r="G908" s="18">
        <v>0</v>
      </c>
      <c r="H908" s="45">
        <v>0</v>
      </c>
      <c r="I908" s="21">
        <f t="shared" si="1755"/>
        <v>110</v>
      </c>
      <c r="J908" s="21">
        <f t="shared" si="1844"/>
        <v>6</v>
      </c>
      <c r="K908" s="21">
        <v>0</v>
      </c>
      <c r="L908" s="20">
        <v>16</v>
      </c>
      <c r="M908" s="20">
        <v>0</v>
      </c>
      <c r="N908" s="20">
        <f t="shared" si="1756"/>
        <v>700</v>
      </c>
      <c r="O908" s="19" t="s">
        <v>72</v>
      </c>
      <c r="P908" s="20">
        <v>2332</v>
      </c>
      <c r="Q908" s="20">
        <f t="shared" ref="Q908:X908" si="1847">Q878</f>
        <v>70</v>
      </c>
      <c r="R908" s="20">
        <f t="shared" si="1847"/>
        <v>280</v>
      </c>
      <c r="S908" s="20">
        <f t="shared" si="1847"/>
        <v>489.99999999999994</v>
      </c>
      <c r="T908" s="20">
        <f t="shared" si="1847"/>
        <v>630</v>
      </c>
      <c r="U908" s="20">
        <f t="shared" si="1847"/>
        <v>650</v>
      </c>
      <c r="V908" s="20">
        <f t="shared" si="1847"/>
        <v>800</v>
      </c>
      <c r="W908" s="20">
        <f t="shared" si="1847"/>
        <v>300</v>
      </c>
      <c r="X908" s="20">
        <f t="shared" si="1847"/>
        <v>2</v>
      </c>
      <c r="Y908" s="20">
        <v>0</v>
      </c>
      <c r="Z908" s="22">
        <v>0</v>
      </c>
      <c r="AA908" s="20">
        <v>0</v>
      </c>
      <c r="AB908" s="20">
        <v>0</v>
      </c>
      <c r="AC908" s="20">
        <v>0</v>
      </c>
      <c r="AD908" s="23">
        <f t="shared" ref="AD908:AE908" si="1848">AD878</f>
        <v>12</v>
      </c>
      <c r="AE908" s="23">
        <f t="shared" si="1848"/>
        <v>16</v>
      </c>
    </row>
    <row r="909" spans="1:31">
      <c r="A909" s="4">
        <v>12200</v>
      </c>
      <c r="B909" s="4">
        <v>8</v>
      </c>
      <c r="C909" s="19" t="s">
        <v>73</v>
      </c>
      <c r="D909" s="44">
        <v>0</v>
      </c>
      <c r="E909" s="18">
        <f t="shared" si="1835"/>
        <v>63</v>
      </c>
      <c r="F909" s="18">
        <v>0</v>
      </c>
      <c r="G909" s="18">
        <v>0</v>
      </c>
      <c r="H909" s="45">
        <v>0</v>
      </c>
      <c r="I909" s="21">
        <f t="shared" si="1755"/>
        <v>110</v>
      </c>
      <c r="J909" s="21">
        <f t="shared" si="1844"/>
        <v>7</v>
      </c>
      <c r="K909" s="21">
        <v>0</v>
      </c>
      <c r="L909" s="20">
        <v>12</v>
      </c>
      <c r="M909" s="20">
        <v>0</v>
      </c>
      <c r="N909" s="20">
        <f t="shared" si="1756"/>
        <v>800</v>
      </c>
      <c r="O909" s="19" t="s">
        <v>73</v>
      </c>
      <c r="P909" s="20">
        <v>1487</v>
      </c>
      <c r="Q909" s="20">
        <f t="shared" ref="Q909:X909" si="1849">Q879</f>
        <v>80</v>
      </c>
      <c r="R909" s="20">
        <f t="shared" si="1849"/>
        <v>320</v>
      </c>
      <c r="S909" s="20">
        <f t="shared" si="1849"/>
        <v>560</v>
      </c>
      <c r="T909" s="20">
        <f t="shared" si="1849"/>
        <v>720</v>
      </c>
      <c r="U909" s="20">
        <f t="shared" si="1849"/>
        <v>200</v>
      </c>
      <c r="V909" s="20">
        <f t="shared" si="1849"/>
        <v>2000</v>
      </c>
      <c r="W909" s="20">
        <f t="shared" si="1849"/>
        <v>1000</v>
      </c>
      <c r="X909" s="20">
        <f t="shared" si="1849"/>
        <v>2</v>
      </c>
      <c r="Y909" s="20">
        <v>0</v>
      </c>
      <c r="Z909" s="22">
        <v>32</v>
      </c>
      <c r="AA909" s="20">
        <v>0</v>
      </c>
      <c r="AB909" s="20">
        <v>0</v>
      </c>
      <c r="AC909" s="20">
        <v>0</v>
      </c>
      <c r="AD909" s="23">
        <f t="shared" ref="AD909:AE909" si="1850">AD879</f>
        <v>14</v>
      </c>
      <c r="AE909" s="23">
        <f t="shared" si="1850"/>
        <v>18</v>
      </c>
    </row>
    <row r="910" spans="1:31">
      <c r="A910" s="4">
        <v>12200</v>
      </c>
      <c r="B910" s="4">
        <v>9</v>
      </c>
      <c r="C910" s="19" t="s">
        <v>74</v>
      </c>
      <c r="D910" s="44">
        <v>0</v>
      </c>
      <c r="E910" s="18">
        <f t="shared" si="1835"/>
        <v>68</v>
      </c>
      <c r="F910" s="18">
        <v>0</v>
      </c>
      <c r="G910" s="18">
        <v>0</v>
      </c>
      <c r="H910" s="45">
        <v>0</v>
      </c>
      <c r="I910" s="21">
        <f t="shared" si="1755"/>
        <v>165</v>
      </c>
      <c r="J910" s="21">
        <f t="shared" si="1844"/>
        <v>8</v>
      </c>
      <c r="K910" s="21">
        <v>0</v>
      </c>
      <c r="L910" s="20">
        <v>8</v>
      </c>
      <c r="M910" s="20">
        <v>0</v>
      </c>
      <c r="N910" s="20">
        <f t="shared" si="1756"/>
        <v>900</v>
      </c>
      <c r="O910" s="19" t="s">
        <v>74</v>
      </c>
      <c r="P910" s="20">
        <v>1518</v>
      </c>
      <c r="Q910" s="20">
        <f t="shared" ref="Q910:X910" si="1851">Q880</f>
        <v>90</v>
      </c>
      <c r="R910" s="20">
        <f t="shared" si="1851"/>
        <v>360</v>
      </c>
      <c r="S910" s="20">
        <f t="shared" si="1851"/>
        <v>630</v>
      </c>
      <c r="T910" s="20">
        <f t="shared" si="1851"/>
        <v>810</v>
      </c>
      <c r="U910" s="20">
        <f t="shared" si="1851"/>
        <v>120</v>
      </c>
      <c r="V910" s="20">
        <f t="shared" si="1851"/>
        <v>1500</v>
      </c>
      <c r="W910" s="20">
        <f t="shared" si="1851"/>
        <v>1000</v>
      </c>
      <c r="X910" s="20">
        <f t="shared" si="1851"/>
        <v>3</v>
      </c>
      <c r="Y910" s="20">
        <v>0</v>
      </c>
      <c r="Z910" s="22">
        <v>0</v>
      </c>
      <c r="AA910" s="20">
        <v>0</v>
      </c>
      <c r="AB910" s="20">
        <v>0</v>
      </c>
      <c r="AC910" s="20">
        <v>0</v>
      </c>
      <c r="AD910" s="23">
        <f t="shared" ref="AD910:AE910" si="1852">AD880</f>
        <v>16</v>
      </c>
      <c r="AE910" s="23">
        <f t="shared" si="1852"/>
        <v>20</v>
      </c>
    </row>
    <row r="911" spans="1:31">
      <c r="A911" s="4">
        <v>12200</v>
      </c>
      <c r="B911" s="4">
        <v>10</v>
      </c>
      <c r="C911" s="19" t="s">
        <v>75</v>
      </c>
      <c r="D911" s="44">
        <v>0</v>
      </c>
      <c r="E911" s="18">
        <f t="shared" si="1835"/>
        <v>74</v>
      </c>
      <c r="F911" s="18">
        <v>0</v>
      </c>
      <c r="G911" s="18">
        <v>0</v>
      </c>
      <c r="H911" s="45">
        <v>0</v>
      </c>
      <c r="I911" s="21">
        <f t="shared" si="1755"/>
        <v>165</v>
      </c>
      <c r="J911" s="21">
        <f t="shared" si="1844"/>
        <v>9</v>
      </c>
      <c r="K911" s="21">
        <v>0</v>
      </c>
      <c r="L911" s="20">
        <v>6</v>
      </c>
      <c r="M911" s="20">
        <v>0</v>
      </c>
      <c r="N911" s="20">
        <f t="shared" si="1756"/>
        <v>2000</v>
      </c>
      <c r="O911" s="19" t="s">
        <v>75</v>
      </c>
      <c r="P911" s="20">
        <v>861</v>
      </c>
      <c r="Q911" s="20">
        <f t="shared" ref="Q911:X911" si="1853">Q881</f>
        <v>200</v>
      </c>
      <c r="R911" s="20">
        <f t="shared" si="1853"/>
        <v>800</v>
      </c>
      <c r="S911" s="20">
        <f t="shared" si="1853"/>
        <v>1400</v>
      </c>
      <c r="T911" s="20">
        <f t="shared" si="1853"/>
        <v>1800</v>
      </c>
      <c r="U911" s="20">
        <f t="shared" si="1853"/>
        <v>150</v>
      </c>
      <c r="V911" s="20">
        <f t="shared" si="1853"/>
        <v>5000</v>
      </c>
      <c r="W911" s="20">
        <f t="shared" si="1853"/>
        <v>800</v>
      </c>
      <c r="X911" s="20">
        <f t="shared" si="1853"/>
        <v>3</v>
      </c>
      <c r="Y911" s="20">
        <v>0</v>
      </c>
      <c r="Z911" s="22">
        <v>0</v>
      </c>
      <c r="AA911" s="20">
        <v>0</v>
      </c>
      <c r="AB911" s="20">
        <v>0</v>
      </c>
      <c r="AC911" s="20">
        <v>0</v>
      </c>
      <c r="AD911" s="23">
        <f t="shared" ref="AD911:AE911" si="1854">AD881</f>
        <v>18</v>
      </c>
      <c r="AE911" s="23">
        <f t="shared" si="1854"/>
        <v>22</v>
      </c>
    </row>
    <row r="912" spans="1:31">
      <c r="A912" s="4">
        <v>12200</v>
      </c>
      <c r="B912" s="4">
        <v>11</v>
      </c>
      <c r="C912" s="19" t="s">
        <v>66</v>
      </c>
      <c r="D912" s="44">
        <v>0</v>
      </c>
      <c r="E912" s="18">
        <f t="shared" si="1835"/>
        <v>80</v>
      </c>
      <c r="F912" s="18">
        <v>0</v>
      </c>
      <c r="G912" s="18">
        <v>0</v>
      </c>
      <c r="H912" s="45">
        <v>0</v>
      </c>
      <c r="I912" s="21">
        <f t="shared" si="1755"/>
        <v>165</v>
      </c>
      <c r="J912" s="21">
        <f t="shared" si="1844"/>
        <v>10</v>
      </c>
      <c r="K912" s="21">
        <v>0</v>
      </c>
      <c r="L912" s="20">
        <v>6</v>
      </c>
      <c r="M912" s="20">
        <v>0</v>
      </c>
      <c r="N912" s="20">
        <f t="shared" si="1756"/>
        <v>2200</v>
      </c>
      <c r="O912" s="19" t="s">
        <v>66</v>
      </c>
      <c r="P912" s="20">
        <v>9400</v>
      </c>
      <c r="Q912" s="20">
        <f t="shared" ref="Q912:X912" si="1855">Q882</f>
        <v>220</v>
      </c>
      <c r="R912" s="20">
        <f t="shared" si="1855"/>
        <v>880</v>
      </c>
      <c r="S912" s="20">
        <f t="shared" si="1855"/>
        <v>1540</v>
      </c>
      <c r="T912" s="20">
        <f t="shared" si="1855"/>
        <v>1980</v>
      </c>
      <c r="U912" s="20">
        <f t="shared" si="1855"/>
        <v>100</v>
      </c>
      <c r="V912" s="20">
        <f t="shared" si="1855"/>
        <v>800</v>
      </c>
      <c r="W912" s="20">
        <f t="shared" si="1855"/>
        <v>600</v>
      </c>
      <c r="X912" s="20">
        <f t="shared" si="1855"/>
        <v>3</v>
      </c>
      <c r="Y912" s="20">
        <v>0</v>
      </c>
      <c r="Z912" s="22">
        <v>0</v>
      </c>
      <c r="AA912" s="20">
        <v>0</v>
      </c>
      <c r="AB912" s="20">
        <v>0</v>
      </c>
      <c r="AC912" s="20">
        <v>0</v>
      </c>
      <c r="AD912" s="23">
        <f t="shared" ref="AD912:AE912" si="1856">AD882</f>
        <v>20</v>
      </c>
      <c r="AE912" s="23">
        <f t="shared" si="1856"/>
        <v>24</v>
      </c>
    </row>
    <row r="913" spans="1:31">
      <c r="A913" s="4">
        <v>12200</v>
      </c>
      <c r="B913" s="4">
        <v>12</v>
      </c>
      <c r="C913" s="19" t="s">
        <v>67</v>
      </c>
      <c r="D913" s="44">
        <v>0</v>
      </c>
      <c r="E913" s="18">
        <f t="shared" si="1835"/>
        <v>86</v>
      </c>
      <c r="F913" s="18">
        <v>0</v>
      </c>
      <c r="G913" s="18">
        <v>0</v>
      </c>
      <c r="H913" s="45">
        <v>0</v>
      </c>
      <c r="I913" s="21">
        <f t="shared" si="1755"/>
        <v>165</v>
      </c>
      <c r="J913" s="21">
        <f t="shared" si="1844"/>
        <v>11</v>
      </c>
      <c r="K913" s="21">
        <v>0</v>
      </c>
      <c r="L913" s="20">
        <v>6</v>
      </c>
      <c r="M913" s="20">
        <v>0</v>
      </c>
      <c r="N913" s="20">
        <f t="shared" si="1756"/>
        <v>2400</v>
      </c>
      <c r="O913" s="19" t="s">
        <v>67</v>
      </c>
      <c r="P913" s="20">
        <v>9100</v>
      </c>
      <c r="Q913" s="20">
        <f t="shared" ref="Q913:X913" si="1857">Q883</f>
        <v>240</v>
      </c>
      <c r="R913" s="20">
        <f t="shared" si="1857"/>
        <v>960</v>
      </c>
      <c r="S913" s="20">
        <f t="shared" si="1857"/>
        <v>1680</v>
      </c>
      <c r="T913" s="20">
        <f t="shared" si="1857"/>
        <v>2160</v>
      </c>
      <c r="U913" s="20">
        <f t="shared" si="1857"/>
        <v>150</v>
      </c>
      <c r="V913" s="20">
        <f t="shared" si="1857"/>
        <v>700</v>
      </c>
      <c r="W913" s="20">
        <f t="shared" si="1857"/>
        <v>900</v>
      </c>
      <c r="X913" s="20">
        <f t="shared" si="1857"/>
        <v>3</v>
      </c>
      <c r="Y913" s="20">
        <v>0</v>
      </c>
      <c r="Z913" s="22">
        <v>0</v>
      </c>
      <c r="AA913" s="20">
        <v>0</v>
      </c>
      <c r="AB913" s="20">
        <v>0</v>
      </c>
      <c r="AC913" s="20">
        <v>0</v>
      </c>
      <c r="AD913" s="23">
        <f t="shared" ref="AD913:AE913" si="1858">AD883</f>
        <v>22</v>
      </c>
      <c r="AE913" s="23">
        <f t="shared" si="1858"/>
        <v>26</v>
      </c>
    </row>
    <row r="914" spans="1:31">
      <c r="A914" s="4">
        <v>12200</v>
      </c>
      <c r="B914" s="4">
        <v>13</v>
      </c>
      <c r="C914" s="19" t="s">
        <v>68</v>
      </c>
      <c r="D914" s="44">
        <v>0</v>
      </c>
      <c r="E914" s="18">
        <f t="shared" si="1835"/>
        <v>94</v>
      </c>
      <c r="F914" s="18">
        <v>0</v>
      </c>
      <c r="G914" s="18">
        <v>0</v>
      </c>
      <c r="H914" s="45">
        <v>0</v>
      </c>
      <c r="I914" s="21">
        <f t="shared" si="1755"/>
        <v>220</v>
      </c>
      <c r="J914" s="21">
        <f t="shared" si="1844"/>
        <v>12</v>
      </c>
      <c r="K914" s="21">
        <v>0</v>
      </c>
      <c r="L914" s="20">
        <v>6</v>
      </c>
      <c r="M914" s="20">
        <v>0</v>
      </c>
      <c r="N914" s="20">
        <f t="shared" si="1756"/>
        <v>2600</v>
      </c>
      <c r="O914" s="19" t="s">
        <v>68</v>
      </c>
      <c r="P914" s="20">
        <v>8600</v>
      </c>
      <c r="Q914" s="20">
        <f t="shared" ref="Q914:X914" si="1859">Q884</f>
        <v>260</v>
      </c>
      <c r="R914" s="20">
        <f t="shared" si="1859"/>
        <v>1040</v>
      </c>
      <c r="S914" s="20">
        <f t="shared" si="1859"/>
        <v>1819.9999999999998</v>
      </c>
      <c r="T914" s="20">
        <f t="shared" si="1859"/>
        <v>2340</v>
      </c>
      <c r="U914" s="20">
        <f t="shared" si="1859"/>
        <v>100</v>
      </c>
      <c r="V914" s="20">
        <f t="shared" si="1859"/>
        <v>700</v>
      </c>
      <c r="W914" s="20">
        <f t="shared" si="1859"/>
        <v>1000</v>
      </c>
      <c r="X914" s="20">
        <f t="shared" si="1859"/>
        <v>4</v>
      </c>
      <c r="Y914" s="20">
        <v>0</v>
      </c>
      <c r="Z914" s="22">
        <v>64</v>
      </c>
      <c r="AA914" s="20">
        <v>0</v>
      </c>
      <c r="AB914" s="20">
        <v>0</v>
      </c>
      <c r="AC914" s="20">
        <v>0</v>
      </c>
      <c r="AD914" s="23">
        <f t="shared" ref="AD914:AE914" si="1860">AD884</f>
        <v>24</v>
      </c>
      <c r="AE914" s="23">
        <f t="shared" si="1860"/>
        <v>28</v>
      </c>
    </row>
    <row r="915" spans="1:31">
      <c r="A915" s="4">
        <v>12200</v>
      </c>
      <c r="B915" s="4">
        <v>14</v>
      </c>
      <c r="C915" s="19" t="s">
        <v>69</v>
      </c>
      <c r="D915" s="44">
        <v>0</v>
      </c>
      <c r="E915" s="18">
        <f t="shared" si="1835"/>
        <v>101</v>
      </c>
      <c r="F915" s="18">
        <v>0</v>
      </c>
      <c r="G915" s="18">
        <v>0</v>
      </c>
      <c r="H915" s="45">
        <v>0</v>
      </c>
      <c r="I915" s="21">
        <f t="shared" si="1755"/>
        <v>220</v>
      </c>
      <c r="J915" s="21">
        <f t="shared" si="1844"/>
        <v>13</v>
      </c>
      <c r="K915" s="21">
        <v>0</v>
      </c>
      <c r="L915" s="20">
        <v>6</v>
      </c>
      <c r="M915" s="20">
        <v>0</v>
      </c>
      <c r="N915" s="20">
        <f t="shared" si="1756"/>
        <v>2800</v>
      </c>
      <c r="O915" s="19" t="s">
        <v>69</v>
      </c>
      <c r="P915" s="20">
        <v>6400</v>
      </c>
      <c r="Q915" s="20">
        <f t="shared" ref="Q915:X915" si="1861">Q885</f>
        <v>280</v>
      </c>
      <c r="R915" s="20">
        <f t="shared" si="1861"/>
        <v>1120</v>
      </c>
      <c r="S915" s="20">
        <f t="shared" si="1861"/>
        <v>1959.9999999999998</v>
      </c>
      <c r="T915" s="20">
        <f t="shared" si="1861"/>
        <v>2520</v>
      </c>
      <c r="U915" s="20">
        <f t="shared" si="1861"/>
        <v>100</v>
      </c>
      <c r="V915" s="20">
        <f t="shared" si="1861"/>
        <v>400</v>
      </c>
      <c r="W915" s="20">
        <f t="shared" si="1861"/>
        <v>1200</v>
      </c>
      <c r="X915" s="20">
        <f t="shared" si="1861"/>
        <v>4</v>
      </c>
      <c r="Y915" s="20">
        <v>0</v>
      </c>
      <c r="Z915" s="22">
        <v>0</v>
      </c>
      <c r="AA915" s="20">
        <v>0</v>
      </c>
      <c r="AB915" s="20">
        <v>0</v>
      </c>
      <c r="AC915" s="20">
        <v>0</v>
      </c>
      <c r="AD915" s="23">
        <f t="shared" ref="AD915:AE915" si="1862">AD885</f>
        <v>26</v>
      </c>
      <c r="AE915" s="23">
        <f t="shared" si="1862"/>
        <v>30</v>
      </c>
    </row>
    <row r="916" spans="1:31">
      <c r="A916" s="4">
        <v>12200</v>
      </c>
      <c r="B916" s="4">
        <v>15</v>
      </c>
      <c r="C916" s="19" t="s">
        <v>70</v>
      </c>
      <c r="D916" s="44">
        <v>0</v>
      </c>
      <c r="E916" s="18">
        <f t="shared" si="1835"/>
        <v>110</v>
      </c>
      <c r="F916" s="18">
        <v>0</v>
      </c>
      <c r="G916" s="18">
        <v>0</v>
      </c>
      <c r="H916" s="45">
        <v>0</v>
      </c>
      <c r="I916" s="21">
        <f t="shared" si="1755"/>
        <v>220</v>
      </c>
      <c r="J916" s="21">
        <f t="shared" si="1844"/>
        <v>14</v>
      </c>
      <c r="K916" s="21">
        <v>0</v>
      </c>
      <c r="L916" s="20">
        <v>6</v>
      </c>
      <c r="M916" s="20">
        <v>0</v>
      </c>
      <c r="N916" s="20">
        <f t="shared" si="1756"/>
        <v>4500</v>
      </c>
      <c r="O916" s="19" t="s">
        <v>70</v>
      </c>
      <c r="P916" s="20">
        <v>3100</v>
      </c>
      <c r="Q916" s="20">
        <f t="shared" ref="Q916:X916" si="1863">Q886</f>
        <v>450</v>
      </c>
      <c r="R916" s="20">
        <f t="shared" si="1863"/>
        <v>1800</v>
      </c>
      <c r="S916" s="20">
        <f t="shared" si="1863"/>
        <v>3150</v>
      </c>
      <c r="T916" s="20">
        <f t="shared" si="1863"/>
        <v>4050</v>
      </c>
      <c r="U916" s="20">
        <f t="shared" si="1863"/>
        <v>100</v>
      </c>
      <c r="V916" s="20">
        <f t="shared" si="1863"/>
        <v>1000</v>
      </c>
      <c r="W916" s="20">
        <f t="shared" si="1863"/>
        <v>600</v>
      </c>
      <c r="X916" s="20">
        <f t="shared" si="1863"/>
        <v>4</v>
      </c>
      <c r="Y916" s="20">
        <v>0</v>
      </c>
      <c r="Z916" s="22">
        <v>0</v>
      </c>
      <c r="AA916" s="20">
        <v>0</v>
      </c>
      <c r="AB916" s="20">
        <v>0</v>
      </c>
      <c r="AC916" s="20">
        <v>0</v>
      </c>
      <c r="AD916" s="23">
        <f t="shared" ref="AD916:AE916" si="1864">AD886</f>
        <v>28</v>
      </c>
      <c r="AE916" s="23">
        <f t="shared" si="1864"/>
        <v>32</v>
      </c>
    </row>
    <row r="917" spans="1:31">
      <c r="A917" s="4">
        <v>12200</v>
      </c>
      <c r="B917" s="4">
        <v>16</v>
      </c>
      <c r="C917" s="19" t="s">
        <v>71</v>
      </c>
      <c r="D917" s="44">
        <v>0</v>
      </c>
      <c r="E917" s="18">
        <f t="shared" si="1835"/>
        <v>119</v>
      </c>
      <c r="F917" s="18">
        <v>0</v>
      </c>
      <c r="G917" s="18">
        <v>0</v>
      </c>
      <c r="H917" s="45">
        <v>0</v>
      </c>
      <c r="I917" s="21">
        <f t="shared" si="1755"/>
        <v>220</v>
      </c>
      <c r="J917" s="21">
        <f t="shared" si="1844"/>
        <v>15</v>
      </c>
      <c r="K917" s="21">
        <v>0</v>
      </c>
      <c r="L917" s="20">
        <v>6</v>
      </c>
      <c r="M917" s="20">
        <v>0</v>
      </c>
      <c r="N917" s="20">
        <f t="shared" si="1756"/>
        <v>4800</v>
      </c>
      <c r="O917" s="19" t="s">
        <v>71</v>
      </c>
      <c r="P917" s="20">
        <v>1777</v>
      </c>
      <c r="Q917" s="20">
        <f t="shared" ref="Q917:X917" si="1865">Q887</f>
        <v>480</v>
      </c>
      <c r="R917" s="20">
        <f t="shared" si="1865"/>
        <v>1920</v>
      </c>
      <c r="S917" s="20">
        <f t="shared" si="1865"/>
        <v>3360</v>
      </c>
      <c r="T917" s="20">
        <f t="shared" si="1865"/>
        <v>4320</v>
      </c>
      <c r="U917" s="20">
        <f t="shared" si="1865"/>
        <v>100</v>
      </c>
      <c r="V917" s="20">
        <f t="shared" si="1865"/>
        <v>800</v>
      </c>
      <c r="W917" s="20">
        <f t="shared" si="1865"/>
        <v>800</v>
      </c>
      <c r="X917" s="20">
        <f t="shared" si="1865"/>
        <v>4</v>
      </c>
      <c r="Y917" s="20">
        <v>0</v>
      </c>
      <c r="Z917" s="22">
        <v>0</v>
      </c>
      <c r="AA917" s="20">
        <v>0</v>
      </c>
      <c r="AB917" s="20">
        <v>0</v>
      </c>
      <c r="AC917" s="20">
        <v>0</v>
      </c>
      <c r="AD917" s="23">
        <f t="shared" ref="AD917:AE917" si="1866">AD887</f>
        <v>30</v>
      </c>
      <c r="AE917" s="23">
        <f t="shared" si="1866"/>
        <v>34</v>
      </c>
    </row>
    <row r="918" spans="1:31">
      <c r="A918" s="4">
        <v>12200</v>
      </c>
      <c r="B918" s="4">
        <v>17</v>
      </c>
      <c r="C918" s="19" t="s">
        <v>72</v>
      </c>
      <c r="D918" s="44">
        <v>0</v>
      </c>
      <c r="E918" s="18">
        <f t="shared" si="1835"/>
        <v>128</v>
      </c>
      <c r="F918" s="18">
        <v>0</v>
      </c>
      <c r="G918" s="18">
        <v>0</v>
      </c>
      <c r="H918" s="45">
        <v>0</v>
      </c>
      <c r="I918" s="21">
        <f t="shared" si="1755"/>
        <v>275</v>
      </c>
      <c r="J918" s="21">
        <f t="shared" si="1844"/>
        <v>16</v>
      </c>
      <c r="K918" s="21">
        <v>0</v>
      </c>
      <c r="L918" s="20">
        <v>6</v>
      </c>
      <c r="M918" s="20">
        <v>0</v>
      </c>
      <c r="N918" s="20">
        <f t="shared" si="1756"/>
        <v>5100</v>
      </c>
      <c r="O918" s="19" t="s">
        <v>72</v>
      </c>
      <c r="P918" s="20">
        <v>2332</v>
      </c>
      <c r="Q918" s="20">
        <f t="shared" ref="Q918:X918" si="1867">Q888</f>
        <v>510</v>
      </c>
      <c r="R918" s="20">
        <f t="shared" si="1867"/>
        <v>2040</v>
      </c>
      <c r="S918" s="20">
        <f t="shared" si="1867"/>
        <v>3570</v>
      </c>
      <c r="T918" s="20">
        <f t="shared" si="1867"/>
        <v>4590</v>
      </c>
      <c r="U918" s="20">
        <f t="shared" si="1867"/>
        <v>80</v>
      </c>
      <c r="V918" s="20">
        <f t="shared" si="1867"/>
        <v>800</v>
      </c>
      <c r="W918" s="20">
        <f t="shared" si="1867"/>
        <v>600</v>
      </c>
      <c r="X918" s="20">
        <f t="shared" si="1867"/>
        <v>5</v>
      </c>
      <c r="Y918" s="20">
        <v>0</v>
      </c>
      <c r="Z918" s="22">
        <v>0</v>
      </c>
      <c r="AA918" s="20">
        <v>0</v>
      </c>
      <c r="AB918" s="20">
        <v>0</v>
      </c>
      <c r="AC918" s="20">
        <v>0</v>
      </c>
      <c r="AD918" s="23">
        <f t="shared" ref="AD918:AE918" si="1868">AD888</f>
        <v>32</v>
      </c>
      <c r="AE918" s="23">
        <f t="shared" si="1868"/>
        <v>36</v>
      </c>
    </row>
    <row r="919" spans="1:31">
      <c r="A919" s="4">
        <v>12200</v>
      </c>
      <c r="B919" s="4">
        <v>18</v>
      </c>
      <c r="C919" s="19" t="s">
        <v>73</v>
      </c>
      <c r="D919" s="44">
        <v>0</v>
      </c>
      <c r="E919" s="18">
        <f t="shared" si="1835"/>
        <v>139</v>
      </c>
      <c r="F919" s="18">
        <v>0</v>
      </c>
      <c r="G919" s="18">
        <v>0</v>
      </c>
      <c r="H919" s="45">
        <v>0</v>
      </c>
      <c r="I919" s="21">
        <f t="shared" si="1755"/>
        <v>275</v>
      </c>
      <c r="J919" s="21">
        <f t="shared" si="1844"/>
        <v>17</v>
      </c>
      <c r="K919" s="21">
        <v>0</v>
      </c>
      <c r="L919" s="20">
        <v>6</v>
      </c>
      <c r="M919" s="20">
        <v>0</v>
      </c>
      <c r="N919" s="20">
        <f t="shared" si="1756"/>
        <v>5400</v>
      </c>
      <c r="O919" s="19" t="s">
        <v>73</v>
      </c>
      <c r="P919" s="20">
        <v>1487</v>
      </c>
      <c r="Q919" s="20">
        <f t="shared" ref="Q919:X919" si="1869">Q889</f>
        <v>540</v>
      </c>
      <c r="R919" s="20">
        <f t="shared" si="1869"/>
        <v>2160</v>
      </c>
      <c r="S919" s="20">
        <f t="shared" si="1869"/>
        <v>3779.9999999999995</v>
      </c>
      <c r="T919" s="20">
        <f t="shared" si="1869"/>
        <v>4860</v>
      </c>
      <c r="U919" s="20">
        <f t="shared" si="1869"/>
        <v>100</v>
      </c>
      <c r="V919" s="20">
        <f t="shared" si="1869"/>
        <v>600</v>
      </c>
      <c r="W919" s="20">
        <f t="shared" si="1869"/>
        <v>300</v>
      </c>
      <c r="X919" s="20">
        <f t="shared" si="1869"/>
        <v>5</v>
      </c>
      <c r="Y919" s="20">
        <v>0</v>
      </c>
      <c r="Z919" s="22">
        <v>96</v>
      </c>
      <c r="AA919" s="20">
        <v>0</v>
      </c>
      <c r="AB919" s="20">
        <v>0</v>
      </c>
      <c r="AC919" s="20">
        <v>0</v>
      </c>
      <c r="AD919" s="23">
        <f t="shared" ref="AD919:AE919" si="1870">AD889</f>
        <v>34</v>
      </c>
      <c r="AE919" s="23">
        <f t="shared" si="1870"/>
        <v>38</v>
      </c>
    </row>
    <row r="920" spans="1:31">
      <c r="A920" s="4">
        <v>12200</v>
      </c>
      <c r="B920" s="4">
        <v>19</v>
      </c>
      <c r="C920" s="19" t="s">
        <v>74</v>
      </c>
      <c r="D920" s="44">
        <v>0</v>
      </c>
      <c r="E920" s="18">
        <f t="shared" si="1835"/>
        <v>151</v>
      </c>
      <c r="F920" s="18">
        <v>0</v>
      </c>
      <c r="G920" s="18">
        <v>0</v>
      </c>
      <c r="H920" s="45">
        <v>0</v>
      </c>
      <c r="I920" s="21">
        <f t="shared" si="1755"/>
        <v>275</v>
      </c>
      <c r="J920" s="21">
        <f t="shared" si="1844"/>
        <v>18</v>
      </c>
      <c r="K920" s="21">
        <v>0</v>
      </c>
      <c r="L920" s="20">
        <v>6</v>
      </c>
      <c r="M920" s="20">
        <v>0</v>
      </c>
      <c r="N920" s="20">
        <f t="shared" si="1756"/>
        <v>5700</v>
      </c>
      <c r="O920" s="19" t="s">
        <v>74</v>
      </c>
      <c r="P920" s="20">
        <v>1518</v>
      </c>
      <c r="Q920" s="20">
        <f t="shared" ref="Q920:X920" si="1871">Q890</f>
        <v>570</v>
      </c>
      <c r="R920" s="20">
        <f t="shared" si="1871"/>
        <v>2280</v>
      </c>
      <c r="S920" s="20">
        <f t="shared" si="1871"/>
        <v>3989.9999999999995</v>
      </c>
      <c r="T920" s="20">
        <f t="shared" si="1871"/>
        <v>5130</v>
      </c>
      <c r="U920" s="20">
        <f t="shared" si="1871"/>
        <v>100</v>
      </c>
      <c r="V920" s="20">
        <f t="shared" si="1871"/>
        <v>500</v>
      </c>
      <c r="W920" s="20">
        <f t="shared" si="1871"/>
        <v>400</v>
      </c>
      <c r="X920" s="20">
        <f t="shared" si="1871"/>
        <v>5</v>
      </c>
      <c r="Y920" s="20">
        <v>0</v>
      </c>
      <c r="Z920" s="22">
        <v>0</v>
      </c>
      <c r="AA920" s="20">
        <v>0</v>
      </c>
      <c r="AB920" s="20">
        <v>0</v>
      </c>
      <c r="AC920" s="20">
        <v>0</v>
      </c>
      <c r="AD920" s="23">
        <f t="shared" ref="AD920:AE920" si="1872">AD890</f>
        <v>36</v>
      </c>
      <c r="AE920" s="23">
        <f t="shared" si="1872"/>
        <v>40</v>
      </c>
    </row>
    <row r="921" spans="1:31">
      <c r="A921" s="4">
        <v>12200</v>
      </c>
      <c r="B921" s="4">
        <v>20</v>
      </c>
      <c r="C921" s="19" t="s">
        <v>75</v>
      </c>
      <c r="D921" s="44">
        <v>0</v>
      </c>
      <c r="E921" s="18">
        <f t="shared" si="1835"/>
        <v>163</v>
      </c>
      <c r="F921" s="18">
        <v>0</v>
      </c>
      <c r="G921" s="18">
        <v>0</v>
      </c>
      <c r="H921" s="45">
        <v>0</v>
      </c>
      <c r="I921" s="21">
        <f t="shared" si="1755"/>
        <v>275</v>
      </c>
      <c r="J921" s="21">
        <f t="shared" si="1844"/>
        <v>19</v>
      </c>
      <c r="K921" s="21">
        <v>0</v>
      </c>
      <c r="L921" s="20">
        <v>6</v>
      </c>
      <c r="M921" s="20">
        <v>0</v>
      </c>
      <c r="N921" s="20">
        <f t="shared" si="1756"/>
        <v>8000</v>
      </c>
      <c r="O921" s="19" t="s">
        <v>75</v>
      </c>
      <c r="P921" s="20">
        <v>861</v>
      </c>
      <c r="Q921" s="20">
        <f t="shared" ref="Q921:X921" si="1873">Q891</f>
        <v>800</v>
      </c>
      <c r="R921" s="20">
        <f t="shared" si="1873"/>
        <v>3200</v>
      </c>
      <c r="S921" s="20">
        <f t="shared" si="1873"/>
        <v>5600</v>
      </c>
      <c r="T921" s="20">
        <f t="shared" si="1873"/>
        <v>7200</v>
      </c>
      <c r="U921" s="20">
        <f t="shared" si="1873"/>
        <v>100</v>
      </c>
      <c r="V921" s="20">
        <f t="shared" si="1873"/>
        <v>800</v>
      </c>
      <c r="W921" s="20">
        <f t="shared" si="1873"/>
        <v>8000</v>
      </c>
      <c r="X921" s="20">
        <f t="shared" si="1873"/>
        <v>5</v>
      </c>
      <c r="Y921" s="20">
        <v>0</v>
      </c>
      <c r="Z921" s="22">
        <v>0</v>
      </c>
      <c r="AA921" s="20">
        <v>0</v>
      </c>
      <c r="AB921" s="20">
        <v>0</v>
      </c>
      <c r="AC921" s="20">
        <v>0</v>
      </c>
      <c r="AD921" s="23">
        <f t="shared" ref="AD921:AE921" si="1874">AD891</f>
        <v>38</v>
      </c>
      <c r="AE921" s="23">
        <f t="shared" si="1874"/>
        <v>42</v>
      </c>
    </row>
    <row r="922" spans="1:31">
      <c r="A922" s="4">
        <v>12200</v>
      </c>
      <c r="B922" s="4">
        <v>21</v>
      </c>
      <c r="C922" s="19" t="s">
        <v>66</v>
      </c>
      <c r="D922" s="44">
        <v>0</v>
      </c>
      <c r="E922" s="18">
        <f t="shared" si="1835"/>
        <v>176</v>
      </c>
      <c r="F922" s="18">
        <v>0</v>
      </c>
      <c r="G922" s="18">
        <v>0</v>
      </c>
      <c r="H922" s="45">
        <v>0</v>
      </c>
      <c r="I922" s="21">
        <f t="shared" si="1755"/>
        <v>330</v>
      </c>
      <c r="J922" s="21">
        <f t="shared" si="1844"/>
        <v>20</v>
      </c>
      <c r="K922" s="21">
        <v>0</v>
      </c>
      <c r="L922" s="20">
        <v>6</v>
      </c>
      <c r="M922" s="20">
        <v>0</v>
      </c>
      <c r="N922" s="20">
        <f t="shared" si="1756"/>
        <v>8400</v>
      </c>
      <c r="O922" s="19" t="s">
        <v>66</v>
      </c>
      <c r="P922" s="20">
        <v>9400</v>
      </c>
      <c r="Q922" s="20">
        <f t="shared" ref="Q922:X922" si="1875">Q892</f>
        <v>840</v>
      </c>
      <c r="R922" s="20">
        <f t="shared" si="1875"/>
        <v>3360</v>
      </c>
      <c r="S922" s="20">
        <f t="shared" si="1875"/>
        <v>5880</v>
      </c>
      <c r="T922" s="20">
        <f t="shared" si="1875"/>
        <v>7560</v>
      </c>
      <c r="U922" s="20">
        <f t="shared" si="1875"/>
        <v>50</v>
      </c>
      <c r="V922" s="20">
        <f t="shared" si="1875"/>
        <v>1000</v>
      </c>
      <c r="W922" s="20">
        <f t="shared" si="1875"/>
        <v>600</v>
      </c>
      <c r="X922" s="20">
        <f t="shared" si="1875"/>
        <v>6</v>
      </c>
      <c r="Y922" s="20">
        <v>0</v>
      </c>
      <c r="Z922" s="22">
        <v>0</v>
      </c>
      <c r="AA922" s="20">
        <v>0</v>
      </c>
      <c r="AB922" s="20">
        <v>0</v>
      </c>
      <c r="AC922" s="20">
        <v>0</v>
      </c>
      <c r="AD922" s="23">
        <f t="shared" ref="AD922:AE922" si="1876">AD892</f>
        <v>40</v>
      </c>
      <c r="AE922" s="23">
        <f t="shared" si="1876"/>
        <v>44</v>
      </c>
    </row>
    <row r="923" spans="1:31">
      <c r="A923" s="4">
        <v>12200</v>
      </c>
      <c r="B923" s="4">
        <v>22</v>
      </c>
      <c r="C923" s="19" t="s">
        <v>67</v>
      </c>
      <c r="D923" s="44">
        <v>0</v>
      </c>
      <c r="E923" s="18">
        <f t="shared" si="1835"/>
        <v>191</v>
      </c>
      <c r="F923" s="18">
        <v>0</v>
      </c>
      <c r="G923" s="18">
        <v>0</v>
      </c>
      <c r="H923" s="45">
        <v>0</v>
      </c>
      <c r="I923" s="21">
        <f t="shared" si="1755"/>
        <v>330</v>
      </c>
      <c r="J923" s="21">
        <f t="shared" si="1844"/>
        <v>21</v>
      </c>
      <c r="K923" s="21">
        <v>0</v>
      </c>
      <c r="L923" s="20">
        <v>6</v>
      </c>
      <c r="M923" s="20">
        <v>0</v>
      </c>
      <c r="N923" s="20">
        <f t="shared" si="1756"/>
        <v>8800</v>
      </c>
      <c r="O923" s="19" t="s">
        <v>67</v>
      </c>
      <c r="P923" s="20">
        <v>9100</v>
      </c>
      <c r="Q923" s="20">
        <f t="shared" ref="Q923:X923" si="1877">Q893</f>
        <v>880</v>
      </c>
      <c r="R923" s="20">
        <f t="shared" si="1877"/>
        <v>3520</v>
      </c>
      <c r="S923" s="20">
        <f t="shared" si="1877"/>
        <v>6160</v>
      </c>
      <c r="T923" s="20">
        <f t="shared" si="1877"/>
        <v>7920</v>
      </c>
      <c r="U923" s="20">
        <f t="shared" si="1877"/>
        <v>100</v>
      </c>
      <c r="V923" s="20">
        <f t="shared" si="1877"/>
        <v>600</v>
      </c>
      <c r="W923" s="20">
        <f t="shared" si="1877"/>
        <v>700</v>
      </c>
      <c r="X923" s="20">
        <f t="shared" si="1877"/>
        <v>6</v>
      </c>
      <c r="Y923" s="20">
        <v>0</v>
      </c>
      <c r="Z923" s="22">
        <v>0</v>
      </c>
      <c r="AA923" s="20">
        <v>0</v>
      </c>
      <c r="AB923" s="20">
        <v>0</v>
      </c>
      <c r="AC923" s="20">
        <v>0</v>
      </c>
      <c r="AD923" s="23">
        <f t="shared" ref="AD923:AE923" si="1878">AD893</f>
        <v>42</v>
      </c>
      <c r="AE923" s="23">
        <f t="shared" si="1878"/>
        <v>46</v>
      </c>
    </row>
    <row r="924" spans="1:31">
      <c r="A924" s="4">
        <v>12200</v>
      </c>
      <c r="B924" s="4">
        <v>23</v>
      </c>
      <c r="C924" s="19" t="s">
        <v>68</v>
      </c>
      <c r="D924" s="44">
        <v>0</v>
      </c>
      <c r="E924" s="18">
        <f t="shared" si="1835"/>
        <v>207</v>
      </c>
      <c r="F924" s="18">
        <v>0</v>
      </c>
      <c r="G924" s="18">
        <v>0</v>
      </c>
      <c r="H924" s="45">
        <v>0</v>
      </c>
      <c r="I924" s="21">
        <f t="shared" si="1755"/>
        <v>330</v>
      </c>
      <c r="J924" s="21">
        <f t="shared" si="1844"/>
        <v>22</v>
      </c>
      <c r="K924" s="21">
        <v>0</v>
      </c>
      <c r="L924" s="20">
        <v>6</v>
      </c>
      <c r="M924" s="20">
        <v>0</v>
      </c>
      <c r="N924" s="20">
        <f t="shared" si="1756"/>
        <v>9200</v>
      </c>
      <c r="O924" s="19" t="s">
        <v>68</v>
      </c>
      <c r="P924" s="20">
        <v>8600</v>
      </c>
      <c r="Q924" s="20">
        <f t="shared" ref="Q924:X924" si="1879">Q894</f>
        <v>920</v>
      </c>
      <c r="R924" s="20">
        <f t="shared" si="1879"/>
        <v>3680</v>
      </c>
      <c r="S924" s="20">
        <f t="shared" si="1879"/>
        <v>6440</v>
      </c>
      <c r="T924" s="20">
        <f t="shared" si="1879"/>
        <v>8280</v>
      </c>
      <c r="U924" s="20">
        <f t="shared" si="1879"/>
        <v>100</v>
      </c>
      <c r="V924" s="20">
        <f t="shared" si="1879"/>
        <v>550</v>
      </c>
      <c r="W924" s="20">
        <f t="shared" si="1879"/>
        <v>500</v>
      </c>
      <c r="X924" s="20">
        <f t="shared" si="1879"/>
        <v>6</v>
      </c>
      <c r="Y924" s="20">
        <v>0</v>
      </c>
      <c r="Z924" s="22">
        <v>129</v>
      </c>
      <c r="AA924" s="20">
        <v>0</v>
      </c>
      <c r="AB924" s="20">
        <v>0</v>
      </c>
      <c r="AC924" s="20">
        <v>0</v>
      </c>
      <c r="AD924" s="23">
        <f t="shared" ref="AD924:AE924" si="1880">AD894</f>
        <v>44</v>
      </c>
      <c r="AE924" s="23">
        <f t="shared" si="1880"/>
        <v>48</v>
      </c>
    </row>
    <row r="925" spans="1:31">
      <c r="A925" s="4">
        <v>12200</v>
      </c>
      <c r="B925" s="4">
        <v>24</v>
      </c>
      <c r="C925" s="19" t="s">
        <v>69</v>
      </c>
      <c r="D925" s="44">
        <v>0</v>
      </c>
      <c r="E925" s="18">
        <f t="shared" si="1835"/>
        <v>224</v>
      </c>
      <c r="F925" s="18">
        <v>0</v>
      </c>
      <c r="G925" s="18">
        <v>0</v>
      </c>
      <c r="H925" s="45">
        <v>0</v>
      </c>
      <c r="I925" s="21">
        <f t="shared" si="1755"/>
        <v>330</v>
      </c>
      <c r="J925" s="21">
        <f t="shared" si="1844"/>
        <v>23</v>
      </c>
      <c r="K925" s="21">
        <v>0</v>
      </c>
      <c r="L925" s="20">
        <v>6</v>
      </c>
      <c r="M925" s="20">
        <v>0</v>
      </c>
      <c r="N925" s="20">
        <f t="shared" si="1756"/>
        <v>9600</v>
      </c>
      <c r="O925" s="19" t="s">
        <v>69</v>
      </c>
      <c r="P925" s="20">
        <v>6400</v>
      </c>
      <c r="Q925" s="20">
        <f t="shared" ref="Q925:X925" si="1881">Q895</f>
        <v>960</v>
      </c>
      <c r="R925" s="20">
        <f t="shared" si="1881"/>
        <v>3840</v>
      </c>
      <c r="S925" s="20">
        <f t="shared" si="1881"/>
        <v>6720</v>
      </c>
      <c r="T925" s="20">
        <f t="shared" si="1881"/>
        <v>8640</v>
      </c>
      <c r="U925" s="20">
        <f t="shared" si="1881"/>
        <v>100</v>
      </c>
      <c r="V925" s="20">
        <f t="shared" si="1881"/>
        <v>500</v>
      </c>
      <c r="W925" s="20">
        <f t="shared" si="1881"/>
        <v>900</v>
      </c>
      <c r="X925" s="20">
        <f t="shared" si="1881"/>
        <v>6</v>
      </c>
      <c r="Y925" s="20">
        <v>0</v>
      </c>
      <c r="Z925" s="22">
        <v>0</v>
      </c>
      <c r="AA925" s="20">
        <v>0</v>
      </c>
      <c r="AB925" s="20">
        <v>0</v>
      </c>
      <c r="AC925" s="20">
        <v>0</v>
      </c>
      <c r="AD925" s="23">
        <f t="shared" ref="AD925:AE925" si="1882">AD895</f>
        <v>46</v>
      </c>
      <c r="AE925" s="23">
        <f t="shared" si="1882"/>
        <v>50</v>
      </c>
    </row>
    <row r="926" spans="1:31">
      <c r="A926" s="4">
        <v>12200</v>
      </c>
      <c r="B926" s="4">
        <v>25</v>
      </c>
      <c r="C926" s="19" t="s">
        <v>70</v>
      </c>
      <c r="D926" s="44">
        <v>0</v>
      </c>
      <c r="E926" s="18">
        <f t="shared" si="1835"/>
        <v>242</v>
      </c>
      <c r="F926" s="18">
        <v>0</v>
      </c>
      <c r="G926" s="18">
        <v>0</v>
      </c>
      <c r="H926" s="45">
        <v>0</v>
      </c>
      <c r="I926" s="21">
        <f t="shared" si="1755"/>
        <v>385</v>
      </c>
      <c r="J926" s="21">
        <f t="shared" si="1844"/>
        <v>24</v>
      </c>
      <c r="K926" s="21">
        <v>0</v>
      </c>
      <c r="L926" s="20">
        <v>6</v>
      </c>
      <c r="M926" s="20">
        <v>0</v>
      </c>
      <c r="N926" s="20">
        <f t="shared" si="1756"/>
        <v>12500</v>
      </c>
      <c r="O926" s="19" t="s">
        <v>70</v>
      </c>
      <c r="P926" s="20">
        <v>3100</v>
      </c>
      <c r="Q926" s="20">
        <f t="shared" ref="Q926:X926" si="1883">Q896</f>
        <v>1250</v>
      </c>
      <c r="R926" s="20">
        <f t="shared" si="1883"/>
        <v>5000</v>
      </c>
      <c r="S926" s="20">
        <f t="shared" si="1883"/>
        <v>8750</v>
      </c>
      <c r="T926" s="20">
        <f t="shared" si="1883"/>
        <v>11250</v>
      </c>
      <c r="U926" s="20">
        <f t="shared" si="1883"/>
        <v>10</v>
      </c>
      <c r="V926" s="20">
        <f t="shared" si="1883"/>
        <v>1300</v>
      </c>
      <c r="W926" s="20">
        <f t="shared" si="1883"/>
        <v>1000</v>
      </c>
      <c r="X926" s="20">
        <f t="shared" si="1883"/>
        <v>7</v>
      </c>
      <c r="Y926" s="20">
        <v>0</v>
      </c>
      <c r="Z926" s="22">
        <v>0</v>
      </c>
      <c r="AA926" s="20">
        <v>0</v>
      </c>
      <c r="AB926" s="20">
        <v>0</v>
      </c>
      <c r="AC926" s="20">
        <v>0</v>
      </c>
      <c r="AD926" s="23">
        <f t="shared" ref="AD926:AE926" si="1884">AD896</f>
        <v>48</v>
      </c>
      <c r="AE926" s="23">
        <f t="shared" si="1884"/>
        <v>52</v>
      </c>
    </row>
    <row r="927" spans="1:31">
      <c r="A927" s="4">
        <v>12200</v>
      </c>
      <c r="B927" s="4">
        <v>26</v>
      </c>
      <c r="C927" s="19" t="s">
        <v>71</v>
      </c>
      <c r="D927" s="44">
        <v>0</v>
      </c>
      <c r="E927" s="18">
        <f t="shared" si="1835"/>
        <v>262</v>
      </c>
      <c r="F927" s="18">
        <v>0</v>
      </c>
      <c r="G927" s="18">
        <v>0</v>
      </c>
      <c r="H927" s="45">
        <v>0</v>
      </c>
      <c r="I927" s="21">
        <f t="shared" si="1755"/>
        <v>385</v>
      </c>
      <c r="J927" s="21">
        <f t="shared" si="1844"/>
        <v>25</v>
      </c>
      <c r="K927" s="21">
        <v>0</v>
      </c>
      <c r="L927" s="20">
        <v>6</v>
      </c>
      <c r="M927" s="20">
        <v>0</v>
      </c>
      <c r="N927" s="20">
        <f t="shared" si="1756"/>
        <v>13000</v>
      </c>
      <c r="O927" s="19" t="s">
        <v>71</v>
      </c>
      <c r="P927" s="20">
        <v>1777</v>
      </c>
      <c r="Q927" s="20">
        <f t="shared" ref="Q927:X927" si="1885">Q897</f>
        <v>1300</v>
      </c>
      <c r="R927" s="20">
        <f t="shared" si="1885"/>
        <v>5200</v>
      </c>
      <c r="S927" s="20">
        <f t="shared" si="1885"/>
        <v>9100</v>
      </c>
      <c r="T927" s="20">
        <f t="shared" si="1885"/>
        <v>11700</v>
      </c>
      <c r="U927" s="20">
        <f t="shared" si="1885"/>
        <v>90</v>
      </c>
      <c r="V927" s="20">
        <f t="shared" si="1885"/>
        <v>800</v>
      </c>
      <c r="W927" s="20">
        <f t="shared" si="1885"/>
        <v>2000</v>
      </c>
      <c r="X927" s="20">
        <f t="shared" si="1885"/>
        <v>7</v>
      </c>
      <c r="Y927" s="20">
        <v>0</v>
      </c>
      <c r="Z927" s="22">
        <v>0</v>
      </c>
      <c r="AA927" s="20">
        <v>0</v>
      </c>
      <c r="AB927" s="20">
        <v>0</v>
      </c>
      <c r="AC927" s="20">
        <v>0</v>
      </c>
      <c r="AD927" s="23">
        <f t="shared" ref="AD927:AE927" si="1886">AD897</f>
        <v>50</v>
      </c>
      <c r="AE927" s="23">
        <f t="shared" si="1886"/>
        <v>54</v>
      </c>
    </row>
    <row r="928" spans="1:31">
      <c r="A928" s="4">
        <v>12200</v>
      </c>
      <c r="B928" s="4">
        <v>27</v>
      </c>
      <c r="C928" s="19" t="s">
        <v>72</v>
      </c>
      <c r="D928" s="44">
        <v>0</v>
      </c>
      <c r="E928" s="18">
        <f t="shared" si="1835"/>
        <v>284</v>
      </c>
      <c r="F928" s="18">
        <v>0</v>
      </c>
      <c r="G928" s="18">
        <v>0</v>
      </c>
      <c r="H928" s="45">
        <v>0</v>
      </c>
      <c r="I928" s="21">
        <f t="shared" si="1755"/>
        <v>385</v>
      </c>
      <c r="J928" s="21">
        <f t="shared" si="1844"/>
        <v>26</v>
      </c>
      <c r="K928" s="21">
        <v>0</v>
      </c>
      <c r="L928" s="20">
        <v>6</v>
      </c>
      <c r="M928" s="20">
        <v>0</v>
      </c>
      <c r="N928" s="20">
        <f t="shared" si="1756"/>
        <v>13500</v>
      </c>
      <c r="O928" s="19" t="s">
        <v>72</v>
      </c>
      <c r="P928" s="20">
        <v>2332</v>
      </c>
      <c r="Q928" s="20">
        <f t="shared" ref="Q928:X928" si="1887">Q898</f>
        <v>1350</v>
      </c>
      <c r="R928" s="20">
        <f t="shared" si="1887"/>
        <v>5400</v>
      </c>
      <c r="S928" s="20">
        <f t="shared" si="1887"/>
        <v>9450</v>
      </c>
      <c r="T928" s="20">
        <f t="shared" si="1887"/>
        <v>12150</v>
      </c>
      <c r="U928" s="20">
        <f t="shared" si="1887"/>
        <v>80</v>
      </c>
      <c r="V928" s="20">
        <f t="shared" si="1887"/>
        <v>700</v>
      </c>
      <c r="W928" s="20">
        <f t="shared" si="1887"/>
        <v>800</v>
      </c>
      <c r="X928" s="20">
        <f t="shared" si="1887"/>
        <v>7</v>
      </c>
      <c r="Y928" s="20">
        <v>0</v>
      </c>
      <c r="Z928" s="22">
        <v>0</v>
      </c>
      <c r="AA928" s="20">
        <v>0</v>
      </c>
      <c r="AB928" s="20">
        <v>0</v>
      </c>
      <c r="AC928" s="20">
        <v>0</v>
      </c>
      <c r="AD928" s="23">
        <f t="shared" ref="AD928:AE928" si="1888">AD898</f>
        <v>52</v>
      </c>
      <c r="AE928" s="23">
        <f t="shared" si="1888"/>
        <v>56</v>
      </c>
    </row>
    <row r="929" spans="1:31">
      <c r="A929" s="4">
        <v>12200</v>
      </c>
      <c r="B929" s="4">
        <v>28</v>
      </c>
      <c r="C929" s="19" t="s">
        <v>73</v>
      </c>
      <c r="D929" s="44">
        <v>0</v>
      </c>
      <c r="E929" s="18">
        <f t="shared" si="1835"/>
        <v>307</v>
      </c>
      <c r="F929" s="18">
        <v>0</v>
      </c>
      <c r="G929" s="18">
        <v>0</v>
      </c>
      <c r="H929" s="45">
        <v>0</v>
      </c>
      <c r="I929" s="21">
        <f t="shared" ref="I929:I992" si="1889">I899</f>
        <v>385</v>
      </c>
      <c r="J929" s="21">
        <f t="shared" si="1844"/>
        <v>27</v>
      </c>
      <c r="K929" s="21">
        <v>0</v>
      </c>
      <c r="L929" s="20">
        <v>6</v>
      </c>
      <c r="M929" s="20">
        <v>0</v>
      </c>
      <c r="N929" s="20">
        <f t="shared" ref="N929:N992" si="1890">N899</f>
        <v>14000</v>
      </c>
      <c r="O929" s="19" t="s">
        <v>73</v>
      </c>
      <c r="P929" s="20">
        <v>1487</v>
      </c>
      <c r="Q929" s="20">
        <f t="shared" ref="Q929:X929" si="1891">Q899</f>
        <v>1400</v>
      </c>
      <c r="R929" s="20">
        <f t="shared" si="1891"/>
        <v>5600</v>
      </c>
      <c r="S929" s="20">
        <f t="shared" si="1891"/>
        <v>9800</v>
      </c>
      <c r="T929" s="20">
        <f t="shared" si="1891"/>
        <v>12600</v>
      </c>
      <c r="U929" s="20">
        <f t="shared" si="1891"/>
        <v>80</v>
      </c>
      <c r="V929" s="20">
        <f t="shared" si="1891"/>
        <v>500</v>
      </c>
      <c r="W929" s="20">
        <f t="shared" si="1891"/>
        <v>600</v>
      </c>
      <c r="X929" s="20">
        <f t="shared" si="1891"/>
        <v>7</v>
      </c>
      <c r="Y929" s="20">
        <v>0</v>
      </c>
      <c r="Z929" s="22">
        <v>162</v>
      </c>
      <c r="AA929" s="20">
        <v>0</v>
      </c>
      <c r="AB929" s="20">
        <v>0</v>
      </c>
      <c r="AC929" s="20">
        <v>0</v>
      </c>
      <c r="AD929" s="23">
        <f t="shared" ref="AD929:AE929" si="1892">AD899</f>
        <v>54</v>
      </c>
      <c r="AE929" s="23">
        <f t="shared" si="1892"/>
        <v>58</v>
      </c>
    </row>
    <row r="930" spans="1:31">
      <c r="A930" s="4">
        <v>12200</v>
      </c>
      <c r="B930" s="4">
        <v>29</v>
      </c>
      <c r="C930" s="19" t="s">
        <v>74</v>
      </c>
      <c r="D930" s="44">
        <v>0</v>
      </c>
      <c r="E930" s="18">
        <f t="shared" si="1835"/>
        <v>333</v>
      </c>
      <c r="F930" s="18">
        <v>0</v>
      </c>
      <c r="G930" s="18">
        <v>0</v>
      </c>
      <c r="H930" s="45">
        <v>0</v>
      </c>
      <c r="I930" s="21">
        <f t="shared" si="1889"/>
        <v>440</v>
      </c>
      <c r="J930" s="21">
        <f t="shared" si="1844"/>
        <v>28</v>
      </c>
      <c r="K930" s="21">
        <v>0</v>
      </c>
      <c r="L930" s="20">
        <v>6</v>
      </c>
      <c r="M930" s="20">
        <v>0</v>
      </c>
      <c r="N930" s="20">
        <f t="shared" si="1890"/>
        <v>14500</v>
      </c>
      <c r="O930" s="19" t="s">
        <v>74</v>
      </c>
      <c r="P930" s="20">
        <v>1518</v>
      </c>
      <c r="Q930" s="20">
        <f t="shared" ref="Q930:X930" si="1893">Q900</f>
        <v>1450</v>
      </c>
      <c r="R930" s="20">
        <f t="shared" si="1893"/>
        <v>5800</v>
      </c>
      <c r="S930" s="20">
        <f t="shared" si="1893"/>
        <v>10150</v>
      </c>
      <c r="T930" s="20">
        <f t="shared" si="1893"/>
        <v>13050</v>
      </c>
      <c r="U930" s="20">
        <f t="shared" si="1893"/>
        <v>80</v>
      </c>
      <c r="V930" s="20">
        <f t="shared" si="1893"/>
        <v>600</v>
      </c>
      <c r="W930" s="20">
        <f t="shared" si="1893"/>
        <v>700</v>
      </c>
      <c r="X930" s="20">
        <f t="shared" si="1893"/>
        <v>8</v>
      </c>
      <c r="Y930" s="20">
        <v>0</v>
      </c>
      <c r="Z930" s="22">
        <v>0</v>
      </c>
      <c r="AA930" s="20">
        <v>0</v>
      </c>
      <c r="AB930" s="20">
        <v>0</v>
      </c>
      <c r="AC930" s="20">
        <v>0</v>
      </c>
      <c r="AD930" s="23">
        <f t="shared" ref="AD930:AE930" si="1894">AD900</f>
        <v>56</v>
      </c>
      <c r="AE930" s="23">
        <f t="shared" si="1894"/>
        <v>60</v>
      </c>
    </row>
    <row r="931" spans="1:31">
      <c r="A931" s="4">
        <v>12200</v>
      </c>
      <c r="B931" s="4">
        <v>30</v>
      </c>
      <c r="C931" s="19" t="s">
        <v>75</v>
      </c>
      <c r="D931" s="44">
        <v>0</v>
      </c>
      <c r="E931" s="18">
        <f t="shared" si="1835"/>
        <v>360</v>
      </c>
      <c r="F931" s="18">
        <v>0</v>
      </c>
      <c r="G931" s="18">
        <v>0</v>
      </c>
      <c r="H931" s="45">
        <v>0</v>
      </c>
      <c r="I931" s="21">
        <f t="shared" si="1889"/>
        <v>440</v>
      </c>
      <c r="J931" s="21">
        <f t="shared" si="1844"/>
        <v>29</v>
      </c>
      <c r="K931" s="21">
        <v>0</v>
      </c>
      <c r="L931" s="20">
        <v>6</v>
      </c>
      <c r="M931" s="20">
        <v>0</v>
      </c>
      <c r="N931" s="20">
        <f t="shared" si="1890"/>
        <v>15000</v>
      </c>
      <c r="O931" s="19" t="s">
        <v>75</v>
      </c>
      <c r="P931" s="20">
        <v>861</v>
      </c>
      <c r="Q931" s="20">
        <f t="shared" ref="Q931:X931" si="1895">Q901</f>
        <v>1500</v>
      </c>
      <c r="R931" s="20">
        <f t="shared" si="1895"/>
        <v>6000</v>
      </c>
      <c r="S931" s="20">
        <f t="shared" si="1895"/>
        <v>10500</v>
      </c>
      <c r="T931" s="20">
        <f t="shared" si="1895"/>
        <v>13500</v>
      </c>
      <c r="U931" s="20">
        <f t="shared" si="1895"/>
        <v>20</v>
      </c>
      <c r="V931" s="20">
        <f t="shared" si="1895"/>
        <v>450</v>
      </c>
      <c r="W931" s="20">
        <f t="shared" si="1895"/>
        <v>1000</v>
      </c>
      <c r="X931" s="20">
        <f t="shared" si="1895"/>
        <v>8</v>
      </c>
      <c r="Y931" s="20">
        <v>0</v>
      </c>
      <c r="Z931" s="22">
        <v>0</v>
      </c>
      <c r="AA931" s="20">
        <v>0</v>
      </c>
      <c r="AB931" s="20">
        <v>0</v>
      </c>
      <c r="AC931" s="20">
        <v>0</v>
      </c>
      <c r="AD931" s="23">
        <f t="shared" ref="AD931:AE931" si="1896">AD901</f>
        <v>58</v>
      </c>
      <c r="AE931" s="23">
        <f t="shared" si="1896"/>
        <v>62</v>
      </c>
    </row>
    <row r="932" spans="1:31">
      <c r="A932" s="4">
        <v>12201</v>
      </c>
      <c r="B932" s="4">
        <v>1</v>
      </c>
      <c r="C932" s="29" t="s">
        <v>66</v>
      </c>
      <c r="D932" s="46">
        <v>0</v>
      </c>
      <c r="E932" s="18">
        <f t="shared" si="1835"/>
        <v>72</v>
      </c>
      <c r="F932" s="28">
        <v>0</v>
      </c>
      <c r="G932" s="28">
        <v>0</v>
      </c>
      <c r="H932" s="47">
        <v>0</v>
      </c>
      <c r="I932" s="21">
        <f t="shared" si="1889"/>
        <v>55</v>
      </c>
      <c r="J932" s="21">
        <f t="shared" si="1844"/>
        <v>0</v>
      </c>
      <c r="K932" s="21">
        <v>0</v>
      </c>
      <c r="L932" s="20">
        <v>45</v>
      </c>
      <c r="M932" s="20">
        <v>0</v>
      </c>
      <c r="N932" s="20">
        <f t="shared" si="1890"/>
        <v>10</v>
      </c>
      <c r="O932" s="19" t="s">
        <v>66</v>
      </c>
      <c r="P932" s="20">
        <v>9400</v>
      </c>
      <c r="Q932" s="20">
        <f t="shared" ref="Q932:X932" si="1897">Q902</f>
        <v>1</v>
      </c>
      <c r="R932" s="20">
        <f t="shared" si="1897"/>
        <v>4</v>
      </c>
      <c r="S932" s="20">
        <f t="shared" si="1897"/>
        <v>7</v>
      </c>
      <c r="T932" s="20">
        <f t="shared" si="1897"/>
        <v>9</v>
      </c>
      <c r="U932" s="20">
        <f t="shared" si="1897"/>
        <v>9400</v>
      </c>
      <c r="V932" s="20">
        <f t="shared" si="1897"/>
        <v>9400</v>
      </c>
      <c r="W932" s="20">
        <f t="shared" si="1897"/>
        <v>9400</v>
      </c>
      <c r="X932" s="20">
        <f t="shared" si="1897"/>
        <v>1</v>
      </c>
      <c r="Y932" s="20">
        <v>0</v>
      </c>
      <c r="Z932" s="22">
        <v>0</v>
      </c>
      <c r="AA932" s="27">
        <v>0</v>
      </c>
      <c r="AB932" s="27">
        <v>0</v>
      </c>
      <c r="AC932" s="27">
        <v>0</v>
      </c>
      <c r="AD932" s="23">
        <f t="shared" ref="AD932:AE932" si="1898">AD902</f>
        <v>1</v>
      </c>
      <c r="AE932" s="23">
        <f t="shared" si="1898"/>
        <v>3</v>
      </c>
    </row>
    <row r="933" spans="1:31">
      <c r="A933" s="4">
        <v>12201</v>
      </c>
      <c r="B933" s="4">
        <v>2</v>
      </c>
      <c r="C933" s="29" t="s">
        <v>67</v>
      </c>
      <c r="D933" s="46">
        <v>0</v>
      </c>
      <c r="E933" s="18">
        <f t="shared" si="1835"/>
        <v>78</v>
      </c>
      <c r="F933" s="28">
        <v>0</v>
      </c>
      <c r="G933" s="28">
        <v>0</v>
      </c>
      <c r="H933" s="47">
        <v>0</v>
      </c>
      <c r="I933" s="21">
        <f t="shared" si="1889"/>
        <v>55</v>
      </c>
      <c r="J933" s="21">
        <f t="shared" si="1844"/>
        <v>1</v>
      </c>
      <c r="K933" s="21">
        <v>0</v>
      </c>
      <c r="L933" s="20">
        <v>40</v>
      </c>
      <c r="M933" s="20">
        <v>0</v>
      </c>
      <c r="N933" s="20">
        <f t="shared" si="1890"/>
        <v>20</v>
      </c>
      <c r="O933" s="19" t="s">
        <v>67</v>
      </c>
      <c r="P933" s="20">
        <v>9100</v>
      </c>
      <c r="Q933" s="20">
        <f t="shared" ref="Q933:X933" si="1899">Q903</f>
        <v>2</v>
      </c>
      <c r="R933" s="20">
        <f t="shared" si="1899"/>
        <v>8</v>
      </c>
      <c r="S933" s="20">
        <f t="shared" si="1899"/>
        <v>14</v>
      </c>
      <c r="T933" s="20">
        <f t="shared" si="1899"/>
        <v>18</v>
      </c>
      <c r="U933" s="20">
        <f t="shared" si="1899"/>
        <v>4000</v>
      </c>
      <c r="V933" s="20">
        <f t="shared" si="1899"/>
        <v>8000</v>
      </c>
      <c r="W933" s="20">
        <f t="shared" si="1899"/>
        <v>8000</v>
      </c>
      <c r="X933" s="20">
        <f t="shared" si="1899"/>
        <v>1</v>
      </c>
      <c r="Y933" s="20">
        <v>0</v>
      </c>
      <c r="Z933" s="22">
        <v>0</v>
      </c>
      <c r="AA933" s="27">
        <v>0</v>
      </c>
      <c r="AB933" s="27">
        <v>0</v>
      </c>
      <c r="AC933" s="27">
        <v>0</v>
      </c>
      <c r="AD933" s="23">
        <f t="shared" ref="AD933:AE933" si="1900">AD903</f>
        <v>2</v>
      </c>
      <c r="AE933" s="23">
        <f t="shared" si="1900"/>
        <v>5</v>
      </c>
    </row>
    <row r="934" spans="1:31">
      <c r="A934" s="8">
        <v>12201</v>
      </c>
      <c r="B934" s="8">
        <v>3</v>
      </c>
      <c r="C934" s="29" t="s">
        <v>68</v>
      </c>
      <c r="D934" s="46">
        <v>0</v>
      </c>
      <c r="E934" s="18">
        <f t="shared" si="1835"/>
        <v>84</v>
      </c>
      <c r="F934" s="28">
        <v>0</v>
      </c>
      <c r="G934" s="28">
        <v>0</v>
      </c>
      <c r="H934" s="47">
        <v>0</v>
      </c>
      <c r="I934" s="21">
        <f t="shared" si="1889"/>
        <v>55</v>
      </c>
      <c r="J934" s="21">
        <f t="shared" si="1844"/>
        <v>2</v>
      </c>
      <c r="K934" s="21">
        <v>0</v>
      </c>
      <c r="L934" s="20">
        <v>35</v>
      </c>
      <c r="M934" s="20">
        <v>0</v>
      </c>
      <c r="N934" s="20">
        <f t="shared" si="1890"/>
        <v>40</v>
      </c>
      <c r="O934" s="19" t="s">
        <v>68</v>
      </c>
      <c r="P934" s="20">
        <v>8600</v>
      </c>
      <c r="Q934" s="20">
        <f t="shared" ref="Q934:X934" si="1901">Q904</f>
        <v>4</v>
      </c>
      <c r="R934" s="20">
        <f t="shared" si="1901"/>
        <v>16</v>
      </c>
      <c r="S934" s="20">
        <f t="shared" si="1901"/>
        <v>28</v>
      </c>
      <c r="T934" s="20">
        <f t="shared" si="1901"/>
        <v>36</v>
      </c>
      <c r="U934" s="20">
        <f t="shared" si="1901"/>
        <v>1600</v>
      </c>
      <c r="V934" s="20">
        <f t="shared" si="1901"/>
        <v>5000</v>
      </c>
      <c r="W934" s="20">
        <f t="shared" si="1901"/>
        <v>6000</v>
      </c>
      <c r="X934" s="20">
        <f t="shared" si="1901"/>
        <v>1</v>
      </c>
      <c r="Y934" s="20">
        <v>0</v>
      </c>
      <c r="Z934" s="22">
        <v>0</v>
      </c>
      <c r="AA934" s="27">
        <v>0</v>
      </c>
      <c r="AB934" s="27">
        <v>0</v>
      </c>
      <c r="AC934" s="27">
        <v>0</v>
      </c>
      <c r="AD934" s="23">
        <f t="shared" ref="AD934:AE934" si="1902">AD904</f>
        <v>4</v>
      </c>
      <c r="AE934" s="23">
        <f t="shared" si="1902"/>
        <v>8</v>
      </c>
    </row>
    <row r="935" spans="1:31">
      <c r="A935" s="4">
        <v>12201</v>
      </c>
      <c r="B935" s="4">
        <v>4</v>
      </c>
      <c r="C935" s="29" t="s">
        <v>69</v>
      </c>
      <c r="D935" s="46">
        <v>0</v>
      </c>
      <c r="E935" s="18">
        <f t="shared" si="1835"/>
        <v>91</v>
      </c>
      <c r="F935" s="28">
        <v>0</v>
      </c>
      <c r="G935" s="28">
        <v>0</v>
      </c>
      <c r="H935" s="47">
        <v>0</v>
      </c>
      <c r="I935" s="21">
        <f t="shared" si="1889"/>
        <v>55</v>
      </c>
      <c r="J935" s="21">
        <f t="shared" si="1844"/>
        <v>3</v>
      </c>
      <c r="K935" s="21">
        <v>0</v>
      </c>
      <c r="L935" s="20">
        <v>30</v>
      </c>
      <c r="M935" s="20">
        <v>0</v>
      </c>
      <c r="N935" s="20">
        <f t="shared" si="1890"/>
        <v>100</v>
      </c>
      <c r="O935" s="19" t="s">
        <v>69</v>
      </c>
      <c r="P935" s="20">
        <v>6400</v>
      </c>
      <c r="Q935" s="20">
        <f t="shared" ref="Q935:X935" si="1903">Q905</f>
        <v>10</v>
      </c>
      <c r="R935" s="20">
        <f t="shared" si="1903"/>
        <v>40</v>
      </c>
      <c r="S935" s="20">
        <f t="shared" si="1903"/>
        <v>70</v>
      </c>
      <c r="T935" s="20">
        <f t="shared" si="1903"/>
        <v>90</v>
      </c>
      <c r="U935" s="20">
        <f t="shared" si="1903"/>
        <v>900</v>
      </c>
      <c r="V935" s="20">
        <f t="shared" si="1903"/>
        <v>2000</v>
      </c>
      <c r="W935" s="20">
        <f t="shared" si="1903"/>
        <v>8000</v>
      </c>
      <c r="X935" s="20">
        <f t="shared" si="1903"/>
        <v>1</v>
      </c>
      <c r="Y935" s="20">
        <v>0</v>
      </c>
      <c r="Z935" s="22">
        <v>0</v>
      </c>
      <c r="AA935" s="27">
        <v>0</v>
      </c>
      <c r="AB935" s="27">
        <v>0</v>
      </c>
      <c r="AC935" s="27">
        <v>0</v>
      </c>
      <c r="AD935" s="23">
        <f t="shared" ref="AD935:AE935" si="1904">AD905</f>
        <v>6</v>
      </c>
      <c r="AE935" s="23">
        <f t="shared" si="1904"/>
        <v>10</v>
      </c>
    </row>
    <row r="936" spans="1:31">
      <c r="A936" s="4">
        <v>12201</v>
      </c>
      <c r="B936" s="4">
        <v>5</v>
      </c>
      <c r="C936" s="29" t="s">
        <v>70</v>
      </c>
      <c r="D936" s="46">
        <v>0</v>
      </c>
      <c r="E936" s="18">
        <f t="shared" si="1835"/>
        <v>99</v>
      </c>
      <c r="F936" s="28">
        <v>0</v>
      </c>
      <c r="G936" s="28">
        <v>0</v>
      </c>
      <c r="H936" s="47">
        <v>0</v>
      </c>
      <c r="I936" s="21">
        <f t="shared" si="1889"/>
        <v>110</v>
      </c>
      <c r="J936" s="21">
        <f t="shared" si="1844"/>
        <v>4</v>
      </c>
      <c r="K936" s="21">
        <v>0</v>
      </c>
      <c r="L936" s="20">
        <v>25</v>
      </c>
      <c r="M936" s="20">
        <v>0</v>
      </c>
      <c r="N936" s="20">
        <f t="shared" si="1890"/>
        <v>200</v>
      </c>
      <c r="O936" s="19" t="s">
        <v>70</v>
      </c>
      <c r="P936" s="20">
        <v>3100</v>
      </c>
      <c r="Q936" s="20">
        <f t="shared" ref="Q936:X936" si="1905">Q906</f>
        <v>20</v>
      </c>
      <c r="R936" s="20">
        <f t="shared" si="1905"/>
        <v>80</v>
      </c>
      <c r="S936" s="20">
        <f t="shared" si="1905"/>
        <v>140</v>
      </c>
      <c r="T936" s="20">
        <f t="shared" si="1905"/>
        <v>180</v>
      </c>
      <c r="U936" s="20">
        <f t="shared" si="1905"/>
        <v>1000</v>
      </c>
      <c r="V936" s="20">
        <f t="shared" si="1905"/>
        <v>2000</v>
      </c>
      <c r="W936" s="20">
        <f t="shared" si="1905"/>
        <v>2000</v>
      </c>
      <c r="X936" s="20">
        <f t="shared" si="1905"/>
        <v>2</v>
      </c>
      <c r="Y936" s="20">
        <v>0</v>
      </c>
      <c r="Z936" s="22">
        <v>0</v>
      </c>
      <c r="AA936" s="27">
        <v>0</v>
      </c>
      <c r="AB936" s="27">
        <v>0</v>
      </c>
      <c r="AC936" s="27">
        <v>0</v>
      </c>
      <c r="AD936" s="23">
        <f t="shared" ref="AD936:AE936" si="1906">AD906</f>
        <v>8</v>
      </c>
      <c r="AE936" s="23">
        <f t="shared" si="1906"/>
        <v>12</v>
      </c>
    </row>
    <row r="937" spans="1:31">
      <c r="A937" s="4">
        <v>12201</v>
      </c>
      <c r="B937" s="4">
        <v>6</v>
      </c>
      <c r="C937" s="29" t="s">
        <v>71</v>
      </c>
      <c r="D937" s="46">
        <v>0</v>
      </c>
      <c r="E937" s="18">
        <f t="shared" si="1835"/>
        <v>107</v>
      </c>
      <c r="F937" s="28">
        <v>0</v>
      </c>
      <c r="G937" s="28">
        <v>0</v>
      </c>
      <c r="H937" s="47">
        <v>0</v>
      </c>
      <c r="I937" s="21">
        <f t="shared" si="1889"/>
        <v>110</v>
      </c>
      <c r="J937" s="21">
        <f t="shared" si="1844"/>
        <v>5</v>
      </c>
      <c r="K937" s="21">
        <v>0</v>
      </c>
      <c r="L937" s="20">
        <v>20</v>
      </c>
      <c r="M937" s="20">
        <v>0</v>
      </c>
      <c r="N937" s="20">
        <f t="shared" si="1890"/>
        <v>500</v>
      </c>
      <c r="O937" s="19" t="s">
        <v>71</v>
      </c>
      <c r="P937" s="20">
        <v>1777</v>
      </c>
      <c r="Q937" s="20">
        <f t="shared" ref="Q937:X937" si="1907">Q907</f>
        <v>50</v>
      </c>
      <c r="R937" s="20">
        <f t="shared" si="1907"/>
        <v>200</v>
      </c>
      <c r="S937" s="20">
        <f t="shared" si="1907"/>
        <v>350</v>
      </c>
      <c r="T937" s="20">
        <f t="shared" si="1907"/>
        <v>450</v>
      </c>
      <c r="U937" s="20">
        <f t="shared" si="1907"/>
        <v>800</v>
      </c>
      <c r="V937" s="20">
        <f t="shared" si="1907"/>
        <v>800</v>
      </c>
      <c r="W937" s="20">
        <f t="shared" si="1907"/>
        <v>600</v>
      </c>
      <c r="X937" s="20">
        <f t="shared" si="1907"/>
        <v>2</v>
      </c>
      <c r="Y937" s="20">
        <v>0</v>
      </c>
      <c r="Z937" s="22">
        <v>0</v>
      </c>
      <c r="AA937" s="27">
        <v>0</v>
      </c>
      <c r="AB937" s="27">
        <v>0</v>
      </c>
      <c r="AC937" s="27">
        <v>0</v>
      </c>
      <c r="AD937" s="23">
        <f t="shared" ref="AD937:AE937" si="1908">AD907</f>
        <v>10</v>
      </c>
      <c r="AE937" s="23">
        <f t="shared" si="1908"/>
        <v>14</v>
      </c>
    </row>
    <row r="938" spans="1:31">
      <c r="A938" s="4">
        <v>12201</v>
      </c>
      <c r="B938" s="4">
        <v>7</v>
      </c>
      <c r="C938" s="29" t="s">
        <v>72</v>
      </c>
      <c r="D938" s="46">
        <v>0</v>
      </c>
      <c r="E938" s="18">
        <f t="shared" si="1835"/>
        <v>116</v>
      </c>
      <c r="F938" s="28">
        <v>0</v>
      </c>
      <c r="G938" s="28">
        <v>0</v>
      </c>
      <c r="H938" s="47">
        <v>0</v>
      </c>
      <c r="I938" s="21">
        <f t="shared" si="1889"/>
        <v>110</v>
      </c>
      <c r="J938" s="21">
        <f t="shared" si="1844"/>
        <v>6</v>
      </c>
      <c r="K938" s="21">
        <v>0</v>
      </c>
      <c r="L938" s="20">
        <v>16</v>
      </c>
      <c r="M938" s="20">
        <v>0</v>
      </c>
      <c r="N938" s="20">
        <f t="shared" si="1890"/>
        <v>700</v>
      </c>
      <c r="O938" s="19" t="s">
        <v>72</v>
      </c>
      <c r="P938" s="20">
        <v>2332</v>
      </c>
      <c r="Q938" s="20">
        <f t="shared" ref="Q938:X938" si="1909">Q908</f>
        <v>70</v>
      </c>
      <c r="R938" s="20">
        <f t="shared" si="1909"/>
        <v>280</v>
      </c>
      <c r="S938" s="20">
        <f t="shared" si="1909"/>
        <v>489.99999999999994</v>
      </c>
      <c r="T938" s="20">
        <f t="shared" si="1909"/>
        <v>630</v>
      </c>
      <c r="U938" s="20">
        <f t="shared" si="1909"/>
        <v>650</v>
      </c>
      <c r="V938" s="20">
        <f t="shared" si="1909"/>
        <v>800</v>
      </c>
      <c r="W938" s="20">
        <f t="shared" si="1909"/>
        <v>300</v>
      </c>
      <c r="X938" s="20">
        <f t="shared" si="1909"/>
        <v>2</v>
      </c>
      <c r="Y938" s="20">
        <v>0</v>
      </c>
      <c r="Z938" s="22">
        <v>0</v>
      </c>
      <c r="AA938" s="27">
        <v>0</v>
      </c>
      <c r="AB938" s="27">
        <v>0</v>
      </c>
      <c r="AC938" s="27">
        <v>0</v>
      </c>
      <c r="AD938" s="23">
        <f t="shared" ref="AD938:AE938" si="1910">AD908</f>
        <v>12</v>
      </c>
      <c r="AE938" s="23">
        <f t="shared" si="1910"/>
        <v>16</v>
      </c>
    </row>
    <row r="939" spans="1:31">
      <c r="A939" s="4">
        <v>12201</v>
      </c>
      <c r="B939" s="4">
        <v>8</v>
      </c>
      <c r="C939" s="29" t="s">
        <v>73</v>
      </c>
      <c r="D939" s="46">
        <v>0</v>
      </c>
      <c r="E939" s="18">
        <f t="shared" si="1835"/>
        <v>126</v>
      </c>
      <c r="F939" s="28">
        <v>0</v>
      </c>
      <c r="G939" s="28">
        <v>0</v>
      </c>
      <c r="H939" s="47">
        <v>0</v>
      </c>
      <c r="I939" s="21">
        <f t="shared" si="1889"/>
        <v>110</v>
      </c>
      <c r="J939" s="21">
        <f t="shared" si="1844"/>
        <v>7</v>
      </c>
      <c r="K939" s="21">
        <v>0</v>
      </c>
      <c r="L939" s="20">
        <v>12</v>
      </c>
      <c r="M939" s="20">
        <v>0</v>
      </c>
      <c r="N939" s="20">
        <f t="shared" si="1890"/>
        <v>800</v>
      </c>
      <c r="O939" s="19" t="s">
        <v>73</v>
      </c>
      <c r="P939" s="20">
        <v>1487</v>
      </c>
      <c r="Q939" s="20">
        <f t="shared" ref="Q939:X939" si="1911">Q909</f>
        <v>80</v>
      </c>
      <c r="R939" s="20">
        <f t="shared" si="1911"/>
        <v>320</v>
      </c>
      <c r="S939" s="20">
        <f t="shared" si="1911"/>
        <v>560</v>
      </c>
      <c r="T939" s="20">
        <f t="shared" si="1911"/>
        <v>720</v>
      </c>
      <c r="U939" s="20">
        <f t="shared" si="1911"/>
        <v>200</v>
      </c>
      <c r="V939" s="20">
        <f t="shared" si="1911"/>
        <v>2000</v>
      </c>
      <c r="W939" s="20">
        <f t="shared" si="1911"/>
        <v>1000</v>
      </c>
      <c r="X939" s="20">
        <f t="shared" si="1911"/>
        <v>2</v>
      </c>
      <c r="Y939" s="20">
        <v>0</v>
      </c>
      <c r="Z939" s="22">
        <v>37</v>
      </c>
      <c r="AA939" s="27">
        <v>0</v>
      </c>
      <c r="AB939" s="27">
        <v>0</v>
      </c>
      <c r="AC939" s="27">
        <v>0</v>
      </c>
      <c r="AD939" s="23">
        <f t="shared" ref="AD939:AE939" si="1912">AD909</f>
        <v>14</v>
      </c>
      <c r="AE939" s="23">
        <f t="shared" si="1912"/>
        <v>18</v>
      </c>
    </row>
    <row r="940" spans="1:31">
      <c r="A940" s="4">
        <v>12201</v>
      </c>
      <c r="B940" s="4">
        <v>9</v>
      </c>
      <c r="C940" s="29" t="s">
        <v>74</v>
      </c>
      <c r="D940" s="46">
        <v>0</v>
      </c>
      <c r="E940" s="18">
        <f t="shared" si="1835"/>
        <v>136</v>
      </c>
      <c r="F940" s="28">
        <v>0</v>
      </c>
      <c r="G940" s="28">
        <v>0</v>
      </c>
      <c r="H940" s="47">
        <v>0</v>
      </c>
      <c r="I940" s="21">
        <f t="shared" si="1889"/>
        <v>165</v>
      </c>
      <c r="J940" s="21">
        <f t="shared" si="1844"/>
        <v>8</v>
      </c>
      <c r="K940" s="21">
        <v>0</v>
      </c>
      <c r="L940" s="20">
        <v>8</v>
      </c>
      <c r="M940" s="20">
        <v>0</v>
      </c>
      <c r="N940" s="20">
        <f t="shared" si="1890"/>
        <v>900</v>
      </c>
      <c r="O940" s="19" t="s">
        <v>74</v>
      </c>
      <c r="P940" s="20">
        <v>1518</v>
      </c>
      <c r="Q940" s="20">
        <f t="shared" ref="Q940:X940" si="1913">Q910</f>
        <v>90</v>
      </c>
      <c r="R940" s="20">
        <f t="shared" si="1913"/>
        <v>360</v>
      </c>
      <c r="S940" s="20">
        <f t="shared" si="1913"/>
        <v>630</v>
      </c>
      <c r="T940" s="20">
        <f t="shared" si="1913"/>
        <v>810</v>
      </c>
      <c r="U940" s="20">
        <f t="shared" si="1913"/>
        <v>120</v>
      </c>
      <c r="V940" s="20">
        <f t="shared" si="1913"/>
        <v>1500</v>
      </c>
      <c r="W940" s="20">
        <f t="shared" si="1913"/>
        <v>1000</v>
      </c>
      <c r="X940" s="20">
        <f t="shared" si="1913"/>
        <v>3</v>
      </c>
      <c r="Y940" s="20">
        <v>0</v>
      </c>
      <c r="Z940" s="22">
        <v>0</v>
      </c>
      <c r="AA940" s="27">
        <v>0</v>
      </c>
      <c r="AB940" s="27">
        <v>0</v>
      </c>
      <c r="AC940" s="27">
        <v>0</v>
      </c>
      <c r="AD940" s="23">
        <f t="shared" ref="AD940:AE940" si="1914">AD910</f>
        <v>16</v>
      </c>
      <c r="AE940" s="23">
        <f t="shared" si="1914"/>
        <v>20</v>
      </c>
    </row>
    <row r="941" spans="1:31">
      <c r="A941" s="4">
        <v>12201</v>
      </c>
      <c r="B941" s="4">
        <v>10</v>
      </c>
      <c r="C941" s="29" t="s">
        <v>75</v>
      </c>
      <c r="D941" s="46">
        <v>0</v>
      </c>
      <c r="E941" s="18">
        <f t="shared" si="1835"/>
        <v>147</v>
      </c>
      <c r="F941" s="28">
        <v>0</v>
      </c>
      <c r="G941" s="28">
        <v>0</v>
      </c>
      <c r="H941" s="47">
        <v>0</v>
      </c>
      <c r="I941" s="21">
        <f t="shared" si="1889"/>
        <v>165</v>
      </c>
      <c r="J941" s="21">
        <f t="shared" si="1844"/>
        <v>9</v>
      </c>
      <c r="K941" s="21">
        <v>0</v>
      </c>
      <c r="L941" s="20">
        <v>6</v>
      </c>
      <c r="M941" s="20">
        <v>0</v>
      </c>
      <c r="N941" s="20">
        <f t="shared" si="1890"/>
        <v>2000</v>
      </c>
      <c r="O941" s="19" t="s">
        <v>75</v>
      </c>
      <c r="P941" s="20">
        <v>861</v>
      </c>
      <c r="Q941" s="20">
        <f t="shared" ref="Q941:X941" si="1915">Q911</f>
        <v>200</v>
      </c>
      <c r="R941" s="20">
        <f t="shared" si="1915"/>
        <v>800</v>
      </c>
      <c r="S941" s="20">
        <f t="shared" si="1915"/>
        <v>1400</v>
      </c>
      <c r="T941" s="20">
        <f t="shared" si="1915"/>
        <v>1800</v>
      </c>
      <c r="U941" s="20">
        <f t="shared" si="1915"/>
        <v>150</v>
      </c>
      <c r="V941" s="20">
        <f t="shared" si="1915"/>
        <v>5000</v>
      </c>
      <c r="W941" s="20">
        <f t="shared" si="1915"/>
        <v>800</v>
      </c>
      <c r="X941" s="20">
        <f t="shared" si="1915"/>
        <v>3</v>
      </c>
      <c r="Y941" s="20">
        <v>0</v>
      </c>
      <c r="Z941" s="22">
        <v>0</v>
      </c>
      <c r="AA941" s="27">
        <v>0</v>
      </c>
      <c r="AB941" s="27">
        <v>0</v>
      </c>
      <c r="AC941" s="27">
        <v>0</v>
      </c>
      <c r="AD941" s="23">
        <f t="shared" ref="AD941:AE941" si="1916">AD911</f>
        <v>18</v>
      </c>
      <c r="AE941" s="23">
        <f t="shared" si="1916"/>
        <v>22</v>
      </c>
    </row>
    <row r="942" spans="1:31">
      <c r="A942" s="4">
        <v>12201</v>
      </c>
      <c r="B942" s="4">
        <v>11</v>
      </c>
      <c r="C942" s="29" t="s">
        <v>66</v>
      </c>
      <c r="D942" s="46">
        <v>0</v>
      </c>
      <c r="E942" s="18">
        <f t="shared" si="1835"/>
        <v>159</v>
      </c>
      <c r="F942" s="28">
        <v>0</v>
      </c>
      <c r="G942" s="28">
        <v>0</v>
      </c>
      <c r="H942" s="47">
        <v>0</v>
      </c>
      <c r="I942" s="21">
        <f t="shared" si="1889"/>
        <v>165</v>
      </c>
      <c r="J942" s="21">
        <f t="shared" si="1844"/>
        <v>10</v>
      </c>
      <c r="K942" s="21">
        <v>0</v>
      </c>
      <c r="L942" s="20">
        <v>6</v>
      </c>
      <c r="M942" s="20">
        <v>0</v>
      </c>
      <c r="N942" s="20">
        <f t="shared" si="1890"/>
        <v>2200</v>
      </c>
      <c r="O942" s="19" t="s">
        <v>66</v>
      </c>
      <c r="P942" s="20">
        <v>9400</v>
      </c>
      <c r="Q942" s="20">
        <f t="shared" ref="Q942:X942" si="1917">Q912</f>
        <v>220</v>
      </c>
      <c r="R942" s="20">
        <f t="shared" si="1917"/>
        <v>880</v>
      </c>
      <c r="S942" s="20">
        <f t="shared" si="1917"/>
        <v>1540</v>
      </c>
      <c r="T942" s="20">
        <f t="shared" si="1917"/>
        <v>1980</v>
      </c>
      <c r="U942" s="20">
        <f t="shared" si="1917"/>
        <v>100</v>
      </c>
      <c r="V942" s="20">
        <f t="shared" si="1917"/>
        <v>800</v>
      </c>
      <c r="W942" s="20">
        <f t="shared" si="1917"/>
        <v>600</v>
      </c>
      <c r="X942" s="20">
        <f t="shared" si="1917"/>
        <v>3</v>
      </c>
      <c r="Y942" s="20">
        <v>0</v>
      </c>
      <c r="Z942" s="22">
        <v>0</v>
      </c>
      <c r="AA942" s="27">
        <v>0</v>
      </c>
      <c r="AB942" s="27">
        <v>0</v>
      </c>
      <c r="AC942" s="27">
        <v>0</v>
      </c>
      <c r="AD942" s="23">
        <f t="shared" ref="AD942:AE942" si="1918">AD912</f>
        <v>20</v>
      </c>
      <c r="AE942" s="23">
        <f t="shared" si="1918"/>
        <v>24</v>
      </c>
    </row>
    <row r="943" spans="1:31">
      <c r="A943" s="4">
        <v>12201</v>
      </c>
      <c r="B943" s="4">
        <v>12</v>
      </c>
      <c r="C943" s="29" t="s">
        <v>67</v>
      </c>
      <c r="D943" s="46">
        <v>0</v>
      </c>
      <c r="E943" s="18">
        <f t="shared" si="1835"/>
        <v>172</v>
      </c>
      <c r="F943" s="28">
        <v>0</v>
      </c>
      <c r="G943" s="28">
        <v>0</v>
      </c>
      <c r="H943" s="47">
        <v>0</v>
      </c>
      <c r="I943" s="21">
        <f t="shared" si="1889"/>
        <v>165</v>
      </c>
      <c r="J943" s="21">
        <f t="shared" si="1844"/>
        <v>11</v>
      </c>
      <c r="K943" s="21">
        <v>0</v>
      </c>
      <c r="L943" s="20">
        <v>6</v>
      </c>
      <c r="M943" s="20">
        <v>0</v>
      </c>
      <c r="N943" s="20">
        <f t="shared" si="1890"/>
        <v>2400</v>
      </c>
      <c r="O943" s="19" t="s">
        <v>67</v>
      </c>
      <c r="P943" s="20">
        <v>9100</v>
      </c>
      <c r="Q943" s="20">
        <f t="shared" ref="Q943:X943" si="1919">Q913</f>
        <v>240</v>
      </c>
      <c r="R943" s="20">
        <f t="shared" si="1919"/>
        <v>960</v>
      </c>
      <c r="S943" s="20">
        <f t="shared" si="1919"/>
        <v>1680</v>
      </c>
      <c r="T943" s="20">
        <f t="shared" si="1919"/>
        <v>2160</v>
      </c>
      <c r="U943" s="20">
        <f t="shared" si="1919"/>
        <v>150</v>
      </c>
      <c r="V943" s="20">
        <f t="shared" si="1919"/>
        <v>700</v>
      </c>
      <c r="W943" s="20">
        <f t="shared" si="1919"/>
        <v>900</v>
      </c>
      <c r="X943" s="20">
        <f t="shared" si="1919"/>
        <v>3</v>
      </c>
      <c r="Y943" s="20">
        <v>0</v>
      </c>
      <c r="Z943" s="22">
        <v>0</v>
      </c>
      <c r="AA943" s="27">
        <v>0</v>
      </c>
      <c r="AB943" s="27">
        <v>0</v>
      </c>
      <c r="AC943" s="27">
        <v>0</v>
      </c>
      <c r="AD943" s="23">
        <f t="shared" ref="AD943:AE943" si="1920">AD913</f>
        <v>22</v>
      </c>
      <c r="AE943" s="23">
        <f t="shared" si="1920"/>
        <v>26</v>
      </c>
    </row>
    <row r="944" spans="1:31">
      <c r="A944" s="4">
        <v>12201</v>
      </c>
      <c r="B944" s="4">
        <v>13</v>
      </c>
      <c r="C944" s="29" t="s">
        <v>68</v>
      </c>
      <c r="D944" s="46">
        <v>0</v>
      </c>
      <c r="E944" s="18">
        <f t="shared" si="1835"/>
        <v>187</v>
      </c>
      <c r="F944" s="28">
        <v>0</v>
      </c>
      <c r="G944" s="28">
        <v>0</v>
      </c>
      <c r="H944" s="47">
        <v>0</v>
      </c>
      <c r="I944" s="21">
        <f t="shared" si="1889"/>
        <v>220</v>
      </c>
      <c r="J944" s="21">
        <f t="shared" si="1844"/>
        <v>12</v>
      </c>
      <c r="K944" s="21">
        <v>0</v>
      </c>
      <c r="L944" s="20">
        <v>6</v>
      </c>
      <c r="M944" s="20">
        <v>0</v>
      </c>
      <c r="N944" s="20">
        <f t="shared" si="1890"/>
        <v>2600</v>
      </c>
      <c r="O944" s="19" t="s">
        <v>68</v>
      </c>
      <c r="P944" s="20">
        <v>8600</v>
      </c>
      <c r="Q944" s="20">
        <f t="shared" ref="Q944:X944" si="1921">Q914</f>
        <v>260</v>
      </c>
      <c r="R944" s="20">
        <f t="shared" si="1921"/>
        <v>1040</v>
      </c>
      <c r="S944" s="20">
        <f t="shared" si="1921"/>
        <v>1819.9999999999998</v>
      </c>
      <c r="T944" s="20">
        <f t="shared" si="1921"/>
        <v>2340</v>
      </c>
      <c r="U944" s="20">
        <f t="shared" si="1921"/>
        <v>100</v>
      </c>
      <c r="V944" s="20">
        <f t="shared" si="1921"/>
        <v>700</v>
      </c>
      <c r="W944" s="20">
        <f t="shared" si="1921"/>
        <v>1000</v>
      </c>
      <c r="X944" s="20">
        <f t="shared" si="1921"/>
        <v>4</v>
      </c>
      <c r="Y944" s="20">
        <v>0</v>
      </c>
      <c r="Z944" s="22">
        <v>75</v>
      </c>
      <c r="AA944" s="27">
        <v>0</v>
      </c>
      <c r="AB944" s="27">
        <v>0</v>
      </c>
      <c r="AC944" s="27">
        <v>0</v>
      </c>
      <c r="AD944" s="23">
        <f t="shared" ref="AD944:AE944" si="1922">AD914</f>
        <v>24</v>
      </c>
      <c r="AE944" s="23">
        <f t="shared" si="1922"/>
        <v>28</v>
      </c>
    </row>
    <row r="945" spans="1:31">
      <c r="A945" s="4">
        <v>12201</v>
      </c>
      <c r="B945" s="4">
        <v>14</v>
      </c>
      <c r="C945" s="29" t="s">
        <v>69</v>
      </c>
      <c r="D945" s="46">
        <v>0</v>
      </c>
      <c r="E945" s="18">
        <f t="shared" si="1835"/>
        <v>202</v>
      </c>
      <c r="F945" s="28">
        <v>0</v>
      </c>
      <c r="G945" s="28">
        <v>0</v>
      </c>
      <c r="H945" s="47">
        <v>0</v>
      </c>
      <c r="I945" s="21">
        <f t="shared" si="1889"/>
        <v>220</v>
      </c>
      <c r="J945" s="21">
        <f t="shared" si="1844"/>
        <v>13</v>
      </c>
      <c r="K945" s="21">
        <v>0</v>
      </c>
      <c r="L945" s="20">
        <v>6</v>
      </c>
      <c r="M945" s="20">
        <v>0</v>
      </c>
      <c r="N945" s="20">
        <f t="shared" si="1890"/>
        <v>2800</v>
      </c>
      <c r="O945" s="19" t="s">
        <v>69</v>
      </c>
      <c r="P945" s="20">
        <v>6400</v>
      </c>
      <c r="Q945" s="20">
        <f t="shared" ref="Q945:X945" si="1923">Q915</f>
        <v>280</v>
      </c>
      <c r="R945" s="20">
        <f t="shared" si="1923"/>
        <v>1120</v>
      </c>
      <c r="S945" s="20">
        <f t="shared" si="1923"/>
        <v>1959.9999999999998</v>
      </c>
      <c r="T945" s="20">
        <f t="shared" si="1923"/>
        <v>2520</v>
      </c>
      <c r="U945" s="20">
        <f t="shared" si="1923"/>
        <v>100</v>
      </c>
      <c r="V945" s="20">
        <f t="shared" si="1923"/>
        <v>400</v>
      </c>
      <c r="W945" s="20">
        <f t="shared" si="1923"/>
        <v>1200</v>
      </c>
      <c r="X945" s="20">
        <f t="shared" si="1923"/>
        <v>4</v>
      </c>
      <c r="Y945" s="20">
        <v>0</v>
      </c>
      <c r="Z945" s="22">
        <v>0</v>
      </c>
      <c r="AA945" s="27">
        <v>0</v>
      </c>
      <c r="AB945" s="27">
        <v>0</v>
      </c>
      <c r="AC945" s="27">
        <v>0</v>
      </c>
      <c r="AD945" s="23">
        <f t="shared" ref="AD945:AE945" si="1924">AD915</f>
        <v>26</v>
      </c>
      <c r="AE945" s="23">
        <f t="shared" si="1924"/>
        <v>30</v>
      </c>
    </row>
    <row r="946" spans="1:31">
      <c r="A946" s="8">
        <v>12201</v>
      </c>
      <c r="B946" s="8">
        <v>15</v>
      </c>
      <c r="C946" s="29" t="s">
        <v>70</v>
      </c>
      <c r="D946" s="46">
        <v>0</v>
      </c>
      <c r="E946" s="18">
        <f t="shared" si="1835"/>
        <v>219</v>
      </c>
      <c r="F946" s="28">
        <v>0</v>
      </c>
      <c r="G946" s="28">
        <v>0</v>
      </c>
      <c r="H946" s="47">
        <v>0</v>
      </c>
      <c r="I946" s="21">
        <f t="shared" si="1889"/>
        <v>220</v>
      </c>
      <c r="J946" s="21">
        <f t="shared" si="1844"/>
        <v>14</v>
      </c>
      <c r="K946" s="21">
        <v>0</v>
      </c>
      <c r="L946" s="20">
        <v>6</v>
      </c>
      <c r="M946" s="20">
        <v>0</v>
      </c>
      <c r="N946" s="20">
        <f t="shared" si="1890"/>
        <v>4500</v>
      </c>
      <c r="O946" s="19" t="s">
        <v>70</v>
      </c>
      <c r="P946" s="20">
        <v>3100</v>
      </c>
      <c r="Q946" s="20">
        <f t="shared" ref="Q946:X946" si="1925">Q916</f>
        <v>450</v>
      </c>
      <c r="R946" s="20">
        <f t="shared" si="1925"/>
        <v>1800</v>
      </c>
      <c r="S946" s="20">
        <f t="shared" si="1925"/>
        <v>3150</v>
      </c>
      <c r="T946" s="20">
        <f t="shared" si="1925"/>
        <v>4050</v>
      </c>
      <c r="U946" s="20">
        <f t="shared" si="1925"/>
        <v>100</v>
      </c>
      <c r="V946" s="20">
        <f t="shared" si="1925"/>
        <v>1000</v>
      </c>
      <c r="W946" s="20">
        <f t="shared" si="1925"/>
        <v>600</v>
      </c>
      <c r="X946" s="20">
        <f t="shared" si="1925"/>
        <v>4</v>
      </c>
      <c r="Y946" s="20">
        <v>0</v>
      </c>
      <c r="Z946" s="22">
        <v>0</v>
      </c>
      <c r="AA946" s="27">
        <v>0</v>
      </c>
      <c r="AB946" s="27">
        <v>0</v>
      </c>
      <c r="AC946" s="27">
        <v>0</v>
      </c>
      <c r="AD946" s="23">
        <f t="shared" ref="AD946:AE946" si="1926">AD916</f>
        <v>28</v>
      </c>
      <c r="AE946" s="23">
        <f t="shared" si="1926"/>
        <v>32</v>
      </c>
    </row>
    <row r="947" spans="1:31">
      <c r="A947" s="4">
        <v>12201</v>
      </c>
      <c r="B947" s="4">
        <v>16</v>
      </c>
      <c r="C947" s="29" t="s">
        <v>71</v>
      </c>
      <c r="D947" s="46">
        <v>0</v>
      </c>
      <c r="E947" s="18">
        <f t="shared" si="1835"/>
        <v>237</v>
      </c>
      <c r="F947" s="28">
        <v>0</v>
      </c>
      <c r="G947" s="28">
        <v>0</v>
      </c>
      <c r="H947" s="47">
        <v>0</v>
      </c>
      <c r="I947" s="21">
        <f t="shared" si="1889"/>
        <v>220</v>
      </c>
      <c r="J947" s="21">
        <f t="shared" si="1844"/>
        <v>15</v>
      </c>
      <c r="K947" s="21">
        <v>0</v>
      </c>
      <c r="L947" s="20">
        <v>6</v>
      </c>
      <c r="M947" s="20">
        <v>0</v>
      </c>
      <c r="N947" s="20">
        <f t="shared" si="1890"/>
        <v>4800</v>
      </c>
      <c r="O947" s="19" t="s">
        <v>71</v>
      </c>
      <c r="P947" s="20">
        <v>1777</v>
      </c>
      <c r="Q947" s="20">
        <f t="shared" ref="Q947:X947" si="1927">Q917</f>
        <v>480</v>
      </c>
      <c r="R947" s="20">
        <f t="shared" si="1927"/>
        <v>1920</v>
      </c>
      <c r="S947" s="20">
        <f t="shared" si="1927"/>
        <v>3360</v>
      </c>
      <c r="T947" s="20">
        <f t="shared" si="1927"/>
        <v>4320</v>
      </c>
      <c r="U947" s="20">
        <f t="shared" si="1927"/>
        <v>100</v>
      </c>
      <c r="V947" s="20">
        <f t="shared" si="1927"/>
        <v>800</v>
      </c>
      <c r="W947" s="20">
        <f t="shared" si="1927"/>
        <v>800</v>
      </c>
      <c r="X947" s="20">
        <f t="shared" si="1927"/>
        <v>4</v>
      </c>
      <c r="Y947" s="20">
        <v>0</v>
      </c>
      <c r="Z947" s="22">
        <v>0</v>
      </c>
      <c r="AA947" s="27">
        <v>0</v>
      </c>
      <c r="AB947" s="27">
        <v>0</v>
      </c>
      <c r="AC947" s="27">
        <v>0</v>
      </c>
      <c r="AD947" s="23">
        <f t="shared" ref="AD947:AE947" si="1928">AD917</f>
        <v>30</v>
      </c>
      <c r="AE947" s="23">
        <f t="shared" si="1928"/>
        <v>34</v>
      </c>
    </row>
    <row r="948" spans="1:31">
      <c r="A948" s="4">
        <v>12201</v>
      </c>
      <c r="B948" s="4">
        <v>17</v>
      </c>
      <c r="C948" s="29" t="s">
        <v>72</v>
      </c>
      <c r="D948" s="46">
        <v>0</v>
      </c>
      <c r="E948" s="18">
        <f t="shared" si="1835"/>
        <v>256</v>
      </c>
      <c r="F948" s="28">
        <v>0</v>
      </c>
      <c r="G948" s="28">
        <v>0</v>
      </c>
      <c r="H948" s="47">
        <v>0</v>
      </c>
      <c r="I948" s="21">
        <f t="shared" si="1889"/>
        <v>275</v>
      </c>
      <c r="J948" s="21">
        <f t="shared" si="1844"/>
        <v>16</v>
      </c>
      <c r="K948" s="21">
        <v>0</v>
      </c>
      <c r="L948" s="20">
        <v>6</v>
      </c>
      <c r="M948" s="20">
        <v>0</v>
      </c>
      <c r="N948" s="20">
        <f t="shared" si="1890"/>
        <v>5100</v>
      </c>
      <c r="O948" s="19" t="s">
        <v>72</v>
      </c>
      <c r="P948" s="20">
        <v>2332</v>
      </c>
      <c r="Q948" s="20">
        <f t="shared" ref="Q948:X948" si="1929">Q918</f>
        <v>510</v>
      </c>
      <c r="R948" s="20">
        <f t="shared" si="1929"/>
        <v>2040</v>
      </c>
      <c r="S948" s="20">
        <f t="shared" si="1929"/>
        <v>3570</v>
      </c>
      <c r="T948" s="20">
        <f t="shared" si="1929"/>
        <v>4590</v>
      </c>
      <c r="U948" s="20">
        <f t="shared" si="1929"/>
        <v>80</v>
      </c>
      <c r="V948" s="20">
        <f t="shared" si="1929"/>
        <v>800</v>
      </c>
      <c r="W948" s="20">
        <f t="shared" si="1929"/>
        <v>600</v>
      </c>
      <c r="X948" s="20">
        <f t="shared" si="1929"/>
        <v>5</v>
      </c>
      <c r="Y948" s="20">
        <v>0</v>
      </c>
      <c r="Z948" s="22">
        <v>0</v>
      </c>
      <c r="AA948" s="27">
        <v>0</v>
      </c>
      <c r="AB948" s="27">
        <v>0</v>
      </c>
      <c r="AC948" s="27">
        <v>0</v>
      </c>
      <c r="AD948" s="23">
        <f t="shared" ref="AD948:AE948" si="1930">AD918</f>
        <v>32</v>
      </c>
      <c r="AE948" s="23">
        <f t="shared" si="1930"/>
        <v>36</v>
      </c>
    </row>
    <row r="949" spans="1:31">
      <c r="A949" s="4">
        <v>12201</v>
      </c>
      <c r="B949" s="4">
        <v>18</v>
      </c>
      <c r="C949" s="29" t="s">
        <v>73</v>
      </c>
      <c r="D949" s="46">
        <v>0</v>
      </c>
      <c r="E949" s="18">
        <f t="shared" si="1835"/>
        <v>278</v>
      </c>
      <c r="F949" s="28">
        <v>0</v>
      </c>
      <c r="G949" s="28">
        <v>0</v>
      </c>
      <c r="H949" s="47">
        <v>0</v>
      </c>
      <c r="I949" s="21">
        <f t="shared" si="1889"/>
        <v>275</v>
      </c>
      <c r="J949" s="21">
        <f t="shared" si="1844"/>
        <v>17</v>
      </c>
      <c r="K949" s="21">
        <v>0</v>
      </c>
      <c r="L949" s="20">
        <v>6</v>
      </c>
      <c r="M949" s="20">
        <v>0</v>
      </c>
      <c r="N949" s="20">
        <f t="shared" si="1890"/>
        <v>5400</v>
      </c>
      <c r="O949" s="19" t="s">
        <v>73</v>
      </c>
      <c r="P949" s="20">
        <v>1487</v>
      </c>
      <c r="Q949" s="20">
        <f t="shared" ref="Q949:X949" si="1931">Q919</f>
        <v>540</v>
      </c>
      <c r="R949" s="20">
        <f t="shared" si="1931"/>
        <v>2160</v>
      </c>
      <c r="S949" s="20">
        <f t="shared" si="1931"/>
        <v>3779.9999999999995</v>
      </c>
      <c r="T949" s="20">
        <f t="shared" si="1931"/>
        <v>4860</v>
      </c>
      <c r="U949" s="20">
        <f t="shared" si="1931"/>
        <v>100</v>
      </c>
      <c r="V949" s="20">
        <f t="shared" si="1931"/>
        <v>600</v>
      </c>
      <c r="W949" s="20">
        <f t="shared" si="1931"/>
        <v>300</v>
      </c>
      <c r="X949" s="20">
        <f t="shared" si="1931"/>
        <v>5</v>
      </c>
      <c r="Y949" s="20">
        <v>0</v>
      </c>
      <c r="Z949" s="22">
        <v>113</v>
      </c>
      <c r="AA949" s="27">
        <v>0</v>
      </c>
      <c r="AB949" s="27">
        <v>0</v>
      </c>
      <c r="AC949" s="27">
        <v>0</v>
      </c>
      <c r="AD949" s="23">
        <f t="shared" ref="AD949:AE949" si="1932">AD919</f>
        <v>34</v>
      </c>
      <c r="AE949" s="23">
        <f t="shared" si="1932"/>
        <v>38</v>
      </c>
    </row>
    <row r="950" spans="1:31">
      <c r="A950" s="4">
        <v>12201</v>
      </c>
      <c r="B950" s="4">
        <v>19</v>
      </c>
      <c r="C950" s="29" t="s">
        <v>74</v>
      </c>
      <c r="D950" s="46">
        <v>0</v>
      </c>
      <c r="E950" s="18">
        <f t="shared" si="1835"/>
        <v>301</v>
      </c>
      <c r="F950" s="28">
        <v>0</v>
      </c>
      <c r="G950" s="28">
        <v>0</v>
      </c>
      <c r="H950" s="47">
        <v>0</v>
      </c>
      <c r="I950" s="21">
        <f t="shared" si="1889"/>
        <v>275</v>
      </c>
      <c r="J950" s="21">
        <f t="shared" si="1844"/>
        <v>18</v>
      </c>
      <c r="K950" s="21">
        <v>0</v>
      </c>
      <c r="L950" s="20">
        <v>6</v>
      </c>
      <c r="M950" s="20">
        <v>0</v>
      </c>
      <c r="N950" s="20">
        <f t="shared" si="1890"/>
        <v>5700</v>
      </c>
      <c r="O950" s="19" t="s">
        <v>74</v>
      </c>
      <c r="P950" s="20">
        <v>1518</v>
      </c>
      <c r="Q950" s="20">
        <f t="shared" ref="Q950:X950" si="1933">Q920</f>
        <v>570</v>
      </c>
      <c r="R950" s="20">
        <f t="shared" si="1933"/>
        <v>2280</v>
      </c>
      <c r="S950" s="20">
        <f t="shared" si="1933"/>
        <v>3989.9999999999995</v>
      </c>
      <c r="T950" s="20">
        <f t="shared" si="1933"/>
        <v>5130</v>
      </c>
      <c r="U950" s="20">
        <f t="shared" si="1933"/>
        <v>100</v>
      </c>
      <c r="V950" s="20">
        <f t="shared" si="1933"/>
        <v>500</v>
      </c>
      <c r="W950" s="20">
        <f t="shared" si="1933"/>
        <v>400</v>
      </c>
      <c r="X950" s="20">
        <f t="shared" si="1933"/>
        <v>5</v>
      </c>
      <c r="Y950" s="20">
        <v>0</v>
      </c>
      <c r="Z950" s="22">
        <v>0</v>
      </c>
      <c r="AA950" s="27">
        <v>0</v>
      </c>
      <c r="AB950" s="27">
        <v>0</v>
      </c>
      <c r="AC950" s="27">
        <v>0</v>
      </c>
      <c r="AD950" s="23">
        <f t="shared" ref="AD950:AE950" si="1934">AD920</f>
        <v>36</v>
      </c>
      <c r="AE950" s="23">
        <f t="shared" si="1934"/>
        <v>40</v>
      </c>
    </row>
    <row r="951" spans="1:31">
      <c r="A951" s="4">
        <v>12201</v>
      </c>
      <c r="B951" s="4">
        <v>20</v>
      </c>
      <c r="C951" s="29" t="s">
        <v>75</v>
      </c>
      <c r="D951" s="46">
        <v>0</v>
      </c>
      <c r="E951" s="18">
        <f t="shared" si="1835"/>
        <v>325</v>
      </c>
      <c r="F951" s="28">
        <v>0</v>
      </c>
      <c r="G951" s="28">
        <v>0</v>
      </c>
      <c r="H951" s="47">
        <v>0</v>
      </c>
      <c r="I951" s="21">
        <f t="shared" si="1889"/>
        <v>275</v>
      </c>
      <c r="J951" s="21">
        <f t="shared" si="1844"/>
        <v>19</v>
      </c>
      <c r="K951" s="21">
        <v>0</v>
      </c>
      <c r="L951" s="20">
        <v>6</v>
      </c>
      <c r="M951" s="20">
        <v>0</v>
      </c>
      <c r="N951" s="20">
        <f t="shared" si="1890"/>
        <v>8000</v>
      </c>
      <c r="O951" s="19" t="s">
        <v>75</v>
      </c>
      <c r="P951" s="20">
        <v>861</v>
      </c>
      <c r="Q951" s="20">
        <f t="shared" ref="Q951:X951" si="1935">Q921</f>
        <v>800</v>
      </c>
      <c r="R951" s="20">
        <f t="shared" si="1935"/>
        <v>3200</v>
      </c>
      <c r="S951" s="20">
        <f t="shared" si="1935"/>
        <v>5600</v>
      </c>
      <c r="T951" s="20">
        <f t="shared" si="1935"/>
        <v>7200</v>
      </c>
      <c r="U951" s="20">
        <f t="shared" si="1935"/>
        <v>100</v>
      </c>
      <c r="V951" s="20">
        <f t="shared" si="1935"/>
        <v>800</v>
      </c>
      <c r="W951" s="20">
        <f t="shared" si="1935"/>
        <v>8000</v>
      </c>
      <c r="X951" s="20">
        <f t="shared" si="1935"/>
        <v>5</v>
      </c>
      <c r="Y951" s="20">
        <v>0</v>
      </c>
      <c r="Z951" s="22">
        <v>0</v>
      </c>
      <c r="AA951" s="27">
        <v>0</v>
      </c>
      <c r="AB951" s="27">
        <v>0</v>
      </c>
      <c r="AC951" s="27">
        <v>0</v>
      </c>
      <c r="AD951" s="23">
        <f t="shared" ref="AD951:AE951" si="1936">AD921</f>
        <v>38</v>
      </c>
      <c r="AE951" s="23">
        <f t="shared" si="1936"/>
        <v>42</v>
      </c>
    </row>
    <row r="952" spans="1:31">
      <c r="A952" s="4">
        <v>12201</v>
      </c>
      <c r="B952" s="4">
        <v>21</v>
      </c>
      <c r="C952" s="29" t="s">
        <v>66</v>
      </c>
      <c r="D952" s="46">
        <v>0</v>
      </c>
      <c r="E952" s="18">
        <f t="shared" si="1835"/>
        <v>352</v>
      </c>
      <c r="F952" s="28">
        <v>0</v>
      </c>
      <c r="G952" s="28">
        <v>0</v>
      </c>
      <c r="H952" s="47">
        <v>0</v>
      </c>
      <c r="I952" s="21">
        <f t="shared" si="1889"/>
        <v>330</v>
      </c>
      <c r="J952" s="21">
        <f t="shared" si="1844"/>
        <v>20</v>
      </c>
      <c r="K952" s="21">
        <v>0</v>
      </c>
      <c r="L952" s="20">
        <v>6</v>
      </c>
      <c r="M952" s="20">
        <v>0</v>
      </c>
      <c r="N952" s="20">
        <f t="shared" si="1890"/>
        <v>8400</v>
      </c>
      <c r="O952" s="19" t="s">
        <v>66</v>
      </c>
      <c r="P952" s="20">
        <v>9400</v>
      </c>
      <c r="Q952" s="20">
        <f t="shared" ref="Q952:X952" si="1937">Q922</f>
        <v>840</v>
      </c>
      <c r="R952" s="20">
        <f t="shared" si="1937"/>
        <v>3360</v>
      </c>
      <c r="S952" s="20">
        <f t="shared" si="1937"/>
        <v>5880</v>
      </c>
      <c r="T952" s="20">
        <f t="shared" si="1937"/>
        <v>7560</v>
      </c>
      <c r="U952" s="20">
        <f t="shared" si="1937"/>
        <v>50</v>
      </c>
      <c r="V952" s="20">
        <f t="shared" si="1937"/>
        <v>1000</v>
      </c>
      <c r="W952" s="20">
        <f t="shared" si="1937"/>
        <v>600</v>
      </c>
      <c r="X952" s="20">
        <f t="shared" si="1937"/>
        <v>6</v>
      </c>
      <c r="Y952" s="20">
        <v>0</v>
      </c>
      <c r="Z952" s="22">
        <v>0</v>
      </c>
      <c r="AA952" s="27">
        <v>0</v>
      </c>
      <c r="AB952" s="27">
        <v>0</v>
      </c>
      <c r="AC952" s="27">
        <v>0</v>
      </c>
      <c r="AD952" s="23">
        <f t="shared" ref="AD952:AE952" si="1938">AD922</f>
        <v>40</v>
      </c>
      <c r="AE952" s="23">
        <f t="shared" si="1938"/>
        <v>44</v>
      </c>
    </row>
    <row r="953" spans="1:31">
      <c r="A953" s="4">
        <v>12201</v>
      </c>
      <c r="B953" s="4">
        <v>22</v>
      </c>
      <c r="C953" s="29" t="s">
        <v>67</v>
      </c>
      <c r="D953" s="46">
        <v>0</v>
      </c>
      <c r="E953" s="18">
        <f t="shared" si="1835"/>
        <v>381</v>
      </c>
      <c r="F953" s="28">
        <v>0</v>
      </c>
      <c r="G953" s="28">
        <v>0</v>
      </c>
      <c r="H953" s="47">
        <v>0</v>
      </c>
      <c r="I953" s="21">
        <f t="shared" si="1889"/>
        <v>330</v>
      </c>
      <c r="J953" s="21">
        <f t="shared" si="1844"/>
        <v>21</v>
      </c>
      <c r="K953" s="21">
        <v>0</v>
      </c>
      <c r="L953" s="20">
        <v>6</v>
      </c>
      <c r="M953" s="20">
        <v>0</v>
      </c>
      <c r="N953" s="20">
        <f t="shared" si="1890"/>
        <v>8800</v>
      </c>
      <c r="O953" s="19" t="s">
        <v>67</v>
      </c>
      <c r="P953" s="20">
        <v>9100</v>
      </c>
      <c r="Q953" s="20">
        <f t="shared" ref="Q953:X953" si="1939">Q923</f>
        <v>880</v>
      </c>
      <c r="R953" s="20">
        <f t="shared" si="1939"/>
        <v>3520</v>
      </c>
      <c r="S953" s="20">
        <f t="shared" si="1939"/>
        <v>6160</v>
      </c>
      <c r="T953" s="20">
        <f t="shared" si="1939"/>
        <v>7920</v>
      </c>
      <c r="U953" s="20">
        <f t="shared" si="1939"/>
        <v>100</v>
      </c>
      <c r="V953" s="20">
        <f t="shared" si="1939"/>
        <v>600</v>
      </c>
      <c r="W953" s="20">
        <f t="shared" si="1939"/>
        <v>700</v>
      </c>
      <c r="X953" s="20">
        <f t="shared" si="1939"/>
        <v>6</v>
      </c>
      <c r="Y953" s="20">
        <v>0</v>
      </c>
      <c r="Z953" s="22">
        <v>0</v>
      </c>
      <c r="AA953" s="27">
        <v>0</v>
      </c>
      <c r="AB953" s="27">
        <v>0</v>
      </c>
      <c r="AC953" s="27">
        <v>0</v>
      </c>
      <c r="AD953" s="23">
        <f t="shared" ref="AD953:AE953" si="1940">AD923</f>
        <v>42</v>
      </c>
      <c r="AE953" s="23">
        <f t="shared" si="1940"/>
        <v>46</v>
      </c>
    </row>
    <row r="954" spans="1:31">
      <c r="A954" s="4">
        <v>12201</v>
      </c>
      <c r="B954" s="4">
        <v>23</v>
      </c>
      <c r="C954" s="29" t="s">
        <v>68</v>
      </c>
      <c r="D954" s="46">
        <v>0</v>
      </c>
      <c r="E954" s="18">
        <f t="shared" si="1835"/>
        <v>413</v>
      </c>
      <c r="F954" s="28">
        <v>0</v>
      </c>
      <c r="G954" s="28">
        <v>0</v>
      </c>
      <c r="H954" s="47">
        <v>0</v>
      </c>
      <c r="I954" s="21">
        <f t="shared" si="1889"/>
        <v>330</v>
      </c>
      <c r="J954" s="21">
        <f t="shared" si="1844"/>
        <v>22</v>
      </c>
      <c r="K954" s="21">
        <v>0</v>
      </c>
      <c r="L954" s="20">
        <v>6</v>
      </c>
      <c r="M954" s="20">
        <v>0</v>
      </c>
      <c r="N954" s="20">
        <f t="shared" si="1890"/>
        <v>9200</v>
      </c>
      <c r="O954" s="19" t="s">
        <v>68</v>
      </c>
      <c r="P954" s="20">
        <v>8600</v>
      </c>
      <c r="Q954" s="20">
        <f t="shared" ref="Q954:X954" si="1941">Q924</f>
        <v>920</v>
      </c>
      <c r="R954" s="20">
        <f t="shared" si="1941"/>
        <v>3680</v>
      </c>
      <c r="S954" s="20">
        <f t="shared" si="1941"/>
        <v>6440</v>
      </c>
      <c r="T954" s="20">
        <f t="shared" si="1941"/>
        <v>8280</v>
      </c>
      <c r="U954" s="20">
        <f t="shared" si="1941"/>
        <v>100</v>
      </c>
      <c r="V954" s="20">
        <f t="shared" si="1941"/>
        <v>550</v>
      </c>
      <c r="W954" s="20">
        <f t="shared" si="1941"/>
        <v>500</v>
      </c>
      <c r="X954" s="20">
        <f t="shared" si="1941"/>
        <v>6</v>
      </c>
      <c r="Y954" s="20">
        <v>0</v>
      </c>
      <c r="Z954" s="22">
        <v>150</v>
      </c>
      <c r="AA954" s="27">
        <v>0</v>
      </c>
      <c r="AB954" s="27">
        <v>0</v>
      </c>
      <c r="AC954" s="27">
        <v>0</v>
      </c>
      <c r="AD954" s="23">
        <f t="shared" ref="AD954:AE954" si="1942">AD924</f>
        <v>44</v>
      </c>
      <c r="AE954" s="23">
        <f t="shared" si="1942"/>
        <v>48</v>
      </c>
    </row>
    <row r="955" spans="1:31">
      <c r="A955" s="4">
        <v>12201</v>
      </c>
      <c r="B955" s="4">
        <v>24</v>
      </c>
      <c r="C955" s="29" t="s">
        <v>69</v>
      </c>
      <c r="D955" s="46">
        <v>0</v>
      </c>
      <c r="E955" s="18">
        <f t="shared" si="1835"/>
        <v>447</v>
      </c>
      <c r="F955" s="28">
        <v>0</v>
      </c>
      <c r="G955" s="28">
        <v>0</v>
      </c>
      <c r="H955" s="47">
        <v>0</v>
      </c>
      <c r="I955" s="21">
        <f t="shared" si="1889"/>
        <v>330</v>
      </c>
      <c r="J955" s="21">
        <f t="shared" si="1844"/>
        <v>23</v>
      </c>
      <c r="K955" s="21">
        <v>0</v>
      </c>
      <c r="L955" s="20">
        <v>6</v>
      </c>
      <c r="M955" s="20">
        <v>0</v>
      </c>
      <c r="N955" s="20">
        <f t="shared" si="1890"/>
        <v>9600</v>
      </c>
      <c r="O955" s="19" t="s">
        <v>69</v>
      </c>
      <c r="P955" s="20">
        <v>6400</v>
      </c>
      <c r="Q955" s="20">
        <f t="shared" ref="Q955:X955" si="1943">Q925</f>
        <v>960</v>
      </c>
      <c r="R955" s="20">
        <f t="shared" si="1943"/>
        <v>3840</v>
      </c>
      <c r="S955" s="20">
        <f t="shared" si="1943"/>
        <v>6720</v>
      </c>
      <c r="T955" s="20">
        <f t="shared" si="1943"/>
        <v>8640</v>
      </c>
      <c r="U955" s="20">
        <f t="shared" si="1943"/>
        <v>100</v>
      </c>
      <c r="V955" s="20">
        <f t="shared" si="1943"/>
        <v>500</v>
      </c>
      <c r="W955" s="20">
        <f t="shared" si="1943"/>
        <v>900</v>
      </c>
      <c r="X955" s="20">
        <f t="shared" si="1943"/>
        <v>6</v>
      </c>
      <c r="Y955" s="20">
        <v>0</v>
      </c>
      <c r="Z955" s="22">
        <v>0</v>
      </c>
      <c r="AA955" s="27">
        <v>0</v>
      </c>
      <c r="AB955" s="27">
        <v>0</v>
      </c>
      <c r="AC955" s="27">
        <v>0</v>
      </c>
      <c r="AD955" s="23">
        <f t="shared" ref="AD955:AE955" si="1944">AD925</f>
        <v>46</v>
      </c>
      <c r="AE955" s="23">
        <f t="shared" si="1944"/>
        <v>50</v>
      </c>
    </row>
    <row r="956" spans="1:31">
      <c r="A956" s="4">
        <v>12201</v>
      </c>
      <c r="B956" s="4">
        <v>25</v>
      </c>
      <c r="C956" s="29" t="s">
        <v>70</v>
      </c>
      <c r="D956" s="46">
        <v>0</v>
      </c>
      <c r="E956" s="18">
        <f t="shared" si="1835"/>
        <v>484</v>
      </c>
      <c r="F956" s="28">
        <v>0</v>
      </c>
      <c r="G956" s="28">
        <v>0</v>
      </c>
      <c r="H956" s="47">
        <v>0</v>
      </c>
      <c r="I956" s="21">
        <f t="shared" si="1889"/>
        <v>385</v>
      </c>
      <c r="J956" s="21">
        <f t="shared" si="1844"/>
        <v>24</v>
      </c>
      <c r="K956" s="21">
        <v>0</v>
      </c>
      <c r="L956" s="20">
        <v>6</v>
      </c>
      <c r="M956" s="20">
        <v>0</v>
      </c>
      <c r="N956" s="20">
        <f t="shared" si="1890"/>
        <v>12500</v>
      </c>
      <c r="O956" s="19" t="s">
        <v>70</v>
      </c>
      <c r="P956" s="20">
        <v>3100</v>
      </c>
      <c r="Q956" s="20">
        <f t="shared" ref="Q956:X956" si="1945">Q926</f>
        <v>1250</v>
      </c>
      <c r="R956" s="20">
        <f t="shared" si="1945"/>
        <v>5000</v>
      </c>
      <c r="S956" s="20">
        <f t="shared" si="1945"/>
        <v>8750</v>
      </c>
      <c r="T956" s="20">
        <f t="shared" si="1945"/>
        <v>11250</v>
      </c>
      <c r="U956" s="20">
        <f t="shared" si="1945"/>
        <v>10</v>
      </c>
      <c r="V956" s="20">
        <f t="shared" si="1945"/>
        <v>1300</v>
      </c>
      <c r="W956" s="20">
        <f t="shared" si="1945"/>
        <v>1000</v>
      </c>
      <c r="X956" s="20">
        <f t="shared" si="1945"/>
        <v>7</v>
      </c>
      <c r="Y956" s="20">
        <v>0</v>
      </c>
      <c r="Z956" s="22">
        <v>0</v>
      </c>
      <c r="AA956" s="27">
        <v>0</v>
      </c>
      <c r="AB956" s="27">
        <v>0</v>
      </c>
      <c r="AC956" s="27">
        <v>0</v>
      </c>
      <c r="AD956" s="23">
        <f t="shared" ref="AD956:AE956" si="1946">AD926</f>
        <v>48</v>
      </c>
      <c r="AE956" s="23">
        <f t="shared" si="1946"/>
        <v>52</v>
      </c>
    </row>
    <row r="957" spans="1:31">
      <c r="A957" s="4">
        <v>12201</v>
      </c>
      <c r="B957" s="4">
        <v>26</v>
      </c>
      <c r="C957" s="29" t="s">
        <v>71</v>
      </c>
      <c r="D957" s="46">
        <v>0</v>
      </c>
      <c r="E957" s="18">
        <f t="shared" si="1835"/>
        <v>524</v>
      </c>
      <c r="F957" s="28">
        <v>0</v>
      </c>
      <c r="G957" s="28">
        <v>0</v>
      </c>
      <c r="H957" s="47">
        <v>0</v>
      </c>
      <c r="I957" s="21">
        <f t="shared" si="1889"/>
        <v>385</v>
      </c>
      <c r="J957" s="21">
        <f t="shared" si="1844"/>
        <v>25</v>
      </c>
      <c r="K957" s="21">
        <v>0</v>
      </c>
      <c r="L957" s="20">
        <v>6</v>
      </c>
      <c r="M957" s="20">
        <v>0</v>
      </c>
      <c r="N957" s="20">
        <f t="shared" si="1890"/>
        <v>13000</v>
      </c>
      <c r="O957" s="19" t="s">
        <v>71</v>
      </c>
      <c r="P957" s="20">
        <v>1777</v>
      </c>
      <c r="Q957" s="20">
        <f t="shared" ref="Q957:X957" si="1947">Q927</f>
        <v>1300</v>
      </c>
      <c r="R957" s="20">
        <f t="shared" si="1947"/>
        <v>5200</v>
      </c>
      <c r="S957" s="20">
        <f t="shared" si="1947"/>
        <v>9100</v>
      </c>
      <c r="T957" s="20">
        <f t="shared" si="1947"/>
        <v>11700</v>
      </c>
      <c r="U957" s="20">
        <f t="shared" si="1947"/>
        <v>90</v>
      </c>
      <c r="V957" s="20">
        <f t="shared" si="1947"/>
        <v>800</v>
      </c>
      <c r="W957" s="20">
        <f t="shared" si="1947"/>
        <v>2000</v>
      </c>
      <c r="X957" s="20">
        <f t="shared" si="1947"/>
        <v>7</v>
      </c>
      <c r="Y957" s="20">
        <v>0</v>
      </c>
      <c r="Z957" s="22">
        <v>0</v>
      </c>
      <c r="AA957" s="27">
        <v>0</v>
      </c>
      <c r="AB957" s="27">
        <v>0</v>
      </c>
      <c r="AC957" s="27">
        <v>0</v>
      </c>
      <c r="AD957" s="23">
        <f t="shared" ref="AD957:AE957" si="1948">AD927</f>
        <v>50</v>
      </c>
      <c r="AE957" s="23">
        <f t="shared" si="1948"/>
        <v>54</v>
      </c>
    </row>
    <row r="958" spans="1:31">
      <c r="A958" s="4">
        <v>12201</v>
      </c>
      <c r="B958" s="4">
        <v>27</v>
      </c>
      <c r="C958" s="29" t="s">
        <v>72</v>
      </c>
      <c r="D958" s="46">
        <v>0</v>
      </c>
      <c r="E958" s="18">
        <f t="shared" si="1835"/>
        <v>567</v>
      </c>
      <c r="F958" s="28">
        <v>0</v>
      </c>
      <c r="G958" s="28">
        <v>0</v>
      </c>
      <c r="H958" s="47">
        <v>0</v>
      </c>
      <c r="I958" s="21">
        <f t="shared" si="1889"/>
        <v>385</v>
      </c>
      <c r="J958" s="21">
        <f t="shared" si="1844"/>
        <v>26</v>
      </c>
      <c r="K958" s="21">
        <v>0</v>
      </c>
      <c r="L958" s="20">
        <v>6</v>
      </c>
      <c r="M958" s="20">
        <v>0</v>
      </c>
      <c r="N958" s="20">
        <f t="shared" si="1890"/>
        <v>13500</v>
      </c>
      <c r="O958" s="19" t="s">
        <v>72</v>
      </c>
      <c r="P958" s="20">
        <v>2332</v>
      </c>
      <c r="Q958" s="20">
        <f t="shared" ref="Q958:X958" si="1949">Q928</f>
        <v>1350</v>
      </c>
      <c r="R958" s="20">
        <f t="shared" si="1949"/>
        <v>5400</v>
      </c>
      <c r="S958" s="20">
        <f t="shared" si="1949"/>
        <v>9450</v>
      </c>
      <c r="T958" s="20">
        <f t="shared" si="1949"/>
        <v>12150</v>
      </c>
      <c r="U958" s="20">
        <f t="shared" si="1949"/>
        <v>80</v>
      </c>
      <c r="V958" s="20">
        <f t="shared" si="1949"/>
        <v>700</v>
      </c>
      <c r="W958" s="20">
        <f t="shared" si="1949"/>
        <v>800</v>
      </c>
      <c r="X958" s="20">
        <f t="shared" si="1949"/>
        <v>7</v>
      </c>
      <c r="Y958" s="20">
        <v>0</v>
      </c>
      <c r="Z958" s="22">
        <v>0</v>
      </c>
      <c r="AA958" s="27">
        <v>0</v>
      </c>
      <c r="AB958" s="27">
        <v>0</v>
      </c>
      <c r="AC958" s="27">
        <v>0</v>
      </c>
      <c r="AD958" s="23">
        <f t="shared" ref="AD958:AE958" si="1950">AD928</f>
        <v>52</v>
      </c>
      <c r="AE958" s="23">
        <f t="shared" si="1950"/>
        <v>56</v>
      </c>
    </row>
    <row r="959" spans="1:31">
      <c r="A959" s="4">
        <v>12201</v>
      </c>
      <c r="B959" s="4">
        <v>28</v>
      </c>
      <c r="C959" s="29" t="s">
        <v>73</v>
      </c>
      <c r="D959" s="46">
        <v>0</v>
      </c>
      <c r="E959" s="18">
        <f t="shared" si="1835"/>
        <v>614</v>
      </c>
      <c r="F959" s="28">
        <v>0</v>
      </c>
      <c r="G959" s="28">
        <v>0</v>
      </c>
      <c r="H959" s="47">
        <v>0</v>
      </c>
      <c r="I959" s="21">
        <f t="shared" si="1889"/>
        <v>385</v>
      </c>
      <c r="J959" s="21">
        <f t="shared" si="1844"/>
        <v>27</v>
      </c>
      <c r="K959" s="21">
        <v>0</v>
      </c>
      <c r="L959" s="20">
        <v>6</v>
      </c>
      <c r="M959" s="20">
        <v>0</v>
      </c>
      <c r="N959" s="20">
        <f t="shared" si="1890"/>
        <v>14000</v>
      </c>
      <c r="O959" s="19" t="s">
        <v>73</v>
      </c>
      <c r="P959" s="20">
        <v>1487</v>
      </c>
      <c r="Q959" s="20">
        <f t="shared" ref="Q959:X959" si="1951">Q929</f>
        <v>1400</v>
      </c>
      <c r="R959" s="20">
        <f t="shared" si="1951"/>
        <v>5600</v>
      </c>
      <c r="S959" s="20">
        <f t="shared" si="1951"/>
        <v>9800</v>
      </c>
      <c r="T959" s="20">
        <f t="shared" si="1951"/>
        <v>12600</v>
      </c>
      <c r="U959" s="20">
        <f t="shared" si="1951"/>
        <v>80</v>
      </c>
      <c r="V959" s="20">
        <f t="shared" si="1951"/>
        <v>500</v>
      </c>
      <c r="W959" s="20">
        <f t="shared" si="1951"/>
        <v>600</v>
      </c>
      <c r="X959" s="20">
        <f t="shared" si="1951"/>
        <v>7</v>
      </c>
      <c r="Y959" s="20">
        <v>0</v>
      </c>
      <c r="Z959" s="22">
        <v>189</v>
      </c>
      <c r="AA959" s="27">
        <v>0</v>
      </c>
      <c r="AB959" s="27">
        <v>0</v>
      </c>
      <c r="AC959" s="27">
        <v>0</v>
      </c>
      <c r="AD959" s="23">
        <f t="shared" ref="AD959:AE959" si="1952">AD929</f>
        <v>54</v>
      </c>
      <c r="AE959" s="23">
        <f t="shared" si="1952"/>
        <v>58</v>
      </c>
    </row>
    <row r="960" spans="1:31">
      <c r="A960" s="4">
        <v>12201</v>
      </c>
      <c r="B960" s="4">
        <v>29</v>
      </c>
      <c r="C960" s="29" t="s">
        <v>74</v>
      </c>
      <c r="D960" s="46">
        <v>0</v>
      </c>
      <c r="E960" s="18">
        <f t="shared" si="1835"/>
        <v>665</v>
      </c>
      <c r="F960" s="28">
        <v>0</v>
      </c>
      <c r="G960" s="28">
        <v>0</v>
      </c>
      <c r="H960" s="47">
        <v>0</v>
      </c>
      <c r="I960" s="21">
        <f t="shared" si="1889"/>
        <v>440</v>
      </c>
      <c r="J960" s="21">
        <f t="shared" si="1844"/>
        <v>28</v>
      </c>
      <c r="K960" s="21">
        <v>0</v>
      </c>
      <c r="L960" s="20">
        <v>6</v>
      </c>
      <c r="M960" s="20">
        <v>0</v>
      </c>
      <c r="N960" s="20">
        <f t="shared" si="1890"/>
        <v>14500</v>
      </c>
      <c r="O960" s="19" t="s">
        <v>74</v>
      </c>
      <c r="P960" s="20">
        <v>1518</v>
      </c>
      <c r="Q960" s="20">
        <f t="shared" ref="Q960:X960" si="1953">Q930</f>
        <v>1450</v>
      </c>
      <c r="R960" s="20">
        <f t="shared" si="1953"/>
        <v>5800</v>
      </c>
      <c r="S960" s="20">
        <f t="shared" si="1953"/>
        <v>10150</v>
      </c>
      <c r="T960" s="20">
        <f t="shared" si="1953"/>
        <v>13050</v>
      </c>
      <c r="U960" s="20">
        <f t="shared" si="1953"/>
        <v>80</v>
      </c>
      <c r="V960" s="20">
        <f t="shared" si="1953"/>
        <v>600</v>
      </c>
      <c r="W960" s="20">
        <f t="shared" si="1953"/>
        <v>700</v>
      </c>
      <c r="X960" s="20">
        <f t="shared" si="1953"/>
        <v>8</v>
      </c>
      <c r="Y960" s="20">
        <v>0</v>
      </c>
      <c r="Z960" s="22">
        <v>0</v>
      </c>
      <c r="AA960" s="27">
        <v>0</v>
      </c>
      <c r="AB960" s="27">
        <v>0</v>
      </c>
      <c r="AC960" s="27">
        <v>0</v>
      </c>
      <c r="AD960" s="23">
        <f t="shared" ref="AD960:AE960" si="1954">AD930</f>
        <v>56</v>
      </c>
      <c r="AE960" s="23">
        <f t="shared" si="1954"/>
        <v>60</v>
      </c>
    </row>
    <row r="961" spans="1:31">
      <c r="A961" s="4">
        <v>12201</v>
      </c>
      <c r="B961" s="4">
        <v>30</v>
      </c>
      <c r="C961" s="29" t="s">
        <v>75</v>
      </c>
      <c r="D961" s="46">
        <v>0</v>
      </c>
      <c r="E961" s="18">
        <f t="shared" si="1835"/>
        <v>720</v>
      </c>
      <c r="F961" s="28">
        <v>0</v>
      </c>
      <c r="G961" s="28">
        <v>0</v>
      </c>
      <c r="H961" s="47">
        <v>0</v>
      </c>
      <c r="I961" s="21">
        <f t="shared" si="1889"/>
        <v>440</v>
      </c>
      <c r="J961" s="21">
        <f t="shared" si="1844"/>
        <v>29</v>
      </c>
      <c r="K961" s="21">
        <v>0</v>
      </c>
      <c r="L961" s="20">
        <v>6</v>
      </c>
      <c r="M961" s="20">
        <v>0</v>
      </c>
      <c r="N961" s="20">
        <f t="shared" si="1890"/>
        <v>15000</v>
      </c>
      <c r="O961" s="19" t="s">
        <v>75</v>
      </c>
      <c r="P961" s="20">
        <v>861</v>
      </c>
      <c r="Q961" s="20">
        <f t="shared" ref="Q961:X961" si="1955">Q931</f>
        <v>1500</v>
      </c>
      <c r="R961" s="20">
        <f t="shared" si="1955"/>
        <v>6000</v>
      </c>
      <c r="S961" s="20">
        <f t="shared" si="1955"/>
        <v>10500</v>
      </c>
      <c r="T961" s="20">
        <f t="shared" si="1955"/>
        <v>13500</v>
      </c>
      <c r="U961" s="20">
        <f t="shared" si="1955"/>
        <v>20</v>
      </c>
      <c r="V961" s="20">
        <f t="shared" si="1955"/>
        <v>450</v>
      </c>
      <c r="W961" s="20">
        <f t="shared" si="1955"/>
        <v>1000</v>
      </c>
      <c r="X961" s="20">
        <f t="shared" si="1955"/>
        <v>8</v>
      </c>
      <c r="Y961" s="20">
        <v>0</v>
      </c>
      <c r="Z961" s="22">
        <v>0</v>
      </c>
      <c r="AA961" s="27">
        <v>0</v>
      </c>
      <c r="AB961" s="27">
        <v>0</v>
      </c>
      <c r="AC961" s="27">
        <v>0</v>
      </c>
      <c r="AD961" s="23">
        <f t="shared" ref="AD961:AE961" si="1956">AD931</f>
        <v>58</v>
      </c>
      <c r="AE961" s="23">
        <f t="shared" si="1956"/>
        <v>62</v>
      </c>
    </row>
    <row r="962" spans="1:31">
      <c r="A962" s="4">
        <v>12202</v>
      </c>
      <c r="B962" s="4">
        <v>1</v>
      </c>
      <c r="C962" s="19" t="s">
        <v>66</v>
      </c>
      <c r="D962" s="44">
        <v>0</v>
      </c>
      <c r="E962" s="18">
        <f t="shared" si="1835"/>
        <v>108</v>
      </c>
      <c r="F962" s="18">
        <v>0</v>
      </c>
      <c r="G962" s="18">
        <v>0</v>
      </c>
      <c r="H962" s="45">
        <v>0</v>
      </c>
      <c r="I962" s="21">
        <f t="shared" si="1889"/>
        <v>55</v>
      </c>
      <c r="J962" s="21">
        <f t="shared" si="1844"/>
        <v>0</v>
      </c>
      <c r="K962" s="21">
        <v>0</v>
      </c>
      <c r="L962" s="20">
        <v>45</v>
      </c>
      <c r="M962" s="20">
        <v>0</v>
      </c>
      <c r="N962" s="20">
        <f t="shared" si="1890"/>
        <v>10</v>
      </c>
      <c r="O962" s="19" t="s">
        <v>66</v>
      </c>
      <c r="P962" s="20">
        <v>9400</v>
      </c>
      <c r="Q962" s="20">
        <f t="shared" ref="Q962:X962" si="1957">Q932</f>
        <v>1</v>
      </c>
      <c r="R962" s="20">
        <f t="shared" si="1957"/>
        <v>4</v>
      </c>
      <c r="S962" s="20">
        <f t="shared" si="1957"/>
        <v>7</v>
      </c>
      <c r="T962" s="20">
        <f t="shared" si="1957"/>
        <v>9</v>
      </c>
      <c r="U962" s="20">
        <f t="shared" si="1957"/>
        <v>9400</v>
      </c>
      <c r="V962" s="20">
        <f t="shared" si="1957"/>
        <v>9400</v>
      </c>
      <c r="W962" s="20">
        <f t="shared" si="1957"/>
        <v>9400</v>
      </c>
      <c r="X962" s="20">
        <f t="shared" si="1957"/>
        <v>1</v>
      </c>
      <c r="Y962" s="20">
        <v>0</v>
      </c>
      <c r="Z962" s="22">
        <v>0</v>
      </c>
      <c r="AA962" s="20">
        <v>0</v>
      </c>
      <c r="AB962" s="20">
        <v>0</v>
      </c>
      <c r="AC962" s="20">
        <v>0</v>
      </c>
      <c r="AD962" s="23">
        <f t="shared" ref="AD962:AE962" si="1958">AD932</f>
        <v>1</v>
      </c>
      <c r="AE962" s="23">
        <f t="shared" si="1958"/>
        <v>3</v>
      </c>
    </row>
    <row r="963" spans="1:31">
      <c r="A963" s="4">
        <v>12202</v>
      </c>
      <c r="B963" s="4">
        <v>2</v>
      </c>
      <c r="C963" s="19" t="s">
        <v>67</v>
      </c>
      <c r="D963" s="44">
        <v>0</v>
      </c>
      <c r="E963" s="18">
        <f t="shared" si="1835"/>
        <v>117</v>
      </c>
      <c r="F963" s="18">
        <v>0</v>
      </c>
      <c r="G963" s="18">
        <v>0</v>
      </c>
      <c r="H963" s="45">
        <v>0</v>
      </c>
      <c r="I963" s="21">
        <f t="shared" si="1889"/>
        <v>55</v>
      </c>
      <c r="J963" s="21">
        <f t="shared" si="1844"/>
        <v>1</v>
      </c>
      <c r="K963" s="21">
        <v>0</v>
      </c>
      <c r="L963" s="20">
        <v>40</v>
      </c>
      <c r="M963" s="20">
        <v>0</v>
      </c>
      <c r="N963" s="20">
        <f t="shared" si="1890"/>
        <v>20</v>
      </c>
      <c r="O963" s="19" t="s">
        <v>67</v>
      </c>
      <c r="P963" s="20">
        <v>9100</v>
      </c>
      <c r="Q963" s="20">
        <f t="shared" ref="Q963:X963" si="1959">Q933</f>
        <v>2</v>
      </c>
      <c r="R963" s="20">
        <f t="shared" si="1959"/>
        <v>8</v>
      </c>
      <c r="S963" s="20">
        <f t="shared" si="1959"/>
        <v>14</v>
      </c>
      <c r="T963" s="20">
        <f t="shared" si="1959"/>
        <v>18</v>
      </c>
      <c r="U963" s="20">
        <f t="shared" si="1959"/>
        <v>4000</v>
      </c>
      <c r="V963" s="20">
        <f t="shared" si="1959"/>
        <v>8000</v>
      </c>
      <c r="W963" s="20">
        <f t="shared" si="1959"/>
        <v>8000</v>
      </c>
      <c r="X963" s="20">
        <f t="shared" si="1959"/>
        <v>1</v>
      </c>
      <c r="Y963" s="20">
        <v>0</v>
      </c>
      <c r="Z963" s="22">
        <v>0</v>
      </c>
      <c r="AA963" s="20">
        <v>0</v>
      </c>
      <c r="AB963" s="20">
        <v>0</v>
      </c>
      <c r="AC963" s="20">
        <v>0</v>
      </c>
      <c r="AD963" s="23">
        <f t="shared" ref="AD963:AE963" si="1960">AD933</f>
        <v>2</v>
      </c>
      <c r="AE963" s="23">
        <f t="shared" si="1960"/>
        <v>5</v>
      </c>
    </row>
    <row r="964" spans="1:31">
      <c r="A964" s="4">
        <v>12202</v>
      </c>
      <c r="B964" s="4">
        <v>3</v>
      </c>
      <c r="C964" s="19" t="s">
        <v>68</v>
      </c>
      <c r="D964" s="44">
        <v>0</v>
      </c>
      <c r="E964" s="18">
        <f t="shared" si="1835"/>
        <v>126</v>
      </c>
      <c r="F964" s="18">
        <v>0</v>
      </c>
      <c r="G964" s="18">
        <v>0</v>
      </c>
      <c r="H964" s="45">
        <v>0</v>
      </c>
      <c r="I964" s="21">
        <f t="shared" si="1889"/>
        <v>55</v>
      </c>
      <c r="J964" s="21">
        <f t="shared" si="1844"/>
        <v>2</v>
      </c>
      <c r="K964" s="21">
        <v>0</v>
      </c>
      <c r="L964" s="20">
        <v>35</v>
      </c>
      <c r="M964" s="20">
        <v>0</v>
      </c>
      <c r="N964" s="20">
        <f t="shared" si="1890"/>
        <v>40</v>
      </c>
      <c r="O964" s="19" t="s">
        <v>68</v>
      </c>
      <c r="P964" s="20">
        <v>8600</v>
      </c>
      <c r="Q964" s="20">
        <f t="shared" ref="Q964:X964" si="1961">Q934</f>
        <v>4</v>
      </c>
      <c r="R964" s="20">
        <f t="shared" si="1961"/>
        <v>16</v>
      </c>
      <c r="S964" s="20">
        <f t="shared" si="1961"/>
        <v>28</v>
      </c>
      <c r="T964" s="20">
        <f t="shared" si="1961"/>
        <v>36</v>
      </c>
      <c r="U964" s="20">
        <f t="shared" si="1961"/>
        <v>1600</v>
      </c>
      <c r="V964" s="20">
        <f t="shared" si="1961"/>
        <v>5000</v>
      </c>
      <c r="W964" s="20">
        <f t="shared" si="1961"/>
        <v>6000</v>
      </c>
      <c r="X964" s="20">
        <f t="shared" si="1961"/>
        <v>1</v>
      </c>
      <c r="Y964" s="20">
        <v>0</v>
      </c>
      <c r="Z964" s="22">
        <v>0</v>
      </c>
      <c r="AA964" s="20">
        <v>0</v>
      </c>
      <c r="AB964" s="20">
        <v>0</v>
      </c>
      <c r="AC964" s="20">
        <v>0</v>
      </c>
      <c r="AD964" s="23">
        <f t="shared" ref="AD964:AE964" si="1962">AD934</f>
        <v>4</v>
      </c>
      <c r="AE964" s="23">
        <f t="shared" si="1962"/>
        <v>8</v>
      </c>
    </row>
    <row r="965" spans="1:31">
      <c r="A965" s="4">
        <v>12202</v>
      </c>
      <c r="B965" s="4">
        <v>4</v>
      </c>
      <c r="C965" s="19" t="s">
        <v>69</v>
      </c>
      <c r="D965" s="44">
        <v>0</v>
      </c>
      <c r="E965" s="18">
        <f t="shared" si="1835"/>
        <v>137</v>
      </c>
      <c r="F965" s="18">
        <v>0</v>
      </c>
      <c r="G965" s="18">
        <v>0</v>
      </c>
      <c r="H965" s="45">
        <v>0</v>
      </c>
      <c r="I965" s="21">
        <f t="shared" si="1889"/>
        <v>55</v>
      </c>
      <c r="J965" s="21">
        <f t="shared" si="1844"/>
        <v>3</v>
      </c>
      <c r="K965" s="21">
        <v>0</v>
      </c>
      <c r="L965" s="20">
        <v>30</v>
      </c>
      <c r="M965" s="20">
        <v>0</v>
      </c>
      <c r="N965" s="20">
        <f t="shared" si="1890"/>
        <v>100</v>
      </c>
      <c r="O965" s="19" t="s">
        <v>69</v>
      </c>
      <c r="P965" s="20">
        <v>6400</v>
      </c>
      <c r="Q965" s="20">
        <f t="shared" ref="Q965:X965" si="1963">Q935</f>
        <v>10</v>
      </c>
      <c r="R965" s="20">
        <f t="shared" si="1963"/>
        <v>40</v>
      </c>
      <c r="S965" s="20">
        <f t="shared" si="1963"/>
        <v>70</v>
      </c>
      <c r="T965" s="20">
        <f t="shared" si="1963"/>
        <v>90</v>
      </c>
      <c r="U965" s="20">
        <f t="shared" si="1963"/>
        <v>900</v>
      </c>
      <c r="V965" s="20">
        <f t="shared" si="1963"/>
        <v>2000</v>
      </c>
      <c r="W965" s="20">
        <f t="shared" si="1963"/>
        <v>8000</v>
      </c>
      <c r="X965" s="20">
        <f t="shared" si="1963"/>
        <v>1</v>
      </c>
      <c r="Y965" s="20">
        <v>0</v>
      </c>
      <c r="Z965" s="22">
        <v>0</v>
      </c>
      <c r="AA965" s="20">
        <v>0</v>
      </c>
      <c r="AB965" s="20">
        <v>0</v>
      </c>
      <c r="AC965" s="20">
        <v>0</v>
      </c>
      <c r="AD965" s="23">
        <f t="shared" ref="AD965:AE965" si="1964">AD935</f>
        <v>6</v>
      </c>
      <c r="AE965" s="23">
        <f t="shared" si="1964"/>
        <v>10</v>
      </c>
    </row>
    <row r="966" spans="1:31">
      <c r="A966" s="4">
        <v>12202</v>
      </c>
      <c r="B966" s="4">
        <v>5</v>
      </c>
      <c r="C966" s="19" t="s">
        <v>70</v>
      </c>
      <c r="D966" s="44">
        <v>0</v>
      </c>
      <c r="E966" s="18">
        <f t="shared" si="1835"/>
        <v>149</v>
      </c>
      <c r="F966" s="18">
        <v>0</v>
      </c>
      <c r="G966" s="18">
        <v>0</v>
      </c>
      <c r="H966" s="45">
        <v>0</v>
      </c>
      <c r="I966" s="21">
        <f t="shared" si="1889"/>
        <v>110</v>
      </c>
      <c r="J966" s="21">
        <f t="shared" si="1844"/>
        <v>4</v>
      </c>
      <c r="K966" s="21">
        <v>0</v>
      </c>
      <c r="L966" s="20">
        <v>25</v>
      </c>
      <c r="M966" s="20">
        <v>0</v>
      </c>
      <c r="N966" s="20">
        <f t="shared" si="1890"/>
        <v>200</v>
      </c>
      <c r="O966" s="19" t="s">
        <v>70</v>
      </c>
      <c r="P966" s="20">
        <v>3100</v>
      </c>
      <c r="Q966" s="20">
        <f t="shared" ref="Q966:X966" si="1965">Q936</f>
        <v>20</v>
      </c>
      <c r="R966" s="20">
        <f t="shared" si="1965"/>
        <v>80</v>
      </c>
      <c r="S966" s="20">
        <f t="shared" si="1965"/>
        <v>140</v>
      </c>
      <c r="T966" s="20">
        <f t="shared" si="1965"/>
        <v>180</v>
      </c>
      <c r="U966" s="20">
        <f t="shared" si="1965"/>
        <v>1000</v>
      </c>
      <c r="V966" s="20">
        <f t="shared" si="1965"/>
        <v>2000</v>
      </c>
      <c r="W966" s="20">
        <f t="shared" si="1965"/>
        <v>2000</v>
      </c>
      <c r="X966" s="20">
        <f t="shared" si="1965"/>
        <v>2</v>
      </c>
      <c r="Y966" s="20">
        <v>0</v>
      </c>
      <c r="Z966" s="22">
        <v>0</v>
      </c>
      <c r="AA966" s="20">
        <v>0</v>
      </c>
      <c r="AB966" s="20">
        <v>0</v>
      </c>
      <c r="AC966" s="20">
        <v>0</v>
      </c>
      <c r="AD966" s="23">
        <f t="shared" ref="AD966:AE966" si="1966">AD936</f>
        <v>8</v>
      </c>
      <c r="AE966" s="23">
        <f t="shared" si="1966"/>
        <v>12</v>
      </c>
    </row>
    <row r="967" spans="1:31">
      <c r="A967" s="4">
        <v>12202</v>
      </c>
      <c r="B967" s="4">
        <v>6</v>
      </c>
      <c r="C967" s="19" t="s">
        <v>71</v>
      </c>
      <c r="D967" s="44">
        <v>0</v>
      </c>
      <c r="E967" s="18">
        <f t="shared" ref="E967:E1030" si="1967">D817</f>
        <v>161</v>
      </c>
      <c r="F967" s="18">
        <v>0</v>
      </c>
      <c r="G967" s="18">
        <v>0</v>
      </c>
      <c r="H967" s="45">
        <v>0</v>
      </c>
      <c r="I967" s="21">
        <f t="shared" si="1889"/>
        <v>110</v>
      </c>
      <c r="J967" s="21">
        <f t="shared" si="1844"/>
        <v>5</v>
      </c>
      <c r="K967" s="21">
        <v>0</v>
      </c>
      <c r="L967" s="20">
        <v>20</v>
      </c>
      <c r="M967" s="20">
        <v>0</v>
      </c>
      <c r="N967" s="20">
        <f t="shared" si="1890"/>
        <v>500</v>
      </c>
      <c r="O967" s="19" t="s">
        <v>71</v>
      </c>
      <c r="P967" s="20">
        <v>1777</v>
      </c>
      <c r="Q967" s="20">
        <f t="shared" ref="Q967:X967" si="1968">Q937</f>
        <v>50</v>
      </c>
      <c r="R967" s="20">
        <f t="shared" si="1968"/>
        <v>200</v>
      </c>
      <c r="S967" s="20">
        <f t="shared" si="1968"/>
        <v>350</v>
      </c>
      <c r="T967" s="20">
        <f t="shared" si="1968"/>
        <v>450</v>
      </c>
      <c r="U967" s="20">
        <f t="shared" si="1968"/>
        <v>800</v>
      </c>
      <c r="V967" s="20">
        <f t="shared" si="1968"/>
        <v>800</v>
      </c>
      <c r="W967" s="20">
        <f t="shared" si="1968"/>
        <v>600</v>
      </c>
      <c r="X967" s="20">
        <f t="shared" si="1968"/>
        <v>2</v>
      </c>
      <c r="Y967" s="20">
        <v>0</v>
      </c>
      <c r="Z967" s="22">
        <v>0</v>
      </c>
      <c r="AA967" s="20">
        <v>0</v>
      </c>
      <c r="AB967" s="20">
        <v>0</v>
      </c>
      <c r="AC967" s="20">
        <v>0</v>
      </c>
      <c r="AD967" s="23">
        <f t="shared" ref="AD967:AE967" si="1969">AD937</f>
        <v>10</v>
      </c>
      <c r="AE967" s="23">
        <f t="shared" si="1969"/>
        <v>14</v>
      </c>
    </row>
    <row r="968" spans="1:31">
      <c r="A968" s="8">
        <v>12202</v>
      </c>
      <c r="B968" s="8">
        <v>7</v>
      </c>
      <c r="C968" s="19" t="s">
        <v>72</v>
      </c>
      <c r="D968" s="44">
        <v>0</v>
      </c>
      <c r="E968" s="18">
        <f t="shared" si="1967"/>
        <v>174</v>
      </c>
      <c r="F968" s="18">
        <v>0</v>
      </c>
      <c r="G968" s="18">
        <v>0</v>
      </c>
      <c r="H968" s="45">
        <v>0</v>
      </c>
      <c r="I968" s="21">
        <f t="shared" si="1889"/>
        <v>110</v>
      </c>
      <c r="J968" s="21">
        <f t="shared" si="1844"/>
        <v>6</v>
      </c>
      <c r="K968" s="21">
        <v>0</v>
      </c>
      <c r="L968" s="20">
        <v>16</v>
      </c>
      <c r="M968" s="20">
        <v>0</v>
      </c>
      <c r="N968" s="20">
        <f t="shared" si="1890"/>
        <v>700</v>
      </c>
      <c r="O968" s="19" t="s">
        <v>72</v>
      </c>
      <c r="P968" s="20">
        <v>2332</v>
      </c>
      <c r="Q968" s="20">
        <f t="shared" ref="Q968:X968" si="1970">Q938</f>
        <v>70</v>
      </c>
      <c r="R968" s="20">
        <f t="shared" si="1970"/>
        <v>280</v>
      </c>
      <c r="S968" s="20">
        <f t="shared" si="1970"/>
        <v>489.99999999999994</v>
      </c>
      <c r="T968" s="20">
        <f t="shared" si="1970"/>
        <v>630</v>
      </c>
      <c r="U968" s="20">
        <f t="shared" si="1970"/>
        <v>650</v>
      </c>
      <c r="V968" s="20">
        <f t="shared" si="1970"/>
        <v>800</v>
      </c>
      <c r="W968" s="20">
        <f t="shared" si="1970"/>
        <v>300</v>
      </c>
      <c r="X968" s="20">
        <f t="shared" si="1970"/>
        <v>2</v>
      </c>
      <c r="Y968" s="20">
        <v>0</v>
      </c>
      <c r="Z968" s="22">
        <v>0</v>
      </c>
      <c r="AA968" s="20">
        <v>0</v>
      </c>
      <c r="AB968" s="20">
        <v>0</v>
      </c>
      <c r="AC968" s="20">
        <v>0</v>
      </c>
      <c r="AD968" s="23">
        <f t="shared" ref="AD968:AE968" si="1971">AD938</f>
        <v>12</v>
      </c>
      <c r="AE968" s="23">
        <f t="shared" si="1971"/>
        <v>16</v>
      </c>
    </row>
    <row r="969" spans="1:31">
      <c r="A969" s="4">
        <v>12202</v>
      </c>
      <c r="B969" s="4">
        <v>8</v>
      </c>
      <c r="C969" s="19" t="s">
        <v>73</v>
      </c>
      <c r="D969" s="44">
        <v>0</v>
      </c>
      <c r="E969" s="18">
        <f t="shared" si="1967"/>
        <v>189</v>
      </c>
      <c r="F969" s="18">
        <v>0</v>
      </c>
      <c r="G969" s="18">
        <v>0</v>
      </c>
      <c r="H969" s="45">
        <v>0</v>
      </c>
      <c r="I969" s="21">
        <f t="shared" si="1889"/>
        <v>110</v>
      </c>
      <c r="J969" s="21">
        <f t="shared" si="1844"/>
        <v>7</v>
      </c>
      <c r="K969" s="21">
        <v>0</v>
      </c>
      <c r="L969" s="20">
        <v>12</v>
      </c>
      <c r="M969" s="20">
        <v>0</v>
      </c>
      <c r="N969" s="20">
        <f t="shared" si="1890"/>
        <v>800</v>
      </c>
      <c r="O969" s="19" t="s">
        <v>73</v>
      </c>
      <c r="P969" s="20">
        <v>1487</v>
      </c>
      <c r="Q969" s="20">
        <f t="shared" ref="Q969:X969" si="1972">Q939</f>
        <v>80</v>
      </c>
      <c r="R969" s="20">
        <f t="shared" si="1972"/>
        <v>320</v>
      </c>
      <c r="S969" s="20">
        <f t="shared" si="1972"/>
        <v>560</v>
      </c>
      <c r="T969" s="20">
        <f t="shared" si="1972"/>
        <v>720</v>
      </c>
      <c r="U969" s="20">
        <f t="shared" si="1972"/>
        <v>200</v>
      </c>
      <c r="V969" s="20">
        <f t="shared" si="1972"/>
        <v>2000</v>
      </c>
      <c r="W969" s="20">
        <f t="shared" si="1972"/>
        <v>1000</v>
      </c>
      <c r="X969" s="20">
        <f t="shared" si="1972"/>
        <v>2</v>
      </c>
      <c r="Y969" s="20">
        <v>0</v>
      </c>
      <c r="Z969" s="22">
        <v>42</v>
      </c>
      <c r="AA969" s="20">
        <v>0</v>
      </c>
      <c r="AB969" s="20">
        <v>0</v>
      </c>
      <c r="AC969" s="20">
        <v>0</v>
      </c>
      <c r="AD969" s="23">
        <f t="shared" ref="AD969:AE969" si="1973">AD939</f>
        <v>14</v>
      </c>
      <c r="AE969" s="23">
        <f t="shared" si="1973"/>
        <v>18</v>
      </c>
    </row>
    <row r="970" spans="1:31">
      <c r="A970" s="4">
        <v>12202</v>
      </c>
      <c r="B970" s="4">
        <v>9</v>
      </c>
      <c r="C970" s="19" t="s">
        <v>74</v>
      </c>
      <c r="D970" s="44">
        <v>0</v>
      </c>
      <c r="E970" s="18">
        <f t="shared" si="1967"/>
        <v>204</v>
      </c>
      <c r="F970" s="18">
        <v>0</v>
      </c>
      <c r="G970" s="18">
        <v>0</v>
      </c>
      <c r="H970" s="45">
        <v>0</v>
      </c>
      <c r="I970" s="21">
        <f t="shared" si="1889"/>
        <v>165</v>
      </c>
      <c r="J970" s="21">
        <f t="shared" si="1844"/>
        <v>8</v>
      </c>
      <c r="K970" s="21">
        <v>0</v>
      </c>
      <c r="L970" s="20">
        <v>8</v>
      </c>
      <c r="M970" s="20">
        <v>0</v>
      </c>
      <c r="N970" s="20">
        <f t="shared" si="1890"/>
        <v>900</v>
      </c>
      <c r="O970" s="19" t="s">
        <v>74</v>
      </c>
      <c r="P970" s="20">
        <v>1518</v>
      </c>
      <c r="Q970" s="20">
        <f t="shared" ref="Q970:X970" si="1974">Q940</f>
        <v>90</v>
      </c>
      <c r="R970" s="20">
        <f t="shared" si="1974"/>
        <v>360</v>
      </c>
      <c r="S970" s="20">
        <f t="shared" si="1974"/>
        <v>630</v>
      </c>
      <c r="T970" s="20">
        <f t="shared" si="1974"/>
        <v>810</v>
      </c>
      <c r="U970" s="20">
        <f t="shared" si="1974"/>
        <v>120</v>
      </c>
      <c r="V970" s="20">
        <f t="shared" si="1974"/>
        <v>1500</v>
      </c>
      <c r="W970" s="20">
        <f t="shared" si="1974"/>
        <v>1000</v>
      </c>
      <c r="X970" s="20">
        <f t="shared" si="1974"/>
        <v>3</v>
      </c>
      <c r="Y970" s="20">
        <v>0</v>
      </c>
      <c r="Z970" s="22">
        <v>0</v>
      </c>
      <c r="AA970" s="20">
        <v>0</v>
      </c>
      <c r="AB970" s="20">
        <v>0</v>
      </c>
      <c r="AC970" s="20">
        <v>0</v>
      </c>
      <c r="AD970" s="23">
        <f t="shared" ref="AD970:AE970" si="1975">AD940</f>
        <v>16</v>
      </c>
      <c r="AE970" s="23">
        <f t="shared" si="1975"/>
        <v>20</v>
      </c>
    </row>
    <row r="971" spans="1:31">
      <c r="A971" s="4">
        <v>12202</v>
      </c>
      <c r="B971" s="4">
        <v>10</v>
      </c>
      <c r="C971" s="19" t="s">
        <v>75</v>
      </c>
      <c r="D971" s="44">
        <v>0</v>
      </c>
      <c r="E971" s="18">
        <f t="shared" si="1967"/>
        <v>221</v>
      </c>
      <c r="F971" s="18">
        <v>0</v>
      </c>
      <c r="G971" s="18">
        <v>0</v>
      </c>
      <c r="H971" s="45">
        <v>0</v>
      </c>
      <c r="I971" s="21">
        <f t="shared" si="1889"/>
        <v>165</v>
      </c>
      <c r="J971" s="21">
        <f t="shared" ref="J971:J1034" si="1976">B971-1</f>
        <v>9</v>
      </c>
      <c r="K971" s="21">
        <v>0</v>
      </c>
      <c r="L971" s="20">
        <v>6</v>
      </c>
      <c r="M971" s="20">
        <v>0</v>
      </c>
      <c r="N971" s="20">
        <f t="shared" si="1890"/>
        <v>2000</v>
      </c>
      <c r="O971" s="19" t="s">
        <v>75</v>
      </c>
      <c r="P971" s="20">
        <v>861</v>
      </c>
      <c r="Q971" s="20">
        <f t="shared" ref="Q971:X971" si="1977">Q941</f>
        <v>200</v>
      </c>
      <c r="R971" s="20">
        <f t="shared" si="1977"/>
        <v>800</v>
      </c>
      <c r="S971" s="20">
        <f t="shared" si="1977"/>
        <v>1400</v>
      </c>
      <c r="T971" s="20">
        <f t="shared" si="1977"/>
        <v>1800</v>
      </c>
      <c r="U971" s="20">
        <f t="shared" si="1977"/>
        <v>150</v>
      </c>
      <c r="V971" s="20">
        <f t="shared" si="1977"/>
        <v>5000</v>
      </c>
      <c r="W971" s="20">
        <f t="shared" si="1977"/>
        <v>800</v>
      </c>
      <c r="X971" s="20">
        <f t="shared" si="1977"/>
        <v>3</v>
      </c>
      <c r="Y971" s="20">
        <v>0</v>
      </c>
      <c r="Z971" s="22">
        <v>0</v>
      </c>
      <c r="AA971" s="20">
        <v>0</v>
      </c>
      <c r="AB971" s="20">
        <v>0</v>
      </c>
      <c r="AC971" s="20">
        <v>0</v>
      </c>
      <c r="AD971" s="23">
        <f t="shared" ref="AD971:AE971" si="1978">AD941</f>
        <v>18</v>
      </c>
      <c r="AE971" s="23">
        <f t="shared" si="1978"/>
        <v>22</v>
      </c>
    </row>
    <row r="972" spans="1:31">
      <c r="A972" s="4">
        <v>12202</v>
      </c>
      <c r="B972" s="4">
        <v>11</v>
      </c>
      <c r="C972" s="19" t="s">
        <v>66</v>
      </c>
      <c r="D972" s="44">
        <v>0</v>
      </c>
      <c r="E972" s="18">
        <f t="shared" si="1967"/>
        <v>239</v>
      </c>
      <c r="F972" s="18">
        <v>0</v>
      </c>
      <c r="G972" s="18">
        <v>0</v>
      </c>
      <c r="H972" s="45">
        <v>0</v>
      </c>
      <c r="I972" s="21">
        <f t="shared" si="1889"/>
        <v>165</v>
      </c>
      <c r="J972" s="21">
        <f t="shared" si="1976"/>
        <v>10</v>
      </c>
      <c r="K972" s="21">
        <v>0</v>
      </c>
      <c r="L972" s="20">
        <v>6</v>
      </c>
      <c r="M972" s="20">
        <v>0</v>
      </c>
      <c r="N972" s="20">
        <f t="shared" si="1890"/>
        <v>2200</v>
      </c>
      <c r="O972" s="19" t="s">
        <v>66</v>
      </c>
      <c r="P972" s="20">
        <v>9400</v>
      </c>
      <c r="Q972" s="20">
        <f t="shared" ref="Q972:X972" si="1979">Q942</f>
        <v>220</v>
      </c>
      <c r="R972" s="20">
        <f t="shared" si="1979"/>
        <v>880</v>
      </c>
      <c r="S972" s="20">
        <f t="shared" si="1979"/>
        <v>1540</v>
      </c>
      <c r="T972" s="20">
        <f t="shared" si="1979"/>
        <v>1980</v>
      </c>
      <c r="U972" s="20">
        <f t="shared" si="1979"/>
        <v>100</v>
      </c>
      <c r="V972" s="20">
        <f t="shared" si="1979"/>
        <v>800</v>
      </c>
      <c r="W972" s="20">
        <f t="shared" si="1979"/>
        <v>600</v>
      </c>
      <c r="X972" s="20">
        <f t="shared" si="1979"/>
        <v>3</v>
      </c>
      <c r="Y972" s="20">
        <v>0</v>
      </c>
      <c r="Z972" s="22">
        <v>0</v>
      </c>
      <c r="AA972" s="20">
        <v>0</v>
      </c>
      <c r="AB972" s="20">
        <v>0</v>
      </c>
      <c r="AC972" s="20">
        <v>0</v>
      </c>
      <c r="AD972" s="23">
        <f t="shared" ref="AD972:AE972" si="1980">AD942</f>
        <v>20</v>
      </c>
      <c r="AE972" s="23">
        <f t="shared" si="1980"/>
        <v>24</v>
      </c>
    </row>
    <row r="973" spans="1:31">
      <c r="A973" s="4">
        <v>12202</v>
      </c>
      <c r="B973" s="4">
        <v>12</v>
      </c>
      <c r="C973" s="19" t="s">
        <v>67</v>
      </c>
      <c r="D973" s="44">
        <v>0</v>
      </c>
      <c r="E973" s="18">
        <f t="shared" si="1967"/>
        <v>258</v>
      </c>
      <c r="F973" s="18">
        <v>0</v>
      </c>
      <c r="G973" s="18">
        <v>0</v>
      </c>
      <c r="H973" s="45">
        <v>0</v>
      </c>
      <c r="I973" s="21">
        <f t="shared" si="1889"/>
        <v>165</v>
      </c>
      <c r="J973" s="21">
        <f t="shared" si="1976"/>
        <v>11</v>
      </c>
      <c r="K973" s="21">
        <v>0</v>
      </c>
      <c r="L973" s="20">
        <v>6</v>
      </c>
      <c r="M973" s="20">
        <v>0</v>
      </c>
      <c r="N973" s="20">
        <f t="shared" si="1890"/>
        <v>2400</v>
      </c>
      <c r="O973" s="19" t="s">
        <v>67</v>
      </c>
      <c r="P973" s="20">
        <v>9100</v>
      </c>
      <c r="Q973" s="20">
        <f t="shared" ref="Q973:X973" si="1981">Q943</f>
        <v>240</v>
      </c>
      <c r="R973" s="20">
        <f t="shared" si="1981"/>
        <v>960</v>
      </c>
      <c r="S973" s="20">
        <f t="shared" si="1981"/>
        <v>1680</v>
      </c>
      <c r="T973" s="20">
        <f t="shared" si="1981"/>
        <v>2160</v>
      </c>
      <c r="U973" s="20">
        <f t="shared" si="1981"/>
        <v>150</v>
      </c>
      <c r="V973" s="20">
        <f t="shared" si="1981"/>
        <v>700</v>
      </c>
      <c r="W973" s="20">
        <f t="shared" si="1981"/>
        <v>900</v>
      </c>
      <c r="X973" s="20">
        <f t="shared" si="1981"/>
        <v>3</v>
      </c>
      <c r="Y973" s="20">
        <v>0</v>
      </c>
      <c r="Z973" s="22">
        <v>0</v>
      </c>
      <c r="AA973" s="20">
        <v>0</v>
      </c>
      <c r="AB973" s="20">
        <v>0</v>
      </c>
      <c r="AC973" s="20">
        <v>0</v>
      </c>
      <c r="AD973" s="23">
        <f t="shared" ref="AD973:AE973" si="1982">AD943</f>
        <v>22</v>
      </c>
      <c r="AE973" s="23">
        <f t="shared" si="1982"/>
        <v>26</v>
      </c>
    </row>
    <row r="974" spans="1:31">
      <c r="A974" s="4">
        <v>12202</v>
      </c>
      <c r="B974" s="4">
        <v>13</v>
      </c>
      <c r="C974" s="19" t="s">
        <v>68</v>
      </c>
      <c r="D974" s="44">
        <v>0</v>
      </c>
      <c r="E974" s="18">
        <f t="shared" si="1967"/>
        <v>281</v>
      </c>
      <c r="F974" s="18">
        <v>0</v>
      </c>
      <c r="G974" s="18">
        <v>0</v>
      </c>
      <c r="H974" s="45">
        <v>0</v>
      </c>
      <c r="I974" s="21">
        <f t="shared" si="1889"/>
        <v>220</v>
      </c>
      <c r="J974" s="21">
        <f t="shared" si="1976"/>
        <v>12</v>
      </c>
      <c r="K974" s="21">
        <v>0</v>
      </c>
      <c r="L974" s="20">
        <v>6</v>
      </c>
      <c r="M974" s="20">
        <v>0</v>
      </c>
      <c r="N974" s="20">
        <f t="shared" si="1890"/>
        <v>2600</v>
      </c>
      <c r="O974" s="19" t="s">
        <v>68</v>
      </c>
      <c r="P974" s="20">
        <v>8600</v>
      </c>
      <c r="Q974" s="20">
        <f t="shared" ref="Q974:X974" si="1983">Q944</f>
        <v>260</v>
      </c>
      <c r="R974" s="20">
        <f t="shared" si="1983"/>
        <v>1040</v>
      </c>
      <c r="S974" s="20">
        <f t="shared" si="1983"/>
        <v>1819.9999999999998</v>
      </c>
      <c r="T974" s="20">
        <f t="shared" si="1983"/>
        <v>2340</v>
      </c>
      <c r="U974" s="20">
        <f t="shared" si="1983"/>
        <v>100</v>
      </c>
      <c r="V974" s="20">
        <f t="shared" si="1983"/>
        <v>700</v>
      </c>
      <c r="W974" s="20">
        <f t="shared" si="1983"/>
        <v>1000</v>
      </c>
      <c r="X974" s="20">
        <f t="shared" si="1983"/>
        <v>4</v>
      </c>
      <c r="Y974" s="20">
        <v>0</v>
      </c>
      <c r="Z974" s="22">
        <v>86</v>
      </c>
      <c r="AA974" s="20">
        <v>0</v>
      </c>
      <c r="AB974" s="20">
        <v>0</v>
      </c>
      <c r="AC974" s="20">
        <v>0</v>
      </c>
      <c r="AD974" s="23">
        <f t="shared" ref="AD974:AE974" si="1984">AD944</f>
        <v>24</v>
      </c>
      <c r="AE974" s="23">
        <f t="shared" si="1984"/>
        <v>28</v>
      </c>
    </row>
    <row r="975" spans="1:31">
      <c r="A975" s="4">
        <v>12202</v>
      </c>
      <c r="B975" s="4">
        <v>14</v>
      </c>
      <c r="C975" s="19" t="s">
        <v>69</v>
      </c>
      <c r="D975" s="44">
        <v>0</v>
      </c>
      <c r="E975" s="18">
        <f t="shared" si="1967"/>
        <v>303</v>
      </c>
      <c r="F975" s="18">
        <v>0</v>
      </c>
      <c r="G975" s="18">
        <v>0</v>
      </c>
      <c r="H975" s="45">
        <v>0</v>
      </c>
      <c r="I975" s="21">
        <f t="shared" si="1889"/>
        <v>220</v>
      </c>
      <c r="J975" s="21">
        <f t="shared" si="1976"/>
        <v>13</v>
      </c>
      <c r="K975" s="21">
        <v>0</v>
      </c>
      <c r="L975" s="20">
        <v>6</v>
      </c>
      <c r="M975" s="20">
        <v>0</v>
      </c>
      <c r="N975" s="20">
        <f t="shared" si="1890"/>
        <v>2800</v>
      </c>
      <c r="O975" s="19" t="s">
        <v>69</v>
      </c>
      <c r="P975" s="20">
        <v>6400</v>
      </c>
      <c r="Q975" s="20">
        <f t="shared" ref="Q975:X975" si="1985">Q945</f>
        <v>280</v>
      </c>
      <c r="R975" s="20">
        <f t="shared" si="1985"/>
        <v>1120</v>
      </c>
      <c r="S975" s="20">
        <f t="shared" si="1985"/>
        <v>1959.9999999999998</v>
      </c>
      <c r="T975" s="20">
        <f t="shared" si="1985"/>
        <v>2520</v>
      </c>
      <c r="U975" s="20">
        <f t="shared" si="1985"/>
        <v>100</v>
      </c>
      <c r="V975" s="20">
        <f t="shared" si="1985"/>
        <v>400</v>
      </c>
      <c r="W975" s="20">
        <f t="shared" si="1985"/>
        <v>1200</v>
      </c>
      <c r="X975" s="20">
        <f t="shared" si="1985"/>
        <v>4</v>
      </c>
      <c r="Y975" s="20">
        <v>0</v>
      </c>
      <c r="Z975" s="22">
        <v>0</v>
      </c>
      <c r="AA975" s="20">
        <v>0</v>
      </c>
      <c r="AB975" s="20">
        <v>0</v>
      </c>
      <c r="AC975" s="20">
        <v>0</v>
      </c>
      <c r="AD975" s="23">
        <f t="shared" ref="AD975:AE975" si="1986">AD945</f>
        <v>26</v>
      </c>
      <c r="AE975" s="23">
        <f t="shared" si="1986"/>
        <v>30</v>
      </c>
    </row>
    <row r="976" spans="1:31">
      <c r="A976" s="4">
        <v>12202</v>
      </c>
      <c r="B976" s="4">
        <v>15</v>
      </c>
      <c r="C976" s="19" t="s">
        <v>70</v>
      </c>
      <c r="D976" s="44">
        <v>0</v>
      </c>
      <c r="E976" s="18">
        <f t="shared" si="1967"/>
        <v>329</v>
      </c>
      <c r="F976" s="18">
        <v>0</v>
      </c>
      <c r="G976" s="18">
        <v>0</v>
      </c>
      <c r="H976" s="45">
        <v>0</v>
      </c>
      <c r="I976" s="21">
        <f t="shared" si="1889"/>
        <v>220</v>
      </c>
      <c r="J976" s="21">
        <f t="shared" si="1976"/>
        <v>14</v>
      </c>
      <c r="K976" s="21">
        <v>0</v>
      </c>
      <c r="L976" s="20">
        <v>6</v>
      </c>
      <c r="M976" s="20">
        <v>0</v>
      </c>
      <c r="N976" s="20">
        <f t="shared" si="1890"/>
        <v>4500</v>
      </c>
      <c r="O976" s="19" t="s">
        <v>70</v>
      </c>
      <c r="P976" s="20">
        <v>3100</v>
      </c>
      <c r="Q976" s="20">
        <f t="shared" ref="Q976:X976" si="1987">Q946</f>
        <v>450</v>
      </c>
      <c r="R976" s="20">
        <f t="shared" si="1987"/>
        <v>1800</v>
      </c>
      <c r="S976" s="20">
        <f t="shared" si="1987"/>
        <v>3150</v>
      </c>
      <c r="T976" s="20">
        <f t="shared" si="1987"/>
        <v>4050</v>
      </c>
      <c r="U976" s="20">
        <f t="shared" si="1987"/>
        <v>100</v>
      </c>
      <c r="V976" s="20">
        <f t="shared" si="1987"/>
        <v>1000</v>
      </c>
      <c r="W976" s="20">
        <f t="shared" si="1987"/>
        <v>600</v>
      </c>
      <c r="X976" s="20">
        <f t="shared" si="1987"/>
        <v>4</v>
      </c>
      <c r="Y976" s="20">
        <v>0</v>
      </c>
      <c r="Z976" s="22">
        <v>0</v>
      </c>
      <c r="AA976" s="20">
        <v>0</v>
      </c>
      <c r="AB976" s="20">
        <v>0</v>
      </c>
      <c r="AC976" s="20">
        <v>0</v>
      </c>
      <c r="AD976" s="23">
        <f t="shared" ref="AD976:AE976" si="1988">AD946</f>
        <v>28</v>
      </c>
      <c r="AE976" s="23">
        <f t="shared" si="1988"/>
        <v>32</v>
      </c>
    </row>
    <row r="977" spans="1:31">
      <c r="A977" s="4">
        <v>12202</v>
      </c>
      <c r="B977" s="4">
        <v>16</v>
      </c>
      <c r="C977" s="19" t="s">
        <v>71</v>
      </c>
      <c r="D977" s="44">
        <v>0</v>
      </c>
      <c r="E977" s="18">
        <f t="shared" si="1967"/>
        <v>356</v>
      </c>
      <c r="F977" s="18">
        <v>0</v>
      </c>
      <c r="G977" s="18">
        <v>0</v>
      </c>
      <c r="H977" s="45">
        <v>0</v>
      </c>
      <c r="I977" s="21">
        <f t="shared" si="1889"/>
        <v>220</v>
      </c>
      <c r="J977" s="21">
        <f t="shared" si="1976"/>
        <v>15</v>
      </c>
      <c r="K977" s="21">
        <v>0</v>
      </c>
      <c r="L977" s="20">
        <v>6</v>
      </c>
      <c r="M977" s="20">
        <v>0</v>
      </c>
      <c r="N977" s="20">
        <f t="shared" si="1890"/>
        <v>4800</v>
      </c>
      <c r="O977" s="19" t="s">
        <v>71</v>
      </c>
      <c r="P977" s="20">
        <v>1777</v>
      </c>
      <c r="Q977" s="20">
        <f t="shared" ref="Q977:X977" si="1989">Q947</f>
        <v>480</v>
      </c>
      <c r="R977" s="20">
        <f t="shared" si="1989"/>
        <v>1920</v>
      </c>
      <c r="S977" s="20">
        <f t="shared" si="1989"/>
        <v>3360</v>
      </c>
      <c r="T977" s="20">
        <f t="shared" si="1989"/>
        <v>4320</v>
      </c>
      <c r="U977" s="20">
        <f t="shared" si="1989"/>
        <v>100</v>
      </c>
      <c r="V977" s="20">
        <f t="shared" si="1989"/>
        <v>800</v>
      </c>
      <c r="W977" s="20">
        <f t="shared" si="1989"/>
        <v>800</v>
      </c>
      <c r="X977" s="20">
        <f t="shared" si="1989"/>
        <v>4</v>
      </c>
      <c r="Y977" s="20">
        <v>0</v>
      </c>
      <c r="Z977" s="22">
        <v>0</v>
      </c>
      <c r="AA977" s="20">
        <v>0</v>
      </c>
      <c r="AB977" s="20">
        <v>0</v>
      </c>
      <c r="AC977" s="20">
        <v>0</v>
      </c>
      <c r="AD977" s="23">
        <f t="shared" ref="AD977:AE977" si="1990">AD947</f>
        <v>30</v>
      </c>
      <c r="AE977" s="23">
        <f t="shared" si="1990"/>
        <v>34</v>
      </c>
    </row>
    <row r="978" spans="1:31">
      <c r="A978" s="4">
        <v>12202</v>
      </c>
      <c r="B978" s="4">
        <v>17</v>
      </c>
      <c r="C978" s="19" t="s">
        <v>72</v>
      </c>
      <c r="D978" s="44">
        <v>0</v>
      </c>
      <c r="E978" s="18">
        <f t="shared" si="1967"/>
        <v>384</v>
      </c>
      <c r="F978" s="18">
        <v>0</v>
      </c>
      <c r="G978" s="18">
        <v>0</v>
      </c>
      <c r="H978" s="45">
        <v>0</v>
      </c>
      <c r="I978" s="21">
        <f t="shared" si="1889"/>
        <v>275</v>
      </c>
      <c r="J978" s="21">
        <f t="shared" si="1976"/>
        <v>16</v>
      </c>
      <c r="K978" s="21">
        <v>0</v>
      </c>
      <c r="L978" s="20">
        <v>6</v>
      </c>
      <c r="M978" s="20">
        <v>0</v>
      </c>
      <c r="N978" s="20">
        <f t="shared" si="1890"/>
        <v>5100</v>
      </c>
      <c r="O978" s="19" t="s">
        <v>72</v>
      </c>
      <c r="P978" s="20">
        <v>2332</v>
      </c>
      <c r="Q978" s="20">
        <f t="shared" ref="Q978:X978" si="1991">Q948</f>
        <v>510</v>
      </c>
      <c r="R978" s="20">
        <f t="shared" si="1991"/>
        <v>2040</v>
      </c>
      <c r="S978" s="20">
        <f t="shared" si="1991"/>
        <v>3570</v>
      </c>
      <c r="T978" s="20">
        <f t="shared" si="1991"/>
        <v>4590</v>
      </c>
      <c r="U978" s="20">
        <f t="shared" si="1991"/>
        <v>80</v>
      </c>
      <c r="V978" s="20">
        <f t="shared" si="1991"/>
        <v>800</v>
      </c>
      <c r="W978" s="20">
        <f t="shared" si="1991"/>
        <v>600</v>
      </c>
      <c r="X978" s="20">
        <f t="shared" si="1991"/>
        <v>5</v>
      </c>
      <c r="Y978" s="20">
        <v>0</v>
      </c>
      <c r="Z978" s="22">
        <v>0</v>
      </c>
      <c r="AA978" s="20">
        <v>0</v>
      </c>
      <c r="AB978" s="20">
        <v>0</v>
      </c>
      <c r="AC978" s="20">
        <v>0</v>
      </c>
      <c r="AD978" s="23">
        <f t="shared" ref="AD978:AE978" si="1992">AD948</f>
        <v>32</v>
      </c>
      <c r="AE978" s="23">
        <f t="shared" si="1992"/>
        <v>36</v>
      </c>
    </row>
    <row r="979" spans="1:31">
      <c r="A979" s="4">
        <v>12202</v>
      </c>
      <c r="B979" s="4">
        <v>18</v>
      </c>
      <c r="C979" s="19" t="s">
        <v>73</v>
      </c>
      <c r="D979" s="44">
        <v>0</v>
      </c>
      <c r="E979" s="18">
        <f t="shared" si="1967"/>
        <v>417</v>
      </c>
      <c r="F979" s="18">
        <v>0</v>
      </c>
      <c r="G979" s="18">
        <v>0</v>
      </c>
      <c r="H979" s="45">
        <v>0</v>
      </c>
      <c r="I979" s="21">
        <f t="shared" si="1889"/>
        <v>275</v>
      </c>
      <c r="J979" s="21">
        <f t="shared" si="1976"/>
        <v>17</v>
      </c>
      <c r="K979" s="21">
        <v>0</v>
      </c>
      <c r="L979" s="20">
        <v>6</v>
      </c>
      <c r="M979" s="20">
        <v>0</v>
      </c>
      <c r="N979" s="20">
        <f t="shared" si="1890"/>
        <v>5400</v>
      </c>
      <c r="O979" s="19" t="s">
        <v>73</v>
      </c>
      <c r="P979" s="20">
        <v>1487</v>
      </c>
      <c r="Q979" s="20">
        <f t="shared" ref="Q979:X979" si="1993">Q949</f>
        <v>540</v>
      </c>
      <c r="R979" s="20">
        <f t="shared" si="1993"/>
        <v>2160</v>
      </c>
      <c r="S979" s="20">
        <f t="shared" si="1993"/>
        <v>3779.9999999999995</v>
      </c>
      <c r="T979" s="20">
        <f t="shared" si="1993"/>
        <v>4860</v>
      </c>
      <c r="U979" s="20">
        <f t="shared" si="1993"/>
        <v>100</v>
      </c>
      <c r="V979" s="20">
        <f t="shared" si="1993"/>
        <v>600</v>
      </c>
      <c r="W979" s="20">
        <f t="shared" si="1993"/>
        <v>300</v>
      </c>
      <c r="X979" s="20">
        <f t="shared" si="1993"/>
        <v>5</v>
      </c>
      <c r="Y979" s="20">
        <v>0</v>
      </c>
      <c r="Z979" s="22">
        <v>129</v>
      </c>
      <c r="AA979" s="20">
        <v>0</v>
      </c>
      <c r="AB979" s="20">
        <v>0</v>
      </c>
      <c r="AC979" s="20">
        <v>0</v>
      </c>
      <c r="AD979" s="23">
        <f t="shared" ref="AD979:AE979" si="1994">AD949</f>
        <v>34</v>
      </c>
      <c r="AE979" s="23">
        <f t="shared" si="1994"/>
        <v>38</v>
      </c>
    </row>
    <row r="980" spans="1:31">
      <c r="A980" s="8">
        <v>12202</v>
      </c>
      <c r="B980" s="8">
        <v>19</v>
      </c>
      <c r="C980" s="19" t="s">
        <v>74</v>
      </c>
      <c r="D980" s="44">
        <v>0</v>
      </c>
      <c r="E980" s="18">
        <f t="shared" si="1967"/>
        <v>452</v>
      </c>
      <c r="F980" s="18">
        <v>0</v>
      </c>
      <c r="G980" s="18">
        <v>0</v>
      </c>
      <c r="H980" s="45">
        <v>0</v>
      </c>
      <c r="I980" s="21">
        <f t="shared" si="1889"/>
        <v>275</v>
      </c>
      <c r="J980" s="21">
        <f t="shared" si="1976"/>
        <v>18</v>
      </c>
      <c r="K980" s="21">
        <v>0</v>
      </c>
      <c r="L980" s="20">
        <v>6</v>
      </c>
      <c r="M980" s="20">
        <v>0</v>
      </c>
      <c r="N980" s="20">
        <f t="shared" si="1890"/>
        <v>5700</v>
      </c>
      <c r="O980" s="19" t="s">
        <v>74</v>
      </c>
      <c r="P980" s="20">
        <v>1518</v>
      </c>
      <c r="Q980" s="20">
        <f t="shared" ref="Q980:X980" si="1995">Q950</f>
        <v>570</v>
      </c>
      <c r="R980" s="20">
        <f t="shared" si="1995"/>
        <v>2280</v>
      </c>
      <c r="S980" s="20">
        <f t="shared" si="1995"/>
        <v>3989.9999999999995</v>
      </c>
      <c r="T980" s="20">
        <f t="shared" si="1995"/>
        <v>5130</v>
      </c>
      <c r="U980" s="20">
        <f t="shared" si="1995"/>
        <v>100</v>
      </c>
      <c r="V980" s="20">
        <f t="shared" si="1995"/>
        <v>500</v>
      </c>
      <c r="W980" s="20">
        <f t="shared" si="1995"/>
        <v>400</v>
      </c>
      <c r="X980" s="20">
        <f t="shared" si="1995"/>
        <v>5</v>
      </c>
      <c r="Y980" s="20">
        <v>0</v>
      </c>
      <c r="Z980" s="22">
        <v>0</v>
      </c>
      <c r="AA980" s="20">
        <v>0</v>
      </c>
      <c r="AB980" s="20">
        <v>0</v>
      </c>
      <c r="AC980" s="20">
        <v>0</v>
      </c>
      <c r="AD980" s="23">
        <f t="shared" ref="AD980:AE980" si="1996">AD950</f>
        <v>36</v>
      </c>
      <c r="AE980" s="23">
        <f t="shared" si="1996"/>
        <v>40</v>
      </c>
    </row>
    <row r="981" spans="1:31">
      <c r="A981" s="4">
        <v>12202</v>
      </c>
      <c r="B981" s="4">
        <v>20</v>
      </c>
      <c r="C981" s="19" t="s">
        <v>75</v>
      </c>
      <c r="D981" s="44">
        <v>0</v>
      </c>
      <c r="E981" s="18">
        <f t="shared" si="1967"/>
        <v>488</v>
      </c>
      <c r="F981" s="18">
        <v>0</v>
      </c>
      <c r="G981" s="18">
        <v>0</v>
      </c>
      <c r="H981" s="45">
        <v>0</v>
      </c>
      <c r="I981" s="21">
        <f t="shared" si="1889"/>
        <v>275</v>
      </c>
      <c r="J981" s="21">
        <f t="shared" si="1976"/>
        <v>19</v>
      </c>
      <c r="K981" s="21">
        <v>0</v>
      </c>
      <c r="L981" s="20">
        <v>6</v>
      </c>
      <c r="M981" s="20">
        <v>0</v>
      </c>
      <c r="N981" s="20">
        <f t="shared" si="1890"/>
        <v>8000</v>
      </c>
      <c r="O981" s="19" t="s">
        <v>75</v>
      </c>
      <c r="P981" s="20">
        <v>861</v>
      </c>
      <c r="Q981" s="20">
        <f t="shared" ref="Q981:X981" si="1997">Q951</f>
        <v>800</v>
      </c>
      <c r="R981" s="20">
        <f t="shared" si="1997"/>
        <v>3200</v>
      </c>
      <c r="S981" s="20">
        <f t="shared" si="1997"/>
        <v>5600</v>
      </c>
      <c r="T981" s="20">
        <f t="shared" si="1997"/>
        <v>7200</v>
      </c>
      <c r="U981" s="20">
        <f t="shared" si="1997"/>
        <v>100</v>
      </c>
      <c r="V981" s="20">
        <f t="shared" si="1997"/>
        <v>800</v>
      </c>
      <c r="W981" s="20">
        <f t="shared" si="1997"/>
        <v>8000</v>
      </c>
      <c r="X981" s="20">
        <f t="shared" si="1997"/>
        <v>5</v>
      </c>
      <c r="Y981" s="20">
        <v>0</v>
      </c>
      <c r="Z981" s="22">
        <v>0</v>
      </c>
      <c r="AA981" s="20">
        <v>0</v>
      </c>
      <c r="AB981" s="20">
        <v>0</v>
      </c>
      <c r="AC981" s="20">
        <v>0</v>
      </c>
      <c r="AD981" s="23">
        <f t="shared" ref="AD981:AE981" si="1998">AD951</f>
        <v>38</v>
      </c>
      <c r="AE981" s="23">
        <f t="shared" si="1998"/>
        <v>42</v>
      </c>
    </row>
    <row r="982" spans="1:31">
      <c r="A982" s="4">
        <v>12202</v>
      </c>
      <c r="B982" s="4">
        <v>21</v>
      </c>
      <c r="C982" s="19" t="s">
        <v>66</v>
      </c>
      <c r="D982" s="44">
        <v>0</v>
      </c>
      <c r="E982" s="18">
        <f t="shared" si="1967"/>
        <v>528</v>
      </c>
      <c r="F982" s="18">
        <v>0</v>
      </c>
      <c r="G982" s="18">
        <v>0</v>
      </c>
      <c r="H982" s="45">
        <v>0</v>
      </c>
      <c r="I982" s="21">
        <f t="shared" si="1889"/>
        <v>330</v>
      </c>
      <c r="J982" s="21">
        <f t="shared" si="1976"/>
        <v>20</v>
      </c>
      <c r="K982" s="21">
        <v>0</v>
      </c>
      <c r="L982" s="20">
        <v>6</v>
      </c>
      <c r="M982" s="20">
        <v>0</v>
      </c>
      <c r="N982" s="20">
        <f t="shared" si="1890"/>
        <v>8400</v>
      </c>
      <c r="O982" s="19" t="s">
        <v>66</v>
      </c>
      <c r="P982" s="20">
        <v>9400</v>
      </c>
      <c r="Q982" s="20">
        <f t="shared" ref="Q982:X982" si="1999">Q952</f>
        <v>840</v>
      </c>
      <c r="R982" s="20">
        <f t="shared" si="1999"/>
        <v>3360</v>
      </c>
      <c r="S982" s="20">
        <f t="shared" si="1999"/>
        <v>5880</v>
      </c>
      <c r="T982" s="20">
        <f t="shared" si="1999"/>
        <v>7560</v>
      </c>
      <c r="U982" s="20">
        <f t="shared" si="1999"/>
        <v>50</v>
      </c>
      <c r="V982" s="20">
        <f t="shared" si="1999"/>
        <v>1000</v>
      </c>
      <c r="W982" s="20">
        <f t="shared" si="1999"/>
        <v>600</v>
      </c>
      <c r="X982" s="20">
        <f t="shared" si="1999"/>
        <v>6</v>
      </c>
      <c r="Y982" s="20">
        <v>0</v>
      </c>
      <c r="Z982" s="22">
        <v>0</v>
      </c>
      <c r="AA982" s="20">
        <v>0</v>
      </c>
      <c r="AB982" s="20">
        <v>0</v>
      </c>
      <c r="AC982" s="20">
        <v>0</v>
      </c>
      <c r="AD982" s="23">
        <f t="shared" ref="AD982:AE982" si="2000">AD952</f>
        <v>40</v>
      </c>
      <c r="AE982" s="23">
        <f t="shared" si="2000"/>
        <v>44</v>
      </c>
    </row>
    <row r="983" spans="1:31">
      <c r="A983" s="4">
        <v>12202</v>
      </c>
      <c r="B983" s="4">
        <v>22</v>
      </c>
      <c r="C983" s="19" t="s">
        <v>67</v>
      </c>
      <c r="D983" s="44">
        <v>0</v>
      </c>
      <c r="E983" s="18">
        <f t="shared" si="1967"/>
        <v>572</v>
      </c>
      <c r="F983" s="18">
        <v>0</v>
      </c>
      <c r="G983" s="18">
        <v>0</v>
      </c>
      <c r="H983" s="45">
        <v>0</v>
      </c>
      <c r="I983" s="21">
        <f t="shared" si="1889"/>
        <v>330</v>
      </c>
      <c r="J983" s="21">
        <f t="shared" si="1976"/>
        <v>21</v>
      </c>
      <c r="K983" s="21">
        <v>0</v>
      </c>
      <c r="L983" s="20">
        <v>6</v>
      </c>
      <c r="M983" s="20">
        <v>0</v>
      </c>
      <c r="N983" s="20">
        <f t="shared" si="1890"/>
        <v>8800</v>
      </c>
      <c r="O983" s="19" t="s">
        <v>67</v>
      </c>
      <c r="P983" s="20">
        <v>9100</v>
      </c>
      <c r="Q983" s="20">
        <f t="shared" ref="Q983:X983" si="2001">Q953</f>
        <v>880</v>
      </c>
      <c r="R983" s="20">
        <f t="shared" si="2001"/>
        <v>3520</v>
      </c>
      <c r="S983" s="20">
        <f t="shared" si="2001"/>
        <v>6160</v>
      </c>
      <c r="T983" s="20">
        <f t="shared" si="2001"/>
        <v>7920</v>
      </c>
      <c r="U983" s="20">
        <f t="shared" si="2001"/>
        <v>100</v>
      </c>
      <c r="V983" s="20">
        <f t="shared" si="2001"/>
        <v>600</v>
      </c>
      <c r="W983" s="20">
        <f t="shared" si="2001"/>
        <v>700</v>
      </c>
      <c r="X983" s="20">
        <f t="shared" si="2001"/>
        <v>6</v>
      </c>
      <c r="Y983" s="20">
        <v>0</v>
      </c>
      <c r="Z983" s="22">
        <v>0</v>
      </c>
      <c r="AA983" s="20">
        <v>0</v>
      </c>
      <c r="AB983" s="20">
        <v>0</v>
      </c>
      <c r="AC983" s="20">
        <v>0</v>
      </c>
      <c r="AD983" s="23">
        <f t="shared" ref="AD983:AE983" si="2002">AD953</f>
        <v>42</v>
      </c>
      <c r="AE983" s="23">
        <f t="shared" si="2002"/>
        <v>46</v>
      </c>
    </row>
    <row r="984" spans="1:31">
      <c r="A984" s="4">
        <v>12202</v>
      </c>
      <c r="B984" s="4">
        <v>23</v>
      </c>
      <c r="C984" s="19" t="s">
        <v>68</v>
      </c>
      <c r="D984" s="44">
        <v>0</v>
      </c>
      <c r="E984" s="18">
        <f t="shared" si="1967"/>
        <v>620</v>
      </c>
      <c r="F984" s="18">
        <v>0</v>
      </c>
      <c r="G984" s="18">
        <v>0</v>
      </c>
      <c r="H984" s="45">
        <v>0</v>
      </c>
      <c r="I984" s="21">
        <f t="shared" si="1889"/>
        <v>330</v>
      </c>
      <c r="J984" s="21">
        <f t="shared" si="1976"/>
        <v>22</v>
      </c>
      <c r="K984" s="21">
        <v>0</v>
      </c>
      <c r="L984" s="20">
        <v>6</v>
      </c>
      <c r="M984" s="20">
        <v>0</v>
      </c>
      <c r="N984" s="20">
        <f t="shared" si="1890"/>
        <v>9200</v>
      </c>
      <c r="O984" s="19" t="s">
        <v>68</v>
      </c>
      <c r="P984" s="20">
        <v>8600</v>
      </c>
      <c r="Q984" s="20">
        <f t="shared" ref="Q984:X984" si="2003">Q954</f>
        <v>920</v>
      </c>
      <c r="R984" s="20">
        <f t="shared" si="2003"/>
        <v>3680</v>
      </c>
      <c r="S984" s="20">
        <f t="shared" si="2003"/>
        <v>6440</v>
      </c>
      <c r="T984" s="20">
        <f t="shared" si="2003"/>
        <v>8280</v>
      </c>
      <c r="U984" s="20">
        <f t="shared" si="2003"/>
        <v>100</v>
      </c>
      <c r="V984" s="20">
        <f t="shared" si="2003"/>
        <v>550</v>
      </c>
      <c r="W984" s="20">
        <f t="shared" si="2003"/>
        <v>500</v>
      </c>
      <c r="X984" s="20">
        <f t="shared" si="2003"/>
        <v>6</v>
      </c>
      <c r="Y984" s="20">
        <v>0</v>
      </c>
      <c r="Z984" s="22">
        <v>172</v>
      </c>
      <c r="AA984" s="20">
        <v>0</v>
      </c>
      <c r="AB984" s="20">
        <v>0</v>
      </c>
      <c r="AC984" s="20">
        <v>0</v>
      </c>
      <c r="AD984" s="23">
        <f t="shared" ref="AD984:AE984" si="2004">AD954</f>
        <v>44</v>
      </c>
      <c r="AE984" s="23">
        <f t="shared" si="2004"/>
        <v>48</v>
      </c>
    </row>
    <row r="985" spans="1:31">
      <c r="A985" s="4">
        <v>12202</v>
      </c>
      <c r="B985" s="4">
        <v>24</v>
      </c>
      <c r="C985" s="19" t="s">
        <v>69</v>
      </c>
      <c r="D985" s="44">
        <v>0</v>
      </c>
      <c r="E985" s="18">
        <f t="shared" si="1967"/>
        <v>671</v>
      </c>
      <c r="F985" s="18">
        <v>0</v>
      </c>
      <c r="G985" s="18">
        <v>0</v>
      </c>
      <c r="H985" s="45">
        <v>0</v>
      </c>
      <c r="I985" s="21">
        <f t="shared" si="1889"/>
        <v>330</v>
      </c>
      <c r="J985" s="21">
        <f t="shared" si="1976"/>
        <v>23</v>
      </c>
      <c r="K985" s="21">
        <v>0</v>
      </c>
      <c r="L985" s="20">
        <v>6</v>
      </c>
      <c r="M985" s="20">
        <v>0</v>
      </c>
      <c r="N985" s="20">
        <f t="shared" si="1890"/>
        <v>9600</v>
      </c>
      <c r="O985" s="19" t="s">
        <v>69</v>
      </c>
      <c r="P985" s="20">
        <v>6400</v>
      </c>
      <c r="Q985" s="20">
        <f t="shared" ref="Q985:X985" si="2005">Q955</f>
        <v>960</v>
      </c>
      <c r="R985" s="20">
        <f t="shared" si="2005"/>
        <v>3840</v>
      </c>
      <c r="S985" s="20">
        <f t="shared" si="2005"/>
        <v>6720</v>
      </c>
      <c r="T985" s="20">
        <f t="shared" si="2005"/>
        <v>8640</v>
      </c>
      <c r="U985" s="20">
        <f t="shared" si="2005"/>
        <v>100</v>
      </c>
      <c r="V985" s="20">
        <f t="shared" si="2005"/>
        <v>500</v>
      </c>
      <c r="W985" s="20">
        <f t="shared" si="2005"/>
        <v>900</v>
      </c>
      <c r="X985" s="20">
        <f t="shared" si="2005"/>
        <v>6</v>
      </c>
      <c r="Y985" s="20">
        <v>0</v>
      </c>
      <c r="Z985" s="22">
        <v>0</v>
      </c>
      <c r="AA985" s="20">
        <v>0</v>
      </c>
      <c r="AB985" s="20">
        <v>0</v>
      </c>
      <c r="AC985" s="20">
        <v>0</v>
      </c>
      <c r="AD985" s="23">
        <f t="shared" ref="AD985:AE985" si="2006">AD955</f>
        <v>46</v>
      </c>
      <c r="AE985" s="23">
        <f t="shared" si="2006"/>
        <v>50</v>
      </c>
    </row>
    <row r="986" spans="1:31">
      <c r="A986" s="4">
        <v>12202</v>
      </c>
      <c r="B986" s="4">
        <v>25</v>
      </c>
      <c r="C986" s="19" t="s">
        <v>70</v>
      </c>
      <c r="D986" s="44">
        <v>0</v>
      </c>
      <c r="E986" s="18">
        <f t="shared" si="1967"/>
        <v>726</v>
      </c>
      <c r="F986" s="18">
        <v>0</v>
      </c>
      <c r="G986" s="18">
        <v>0</v>
      </c>
      <c r="H986" s="45">
        <v>0</v>
      </c>
      <c r="I986" s="21">
        <f t="shared" si="1889"/>
        <v>385</v>
      </c>
      <c r="J986" s="21">
        <f t="shared" si="1976"/>
        <v>24</v>
      </c>
      <c r="K986" s="21">
        <v>0</v>
      </c>
      <c r="L986" s="20">
        <v>6</v>
      </c>
      <c r="M986" s="20">
        <v>0</v>
      </c>
      <c r="N986" s="20">
        <f t="shared" si="1890"/>
        <v>12500</v>
      </c>
      <c r="O986" s="19" t="s">
        <v>70</v>
      </c>
      <c r="P986" s="20">
        <v>3100</v>
      </c>
      <c r="Q986" s="20">
        <f t="shared" ref="Q986:X986" si="2007">Q956</f>
        <v>1250</v>
      </c>
      <c r="R986" s="20">
        <f t="shared" si="2007"/>
        <v>5000</v>
      </c>
      <c r="S986" s="20">
        <f t="shared" si="2007"/>
        <v>8750</v>
      </c>
      <c r="T986" s="20">
        <f t="shared" si="2007"/>
        <v>11250</v>
      </c>
      <c r="U986" s="20">
        <f t="shared" si="2007"/>
        <v>10</v>
      </c>
      <c r="V986" s="20">
        <f t="shared" si="2007"/>
        <v>1300</v>
      </c>
      <c r="W986" s="20">
        <f t="shared" si="2007"/>
        <v>1000</v>
      </c>
      <c r="X986" s="20">
        <f t="shared" si="2007"/>
        <v>7</v>
      </c>
      <c r="Y986" s="20">
        <v>0</v>
      </c>
      <c r="Z986" s="22">
        <v>0</v>
      </c>
      <c r="AA986" s="20">
        <v>0</v>
      </c>
      <c r="AB986" s="20">
        <v>0</v>
      </c>
      <c r="AC986" s="20">
        <v>0</v>
      </c>
      <c r="AD986" s="23">
        <f t="shared" ref="AD986:AE986" si="2008">AD956</f>
        <v>48</v>
      </c>
      <c r="AE986" s="23">
        <f t="shared" si="2008"/>
        <v>52</v>
      </c>
    </row>
    <row r="987" spans="1:31">
      <c r="A987" s="4">
        <v>12202</v>
      </c>
      <c r="B987" s="4">
        <v>26</v>
      </c>
      <c r="C987" s="19" t="s">
        <v>71</v>
      </c>
      <c r="D987" s="44">
        <v>0</v>
      </c>
      <c r="E987" s="18">
        <f t="shared" si="1967"/>
        <v>786</v>
      </c>
      <c r="F987" s="18">
        <v>0</v>
      </c>
      <c r="G987" s="18">
        <v>0</v>
      </c>
      <c r="H987" s="45">
        <v>0</v>
      </c>
      <c r="I987" s="21">
        <f t="shared" si="1889"/>
        <v>385</v>
      </c>
      <c r="J987" s="21">
        <f t="shared" si="1976"/>
        <v>25</v>
      </c>
      <c r="K987" s="21">
        <v>0</v>
      </c>
      <c r="L987" s="20">
        <v>6</v>
      </c>
      <c r="M987" s="20">
        <v>0</v>
      </c>
      <c r="N987" s="20">
        <f t="shared" si="1890"/>
        <v>13000</v>
      </c>
      <c r="O987" s="19" t="s">
        <v>71</v>
      </c>
      <c r="P987" s="20">
        <v>1777</v>
      </c>
      <c r="Q987" s="20">
        <f t="shared" ref="Q987:X987" si="2009">Q957</f>
        <v>1300</v>
      </c>
      <c r="R987" s="20">
        <f t="shared" si="2009"/>
        <v>5200</v>
      </c>
      <c r="S987" s="20">
        <f t="shared" si="2009"/>
        <v>9100</v>
      </c>
      <c r="T987" s="20">
        <f t="shared" si="2009"/>
        <v>11700</v>
      </c>
      <c r="U987" s="20">
        <f t="shared" si="2009"/>
        <v>90</v>
      </c>
      <c r="V987" s="20">
        <f t="shared" si="2009"/>
        <v>800</v>
      </c>
      <c r="W987" s="20">
        <f t="shared" si="2009"/>
        <v>2000</v>
      </c>
      <c r="X987" s="20">
        <f t="shared" si="2009"/>
        <v>7</v>
      </c>
      <c r="Y987" s="20">
        <v>0</v>
      </c>
      <c r="Z987" s="22">
        <v>0</v>
      </c>
      <c r="AA987" s="20">
        <v>0</v>
      </c>
      <c r="AB987" s="20">
        <v>0</v>
      </c>
      <c r="AC987" s="20">
        <v>0</v>
      </c>
      <c r="AD987" s="23">
        <f t="shared" ref="AD987:AE987" si="2010">AD957</f>
        <v>50</v>
      </c>
      <c r="AE987" s="23">
        <f t="shared" si="2010"/>
        <v>54</v>
      </c>
    </row>
    <row r="988" spans="1:31">
      <c r="A988" s="4">
        <v>12202</v>
      </c>
      <c r="B988" s="4">
        <v>27</v>
      </c>
      <c r="C988" s="19" t="s">
        <v>72</v>
      </c>
      <c r="D988" s="44">
        <v>0</v>
      </c>
      <c r="E988" s="18">
        <f t="shared" si="1967"/>
        <v>851</v>
      </c>
      <c r="F988" s="18">
        <v>0</v>
      </c>
      <c r="G988" s="18">
        <v>0</v>
      </c>
      <c r="H988" s="45">
        <v>0</v>
      </c>
      <c r="I988" s="21">
        <f t="shared" si="1889"/>
        <v>385</v>
      </c>
      <c r="J988" s="21">
        <f t="shared" si="1976"/>
        <v>26</v>
      </c>
      <c r="K988" s="21">
        <v>0</v>
      </c>
      <c r="L988" s="20">
        <v>6</v>
      </c>
      <c r="M988" s="20">
        <v>0</v>
      </c>
      <c r="N988" s="20">
        <f t="shared" si="1890"/>
        <v>13500</v>
      </c>
      <c r="O988" s="19" t="s">
        <v>72</v>
      </c>
      <c r="P988" s="20">
        <v>2332</v>
      </c>
      <c r="Q988" s="20">
        <f t="shared" ref="Q988:X988" si="2011">Q958</f>
        <v>1350</v>
      </c>
      <c r="R988" s="20">
        <f t="shared" si="2011"/>
        <v>5400</v>
      </c>
      <c r="S988" s="20">
        <f t="shared" si="2011"/>
        <v>9450</v>
      </c>
      <c r="T988" s="20">
        <f t="shared" si="2011"/>
        <v>12150</v>
      </c>
      <c r="U988" s="20">
        <f t="shared" si="2011"/>
        <v>80</v>
      </c>
      <c r="V988" s="20">
        <f t="shared" si="2011"/>
        <v>700</v>
      </c>
      <c r="W988" s="20">
        <f t="shared" si="2011"/>
        <v>800</v>
      </c>
      <c r="X988" s="20">
        <f t="shared" si="2011"/>
        <v>7</v>
      </c>
      <c r="Y988" s="20">
        <v>0</v>
      </c>
      <c r="Z988" s="22">
        <v>0</v>
      </c>
      <c r="AA988" s="20">
        <v>0</v>
      </c>
      <c r="AB988" s="20">
        <v>0</v>
      </c>
      <c r="AC988" s="20">
        <v>0</v>
      </c>
      <c r="AD988" s="23">
        <f t="shared" ref="AD988:AE988" si="2012">AD958</f>
        <v>52</v>
      </c>
      <c r="AE988" s="23">
        <f t="shared" si="2012"/>
        <v>56</v>
      </c>
    </row>
    <row r="989" spans="1:31">
      <c r="A989" s="4">
        <v>12202</v>
      </c>
      <c r="B989" s="4">
        <v>28</v>
      </c>
      <c r="C989" s="19" t="s">
        <v>73</v>
      </c>
      <c r="D989" s="44">
        <v>0</v>
      </c>
      <c r="E989" s="18">
        <f t="shared" si="1967"/>
        <v>921</v>
      </c>
      <c r="F989" s="18">
        <v>0</v>
      </c>
      <c r="G989" s="18">
        <v>0</v>
      </c>
      <c r="H989" s="45">
        <v>0</v>
      </c>
      <c r="I989" s="21">
        <f t="shared" si="1889"/>
        <v>385</v>
      </c>
      <c r="J989" s="21">
        <f t="shared" si="1976"/>
        <v>27</v>
      </c>
      <c r="K989" s="21">
        <v>0</v>
      </c>
      <c r="L989" s="20">
        <v>6</v>
      </c>
      <c r="M989" s="20">
        <v>0</v>
      </c>
      <c r="N989" s="20">
        <f t="shared" si="1890"/>
        <v>14000</v>
      </c>
      <c r="O989" s="19" t="s">
        <v>73</v>
      </c>
      <c r="P989" s="20">
        <v>1487</v>
      </c>
      <c r="Q989" s="20">
        <f t="shared" ref="Q989:X989" si="2013">Q959</f>
        <v>1400</v>
      </c>
      <c r="R989" s="20">
        <f t="shared" si="2013"/>
        <v>5600</v>
      </c>
      <c r="S989" s="20">
        <f t="shared" si="2013"/>
        <v>9800</v>
      </c>
      <c r="T989" s="20">
        <f t="shared" si="2013"/>
        <v>12600</v>
      </c>
      <c r="U989" s="20">
        <f t="shared" si="2013"/>
        <v>80</v>
      </c>
      <c r="V989" s="20">
        <f t="shared" si="2013"/>
        <v>500</v>
      </c>
      <c r="W989" s="20">
        <f t="shared" si="2013"/>
        <v>600</v>
      </c>
      <c r="X989" s="20">
        <f t="shared" si="2013"/>
        <v>7</v>
      </c>
      <c r="Y989" s="20">
        <v>0</v>
      </c>
      <c r="Z989" s="22">
        <v>216</v>
      </c>
      <c r="AA989" s="20">
        <v>0</v>
      </c>
      <c r="AB989" s="20">
        <v>0</v>
      </c>
      <c r="AC989" s="20">
        <v>0</v>
      </c>
      <c r="AD989" s="23">
        <f t="shared" ref="AD989:AE989" si="2014">AD959</f>
        <v>54</v>
      </c>
      <c r="AE989" s="23">
        <f t="shared" si="2014"/>
        <v>58</v>
      </c>
    </row>
    <row r="990" spans="1:31">
      <c r="A990" s="4">
        <v>12202</v>
      </c>
      <c r="B990" s="4">
        <v>29</v>
      </c>
      <c r="C990" s="19" t="s">
        <v>74</v>
      </c>
      <c r="D990" s="44">
        <v>0</v>
      </c>
      <c r="E990" s="18">
        <f t="shared" si="1967"/>
        <v>998</v>
      </c>
      <c r="F990" s="18">
        <v>0</v>
      </c>
      <c r="G990" s="18">
        <v>0</v>
      </c>
      <c r="H990" s="45">
        <v>0</v>
      </c>
      <c r="I990" s="21">
        <f t="shared" si="1889"/>
        <v>440</v>
      </c>
      <c r="J990" s="21">
        <f t="shared" si="1976"/>
        <v>28</v>
      </c>
      <c r="K990" s="21">
        <v>0</v>
      </c>
      <c r="L990" s="20">
        <v>6</v>
      </c>
      <c r="M990" s="20">
        <v>0</v>
      </c>
      <c r="N990" s="20">
        <f t="shared" si="1890"/>
        <v>14500</v>
      </c>
      <c r="O990" s="19" t="s">
        <v>74</v>
      </c>
      <c r="P990" s="20">
        <v>1518</v>
      </c>
      <c r="Q990" s="20">
        <f t="shared" ref="Q990:X990" si="2015">Q960</f>
        <v>1450</v>
      </c>
      <c r="R990" s="20">
        <f t="shared" si="2015"/>
        <v>5800</v>
      </c>
      <c r="S990" s="20">
        <f t="shared" si="2015"/>
        <v>10150</v>
      </c>
      <c r="T990" s="20">
        <f t="shared" si="2015"/>
        <v>13050</v>
      </c>
      <c r="U990" s="20">
        <f t="shared" si="2015"/>
        <v>80</v>
      </c>
      <c r="V990" s="20">
        <f t="shared" si="2015"/>
        <v>600</v>
      </c>
      <c r="W990" s="20">
        <f t="shared" si="2015"/>
        <v>700</v>
      </c>
      <c r="X990" s="20">
        <f t="shared" si="2015"/>
        <v>8</v>
      </c>
      <c r="Y990" s="20">
        <v>0</v>
      </c>
      <c r="Z990" s="22">
        <v>0</v>
      </c>
      <c r="AA990" s="20">
        <v>0</v>
      </c>
      <c r="AB990" s="20">
        <v>0</v>
      </c>
      <c r="AC990" s="20">
        <v>0</v>
      </c>
      <c r="AD990" s="23">
        <f t="shared" ref="AD990:AE990" si="2016">AD960</f>
        <v>56</v>
      </c>
      <c r="AE990" s="23">
        <f t="shared" si="2016"/>
        <v>60</v>
      </c>
    </row>
    <row r="991" spans="1:31">
      <c r="A991" s="4">
        <v>12202</v>
      </c>
      <c r="B991" s="4">
        <v>30</v>
      </c>
      <c r="C991" s="19" t="s">
        <v>75</v>
      </c>
      <c r="D991" s="44">
        <v>0</v>
      </c>
      <c r="E991" s="18">
        <f t="shared" si="1967"/>
        <v>1080</v>
      </c>
      <c r="F991" s="18">
        <v>0</v>
      </c>
      <c r="G991" s="18">
        <v>0</v>
      </c>
      <c r="H991" s="45">
        <v>0</v>
      </c>
      <c r="I991" s="21">
        <f t="shared" si="1889"/>
        <v>440</v>
      </c>
      <c r="J991" s="21">
        <f t="shared" si="1976"/>
        <v>29</v>
      </c>
      <c r="K991" s="21">
        <v>0</v>
      </c>
      <c r="L991" s="20">
        <v>6</v>
      </c>
      <c r="M991" s="20">
        <v>0</v>
      </c>
      <c r="N991" s="20">
        <f t="shared" si="1890"/>
        <v>15000</v>
      </c>
      <c r="O991" s="19" t="s">
        <v>75</v>
      </c>
      <c r="P991" s="20">
        <v>861</v>
      </c>
      <c r="Q991" s="20">
        <f t="shared" ref="Q991:X991" si="2017">Q961</f>
        <v>1500</v>
      </c>
      <c r="R991" s="20">
        <f t="shared" si="2017"/>
        <v>6000</v>
      </c>
      <c r="S991" s="20">
        <f t="shared" si="2017"/>
        <v>10500</v>
      </c>
      <c r="T991" s="20">
        <f t="shared" si="2017"/>
        <v>13500</v>
      </c>
      <c r="U991" s="20">
        <f t="shared" si="2017"/>
        <v>20</v>
      </c>
      <c r="V991" s="20">
        <f t="shared" si="2017"/>
        <v>450</v>
      </c>
      <c r="W991" s="20">
        <f t="shared" si="2017"/>
        <v>1000</v>
      </c>
      <c r="X991" s="20">
        <f t="shared" si="2017"/>
        <v>8</v>
      </c>
      <c r="Y991" s="20">
        <v>0</v>
      </c>
      <c r="Z991" s="22">
        <v>0</v>
      </c>
      <c r="AA991" s="20">
        <v>0</v>
      </c>
      <c r="AB991" s="20">
        <v>0</v>
      </c>
      <c r="AC991" s="20">
        <v>0</v>
      </c>
      <c r="AD991" s="23">
        <f t="shared" ref="AD991:AE991" si="2018">AD961</f>
        <v>58</v>
      </c>
      <c r="AE991" s="23">
        <f t="shared" si="2018"/>
        <v>62</v>
      </c>
    </row>
    <row r="992" spans="1:31">
      <c r="A992" s="8">
        <v>12203</v>
      </c>
      <c r="B992" s="8">
        <v>1</v>
      </c>
      <c r="C992" s="29" t="s">
        <v>66</v>
      </c>
      <c r="D992" s="46">
        <v>0</v>
      </c>
      <c r="E992" s="18">
        <f t="shared" si="1967"/>
        <v>144</v>
      </c>
      <c r="F992" s="28">
        <v>0</v>
      </c>
      <c r="G992" s="28">
        <v>0</v>
      </c>
      <c r="H992" s="47">
        <v>0</v>
      </c>
      <c r="I992" s="21">
        <f t="shared" si="1889"/>
        <v>55</v>
      </c>
      <c r="J992" s="21">
        <f t="shared" si="1976"/>
        <v>0</v>
      </c>
      <c r="K992" s="21">
        <v>0</v>
      </c>
      <c r="L992" s="20">
        <v>45</v>
      </c>
      <c r="M992" s="20">
        <v>0</v>
      </c>
      <c r="N992" s="20">
        <f t="shared" si="1890"/>
        <v>10</v>
      </c>
      <c r="O992" s="19" t="s">
        <v>66</v>
      </c>
      <c r="P992" s="20">
        <v>9400</v>
      </c>
      <c r="Q992" s="20">
        <f t="shared" ref="Q992:X992" si="2019">Q962</f>
        <v>1</v>
      </c>
      <c r="R992" s="20">
        <f t="shared" si="2019"/>
        <v>4</v>
      </c>
      <c r="S992" s="20">
        <f t="shared" si="2019"/>
        <v>7</v>
      </c>
      <c r="T992" s="20">
        <f t="shared" si="2019"/>
        <v>9</v>
      </c>
      <c r="U992" s="20">
        <f t="shared" si="2019"/>
        <v>9400</v>
      </c>
      <c r="V992" s="20">
        <f t="shared" si="2019"/>
        <v>9400</v>
      </c>
      <c r="W992" s="20">
        <f t="shared" si="2019"/>
        <v>9400</v>
      </c>
      <c r="X992" s="20">
        <f t="shared" si="2019"/>
        <v>1</v>
      </c>
      <c r="Y992" s="20">
        <v>0</v>
      </c>
      <c r="Z992" s="22">
        <v>0</v>
      </c>
      <c r="AA992" s="27">
        <v>0</v>
      </c>
      <c r="AB992" s="27">
        <v>0</v>
      </c>
      <c r="AC992" s="27">
        <v>0</v>
      </c>
      <c r="AD992" s="23">
        <f t="shared" ref="AD992:AE992" si="2020">AD962</f>
        <v>1</v>
      </c>
      <c r="AE992" s="23">
        <f t="shared" si="2020"/>
        <v>3</v>
      </c>
    </row>
    <row r="993" spans="1:31">
      <c r="A993" s="4">
        <v>12203</v>
      </c>
      <c r="B993" s="4">
        <v>2</v>
      </c>
      <c r="C993" s="29" t="s">
        <v>67</v>
      </c>
      <c r="D993" s="46">
        <v>0</v>
      </c>
      <c r="E993" s="18">
        <f t="shared" si="1967"/>
        <v>156</v>
      </c>
      <c r="F993" s="28">
        <v>0</v>
      </c>
      <c r="G993" s="28">
        <v>0</v>
      </c>
      <c r="H993" s="47">
        <v>0</v>
      </c>
      <c r="I993" s="21">
        <f t="shared" ref="I993:I1056" si="2021">I963</f>
        <v>55</v>
      </c>
      <c r="J993" s="21">
        <f t="shared" si="1976"/>
        <v>1</v>
      </c>
      <c r="K993" s="21">
        <v>0</v>
      </c>
      <c r="L993" s="20">
        <v>40</v>
      </c>
      <c r="M993" s="20">
        <v>0</v>
      </c>
      <c r="N993" s="20">
        <f t="shared" ref="N993:N1056" si="2022">N963</f>
        <v>20</v>
      </c>
      <c r="O993" s="19" t="s">
        <v>67</v>
      </c>
      <c r="P993" s="20">
        <v>9100</v>
      </c>
      <c r="Q993" s="20">
        <f t="shared" ref="Q993:X993" si="2023">Q963</f>
        <v>2</v>
      </c>
      <c r="R993" s="20">
        <f t="shared" si="2023"/>
        <v>8</v>
      </c>
      <c r="S993" s="20">
        <f t="shared" si="2023"/>
        <v>14</v>
      </c>
      <c r="T993" s="20">
        <f t="shared" si="2023"/>
        <v>18</v>
      </c>
      <c r="U993" s="20">
        <f t="shared" si="2023"/>
        <v>4000</v>
      </c>
      <c r="V993" s="20">
        <f t="shared" si="2023"/>
        <v>8000</v>
      </c>
      <c r="W993" s="20">
        <f t="shared" si="2023"/>
        <v>8000</v>
      </c>
      <c r="X993" s="20">
        <f t="shared" si="2023"/>
        <v>1</v>
      </c>
      <c r="Y993" s="20">
        <v>0</v>
      </c>
      <c r="Z993" s="22">
        <v>0</v>
      </c>
      <c r="AA993" s="27">
        <v>0</v>
      </c>
      <c r="AB993" s="27">
        <v>0</v>
      </c>
      <c r="AC993" s="27">
        <v>0</v>
      </c>
      <c r="AD993" s="23">
        <f t="shared" ref="AD993:AE993" si="2024">AD963</f>
        <v>2</v>
      </c>
      <c r="AE993" s="23">
        <f t="shared" si="2024"/>
        <v>5</v>
      </c>
    </row>
    <row r="994" spans="1:31">
      <c r="A994" s="4">
        <v>12203</v>
      </c>
      <c r="B994" s="4">
        <v>3</v>
      </c>
      <c r="C994" s="29" t="s">
        <v>68</v>
      </c>
      <c r="D994" s="46">
        <v>0</v>
      </c>
      <c r="E994" s="18">
        <f t="shared" si="1967"/>
        <v>168</v>
      </c>
      <c r="F994" s="28">
        <v>0</v>
      </c>
      <c r="G994" s="28">
        <v>0</v>
      </c>
      <c r="H994" s="47">
        <v>0</v>
      </c>
      <c r="I994" s="21">
        <f t="shared" si="2021"/>
        <v>55</v>
      </c>
      <c r="J994" s="21">
        <f t="shared" si="1976"/>
        <v>2</v>
      </c>
      <c r="K994" s="21">
        <v>0</v>
      </c>
      <c r="L994" s="20">
        <v>35</v>
      </c>
      <c r="M994" s="20">
        <v>0</v>
      </c>
      <c r="N994" s="20">
        <f t="shared" si="2022"/>
        <v>40</v>
      </c>
      <c r="O994" s="19" t="s">
        <v>68</v>
      </c>
      <c r="P994" s="20">
        <v>8600</v>
      </c>
      <c r="Q994" s="20">
        <f t="shared" ref="Q994:X994" si="2025">Q964</f>
        <v>4</v>
      </c>
      <c r="R994" s="20">
        <f t="shared" si="2025"/>
        <v>16</v>
      </c>
      <c r="S994" s="20">
        <f t="shared" si="2025"/>
        <v>28</v>
      </c>
      <c r="T994" s="20">
        <f t="shared" si="2025"/>
        <v>36</v>
      </c>
      <c r="U994" s="20">
        <f t="shared" si="2025"/>
        <v>1600</v>
      </c>
      <c r="V994" s="20">
        <f t="shared" si="2025"/>
        <v>5000</v>
      </c>
      <c r="W994" s="20">
        <f t="shared" si="2025"/>
        <v>6000</v>
      </c>
      <c r="X994" s="20">
        <f t="shared" si="2025"/>
        <v>1</v>
      </c>
      <c r="Y994" s="20">
        <v>0</v>
      </c>
      <c r="Z994" s="22">
        <v>0</v>
      </c>
      <c r="AA994" s="27">
        <v>0</v>
      </c>
      <c r="AB994" s="27">
        <v>0</v>
      </c>
      <c r="AC994" s="27">
        <v>0</v>
      </c>
      <c r="AD994" s="23">
        <f t="shared" ref="AD994:AE994" si="2026">AD964</f>
        <v>4</v>
      </c>
      <c r="AE994" s="23">
        <f t="shared" si="2026"/>
        <v>8</v>
      </c>
    </row>
    <row r="995" spans="1:31">
      <c r="A995" s="4">
        <v>12203</v>
      </c>
      <c r="B995" s="4">
        <v>4</v>
      </c>
      <c r="C995" s="29" t="s">
        <v>69</v>
      </c>
      <c r="D995" s="46">
        <v>0</v>
      </c>
      <c r="E995" s="18">
        <f t="shared" si="1967"/>
        <v>182</v>
      </c>
      <c r="F995" s="28">
        <v>0</v>
      </c>
      <c r="G995" s="28">
        <v>0</v>
      </c>
      <c r="H995" s="47">
        <v>0</v>
      </c>
      <c r="I995" s="21">
        <f t="shared" si="2021"/>
        <v>55</v>
      </c>
      <c r="J995" s="21">
        <f t="shared" si="1976"/>
        <v>3</v>
      </c>
      <c r="K995" s="21">
        <v>0</v>
      </c>
      <c r="L995" s="20">
        <v>30</v>
      </c>
      <c r="M995" s="20">
        <v>0</v>
      </c>
      <c r="N995" s="20">
        <f t="shared" si="2022"/>
        <v>100</v>
      </c>
      <c r="O995" s="19" t="s">
        <v>69</v>
      </c>
      <c r="P995" s="20">
        <v>6400</v>
      </c>
      <c r="Q995" s="20">
        <f t="shared" ref="Q995:X995" si="2027">Q965</f>
        <v>10</v>
      </c>
      <c r="R995" s="20">
        <f t="shared" si="2027"/>
        <v>40</v>
      </c>
      <c r="S995" s="20">
        <f t="shared" si="2027"/>
        <v>70</v>
      </c>
      <c r="T995" s="20">
        <f t="shared" si="2027"/>
        <v>90</v>
      </c>
      <c r="U995" s="20">
        <f t="shared" si="2027"/>
        <v>900</v>
      </c>
      <c r="V995" s="20">
        <f t="shared" si="2027"/>
        <v>2000</v>
      </c>
      <c r="W995" s="20">
        <f t="shared" si="2027"/>
        <v>8000</v>
      </c>
      <c r="X995" s="20">
        <f t="shared" si="2027"/>
        <v>1</v>
      </c>
      <c r="Y995" s="20">
        <v>0</v>
      </c>
      <c r="Z995" s="22">
        <v>0</v>
      </c>
      <c r="AA995" s="27">
        <v>0</v>
      </c>
      <c r="AB995" s="27">
        <v>0</v>
      </c>
      <c r="AC995" s="27">
        <v>0</v>
      </c>
      <c r="AD995" s="23">
        <f t="shared" ref="AD995:AE995" si="2028">AD965</f>
        <v>6</v>
      </c>
      <c r="AE995" s="23">
        <f t="shared" si="2028"/>
        <v>10</v>
      </c>
    </row>
    <row r="996" spans="1:31">
      <c r="A996" s="4">
        <v>12203</v>
      </c>
      <c r="B996" s="4">
        <v>5</v>
      </c>
      <c r="C996" s="29" t="s">
        <v>70</v>
      </c>
      <c r="D996" s="46">
        <v>0</v>
      </c>
      <c r="E996" s="18">
        <f t="shared" si="1967"/>
        <v>198</v>
      </c>
      <c r="F996" s="28">
        <v>0</v>
      </c>
      <c r="G996" s="28">
        <v>0</v>
      </c>
      <c r="H996" s="47">
        <v>0</v>
      </c>
      <c r="I996" s="21">
        <f t="shared" si="2021"/>
        <v>110</v>
      </c>
      <c r="J996" s="21">
        <f t="shared" si="1976"/>
        <v>4</v>
      </c>
      <c r="K996" s="21">
        <v>0</v>
      </c>
      <c r="L996" s="20">
        <v>25</v>
      </c>
      <c r="M996" s="20">
        <v>0</v>
      </c>
      <c r="N996" s="20">
        <f t="shared" si="2022"/>
        <v>200</v>
      </c>
      <c r="O996" s="19" t="s">
        <v>70</v>
      </c>
      <c r="P996" s="20">
        <v>3100</v>
      </c>
      <c r="Q996" s="20">
        <f t="shared" ref="Q996:X996" si="2029">Q966</f>
        <v>20</v>
      </c>
      <c r="R996" s="20">
        <f t="shared" si="2029"/>
        <v>80</v>
      </c>
      <c r="S996" s="20">
        <f t="shared" si="2029"/>
        <v>140</v>
      </c>
      <c r="T996" s="20">
        <f t="shared" si="2029"/>
        <v>180</v>
      </c>
      <c r="U996" s="20">
        <f t="shared" si="2029"/>
        <v>1000</v>
      </c>
      <c r="V996" s="20">
        <f t="shared" si="2029"/>
        <v>2000</v>
      </c>
      <c r="W996" s="20">
        <f t="shared" si="2029"/>
        <v>2000</v>
      </c>
      <c r="X996" s="20">
        <f t="shared" si="2029"/>
        <v>2</v>
      </c>
      <c r="Y996" s="20">
        <v>0</v>
      </c>
      <c r="Z996" s="22">
        <v>0</v>
      </c>
      <c r="AA996" s="27">
        <v>0</v>
      </c>
      <c r="AB996" s="27">
        <v>0</v>
      </c>
      <c r="AC996" s="27">
        <v>0</v>
      </c>
      <c r="AD996" s="23">
        <f t="shared" ref="AD996:AE996" si="2030">AD966</f>
        <v>8</v>
      </c>
      <c r="AE996" s="23">
        <f t="shared" si="2030"/>
        <v>12</v>
      </c>
    </row>
    <row r="997" spans="1:31">
      <c r="A997" s="4">
        <v>12203</v>
      </c>
      <c r="B997" s="4">
        <v>6</v>
      </c>
      <c r="C997" s="29" t="s">
        <v>71</v>
      </c>
      <c r="D997" s="46">
        <v>0</v>
      </c>
      <c r="E997" s="18">
        <f t="shared" si="1967"/>
        <v>214</v>
      </c>
      <c r="F997" s="28">
        <v>0</v>
      </c>
      <c r="G997" s="28">
        <v>0</v>
      </c>
      <c r="H997" s="47">
        <v>0</v>
      </c>
      <c r="I997" s="21">
        <f t="shared" si="2021"/>
        <v>110</v>
      </c>
      <c r="J997" s="21">
        <f t="shared" si="1976"/>
        <v>5</v>
      </c>
      <c r="K997" s="21">
        <v>0</v>
      </c>
      <c r="L997" s="20">
        <v>20</v>
      </c>
      <c r="M997" s="20">
        <v>0</v>
      </c>
      <c r="N997" s="20">
        <f t="shared" si="2022"/>
        <v>500</v>
      </c>
      <c r="O997" s="19" t="s">
        <v>71</v>
      </c>
      <c r="P997" s="20">
        <v>1777</v>
      </c>
      <c r="Q997" s="20">
        <f t="shared" ref="Q997:X997" si="2031">Q967</f>
        <v>50</v>
      </c>
      <c r="R997" s="20">
        <f t="shared" si="2031"/>
        <v>200</v>
      </c>
      <c r="S997" s="20">
        <f t="shared" si="2031"/>
        <v>350</v>
      </c>
      <c r="T997" s="20">
        <f t="shared" si="2031"/>
        <v>450</v>
      </c>
      <c r="U997" s="20">
        <f t="shared" si="2031"/>
        <v>800</v>
      </c>
      <c r="V997" s="20">
        <f t="shared" si="2031"/>
        <v>800</v>
      </c>
      <c r="W997" s="20">
        <f t="shared" si="2031"/>
        <v>600</v>
      </c>
      <c r="X997" s="20">
        <f t="shared" si="2031"/>
        <v>2</v>
      </c>
      <c r="Y997" s="20">
        <v>0</v>
      </c>
      <c r="Z997" s="22">
        <v>0</v>
      </c>
      <c r="AA997" s="27">
        <v>0</v>
      </c>
      <c r="AB997" s="27">
        <v>0</v>
      </c>
      <c r="AC997" s="27">
        <v>0</v>
      </c>
      <c r="AD997" s="23">
        <f t="shared" ref="AD997:AE997" si="2032">AD967</f>
        <v>10</v>
      </c>
      <c r="AE997" s="23">
        <f t="shared" si="2032"/>
        <v>14</v>
      </c>
    </row>
    <row r="998" spans="1:31">
      <c r="A998" s="4">
        <v>12203</v>
      </c>
      <c r="B998" s="4">
        <v>7</v>
      </c>
      <c r="C998" s="29" t="s">
        <v>72</v>
      </c>
      <c r="D998" s="46">
        <v>0</v>
      </c>
      <c r="E998" s="18">
        <f t="shared" si="1967"/>
        <v>232</v>
      </c>
      <c r="F998" s="28">
        <v>0</v>
      </c>
      <c r="G998" s="28">
        <v>0</v>
      </c>
      <c r="H998" s="47">
        <v>0</v>
      </c>
      <c r="I998" s="21">
        <f t="shared" si="2021"/>
        <v>110</v>
      </c>
      <c r="J998" s="21">
        <f t="shared" si="1976"/>
        <v>6</v>
      </c>
      <c r="K998" s="21">
        <v>0</v>
      </c>
      <c r="L998" s="20">
        <v>16</v>
      </c>
      <c r="M998" s="20">
        <v>0</v>
      </c>
      <c r="N998" s="20">
        <f t="shared" si="2022"/>
        <v>700</v>
      </c>
      <c r="O998" s="19" t="s">
        <v>72</v>
      </c>
      <c r="P998" s="20">
        <v>2332</v>
      </c>
      <c r="Q998" s="20">
        <f t="shared" ref="Q998:X998" si="2033">Q968</f>
        <v>70</v>
      </c>
      <c r="R998" s="20">
        <f t="shared" si="2033"/>
        <v>280</v>
      </c>
      <c r="S998" s="20">
        <f t="shared" si="2033"/>
        <v>489.99999999999994</v>
      </c>
      <c r="T998" s="20">
        <f t="shared" si="2033"/>
        <v>630</v>
      </c>
      <c r="U998" s="20">
        <f t="shared" si="2033"/>
        <v>650</v>
      </c>
      <c r="V998" s="20">
        <f t="shared" si="2033"/>
        <v>800</v>
      </c>
      <c r="W998" s="20">
        <f t="shared" si="2033"/>
        <v>300</v>
      </c>
      <c r="X998" s="20">
        <f t="shared" si="2033"/>
        <v>2</v>
      </c>
      <c r="Y998" s="20">
        <v>0</v>
      </c>
      <c r="Z998" s="22">
        <v>0</v>
      </c>
      <c r="AA998" s="27">
        <v>0</v>
      </c>
      <c r="AB998" s="27">
        <v>0</v>
      </c>
      <c r="AC998" s="27">
        <v>0</v>
      </c>
      <c r="AD998" s="23">
        <f t="shared" ref="AD998:AE998" si="2034">AD968</f>
        <v>12</v>
      </c>
      <c r="AE998" s="23">
        <f t="shared" si="2034"/>
        <v>16</v>
      </c>
    </row>
    <row r="999" spans="1:31">
      <c r="A999" s="4">
        <v>12203</v>
      </c>
      <c r="B999" s="4">
        <v>8</v>
      </c>
      <c r="C999" s="29" t="s">
        <v>73</v>
      </c>
      <c r="D999" s="46">
        <v>0</v>
      </c>
      <c r="E999" s="18">
        <f t="shared" si="1967"/>
        <v>252</v>
      </c>
      <c r="F999" s="28">
        <v>0</v>
      </c>
      <c r="G999" s="28">
        <v>0</v>
      </c>
      <c r="H999" s="47">
        <v>0</v>
      </c>
      <c r="I999" s="21">
        <f t="shared" si="2021"/>
        <v>110</v>
      </c>
      <c r="J999" s="21">
        <f t="shared" si="1976"/>
        <v>7</v>
      </c>
      <c r="K999" s="21">
        <v>0</v>
      </c>
      <c r="L999" s="20">
        <v>12</v>
      </c>
      <c r="M999" s="20">
        <v>0</v>
      </c>
      <c r="N999" s="20">
        <f t="shared" si="2022"/>
        <v>800</v>
      </c>
      <c r="O999" s="19" t="s">
        <v>73</v>
      </c>
      <c r="P999" s="20">
        <v>1487</v>
      </c>
      <c r="Q999" s="20">
        <f t="shared" ref="Q999:X999" si="2035">Q969</f>
        <v>80</v>
      </c>
      <c r="R999" s="20">
        <f t="shared" si="2035"/>
        <v>320</v>
      </c>
      <c r="S999" s="20">
        <f t="shared" si="2035"/>
        <v>560</v>
      </c>
      <c r="T999" s="20">
        <f t="shared" si="2035"/>
        <v>720</v>
      </c>
      <c r="U999" s="20">
        <f t="shared" si="2035"/>
        <v>200</v>
      </c>
      <c r="V999" s="20">
        <f t="shared" si="2035"/>
        <v>2000</v>
      </c>
      <c r="W999" s="20">
        <f t="shared" si="2035"/>
        <v>1000</v>
      </c>
      <c r="X999" s="20">
        <f t="shared" si="2035"/>
        <v>2</v>
      </c>
      <c r="Y999" s="20">
        <v>0</v>
      </c>
      <c r="Z999" s="22">
        <v>48</v>
      </c>
      <c r="AA999" s="27">
        <v>0</v>
      </c>
      <c r="AB999" s="27">
        <v>0</v>
      </c>
      <c r="AC999" s="27">
        <v>0</v>
      </c>
      <c r="AD999" s="23">
        <f t="shared" ref="AD999:AE999" si="2036">AD969</f>
        <v>14</v>
      </c>
      <c r="AE999" s="23">
        <f t="shared" si="2036"/>
        <v>18</v>
      </c>
    </row>
    <row r="1000" spans="1:31">
      <c r="A1000" s="4">
        <v>12203</v>
      </c>
      <c r="B1000" s="4">
        <v>9</v>
      </c>
      <c r="C1000" s="29" t="s">
        <v>74</v>
      </c>
      <c r="D1000" s="46">
        <v>0</v>
      </c>
      <c r="E1000" s="18">
        <f t="shared" si="1967"/>
        <v>272</v>
      </c>
      <c r="F1000" s="28">
        <v>0</v>
      </c>
      <c r="G1000" s="28">
        <v>0</v>
      </c>
      <c r="H1000" s="47">
        <v>0</v>
      </c>
      <c r="I1000" s="21">
        <f t="shared" si="2021"/>
        <v>165</v>
      </c>
      <c r="J1000" s="21">
        <f t="shared" si="1976"/>
        <v>8</v>
      </c>
      <c r="K1000" s="21">
        <v>0</v>
      </c>
      <c r="L1000" s="20">
        <v>8</v>
      </c>
      <c r="M1000" s="20">
        <v>0</v>
      </c>
      <c r="N1000" s="20">
        <f t="shared" si="2022"/>
        <v>900</v>
      </c>
      <c r="O1000" s="19" t="s">
        <v>74</v>
      </c>
      <c r="P1000" s="20">
        <v>1518</v>
      </c>
      <c r="Q1000" s="20">
        <f t="shared" ref="Q1000:X1000" si="2037">Q970</f>
        <v>90</v>
      </c>
      <c r="R1000" s="20">
        <f t="shared" si="2037"/>
        <v>360</v>
      </c>
      <c r="S1000" s="20">
        <f t="shared" si="2037"/>
        <v>630</v>
      </c>
      <c r="T1000" s="20">
        <f t="shared" si="2037"/>
        <v>810</v>
      </c>
      <c r="U1000" s="20">
        <f t="shared" si="2037"/>
        <v>120</v>
      </c>
      <c r="V1000" s="20">
        <f t="shared" si="2037"/>
        <v>1500</v>
      </c>
      <c r="W1000" s="20">
        <f t="shared" si="2037"/>
        <v>1000</v>
      </c>
      <c r="X1000" s="20">
        <f t="shared" si="2037"/>
        <v>3</v>
      </c>
      <c r="Y1000" s="20">
        <v>0</v>
      </c>
      <c r="Z1000" s="22">
        <v>0</v>
      </c>
      <c r="AA1000" s="27">
        <v>0</v>
      </c>
      <c r="AB1000" s="27">
        <v>0</v>
      </c>
      <c r="AC1000" s="27">
        <v>0</v>
      </c>
      <c r="AD1000" s="23">
        <f t="shared" ref="AD1000:AE1000" si="2038">AD970</f>
        <v>16</v>
      </c>
      <c r="AE1000" s="23">
        <f t="shared" si="2038"/>
        <v>20</v>
      </c>
    </row>
    <row r="1001" spans="1:31">
      <c r="A1001" s="4">
        <v>12203</v>
      </c>
      <c r="B1001" s="4">
        <v>10</v>
      </c>
      <c r="C1001" s="29" t="s">
        <v>75</v>
      </c>
      <c r="D1001" s="46">
        <v>0</v>
      </c>
      <c r="E1001" s="18">
        <f t="shared" si="1967"/>
        <v>294</v>
      </c>
      <c r="F1001" s="28">
        <v>0</v>
      </c>
      <c r="G1001" s="28">
        <v>0</v>
      </c>
      <c r="H1001" s="47">
        <v>0</v>
      </c>
      <c r="I1001" s="21">
        <f t="shared" si="2021"/>
        <v>165</v>
      </c>
      <c r="J1001" s="21">
        <f t="shared" si="1976"/>
        <v>9</v>
      </c>
      <c r="K1001" s="21">
        <v>0</v>
      </c>
      <c r="L1001" s="20">
        <v>6</v>
      </c>
      <c r="M1001" s="20">
        <v>0</v>
      </c>
      <c r="N1001" s="20">
        <f t="shared" si="2022"/>
        <v>2000</v>
      </c>
      <c r="O1001" s="19" t="s">
        <v>75</v>
      </c>
      <c r="P1001" s="20">
        <v>861</v>
      </c>
      <c r="Q1001" s="20">
        <f t="shared" ref="Q1001:X1001" si="2039">Q971</f>
        <v>200</v>
      </c>
      <c r="R1001" s="20">
        <f t="shared" si="2039"/>
        <v>800</v>
      </c>
      <c r="S1001" s="20">
        <f t="shared" si="2039"/>
        <v>1400</v>
      </c>
      <c r="T1001" s="20">
        <f t="shared" si="2039"/>
        <v>1800</v>
      </c>
      <c r="U1001" s="20">
        <f t="shared" si="2039"/>
        <v>150</v>
      </c>
      <c r="V1001" s="20">
        <f t="shared" si="2039"/>
        <v>5000</v>
      </c>
      <c r="W1001" s="20">
        <f t="shared" si="2039"/>
        <v>800</v>
      </c>
      <c r="X1001" s="20">
        <f t="shared" si="2039"/>
        <v>3</v>
      </c>
      <c r="Y1001" s="20">
        <v>0</v>
      </c>
      <c r="Z1001" s="22">
        <v>0</v>
      </c>
      <c r="AA1001" s="27">
        <v>0</v>
      </c>
      <c r="AB1001" s="27">
        <v>0</v>
      </c>
      <c r="AC1001" s="27">
        <v>0</v>
      </c>
      <c r="AD1001" s="23">
        <f t="shared" ref="AD1001:AE1001" si="2040">AD971</f>
        <v>18</v>
      </c>
      <c r="AE1001" s="23">
        <f t="shared" si="2040"/>
        <v>22</v>
      </c>
    </row>
    <row r="1002" spans="1:31">
      <c r="A1002" s="4">
        <v>12203</v>
      </c>
      <c r="B1002" s="4">
        <v>11</v>
      </c>
      <c r="C1002" s="29" t="s">
        <v>66</v>
      </c>
      <c r="D1002" s="46">
        <v>0</v>
      </c>
      <c r="E1002" s="18">
        <f t="shared" si="1967"/>
        <v>318</v>
      </c>
      <c r="F1002" s="28">
        <v>0</v>
      </c>
      <c r="G1002" s="28">
        <v>0</v>
      </c>
      <c r="H1002" s="47">
        <v>0</v>
      </c>
      <c r="I1002" s="21">
        <f t="shared" si="2021"/>
        <v>165</v>
      </c>
      <c r="J1002" s="21">
        <f t="shared" si="1976"/>
        <v>10</v>
      </c>
      <c r="K1002" s="21">
        <v>0</v>
      </c>
      <c r="L1002" s="20">
        <v>6</v>
      </c>
      <c r="M1002" s="20">
        <v>0</v>
      </c>
      <c r="N1002" s="20">
        <f t="shared" si="2022"/>
        <v>2200</v>
      </c>
      <c r="O1002" s="19" t="s">
        <v>66</v>
      </c>
      <c r="P1002" s="20">
        <v>9400</v>
      </c>
      <c r="Q1002" s="20">
        <f t="shared" ref="Q1002:X1002" si="2041">Q972</f>
        <v>220</v>
      </c>
      <c r="R1002" s="20">
        <f t="shared" si="2041"/>
        <v>880</v>
      </c>
      <c r="S1002" s="20">
        <f t="shared" si="2041"/>
        <v>1540</v>
      </c>
      <c r="T1002" s="20">
        <f t="shared" si="2041"/>
        <v>1980</v>
      </c>
      <c r="U1002" s="20">
        <f t="shared" si="2041"/>
        <v>100</v>
      </c>
      <c r="V1002" s="20">
        <f t="shared" si="2041"/>
        <v>800</v>
      </c>
      <c r="W1002" s="20">
        <f t="shared" si="2041"/>
        <v>600</v>
      </c>
      <c r="X1002" s="20">
        <f t="shared" si="2041"/>
        <v>3</v>
      </c>
      <c r="Y1002" s="20">
        <v>0</v>
      </c>
      <c r="Z1002" s="22">
        <v>0</v>
      </c>
      <c r="AA1002" s="27">
        <v>0</v>
      </c>
      <c r="AB1002" s="27">
        <v>0</v>
      </c>
      <c r="AC1002" s="27">
        <v>0</v>
      </c>
      <c r="AD1002" s="23">
        <f t="shared" ref="AD1002:AE1002" si="2042">AD972</f>
        <v>20</v>
      </c>
      <c r="AE1002" s="23">
        <f t="shared" si="2042"/>
        <v>24</v>
      </c>
    </row>
    <row r="1003" spans="1:31">
      <c r="A1003" s="4">
        <v>12203</v>
      </c>
      <c r="B1003" s="4">
        <v>12</v>
      </c>
      <c r="C1003" s="29" t="s">
        <v>67</v>
      </c>
      <c r="D1003" s="46">
        <v>0</v>
      </c>
      <c r="E1003" s="18">
        <f t="shared" si="1967"/>
        <v>344</v>
      </c>
      <c r="F1003" s="28">
        <v>0</v>
      </c>
      <c r="G1003" s="28">
        <v>0</v>
      </c>
      <c r="H1003" s="47">
        <v>0</v>
      </c>
      <c r="I1003" s="21">
        <f t="shared" si="2021"/>
        <v>165</v>
      </c>
      <c r="J1003" s="21">
        <f t="shared" si="1976"/>
        <v>11</v>
      </c>
      <c r="K1003" s="21">
        <v>0</v>
      </c>
      <c r="L1003" s="20">
        <v>6</v>
      </c>
      <c r="M1003" s="20">
        <v>0</v>
      </c>
      <c r="N1003" s="20">
        <f t="shared" si="2022"/>
        <v>2400</v>
      </c>
      <c r="O1003" s="19" t="s">
        <v>67</v>
      </c>
      <c r="P1003" s="20">
        <v>9100</v>
      </c>
      <c r="Q1003" s="20">
        <f t="shared" ref="Q1003:X1003" si="2043">Q973</f>
        <v>240</v>
      </c>
      <c r="R1003" s="20">
        <f t="shared" si="2043"/>
        <v>960</v>
      </c>
      <c r="S1003" s="20">
        <f t="shared" si="2043"/>
        <v>1680</v>
      </c>
      <c r="T1003" s="20">
        <f t="shared" si="2043"/>
        <v>2160</v>
      </c>
      <c r="U1003" s="20">
        <f t="shared" si="2043"/>
        <v>150</v>
      </c>
      <c r="V1003" s="20">
        <f t="shared" si="2043"/>
        <v>700</v>
      </c>
      <c r="W1003" s="20">
        <f t="shared" si="2043"/>
        <v>900</v>
      </c>
      <c r="X1003" s="20">
        <f t="shared" si="2043"/>
        <v>3</v>
      </c>
      <c r="Y1003" s="20">
        <v>0</v>
      </c>
      <c r="Z1003" s="22">
        <v>0</v>
      </c>
      <c r="AA1003" s="27">
        <v>0</v>
      </c>
      <c r="AB1003" s="27">
        <v>0</v>
      </c>
      <c r="AC1003" s="27">
        <v>0</v>
      </c>
      <c r="AD1003" s="23">
        <f t="shared" ref="AD1003:AE1003" si="2044">AD973</f>
        <v>22</v>
      </c>
      <c r="AE1003" s="23">
        <f t="shared" si="2044"/>
        <v>26</v>
      </c>
    </row>
    <row r="1004" spans="1:31">
      <c r="A1004" s="8">
        <v>12203</v>
      </c>
      <c r="B1004" s="8">
        <v>13</v>
      </c>
      <c r="C1004" s="29" t="s">
        <v>68</v>
      </c>
      <c r="D1004" s="46">
        <v>0</v>
      </c>
      <c r="E1004" s="18">
        <f t="shared" si="1967"/>
        <v>374</v>
      </c>
      <c r="F1004" s="28">
        <v>0</v>
      </c>
      <c r="G1004" s="28">
        <v>0</v>
      </c>
      <c r="H1004" s="47">
        <v>0</v>
      </c>
      <c r="I1004" s="21">
        <f t="shared" si="2021"/>
        <v>220</v>
      </c>
      <c r="J1004" s="21">
        <f t="shared" si="1976"/>
        <v>12</v>
      </c>
      <c r="K1004" s="21">
        <v>0</v>
      </c>
      <c r="L1004" s="20">
        <v>6</v>
      </c>
      <c r="M1004" s="20">
        <v>0</v>
      </c>
      <c r="N1004" s="20">
        <f t="shared" si="2022"/>
        <v>2600</v>
      </c>
      <c r="O1004" s="19" t="s">
        <v>68</v>
      </c>
      <c r="P1004" s="20">
        <v>8600</v>
      </c>
      <c r="Q1004" s="20">
        <f t="shared" ref="Q1004:X1004" si="2045">Q974</f>
        <v>260</v>
      </c>
      <c r="R1004" s="20">
        <f t="shared" si="2045"/>
        <v>1040</v>
      </c>
      <c r="S1004" s="20">
        <f t="shared" si="2045"/>
        <v>1819.9999999999998</v>
      </c>
      <c r="T1004" s="20">
        <f t="shared" si="2045"/>
        <v>2340</v>
      </c>
      <c r="U1004" s="20">
        <f t="shared" si="2045"/>
        <v>100</v>
      </c>
      <c r="V1004" s="20">
        <f t="shared" si="2045"/>
        <v>700</v>
      </c>
      <c r="W1004" s="20">
        <f t="shared" si="2045"/>
        <v>1000</v>
      </c>
      <c r="X1004" s="20">
        <f t="shared" si="2045"/>
        <v>4</v>
      </c>
      <c r="Y1004" s="20">
        <v>0</v>
      </c>
      <c r="Z1004" s="22">
        <v>96</v>
      </c>
      <c r="AA1004" s="27">
        <v>0</v>
      </c>
      <c r="AB1004" s="27">
        <v>0</v>
      </c>
      <c r="AC1004" s="27">
        <v>0</v>
      </c>
      <c r="AD1004" s="23">
        <f t="shared" ref="AD1004:AE1004" si="2046">AD974</f>
        <v>24</v>
      </c>
      <c r="AE1004" s="23">
        <f t="shared" si="2046"/>
        <v>28</v>
      </c>
    </row>
    <row r="1005" spans="1:31">
      <c r="A1005" s="4">
        <v>12203</v>
      </c>
      <c r="B1005" s="4">
        <v>14</v>
      </c>
      <c r="C1005" s="29" t="s">
        <v>69</v>
      </c>
      <c r="D1005" s="46">
        <v>0</v>
      </c>
      <c r="E1005" s="18">
        <f t="shared" si="1967"/>
        <v>404</v>
      </c>
      <c r="F1005" s="28">
        <v>0</v>
      </c>
      <c r="G1005" s="28">
        <v>0</v>
      </c>
      <c r="H1005" s="47">
        <v>0</v>
      </c>
      <c r="I1005" s="21">
        <f t="shared" si="2021"/>
        <v>220</v>
      </c>
      <c r="J1005" s="21">
        <f t="shared" si="1976"/>
        <v>13</v>
      </c>
      <c r="K1005" s="21">
        <v>0</v>
      </c>
      <c r="L1005" s="20">
        <v>6</v>
      </c>
      <c r="M1005" s="20">
        <v>0</v>
      </c>
      <c r="N1005" s="20">
        <f t="shared" si="2022"/>
        <v>2800</v>
      </c>
      <c r="O1005" s="19" t="s">
        <v>69</v>
      </c>
      <c r="P1005" s="20">
        <v>6400</v>
      </c>
      <c r="Q1005" s="20">
        <f t="shared" ref="Q1005:X1005" si="2047">Q975</f>
        <v>280</v>
      </c>
      <c r="R1005" s="20">
        <f t="shared" si="2047"/>
        <v>1120</v>
      </c>
      <c r="S1005" s="20">
        <f t="shared" si="2047"/>
        <v>1959.9999999999998</v>
      </c>
      <c r="T1005" s="20">
        <f t="shared" si="2047"/>
        <v>2520</v>
      </c>
      <c r="U1005" s="20">
        <f t="shared" si="2047"/>
        <v>100</v>
      </c>
      <c r="V1005" s="20">
        <f t="shared" si="2047"/>
        <v>400</v>
      </c>
      <c r="W1005" s="20">
        <f t="shared" si="2047"/>
        <v>1200</v>
      </c>
      <c r="X1005" s="20">
        <f t="shared" si="2047"/>
        <v>4</v>
      </c>
      <c r="Y1005" s="20">
        <v>0</v>
      </c>
      <c r="Z1005" s="22">
        <v>0</v>
      </c>
      <c r="AA1005" s="27">
        <v>0</v>
      </c>
      <c r="AB1005" s="27">
        <v>0</v>
      </c>
      <c r="AC1005" s="27">
        <v>0</v>
      </c>
      <c r="AD1005" s="23">
        <f t="shared" ref="AD1005:AE1005" si="2048">AD975</f>
        <v>26</v>
      </c>
      <c r="AE1005" s="23">
        <f t="shared" si="2048"/>
        <v>30</v>
      </c>
    </row>
    <row r="1006" spans="1:31">
      <c r="A1006" s="4">
        <v>12203</v>
      </c>
      <c r="B1006" s="4">
        <v>15</v>
      </c>
      <c r="C1006" s="29" t="s">
        <v>70</v>
      </c>
      <c r="D1006" s="46">
        <v>0</v>
      </c>
      <c r="E1006" s="18">
        <f t="shared" si="1967"/>
        <v>438</v>
      </c>
      <c r="F1006" s="28">
        <v>0</v>
      </c>
      <c r="G1006" s="28">
        <v>0</v>
      </c>
      <c r="H1006" s="47">
        <v>0</v>
      </c>
      <c r="I1006" s="21">
        <f t="shared" si="2021"/>
        <v>220</v>
      </c>
      <c r="J1006" s="21">
        <f t="shared" si="1976"/>
        <v>14</v>
      </c>
      <c r="K1006" s="21">
        <v>0</v>
      </c>
      <c r="L1006" s="20">
        <v>6</v>
      </c>
      <c r="M1006" s="20">
        <v>0</v>
      </c>
      <c r="N1006" s="20">
        <f t="shared" si="2022"/>
        <v>4500</v>
      </c>
      <c r="O1006" s="19" t="s">
        <v>70</v>
      </c>
      <c r="P1006" s="20">
        <v>3100</v>
      </c>
      <c r="Q1006" s="20">
        <f t="shared" ref="Q1006:X1006" si="2049">Q976</f>
        <v>450</v>
      </c>
      <c r="R1006" s="20">
        <f t="shared" si="2049"/>
        <v>1800</v>
      </c>
      <c r="S1006" s="20">
        <f t="shared" si="2049"/>
        <v>3150</v>
      </c>
      <c r="T1006" s="20">
        <f t="shared" si="2049"/>
        <v>4050</v>
      </c>
      <c r="U1006" s="20">
        <f t="shared" si="2049"/>
        <v>100</v>
      </c>
      <c r="V1006" s="20">
        <f t="shared" si="2049"/>
        <v>1000</v>
      </c>
      <c r="W1006" s="20">
        <f t="shared" si="2049"/>
        <v>600</v>
      </c>
      <c r="X1006" s="20">
        <f t="shared" si="2049"/>
        <v>4</v>
      </c>
      <c r="Y1006" s="20">
        <v>0</v>
      </c>
      <c r="Z1006" s="22">
        <v>0</v>
      </c>
      <c r="AA1006" s="27">
        <v>0</v>
      </c>
      <c r="AB1006" s="27">
        <v>0</v>
      </c>
      <c r="AC1006" s="27">
        <v>0</v>
      </c>
      <c r="AD1006" s="23">
        <f t="shared" ref="AD1006:AE1006" si="2050">AD976</f>
        <v>28</v>
      </c>
      <c r="AE1006" s="23">
        <f t="shared" si="2050"/>
        <v>32</v>
      </c>
    </row>
    <row r="1007" spans="1:31">
      <c r="A1007" s="4">
        <v>12203</v>
      </c>
      <c r="B1007" s="4">
        <v>16</v>
      </c>
      <c r="C1007" s="29" t="s">
        <v>71</v>
      </c>
      <c r="D1007" s="46">
        <v>0</v>
      </c>
      <c r="E1007" s="18">
        <f t="shared" si="1967"/>
        <v>474</v>
      </c>
      <c r="F1007" s="28">
        <v>0</v>
      </c>
      <c r="G1007" s="28">
        <v>0</v>
      </c>
      <c r="H1007" s="47">
        <v>0</v>
      </c>
      <c r="I1007" s="21">
        <f t="shared" si="2021"/>
        <v>220</v>
      </c>
      <c r="J1007" s="21">
        <f t="shared" si="1976"/>
        <v>15</v>
      </c>
      <c r="K1007" s="21">
        <v>0</v>
      </c>
      <c r="L1007" s="20">
        <v>6</v>
      </c>
      <c r="M1007" s="20">
        <v>0</v>
      </c>
      <c r="N1007" s="20">
        <f t="shared" si="2022"/>
        <v>4800</v>
      </c>
      <c r="O1007" s="19" t="s">
        <v>71</v>
      </c>
      <c r="P1007" s="20">
        <v>1777</v>
      </c>
      <c r="Q1007" s="20">
        <f t="shared" ref="Q1007:X1007" si="2051">Q977</f>
        <v>480</v>
      </c>
      <c r="R1007" s="20">
        <f t="shared" si="2051"/>
        <v>1920</v>
      </c>
      <c r="S1007" s="20">
        <f t="shared" si="2051"/>
        <v>3360</v>
      </c>
      <c r="T1007" s="20">
        <f t="shared" si="2051"/>
        <v>4320</v>
      </c>
      <c r="U1007" s="20">
        <f t="shared" si="2051"/>
        <v>100</v>
      </c>
      <c r="V1007" s="20">
        <f t="shared" si="2051"/>
        <v>800</v>
      </c>
      <c r="W1007" s="20">
        <f t="shared" si="2051"/>
        <v>800</v>
      </c>
      <c r="X1007" s="20">
        <f t="shared" si="2051"/>
        <v>4</v>
      </c>
      <c r="Y1007" s="20">
        <v>0</v>
      </c>
      <c r="Z1007" s="22">
        <v>0</v>
      </c>
      <c r="AA1007" s="27">
        <v>0</v>
      </c>
      <c r="AB1007" s="27">
        <v>0</v>
      </c>
      <c r="AC1007" s="27">
        <v>0</v>
      </c>
      <c r="AD1007" s="23">
        <f t="shared" ref="AD1007:AE1007" si="2052">AD977</f>
        <v>30</v>
      </c>
      <c r="AE1007" s="23">
        <f t="shared" si="2052"/>
        <v>34</v>
      </c>
    </row>
    <row r="1008" spans="1:31">
      <c r="A1008" s="4">
        <v>12203</v>
      </c>
      <c r="B1008" s="4">
        <v>17</v>
      </c>
      <c r="C1008" s="29" t="s">
        <v>72</v>
      </c>
      <c r="D1008" s="46">
        <v>0</v>
      </c>
      <c r="E1008" s="18">
        <f t="shared" si="1967"/>
        <v>512</v>
      </c>
      <c r="F1008" s="28">
        <v>0</v>
      </c>
      <c r="G1008" s="28">
        <v>0</v>
      </c>
      <c r="H1008" s="47">
        <v>0</v>
      </c>
      <c r="I1008" s="21">
        <f t="shared" si="2021"/>
        <v>275</v>
      </c>
      <c r="J1008" s="21">
        <f t="shared" si="1976"/>
        <v>16</v>
      </c>
      <c r="K1008" s="21">
        <v>0</v>
      </c>
      <c r="L1008" s="20">
        <v>6</v>
      </c>
      <c r="M1008" s="20">
        <v>0</v>
      </c>
      <c r="N1008" s="20">
        <f t="shared" si="2022"/>
        <v>5100</v>
      </c>
      <c r="O1008" s="19" t="s">
        <v>72</v>
      </c>
      <c r="P1008" s="20">
        <v>2332</v>
      </c>
      <c r="Q1008" s="20">
        <f t="shared" ref="Q1008:X1008" si="2053">Q978</f>
        <v>510</v>
      </c>
      <c r="R1008" s="20">
        <f t="shared" si="2053"/>
        <v>2040</v>
      </c>
      <c r="S1008" s="20">
        <f t="shared" si="2053"/>
        <v>3570</v>
      </c>
      <c r="T1008" s="20">
        <f t="shared" si="2053"/>
        <v>4590</v>
      </c>
      <c r="U1008" s="20">
        <f t="shared" si="2053"/>
        <v>80</v>
      </c>
      <c r="V1008" s="20">
        <f t="shared" si="2053"/>
        <v>800</v>
      </c>
      <c r="W1008" s="20">
        <f t="shared" si="2053"/>
        <v>600</v>
      </c>
      <c r="X1008" s="20">
        <f t="shared" si="2053"/>
        <v>5</v>
      </c>
      <c r="Y1008" s="20">
        <v>0</v>
      </c>
      <c r="Z1008" s="22">
        <v>0</v>
      </c>
      <c r="AA1008" s="27">
        <v>0</v>
      </c>
      <c r="AB1008" s="27">
        <v>0</v>
      </c>
      <c r="AC1008" s="27">
        <v>0</v>
      </c>
      <c r="AD1008" s="23">
        <f t="shared" ref="AD1008:AE1008" si="2054">AD978</f>
        <v>32</v>
      </c>
      <c r="AE1008" s="23">
        <f t="shared" si="2054"/>
        <v>36</v>
      </c>
    </row>
    <row r="1009" spans="1:31">
      <c r="A1009" s="4">
        <v>12203</v>
      </c>
      <c r="B1009" s="4">
        <v>18</v>
      </c>
      <c r="C1009" s="29" t="s">
        <v>73</v>
      </c>
      <c r="D1009" s="46">
        <v>0</v>
      </c>
      <c r="E1009" s="18">
        <f t="shared" si="1967"/>
        <v>556</v>
      </c>
      <c r="F1009" s="28">
        <v>0</v>
      </c>
      <c r="G1009" s="28">
        <v>0</v>
      </c>
      <c r="H1009" s="47">
        <v>0</v>
      </c>
      <c r="I1009" s="21">
        <f t="shared" si="2021"/>
        <v>275</v>
      </c>
      <c r="J1009" s="21">
        <f t="shared" si="1976"/>
        <v>17</v>
      </c>
      <c r="K1009" s="21">
        <v>0</v>
      </c>
      <c r="L1009" s="20">
        <v>6</v>
      </c>
      <c r="M1009" s="20">
        <v>0</v>
      </c>
      <c r="N1009" s="20">
        <f t="shared" si="2022"/>
        <v>5400</v>
      </c>
      <c r="O1009" s="19" t="s">
        <v>73</v>
      </c>
      <c r="P1009" s="20">
        <v>1487</v>
      </c>
      <c r="Q1009" s="20">
        <f t="shared" ref="Q1009:X1009" si="2055">Q979</f>
        <v>540</v>
      </c>
      <c r="R1009" s="20">
        <f t="shared" si="2055"/>
        <v>2160</v>
      </c>
      <c r="S1009" s="20">
        <f t="shared" si="2055"/>
        <v>3779.9999999999995</v>
      </c>
      <c r="T1009" s="20">
        <f t="shared" si="2055"/>
        <v>4860</v>
      </c>
      <c r="U1009" s="20">
        <f t="shared" si="2055"/>
        <v>100</v>
      </c>
      <c r="V1009" s="20">
        <f t="shared" si="2055"/>
        <v>600</v>
      </c>
      <c r="W1009" s="20">
        <f t="shared" si="2055"/>
        <v>300</v>
      </c>
      <c r="X1009" s="20">
        <f t="shared" si="2055"/>
        <v>5</v>
      </c>
      <c r="Y1009" s="20">
        <v>0</v>
      </c>
      <c r="Z1009" s="22">
        <v>145</v>
      </c>
      <c r="AA1009" s="27">
        <v>0</v>
      </c>
      <c r="AB1009" s="27">
        <v>0</v>
      </c>
      <c r="AC1009" s="27">
        <v>0</v>
      </c>
      <c r="AD1009" s="23">
        <f t="shared" ref="AD1009:AE1009" si="2056">AD979</f>
        <v>34</v>
      </c>
      <c r="AE1009" s="23">
        <f t="shared" si="2056"/>
        <v>38</v>
      </c>
    </row>
    <row r="1010" spans="1:31">
      <c r="A1010" s="4">
        <v>12203</v>
      </c>
      <c r="B1010" s="4">
        <v>19</v>
      </c>
      <c r="C1010" s="29" t="s">
        <v>74</v>
      </c>
      <c r="D1010" s="46">
        <v>0</v>
      </c>
      <c r="E1010" s="18">
        <f t="shared" si="1967"/>
        <v>602</v>
      </c>
      <c r="F1010" s="28">
        <v>0</v>
      </c>
      <c r="G1010" s="28">
        <v>0</v>
      </c>
      <c r="H1010" s="47">
        <v>0</v>
      </c>
      <c r="I1010" s="21">
        <f t="shared" si="2021"/>
        <v>275</v>
      </c>
      <c r="J1010" s="21">
        <f t="shared" si="1976"/>
        <v>18</v>
      </c>
      <c r="K1010" s="21">
        <v>0</v>
      </c>
      <c r="L1010" s="20">
        <v>6</v>
      </c>
      <c r="M1010" s="20">
        <v>0</v>
      </c>
      <c r="N1010" s="20">
        <f t="shared" si="2022"/>
        <v>5700</v>
      </c>
      <c r="O1010" s="19" t="s">
        <v>74</v>
      </c>
      <c r="P1010" s="20">
        <v>1518</v>
      </c>
      <c r="Q1010" s="20">
        <f t="shared" ref="Q1010:X1010" si="2057">Q980</f>
        <v>570</v>
      </c>
      <c r="R1010" s="20">
        <f t="shared" si="2057"/>
        <v>2280</v>
      </c>
      <c r="S1010" s="20">
        <f t="shared" si="2057"/>
        <v>3989.9999999999995</v>
      </c>
      <c r="T1010" s="20">
        <f t="shared" si="2057"/>
        <v>5130</v>
      </c>
      <c r="U1010" s="20">
        <f t="shared" si="2057"/>
        <v>100</v>
      </c>
      <c r="V1010" s="20">
        <f t="shared" si="2057"/>
        <v>500</v>
      </c>
      <c r="W1010" s="20">
        <f t="shared" si="2057"/>
        <v>400</v>
      </c>
      <c r="X1010" s="20">
        <f t="shared" si="2057"/>
        <v>5</v>
      </c>
      <c r="Y1010" s="20">
        <v>0</v>
      </c>
      <c r="Z1010" s="22">
        <v>0</v>
      </c>
      <c r="AA1010" s="27">
        <v>0</v>
      </c>
      <c r="AB1010" s="27">
        <v>0</v>
      </c>
      <c r="AC1010" s="27">
        <v>0</v>
      </c>
      <c r="AD1010" s="23">
        <f t="shared" ref="AD1010:AE1010" si="2058">AD980</f>
        <v>36</v>
      </c>
      <c r="AE1010" s="23">
        <f t="shared" si="2058"/>
        <v>40</v>
      </c>
    </row>
    <row r="1011" spans="1:31">
      <c r="A1011" s="4">
        <v>12203</v>
      </c>
      <c r="B1011" s="4">
        <v>20</v>
      </c>
      <c r="C1011" s="29" t="s">
        <v>75</v>
      </c>
      <c r="D1011" s="46">
        <v>0</v>
      </c>
      <c r="E1011" s="18">
        <f t="shared" si="1967"/>
        <v>650</v>
      </c>
      <c r="F1011" s="28">
        <v>0</v>
      </c>
      <c r="G1011" s="28">
        <v>0</v>
      </c>
      <c r="H1011" s="47">
        <v>0</v>
      </c>
      <c r="I1011" s="21">
        <f t="shared" si="2021"/>
        <v>275</v>
      </c>
      <c r="J1011" s="21">
        <f t="shared" si="1976"/>
        <v>19</v>
      </c>
      <c r="K1011" s="21">
        <v>0</v>
      </c>
      <c r="L1011" s="20">
        <v>6</v>
      </c>
      <c r="M1011" s="20">
        <v>0</v>
      </c>
      <c r="N1011" s="20">
        <f t="shared" si="2022"/>
        <v>8000</v>
      </c>
      <c r="O1011" s="19" t="s">
        <v>75</v>
      </c>
      <c r="P1011" s="20">
        <v>861</v>
      </c>
      <c r="Q1011" s="20">
        <f t="shared" ref="Q1011:X1011" si="2059">Q981</f>
        <v>800</v>
      </c>
      <c r="R1011" s="20">
        <f t="shared" si="2059"/>
        <v>3200</v>
      </c>
      <c r="S1011" s="20">
        <f t="shared" si="2059"/>
        <v>5600</v>
      </c>
      <c r="T1011" s="20">
        <f t="shared" si="2059"/>
        <v>7200</v>
      </c>
      <c r="U1011" s="20">
        <f t="shared" si="2059"/>
        <v>100</v>
      </c>
      <c r="V1011" s="20">
        <f t="shared" si="2059"/>
        <v>800</v>
      </c>
      <c r="W1011" s="20">
        <f t="shared" si="2059"/>
        <v>8000</v>
      </c>
      <c r="X1011" s="20">
        <f t="shared" si="2059"/>
        <v>5</v>
      </c>
      <c r="Y1011" s="20">
        <v>0</v>
      </c>
      <c r="Z1011" s="22">
        <v>0</v>
      </c>
      <c r="AA1011" s="27">
        <v>0</v>
      </c>
      <c r="AB1011" s="27">
        <v>0</v>
      </c>
      <c r="AC1011" s="27">
        <v>0</v>
      </c>
      <c r="AD1011" s="23">
        <f t="shared" ref="AD1011:AE1011" si="2060">AD981</f>
        <v>38</v>
      </c>
      <c r="AE1011" s="23">
        <f t="shared" si="2060"/>
        <v>42</v>
      </c>
    </row>
    <row r="1012" spans="1:31">
      <c r="A1012" s="4">
        <v>12203</v>
      </c>
      <c r="B1012" s="4">
        <v>21</v>
      </c>
      <c r="C1012" s="29" t="s">
        <v>66</v>
      </c>
      <c r="D1012" s="46">
        <v>0</v>
      </c>
      <c r="E1012" s="18">
        <f t="shared" si="1967"/>
        <v>704</v>
      </c>
      <c r="F1012" s="28">
        <v>0</v>
      </c>
      <c r="G1012" s="28">
        <v>0</v>
      </c>
      <c r="H1012" s="47">
        <v>0</v>
      </c>
      <c r="I1012" s="21">
        <f t="shared" si="2021"/>
        <v>330</v>
      </c>
      <c r="J1012" s="21">
        <f t="shared" si="1976"/>
        <v>20</v>
      </c>
      <c r="K1012" s="21">
        <v>0</v>
      </c>
      <c r="L1012" s="20">
        <v>6</v>
      </c>
      <c r="M1012" s="20">
        <v>0</v>
      </c>
      <c r="N1012" s="20">
        <f t="shared" si="2022"/>
        <v>8400</v>
      </c>
      <c r="O1012" s="19" t="s">
        <v>66</v>
      </c>
      <c r="P1012" s="20">
        <v>9400</v>
      </c>
      <c r="Q1012" s="20">
        <f t="shared" ref="Q1012:X1012" si="2061">Q982</f>
        <v>840</v>
      </c>
      <c r="R1012" s="20">
        <f t="shared" si="2061"/>
        <v>3360</v>
      </c>
      <c r="S1012" s="20">
        <f t="shared" si="2061"/>
        <v>5880</v>
      </c>
      <c r="T1012" s="20">
        <f t="shared" si="2061"/>
        <v>7560</v>
      </c>
      <c r="U1012" s="20">
        <f t="shared" si="2061"/>
        <v>50</v>
      </c>
      <c r="V1012" s="20">
        <f t="shared" si="2061"/>
        <v>1000</v>
      </c>
      <c r="W1012" s="20">
        <f t="shared" si="2061"/>
        <v>600</v>
      </c>
      <c r="X1012" s="20">
        <f t="shared" si="2061"/>
        <v>6</v>
      </c>
      <c r="Y1012" s="20">
        <v>0</v>
      </c>
      <c r="Z1012" s="22">
        <v>0</v>
      </c>
      <c r="AA1012" s="27">
        <v>0</v>
      </c>
      <c r="AB1012" s="27">
        <v>0</v>
      </c>
      <c r="AC1012" s="27">
        <v>0</v>
      </c>
      <c r="AD1012" s="23">
        <f t="shared" ref="AD1012:AE1012" si="2062">AD982</f>
        <v>40</v>
      </c>
      <c r="AE1012" s="23">
        <f t="shared" si="2062"/>
        <v>44</v>
      </c>
    </row>
    <row r="1013" spans="1:31">
      <c r="A1013" s="4">
        <v>12203</v>
      </c>
      <c r="B1013" s="4">
        <v>22</v>
      </c>
      <c r="C1013" s="29" t="s">
        <v>67</v>
      </c>
      <c r="D1013" s="46">
        <v>0</v>
      </c>
      <c r="E1013" s="18">
        <f t="shared" si="1967"/>
        <v>762</v>
      </c>
      <c r="F1013" s="28">
        <v>0</v>
      </c>
      <c r="G1013" s="28">
        <v>0</v>
      </c>
      <c r="H1013" s="47">
        <v>0</v>
      </c>
      <c r="I1013" s="21">
        <f t="shared" si="2021"/>
        <v>330</v>
      </c>
      <c r="J1013" s="21">
        <f t="shared" si="1976"/>
        <v>21</v>
      </c>
      <c r="K1013" s="21">
        <v>0</v>
      </c>
      <c r="L1013" s="20">
        <v>6</v>
      </c>
      <c r="M1013" s="20">
        <v>0</v>
      </c>
      <c r="N1013" s="20">
        <f t="shared" si="2022"/>
        <v>8800</v>
      </c>
      <c r="O1013" s="19" t="s">
        <v>67</v>
      </c>
      <c r="P1013" s="20">
        <v>9100</v>
      </c>
      <c r="Q1013" s="20">
        <f t="shared" ref="Q1013:X1013" si="2063">Q983</f>
        <v>880</v>
      </c>
      <c r="R1013" s="20">
        <f t="shared" si="2063"/>
        <v>3520</v>
      </c>
      <c r="S1013" s="20">
        <f t="shared" si="2063"/>
        <v>6160</v>
      </c>
      <c r="T1013" s="20">
        <f t="shared" si="2063"/>
        <v>7920</v>
      </c>
      <c r="U1013" s="20">
        <f t="shared" si="2063"/>
        <v>100</v>
      </c>
      <c r="V1013" s="20">
        <f t="shared" si="2063"/>
        <v>600</v>
      </c>
      <c r="W1013" s="20">
        <f t="shared" si="2063"/>
        <v>700</v>
      </c>
      <c r="X1013" s="20">
        <f t="shared" si="2063"/>
        <v>6</v>
      </c>
      <c r="Y1013" s="20">
        <v>0</v>
      </c>
      <c r="Z1013" s="22">
        <v>0</v>
      </c>
      <c r="AA1013" s="27">
        <v>0</v>
      </c>
      <c r="AB1013" s="27">
        <v>0</v>
      </c>
      <c r="AC1013" s="27">
        <v>0</v>
      </c>
      <c r="AD1013" s="23">
        <f t="shared" ref="AD1013:AE1013" si="2064">AD983</f>
        <v>42</v>
      </c>
      <c r="AE1013" s="23">
        <f t="shared" si="2064"/>
        <v>46</v>
      </c>
    </row>
    <row r="1014" spans="1:31">
      <c r="A1014" s="4">
        <v>12203</v>
      </c>
      <c r="B1014" s="4">
        <v>23</v>
      </c>
      <c r="C1014" s="29" t="s">
        <v>68</v>
      </c>
      <c r="D1014" s="46">
        <v>0</v>
      </c>
      <c r="E1014" s="18">
        <f t="shared" si="1967"/>
        <v>826</v>
      </c>
      <c r="F1014" s="28">
        <v>0</v>
      </c>
      <c r="G1014" s="28">
        <v>0</v>
      </c>
      <c r="H1014" s="47">
        <v>0</v>
      </c>
      <c r="I1014" s="21">
        <f t="shared" si="2021"/>
        <v>330</v>
      </c>
      <c r="J1014" s="21">
        <f t="shared" si="1976"/>
        <v>22</v>
      </c>
      <c r="K1014" s="21">
        <v>0</v>
      </c>
      <c r="L1014" s="20">
        <v>6</v>
      </c>
      <c r="M1014" s="20">
        <v>0</v>
      </c>
      <c r="N1014" s="20">
        <f t="shared" si="2022"/>
        <v>9200</v>
      </c>
      <c r="O1014" s="19" t="s">
        <v>68</v>
      </c>
      <c r="P1014" s="20">
        <v>8600</v>
      </c>
      <c r="Q1014" s="20">
        <f t="shared" ref="Q1014:X1014" si="2065">Q984</f>
        <v>920</v>
      </c>
      <c r="R1014" s="20">
        <f t="shared" si="2065"/>
        <v>3680</v>
      </c>
      <c r="S1014" s="20">
        <f t="shared" si="2065"/>
        <v>6440</v>
      </c>
      <c r="T1014" s="20">
        <f t="shared" si="2065"/>
        <v>8280</v>
      </c>
      <c r="U1014" s="20">
        <f t="shared" si="2065"/>
        <v>100</v>
      </c>
      <c r="V1014" s="20">
        <f t="shared" si="2065"/>
        <v>550</v>
      </c>
      <c r="W1014" s="20">
        <f t="shared" si="2065"/>
        <v>500</v>
      </c>
      <c r="X1014" s="20">
        <f t="shared" si="2065"/>
        <v>6</v>
      </c>
      <c r="Y1014" s="20">
        <v>0</v>
      </c>
      <c r="Z1014" s="22">
        <v>194</v>
      </c>
      <c r="AA1014" s="27">
        <v>0</v>
      </c>
      <c r="AB1014" s="27">
        <v>0</v>
      </c>
      <c r="AC1014" s="27">
        <v>0</v>
      </c>
      <c r="AD1014" s="23">
        <f t="shared" ref="AD1014:AE1014" si="2066">AD984</f>
        <v>44</v>
      </c>
      <c r="AE1014" s="23">
        <f t="shared" si="2066"/>
        <v>48</v>
      </c>
    </row>
    <row r="1015" spans="1:31">
      <c r="A1015" s="4">
        <v>12203</v>
      </c>
      <c r="B1015" s="4">
        <v>24</v>
      </c>
      <c r="C1015" s="29" t="s">
        <v>69</v>
      </c>
      <c r="D1015" s="46">
        <v>0</v>
      </c>
      <c r="E1015" s="18">
        <f t="shared" si="1967"/>
        <v>894</v>
      </c>
      <c r="F1015" s="28">
        <v>0</v>
      </c>
      <c r="G1015" s="28">
        <v>0</v>
      </c>
      <c r="H1015" s="47">
        <v>0</v>
      </c>
      <c r="I1015" s="21">
        <f t="shared" si="2021"/>
        <v>330</v>
      </c>
      <c r="J1015" s="21">
        <f t="shared" si="1976"/>
        <v>23</v>
      </c>
      <c r="K1015" s="21">
        <v>0</v>
      </c>
      <c r="L1015" s="20">
        <v>6</v>
      </c>
      <c r="M1015" s="20">
        <v>0</v>
      </c>
      <c r="N1015" s="20">
        <f t="shared" si="2022"/>
        <v>9600</v>
      </c>
      <c r="O1015" s="19" t="s">
        <v>69</v>
      </c>
      <c r="P1015" s="20">
        <v>6400</v>
      </c>
      <c r="Q1015" s="20">
        <f t="shared" ref="Q1015:X1015" si="2067">Q985</f>
        <v>960</v>
      </c>
      <c r="R1015" s="20">
        <f t="shared" si="2067"/>
        <v>3840</v>
      </c>
      <c r="S1015" s="20">
        <f t="shared" si="2067"/>
        <v>6720</v>
      </c>
      <c r="T1015" s="20">
        <f t="shared" si="2067"/>
        <v>8640</v>
      </c>
      <c r="U1015" s="20">
        <f t="shared" si="2067"/>
        <v>100</v>
      </c>
      <c r="V1015" s="20">
        <f t="shared" si="2067"/>
        <v>500</v>
      </c>
      <c r="W1015" s="20">
        <f t="shared" si="2067"/>
        <v>900</v>
      </c>
      <c r="X1015" s="20">
        <f t="shared" si="2067"/>
        <v>6</v>
      </c>
      <c r="Y1015" s="20">
        <v>0</v>
      </c>
      <c r="Z1015" s="22">
        <v>0</v>
      </c>
      <c r="AA1015" s="27">
        <v>0</v>
      </c>
      <c r="AB1015" s="27">
        <v>0</v>
      </c>
      <c r="AC1015" s="27">
        <v>0</v>
      </c>
      <c r="AD1015" s="23">
        <f t="shared" ref="AD1015:AE1015" si="2068">AD985</f>
        <v>46</v>
      </c>
      <c r="AE1015" s="23">
        <f t="shared" si="2068"/>
        <v>50</v>
      </c>
    </row>
    <row r="1016" spans="1:31">
      <c r="A1016" s="8">
        <v>12203</v>
      </c>
      <c r="B1016" s="8">
        <v>25</v>
      </c>
      <c r="C1016" s="29" t="s">
        <v>70</v>
      </c>
      <c r="D1016" s="46">
        <v>0</v>
      </c>
      <c r="E1016" s="18">
        <f t="shared" si="1967"/>
        <v>968</v>
      </c>
      <c r="F1016" s="28">
        <v>0</v>
      </c>
      <c r="G1016" s="28">
        <v>0</v>
      </c>
      <c r="H1016" s="47">
        <v>0</v>
      </c>
      <c r="I1016" s="21">
        <f t="shared" si="2021"/>
        <v>385</v>
      </c>
      <c r="J1016" s="21">
        <f t="shared" si="1976"/>
        <v>24</v>
      </c>
      <c r="K1016" s="21">
        <v>0</v>
      </c>
      <c r="L1016" s="20">
        <v>6</v>
      </c>
      <c r="M1016" s="20">
        <v>0</v>
      </c>
      <c r="N1016" s="20">
        <f t="shared" si="2022"/>
        <v>12500</v>
      </c>
      <c r="O1016" s="19" t="s">
        <v>70</v>
      </c>
      <c r="P1016" s="20">
        <v>3100</v>
      </c>
      <c r="Q1016" s="20">
        <f t="shared" ref="Q1016:X1016" si="2069">Q986</f>
        <v>1250</v>
      </c>
      <c r="R1016" s="20">
        <f t="shared" si="2069"/>
        <v>5000</v>
      </c>
      <c r="S1016" s="20">
        <f t="shared" si="2069"/>
        <v>8750</v>
      </c>
      <c r="T1016" s="20">
        <f t="shared" si="2069"/>
        <v>11250</v>
      </c>
      <c r="U1016" s="20">
        <f t="shared" si="2069"/>
        <v>10</v>
      </c>
      <c r="V1016" s="20">
        <f t="shared" si="2069"/>
        <v>1300</v>
      </c>
      <c r="W1016" s="20">
        <f t="shared" si="2069"/>
        <v>1000</v>
      </c>
      <c r="X1016" s="20">
        <f t="shared" si="2069"/>
        <v>7</v>
      </c>
      <c r="Y1016" s="20">
        <v>0</v>
      </c>
      <c r="Z1016" s="22">
        <v>0</v>
      </c>
      <c r="AA1016" s="27">
        <v>0</v>
      </c>
      <c r="AB1016" s="27">
        <v>0</v>
      </c>
      <c r="AC1016" s="27">
        <v>0</v>
      </c>
      <c r="AD1016" s="23">
        <f t="shared" ref="AD1016:AE1016" si="2070">AD986</f>
        <v>48</v>
      </c>
      <c r="AE1016" s="23">
        <f t="shared" si="2070"/>
        <v>52</v>
      </c>
    </row>
    <row r="1017" spans="1:31">
      <c r="A1017" s="4">
        <v>12203</v>
      </c>
      <c r="B1017" s="4">
        <v>26</v>
      </c>
      <c r="C1017" s="29" t="s">
        <v>71</v>
      </c>
      <c r="D1017" s="46">
        <v>0</v>
      </c>
      <c r="E1017" s="18">
        <f t="shared" si="1967"/>
        <v>1048</v>
      </c>
      <c r="F1017" s="28">
        <v>0</v>
      </c>
      <c r="G1017" s="28">
        <v>0</v>
      </c>
      <c r="H1017" s="47">
        <v>0</v>
      </c>
      <c r="I1017" s="21">
        <f t="shared" si="2021"/>
        <v>385</v>
      </c>
      <c r="J1017" s="21">
        <f t="shared" si="1976"/>
        <v>25</v>
      </c>
      <c r="K1017" s="21">
        <v>0</v>
      </c>
      <c r="L1017" s="20">
        <v>6</v>
      </c>
      <c r="M1017" s="20">
        <v>0</v>
      </c>
      <c r="N1017" s="20">
        <f t="shared" si="2022"/>
        <v>13000</v>
      </c>
      <c r="O1017" s="19" t="s">
        <v>71</v>
      </c>
      <c r="P1017" s="20">
        <v>1777</v>
      </c>
      <c r="Q1017" s="20">
        <f t="shared" ref="Q1017:X1017" si="2071">Q987</f>
        <v>1300</v>
      </c>
      <c r="R1017" s="20">
        <f t="shared" si="2071"/>
        <v>5200</v>
      </c>
      <c r="S1017" s="20">
        <f t="shared" si="2071"/>
        <v>9100</v>
      </c>
      <c r="T1017" s="20">
        <f t="shared" si="2071"/>
        <v>11700</v>
      </c>
      <c r="U1017" s="20">
        <f t="shared" si="2071"/>
        <v>90</v>
      </c>
      <c r="V1017" s="20">
        <f t="shared" si="2071"/>
        <v>800</v>
      </c>
      <c r="W1017" s="20">
        <f t="shared" si="2071"/>
        <v>2000</v>
      </c>
      <c r="X1017" s="20">
        <f t="shared" si="2071"/>
        <v>7</v>
      </c>
      <c r="Y1017" s="20">
        <v>0</v>
      </c>
      <c r="Z1017" s="22">
        <v>0</v>
      </c>
      <c r="AA1017" s="27">
        <v>0</v>
      </c>
      <c r="AB1017" s="27">
        <v>0</v>
      </c>
      <c r="AC1017" s="27">
        <v>0</v>
      </c>
      <c r="AD1017" s="23">
        <f t="shared" ref="AD1017:AE1017" si="2072">AD987</f>
        <v>50</v>
      </c>
      <c r="AE1017" s="23">
        <f t="shared" si="2072"/>
        <v>54</v>
      </c>
    </row>
    <row r="1018" spans="1:31">
      <c r="A1018" s="4">
        <v>12203</v>
      </c>
      <c r="B1018" s="4">
        <v>27</v>
      </c>
      <c r="C1018" s="29" t="s">
        <v>72</v>
      </c>
      <c r="D1018" s="46">
        <v>0</v>
      </c>
      <c r="E1018" s="18">
        <f t="shared" si="1967"/>
        <v>1134</v>
      </c>
      <c r="F1018" s="28">
        <v>0</v>
      </c>
      <c r="G1018" s="28">
        <v>0</v>
      </c>
      <c r="H1018" s="47">
        <v>0</v>
      </c>
      <c r="I1018" s="21">
        <f t="shared" si="2021"/>
        <v>385</v>
      </c>
      <c r="J1018" s="21">
        <f t="shared" si="1976"/>
        <v>26</v>
      </c>
      <c r="K1018" s="21">
        <v>0</v>
      </c>
      <c r="L1018" s="20">
        <v>6</v>
      </c>
      <c r="M1018" s="20">
        <v>0</v>
      </c>
      <c r="N1018" s="20">
        <f t="shared" si="2022"/>
        <v>13500</v>
      </c>
      <c r="O1018" s="19" t="s">
        <v>72</v>
      </c>
      <c r="P1018" s="20">
        <v>2332</v>
      </c>
      <c r="Q1018" s="20">
        <f t="shared" ref="Q1018:X1018" si="2073">Q988</f>
        <v>1350</v>
      </c>
      <c r="R1018" s="20">
        <f t="shared" si="2073"/>
        <v>5400</v>
      </c>
      <c r="S1018" s="20">
        <f t="shared" si="2073"/>
        <v>9450</v>
      </c>
      <c r="T1018" s="20">
        <f t="shared" si="2073"/>
        <v>12150</v>
      </c>
      <c r="U1018" s="20">
        <f t="shared" si="2073"/>
        <v>80</v>
      </c>
      <c r="V1018" s="20">
        <f t="shared" si="2073"/>
        <v>700</v>
      </c>
      <c r="W1018" s="20">
        <f t="shared" si="2073"/>
        <v>800</v>
      </c>
      <c r="X1018" s="20">
        <f t="shared" si="2073"/>
        <v>7</v>
      </c>
      <c r="Y1018" s="20">
        <v>0</v>
      </c>
      <c r="Z1018" s="22">
        <v>0</v>
      </c>
      <c r="AA1018" s="27">
        <v>0</v>
      </c>
      <c r="AB1018" s="27">
        <v>0</v>
      </c>
      <c r="AC1018" s="27">
        <v>0</v>
      </c>
      <c r="AD1018" s="23">
        <f t="shared" ref="AD1018:AE1018" si="2074">AD988</f>
        <v>52</v>
      </c>
      <c r="AE1018" s="23">
        <f t="shared" si="2074"/>
        <v>56</v>
      </c>
    </row>
    <row r="1019" spans="1:31">
      <c r="A1019" s="4">
        <v>12203</v>
      </c>
      <c r="B1019" s="4">
        <v>28</v>
      </c>
      <c r="C1019" s="29" t="s">
        <v>73</v>
      </c>
      <c r="D1019" s="46">
        <v>0</v>
      </c>
      <c r="E1019" s="18">
        <f t="shared" si="1967"/>
        <v>1228</v>
      </c>
      <c r="F1019" s="28">
        <v>0</v>
      </c>
      <c r="G1019" s="28">
        <v>0</v>
      </c>
      <c r="H1019" s="47">
        <v>0</v>
      </c>
      <c r="I1019" s="21">
        <f t="shared" si="2021"/>
        <v>385</v>
      </c>
      <c r="J1019" s="21">
        <f t="shared" si="1976"/>
        <v>27</v>
      </c>
      <c r="K1019" s="21">
        <v>0</v>
      </c>
      <c r="L1019" s="20">
        <v>6</v>
      </c>
      <c r="M1019" s="20">
        <v>0</v>
      </c>
      <c r="N1019" s="20">
        <f t="shared" si="2022"/>
        <v>14000</v>
      </c>
      <c r="O1019" s="19" t="s">
        <v>73</v>
      </c>
      <c r="P1019" s="20">
        <v>1487</v>
      </c>
      <c r="Q1019" s="20">
        <f t="shared" ref="Q1019:X1019" si="2075">Q989</f>
        <v>1400</v>
      </c>
      <c r="R1019" s="20">
        <f t="shared" si="2075"/>
        <v>5600</v>
      </c>
      <c r="S1019" s="20">
        <f t="shared" si="2075"/>
        <v>9800</v>
      </c>
      <c r="T1019" s="20">
        <f t="shared" si="2075"/>
        <v>12600</v>
      </c>
      <c r="U1019" s="20">
        <f t="shared" si="2075"/>
        <v>80</v>
      </c>
      <c r="V1019" s="20">
        <f t="shared" si="2075"/>
        <v>500</v>
      </c>
      <c r="W1019" s="20">
        <f t="shared" si="2075"/>
        <v>600</v>
      </c>
      <c r="X1019" s="20">
        <f t="shared" si="2075"/>
        <v>7</v>
      </c>
      <c r="Y1019" s="20">
        <v>0</v>
      </c>
      <c r="Z1019" s="22">
        <v>243</v>
      </c>
      <c r="AA1019" s="27">
        <v>0</v>
      </c>
      <c r="AB1019" s="27">
        <v>0</v>
      </c>
      <c r="AC1019" s="27">
        <v>0</v>
      </c>
      <c r="AD1019" s="23">
        <f t="shared" ref="AD1019:AE1019" si="2076">AD989</f>
        <v>54</v>
      </c>
      <c r="AE1019" s="23">
        <f t="shared" si="2076"/>
        <v>58</v>
      </c>
    </row>
    <row r="1020" spans="1:31">
      <c r="A1020" s="4">
        <v>12203</v>
      </c>
      <c r="B1020" s="4">
        <v>29</v>
      </c>
      <c r="C1020" s="29" t="s">
        <v>74</v>
      </c>
      <c r="D1020" s="46">
        <v>0</v>
      </c>
      <c r="E1020" s="18">
        <f t="shared" si="1967"/>
        <v>1330</v>
      </c>
      <c r="F1020" s="28">
        <v>0</v>
      </c>
      <c r="G1020" s="28">
        <v>0</v>
      </c>
      <c r="H1020" s="47">
        <v>0</v>
      </c>
      <c r="I1020" s="21">
        <f t="shared" si="2021"/>
        <v>440</v>
      </c>
      <c r="J1020" s="21">
        <f t="shared" si="1976"/>
        <v>28</v>
      </c>
      <c r="K1020" s="21">
        <v>0</v>
      </c>
      <c r="L1020" s="20">
        <v>6</v>
      </c>
      <c r="M1020" s="20">
        <v>0</v>
      </c>
      <c r="N1020" s="20">
        <f t="shared" si="2022"/>
        <v>14500</v>
      </c>
      <c r="O1020" s="19" t="s">
        <v>74</v>
      </c>
      <c r="P1020" s="20">
        <v>1518</v>
      </c>
      <c r="Q1020" s="20">
        <f t="shared" ref="Q1020:X1020" si="2077">Q990</f>
        <v>1450</v>
      </c>
      <c r="R1020" s="20">
        <f t="shared" si="2077"/>
        <v>5800</v>
      </c>
      <c r="S1020" s="20">
        <f t="shared" si="2077"/>
        <v>10150</v>
      </c>
      <c r="T1020" s="20">
        <f t="shared" si="2077"/>
        <v>13050</v>
      </c>
      <c r="U1020" s="20">
        <f t="shared" si="2077"/>
        <v>80</v>
      </c>
      <c r="V1020" s="20">
        <f t="shared" si="2077"/>
        <v>600</v>
      </c>
      <c r="W1020" s="20">
        <f t="shared" si="2077"/>
        <v>700</v>
      </c>
      <c r="X1020" s="20">
        <f t="shared" si="2077"/>
        <v>8</v>
      </c>
      <c r="Y1020" s="20">
        <v>0</v>
      </c>
      <c r="Z1020" s="22">
        <v>0</v>
      </c>
      <c r="AA1020" s="27">
        <v>0</v>
      </c>
      <c r="AB1020" s="27">
        <v>0</v>
      </c>
      <c r="AC1020" s="27">
        <v>0</v>
      </c>
      <c r="AD1020" s="23">
        <f t="shared" ref="AD1020:AE1020" si="2078">AD990</f>
        <v>56</v>
      </c>
      <c r="AE1020" s="23">
        <f t="shared" si="2078"/>
        <v>60</v>
      </c>
    </row>
    <row r="1021" spans="1:31">
      <c r="A1021" s="4">
        <v>12203</v>
      </c>
      <c r="B1021" s="4">
        <v>30</v>
      </c>
      <c r="C1021" s="29" t="s">
        <v>75</v>
      </c>
      <c r="D1021" s="46">
        <v>0</v>
      </c>
      <c r="E1021" s="18">
        <f t="shared" si="1967"/>
        <v>1440</v>
      </c>
      <c r="F1021" s="28">
        <v>0</v>
      </c>
      <c r="G1021" s="28">
        <v>0</v>
      </c>
      <c r="H1021" s="47">
        <v>0</v>
      </c>
      <c r="I1021" s="21">
        <f t="shared" si="2021"/>
        <v>440</v>
      </c>
      <c r="J1021" s="21">
        <f t="shared" si="1976"/>
        <v>29</v>
      </c>
      <c r="K1021" s="21">
        <v>0</v>
      </c>
      <c r="L1021" s="20">
        <v>6</v>
      </c>
      <c r="M1021" s="20">
        <v>0</v>
      </c>
      <c r="N1021" s="20">
        <f t="shared" si="2022"/>
        <v>15000</v>
      </c>
      <c r="O1021" s="19" t="s">
        <v>75</v>
      </c>
      <c r="P1021" s="20">
        <v>861</v>
      </c>
      <c r="Q1021" s="20">
        <f t="shared" ref="Q1021:X1021" si="2079">Q991</f>
        <v>1500</v>
      </c>
      <c r="R1021" s="20">
        <f t="shared" si="2079"/>
        <v>6000</v>
      </c>
      <c r="S1021" s="20">
        <f t="shared" si="2079"/>
        <v>10500</v>
      </c>
      <c r="T1021" s="20">
        <f t="shared" si="2079"/>
        <v>13500</v>
      </c>
      <c r="U1021" s="20">
        <f t="shared" si="2079"/>
        <v>20</v>
      </c>
      <c r="V1021" s="20">
        <f t="shared" si="2079"/>
        <v>450</v>
      </c>
      <c r="W1021" s="20">
        <f t="shared" si="2079"/>
        <v>1000</v>
      </c>
      <c r="X1021" s="20">
        <f t="shared" si="2079"/>
        <v>8</v>
      </c>
      <c r="Y1021" s="20">
        <v>0</v>
      </c>
      <c r="Z1021" s="22">
        <v>0</v>
      </c>
      <c r="AA1021" s="27">
        <v>0</v>
      </c>
      <c r="AB1021" s="27">
        <v>0</v>
      </c>
      <c r="AC1021" s="27">
        <v>0</v>
      </c>
      <c r="AD1021" s="23">
        <f t="shared" ref="AD1021:AE1021" si="2080">AD991</f>
        <v>58</v>
      </c>
      <c r="AE1021" s="23">
        <f t="shared" si="2080"/>
        <v>62</v>
      </c>
    </row>
    <row r="1022" spans="1:31">
      <c r="A1022" s="4">
        <v>12204</v>
      </c>
      <c r="B1022" s="4">
        <v>1</v>
      </c>
      <c r="C1022" s="19" t="s">
        <v>66</v>
      </c>
      <c r="D1022" s="44">
        <v>0</v>
      </c>
      <c r="E1022" s="18">
        <f t="shared" si="1967"/>
        <v>162</v>
      </c>
      <c r="F1022" s="18">
        <v>0</v>
      </c>
      <c r="G1022" s="18">
        <v>0</v>
      </c>
      <c r="H1022" s="45">
        <v>0</v>
      </c>
      <c r="I1022" s="21">
        <f t="shared" si="2021"/>
        <v>55</v>
      </c>
      <c r="J1022" s="21">
        <f t="shared" si="1976"/>
        <v>0</v>
      </c>
      <c r="K1022" s="21">
        <v>0</v>
      </c>
      <c r="L1022" s="20">
        <v>45</v>
      </c>
      <c r="M1022" s="20">
        <v>0</v>
      </c>
      <c r="N1022" s="20">
        <f t="shared" si="2022"/>
        <v>10</v>
      </c>
      <c r="O1022" s="19" t="s">
        <v>66</v>
      </c>
      <c r="P1022" s="20">
        <v>9400</v>
      </c>
      <c r="Q1022" s="20">
        <f t="shared" ref="Q1022:X1022" si="2081">Q992</f>
        <v>1</v>
      </c>
      <c r="R1022" s="20">
        <f t="shared" si="2081"/>
        <v>4</v>
      </c>
      <c r="S1022" s="20">
        <f t="shared" si="2081"/>
        <v>7</v>
      </c>
      <c r="T1022" s="20">
        <f t="shared" si="2081"/>
        <v>9</v>
      </c>
      <c r="U1022" s="20">
        <f t="shared" si="2081"/>
        <v>9400</v>
      </c>
      <c r="V1022" s="20">
        <f t="shared" si="2081"/>
        <v>9400</v>
      </c>
      <c r="W1022" s="20">
        <f t="shared" si="2081"/>
        <v>9400</v>
      </c>
      <c r="X1022" s="20">
        <f t="shared" si="2081"/>
        <v>1</v>
      </c>
      <c r="Y1022" s="20">
        <v>0</v>
      </c>
      <c r="Z1022" s="22">
        <v>0</v>
      </c>
      <c r="AA1022" s="20">
        <v>0</v>
      </c>
      <c r="AB1022" s="20">
        <v>0</v>
      </c>
      <c r="AC1022" s="20">
        <v>0</v>
      </c>
      <c r="AD1022" s="23">
        <f t="shared" ref="AD1022:AE1022" si="2082">AD992</f>
        <v>1</v>
      </c>
      <c r="AE1022" s="23">
        <f t="shared" si="2082"/>
        <v>3</v>
      </c>
    </row>
    <row r="1023" spans="1:31">
      <c r="A1023" s="4">
        <v>12204</v>
      </c>
      <c r="B1023" s="4">
        <v>2</v>
      </c>
      <c r="C1023" s="19" t="s">
        <v>67</v>
      </c>
      <c r="D1023" s="44">
        <v>0</v>
      </c>
      <c r="E1023" s="18">
        <f t="shared" si="1967"/>
        <v>176</v>
      </c>
      <c r="F1023" s="18">
        <v>0</v>
      </c>
      <c r="G1023" s="18">
        <v>0</v>
      </c>
      <c r="H1023" s="45">
        <v>0</v>
      </c>
      <c r="I1023" s="21">
        <f t="shared" si="2021"/>
        <v>55</v>
      </c>
      <c r="J1023" s="21">
        <f t="shared" si="1976"/>
        <v>1</v>
      </c>
      <c r="K1023" s="21">
        <v>0</v>
      </c>
      <c r="L1023" s="20">
        <v>40</v>
      </c>
      <c r="M1023" s="20">
        <v>0</v>
      </c>
      <c r="N1023" s="20">
        <f t="shared" si="2022"/>
        <v>20</v>
      </c>
      <c r="O1023" s="19" t="s">
        <v>67</v>
      </c>
      <c r="P1023" s="20">
        <v>9100</v>
      </c>
      <c r="Q1023" s="20">
        <f t="shared" ref="Q1023:X1023" si="2083">Q993</f>
        <v>2</v>
      </c>
      <c r="R1023" s="20">
        <f t="shared" si="2083"/>
        <v>8</v>
      </c>
      <c r="S1023" s="20">
        <f t="shared" si="2083"/>
        <v>14</v>
      </c>
      <c r="T1023" s="20">
        <f t="shared" si="2083"/>
        <v>18</v>
      </c>
      <c r="U1023" s="20">
        <f t="shared" si="2083"/>
        <v>4000</v>
      </c>
      <c r="V1023" s="20">
        <f t="shared" si="2083"/>
        <v>8000</v>
      </c>
      <c r="W1023" s="20">
        <f t="shared" si="2083"/>
        <v>8000</v>
      </c>
      <c r="X1023" s="20">
        <f t="shared" si="2083"/>
        <v>1</v>
      </c>
      <c r="Y1023" s="20">
        <v>0</v>
      </c>
      <c r="Z1023" s="22">
        <v>0</v>
      </c>
      <c r="AA1023" s="20">
        <v>0</v>
      </c>
      <c r="AB1023" s="20">
        <v>0</v>
      </c>
      <c r="AC1023" s="20">
        <v>0</v>
      </c>
      <c r="AD1023" s="23">
        <f t="shared" ref="AD1023:AE1023" si="2084">AD993</f>
        <v>2</v>
      </c>
      <c r="AE1023" s="23">
        <f t="shared" si="2084"/>
        <v>5</v>
      </c>
    </row>
    <row r="1024" spans="1:31">
      <c r="A1024" s="4">
        <v>12204</v>
      </c>
      <c r="B1024" s="4">
        <v>3</v>
      </c>
      <c r="C1024" s="19" t="s">
        <v>68</v>
      </c>
      <c r="D1024" s="44">
        <v>0</v>
      </c>
      <c r="E1024" s="18">
        <f t="shared" si="1967"/>
        <v>189</v>
      </c>
      <c r="F1024" s="18">
        <v>0</v>
      </c>
      <c r="G1024" s="18">
        <v>0</v>
      </c>
      <c r="H1024" s="45">
        <v>0</v>
      </c>
      <c r="I1024" s="21">
        <f t="shared" si="2021"/>
        <v>55</v>
      </c>
      <c r="J1024" s="21">
        <f t="shared" si="1976"/>
        <v>2</v>
      </c>
      <c r="K1024" s="21">
        <v>0</v>
      </c>
      <c r="L1024" s="20">
        <v>35</v>
      </c>
      <c r="M1024" s="20">
        <v>0</v>
      </c>
      <c r="N1024" s="20">
        <f t="shared" si="2022"/>
        <v>40</v>
      </c>
      <c r="O1024" s="19" t="s">
        <v>68</v>
      </c>
      <c r="P1024" s="20">
        <v>8600</v>
      </c>
      <c r="Q1024" s="20">
        <f t="shared" ref="Q1024:X1024" si="2085">Q994</f>
        <v>4</v>
      </c>
      <c r="R1024" s="20">
        <f t="shared" si="2085"/>
        <v>16</v>
      </c>
      <c r="S1024" s="20">
        <f t="shared" si="2085"/>
        <v>28</v>
      </c>
      <c r="T1024" s="20">
        <f t="shared" si="2085"/>
        <v>36</v>
      </c>
      <c r="U1024" s="20">
        <f t="shared" si="2085"/>
        <v>1600</v>
      </c>
      <c r="V1024" s="20">
        <f t="shared" si="2085"/>
        <v>5000</v>
      </c>
      <c r="W1024" s="20">
        <f t="shared" si="2085"/>
        <v>6000</v>
      </c>
      <c r="X1024" s="20">
        <f t="shared" si="2085"/>
        <v>1</v>
      </c>
      <c r="Y1024" s="20">
        <v>0</v>
      </c>
      <c r="Z1024" s="22">
        <v>0</v>
      </c>
      <c r="AA1024" s="20">
        <v>0</v>
      </c>
      <c r="AB1024" s="20">
        <v>0</v>
      </c>
      <c r="AC1024" s="20">
        <v>0</v>
      </c>
      <c r="AD1024" s="23">
        <f t="shared" ref="AD1024:AE1024" si="2086">AD994</f>
        <v>4</v>
      </c>
      <c r="AE1024" s="23">
        <f t="shared" si="2086"/>
        <v>8</v>
      </c>
    </row>
    <row r="1025" spans="1:31">
      <c r="A1025" s="4">
        <v>12204</v>
      </c>
      <c r="B1025" s="4">
        <v>4</v>
      </c>
      <c r="C1025" s="19" t="s">
        <v>69</v>
      </c>
      <c r="D1025" s="44">
        <v>0</v>
      </c>
      <c r="E1025" s="18">
        <f t="shared" si="1967"/>
        <v>205</v>
      </c>
      <c r="F1025" s="18">
        <v>0</v>
      </c>
      <c r="G1025" s="18">
        <v>0</v>
      </c>
      <c r="H1025" s="45">
        <v>0</v>
      </c>
      <c r="I1025" s="21">
        <f t="shared" si="2021"/>
        <v>55</v>
      </c>
      <c r="J1025" s="21">
        <f t="shared" si="1976"/>
        <v>3</v>
      </c>
      <c r="K1025" s="21">
        <v>0</v>
      </c>
      <c r="L1025" s="20">
        <v>30</v>
      </c>
      <c r="M1025" s="20">
        <v>0</v>
      </c>
      <c r="N1025" s="20">
        <f t="shared" si="2022"/>
        <v>100</v>
      </c>
      <c r="O1025" s="19" t="s">
        <v>69</v>
      </c>
      <c r="P1025" s="20">
        <v>6400</v>
      </c>
      <c r="Q1025" s="20">
        <f t="shared" ref="Q1025:X1025" si="2087">Q995</f>
        <v>10</v>
      </c>
      <c r="R1025" s="20">
        <f t="shared" si="2087"/>
        <v>40</v>
      </c>
      <c r="S1025" s="20">
        <f t="shared" si="2087"/>
        <v>70</v>
      </c>
      <c r="T1025" s="20">
        <f t="shared" si="2087"/>
        <v>90</v>
      </c>
      <c r="U1025" s="20">
        <f t="shared" si="2087"/>
        <v>900</v>
      </c>
      <c r="V1025" s="20">
        <f t="shared" si="2087"/>
        <v>2000</v>
      </c>
      <c r="W1025" s="20">
        <f t="shared" si="2087"/>
        <v>8000</v>
      </c>
      <c r="X1025" s="20">
        <f t="shared" si="2087"/>
        <v>1</v>
      </c>
      <c r="Y1025" s="20">
        <v>0</v>
      </c>
      <c r="Z1025" s="22">
        <v>0</v>
      </c>
      <c r="AA1025" s="20">
        <v>0</v>
      </c>
      <c r="AB1025" s="20">
        <v>0</v>
      </c>
      <c r="AC1025" s="20">
        <v>0</v>
      </c>
      <c r="AD1025" s="23">
        <f t="shared" ref="AD1025:AE1025" si="2088">AD995</f>
        <v>6</v>
      </c>
      <c r="AE1025" s="23">
        <f t="shared" si="2088"/>
        <v>10</v>
      </c>
    </row>
    <row r="1026" spans="1:31">
      <c r="A1026" s="4">
        <v>12204</v>
      </c>
      <c r="B1026" s="4">
        <v>5</v>
      </c>
      <c r="C1026" s="19" t="s">
        <v>70</v>
      </c>
      <c r="D1026" s="44">
        <v>0</v>
      </c>
      <c r="E1026" s="18">
        <f t="shared" si="1967"/>
        <v>223</v>
      </c>
      <c r="F1026" s="18">
        <v>0</v>
      </c>
      <c r="G1026" s="18">
        <v>0</v>
      </c>
      <c r="H1026" s="45">
        <v>0</v>
      </c>
      <c r="I1026" s="21">
        <f t="shared" si="2021"/>
        <v>110</v>
      </c>
      <c r="J1026" s="21">
        <f t="shared" si="1976"/>
        <v>4</v>
      </c>
      <c r="K1026" s="21">
        <v>0</v>
      </c>
      <c r="L1026" s="20">
        <v>25</v>
      </c>
      <c r="M1026" s="20">
        <v>0</v>
      </c>
      <c r="N1026" s="20">
        <f t="shared" si="2022"/>
        <v>200</v>
      </c>
      <c r="O1026" s="19" t="s">
        <v>70</v>
      </c>
      <c r="P1026" s="20">
        <v>3100</v>
      </c>
      <c r="Q1026" s="20">
        <f t="shared" ref="Q1026:X1026" si="2089">Q996</f>
        <v>20</v>
      </c>
      <c r="R1026" s="20">
        <f t="shared" si="2089"/>
        <v>80</v>
      </c>
      <c r="S1026" s="20">
        <f t="shared" si="2089"/>
        <v>140</v>
      </c>
      <c r="T1026" s="20">
        <f t="shared" si="2089"/>
        <v>180</v>
      </c>
      <c r="U1026" s="20">
        <f t="shared" si="2089"/>
        <v>1000</v>
      </c>
      <c r="V1026" s="20">
        <f t="shared" si="2089"/>
        <v>2000</v>
      </c>
      <c r="W1026" s="20">
        <f t="shared" si="2089"/>
        <v>2000</v>
      </c>
      <c r="X1026" s="20">
        <f t="shared" si="2089"/>
        <v>2</v>
      </c>
      <c r="Y1026" s="20">
        <v>0</v>
      </c>
      <c r="Z1026" s="22">
        <v>0</v>
      </c>
      <c r="AA1026" s="20">
        <v>0</v>
      </c>
      <c r="AB1026" s="20">
        <v>0</v>
      </c>
      <c r="AC1026" s="20">
        <v>0</v>
      </c>
      <c r="AD1026" s="23">
        <f t="shared" ref="AD1026:AE1026" si="2090">AD996</f>
        <v>8</v>
      </c>
      <c r="AE1026" s="23">
        <f t="shared" si="2090"/>
        <v>12</v>
      </c>
    </row>
    <row r="1027" spans="1:31">
      <c r="A1027" s="4">
        <v>12204</v>
      </c>
      <c r="B1027" s="4">
        <v>6</v>
      </c>
      <c r="C1027" s="19" t="s">
        <v>71</v>
      </c>
      <c r="D1027" s="44">
        <v>0</v>
      </c>
      <c r="E1027" s="18">
        <f t="shared" si="1967"/>
        <v>241</v>
      </c>
      <c r="F1027" s="18">
        <v>0</v>
      </c>
      <c r="G1027" s="18">
        <v>0</v>
      </c>
      <c r="H1027" s="45">
        <v>0</v>
      </c>
      <c r="I1027" s="21">
        <f t="shared" si="2021"/>
        <v>110</v>
      </c>
      <c r="J1027" s="21">
        <f t="shared" si="1976"/>
        <v>5</v>
      </c>
      <c r="K1027" s="21">
        <v>0</v>
      </c>
      <c r="L1027" s="20">
        <v>20</v>
      </c>
      <c r="M1027" s="20">
        <v>0</v>
      </c>
      <c r="N1027" s="20">
        <f t="shared" si="2022"/>
        <v>500</v>
      </c>
      <c r="O1027" s="19" t="s">
        <v>71</v>
      </c>
      <c r="P1027" s="20">
        <v>1777</v>
      </c>
      <c r="Q1027" s="20">
        <f t="shared" ref="Q1027:X1027" si="2091">Q997</f>
        <v>50</v>
      </c>
      <c r="R1027" s="20">
        <f t="shared" si="2091"/>
        <v>200</v>
      </c>
      <c r="S1027" s="20">
        <f t="shared" si="2091"/>
        <v>350</v>
      </c>
      <c r="T1027" s="20">
        <f t="shared" si="2091"/>
        <v>450</v>
      </c>
      <c r="U1027" s="20">
        <f t="shared" si="2091"/>
        <v>800</v>
      </c>
      <c r="V1027" s="20">
        <f t="shared" si="2091"/>
        <v>800</v>
      </c>
      <c r="W1027" s="20">
        <f t="shared" si="2091"/>
        <v>600</v>
      </c>
      <c r="X1027" s="20">
        <f t="shared" si="2091"/>
        <v>2</v>
      </c>
      <c r="Y1027" s="20">
        <v>0</v>
      </c>
      <c r="Z1027" s="22">
        <v>0</v>
      </c>
      <c r="AA1027" s="20">
        <v>0</v>
      </c>
      <c r="AB1027" s="20">
        <v>0</v>
      </c>
      <c r="AC1027" s="20">
        <v>0</v>
      </c>
      <c r="AD1027" s="23">
        <f t="shared" ref="AD1027:AE1027" si="2092">AD997</f>
        <v>10</v>
      </c>
      <c r="AE1027" s="23">
        <f t="shared" si="2092"/>
        <v>14</v>
      </c>
    </row>
    <row r="1028" spans="1:31">
      <c r="A1028" s="8">
        <v>12204</v>
      </c>
      <c r="B1028" s="8">
        <v>7</v>
      </c>
      <c r="C1028" s="19" t="s">
        <v>72</v>
      </c>
      <c r="D1028" s="44">
        <v>0</v>
      </c>
      <c r="E1028" s="18">
        <f t="shared" si="1967"/>
        <v>261</v>
      </c>
      <c r="F1028" s="18">
        <v>0</v>
      </c>
      <c r="G1028" s="18">
        <v>0</v>
      </c>
      <c r="H1028" s="45">
        <v>0</v>
      </c>
      <c r="I1028" s="21">
        <f t="shared" si="2021"/>
        <v>110</v>
      </c>
      <c r="J1028" s="21">
        <f t="shared" si="1976"/>
        <v>6</v>
      </c>
      <c r="K1028" s="21">
        <v>0</v>
      </c>
      <c r="L1028" s="20">
        <v>16</v>
      </c>
      <c r="M1028" s="20">
        <v>0</v>
      </c>
      <c r="N1028" s="20">
        <f t="shared" si="2022"/>
        <v>700</v>
      </c>
      <c r="O1028" s="19" t="s">
        <v>72</v>
      </c>
      <c r="P1028" s="20">
        <v>2332</v>
      </c>
      <c r="Q1028" s="20">
        <f t="shared" ref="Q1028:X1028" si="2093">Q998</f>
        <v>70</v>
      </c>
      <c r="R1028" s="20">
        <f t="shared" si="2093"/>
        <v>280</v>
      </c>
      <c r="S1028" s="20">
        <f t="shared" si="2093"/>
        <v>489.99999999999994</v>
      </c>
      <c r="T1028" s="20">
        <f t="shared" si="2093"/>
        <v>630</v>
      </c>
      <c r="U1028" s="20">
        <f t="shared" si="2093"/>
        <v>650</v>
      </c>
      <c r="V1028" s="20">
        <f t="shared" si="2093"/>
        <v>800</v>
      </c>
      <c r="W1028" s="20">
        <f t="shared" si="2093"/>
        <v>300</v>
      </c>
      <c r="X1028" s="20">
        <f t="shared" si="2093"/>
        <v>2</v>
      </c>
      <c r="Y1028" s="20">
        <v>0</v>
      </c>
      <c r="Z1028" s="22">
        <v>0</v>
      </c>
      <c r="AA1028" s="20">
        <v>0</v>
      </c>
      <c r="AB1028" s="20">
        <v>0</v>
      </c>
      <c r="AC1028" s="20">
        <v>0</v>
      </c>
      <c r="AD1028" s="23">
        <f t="shared" ref="AD1028:AE1028" si="2094">AD998</f>
        <v>12</v>
      </c>
      <c r="AE1028" s="23">
        <f t="shared" si="2094"/>
        <v>16</v>
      </c>
    </row>
    <row r="1029" spans="1:31">
      <c r="A1029" s="4">
        <v>12204</v>
      </c>
      <c r="B1029" s="4">
        <v>8</v>
      </c>
      <c r="C1029" s="19" t="s">
        <v>73</v>
      </c>
      <c r="D1029" s="44">
        <v>0</v>
      </c>
      <c r="E1029" s="18">
        <f t="shared" si="1967"/>
        <v>284</v>
      </c>
      <c r="F1029" s="18">
        <v>0</v>
      </c>
      <c r="G1029" s="18">
        <v>0</v>
      </c>
      <c r="H1029" s="45">
        <v>0</v>
      </c>
      <c r="I1029" s="21">
        <f t="shared" si="2021"/>
        <v>110</v>
      </c>
      <c r="J1029" s="21">
        <f t="shared" si="1976"/>
        <v>7</v>
      </c>
      <c r="K1029" s="21">
        <v>0</v>
      </c>
      <c r="L1029" s="20">
        <v>12</v>
      </c>
      <c r="M1029" s="20">
        <v>0</v>
      </c>
      <c r="N1029" s="20">
        <f t="shared" si="2022"/>
        <v>800</v>
      </c>
      <c r="O1029" s="19" t="s">
        <v>73</v>
      </c>
      <c r="P1029" s="20">
        <v>1487</v>
      </c>
      <c r="Q1029" s="20">
        <f t="shared" ref="Q1029:X1029" si="2095">Q999</f>
        <v>80</v>
      </c>
      <c r="R1029" s="20">
        <f t="shared" si="2095"/>
        <v>320</v>
      </c>
      <c r="S1029" s="20">
        <f t="shared" si="2095"/>
        <v>560</v>
      </c>
      <c r="T1029" s="20">
        <f t="shared" si="2095"/>
        <v>720</v>
      </c>
      <c r="U1029" s="20">
        <f t="shared" si="2095"/>
        <v>200</v>
      </c>
      <c r="V1029" s="20">
        <f t="shared" si="2095"/>
        <v>2000</v>
      </c>
      <c r="W1029" s="20">
        <f t="shared" si="2095"/>
        <v>1000</v>
      </c>
      <c r="X1029" s="20">
        <f t="shared" si="2095"/>
        <v>2</v>
      </c>
      <c r="Y1029" s="20">
        <v>0</v>
      </c>
      <c r="Z1029" s="22">
        <v>54</v>
      </c>
      <c r="AA1029" s="20">
        <v>0</v>
      </c>
      <c r="AB1029" s="20">
        <v>0</v>
      </c>
      <c r="AC1029" s="20">
        <v>0</v>
      </c>
      <c r="AD1029" s="23">
        <f t="shared" ref="AD1029:AE1029" si="2096">AD999</f>
        <v>14</v>
      </c>
      <c r="AE1029" s="23">
        <f t="shared" si="2096"/>
        <v>18</v>
      </c>
    </row>
    <row r="1030" spans="1:31">
      <c r="A1030" s="4">
        <v>12204</v>
      </c>
      <c r="B1030" s="4">
        <v>9</v>
      </c>
      <c r="C1030" s="19" t="s">
        <v>74</v>
      </c>
      <c r="D1030" s="44">
        <v>0</v>
      </c>
      <c r="E1030" s="18">
        <f t="shared" si="1967"/>
        <v>306</v>
      </c>
      <c r="F1030" s="18">
        <v>0</v>
      </c>
      <c r="G1030" s="18">
        <v>0</v>
      </c>
      <c r="H1030" s="45">
        <v>0</v>
      </c>
      <c r="I1030" s="21">
        <f t="shared" si="2021"/>
        <v>165</v>
      </c>
      <c r="J1030" s="21">
        <f t="shared" si="1976"/>
        <v>8</v>
      </c>
      <c r="K1030" s="21">
        <v>0</v>
      </c>
      <c r="L1030" s="20">
        <v>8</v>
      </c>
      <c r="M1030" s="20">
        <v>0</v>
      </c>
      <c r="N1030" s="20">
        <f t="shared" si="2022"/>
        <v>900</v>
      </c>
      <c r="O1030" s="19" t="s">
        <v>74</v>
      </c>
      <c r="P1030" s="20">
        <v>1518</v>
      </c>
      <c r="Q1030" s="20">
        <f t="shared" ref="Q1030:X1030" si="2097">Q1000</f>
        <v>90</v>
      </c>
      <c r="R1030" s="20">
        <f t="shared" si="2097"/>
        <v>360</v>
      </c>
      <c r="S1030" s="20">
        <f t="shared" si="2097"/>
        <v>630</v>
      </c>
      <c r="T1030" s="20">
        <f t="shared" si="2097"/>
        <v>810</v>
      </c>
      <c r="U1030" s="20">
        <f t="shared" si="2097"/>
        <v>120</v>
      </c>
      <c r="V1030" s="20">
        <f t="shared" si="2097"/>
        <v>1500</v>
      </c>
      <c r="W1030" s="20">
        <f t="shared" si="2097"/>
        <v>1000</v>
      </c>
      <c r="X1030" s="20">
        <f t="shared" si="2097"/>
        <v>3</v>
      </c>
      <c r="Y1030" s="20">
        <v>0</v>
      </c>
      <c r="Z1030" s="22">
        <v>0</v>
      </c>
      <c r="AA1030" s="20">
        <v>0</v>
      </c>
      <c r="AB1030" s="20">
        <v>0</v>
      </c>
      <c r="AC1030" s="20">
        <v>0</v>
      </c>
      <c r="AD1030" s="23">
        <f t="shared" ref="AD1030:AE1030" si="2098">AD1000</f>
        <v>16</v>
      </c>
      <c r="AE1030" s="23">
        <f t="shared" si="2098"/>
        <v>20</v>
      </c>
    </row>
    <row r="1031" spans="1:31">
      <c r="A1031" s="4">
        <v>12204</v>
      </c>
      <c r="B1031" s="4">
        <v>10</v>
      </c>
      <c r="C1031" s="19" t="s">
        <v>75</v>
      </c>
      <c r="D1031" s="44">
        <v>0</v>
      </c>
      <c r="E1031" s="18">
        <f t="shared" ref="E1031:E1051" si="2099">D881</f>
        <v>331</v>
      </c>
      <c r="F1031" s="18">
        <v>0</v>
      </c>
      <c r="G1031" s="18">
        <v>0</v>
      </c>
      <c r="H1031" s="45">
        <v>0</v>
      </c>
      <c r="I1031" s="21">
        <f t="shared" si="2021"/>
        <v>165</v>
      </c>
      <c r="J1031" s="21">
        <f t="shared" si="1976"/>
        <v>9</v>
      </c>
      <c r="K1031" s="21">
        <v>0</v>
      </c>
      <c r="L1031" s="20">
        <v>6</v>
      </c>
      <c r="M1031" s="20">
        <v>0</v>
      </c>
      <c r="N1031" s="20">
        <f t="shared" si="2022"/>
        <v>2000</v>
      </c>
      <c r="O1031" s="19" t="s">
        <v>75</v>
      </c>
      <c r="P1031" s="20">
        <v>861</v>
      </c>
      <c r="Q1031" s="20">
        <f t="shared" ref="Q1031:X1031" si="2100">Q1001</f>
        <v>200</v>
      </c>
      <c r="R1031" s="20">
        <f t="shared" si="2100"/>
        <v>800</v>
      </c>
      <c r="S1031" s="20">
        <f t="shared" si="2100"/>
        <v>1400</v>
      </c>
      <c r="T1031" s="20">
        <f t="shared" si="2100"/>
        <v>1800</v>
      </c>
      <c r="U1031" s="20">
        <f t="shared" si="2100"/>
        <v>150</v>
      </c>
      <c r="V1031" s="20">
        <f t="shared" si="2100"/>
        <v>5000</v>
      </c>
      <c r="W1031" s="20">
        <f t="shared" si="2100"/>
        <v>800</v>
      </c>
      <c r="X1031" s="20">
        <f t="shared" si="2100"/>
        <v>3</v>
      </c>
      <c r="Y1031" s="20">
        <v>0</v>
      </c>
      <c r="Z1031" s="22">
        <v>0</v>
      </c>
      <c r="AA1031" s="20">
        <v>0</v>
      </c>
      <c r="AB1031" s="20">
        <v>0</v>
      </c>
      <c r="AC1031" s="20">
        <v>0</v>
      </c>
      <c r="AD1031" s="23">
        <f t="shared" ref="AD1031:AE1031" si="2101">AD1001</f>
        <v>18</v>
      </c>
      <c r="AE1031" s="23">
        <f t="shared" si="2101"/>
        <v>22</v>
      </c>
    </row>
    <row r="1032" spans="1:31">
      <c r="A1032" s="4">
        <v>12204</v>
      </c>
      <c r="B1032" s="4">
        <v>11</v>
      </c>
      <c r="C1032" s="19" t="s">
        <v>66</v>
      </c>
      <c r="D1032" s="44">
        <v>0</v>
      </c>
      <c r="E1032" s="18">
        <f t="shared" si="2099"/>
        <v>358</v>
      </c>
      <c r="F1032" s="18">
        <v>0</v>
      </c>
      <c r="G1032" s="18">
        <v>0</v>
      </c>
      <c r="H1032" s="45">
        <v>0</v>
      </c>
      <c r="I1032" s="21">
        <f t="shared" si="2021"/>
        <v>165</v>
      </c>
      <c r="J1032" s="21">
        <f t="shared" si="1976"/>
        <v>10</v>
      </c>
      <c r="K1032" s="21">
        <v>0</v>
      </c>
      <c r="L1032" s="20">
        <v>6</v>
      </c>
      <c r="M1032" s="20">
        <v>0</v>
      </c>
      <c r="N1032" s="20">
        <f t="shared" si="2022"/>
        <v>2200</v>
      </c>
      <c r="O1032" s="19" t="s">
        <v>66</v>
      </c>
      <c r="P1032" s="20">
        <v>9400</v>
      </c>
      <c r="Q1032" s="20">
        <f t="shared" ref="Q1032:X1032" si="2102">Q1002</f>
        <v>220</v>
      </c>
      <c r="R1032" s="20">
        <f t="shared" si="2102"/>
        <v>880</v>
      </c>
      <c r="S1032" s="20">
        <f t="shared" si="2102"/>
        <v>1540</v>
      </c>
      <c r="T1032" s="20">
        <f t="shared" si="2102"/>
        <v>1980</v>
      </c>
      <c r="U1032" s="20">
        <f t="shared" si="2102"/>
        <v>100</v>
      </c>
      <c r="V1032" s="20">
        <f t="shared" si="2102"/>
        <v>800</v>
      </c>
      <c r="W1032" s="20">
        <f t="shared" si="2102"/>
        <v>600</v>
      </c>
      <c r="X1032" s="20">
        <f t="shared" si="2102"/>
        <v>3</v>
      </c>
      <c r="Y1032" s="20">
        <v>0</v>
      </c>
      <c r="Z1032" s="22">
        <v>0</v>
      </c>
      <c r="AA1032" s="20">
        <v>0</v>
      </c>
      <c r="AB1032" s="20">
        <v>0</v>
      </c>
      <c r="AC1032" s="20">
        <v>0</v>
      </c>
      <c r="AD1032" s="23">
        <f t="shared" ref="AD1032:AE1032" si="2103">AD1002</f>
        <v>20</v>
      </c>
      <c r="AE1032" s="23">
        <f t="shared" si="2103"/>
        <v>24</v>
      </c>
    </row>
    <row r="1033" spans="1:31">
      <c r="A1033" s="4">
        <v>12204</v>
      </c>
      <c r="B1033" s="4">
        <v>12</v>
      </c>
      <c r="C1033" s="19" t="s">
        <v>67</v>
      </c>
      <c r="D1033" s="44">
        <v>0</v>
      </c>
      <c r="E1033" s="18">
        <f t="shared" si="2099"/>
        <v>387</v>
      </c>
      <c r="F1033" s="18">
        <v>0</v>
      </c>
      <c r="G1033" s="18">
        <v>0</v>
      </c>
      <c r="H1033" s="45">
        <v>0</v>
      </c>
      <c r="I1033" s="21">
        <f t="shared" si="2021"/>
        <v>165</v>
      </c>
      <c r="J1033" s="21">
        <f t="shared" si="1976"/>
        <v>11</v>
      </c>
      <c r="K1033" s="21">
        <v>0</v>
      </c>
      <c r="L1033" s="20">
        <v>6</v>
      </c>
      <c r="M1033" s="20">
        <v>0</v>
      </c>
      <c r="N1033" s="20">
        <f t="shared" si="2022"/>
        <v>2400</v>
      </c>
      <c r="O1033" s="19" t="s">
        <v>67</v>
      </c>
      <c r="P1033" s="20">
        <v>9100</v>
      </c>
      <c r="Q1033" s="20">
        <f t="shared" ref="Q1033:X1033" si="2104">Q1003</f>
        <v>240</v>
      </c>
      <c r="R1033" s="20">
        <f t="shared" si="2104"/>
        <v>960</v>
      </c>
      <c r="S1033" s="20">
        <f t="shared" si="2104"/>
        <v>1680</v>
      </c>
      <c r="T1033" s="20">
        <f t="shared" si="2104"/>
        <v>2160</v>
      </c>
      <c r="U1033" s="20">
        <f t="shared" si="2104"/>
        <v>150</v>
      </c>
      <c r="V1033" s="20">
        <f t="shared" si="2104"/>
        <v>700</v>
      </c>
      <c r="W1033" s="20">
        <f t="shared" si="2104"/>
        <v>900</v>
      </c>
      <c r="X1033" s="20">
        <f t="shared" si="2104"/>
        <v>3</v>
      </c>
      <c r="Y1033" s="20">
        <v>0</v>
      </c>
      <c r="Z1033" s="22">
        <v>0</v>
      </c>
      <c r="AA1033" s="20">
        <v>0</v>
      </c>
      <c r="AB1033" s="20">
        <v>0</v>
      </c>
      <c r="AC1033" s="20">
        <v>0</v>
      </c>
      <c r="AD1033" s="23">
        <f t="shared" ref="AD1033:AE1033" si="2105">AD1003</f>
        <v>22</v>
      </c>
      <c r="AE1033" s="23">
        <f t="shared" si="2105"/>
        <v>26</v>
      </c>
    </row>
    <row r="1034" spans="1:31">
      <c r="A1034" s="4">
        <v>12204</v>
      </c>
      <c r="B1034" s="4">
        <v>13</v>
      </c>
      <c r="C1034" s="19" t="s">
        <v>68</v>
      </c>
      <c r="D1034" s="44">
        <v>0</v>
      </c>
      <c r="E1034" s="18">
        <f t="shared" si="2099"/>
        <v>421</v>
      </c>
      <c r="F1034" s="18">
        <v>0</v>
      </c>
      <c r="G1034" s="18">
        <v>0</v>
      </c>
      <c r="H1034" s="45">
        <v>0</v>
      </c>
      <c r="I1034" s="21">
        <f t="shared" si="2021"/>
        <v>220</v>
      </c>
      <c r="J1034" s="21">
        <f t="shared" si="1976"/>
        <v>12</v>
      </c>
      <c r="K1034" s="21">
        <v>0</v>
      </c>
      <c r="L1034" s="20">
        <v>6</v>
      </c>
      <c r="M1034" s="20">
        <v>0</v>
      </c>
      <c r="N1034" s="20">
        <f t="shared" si="2022"/>
        <v>2600</v>
      </c>
      <c r="O1034" s="19" t="s">
        <v>68</v>
      </c>
      <c r="P1034" s="20">
        <v>8600</v>
      </c>
      <c r="Q1034" s="20">
        <f t="shared" ref="Q1034:X1034" si="2106">Q1004</f>
        <v>260</v>
      </c>
      <c r="R1034" s="20">
        <f t="shared" si="2106"/>
        <v>1040</v>
      </c>
      <c r="S1034" s="20">
        <f t="shared" si="2106"/>
        <v>1819.9999999999998</v>
      </c>
      <c r="T1034" s="20">
        <f t="shared" si="2106"/>
        <v>2340</v>
      </c>
      <c r="U1034" s="20">
        <f t="shared" si="2106"/>
        <v>100</v>
      </c>
      <c r="V1034" s="20">
        <f t="shared" si="2106"/>
        <v>700</v>
      </c>
      <c r="W1034" s="20">
        <f t="shared" si="2106"/>
        <v>1000</v>
      </c>
      <c r="X1034" s="20">
        <f t="shared" si="2106"/>
        <v>4</v>
      </c>
      <c r="Y1034" s="20">
        <v>0</v>
      </c>
      <c r="Z1034" s="22">
        <v>108</v>
      </c>
      <c r="AA1034" s="20">
        <v>0</v>
      </c>
      <c r="AB1034" s="20">
        <v>0</v>
      </c>
      <c r="AC1034" s="20">
        <v>0</v>
      </c>
      <c r="AD1034" s="23">
        <f t="shared" ref="AD1034:AE1034" si="2107">AD1004</f>
        <v>24</v>
      </c>
      <c r="AE1034" s="23">
        <f t="shared" si="2107"/>
        <v>28</v>
      </c>
    </row>
    <row r="1035" spans="1:31">
      <c r="A1035" s="4">
        <v>12204</v>
      </c>
      <c r="B1035" s="4">
        <v>14</v>
      </c>
      <c r="C1035" s="19" t="s">
        <v>69</v>
      </c>
      <c r="D1035" s="44">
        <v>0</v>
      </c>
      <c r="E1035" s="18">
        <f t="shared" si="2099"/>
        <v>455</v>
      </c>
      <c r="F1035" s="18">
        <v>0</v>
      </c>
      <c r="G1035" s="18">
        <v>0</v>
      </c>
      <c r="H1035" s="45">
        <v>0</v>
      </c>
      <c r="I1035" s="21">
        <f t="shared" si="2021"/>
        <v>220</v>
      </c>
      <c r="J1035" s="21">
        <f t="shared" ref="J1035:J1098" si="2108">B1035-1</f>
        <v>13</v>
      </c>
      <c r="K1035" s="21">
        <v>0</v>
      </c>
      <c r="L1035" s="20">
        <v>6</v>
      </c>
      <c r="M1035" s="20">
        <v>0</v>
      </c>
      <c r="N1035" s="20">
        <f t="shared" si="2022"/>
        <v>2800</v>
      </c>
      <c r="O1035" s="19" t="s">
        <v>69</v>
      </c>
      <c r="P1035" s="20">
        <v>6400</v>
      </c>
      <c r="Q1035" s="20">
        <f t="shared" ref="Q1035:X1035" si="2109">Q1005</f>
        <v>280</v>
      </c>
      <c r="R1035" s="20">
        <f t="shared" si="2109"/>
        <v>1120</v>
      </c>
      <c r="S1035" s="20">
        <f t="shared" si="2109"/>
        <v>1959.9999999999998</v>
      </c>
      <c r="T1035" s="20">
        <f t="shared" si="2109"/>
        <v>2520</v>
      </c>
      <c r="U1035" s="20">
        <f t="shared" si="2109"/>
        <v>100</v>
      </c>
      <c r="V1035" s="20">
        <f t="shared" si="2109"/>
        <v>400</v>
      </c>
      <c r="W1035" s="20">
        <f t="shared" si="2109"/>
        <v>1200</v>
      </c>
      <c r="X1035" s="20">
        <f t="shared" si="2109"/>
        <v>4</v>
      </c>
      <c r="Y1035" s="20">
        <v>0</v>
      </c>
      <c r="Z1035" s="22">
        <v>0</v>
      </c>
      <c r="AA1035" s="20">
        <v>0</v>
      </c>
      <c r="AB1035" s="20">
        <v>0</v>
      </c>
      <c r="AC1035" s="20">
        <v>0</v>
      </c>
      <c r="AD1035" s="23">
        <f t="shared" ref="AD1035:AE1035" si="2110">AD1005</f>
        <v>26</v>
      </c>
      <c r="AE1035" s="23">
        <f t="shared" si="2110"/>
        <v>30</v>
      </c>
    </row>
    <row r="1036" spans="1:31">
      <c r="A1036" s="4">
        <v>12204</v>
      </c>
      <c r="B1036" s="4">
        <v>15</v>
      </c>
      <c r="C1036" s="19" t="s">
        <v>70</v>
      </c>
      <c r="D1036" s="44">
        <v>0</v>
      </c>
      <c r="E1036" s="18">
        <f t="shared" si="2099"/>
        <v>493</v>
      </c>
      <c r="F1036" s="18">
        <v>0</v>
      </c>
      <c r="G1036" s="18">
        <v>0</v>
      </c>
      <c r="H1036" s="45">
        <v>0</v>
      </c>
      <c r="I1036" s="21">
        <f t="shared" si="2021"/>
        <v>220</v>
      </c>
      <c r="J1036" s="21">
        <f t="shared" si="2108"/>
        <v>14</v>
      </c>
      <c r="K1036" s="21">
        <v>0</v>
      </c>
      <c r="L1036" s="20">
        <v>6</v>
      </c>
      <c r="M1036" s="20">
        <v>0</v>
      </c>
      <c r="N1036" s="20">
        <f t="shared" si="2022"/>
        <v>4500</v>
      </c>
      <c r="O1036" s="19" t="s">
        <v>70</v>
      </c>
      <c r="P1036" s="20">
        <v>3100</v>
      </c>
      <c r="Q1036" s="20">
        <f t="shared" ref="Q1036:X1036" si="2111">Q1006</f>
        <v>450</v>
      </c>
      <c r="R1036" s="20">
        <f t="shared" si="2111"/>
        <v>1800</v>
      </c>
      <c r="S1036" s="20">
        <f t="shared" si="2111"/>
        <v>3150</v>
      </c>
      <c r="T1036" s="20">
        <f t="shared" si="2111"/>
        <v>4050</v>
      </c>
      <c r="U1036" s="20">
        <f t="shared" si="2111"/>
        <v>100</v>
      </c>
      <c r="V1036" s="20">
        <f t="shared" si="2111"/>
        <v>1000</v>
      </c>
      <c r="W1036" s="20">
        <f t="shared" si="2111"/>
        <v>600</v>
      </c>
      <c r="X1036" s="20">
        <f t="shared" si="2111"/>
        <v>4</v>
      </c>
      <c r="Y1036" s="20">
        <v>0</v>
      </c>
      <c r="Z1036" s="22">
        <v>0</v>
      </c>
      <c r="AA1036" s="20">
        <v>0</v>
      </c>
      <c r="AB1036" s="20">
        <v>0</v>
      </c>
      <c r="AC1036" s="20">
        <v>0</v>
      </c>
      <c r="AD1036" s="23">
        <f t="shared" ref="AD1036:AE1036" si="2112">AD1006</f>
        <v>28</v>
      </c>
      <c r="AE1036" s="23">
        <f t="shared" si="2112"/>
        <v>32</v>
      </c>
    </row>
    <row r="1037" spans="1:31">
      <c r="A1037" s="4">
        <v>12204</v>
      </c>
      <c r="B1037" s="4">
        <v>16</v>
      </c>
      <c r="C1037" s="19" t="s">
        <v>71</v>
      </c>
      <c r="D1037" s="44">
        <v>0</v>
      </c>
      <c r="E1037" s="18">
        <f t="shared" si="2099"/>
        <v>534</v>
      </c>
      <c r="F1037" s="18">
        <v>0</v>
      </c>
      <c r="G1037" s="18">
        <v>0</v>
      </c>
      <c r="H1037" s="45">
        <v>0</v>
      </c>
      <c r="I1037" s="21">
        <f t="shared" si="2021"/>
        <v>220</v>
      </c>
      <c r="J1037" s="21">
        <f t="shared" si="2108"/>
        <v>15</v>
      </c>
      <c r="K1037" s="21">
        <v>0</v>
      </c>
      <c r="L1037" s="20">
        <v>6</v>
      </c>
      <c r="M1037" s="20">
        <v>0</v>
      </c>
      <c r="N1037" s="20">
        <f t="shared" si="2022"/>
        <v>4800</v>
      </c>
      <c r="O1037" s="19" t="s">
        <v>71</v>
      </c>
      <c r="P1037" s="20">
        <v>1777</v>
      </c>
      <c r="Q1037" s="20">
        <f t="shared" ref="Q1037:X1037" si="2113">Q1007</f>
        <v>480</v>
      </c>
      <c r="R1037" s="20">
        <f t="shared" si="2113"/>
        <v>1920</v>
      </c>
      <c r="S1037" s="20">
        <f t="shared" si="2113"/>
        <v>3360</v>
      </c>
      <c r="T1037" s="20">
        <f t="shared" si="2113"/>
        <v>4320</v>
      </c>
      <c r="U1037" s="20">
        <f t="shared" si="2113"/>
        <v>100</v>
      </c>
      <c r="V1037" s="20">
        <f t="shared" si="2113"/>
        <v>800</v>
      </c>
      <c r="W1037" s="20">
        <f t="shared" si="2113"/>
        <v>800</v>
      </c>
      <c r="X1037" s="20">
        <f t="shared" si="2113"/>
        <v>4</v>
      </c>
      <c r="Y1037" s="20">
        <v>0</v>
      </c>
      <c r="Z1037" s="22">
        <v>0</v>
      </c>
      <c r="AA1037" s="20">
        <v>0</v>
      </c>
      <c r="AB1037" s="20">
        <v>0</v>
      </c>
      <c r="AC1037" s="20">
        <v>0</v>
      </c>
      <c r="AD1037" s="23">
        <f t="shared" ref="AD1037:AE1037" si="2114">AD1007</f>
        <v>30</v>
      </c>
      <c r="AE1037" s="23">
        <f t="shared" si="2114"/>
        <v>34</v>
      </c>
    </row>
    <row r="1038" spans="1:31">
      <c r="A1038" s="4">
        <v>12204</v>
      </c>
      <c r="B1038" s="4">
        <v>17</v>
      </c>
      <c r="C1038" s="19" t="s">
        <v>72</v>
      </c>
      <c r="D1038" s="44">
        <v>0</v>
      </c>
      <c r="E1038" s="18">
        <f t="shared" si="2099"/>
        <v>576</v>
      </c>
      <c r="F1038" s="18">
        <v>0</v>
      </c>
      <c r="G1038" s="18">
        <v>0</v>
      </c>
      <c r="H1038" s="45">
        <v>0</v>
      </c>
      <c r="I1038" s="21">
        <f t="shared" si="2021"/>
        <v>275</v>
      </c>
      <c r="J1038" s="21">
        <f t="shared" si="2108"/>
        <v>16</v>
      </c>
      <c r="K1038" s="21">
        <v>0</v>
      </c>
      <c r="L1038" s="20">
        <v>6</v>
      </c>
      <c r="M1038" s="20">
        <v>0</v>
      </c>
      <c r="N1038" s="20">
        <f t="shared" si="2022"/>
        <v>5100</v>
      </c>
      <c r="O1038" s="19" t="s">
        <v>72</v>
      </c>
      <c r="P1038" s="20">
        <v>2332</v>
      </c>
      <c r="Q1038" s="20">
        <f t="shared" ref="Q1038:X1038" si="2115">Q1008</f>
        <v>510</v>
      </c>
      <c r="R1038" s="20">
        <f t="shared" si="2115"/>
        <v>2040</v>
      </c>
      <c r="S1038" s="20">
        <f t="shared" si="2115"/>
        <v>3570</v>
      </c>
      <c r="T1038" s="20">
        <f t="shared" si="2115"/>
        <v>4590</v>
      </c>
      <c r="U1038" s="20">
        <f t="shared" si="2115"/>
        <v>80</v>
      </c>
      <c r="V1038" s="20">
        <f t="shared" si="2115"/>
        <v>800</v>
      </c>
      <c r="W1038" s="20">
        <f t="shared" si="2115"/>
        <v>600</v>
      </c>
      <c r="X1038" s="20">
        <f t="shared" si="2115"/>
        <v>5</v>
      </c>
      <c r="Y1038" s="20">
        <v>0</v>
      </c>
      <c r="Z1038" s="22">
        <v>0</v>
      </c>
      <c r="AA1038" s="20">
        <v>0</v>
      </c>
      <c r="AB1038" s="20">
        <v>0</v>
      </c>
      <c r="AC1038" s="20">
        <v>0</v>
      </c>
      <c r="AD1038" s="23">
        <f t="shared" ref="AD1038:AE1038" si="2116">AD1008</f>
        <v>32</v>
      </c>
      <c r="AE1038" s="23">
        <f t="shared" si="2116"/>
        <v>36</v>
      </c>
    </row>
    <row r="1039" spans="1:31">
      <c r="A1039" s="4">
        <v>12204</v>
      </c>
      <c r="B1039" s="4">
        <v>18</v>
      </c>
      <c r="C1039" s="19" t="s">
        <v>73</v>
      </c>
      <c r="D1039" s="44">
        <v>0</v>
      </c>
      <c r="E1039" s="18">
        <f t="shared" si="2099"/>
        <v>626</v>
      </c>
      <c r="F1039" s="18">
        <v>0</v>
      </c>
      <c r="G1039" s="18">
        <v>0</v>
      </c>
      <c r="H1039" s="45">
        <v>0</v>
      </c>
      <c r="I1039" s="21">
        <f t="shared" si="2021"/>
        <v>275</v>
      </c>
      <c r="J1039" s="21">
        <f t="shared" si="2108"/>
        <v>17</v>
      </c>
      <c r="K1039" s="21">
        <v>0</v>
      </c>
      <c r="L1039" s="20">
        <v>6</v>
      </c>
      <c r="M1039" s="20">
        <v>0</v>
      </c>
      <c r="N1039" s="20">
        <f t="shared" si="2022"/>
        <v>5400</v>
      </c>
      <c r="O1039" s="19" t="s">
        <v>73</v>
      </c>
      <c r="P1039" s="20">
        <v>1487</v>
      </c>
      <c r="Q1039" s="20">
        <f t="shared" ref="Q1039:X1039" si="2117">Q1009</f>
        <v>540</v>
      </c>
      <c r="R1039" s="20">
        <f t="shared" si="2117"/>
        <v>2160</v>
      </c>
      <c r="S1039" s="20">
        <f t="shared" si="2117"/>
        <v>3779.9999999999995</v>
      </c>
      <c r="T1039" s="20">
        <f t="shared" si="2117"/>
        <v>4860</v>
      </c>
      <c r="U1039" s="20">
        <f t="shared" si="2117"/>
        <v>100</v>
      </c>
      <c r="V1039" s="20">
        <f t="shared" si="2117"/>
        <v>600</v>
      </c>
      <c r="W1039" s="20">
        <f t="shared" si="2117"/>
        <v>300</v>
      </c>
      <c r="X1039" s="20">
        <f t="shared" si="2117"/>
        <v>5</v>
      </c>
      <c r="Y1039" s="20">
        <v>0</v>
      </c>
      <c r="Z1039" s="22">
        <v>162</v>
      </c>
      <c r="AA1039" s="20">
        <v>0</v>
      </c>
      <c r="AB1039" s="20">
        <v>0</v>
      </c>
      <c r="AC1039" s="20">
        <v>0</v>
      </c>
      <c r="AD1039" s="23">
        <f t="shared" ref="AD1039:AE1039" si="2118">AD1009</f>
        <v>34</v>
      </c>
      <c r="AE1039" s="23">
        <f t="shared" si="2118"/>
        <v>38</v>
      </c>
    </row>
    <row r="1040" spans="1:31">
      <c r="A1040" s="8">
        <v>12204</v>
      </c>
      <c r="B1040" s="8">
        <v>19</v>
      </c>
      <c r="C1040" s="19" t="s">
        <v>74</v>
      </c>
      <c r="D1040" s="44">
        <v>0</v>
      </c>
      <c r="E1040" s="18">
        <f t="shared" si="2099"/>
        <v>678</v>
      </c>
      <c r="F1040" s="18">
        <v>0</v>
      </c>
      <c r="G1040" s="18">
        <v>0</v>
      </c>
      <c r="H1040" s="45">
        <v>0</v>
      </c>
      <c r="I1040" s="21">
        <f t="shared" si="2021"/>
        <v>275</v>
      </c>
      <c r="J1040" s="21">
        <f t="shared" si="2108"/>
        <v>18</v>
      </c>
      <c r="K1040" s="21">
        <v>0</v>
      </c>
      <c r="L1040" s="20">
        <v>6</v>
      </c>
      <c r="M1040" s="20">
        <v>0</v>
      </c>
      <c r="N1040" s="20">
        <f t="shared" si="2022"/>
        <v>5700</v>
      </c>
      <c r="O1040" s="19" t="s">
        <v>74</v>
      </c>
      <c r="P1040" s="20">
        <v>1518</v>
      </c>
      <c r="Q1040" s="20">
        <f t="shared" ref="Q1040:X1040" si="2119">Q1010</f>
        <v>570</v>
      </c>
      <c r="R1040" s="20">
        <f t="shared" si="2119"/>
        <v>2280</v>
      </c>
      <c r="S1040" s="20">
        <f t="shared" si="2119"/>
        <v>3989.9999999999995</v>
      </c>
      <c r="T1040" s="20">
        <f t="shared" si="2119"/>
        <v>5130</v>
      </c>
      <c r="U1040" s="20">
        <f t="shared" si="2119"/>
        <v>100</v>
      </c>
      <c r="V1040" s="20">
        <f t="shared" si="2119"/>
        <v>500</v>
      </c>
      <c r="W1040" s="20">
        <f t="shared" si="2119"/>
        <v>400</v>
      </c>
      <c r="X1040" s="20">
        <f t="shared" si="2119"/>
        <v>5</v>
      </c>
      <c r="Y1040" s="20">
        <v>0</v>
      </c>
      <c r="Z1040" s="22">
        <v>0</v>
      </c>
      <c r="AA1040" s="20">
        <v>0</v>
      </c>
      <c r="AB1040" s="20">
        <v>0</v>
      </c>
      <c r="AC1040" s="20">
        <v>0</v>
      </c>
      <c r="AD1040" s="23">
        <f t="shared" ref="AD1040:AE1040" si="2120">AD1010</f>
        <v>36</v>
      </c>
      <c r="AE1040" s="23">
        <f t="shared" si="2120"/>
        <v>40</v>
      </c>
    </row>
    <row r="1041" spans="1:31">
      <c r="A1041" s="4">
        <v>12204</v>
      </c>
      <c r="B1041" s="4">
        <v>20</v>
      </c>
      <c r="C1041" s="19" t="s">
        <v>75</v>
      </c>
      <c r="D1041" s="44">
        <v>0</v>
      </c>
      <c r="E1041" s="18">
        <f t="shared" si="2099"/>
        <v>732</v>
      </c>
      <c r="F1041" s="18">
        <v>0</v>
      </c>
      <c r="G1041" s="18">
        <v>0</v>
      </c>
      <c r="H1041" s="45">
        <v>0</v>
      </c>
      <c r="I1041" s="21">
        <f t="shared" si="2021"/>
        <v>275</v>
      </c>
      <c r="J1041" s="21">
        <f t="shared" si="2108"/>
        <v>19</v>
      </c>
      <c r="K1041" s="21">
        <v>0</v>
      </c>
      <c r="L1041" s="20">
        <v>6</v>
      </c>
      <c r="M1041" s="20">
        <v>0</v>
      </c>
      <c r="N1041" s="20">
        <f t="shared" si="2022"/>
        <v>8000</v>
      </c>
      <c r="O1041" s="19" t="s">
        <v>75</v>
      </c>
      <c r="P1041" s="20">
        <v>861</v>
      </c>
      <c r="Q1041" s="20">
        <f t="shared" ref="Q1041:X1041" si="2121">Q1011</f>
        <v>800</v>
      </c>
      <c r="R1041" s="20">
        <f t="shared" si="2121"/>
        <v>3200</v>
      </c>
      <c r="S1041" s="20">
        <f t="shared" si="2121"/>
        <v>5600</v>
      </c>
      <c r="T1041" s="20">
        <f t="shared" si="2121"/>
        <v>7200</v>
      </c>
      <c r="U1041" s="20">
        <f t="shared" si="2121"/>
        <v>100</v>
      </c>
      <c r="V1041" s="20">
        <f t="shared" si="2121"/>
        <v>800</v>
      </c>
      <c r="W1041" s="20">
        <f t="shared" si="2121"/>
        <v>8000</v>
      </c>
      <c r="X1041" s="20">
        <f t="shared" si="2121"/>
        <v>5</v>
      </c>
      <c r="Y1041" s="20">
        <v>0</v>
      </c>
      <c r="Z1041" s="22">
        <v>0</v>
      </c>
      <c r="AA1041" s="20">
        <v>0</v>
      </c>
      <c r="AB1041" s="20">
        <v>0</v>
      </c>
      <c r="AC1041" s="20">
        <v>0</v>
      </c>
      <c r="AD1041" s="23">
        <f t="shared" ref="AD1041:AE1041" si="2122">AD1011</f>
        <v>38</v>
      </c>
      <c r="AE1041" s="23">
        <f t="shared" si="2122"/>
        <v>42</v>
      </c>
    </row>
    <row r="1042" spans="1:31">
      <c r="A1042" s="4">
        <v>12204</v>
      </c>
      <c r="B1042" s="4">
        <v>21</v>
      </c>
      <c r="C1042" s="19" t="s">
        <v>66</v>
      </c>
      <c r="D1042" s="44">
        <v>0</v>
      </c>
      <c r="E1042" s="18">
        <f t="shared" si="2099"/>
        <v>792</v>
      </c>
      <c r="F1042" s="18">
        <v>0</v>
      </c>
      <c r="G1042" s="18">
        <v>0</v>
      </c>
      <c r="H1042" s="45">
        <v>0</v>
      </c>
      <c r="I1042" s="21">
        <f t="shared" si="2021"/>
        <v>330</v>
      </c>
      <c r="J1042" s="21">
        <f t="shared" si="2108"/>
        <v>20</v>
      </c>
      <c r="K1042" s="21">
        <v>0</v>
      </c>
      <c r="L1042" s="20">
        <v>6</v>
      </c>
      <c r="M1042" s="20">
        <v>0</v>
      </c>
      <c r="N1042" s="20">
        <f t="shared" si="2022"/>
        <v>8400</v>
      </c>
      <c r="O1042" s="19" t="s">
        <v>66</v>
      </c>
      <c r="P1042" s="20">
        <v>9400</v>
      </c>
      <c r="Q1042" s="20">
        <f t="shared" ref="Q1042:X1042" si="2123">Q1012</f>
        <v>840</v>
      </c>
      <c r="R1042" s="20">
        <f t="shared" si="2123"/>
        <v>3360</v>
      </c>
      <c r="S1042" s="20">
        <f t="shared" si="2123"/>
        <v>5880</v>
      </c>
      <c r="T1042" s="20">
        <f t="shared" si="2123"/>
        <v>7560</v>
      </c>
      <c r="U1042" s="20">
        <f t="shared" si="2123"/>
        <v>50</v>
      </c>
      <c r="V1042" s="20">
        <f t="shared" si="2123"/>
        <v>1000</v>
      </c>
      <c r="W1042" s="20">
        <f t="shared" si="2123"/>
        <v>600</v>
      </c>
      <c r="X1042" s="20">
        <f t="shared" si="2123"/>
        <v>6</v>
      </c>
      <c r="Y1042" s="20">
        <v>0</v>
      </c>
      <c r="Z1042" s="22">
        <v>0</v>
      </c>
      <c r="AA1042" s="20">
        <v>0</v>
      </c>
      <c r="AB1042" s="20">
        <v>0</v>
      </c>
      <c r="AC1042" s="20">
        <v>0</v>
      </c>
      <c r="AD1042" s="23">
        <f t="shared" ref="AD1042:AE1042" si="2124">AD1012</f>
        <v>40</v>
      </c>
      <c r="AE1042" s="23">
        <f t="shared" si="2124"/>
        <v>44</v>
      </c>
    </row>
    <row r="1043" spans="1:31">
      <c r="A1043" s="4">
        <v>12204</v>
      </c>
      <c r="B1043" s="4">
        <v>22</v>
      </c>
      <c r="C1043" s="19" t="s">
        <v>67</v>
      </c>
      <c r="D1043" s="44">
        <v>0</v>
      </c>
      <c r="E1043" s="18">
        <f t="shared" si="2099"/>
        <v>858</v>
      </c>
      <c r="F1043" s="18">
        <v>0</v>
      </c>
      <c r="G1043" s="18">
        <v>0</v>
      </c>
      <c r="H1043" s="45">
        <v>0</v>
      </c>
      <c r="I1043" s="21">
        <f t="shared" si="2021"/>
        <v>330</v>
      </c>
      <c r="J1043" s="21">
        <f t="shared" si="2108"/>
        <v>21</v>
      </c>
      <c r="K1043" s="21">
        <v>0</v>
      </c>
      <c r="L1043" s="20">
        <v>6</v>
      </c>
      <c r="M1043" s="20">
        <v>0</v>
      </c>
      <c r="N1043" s="20">
        <f t="shared" si="2022"/>
        <v>8800</v>
      </c>
      <c r="O1043" s="19" t="s">
        <v>67</v>
      </c>
      <c r="P1043" s="20">
        <v>9100</v>
      </c>
      <c r="Q1043" s="20">
        <f t="shared" ref="Q1043:X1043" si="2125">Q1013</f>
        <v>880</v>
      </c>
      <c r="R1043" s="20">
        <f t="shared" si="2125"/>
        <v>3520</v>
      </c>
      <c r="S1043" s="20">
        <f t="shared" si="2125"/>
        <v>6160</v>
      </c>
      <c r="T1043" s="20">
        <f t="shared" si="2125"/>
        <v>7920</v>
      </c>
      <c r="U1043" s="20">
        <f t="shared" si="2125"/>
        <v>100</v>
      </c>
      <c r="V1043" s="20">
        <f t="shared" si="2125"/>
        <v>600</v>
      </c>
      <c r="W1043" s="20">
        <f t="shared" si="2125"/>
        <v>700</v>
      </c>
      <c r="X1043" s="20">
        <f t="shared" si="2125"/>
        <v>6</v>
      </c>
      <c r="Y1043" s="20">
        <v>0</v>
      </c>
      <c r="Z1043" s="22">
        <v>0</v>
      </c>
      <c r="AA1043" s="20">
        <v>0</v>
      </c>
      <c r="AB1043" s="20">
        <v>0</v>
      </c>
      <c r="AC1043" s="20">
        <v>0</v>
      </c>
      <c r="AD1043" s="23">
        <f t="shared" ref="AD1043:AE1043" si="2126">AD1013</f>
        <v>42</v>
      </c>
      <c r="AE1043" s="23">
        <f t="shared" si="2126"/>
        <v>46</v>
      </c>
    </row>
    <row r="1044" spans="1:31">
      <c r="A1044" s="4">
        <v>12204</v>
      </c>
      <c r="B1044" s="4">
        <v>23</v>
      </c>
      <c r="C1044" s="19" t="s">
        <v>68</v>
      </c>
      <c r="D1044" s="44">
        <v>0</v>
      </c>
      <c r="E1044" s="18">
        <f t="shared" si="2099"/>
        <v>930</v>
      </c>
      <c r="F1044" s="18">
        <v>0</v>
      </c>
      <c r="G1044" s="18">
        <v>0</v>
      </c>
      <c r="H1044" s="45">
        <v>0</v>
      </c>
      <c r="I1044" s="21">
        <f t="shared" si="2021"/>
        <v>330</v>
      </c>
      <c r="J1044" s="21">
        <f t="shared" si="2108"/>
        <v>22</v>
      </c>
      <c r="K1044" s="21">
        <v>0</v>
      </c>
      <c r="L1044" s="20">
        <v>6</v>
      </c>
      <c r="M1044" s="20">
        <v>0</v>
      </c>
      <c r="N1044" s="20">
        <f t="shared" si="2022"/>
        <v>9200</v>
      </c>
      <c r="O1044" s="19" t="s">
        <v>68</v>
      </c>
      <c r="P1044" s="20">
        <v>8600</v>
      </c>
      <c r="Q1044" s="20">
        <f t="shared" ref="Q1044:X1044" si="2127">Q1014</f>
        <v>920</v>
      </c>
      <c r="R1044" s="20">
        <f t="shared" si="2127"/>
        <v>3680</v>
      </c>
      <c r="S1044" s="20">
        <f t="shared" si="2127"/>
        <v>6440</v>
      </c>
      <c r="T1044" s="20">
        <f t="shared" si="2127"/>
        <v>8280</v>
      </c>
      <c r="U1044" s="20">
        <f t="shared" si="2127"/>
        <v>100</v>
      </c>
      <c r="V1044" s="20">
        <f t="shared" si="2127"/>
        <v>550</v>
      </c>
      <c r="W1044" s="20">
        <f t="shared" si="2127"/>
        <v>500</v>
      </c>
      <c r="X1044" s="20">
        <f t="shared" si="2127"/>
        <v>6</v>
      </c>
      <c r="Y1044" s="20">
        <v>0</v>
      </c>
      <c r="Z1044" s="22">
        <v>216</v>
      </c>
      <c r="AA1044" s="20">
        <v>0</v>
      </c>
      <c r="AB1044" s="20">
        <v>0</v>
      </c>
      <c r="AC1044" s="20">
        <v>0</v>
      </c>
      <c r="AD1044" s="23">
        <f t="shared" ref="AD1044:AE1044" si="2128">AD1014</f>
        <v>44</v>
      </c>
      <c r="AE1044" s="23">
        <f t="shared" si="2128"/>
        <v>48</v>
      </c>
    </row>
    <row r="1045" spans="1:31">
      <c r="A1045" s="4">
        <v>12204</v>
      </c>
      <c r="B1045" s="4">
        <v>24</v>
      </c>
      <c r="C1045" s="19" t="s">
        <v>69</v>
      </c>
      <c r="D1045" s="44">
        <v>0</v>
      </c>
      <c r="E1045" s="18">
        <f t="shared" si="2099"/>
        <v>1006</v>
      </c>
      <c r="F1045" s="18">
        <v>0</v>
      </c>
      <c r="G1045" s="18">
        <v>0</v>
      </c>
      <c r="H1045" s="45">
        <v>0</v>
      </c>
      <c r="I1045" s="21">
        <f t="shared" si="2021"/>
        <v>330</v>
      </c>
      <c r="J1045" s="21">
        <f t="shared" si="2108"/>
        <v>23</v>
      </c>
      <c r="K1045" s="21">
        <v>0</v>
      </c>
      <c r="L1045" s="20">
        <v>6</v>
      </c>
      <c r="M1045" s="20">
        <v>0</v>
      </c>
      <c r="N1045" s="20">
        <f t="shared" si="2022"/>
        <v>9600</v>
      </c>
      <c r="O1045" s="19" t="s">
        <v>69</v>
      </c>
      <c r="P1045" s="20">
        <v>6400</v>
      </c>
      <c r="Q1045" s="20">
        <f t="shared" ref="Q1045:X1045" si="2129">Q1015</f>
        <v>960</v>
      </c>
      <c r="R1045" s="20">
        <f t="shared" si="2129"/>
        <v>3840</v>
      </c>
      <c r="S1045" s="20">
        <f t="shared" si="2129"/>
        <v>6720</v>
      </c>
      <c r="T1045" s="20">
        <f t="shared" si="2129"/>
        <v>8640</v>
      </c>
      <c r="U1045" s="20">
        <f t="shared" si="2129"/>
        <v>100</v>
      </c>
      <c r="V1045" s="20">
        <f t="shared" si="2129"/>
        <v>500</v>
      </c>
      <c r="W1045" s="20">
        <f t="shared" si="2129"/>
        <v>900</v>
      </c>
      <c r="X1045" s="20">
        <f t="shared" si="2129"/>
        <v>6</v>
      </c>
      <c r="Y1045" s="20">
        <v>0</v>
      </c>
      <c r="Z1045" s="22">
        <v>0</v>
      </c>
      <c r="AA1045" s="20">
        <v>0</v>
      </c>
      <c r="AB1045" s="20">
        <v>0</v>
      </c>
      <c r="AC1045" s="20">
        <v>0</v>
      </c>
      <c r="AD1045" s="23">
        <f t="shared" ref="AD1045:AE1045" si="2130">AD1015</f>
        <v>46</v>
      </c>
      <c r="AE1045" s="23">
        <f t="shared" si="2130"/>
        <v>50</v>
      </c>
    </row>
    <row r="1046" spans="1:31">
      <c r="A1046" s="4">
        <v>12204</v>
      </c>
      <c r="B1046" s="4">
        <v>25</v>
      </c>
      <c r="C1046" s="19" t="s">
        <v>70</v>
      </c>
      <c r="D1046" s="44">
        <v>0</v>
      </c>
      <c r="E1046" s="18">
        <f t="shared" si="2099"/>
        <v>1089</v>
      </c>
      <c r="F1046" s="18">
        <v>0</v>
      </c>
      <c r="G1046" s="18">
        <v>0</v>
      </c>
      <c r="H1046" s="45">
        <v>0</v>
      </c>
      <c r="I1046" s="21">
        <f t="shared" si="2021"/>
        <v>385</v>
      </c>
      <c r="J1046" s="21">
        <f t="shared" si="2108"/>
        <v>24</v>
      </c>
      <c r="K1046" s="21">
        <v>0</v>
      </c>
      <c r="L1046" s="20">
        <v>6</v>
      </c>
      <c r="M1046" s="20">
        <v>0</v>
      </c>
      <c r="N1046" s="20">
        <f t="shared" si="2022"/>
        <v>12500</v>
      </c>
      <c r="O1046" s="19" t="s">
        <v>70</v>
      </c>
      <c r="P1046" s="20">
        <v>3100</v>
      </c>
      <c r="Q1046" s="20">
        <f t="shared" ref="Q1046:X1046" si="2131">Q1016</f>
        <v>1250</v>
      </c>
      <c r="R1046" s="20">
        <f t="shared" si="2131"/>
        <v>5000</v>
      </c>
      <c r="S1046" s="20">
        <f t="shared" si="2131"/>
        <v>8750</v>
      </c>
      <c r="T1046" s="20">
        <f t="shared" si="2131"/>
        <v>11250</v>
      </c>
      <c r="U1046" s="20">
        <f t="shared" si="2131"/>
        <v>10</v>
      </c>
      <c r="V1046" s="20">
        <f t="shared" si="2131"/>
        <v>1300</v>
      </c>
      <c r="W1046" s="20">
        <f t="shared" si="2131"/>
        <v>1000</v>
      </c>
      <c r="X1046" s="20">
        <f t="shared" si="2131"/>
        <v>7</v>
      </c>
      <c r="Y1046" s="20">
        <v>0</v>
      </c>
      <c r="Z1046" s="22">
        <v>0</v>
      </c>
      <c r="AA1046" s="20">
        <v>0</v>
      </c>
      <c r="AB1046" s="20">
        <v>0</v>
      </c>
      <c r="AC1046" s="20">
        <v>0</v>
      </c>
      <c r="AD1046" s="23">
        <f t="shared" ref="AD1046:AE1046" si="2132">AD1016</f>
        <v>48</v>
      </c>
      <c r="AE1046" s="23">
        <f t="shared" si="2132"/>
        <v>52</v>
      </c>
    </row>
    <row r="1047" spans="1:31">
      <c r="A1047" s="4">
        <v>12204</v>
      </c>
      <c r="B1047" s="4">
        <v>26</v>
      </c>
      <c r="C1047" s="19" t="s">
        <v>71</v>
      </c>
      <c r="D1047" s="44">
        <v>0</v>
      </c>
      <c r="E1047" s="18">
        <f t="shared" si="2099"/>
        <v>1179</v>
      </c>
      <c r="F1047" s="18">
        <v>0</v>
      </c>
      <c r="G1047" s="18">
        <v>0</v>
      </c>
      <c r="H1047" s="45">
        <v>0</v>
      </c>
      <c r="I1047" s="21">
        <f t="shared" si="2021"/>
        <v>385</v>
      </c>
      <c r="J1047" s="21">
        <f t="shared" si="2108"/>
        <v>25</v>
      </c>
      <c r="K1047" s="21">
        <v>0</v>
      </c>
      <c r="L1047" s="20">
        <v>6</v>
      </c>
      <c r="M1047" s="20">
        <v>0</v>
      </c>
      <c r="N1047" s="20">
        <f t="shared" si="2022"/>
        <v>13000</v>
      </c>
      <c r="O1047" s="19" t="s">
        <v>71</v>
      </c>
      <c r="P1047" s="20">
        <v>1777</v>
      </c>
      <c r="Q1047" s="20">
        <f t="shared" ref="Q1047:X1047" si="2133">Q1017</f>
        <v>1300</v>
      </c>
      <c r="R1047" s="20">
        <f t="shared" si="2133"/>
        <v>5200</v>
      </c>
      <c r="S1047" s="20">
        <f t="shared" si="2133"/>
        <v>9100</v>
      </c>
      <c r="T1047" s="20">
        <f t="shared" si="2133"/>
        <v>11700</v>
      </c>
      <c r="U1047" s="20">
        <f t="shared" si="2133"/>
        <v>90</v>
      </c>
      <c r="V1047" s="20">
        <f t="shared" si="2133"/>
        <v>800</v>
      </c>
      <c r="W1047" s="20">
        <f t="shared" si="2133"/>
        <v>2000</v>
      </c>
      <c r="X1047" s="20">
        <f t="shared" si="2133"/>
        <v>7</v>
      </c>
      <c r="Y1047" s="20">
        <v>0</v>
      </c>
      <c r="Z1047" s="22">
        <v>0</v>
      </c>
      <c r="AA1047" s="20">
        <v>0</v>
      </c>
      <c r="AB1047" s="20">
        <v>0</v>
      </c>
      <c r="AC1047" s="20">
        <v>0</v>
      </c>
      <c r="AD1047" s="23">
        <f t="shared" ref="AD1047:AE1047" si="2134">AD1017</f>
        <v>50</v>
      </c>
      <c r="AE1047" s="23">
        <f t="shared" si="2134"/>
        <v>54</v>
      </c>
    </row>
    <row r="1048" spans="1:31">
      <c r="A1048" s="4">
        <v>12204</v>
      </c>
      <c r="B1048" s="4">
        <v>27</v>
      </c>
      <c r="C1048" s="19" t="s">
        <v>72</v>
      </c>
      <c r="D1048" s="44">
        <v>0</v>
      </c>
      <c r="E1048" s="18">
        <f t="shared" si="2099"/>
        <v>1276</v>
      </c>
      <c r="F1048" s="18">
        <v>0</v>
      </c>
      <c r="G1048" s="18">
        <v>0</v>
      </c>
      <c r="H1048" s="45">
        <v>0</v>
      </c>
      <c r="I1048" s="21">
        <f t="shared" si="2021"/>
        <v>385</v>
      </c>
      <c r="J1048" s="21">
        <f t="shared" si="2108"/>
        <v>26</v>
      </c>
      <c r="K1048" s="21">
        <v>0</v>
      </c>
      <c r="L1048" s="20">
        <v>6</v>
      </c>
      <c r="M1048" s="20">
        <v>0</v>
      </c>
      <c r="N1048" s="20">
        <f t="shared" si="2022"/>
        <v>13500</v>
      </c>
      <c r="O1048" s="19" t="s">
        <v>72</v>
      </c>
      <c r="P1048" s="20">
        <v>2332</v>
      </c>
      <c r="Q1048" s="20">
        <f t="shared" ref="Q1048:X1048" si="2135">Q1018</f>
        <v>1350</v>
      </c>
      <c r="R1048" s="20">
        <f t="shared" si="2135"/>
        <v>5400</v>
      </c>
      <c r="S1048" s="20">
        <f t="shared" si="2135"/>
        <v>9450</v>
      </c>
      <c r="T1048" s="20">
        <f t="shared" si="2135"/>
        <v>12150</v>
      </c>
      <c r="U1048" s="20">
        <f t="shared" si="2135"/>
        <v>80</v>
      </c>
      <c r="V1048" s="20">
        <f t="shared" si="2135"/>
        <v>700</v>
      </c>
      <c r="W1048" s="20">
        <f t="shared" si="2135"/>
        <v>800</v>
      </c>
      <c r="X1048" s="20">
        <f t="shared" si="2135"/>
        <v>7</v>
      </c>
      <c r="Y1048" s="20">
        <v>0</v>
      </c>
      <c r="Z1048" s="22">
        <v>0</v>
      </c>
      <c r="AA1048" s="20">
        <v>0</v>
      </c>
      <c r="AB1048" s="20">
        <v>0</v>
      </c>
      <c r="AC1048" s="20">
        <v>0</v>
      </c>
      <c r="AD1048" s="23">
        <f t="shared" ref="AD1048:AE1048" si="2136">AD1018</f>
        <v>52</v>
      </c>
      <c r="AE1048" s="23">
        <f t="shared" si="2136"/>
        <v>56</v>
      </c>
    </row>
    <row r="1049" spans="1:31">
      <c r="A1049" s="4">
        <v>12204</v>
      </c>
      <c r="B1049" s="4">
        <v>28</v>
      </c>
      <c r="C1049" s="19" t="s">
        <v>73</v>
      </c>
      <c r="D1049" s="44">
        <v>0</v>
      </c>
      <c r="E1049" s="18">
        <f t="shared" si="2099"/>
        <v>1382</v>
      </c>
      <c r="F1049" s="18">
        <v>0</v>
      </c>
      <c r="G1049" s="18">
        <v>0</v>
      </c>
      <c r="H1049" s="45">
        <v>0</v>
      </c>
      <c r="I1049" s="21">
        <f t="shared" si="2021"/>
        <v>385</v>
      </c>
      <c r="J1049" s="21">
        <f t="shared" si="2108"/>
        <v>27</v>
      </c>
      <c r="K1049" s="21">
        <v>0</v>
      </c>
      <c r="L1049" s="20">
        <v>6</v>
      </c>
      <c r="M1049" s="20">
        <v>0</v>
      </c>
      <c r="N1049" s="20">
        <f t="shared" si="2022"/>
        <v>14000</v>
      </c>
      <c r="O1049" s="19" t="s">
        <v>73</v>
      </c>
      <c r="P1049" s="20">
        <v>1487</v>
      </c>
      <c r="Q1049" s="20">
        <f t="shared" ref="Q1049:X1049" si="2137">Q1019</f>
        <v>1400</v>
      </c>
      <c r="R1049" s="20">
        <f t="shared" si="2137"/>
        <v>5600</v>
      </c>
      <c r="S1049" s="20">
        <f t="shared" si="2137"/>
        <v>9800</v>
      </c>
      <c r="T1049" s="20">
        <f t="shared" si="2137"/>
        <v>12600</v>
      </c>
      <c r="U1049" s="20">
        <f t="shared" si="2137"/>
        <v>80</v>
      </c>
      <c r="V1049" s="20">
        <f t="shared" si="2137"/>
        <v>500</v>
      </c>
      <c r="W1049" s="20">
        <f t="shared" si="2137"/>
        <v>600</v>
      </c>
      <c r="X1049" s="20">
        <f t="shared" si="2137"/>
        <v>7</v>
      </c>
      <c r="Y1049" s="20">
        <v>0</v>
      </c>
      <c r="Z1049" s="22">
        <v>270</v>
      </c>
      <c r="AA1049" s="20">
        <v>0</v>
      </c>
      <c r="AB1049" s="20">
        <v>0</v>
      </c>
      <c r="AC1049" s="20">
        <v>0</v>
      </c>
      <c r="AD1049" s="23">
        <f t="shared" ref="AD1049:AE1049" si="2138">AD1019</f>
        <v>54</v>
      </c>
      <c r="AE1049" s="23">
        <f t="shared" si="2138"/>
        <v>58</v>
      </c>
    </row>
    <row r="1050" spans="1:31">
      <c r="A1050" s="4">
        <v>12204</v>
      </c>
      <c r="B1050" s="4">
        <v>29</v>
      </c>
      <c r="C1050" s="19" t="s">
        <v>74</v>
      </c>
      <c r="D1050" s="44">
        <v>0</v>
      </c>
      <c r="E1050" s="18">
        <f t="shared" si="2099"/>
        <v>1497</v>
      </c>
      <c r="F1050" s="18">
        <v>0</v>
      </c>
      <c r="G1050" s="18">
        <v>0</v>
      </c>
      <c r="H1050" s="45">
        <v>0</v>
      </c>
      <c r="I1050" s="21">
        <f t="shared" si="2021"/>
        <v>440</v>
      </c>
      <c r="J1050" s="21">
        <f t="shared" si="2108"/>
        <v>28</v>
      </c>
      <c r="K1050" s="21">
        <v>0</v>
      </c>
      <c r="L1050" s="20">
        <v>6</v>
      </c>
      <c r="M1050" s="20">
        <v>0</v>
      </c>
      <c r="N1050" s="20">
        <f t="shared" si="2022"/>
        <v>14500</v>
      </c>
      <c r="O1050" s="19" t="s">
        <v>74</v>
      </c>
      <c r="P1050" s="20">
        <v>1518</v>
      </c>
      <c r="Q1050" s="20">
        <f t="shared" ref="Q1050:X1050" si="2139">Q1020</f>
        <v>1450</v>
      </c>
      <c r="R1050" s="20">
        <f t="shared" si="2139"/>
        <v>5800</v>
      </c>
      <c r="S1050" s="20">
        <f t="shared" si="2139"/>
        <v>10150</v>
      </c>
      <c r="T1050" s="20">
        <f t="shared" si="2139"/>
        <v>13050</v>
      </c>
      <c r="U1050" s="20">
        <f t="shared" si="2139"/>
        <v>80</v>
      </c>
      <c r="V1050" s="20">
        <f t="shared" si="2139"/>
        <v>600</v>
      </c>
      <c r="W1050" s="20">
        <f t="shared" si="2139"/>
        <v>700</v>
      </c>
      <c r="X1050" s="20">
        <f t="shared" si="2139"/>
        <v>8</v>
      </c>
      <c r="Y1050" s="20">
        <v>0</v>
      </c>
      <c r="Z1050" s="22">
        <v>0</v>
      </c>
      <c r="AA1050" s="20">
        <v>0</v>
      </c>
      <c r="AB1050" s="20">
        <v>0</v>
      </c>
      <c r="AC1050" s="20">
        <v>0</v>
      </c>
      <c r="AD1050" s="23">
        <f t="shared" ref="AD1050:AE1050" si="2140">AD1020</f>
        <v>56</v>
      </c>
      <c r="AE1050" s="23">
        <f t="shared" si="2140"/>
        <v>60</v>
      </c>
    </row>
    <row r="1051" spans="1:31">
      <c r="A1051" s="4">
        <v>12204</v>
      </c>
      <c r="B1051" s="4">
        <v>30</v>
      </c>
      <c r="C1051" s="19" t="s">
        <v>75</v>
      </c>
      <c r="D1051" s="44">
        <v>0</v>
      </c>
      <c r="E1051" s="18">
        <f t="shared" si="2099"/>
        <v>1620</v>
      </c>
      <c r="F1051" s="18">
        <v>0</v>
      </c>
      <c r="G1051" s="18">
        <v>0</v>
      </c>
      <c r="H1051" s="45">
        <v>0</v>
      </c>
      <c r="I1051" s="21">
        <f t="shared" si="2021"/>
        <v>440</v>
      </c>
      <c r="J1051" s="21">
        <f t="shared" si="2108"/>
        <v>29</v>
      </c>
      <c r="K1051" s="21">
        <v>0</v>
      </c>
      <c r="L1051" s="20">
        <v>6</v>
      </c>
      <c r="M1051" s="20">
        <v>0</v>
      </c>
      <c r="N1051" s="20">
        <f t="shared" si="2022"/>
        <v>15000</v>
      </c>
      <c r="O1051" s="19" t="s">
        <v>75</v>
      </c>
      <c r="P1051" s="20">
        <v>861</v>
      </c>
      <c r="Q1051" s="20">
        <f t="shared" ref="Q1051:X1051" si="2141">Q1021</f>
        <v>1500</v>
      </c>
      <c r="R1051" s="20">
        <f t="shared" si="2141"/>
        <v>6000</v>
      </c>
      <c r="S1051" s="20">
        <f t="shared" si="2141"/>
        <v>10500</v>
      </c>
      <c r="T1051" s="20">
        <f t="shared" si="2141"/>
        <v>13500</v>
      </c>
      <c r="U1051" s="20">
        <f t="shared" si="2141"/>
        <v>20</v>
      </c>
      <c r="V1051" s="20">
        <f t="shared" si="2141"/>
        <v>450</v>
      </c>
      <c r="W1051" s="20">
        <f t="shared" si="2141"/>
        <v>1000</v>
      </c>
      <c r="X1051" s="20">
        <f t="shared" si="2141"/>
        <v>8</v>
      </c>
      <c r="Y1051" s="20">
        <v>0</v>
      </c>
      <c r="Z1051" s="22">
        <v>0</v>
      </c>
      <c r="AA1051" s="20">
        <v>0</v>
      </c>
      <c r="AB1051" s="20">
        <v>0</v>
      </c>
      <c r="AC1051" s="20">
        <v>0</v>
      </c>
      <c r="AD1051" s="23">
        <f t="shared" ref="AD1051:AE1051" si="2142">AD1021</f>
        <v>58</v>
      </c>
      <c r="AE1051" s="23">
        <f t="shared" si="2142"/>
        <v>62</v>
      </c>
    </row>
    <row r="1052" spans="1:31">
      <c r="A1052" s="8">
        <v>13100</v>
      </c>
      <c r="B1052" s="8">
        <v>1</v>
      </c>
      <c r="C1052" s="19" t="s">
        <v>66</v>
      </c>
      <c r="D1052" s="44">
        <f>E902</f>
        <v>36</v>
      </c>
      <c r="E1052" s="18">
        <v>0</v>
      </c>
      <c r="F1052" s="18">
        <v>0</v>
      </c>
      <c r="G1052" s="18">
        <v>0</v>
      </c>
      <c r="H1052" s="45">
        <v>0</v>
      </c>
      <c r="I1052" s="21">
        <f t="shared" si="2021"/>
        <v>55</v>
      </c>
      <c r="J1052" s="21">
        <f t="shared" si="2108"/>
        <v>0</v>
      </c>
      <c r="K1052" s="21">
        <v>0</v>
      </c>
      <c r="L1052" s="20">
        <v>45</v>
      </c>
      <c r="M1052" s="20">
        <v>0</v>
      </c>
      <c r="N1052" s="20">
        <f t="shared" si="2022"/>
        <v>10</v>
      </c>
      <c r="O1052" s="19" t="s">
        <v>66</v>
      </c>
      <c r="P1052" s="20">
        <v>9400</v>
      </c>
      <c r="Q1052" s="20">
        <f t="shared" ref="Q1052:X1052" si="2143">Q1022</f>
        <v>1</v>
      </c>
      <c r="R1052" s="20">
        <f t="shared" si="2143"/>
        <v>4</v>
      </c>
      <c r="S1052" s="20">
        <f t="shared" si="2143"/>
        <v>7</v>
      </c>
      <c r="T1052" s="20">
        <f t="shared" si="2143"/>
        <v>9</v>
      </c>
      <c r="U1052" s="20">
        <f t="shared" si="2143"/>
        <v>9400</v>
      </c>
      <c r="V1052" s="20">
        <f t="shared" si="2143"/>
        <v>9400</v>
      </c>
      <c r="W1052" s="20">
        <f t="shared" si="2143"/>
        <v>9400</v>
      </c>
      <c r="X1052" s="20">
        <f t="shared" si="2143"/>
        <v>1</v>
      </c>
      <c r="Y1052" s="20">
        <f>Z902</f>
        <v>0</v>
      </c>
      <c r="Z1052" s="22">
        <v>0</v>
      </c>
      <c r="AA1052" s="20">
        <v>0</v>
      </c>
      <c r="AB1052" s="20">
        <v>0</v>
      </c>
      <c r="AC1052" s="20">
        <v>0</v>
      </c>
      <c r="AD1052" s="23">
        <f t="shared" ref="AD1052:AE1052" si="2144">AD1022</f>
        <v>1</v>
      </c>
      <c r="AE1052" s="23">
        <f t="shared" si="2144"/>
        <v>3</v>
      </c>
    </row>
    <row r="1053" spans="1:31">
      <c r="A1053" s="4">
        <v>13100</v>
      </c>
      <c r="B1053" s="4">
        <v>2</v>
      </c>
      <c r="C1053" s="19" t="s">
        <v>67</v>
      </c>
      <c r="D1053" s="44">
        <f t="shared" ref="D1053:D1116" si="2145">E903</f>
        <v>39</v>
      </c>
      <c r="E1053" s="18">
        <v>0</v>
      </c>
      <c r="F1053" s="18">
        <v>0</v>
      </c>
      <c r="G1053" s="18">
        <v>0</v>
      </c>
      <c r="H1053" s="45">
        <v>0</v>
      </c>
      <c r="I1053" s="21">
        <f t="shared" si="2021"/>
        <v>55</v>
      </c>
      <c r="J1053" s="21">
        <f t="shared" si="2108"/>
        <v>1</v>
      </c>
      <c r="K1053" s="21">
        <v>0</v>
      </c>
      <c r="L1053" s="20">
        <v>40</v>
      </c>
      <c r="M1053" s="20">
        <v>0</v>
      </c>
      <c r="N1053" s="20">
        <f t="shared" si="2022"/>
        <v>20</v>
      </c>
      <c r="O1053" s="19" t="s">
        <v>67</v>
      </c>
      <c r="P1053" s="20">
        <v>9100</v>
      </c>
      <c r="Q1053" s="20">
        <f t="shared" ref="Q1053:X1053" si="2146">Q1023</f>
        <v>2</v>
      </c>
      <c r="R1053" s="20">
        <f t="shared" si="2146"/>
        <v>8</v>
      </c>
      <c r="S1053" s="20">
        <f t="shared" si="2146"/>
        <v>14</v>
      </c>
      <c r="T1053" s="20">
        <f t="shared" si="2146"/>
        <v>18</v>
      </c>
      <c r="U1053" s="20">
        <f t="shared" si="2146"/>
        <v>4000</v>
      </c>
      <c r="V1053" s="20">
        <f t="shared" si="2146"/>
        <v>8000</v>
      </c>
      <c r="W1053" s="20">
        <f t="shared" si="2146"/>
        <v>8000</v>
      </c>
      <c r="X1053" s="20">
        <f t="shared" si="2146"/>
        <v>1</v>
      </c>
      <c r="Y1053" s="20">
        <f t="shared" ref="Y1053:Y1116" si="2147">Z903</f>
        <v>0</v>
      </c>
      <c r="Z1053" s="22">
        <v>0</v>
      </c>
      <c r="AA1053" s="20">
        <v>0</v>
      </c>
      <c r="AB1053" s="20">
        <v>0</v>
      </c>
      <c r="AC1053" s="20">
        <v>0</v>
      </c>
      <c r="AD1053" s="23">
        <f t="shared" ref="AD1053:AE1053" si="2148">AD1023</f>
        <v>2</v>
      </c>
      <c r="AE1053" s="23">
        <f t="shared" si="2148"/>
        <v>5</v>
      </c>
    </row>
    <row r="1054" spans="1:31">
      <c r="A1054" s="4">
        <v>13100</v>
      </c>
      <c r="B1054" s="4">
        <v>3</v>
      </c>
      <c r="C1054" s="19" t="s">
        <v>68</v>
      </c>
      <c r="D1054" s="44">
        <f t="shared" si="2145"/>
        <v>42</v>
      </c>
      <c r="E1054" s="18">
        <v>0</v>
      </c>
      <c r="F1054" s="18">
        <v>0</v>
      </c>
      <c r="G1054" s="18">
        <v>0</v>
      </c>
      <c r="H1054" s="45">
        <v>0</v>
      </c>
      <c r="I1054" s="21">
        <f t="shared" si="2021"/>
        <v>55</v>
      </c>
      <c r="J1054" s="21">
        <f t="shared" si="2108"/>
        <v>2</v>
      </c>
      <c r="K1054" s="21">
        <v>0</v>
      </c>
      <c r="L1054" s="20">
        <v>35</v>
      </c>
      <c r="M1054" s="20">
        <v>0</v>
      </c>
      <c r="N1054" s="20">
        <f t="shared" si="2022"/>
        <v>40</v>
      </c>
      <c r="O1054" s="19" t="s">
        <v>68</v>
      </c>
      <c r="P1054" s="20">
        <v>8600</v>
      </c>
      <c r="Q1054" s="20">
        <f t="shared" ref="Q1054:X1054" si="2149">Q1024</f>
        <v>4</v>
      </c>
      <c r="R1054" s="20">
        <f t="shared" si="2149"/>
        <v>16</v>
      </c>
      <c r="S1054" s="20">
        <f t="shared" si="2149"/>
        <v>28</v>
      </c>
      <c r="T1054" s="20">
        <f t="shared" si="2149"/>
        <v>36</v>
      </c>
      <c r="U1054" s="20">
        <f t="shared" si="2149"/>
        <v>1600</v>
      </c>
      <c r="V1054" s="20">
        <f t="shared" si="2149"/>
        <v>5000</v>
      </c>
      <c r="W1054" s="20">
        <f t="shared" si="2149"/>
        <v>6000</v>
      </c>
      <c r="X1054" s="20">
        <f t="shared" si="2149"/>
        <v>1</v>
      </c>
      <c r="Y1054" s="20">
        <f t="shared" si="2147"/>
        <v>0</v>
      </c>
      <c r="Z1054" s="22">
        <v>0</v>
      </c>
      <c r="AA1054" s="20">
        <v>0</v>
      </c>
      <c r="AB1054" s="20">
        <v>0</v>
      </c>
      <c r="AC1054" s="20">
        <v>0</v>
      </c>
      <c r="AD1054" s="23">
        <f t="shared" ref="AD1054:AE1054" si="2150">AD1024</f>
        <v>4</v>
      </c>
      <c r="AE1054" s="23">
        <f t="shared" si="2150"/>
        <v>8</v>
      </c>
    </row>
    <row r="1055" spans="1:31">
      <c r="A1055" s="4">
        <v>13100</v>
      </c>
      <c r="B1055" s="4">
        <v>4</v>
      </c>
      <c r="C1055" s="19" t="s">
        <v>69</v>
      </c>
      <c r="D1055" s="44">
        <f t="shared" si="2145"/>
        <v>46</v>
      </c>
      <c r="E1055" s="18">
        <v>0</v>
      </c>
      <c r="F1055" s="18">
        <v>0</v>
      </c>
      <c r="G1055" s="18">
        <v>0</v>
      </c>
      <c r="H1055" s="45">
        <v>0</v>
      </c>
      <c r="I1055" s="21">
        <f t="shared" si="2021"/>
        <v>55</v>
      </c>
      <c r="J1055" s="21">
        <f t="shared" si="2108"/>
        <v>3</v>
      </c>
      <c r="K1055" s="21">
        <v>0</v>
      </c>
      <c r="L1055" s="20">
        <v>30</v>
      </c>
      <c r="M1055" s="20">
        <v>0</v>
      </c>
      <c r="N1055" s="20">
        <f t="shared" si="2022"/>
        <v>100</v>
      </c>
      <c r="O1055" s="19" t="s">
        <v>69</v>
      </c>
      <c r="P1055" s="20">
        <v>6400</v>
      </c>
      <c r="Q1055" s="20">
        <f t="shared" ref="Q1055:X1055" si="2151">Q1025</f>
        <v>10</v>
      </c>
      <c r="R1055" s="20">
        <f t="shared" si="2151"/>
        <v>40</v>
      </c>
      <c r="S1055" s="20">
        <f t="shared" si="2151"/>
        <v>70</v>
      </c>
      <c r="T1055" s="20">
        <f t="shared" si="2151"/>
        <v>90</v>
      </c>
      <c r="U1055" s="20">
        <f t="shared" si="2151"/>
        <v>900</v>
      </c>
      <c r="V1055" s="20">
        <f t="shared" si="2151"/>
        <v>2000</v>
      </c>
      <c r="W1055" s="20">
        <f t="shared" si="2151"/>
        <v>8000</v>
      </c>
      <c r="X1055" s="20">
        <f t="shared" si="2151"/>
        <v>1</v>
      </c>
      <c r="Y1055" s="20">
        <f t="shared" si="2147"/>
        <v>0</v>
      </c>
      <c r="Z1055" s="22">
        <v>0</v>
      </c>
      <c r="AA1055" s="20">
        <v>0</v>
      </c>
      <c r="AB1055" s="20">
        <v>0</v>
      </c>
      <c r="AC1055" s="20">
        <v>0</v>
      </c>
      <c r="AD1055" s="23">
        <f t="shared" ref="AD1055:AE1055" si="2152">AD1025</f>
        <v>6</v>
      </c>
      <c r="AE1055" s="23">
        <f t="shared" si="2152"/>
        <v>10</v>
      </c>
    </row>
    <row r="1056" spans="1:31">
      <c r="A1056" s="4">
        <v>13100</v>
      </c>
      <c r="B1056" s="4">
        <v>5</v>
      </c>
      <c r="C1056" s="19" t="s">
        <v>70</v>
      </c>
      <c r="D1056" s="44">
        <f t="shared" si="2145"/>
        <v>50</v>
      </c>
      <c r="E1056" s="18">
        <v>0</v>
      </c>
      <c r="F1056" s="18">
        <v>0</v>
      </c>
      <c r="G1056" s="18">
        <v>0</v>
      </c>
      <c r="H1056" s="45">
        <v>0</v>
      </c>
      <c r="I1056" s="21">
        <f t="shared" si="2021"/>
        <v>110</v>
      </c>
      <c r="J1056" s="21">
        <f t="shared" si="2108"/>
        <v>4</v>
      </c>
      <c r="K1056" s="21">
        <v>0</v>
      </c>
      <c r="L1056" s="20">
        <v>25</v>
      </c>
      <c r="M1056" s="20">
        <v>0</v>
      </c>
      <c r="N1056" s="20">
        <f t="shared" si="2022"/>
        <v>200</v>
      </c>
      <c r="O1056" s="19" t="s">
        <v>70</v>
      </c>
      <c r="P1056" s="20">
        <v>3100</v>
      </c>
      <c r="Q1056" s="20">
        <f t="shared" ref="Q1056:X1056" si="2153">Q1026</f>
        <v>20</v>
      </c>
      <c r="R1056" s="20">
        <f t="shared" si="2153"/>
        <v>80</v>
      </c>
      <c r="S1056" s="20">
        <f t="shared" si="2153"/>
        <v>140</v>
      </c>
      <c r="T1056" s="20">
        <f t="shared" si="2153"/>
        <v>180</v>
      </c>
      <c r="U1056" s="20">
        <f t="shared" si="2153"/>
        <v>1000</v>
      </c>
      <c r="V1056" s="20">
        <f t="shared" si="2153"/>
        <v>2000</v>
      </c>
      <c r="W1056" s="20">
        <f t="shared" si="2153"/>
        <v>2000</v>
      </c>
      <c r="X1056" s="20">
        <f t="shared" si="2153"/>
        <v>2</v>
      </c>
      <c r="Y1056" s="20">
        <f t="shared" si="2147"/>
        <v>0</v>
      </c>
      <c r="Z1056" s="22">
        <v>0</v>
      </c>
      <c r="AA1056" s="20">
        <v>0</v>
      </c>
      <c r="AB1056" s="20">
        <v>0</v>
      </c>
      <c r="AC1056" s="20">
        <v>0</v>
      </c>
      <c r="AD1056" s="23">
        <f t="shared" ref="AD1056:AE1056" si="2154">AD1026</f>
        <v>8</v>
      </c>
      <c r="AE1056" s="23">
        <f t="shared" si="2154"/>
        <v>12</v>
      </c>
    </row>
    <row r="1057" spans="1:31">
      <c r="A1057" s="4">
        <v>13100</v>
      </c>
      <c r="B1057" s="4">
        <v>6</v>
      </c>
      <c r="C1057" s="19" t="s">
        <v>71</v>
      </c>
      <c r="D1057" s="44">
        <f t="shared" si="2145"/>
        <v>54</v>
      </c>
      <c r="E1057" s="18">
        <v>0</v>
      </c>
      <c r="F1057" s="18">
        <v>0</v>
      </c>
      <c r="G1057" s="18">
        <v>0</v>
      </c>
      <c r="H1057" s="45">
        <v>0</v>
      </c>
      <c r="I1057" s="21">
        <f t="shared" ref="I1057:I1120" si="2155">I1027</f>
        <v>110</v>
      </c>
      <c r="J1057" s="21">
        <f t="shared" si="2108"/>
        <v>5</v>
      </c>
      <c r="K1057" s="21">
        <v>0</v>
      </c>
      <c r="L1057" s="20">
        <v>20</v>
      </c>
      <c r="M1057" s="20">
        <v>0</v>
      </c>
      <c r="N1057" s="20">
        <f t="shared" ref="N1057:N1120" si="2156">N1027</f>
        <v>500</v>
      </c>
      <c r="O1057" s="19" t="s">
        <v>71</v>
      </c>
      <c r="P1057" s="20">
        <v>1777</v>
      </c>
      <c r="Q1057" s="20">
        <f t="shared" ref="Q1057:X1057" si="2157">Q1027</f>
        <v>50</v>
      </c>
      <c r="R1057" s="20">
        <f t="shared" si="2157"/>
        <v>200</v>
      </c>
      <c r="S1057" s="20">
        <f t="shared" si="2157"/>
        <v>350</v>
      </c>
      <c r="T1057" s="20">
        <f t="shared" si="2157"/>
        <v>450</v>
      </c>
      <c r="U1057" s="20">
        <f t="shared" si="2157"/>
        <v>800</v>
      </c>
      <c r="V1057" s="20">
        <f t="shared" si="2157"/>
        <v>800</v>
      </c>
      <c r="W1057" s="20">
        <f t="shared" si="2157"/>
        <v>600</v>
      </c>
      <c r="X1057" s="20">
        <f t="shared" si="2157"/>
        <v>2</v>
      </c>
      <c r="Y1057" s="20">
        <f t="shared" si="2147"/>
        <v>0</v>
      </c>
      <c r="Z1057" s="22">
        <v>0</v>
      </c>
      <c r="AA1057" s="20">
        <v>0</v>
      </c>
      <c r="AB1057" s="20">
        <v>0</v>
      </c>
      <c r="AC1057" s="20">
        <v>0</v>
      </c>
      <c r="AD1057" s="23">
        <f t="shared" ref="AD1057:AE1057" si="2158">AD1027</f>
        <v>10</v>
      </c>
      <c r="AE1057" s="23">
        <f t="shared" si="2158"/>
        <v>14</v>
      </c>
    </row>
    <row r="1058" spans="1:31">
      <c r="A1058" s="4">
        <v>13100</v>
      </c>
      <c r="B1058" s="4">
        <v>7</v>
      </c>
      <c r="C1058" s="19" t="s">
        <v>72</v>
      </c>
      <c r="D1058" s="44">
        <f t="shared" si="2145"/>
        <v>58</v>
      </c>
      <c r="E1058" s="18">
        <v>0</v>
      </c>
      <c r="F1058" s="18">
        <v>0</v>
      </c>
      <c r="G1058" s="18">
        <v>0</v>
      </c>
      <c r="H1058" s="45">
        <v>0</v>
      </c>
      <c r="I1058" s="21">
        <f t="shared" si="2155"/>
        <v>110</v>
      </c>
      <c r="J1058" s="21">
        <f t="shared" si="2108"/>
        <v>6</v>
      </c>
      <c r="K1058" s="21">
        <v>0</v>
      </c>
      <c r="L1058" s="20">
        <v>16</v>
      </c>
      <c r="M1058" s="20">
        <v>0</v>
      </c>
      <c r="N1058" s="20">
        <f t="shared" si="2156"/>
        <v>700</v>
      </c>
      <c r="O1058" s="19" t="s">
        <v>72</v>
      </c>
      <c r="P1058" s="20">
        <v>2332</v>
      </c>
      <c r="Q1058" s="20">
        <f t="shared" ref="Q1058:X1058" si="2159">Q1028</f>
        <v>70</v>
      </c>
      <c r="R1058" s="20">
        <f t="shared" si="2159"/>
        <v>280</v>
      </c>
      <c r="S1058" s="20">
        <f t="shared" si="2159"/>
        <v>489.99999999999994</v>
      </c>
      <c r="T1058" s="20">
        <f t="shared" si="2159"/>
        <v>630</v>
      </c>
      <c r="U1058" s="20">
        <f t="shared" si="2159"/>
        <v>650</v>
      </c>
      <c r="V1058" s="20">
        <f t="shared" si="2159"/>
        <v>800</v>
      </c>
      <c r="W1058" s="20">
        <f t="shared" si="2159"/>
        <v>300</v>
      </c>
      <c r="X1058" s="20">
        <f t="shared" si="2159"/>
        <v>2</v>
      </c>
      <c r="Y1058" s="20">
        <f t="shared" si="2147"/>
        <v>0</v>
      </c>
      <c r="Z1058" s="22">
        <v>0</v>
      </c>
      <c r="AA1058" s="20">
        <v>0</v>
      </c>
      <c r="AB1058" s="20">
        <v>0</v>
      </c>
      <c r="AC1058" s="20">
        <v>0</v>
      </c>
      <c r="AD1058" s="23">
        <f t="shared" ref="AD1058:AE1058" si="2160">AD1028</f>
        <v>12</v>
      </c>
      <c r="AE1058" s="23">
        <f t="shared" si="2160"/>
        <v>16</v>
      </c>
    </row>
    <row r="1059" spans="1:31">
      <c r="A1059" s="4">
        <v>13100</v>
      </c>
      <c r="B1059" s="4">
        <v>8</v>
      </c>
      <c r="C1059" s="19" t="s">
        <v>73</v>
      </c>
      <c r="D1059" s="44">
        <f t="shared" si="2145"/>
        <v>63</v>
      </c>
      <c r="E1059" s="18">
        <v>0</v>
      </c>
      <c r="F1059" s="18">
        <v>0</v>
      </c>
      <c r="G1059" s="18">
        <v>0</v>
      </c>
      <c r="H1059" s="45">
        <v>0</v>
      </c>
      <c r="I1059" s="21">
        <f t="shared" si="2155"/>
        <v>110</v>
      </c>
      <c r="J1059" s="21">
        <f t="shared" si="2108"/>
        <v>7</v>
      </c>
      <c r="K1059" s="21">
        <v>0</v>
      </c>
      <c r="L1059" s="20">
        <v>12</v>
      </c>
      <c r="M1059" s="20">
        <v>0</v>
      </c>
      <c r="N1059" s="20">
        <f t="shared" si="2156"/>
        <v>800</v>
      </c>
      <c r="O1059" s="19" t="s">
        <v>73</v>
      </c>
      <c r="P1059" s="20">
        <v>1487</v>
      </c>
      <c r="Q1059" s="20">
        <f t="shared" ref="Q1059:X1059" si="2161">Q1029</f>
        <v>80</v>
      </c>
      <c r="R1059" s="20">
        <f t="shared" si="2161"/>
        <v>320</v>
      </c>
      <c r="S1059" s="20">
        <f t="shared" si="2161"/>
        <v>560</v>
      </c>
      <c r="T1059" s="20">
        <f t="shared" si="2161"/>
        <v>720</v>
      </c>
      <c r="U1059" s="20">
        <f t="shared" si="2161"/>
        <v>200</v>
      </c>
      <c r="V1059" s="20">
        <f t="shared" si="2161"/>
        <v>2000</v>
      </c>
      <c r="W1059" s="20">
        <f t="shared" si="2161"/>
        <v>1000</v>
      </c>
      <c r="X1059" s="20">
        <f t="shared" si="2161"/>
        <v>2</v>
      </c>
      <c r="Y1059" s="20">
        <f t="shared" si="2147"/>
        <v>32</v>
      </c>
      <c r="Z1059" s="22">
        <v>0</v>
      </c>
      <c r="AA1059" s="20">
        <v>0</v>
      </c>
      <c r="AB1059" s="20">
        <v>0</v>
      </c>
      <c r="AC1059" s="20">
        <v>0</v>
      </c>
      <c r="AD1059" s="23">
        <f t="shared" ref="AD1059:AE1059" si="2162">AD1029</f>
        <v>14</v>
      </c>
      <c r="AE1059" s="23">
        <f t="shared" si="2162"/>
        <v>18</v>
      </c>
    </row>
    <row r="1060" spans="1:31">
      <c r="A1060" s="4">
        <v>13100</v>
      </c>
      <c r="B1060" s="4">
        <v>9</v>
      </c>
      <c r="C1060" s="19" t="s">
        <v>74</v>
      </c>
      <c r="D1060" s="44">
        <f t="shared" si="2145"/>
        <v>68</v>
      </c>
      <c r="E1060" s="18">
        <v>0</v>
      </c>
      <c r="F1060" s="18">
        <v>0</v>
      </c>
      <c r="G1060" s="18">
        <v>0</v>
      </c>
      <c r="H1060" s="45">
        <v>0</v>
      </c>
      <c r="I1060" s="21">
        <f t="shared" si="2155"/>
        <v>165</v>
      </c>
      <c r="J1060" s="21">
        <f t="shared" si="2108"/>
        <v>8</v>
      </c>
      <c r="K1060" s="21">
        <v>0</v>
      </c>
      <c r="L1060" s="20">
        <v>8</v>
      </c>
      <c r="M1060" s="20">
        <v>0</v>
      </c>
      <c r="N1060" s="20">
        <f t="shared" si="2156"/>
        <v>900</v>
      </c>
      <c r="O1060" s="19" t="s">
        <v>74</v>
      </c>
      <c r="P1060" s="20">
        <v>1518</v>
      </c>
      <c r="Q1060" s="20">
        <f t="shared" ref="Q1060:X1060" si="2163">Q1030</f>
        <v>90</v>
      </c>
      <c r="R1060" s="20">
        <f t="shared" si="2163"/>
        <v>360</v>
      </c>
      <c r="S1060" s="20">
        <f t="shared" si="2163"/>
        <v>630</v>
      </c>
      <c r="T1060" s="20">
        <f t="shared" si="2163"/>
        <v>810</v>
      </c>
      <c r="U1060" s="20">
        <f t="shared" si="2163"/>
        <v>120</v>
      </c>
      <c r="V1060" s="20">
        <f t="shared" si="2163"/>
        <v>1500</v>
      </c>
      <c r="W1060" s="20">
        <f t="shared" si="2163"/>
        <v>1000</v>
      </c>
      <c r="X1060" s="20">
        <f t="shared" si="2163"/>
        <v>3</v>
      </c>
      <c r="Y1060" s="20">
        <f t="shared" si="2147"/>
        <v>0</v>
      </c>
      <c r="Z1060" s="22">
        <v>0</v>
      </c>
      <c r="AA1060" s="20">
        <v>0</v>
      </c>
      <c r="AB1060" s="20">
        <v>0</v>
      </c>
      <c r="AC1060" s="20">
        <v>0</v>
      </c>
      <c r="AD1060" s="23">
        <f t="shared" ref="AD1060:AE1060" si="2164">AD1030</f>
        <v>16</v>
      </c>
      <c r="AE1060" s="23">
        <f t="shared" si="2164"/>
        <v>20</v>
      </c>
    </row>
    <row r="1061" spans="1:31">
      <c r="A1061" s="4">
        <v>13100</v>
      </c>
      <c r="B1061" s="4">
        <v>10</v>
      </c>
      <c r="C1061" s="19" t="s">
        <v>75</v>
      </c>
      <c r="D1061" s="44">
        <f t="shared" si="2145"/>
        <v>74</v>
      </c>
      <c r="E1061" s="18">
        <v>0</v>
      </c>
      <c r="F1061" s="18">
        <v>0</v>
      </c>
      <c r="G1061" s="18">
        <v>0</v>
      </c>
      <c r="H1061" s="45">
        <v>0</v>
      </c>
      <c r="I1061" s="21">
        <f t="shared" si="2155"/>
        <v>165</v>
      </c>
      <c r="J1061" s="21">
        <f t="shared" si="2108"/>
        <v>9</v>
      </c>
      <c r="K1061" s="21">
        <v>0</v>
      </c>
      <c r="L1061" s="20">
        <v>6</v>
      </c>
      <c r="M1061" s="20">
        <v>0</v>
      </c>
      <c r="N1061" s="20">
        <f t="shared" si="2156"/>
        <v>2000</v>
      </c>
      <c r="O1061" s="19" t="s">
        <v>75</v>
      </c>
      <c r="P1061" s="20">
        <v>861</v>
      </c>
      <c r="Q1061" s="20">
        <f t="shared" ref="Q1061:X1061" si="2165">Q1031</f>
        <v>200</v>
      </c>
      <c r="R1061" s="20">
        <f t="shared" si="2165"/>
        <v>800</v>
      </c>
      <c r="S1061" s="20">
        <f t="shared" si="2165"/>
        <v>1400</v>
      </c>
      <c r="T1061" s="20">
        <f t="shared" si="2165"/>
        <v>1800</v>
      </c>
      <c r="U1061" s="20">
        <f t="shared" si="2165"/>
        <v>150</v>
      </c>
      <c r="V1061" s="20">
        <f t="shared" si="2165"/>
        <v>5000</v>
      </c>
      <c r="W1061" s="20">
        <f t="shared" si="2165"/>
        <v>800</v>
      </c>
      <c r="X1061" s="20">
        <f t="shared" si="2165"/>
        <v>3</v>
      </c>
      <c r="Y1061" s="20">
        <f t="shared" si="2147"/>
        <v>0</v>
      </c>
      <c r="Z1061" s="22">
        <v>0</v>
      </c>
      <c r="AA1061" s="20">
        <v>0</v>
      </c>
      <c r="AB1061" s="20">
        <v>0</v>
      </c>
      <c r="AC1061" s="20">
        <v>0</v>
      </c>
      <c r="AD1061" s="23">
        <f t="shared" ref="AD1061:AE1061" si="2166">AD1031</f>
        <v>18</v>
      </c>
      <c r="AE1061" s="23">
        <f t="shared" si="2166"/>
        <v>22</v>
      </c>
    </row>
    <row r="1062" spans="1:31">
      <c r="A1062" s="4">
        <v>13100</v>
      </c>
      <c r="B1062" s="4">
        <v>11</v>
      </c>
      <c r="C1062" s="19" t="s">
        <v>66</v>
      </c>
      <c r="D1062" s="44">
        <f t="shared" si="2145"/>
        <v>80</v>
      </c>
      <c r="E1062" s="18">
        <v>0</v>
      </c>
      <c r="F1062" s="18">
        <v>0</v>
      </c>
      <c r="G1062" s="18">
        <v>0</v>
      </c>
      <c r="H1062" s="45">
        <v>0</v>
      </c>
      <c r="I1062" s="21">
        <f t="shared" si="2155"/>
        <v>165</v>
      </c>
      <c r="J1062" s="21">
        <f t="shared" si="2108"/>
        <v>10</v>
      </c>
      <c r="K1062" s="21">
        <v>0</v>
      </c>
      <c r="L1062" s="20">
        <v>6</v>
      </c>
      <c r="M1062" s="20">
        <v>0</v>
      </c>
      <c r="N1062" s="20">
        <f t="shared" si="2156"/>
        <v>2200</v>
      </c>
      <c r="O1062" s="19" t="s">
        <v>66</v>
      </c>
      <c r="P1062" s="20">
        <v>9400</v>
      </c>
      <c r="Q1062" s="20">
        <f t="shared" ref="Q1062:X1062" si="2167">Q1032</f>
        <v>220</v>
      </c>
      <c r="R1062" s="20">
        <f t="shared" si="2167"/>
        <v>880</v>
      </c>
      <c r="S1062" s="20">
        <f t="shared" si="2167"/>
        <v>1540</v>
      </c>
      <c r="T1062" s="20">
        <f t="shared" si="2167"/>
        <v>1980</v>
      </c>
      <c r="U1062" s="20">
        <f t="shared" si="2167"/>
        <v>100</v>
      </c>
      <c r="V1062" s="20">
        <f t="shared" si="2167"/>
        <v>800</v>
      </c>
      <c r="W1062" s="20">
        <f t="shared" si="2167"/>
        <v>600</v>
      </c>
      <c r="X1062" s="20">
        <f t="shared" si="2167"/>
        <v>3</v>
      </c>
      <c r="Y1062" s="20">
        <f t="shared" si="2147"/>
        <v>0</v>
      </c>
      <c r="Z1062" s="22">
        <v>0</v>
      </c>
      <c r="AA1062" s="20">
        <v>0</v>
      </c>
      <c r="AB1062" s="20">
        <v>0</v>
      </c>
      <c r="AC1062" s="20">
        <v>0</v>
      </c>
      <c r="AD1062" s="23">
        <f t="shared" ref="AD1062:AE1062" si="2168">AD1032</f>
        <v>20</v>
      </c>
      <c r="AE1062" s="23">
        <f t="shared" si="2168"/>
        <v>24</v>
      </c>
    </row>
    <row r="1063" spans="1:31">
      <c r="A1063" s="4">
        <v>13100</v>
      </c>
      <c r="B1063" s="4">
        <v>12</v>
      </c>
      <c r="C1063" s="19" t="s">
        <v>67</v>
      </c>
      <c r="D1063" s="44">
        <f t="shared" si="2145"/>
        <v>86</v>
      </c>
      <c r="E1063" s="18">
        <v>0</v>
      </c>
      <c r="F1063" s="18">
        <v>0</v>
      </c>
      <c r="G1063" s="18">
        <v>0</v>
      </c>
      <c r="H1063" s="45">
        <v>0</v>
      </c>
      <c r="I1063" s="21">
        <f t="shared" si="2155"/>
        <v>165</v>
      </c>
      <c r="J1063" s="21">
        <f t="shared" si="2108"/>
        <v>11</v>
      </c>
      <c r="K1063" s="21">
        <v>0</v>
      </c>
      <c r="L1063" s="20">
        <v>6</v>
      </c>
      <c r="M1063" s="20">
        <v>0</v>
      </c>
      <c r="N1063" s="20">
        <f t="shared" si="2156"/>
        <v>2400</v>
      </c>
      <c r="O1063" s="19" t="s">
        <v>67</v>
      </c>
      <c r="P1063" s="20">
        <v>9100</v>
      </c>
      <c r="Q1063" s="20">
        <f t="shared" ref="Q1063:X1063" si="2169">Q1033</f>
        <v>240</v>
      </c>
      <c r="R1063" s="20">
        <f t="shared" si="2169"/>
        <v>960</v>
      </c>
      <c r="S1063" s="20">
        <f t="shared" si="2169"/>
        <v>1680</v>
      </c>
      <c r="T1063" s="20">
        <f t="shared" si="2169"/>
        <v>2160</v>
      </c>
      <c r="U1063" s="20">
        <f t="shared" si="2169"/>
        <v>150</v>
      </c>
      <c r="V1063" s="20">
        <f t="shared" si="2169"/>
        <v>700</v>
      </c>
      <c r="W1063" s="20">
        <f t="shared" si="2169"/>
        <v>900</v>
      </c>
      <c r="X1063" s="20">
        <f t="shared" si="2169"/>
        <v>3</v>
      </c>
      <c r="Y1063" s="20">
        <f t="shared" si="2147"/>
        <v>0</v>
      </c>
      <c r="Z1063" s="22">
        <v>0</v>
      </c>
      <c r="AA1063" s="20">
        <v>0</v>
      </c>
      <c r="AB1063" s="20">
        <v>0</v>
      </c>
      <c r="AC1063" s="20">
        <v>0</v>
      </c>
      <c r="AD1063" s="23">
        <f t="shared" ref="AD1063:AE1063" si="2170">AD1033</f>
        <v>22</v>
      </c>
      <c r="AE1063" s="23">
        <f t="shared" si="2170"/>
        <v>26</v>
      </c>
    </row>
    <row r="1064" spans="1:31">
      <c r="A1064" s="4">
        <v>13100</v>
      </c>
      <c r="B1064" s="4">
        <v>13</v>
      </c>
      <c r="C1064" s="19" t="s">
        <v>68</v>
      </c>
      <c r="D1064" s="44">
        <f t="shared" si="2145"/>
        <v>94</v>
      </c>
      <c r="E1064" s="18">
        <v>0</v>
      </c>
      <c r="F1064" s="18">
        <v>0</v>
      </c>
      <c r="G1064" s="18">
        <v>0</v>
      </c>
      <c r="H1064" s="45">
        <v>0</v>
      </c>
      <c r="I1064" s="21">
        <f t="shared" si="2155"/>
        <v>220</v>
      </c>
      <c r="J1064" s="21">
        <f t="shared" si="2108"/>
        <v>12</v>
      </c>
      <c r="K1064" s="21">
        <v>0</v>
      </c>
      <c r="L1064" s="20">
        <v>6</v>
      </c>
      <c r="M1064" s="20">
        <v>0</v>
      </c>
      <c r="N1064" s="20">
        <f t="shared" si="2156"/>
        <v>2600</v>
      </c>
      <c r="O1064" s="19" t="s">
        <v>68</v>
      </c>
      <c r="P1064" s="20">
        <v>8600</v>
      </c>
      <c r="Q1064" s="20">
        <f t="shared" ref="Q1064:X1064" si="2171">Q1034</f>
        <v>260</v>
      </c>
      <c r="R1064" s="20">
        <f t="shared" si="2171"/>
        <v>1040</v>
      </c>
      <c r="S1064" s="20">
        <f t="shared" si="2171"/>
        <v>1819.9999999999998</v>
      </c>
      <c r="T1064" s="20">
        <f t="shared" si="2171"/>
        <v>2340</v>
      </c>
      <c r="U1064" s="20">
        <f t="shared" si="2171"/>
        <v>100</v>
      </c>
      <c r="V1064" s="20">
        <f t="shared" si="2171"/>
        <v>700</v>
      </c>
      <c r="W1064" s="20">
        <f t="shared" si="2171"/>
        <v>1000</v>
      </c>
      <c r="X1064" s="20">
        <f t="shared" si="2171"/>
        <v>4</v>
      </c>
      <c r="Y1064" s="20">
        <f t="shared" si="2147"/>
        <v>64</v>
      </c>
      <c r="Z1064" s="22">
        <v>0</v>
      </c>
      <c r="AA1064" s="20">
        <v>0</v>
      </c>
      <c r="AB1064" s="20">
        <v>0</v>
      </c>
      <c r="AC1064" s="20">
        <v>0</v>
      </c>
      <c r="AD1064" s="23">
        <f t="shared" ref="AD1064:AE1064" si="2172">AD1034</f>
        <v>24</v>
      </c>
      <c r="AE1064" s="23">
        <f t="shared" si="2172"/>
        <v>28</v>
      </c>
    </row>
    <row r="1065" spans="1:31">
      <c r="A1065" s="4">
        <v>13100</v>
      </c>
      <c r="B1065" s="4">
        <v>14</v>
      </c>
      <c r="C1065" s="19" t="s">
        <v>69</v>
      </c>
      <c r="D1065" s="44">
        <f t="shared" si="2145"/>
        <v>101</v>
      </c>
      <c r="E1065" s="18">
        <v>0</v>
      </c>
      <c r="F1065" s="18">
        <v>0</v>
      </c>
      <c r="G1065" s="18">
        <v>0</v>
      </c>
      <c r="H1065" s="45">
        <v>0</v>
      </c>
      <c r="I1065" s="21">
        <f t="shared" si="2155"/>
        <v>220</v>
      </c>
      <c r="J1065" s="21">
        <f t="shared" si="2108"/>
        <v>13</v>
      </c>
      <c r="K1065" s="21">
        <v>0</v>
      </c>
      <c r="L1065" s="20">
        <v>6</v>
      </c>
      <c r="M1065" s="20">
        <v>0</v>
      </c>
      <c r="N1065" s="20">
        <f t="shared" si="2156"/>
        <v>2800</v>
      </c>
      <c r="O1065" s="19" t="s">
        <v>69</v>
      </c>
      <c r="P1065" s="20">
        <v>6400</v>
      </c>
      <c r="Q1065" s="20">
        <f t="shared" ref="Q1065:X1065" si="2173">Q1035</f>
        <v>280</v>
      </c>
      <c r="R1065" s="20">
        <f t="shared" si="2173"/>
        <v>1120</v>
      </c>
      <c r="S1065" s="20">
        <f t="shared" si="2173"/>
        <v>1959.9999999999998</v>
      </c>
      <c r="T1065" s="20">
        <f t="shared" si="2173"/>
        <v>2520</v>
      </c>
      <c r="U1065" s="20">
        <f t="shared" si="2173"/>
        <v>100</v>
      </c>
      <c r="V1065" s="20">
        <f t="shared" si="2173"/>
        <v>400</v>
      </c>
      <c r="W1065" s="20">
        <f t="shared" si="2173"/>
        <v>1200</v>
      </c>
      <c r="X1065" s="20">
        <f t="shared" si="2173"/>
        <v>4</v>
      </c>
      <c r="Y1065" s="20">
        <f t="shared" si="2147"/>
        <v>0</v>
      </c>
      <c r="Z1065" s="22">
        <v>0</v>
      </c>
      <c r="AA1065" s="20">
        <v>0</v>
      </c>
      <c r="AB1065" s="20">
        <v>0</v>
      </c>
      <c r="AC1065" s="20">
        <v>0</v>
      </c>
      <c r="AD1065" s="23">
        <f t="shared" ref="AD1065:AE1065" si="2174">AD1035</f>
        <v>26</v>
      </c>
      <c r="AE1065" s="23">
        <f t="shared" si="2174"/>
        <v>30</v>
      </c>
    </row>
    <row r="1066" spans="1:31">
      <c r="A1066" s="4">
        <v>13100</v>
      </c>
      <c r="B1066" s="4">
        <v>15</v>
      </c>
      <c r="C1066" s="19" t="s">
        <v>70</v>
      </c>
      <c r="D1066" s="44">
        <f t="shared" si="2145"/>
        <v>110</v>
      </c>
      <c r="E1066" s="18">
        <v>0</v>
      </c>
      <c r="F1066" s="18">
        <v>0</v>
      </c>
      <c r="G1066" s="18">
        <v>0</v>
      </c>
      <c r="H1066" s="45">
        <v>0</v>
      </c>
      <c r="I1066" s="21">
        <f t="shared" si="2155"/>
        <v>220</v>
      </c>
      <c r="J1066" s="21">
        <f t="shared" si="2108"/>
        <v>14</v>
      </c>
      <c r="K1066" s="21">
        <v>0</v>
      </c>
      <c r="L1066" s="20">
        <v>6</v>
      </c>
      <c r="M1066" s="20">
        <v>0</v>
      </c>
      <c r="N1066" s="20">
        <f t="shared" si="2156"/>
        <v>4500</v>
      </c>
      <c r="O1066" s="19" t="s">
        <v>70</v>
      </c>
      <c r="P1066" s="20">
        <v>3100</v>
      </c>
      <c r="Q1066" s="20">
        <f t="shared" ref="Q1066:X1066" si="2175">Q1036</f>
        <v>450</v>
      </c>
      <c r="R1066" s="20">
        <f t="shared" si="2175"/>
        <v>1800</v>
      </c>
      <c r="S1066" s="20">
        <f t="shared" si="2175"/>
        <v>3150</v>
      </c>
      <c r="T1066" s="20">
        <f t="shared" si="2175"/>
        <v>4050</v>
      </c>
      <c r="U1066" s="20">
        <f t="shared" si="2175"/>
        <v>100</v>
      </c>
      <c r="V1066" s="20">
        <f t="shared" si="2175"/>
        <v>1000</v>
      </c>
      <c r="W1066" s="20">
        <f t="shared" si="2175"/>
        <v>600</v>
      </c>
      <c r="X1066" s="20">
        <f t="shared" si="2175"/>
        <v>4</v>
      </c>
      <c r="Y1066" s="20">
        <f t="shared" si="2147"/>
        <v>0</v>
      </c>
      <c r="Z1066" s="22">
        <v>0</v>
      </c>
      <c r="AA1066" s="20">
        <v>0</v>
      </c>
      <c r="AB1066" s="20">
        <v>0</v>
      </c>
      <c r="AC1066" s="20">
        <v>0</v>
      </c>
      <c r="AD1066" s="23">
        <f t="shared" ref="AD1066:AE1066" si="2176">AD1036</f>
        <v>28</v>
      </c>
      <c r="AE1066" s="23">
        <f t="shared" si="2176"/>
        <v>32</v>
      </c>
    </row>
    <row r="1067" spans="1:31">
      <c r="A1067" s="4">
        <v>13100</v>
      </c>
      <c r="B1067" s="4">
        <v>16</v>
      </c>
      <c r="C1067" s="19" t="s">
        <v>71</v>
      </c>
      <c r="D1067" s="44">
        <f t="shared" si="2145"/>
        <v>119</v>
      </c>
      <c r="E1067" s="18">
        <v>0</v>
      </c>
      <c r="F1067" s="18">
        <v>0</v>
      </c>
      <c r="G1067" s="18">
        <v>0</v>
      </c>
      <c r="H1067" s="45">
        <v>0</v>
      </c>
      <c r="I1067" s="21">
        <f t="shared" si="2155"/>
        <v>220</v>
      </c>
      <c r="J1067" s="21">
        <f t="shared" si="2108"/>
        <v>15</v>
      </c>
      <c r="K1067" s="21">
        <v>0</v>
      </c>
      <c r="L1067" s="20">
        <v>6</v>
      </c>
      <c r="M1067" s="20">
        <v>0</v>
      </c>
      <c r="N1067" s="20">
        <f t="shared" si="2156"/>
        <v>4800</v>
      </c>
      <c r="O1067" s="19" t="s">
        <v>71</v>
      </c>
      <c r="P1067" s="20">
        <v>1777</v>
      </c>
      <c r="Q1067" s="20">
        <f t="shared" ref="Q1067:X1067" si="2177">Q1037</f>
        <v>480</v>
      </c>
      <c r="R1067" s="20">
        <f t="shared" si="2177"/>
        <v>1920</v>
      </c>
      <c r="S1067" s="20">
        <f t="shared" si="2177"/>
        <v>3360</v>
      </c>
      <c r="T1067" s="20">
        <f t="shared" si="2177"/>
        <v>4320</v>
      </c>
      <c r="U1067" s="20">
        <f t="shared" si="2177"/>
        <v>100</v>
      </c>
      <c r="V1067" s="20">
        <f t="shared" si="2177"/>
        <v>800</v>
      </c>
      <c r="W1067" s="20">
        <f t="shared" si="2177"/>
        <v>800</v>
      </c>
      <c r="X1067" s="20">
        <f t="shared" si="2177"/>
        <v>4</v>
      </c>
      <c r="Y1067" s="20">
        <f t="shared" si="2147"/>
        <v>0</v>
      </c>
      <c r="Z1067" s="22">
        <v>0</v>
      </c>
      <c r="AA1067" s="20">
        <v>0</v>
      </c>
      <c r="AB1067" s="20">
        <v>0</v>
      </c>
      <c r="AC1067" s="20">
        <v>0</v>
      </c>
      <c r="AD1067" s="23">
        <f t="shared" ref="AD1067:AE1067" si="2178">AD1037</f>
        <v>30</v>
      </c>
      <c r="AE1067" s="23">
        <f t="shared" si="2178"/>
        <v>34</v>
      </c>
    </row>
    <row r="1068" spans="1:31">
      <c r="A1068" s="4">
        <v>13100</v>
      </c>
      <c r="B1068" s="4">
        <v>17</v>
      </c>
      <c r="C1068" s="19" t="s">
        <v>72</v>
      </c>
      <c r="D1068" s="44">
        <f t="shared" si="2145"/>
        <v>128</v>
      </c>
      <c r="E1068" s="18">
        <v>0</v>
      </c>
      <c r="F1068" s="18">
        <v>0</v>
      </c>
      <c r="G1068" s="18">
        <v>0</v>
      </c>
      <c r="H1068" s="45">
        <v>0</v>
      </c>
      <c r="I1068" s="21">
        <f t="shared" si="2155"/>
        <v>275</v>
      </c>
      <c r="J1068" s="21">
        <f t="shared" si="2108"/>
        <v>16</v>
      </c>
      <c r="K1068" s="21">
        <v>0</v>
      </c>
      <c r="L1068" s="20">
        <v>6</v>
      </c>
      <c r="M1068" s="20">
        <v>0</v>
      </c>
      <c r="N1068" s="20">
        <f t="shared" si="2156"/>
        <v>5100</v>
      </c>
      <c r="O1068" s="19" t="s">
        <v>72</v>
      </c>
      <c r="P1068" s="20">
        <v>2332</v>
      </c>
      <c r="Q1068" s="20">
        <f t="shared" ref="Q1068:X1068" si="2179">Q1038</f>
        <v>510</v>
      </c>
      <c r="R1068" s="20">
        <f t="shared" si="2179"/>
        <v>2040</v>
      </c>
      <c r="S1068" s="20">
        <f t="shared" si="2179"/>
        <v>3570</v>
      </c>
      <c r="T1068" s="20">
        <f t="shared" si="2179"/>
        <v>4590</v>
      </c>
      <c r="U1068" s="20">
        <f t="shared" si="2179"/>
        <v>80</v>
      </c>
      <c r="V1068" s="20">
        <f t="shared" si="2179"/>
        <v>800</v>
      </c>
      <c r="W1068" s="20">
        <f t="shared" si="2179"/>
        <v>600</v>
      </c>
      <c r="X1068" s="20">
        <f t="shared" si="2179"/>
        <v>5</v>
      </c>
      <c r="Y1068" s="20">
        <f t="shared" si="2147"/>
        <v>0</v>
      </c>
      <c r="Z1068" s="22">
        <v>0</v>
      </c>
      <c r="AA1068" s="20">
        <v>0</v>
      </c>
      <c r="AB1068" s="20">
        <v>0</v>
      </c>
      <c r="AC1068" s="20">
        <v>0</v>
      </c>
      <c r="AD1068" s="23">
        <f t="shared" ref="AD1068:AE1068" si="2180">AD1038</f>
        <v>32</v>
      </c>
      <c r="AE1068" s="23">
        <f t="shared" si="2180"/>
        <v>36</v>
      </c>
    </row>
    <row r="1069" spans="1:31">
      <c r="A1069" s="4">
        <v>13100</v>
      </c>
      <c r="B1069" s="4">
        <v>18</v>
      </c>
      <c r="C1069" s="19" t="s">
        <v>73</v>
      </c>
      <c r="D1069" s="44">
        <f t="shared" si="2145"/>
        <v>139</v>
      </c>
      <c r="E1069" s="18">
        <v>0</v>
      </c>
      <c r="F1069" s="18">
        <v>0</v>
      </c>
      <c r="G1069" s="18">
        <v>0</v>
      </c>
      <c r="H1069" s="45">
        <v>0</v>
      </c>
      <c r="I1069" s="21">
        <f t="shared" si="2155"/>
        <v>275</v>
      </c>
      <c r="J1069" s="21">
        <f t="shared" si="2108"/>
        <v>17</v>
      </c>
      <c r="K1069" s="21">
        <v>0</v>
      </c>
      <c r="L1069" s="20">
        <v>6</v>
      </c>
      <c r="M1069" s="20">
        <v>0</v>
      </c>
      <c r="N1069" s="20">
        <f t="shared" si="2156"/>
        <v>5400</v>
      </c>
      <c r="O1069" s="19" t="s">
        <v>73</v>
      </c>
      <c r="P1069" s="20">
        <v>1487</v>
      </c>
      <c r="Q1069" s="20">
        <f t="shared" ref="Q1069:X1069" si="2181">Q1039</f>
        <v>540</v>
      </c>
      <c r="R1069" s="20">
        <f t="shared" si="2181"/>
        <v>2160</v>
      </c>
      <c r="S1069" s="20">
        <f t="shared" si="2181"/>
        <v>3779.9999999999995</v>
      </c>
      <c r="T1069" s="20">
        <f t="shared" si="2181"/>
        <v>4860</v>
      </c>
      <c r="U1069" s="20">
        <f t="shared" si="2181"/>
        <v>100</v>
      </c>
      <c r="V1069" s="20">
        <f t="shared" si="2181"/>
        <v>600</v>
      </c>
      <c r="W1069" s="20">
        <f t="shared" si="2181"/>
        <v>300</v>
      </c>
      <c r="X1069" s="20">
        <f t="shared" si="2181"/>
        <v>5</v>
      </c>
      <c r="Y1069" s="20">
        <f t="shared" si="2147"/>
        <v>96</v>
      </c>
      <c r="Z1069" s="22">
        <v>0</v>
      </c>
      <c r="AA1069" s="20">
        <v>0</v>
      </c>
      <c r="AB1069" s="20">
        <v>0</v>
      </c>
      <c r="AC1069" s="20">
        <v>0</v>
      </c>
      <c r="AD1069" s="23">
        <f t="shared" ref="AD1069:AE1069" si="2182">AD1039</f>
        <v>34</v>
      </c>
      <c r="AE1069" s="23">
        <f t="shared" si="2182"/>
        <v>38</v>
      </c>
    </row>
    <row r="1070" spans="1:31">
      <c r="A1070" s="4">
        <v>13100</v>
      </c>
      <c r="B1070" s="4">
        <v>19</v>
      </c>
      <c r="C1070" s="19" t="s">
        <v>74</v>
      </c>
      <c r="D1070" s="44">
        <f t="shared" si="2145"/>
        <v>151</v>
      </c>
      <c r="E1070" s="18">
        <v>0</v>
      </c>
      <c r="F1070" s="18">
        <v>0</v>
      </c>
      <c r="G1070" s="18">
        <v>0</v>
      </c>
      <c r="H1070" s="45">
        <v>0</v>
      </c>
      <c r="I1070" s="21">
        <f t="shared" si="2155"/>
        <v>275</v>
      </c>
      <c r="J1070" s="21">
        <f t="shared" si="2108"/>
        <v>18</v>
      </c>
      <c r="K1070" s="21">
        <v>0</v>
      </c>
      <c r="L1070" s="20">
        <v>6</v>
      </c>
      <c r="M1070" s="20">
        <v>0</v>
      </c>
      <c r="N1070" s="20">
        <f t="shared" si="2156"/>
        <v>5700</v>
      </c>
      <c r="O1070" s="19" t="s">
        <v>74</v>
      </c>
      <c r="P1070" s="20">
        <v>1518</v>
      </c>
      <c r="Q1070" s="20">
        <f t="shared" ref="Q1070:X1070" si="2183">Q1040</f>
        <v>570</v>
      </c>
      <c r="R1070" s="20">
        <f t="shared" si="2183"/>
        <v>2280</v>
      </c>
      <c r="S1070" s="20">
        <f t="shared" si="2183"/>
        <v>3989.9999999999995</v>
      </c>
      <c r="T1070" s="20">
        <f t="shared" si="2183"/>
        <v>5130</v>
      </c>
      <c r="U1070" s="20">
        <f t="shared" si="2183"/>
        <v>100</v>
      </c>
      <c r="V1070" s="20">
        <f t="shared" si="2183"/>
        <v>500</v>
      </c>
      <c r="W1070" s="20">
        <f t="shared" si="2183"/>
        <v>400</v>
      </c>
      <c r="X1070" s="20">
        <f t="shared" si="2183"/>
        <v>5</v>
      </c>
      <c r="Y1070" s="20">
        <f t="shared" si="2147"/>
        <v>0</v>
      </c>
      <c r="Z1070" s="22">
        <v>0</v>
      </c>
      <c r="AA1070" s="20">
        <v>0</v>
      </c>
      <c r="AB1070" s="20">
        <v>0</v>
      </c>
      <c r="AC1070" s="20">
        <v>0</v>
      </c>
      <c r="AD1070" s="23">
        <f t="shared" ref="AD1070:AE1070" si="2184">AD1040</f>
        <v>36</v>
      </c>
      <c r="AE1070" s="23">
        <f t="shared" si="2184"/>
        <v>40</v>
      </c>
    </row>
    <row r="1071" spans="1:31">
      <c r="A1071" s="4">
        <v>13100</v>
      </c>
      <c r="B1071" s="4">
        <v>20</v>
      </c>
      <c r="C1071" s="19" t="s">
        <v>75</v>
      </c>
      <c r="D1071" s="44">
        <f t="shared" si="2145"/>
        <v>163</v>
      </c>
      <c r="E1071" s="18">
        <v>0</v>
      </c>
      <c r="F1071" s="18">
        <v>0</v>
      </c>
      <c r="G1071" s="18">
        <v>0</v>
      </c>
      <c r="H1071" s="45">
        <v>0</v>
      </c>
      <c r="I1071" s="21">
        <f t="shared" si="2155"/>
        <v>275</v>
      </c>
      <c r="J1071" s="21">
        <f t="shared" si="2108"/>
        <v>19</v>
      </c>
      <c r="K1071" s="21">
        <v>0</v>
      </c>
      <c r="L1071" s="20">
        <v>6</v>
      </c>
      <c r="M1071" s="20">
        <v>0</v>
      </c>
      <c r="N1071" s="20">
        <f t="shared" si="2156"/>
        <v>8000</v>
      </c>
      <c r="O1071" s="19" t="s">
        <v>75</v>
      </c>
      <c r="P1071" s="20">
        <v>861</v>
      </c>
      <c r="Q1071" s="20">
        <f t="shared" ref="Q1071:X1071" si="2185">Q1041</f>
        <v>800</v>
      </c>
      <c r="R1071" s="20">
        <f t="shared" si="2185"/>
        <v>3200</v>
      </c>
      <c r="S1071" s="20">
        <f t="shared" si="2185"/>
        <v>5600</v>
      </c>
      <c r="T1071" s="20">
        <f t="shared" si="2185"/>
        <v>7200</v>
      </c>
      <c r="U1071" s="20">
        <f t="shared" si="2185"/>
        <v>100</v>
      </c>
      <c r="V1071" s="20">
        <f t="shared" si="2185"/>
        <v>800</v>
      </c>
      <c r="W1071" s="20">
        <f t="shared" si="2185"/>
        <v>8000</v>
      </c>
      <c r="X1071" s="20">
        <f t="shared" si="2185"/>
        <v>5</v>
      </c>
      <c r="Y1071" s="20">
        <f t="shared" si="2147"/>
        <v>0</v>
      </c>
      <c r="Z1071" s="22">
        <v>0</v>
      </c>
      <c r="AA1071" s="20">
        <v>0</v>
      </c>
      <c r="AB1071" s="20">
        <v>0</v>
      </c>
      <c r="AC1071" s="20">
        <v>0</v>
      </c>
      <c r="AD1071" s="23">
        <f t="shared" ref="AD1071:AE1071" si="2186">AD1041</f>
        <v>38</v>
      </c>
      <c r="AE1071" s="23">
        <f t="shared" si="2186"/>
        <v>42</v>
      </c>
    </row>
    <row r="1072" spans="1:31">
      <c r="A1072" s="4">
        <v>13100</v>
      </c>
      <c r="B1072" s="4">
        <v>21</v>
      </c>
      <c r="C1072" s="19" t="s">
        <v>66</v>
      </c>
      <c r="D1072" s="44">
        <f t="shared" si="2145"/>
        <v>176</v>
      </c>
      <c r="E1072" s="18">
        <v>0</v>
      </c>
      <c r="F1072" s="18">
        <v>0</v>
      </c>
      <c r="G1072" s="18">
        <v>0</v>
      </c>
      <c r="H1072" s="45">
        <v>0</v>
      </c>
      <c r="I1072" s="21">
        <f t="shared" si="2155"/>
        <v>330</v>
      </c>
      <c r="J1072" s="21">
        <f t="shared" si="2108"/>
        <v>20</v>
      </c>
      <c r="K1072" s="21">
        <v>0</v>
      </c>
      <c r="L1072" s="20">
        <v>6</v>
      </c>
      <c r="M1072" s="20">
        <v>0</v>
      </c>
      <c r="N1072" s="20">
        <f t="shared" si="2156"/>
        <v>8400</v>
      </c>
      <c r="O1072" s="19" t="s">
        <v>66</v>
      </c>
      <c r="P1072" s="20">
        <v>9400</v>
      </c>
      <c r="Q1072" s="20">
        <f t="shared" ref="Q1072:X1072" si="2187">Q1042</f>
        <v>840</v>
      </c>
      <c r="R1072" s="20">
        <f t="shared" si="2187"/>
        <v>3360</v>
      </c>
      <c r="S1072" s="20">
        <f t="shared" si="2187"/>
        <v>5880</v>
      </c>
      <c r="T1072" s="20">
        <f t="shared" si="2187"/>
        <v>7560</v>
      </c>
      <c r="U1072" s="20">
        <f t="shared" si="2187"/>
        <v>50</v>
      </c>
      <c r="V1072" s="20">
        <f t="shared" si="2187"/>
        <v>1000</v>
      </c>
      <c r="W1072" s="20">
        <f t="shared" si="2187"/>
        <v>600</v>
      </c>
      <c r="X1072" s="20">
        <f t="shared" si="2187"/>
        <v>6</v>
      </c>
      <c r="Y1072" s="20">
        <f t="shared" si="2147"/>
        <v>0</v>
      </c>
      <c r="Z1072" s="22">
        <v>0</v>
      </c>
      <c r="AA1072" s="20">
        <v>0</v>
      </c>
      <c r="AB1072" s="20">
        <v>0</v>
      </c>
      <c r="AC1072" s="20">
        <v>0</v>
      </c>
      <c r="AD1072" s="23">
        <f t="shared" ref="AD1072:AE1072" si="2188">AD1042</f>
        <v>40</v>
      </c>
      <c r="AE1072" s="23">
        <f t="shared" si="2188"/>
        <v>44</v>
      </c>
    </row>
    <row r="1073" spans="1:31">
      <c r="A1073" s="4">
        <v>13100</v>
      </c>
      <c r="B1073" s="4">
        <v>22</v>
      </c>
      <c r="C1073" s="19" t="s">
        <v>67</v>
      </c>
      <c r="D1073" s="44">
        <f t="shared" si="2145"/>
        <v>191</v>
      </c>
      <c r="E1073" s="18">
        <v>0</v>
      </c>
      <c r="F1073" s="18">
        <v>0</v>
      </c>
      <c r="G1073" s="18">
        <v>0</v>
      </c>
      <c r="H1073" s="45">
        <v>0</v>
      </c>
      <c r="I1073" s="21">
        <f t="shared" si="2155"/>
        <v>330</v>
      </c>
      <c r="J1073" s="21">
        <f t="shared" si="2108"/>
        <v>21</v>
      </c>
      <c r="K1073" s="21">
        <v>0</v>
      </c>
      <c r="L1073" s="20">
        <v>6</v>
      </c>
      <c r="M1073" s="20">
        <v>0</v>
      </c>
      <c r="N1073" s="20">
        <f t="shared" si="2156"/>
        <v>8800</v>
      </c>
      <c r="O1073" s="19" t="s">
        <v>67</v>
      </c>
      <c r="P1073" s="20">
        <v>9100</v>
      </c>
      <c r="Q1073" s="20">
        <f t="shared" ref="Q1073:X1073" si="2189">Q1043</f>
        <v>880</v>
      </c>
      <c r="R1073" s="20">
        <f t="shared" si="2189"/>
        <v>3520</v>
      </c>
      <c r="S1073" s="20">
        <f t="shared" si="2189"/>
        <v>6160</v>
      </c>
      <c r="T1073" s="20">
        <f t="shared" si="2189"/>
        <v>7920</v>
      </c>
      <c r="U1073" s="20">
        <f t="shared" si="2189"/>
        <v>100</v>
      </c>
      <c r="V1073" s="20">
        <f t="shared" si="2189"/>
        <v>600</v>
      </c>
      <c r="W1073" s="20">
        <f t="shared" si="2189"/>
        <v>700</v>
      </c>
      <c r="X1073" s="20">
        <f t="shared" si="2189"/>
        <v>6</v>
      </c>
      <c r="Y1073" s="20">
        <f t="shared" si="2147"/>
        <v>0</v>
      </c>
      <c r="Z1073" s="22">
        <v>0</v>
      </c>
      <c r="AA1073" s="20">
        <v>0</v>
      </c>
      <c r="AB1073" s="20">
        <v>0</v>
      </c>
      <c r="AC1073" s="20">
        <v>0</v>
      </c>
      <c r="AD1073" s="23">
        <f t="shared" ref="AD1073:AE1073" si="2190">AD1043</f>
        <v>42</v>
      </c>
      <c r="AE1073" s="23">
        <f t="shared" si="2190"/>
        <v>46</v>
      </c>
    </row>
    <row r="1074" spans="1:31">
      <c r="A1074" s="4">
        <v>13100</v>
      </c>
      <c r="B1074" s="4">
        <v>23</v>
      </c>
      <c r="C1074" s="19" t="s">
        <v>68</v>
      </c>
      <c r="D1074" s="44">
        <f t="shared" si="2145"/>
        <v>207</v>
      </c>
      <c r="E1074" s="18">
        <v>0</v>
      </c>
      <c r="F1074" s="18">
        <v>0</v>
      </c>
      <c r="G1074" s="18">
        <v>0</v>
      </c>
      <c r="H1074" s="45">
        <v>0</v>
      </c>
      <c r="I1074" s="21">
        <f t="shared" si="2155"/>
        <v>330</v>
      </c>
      <c r="J1074" s="21">
        <f t="shared" si="2108"/>
        <v>22</v>
      </c>
      <c r="K1074" s="21">
        <v>0</v>
      </c>
      <c r="L1074" s="20">
        <v>6</v>
      </c>
      <c r="M1074" s="20">
        <v>0</v>
      </c>
      <c r="N1074" s="20">
        <f t="shared" si="2156"/>
        <v>9200</v>
      </c>
      <c r="O1074" s="19" t="s">
        <v>68</v>
      </c>
      <c r="P1074" s="20">
        <v>8600</v>
      </c>
      <c r="Q1074" s="20">
        <f t="shared" ref="Q1074:X1074" si="2191">Q1044</f>
        <v>920</v>
      </c>
      <c r="R1074" s="20">
        <f t="shared" si="2191"/>
        <v>3680</v>
      </c>
      <c r="S1074" s="20">
        <f t="shared" si="2191"/>
        <v>6440</v>
      </c>
      <c r="T1074" s="20">
        <f t="shared" si="2191"/>
        <v>8280</v>
      </c>
      <c r="U1074" s="20">
        <f t="shared" si="2191"/>
        <v>100</v>
      </c>
      <c r="V1074" s="20">
        <f t="shared" si="2191"/>
        <v>550</v>
      </c>
      <c r="W1074" s="20">
        <f t="shared" si="2191"/>
        <v>500</v>
      </c>
      <c r="X1074" s="20">
        <f t="shared" si="2191"/>
        <v>6</v>
      </c>
      <c r="Y1074" s="20">
        <f t="shared" si="2147"/>
        <v>129</v>
      </c>
      <c r="Z1074" s="22">
        <v>0</v>
      </c>
      <c r="AA1074" s="20">
        <v>0</v>
      </c>
      <c r="AB1074" s="20">
        <v>0</v>
      </c>
      <c r="AC1074" s="20">
        <v>0</v>
      </c>
      <c r="AD1074" s="23">
        <f t="shared" ref="AD1074:AE1074" si="2192">AD1044</f>
        <v>44</v>
      </c>
      <c r="AE1074" s="23">
        <f t="shared" si="2192"/>
        <v>48</v>
      </c>
    </row>
    <row r="1075" spans="1:31">
      <c r="A1075" s="4">
        <v>13100</v>
      </c>
      <c r="B1075" s="4">
        <v>24</v>
      </c>
      <c r="C1075" s="19" t="s">
        <v>69</v>
      </c>
      <c r="D1075" s="44">
        <f t="shared" si="2145"/>
        <v>224</v>
      </c>
      <c r="E1075" s="18">
        <v>0</v>
      </c>
      <c r="F1075" s="18">
        <v>0</v>
      </c>
      <c r="G1075" s="18">
        <v>0</v>
      </c>
      <c r="H1075" s="45">
        <v>0</v>
      </c>
      <c r="I1075" s="21">
        <f t="shared" si="2155"/>
        <v>330</v>
      </c>
      <c r="J1075" s="21">
        <f t="shared" si="2108"/>
        <v>23</v>
      </c>
      <c r="K1075" s="21">
        <v>0</v>
      </c>
      <c r="L1075" s="20">
        <v>6</v>
      </c>
      <c r="M1075" s="20">
        <v>0</v>
      </c>
      <c r="N1075" s="20">
        <f t="shared" si="2156"/>
        <v>9600</v>
      </c>
      <c r="O1075" s="19" t="s">
        <v>69</v>
      </c>
      <c r="P1075" s="20">
        <v>6400</v>
      </c>
      <c r="Q1075" s="20">
        <f t="shared" ref="Q1075:X1075" si="2193">Q1045</f>
        <v>960</v>
      </c>
      <c r="R1075" s="20">
        <f t="shared" si="2193"/>
        <v>3840</v>
      </c>
      <c r="S1075" s="20">
        <f t="shared" si="2193"/>
        <v>6720</v>
      </c>
      <c r="T1075" s="20">
        <f t="shared" si="2193"/>
        <v>8640</v>
      </c>
      <c r="U1075" s="20">
        <f t="shared" si="2193"/>
        <v>100</v>
      </c>
      <c r="V1075" s="20">
        <f t="shared" si="2193"/>
        <v>500</v>
      </c>
      <c r="W1075" s="20">
        <f t="shared" si="2193"/>
        <v>900</v>
      </c>
      <c r="X1075" s="20">
        <f t="shared" si="2193"/>
        <v>6</v>
      </c>
      <c r="Y1075" s="20">
        <f t="shared" si="2147"/>
        <v>0</v>
      </c>
      <c r="Z1075" s="22">
        <v>0</v>
      </c>
      <c r="AA1075" s="20">
        <v>0</v>
      </c>
      <c r="AB1075" s="20">
        <v>0</v>
      </c>
      <c r="AC1075" s="20">
        <v>0</v>
      </c>
      <c r="AD1075" s="23">
        <f t="shared" ref="AD1075:AE1075" si="2194">AD1045</f>
        <v>46</v>
      </c>
      <c r="AE1075" s="23">
        <f t="shared" si="2194"/>
        <v>50</v>
      </c>
    </row>
    <row r="1076" spans="1:31">
      <c r="A1076" s="4">
        <v>13100</v>
      </c>
      <c r="B1076" s="4">
        <v>25</v>
      </c>
      <c r="C1076" s="19" t="s">
        <v>70</v>
      </c>
      <c r="D1076" s="44">
        <f t="shared" si="2145"/>
        <v>242</v>
      </c>
      <c r="E1076" s="18">
        <v>0</v>
      </c>
      <c r="F1076" s="18">
        <v>0</v>
      </c>
      <c r="G1076" s="18">
        <v>0</v>
      </c>
      <c r="H1076" s="45">
        <v>0</v>
      </c>
      <c r="I1076" s="21">
        <f t="shared" si="2155"/>
        <v>385</v>
      </c>
      <c r="J1076" s="21">
        <f t="shared" si="2108"/>
        <v>24</v>
      </c>
      <c r="K1076" s="21">
        <v>0</v>
      </c>
      <c r="L1076" s="20">
        <v>6</v>
      </c>
      <c r="M1076" s="20">
        <v>0</v>
      </c>
      <c r="N1076" s="20">
        <f t="shared" si="2156"/>
        <v>12500</v>
      </c>
      <c r="O1076" s="19" t="s">
        <v>70</v>
      </c>
      <c r="P1076" s="20">
        <v>3100</v>
      </c>
      <c r="Q1076" s="20">
        <f t="shared" ref="Q1076:X1076" si="2195">Q1046</f>
        <v>1250</v>
      </c>
      <c r="R1076" s="20">
        <f t="shared" si="2195"/>
        <v>5000</v>
      </c>
      <c r="S1076" s="20">
        <f t="shared" si="2195"/>
        <v>8750</v>
      </c>
      <c r="T1076" s="20">
        <f t="shared" si="2195"/>
        <v>11250</v>
      </c>
      <c r="U1076" s="20">
        <f t="shared" si="2195"/>
        <v>10</v>
      </c>
      <c r="V1076" s="20">
        <f t="shared" si="2195"/>
        <v>1300</v>
      </c>
      <c r="W1076" s="20">
        <f t="shared" si="2195"/>
        <v>1000</v>
      </c>
      <c r="X1076" s="20">
        <f t="shared" si="2195"/>
        <v>7</v>
      </c>
      <c r="Y1076" s="20">
        <f t="shared" si="2147"/>
        <v>0</v>
      </c>
      <c r="Z1076" s="22">
        <v>0</v>
      </c>
      <c r="AA1076" s="20">
        <v>0</v>
      </c>
      <c r="AB1076" s="20">
        <v>0</v>
      </c>
      <c r="AC1076" s="20">
        <v>0</v>
      </c>
      <c r="AD1076" s="23">
        <f t="shared" ref="AD1076:AE1076" si="2196">AD1046</f>
        <v>48</v>
      </c>
      <c r="AE1076" s="23">
        <f t="shared" si="2196"/>
        <v>52</v>
      </c>
    </row>
    <row r="1077" spans="1:31">
      <c r="A1077" s="4">
        <v>13100</v>
      </c>
      <c r="B1077" s="4">
        <v>26</v>
      </c>
      <c r="C1077" s="19" t="s">
        <v>71</v>
      </c>
      <c r="D1077" s="44">
        <f t="shared" si="2145"/>
        <v>262</v>
      </c>
      <c r="E1077" s="18">
        <v>0</v>
      </c>
      <c r="F1077" s="18">
        <v>0</v>
      </c>
      <c r="G1077" s="18">
        <v>0</v>
      </c>
      <c r="H1077" s="45">
        <v>0</v>
      </c>
      <c r="I1077" s="21">
        <f t="shared" si="2155"/>
        <v>385</v>
      </c>
      <c r="J1077" s="21">
        <f t="shared" si="2108"/>
        <v>25</v>
      </c>
      <c r="K1077" s="21">
        <v>0</v>
      </c>
      <c r="L1077" s="20">
        <v>6</v>
      </c>
      <c r="M1077" s="20">
        <v>0</v>
      </c>
      <c r="N1077" s="20">
        <f t="shared" si="2156"/>
        <v>13000</v>
      </c>
      <c r="O1077" s="19" t="s">
        <v>71</v>
      </c>
      <c r="P1077" s="20">
        <v>1777</v>
      </c>
      <c r="Q1077" s="20">
        <f t="shared" ref="Q1077:X1077" si="2197">Q1047</f>
        <v>1300</v>
      </c>
      <c r="R1077" s="20">
        <f t="shared" si="2197"/>
        <v>5200</v>
      </c>
      <c r="S1077" s="20">
        <f t="shared" si="2197"/>
        <v>9100</v>
      </c>
      <c r="T1077" s="20">
        <f t="shared" si="2197"/>
        <v>11700</v>
      </c>
      <c r="U1077" s="20">
        <f t="shared" si="2197"/>
        <v>90</v>
      </c>
      <c r="V1077" s="20">
        <f t="shared" si="2197"/>
        <v>800</v>
      </c>
      <c r="W1077" s="20">
        <f t="shared" si="2197"/>
        <v>2000</v>
      </c>
      <c r="X1077" s="20">
        <f t="shared" si="2197"/>
        <v>7</v>
      </c>
      <c r="Y1077" s="20">
        <f t="shared" si="2147"/>
        <v>0</v>
      </c>
      <c r="Z1077" s="22">
        <v>0</v>
      </c>
      <c r="AA1077" s="20">
        <v>0</v>
      </c>
      <c r="AB1077" s="20">
        <v>0</v>
      </c>
      <c r="AC1077" s="20">
        <v>0</v>
      </c>
      <c r="AD1077" s="23">
        <f t="shared" ref="AD1077:AE1077" si="2198">AD1047</f>
        <v>50</v>
      </c>
      <c r="AE1077" s="23">
        <f t="shared" si="2198"/>
        <v>54</v>
      </c>
    </row>
    <row r="1078" spans="1:31">
      <c r="A1078" s="4">
        <v>13100</v>
      </c>
      <c r="B1078" s="4">
        <v>27</v>
      </c>
      <c r="C1078" s="19" t="s">
        <v>72</v>
      </c>
      <c r="D1078" s="44">
        <f t="shared" si="2145"/>
        <v>284</v>
      </c>
      <c r="E1078" s="18">
        <v>0</v>
      </c>
      <c r="F1078" s="18">
        <v>0</v>
      </c>
      <c r="G1078" s="18">
        <v>0</v>
      </c>
      <c r="H1078" s="45">
        <v>0</v>
      </c>
      <c r="I1078" s="21">
        <f t="shared" si="2155"/>
        <v>385</v>
      </c>
      <c r="J1078" s="21">
        <f t="shared" si="2108"/>
        <v>26</v>
      </c>
      <c r="K1078" s="21">
        <v>0</v>
      </c>
      <c r="L1078" s="20">
        <v>6</v>
      </c>
      <c r="M1078" s="20">
        <v>0</v>
      </c>
      <c r="N1078" s="20">
        <f t="shared" si="2156"/>
        <v>13500</v>
      </c>
      <c r="O1078" s="19" t="s">
        <v>72</v>
      </c>
      <c r="P1078" s="20">
        <v>2332</v>
      </c>
      <c r="Q1078" s="20">
        <f t="shared" ref="Q1078:X1078" si="2199">Q1048</f>
        <v>1350</v>
      </c>
      <c r="R1078" s="20">
        <f t="shared" si="2199"/>
        <v>5400</v>
      </c>
      <c r="S1078" s="20">
        <f t="shared" si="2199"/>
        <v>9450</v>
      </c>
      <c r="T1078" s="20">
        <f t="shared" si="2199"/>
        <v>12150</v>
      </c>
      <c r="U1078" s="20">
        <f t="shared" si="2199"/>
        <v>80</v>
      </c>
      <c r="V1078" s="20">
        <f t="shared" si="2199"/>
        <v>700</v>
      </c>
      <c r="W1078" s="20">
        <f t="shared" si="2199"/>
        <v>800</v>
      </c>
      <c r="X1078" s="20">
        <f t="shared" si="2199"/>
        <v>7</v>
      </c>
      <c r="Y1078" s="20">
        <f t="shared" si="2147"/>
        <v>0</v>
      </c>
      <c r="Z1078" s="22">
        <v>0</v>
      </c>
      <c r="AA1078" s="20">
        <v>0</v>
      </c>
      <c r="AB1078" s="20">
        <v>0</v>
      </c>
      <c r="AC1078" s="20">
        <v>0</v>
      </c>
      <c r="AD1078" s="23">
        <f t="shared" ref="AD1078:AE1078" si="2200">AD1048</f>
        <v>52</v>
      </c>
      <c r="AE1078" s="23">
        <f t="shared" si="2200"/>
        <v>56</v>
      </c>
    </row>
    <row r="1079" spans="1:31">
      <c r="A1079" s="4">
        <v>13100</v>
      </c>
      <c r="B1079" s="4">
        <v>28</v>
      </c>
      <c r="C1079" s="19" t="s">
        <v>73</v>
      </c>
      <c r="D1079" s="44">
        <f t="shared" si="2145"/>
        <v>307</v>
      </c>
      <c r="E1079" s="18">
        <v>0</v>
      </c>
      <c r="F1079" s="18">
        <v>0</v>
      </c>
      <c r="G1079" s="18">
        <v>0</v>
      </c>
      <c r="H1079" s="45">
        <v>0</v>
      </c>
      <c r="I1079" s="21">
        <f t="shared" si="2155"/>
        <v>385</v>
      </c>
      <c r="J1079" s="21">
        <f t="shared" si="2108"/>
        <v>27</v>
      </c>
      <c r="K1079" s="21">
        <v>0</v>
      </c>
      <c r="L1079" s="20">
        <v>6</v>
      </c>
      <c r="M1079" s="20">
        <v>0</v>
      </c>
      <c r="N1079" s="20">
        <f t="shared" si="2156"/>
        <v>14000</v>
      </c>
      <c r="O1079" s="19" t="s">
        <v>73</v>
      </c>
      <c r="P1079" s="20">
        <v>1487</v>
      </c>
      <c r="Q1079" s="20">
        <f t="shared" ref="Q1079:X1079" si="2201">Q1049</f>
        <v>1400</v>
      </c>
      <c r="R1079" s="20">
        <f t="shared" si="2201"/>
        <v>5600</v>
      </c>
      <c r="S1079" s="20">
        <f t="shared" si="2201"/>
        <v>9800</v>
      </c>
      <c r="T1079" s="20">
        <f t="shared" si="2201"/>
        <v>12600</v>
      </c>
      <c r="U1079" s="20">
        <f t="shared" si="2201"/>
        <v>80</v>
      </c>
      <c r="V1079" s="20">
        <f t="shared" si="2201"/>
        <v>500</v>
      </c>
      <c r="W1079" s="20">
        <f t="shared" si="2201"/>
        <v>600</v>
      </c>
      <c r="X1079" s="20">
        <f t="shared" si="2201"/>
        <v>7</v>
      </c>
      <c r="Y1079" s="20">
        <f t="shared" si="2147"/>
        <v>162</v>
      </c>
      <c r="Z1079" s="22">
        <v>0</v>
      </c>
      <c r="AA1079" s="20">
        <v>0</v>
      </c>
      <c r="AB1079" s="20">
        <v>0</v>
      </c>
      <c r="AC1079" s="20">
        <v>0</v>
      </c>
      <c r="AD1079" s="23">
        <f t="shared" ref="AD1079:AE1079" si="2202">AD1049</f>
        <v>54</v>
      </c>
      <c r="AE1079" s="23">
        <f t="shared" si="2202"/>
        <v>58</v>
      </c>
    </row>
    <row r="1080" spans="1:31">
      <c r="A1080" s="4">
        <v>13100</v>
      </c>
      <c r="B1080" s="4">
        <v>29</v>
      </c>
      <c r="C1080" s="19" t="s">
        <v>74</v>
      </c>
      <c r="D1080" s="44">
        <f t="shared" si="2145"/>
        <v>333</v>
      </c>
      <c r="E1080" s="18">
        <v>0</v>
      </c>
      <c r="F1080" s="18">
        <v>0</v>
      </c>
      <c r="G1080" s="18">
        <v>0</v>
      </c>
      <c r="H1080" s="45">
        <v>0</v>
      </c>
      <c r="I1080" s="21">
        <f t="shared" si="2155"/>
        <v>440</v>
      </c>
      <c r="J1080" s="21">
        <f t="shared" si="2108"/>
        <v>28</v>
      </c>
      <c r="K1080" s="21">
        <v>0</v>
      </c>
      <c r="L1080" s="20">
        <v>6</v>
      </c>
      <c r="M1080" s="20">
        <v>0</v>
      </c>
      <c r="N1080" s="20">
        <f t="shared" si="2156"/>
        <v>14500</v>
      </c>
      <c r="O1080" s="19" t="s">
        <v>74</v>
      </c>
      <c r="P1080" s="20">
        <v>1518</v>
      </c>
      <c r="Q1080" s="20">
        <f t="shared" ref="Q1080:X1080" si="2203">Q1050</f>
        <v>1450</v>
      </c>
      <c r="R1080" s="20">
        <f t="shared" si="2203"/>
        <v>5800</v>
      </c>
      <c r="S1080" s="20">
        <f t="shared" si="2203"/>
        <v>10150</v>
      </c>
      <c r="T1080" s="20">
        <f t="shared" si="2203"/>
        <v>13050</v>
      </c>
      <c r="U1080" s="20">
        <f t="shared" si="2203"/>
        <v>80</v>
      </c>
      <c r="V1080" s="20">
        <f t="shared" si="2203"/>
        <v>600</v>
      </c>
      <c r="W1080" s="20">
        <f t="shared" si="2203"/>
        <v>700</v>
      </c>
      <c r="X1080" s="20">
        <f t="shared" si="2203"/>
        <v>8</v>
      </c>
      <c r="Y1080" s="20">
        <f t="shared" si="2147"/>
        <v>0</v>
      </c>
      <c r="Z1080" s="22">
        <v>0</v>
      </c>
      <c r="AA1080" s="20">
        <v>0</v>
      </c>
      <c r="AB1080" s="20">
        <v>0</v>
      </c>
      <c r="AC1080" s="20">
        <v>0</v>
      </c>
      <c r="AD1080" s="23">
        <f t="shared" ref="AD1080:AE1080" si="2204">AD1050</f>
        <v>56</v>
      </c>
      <c r="AE1080" s="23">
        <f t="shared" si="2204"/>
        <v>60</v>
      </c>
    </row>
    <row r="1081" spans="1:31">
      <c r="A1081" s="4">
        <v>13100</v>
      </c>
      <c r="B1081" s="4">
        <v>30</v>
      </c>
      <c r="C1081" s="19" t="s">
        <v>75</v>
      </c>
      <c r="D1081" s="44">
        <f t="shared" si="2145"/>
        <v>360</v>
      </c>
      <c r="E1081" s="18">
        <v>0</v>
      </c>
      <c r="F1081" s="18">
        <v>0</v>
      </c>
      <c r="G1081" s="18">
        <v>0</v>
      </c>
      <c r="H1081" s="45">
        <v>0</v>
      </c>
      <c r="I1081" s="21">
        <f t="shared" si="2155"/>
        <v>440</v>
      </c>
      <c r="J1081" s="21">
        <f t="shared" si="2108"/>
        <v>29</v>
      </c>
      <c r="K1081" s="21">
        <v>0</v>
      </c>
      <c r="L1081" s="20">
        <v>6</v>
      </c>
      <c r="M1081" s="20">
        <v>0</v>
      </c>
      <c r="N1081" s="20">
        <f t="shared" si="2156"/>
        <v>15000</v>
      </c>
      <c r="O1081" s="19" t="s">
        <v>75</v>
      </c>
      <c r="P1081" s="20">
        <v>861</v>
      </c>
      <c r="Q1081" s="20">
        <f t="shared" ref="Q1081:X1081" si="2205">Q1051</f>
        <v>1500</v>
      </c>
      <c r="R1081" s="20">
        <f t="shared" si="2205"/>
        <v>6000</v>
      </c>
      <c r="S1081" s="20">
        <f t="shared" si="2205"/>
        <v>10500</v>
      </c>
      <c r="T1081" s="20">
        <f t="shared" si="2205"/>
        <v>13500</v>
      </c>
      <c r="U1081" s="20">
        <f t="shared" si="2205"/>
        <v>20</v>
      </c>
      <c r="V1081" s="20">
        <f t="shared" si="2205"/>
        <v>450</v>
      </c>
      <c r="W1081" s="20">
        <f t="shared" si="2205"/>
        <v>1000</v>
      </c>
      <c r="X1081" s="20">
        <f t="shared" si="2205"/>
        <v>8</v>
      </c>
      <c r="Y1081" s="20">
        <f t="shared" si="2147"/>
        <v>0</v>
      </c>
      <c r="Z1081" s="22">
        <v>0</v>
      </c>
      <c r="AA1081" s="20">
        <v>0</v>
      </c>
      <c r="AB1081" s="20">
        <v>0</v>
      </c>
      <c r="AC1081" s="20">
        <v>0</v>
      </c>
      <c r="AD1081" s="23">
        <f t="shared" ref="AD1081:AE1081" si="2206">AD1051</f>
        <v>58</v>
      </c>
      <c r="AE1081" s="23">
        <f t="shared" si="2206"/>
        <v>62</v>
      </c>
    </row>
    <row r="1082" spans="1:31">
      <c r="A1082" s="4">
        <v>13101</v>
      </c>
      <c r="B1082" s="4">
        <v>1</v>
      </c>
      <c r="C1082" s="29" t="s">
        <v>66</v>
      </c>
      <c r="D1082" s="44">
        <f t="shared" si="2145"/>
        <v>72</v>
      </c>
      <c r="E1082" s="28">
        <v>0</v>
      </c>
      <c r="F1082" s="28">
        <v>0</v>
      </c>
      <c r="G1082" s="28">
        <v>0</v>
      </c>
      <c r="H1082" s="47">
        <v>0</v>
      </c>
      <c r="I1082" s="21">
        <f t="shared" si="2155"/>
        <v>55</v>
      </c>
      <c r="J1082" s="21">
        <f t="shared" si="2108"/>
        <v>0</v>
      </c>
      <c r="K1082" s="21">
        <v>0</v>
      </c>
      <c r="L1082" s="20">
        <v>45</v>
      </c>
      <c r="M1082" s="20">
        <v>0</v>
      </c>
      <c r="N1082" s="20">
        <f t="shared" si="2156"/>
        <v>10</v>
      </c>
      <c r="O1082" s="19" t="s">
        <v>66</v>
      </c>
      <c r="P1082" s="20">
        <v>9400</v>
      </c>
      <c r="Q1082" s="20">
        <f t="shared" ref="Q1082:X1082" si="2207">Q1052</f>
        <v>1</v>
      </c>
      <c r="R1082" s="20">
        <f t="shared" si="2207"/>
        <v>4</v>
      </c>
      <c r="S1082" s="20">
        <f t="shared" si="2207"/>
        <v>7</v>
      </c>
      <c r="T1082" s="20">
        <f t="shared" si="2207"/>
        <v>9</v>
      </c>
      <c r="U1082" s="20">
        <f t="shared" si="2207"/>
        <v>9400</v>
      </c>
      <c r="V1082" s="20">
        <f t="shared" si="2207"/>
        <v>9400</v>
      </c>
      <c r="W1082" s="20">
        <f t="shared" si="2207"/>
        <v>9400</v>
      </c>
      <c r="X1082" s="20">
        <f t="shared" si="2207"/>
        <v>1</v>
      </c>
      <c r="Y1082" s="20">
        <f t="shared" si="2147"/>
        <v>0</v>
      </c>
      <c r="Z1082" s="30">
        <v>0</v>
      </c>
      <c r="AA1082" s="27">
        <v>0</v>
      </c>
      <c r="AB1082" s="27">
        <v>0</v>
      </c>
      <c r="AC1082" s="27">
        <v>0</v>
      </c>
      <c r="AD1082" s="23">
        <f t="shared" ref="AD1082:AE1082" si="2208">AD1052</f>
        <v>1</v>
      </c>
      <c r="AE1082" s="23">
        <f t="shared" si="2208"/>
        <v>3</v>
      </c>
    </row>
    <row r="1083" spans="1:31">
      <c r="A1083" s="4">
        <v>13101</v>
      </c>
      <c r="B1083" s="4">
        <v>2</v>
      </c>
      <c r="C1083" s="29" t="s">
        <v>67</v>
      </c>
      <c r="D1083" s="44">
        <f t="shared" si="2145"/>
        <v>78</v>
      </c>
      <c r="E1083" s="28">
        <v>0</v>
      </c>
      <c r="F1083" s="28">
        <v>0</v>
      </c>
      <c r="G1083" s="28">
        <v>0</v>
      </c>
      <c r="H1083" s="47">
        <v>0</v>
      </c>
      <c r="I1083" s="21">
        <f t="shared" si="2155"/>
        <v>55</v>
      </c>
      <c r="J1083" s="21">
        <f t="shared" si="2108"/>
        <v>1</v>
      </c>
      <c r="K1083" s="21">
        <v>0</v>
      </c>
      <c r="L1083" s="20">
        <v>40</v>
      </c>
      <c r="M1083" s="20">
        <v>0</v>
      </c>
      <c r="N1083" s="20">
        <f t="shared" si="2156"/>
        <v>20</v>
      </c>
      <c r="O1083" s="19" t="s">
        <v>67</v>
      </c>
      <c r="P1083" s="20">
        <v>9100</v>
      </c>
      <c r="Q1083" s="20">
        <f t="shared" ref="Q1083:X1083" si="2209">Q1053</f>
        <v>2</v>
      </c>
      <c r="R1083" s="20">
        <f t="shared" si="2209"/>
        <v>8</v>
      </c>
      <c r="S1083" s="20">
        <f t="shared" si="2209"/>
        <v>14</v>
      </c>
      <c r="T1083" s="20">
        <f t="shared" si="2209"/>
        <v>18</v>
      </c>
      <c r="U1083" s="20">
        <f t="shared" si="2209"/>
        <v>4000</v>
      </c>
      <c r="V1083" s="20">
        <f t="shared" si="2209"/>
        <v>8000</v>
      </c>
      <c r="W1083" s="20">
        <f t="shared" si="2209"/>
        <v>8000</v>
      </c>
      <c r="X1083" s="20">
        <f t="shared" si="2209"/>
        <v>1</v>
      </c>
      <c r="Y1083" s="20">
        <f t="shared" si="2147"/>
        <v>0</v>
      </c>
      <c r="Z1083" s="30">
        <v>0</v>
      </c>
      <c r="AA1083" s="27">
        <v>0</v>
      </c>
      <c r="AB1083" s="27">
        <v>0</v>
      </c>
      <c r="AC1083" s="27">
        <v>0</v>
      </c>
      <c r="AD1083" s="23">
        <f t="shared" ref="AD1083:AE1083" si="2210">AD1053</f>
        <v>2</v>
      </c>
      <c r="AE1083" s="23">
        <f t="shared" si="2210"/>
        <v>5</v>
      </c>
    </row>
    <row r="1084" spans="1:31">
      <c r="A1084" s="8">
        <v>13101</v>
      </c>
      <c r="B1084" s="8">
        <v>3</v>
      </c>
      <c r="C1084" s="29" t="s">
        <v>68</v>
      </c>
      <c r="D1084" s="44">
        <f t="shared" si="2145"/>
        <v>84</v>
      </c>
      <c r="E1084" s="28">
        <v>0</v>
      </c>
      <c r="F1084" s="28">
        <v>0</v>
      </c>
      <c r="G1084" s="28">
        <v>0</v>
      </c>
      <c r="H1084" s="47">
        <v>0</v>
      </c>
      <c r="I1084" s="21">
        <f t="shared" si="2155"/>
        <v>55</v>
      </c>
      <c r="J1084" s="21">
        <f t="shared" si="2108"/>
        <v>2</v>
      </c>
      <c r="K1084" s="21">
        <v>0</v>
      </c>
      <c r="L1084" s="20">
        <v>35</v>
      </c>
      <c r="M1084" s="20">
        <v>0</v>
      </c>
      <c r="N1084" s="20">
        <f t="shared" si="2156"/>
        <v>40</v>
      </c>
      <c r="O1084" s="19" t="s">
        <v>68</v>
      </c>
      <c r="P1084" s="20">
        <v>8600</v>
      </c>
      <c r="Q1084" s="20">
        <f t="shared" ref="Q1084:X1084" si="2211">Q1054</f>
        <v>4</v>
      </c>
      <c r="R1084" s="20">
        <f t="shared" si="2211"/>
        <v>16</v>
      </c>
      <c r="S1084" s="20">
        <f t="shared" si="2211"/>
        <v>28</v>
      </c>
      <c r="T1084" s="20">
        <f t="shared" si="2211"/>
        <v>36</v>
      </c>
      <c r="U1084" s="20">
        <f t="shared" si="2211"/>
        <v>1600</v>
      </c>
      <c r="V1084" s="20">
        <f t="shared" si="2211"/>
        <v>5000</v>
      </c>
      <c r="W1084" s="20">
        <f t="shared" si="2211"/>
        <v>6000</v>
      </c>
      <c r="X1084" s="20">
        <f t="shared" si="2211"/>
        <v>1</v>
      </c>
      <c r="Y1084" s="20">
        <f t="shared" si="2147"/>
        <v>0</v>
      </c>
      <c r="Z1084" s="30">
        <v>0</v>
      </c>
      <c r="AA1084" s="27">
        <v>0</v>
      </c>
      <c r="AB1084" s="27">
        <v>0</v>
      </c>
      <c r="AC1084" s="27">
        <v>0</v>
      </c>
      <c r="AD1084" s="23">
        <f t="shared" ref="AD1084:AE1084" si="2212">AD1054</f>
        <v>4</v>
      </c>
      <c r="AE1084" s="23">
        <f t="shared" si="2212"/>
        <v>8</v>
      </c>
    </row>
    <row r="1085" spans="1:31">
      <c r="A1085" s="4">
        <v>13101</v>
      </c>
      <c r="B1085" s="4">
        <v>4</v>
      </c>
      <c r="C1085" s="29" t="s">
        <v>69</v>
      </c>
      <c r="D1085" s="44">
        <f t="shared" si="2145"/>
        <v>91</v>
      </c>
      <c r="E1085" s="28">
        <v>0</v>
      </c>
      <c r="F1085" s="28">
        <v>0</v>
      </c>
      <c r="G1085" s="28">
        <v>0</v>
      </c>
      <c r="H1085" s="47">
        <v>0</v>
      </c>
      <c r="I1085" s="21">
        <f t="shared" si="2155"/>
        <v>55</v>
      </c>
      <c r="J1085" s="21">
        <f t="shared" si="2108"/>
        <v>3</v>
      </c>
      <c r="K1085" s="21">
        <v>0</v>
      </c>
      <c r="L1085" s="20">
        <v>30</v>
      </c>
      <c r="M1085" s="20">
        <v>0</v>
      </c>
      <c r="N1085" s="20">
        <f t="shared" si="2156"/>
        <v>100</v>
      </c>
      <c r="O1085" s="19" t="s">
        <v>69</v>
      </c>
      <c r="P1085" s="20">
        <v>6400</v>
      </c>
      <c r="Q1085" s="20">
        <f t="shared" ref="Q1085:X1085" si="2213">Q1055</f>
        <v>10</v>
      </c>
      <c r="R1085" s="20">
        <f t="shared" si="2213"/>
        <v>40</v>
      </c>
      <c r="S1085" s="20">
        <f t="shared" si="2213"/>
        <v>70</v>
      </c>
      <c r="T1085" s="20">
        <f t="shared" si="2213"/>
        <v>90</v>
      </c>
      <c r="U1085" s="20">
        <f t="shared" si="2213"/>
        <v>900</v>
      </c>
      <c r="V1085" s="20">
        <f t="shared" si="2213"/>
        <v>2000</v>
      </c>
      <c r="W1085" s="20">
        <f t="shared" si="2213"/>
        <v>8000</v>
      </c>
      <c r="X1085" s="20">
        <f t="shared" si="2213"/>
        <v>1</v>
      </c>
      <c r="Y1085" s="20">
        <f t="shared" si="2147"/>
        <v>0</v>
      </c>
      <c r="Z1085" s="30">
        <v>0</v>
      </c>
      <c r="AA1085" s="27">
        <v>0</v>
      </c>
      <c r="AB1085" s="27">
        <v>0</v>
      </c>
      <c r="AC1085" s="27">
        <v>0</v>
      </c>
      <c r="AD1085" s="23">
        <f t="shared" ref="AD1085:AE1085" si="2214">AD1055</f>
        <v>6</v>
      </c>
      <c r="AE1085" s="23">
        <f t="shared" si="2214"/>
        <v>10</v>
      </c>
    </row>
    <row r="1086" spans="1:31">
      <c r="A1086" s="4">
        <v>13101</v>
      </c>
      <c r="B1086" s="4">
        <v>5</v>
      </c>
      <c r="C1086" s="29" t="s">
        <v>70</v>
      </c>
      <c r="D1086" s="44">
        <f t="shared" si="2145"/>
        <v>99</v>
      </c>
      <c r="E1086" s="28">
        <v>0</v>
      </c>
      <c r="F1086" s="28">
        <v>0</v>
      </c>
      <c r="G1086" s="28">
        <v>0</v>
      </c>
      <c r="H1086" s="47">
        <v>0</v>
      </c>
      <c r="I1086" s="21">
        <f t="shared" si="2155"/>
        <v>110</v>
      </c>
      <c r="J1086" s="21">
        <f t="shared" si="2108"/>
        <v>4</v>
      </c>
      <c r="K1086" s="21">
        <v>0</v>
      </c>
      <c r="L1086" s="20">
        <v>25</v>
      </c>
      <c r="M1086" s="20">
        <v>0</v>
      </c>
      <c r="N1086" s="20">
        <f t="shared" si="2156"/>
        <v>200</v>
      </c>
      <c r="O1086" s="19" t="s">
        <v>70</v>
      </c>
      <c r="P1086" s="20">
        <v>3100</v>
      </c>
      <c r="Q1086" s="20">
        <f t="shared" ref="Q1086:X1086" si="2215">Q1056</f>
        <v>20</v>
      </c>
      <c r="R1086" s="20">
        <f t="shared" si="2215"/>
        <v>80</v>
      </c>
      <c r="S1086" s="20">
        <f t="shared" si="2215"/>
        <v>140</v>
      </c>
      <c r="T1086" s="20">
        <f t="shared" si="2215"/>
        <v>180</v>
      </c>
      <c r="U1086" s="20">
        <f t="shared" si="2215"/>
        <v>1000</v>
      </c>
      <c r="V1086" s="20">
        <f t="shared" si="2215"/>
        <v>2000</v>
      </c>
      <c r="W1086" s="20">
        <f t="shared" si="2215"/>
        <v>2000</v>
      </c>
      <c r="X1086" s="20">
        <f t="shared" si="2215"/>
        <v>2</v>
      </c>
      <c r="Y1086" s="20">
        <f t="shared" si="2147"/>
        <v>0</v>
      </c>
      <c r="Z1086" s="30">
        <v>0</v>
      </c>
      <c r="AA1086" s="27">
        <v>0</v>
      </c>
      <c r="AB1086" s="27">
        <v>0</v>
      </c>
      <c r="AC1086" s="27">
        <v>0</v>
      </c>
      <c r="AD1086" s="23">
        <f t="shared" ref="AD1086:AE1086" si="2216">AD1056</f>
        <v>8</v>
      </c>
      <c r="AE1086" s="23">
        <f t="shared" si="2216"/>
        <v>12</v>
      </c>
    </row>
    <row r="1087" spans="1:31">
      <c r="A1087" s="4">
        <v>13101</v>
      </c>
      <c r="B1087" s="4">
        <v>6</v>
      </c>
      <c r="C1087" s="29" t="s">
        <v>71</v>
      </c>
      <c r="D1087" s="44">
        <f t="shared" si="2145"/>
        <v>107</v>
      </c>
      <c r="E1087" s="28">
        <v>0</v>
      </c>
      <c r="F1087" s="28">
        <v>0</v>
      </c>
      <c r="G1087" s="28">
        <v>0</v>
      </c>
      <c r="H1087" s="47">
        <v>0</v>
      </c>
      <c r="I1087" s="21">
        <f t="shared" si="2155"/>
        <v>110</v>
      </c>
      <c r="J1087" s="21">
        <f t="shared" si="2108"/>
        <v>5</v>
      </c>
      <c r="K1087" s="21">
        <v>0</v>
      </c>
      <c r="L1087" s="20">
        <v>20</v>
      </c>
      <c r="M1087" s="20">
        <v>0</v>
      </c>
      <c r="N1087" s="20">
        <f t="shared" si="2156"/>
        <v>500</v>
      </c>
      <c r="O1087" s="19" t="s">
        <v>71</v>
      </c>
      <c r="P1087" s="20">
        <v>1777</v>
      </c>
      <c r="Q1087" s="20">
        <f t="shared" ref="Q1087:X1087" si="2217">Q1057</f>
        <v>50</v>
      </c>
      <c r="R1087" s="20">
        <f t="shared" si="2217"/>
        <v>200</v>
      </c>
      <c r="S1087" s="20">
        <f t="shared" si="2217"/>
        <v>350</v>
      </c>
      <c r="T1087" s="20">
        <f t="shared" si="2217"/>
        <v>450</v>
      </c>
      <c r="U1087" s="20">
        <f t="shared" si="2217"/>
        <v>800</v>
      </c>
      <c r="V1087" s="20">
        <f t="shared" si="2217"/>
        <v>800</v>
      </c>
      <c r="W1087" s="20">
        <f t="shared" si="2217"/>
        <v>600</v>
      </c>
      <c r="X1087" s="20">
        <f t="shared" si="2217"/>
        <v>2</v>
      </c>
      <c r="Y1087" s="20">
        <f t="shared" si="2147"/>
        <v>0</v>
      </c>
      <c r="Z1087" s="30">
        <v>0</v>
      </c>
      <c r="AA1087" s="27">
        <v>0</v>
      </c>
      <c r="AB1087" s="27">
        <v>0</v>
      </c>
      <c r="AC1087" s="27">
        <v>0</v>
      </c>
      <c r="AD1087" s="23">
        <f t="shared" ref="AD1087:AE1087" si="2218">AD1057</f>
        <v>10</v>
      </c>
      <c r="AE1087" s="23">
        <f t="shared" si="2218"/>
        <v>14</v>
      </c>
    </row>
    <row r="1088" spans="1:31">
      <c r="A1088" s="4">
        <v>13101</v>
      </c>
      <c r="B1088" s="4">
        <v>7</v>
      </c>
      <c r="C1088" s="29" t="s">
        <v>72</v>
      </c>
      <c r="D1088" s="44">
        <f t="shared" si="2145"/>
        <v>116</v>
      </c>
      <c r="E1088" s="28">
        <v>0</v>
      </c>
      <c r="F1088" s="28">
        <v>0</v>
      </c>
      <c r="G1088" s="28">
        <v>0</v>
      </c>
      <c r="H1088" s="47">
        <v>0</v>
      </c>
      <c r="I1088" s="21">
        <f t="shared" si="2155"/>
        <v>110</v>
      </c>
      <c r="J1088" s="21">
        <f t="shared" si="2108"/>
        <v>6</v>
      </c>
      <c r="K1088" s="21">
        <v>0</v>
      </c>
      <c r="L1088" s="20">
        <v>16</v>
      </c>
      <c r="M1088" s="20">
        <v>0</v>
      </c>
      <c r="N1088" s="20">
        <f t="shared" si="2156"/>
        <v>700</v>
      </c>
      <c r="O1088" s="19" t="s">
        <v>72</v>
      </c>
      <c r="P1088" s="20">
        <v>2332</v>
      </c>
      <c r="Q1088" s="20">
        <f t="shared" ref="Q1088:X1088" si="2219">Q1058</f>
        <v>70</v>
      </c>
      <c r="R1088" s="20">
        <f t="shared" si="2219"/>
        <v>280</v>
      </c>
      <c r="S1088" s="20">
        <f t="shared" si="2219"/>
        <v>489.99999999999994</v>
      </c>
      <c r="T1088" s="20">
        <f t="shared" si="2219"/>
        <v>630</v>
      </c>
      <c r="U1088" s="20">
        <f t="shared" si="2219"/>
        <v>650</v>
      </c>
      <c r="V1088" s="20">
        <f t="shared" si="2219"/>
        <v>800</v>
      </c>
      <c r="W1088" s="20">
        <f t="shared" si="2219"/>
        <v>300</v>
      </c>
      <c r="X1088" s="20">
        <f t="shared" si="2219"/>
        <v>2</v>
      </c>
      <c r="Y1088" s="20">
        <f t="shared" si="2147"/>
        <v>0</v>
      </c>
      <c r="Z1088" s="30">
        <v>0</v>
      </c>
      <c r="AA1088" s="27">
        <v>0</v>
      </c>
      <c r="AB1088" s="27">
        <v>0</v>
      </c>
      <c r="AC1088" s="27">
        <v>0</v>
      </c>
      <c r="AD1088" s="23">
        <f t="shared" ref="AD1088:AE1088" si="2220">AD1058</f>
        <v>12</v>
      </c>
      <c r="AE1088" s="23">
        <f t="shared" si="2220"/>
        <v>16</v>
      </c>
    </row>
    <row r="1089" spans="1:31">
      <c r="A1089" s="4">
        <v>13101</v>
      </c>
      <c r="B1089" s="4">
        <v>8</v>
      </c>
      <c r="C1089" s="29" t="s">
        <v>73</v>
      </c>
      <c r="D1089" s="44">
        <f t="shared" si="2145"/>
        <v>126</v>
      </c>
      <c r="E1089" s="28">
        <v>0</v>
      </c>
      <c r="F1089" s="28">
        <v>0</v>
      </c>
      <c r="G1089" s="28">
        <v>0</v>
      </c>
      <c r="H1089" s="47">
        <v>0</v>
      </c>
      <c r="I1089" s="21">
        <f t="shared" si="2155"/>
        <v>110</v>
      </c>
      <c r="J1089" s="21">
        <f t="shared" si="2108"/>
        <v>7</v>
      </c>
      <c r="K1089" s="21">
        <v>0</v>
      </c>
      <c r="L1089" s="20">
        <v>12</v>
      </c>
      <c r="M1089" s="20">
        <v>0</v>
      </c>
      <c r="N1089" s="20">
        <f t="shared" si="2156"/>
        <v>800</v>
      </c>
      <c r="O1089" s="19" t="s">
        <v>73</v>
      </c>
      <c r="P1089" s="20">
        <v>1487</v>
      </c>
      <c r="Q1089" s="20">
        <f t="shared" ref="Q1089:X1089" si="2221">Q1059</f>
        <v>80</v>
      </c>
      <c r="R1089" s="20">
        <f t="shared" si="2221"/>
        <v>320</v>
      </c>
      <c r="S1089" s="20">
        <f t="shared" si="2221"/>
        <v>560</v>
      </c>
      <c r="T1089" s="20">
        <f t="shared" si="2221"/>
        <v>720</v>
      </c>
      <c r="U1089" s="20">
        <f t="shared" si="2221"/>
        <v>200</v>
      </c>
      <c r="V1089" s="20">
        <f t="shared" si="2221"/>
        <v>2000</v>
      </c>
      <c r="W1089" s="20">
        <f t="shared" si="2221"/>
        <v>1000</v>
      </c>
      <c r="X1089" s="20">
        <f t="shared" si="2221"/>
        <v>2</v>
      </c>
      <c r="Y1089" s="20">
        <f t="shared" si="2147"/>
        <v>37</v>
      </c>
      <c r="Z1089" s="30">
        <v>0</v>
      </c>
      <c r="AA1089" s="27">
        <v>0</v>
      </c>
      <c r="AB1089" s="27">
        <v>0</v>
      </c>
      <c r="AC1089" s="27">
        <v>0</v>
      </c>
      <c r="AD1089" s="23">
        <f t="shared" ref="AD1089:AE1089" si="2222">AD1059</f>
        <v>14</v>
      </c>
      <c r="AE1089" s="23">
        <f t="shared" si="2222"/>
        <v>18</v>
      </c>
    </row>
    <row r="1090" spans="1:31">
      <c r="A1090" s="4">
        <v>13101</v>
      </c>
      <c r="B1090" s="4">
        <v>9</v>
      </c>
      <c r="C1090" s="29" t="s">
        <v>74</v>
      </c>
      <c r="D1090" s="44">
        <f t="shared" si="2145"/>
        <v>136</v>
      </c>
      <c r="E1090" s="28">
        <v>0</v>
      </c>
      <c r="F1090" s="28">
        <v>0</v>
      </c>
      <c r="G1090" s="28">
        <v>0</v>
      </c>
      <c r="H1090" s="47">
        <v>0</v>
      </c>
      <c r="I1090" s="21">
        <f t="shared" si="2155"/>
        <v>165</v>
      </c>
      <c r="J1090" s="21">
        <f t="shared" si="2108"/>
        <v>8</v>
      </c>
      <c r="K1090" s="21">
        <v>0</v>
      </c>
      <c r="L1090" s="20">
        <v>8</v>
      </c>
      <c r="M1090" s="20">
        <v>0</v>
      </c>
      <c r="N1090" s="20">
        <f t="shared" si="2156"/>
        <v>900</v>
      </c>
      <c r="O1090" s="19" t="s">
        <v>74</v>
      </c>
      <c r="P1090" s="20">
        <v>1518</v>
      </c>
      <c r="Q1090" s="20">
        <f t="shared" ref="Q1090:X1090" si="2223">Q1060</f>
        <v>90</v>
      </c>
      <c r="R1090" s="20">
        <f t="shared" si="2223"/>
        <v>360</v>
      </c>
      <c r="S1090" s="20">
        <f t="shared" si="2223"/>
        <v>630</v>
      </c>
      <c r="T1090" s="20">
        <f t="shared" si="2223"/>
        <v>810</v>
      </c>
      <c r="U1090" s="20">
        <f t="shared" si="2223"/>
        <v>120</v>
      </c>
      <c r="V1090" s="20">
        <f t="shared" si="2223"/>
        <v>1500</v>
      </c>
      <c r="W1090" s="20">
        <f t="shared" si="2223"/>
        <v>1000</v>
      </c>
      <c r="X1090" s="20">
        <f t="shared" si="2223"/>
        <v>3</v>
      </c>
      <c r="Y1090" s="20">
        <f t="shared" si="2147"/>
        <v>0</v>
      </c>
      <c r="Z1090" s="30">
        <v>0</v>
      </c>
      <c r="AA1090" s="27">
        <v>0</v>
      </c>
      <c r="AB1090" s="27">
        <v>0</v>
      </c>
      <c r="AC1090" s="27">
        <v>0</v>
      </c>
      <c r="AD1090" s="23">
        <f t="shared" ref="AD1090:AE1090" si="2224">AD1060</f>
        <v>16</v>
      </c>
      <c r="AE1090" s="23">
        <f t="shared" si="2224"/>
        <v>20</v>
      </c>
    </row>
    <row r="1091" spans="1:31">
      <c r="A1091" s="4">
        <v>13101</v>
      </c>
      <c r="B1091" s="4">
        <v>10</v>
      </c>
      <c r="C1091" s="29" t="s">
        <v>75</v>
      </c>
      <c r="D1091" s="44">
        <f t="shared" si="2145"/>
        <v>147</v>
      </c>
      <c r="E1091" s="28">
        <v>0</v>
      </c>
      <c r="F1091" s="28">
        <v>0</v>
      </c>
      <c r="G1091" s="28">
        <v>0</v>
      </c>
      <c r="H1091" s="47">
        <v>0</v>
      </c>
      <c r="I1091" s="21">
        <f t="shared" si="2155"/>
        <v>165</v>
      </c>
      <c r="J1091" s="21">
        <f t="shared" si="2108"/>
        <v>9</v>
      </c>
      <c r="K1091" s="21">
        <v>0</v>
      </c>
      <c r="L1091" s="20">
        <v>6</v>
      </c>
      <c r="M1091" s="20">
        <v>0</v>
      </c>
      <c r="N1091" s="20">
        <f t="shared" si="2156"/>
        <v>2000</v>
      </c>
      <c r="O1091" s="19" t="s">
        <v>75</v>
      </c>
      <c r="P1091" s="20">
        <v>861</v>
      </c>
      <c r="Q1091" s="20">
        <f t="shared" ref="Q1091:X1091" si="2225">Q1061</f>
        <v>200</v>
      </c>
      <c r="R1091" s="20">
        <f t="shared" si="2225"/>
        <v>800</v>
      </c>
      <c r="S1091" s="20">
        <f t="shared" si="2225"/>
        <v>1400</v>
      </c>
      <c r="T1091" s="20">
        <f t="shared" si="2225"/>
        <v>1800</v>
      </c>
      <c r="U1091" s="20">
        <f t="shared" si="2225"/>
        <v>150</v>
      </c>
      <c r="V1091" s="20">
        <f t="shared" si="2225"/>
        <v>5000</v>
      </c>
      <c r="W1091" s="20">
        <f t="shared" si="2225"/>
        <v>800</v>
      </c>
      <c r="X1091" s="20">
        <f t="shared" si="2225"/>
        <v>3</v>
      </c>
      <c r="Y1091" s="20">
        <f t="shared" si="2147"/>
        <v>0</v>
      </c>
      <c r="Z1091" s="30">
        <v>0</v>
      </c>
      <c r="AA1091" s="27">
        <v>0</v>
      </c>
      <c r="AB1091" s="27">
        <v>0</v>
      </c>
      <c r="AC1091" s="27">
        <v>0</v>
      </c>
      <c r="AD1091" s="23">
        <f t="shared" ref="AD1091:AE1091" si="2226">AD1061</f>
        <v>18</v>
      </c>
      <c r="AE1091" s="23">
        <f t="shared" si="2226"/>
        <v>22</v>
      </c>
    </row>
    <row r="1092" spans="1:31">
      <c r="A1092" s="4">
        <v>13101</v>
      </c>
      <c r="B1092" s="4">
        <v>11</v>
      </c>
      <c r="C1092" s="29" t="s">
        <v>66</v>
      </c>
      <c r="D1092" s="44">
        <f t="shared" si="2145"/>
        <v>159</v>
      </c>
      <c r="E1092" s="28">
        <v>0</v>
      </c>
      <c r="F1092" s="28">
        <v>0</v>
      </c>
      <c r="G1092" s="28">
        <v>0</v>
      </c>
      <c r="H1092" s="47">
        <v>0</v>
      </c>
      <c r="I1092" s="21">
        <f t="shared" si="2155"/>
        <v>165</v>
      </c>
      <c r="J1092" s="21">
        <f t="shared" si="2108"/>
        <v>10</v>
      </c>
      <c r="K1092" s="21">
        <v>0</v>
      </c>
      <c r="L1092" s="20">
        <v>6</v>
      </c>
      <c r="M1092" s="20">
        <v>0</v>
      </c>
      <c r="N1092" s="20">
        <f t="shared" si="2156"/>
        <v>2200</v>
      </c>
      <c r="O1092" s="19" t="s">
        <v>66</v>
      </c>
      <c r="P1092" s="20">
        <v>9400</v>
      </c>
      <c r="Q1092" s="20">
        <f t="shared" ref="Q1092:X1092" si="2227">Q1062</f>
        <v>220</v>
      </c>
      <c r="R1092" s="20">
        <f t="shared" si="2227"/>
        <v>880</v>
      </c>
      <c r="S1092" s="20">
        <f t="shared" si="2227"/>
        <v>1540</v>
      </c>
      <c r="T1092" s="20">
        <f t="shared" si="2227"/>
        <v>1980</v>
      </c>
      <c r="U1092" s="20">
        <f t="shared" si="2227"/>
        <v>100</v>
      </c>
      <c r="V1092" s="20">
        <f t="shared" si="2227"/>
        <v>800</v>
      </c>
      <c r="W1092" s="20">
        <f t="shared" si="2227"/>
        <v>600</v>
      </c>
      <c r="X1092" s="20">
        <f t="shared" si="2227"/>
        <v>3</v>
      </c>
      <c r="Y1092" s="20">
        <f t="shared" si="2147"/>
        <v>0</v>
      </c>
      <c r="Z1092" s="30">
        <v>0</v>
      </c>
      <c r="AA1092" s="27">
        <v>0</v>
      </c>
      <c r="AB1092" s="27">
        <v>0</v>
      </c>
      <c r="AC1092" s="27">
        <v>0</v>
      </c>
      <c r="AD1092" s="23">
        <f t="shared" ref="AD1092:AE1092" si="2228">AD1062</f>
        <v>20</v>
      </c>
      <c r="AE1092" s="23">
        <f t="shared" si="2228"/>
        <v>24</v>
      </c>
    </row>
    <row r="1093" spans="1:31">
      <c r="A1093" s="4">
        <v>13101</v>
      </c>
      <c r="B1093" s="4">
        <v>12</v>
      </c>
      <c r="C1093" s="29" t="s">
        <v>67</v>
      </c>
      <c r="D1093" s="44">
        <f t="shared" si="2145"/>
        <v>172</v>
      </c>
      <c r="E1093" s="28">
        <v>0</v>
      </c>
      <c r="F1093" s="28">
        <v>0</v>
      </c>
      <c r="G1093" s="28">
        <v>0</v>
      </c>
      <c r="H1093" s="47">
        <v>0</v>
      </c>
      <c r="I1093" s="21">
        <f t="shared" si="2155"/>
        <v>165</v>
      </c>
      <c r="J1093" s="21">
        <f t="shared" si="2108"/>
        <v>11</v>
      </c>
      <c r="K1093" s="21">
        <v>0</v>
      </c>
      <c r="L1093" s="20">
        <v>6</v>
      </c>
      <c r="M1093" s="20">
        <v>0</v>
      </c>
      <c r="N1093" s="20">
        <f t="shared" si="2156"/>
        <v>2400</v>
      </c>
      <c r="O1093" s="19" t="s">
        <v>67</v>
      </c>
      <c r="P1093" s="20">
        <v>9100</v>
      </c>
      <c r="Q1093" s="20">
        <f t="shared" ref="Q1093:X1093" si="2229">Q1063</f>
        <v>240</v>
      </c>
      <c r="R1093" s="20">
        <f t="shared" si="2229"/>
        <v>960</v>
      </c>
      <c r="S1093" s="20">
        <f t="shared" si="2229"/>
        <v>1680</v>
      </c>
      <c r="T1093" s="20">
        <f t="shared" si="2229"/>
        <v>2160</v>
      </c>
      <c r="U1093" s="20">
        <f t="shared" si="2229"/>
        <v>150</v>
      </c>
      <c r="V1093" s="20">
        <f t="shared" si="2229"/>
        <v>700</v>
      </c>
      <c r="W1093" s="20">
        <f t="shared" si="2229"/>
        <v>900</v>
      </c>
      <c r="X1093" s="20">
        <f t="shared" si="2229"/>
        <v>3</v>
      </c>
      <c r="Y1093" s="20">
        <f t="shared" si="2147"/>
        <v>0</v>
      </c>
      <c r="Z1093" s="30">
        <v>0</v>
      </c>
      <c r="AA1093" s="27">
        <v>0</v>
      </c>
      <c r="AB1093" s="27">
        <v>0</v>
      </c>
      <c r="AC1093" s="27">
        <v>0</v>
      </c>
      <c r="AD1093" s="23">
        <f t="shared" ref="AD1093:AE1093" si="2230">AD1063</f>
        <v>22</v>
      </c>
      <c r="AE1093" s="23">
        <f t="shared" si="2230"/>
        <v>26</v>
      </c>
    </row>
    <row r="1094" spans="1:31">
      <c r="A1094" s="4">
        <v>13101</v>
      </c>
      <c r="B1094" s="4">
        <v>13</v>
      </c>
      <c r="C1094" s="29" t="s">
        <v>68</v>
      </c>
      <c r="D1094" s="44">
        <f t="shared" si="2145"/>
        <v>187</v>
      </c>
      <c r="E1094" s="28">
        <v>0</v>
      </c>
      <c r="F1094" s="28">
        <v>0</v>
      </c>
      <c r="G1094" s="28">
        <v>0</v>
      </c>
      <c r="H1094" s="47">
        <v>0</v>
      </c>
      <c r="I1094" s="21">
        <f t="shared" si="2155"/>
        <v>220</v>
      </c>
      <c r="J1094" s="21">
        <f t="shared" si="2108"/>
        <v>12</v>
      </c>
      <c r="K1094" s="21">
        <v>0</v>
      </c>
      <c r="L1094" s="20">
        <v>6</v>
      </c>
      <c r="M1094" s="20">
        <v>0</v>
      </c>
      <c r="N1094" s="20">
        <f t="shared" si="2156"/>
        <v>2600</v>
      </c>
      <c r="O1094" s="19" t="s">
        <v>68</v>
      </c>
      <c r="P1094" s="20">
        <v>8600</v>
      </c>
      <c r="Q1094" s="20">
        <f t="shared" ref="Q1094:X1094" si="2231">Q1064</f>
        <v>260</v>
      </c>
      <c r="R1094" s="20">
        <f t="shared" si="2231"/>
        <v>1040</v>
      </c>
      <c r="S1094" s="20">
        <f t="shared" si="2231"/>
        <v>1819.9999999999998</v>
      </c>
      <c r="T1094" s="20">
        <f t="shared" si="2231"/>
        <v>2340</v>
      </c>
      <c r="U1094" s="20">
        <f t="shared" si="2231"/>
        <v>100</v>
      </c>
      <c r="V1094" s="20">
        <f t="shared" si="2231"/>
        <v>700</v>
      </c>
      <c r="W1094" s="20">
        <f t="shared" si="2231"/>
        <v>1000</v>
      </c>
      <c r="X1094" s="20">
        <f t="shared" si="2231"/>
        <v>4</v>
      </c>
      <c r="Y1094" s="20">
        <f t="shared" si="2147"/>
        <v>75</v>
      </c>
      <c r="Z1094" s="30">
        <v>0</v>
      </c>
      <c r="AA1094" s="27">
        <v>0</v>
      </c>
      <c r="AB1094" s="27">
        <v>0</v>
      </c>
      <c r="AC1094" s="27">
        <v>0</v>
      </c>
      <c r="AD1094" s="23">
        <f t="shared" ref="AD1094:AE1094" si="2232">AD1064</f>
        <v>24</v>
      </c>
      <c r="AE1094" s="23">
        <f t="shared" si="2232"/>
        <v>28</v>
      </c>
    </row>
    <row r="1095" spans="1:31">
      <c r="A1095" s="4">
        <v>13101</v>
      </c>
      <c r="B1095" s="4">
        <v>14</v>
      </c>
      <c r="C1095" s="29" t="s">
        <v>69</v>
      </c>
      <c r="D1095" s="44">
        <f t="shared" si="2145"/>
        <v>202</v>
      </c>
      <c r="E1095" s="28">
        <v>0</v>
      </c>
      <c r="F1095" s="28">
        <v>0</v>
      </c>
      <c r="G1095" s="28">
        <v>0</v>
      </c>
      <c r="H1095" s="47">
        <v>0</v>
      </c>
      <c r="I1095" s="21">
        <f t="shared" si="2155"/>
        <v>220</v>
      </c>
      <c r="J1095" s="21">
        <f t="shared" si="2108"/>
        <v>13</v>
      </c>
      <c r="K1095" s="21">
        <v>0</v>
      </c>
      <c r="L1095" s="20">
        <v>6</v>
      </c>
      <c r="M1095" s="20">
        <v>0</v>
      </c>
      <c r="N1095" s="20">
        <f t="shared" si="2156"/>
        <v>2800</v>
      </c>
      <c r="O1095" s="19" t="s">
        <v>69</v>
      </c>
      <c r="P1095" s="20">
        <v>6400</v>
      </c>
      <c r="Q1095" s="20">
        <f t="shared" ref="Q1095:X1095" si="2233">Q1065</f>
        <v>280</v>
      </c>
      <c r="R1095" s="20">
        <f t="shared" si="2233"/>
        <v>1120</v>
      </c>
      <c r="S1095" s="20">
        <f t="shared" si="2233"/>
        <v>1959.9999999999998</v>
      </c>
      <c r="T1095" s="20">
        <f t="shared" si="2233"/>
        <v>2520</v>
      </c>
      <c r="U1095" s="20">
        <f t="shared" si="2233"/>
        <v>100</v>
      </c>
      <c r="V1095" s="20">
        <f t="shared" si="2233"/>
        <v>400</v>
      </c>
      <c r="W1095" s="20">
        <f t="shared" si="2233"/>
        <v>1200</v>
      </c>
      <c r="X1095" s="20">
        <f t="shared" si="2233"/>
        <v>4</v>
      </c>
      <c r="Y1095" s="20">
        <f t="shared" si="2147"/>
        <v>0</v>
      </c>
      <c r="Z1095" s="30">
        <v>0</v>
      </c>
      <c r="AA1095" s="27">
        <v>0</v>
      </c>
      <c r="AB1095" s="27">
        <v>0</v>
      </c>
      <c r="AC1095" s="27">
        <v>0</v>
      </c>
      <c r="AD1095" s="23">
        <f t="shared" ref="AD1095:AE1095" si="2234">AD1065</f>
        <v>26</v>
      </c>
      <c r="AE1095" s="23">
        <f t="shared" si="2234"/>
        <v>30</v>
      </c>
    </row>
    <row r="1096" spans="1:31">
      <c r="A1096" s="8">
        <v>13101</v>
      </c>
      <c r="B1096" s="8">
        <v>15</v>
      </c>
      <c r="C1096" s="29" t="s">
        <v>70</v>
      </c>
      <c r="D1096" s="44">
        <f t="shared" si="2145"/>
        <v>219</v>
      </c>
      <c r="E1096" s="28">
        <v>0</v>
      </c>
      <c r="F1096" s="28">
        <v>0</v>
      </c>
      <c r="G1096" s="28">
        <v>0</v>
      </c>
      <c r="H1096" s="47">
        <v>0</v>
      </c>
      <c r="I1096" s="21">
        <f t="shared" si="2155"/>
        <v>220</v>
      </c>
      <c r="J1096" s="21">
        <f t="shared" si="2108"/>
        <v>14</v>
      </c>
      <c r="K1096" s="21">
        <v>0</v>
      </c>
      <c r="L1096" s="20">
        <v>6</v>
      </c>
      <c r="M1096" s="20">
        <v>0</v>
      </c>
      <c r="N1096" s="20">
        <f t="shared" si="2156"/>
        <v>4500</v>
      </c>
      <c r="O1096" s="19" t="s">
        <v>70</v>
      </c>
      <c r="P1096" s="20">
        <v>3100</v>
      </c>
      <c r="Q1096" s="20">
        <f t="shared" ref="Q1096:X1096" si="2235">Q1066</f>
        <v>450</v>
      </c>
      <c r="R1096" s="20">
        <f t="shared" si="2235"/>
        <v>1800</v>
      </c>
      <c r="S1096" s="20">
        <f t="shared" si="2235"/>
        <v>3150</v>
      </c>
      <c r="T1096" s="20">
        <f t="shared" si="2235"/>
        <v>4050</v>
      </c>
      <c r="U1096" s="20">
        <f t="shared" si="2235"/>
        <v>100</v>
      </c>
      <c r="V1096" s="20">
        <f t="shared" si="2235"/>
        <v>1000</v>
      </c>
      <c r="W1096" s="20">
        <f t="shared" si="2235"/>
        <v>600</v>
      </c>
      <c r="X1096" s="20">
        <f t="shared" si="2235"/>
        <v>4</v>
      </c>
      <c r="Y1096" s="20">
        <f t="shared" si="2147"/>
        <v>0</v>
      </c>
      <c r="Z1096" s="30">
        <v>0</v>
      </c>
      <c r="AA1096" s="27">
        <v>0</v>
      </c>
      <c r="AB1096" s="27">
        <v>0</v>
      </c>
      <c r="AC1096" s="27">
        <v>0</v>
      </c>
      <c r="AD1096" s="23">
        <f t="shared" ref="AD1096:AE1096" si="2236">AD1066</f>
        <v>28</v>
      </c>
      <c r="AE1096" s="23">
        <f t="shared" si="2236"/>
        <v>32</v>
      </c>
    </row>
    <row r="1097" spans="1:31">
      <c r="A1097" s="4">
        <v>13101</v>
      </c>
      <c r="B1097" s="4">
        <v>16</v>
      </c>
      <c r="C1097" s="29" t="s">
        <v>71</v>
      </c>
      <c r="D1097" s="44">
        <f t="shared" si="2145"/>
        <v>237</v>
      </c>
      <c r="E1097" s="28">
        <v>0</v>
      </c>
      <c r="F1097" s="28">
        <v>0</v>
      </c>
      <c r="G1097" s="28">
        <v>0</v>
      </c>
      <c r="H1097" s="47">
        <v>0</v>
      </c>
      <c r="I1097" s="21">
        <f t="shared" si="2155"/>
        <v>220</v>
      </c>
      <c r="J1097" s="21">
        <f t="shared" si="2108"/>
        <v>15</v>
      </c>
      <c r="K1097" s="21">
        <v>0</v>
      </c>
      <c r="L1097" s="20">
        <v>6</v>
      </c>
      <c r="M1097" s="20">
        <v>0</v>
      </c>
      <c r="N1097" s="20">
        <f t="shared" si="2156"/>
        <v>4800</v>
      </c>
      <c r="O1097" s="19" t="s">
        <v>71</v>
      </c>
      <c r="P1097" s="20">
        <v>1777</v>
      </c>
      <c r="Q1097" s="20">
        <f t="shared" ref="Q1097:X1097" si="2237">Q1067</f>
        <v>480</v>
      </c>
      <c r="R1097" s="20">
        <f t="shared" si="2237"/>
        <v>1920</v>
      </c>
      <c r="S1097" s="20">
        <f t="shared" si="2237"/>
        <v>3360</v>
      </c>
      <c r="T1097" s="20">
        <f t="shared" si="2237"/>
        <v>4320</v>
      </c>
      <c r="U1097" s="20">
        <f t="shared" si="2237"/>
        <v>100</v>
      </c>
      <c r="V1097" s="20">
        <f t="shared" si="2237"/>
        <v>800</v>
      </c>
      <c r="W1097" s="20">
        <f t="shared" si="2237"/>
        <v>800</v>
      </c>
      <c r="X1097" s="20">
        <f t="shared" si="2237"/>
        <v>4</v>
      </c>
      <c r="Y1097" s="20">
        <f t="shared" si="2147"/>
        <v>0</v>
      </c>
      <c r="Z1097" s="30">
        <v>0</v>
      </c>
      <c r="AA1097" s="27">
        <v>0</v>
      </c>
      <c r="AB1097" s="27">
        <v>0</v>
      </c>
      <c r="AC1097" s="27">
        <v>0</v>
      </c>
      <c r="AD1097" s="23">
        <f t="shared" ref="AD1097:AE1097" si="2238">AD1067</f>
        <v>30</v>
      </c>
      <c r="AE1097" s="23">
        <f t="shared" si="2238"/>
        <v>34</v>
      </c>
    </row>
    <row r="1098" spans="1:31">
      <c r="A1098" s="4">
        <v>13101</v>
      </c>
      <c r="B1098" s="4">
        <v>17</v>
      </c>
      <c r="C1098" s="29" t="s">
        <v>72</v>
      </c>
      <c r="D1098" s="44">
        <f t="shared" si="2145"/>
        <v>256</v>
      </c>
      <c r="E1098" s="28">
        <v>0</v>
      </c>
      <c r="F1098" s="28">
        <v>0</v>
      </c>
      <c r="G1098" s="28">
        <v>0</v>
      </c>
      <c r="H1098" s="47">
        <v>0</v>
      </c>
      <c r="I1098" s="21">
        <f t="shared" si="2155"/>
        <v>275</v>
      </c>
      <c r="J1098" s="21">
        <f t="shared" si="2108"/>
        <v>16</v>
      </c>
      <c r="K1098" s="21">
        <v>0</v>
      </c>
      <c r="L1098" s="20">
        <v>6</v>
      </c>
      <c r="M1098" s="20">
        <v>0</v>
      </c>
      <c r="N1098" s="20">
        <f t="shared" si="2156"/>
        <v>5100</v>
      </c>
      <c r="O1098" s="19" t="s">
        <v>72</v>
      </c>
      <c r="P1098" s="20">
        <v>2332</v>
      </c>
      <c r="Q1098" s="20">
        <f t="shared" ref="Q1098:X1098" si="2239">Q1068</f>
        <v>510</v>
      </c>
      <c r="R1098" s="20">
        <f t="shared" si="2239"/>
        <v>2040</v>
      </c>
      <c r="S1098" s="20">
        <f t="shared" si="2239"/>
        <v>3570</v>
      </c>
      <c r="T1098" s="20">
        <f t="shared" si="2239"/>
        <v>4590</v>
      </c>
      <c r="U1098" s="20">
        <f t="shared" si="2239"/>
        <v>80</v>
      </c>
      <c r="V1098" s="20">
        <f t="shared" si="2239"/>
        <v>800</v>
      </c>
      <c r="W1098" s="20">
        <f t="shared" si="2239"/>
        <v>600</v>
      </c>
      <c r="X1098" s="20">
        <f t="shared" si="2239"/>
        <v>5</v>
      </c>
      <c r="Y1098" s="20">
        <f t="shared" si="2147"/>
        <v>0</v>
      </c>
      <c r="Z1098" s="30">
        <v>0</v>
      </c>
      <c r="AA1098" s="27">
        <v>0</v>
      </c>
      <c r="AB1098" s="27">
        <v>0</v>
      </c>
      <c r="AC1098" s="27">
        <v>0</v>
      </c>
      <c r="AD1098" s="23">
        <f t="shared" ref="AD1098:AE1098" si="2240">AD1068</f>
        <v>32</v>
      </c>
      <c r="AE1098" s="23">
        <f t="shared" si="2240"/>
        <v>36</v>
      </c>
    </row>
    <row r="1099" spans="1:31">
      <c r="A1099" s="4">
        <v>13101</v>
      </c>
      <c r="B1099" s="4">
        <v>18</v>
      </c>
      <c r="C1099" s="29" t="s">
        <v>73</v>
      </c>
      <c r="D1099" s="44">
        <f t="shared" si="2145"/>
        <v>278</v>
      </c>
      <c r="E1099" s="28">
        <v>0</v>
      </c>
      <c r="F1099" s="28">
        <v>0</v>
      </c>
      <c r="G1099" s="28">
        <v>0</v>
      </c>
      <c r="H1099" s="47">
        <v>0</v>
      </c>
      <c r="I1099" s="21">
        <f t="shared" si="2155"/>
        <v>275</v>
      </c>
      <c r="J1099" s="21">
        <f t="shared" ref="J1099:J1162" si="2241">B1099-1</f>
        <v>17</v>
      </c>
      <c r="K1099" s="21">
        <v>0</v>
      </c>
      <c r="L1099" s="20">
        <v>6</v>
      </c>
      <c r="M1099" s="20">
        <v>0</v>
      </c>
      <c r="N1099" s="20">
        <f t="shared" si="2156"/>
        <v>5400</v>
      </c>
      <c r="O1099" s="19" t="s">
        <v>73</v>
      </c>
      <c r="P1099" s="20">
        <v>1487</v>
      </c>
      <c r="Q1099" s="20">
        <f t="shared" ref="Q1099:X1099" si="2242">Q1069</f>
        <v>540</v>
      </c>
      <c r="R1099" s="20">
        <f t="shared" si="2242"/>
        <v>2160</v>
      </c>
      <c r="S1099" s="20">
        <f t="shared" si="2242"/>
        <v>3779.9999999999995</v>
      </c>
      <c r="T1099" s="20">
        <f t="shared" si="2242"/>
        <v>4860</v>
      </c>
      <c r="U1099" s="20">
        <f t="shared" si="2242"/>
        <v>100</v>
      </c>
      <c r="V1099" s="20">
        <f t="shared" si="2242"/>
        <v>600</v>
      </c>
      <c r="W1099" s="20">
        <f t="shared" si="2242"/>
        <v>300</v>
      </c>
      <c r="X1099" s="20">
        <f t="shared" si="2242"/>
        <v>5</v>
      </c>
      <c r="Y1099" s="20">
        <f t="shared" si="2147"/>
        <v>113</v>
      </c>
      <c r="Z1099" s="30">
        <v>0</v>
      </c>
      <c r="AA1099" s="27">
        <v>0</v>
      </c>
      <c r="AB1099" s="27">
        <v>0</v>
      </c>
      <c r="AC1099" s="27">
        <v>0</v>
      </c>
      <c r="AD1099" s="23">
        <f t="shared" ref="AD1099:AE1099" si="2243">AD1069</f>
        <v>34</v>
      </c>
      <c r="AE1099" s="23">
        <f t="shared" si="2243"/>
        <v>38</v>
      </c>
    </row>
    <row r="1100" spans="1:31">
      <c r="A1100" s="4">
        <v>13101</v>
      </c>
      <c r="B1100" s="4">
        <v>19</v>
      </c>
      <c r="C1100" s="29" t="s">
        <v>74</v>
      </c>
      <c r="D1100" s="44">
        <f t="shared" si="2145"/>
        <v>301</v>
      </c>
      <c r="E1100" s="28">
        <v>0</v>
      </c>
      <c r="F1100" s="28">
        <v>0</v>
      </c>
      <c r="G1100" s="28">
        <v>0</v>
      </c>
      <c r="H1100" s="47">
        <v>0</v>
      </c>
      <c r="I1100" s="21">
        <f t="shared" si="2155"/>
        <v>275</v>
      </c>
      <c r="J1100" s="21">
        <f t="shared" si="2241"/>
        <v>18</v>
      </c>
      <c r="K1100" s="21">
        <v>0</v>
      </c>
      <c r="L1100" s="20">
        <v>6</v>
      </c>
      <c r="M1100" s="20">
        <v>0</v>
      </c>
      <c r="N1100" s="20">
        <f t="shared" si="2156"/>
        <v>5700</v>
      </c>
      <c r="O1100" s="19" t="s">
        <v>74</v>
      </c>
      <c r="P1100" s="20">
        <v>1518</v>
      </c>
      <c r="Q1100" s="20">
        <f t="shared" ref="Q1100:X1100" si="2244">Q1070</f>
        <v>570</v>
      </c>
      <c r="R1100" s="20">
        <f t="shared" si="2244"/>
        <v>2280</v>
      </c>
      <c r="S1100" s="20">
        <f t="shared" si="2244"/>
        <v>3989.9999999999995</v>
      </c>
      <c r="T1100" s="20">
        <f t="shared" si="2244"/>
        <v>5130</v>
      </c>
      <c r="U1100" s="20">
        <f t="shared" si="2244"/>
        <v>100</v>
      </c>
      <c r="V1100" s="20">
        <f t="shared" si="2244"/>
        <v>500</v>
      </c>
      <c r="W1100" s="20">
        <f t="shared" si="2244"/>
        <v>400</v>
      </c>
      <c r="X1100" s="20">
        <f t="shared" si="2244"/>
        <v>5</v>
      </c>
      <c r="Y1100" s="20">
        <f t="shared" si="2147"/>
        <v>0</v>
      </c>
      <c r="Z1100" s="30">
        <v>0</v>
      </c>
      <c r="AA1100" s="27">
        <v>0</v>
      </c>
      <c r="AB1100" s="27">
        <v>0</v>
      </c>
      <c r="AC1100" s="27">
        <v>0</v>
      </c>
      <c r="AD1100" s="23">
        <f t="shared" ref="AD1100:AE1100" si="2245">AD1070</f>
        <v>36</v>
      </c>
      <c r="AE1100" s="23">
        <f t="shared" si="2245"/>
        <v>40</v>
      </c>
    </row>
    <row r="1101" spans="1:31">
      <c r="A1101" s="4">
        <v>13101</v>
      </c>
      <c r="B1101" s="4">
        <v>20</v>
      </c>
      <c r="C1101" s="29" t="s">
        <v>75</v>
      </c>
      <c r="D1101" s="44">
        <f t="shared" si="2145"/>
        <v>325</v>
      </c>
      <c r="E1101" s="28">
        <v>0</v>
      </c>
      <c r="F1101" s="28">
        <v>0</v>
      </c>
      <c r="G1101" s="28">
        <v>0</v>
      </c>
      <c r="H1101" s="47">
        <v>0</v>
      </c>
      <c r="I1101" s="21">
        <f t="shared" si="2155"/>
        <v>275</v>
      </c>
      <c r="J1101" s="21">
        <f t="shared" si="2241"/>
        <v>19</v>
      </c>
      <c r="K1101" s="21">
        <v>0</v>
      </c>
      <c r="L1101" s="20">
        <v>6</v>
      </c>
      <c r="M1101" s="20">
        <v>0</v>
      </c>
      <c r="N1101" s="20">
        <f t="shared" si="2156"/>
        <v>8000</v>
      </c>
      <c r="O1101" s="19" t="s">
        <v>75</v>
      </c>
      <c r="P1101" s="20">
        <v>861</v>
      </c>
      <c r="Q1101" s="20">
        <f t="shared" ref="Q1101:X1101" si="2246">Q1071</f>
        <v>800</v>
      </c>
      <c r="R1101" s="20">
        <f t="shared" si="2246"/>
        <v>3200</v>
      </c>
      <c r="S1101" s="20">
        <f t="shared" si="2246"/>
        <v>5600</v>
      </c>
      <c r="T1101" s="20">
        <f t="shared" si="2246"/>
        <v>7200</v>
      </c>
      <c r="U1101" s="20">
        <f t="shared" si="2246"/>
        <v>100</v>
      </c>
      <c r="V1101" s="20">
        <f t="shared" si="2246"/>
        <v>800</v>
      </c>
      <c r="W1101" s="20">
        <f t="shared" si="2246"/>
        <v>8000</v>
      </c>
      <c r="X1101" s="20">
        <f t="shared" si="2246"/>
        <v>5</v>
      </c>
      <c r="Y1101" s="20">
        <f t="shared" si="2147"/>
        <v>0</v>
      </c>
      <c r="Z1101" s="30">
        <v>0</v>
      </c>
      <c r="AA1101" s="27">
        <v>0</v>
      </c>
      <c r="AB1101" s="27">
        <v>0</v>
      </c>
      <c r="AC1101" s="27">
        <v>0</v>
      </c>
      <c r="AD1101" s="23">
        <f t="shared" ref="AD1101:AE1101" si="2247">AD1071</f>
        <v>38</v>
      </c>
      <c r="AE1101" s="23">
        <f t="shared" si="2247"/>
        <v>42</v>
      </c>
    </row>
    <row r="1102" spans="1:31">
      <c r="A1102" s="4">
        <v>13101</v>
      </c>
      <c r="B1102" s="4">
        <v>21</v>
      </c>
      <c r="C1102" s="29" t="s">
        <v>66</v>
      </c>
      <c r="D1102" s="44">
        <f t="shared" si="2145"/>
        <v>352</v>
      </c>
      <c r="E1102" s="28">
        <v>0</v>
      </c>
      <c r="F1102" s="28">
        <v>0</v>
      </c>
      <c r="G1102" s="28">
        <v>0</v>
      </c>
      <c r="H1102" s="47">
        <v>0</v>
      </c>
      <c r="I1102" s="21">
        <f t="shared" si="2155"/>
        <v>330</v>
      </c>
      <c r="J1102" s="21">
        <f t="shared" si="2241"/>
        <v>20</v>
      </c>
      <c r="K1102" s="21">
        <v>0</v>
      </c>
      <c r="L1102" s="20">
        <v>6</v>
      </c>
      <c r="M1102" s="20">
        <v>0</v>
      </c>
      <c r="N1102" s="20">
        <f t="shared" si="2156"/>
        <v>8400</v>
      </c>
      <c r="O1102" s="19" t="s">
        <v>66</v>
      </c>
      <c r="P1102" s="20">
        <v>9400</v>
      </c>
      <c r="Q1102" s="20">
        <f t="shared" ref="Q1102:X1102" si="2248">Q1072</f>
        <v>840</v>
      </c>
      <c r="R1102" s="20">
        <f t="shared" si="2248"/>
        <v>3360</v>
      </c>
      <c r="S1102" s="20">
        <f t="shared" si="2248"/>
        <v>5880</v>
      </c>
      <c r="T1102" s="20">
        <f t="shared" si="2248"/>
        <v>7560</v>
      </c>
      <c r="U1102" s="20">
        <f t="shared" si="2248"/>
        <v>50</v>
      </c>
      <c r="V1102" s="20">
        <f t="shared" si="2248"/>
        <v>1000</v>
      </c>
      <c r="W1102" s="20">
        <f t="shared" si="2248"/>
        <v>600</v>
      </c>
      <c r="X1102" s="20">
        <f t="shared" si="2248"/>
        <v>6</v>
      </c>
      <c r="Y1102" s="20">
        <f t="shared" si="2147"/>
        <v>0</v>
      </c>
      <c r="Z1102" s="30">
        <v>0</v>
      </c>
      <c r="AA1102" s="27">
        <v>0</v>
      </c>
      <c r="AB1102" s="27">
        <v>0</v>
      </c>
      <c r="AC1102" s="27">
        <v>0</v>
      </c>
      <c r="AD1102" s="23">
        <f t="shared" ref="AD1102:AE1102" si="2249">AD1072</f>
        <v>40</v>
      </c>
      <c r="AE1102" s="23">
        <f t="shared" si="2249"/>
        <v>44</v>
      </c>
    </row>
    <row r="1103" spans="1:31">
      <c r="A1103" s="4">
        <v>13101</v>
      </c>
      <c r="B1103" s="4">
        <v>22</v>
      </c>
      <c r="C1103" s="29" t="s">
        <v>67</v>
      </c>
      <c r="D1103" s="44">
        <f t="shared" si="2145"/>
        <v>381</v>
      </c>
      <c r="E1103" s="28">
        <v>0</v>
      </c>
      <c r="F1103" s="28">
        <v>0</v>
      </c>
      <c r="G1103" s="28">
        <v>0</v>
      </c>
      <c r="H1103" s="47">
        <v>0</v>
      </c>
      <c r="I1103" s="21">
        <f t="shared" si="2155"/>
        <v>330</v>
      </c>
      <c r="J1103" s="21">
        <f t="shared" si="2241"/>
        <v>21</v>
      </c>
      <c r="K1103" s="21">
        <v>0</v>
      </c>
      <c r="L1103" s="20">
        <v>6</v>
      </c>
      <c r="M1103" s="20">
        <v>0</v>
      </c>
      <c r="N1103" s="20">
        <f t="shared" si="2156"/>
        <v>8800</v>
      </c>
      <c r="O1103" s="19" t="s">
        <v>67</v>
      </c>
      <c r="P1103" s="20">
        <v>9100</v>
      </c>
      <c r="Q1103" s="20">
        <f t="shared" ref="Q1103:X1103" si="2250">Q1073</f>
        <v>880</v>
      </c>
      <c r="R1103" s="20">
        <f t="shared" si="2250"/>
        <v>3520</v>
      </c>
      <c r="S1103" s="20">
        <f t="shared" si="2250"/>
        <v>6160</v>
      </c>
      <c r="T1103" s="20">
        <f t="shared" si="2250"/>
        <v>7920</v>
      </c>
      <c r="U1103" s="20">
        <f t="shared" si="2250"/>
        <v>100</v>
      </c>
      <c r="V1103" s="20">
        <f t="shared" si="2250"/>
        <v>600</v>
      </c>
      <c r="W1103" s="20">
        <f t="shared" si="2250"/>
        <v>700</v>
      </c>
      <c r="X1103" s="20">
        <f t="shared" si="2250"/>
        <v>6</v>
      </c>
      <c r="Y1103" s="20">
        <f t="shared" si="2147"/>
        <v>0</v>
      </c>
      <c r="Z1103" s="30">
        <v>0</v>
      </c>
      <c r="AA1103" s="27">
        <v>0</v>
      </c>
      <c r="AB1103" s="27">
        <v>0</v>
      </c>
      <c r="AC1103" s="27">
        <v>0</v>
      </c>
      <c r="AD1103" s="23">
        <f t="shared" ref="AD1103:AE1103" si="2251">AD1073</f>
        <v>42</v>
      </c>
      <c r="AE1103" s="23">
        <f t="shared" si="2251"/>
        <v>46</v>
      </c>
    </row>
    <row r="1104" spans="1:31">
      <c r="A1104" s="4">
        <v>13101</v>
      </c>
      <c r="B1104" s="4">
        <v>23</v>
      </c>
      <c r="C1104" s="29" t="s">
        <v>68</v>
      </c>
      <c r="D1104" s="44">
        <f t="shared" si="2145"/>
        <v>413</v>
      </c>
      <c r="E1104" s="28">
        <v>0</v>
      </c>
      <c r="F1104" s="28">
        <v>0</v>
      </c>
      <c r="G1104" s="28">
        <v>0</v>
      </c>
      <c r="H1104" s="47">
        <v>0</v>
      </c>
      <c r="I1104" s="21">
        <f t="shared" si="2155"/>
        <v>330</v>
      </c>
      <c r="J1104" s="21">
        <f t="shared" si="2241"/>
        <v>22</v>
      </c>
      <c r="K1104" s="21">
        <v>0</v>
      </c>
      <c r="L1104" s="20">
        <v>6</v>
      </c>
      <c r="M1104" s="20">
        <v>0</v>
      </c>
      <c r="N1104" s="20">
        <f t="shared" si="2156"/>
        <v>9200</v>
      </c>
      <c r="O1104" s="19" t="s">
        <v>68</v>
      </c>
      <c r="P1104" s="20">
        <v>8600</v>
      </c>
      <c r="Q1104" s="20">
        <f t="shared" ref="Q1104:X1104" si="2252">Q1074</f>
        <v>920</v>
      </c>
      <c r="R1104" s="20">
        <f t="shared" si="2252"/>
        <v>3680</v>
      </c>
      <c r="S1104" s="20">
        <f t="shared" si="2252"/>
        <v>6440</v>
      </c>
      <c r="T1104" s="20">
        <f t="shared" si="2252"/>
        <v>8280</v>
      </c>
      <c r="U1104" s="20">
        <f t="shared" si="2252"/>
        <v>100</v>
      </c>
      <c r="V1104" s="20">
        <f t="shared" si="2252"/>
        <v>550</v>
      </c>
      <c r="W1104" s="20">
        <f t="shared" si="2252"/>
        <v>500</v>
      </c>
      <c r="X1104" s="20">
        <f t="shared" si="2252"/>
        <v>6</v>
      </c>
      <c r="Y1104" s="20">
        <f t="shared" si="2147"/>
        <v>150</v>
      </c>
      <c r="Z1104" s="30">
        <v>0</v>
      </c>
      <c r="AA1104" s="27">
        <v>0</v>
      </c>
      <c r="AB1104" s="27">
        <v>0</v>
      </c>
      <c r="AC1104" s="27">
        <v>0</v>
      </c>
      <c r="AD1104" s="23">
        <f t="shared" ref="AD1104:AE1104" si="2253">AD1074</f>
        <v>44</v>
      </c>
      <c r="AE1104" s="23">
        <f t="shared" si="2253"/>
        <v>48</v>
      </c>
    </row>
    <row r="1105" spans="1:31">
      <c r="A1105" s="4">
        <v>13101</v>
      </c>
      <c r="B1105" s="4">
        <v>24</v>
      </c>
      <c r="C1105" s="29" t="s">
        <v>69</v>
      </c>
      <c r="D1105" s="44">
        <f t="shared" si="2145"/>
        <v>447</v>
      </c>
      <c r="E1105" s="28">
        <v>0</v>
      </c>
      <c r="F1105" s="28">
        <v>0</v>
      </c>
      <c r="G1105" s="28">
        <v>0</v>
      </c>
      <c r="H1105" s="47">
        <v>0</v>
      </c>
      <c r="I1105" s="21">
        <f t="shared" si="2155"/>
        <v>330</v>
      </c>
      <c r="J1105" s="21">
        <f t="shared" si="2241"/>
        <v>23</v>
      </c>
      <c r="K1105" s="21">
        <v>0</v>
      </c>
      <c r="L1105" s="20">
        <v>6</v>
      </c>
      <c r="M1105" s="20">
        <v>0</v>
      </c>
      <c r="N1105" s="20">
        <f t="shared" si="2156"/>
        <v>9600</v>
      </c>
      <c r="O1105" s="19" t="s">
        <v>69</v>
      </c>
      <c r="P1105" s="20">
        <v>6400</v>
      </c>
      <c r="Q1105" s="20">
        <f t="shared" ref="Q1105:X1105" si="2254">Q1075</f>
        <v>960</v>
      </c>
      <c r="R1105" s="20">
        <f t="shared" si="2254"/>
        <v>3840</v>
      </c>
      <c r="S1105" s="20">
        <f t="shared" si="2254"/>
        <v>6720</v>
      </c>
      <c r="T1105" s="20">
        <f t="shared" si="2254"/>
        <v>8640</v>
      </c>
      <c r="U1105" s="20">
        <f t="shared" si="2254"/>
        <v>100</v>
      </c>
      <c r="V1105" s="20">
        <f t="shared" si="2254"/>
        <v>500</v>
      </c>
      <c r="W1105" s="20">
        <f t="shared" si="2254"/>
        <v>900</v>
      </c>
      <c r="X1105" s="20">
        <f t="shared" si="2254"/>
        <v>6</v>
      </c>
      <c r="Y1105" s="20">
        <f t="shared" si="2147"/>
        <v>0</v>
      </c>
      <c r="Z1105" s="30">
        <v>0</v>
      </c>
      <c r="AA1105" s="27">
        <v>0</v>
      </c>
      <c r="AB1105" s="27">
        <v>0</v>
      </c>
      <c r="AC1105" s="27">
        <v>0</v>
      </c>
      <c r="AD1105" s="23">
        <f t="shared" ref="AD1105:AE1105" si="2255">AD1075</f>
        <v>46</v>
      </c>
      <c r="AE1105" s="23">
        <f t="shared" si="2255"/>
        <v>50</v>
      </c>
    </row>
    <row r="1106" spans="1:31">
      <c r="A1106" s="4">
        <v>13101</v>
      </c>
      <c r="B1106" s="4">
        <v>25</v>
      </c>
      <c r="C1106" s="29" t="s">
        <v>70</v>
      </c>
      <c r="D1106" s="44">
        <f t="shared" si="2145"/>
        <v>484</v>
      </c>
      <c r="E1106" s="28">
        <v>0</v>
      </c>
      <c r="F1106" s="28">
        <v>0</v>
      </c>
      <c r="G1106" s="28">
        <v>0</v>
      </c>
      <c r="H1106" s="47">
        <v>0</v>
      </c>
      <c r="I1106" s="21">
        <f t="shared" si="2155"/>
        <v>385</v>
      </c>
      <c r="J1106" s="21">
        <f t="shared" si="2241"/>
        <v>24</v>
      </c>
      <c r="K1106" s="21">
        <v>0</v>
      </c>
      <c r="L1106" s="20">
        <v>6</v>
      </c>
      <c r="M1106" s="20">
        <v>0</v>
      </c>
      <c r="N1106" s="20">
        <f t="shared" si="2156"/>
        <v>12500</v>
      </c>
      <c r="O1106" s="19" t="s">
        <v>70</v>
      </c>
      <c r="P1106" s="20">
        <v>3100</v>
      </c>
      <c r="Q1106" s="20">
        <f t="shared" ref="Q1106:X1106" si="2256">Q1076</f>
        <v>1250</v>
      </c>
      <c r="R1106" s="20">
        <f t="shared" si="2256"/>
        <v>5000</v>
      </c>
      <c r="S1106" s="20">
        <f t="shared" si="2256"/>
        <v>8750</v>
      </c>
      <c r="T1106" s="20">
        <f t="shared" si="2256"/>
        <v>11250</v>
      </c>
      <c r="U1106" s="20">
        <f t="shared" si="2256"/>
        <v>10</v>
      </c>
      <c r="V1106" s="20">
        <f t="shared" si="2256"/>
        <v>1300</v>
      </c>
      <c r="W1106" s="20">
        <f t="shared" si="2256"/>
        <v>1000</v>
      </c>
      <c r="X1106" s="20">
        <f t="shared" si="2256"/>
        <v>7</v>
      </c>
      <c r="Y1106" s="20">
        <f t="shared" si="2147"/>
        <v>0</v>
      </c>
      <c r="Z1106" s="30">
        <v>0</v>
      </c>
      <c r="AA1106" s="27">
        <v>0</v>
      </c>
      <c r="AB1106" s="27">
        <v>0</v>
      </c>
      <c r="AC1106" s="27">
        <v>0</v>
      </c>
      <c r="AD1106" s="23">
        <f t="shared" ref="AD1106:AE1106" si="2257">AD1076</f>
        <v>48</v>
      </c>
      <c r="AE1106" s="23">
        <f t="shared" si="2257"/>
        <v>52</v>
      </c>
    </row>
    <row r="1107" spans="1:31">
      <c r="A1107" s="4">
        <v>13101</v>
      </c>
      <c r="B1107" s="4">
        <v>26</v>
      </c>
      <c r="C1107" s="29" t="s">
        <v>71</v>
      </c>
      <c r="D1107" s="44">
        <f t="shared" si="2145"/>
        <v>524</v>
      </c>
      <c r="E1107" s="28">
        <v>0</v>
      </c>
      <c r="F1107" s="28">
        <v>0</v>
      </c>
      <c r="G1107" s="28">
        <v>0</v>
      </c>
      <c r="H1107" s="47">
        <v>0</v>
      </c>
      <c r="I1107" s="21">
        <f t="shared" si="2155"/>
        <v>385</v>
      </c>
      <c r="J1107" s="21">
        <f t="shared" si="2241"/>
        <v>25</v>
      </c>
      <c r="K1107" s="21">
        <v>0</v>
      </c>
      <c r="L1107" s="20">
        <v>6</v>
      </c>
      <c r="M1107" s="20">
        <v>0</v>
      </c>
      <c r="N1107" s="20">
        <f t="shared" si="2156"/>
        <v>13000</v>
      </c>
      <c r="O1107" s="19" t="s">
        <v>71</v>
      </c>
      <c r="P1107" s="20">
        <v>1777</v>
      </c>
      <c r="Q1107" s="20">
        <f t="shared" ref="Q1107:X1107" si="2258">Q1077</f>
        <v>1300</v>
      </c>
      <c r="R1107" s="20">
        <f t="shared" si="2258"/>
        <v>5200</v>
      </c>
      <c r="S1107" s="20">
        <f t="shared" si="2258"/>
        <v>9100</v>
      </c>
      <c r="T1107" s="20">
        <f t="shared" si="2258"/>
        <v>11700</v>
      </c>
      <c r="U1107" s="20">
        <f t="shared" si="2258"/>
        <v>90</v>
      </c>
      <c r="V1107" s="20">
        <f t="shared" si="2258"/>
        <v>800</v>
      </c>
      <c r="W1107" s="20">
        <f t="shared" si="2258"/>
        <v>2000</v>
      </c>
      <c r="X1107" s="20">
        <f t="shared" si="2258"/>
        <v>7</v>
      </c>
      <c r="Y1107" s="20">
        <f t="shared" si="2147"/>
        <v>0</v>
      </c>
      <c r="Z1107" s="30">
        <v>0</v>
      </c>
      <c r="AA1107" s="27">
        <v>0</v>
      </c>
      <c r="AB1107" s="27">
        <v>0</v>
      </c>
      <c r="AC1107" s="27">
        <v>0</v>
      </c>
      <c r="AD1107" s="23">
        <f t="shared" ref="AD1107:AE1107" si="2259">AD1077</f>
        <v>50</v>
      </c>
      <c r="AE1107" s="23">
        <f t="shared" si="2259"/>
        <v>54</v>
      </c>
    </row>
    <row r="1108" spans="1:31">
      <c r="A1108" s="4">
        <v>13101</v>
      </c>
      <c r="B1108" s="4">
        <v>27</v>
      </c>
      <c r="C1108" s="29" t="s">
        <v>72</v>
      </c>
      <c r="D1108" s="44">
        <f t="shared" si="2145"/>
        <v>567</v>
      </c>
      <c r="E1108" s="28">
        <v>0</v>
      </c>
      <c r="F1108" s="28">
        <v>0</v>
      </c>
      <c r="G1108" s="28">
        <v>0</v>
      </c>
      <c r="H1108" s="47">
        <v>0</v>
      </c>
      <c r="I1108" s="21">
        <f t="shared" si="2155"/>
        <v>385</v>
      </c>
      <c r="J1108" s="21">
        <f t="shared" si="2241"/>
        <v>26</v>
      </c>
      <c r="K1108" s="21">
        <v>0</v>
      </c>
      <c r="L1108" s="20">
        <v>6</v>
      </c>
      <c r="M1108" s="20">
        <v>0</v>
      </c>
      <c r="N1108" s="20">
        <f t="shared" si="2156"/>
        <v>13500</v>
      </c>
      <c r="O1108" s="19" t="s">
        <v>72</v>
      </c>
      <c r="P1108" s="20">
        <v>2332</v>
      </c>
      <c r="Q1108" s="20">
        <f t="shared" ref="Q1108:X1108" si="2260">Q1078</f>
        <v>1350</v>
      </c>
      <c r="R1108" s="20">
        <f t="shared" si="2260"/>
        <v>5400</v>
      </c>
      <c r="S1108" s="20">
        <f t="shared" si="2260"/>
        <v>9450</v>
      </c>
      <c r="T1108" s="20">
        <f t="shared" si="2260"/>
        <v>12150</v>
      </c>
      <c r="U1108" s="20">
        <f t="shared" si="2260"/>
        <v>80</v>
      </c>
      <c r="V1108" s="20">
        <f t="shared" si="2260"/>
        <v>700</v>
      </c>
      <c r="W1108" s="20">
        <f t="shared" si="2260"/>
        <v>800</v>
      </c>
      <c r="X1108" s="20">
        <f t="shared" si="2260"/>
        <v>7</v>
      </c>
      <c r="Y1108" s="20">
        <f t="shared" si="2147"/>
        <v>0</v>
      </c>
      <c r="Z1108" s="30">
        <v>0</v>
      </c>
      <c r="AA1108" s="27">
        <v>0</v>
      </c>
      <c r="AB1108" s="27">
        <v>0</v>
      </c>
      <c r="AC1108" s="27">
        <v>0</v>
      </c>
      <c r="AD1108" s="23">
        <f t="shared" ref="AD1108:AE1108" si="2261">AD1078</f>
        <v>52</v>
      </c>
      <c r="AE1108" s="23">
        <f t="shared" si="2261"/>
        <v>56</v>
      </c>
    </row>
    <row r="1109" spans="1:31">
      <c r="A1109" s="4">
        <v>13101</v>
      </c>
      <c r="B1109" s="4">
        <v>28</v>
      </c>
      <c r="C1109" s="29" t="s">
        <v>73</v>
      </c>
      <c r="D1109" s="44">
        <f t="shared" si="2145"/>
        <v>614</v>
      </c>
      <c r="E1109" s="28">
        <v>0</v>
      </c>
      <c r="F1109" s="28">
        <v>0</v>
      </c>
      <c r="G1109" s="28">
        <v>0</v>
      </c>
      <c r="H1109" s="47">
        <v>0</v>
      </c>
      <c r="I1109" s="21">
        <f t="shared" si="2155"/>
        <v>385</v>
      </c>
      <c r="J1109" s="21">
        <f t="shared" si="2241"/>
        <v>27</v>
      </c>
      <c r="K1109" s="21">
        <v>0</v>
      </c>
      <c r="L1109" s="20">
        <v>6</v>
      </c>
      <c r="M1109" s="20">
        <v>0</v>
      </c>
      <c r="N1109" s="20">
        <f t="shared" si="2156"/>
        <v>14000</v>
      </c>
      <c r="O1109" s="19" t="s">
        <v>73</v>
      </c>
      <c r="P1109" s="20">
        <v>1487</v>
      </c>
      <c r="Q1109" s="20">
        <f t="shared" ref="Q1109:X1109" si="2262">Q1079</f>
        <v>1400</v>
      </c>
      <c r="R1109" s="20">
        <f t="shared" si="2262"/>
        <v>5600</v>
      </c>
      <c r="S1109" s="20">
        <f t="shared" si="2262"/>
        <v>9800</v>
      </c>
      <c r="T1109" s="20">
        <f t="shared" si="2262"/>
        <v>12600</v>
      </c>
      <c r="U1109" s="20">
        <f t="shared" si="2262"/>
        <v>80</v>
      </c>
      <c r="V1109" s="20">
        <f t="shared" si="2262"/>
        <v>500</v>
      </c>
      <c r="W1109" s="20">
        <f t="shared" si="2262"/>
        <v>600</v>
      </c>
      <c r="X1109" s="20">
        <f t="shared" si="2262"/>
        <v>7</v>
      </c>
      <c r="Y1109" s="20">
        <f t="shared" si="2147"/>
        <v>189</v>
      </c>
      <c r="Z1109" s="30">
        <v>0</v>
      </c>
      <c r="AA1109" s="27">
        <v>0</v>
      </c>
      <c r="AB1109" s="27">
        <v>0</v>
      </c>
      <c r="AC1109" s="27">
        <v>0</v>
      </c>
      <c r="AD1109" s="23">
        <f t="shared" ref="AD1109:AE1109" si="2263">AD1079</f>
        <v>54</v>
      </c>
      <c r="AE1109" s="23">
        <f t="shared" si="2263"/>
        <v>58</v>
      </c>
    </row>
    <row r="1110" spans="1:31">
      <c r="A1110" s="4">
        <v>13101</v>
      </c>
      <c r="B1110" s="4">
        <v>29</v>
      </c>
      <c r="C1110" s="29" t="s">
        <v>74</v>
      </c>
      <c r="D1110" s="44">
        <f t="shared" si="2145"/>
        <v>665</v>
      </c>
      <c r="E1110" s="28">
        <v>0</v>
      </c>
      <c r="F1110" s="28">
        <v>0</v>
      </c>
      <c r="G1110" s="28">
        <v>0</v>
      </c>
      <c r="H1110" s="47">
        <v>0</v>
      </c>
      <c r="I1110" s="21">
        <f t="shared" si="2155"/>
        <v>440</v>
      </c>
      <c r="J1110" s="21">
        <f t="shared" si="2241"/>
        <v>28</v>
      </c>
      <c r="K1110" s="21">
        <v>0</v>
      </c>
      <c r="L1110" s="20">
        <v>6</v>
      </c>
      <c r="M1110" s="20">
        <v>0</v>
      </c>
      <c r="N1110" s="20">
        <f t="shared" si="2156"/>
        <v>14500</v>
      </c>
      <c r="O1110" s="19" t="s">
        <v>74</v>
      </c>
      <c r="P1110" s="20">
        <v>1518</v>
      </c>
      <c r="Q1110" s="20">
        <f t="shared" ref="Q1110:X1110" si="2264">Q1080</f>
        <v>1450</v>
      </c>
      <c r="R1110" s="20">
        <f t="shared" si="2264"/>
        <v>5800</v>
      </c>
      <c r="S1110" s="20">
        <f t="shared" si="2264"/>
        <v>10150</v>
      </c>
      <c r="T1110" s="20">
        <f t="shared" si="2264"/>
        <v>13050</v>
      </c>
      <c r="U1110" s="20">
        <f t="shared" si="2264"/>
        <v>80</v>
      </c>
      <c r="V1110" s="20">
        <f t="shared" si="2264"/>
        <v>600</v>
      </c>
      <c r="W1110" s="20">
        <f t="shared" si="2264"/>
        <v>700</v>
      </c>
      <c r="X1110" s="20">
        <f t="shared" si="2264"/>
        <v>8</v>
      </c>
      <c r="Y1110" s="20">
        <f t="shared" si="2147"/>
        <v>0</v>
      </c>
      <c r="Z1110" s="30">
        <v>0</v>
      </c>
      <c r="AA1110" s="27">
        <v>0</v>
      </c>
      <c r="AB1110" s="27">
        <v>0</v>
      </c>
      <c r="AC1110" s="27">
        <v>0</v>
      </c>
      <c r="AD1110" s="23">
        <f t="shared" ref="AD1110:AE1110" si="2265">AD1080</f>
        <v>56</v>
      </c>
      <c r="AE1110" s="23">
        <f t="shared" si="2265"/>
        <v>60</v>
      </c>
    </row>
    <row r="1111" spans="1:31">
      <c r="A1111" s="4">
        <v>13101</v>
      </c>
      <c r="B1111" s="4">
        <v>30</v>
      </c>
      <c r="C1111" s="29" t="s">
        <v>75</v>
      </c>
      <c r="D1111" s="44">
        <f t="shared" si="2145"/>
        <v>720</v>
      </c>
      <c r="E1111" s="28">
        <v>0</v>
      </c>
      <c r="F1111" s="28">
        <v>0</v>
      </c>
      <c r="G1111" s="28">
        <v>0</v>
      </c>
      <c r="H1111" s="47">
        <v>0</v>
      </c>
      <c r="I1111" s="21">
        <f t="shared" si="2155"/>
        <v>440</v>
      </c>
      <c r="J1111" s="21">
        <f t="shared" si="2241"/>
        <v>29</v>
      </c>
      <c r="K1111" s="21">
        <v>0</v>
      </c>
      <c r="L1111" s="20">
        <v>6</v>
      </c>
      <c r="M1111" s="20">
        <v>0</v>
      </c>
      <c r="N1111" s="20">
        <f t="shared" si="2156"/>
        <v>15000</v>
      </c>
      <c r="O1111" s="19" t="s">
        <v>75</v>
      </c>
      <c r="P1111" s="20">
        <v>861</v>
      </c>
      <c r="Q1111" s="20">
        <f t="shared" ref="Q1111:X1111" si="2266">Q1081</f>
        <v>1500</v>
      </c>
      <c r="R1111" s="20">
        <f t="shared" si="2266"/>
        <v>6000</v>
      </c>
      <c r="S1111" s="20">
        <f t="shared" si="2266"/>
        <v>10500</v>
      </c>
      <c r="T1111" s="20">
        <f t="shared" si="2266"/>
        <v>13500</v>
      </c>
      <c r="U1111" s="20">
        <f t="shared" si="2266"/>
        <v>20</v>
      </c>
      <c r="V1111" s="20">
        <f t="shared" si="2266"/>
        <v>450</v>
      </c>
      <c r="W1111" s="20">
        <f t="shared" si="2266"/>
        <v>1000</v>
      </c>
      <c r="X1111" s="20">
        <f t="shared" si="2266"/>
        <v>8</v>
      </c>
      <c r="Y1111" s="20">
        <f t="shared" si="2147"/>
        <v>0</v>
      </c>
      <c r="Z1111" s="30">
        <v>0</v>
      </c>
      <c r="AA1111" s="27">
        <v>0</v>
      </c>
      <c r="AB1111" s="27">
        <v>0</v>
      </c>
      <c r="AC1111" s="27">
        <v>0</v>
      </c>
      <c r="AD1111" s="23">
        <f t="shared" ref="AD1111:AE1111" si="2267">AD1081</f>
        <v>58</v>
      </c>
      <c r="AE1111" s="23">
        <f t="shared" si="2267"/>
        <v>62</v>
      </c>
    </row>
    <row r="1112" spans="1:31">
      <c r="A1112" s="4">
        <v>13102</v>
      </c>
      <c r="B1112" s="4">
        <v>1</v>
      </c>
      <c r="C1112" s="19" t="s">
        <v>66</v>
      </c>
      <c r="D1112" s="44">
        <f t="shared" si="2145"/>
        <v>108</v>
      </c>
      <c r="E1112" s="18">
        <v>0</v>
      </c>
      <c r="F1112" s="18">
        <v>0</v>
      </c>
      <c r="G1112" s="18">
        <v>0</v>
      </c>
      <c r="H1112" s="45">
        <v>0</v>
      </c>
      <c r="I1112" s="21">
        <f t="shared" si="2155"/>
        <v>55</v>
      </c>
      <c r="J1112" s="21">
        <f t="shared" si="2241"/>
        <v>0</v>
      </c>
      <c r="K1112" s="21">
        <v>0</v>
      </c>
      <c r="L1112" s="20">
        <v>45</v>
      </c>
      <c r="M1112" s="20">
        <v>0</v>
      </c>
      <c r="N1112" s="20">
        <f t="shared" si="2156"/>
        <v>10</v>
      </c>
      <c r="O1112" s="19" t="s">
        <v>66</v>
      </c>
      <c r="P1112" s="20">
        <v>9400</v>
      </c>
      <c r="Q1112" s="20">
        <f t="shared" ref="Q1112:X1112" si="2268">Q1082</f>
        <v>1</v>
      </c>
      <c r="R1112" s="20">
        <f t="shared" si="2268"/>
        <v>4</v>
      </c>
      <c r="S1112" s="20">
        <f t="shared" si="2268"/>
        <v>7</v>
      </c>
      <c r="T1112" s="20">
        <f t="shared" si="2268"/>
        <v>9</v>
      </c>
      <c r="U1112" s="20">
        <f t="shared" si="2268"/>
        <v>9400</v>
      </c>
      <c r="V1112" s="20">
        <f t="shared" si="2268"/>
        <v>9400</v>
      </c>
      <c r="W1112" s="20">
        <f t="shared" si="2268"/>
        <v>9400</v>
      </c>
      <c r="X1112" s="20">
        <f t="shared" si="2268"/>
        <v>1</v>
      </c>
      <c r="Y1112" s="20">
        <f t="shared" si="2147"/>
        <v>0</v>
      </c>
      <c r="Z1112" s="22">
        <v>0</v>
      </c>
      <c r="AA1112" s="20">
        <v>0</v>
      </c>
      <c r="AB1112" s="20">
        <v>0</v>
      </c>
      <c r="AC1112" s="20">
        <v>0</v>
      </c>
      <c r="AD1112" s="23">
        <f t="shared" ref="AD1112:AE1112" si="2269">AD1082</f>
        <v>1</v>
      </c>
      <c r="AE1112" s="23">
        <f t="shared" si="2269"/>
        <v>3</v>
      </c>
    </row>
    <row r="1113" spans="1:31">
      <c r="A1113" s="4">
        <v>13102</v>
      </c>
      <c r="B1113" s="4">
        <v>2</v>
      </c>
      <c r="C1113" s="19" t="s">
        <v>67</v>
      </c>
      <c r="D1113" s="44">
        <f t="shared" si="2145"/>
        <v>117</v>
      </c>
      <c r="E1113" s="18">
        <v>0</v>
      </c>
      <c r="F1113" s="18">
        <v>0</v>
      </c>
      <c r="G1113" s="18">
        <v>0</v>
      </c>
      <c r="H1113" s="45">
        <v>0</v>
      </c>
      <c r="I1113" s="21">
        <f t="shared" si="2155"/>
        <v>55</v>
      </c>
      <c r="J1113" s="21">
        <f t="shared" si="2241"/>
        <v>1</v>
      </c>
      <c r="K1113" s="21">
        <v>0</v>
      </c>
      <c r="L1113" s="20">
        <v>40</v>
      </c>
      <c r="M1113" s="20">
        <v>0</v>
      </c>
      <c r="N1113" s="20">
        <f t="shared" si="2156"/>
        <v>20</v>
      </c>
      <c r="O1113" s="19" t="s">
        <v>67</v>
      </c>
      <c r="P1113" s="20">
        <v>9100</v>
      </c>
      <c r="Q1113" s="20">
        <f t="shared" ref="Q1113:X1113" si="2270">Q1083</f>
        <v>2</v>
      </c>
      <c r="R1113" s="20">
        <f t="shared" si="2270"/>
        <v>8</v>
      </c>
      <c r="S1113" s="20">
        <f t="shared" si="2270"/>
        <v>14</v>
      </c>
      <c r="T1113" s="20">
        <f t="shared" si="2270"/>
        <v>18</v>
      </c>
      <c r="U1113" s="20">
        <f t="shared" si="2270"/>
        <v>4000</v>
      </c>
      <c r="V1113" s="20">
        <f t="shared" si="2270"/>
        <v>8000</v>
      </c>
      <c r="W1113" s="20">
        <f t="shared" si="2270"/>
        <v>8000</v>
      </c>
      <c r="X1113" s="20">
        <f t="shared" si="2270"/>
        <v>1</v>
      </c>
      <c r="Y1113" s="20">
        <f t="shared" si="2147"/>
        <v>0</v>
      </c>
      <c r="Z1113" s="22">
        <v>0</v>
      </c>
      <c r="AA1113" s="20">
        <v>0</v>
      </c>
      <c r="AB1113" s="20">
        <v>0</v>
      </c>
      <c r="AC1113" s="20">
        <v>0</v>
      </c>
      <c r="AD1113" s="23">
        <f t="shared" ref="AD1113:AE1113" si="2271">AD1083</f>
        <v>2</v>
      </c>
      <c r="AE1113" s="23">
        <f t="shared" si="2271"/>
        <v>5</v>
      </c>
    </row>
    <row r="1114" spans="1:31">
      <c r="A1114" s="4">
        <v>13102</v>
      </c>
      <c r="B1114" s="4">
        <v>3</v>
      </c>
      <c r="C1114" s="19" t="s">
        <v>68</v>
      </c>
      <c r="D1114" s="44">
        <f t="shared" si="2145"/>
        <v>126</v>
      </c>
      <c r="E1114" s="18">
        <v>0</v>
      </c>
      <c r="F1114" s="18">
        <v>0</v>
      </c>
      <c r="G1114" s="18">
        <v>0</v>
      </c>
      <c r="H1114" s="45">
        <v>0</v>
      </c>
      <c r="I1114" s="21">
        <f t="shared" si="2155"/>
        <v>55</v>
      </c>
      <c r="J1114" s="21">
        <f t="shared" si="2241"/>
        <v>2</v>
      </c>
      <c r="K1114" s="21">
        <v>0</v>
      </c>
      <c r="L1114" s="20">
        <v>35</v>
      </c>
      <c r="M1114" s="20">
        <v>0</v>
      </c>
      <c r="N1114" s="20">
        <f t="shared" si="2156"/>
        <v>40</v>
      </c>
      <c r="O1114" s="19" t="s">
        <v>68</v>
      </c>
      <c r="P1114" s="20">
        <v>8600</v>
      </c>
      <c r="Q1114" s="20">
        <f t="shared" ref="Q1114:X1114" si="2272">Q1084</f>
        <v>4</v>
      </c>
      <c r="R1114" s="20">
        <f t="shared" si="2272"/>
        <v>16</v>
      </c>
      <c r="S1114" s="20">
        <f t="shared" si="2272"/>
        <v>28</v>
      </c>
      <c r="T1114" s="20">
        <f t="shared" si="2272"/>
        <v>36</v>
      </c>
      <c r="U1114" s="20">
        <f t="shared" si="2272"/>
        <v>1600</v>
      </c>
      <c r="V1114" s="20">
        <f t="shared" si="2272"/>
        <v>5000</v>
      </c>
      <c r="W1114" s="20">
        <f t="shared" si="2272"/>
        <v>6000</v>
      </c>
      <c r="X1114" s="20">
        <f t="shared" si="2272"/>
        <v>1</v>
      </c>
      <c r="Y1114" s="20">
        <f t="shared" si="2147"/>
        <v>0</v>
      </c>
      <c r="Z1114" s="22">
        <v>0</v>
      </c>
      <c r="AA1114" s="20">
        <v>0</v>
      </c>
      <c r="AB1114" s="20">
        <v>0</v>
      </c>
      <c r="AC1114" s="20">
        <v>0</v>
      </c>
      <c r="AD1114" s="23">
        <f t="shared" ref="AD1114:AE1114" si="2273">AD1084</f>
        <v>4</v>
      </c>
      <c r="AE1114" s="23">
        <f t="shared" si="2273"/>
        <v>8</v>
      </c>
    </row>
    <row r="1115" spans="1:31">
      <c r="A1115" s="4">
        <v>13102</v>
      </c>
      <c r="B1115" s="4">
        <v>4</v>
      </c>
      <c r="C1115" s="19" t="s">
        <v>69</v>
      </c>
      <c r="D1115" s="44">
        <f t="shared" si="2145"/>
        <v>137</v>
      </c>
      <c r="E1115" s="18">
        <v>0</v>
      </c>
      <c r="F1115" s="18">
        <v>0</v>
      </c>
      <c r="G1115" s="18">
        <v>0</v>
      </c>
      <c r="H1115" s="45">
        <v>0</v>
      </c>
      <c r="I1115" s="21">
        <f t="shared" si="2155"/>
        <v>55</v>
      </c>
      <c r="J1115" s="21">
        <f t="shared" si="2241"/>
        <v>3</v>
      </c>
      <c r="K1115" s="21">
        <v>0</v>
      </c>
      <c r="L1115" s="20">
        <v>30</v>
      </c>
      <c r="M1115" s="20">
        <v>0</v>
      </c>
      <c r="N1115" s="20">
        <f t="shared" si="2156"/>
        <v>100</v>
      </c>
      <c r="O1115" s="19" t="s">
        <v>69</v>
      </c>
      <c r="P1115" s="20">
        <v>6400</v>
      </c>
      <c r="Q1115" s="20">
        <f t="shared" ref="Q1115:X1115" si="2274">Q1085</f>
        <v>10</v>
      </c>
      <c r="R1115" s="20">
        <f t="shared" si="2274"/>
        <v>40</v>
      </c>
      <c r="S1115" s="20">
        <f t="shared" si="2274"/>
        <v>70</v>
      </c>
      <c r="T1115" s="20">
        <f t="shared" si="2274"/>
        <v>90</v>
      </c>
      <c r="U1115" s="20">
        <f t="shared" si="2274"/>
        <v>900</v>
      </c>
      <c r="V1115" s="20">
        <f t="shared" si="2274"/>
        <v>2000</v>
      </c>
      <c r="W1115" s="20">
        <f t="shared" si="2274"/>
        <v>8000</v>
      </c>
      <c r="X1115" s="20">
        <f t="shared" si="2274"/>
        <v>1</v>
      </c>
      <c r="Y1115" s="20">
        <f t="shared" si="2147"/>
        <v>0</v>
      </c>
      <c r="Z1115" s="22">
        <v>0</v>
      </c>
      <c r="AA1115" s="20">
        <v>0</v>
      </c>
      <c r="AB1115" s="20">
        <v>0</v>
      </c>
      <c r="AC1115" s="20">
        <v>0</v>
      </c>
      <c r="AD1115" s="23">
        <f t="shared" ref="AD1115:AE1115" si="2275">AD1085</f>
        <v>6</v>
      </c>
      <c r="AE1115" s="23">
        <f t="shared" si="2275"/>
        <v>10</v>
      </c>
    </row>
    <row r="1116" spans="1:31">
      <c r="A1116" s="4">
        <v>13102</v>
      </c>
      <c r="B1116" s="4">
        <v>5</v>
      </c>
      <c r="C1116" s="19" t="s">
        <v>70</v>
      </c>
      <c r="D1116" s="44">
        <f t="shared" si="2145"/>
        <v>149</v>
      </c>
      <c r="E1116" s="18">
        <v>0</v>
      </c>
      <c r="F1116" s="18">
        <v>0</v>
      </c>
      <c r="G1116" s="18">
        <v>0</v>
      </c>
      <c r="H1116" s="45">
        <v>0</v>
      </c>
      <c r="I1116" s="21">
        <f t="shared" si="2155"/>
        <v>110</v>
      </c>
      <c r="J1116" s="21">
        <f t="shared" si="2241"/>
        <v>4</v>
      </c>
      <c r="K1116" s="21">
        <v>0</v>
      </c>
      <c r="L1116" s="20">
        <v>25</v>
      </c>
      <c r="M1116" s="20">
        <v>0</v>
      </c>
      <c r="N1116" s="20">
        <f t="shared" si="2156"/>
        <v>200</v>
      </c>
      <c r="O1116" s="19" t="s">
        <v>70</v>
      </c>
      <c r="P1116" s="20">
        <v>3100</v>
      </c>
      <c r="Q1116" s="20">
        <f t="shared" ref="Q1116:X1116" si="2276">Q1086</f>
        <v>20</v>
      </c>
      <c r="R1116" s="20">
        <f t="shared" si="2276"/>
        <v>80</v>
      </c>
      <c r="S1116" s="20">
        <f t="shared" si="2276"/>
        <v>140</v>
      </c>
      <c r="T1116" s="20">
        <f t="shared" si="2276"/>
        <v>180</v>
      </c>
      <c r="U1116" s="20">
        <f t="shared" si="2276"/>
        <v>1000</v>
      </c>
      <c r="V1116" s="20">
        <f t="shared" si="2276"/>
        <v>2000</v>
      </c>
      <c r="W1116" s="20">
        <f t="shared" si="2276"/>
        <v>2000</v>
      </c>
      <c r="X1116" s="20">
        <f t="shared" si="2276"/>
        <v>2</v>
      </c>
      <c r="Y1116" s="20">
        <f t="shared" si="2147"/>
        <v>0</v>
      </c>
      <c r="Z1116" s="22">
        <v>0</v>
      </c>
      <c r="AA1116" s="20">
        <v>0</v>
      </c>
      <c r="AB1116" s="20">
        <v>0</v>
      </c>
      <c r="AC1116" s="20">
        <v>0</v>
      </c>
      <c r="AD1116" s="23">
        <f t="shared" ref="AD1116:AE1116" si="2277">AD1086</f>
        <v>8</v>
      </c>
      <c r="AE1116" s="23">
        <f t="shared" si="2277"/>
        <v>12</v>
      </c>
    </row>
    <row r="1117" spans="1:31">
      <c r="A1117" s="4">
        <v>13102</v>
      </c>
      <c r="B1117" s="4">
        <v>6</v>
      </c>
      <c r="C1117" s="19" t="s">
        <v>71</v>
      </c>
      <c r="D1117" s="44">
        <f t="shared" ref="D1117:D1180" si="2278">E967</f>
        <v>161</v>
      </c>
      <c r="E1117" s="18">
        <v>0</v>
      </c>
      <c r="F1117" s="18">
        <v>0</v>
      </c>
      <c r="G1117" s="18">
        <v>0</v>
      </c>
      <c r="H1117" s="45">
        <v>0</v>
      </c>
      <c r="I1117" s="21">
        <f t="shared" si="2155"/>
        <v>110</v>
      </c>
      <c r="J1117" s="21">
        <f t="shared" si="2241"/>
        <v>5</v>
      </c>
      <c r="K1117" s="21">
        <v>0</v>
      </c>
      <c r="L1117" s="20">
        <v>20</v>
      </c>
      <c r="M1117" s="20">
        <v>0</v>
      </c>
      <c r="N1117" s="20">
        <f t="shared" si="2156"/>
        <v>500</v>
      </c>
      <c r="O1117" s="19" t="s">
        <v>71</v>
      </c>
      <c r="P1117" s="20">
        <v>1777</v>
      </c>
      <c r="Q1117" s="20">
        <f t="shared" ref="Q1117:X1117" si="2279">Q1087</f>
        <v>50</v>
      </c>
      <c r="R1117" s="20">
        <f t="shared" si="2279"/>
        <v>200</v>
      </c>
      <c r="S1117" s="20">
        <f t="shared" si="2279"/>
        <v>350</v>
      </c>
      <c r="T1117" s="20">
        <f t="shared" si="2279"/>
        <v>450</v>
      </c>
      <c r="U1117" s="20">
        <f t="shared" si="2279"/>
        <v>800</v>
      </c>
      <c r="V1117" s="20">
        <f t="shared" si="2279"/>
        <v>800</v>
      </c>
      <c r="W1117" s="20">
        <f t="shared" si="2279"/>
        <v>600</v>
      </c>
      <c r="X1117" s="20">
        <f t="shared" si="2279"/>
        <v>2</v>
      </c>
      <c r="Y1117" s="20">
        <f t="shared" ref="Y1117:Y1180" si="2280">Z967</f>
        <v>0</v>
      </c>
      <c r="Z1117" s="22">
        <v>0</v>
      </c>
      <c r="AA1117" s="20">
        <v>0</v>
      </c>
      <c r="AB1117" s="20">
        <v>0</v>
      </c>
      <c r="AC1117" s="20">
        <v>0</v>
      </c>
      <c r="AD1117" s="23">
        <f t="shared" ref="AD1117:AE1117" si="2281">AD1087</f>
        <v>10</v>
      </c>
      <c r="AE1117" s="23">
        <f t="shared" si="2281"/>
        <v>14</v>
      </c>
    </row>
    <row r="1118" spans="1:31">
      <c r="A1118" s="8">
        <v>13102</v>
      </c>
      <c r="B1118" s="8">
        <v>7</v>
      </c>
      <c r="C1118" s="19" t="s">
        <v>72</v>
      </c>
      <c r="D1118" s="44">
        <f t="shared" si="2278"/>
        <v>174</v>
      </c>
      <c r="E1118" s="18">
        <v>0</v>
      </c>
      <c r="F1118" s="18">
        <v>0</v>
      </c>
      <c r="G1118" s="18">
        <v>0</v>
      </c>
      <c r="H1118" s="45">
        <v>0</v>
      </c>
      <c r="I1118" s="21">
        <f t="shared" si="2155"/>
        <v>110</v>
      </c>
      <c r="J1118" s="21">
        <f t="shared" si="2241"/>
        <v>6</v>
      </c>
      <c r="K1118" s="21">
        <v>0</v>
      </c>
      <c r="L1118" s="20">
        <v>16</v>
      </c>
      <c r="M1118" s="20">
        <v>0</v>
      </c>
      <c r="N1118" s="20">
        <f t="shared" si="2156"/>
        <v>700</v>
      </c>
      <c r="O1118" s="19" t="s">
        <v>72</v>
      </c>
      <c r="P1118" s="20">
        <v>2332</v>
      </c>
      <c r="Q1118" s="20">
        <f t="shared" ref="Q1118:X1118" si="2282">Q1088</f>
        <v>70</v>
      </c>
      <c r="R1118" s="20">
        <f t="shared" si="2282"/>
        <v>280</v>
      </c>
      <c r="S1118" s="20">
        <f t="shared" si="2282"/>
        <v>489.99999999999994</v>
      </c>
      <c r="T1118" s="20">
        <f t="shared" si="2282"/>
        <v>630</v>
      </c>
      <c r="U1118" s="20">
        <f t="shared" si="2282"/>
        <v>650</v>
      </c>
      <c r="V1118" s="20">
        <f t="shared" si="2282"/>
        <v>800</v>
      </c>
      <c r="W1118" s="20">
        <f t="shared" si="2282"/>
        <v>300</v>
      </c>
      <c r="X1118" s="20">
        <f t="shared" si="2282"/>
        <v>2</v>
      </c>
      <c r="Y1118" s="20">
        <f t="shared" si="2280"/>
        <v>0</v>
      </c>
      <c r="Z1118" s="22">
        <v>0</v>
      </c>
      <c r="AA1118" s="20">
        <v>0</v>
      </c>
      <c r="AB1118" s="20">
        <v>0</v>
      </c>
      <c r="AC1118" s="20">
        <v>0</v>
      </c>
      <c r="AD1118" s="23">
        <f t="shared" ref="AD1118:AE1118" si="2283">AD1088</f>
        <v>12</v>
      </c>
      <c r="AE1118" s="23">
        <f t="shared" si="2283"/>
        <v>16</v>
      </c>
    </row>
    <row r="1119" spans="1:31">
      <c r="A1119" s="4">
        <v>13102</v>
      </c>
      <c r="B1119" s="4">
        <v>8</v>
      </c>
      <c r="C1119" s="19" t="s">
        <v>73</v>
      </c>
      <c r="D1119" s="44">
        <f t="shared" si="2278"/>
        <v>189</v>
      </c>
      <c r="E1119" s="18">
        <v>0</v>
      </c>
      <c r="F1119" s="18">
        <v>0</v>
      </c>
      <c r="G1119" s="18">
        <v>0</v>
      </c>
      <c r="H1119" s="45">
        <v>0</v>
      </c>
      <c r="I1119" s="21">
        <f t="shared" si="2155"/>
        <v>110</v>
      </c>
      <c r="J1119" s="21">
        <f t="shared" si="2241"/>
        <v>7</v>
      </c>
      <c r="K1119" s="21">
        <v>0</v>
      </c>
      <c r="L1119" s="20">
        <v>12</v>
      </c>
      <c r="M1119" s="20">
        <v>0</v>
      </c>
      <c r="N1119" s="20">
        <f t="shared" si="2156"/>
        <v>800</v>
      </c>
      <c r="O1119" s="19" t="s">
        <v>73</v>
      </c>
      <c r="P1119" s="20">
        <v>1487</v>
      </c>
      <c r="Q1119" s="20">
        <f t="shared" ref="Q1119:X1119" si="2284">Q1089</f>
        <v>80</v>
      </c>
      <c r="R1119" s="20">
        <f t="shared" si="2284"/>
        <v>320</v>
      </c>
      <c r="S1119" s="20">
        <f t="shared" si="2284"/>
        <v>560</v>
      </c>
      <c r="T1119" s="20">
        <f t="shared" si="2284"/>
        <v>720</v>
      </c>
      <c r="U1119" s="20">
        <f t="shared" si="2284"/>
        <v>200</v>
      </c>
      <c r="V1119" s="20">
        <f t="shared" si="2284"/>
        <v>2000</v>
      </c>
      <c r="W1119" s="20">
        <f t="shared" si="2284"/>
        <v>1000</v>
      </c>
      <c r="X1119" s="20">
        <f t="shared" si="2284"/>
        <v>2</v>
      </c>
      <c r="Y1119" s="20">
        <f t="shared" si="2280"/>
        <v>42</v>
      </c>
      <c r="Z1119" s="22">
        <v>0</v>
      </c>
      <c r="AA1119" s="20">
        <v>0</v>
      </c>
      <c r="AB1119" s="20">
        <v>0</v>
      </c>
      <c r="AC1119" s="20">
        <v>0</v>
      </c>
      <c r="AD1119" s="23">
        <f t="shared" ref="AD1119:AE1119" si="2285">AD1089</f>
        <v>14</v>
      </c>
      <c r="AE1119" s="23">
        <f t="shared" si="2285"/>
        <v>18</v>
      </c>
    </row>
    <row r="1120" spans="1:31">
      <c r="A1120" s="4">
        <v>13102</v>
      </c>
      <c r="B1120" s="4">
        <v>9</v>
      </c>
      <c r="C1120" s="19" t="s">
        <v>74</v>
      </c>
      <c r="D1120" s="44">
        <f t="shared" si="2278"/>
        <v>204</v>
      </c>
      <c r="E1120" s="18">
        <v>0</v>
      </c>
      <c r="F1120" s="18">
        <v>0</v>
      </c>
      <c r="G1120" s="18">
        <v>0</v>
      </c>
      <c r="H1120" s="45">
        <v>0</v>
      </c>
      <c r="I1120" s="21">
        <f t="shared" si="2155"/>
        <v>165</v>
      </c>
      <c r="J1120" s="21">
        <f t="shared" si="2241"/>
        <v>8</v>
      </c>
      <c r="K1120" s="21">
        <v>0</v>
      </c>
      <c r="L1120" s="20">
        <v>8</v>
      </c>
      <c r="M1120" s="20">
        <v>0</v>
      </c>
      <c r="N1120" s="20">
        <f t="shared" si="2156"/>
        <v>900</v>
      </c>
      <c r="O1120" s="19" t="s">
        <v>74</v>
      </c>
      <c r="P1120" s="20">
        <v>1518</v>
      </c>
      <c r="Q1120" s="20">
        <f t="shared" ref="Q1120:X1120" si="2286">Q1090</f>
        <v>90</v>
      </c>
      <c r="R1120" s="20">
        <f t="shared" si="2286"/>
        <v>360</v>
      </c>
      <c r="S1120" s="20">
        <f t="shared" si="2286"/>
        <v>630</v>
      </c>
      <c r="T1120" s="20">
        <f t="shared" si="2286"/>
        <v>810</v>
      </c>
      <c r="U1120" s="20">
        <f t="shared" si="2286"/>
        <v>120</v>
      </c>
      <c r="V1120" s="20">
        <f t="shared" si="2286"/>
        <v>1500</v>
      </c>
      <c r="W1120" s="20">
        <f t="shared" si="2286"/>
        <v>1000</v>
      </c>
      <c r="X1120" s="20">
        <f t="shared" si="2286"/>
        <v>3</v>
      </c>
      <c r="Y1120" s="20">
        <f t="shared" si="2280"/>
        <v>0</v>
      </c>
      <c r="Z1120" s="22">
        <v>0</v>
      </c>
      <c r="AA1120" s="20">
        <v>0</v>
      </c>
      <c r="AB1120" s="20">
        <v>0</v>
      </c>
      <c r="AC1120" s="20">
        <v>0</v>
      </c>
      <c r="AD1120" s="23">
        <f t="shared" ref="AD1120:AE1120" si="2287">AD1090</f>
        <v>16</v>
      </c>
      <c r="AE1120" s="23">
        <f t="shared" si="2287"/>
        <v>20</v>
      </c>
    </row>
    <row r="1121" spans="1:31">
      <c r="A1121" s="4">
        <v>13102</v>
      </c>
      <c r="B1121" s="4">
        <v>10</v>
      </c>
      <c r="C1121" s="19" t="s">
        <v>75</v>
      </c>
      <c r="D1121" s="44">
        <f t="shared" si="2278"/>
        <v>221</v>
      </c>
      <c r="E1121" s="18">
        <v>0</v>
      </c>
      <c r="F1121" s="18">
        <v>0</v>
      </c>
      <c r="G1121" s="18">
        <v>0</v>
      </c>
      <c r="H1121" s="45">
        <v>0</v>
      </c>
      <c r="I1121" s="21">
        <f t="shared" ref="I1121:I1184" si="2288">I1091</f>
        <v>165</v>
      </c>
      <c r="J1121" s="21">
        <f t="shared" si="2241"/>
        <v>9</v>
      </c>
      <c r="K1121" s="21">
        <v>0</v>
      </c>
      <c r="L1121" s="20">
        <v>6</v>
      </c>
      <c r="M1121" s="20">
        <v>0</v>
      </c>
      <c r="N1121" s="20">
        <f t="shared" ref="N1121:N1184" si="2289">N1091</f>
        <v>2000</v>
      </c>
      <c r="O1121" s="19" t="s">
        <v>75</v>
      </c>
      <c r="P1121" s="20">
        <v>861</v>
      </c>
      <c r="Q1121" s="20">
        <f t="shared" ref="Q1121:X1121" si="2290">Q1091</f>
        <v>200</v>
      </c>
      <c r="R1121" s="20">
        <f t="shared" si="2290"/>
        <v>800</v>
      </c>
      <c r="S1121" s="20">
        <f t="shared" si="2290"/>
        <v>1400</v>
      </c>
      <c r="T1121" s="20">
        <f t="shared" si="2290"/>
        <v>1800</v>
      </c>
      <c r="U1121" s="20">
        <f t="shared" si="2290"/>
        <v>150</v>
      </c>
      <c r="V1121" s="20">
        <f t="shared" si="2290"/>
        <v>5000</v>
      </c>
      <c r="W1121" s="20">
        <f t="shared" si="2290"/>
        <v>800</v>
      </c>
      <c r="X1121" s="20">
        <f t="shared" si="2290"/>
        <v>3</v>
      </c>
      <c r="Y1121" s="20">
        <f t="shared" si="2280"/>
        <v>0</v>
      </c>
      <c r="Z1121" s="22">
        <v>0</v>
      </c>
      <c r="AA1121" s="20">
        <v>0</v>
      </c>
      <c r="AB1121" s="20">
        <v>0</v>
      </c>
      <c r="AC1121" s="20">
        <v>0</v>
      </c>
      <c r="AD1121" s="23">
        <f t="shared" ref="AD1121:AE1121" si="2291">AD1091</f>
        <v>18</v>
      </c>
      <c r="AE1121" s="23">
        <f t="shared" si="2291"/>
        <v>22</v>
      </c>
    </row>
    <row r="1122" spans="1:31">
      <c r="A1122" s="4">
        <v>13102</v>
      </c>
      <c r="B1122" s="4">
        <v>11</v>
      </c>
      <c r="C1122" s="19" t="s">
        <v>66</v>
      </c>
      <c r="D1122" s="44">
        <f t="shared" si="2278"/>
        <v>239</v>
      </c>
      <c r="E1122" s="18">
        <v>0</v>
      </c>
      <c r="F1122" s="18">
        <v>0</v>
      </c>
      <c r="G1122" s="18">
        <v>0</v>
      </c>
      <c r="H1122" s="45">
        <v>0</v>
      </c>
      <c r="I1122" s="21">
        <f t="shared" si="2288"/>
        <v>165</v>
      </c>
      <c r="J1122" s="21">
        <f t="shared" si="2241"/>
        <v>10</v>
      </c>
      <c r="K1122" s="21">
        <v>0</v>
      </c>
      <c r="L1122" s="20">
        <v>6</v>
      </c>
      <c r="M1122" s="20">
        <v>0</v>
      </c>
      <c r="N1122" s="20">
        <f t="shared" si="2289"/>
        <v>2200</v>
      </c>
      <c r="O1122" s="19" t="s">
        <v>66</v>
      </c>
      <c r="P1122" s="20">
        <v>9400</v>
      </c>
      <c r="Q1122" s="20">
        <f t="shared" ref="Q1122:X1122" si="2292">Q1092</f>
        <v>220</v>
      </c>
      <c r="R1122" s="20">
        <f t="shared" si="2292"/>
        <v>880</v>
      </c>
      <c r="S1122" s="20">
        <f t="shared" si="2292"/>
        <v>1540</v>
      </c>
      <c r="T1122" s="20">
        <f t="shared" si="2292"/>
        <v>1980</v>
      </c>
      <c r="U1122" s="20">
        <f t="shared" si="2292"/>
        <v>100</v>
      </c>
      <c r="V1122" s="20">
        <f t="shared" si="2292"/>
        <v>800</v>
      </c>
      <c r="W1122" s="20">
        <f t="shared" si="2292"/>
        <v>600</v>
      </c>
      <c r="X1122" s="20">
        <f t="shared" si="2292"/>
        <v>3</v>
      </c>
      <c r="Y1122" s="20">
        <f t="shared" si="2280"/>
        <v>0</v>
      </c>
      <c r="Z1122" s="22">
        <v>0</v>
      </c>
      <c r="AA1122" s="20">
        <v>0</v>
      </c>
      <c r="AB1122" s="20">
        <v>0</v>
      </c>
      <c r="AC1122" s="20">
        <v>0</v>
      </c>
      <c r="AD1122" s="23">
        <f t="shared" ref="AD1122:AE1122" si="2293">AD1092</f>
        <v>20</v>
      </c>
      <c r="AE1122" s="23">
        <f t="shared" si="2293"/>
        <v>24</v>
      </c>
    </row>
    <row r="1123" spans="1:31">
      <c r="A1123" s="4">
        <v>13102</v>
      </c>
      <c r="B1123" s="4">
        <v>12</v>
      </c>
      <c r="C1123" s="19" t="s">
        <v>67</v>
      </c>
      <c r="D1123" s="44">
        <f t="shared" si="2278"/>
        <v>258</v>
      </c>
      <c r="E1123" s="18">
        <v>0</v>
      </c>
      <c r="F1123" s="18">
        <v>0</v>
      </c>
      <c r="G1123" s="18">
        <v>0</v>
      </c>
      <c r="H1123" s="45">
        <v>0</v>
      </c>
      <c r="I1123" s="21">
        <f t="shared" si="2288"/>
        <v>165</v>
      </c>
      <c r="J1123" s="21">
        <f t="shared" si="2241"/>
        <v>11</v>
      </c>
      <c r="K1123" s="21">
        <v>0</v>
      </c>
      <c r="L1123" s="20">
        <v>6</v>
      </c>
      <c r="M1123" s="20">
        <v>0</v>
      </c>
      <c r="N1123" s="20">
        <f t="shared" si="2289"/>
        <v>2400</v>
      </c>
      <c r="O1123" s="19" t="s">
        <v>67</v>
      </c>
      <c r="P1123" s="20">
        <v>9100</v>
      </c>
      <c r="Q1123" s="20">
        <f t="shared" ref="Q1123:X1123" si="2294">Q1093</f>
        <v>240</v>
      </c>
      <c r="R1123" s="20">
        <f t="shared" si="2294"/>
        <v>960</v>
      </c>
      <c r="S1123" s="20">
        <f t="shared" si="2294"/>
        <v>1680</v>
      </c>
      <c r="T1123" s="20">
        <f t="shared" si="2294"/>
        <v>2160</v>
      </c>
      <c r="U1123" s="20">
        <f t="shared" si="2294"/>
        <v>150</v>
      </c>
      <c r="V1123" s="20">
        <f t="shared" si="2294"/>
        <v>700</v>
      </c>
      <c r="W1123" s="20">
        <f t="shared" si="2294"/>
        <v>900</v>
      </c>
      <c r="X1123" s="20">
        <f t="shared" si="2294"/>
        <v>3</v>
      </c>
      <c r="Y1123" s="20">
        <f t="shared" si="2280"/>
        <v>0</v>
      </c>
      <c r="Z1123" s="22">
        <v>0</v>
      </c>
      <c r="AA1123" s="20">
        <v>0</v>
      </c>
      <c r="AB1123" s="20">
        <v>0</v>
      </c>
      <c r="AC1123" s="20">
        <v>0</v>
      </c>
      <c r="AD1123" s="23">
        <f t="shared" ref="AD1123:AE1123" si="2295">AD1093</f>
        <v>22</v>
      </c>
      <c r="AE1123" s="23">
        <f t="shared" si="2295"/>
        <v>26</v>
      </c>
    </row>
    <row r="1124" spans="1:31">
      <c r="A1124" s="4">
        <v>13102</v>
      </c>
      <c r="B1124" s="4">
        <v>13</v>
      </c>
      <c r="C1124" s="19" t="s">
        <v>68</v>
      </c>
      <c r="D1124" s="44">
        <f t="shared" si="2278"/>
        <v>281</v>
      </c>
      <c r="E1124" s="18">
        <v>0</v>
      </c>
      <c r="F1124" s="18">
        <v>0</v>
      </c>
      <c r="G1124" s="18">
        <v>0</v>
      </c>
      <c r="H1124" s="45">
        <v>0</v>
      </c>
      <c r="I1124" s="21">
        <f t="shared" si="2288"/>
        <v>220</v>
      </c>
      <c r="J1124" s="21">
        <f t="shared" si="2241"/>
        <v>12</v>
      </c>
      <c r="K1124" s="21">
        <v>0</v>
      </c>
      <c r="L1124" s="20">
        <v>6</v>
      </c>
      <c r="M1124" s="20">
        <v>0</v>
      </c>
      <c r="N1124" s="20">
        <f t="shared" si="2289"/>
        <v>2600</v>
      </c>
      <c r="O1124" s="19" t="s">
        <v>68</v>
      </c>
      <c r="P1124" s="20">
        <v>8600</v>
      </c>
      <c r="Q1124" s="20">
        <f t="shared" ref="Q1124:X1124" si="2296">Q1094</f>
        <v>260</v>
      </c>
      <c r="R1124" s="20">
        <f t="shared" si="2296"/>
        <v>1040</v>
      </c>
      <c r="S1124" s="20">
        <f t="shared" si="2296"/>
        <v>1819.9999999999998</v>
      </c>
      <c r="T1124" s="20">
        <f t="shared" si="2296"/>
        <v>2340</v>
      </c>
      <c r="U1124" s="20">
        <f t="shared" si="2296"/>
        <v>100</v>
      </c>
      <c r="V1124" s="20">
        <f t="shared" si="2296"/>
        <v>700</v>
      </c>
      <c r="W1124" s="20">
        <f t="shared" si="2296"/>
        <v>1000</v>
      </c>
      <c r="X1124" s="20">
        <f t="shared" si="2296"/>
        <v>4</v>
      </c>
      <c r="Y1124" s="20">
        <f t="shared" si="2280"/>
        <v>86</v>
      </c>
      <c r="Z1124" s="22">
        <v>0</v>
      </c>
      <c r="AA1124" s="20">
        <v>0</v>
      </c>
      <c r="AB1124" s="20">
        <v>0</v>
      </c>
      <c r="AC1124" s="20">
        <v>0</v>
      </c>
      <c r="AD1124" s="23">
        <f t="shared" ref="AD1124:AE1124" si="2297">AD1094</f>
        <v>24</v>
      </c>
      <c r="AE1124" s="23">
        <f t="shared" si="2297"/>
        <v>28</v>
      </c>
    </row>
    <row r="1125" spans="1:31">
      <c r="A1125" s="4">
        <v>13102</v>
      </c>
      <c r="B1125" s="4">
        <v>14</v>
      </c>
      <c r="C1125" s="19" t="s">
        <v>69</v>
      </c>
      <c r="D1125" s="44">
        <f t="shared" si="2278"/>
        <v>303</v>
      </c>
      <c r="E1125" s="18">
        <v>0</v>
      </c>
      <c r="F1125" s="18">
        <v>0</v>
      </c>
      <c r="G1125" s="18">
        <v>0</v>
      </c>
      <c r="H1125" s="45">
        <v>0</v>
      </c>
      <c r="I1125" s="21">
        <f t="shared" si="2288"/>
        <v>220</v>
      </c>
      <c r="J1125" s="21">
        <f t="shared" si="2241"/>
        <v>13</v>
      </c>
      <c r="K1125" s="21">
        <v>0</v>
      </c>
      <c r="L1125" s="20">
        <v>6</v>
      </c>
      <c r="M1125" s="20">
        <v>0</v>
      </c>
      <c r="N1125" s="20">
        <f t="shared" si="2289"/>
        <v>2800</v>
      </c>
      <c r="O1125" s="19" t="s">
        <v>69</v>
      </c>
      <c r="P1125" s="20">
        <v>6400</v>
      </c>
      <c r="Q1125" s="20">
        <f t="shared" ref="Q1125:X1125" si="2298">Q1095</f>
        <v>280</v>
      </c>
      <c r="R1125" s="20">
        <f t="shared" si="2298"/>
        <v>1120</v>
      </c>
      <c r="S1125" s="20">
        <f t="shared" si="2298"/>
        <v>1959.9999999999998</v>
      </c>
      <c r="T1125" s="20">
        <f t="shared" si="2298"/>
        <v>2520</v>
      </c>
      <c r="U1125" s="20">
        <f t="shared" si="2298"/>
        <v>100</v>
      </c>
      <c r="V1125" s="20">
        <f t="shared" si="2298"/>
        <v>400</v>
      </c>
      <c r="W1125" s="20">
        <f t="shared" si="2298"/>
        <v>1200</v>
      </c>
      <c r="X1125" s="20">
        <f t="shared" si="2298"/>
        <v>4</v>
      </c>
      <c r="Y1125" s="20">
        <f t="shared" si="2280"/>
        <v>0</v>
      </c>
      <c r="Z1125" s="22">
        <v>0</v>
      </c>
      <c r="AA1125" s="20">
        <v>0</v>
      </c>
      <c r="AB1125" s="20">
        <v>0</v>
      </c>
      <c r="AC1125" s="20">
        <v>0</v>
      </c>
      <c r="AD1125" s="23">
        <f t="shared" ref="AD1125:AE1125" si="2299">AD1095</f>
        <v>26</v>
      </c>
      <c r="AE1125" s="23">
        <f t="shared" si="2299"/>
        <v>30</v>
      </c>
    </row>
    <row r="1126" spans="1:31">
      <c r="A1126" s="4">
        <v>13102</v>
      </c>
      <c r="B1126" s="4">
        <v>15</v>
      </c>
      <c r="C1126" s="19" t="s">
        <v>70</v>
      </c>
      <c r="D1126" s="44">
        <f t="shared" si="2278"/>
        <v>329</v>
      </c>
      <c r="E1126" s="18">
        <v>0</v>
      </c>
      <c r="F1126" s="18">
        <v>0</v>
      </c>
      <c r="G1126" s="18">
        <v>0</v>
      </c>
      <c r="H1126" s="45">
        <v>0</v>
      </c>
      <c r="I1126" s="21">
        <f t="shared" si="2288"/>
        <v>220</v>
      </c>
      <c r="J1126" s="21">
        <f t="shared" si="2241"/>
        <v>14</v>
      </c>
      <c r="K1126" s="21">
        <v>0</v>
      </c>
      <c r="L1126" s="20">
        <v>6</v>
      </c>
      <c r="M1126" s="20">
        <v>0</v>
      </c>
      <c r="N1126" s="20">
        <f t="shared" si="2289"/>
        <v>4500</v>
      </c>
      <c r="O1126" s="19" t="s">
        <v>70</v>
      </c>
      <c r="P1126" s="20">
        <v>3100</v>
      </c>
      <c r="Q1126" s="20">
        <f t="shared" ref="Q1126:X1126" si="2300">Q1096</f>
        <v>450</v>
      </c>
      <c r="R1126" s="20">
        <f t="shared" si="2300"/>
        <v>1800</v>
      </c>
      <c r="S1126" s="20">
        <f t="shared" si="2300"/>
        <v>3150</v>
      </c>
      <c r="T1126" s="20">
        <f t="shared" si="2300"/>
        <v>4050</v>
      </c>
      <c r="U1126" s="20">
        <f t="shared" si="2300"/>
        <v>100</v>
      </c>
      <c r="V1126" s="20">
        <f t="shared" si="2300"/>
        <v>1000</v>
      </c>
      <c r="W1126" s="20">
        <f t="shared" si="2300"/>
        <v>600</v>
      </c>
      <c r="X1126" s="20">
        <f t="shared" si="2300"/>
        <v>4</v>
      </c>
      <c r="Y1126" s="20">
        <f t="shared" si="2280"/>
        <v>0</v>
      </c>
      <c r="Z1126" s="22">
        <v>0</v>
      </c>
      <c r="AA1126" s="20">
        <v>0</v>
      </c>
      <c r="AB1126" s="20">
        <v>0</v>
      </c>
      <c r="AC1126" s="20">
        <v>0</v>
      </c>
      <c r="AD1126" s="23">
        <f t="shared" ref="AD1126:AE1126" si="2301">AD1096</f>
        <v>28</v>
      </c>
      <c r="AE1126" s="23">
        <f t="shared" si="2301"/>
        <v>32</v>
      </c>
    </row>
    <row r="1127" spans="1:31">
      <c r="A1127" s="4">
        <v>13102</v>
      </c>
      <c r="B1127" s="4">
        <v>16</v>
      </c>
      <c r="C1127" s="19" t="s">
        <v>71</v>
      </c>
      <c r="D1127" s="44">
        <f t="shared" si="2278"/>
        <v>356</v>
      </c>
      <c r="E1127" s="18">
        <v>0</v>
      </c>
      <c r="F1127" s="18">
        <v>0</v>
      </c>
      <c r="G1127" s="18">
        <v>0</v>
      </c>
      <c r="H1127" s="45">
        <v>0</v>
      </c>
      <c r="I1127" s="21">
        <f t="shared" si="2288"/>
        <v>220</v>
      </c>
      <c r="J1127" s="21">
        <f t="shared" si="2241"/>
        <v>15</v>
      </c>
      <c r="K1127" s="21">
        <v>0</v>
      </c>
      <c r="L1127" s="20">
        <v>6</v>
      </c>
      <c r="M1127" s="20">
        <v>0</v>
      </c>
      <c r="N1127" s="20">
        <f t="shared" si="2289"/>
        <v>4800</v>
      </c>
      <c r="O1127" s="19" t="s">
        <v>71</v>
      </c>
      <c r="P1127" s="20">
        <v>1777</v>
      </c>
      <c r="Q1127" s="20">
        <f t="shared" ref="Q1127:X1127" si="2302">Q1097</f>
        <v>480</v>
      </c>
      <c r="R1127" s="20">
        <f t="shared" si="2302"/>
        <v>1920</v>
      </c>
      <c r="S1127" s="20">
        <f t="shared" si="2302"/>
        <v>3360</v>
      </c>
      <c r="T1127" s="20">
        <f t="shared" si="2302"/>
        <v>4320</v>
      </c>
      <c r="U1127" s="20">
        <f t="shared" si="2302"/>
        <v>100</v>
      </c>
      <c r="V1127" s="20">
        <f t="shared" si="2302"/>
        <v>800</v>
      </c>
      <c r="W1127" s="20">
        <f t="shared" si="2302"/>
        <v>800</v>
      </c>
      <c r="X1127" s="20">
        <f t="shared" si="2302"/>
        <v>4</v>
      </c>
      <c r="Y1127" s="20">
        <f t="shared" si="2280"/>
        <v>0</v>
      </c>
      <c r="Z1127" s="22">
        <v>0</v>
      </c>
      <c r="AA1127" s="20">
        <v>0</v>
      </c>
      <c r="AB1127" s="20">
        <v>0</v>
      </c>
      <c r="AC1127" s="20">
        <v>0</v>
      </c>
      <c r="AD1127" s="23">
        <f t="shared" ref="AD1127:AE1127" si="2303">AD1097</f>
        <v>30</v>
      </c>
      <c r="AE1127" s="23">
        <f t="shared" si="2303"/>
        <v>34</v>
      </c>
    </row>
    <row r="1128" spans="1:31">
      <c r="A1128" s="4">
        <v>13102</v>
      </c>
      <c r="B1128" s="4">
        <v>17</v>
      </c>
      <c r="C1128" s="19" t="s">
        <v>72</v>
      </c>
      <c r="D1128" s="44">
        <f t="shared" si="2278"/>
        <v>384</v>
      </c>
      <c r="E1128" s="18">
        <v>0</v>
      </c>
      <c r="F1128" s="18">
        <v>0</v>
      </c>
      <c r="G1128" s="18">
        <v>0</v>
      </c>
      <c r="H1128" s="45">
        <v>0</v>
      </c>
      <c r="I1128" s="21">
        <f t="shared" si="2288"/>
        <v>275</v>
      </c>
      <c r="J1128" s="21">
        <f t="shared" si="2241"/>
        <v>16</v>
      </c>
      <c r="K1128" s="21">
        <v>0</v>
      </c>
      <c r="L1128" s="20">
        <v>6</v>
      </c>
      <c r="M1128" s="20">
        <v>0</v>
      </c>
      <c r="N1128" s="20">
        <f t="shared" si="2289"/>
        <v>5100</v>
      </c>
      <c r="O1128" s="19" t="s">
        <v>72</v>
      </c>
      <c r="P1128" s="20">
        <v>2332</v>
      </c>
      <c r="Q1128" s="20">
        <f t="shared" ref="Q1128:X1128" si="2304">Q1098</f>
        <v>510</v>
      </c>
      <c r="R1128" s="20">
        <f t="shared" si="2304"/>
        <v>2040</v>
      </c>
      <c r="S1128" s="20">
        <f t="shared" si="2304"/>
        <v>3570</v>
      </c>
      <c r="T1128" s="20">
        <f t="shared" si="2304"/>
        <v>4590</v>
      </c>
      <c r="U1128" s="20">
        <f t="shared" si="2304"/>
        <v>80</v>
      </c>
      <c r="V1128" s="20">
        <f t="shared" si="2304"/>
        <v>800</v>
      </c>
      <c r="W1128" s="20">
        <f t="shared" si="2304"/>
        <v>600</v>
      </c>
      <c r="X1128" s="20">
        <f t="shared" si="2304"/>
        <v>5</v>
      </c>
      <c r="Y1128" s="20">
        <f t="shared" si="2280"/>
        <v>0</v>
      </c>
      <c r="Z1128" s="22">
        <v>0</v>
      </c>
      <c r="AA1128" s="20">
        <v>0</v>
      </c>
      <c r="AB1128" s="20">
        <v>0</v>
      </c>
      <c r="AC1128" s="20">
        <v>0</v>
      </c>
      <c r="AD1128" s="23">
        <f t="shared" ref="AD1128:AE1128" si="2305">AD1098</f>
        <v>32</v>
      </c>
      <c r="AE1128" s="23">
        <f t="shared" si="2305"/>
        <v>36</v>
      </c>
    </row>
    <row r="1129" spans="1:31">
      <c r="A1129" s="4">
        <v>13102</v>
      </c>
      <c r="B1129" s="4">
        <v>18</v>
      </c>
      <c r="C1129" s="19" t="s">
        <v>73</v>
      </c>
      <c r="D1129" s="44">
        <f t="shared" si="2278"/>
        <v>417</v>
      </c>
      <c r="E1129" s="18">
        <v>0</v>
      </c>
      <c r="F1129" s="18">
        <v>0</v>
      </c>
      <c r="G1129" s="18">
        <v>0</v>
      </c>
      <c r="H1129" s="45">
        <v>0</v>
      </c>
      <c r="I1129" s="21">
        <f t="shared" si="2288"/>
        <v>275</v>
      </c>
      <c r="J1129" s="21">
        <f t="shared" si="2241"/>
        <v>17</v>
      </c>
      <c r="K1129" s="21">
        <v>0</v>
      </c>
      <c r="L1129" s="20">
        <v>6</v>
      </c>
      <c r="M1129" s="20">
        <v>0</v>
      </c>
      <c r="N1129" s="20">
        <f t="shared" si="2289"/>
        <v>5400</v>
      </c>
      <c r="O1129" s="19" t="s">
        <v>73</v>
      </c>
      <c r="P1129" s="20">
        <v>1487</v>
      </c>
      <c r="Q1129" s="20">
        <f t="shared" ref="Q1129:X1129" si="2306">Q1099</f>
        <v>540</v>
      </c>
      <c r="R1129" s="20">
        <f t="shared" si="2306"/>
        <v>2160</v>
      </c>
      <c r="S1129" s="20">
        <f t="shared" si="2306"/>
        <v>3779.9999999999995</v>
      </c>
      <c r="T1129" s="20">
        <f t="shared" si="2306"/>
        <v>4860</v>
      </c>
      <c r="U1129" s="20">
        <f t="shared" si="2306"/>
        <v>100</v>
      </c>
      <c r="V1129" s="20">
        <f t="shared" si="2306"/>
        <v>600</v>
      </c>
      <c r="W1129" s="20">
        <f t="shared" si="2306"/>
        <v>300</v>
      </c>
      <c r="X1129" s="20">
        <f t="shared" si="2306"/>
        <v>5</v>
      </c>
      <c r="Y1129" s="20">
        <f t="shared" si="2280"/>
        <v>129</v>
      </c>
      <c r="Z1129" s="22">
        <v>0</v>
      </c>
      <c r="AA1129" s="20">
        <v>0</v>
      </c>
      <c r="AB1129" s="20">
        <v>0</v>
      </c>
      <c r="AC1129" s="20">
        <v>0</v>
      </c>
      <c r="AD1129" s="23">
        <f t="shared" ref="AD1129:AE1129" si="2307">AD1099</f>
        <v>34</v>
      </c>
      <c r="AE1129" s="23">
        <f t="shared" si="2307"/>
        <v>38</v>
      </c>
    </row>
    <row r="1130" spans="1:31">
      <c r="A1130" s="8">
        <v>13102</v>
      </c>
      <c r="B1130" s="8">
        <v>19</v>
      </c>
      <c r="C1130" s="19" t="s">
        <v>74</v>
      </c>
      <c r="D1130" s="44">
        <f t="shared" si="2278"/>
        <v>452</v>
      </c>
      <c r="E1130" s="18">
        <v>0</v>
      </c>
      <c r="F1130" s="18">
        <v>0</v>
      </c>
      <c r="G1130" s="18">
        <v>0</v>
      </c>
      <c r="H1130" s="45">
        <v>0</v>
      </c>
      <c r="I1130" s="21">
        <f t="shared" si="2288"/>
        <v>275</v>
      </c>
      <c r="J1130" s="21">
        <f t="shared" si="2241"/>
        <v>18</v>
      </c>
      <c r="K1130" s="21">
        <v>0</v>
      </c>
      <c r="L1130" s="20">
        <v>6</v>
      </c>
      <c r="M1130" s="20">
        <v>0</v>
      </c>
      <c r="N1130" s="20">
        <f t="shared" si="2289"/>
        <v>5700</v>
      </c>
      <c r="O1130" s="19" t="s">
        <v>74</v>
      </c>
      <c r="P1130" s="20">
        <v>1518</v>
      </c>
      <c r="Q1130" s="20">
        <f t="shared" ref="Q1130:X1130" si="2308">Q1100</f>
        <v>570</v>
      </c>
      <c r="R1130" s="20">
        <f t="shared" si="2308"/>
        <v>2280</v>
      </c>
      <c r="S1130" s="20">
        <f t="shared" si="2308"/>
        <v>3989.9999999999995</v>
      </c>
      <c r="T1130" s="20">
        <f t="shared" si="2308"/>
        <v>5130</v>
      </c>
      <c r="U1130" s="20">
        <f t="shared" si="2308"/>
        <v>100</v>
      </c>
      <c r="V1130" s="20">
        <f t="shared" si="2308"/>
        <v>500</v>
      </c>
      <c r="W1130" s="20">
        <f t="shared" si="2308"/>
        <v>400</v>
      </c>
      <c r="X1130" s="20">
        <f t="shared" si="2308"/>
        <v>5</v>
      </c>
      <c r="Y1130" s="20">
        <f t="shared" si="2280"/>
        <v>0</v>
      </c>
      <c r="Z1130" s="22">
        <v>0</v>
      </c>
      <c r="AA1130" s="20">
        <v>0</v>
      </c>
      <c r="AB1130" s="20">
        <v>0</v>
      </c>
      <c r="AC1130" s="20">
        <v>0</v>
      </c>
      <c r="AD1130" s="23">
        <f t="shared" ref="AD1130:AE1130" si="2309">AD1100</f>
        <v>36</v>
      </c>
      <c r="AE1130" s="23">
        <f t="shared" si="2309"/>
        <v>40</v>
      </c>
    </row>
    <row r="1131" spans="1:31">
      <c r="A1131" s="4">
        <v>13102</v>
      </c>
      <c r="B1131" s="4">
        <v>20</v>
      </c>
      <c r="C1131" s="19" t="s">
        <v>75</v>
      </c>
      <c r="D1131" s="44">
        <f t="shared" si="2278"/>
        <v>488</v>
      </c>
      <c r="E1131" s="18">
        <v>0</v>
      </c>
      <c r="F1131" s="18">
        <v>0</v>
      </c>
      <c r="G1131" s="18">
        <v>0</v>
      </c>
      <c r="H1131" s="45">
        <v>0</v>
      </c>
      <c r="I1131" s="21">
        <f t="shared" si="2288"/>
        <v>275</v>
      </c>
      <c r="J1131" s="21">
        <f t="shared" si="2241"/>
        <v>19</v>
      </c>
      <c r="K1131" s="21">
        <v>0</v>
      </c>
      <c r="L1131" s="20">
        <v>6</v>
      </c>
      <c r="M1131" s="20">
        <v>0</v>
      </c>
      <c r="N1131" s="20">
        <f t="shared" si="2289"/>
        <v>8000</v>
      </c>
      <c r="O1131" s="19" t="s">
        <v>75</v>
      </c>
      <c r="P1131" s="20">
        <v>861</v>
      </c>
      <c r="Q1131" s="20">
        <f t="shared" ref="Q1131:X1131" si="2310">Q1101</f>
        <v>800</v>
      </c>
      <c r="R1131" s="20">
        <f t="shared" si="2310"/>
        <v>3200</v>
      </c>
      <c r="S1131" s="20">
        <f t="shared" si="2310"/>
        <v>5600</v>
      </c>
      <c r="T1131" s="20">
        <f t="shared" si="2310"/>
        <v>7200</v>
      </c>
      <c r="U1131" s="20">
        <f t="shared" si="2310"/>
        <v>100</v>
      </c>
      <c r="V1131" s="20">
        <f t="shared" si="2310"/>
        <v>800</v>
      </c>
      <c r="W1131" s="20">
        <f t="shared" si="2310"/>
        <v>8000</v>
      </c>
      <c r="X1131" s="20">
        <f t="shared" si="2310"/>
        <v>5</v>
      </c>
      <c r="Y1131" s="20">
        <f t="shared" si="2280"/>
        <v>0</v>
      </c>
      <c r="Z1131" s="22">
        <v>0</v>
      </c>
      <c r="AA1131" s="20">
        <v>0</v>
      </c>
      <c r="AB1131" s="20">
        <v>0</v>
      </c>
      <c r="AC1131" s="20">
        <v>0</v>
      </c>
      <c r="AD1131" s="23">
        <f t="shared" ref="AD1131:AE1131" si="2311">AD1101</f>
        <v>38</v>
      </c>
      <c r="AE1131" s="23">
        <f t="shared" si="2311"/>
        <v>42</v>
      </c>
    </row>
    <row r="1132" spans="1:31">
      <c r="A1132" s="4">
        <v>13102</v>
      </c>
      <c r="B1132" s="4">
        <v>21</v>
      </c>
      <c r="C1132" s="19" t="s">
        <v>66</v>
      </c>
      <c r="D1132" s="44">
        <f t="shared" si="2278"/>
        <v>528</v>
      </c>
      <c r="E1132" s="18">
        <v>0</v>
      </c>
      <c r="F1132" s="18">
        <v>0</v>
      </c>
      <c r="G1132" s="18">
        <v>0</v>
      </c>
      <c r="H1132" s="45">
        <v>0</v>
      </c>
      <c r="I1132" s="21">
        <f t="shared" si="2288"/>
        <v>330</v>
      </c>
      <c r="J1132" s="21">
        <f t="shared" si="2241"/>
        <v>20</v>
      </c>
      <c r="K1132" s="21">
        <v>0</v>
      </c>
      <c r="L1132" s="20">
        <v>6</v>
      </c>
      <c r="M1132" s="20">
        <v>0</v>
      </c>
      <c r="N1132" s="20">
        <f t="shared" si="2289"/>
        <v>8400</v>
      </c>
      <c r="O1132" s="19" t="s">
        <v>66</v>
      </c>
      <c r="P1132" s="20">
        <v>9400</v>
      </c>
      <c r="Q1132" s="20">
        <f t="shared" ref="Q1132:X1132" si="2312">Q1102</f>
        <v>840</v>
      </c>
      <c r="R1132" s="20">
        <f t="shared" si="2312"/>
        <v>3360</v>
      </c>
      <c r="S1132" s="20">
        <f t="shared" si="2312"/>
        <v>5880</v>
      </c>
      <c r="T1132" s="20">
        <f t="shared" si="2312"/>
        <v>7560</v>
      </c>
      <c r="U1132" s="20">
        <f t="shared" si="2312"/>
        <v>50</v>
      </c>
      <c r="V1132" s="20">
        <f t="shared" si="2312"/>
        <v>1000</v>
      </c>
      <c r="W1132" s="20">
        <f t="shared" si="2312"/>
        <v>600</v>
      </c>
      <c r="X1132" s="20">
        <f t="shared" si="2312"/>
        <v>6</v>
      </c>
      <c r="Y1132" s="20">
        <f t="shared" si="2280"/>
        <v>0</v>
      </c>
      <c r="Z1132" s="22">
        <v>0</v>
      </c>
      <c r="AA1132" s="20">
        <v>0</v>
      </c>
      <c r="AB1132" s="20">
        <v>0</v>
      </c>
      <c r="AC1132" s="20">
        <v>0</v>
      </c>
      <c r="AD1132" s="23">
        <f t="shared" ref="AD1132:AE1132" si="2313">AD1102</f>
        <v>40</v>
      </c>
      <c r="AE1132" s="23">
        <f t="shared" si="2313"/>
        <v>44</v>
      </c>
    </row>
    <row r="1133" spans="1:31">
      <c r="A1133" s="4">
        <v>13102</v>
      </c>
      <c r="B1133" s="4">
        <v>22</v>
      </c>
      <c r="C1133" s="19" t="s">
        <v>67</v>
      </c>
      <c r="D1133" s="44">
        <f t="shared" si="2278"/>
        <v>572</v>
      </c>
      <c r="E1133" s="18">
        <v>0</v>
      </c>
      <c r="F1133" s="18">
        <v>0</v>
      </c>
      <c r="G1133" s="18">
        <v>0</v>
      </c>
      <c r="H1133" s="45">
        <v>0</v>
      </c>
      <c r="I1133" s="21">
        <f t="shared" si="2288"/>
        <v>330</v>
      </c>
      <c r="J1133" s="21">
        <f t="shared" si="2241"/>
        <v>21</v>
      </c>
      <c r="K1133" s="21">
        <v>0</v>
      </c>
      <c r="L1133" s="20">
        <v>6</v>
      </c>
      <c r="M1133" s="20">
        <v>0</v>
      </c>
      <c r="N1133" s="20">
        <f t="shared" si="2289"/>
        <v>8800</v>
      </c>
      <c r="O1133" s="19" t="s">
        <v>67</v>
      </c>
      <c r="P1133" s="20">
        <v>9100</v>
      </c>
      <c r="Q1133" s="20">
        <f t="shared" ref="Q1133:X1133" si="2314">Q1103</f>
        <v>880</v>
      </c>
      <c r="R1133" s="20">
        <f t="shared" si="2314"/>
        <v>3520</v>
      </c>
      <c r="S1133" s="20">
        <f t="shared" si="2314"/>
        <v>6160</v>
      </c>
      <c r="T1133" s="20">
        <f t="shared" si="2314"/>
        <v>7920</v>
      </c>
      <c r="U1133" s="20">
        <f t="shared" si="2314"/>
        <v>100</v>
      </c>
      <c r="V1133" s="20">
        <f t="shared" si="2314"/>
        <v>600</v>
      </c>
      <c r="W1133" s="20">
        <f t="shared" si="2314"/>
        <v>700</v>
      </c>
      <c r="X1133" s="20">
        <f t="shared" si="2314"/>
        <v>6</v>
      </c>
      <c r="Y1133" s="20">
        <f t="shared" si="2280"/>
        <v>0</v>
      </c>
      <c r="Z1133" s="22">
        <v>0</v>
      </c>
      <c r="AA1133" s="20">
        <v>0</v>
      </c>
      <c r="AB1133" s="20">
        <v>0</v>
      </c>
      <c r="AC1133" s="20">
        <v>0</v>
      </c>
      <c r="AD1133" s="23">
        <f t="shared" ref="AD1133:AE1133" si="2315">AD1103</f>
        <v>42</v>
      </c>
      <c r="AE1133" s="23">
        <f t="shared" si="2315"/>
        <v>46</v>
      </c>
    </row>
    <row r="1134" spans="1:31">
      <c r="A1134" s="4">
        <v>13102</v>
      </c>
      <c r="B1134" s="4">
        <v>23</v>
      </c>
      <c r="C1134" s="19" t="s">
        <v>68</v>
      </c>
      <c r="D1134" s="44">
        <f t="shared" si="2278"/>
        <v>620</v>
      </c>
      <c r="E1134" s="18">
        <v>0</v>
      </c>
      <c r="F1134" s="18">
        <v>0</v>
      </c>
      <c r="G1134" s="18">
        <v>0</v>
      </c>
      <c r="H1134" s="45">
        <v>0</v>
      </c>
      <c r="I1134" s="21">
        <f t="shared" si="2288"/>
        <v>330</v>
      </c>
      <c r="J1134" s="21">
        <f t="shared" si="2241"/>
        <v>22</v>
      </c>
      <c r="K1134" s="21">
        <v>0</v>
      </c>
      <c r="L1134" s="20">
        <v>6</v>
      </c>
      <c r="M1134" s="20">
        <v>0</v>
      </c>
      <c r="N1134" s="20">
        <f t="shared" si="2289"/>
        <v>9200</v>
      </c>
      <c r="O1134" s="19" t="s">
        <v>68</v>
      </c>
      <c r="P1134" s="20">
        <v>8600</v>
      </c>
      <c r="Q1134" s="20">
        <f t="shared" ref="Q1134:X1134" si="2316">Q1104</f>
        <v>920</v>
      </c>
      <c r="R1134" s="20">
        <f t="shared" si="2316"/>
        <v>3680</v>
      </c>
      <c r="S1134" s="20">
        <f t="shared" si="2316"/>
        <v>6440</v>
      </c>
      <c r="T1134" s="20">
        <f t="shared" si="2316"/>
        <v>8280</v>
      </c>
      <c r="U1134" s="20">
        <f t="shared" si="2316"/>
        <v>100</v>
      </c>
      <c r="V1134" s="20">
        <f t="shared" si="2316"/>
        <v>550</v>
      </c>
      <c r="W1134" s="20">
        <f t="shared" si="2316"/>
        <v>500</v>
      </c>
      <c r="X1134" s="20">
        <f t="shared" si="2316"/>
        <v>6</v>
      </c>
      <c r="Y1134" s="20">
        <f t="shared" si="2280"/>
        <v>172</v>
      </c>
      <c r="Z1134" s="22">
        <v>0</v>
      </c>
      <c r="AA1134" s="20">
        <v>0</v>
      </c>
      <c r="AB1134" s="20">
        <v>0</v>
      </c>
      <c r="AC1134" s="20">
        <v>0</v>
      </c>
      <c r="AD1134" s="23">
        <f t="shared" ref="AD1134:AE1134" si="2317">AD1104</f>
        <v>44</v>
      </c>
      <c r="AE1134" s="23">
        <f t="shared" si="2317"/>
        <v>48</v>
      </c>
    </row>
    <row r="1135" spans="1:31">
      <c r="A1135" s="4">
        <v>13102</v>
      </c>
      <c r="B1135" s="4">
        <v>24</v>
      </c>
      <c r="C1135" s="19" t="s">
        <v>69</v>
      </c>
      <c r="D1135" s="44">
        <f t="shared" si="2278"/>
        <v>671</v>
      </c>
      <c r="E1135" s="18">
        <v>0</v>
      </c>
      <c r="F1135" s="18">
        <v>0</v>
      </c>
      <c r="G1135" s="18">
        <v>0</v>
      </c>
      <c r="H1135" s="45">
        <v>0</v>
      </c>
      <c r="I1135" s="21">
        <f t="shared" si="2288"/>
        <v>330</v>
      </c>
      <c r="J1135" s="21">
        <f t="shared" si="2241"/>
        <v>23</v>
      </c>
      <c r="K1135" s="21">
        <v>0</v>
      </c>
      <c r="L1135" s="20">
        <v>6</v>
      </c>
      <c r="M1135" s="20">
        <v>0</v>
      </c>
      <c r="N1135" s="20">
        <f t="shared" si="2289"/>
        <v>9600</v>
      </c>
      <c r="O1135" s="19" t="s">
        <v>69</v>
      </c>
      <c r="P1135" s="20">
        <v>6400</v>
      </c>
      <c r="Q1135" s="20">
        <f t="shared" ref="Q1135:X1135" si="2318">Q1105</f>
        <v>960</v>
      </c>
      <c r="R1135" s="20">
        <f t="shared" si="2318"/>
        <v>3840</v>
      </c>
      <c r="S1135" s="20">
        <f t="shared" si="2318"/>
        <v>6720</v>
      </c>
      <c r="T1135" s="20">
        <f t="shared" si="2318"/>
        <v>8640</v>
      </c>
      <c r="U1135" s="20">
        <f t="shared" si="2318"/>
        <v>100</v>
      </c>
      <c r="V1135" s="20">
        <f t="shared" si="2318"/>
        <v>500</v>
      </c>
      <c r="W1135" s="20">
        <f t="shared" si="2318"/>
        <v>900</v>
      </c>
      <c r="X1135" s="20">
        <f t="shared" si="2318"/>
        <v>6</v>
      </c>
      <c r="Y1135" s="20">
        <f t="shared" si="2280"/>
        <v>0</v>
      </c>
      <c r="Z1135" s="22">
        <v>0</v>
      </c>
      <c r="AA1135" s="20">
        <v>0</v>
      </c>
      <c r="AB1135" s="20">
        <v>0</v>
      </c>
      <c r="AC1135" s="20">
        <v>0</v>
      </c>
      <c r="AD1135" s="23">
        <f t="shared" ref="AD1135:AE1135" si="2319">AD1105</f>
        <v>46</v>
      </c>
      <c r="AE1135" s="23">
        <f t="shared" si="2319"/>
        <v>50</v>
      </c>
    </row>
    <row r="1136" spans="1:31">
      <c r="A1136" s="4">
        <v>13102</v>
      </c>
      <c r="B1136" s="4">
        <v>25</v>
      </c>
      <c r="C1136" s="19" t="s">
        <v>70</v>
      </c>
      <c r="D1136" s="44">
        <f t="shared" si="2278"/>
        <v>726</v>
      </c>
      <c r="E1136" s="18">
        <v>0</v>
      </c>
      <c r="F1136" s="18">
        <v>0</v>
      </c>
      <c r="G1136" s="18">
        <v>0</v>
      </c>
      <c r="H1136" s="45">
        <v>0</v>
      </c>
      <c r="I1136" s="21">
        <f t="shared" si="2288"/>
        <v>385</v>
      </c>
      <c r="J1136" s="21">
        <f t="shared" si="2241"/>
        <v>24</v>
      </c>
      <c r="K1136" s="21">
        <v>0</v>
      </c>
      <c r="L1136" s="20">
        <v>6</v>
      </c>
      <c r="M1136" s="20">
        <v>0</v>
      </c>
      <c r="N1136" s="20">
        <f t="shared" si="2289"/>
        <v>12500</v>
      </c>
      <c r="O1136" s="19" t="s">
        <v>70</v>
      </c>
      <c r="P1136" s="20">
        <v>3100</v>
      </c>
      <c r="Q1136" s="20">
        <f t="shared" ref="Q1136:X1136" si="2320">Q1106</f>
        <v>1250</v>
      </c>
      <c r="R1136" s="20">
        <f t="shared" si="2320"/>
        <v>5000</v>
      </c>
      <c r="S1136" s="20">
        <f t="shared" si="2320"/>
        <v>8750</v>
      </c>
      <c r="T1136" s="20">
        <f t="shared" si="2320"/>
        <v>11250</v>
      </c>
      <c r="U1136" s="20">
        <f t="shared" si="2320"/>
        <v>10</v>
      </c>
      <c r="V1136" s="20">
        <f t="shared" si="2320"/>
        <v>1300</v>
      </c>
      <c r="W1136" s="20">
        <f t="shared" si="2320"/>
        <v>1000</v>
      </c>
      <c r="X1136" s="20">
        <f t="shared" si="2320"/>
        <v>7</v>
      </c>
      <c r="Y1136" s="20">
        <f t="shared" si="2280"/>
        <v>0</v>
      </c>
      <c r="Z1136" s="22">
        <v>0</v>
      </c>
      <c r="AA1136" s="20">
        <v>0</v>
      </c>
      <c r="AB1136" s="20">
        <v>0</v>
      </c>
      <c r="AC1136" s="20">
        <v>0</v>
      </c>
      <c r="AD1136" s="23">
        <f t="shared" ref="AD1136:AE1136" si="2321">AD1106</f>
        <v>48</v>
      </c>
      <c r="AE1136" s="23">
        <f t="shared" si="2321"/>
        <v>52</v>
      </c>
    </row>
    <row r="1137" spans="1:31">
      <c r="A1137" s="4">
        <v>13102</v>
      </c>
      <c r="B1137" s="4">
        <v>26</v>
      </c>
      <c r="C1137" s="19" t="s">
        <v>71</v>
      </c>
      <c r="D1137" s="44">
        <f t="shared" si="2278"/>
        <v>786</v>
      </c>
      <c r="E1137" s="18">
        <v>0</v>
      </c>
      <c r="F1137" s="18">
        <v>0</v>
      </c>
      <c r="G1137" s="18">
        <v>0</v>
      </c>
      <c r="H1137" s="45">
        <v>0</v>
      </c>
      <c r="I1137" s="21">
        <f t="shared" si="2288"/>
        <v>385</v>
      </c>
      <c r="J1137" s="21">
        <f t="shared" si="2241"/>
        <v>25</v>
      </c>
      <c r="K1137" s="21">
        <v>0</v>
      </c>
      <c r="L1137" s="20">
        <v>6</v>
      </c>
      <c r="M1137" s="20">
        <v>0</v>
      </c>
      <c r="N1137" s="20">
        <f t="shared" si="2289"/>
        <v>13000</v>
      </c>
      <c r="O1137" s="19" t="s">
        <v>71</v>
      </c>
      <c r="P1137" s="20">
        <v>1777</v>
      </c>
      <c r="Q1137" s="20">
        <f t="shared" ref="Q1137:X1137" si="2322">Q1107</f>
        <v>1300</v>
      </c>
      <c r="R1137" s="20">
        <f t="shared" si="2322"/>
        <v>5200</v>
      </c>
      <c r="S1137" s="20">
        <f t="shared" si="2322"/>
        <v>9100</v>
      </c>
      <c r="T1137" s="20">
        <f t="shared" si="2322"/>
        <v>11700</v>
      </c>
      <c r="U1137" s="20">
        <f t="shared" si="2322"/>
        <v>90</v>
      </c>
      <c r="V1137" s="20">
        <f t="shared" si="2322"/>
        <v>800</v>
      </c>
      <c r="W1137" s="20">
        <f t="shared" si="2322"/>
        <v>2000</v>
      </c>
      <c r="X1137" s="20">
        <f t="shared" si="2322"/>
        <v>7</v>
      </c>
      <c r="Y1137" s="20">
        <f t="shared" si="2280"/>
        <v>0</v>
      </c>
      <c r="Z1137" s="22">
        <v>0</v>
      </c>
      <c r="AA1137" s="20">
        <v>0</v>
      </c>
      <c r="AB1137" s="20">
        <v>0</v>
      </c>
      <c r="AC1137" s="20">
        <v>0</v>
      </c>
      <c r="AD1137" s="23">
        <f t="shared" ref="AD1137:AE1137" si="2323">AD1107</f>
        <v>50</v>
      </c>
      <c r="AE1137" s="23">
        <f t="shared" si="2323"/>
        <v>54</v>
      </c>
    </row>
    <row r="1138" spans="1:31">
      <c r="A1138" s="4">
        <v>13102</v>
      </c>
      <c r="B1138" s="4">
        <v>27</v>
      </c>
      <c r="C1138" s="19" t="s">
        <v>72</v>
      </c>
      <c r="D1138" s="44">
        <f t="shared" si="2278"/>
        <v>851</v>
      </c>
      <c r="E1138" s="18">
        <v>0</v>
      </c>
      <c r="F1138" s="18">
        <v>0</v>
      </c>
      <c r="G1138" s="18">
        <v>0</v>
      </c>
      <c r="H1138" s="45">
        <v>0</v>
      </c>
      <c r="I1138" s="21">
        <f t="shared" si="2288"/>
        <v>385</v>
      </c>
      <c r="J1138" s="21">
        <f t="shared" si="2241"/>
        <v>26</v>
      </c>
      <c r="K1138" s="21">
        <v>0</v>
      </c>
      <c r="L1138" s="20">
        <v>6</v>
      </c>
      <c r="M1138" s="20">
        <v>0</v>
      </c>
      <c r="N1138" s="20">
        <f t="shared" si="2289"/>
        <v>13500</v>
      </c>
      <c r="O1138" s="19" t="s">
        <v>72</v>
      </c>
      <c r="P1138" s="20">
        <v>2332</v>
      </c>
      <c r="Q1138" s="20">
        <f t="shared" ref="Q1138:X1138" si="2324">Q1108</f>
        <v>1350</v>
      </c>
      <c r="R1138" s="20">
        <f t="shared" si="2324"/>
        <v>5400</v>
      </c>
      <c r="S1138" s="20">
        <f t="shared" si="2324"/>
        <v>9450</v>
      </c>
      <c r="T1138" s="20">
        <f t="shared" si="2324"/>
        <v>12150</v>
      </c>
      <c r="U1138" s="20">
        <f t="shared" si="2324"/>
        <v>80</v>
      </c>
      <c r="V1138" s="20">
        <f t="shared" si="2324"/>
        <v>700</v>
      </c>
      <c r="W1138" s="20">
        <f t="shared" si="2324"/>
        <v>800</v>
      </c>
      <c r="X1138" s="20">
        <f t="shared" si="2324"/>
        <v>7</v>
      </c>
      <c r="Y1138" s="20">
        <f t="shared" si="2280"/>
        <v>0</v>
      </c>
      <c r="Z1138" s="22">
        <v>0</v>
      </c>
      <c r="AA1138" s="20">
        <v>0</v>
      </c>
      <c r="AB1138" s="20">
        <v>0</v>
      </c>
      <c r="AC1138" s="20">
        <v>0</v>
      </c>
      <c r="AD1138" s="23">
        <f t="shared" ref="AD1138:AE1138" si="2325">AD1108</f>
        <v>52</v>
      </c>
      <c r="AE1138" s="23">
        <f t="shared" si="2325"/>
        <v>56</v>
      </c>
    </row>
    <row r="1139" spans="1:31">
      <c r="A1139" s="4">
        <v>13102</v>
      </c>
      <c r="B1139" s="4">
        <v>28</v>
      </c>
      <c r="C1139" s="19" t="s">
        <v>73</v>
      </c>
      <c r="D1139" s="44">
        <f t="shared" si="2278"/>
        <v>921</v>
      </c>
      <c r="E1139" s="18">
        <v>0</v>
      </c>
      <c r="F1139" s="18">
        <v>0</v>
      </c>
      <c r="G1139" s="18">
        <v>0</v>
      </c>
      <c r="H1139" s="45">
        <v>0</v>
      </c>
      <c r="I1139" s="21">
        <f t="shared" si="2288"/>
        <v>385</v>
      </c>
      <c r="J1139" s="21">
        <f t="shared" si="2241"/>
        <v>27</v>
      </c>
      <c r="K1139" s="21">
        <v>0</v>
      </c>
      <c r="L1139" s="20">
        <v>6</v>
      </c>
      <c r="M1139" s="20">
        <v>0</v>
      </c>
      <c r="N1139" s="20">
        <f t="shared" si="2289"/>
        <v>14000</v>
      </c>
      <c r="O1139" s="19" t="s">
        <v>73</v>
      </c>
      <c r="P1139" s="20">
        <v>1487</v>
      </c>
      <c r="Q1139" s="20">
        <f t="shared" ref="Q1139:X1139" si="2326">Q1109</f>
        <v>1400</v>
      </c>
      <c r="R1139" s="20">
        <f t="shared" si="2326"/>
        <v>5600</v>
      </c>
      <c r="S1139" s="20">
        <f t="shared" si="2326"/>
        <v>9800</v>
      </c>
      <c r="T1139" s="20">
        <f t="shared" si="2326"/>
        <v>12600</v>
      </c>
      <c r="U1139" s="20">
        <f t="shared" si="2326"/>
        <v>80</v>
      </c>
      <c r="V1139" s="20">
        <f t="shared" si="2326"/>
        <v>500</v>
      </c>
      <c r="W1139" s="20">
        <f t="shared" si="2326"/>
        <v>600</v>
      </c>
      <c r="X1139" s="20">
        <f t="shared" si="2326"/>
        <v>7</v>
      </c>
      <c r="Y1139" s="20">
        <f t="shared" si="2280"/>
        <v>216</v>
      </c>
      <c r="Z1139" s="22">
        <v>0</v>
      </c>
      <c r="AA1139" s="20">
        <v>0</v>
      </c>
      <c r="AB1139" s="20">
        <v>0</v>
      </c>
      <c r="AC1139" s="20">
        <v>0</v>
      </c>
      <c r="AD1139" s="23">
        <f t="shared" ref="AD1139:AE1139" si="2327">AD1109</f>
        <v>54</v>
      </c>
      <c r="AE1139" s="23">
        <f t="shared" si="2327"/>
        <v>58</v>
      </c>
    </row>
    <row r="1140" spans="1:31">
      <c r="A1140" s="4">
        <v>13102</v>
      </c>
      <c r="B1140" s="4">
        <v>29</v>
      </c>
      <c r="C1140" s="19" t="s">
        <v>74</v>
      </c>
      <c r="D1140" s="44">
        <f t="shared" si="2278"/>
        <v>998</v>
      </c>
      <c r="E1140" s="18">
        <v>0</v>
      </c>
      <c r="F1140" s="18">
        <v>0</v>
      </c>
      <c r="G1140" s="18">
        <v>0</v>
      </c>
      <c r="H1140" s="45">
        <v>0</v>
      </c>
      <c r="I1140" s="21">
        <f t="shared" si="2288"/>
        <v>440</v>
      </c>
      <c r="J1140" s="21">
        <f t="shared" si="2241"/>
        <v>28</v>
      </c>
      <c r="K1140" s="21">
        <v>0</v>
      </c>
      <c r="L1140" s="20">
        <v>6</v>
      </c>
      <c r="M1140" s="20">
        <v>0</v>
      </c>
      <c r="N1140" s="20">
        <f t="shared" si="2289"/>
        <v>14500</v>
      </c>
      <c r="O1140" s="19" t="s">
        <v>74</v>
      </c>
      <c r="P1140" s="20">
        <v>1518</v>
      </c>
      <c r="Q1140" s="20">
        <f t="shared" ref="Q1140:X1140" si="2328">Q1110</f>
        <v>1450</v>
      </c>
      <c r="R1140" s="20">
        <f t="shared" si="2328"/>
        <v>5800</v>
      </c>
      <c r="S1140" s="20">
        <f t="shared" si="2328"/>
        <v>10150</v>
      </c>
      <c r="T1140" s="20">
        <f t="shared" si="2328"/>
        <v>13050</v>
      </c>
      <c r="U1140" s="20">
        <f t="shared" si="2328"/>
        <v>80</v>
      </c>
      <c r="V1140" s="20">
        <f t="shared" si="2328"/>
        <v>600</v>
      </c>
      <c r="W1140" s="20">
        <f t="shared" si="2328"/>
        <v>700</v>
      </c>
      <c r="X1140" s="20">
        <f t="shared" si="2328"/>
        <v>8</v>
      </c>
      <c r="Y1140" s="20">
        <f t="shared" si="2280"/>
        <v>0</v>
      </c>
      <c r="Z1140" s="22">
        <v>0</v>
      </c>
      <c r="AA1140" s="20">
        <v>0</v>
      </c>
      <c r="AB1140" s="20">
        <v>0</v>
      </c>
      <c r="AC1140" s="20">
        <v>0</v>
      </c>
      <c r="AD1140" s="23">
        <f t="shared" ref="AD1140:AE1140" si="2329">AD1110</f>
        <v>56</v>
      </c>
      <c r="AE1140" s="23">
        <f t="shared" si="2329"/>
        <v>60</v>
      </c>
    </row>
    <row r="1141" spans="1:31">
      <c r="A1141" s="4">
        <v>13102</v>
      </c>
      <c r="B1141" s="4">
        <v>30</v>
      </c>
      <c r="C1141" s="19" t="s">
        <v>75</v>
      </c>
      <c r="D1141" s="44">
        <f t="shared" si="2278"/>
        <v>1080</v>
      </c>
      <c r="E1141" s="18">
        <v>0</v>
      </c>
      <c r="F1141" s="18">
        <v>0</v>
      </c>
      <c r="G1141" s="18">
        <v>0</v>
      </c>
      <c r="H1141" s="45">
        <v>0</v>
      </c>
      <c r="I1141" s="21">
        <f t="shared" si="2288"/>
        <v>440</v>
      </c>
      <c r="J1141" s="21">
        <f t="shared" si="2241"/>
        <v>29</v>
      </c>
      <c r="K1141" s="21">
        <v>0</v>
      </c>
      <c r="L1141" s="20">
        <v>6</v>
      </c>
      <c r="M1141" s="20">
        <v>0</v>
      </c>
      <c r="N1141" s="20">
        <f t="shared" si="2289"/>
        <v>15000</v>
      </c>
      <c r="O1141" s="19" t="s">
        <v>75</v>
      </c>
      <c r="P1141" s="20">
        <v>861</v>
      </c>
      <c r="Q1141" s="20">
        <f t="shared" ref="Q1141:X1141" si="2330">Q1111</f>
        <v>1500</v>
      </c>
      <c r="R1141" s="20">
        <f t="shared" si="2330"/>
        <v>6000</v>
      </c>
      <c r="S1141" s="20">
        <f t="shared" si="2330"/>
        <v>10500</v>
      </c>
      <c r="T1141" s="20">
        <f t="shared" si="2330"/>
        <v>13500</v>
      </c>
      <c r="U1141" s="20">
        <f t="shared" si="2330"/>
        <v>20</v>
      </c>
      <c r="V1141" s="20">
        <f t="shared" si="2330"/>
        <v>450</v>
      </c>
      <c r="W1141" s="20">
        <f t="shared" si="2330"/>
        <v>1000</v>
      </c>
      <c r="X1141" s="20">
        <f t="shared" si="2330"/>
        <v>8</v>
      </c>
      <c r="Y1141" s="20">
        <f t="shared" si="2280"/>
        <v>0</v>
      </c>
      <c r="Z1141" s="22">
        <v>0</v>
      </c>
      <c r="AA1141" s="20">
        <v>0</v>
      </c>
      <c r="AB1141" s="20">
        <v>0</v>
      </c>
      <c r="AC1141" s="20">
        <v>0</v>
      </c>
      <c r="AD1141" s="23">
        <f t="shared" ref="AD1141:AE1141" si="2331">AD1111</f>
        <v>58</v>
      </c>
      <c r="AE1141" s="23">
        <f t="shared" si="2331"/>
        <v>62</v>
      </c>
    </row>
    <row r="1142" spans="1:31">
      <c r="A1142" s="8">
        <v>13103</v>
      </c>
      <c r="B1142" s="8">
        <v>1</v>
      </c>
      <c r="C1142" s="29" t="s">
        <v>66</v>
      </c>
      <c r="D1142" s="44">
        <f t="shared" si="2278"/>
        <v>144</v>
      </c>
      <c r="E1142" s="28">
        <v>0</v>
      </c>
      <c r="F1142" s="28">
        <v>0</v>
      </c>
      <c r="G1142" s="28">
        <v>0</v>
      </c>
      <c r="H1142" s="47">
        <v>0</v>
      </c>
      <c r="I1142" s="21">
        <f t="shared" si="2288"/>
        <v>55</v>
      </c>
      <c r="J1142" s="21">
        <f t="shared" si="2241"/>
        <v>0</v>
      </c>
      <c r="K1142" s="21">
        <v>0</v>
      </c>
      <c r="L1142" s="20">
        <v>45</v>
      </c>
      <c r="M1142" s="20">
        <v>0</v>
      </c>
      <c r="N1142" s="20">
        <f t="shared" si="2289"/>
        <v>10</v>
      </c>
      <c r="O1142" s="19" t="s">
        <v>66</v>
      </c>
      <c r="P1142" s="20">
        <v>9400</v>
      </c>
      <c r="Q1142" s="20">
        <f t="shared" ref="Q1142:X1142" si="2332">Q1112</f>
        <v>1</v>
      </c>
      <c r="R1142" s="20">
        <f t="shared" si="2332"/>
        <v>4</v>
      </c>
      <c r="S1142" s="20">
        <f t="shared" si="2332"/>
        <v>7</v>
      </c>
      <c r="T1142" s="20">
        <f t="shared" si="2332"/>
        <v>9</v>
      </c>
      <c r="U1142" s="20">
        <f t="shared" si="2332"/>
        <v>9400</v>
      </c>
      <c r="V1142" s="20">
        <f t="shared" si="2332"/>
        <v>9400</v>
      </c>
      <c r="W1142" s="20">
        <f t="shared" si="2332"/>
        <v>9400</v>
      </c>
      <c r="X1142" s="20">
        <f t="shared" si="2332"/>
        <v>1</v>
      </c>
      <c r="Y1142" s="20">
        <f t="shared" si="2280"/>
        <v>0</v>
      </c>
      <c r="Z1142" s="30">
        <v>0</v>
      </c>
      <c r="AA1142" s="27">
        <v>0</v>
      </c>
      <c r="AB1142" s="27">
        <v>0</v>
      </c>
      <c r="AC1142" s="27">
        <v>0</v>
      </c>
      <c r="AD1142" s="23">
        <f t="shared" ref="AD1142:AE1142" si="2333">AD1112</f>
        <v>1</v>
      </c>
      <c r="AE1142" s="23">
        <f t="shared" si="2333"/>
        <v>3</v>
      </c>
    </row>
    <row r="1143" spans="1:31">
      <c r="A1143" s="4">
        <v>13103</v>
      </c>
      <c r="B1143" s="4">
        <v>2</v>
      </c>
      <c r="C1143" s="29" t="s">
        <v>67</v>
      </c>
      <c r="D1143" s="44">
        <f t="shared" si="2278"/>
        <v>156</v>
      </c>
      <c r="E1143" s="28">
        <v>0</v>
      </c>
      <c r="F1143" s="28">
        <v>0</v>
      </c>
      <c r="G1143" s="28">
        <v>0</v>
      </c>
      <c r="H1143" s="47">
        <v>0</v>
      </c>
      <c r="I1143" s="21">
        <f t="shared" si="2288"/>
        <v>55</v>
      </c>
      <c r="J1143" s="21">
        <f t="shared" si="2241"/>
        <v>1</v>
      </c>
      <c r="K1143" s="21">
        <v>0</v>
      </c>
      <c r="L1143" s="20">
        <v>40</v>
      </c>
      <c r="M1143" s="20">
        <v>0</v>
      </c>
      <c r="N1143" s="20">
        <f t="shared" si="2289"/>
        <v>20</v>
      </c>
      <c r="O1143" s="19" t="s">
        <v>67</v>
      </c>
      <c r="P1143" s="20">
        <v>9100</v>
      </c>
      <c r="Q1143" s="20">
        <f t="shared" ref="Q1143:X1143" si="2334">Q1113</f>
        <v>2</v>
      </c>
      <c r="R1143" s="20">
        <f t="shared" si="2334"/>
        <v>8</v>
      </c>
      <c r="S1143" s="20">
        <f t="shared" si="2334"/>
        <v>14</v>
      </c>
      <c r="T1143" s="20">
        <f t="shared" si="2334"/>
        <v>18</v>
      </c>
      <c r="U1143" s="20">
        <f t="shared" si="2334"/>
        <v>4000</v>
      </c>
      <c r="V1143" s="20">
        <f t="shared" si="2334"/>
        <v>8000</v>
      </c>
      <c r="W1143" s="20">
        <f t="shared" si="2334"/>
        <v>8000</v>
      </c>
      <c r="X1143" s="20">
        <f t="shared" si="2334"/>
        <v>1</v>
      </c>
      <c r="Y1143" s="20">
        <f t="shared" si="2280"/>
        <v>0</v>
      </c>
      <c r="Z1143" s="30">
        <v>0</v>
      </c>
      <c r="AA1143" s="27">
        <v>0</v>
      </c>
      <c r="AB1143" s="27">
        <v>0</v>
      </c>
      <c r="AC1143" s="27">
        <v>0</v>
      </c>
      <c r="AD1143" s="23">
        <f t="shared" ref="AD1143:AE1143" si="2335">AD1113</f>
        <v>2</v>
      </c>
      <c r="AE1143" s="23">
        <f t="shared" si="2335"/>
        <v>5</v>
      </c>
    </row>
    <row r="1144" spans="1:31">
      <c r="A1144" s="4">
        <v>13103</v>
      </c>
      <c r="B1144" s="4">
        <v>3</v>
      </c>
      <c r="C1144" s="29" t="s">
        <v>68</v>
      </c>
      <c r="D1144" s="44">
        <f t="shared" si="2278"/>
        <v>168</v>
      </c>
      <c r="E1144" s="28">
        <v>0</v>
      </c>
      <c r="F1144" s="28">
        <v>0</v>
      </c>
      <c r="G1144" s="28">
        <v>0</v>
      </c>
      <c r="H1144" s="47">
        <v>0</v>
      </c>
      <c r="I1144" s="21">
        <f t="shared" si="2288"/>
        <v>55</v>
      </c>
      <c r="J1144" s="21">
        <f t="shared" si="2241"/>
        <v>2</v>
      </c>
      <c r="K1144" s="21">
        <v>0</v>
      </c>
      <c r="L1144" s="20">
        <v>35</v>
      </c>
      <c r="M1144" s="20">
        <v>0</v>
      </c>
      <c r="N1144" s="20">
        <f t="shared" si="2289"/>
        <v>40</v>
      </c>
      <c r="O1144" s="19" t="s">
        <v>68</v>
      </c>
      <c r="P1144" s="20">
        <v>8600</v>
      </c>
      <c r="Q1144" s="20">
        <f t="shared" ref="Q1144:X1144" si="2336">Q1114</f>
        <v>4</v>
      </c>
      <c r="R1144" s="20">
        <f t="shared" si="2336"/>
        <v>16</v>
      </c>
      <c r="S1144" s="20">
        <f t="shared" si="2336"/>
        <v>28</v>
      </c>
      <c r="T1144" s="20">
        <f t="shared" si="2336"/>
        <v>36</v>
      </c>
      <c r="U1144" s="20">
        <f t="shared" si="2336"/>
        <v>1600</v>
      </c>
      <c r="V1144" s="20">
        <f t="shared" si="2336"/>
        <v>5000</v>
      </c>
      <c r="W1144" s="20">
        <f t="shared" si="2336"/>
        <v>6000</v>
      </c>
      <c r="X1144" s="20">
        <f t="shared" si="2336"/>
        <v>1</v>
      </c>
      <c r="Y1144" s="20">
        <f t="shared" si="2280"/>
        <v>0</v>
      </c>
      <c r="Z1144" s="30">
        <v>0</v>
      </c>
      <c r="AA1144" s="27">
        <v>0</v>
      </c>
      <c r="AB1144" s="27">
        <v>0</v>
      </c>
      <c r="AC1144" s="27">
        <v>0</v>
      </c>
      <c r="AD1144" s="23">
        <f t="shared" ref="AD1144:AE1144" si="2337">AD1114</f>
        <v>4</v>
      </c>
      <c r="AE1144" s="23">
        <f t="shared" si="2337"/>
        <v>8</v>
      </c>
    </row>
    <row r="1145" spans="1:31">
      <c r="A1145" s="4">
        <v>13103</v>
      </c>
      <c r="B1145" s="4">
        <v>4</v>
      </c>
      <c r="C1145" s="29" t="s">
        <v>69</v>
      </c>
      <c r="D1145" s="44">
        <f t="shared" si="2278"/>
        <v>182</v>
      </c>
      <c r="E1145" s="28">
        <v>0</v>
      </c>
      <c r="F1145" s="28">
        <v>0</v>
      </c>
      <c r="G1145" s="28">
        <v>0</v>
      </c>
      <c r="H1145" s="47">
        <v>0</v>
      </c>
      <c r="I1145" s="21">
        <f t="shared" si="2288"/>
        <v>55</v>
      </c>
      <c r="J1145" s="21">
        <f t="shared" si="2241"/>
        <v>3</v>
      </c>
      <c r="K1145" s="21">
        <v>0</v>
      </c>
      <c r="L1145" s="20">
        <v>30</v>
      </c>
      <c r="M1145" s="20">
        <v>0</v>
      </c>
      <c r="N1145" s="20">
        <f t="shared" si="2289"/>
        <v>100</v>
      </c>
      <c r="O1145" s="19" t="s">
        <v>69</v>
      </c>
      <c r="P1145" s="20">
        <v>6400</v>
      </c>
      <c r="Q1145" s="20">
        <f t="shared" ref="Q1145:X1145" si="2338">Q1115</f>
        <v>10</v>
      </c>
      <c r="R1145" s="20">
        <f t="shared" si="2338"/>
        <v>40</v>
      </c>
      <c r="S1145" s="20">
        <f t="shared" si="2338"/>
        <v>70</v>
      </c>
      <c r="T1145" s="20">
        <f t="shared" si="2338"/>
        <v>90</v>
      </c>
      <c r="U1145" s="20">
        <f t="shared" si="2338"/>
        <v>900</v>
      </c>
      <c r="V1145" s="20">
        <f t="shared" si="2338"/>
        <v>2000</v>
      </c>
      <c r="W1145" s="20">
        <f t="shared" si="2338"/>
        <v>8000</v>
      </c>
      <c r="X1145" s="20">
        <f t="shared" si="2338"/>
        <v>1</v>
      </c>
      <c r="Y1145" s="20">
        <f t="shared" si="2280"/>
        <v>0</v>
      </c>
      <c r="Z1145" s="30">
        <v>0</v>
      </c>
      <c r="AA1145" s="27">
        <v>0</v>
      </c>
      <c r="AB1145" s="27">
        <v>0</v>
      </c>
      <c r="AC1145" s="27">
        <v>0</v>
      </c>
      <c r="AD1145" s="23">
        <f t="shared" ref="AD1145:AE1145" si="2339">AD1115</f>
        <v>6</v>
      </c>
      <c r="AE1145" s="23">
        <f t="shared" si="2339"/>
        <v>10</v>
      </c>
    </row>
    <row r="1146" spans="1:31">
      <c r="A1146" s="4">
        <v>13103</v>
      </c>
      <c r="B1146" s="4">
        <v>5</v>
      </c>
      <c r="C1146" s="29" t="s">
        <v>70</v>
      </c>
      <c r="D1146" s="44">
        <f t="shared" si="2278"/>
        <v>198</v>
      </c>
      <c r="E1146" s="28">
        <v>0</v>
      </c>
      <c r="F1146" s="28">
        <v>0</v>
      </c>
      <c r="G1146" s="28">
        <v>0</v>
      </c>
      <c r="H1146" s="47">
        <v>0</v>
      </c>
      <c r="I1146" s="21">
        <f t="shared" si="2288"/>
        <v>110</v>
      </c>
      <c r="J1146" s="21">
        <f t="shared" si="2241"/>
        <v>4</v>
      </c>
      <c r="K1146" s="21">
        <v>0</v>
      </c>
      <c r="L1146" s="20">
        <v>25</v>
      </c>
      <c r="M1146" s="20">
        <v>0</v>
      </c>
      <c r="N1146" s="20">
        <f t="shared" si="2289"/>
        <v>200</v>
      </c>
      <c r="O1146" s="19" t="s">
        <v>70</v>
      </c>
      <c r="P1146" s="20">
        <v>3100</v>
      </c>
      <c r="Q1146" s="20">
        <f t="shared" ref="Q1146:X1146" si="2340">Q1116</f>
        <v>20</v>
      </c>
      <c r="R1146" s="20">
        <f t="shared" si="2340"/>
        <v>80</v>
      </c>
      <c r="S1146" s="20">
        <f t="shared" si="2340"/>
        <v>140</v>
      </c>
      <c r="T1146" s="20">
        <f t="shared" si="2340"/>
        <v>180</v>
      </c>
      <c r="U1146" s="20">
        <f t="shared" si="2340"/>
        <v>1000</v>
      </c>
      <c r="V1146" s="20">
        <f t="shared" si="2340"/>
        <v>2000</v>
      </c>
      <c r="W1146" s="20">
        <f t="shared" si="2340"/>
        <v>2000</v>
      </c>
      <c r="X1146" s="20">
        <f t="shared" si="2340"/>
        <v>2</v>
      </c>
      <c r="Y1146" s="20">
        <f t="shared" si="2280"/>
        <v>0</v>
      </c>
      <c r="Z1146" s="30">
        <v>0</v>
      </c>
      <c r="AA1146" s="27">
        <v>0</v>
      </c>
      <c r="AB1146" s="27">
        <v>0</v>
      </c>
      <c r="AC1146" s="27">
        <v>0</v>
      </c>
      <c r="AD1146" s="23">
        <f t="shared" ref="AD1146:AE1146" si="2341">AD1116</f>
        <v>8</v>
      </c>
      <c r="AE1146" s="23">
        <f t="shared" si="2341"/>
        <v>12</v>
      </c>
    </row>
    <row r="1147" spans="1:31">
      <c r="A1147" s="4">
        <v>13103</v>
      </c>
      <c r="B1147" s="4">
        <v>6</v>
      </c>
      <c r="C1147" s="29" t="s">
        <v>71</v>
      </c>
      <c r="D1147" s="44">
        <f t="shared" si="2278"/>
        <v>214</v>
      </c>
      <c r="E1147" s="28">
        <v>0</v>
      </c>
      <c r="F1147" s="28">
        <v>0</v>
      </c>
      <c r="G1147" s="28">
        <v>0</v>
      </c>
      <c r="H1147" s="47">
        <v>0</v>
      </c>
      <c r="I1147" s="21">
        <f t="shared" si="2288"/>
        <v>110</v>
      </c>
      <c r="J1147" s="21">
        <f t="shared" si="2241"/>
        <v>5</v>
      </c>
      <c r="K1147" s="21">
        <v>0</v>
      </c>
      <c r="L1147" s="20">
        <v>20</v>
      </c>
      <c r="M1147" s="20">
        <v>0</v>
      </c>
      <c r="N1147" s="20">
        <f t="shared" si="2289"/>
        <v>500</v>
      </c>
      <c r="O1147" s="19" t="s">
        <v>71</v>
      </c>
      <c r="P1147" s="20">
        <v>1777</v>
      </c>
      <c r="Q1147" s="20">
        <f t="shared" ref="Q1147:X1147" si="2342">Q1117</f>
        <v>50</v>
      </c>
      <c r="R1147" s="20">
        <f t="shared" si="2342"/>
        <v>200</v>
      </c>
      <c r="S1147" s="20">
        <f t="shared" si="2342"/>
        <v>350</v>
      </c>
      <c r="T1147" s="20">
        <f t="shared" si="2342"/>
        <v>450</v>
      </c>
      <c r="U1147" s="20">
        <f t="shared" si="2342"/>
        <v>800</v>
      </c>
      <c r="V1147" s="20">
        <f t="shared" si="2342"/>
        <v>800</v>
      </c>
      <c r="W1147" s="20">
        <f t="shared" si="2342"/>
        <v>600</v>
      </c>
      <c r="X1147" s="20">
        <f t="shared" si="2342"/>
        <v>2</v>
      </c>
      <c r="Y1147" s="20">
        <f t="shared" si="2280"/>
        <v>0</v>
      </c>
      <c r="Z1147" s="30">
        <v>0</v>
      </c>
      <c r="AA1147" s="27">
        <v>0</v>
      </c>
      <c r="AB1147" s="27">
        <v>0</v>
      </c>
      <c r="AC1147" s="27">
        <v>0</v>
      </c>
      <c r="AD1147" s="23">
        <f t="shared" ref="AD1147:AE1147" si="2343">AD1117</f>
        <v>10</v>
      </c>
      <c r="AE1147" s="23">
        <f t="shared" si="2343"/>
        <v>14</v>
      </c>
    </row>
    <row r="1148" spans="1:31">
      <c r="A1148" s="4">
        <v>13103</v>
      </c>
      <c r="B1148" s="4">
        <v>7</v>
      </c>
      <c r="C1148" s="29" t="s">
        <v>72</v>
      </c>
      <c r="D1148" s="44">
        <f t="shared" si="2278"/>
        <v>232</v>
      </c>
      <c r="E1148" s="28">
        <v>0</v>
      </c>
      <c r="F1148" s="28">
        <v>0</v>
      </c>
      <c r="G1148" s="28">
        <v>0</v>
      </c>
      <c r="H1148" s="47">
        <v>0</v>
      </c>
      <c r="I1148" s="21">
        <f t="shared" si="2288"/>
        <v>110</v>
      </c>
      <c r="J1148" s="21">
        <f t="shared" si="2241"/>
        <v>6</v>
      </c>
      <c r="K1148" s="21">
        <v>0</v>
      </c>
      <c r="L1148" s="20">
        <v>16</v>
      </c>
      <c r="M1148" s="20">
        <v>0</v>
      </c>
      <c r="N1148" s="20">
        <f t="shared" si="2289"/>
        <v>700</v>
      </c>
      <c r="O1148" s="19" t="s">
        <v>72</v>
      </c>
      <c r="P1148" s="20">
        <v>2332</v>
      </c>
      <c r="Q1148" s="20">
        <f t="shared" ref="Q1148:X1148" si="2344">Q1118</f>
        <v>70</v>
      </c>
      <c r="R1148" s="20">
        <f t="shared" si="2344"/>
        <v>280</v>
      </c>
      <c r="S1148" s="20">
        <f t="shared" si="2344"/>
        <v>489.99999999999994</v>
      </c>
      <c r="T1148" s="20">
        <f t="shared" si="2344"/>
        <v>630</v>
      </c>
      <c r="U1148" s="20">
        <f t="shared" si="2344"/>
        <v>650</v>
      </c>
      <c r="V1148" s="20">
        <f t="shared" si="2344"/>
        <v>800</v>
      </c>
      <c r="W1148" s="20">
        <f t="shared" si="2344"/>
        <v>300</v>
      </c>
      <c r="X1148" s="20">
        <f t="shared" si="2344"/>
        <v>2</v>
      </c>
      <c r="Y1148" s="20">
        <f t="shared" si="2280"/>
        <v>0</v>
      </c>
      <c r="Z1148" s="30">
        <v>0</v>
      </c>
      <c r="AA1148" s="27">
        <v>0</v>
      </c>
      <c r="AB1148" s="27">
        <v>0</v>
      </c>
      <c r="AC1148" s="27">
        <v>0</v>
      </c>
      <c r="AD1148" s="23">
        <f t="shared" ref="AD1148:AE1148" si="2345">AD1118</f>
        <v>12</v>
      </c>
      <c r="AE1148" s="23">
        <f t="shared" si="2345"/>
        <v>16</v>
      </c>
    </row>
    <row r="1149" spans="1:31">
      <c r="A1149" s="4">
        <v>13103</v>
      </c>
      <c r="B1149" s="4">
        <v>8</v>
      </c>
      <c r="C1149" s="29" t="s">
        <v>73</v>
      </c>
      <c r="D1149" s="44">
        <f t="shared" si="2278"/>
        <v>252</v>
      </c>
      <c r="E1149" s="28">
        <v>0</v>
      </c>
      <c r="F1149" s="28">
        <v>0</v>
      </c>
      <c r="G1149" s="28">
        <v>0</v>
      </c>
      <c r="H1149" s="47">
        <v>0</v>
      </c>
      <c r="I1149" s="21">
        <f t="shared" si="2288"/>
        <v>110</v>
      </c>
      <c r="J1149" s="21">
        <f t="shared" si="2241"/>
        <v>7</v>
      </c>
      <c r="K1149" s="21">
        <v>0</v>
      </c>
      <c r="L1149" s="20">
        <v>12</v>
      </c>
      <c r="M1149" s="20">
        <v>0</v>
      </c>
      <c r="N1149" s="20">
        <f t="shared" si="2289"/>
        <v>800</v>
      </c>
      <c r="O1149" s="19" t="s">
        <v>73</v>
      </c>
      <c r="P1149" s="20">
        <v>1487</v>
      </c>
      <c r="Q1149" s="20">
        <f t="shared" ref="Q1149:X1149" si="2346">Q1119</f>
        <v>80</v>
      </c>
      <c r="R1149" s="20">
        <f t="shared" si="2346"/>
        <v>320</v>
      </c>
      <c r="S1149" s="20">
        <f t="shared" si="2346"/>
        <v>560</v>
      </c>
      <c r="T1149" s="20">
        <f t="shared" si="2346"/>
        <v>720</v>
      </c>
      <c r="U1149" s="20">
        <f t="shared" si="2346"/>
        <v>200</v>
      </c>
      <c r="V1149" s="20">
        <f t="shared" si="2346"/>
        <v>2000</v>
      </c>
      <c r="W1149" s="20">
        <f t="shared" si="2346"/>
        <v>1000</v>
      </c>
      <c r="X1149" s="20">
        <f t="shared" si="2346"/>
        <v>2</v>
      </c>
      <c r="Y1149" s="20">
        <f t="shared" si="2280"/>
        <v>48</v>
      </c>
      <c r="Z1149" s="30">
        <v>0</v>
      </c>
      <c r="AA1149" s="27">
        <v>0</v>
      </c>
      <c r="AB1149" s="27">
        <v>0</v>
      </c>
      <c r="AC1149" s="27">
        <v>0</v>
      </c>
      <c r="AD1149" s="23">
        <f t="shared" ref="AD1149:AE1149" si="2347">AD1119</f>
        <v>14</v>
      </c>
      <c r="AE1149" s="23">
        <f t="shared" si="2347"/>
        <v>18</v>
      </c>
    </row>
    <row r="1150" spans="1:31">
      <c r="A1150" s="4">
        <v>13103</v>
      </c>
      <c r="B1150" s="4">
        <v>9</v>
      </c>
      <c r="C1150" s="29" t="s">
        <v>74</v>
      </c>
      <c r="D1150" s="44">
        <f t="shared" si="2278"/>
        <v>272</v>
      </c>
      <c r="E1150" s="28">
        <v>0</v>
      </c>
      <c r="F1150" s="28">
        <v>0</v>
      </c>
      <c r="G1150" s="28">
        <v>0</v>
      </c>
      <c r="H1150" s="47">
        <v>0</v>
      </c>
      <c r="I1150" s="21">
        <f t="shared" si="2288"/>
        <v>165</v>
      </c>
      <c r="J1150" s="21">
        <f t="shared" si="2241"/>
        <v>8</v>
      </c>
      <c r="K1150" s="21">
        <v>0</v>
      </c>
      <c r="L1150" s="20">
        <v>8</v>
      </c>
      <c r="M1150" s="20">
        <v>0</v>
      </c>
      <c r="N1150" s="20">
        <f t="shared" si="2289"/>
        <v>900</v>
      </c>
      <c r="O1150" s="19" t="s">
        <v>74</v>
      </c>
      <c r="P1150" s="20">
        <v>1518</v>
      </c>
      <c r="Q1150" s="20">
        <f t="shared" ref="Q1150:X1150" si="2348">Q1120</f>
        <v>90</v>
      </c>
      <c r="R1150" s="20">
        <f t="shared" si="2348"/>
        <v>360</v>
      </c>
      <c r="S1150" s="20">
        <f t="shared" si="2348"/>
        <v>630</v>
      </c>
      <c r="T1150" s="20">
        <f t="shared" si="2348"/>
        <v>810</v>
      </c>
      <c r="U1150" s="20">
        <f t="shared" si="2348"/>
        <v>120</v>
      </c>
      <c r="V1150" s="20">
        <f t="shared" si="2348"/>
        <v>1500</v>
      </c>
      <c r="W1150" s="20">
        <f t="shared" si="2348"/>
        <v>1000</v>
      </c>
      <c r="X1150" s="20">
        <f t="shared" si="2348"/>
        <v>3</v>
      </c>
      <c r="Y1150" s="20">
        <f t="shared" si="2280"/>
        <v>0</v>
      </c>
      <c r="Z1150" s="30">
        <v>0</v>
      </c>
      <c r="AA1150" s="27">
        <v>0</v>
      </c>
      <c r="AB1150" s="27">
        <v>0</v>
      </c>
      <c r="AC1150" s="27">
        <v>0</v>
      </c>
      <c r="AD1150" s="23">
        <f t="shared" ref="AD1150:AE1150" si="2349">AD1120</f>
        <v>16</v>
      </c>
      <c r="AE1150" s="23">
        <f t="shared" si="2349"/>
        <v>20</v>
      </c>
    </row>
    <row r="1151" spans="1:31">
      <c r="A1151" s="4">
        <v>13103</v>
      </c>
      <c r="B1151" s="4">
        <v>10</v>
      </c>
      <c r="C1151" s="29" t="s">
        <v>75</v>
      </c>
      <c r="D1151" s="44">
        <f t="shared" si="2278"/>
        <v>294</v>
      </c>
      <c r="E1151" s="28">
        <v>0</v>
      </c>
      <c r="F1151" s="28">
        <v>0</v>
      </c>
      <c r="G1151" s="28">
        <v>0</v>
      </c>
      <c r="H1151" s="47">
        <v>0</v>
      </c>
      <c r="I1151" s="21">
        <f t="shared" si="2288"/>
        <v>165</v>
      </c>
      <c r="J1151" s="21">
        <f t="shared" si="2241"/>
        <v>9</v>
      </c>
      <c r="K1151" s="21">
        <v>0</v>
      </c>
      <c r="L1151" s="20">
        <v>6</v>
      </c>
      <c r="M1151" s="20">
        <v>0</v>
      </c>
      <c r="N1151" s="20">
        <f t="shared" si="2289"/>
        <v>2000</v>
      </c>
      <c r="O1151" s="19" t="s">
        <v>75</v>
      </c>
      <c r="P1151" s="20">
        <v>861</v>
      </c>
      <c r="Q1151" s="20">
        <f t="shared" ref="Q1151:X1151" si="2350">Q1121</f>
        <v>200</v>
      </c>
      <c r="R1151" s="20">
        <f t="shared" si="2350"/>
        <v>800</v>
      </c>
      <c r="S1151" s="20">
        <f t="shared" si="2350"/>
        <v>1400</v>
      </c>
      <c r="T1151" s="20">
        <f t="shared" si="2350"/>
        <v>1800</v>
      </c>
      <c r="U1151" s="20">
        <f t="shared" si="2350"/>
        <v>150</v>
      </c>
      <c r="V1151" s="20">
        <f t="shared" si="2350"/>
        <v>5000</v>
      </c>
      <c r="W1151" s="20">
        <f t="shared" si="2350"/>
        <v>800</v>
      </c>
      <c r="X1151" s="20">
        <f t="shared" si="2350"/>
        <v>3</v>
      </c>
      <c r="Y1151" s="20">
        <f t="shared" si="2280"/>
        <v>0</v>
      </c>
      <c r="Z1151" s="30">
        <v>0</v>
      </c>
      <c r="AA1151" s="27">
        <v>0</v>
      </c>
      <c r="AB1151" s="27">
        <v>0</v>
      </c>
      <c r="AC1151" s="27">
        <v>0</v>
      </c>
      <c r="AD1151" s="23">
        <f t="shared" ref="AD1151:AE1151" si="2351">AD1121</f>
        <v>18</v>
      </c>
      <c r="AE1151" s="23">
        <f t="shared" si="2351"/>
        <v>22</v>
      </c>
    </row>
    <row r="1152" spans="1:31">
      <c r="A1152" s="4">
        <v>13103</v>
      </c>
      <c r="B1152" s="4">
        <v>11</v>
      </c>
      <c r="C1152" s="29" t="s">
        <v>66</v>
      </c>
      <c r="D1152" s="44">
        <f t="shared" si="2278"/>
        <v>318</v>
      </c>
      <c r="E1152" s="28">
        <v>0</v>
      </c>
      <c r="F1152" s="28">
        <v>0</v>
      </c>
      <c r="G1152" s="28">
        <v>0</v>
      </c>
      <c r="H1152" s="47">
        <v>0</v>
      </c>
      <c r="I1152" s="21">
        <f t="shared" si="2288"/>
        <v>165</v>
      </c>
      <c r="J1152" s="21">
        <f t="shared" si="2241"/>
        <v>10</v>
      </c>
      <c r="K1152" s="21">
        <v>0</v>
      </c>
      <c r="L1152" s="20">
        <v>6</v>
      </c>
      <c r="M1152" s="20">
        <v>0</v>
      </c>
      <c r="N1152" s="20">
        <f t="shared" si="2289"/>
        <v>2200</v>
      </c>
      <c r="O1152" s="19" t="s">
        <v>66</v>
      </c>
      <c r="P1152" s="20">
        <v>9400</v>
      </c>
      <c r="Q1152" s="20">
        <f t="shared" ref="Q1152:X1152" si="2352">Q1122</f>
        <v>220</v>
      </c>
      <c r="R1152" s="20">
        <f t="shared" si="2352"/>
        <v>880</v>
      </c>
      <c r="S1152" s="20">
        <f t="shared" si="2352"/>
        <v>1540</v>
      </c>
      <c r="T1152" s="20">
        <f t="shared" si="2352"/>
        <v>1980</v>
      </c>
      <c r="U1152" s="20">
        <f t="shared" si="2352"/>
        <v>100</v>
      </c>
      <c r="V1152" s="20">
        <f t="shared" si="2352"/>
        <v>800</v>
      </c>
      <c r="W1152" s="20">
        <f t="shared" si="2352"/>
        <v>600</v>
      </c>
      <c r="X1152" s="20">
        <f t="shared" si="2352"/>
        <v>3</v>
      </c>
      <c r="Y1152" s="20">
        <f t="shared" si="2280"/>
        <v>0</v>
      </c>
      <c r="Z1152" s="30">
        <v>0</v>
      </c>
      <c r="AA1152" s="27">
        <v>0</v>
      </c>
      <c r="AB1152" s="27">
        <v>0</v>
      </c>
      <c r="AC1152" s="27">
        <v>0</v>
      </c>
      <c r="AD1152" s="23">
        <f t="shared" ref="AD1152:AE1152" si="2353">AD1122</f>
        <v>20</v>
      </c>
      <c r="AE1152" s="23">
        <f t="shared" si="2353"/>
        <v>24</v>
      </c>
    </row>
    <row r="1153" spans="1:31">
      <c r="A1153" s="4">
        <v>13103</v>
      </c>
      <c r="B1153" s="4">
        <v>12</v>
      </c>
      <c r="C1153" s="29" t="s">
        <v>67</v>
      </c>
      <c r="D1153" s="44">
        <f t="shared" si="2278"/>
        <v>344</v>
      </c>
      <c r="E1153" s="28">
        <v>0</v>
      </c>
      <c r="F1153" s="28">
        <v>0</v>
      </c>
      <c r="G1153" s="28">
        <v>0</v>
      </c>
      <c r="H1153" s="47">
        <v>0</v>
      </c>
      <c r="I1153" s="21">
        <f t="shared" si="2288"/>
        <v>165</v>
      </c>
      <c r="J1153" s="21">
        <f t="shared" si="2241"/>
        <v>11</v>
      </c>
      <c r="K1153" s="21">
        <v>0</v>
      </c>
      <c r="L1153" s="20">
        <v>6</v>
      </c>
      <c r="M1153" s="20">
        <v>0</v>
      </c>
      <c r="N1153" s="20">
        <f t="shared" si="2289"/>
        <v>2400</v>
      </c>
      <c r="O1153" s="19" t="s">
        <v>67</v>
      </c>
      <c r="P1153" s="20">
        <v>9100</v>
      </c>
      <c r="Q1153" s="20">
        <f t="shared" ref="Q1153:X1153" si="2354">Q1123</f>
        <v>240</v>
      </c>
      <c r="R1153" s="20">
        <f t="shared" si="2354"/>
        <v>960</v>
      </c>
      <c r="S1153" s="20">
        <f t="shared" si="2354"/>
        <v>1680</v>
      </c>
      <c r="T1153" s="20">
        <f t="shared" si="2354"/>
        <v>2160</v>
      </c>
      <c r="U1153" s="20">
        <f t="shared" si="2354"/>
        <v>150</v>
      </c>
      <c r="V1153" s="20">
        <f t="shared" si="2354"/>
        <v>700</v>
      </c>
      <c r="W1153" s="20">
        <f t="shared" si="2354"/>
        <v>900</v>
      </c>
      <c r="X1153" s="20">
        <f t="shared" si="2354"/>
        <v>3</v>
      </c>
      <c r="Y1153" s="20">
        <f t="shared" si="2280"/>
        <v>0</v>
      </c>
      <c r="Z1153" s="30">
        <v>0</v>
      </c>
      <c r="AA1153" s="27">
        <v>0</v>
      </c>
      <c r="AB1153" s="27">
        <v>0</v>
      </c>
      <c r="AC1153" s="27">
        <v>0</v>
      </c>
      <c r="AD1153" s="23">
        <f t="shared" ref="AD1153:AE1153" si="2355">AD1123</f>
        <v>22</v>
      </c>
      <c r="AE1153" s="23">
        <f t="shared" si="2355"/>
        <v>26</v>
      </c>
    </row>
    <row r="1154" spans="1:31">
      <c r="A1154" s="8">
        <v>13103</v>
      </c>
      <c r="B1154" s="8">
        <v>13</v>
      </c>
      <c r="C1154" s="29" t="s">
        <v>68</v>
      </c>
      <c r="D1154" s="44">
        <f t="shared" si="2278"/>
        <v>374</v>
      </c>
      <c r="E1154" s="28">
        <v>0</v>
      </c>
      <c r="F1154" s="28">
        <v>0</v>
      </c>
      <c r="G1154" s="28">
        <v>0</v>
      </c>
      <c r="H1154" s="47">
        <v>0</v>
      </c>
      <c r="I1154" s="21">
        <f t="shared" si="2288"/>
        <v>220</v>
      </c>
      <c r="J1154" s="21">
        <f t="shared" si="2241"/>
        <v>12</v>
      </c>
      <c r="K1154" s="21">
        <v>0</v>
      </c>
      <c r="L1154" s="20">
        <v>6</v>
      </c>
      <c r="M1154" s="20">
        <v>0</v>
      </c>
      <c r="N1154" s="20">
        <f t="shared" si="2289"/>
        <v>2600</v>
      </c>
      <c r="O1154" s="19" t="s">
        <v>68</v>
      </c>
      <c r="P1154" s="20">
        <v>8600</v>
      </c>
      <c r="Q1154" s="20">
        <f t="shared" ref="Q1154:X1154" si="2356">Q1124</f>
        <v>260</v>
      </c>
      <c r="R1154" s="20">
        <f t="shared" si="2356"/>
        <v>1040</v>
      </c>
      <c r="S1154" s="20">
        <f t="shared" si="2356"/>
        <v>1819.9999999999998</v>
      </c>
      <c r="T1154" s="20">
        <f t="shared" si="2356"/>
        <v>2340</v>
      </c>
      <c r="U1154" s="20">
        <f t="shared" si="2356"/>
        <v>100</v>
      </c>
      <c r="V1154" s="20">
        <f t="shared" si="2356"/>
        <v>700</v>
      </c>
      <c r="W1154" s="20">
        <f t="shared" si="2356"/>
        <v>1000</v>
      </c>
      <c r="X1154" s="20">
        <f t="shared" si="2356"/>
        <v>4</v>
      </c>
      <c r="Y1154" s="20">
        <f t="shared" si="2280"/>
        <v>96</v>
      </c>
      <c r="Z1154" s="30">
        <v>0</v>
      </c>
      <c r="AA1154" s="27">
        <v>0</v>
      </c>
      <c r="AB1154" s="27">
        <v>0</v>
      </c>
      <c r="AC1154" s="27">
        <v>0</v>
      </c>
      <c r="AD1154" s="23">
        <f t="shared" ref="AD1154:AE1154" si="2357">AD1124</f>
        <v>24</v>
      </c>
      <c r="AE1154" s="23">
        <f t="shared" si="2357"/>
        <v>28</v>
      </c>
    </row>
    <row r="1155" spans="1:31">
      <c r="A1155" s="4">
        <v>13103</v>
      </c>
      <c r="B1155" s="4">
        <v>14</v>
      </c>
      <c r="C1155" s="29" t="s">
        <v>69</v>
      </c>
      <c r="D1155" s="44">
        <f t="shared" si="2278"/>
        <v>404</v>
      </c>
      <c r="E1155" s="28">
        <v>0</v>
      </c>
      <c r="F1155" s="28">
        <v>0</v>
      </c>
      <c r="G1155" s="28">
        <v>0</v>
      </c>
      <c r="H1155" s="47">
        <v>0</v>
      </c>
      <c r="I1155" s="21">
        <f t="shared" si="2288"/>
        <v>220</v>
      </c>
      <c r="J1155" s="21">
        <f t="shared" si="2241"/>
        <v>13</v>
      </c>
      <c r="K1155" s="21">
        <v>0</v>
      </c>
      <c r="L1155" s="20">
        <v>6</v>
      </c>
      <c r="M1155" s="20">
        <v>0</v>
      </c>
      <c r="N1155" s="20">
        <f t="shared" si="2289"/>
        <v>2800</v>
      </c>
      <c r="O1155" s="19" t="s">
        <v>69</v>
      </c>
      <c r="P1155" s="20">
        <v>6400</v>
      </c>
      <c r="Q1155" s="20">
        <f t="shared" ref="Q1155:X1155" si="2358">Q1125</f>
        <v>280</v>
      </c>
      <c r="R1155" s="20">
        <f t="shared" si="2358"/>
        <v>1120</v>
      </c>
      <c r="S1155" s="20">
        <f t="shared" si="2358"/>
        <v>1959.9999999999998</v>
      </c>
      <c r="T1155" s="20">
        <f t="shared" si="2358"/>
        <v>2520</v>
      </c>
      <c r="U1155" s="20">
        <f t="shared" si="2358"/>
        <v>100</v>
      </c>
      <c r="V1155" s="20">
        <f t="shared" si="2358"/>
        <v>400</v>
      </c>
      <c r="W1155" s="20">
        <f t="shared" si="2358"/>
        <v>1200</v>
      </c>
      <c r="X1155" s="20">
        <f t="shared" si="2358"/>
        <v>4</v>
      </c>
      <c r="Y1155" s="20">
        <f t="shared" si="2280"/>
        <v>0</v>
      </c>
      <c r="Z1155" s="30">
        <v>0</v>
      </c>
      <c r="AA1155" s="27">
        <v>0</v>
      </c>
      <c r="AB1155" s="27">
        <v>0</v>
      </c>
      <c r="AC1155" s="27">
        <v>0</v>
      </c>
      <c r="AD1155" s="23">
        <f t="shared" ref="AD1155:AE1155" si="2359">AD1125</f>
        <v>26</v>
      </c>
      <c r="AE1155" s="23">
        <f t="shared" si="2359"/>
        <v>30</v>
      </c>
    </row>
    <row r="1156" spans="1:31">
      <c r="A1156" s="4">
        <v>13103</v>
      </c>
      <c r="B1156" s="4">
        <v>15</v>
      </c>
      <c r="C1156" s="29" t="s">
        <v>70</v>
      </c>
      <c r="D1156" s="44">
        <f t="shared" si="2278"/>
        <v>438</v>
      </c>
      <c r="E1156" s="28">
        <v>0</v>
      </c>
      <c r="F1156" s="28">
        <v>0</v>
      </c>
      <c r="G1156" s="28">
        <v>0</v>
      </c>
      <c r="H1156" s="47">
        <v>0</v>
      </c>
      <c r="I1156" s="21">
        <f t="shared" si="2288"/>
        <v>220</v>
      </c>
      <c r="J1156" s="21">
        <f t="shared" si="2241"/>
        <v>14</v>
      </c>
      <c r="K1156" s="21">
        <v>0</v>
      </c>
      <c r="L1156" s="20">
        <v>6</v>
      </c>
      <c r="M1156" s="20">
        <v>0</v>
      </c>
      <c r="N1156" s="20">
        <f t="shared" si="2289"/>
        <v>4500</v>
      </c>
      <c r="O1156" s="19" t="s">
        <v>70</v>
      </c>
      <c r="P1156" s="20">
        <v>3100</v>
      </c>
      <c r="Q1156" s="20">
        <f t="shared" ref="Q1156:X1156" si="2360">Q1126</f>
        <v>450</v>
      </c>
      <c r="R1156" s="20">
        <f t="shared" si="2360"/>
        <v>1800</v>
      </c>
      <c r="S1156" s="20">
        <f t="shared" si="2360"/>
        <v>3150</v>
      </c>
      <c r="T1156" s="20">
        <f t="shared" si="2360"/>
        <v>4050</v>
      </c>
      <c r="U1156" s="20">
        <f t="shared" si="2360"/>
        <v>100</v>
      </c>
      <c r="V1156" s="20">
        <f t="shared" si="2360"/>
        <v>1000</v>
      </c>
      <c r="W1156" s="20">
        <f t="shared" si="2360"/>
        <v>600</v>
      </c>
      <c r="X1156" s="20">
        <f t="shared" si="2360"/>
        <v>4</v>
      </c>
      <c r="Y1156" s="20">
        <f t="shared" si="2280"/>
        <v>0</v>
      </c>
      <c r="Z1156" s="30">
        <v>0</v>
      </c>
      <c r="AA1156" s="27">
        <v>0</v>
      </c>
      <c r="AB1156" s="27">
        <v>0</v>
      </c>
      <c r="AC1156" s="27">
        <v>0</v>
      </c>
      <c r="AD1156" s="23">
        <f t="shared" ref="AD1156:AE1156" si="2361">AD1126</f>
        <v>28</v>
      </c>
      <c r="AE1156" s="23">
        <f t="shared" si="2361"/>
        <v>32</v>
      </c>
    </row>
    <row r="1157" spans="1:31">
      <c r="A1157" s="4">
        <v>13103</v>
      </c>
      <c r="B1157" s="4">
        <v>16</v>
      </c>
      <c r="C1157" s="29" t="s">
        <v>71</v>
      </c>
      <c r="D1157" s="44">
        <f t="shared" si="2278"/>
        <v>474</v>
      </c>
      <c r="E1157" s="28">
        <v>0</v>
      </c>
      <c r="F1157" s="28">
        <v>0</v>
      </c>
      <c r="G1157" s="28">
        <v>0</v>
      </c>
      <c r="H1157" s="47">
        <v>0</v>
      </c>
      <c r="I1157" s="21">
        <f t="shared" si="2288"/>
        <v>220</v>
      </c>
      <c r="J1157" s="21">
        <f t="shared" si="2241"/>
        <v>15</v>
      </c>
      <c r="K1157" s="21">
        <v>0</v>
      </c>
      <c r="L1157" s="20">
        <v>6</v>
      </c>
      <c r="M1157" s="20">
        <v>0</v>
      </c>
      <c r="N1157" s="20">
        <f t="shared" si="2289"/>
        <v>4800</v>
      </c>
      <c r="O1157" s="19" t="s">
        <v>71</v>
      </c>
      <c r="P1157" s="20">
        <v>1777</v>
      </c>
      <c r="Q1157" s="20">
        <f t="shared" ref="Q1157:X1157" si="2362">Q1127</f>
        <v>480</v>
      </c>
      <c r="R1157" s="20">
        <f t="shared" si="2362"/>
        <v>1920</v>
      </c>
      <c r="S1157" s="20">
        <f t="shared" si="2362"/>
        <v>3360</v>
      </c>
      <c r="T1157" s="20">
        <f t="shared" si="2362"/>
        <v>4320</v>
      </c>
      <c r="U1157" s="20">
        <f t="shared" si="2362"/>
        <v>100</v>
      </c>
      <c r="V1157" s="20">
        <f t="shared" si="2362"/>
        <v>800</v>
      </c>
      <c r="W1157" s="20">
        <f t="shared" si="2362"/>
        <v>800</v>
      </c>
      <c r="X1157" s="20">
        <f t="shared" si="2362"/>
        <v>4</v>
      </c>
      <c r="Y1157" s="20">
        <f t="shared" si="2280"/>
        <v>0</v>
      </c>
      <c r="Z1157" s="30">
        <v>0</v>
      </c>
      <c r="AA1157" s="27">
        <v>0</v>
      </c>
      <c r="AB1157" s="27">
        <v>0</v>
      </c>
      <c r="AC1157" s="27">
        <v>0</v>
      </c>
      <c r="AD1157" s="23">
        <f t="shared" ref="AD1157:AE1157" si="2363">AD1127</f>
        <v>30</v>
      </c>
      <c r="AE1157" s="23">
        <f t="shared" si="2363"/>
        <v>34</v>
      </c>
    </row>
    <row r="1158" spans="1:31">
      <c r="A1158" s="4">
        <v>13103</v>
      </c>
      <c r="B1158" s="4">
        <v>17</v>
      </c>
      <c r="C1158" s="29" t="s">
        <v>72</v>
      </c>
      <c r="D1158" s="44">
        <f t="shared" si="2278"/>
        <v>512</v>
      </c>
      <c r="E1158" s="28">
        <v>0</v>
      </c>
      <c r="F1158" s="28">
        <v>0</v>
      </c>
      <c r="G1158" s="28">
        <v>0</v>
      </c>
      <c r="H1158" s="47">
        <v>0</v>
      </c>
      <c r="I1158" s="21">
        <f t="shared" si="2288"/>
        <v>275</v>
      </c>
      <c r="J1158" s="21">
        <f t="shared" si="2241"/>
        <v>16</v>
      </c>
      <c r="K1158" s="21">
        <v>0</v>
      </c>
      <c r="L1158" s="20">
        <v>6</v>
      </c>
      <c r="M1158" s="20">
        <v>0</v>
      </c>
      <c r="N1158" s="20">
        <f t="shared" si="2289"/>
        <v>5100</v>
      </c>
      <c r="O1158" s="19" t="s">
        <v>72</v>
      </c>
      <c r="P1158" s="20">
        <v>2332</v>
      </c>
      <c r="Q1158" s="20">
        <f t="shared" ref="Q1158:X1158" si="2364">Q1128</f>
        <v>510</v>
      </c>
      <c r="R1158" s="20">
        <f t="shared" si="2364"/>
        <v>2040</v>
      </c>
      <c r="S1158" s="20">
        <f t="shared" si="2364"/>
        <v>3570</v>
      </c>
      <c r="T1158" s="20">
        <f t="shared" si="2364"/>
        <v>4590</v>
      </c>
      <c r="U1158" s="20">
        <f t="shared" si="2364"/>
        <v>80</v>
      </c>
      <c r="V1158" s="20">
        <f t="shared" si="2364"/>
        <v>800</v>
      </c>
      <c r="W1158" s="20">
        <f t="shared" si="2364"/>
        <v>600</v>
      </c>
      <c r="X1158" s="20">
        <f t="shared" si="2364"/>
        <v>5</v>
      </c>
      <c r="Y1158" s="20">
        <f t="shared" si="2280"/>
        <v>0</v>
      </c>
      <c r="Z1158" s="30">
        <v>0</v>
      </c>
      <c r="AA1158" s="27">
        <v>0</v>
      </c>
      <c r="AB1158" s="27">
        <v>0</v>
      </c>
      <c r="AC1158" s="27">
        <v>0</v>
      </c>
      <c r="AD1158" s="23">
        <f t="shared" ref="AD1158:AE1158" si="2365">AD1128</f>
        <v>32</v>
      </c>
      <c r="AE1158" s="23">
        <f t="shared" si="2365"/>
        <v>36</v>
      </c>
    </row>
    <row r="1159" spans="1:31">
      <c r="A1159" s="4">
        <v>13103</v>
      </c>
      <c r="B1159" s="4">
        <v>18</v>
      </c>
      <c r="C1159" s="29" t="s">
        <v>73</v>
      </c>
      <c r="D1159" s="44">
        <f t="shared" si="2278"/>
        <v>556</v>
      </c>
      <c r="E1159" s="28">
        <v>0</v>
      </c>
      <c r="F1159" s="28">
        <v>0</v>
      </c>
      <c r="G1159" s="28">
        <v>0</v>
      </c>
      <c r="H1159" s="47">
        <v>0</v>
      </c>
      <c r="I1159" s="21">
        <f t="shared" si="2288"/>
        <v>275</v>
      </c>
      <c r="J1159" s="21">
        <f t="shared" si="2241"/>
        <v>17</v>
      </c>
      <c r="K1159" s="21">
        <v>0</v>
      </c>
      <c r="L1159" s="20">
        <v>6</v>
      </c>
      <c r="M1159" s="20">
        <v>0</v>
      </c>
      <c r="N1159" s="20">
        <f t="shared" si="2289"/>
        <v>5400</v>
      </c>
      <c r="O1159" s="19" t="s">
        <v>73</v>
      </c>
      <c r="P1159" s="20">
        <v>1487</v>
      </c>
      <c r="Q1159" s="20">
        <f t="shared" ref="Q1159:X1159" si="2366">Q1129</f>
        <v>540</v>
      </c>
      <c r="R1159" s="20">
        <f t="shared" si="2366"/>
        <v>2160</v>
      </c>
      <c r="S1159" s="20">
        <f t="shared" si="2366"/>
        <v>3779.9999999999995</v>
      </c>
      <c r="T1159" s="20">
        <f t="shared" si="2366"/>
        <v>4860</v>
      </c>
      <c r="U1159" s="20">
        <f t="shared" si="2366"/>
        <v>100</v>
      </c>
      <c r="V1159" s="20">
        <f t="shared" si="2366"/>
        <v>600</v>
      </c>
      <c r="W1159" s="20">
        <f t="shared" si="2366"/>
        <v>300</v>
      </c>
      <c r="X1159" s="20">
        <f t="shared" si="2366"/>
        <v>5</v>
      </c>
      <c r="Y1159" s="20">
        <f t="shared" si="2280"/>
        <v>145</v>
      </c>
      <c r="Z1159" s="30">
        <v>0</v>
      </c>
      <c r="AA1159" s="27">
        <v>0</v>
      </c>
      <c r="AB1159" s="27">
        <v>0</v>
      </c>
      <c r="AC1159" s="27">
        <v>0</v>
      </c>
      <c r="AD1159" s="23">
        <f t="shared" ref="AD1159:AE1159" si="2367">AD1129</f>
        <v>34</v>
      </c>
      <c r="AE1159" s="23">
        <f t="shared" si="2367"/>
        <v>38</v>
      </c>
    </row>
    <row r="1160" spans="1:31">
      <c r="A1160" s="4">
        <v>13103</v>
      </c>
      <c r="B1160" s="4">
        <v>19</v>
      </c>
      <c r="C1160" s="29" t="s">
        <v>74</v>
      </c>
      <c r="D1160" s="44">
        <f t="shared" si="2278"/>
        <v>602</v>
      </c>
      <c r="E1160" s="28">
        <v>0</v>
      </c>
      <c r="F1160" s="28">
        <v>0</v>
      </c>
      <c r="G1160" s="28">
        <v>0</v>
      </c>
      <c r="H1160" s="47">
        <v>0</v>
      </c>
      <c r="I1160" s="21">
        <f t="shared" si="2288"/>
        <v>275</v>
      </c>
      <c r="J1160" s="21">
        <f t="shared" si="2241"/>
        <v>18</v>
      </c>
      <c r="K1160" s="21">
        <v>0</v>
      </c>
      <c r="L1160" s="20">
        <v>6</v>
      </c>
      <c r="M1160" s="20">
        <v>0</v>
      </c>
      <c r="N1160" s="20">
        <f t="shared" si="2289"/>
        <v>5700</v>
      </c>
      <c r="O1160" s="19" t="s">
        <v>74</v>
      </c>
      <c r="P1160" s="20">
        <v>1518</v>
      </c>
      <c r="Q1160" s="20">
        <f t="shared" ref="Q1160:X1160" si="2368">Q1130</f>
        <v>570</v>
      </c>
      <c r="R1160" s="20">
        <f t="shared" si="2368"/>
        <v>2280</v>
      </c>
      <c r="S1160" s="20">
        <f t="shared" si="2368"/>
        <v>3989.9999999999995</v>
      </c>
      <c r="T1160" s="20">
        <f t="shared" si="2368"/>
        <v>5130</v>
      </c>
      <c r="U1160" s="20">
        <f t="shared" si="2368"/>
        <v>100</v>
      </c>
      <c r="V1160" s="20">
        <f t="shared" si="2368"/>
        <v>500</v>
      </c>
      <c r="W1160" s="20">
        <f t="shared" si="2368"/>
        <v>400</v>
      </c>
      <c r="X1160" s="20">
        <f t="shared" si="2368"/>
        <v>5</v>
      </c>
      <c r="Y1160" s="20">
        <f t="shared" si="2280"/>
        <v>0</v>
      </c>
      <c r="Z1160" s="30">
        <v>0</v>
      </c>
      <c r="AA1160" s="27">
        <v>0</v>
      </c>
      <c r="AB1160" s="27">
        <v>0</v>
      </c>
      <c r="AC1160" s="27">
        <v>0</v>
      </c>
      <c r="AD1160" s="23">
        <f t="shared" ref="AD1160:AE1160" si="2369">AD1130</f>
        <v>36</v>
      </c>
      <c r="AE1160" s="23">
        <f t="shared" si="2369"/>
        <v>40</v>
      </c>
    </row>
    <row r="1161" spans="1:31">
      <c r="A1161" s="4">
        <v>13103</v>
      </c>
      <c r="B1161" s="4">
        <v>20</v>
      </c>
      <c r="C1161" s="29" t="s">
        <v>75</v>
      </c>
      <c r="D1161" s="44">
        <f t="shared" si="2278"/>
        <v>650</v>
      </c>
      <c r="E1161" s="28">
        <v>0</v>
      </c>
      <c r="F1161" s="28">
        <v>0</v>
      </c>
      <c r="G1161" s="28">
        <v>0</v>
      </c>
      <c r="H1161" s="47">
        <v>0</v>
      </c>
      <c r="I1161" s="21">
        <f t="shared" si="2288"/>
        <v>275</v>
      </c>
      <c r="J1161" s="21">
        <f t="shared" si="2241"/>
        <v>19</v>
      </c>
      <c r="K1161" s="21">
        <v>0</v>
      </c>
      <c r="L1161" s="20">
        <v>6</v>
      </c>
      <c r="M1161" s="20">
        <v>0</v>
      </c>
      <c r="N1161" s="20">
        <f t="shared" si="2289"/>
        <v>8000</v>
      </c>
      <c r="O1161" s="19" t="s">
        <v>75</v>
      </c>
      <c r="P1161" s="20">
        <v>861</v>
      </c>
      <c r="Q1161" s="20">
        <f t="shared" ref="Q1161:X1161" si="2370">Q1131</f>
        <v>800</v>
      </c>
      <c r="R1161" s="20">
        <f t="shared" si="2370"/>
        <v>3200</v>
      </c>
      <c r="S1161" s="20">
        <f t="shared" si="2370"/>
        <v>5600</v>
      </c>
      <c r="T1161" s="20">
        <f t="shared" si="2370"/>
        <v>7200</v>
      </c>
      <c r="U1161" s="20">
        <f t="shared" si="2370"/>
        <v>100</v>
      </c>
      <c r="V1161" s="20">
        <f t="shared" si="2370"/>
        <v>800</v>
      </c>
      <c r="W1161" s="20">
        <f t="shared" si="2370"/>
        <v>8000</v>
      </c>
      <c r="X1161" s="20">
        <f t="shared" si="2370"/>
        <v>5</v>
      </c>
      <c r="Y1161" s="20">
        <f t="shared" si="2280"/>
        <v>0</v>
      </c>
      <c r="Z1161" s="30">
        <v>0</v>
      </c>
      <c r="AA1161" s="27">
        <v>0</v>
      </c>
      <c r="AB1161" s="27">
        <v>0</v>
      </c>
      <c r="AC1161" s="27">
        <v>0</v>
      </c>
      <c r="AD1161" s="23">
        <f t="shared" ref="AD1161:AE1161" si="2371">AD1131</f>
        <v>38</v>
      </c>
      <c r="AE1161" s="23">
        <f t="shared" si="2371"/>
        <v>42</v>
      </c>
    </row>
    <row r="1162" spans="1:31">
      <c r="A1162" s="4">
        <v>13103</v>
      </c>
      <c r="B1162" s="4">
        <v>21</v>
      </c>
      <c r="C1162" s="29" t="s">
        <v>66</v>
      </c>
      <c r="D1162" s="44">
        <f t="shared" si="2278"/>
        <v>704</v>
      </c>
      <c r="E1162" s="28">
        <v>0</v>
      </c>
      <c r="F1162" s="28">
        <v>0</v>
      </c>
      <c r="G1162" s="28">
        <v>0</v>
      </c>
      <c r="H1162" s="47">
        <v>0</v>
      </c>
      <c r="I1162" s="21">
        <f t="shared" si="2288"/>
        <v>330</v>
      </c>
      <c r="J1162" s="21">
        <f t="shared" si="2241"/>
        <v>20</v>
      </c>
      <c r="K1162" s="21">
        <v>0</v>
      </c>
      <c r="L1162" s="20">
        <v>6</v>
      </c>
      <c r="M1162" s="20">
        <v>0</v>
      </c>
      <c r="N1162" s="20">
        <f t="shared" si="2289"/>
        <v>8400</v>
      </c>
      <c r="O1162" s="19" t="s">
        <v>66</v>
      </c>
      <c r="P1162" s="20">
        <v>9400</v>
      </c>
      <c r="Q1162" s="20">
        <f t="shared" ref="Q1162:X1162" si="2372">Q1132</f>
        <v>840</v>
      </c>
      <c r="R1162" s="20">
        <f t="shared" si="2372"/>
        <v>3360</v>
      </c>
      <c r="S1162" s="20">
        <f t="shared" si="2372"/>
        <v>5880</v>
      </c>
      <c r="T1162" s="20">
        <f t="shared" si="2372"/>
        <v>7560</v>
      </c>
      <c r="U1162" s="20">
        <f t="shared" si="2372"/>
        <v>50</v>
      </c>
      <c r="V1162" s="20">
        <f t="shared" si="2372"/>
        <v>1000</v>
      </c>
      <c r="W1162" s="20">
        <f t="shared" si="2372"/>
        <v>600</v>
      </c>
      <c r="X1162" s="20">
        <f t="shared" si="2372"/>
        <v>6</v>
      </c>
      <c r="Y1162" s="20">
        <f t="shared" si="2280"/>
        <v>0</v>
      </c>
      <c r="Z1162" s="30">
        <v>0</v>
      </c>
      <c r="AA1162" s="27">
        <v>0</v>
      </c>
      <c r="AB1162" s="27">
        <v>0</v>
      </c>
      <c r="AC1162" s="27">
        <v>0</v>
      </c>
      <c r="AD1162" s="23">
        <f t="shared" ref="AD1162:AE1162" si="2373">AD1132</f>
        <v>40</v>
      </c>
      <c r="AE1162" s="23">
        <f t="shared" si="2373"/>
        <v>44</v>
      </c>
    </row>
    <row r="1163" spans="1:31">
      <c r="A1163" s="4">
        <v>13103</v>
      </c>
      <c r="B1163" s="4">
        <v>22</v>
      </c>
      <c r="C1163" s="29" t="s">
        <v>67</v>
      </c>
      <c r="D1163" s="44">
        <f t="shared" si="2278"/>
        <v>762</v>
      </c>
      <c r="E1163" s="28">
        <v>0</v>
      </c>
      <c r="F1163" s="28">
        <v>0</v>
      </c>
      <c r="G1163" s="28">
        <v>0</v>
      </c>
      <c r="H1163" s="47">
        <v>0</v>
      </c>
      <c r="I1163" s="21">
        <f t="shared" si="2288"/>
        <v>330</v>
      </c>
      <c r="J1163" s="21">
        <f t="shared" ref="J1163:J1226" si="2374">B1163-1</f>
        <v>21</v>
      </c>
      <c r="K1163" s="21">
        <v>0</v>
      </c>
      <c r="L1163" s="20">
        <v>6</v>
      </c>
      <c r="M1163" s="20">
        <v>0</v>
      </c>
      <c r="N1163" s="20">
        <f t="shared" si="2289"/>
        <v>8800</v>
      </c>
      <c r="O1163" s="19" t="s">
        <v>67</v>
      </c>
      <c r="P1163" s="20">
        <v>9100</v>
      </c>
      <c r="Q1163" s="20">
        <f t="shared" ref="Q1163:X1163" si="2375">Q1133</f>
        <v>880</v>
      </c>
      <c r="R1163" s="20">
        <f t="shared" si="2375"/>
        <v>3520</v>
      </c>
      <c r="S1163" s="20">
        <f t="shared" si="2375"/>
        <v>6160</v>
      </c>
      <c r="T1163" s="20">
        <f t="shared" si="2375"/>
        <v>7920</v>
      </c>
      <c r="U1163" s="20">
        <f t="shared" si="2375"/>
        <v>100</v>
      </c>
      <c r="V1163" s="20">
        <f t="shared" si="2375"/>
        <v>600</v>
      </c>
      <c r="W1163" s="20">
        <f t="shared" si="2375"/>
        <v>700</v>
      </c>
      <c r="X1163" s="20">
        <f t="shared" si="2375"/>
        <v>6</v>
      </c>
      <c r="Y1163" s="20">
        <f t="shared" si="2280"/>
        <v>0</v>
      </c>
      <c r="Z1163" s="30">
        <v>0</v>
      </c>
      <c r="AA1163" s="27">
        <v>0</v>
      </c>
      <c r="AB1163" s="27">
        <v>0</v>
      </c>
      <c r="AC1163" s="27">
        <v>0</v>
      </c>
      <c r="AD1163" s="23">
        <f t="shared" ref="AD1163:AE1163" si="2376">AD1133</f>
        <v>42</v>
      </c>
      <c r="AE1163" s="23">
        <f t="shared" si="2376"/>
        <v>46</v>
      </c>
    </row>
    <row r="1164" spans="1:31">
      <c r="A1164" s="4">
        <v>13103</v>
      </c>
      <c r="B1164" s="4">
        <v>23</v>
      </c>
      <c r="C1164" s="29" t="s">
        <v>68</v>
      </c>
      <c r="D1164" s="44">
        <f t="shared" si="2278"/>
        <v>826</v>
      </c>
      <c r="E1164" s="28">
        <v>0</v>
      </c>
      <c r="F1164" s="28">
        <v>0</v>
      </c>
      <c r="G1164" s="28">
        <v>0</v>
      </c>
      <c r="H1164" s="47">
        <v>0</v>
      </c>
      <c r="I1164" s="21">
        <f t="shared" si="2288"/>
        <v>330</v>
      </c>
      <c r="J1164" s="21">
        <f t="shared" si="2374"/>
        <v>22</v>
      </c>
      <c r="K1164" s="21">
        <v>0</v>
      </c>
      <c r="L1164" s="20">
        <v>6</v>
      </c>
      <c r="M1164" s="20">
        <v>0</v>
      </c>
      <c r="N1164" s="20">
        <f t="shared" si="2289"/>
        <v>9200</v>
      </c>
      <c r="O1164" s="19" t="s">
        <v>68</v>
      </c>
      <c r="P1164" s="20">
        <v>8600</v>
      </c>
      <c r="Q1164" s="20">
        <f t="shared" ref="Q1164:X1164" si="2377">Q1134</f>
        <v>920</v>
      </c>
      <c r="R1164" s="20">
        <f t="shared" si="2377"/>
        <v>3680</v>
      </c>
      <c r="S1164" s="20">
        <f t="shared" si="2377"/>
        <v>6440</v>
      </c>
      <c r="T1164" s="20">
        <f t="shared" si="2377"/>
        <v>8280</v>
      </c>
      <c r="U1164" s="20">
        <f t="shared" si="2377"/>
        <v>100</v>
      </c>
      <c r="V1164" s="20">
        <f t="shared" si="2377"/>
        <v>550</v>
      </c>
      <c r="W1164" s="20">
        <f t="shared" si="2377"/>
        <v>500</v>
      </c>
      <c r="X1164" s="20">
        <f t="shared" si="2377"/>
        <v>6</v>
      </c>
      <c r="Y1164" s="20">
        <f t="shared" si="2280"/>
        <v>194</v>
      </c>
      <c r="Z1164" s="30">
        <v>0</v>
      </c>
      <c r="AA1164" s="27">
        <v>0</v>
      </c>
      <c r="AB1164" s="27">
        <v>0</v>
      </c>
      <c r="AC1164" s="27">
        <v>0</v>
      </c>
      <c r="AD1164" s="23">
        <f t="shared" ref="AD1164:AE1164" si="2378">AD1134</f>
        <v>44</v>
      </c>
      <c r="AE1164" s="23">
        <f t="shared" si="2378"/>
        <v>48</v>
      </c>
    </row>
    <row r="1165" spans="1:31">
      <c r="A1165" s="4">
        <v>13103</v>
      </c>
      <c r="B1165" s="4">
        <v>24</v>
      </c>
      <c r="C1165" s="29" t="s">
        <v>69</v>
      </c>
      <c r="D1165" s="44">
        <f t="shared" si="2278"/>
        <v>894</v>
      </c>
      <c r="E1165" s="28">
        <v>0</v>
      </c>
      <c r="F1165" s="28">
        <v>0</v>
      </c>
      <c r="G1165" s="28">
        <v>0</v>
      </c>
      <c r="H1165" s="47">
        <v>0</v>
      </c>
      <c r="I1165" s="21">
        <f t="shared" si="2288"/>
        <v>330</v>
      </c>
      <c r="J1165" s="21">
        <f t="shared" si="2374"/>
        <v>23</v>
      </c>
      <c r="K1165" s="21">
        <v>0</v>
      </c>
      <c r="L1165" s="20">
        <v>6</v>
      </c>
      <c r="M1165" s="20">
        <v>0</v>
      </c>
      <c r="N1165" s="20">
        <f t="shared" si="2289"/>
        <v>9600</v>
      </c>
      <c r="O1165" s="19" t="s">
        <v>69</v>
      </c>
      <c r="P1165" s="20">
        <v>6400</v>
      </c>
      <c r="Q1165" s="20">
        <f t="shared" ref="Q1165:X1165" si="2379">Q1135</f>
        <v>960</v>
      </c>
      <c r="R1165" s="20">
        <f t="shared" si="2379"/>
        <v>3840</v>
      </c>
      <c r="S1165" s="20">
        <f t="shared" si="2379"/>
        <v>6720</v>
      </c>
      <c r="T1165" s="20">
        <f t="shared" si="2379"/>
        <v>8640</v>
      </c>
      <c r="U1165" s="20">
        <f t="shared" si="2379"/>
        <v>100</v>
      </c>
      <c r="V1165" s="20">
        <f t="shared" si="2379"/>
        <v>500</v>
      </c>
      <c r="W1165" s="20">
        <f t="shared" si="2379"/>
        <v>900</v>
      </c>
      <c r="X1165" s="20">
        <f t="shared" si="2379"/>
        <v>6</v>
      </c>
      <c r="Y1165" s="20">
        <f t="shared" si="2280"/>
        <v>0</v>
      </c>
      <c r="Z1165" s="30">
        <v>0</v>
      </c>
      <c r="AA1165" s="27">
        <v>0</v>
      </c>
      <c r="AB1165" s="27">
        <v>0</v>
      </c>
      <c r="AC1165" s="27">
        <v>0</v>
      </c>
      <c r="AD1165" s="23">
        <f t="shared" ref="AD1165:AE1165" si="2380">AD1135</f>
        <v>46</v>
      </c>
      <c r="AE1165" s="23">
        <f t="shared" si="2380"/>
        <v>50</v>
      </c>
    </row>
    <row r="1166" spans="1:31">
      <c r="A1166" s="8">
        <v>13103</v>
      </c>
      <c r="B1166" s="8">
        <v>25</v>
      </c>
      <c r="C1166" s="29" t="s">
        <v>70</v>
      </c>
      <c r="D1166" s="44">
        <f t="shared" si="2278"/>
        <v>968</v>
      </c>
      <c r="E1166" s="28">
        <v>0</v>
      </c>
      <c r="F1166" s="28">
        <v>0</v>
      </c>
      <c r="G1166" s="28">
        <v>0</v>
      </c>
      <c r="H1166" s="47">
        <v>0</v>
      </c>
      <c r="I1166" s="21">
        <f t="shared" si="2288"/>
        <v>385</v>
      </c>
      <c r="J1166" s="21">
        <f t="shared" si="2374"/>
        <v>24</v>
      </c>
      <c r="K1166" s="21">
        <v>0</v>
      </c>
      <c r="L1166" s="20">
        <v>6</v>
      </c>
      <c r="M1166" s="20">
        <v>0</v>
      </c>
      <c r="N1166" s="20">
        <f t="shared" si="2289"/>
        <v>12500</v>
      </c>
      <c r="O1166" s="19" t="s">
        <v>70</v>
      </c>
      <c r="P1166" s="20">
        <v>3100</v>
      </c>
      <c r="Q1166" s="20">
        <f t="shared" ref="Q1166:X1166" si="2381">Q1136</f>
        <v>1250</v>
      </c>
      <c r="R1166" s="20">
        <f t="shared" si="2381"/>
        <v>5000</v>
      </c>
      <c r="S1166" s="20">
        <f t="shared" si="2381"/>
        <v>8750</v>
      </c>
      <c r="T1166" s="20">
        <f t="shared" si="2381"/>
        <v>11250</v>
      </c>
      <c r="U1166" s="20">
        <f t="shared" si="2381"/>
        <v>10</v>
      </c>
      <c r="V1166" s="20">
        <f t="shared" si="2381"/>
        <v>1300</v>
      </c>
      <c r="W1166" s="20">
        <f t="shared" si="2381"/>
        <v>1000</v>
      </c>
      <c r="X1166" s="20">
        <f t="shared" si="2381"/>
        <v>7</v>
      </c>
      <c r="Y1166" s="20">
        <f t="shared" si="2280"/>
        <v>0</v>
      </c>
      <c r="Z1166" s="30">
        <v>0</v>
      </c>
      <c r="AA1166" s="27">
        <v>0</v>
      </c>
      <c r="AB1166" s="27">
        <v>0</v>
      </c>
      <c r="AC1166" s="27">
        <v>0</v>
      </c>
      <c r="AD1166" s="23">
        <f t="shared" ref="AD1166:AE1166" si="2382">AD1136</f>
        <v>48</v>
      </c>
      <c r="AE1166" s="23">
        <f t="shared" si="2382"/>
        <v>52</v>
      </c>
    </row>
    <row r="1167" spans="1:31">
      <c r="A1167" s="4">
        <v>13103</v>
      </c>
      <c r="B1167" s="4">
        <v>26</v>
      </c>
      <c r="C1167" s="29" t="s">
        <v>71</v>
      </c>
      <c r="D1167" s="44">
        <f t="shared" si="2278"/>
        <v>1048</v>
      </c>
      <c r="E1167" s="28">
        <v>0</v>
      </c>
      <c r="F1167" s="28">
        <v>0</v>
      </c>
      <c r="G1167" s="28">
        <v>0</v>
      </c>
      <c r="H1167" s="47">
        <v>0</v>
      </c>
      <c r="I1167" s="21">
        <f t="shared" si="2288"/>
        <v>385</v>
      </c>
      <c r="J1167" s="21">
        <f t="shared" si="2374"/>
        <v>25</v>
      </c>
      <c r="K1167" s="21">
        <v>0</v>
      </c>
      <c r="L1167" s="20">
        <v>6</v>
      </c>
      <c r="M1167" s="20">
        <v>0</v>
      </c>
      <c r="N1167" s="20">
        <f t="shared" si="2289"/>
        <v>13000</v>
      </c>
      <c r="O1167" s="19" t="s">
        <v>71</v>
      </c>
      <c r="P1167" s="20">
        <v>1777</v>
      </c>
      <c r="Q1167" s="20">
        <f t="shared" ref="Q1167:X1167" si="2383">Q1137</f>
        <v>1300</v>
      </c>
      <c r="R1167" s="20">
        <f t="shared" si="2383"/>
        <v>5200</v>
      </c>
      <c r="S1167" s="20">
        <f t="shared" si="2383"/>
        <v>9100</v>
      </c>
      <c r="T1167" s="20">
        <f t="shared" si="2383"/>
        <v>11700</v>
      </c>
      <c r="U1167" s="20">
        <f t="shared" si="2383"/>
        <v>90</v>
      </c>
      <c r="V1167" s="20">
        <f t="shared" si="2383"/>
        <v>800</v>
      </c>
      <c r="W1167" s="20">
        <f t="shared" si="2383"/>
        <v>2000</v>
      </c>
      <c r="X1167" s="20">
        <f t="shared" si="2383"/>
        <v>7</v>
      </c>
      <c r="Y1167" s="20">
        <f t="shared" si="2280"/>
        <v>0</v>
      </c>
      <c r="Z1167" s="30">
        <v>0</v>
      </c>
      <c r="AA1167" s="27">
        <v>0</v>
      </c>
      <c r="AB1167" s="27">
        <v>0</v>
      </c>
      <c r="AC1167" s="27">
        <v>0</v>
      </c>
      <c r="AD1167" s="23">
        <f t="shared" ref="AD1167:AE1167" si="2384">AD1137</f>
        <v>50</v>
      </c>
      <c r="AE1167" s="23">
        <f t="shared" si="2384"/>
        <v>54</v>
      </c>
    </row>
    <row r="1168" spans="1:31">
      <c r="A1168" s="4">
        <v>13103</v>
      </c>
      <c r="B1168" s="4">
        <v>27</v>
      </c>
      <c r="C1168" s="29" t="s">
        <v>72</v>
      </c>
      <c r="D1168" s="44">
        <f t="shared" si="2278"/>
        <v>1134</v>
      </c>
      <c r="E1168" s="28">
        <v>0</v>
      </c>
      <c r="F1168" s="28">
        <v>0</v>
      </c>
      <c r="G1168" s="28">
        <v>0</v>
      </c>
      <c r="H1168" s="47">
        <v>0</v>
      </c>
      <c r="I1168" s="21">
        <f t="shared" si="2288"/>
        <v>385</v>
      </c>
      <c r="J1168" s="21">
        <f t="shared" si="2374"/>
        <v>26</v>
      </c>
      <c r="K1168" s="21">
        <v>0</v>
      </c>
      <c r="L1168" s="20">
        <v>6</v>
      </c>
      <c r="M1168" s="20">
        <v>0</v>
      </c>
      <c r="N1168" s="20">
        <f t="shared" si="2289"/>
        <v>13500</v>
      </c>
      <c r="O1168" s="19" t="s">
        <v>72</v>
      </c>
      <c r="P1168" s="20">
        <v>2332</v>
      </c>
      <c r="Q1168" s="20">
        <f t="shared" ref="Q1168:X1168" si="2385">Q1138</f>
        <v>1350</v>
      </c>
      <c r="R1168" s="20">
        <f t="shared" si="2385"/>
        <v>5400</v>
      </c>
      <c r="S1168" s="20">
        <f t="shared" si="2385"/>
        <v>9450</v>
      </c>
      <c r="T1168" s="20">
        <f t="shared" si="2385"/>
        <v>12150</v>
      </c>
      <c r="U1168" s="20">
        <f t="shared" si="2385"/>
        <v>80</v>
      </c>
      <c r="V1168" s="20">
        <f t="shared" si="2385"/>
        <v>700</v>
      </c>
      <c r="W1168" s="20">
        <f t="shared" si="2385"/>
        <v>800</v>
      </c>
      <c r="X1168" s="20">
        <f t="shared" si="2385"/>
        <v>7</v>
      </c>
      <c r="Y1168" s="20">
        <f t="shared" si="2280"/>
        <v>0</v>
      </c>
      <c r="Z1168" s="30">
        <v>0</v>
      </c>
      <c r="AA1168" s="27">
        <v>0</v>
      </c>
      <c r="AB1168" s="27">
        <v>0</v>
      </c>
      <c r="AC1168" s="27">
        <v>0</v>
      </c>
      <c r="AD1168" s="23">
        <f t="shared" ref="AD1168:AE1168" si="2386">AD1138</f>
        <v>52</v>
      </c>
      <c r="AE1168" s="23">
        <f t="shared" si="2386"/>
        <v>56</v>
      </c>
    </row>
    <row r="1169" spans="1:31">
      <c r="A1169" s="4">
        <v>13103</v>
      </c>
      <c r="B1169" s="4">
        <v>28</v>
      </c>
      <c r="C1169" s="29" t="s">
        <v>73</v>
      </c>
      <c r="D1169" s="44">
        <f t="shared" si="2278"/>
        <v>1228</v>
      </c>
      <c r="E1169" s="28">
        <v>0</v>
      </c>
      <c r="F1169" s="28">
        <v>0</v>
      </c>
      <c r="G1169" s="28">
        <v>0</v>
      </c>
      <c r="H1169" s="47">
        <v>0</v>
      </c>
      <c r="I1169" s="21">
        <f t="shared" si="2288"/>
        <v>385</v>
      </c>
      <c r="J1169" s="21">
        <f t="shared" si="2374"/>
        <v>27</v>
      </c>
      <c r="K1169" s="21">
        <v>0</v>
      </c>
      <c r="L1169" s="20">
        <v>6</v>
      </c>
      <c r="M1169" s="20">
        <v>0</v>
      </c>
      <c r="N1169" s="20">
        <f t="shared" si="2289"/>
        <v>14000</v>
      </c>
      <c r="O1169" s="19" t="s">
        <v>73</v>
      </c>
      <c r="P1169" s="20">
        <v>1487</v>
      </c>
      <c r="Q1169" s="20">
        <f t="shared" ref="Q1169:X1169" si="2387">Q1139</f>
        <v>1400</v>
      </c>
      <c r="R1169" s="20">
        <f t="shared" si="2387"/>
        <v>5600</v>
      </c>
      <c r="S1169" s="20">
        <f t="shared" si="2387"/>
        <v>9800</v>
      </c>
      <c r="T1169" s="20">
        <f t="shared" si="2387"/>
        <v>12600</v>
      </c>
      <c r="U1169" s="20">
        <f t="shared" si="2387"/>
        <v>80</v>
      </c>
      <c r="V1169" s="20">
        <f t="shared" si="2387"/>
        <v>500</v>
      </c>
      <c r="W1169" s="20">
        <f t="shared" si="2387"/>
        <v>600</v>
      </c>
      <c r="X1169" s="20">
        <f t="shared" si="2387"/>
        <v>7</v>
      </c>
      <c r="Y1169" s="20">
        <f t="shared" si="2280"/>
        <v>243</v>
      </c>
      <c r="Z1169" s="30">
        <v>0</v>
      </c>
      <c r="AA1169" s="27">
        <v>0</v>
      </c>
      <c r="AB1169" s="27">
        <v>0</v>
      </c>
      <c r="AC1169" s="27">
        <v>0</v>
      </c>
      <c r="AD1169" s="23">
        <f t="shared" ref="AD1169:AE1169" si="2388">AD1139</f>
        <v>54</v>
      </c>
      <c r="AE1169" s="23">
        <f t="shared" si="2388"/>
        <v>58</v>
      </c>
    </row>
    <row r="1170" spans="1:31">
      <c r="A1170" s="4">
        <v>13103</v>
      </c>
      <c r="B1170" s="4">
        <v>29</v>
      </c>
      <c r="C1170" s="29" t="s">
        <v>74</v>
      </c>
      <c r="D1170" s="44">
        <f t="shared" si="2278"/>
        <v>1330</v>
      </c>
      <c r="E1170" s="28">
        <v>0</v>
      </c>
      <c r="F1170" s="28">
        <v>0</v>
      </c>
      <c r="G1170" s="28">
        <v>0</v>
      </c>
      <c r="H1170" s="47">
        <v>0</v>
      </c>
      <c r="I1170" s="21">
        <f t="shared" si="2288"/>
        <v>440</v>
      </c>
      <c r="J1170" s="21">
        <f t="shared" si="2374"/>
        <v>28</v>
      </c>
      <c r="K1170" s="21">
        <v>0</v>
      </c>
      <c r="L1170" s="20">
        <v>6</v>
      </c>
      <c r="M1170" s="20">
        <v>0</v>
      </c>
      <c r="N1170" s="20">
        <f t="shared" si="2289"/>
        <v>14500</v>
      </c>
      <c r="O1170" s="19" t="s">
        <v>74</v>
      </c>
      <c r="P1170" s="20">
        <v>1518</v>
      </c>
      <c r="Q1170" s="20">
        <f t="shared" ref="Q1170:X1170" si="2389">Q1140</f>
        <v>1450</v>
      </c>
      <c r="R1170" s="20">
        <f t="shared" si="2389"/>
        <v>5800</v>
      </c>
      <c r="S1170" s="20">
        <f t="shared" si="2389"/>
        <v>10150</v>
      </c>
      <c r="T1170" s="20">
        <f t="shared" si="2389"/>
        <v>13050</v>
      </c>
      <c r="U1170" s="20">
        <f t="shared" si="2389"/>
        <v>80</v>
      </c>
      <c r="V1170" s="20">
        <f t="shared" si="2389"/>
        <v>600</v>
      </c>
      <c r="W1170" s="20">
        <f t="shared" si="2389"/>
        <v>700</v>
      </c>
      <c r="X1170" s="20">
        <f t="shared" si="2389"/>
        <v>8</v>
      </c>
      <c r="Y1170" s="20">
        <f t="shared" si="2280"/>
        <v>0</v>
      </c>
      <c r="Z1170" s="30">
        <v>0</v>
      </c>
      <c r="AA1170" s="27">
        <v>0</v>
      </c>
      <c r="AB1170" s="27">
        <v>0</v>
      </c>
      <c r="AC1170" s="27">
        <v>0</v>
      </c>
      <c r="AD1170" s="23">
        <f t="shared" ref="AD1170:AE1170" si="2390">AD1140</f>
        <v>56</v>
      </c>
      <c r="AE1170" s="23">
        <f t="shared" si="2390"/>
        <v>60</v>
      </c>
    </row>
    <row r="1171" spans="1:31">
      <c r="A1171" s="4">
        <v>13103</v>
      </c>
      <c r="B1171" s="4">
        <v>30</v>
      </c>
      <c r="C1171" s="29" t="s">
        <v>75</v>
      </c>
      <c r="D1171" s="44">
        <f t="shared" si="2278"/>
        <v>1440</v>
      </c>
      <c r="E1171" s="28">
        <v>0</v>
      </c>
      <c r="F1171" s="28">
        <v>0</v>
      </c>
      <c r="G1171" s="28">
        <v>0</v>
      </c>
      <c r="H1171" s="47">
        <v>0</v>
      </c>
      <c r="I1171" s="21">
        <f t="shared" si="2288"/>
        <v>440</v>
      </c>
      <c r="J1171" s="21">
        <f t="shared" si="2374"/>
        <v>29</v>
      </c>
      <c r="K1171" s="21">
        <v>0</v>
      </c>
      <c r="L1171" s="20">
        <v>6</v>
      </c>
      <c r="M1171" s="20">
        <v>0</v>
      </c>
      <c r="N1171" s="20">
        <f t="shared" si="2289"/>
        <v>15000</v>
      </c>
      <c r="O1171" s="19" t="s">
        <v>75</v>
      </c>
      <c r="P1171" s="20">
        <v>861</v>
      </c>
      <c r="Q1171" s="20">
        <f t="shared" ref="Q1171:X1171" si="2391">Q1141</f>
        <v>1500</v>
      </c>
      <c r="R1171" s="20">
        <f t="shared" si="2391"/>
        <v>6000</v>
      </c>
      <c r="S1171" s="20">
        <f t="shared" si="2391"/>
        <v>10500</v>
      </c>
      <c r="T1171" s="20">
        <f t="shared" si="2391"/>
        <v>13500</v>
      </c>
      <c r="U1171" s="20">
        <f t="shared" si="2391"/>
        <v>20</v>
      </c>
      <c r="V1171" s="20">
        <f t="shared" si="2391"/>
        <v>450</v>
      </c>
      <c r="W1171" s="20">
        <f t="shared" si="2391"/>
        <v>1000</v>
      </c>
      <c r="X1171" s="20">
        <f t="shared" si="2391"/>
        <v>8</v>
      </c>
      <c r="Y1171" s="20">
        <f t="shared" si="2280"/>
        <v>0</v>
      </c>
      <c r="Z1171" s="30">
        <v>0</v>
      </c>
      <c r="AA1171" s="27">
        <v>0</v>
      </c>
      <c r="AB1171" s="27">
        <v>0</v>
      </c>
      <c r="AC1171" s="27">
        <v>0</v>
      </c>
      <c r="AD1171" s="23">
        <f t="shared" ref="AD1171:AE1171" si="2392">AD1141</f>
        <v>58</v>
      </c>
      <c r="AE1171" s="23">
        <f t="shared" si="2392"/>
        <v>62</v>
      </c>
    </row>
    <row r="1172" spans="1:31">
      <c r="A1172" s="4">
        <v>13104</v>
      </c>
      <c r="B1172" s="4">
        <v>1</v>
      </c>
      <c r="C1172" s="19" t="s">
        <v>66</v>
      </c>
      <c r="D1172" s="44">
        <f t="shared" si="2278"/>
        <v>162</v>
      </c>
      <c r="E1172" s="18">
        <v>0</v>
      </c>
      <c r="F1172" s="18">
        <v>0</v>
      </c>
      <c r="G1172" s="18">
        <v>0</v>
      </c>
      <c r="H1172" s="45">
        <v>0</v>
      </c>
      <c r="I1172" s="21">
        <f t="shared" si="2288"/>
        <v>55</v>
      </c>
      <c r="J1172" s="21">
        <f t="shared" si="2374"/>
        <v>0</v>
      </c>
      <c r="K1172" s="21">
        <v>0</v>
      </c>
      <c r="L1172" s="20">
        <v>45</v>
      </c>
      <c r="M1172" s="20">
        <v>0</v>
      </c>
      <c r="N1172" s="20">
        <f t="shared" si="2289"/>
        <v>10</v>
      </c>
      <c r="O1172" s="19" t="s">
        <v>66</v>
      </c>
      <c r="P1172" s="20">
        <v>9400</v>
      </c>
      <c r="Q1172" s="20">
        <f t="shared" ref="Q1172:X1172" si="2393">Q1142</f>
        <v>1</v>
      </c>
      <c r="R1172" s="20">
        <f t="shared" si="2393"/>
        <v>4</v>
      </c>
      <c r="S1172" s="20">
        <f t="shared" si="2393"/>
        <v>7</v>
      </c>
      <c r="T1172" s="20">
        <f t="shared" si="2393"/>
        <v>9</v>
      </c>
      <c r="U1172" s="20">
        <f t="shared" si="2393"/>
        <v>9400</v>
      </c>
      <c r="V1172" s="20">
        <f t="shared" si="2393"/>
        <v>9400</v>
      </c>
      <c r="W1172" s="20">
        <f t="shared" si="2393"/>
        <v>9400</v>
      </c>
      <c r="X1172" s="20">
        <f t="shared" si="2393"/>
        <v>1</v>
      </c>
      <c r="Y1172" s="20">
        <f t="shared" si="2280"/>
        <v>0</v>
      </c>
      <c r="Z1172" s="22">
        <v>0</v>
      </c>
      <c r="AA1172" s="20">
        <v>0</v>
      </c>
      <c r="AB1172" s="20">
        <v>0</v>
      </c>
      <c r="AC1172" s="20">
        <v>0</v>
      </c>
      <c r="AD1172" s="23">
        <f t="shared" ref="AD1172:AE1172" si="2394">AD1142</f>
        <v>1</v>
      </c>
      <c r="AE1172" s="23">
        <f t="shared" si="2394"/>
        <v>3</v>
      </c>
    </row>
    <row r="1173" spans="1:31">
      <c r="A1173" s="4">
        <v>13104</v>
      </c>
      <c r="B1173" s="4">
        <v>2</v>
      </c>
      <c r="C1173" s="19" t="s">
        <v>67</v>
      </c>
      <c r="D1173" s="44">
        <f t="shared" si="2278"/>
        <v>176</v>
      </c>
      <c r="E1173" s="18">
        <v>0</v>
      </c>
      <c r="F1173" s="18">
        <v>0</v>
      </c>
      <c r="G1173" s="18">
        <v>0</v>
      </c>
      <c r="H1173" s="45">
        <v>0</v>
      </c>
      <c r="I1173" s="21">
        <f t="shared" si="2288"/>
        <v>55</v>
      </c>
      <c r="J1173" s="21">
        <f t="shared" si="2374"/>
        <v>1</v>
      </c>
      <c r="K1173" s="21">
        <v>0</v>
      </c>
      <c r="L1173" s="20">
        <v>40</v>
      </c>
      <c r="M1173" s="20">
        <v>0</v>
      </c>
      <c r="N1173" s="20">
        <f t="shared" si="2289"/>
        <v>20</v>
      </c>
      <c r="O1173" s="19" t="s">
        <v>67</v>
      </c>
      <c r="P1173" s="20">
        <v>9100</v>
      </c>
      <c r="Q1173" s="20">
        <f t="shared" ref="Q1173:X1173" si="2395">Q1143</f>
        <v>2</v>
      </c>
      <c r="R1173" s="20">
        <f t="shared" si="2395"/>
        <v>8</v>
      </c>
      <c r="S1173" s="20">
        <f t="shared" si="2395"/>
        <v>14</v>
      </c>
      <c r="T1173" s="20">
        <f t="shared" si="2395"/>
        <v>18</v>
      </c>
      <c r="U1173" s="20">
        <f t="shared" si="2395"/>
        <v>4000</v>
      </c>
      <c r="V1173" s="20">
        <f t="shared" si="2395"/>
        <v>8000</v>
      </c>
      <c r="W1173" s="20">
        <f t="shared" si="2395"/>
        <v>8000</v>
      </c>
      <c r="X1173" s="20">
        <f t="shared" si="2395"/>
        <v>1</v>
      </c>
      <c r="Y1173" s="20">
        <f t="shared" si="2280"/>
        <v>0</v>
      </c>
      <c r="Z1173" s="22">
        <v>0</v>
      </c>
      <c r="AA1173" s="20">
        <v>0</v>
      </c>
      <c r="AB1173" s="20">
        <v>0</v>
      </c>
      <c r="AC1173" s="20">
        <v>0</v>
      </c>
      <c r="AD1173" s="23">
        <f t="shared" ref="AD1173:AE1173" si="2396">AD1143</f>
        <v>2</v>
      </c>
      <c r="AE1173" s="23">
        <f t="shared" si="2396"/>
        <v>5</v>
      </c>
    </row>
    <row r="1174" spans="1:31">
      <c r="A1174" s="4">
        <v>13104</v>
      </c>
      <c r="B1174" s="4">
        <v>3</v>
      </c>
      <c r="C1174" s="19" t="s">
        <v>68</v>
      </c>
      <c r="D1174" s="44">
        <f t="shared" si="2278"/>
        <v>189</v>
      </c>
      <c r="E1174" s="18">
        <v>0</v>
      </c>
      <c r="F1174" s="18">
        <v>0</v>
      </c>
      <c r="G1174" s="18">
        <v>0</v>
      </c>
      <c r="H1174" s="45">
        <v>0</v>
      </c>
      <c r="I1174" s="21">
        <f t="shared" si="2288"/>
        <v>55</v>
      </c>
      <c r="J1174" s="21">
        <f t="shared" si="2374"/>
        <v>2</v>
      </c>
      <c r="K1174" s="21">
        <v>0</v>
      </c>
      <c r="L1174" s="20">
        <v>35</v>
      </c>
      <c r="M1174" s="20">
        <v>0</v>
      </c>
      <c r="N1174" s="20">
        <f t="shared" si="2289"/>
        <v>40</v>
      </c>
      <c r="O1174" s="19" t="s">
        <v>68</v>
      </c>
      <c r="P1174" s="20">
        <v>8600</v>
      </c>
      <c r="Q1174" s="20">
        <f t="shared" ref="Q1174:X1174" si="2397">Q1144</f>
        <v>4</v>
      </c>
      <c r="R1174" s="20">
        <f t="shared" si="2397"/>
        <v>16</v>
      </c>
      <c r="S1174" s="20">
        <f t="shared" si="2397"/>
        <v>28</v>
      </c>
      <c r="T1174" s="20">
        <f t="shared" si="2397"/>
        <v>36</v>
      </c>
      <c r="U1174" s="20">
        <f t="shared" si="2397"/>
        <v>1600</v>
      </c>
      <c r="V1174" s="20">
        <f t="shared" si="2397"/>
        <v>5000</v>
      </c>
      <c r="W1174" s="20">
        <f t="shared" si="2397"/>
        <v>6000</v>
      </c>
      <c r="X1174" s="20">
        <f t="shared" si="2397"/>
        <v>1</v>
      </c>
      <c r="Y1174" s="20">
        <f t="shared" si="2280"/>
        <v>0</v>
      </c>
      <c r="Z1174" s="22">
        <v>0</v>
      </c>
      <c r="AA1174" s="20">
        <v>0</v>
      </c>
      <c r="AB1174" s="20">
        <v>0</v>
      </c>
      <c r="AC1174" s="20">
        <v>0</v>
      </c>
      <c r="AD1174" s="23">
        <f t="shared" ref="AD1174:AE1174" si="2398">AD1144</f>
        <v>4</v>
      </c>
      <c r="AE1174" s="23">
        <f t="shared" si="2398"/>
        <v>8</v>
      </c>
    </row>
    <row r="1175" spans="1:31">
      <c r="A1175" s="4">
        <v>13104</v>
      </c>
      <c r="B1175" s="4">
        <v>4</v>
      </c>
      <c r="C1175" s="19" t="s">
        <v>69</v>
      </c>
      <c r="D1175" s="44">
        <f t="shared" si="2278"/>
        <v>205</v>
      </c>
      <c r="E1175" s="18">
        <v>0</v>
      </c>
      <c r="F1175" s="18">
        <v>0</v>
      </c>
      <c r="G1175" s="18">
        <v>0</v>
      </c>
      <c r="H1175" s="45">
        <v>0</v>
      </c>
      <c r="I1175" s="21">
        <f t="shared" si="2288"/>
        <v>55</v>
      </c>
      <c r="J1175" s="21">
        <f t="shared" si="2374"/>
        <v>3</v>
      </c>
      <c r="K1175" s="21">
        <v>0</v>
      </c>
      <c r="L1175" s="20">
        <v>30</v>
      </c>
      <c r="M1175" s="20">
        <v>0</v>
      </c>
      <c r="N1175" s="20">
        <f t="shared" si="2289"/>
        <v>100</v>
      </c>
      <c r="O1175" s="19" t="s">
        <v>69</v>
      </c>
      <c r="P1175" s="20">
        <v>6400</v>
      </c>
      <c r="Q1175" s="20">
        <f t="shared" ref="Q1175:X1175" si="2399">Q1145</f>
        <v>10</v>
      </c>
      <c r="R1175" s="20">
        <f t="shared" si="2399"/>
        <v>40</v>
      </c>
      <c r="S1175" s="20">
        <f t="shared" si="2399"/>
        <v>70</v>
      </c>
      <c r="T1175" s="20">
        <f t="shared" si="2399"/>
        <v>90</v>
      </c>
      <c r="U1175" s="20">
        <f t="shared" si="2399"/>
        <v>900</v>
      </c>
      <c r="V1175" s="20">
        <f t="shared" si="2399"/>
        <v>2000</v>
      </c>
      <c r="W1175" s="20">
        <f t="shared" si="2399"/>
        <v>8000</v>
      </c>
      <c r="X1175" s="20">
        <f t="shared" si="2399"/>
        <v>1</v>
      </c>
      <c r="Y1175" s="20">
        <f t="shared" si="2280"/>
        <v>0</v>
      </c>
      <c r="Z1175" s="22">
        <v>0</v>
      </c>
      <c r="AA1175" s="20">
        <v>0</v>
      </c>
      <c r="AB1175" s="20">
        <v>0</v>
      </c>
      <c r="AC1175" s="20">
        <v>0</v>
      </c>
      <c r="AD1175" s="23">
        <f t="shared" ref="AD1175:AE1175" si="2400">AD1145</f>
        <v>6</v>
      </c>
      <c r="AE1175" s="23">
        <f t="shared" si="2400"/>
        <v>10</v>
      </c>
    </row>
    <row r="1176" spans="1:31">
      <c r="A1176" s="4">
        <v>13104</v>
      </c>
      <c r="B1176" s="4">
        <v>5</v>
      </c>
      <c r="C1176" s="19" t="s">
        <v>70</v>
      </c>
      <c r="D1176" s="44">
        <f t="shared" si="2278"/>
        <v>223</v>
      </c>
      <c r="E1176" s="18">
        <v>0</v>
      </c>
      <c r="F1176" s="18">
        <v>0</v>
      </c>
      <c r="G1176" s="18">
        <v>0</v>
      </c>
      <c r="H1176" s="45">
        <v>0</v>
      </c>
      <c r="I1176" s="21">
        <f t="shared" si="2288"/>
        <v>110</v>
      </c>
      <c r="J1176" s="21">
        <f t="shared" si="2374"/>
        <v>4</v>
      </c>
      <c r="K1176" s="21">
        <v>0</v>
      </c>
      <c r="L1176" s="20">
        <v>25</v>
      </c>
      <c r="M1176" s="20">
        <v>0</v>
      </c>
      <c r="N1176" s="20">
        <f t="shared" si="2289"/>
        <v>200</v>
      </c>
      <c r="O1176" s="19" t="s">
        <v>70</v>
      </c>
      <c r="P1176" s="20">
        <v>3100</v>
      </c>
      <c r="Q1176" s="20">
        <f t="shared" ref="Q1176:X1176" si="2401">Q1146</f>
        <v>20</v>
      </c>
      <c r="R1176" s="20">
        <f t="shared" si="2401"/>
        <v>80</v>
      </c>
      <c r="S1176" s="20">
        <f t="shared" si="2401"/>
        <v>140</v>
      </c>
      <c r="T1176" s="20">
        <f t="shared" si="2401"/>
        <v>180</v>
      </c>
      <c r="U1176" s="20">
        <f t="shared" si="2401"/>
        <v>1000</v>
      </c>
      <c r="V1176" s="20">
        <f t="shared" si="2401"/>
        <v>2000</v>
      </c>
      <c r="W1176" s="20">
        <f t="shared" si="2401"/>
        <v>2000</v>
      </c>
      <c r="X1176" s="20">
        <f t="shared" si="2401"/>
        <v>2</v>
      </c>
      <c r="Y1176" s="20">
        <f t="shared" si="2280"/>
        <v>0</v>
      </c>
      <c r="Z1176" s="22">
        <v>0</v>
      </c>
      <c r="AA1176" s="20">
        <v>0</v>
      </c>
      <c r="AB1176" s="20">
        <v>0</v>
      </c>
      <c r="AC1176" s="20">
        <v>0</v>
      </c>
      <c r="AD1176" s="23">
        <f t="shared" ref="AD1176:AE1176" si="2402">AD1146</f>
        <v>8</v>
      </c>
      <c r="AE1176" s="23">
        <f t="shared" si="2402"/>
        <v>12</v>
      </c>
    </row>
    <row r="1177" spans="1:31">
      <c r="A1177" s="4">
        <v>13104</v>
      </c>
      <c r="B1177" s="4">
        <v>6</v>
      </c>
      <c r="C1177" s="19" t="s">
        <v>71</v>
      </c>
      <c r="D1177" s="44">
        <f t="shared" si="2278"/>
        <v>241</v>
      </c>
      <c r="E1177" s="18">
        <v>0</v>
      </c>
      <c r="F1177" s="18">
        <v>0</v>
      </c>
      <c r="G1177" s="18">
        <v>0</v>
      </c>
      <c r="H1177" s="45">
        <v>0</v>
      </c>
      <c r="I1177" s="21">
        <f t="shared" si="2288"/>
        <v>110</v>
      </c>
      <c r="J1177" s="21">
        <f t="shared" si="2374"/>
        <v>5</v>
      </c>
      <c r="K1177" s="21">
        <v>0</v>
      </c>
      <c r="L1177" s="20">
        <v>20</v>
      </c>
      <c r="M1177" s="20">
        <v>0</v>
      </c>
      <c r="N1177" s="20">
        <f t="shared" si="2289"/>
        <v>500</v>
      </c>
      <c r="O1177" s="19" t="s">
        <v>71</v>
      </c>
      <c r="P1177" s="20">
        <v>1777</v>
      </c>
      <c r="Q1177" s="20">
        <f t="shared" ref="Q1177:X1177" si="2403">Q1147</f>
        <v>50</v>
      </c>
      <c r="R1177" s="20">
        <f t="shared" si="2403"/>
        <v>200</v>
      </c>
      <c r="S1177" s="20">
        <f t="shared" si="2403"/>
        <v>350</v>
      </c>
      <c r="T1177" s="20">
        <f t="shared" si="2403"/>
        <v>450</v>
      </c>
      <c r="U1177" s="20">
        <f t="shared" si="2403"/>
        <v>800</v>
      </c>
      <c r="V1177" s="20">
        <f t="shared" si="2403"/>
        <v>800</v>
      </c>
      <c r="W1177" s="20">
        <f t="shared" si="2403"/>
        <v>600</v>
      </c>
      <c r="X1177" s="20">
        <f t="shared" si="2403"/>
        <v>2</v>
      </c>
      <c r="Y1177" s="20">
        <f t="shared" si="2280"/>
        <v>0</v>
      </c>
      <c r="Z1177" s="22">
        <v>0</v>
      </c>
      <c r="AA1177" s="20">
        <v>0</v>
      </c>
      <c r="AB1177" s="20">
        <v>0</v>
      </c>
      <c r="AC1177" s="20">
        <v>0</v>
      </c>
      <c r="AD1177" s="23">
        <f t="shared" ref="AD1177:AE1177" si="2404">AD1147</f>
        <v>10</v>
      </c>
      <c r="AE1177" s="23">
        <f t="shared" si="2404"/>
        <v>14</v>
      </c>
    </row>
    <row r="1178" spans="1:31">
      <c r="A1178" s="8">
        <v>13104</v>
      </c>
      <c r="B1178" s="8">
        <v>7</v>
      </c>
      <c r="C1178" s="19" t="s">
        <v>72</v>
      </c>
      <c r="D1178" s="44">
        <f t="shared" si="2278"/>
        <v>261</v>
      </c>
      <c r="E1178" s="18">
        <v>0</v>
      </c>
      <c r="F1178" s="18">
        <v>0</v>
      </c>
      <c r="G1178" s="18">
        <v>0</v>
      </c>
      <c r="H1178" s="45">
        <v>0</v>
      </c>
      <c r="I1178" s="21">
        <f t="shared" si="2288"/>
        <v>110</v>
      </c>
      <c r="J1178" s="21">
        <f t="shared" si="2374"/>
        <v>6</v>
      </c>
      <c r="K1178" s="21">
        <v>0</v>
      </c>
      <c r="L1178" s="20">
        <v>16</v>
      </c>
      <c r="M1178" s="20">
        <v>0</v>
      </c>
      <c r="N1178" s="20">
        <f t="shared" si="2289"/>
        <v>700</v>
      </c>
      <c r="O1178" s="19" t="s">
        <v>72</v>
      </c>
      <c r="P1178" s="20">
        <v>2332</v>
      </c>
      <c r="Q1178" s="20">
        <f t="shared" ref="Q1178:X1178" si="2405">Q1148</f>
        <v>70</v>
      </c>
      <c r="R1178" s="20">
        <f t="shared" si="2405"/>
        <v>280</v>
      </c>
      <c r="S1178" s="20">
        <f t="shared" si="2405"/>
        <v>489.99999999999994</v>
      </c>
      <c r="T1178" s="20">
        <f t="shared" si="2405"/>
        <v>630</v>
      </c>
      <c r="U1178" s="20">
        <f t="shared" si="2405"/>
        <v>650</v>
      </c>
      <c r="V1178" s="20">
        <f t="shared" si="2405"/>
        <v>800</v>
      </c>
      <c r="W1178" s="20">
        <f t="shared" si="2405"/>
        <v>300</v>
      </c>
      <c r="X1178" s="20">
        <f t="shared" si="2405"/>
        <v>2</v>
      </c>
      <c r="Y1178" s="20">
        <f t="shared" si="2280"/>
        <v>0</v>
      </c>
      <c r="Z1178" s="22">
        <v>0</v>
      </c>
      <c r="AA1178" s="20">
        <v>0</v>
      </c>
      <c r="AB1178" s="20">
        <v>0</v>
      </c>
      <c r="AC1178" s="20">
        <v>0</v>
      </c>
      <c r="AD1178" s="23">
        <f t="shared" ref="AD1178:AE1178" si="2406">AD1148</f>
        <v>12</v>
      </c>
      <c r="AE1178" s="23">
        <f t="shared" si="2406"/>
        <v>16</v>
      </c>
    </row>
    <row r="1179" spans="1:31">
      <c r="A1179" s="4">
        <v>13104</v>
      </c>
      <c r="B1179" s="4">
        <v>8</v>
      </c>
      <c r="C1179" s="19" t="s">
        <v>73</v>
      </c>
      <c r="D1179" s="44">
        <f t="shared" si="2278"/>
        <v>284</v>
      </c>
      <c r="E1179" s="18">
        <v>0</v>
      </c>
      <c r="F1179" s="18">
        <v>0</v>
      </c>
      <c r="G1179" s="18">
        <v>0</v>
      </c>
      <c r="H1179" s="45">
        <v>0</v>
      </c>
      <c r="I1179" s="21">
        <f t="shared" si="2288"/>
        <v>110</v>
      </c>
      <c r="J1179" s="21">
        <f t="shared" si="2374"/>
        <v>7</v>
      </c>
      <c r="K1179" s="21">
        <v>0</v>
      </c>
      <c r="L1179" s="20">
        <v>12</v>
      </c>
      <c r="M1179" s="20">
        <v>0</v>
      </c>
      <c r="N1179" s="20">
        <f t="shared" si="2289"/>
        <v>800</v>
      </c>
      <c r="O1179" s="19" t="s">
        <v>73</v>
      </c>
      <c r="P1179" s="20">
        <v>1487</v>
      </c>
      <c r="Q1179" s="20">
        <f t="shared" ref="Q1179:X1179" si="2407">Q1149</f>
        <v>80</v>
      </c>
      <c r="R1179" s="20">
        <f t="shared" si="2407"/>
        <v>320</v>
      </c>
      <c r="S1179" s="20">
        <f t="shared" si="2407"/>
        <v>560</v>
      </c>
      <c r="T1179" s="20">
        <f t="shared" si="2407"/>
        <v>720</v>
      </c>
      <c r="U1179" s="20">
        <f t="shared" si="2407"/>
        <v>200</v>
      </c>
      <c r="V1179" s="20">
        <f t="shared" si="2407"/>
        <v>2000</v>
      </c>
      <c r="W1179" s="20">
        <f t="shared" si="2407"/>
        <v>1000</v>
      </c>
      <c r="X1179" s="20">
        <f t="shared" si="2407"/>
        <v>2</v>
      </c>
      <c r="Y1179" s="20">
        <f t="shared" si="2280"/>
        <v>54</v>
      </c>
      <c r="Z1179" s="22">
        <v>0</v>
      </c>
      <c r="AA1179" s="20">
        <v>0</v>
      </c>
      <c r="AB1179" s="20">
        <v>0</v>
      </c>
      <c r="AC1179" s="20">
        <v>0</v>
      </c>
      <c r="AD1179" s="23">
        <f t="shared" ref="AD1179:AE1179" si="2408">AD1149</f>
        <v>14</v>
      </c>
      <c r="AE1179" s="23">
        <f t="shared" si="2408"/>
        <v>18</v>
      </c>
    </row>
    <row r="1180" spans="1:31">
      <c r="A1180" s="4">
        <v>13104</v>
      </c>
      <c r="B1180" s="4">
        <v>9</v>
      </c>
      <c r="C1180" s="19" t="s">
        <v>74</v>
      </c>
      <c r="D1180" s="44">
        <f t="shared" si="2278"/>
        <v>306</v>
      </c>
      <c r="E1180" s="18">
        <v>0</v>
      </c>
      <c r="F1180" s="18">
        <v>0</v>
      </c>
      <c r="G1180" s="18">
        <v>0</v>
      </c>
      <c r="H1180" s="45">
        <v>0</v>
      </c>
      <c r="I1180" s="21">
        <f t="shared" si="2288"/>
        <v>165</v>
      </c>
      <c r="J1180" s="21">
        <f t="shared" si="2374"/>
        <v>8</v>
      </c>
      <c r="K1180" s="21">
        <v>0</v>
      </c>
      <c r="L1180" s="20">
        <v>8</v>
      </c>
      <c r="M1180" s="20">
        <v>0</v>
      </c>
      <c r="N1180" s="20">
        <f t="shared" si="2289"/>
        <v>900</v>
      </c>
      <c r="O1180" s="19" t="s">
        <v>74</v>
      </c>
      <c r="P1180" s="20">
        <v>1518</v>
      </c>
      <c r="Q1180" s="20">
        <f t="shared" ref="Q1180:X1180" si="2409">Q1150</f>
        <v>90</v>
      </c>
      <c r="R1180" s="20">
        <f t="shared" si="2409"/>
        <v>360</v>
      </c>
      <c r="S1180" s="20">
        <f t="shared" si="2409"/>
        <v>630</v>
      </c>
      <c r="T1180" s="20">
        <f t="shared" si="2409"/>
        <v>810</v>
      </c>
      <c r="U1180" s="20">
        <f t="shared" si="2409"/>
        <v>120</v>
      </c>
      <c r="V1180" s="20">
        <f t="shared" si="2409"/>
        <v>1500</v>
      </c>
      <c r="W1180" s="20">
        <f t="shared" si="2409"/>
        <v>1000</v>
      </c>
      <c r="X1180" s="20">
        <f t="shared" si="2409"/>
        <v>3</v>
      </c>
      <c r="Y1180" s="20">
        <f t="shared" si="2280"/>
        <v>0</v>
      </c>
      <c r="Z1180" s="22">
        <v>0</v>
      </c>
      <c r="AA1180" s="20">
        <v>0</v>
      </c>
      <c r="AB1180" s="20">
        <v>0</v>
      </c>
      <c r="AC1180" s="20">
        <v>0</v>
      </c>
      <c r="AD1180" s="23">
        <f t="shared" ref="AD1180:AE1180" si="2410">AD1150</f>
        <v>16</v>
      </c>
      <c r="AE1180" s="23">
        <f t="shared" si="2410"/>
        <v>20</v>
      </c>
    </row>
    <row r="1181" spans="1:31">
      <c r="A1181" s="4">
        <v>13104</v>
      </c>
      <c r="B1181" s="4">
        <v>10</v>
      </c>
      <c r="C1181" s="19" t="s">
        <v>75</v>
      </c>
      <c r="D1181" s="44">
        <f t="shared" ref="D1181:D1201" si="2411">E1031</f>
        <v>331</v>
      </c>
      <c r="E1181" s="18">
        <v>0</v>
      </c>
      <c r="F1181" s="18">
        <v>0</v>
      </c>
      <c r="G1181" s="18">
        <v>0</v>
      </c>
      <c r="H1181" s="45">
        <v>0</v>
      </c>
      <c r="I1181" s="21">
        <f t="shared" si="2288"/>
        <v>165</v>
      </c>
      <c r="J1181" s="21">
        <f t="shared" si="2374"/>
        <v>9</v>
      </c>
      <c r="K1181" s="21">
        <v>0</v>
      </c>
      <c r="L1181" s="20">
        <v>6</v>
      </c>
      <c r="M1181" s="20">
        <v>0</v>
      </c>
      <c r="N1181" s="20">
        <f t="shared" si="2289"/>
        <v>2000</v>
      </c>
      <c r="O1181" s="19" t="s">
        <v>75</v>
      </c>
      <c r="P1181" s="20">
        <v>861</v>
      </c>
      <c r="Q1181" s="20">
        <f t="shared" ref="Q1181:X1181" si="2412">Q1151</f>
        <v>200</v>
      </c>
      <c r="R1181" s="20">
        <f t="shared" si="2412"/>
        <v>800</v>
      </c>
      <c r="S1181" s="20">
        <f t="shared" si="2412"/>
        <v>1400</v>
      </c>
      <c r="T1181" s="20">
        <f t="shared" si="2412"/>
        <v>1800</v>
      </c>
      <c r="U1181" s="20">
        <f t="shared" si="2412"/>
        <v>150</v>
      </c>
      <c r="V1181" s="20">
        <f t="shared" si="2412"/>
        <v>5000</v>
      </c>
      <c r="W1181" s="20">
        <f t="shared" si="2412"/>
        <v>800</v>
      </c>
      <c r="X1181" s="20">
        <f t="shared" si="2412"/>
        <v>3</v>
      </c>
      <c r="Y1181" s="20">
        <f t="shared" ref="Y1181:Y1201" si="2413">Z1031</f>
        <v>0</v>
      </c>
      <c r="Z1181" s="22">
        <v>0</v>
      </c>
      <c r="AA1181" s="20">
        <v>0</v>
      </c>
      <c r="AB1181" s="20">
        <v>0</v>
      </c>
      <c r="AC1181" s="20">
        <v>0</v>
      </c>
      <c r="AD1181" s="23">
        <f t="shared" ref="AD1181:AE1181" si="2414">AD1151</f>
        <v>18</v>
      </c>
      <c r="AE1181" s="23">
        <f t="shared" si="2414"/>
        <v>22</v>
      </c>
    </row>
    <row r="1182" spans="1:31">
      <c r="A1182" s="4">
        <v>13104</v>
      </c>
      <c r="B1182" s="4">
        <v>11</v>
      </c>
      <c r="C1182" s="19" t="s">
        <v>66</v>
      </c>
      <c r="D1182" s="44">
        <f t="shared" si="2411"/>
        <v>358</v>
      </c>
      <c r="E1182" s="18">
        <v>0</v>
      </c>
      <c r="F1182" s="18">
        <v>0</v>
      </c>
      <c r="G1182" s="18">
        <v>0</v>
      </c>
      <c r="H1182" s="45">
        <v>0</v>
      </c>
      <c r="I1182" s="21">
        <f t="shared" si="2288"/>
        <v>165</v>
      </c>
      <c r="J1182" s="21">
        <f t="shared" si="2374"/>
        <v>10</v>
      </c>
      <c r="K1182" s="21">
        <v>0</v>
      </c>
      <c r="L1182" s="20">
        <v>6</v>
      </c>
      <c r="M1182" s="20">
        <v>0</v>
      </c>
      <c r="N1182" s="20">
        <f t="shared" si="2289"/>
        <v>2200</v>
      </c>
      <c r="O1182" s="19" t="s">
        <v>66</v>
      </c>
      <c r="P1182" s="20">
        <v>9400</v>
      </c>
      <c r="Q1182" s="20">
        <f t="shared" ref="Q1182:X1182" si="2415">Q1152</f>
        <v>220</v>
      </c>
      <c r="R1182" s="20">
        <f t="shared" si="2415"/>
        <v>880</v>
      </c>
      <c r="S1182" s="20">
        <f t="shared" si="2415"/>
        <v>1540</v>
      </c>
      <c r="T1182" s="20">
        <f t="shared" si="2415"/>
        <v>1980</v>
      </c>
      <c r="U1182" s="20">
        <f t="shared" si="2415"/>
        <v>100</v>
      </c>
      <c r="V1182" s="20">
        <f t="shared" si="2415"/>
        <v>800</v>
      </c>
      <c r="W1182" s="20">
        <f t="shared" si="2415"/>
        <v>600</v>
      </c>
      <c r="X1182" s="20">
        <f t="shared" si="2415"/>
        <v>3</v>
      </c>
      <c r="Y1182" s="20">
        <f t="shared" si="2413"/>
        <v>0</v>
      </c>
      <c r="Z1182" s="22">
        <v>0</v>
      </c>
      <c r="AA1182" s="20">
        <v>0</v>
      </c>
      <c r="AB1182" s="20">
        <v>0</v>
      </c>
      <c r="AC1182" s="20">
        <v>0</v>
      </c>
      <c r="AD1182" s="23">
        <f t="shared" ref="AD1182:AE1182" si="2416">AD1152</f>
        <v>20</v>
      </c>
      <c r="AE1182" s="23">
        <f t="shared" si="2416"/>
        <v>24</v>
      </c>
    </row>
    <row r="1183" spans="1:31">
      <c r="A1183" s="4">
        <v>13104</v>
      </c>
      <c r="B1183" s="4">
        <v>12</v>
      </c>
      <c r="C1183" s="19" t="s">
        <v>67</v>
      </c>
      <c r="D1183" s="44">
        <f t="shared" si="2411"/>
        <v>387</v>
      </c>
      <c r="E1183" s="18">
        <v>0</v>
      </c>
      <c r="F1183" s="18">
        <v>0</v>
      </c>
      <c r="G1183" s="18">
        <v>0</v>
      </c>
      <c r="H1183" s="45">
        <v>0</v>
      </c>
      <c r="I1183" s="21">
        <f t="shared" si="2288"/>
        <v>165</v>
      </c>
      <c r="J1183" s="21">
        <f t="shared" si="2374"/>
        <v>11</v>
      </c>
      <c r="K1183" s="21">
        <v>0</v>
      </c>
      <c r="L1183" s="20">
        <v>6</v>
      </c>
      <c r="M1183" s="20">
        <v>0</v>
      </c>
      <c r="N1183" s="20">
        <f t="shared" si="2289"/>
        <v>2400</v>
      </c>
      <c r="O1183" s="19" t="s">
        <v>67</v>
      </c>
      <c r="P1183" s="20">
        <v>9100</v>
      </c>
      <c r="Q1183" s="20">
        <f t="shared" ref="Q1183:X1183" si="2417">Q1153</f>
        <v>240</v>
      </c>
      <c r="R1183" s="20">
        <f t="shared" si="2417"/>
        <v>960</v>
      </c>
      <c r="S1183" s="20">
        <f t="shared" si="2417"/>
        <v>1680</v>
      </c>
      <c r="T1183" s="20">
        <f t="shared" si="2417"/>
        <v>2160</v>
      </c>
      <c r="U1183" s="20">
        <f t="shared" si="2417"/>
        <v>150</v>
      </c>
      <c r="V1183" s="20">
        <f t="shared" si="2417"/>
        <v>700</v>
      </c>
      <c r="W1183" s="20">
        <f t="shared" si="2417"/>
        <v>900</v>
      </c>
      <c r="X1183" s="20">
        <f t="shared" si="2417"/>
        <v>3</v>
      </c>
      <c r="Y1183" s="20">
        <f t="shared" si="2413"/>
        <v>0</v>
      </c>
      <c r="Z1183" s="22">
        <v>0</v>
      </c>
      <c r="AA1183" s="20">
        <v>0</v>
      </c>
      <c r="AB1183" s="20">
        <v>0</v>
      </c>
      <c r="AC1183" s="20">
        <v>0</v>
      </c>
      <c r="AD1183" s="23">
        <f t="shared" ref="AD1183:AE1183" si="2418">AD1153</f>
        <v>22</v>
      </c>
      <c r="AE1183" s="23">
        <f t="shared" si="2418"/>
        <v>26</v>
      </c>
    </row>
    <row r="1184" spans="1:31">
      <c r="A1184" s="4">
        <v>13104</v>
      </c>
      <c r="B1184" s="4">
        <v>13</v>
      </c>
      <c r="C1184" s="19" t="s">
        <v>68</v>
      </c>
      <c r="D1184" s="44">
        <f t="shared" si="2411"/>
        <v>421</v>
      </c>
      <c r="E1184" s="18">
        <v>0</v>
      </c>
      <c r="F1184" s="18">
        <v>0</v>
      </c>
      <c r="G1184" s="18">
        <v>0</v>
      </c>
      <c r="H1184" s="45">
        <v>0</v>
      </c>
      <c r="I1184" s="21">
        <f t="shared" si="2288"/>
        <v>220</v>
      </c>
      <c r="J1184" s="21">
        <f t="shared" si="2374"/>
        <v>12</v>
      </c>
      <c r="K1184" s="21">
        <v>0</v>
      </c>
      <c r="L1184" s="20">
        <v>6</v>
      </c>
      <c r="M1184" s="20">
        <v>0</v>
      </c>
      <c r="N1184" s="20">
        <f t="shared" si="2289"/>
        <v>2600</v>
      </c>
      <c r="O1184" s="19" t="s">
        <v>68</v>
      </c>
      <c r="P1184" s="20">
        <v>8600</v>
      </c>
      <c r="Q1184" s="20">
        <f t="shared" ref="Q1184:X1184" si="2419">Q1154</f>
        <v>260</v>
      </c>
      <c r="R1184" s="20">
        <f t="shared" si="2419"/>
        <v>1040</v>
      </c>
      <c r="S1184" s="20">
        <f t="shared" si="2419"/>
        <v>1819.9999999999998</v>
      </c>
      <c r="T1184" s="20">
        <f t="shared" si="2419"/>
        <v>2340</v>
      </c>
      <c r="U1184" s="20">
        <f t="shared" si="2419"/>
        <v>100</v>
      </c>
      <c r="V1184" s="20">
        <f t="shared" si="2419"/>
        <v>700</v>
      </c>
      <c r="W1184" s="20">
        <f t="shared" si="2419"/>
        <v>1000</v>
      </c>
      <c r="X1184" s="20">
        <f t="shared" si="2419"/>
        <v>4</v>
      </c>
      <c r="Y1184" s="20">
        <f t="shared" si="2413"/>
        <v>108</v>
      </c>
      <c r="Z1184" s="22">
        <v>0</v>
      </c>
      <c r="AA1184" s="20">
        <v>0</v>
      </c>
      <c r="AB1184" s="20">
        <v>0</v>
      </c>
      <c r="AC1184" s="20">
        <v>0</v>
      </c>
      <c r="AD1184" s="23">
        <f t="shared" ref="AD1184:AE1184" si="2420">AD1154</f>
        <v>24</v>
      </c>
      <c r="AE1184" s="23">
        <f t="shared" si="2420"/>
        <v>28</v>
      </c>
    </row>
    <row r="1185" spans="1:31">
      <c r="A1185" s="4">
        <v>13104</v>
      </c>
      <c r="B1185" s="4">
        <v>14</v>
      </c>
      <c r="C1185" s="19" t="s">
        <v>69</v>
      </c>
      <c r="D1185" s="44">
        <f t="shared" si="2411"/>
        <v>455</v>
      </c>
      <c r="E1185" s="18">
        <v>0</v>
      </c>
      <c r="F1185" s="18">
        <v>0</v>
      </c>
      <c r="G1185" s="18">
        <v>0</v>
      </c>
      <c r="H1185" s="45">
        <v>0</v>
      </c>
      <c r="I1185" s="21">
        <f t="shared" ref="I1185:I1248" si="2421">I1155</f>
        <v>220</v>
      </c>
      <c r="J1185" s="21">
        <f t="shared" si="2374"/>
        <v>13</v>
      </c>
      <c r="K1185" s="21">
        <v>0</v>
      </c>
      <c r="L1185" s="20">
        <v>6</v>
      </c>
      <c r="M1185" s="20">
        <v>0</v>
      </c>
      <c r="N1185" s="20">
        <f t="shared" ref="N1185:N1248" si="2422">N1155</f>
        <v>2800</v>
      </c>
      <c r="O1185" s="19" t="s">
        <v>69</v>
      </c>
      <c r="P1185" s="20">
        <v>6400</v>
      </c>
      <c r="Q1185" s="20">
        <f t="shared" ref="Q1185:X1185" si="2423">Q1155</f>
        <v>280</v>
      </c>
      <c r="R1185" s="20">
        <f t="shared" si="2423"/>
        <v>1120</v>
      </c>
      <c r="S1185" s="20">
        <f t="shared" si="2423"/>
        <v>1959.9999999999998</v>
      </c>
      <c r="T1185" s="20">
        <f t="shared" si="2423"/>
        <v>2520</v>
      </c>
      <c r="U1185" s="20">
        <f t="shared" si="2423"/>
        <v>100</v>
      </c>
      <c r="V1185" s="20">
        <f t="shared" si="2423"/>
        <v>400</v>
      </c>
      <c r="W1185" s="20">
        <f t="shared" si="2423"/>
        <v>1200</v>
      </c>
      <c r="X1185" s="20">
        <f t="shared" si="2423"/>
        <v>4</v>
      </c>
      <c r="Y1185" s="20">
        <f t="shared" si="2413"/>
        <v>0</v>
      </c>
      <c r="Z1185" s="22">
        <v>0</v>
      </c>
      <c r="AA1185" s="20">
        <v>0</v>
      </c>
      <c r="AB1185" s="20">
        <v>0</v>
      </c>
      <c r="AC1185" s="20">
        <v>0</v>
      </c>
      <c r="AD1185" s="23">
        <f t="shared" ref="AD1185:AE1185" si="2424">AD1155</f>
        <v>26</v>
      </c>
      <c r="AE1185" s="23">
        <f t="shared" si="2424"/>
        <v>30</v>
      </c>
    </row>
    <row r="1186" spans="1:31">
      <c r="A1186" s="4">
        <v>13104</v>
      </c>
      <c r="B1186" s="4">
        <v>15</v>
      </c>
      <c r="C1186" s="19" t="s">
        <v>70</v>
      </c>
      <c r="D1186" s="44">
        <f t="shared" si="2411"/>
        <v>493</v>
      </c>
      <c r="E1186" s="18">
        <v>0</v>
      </c>
      <c r="F1186" s="18">
        <v>0</v>
      </c>
      <c r="G1186" s="18">
        <v>0</v>
      </c>
      <c r="H1186" s="45">
        <v>0</v>
      </c>
      <c r="I1186" s="21">
        <f t="shared" si="2421"/>
        <v>220</v>
      </c>
      <c r="J1186" s="21">
        <f t="shared" si="2374"/>
        <v>14</v>
      </c>
      <c r="K1186" s="21">
        <v>0</v>
      </c>
      <c r="L1186" s="20">
        <v>6</v>
      </c>
      <c r="M1186" s="20">
        <v>0</v>
      </c>
      <c r="N1186" s="20">
        <f t="shared" si="2422"/>
        <v>4500</v>
      </c>
      <c r="O1186" s="19" t="s">
        <v>70</v>
      </c>
      <c r="P1186" s="20">
        <v>3100</v>
      </c>
      <c r="Q1186" s="20">
        <f t="shared" ref="Q1186:X1186" si="2425">Q1156</f>
        <v>450</v>
      </c>
      <c r="R1186" s="20">
        <f t="shared" si="2425"/>
        <v>1800</v>
      </c>
      <c r="S1186" s="20">
        <f t="shared" si="2425"/>
        <v>3150</v>
      </c>
      <c r="T1186" s="20">
        <f t="shared" si="2425"/>
        <v>4050</v>
      </c>
      <c r="U1186" s="20">
        <f t="shared" si="2425"/>
        <v>100</v>
      </c>
      <c r="V1186" s="20">
        <f t="shared" si="2425"/>
        <v>1000</v>
      </c>
      <c r="W1186" s="20">
        <f t="shared" si="2425"/>
        <v>600</v>
      </c>
      <c r="X1186" s="20">
        <f t="shared" si="2425"/>
        <v>4</v>
      </c>
      <c r="Y1186" s="20">
        <f t="shared" si="2413"/>
        <v>0</v>
      </c>
      <c r="Z1186" s="22">
        <v>0</v>
      </c>
      <c r="AA1186" s="20">
        <v>0</v>
      </c>
      <c r="AB1186" s="20">
        <v>0</v>
      </c>
      <c r="AC1186" s="20">
        <v>0</v>
      </c>
      <c r="AD1186" s="23">
        <f t="shared" ref="AD1186:AE1186" si="2426">AD1156</f>
        <v>28</v>
      </c>
      <c r="AE1186" s="23">
        <f t="shared" si="2426"/>
        <v>32</v>
      </c>
    </row>
    <row r="1187" spans="1:31">
      <c r="A1187" s="4">
        <v>13104</v>
      </c>
      <c r="B1187" s="4">
        <v>16</v>
      </c>
      <c r="C1187" s="19" t="s">
        <v>71</v>
      </c>
      <c r="D1187" s="44">
        <f t="shared" si="2411"/>
        <v>534</v>
      </c>
      <c r="E1187" s="18">
        <v>0</v>
      </c>
      <c r="F1187" s="18">
        <v>0</v>
      </c>
      <c r="G1187" s="18">
        <v>0</v>
      </c>
      <c r="H1187" s="45">
        <v>0</v>
      </c>
      <c r="I1187" s="21">
        <f t="shared" si="2421"/>
        <v>220</v>
      </c>
      <c r="J1187" s="21">
        <f t="shared" si="2374"/>
        <v>15</v>
      </c>
      <c r="K1187" s="21">
        <v>0</v>
      </c>
      <c r="L1187" s="20">
        <v>6</v>
      </c>
      <c r="M1187" s="20">
        <v>0</v>
      </c>
      <c r="N1187" s="20">
        <f t="shared" si="2422"/>
        <v>4800</v>
      </c>
      <c r="O1187" s="19" t="s">
        <v>71</v>
      </c>
      <c r="P1187" s="20">
        <v>1777</v>
      </c>
      <c r="Q1187" s="20">
        <f t="shared" ref="Q1187:X1187" si="2427">Q1157</f>
        <v>480</v>
      </c>
      <c r="R1187" s="20">
        <f t="shared" si="2427"/>
        <v>1920</v>
      </c>
      <c r="S1187" s="20">
        <f t="shared" si="2427"/>
        <v>3360</v>
      </c>
      <c r="T1187" s="20">
        <f t="shared" si="2427"/>
        <v>4320</v>
      </c>
      <c r="U1187" s="20">
        <f t="shared" si="2427"/>
        <v>100</v>
      </c>
      <c r="V1187" s="20">
        <f t="shared" si="2427"/>
        <v>800</v>
      </c>
      <c r="W1187" s="20">
        <f t="shared" si="2427"/>
        <v>800</v>
      </c>
      <c r="X1187" s="20">
        <f t="shared" si="2427"/>
        <v>4</v>
      </c>
      <c r="Y1187" s="20">
        <f t="shared" si="2413"/>
        <v>0</v>
      </c>
      <c r="Z1187" s="22">
        <v>0</v>
      </c>
      <c r="AA1187" s="20">
        <v>0</v>
      </c>
      <c r="AB1187" s="20">
        <v>0</v>
      </c>
      <c r="AC1187" s="20">
        <v>0</v>
      </c>
      <c r="AD1187" s="23">
        <f t="shared" ref="AD1187:AE1187" si="2428">AD1157</f>
        <v>30</v>
      </c>
      <c r="AE1187" s="23">
        <f t="shared" si="2428"/>
        <v>34</v>
      </c>
    </row>
    <row r="1188" spans="1:31">
      <c r="A1188" s="4">
        <v>13104</v>
      </c>
      <c r="B1188" s="4">
        <v>17</v>
      </c>
      <c r="C1188" s="19" t="s">
        <v>72</v>
      </c>
      <c r="D1188" s="44">
        <f t="shared" si="2411"/>
        <v>576</v>
      </c>
      <c r="E1188" s="18">
        <v>0</v>
      </c>
      <c r="F1188" s="18">
        <v>0</v>
      </c>
      <c r="G1188" s="18">
        <v>0</v>
      </c>
      <c r="H1188" s="45">
        <v>0</v>
      </c>
      <c r="I1188" s="21">
        <f t="shared" si="2421"/>
        <v>275</v>
      </c>
      <c r="J1188" s="21">
        <f t="shared" si="2374"/>
        <v>16</v>
      </c>
      <c r="K1188" s="21">
        <v>0</v>
      </c>
      <c r="L1188" s="20">
        <v>6</v>
      </c>
      <c r="M1188" s="20">
        <v>0</v>
      </c>
      <c r="N1188" s="20">
        <f t="shared" si="2422"/>
        <v>5100</v>
      </c>
      <c r="O1188" s="19" t="s">
        <v>72</v>
      </c>
      <c r="P1188" s="20">
        <v>2332</v>
      </c>
      <c r="Q1188" s="20">
        <f t="shared" ref="Q1188:X1188" si="2429">Q1158</f>
        <v>510</v>
      </c>
      <c r="R1188" s="20">
        <f t="shared" si="2429"/>
        <v>2040</v>
      </c>
      <c r="S1188" s="20">
        <f t="shared" si="2429"/>
        <v>3570</v>
      </c>
      <c r="T1188" s="20">
        <f t="shared" si="2429"/>
        <v>4590</v>
      </c>
      <c r="U1188" s="20">
        <f t="shared" si="2429"/>
        <v>80</v>
      </c>
      <c r="V1188" s="20">
        <f t="shared" si="2429"/>
        <v>800</v>
      </c>
      <c r="W1188" s="20">
        <f t="shared" si="2429"/>
        <v>600</v>
      </c>
      <c r="X1188" s="20">
        <f t="shared" si="2429"/>
        <v>5</v>
      </c>
      <c r="Y1188" s="20">
        <f t="shared" si="2413"/>
        <v>0</v>
      </c>
      <c r="Z1188" s="22">
        <v>0</v>
      </c>
      <c r="AA1188" s="20">
        <v>0</v>
      </c>
      <c r="AB1188" s="20">
        <v>0</v>
      </c>
      <c r="AC1188" s="20">
        <v>0</v>
      </c>
      <c r="AD1188" s="23">
        <f t="shared" ref="AD1188:AE1188" si="2430">AD1158</f>
        <v>32</v>
      </c>
      <c r="AE1188" s="23">
        <f t="shared" si="2430"/>
        <v>36</v>
      </c>
    </row>
    <row r="1189" spans="1:31">
      <c r="A1189" s="4">
        <v>13104</v>
      </c>
      <c r="B1189" s="4">
        <v>18</v>
      </c>
      <c r="C1189" s="19" t="s">
        <v>73</v>
      </c>
      <c r="D1189" s="44">
        <f t="shared" si="2411"/>
        <v>626</v>
      </c>
      <c r="E1189" s="18">
        <v>0</v>
      </c>
      <c r="F1189" s="18">
        <v>0</v>
      </c>
      <c r="G1189" s="18">
        <v>0</v>
      </c>
      <c r="H1189" s="45">
        <v>0</v>
      </c>
      <c r="I1189" s="21">
        <f t="shared" si="2421"/>
        <v>275</v>
      </c>
      <c r="J1189" s="21">
        <f t="shared" si="2374"/>
        <v>17</v>
      </c>
      <c r="K1189" s="21">
        <v>0</v>
      </c>
      <c r="L1189" s="20">
        <v>6</v>
      </c>
      <c r="M1189" s="20">
        <v>0</v>
      </c>
      <c r="N1189" s="20">
        <f t="shared" si="2422"/>
        <v>5400</v>
      </c>
      <c r="O1189" s="19" t="s">
        <v>73</v>
      </c>
      <c r="P1189" s="20">
        <v>1487</v>
      </c>
      <c r="Q1189" s="20">
        <f t="shared" ref="Q1189:X1189" si="2431">Q1159</f>
        <v>540</v>
      </c>
      <c r="R1189" s="20">
        <f t="shared" si="2431"/>
        <v>2160</v>
      </c>
      <c r="S1189" s="20">
        <f t="shared" si="2431"/>
        <v>3779.9999999999995</v>
      </c>
      <c r="T1189" s="20">
        <f t="shared" si="2431"/>
        <v>4860</v>
      </c>
      <c r="U1189" s="20">
        <f t="shared" si="2431"/>
        <v>100</v>
      </c>
      <c r="V1189" s="20">
        <f t="shared" si="2431"/>
        <v>600</v>
      </c>
      <c r="W1189" s="20">
        <f t="shared" si="2431"/>
        <v>300</v>
      </c>
      <c r="X1189" s="20">
        <f t="shared" si="2431"/>
        <v>5</v>
      </c>
      <c r="Y1189" s="20">
        <f t="shared" si="2413"/>
        <v>162</v>
      </c>
      <c r="Z1189" s="22">
        <v>0</v>
      </c>
      <c r="AA1189" s="20">
        <v>0</v>
      </c>
      <c r="AB1189" s="20">
        <v>0</v>
      </c>
      <c r="AC1189" s="20">
        <v>0</v>
      </c>
      <c r="AD1189" s="23">
        <f t="shared" ref="AD1189:AE1189" si="2432">AD1159</f>
        <v>34</v>
      </c>
      <c r="AE1189" s="23">
        <f t="shared" si="2432"/>
        <v>38</v>
      </c>
    </row>
    <row r="1190" spans="1:31">
      <c r="A1190" s="8">
        <v>13104</v>
      </c>
      <c r="B1190" s="8">
        <v>19</v>
      </c>
      <c r="C1190" s="19" t="s">
        <v>74</v>
      </c>
      <c r="D1190" s="44">
        <f t="shared" si="2411"/>
        <v>678</v>
      </c>
      <c r="E1190" s="18">
        <v>0</v>
      </c>
      <c r="F1190" s="18">
        <v>0</v>
      </c>
      <c r="G1190" s="18">
        <v>0</v>
      </c>
      <c r="H1190" s="45">
        <v>0</v>
      </c>
      <c r="I1190" s="21">
        <f t="shared" si="2421"/>
        <v>275</v>
      </c>
      <c r="J1190" s="21">
        <f t="shared" si="2374"/>
        <v>18</v>
      </c>
      <c r="K1190" s="21">
        <v>0</v>
      </c>
      <c r="L1190" s="20">
        <v>6</v>
      </c>
      <c r="M1190" s="20">
        <v>0</v>
      </c>
      <c r="N1190" s="20">
        <f t="shared" si="2422"/>
        <v>5700</v>
      </c>
      <c r="O1190" s="19" t="s">
        <v>74</v>
      </c>
      <c r="P1190" s="20">
        <v>1518</v>
      </c>
      <c r="Q1190" s="20">
        <f t="shared" ref="Q1190:X1190" si="2433">Q1160</f>
        <v>570</v>
      </c>
      <c r="R1190" s="20">
        <f t="shared" si="2433"/>
        <v>2280</v>
      </c>
      <c r="S1190" s="20">
        <f t="shared" si="2433"/>
        <v>3989.9999999999995</v>
      </c>
      <c r="T1190" s="20">
        <f t="shared" si="2433"/>
        <v>5130</v>
      </c>
      <c r="U1190" s="20">
        <f t="shared" si="2433"/>
        <v>100</v>
      </c>
      <c r="V1190" s="20">
        <f t="shared" si="2433"/>
        <v>500</v>
      </c>
      <c r="W1190" s="20">
        <f t="shared" si="2433"/>
        <v>400</v>
      </c>
      <c r="X1190" s="20">
        <f t="shared" si="2433"/>
        <v>5</v>
      </c>
      <c r="Y1190" s="20">
        <f t="shared" si="2413"/>
        <v>0</v>
      </c>
      <c r="Z1190" s="22">
        <v>0</v>
      </c>
      <c r="AA1190" s="20">
        <v>0</v>
      </c>
      <c r="AB1190" s="20">
        <v>0</v>
      </c>
      <c r="AC1190" s="20">
        <v>0</v>
      </c>
      <c r="AD1190" s="23">
        <f t="shared" ref="AD1190:AE1190" si="2434">AD1160</f>
        <v>36</v>
      </c>
      <c r="AE1190" s="23">
        <f t="shared" si="2434"/>
        <v>40</v>
      </c>
    </row>
    <row r="1191" spans="1:31">
      <c r="A1191" s="4">
        <v>13104</v>
      </c>
      <c r="B1191" s="4">
        <v>20</v>
      </c>
      <c r="C1191" s="19" t="s">
        <v>75</v>
      </c>
      <c r="D1191" s="44">
        <f t="shared" si="2411"/>
        <v>732</v>
      </c>
      <c r="E1191" s="18">
        <v>0</v>
      </c>
      <c r="F1191" s="18">
        <v>0</v>
      </c>
      <c r="G1191" s="18">
        <v>0</v>
      </c>
      <c r="H1191" s="45">
        <v>0</v>
      </c>
      <c r="I1191" s="21">
        <f t="shared" si="2421"/>
        <v>275</v>
      </c>
      <c r="J1191" s="21">
        <f t="shared" si="2374"/>
        <v>19</v>
      </c>
      <c r="K1191" s="21">
        <v>0</v>
      </c>
      <c r="L1191" s="20">
        <v>6</v>
      </c>
      <c r="M1191" s="20">
        <v>0</v>
      </c>
      <c r="N1191" s="20">
        <f t="shared" si="2422"/>
        <v>8000</v>
      </c>
      <c r="O1191" s="19" t="s">
        <v>75</v>
      </c>
      <c r="P1191" s="20">
        <v>861</v>
      </c>
      <c r="Q1191" s="20">
        <f t="shared" ref="Q1191:X1191" si="2435">Q1161</f>
        <v>800</v>
      </c>
      <c r="R1191" s="20">
        <f t="shared" si="2435"/>
        <v>3200</v>
      </c>
      <c r="S1191" s="20">
        <f t="shared" si="2435"/>
        <v>5600</v>
      </c>
      <c r="T1191" s="20">
        <f t="shared" si="2435"/>
        <v>7200</v>
      </c>
      <c r="U1191" s="20">
        <f t="shared" si="2435"/>
        <v>100</v>
      </c>
      <c r="V1191" s="20">
        <f t="shared" si="2435"/>
        <v>800</v>
      </c>
      <c r="W1191" s="20">
        <f t="shared" si="2435"/>
        <v>8000</v>
      </c>
      <c r="X1191" s="20">
        <f t="shared" si="2435"/>
        <v>5</v>
      </c>
      <c r="Y1191" s="20">
        <f t="shared" si="2413"/>
        <v>0</v>
      </c>
      <c r="Z1191" s="22">
        <v>0</v>
      </c>
      <c r="AA1191" s="20">
        <v>0</v>
      </c>
      <c r="AB1191" s="20">
        <v>0</v>
      </c>
      <c r="AC1191" s="20">
        <v>0</v>
      </c>
      <c r="AD1191" s="23">
        <f t="shared" ref="AD1191:AE1191" si="2436">AD1161</f>
        <v>38</v>
      </c>
      <c r="AE1191" s="23">
        <f t="shared" si="2436"/>
        <v>42</v>
      </c>
    </row>
    <row r="1192" spans="1:31">
      <c r="A1192" s="4">
        <v>13104</v>
      </c>
      <c r="B1192" s="4">
        <v>21</v>
      </c>
      <c r="C1192" s="19" t="s">
        <v>66</v>
      </c>
      <c r="D1192" s="44">
        <f t="shared" si="2411"/>
        <v>792</v>
      </c>
      <c r="E1192" s="18">
        <v>0</v>
      </c>
      <c r="F1192" s="18">
        <v>0</v>
      </c>
      <c r="G1192" s="18">
        <v>0</v>
      </c>
      <c r="H1192" s="45">
        <v>0</v>
      </c>
      <c r="I1192" s="21">
        <f t="shared" si="2421"/>
        <v>330</v>
      </c>
      <c r="J1192" s="21">
        <f t="shared" si="2374"/>
        <v>20</v>
      </c>
      <c r="K1192" s="21">
        <v>0</v>
      </c>
      <c r="L1192" s="20">
        <v>6</v>
      </c>
      <c r="M1192" s="20">
        <v>0</v>
      </c>
      <c r="N1192" s="20">
        <f t="shared" si="2422"/>
        <v>8400</v>
      </c>
      <c r="O1192" s="19" t="s">
        <v>66</v>
      </c>
      <c r="P1192" s="20">
        <v>9400</v>
      </c>
      <c r="Q1192" s="20">
        <f t="shared" ref="Q1192:X1192" si="2437">Q1162</f>
        <v>840</v>
      </c>
      <c r="R1192" s="20">
        <f t="shared" si="2437"/>
        <v>3360</v>
      </c>
      <c r="S1192" s="20">
        <f t="shared" si="2437"/>
        <v>5880</v>
      </c>
      <c r="T1192" s="20">
        <f t="shared" si="2437"/>
        <v>7560</v>
      </c>
      <c r="U1192" s="20">
        <f t="shared" si="2437"/>
        <v>50</v>
      </c>
      <c r="V1192" s="20">
        <f t="shared" si="2437"/>
        <v>1000</v>
      </c>
      <c r="W1192" s="20">
        <f t="shared" si="2437"/>
        <v>600</v>
      </c>
      <c r="X1192" s="20">
        <f t="shared" si="2437"/>
        <v>6</v>
      </c>
      <c r="Y1192" s="20">
        <f t="shared" si="2413"/>
        <v>0</v>
      </c>
      <c r="Z1192" s="22">
        <v>0</v>
      </c>
      <c r="AA1192" s="20">
        <v>0</v>
      </c>
      <c r="AB1192" s="20">
        <v>0</v>
      </c>
      <c r="AC1192" s="20">
        <v>0</v>
      </c>
      <c r="AD1192" s="23">
        <f t="shared" ref="AD1192:AE1192" si="2438">AD1162</f>
        <v>40</v>
      </c>
      <c r="AE1192" s="23">
        <f t="shared" si="2438"/>
        <v>44</v>
      </c>
    </row>
    <row r="1193" spans="1:31">
      <c r="A1193" s="4">
        <v>13104</v>
      </c>
      <c r="B1193" s="4">
        <v>22</v>
      </c>
      <c r="C1193" s="19" t="s">
        <v>67</v>
      </c>
      <c r="D1193" s="44">
        <f t="shared" si="2411"/>
        <v>858</v>
      </c>
      <c r="E1193" s="18">
        <v>0</v>
      </c>
      <c r="F1193" s="18">
        <v>0</v>
      </c>
      <c r="G1193" s="18">
        <v>0</v>
      </c>
      <c r="H1193" s="45">
        <v>0</v>
      </c>
      <c r="I1193" s="21">
        <f t="shared" si="2421"/>
        <v>330</v>
      </c>
      <c r="J1193" s="21">
        <f t="shared" si="2374"/>
        <v>21</v>
      </c>
      <c r="K1193" s="21">
        <v>0</v>
      </c>
      <c r="L1193" s="20">
        <v>6</v>
      </c>
      <c r="M1193" s="20">
        <v>0</v>
      </c>
      <c r="N1193" s="20">
        <f t="shared" si="2422"/>
        <v>8800</v>
      </c>
      <c r="O1193" s="19" t="s">
        <v>67</v>
      </c>
      <c r="P1193" s="20">
        <v>9100</v>
      </c>
      <c r="Q1193" s="20">
        <f t="shared" ref="Q1193:X1193" si="2439">Q1163</f>
        <v>880</v>
      </c>
      <c r="R1193" s="20">
        <f t="shared" si="2439"/>
        <v>3520</v>
      </c>
      <c r="S1193" s="20">
        <f t="shared" si="2439"/>
        <v>6160</v>
      </c>
      <c r="T1193" s="20">
        <f t="shared" si="2439"/>
        <v>7920</v>
      </c>
      <c r="U1193" s="20">
        <f t="shared" si="2439"/>
        <v>100</v>
      </c>
      <c r="V1193" s="20">
        <f t="shared" si="2439"/>
        <v>600</v>
      </c>
      <c r="W1193" s="20">
        <f t="shared" si="2439"/>
        <v>700</v>
      </c>
      <c r="X1193" s="20">
        <f t="shared" si="2439"/>
        <v>6</v>
      </c>
      <c r="Y1193" s="20">
        <f t="shared" si="2413"/>
        <v>0</v>
      </c>
      <c r="Z1193" s="22">
        <v>0</v>
      </c>
      <c r="AA1193" s="20">
        <v>0</v>
      </c>
      <c r="AB1193" s="20">
        <v>0</v>
      </c>
      <c r="AC1193" s="20">
        <v>0</v>
      </c>
      <c r="AD1193" s="23">
        <f t="shared" ref="AD1193:AE1193" si="2440">AD1163</f>
        <v>42</v>
      </c>
      <c r="AE1193" s="23">
        <f t="shared" si="2440"/>
        <v>46</v>
      </c>
    </row>
    <row r="1194" spans="1:31">
      <c r="A1194" s="4">
        <v>13104</v>
      </c>
      <c r="B1194" s="4">
        <v>23</v>
      </c>
      <c r="C1194" s="19" t="s">
        <v>68</v>
      </c>
      <c r="D1194" s="44">
        <f t="shared" si="2411"/>
        <v>930</v>
      </c>
      <c r="E1194" s="18">
        <v>0</v>
      </c>
      <c r="F1194" s="18">
        <v>0</v>
      </c>
      <c r="G1194" s="18">
        <v>0</v>
      </c>
      <c r="H1194" s="45">
        <v>0</v>
      </c>
      <c r="I1194" s="21">
        <f t="shared" si="2421"/>
        <v>330</v>
      </c>
      <c r="J1194" s="21">
        <f t="shared" si="2374"/>
        <v>22</v>
      </c>
      <c r="K1194" s="21">
        <v>0</v>
      </c>
      <c r="L1194" s="20">
        <v>6</v>
      </c>
      <c r="M1194" s="20">
        <v>0</v>
      </c>
      <c r="N1194" s="20">
        <f t="shared" si="2422"/>
        <v>9200</v>
      </c>
      <c r="O1194" s="19" t="s">
        <v>68</v>
      </c>
      <c r="P1194" s="20">
        <v>8600</v>
      </c>
      <c r="Q1194" s="20">
        <f t="shared" ref="Q1194:X1194" si="2441">Q1164</f>
        <v>920</v>
      </c>
      <c r="R1194" s="20">
        <f t="shared" si="2441"/>
        <v>3680</v>
      </c>
      <c r="S1194" s="20">
        <f t="shared" si="2441"/>
        <v>6440</v>
      </c>
      <c r="T1194" s="20">
        <f t="shared" si="2441"/>
        <v>8280</v>
      </c>
      <c r="U1194" s="20">
        <f t="shared" si="2441"/>
        <v>100</v>
      </c>
      <c r="V1194" s="20">
        <f t="shared" si="2441"/>
        <v>550</v>
      </c>
      <c r="W1194" s="20">
        <f t="shared" si="2441"/>
        <v>500</v>
      </c>
      <c r="X1194" s="20">
        <f t="shared" si="2441"/>
        <v>6</v>
      </c>
      <c r="Y1194" s="20">
        <f t="shared" si="2413"/>
        <v>216</v>
      </c>
      <c r="Z1194" s="22">
        <v>0</v>
      </c>
      <c r="AA1194" s="20">
        <v>0</v>
      </c>
      <c r="AB1194" s="20">
        <v>0</v>
      </c>
      <c r="AC1194" s="20">
        <v>0</v>
      </c>
      <c r="AD1194" s="23">
        <f t="shared" ref="AD1194:AE1194" si="2442">AD1164</f>
        <v>44</v>
      </c>
      <c r="AE1194" s="23">
        <f t="shared" si="2442"/>
        <v>48</v>
      </c>
    </row>
    <row r="1195" spans="1:31">
      <c r="A1195" s="4">
        <v>13104</v>
      </c>
      <c r="B1195" s="4">
        <v>24</v>
      </c>
      <c r="C1195" s="19" t="s">
        <v>69</v>
      </c>
      <c r="D1195" s="44">
        <f t="shared" si="2411"/>
        <v>1006</v>
      </c>
      <c r="E1195" s="18">
        <v>0</v>
      </c>
      <c r="F1195" s="18">
        <v>0</v>
      </c>
      <c r="G1195" s="18">
        <v>0</v>
      </c>
      <c r="H1195" s="45">
        <v>0</v>
      </c>
      <c r="I1195" s="21">
        <f t="shared" si="2421"/>
        <v>330</v>
      </c>
      <c r="J1195" s="21">
        <f t="shared" si="2374"/>
        <v>23</v>
      </c>
      <c r="K1195" s="21">
        <v>0</v>
      </c>
      <c r="L1195" s="20">
        <v>6</v>
      </c>
      <c r="M1195" s="20">
        <v>0</v>
      </c>
      <c r="N1195" s="20">
        <f t="shared" si="2422"/>
        <v>9600</v>
      </c>
      <c r="O1195" s="19" t="s">
        <v>69</v>
      </c>
      <c r="P1195" s="20">
        <v>6400</v>
      </c>
      <c r="Q1195" s="20">
        <f t="shared" ref="Q1195:X1195" si="2443">Q1165</f>
        <v>960</v>
      </c>
      <c r="R1195" s="20">
        <f t="shared" si="2443"/>
        <v>3840</v>
      </c>
      <c r="S1195" s="20">
        <f t="shared" si="2443"/>
        <v>6720</v>
      </c>
      <c r="T1195" s="20">
        <f t="shared" si="2443"/>
        <v>8640</v>
      </c>
      <c r="U1195" s="20">
        <f t="shared" si="2443"/>
        <v>100</v>
      </c>
      <c r="V1195" s="20">
        <f t="shared" si="2443"/>
        <v>500</v>
      </c>
      <c r="W1195" s="20">
        <f t="shared" si="2443"/>
        <v>900</v>
      </c>
      <c r="X1195" s="20">
        <f t="shared" si="2443"/>
        <v>6</v>
      </c>
      <c r="Y1195" s="20">
        <f t="shared" si="2413"/>
        <v>0</v>
      </c>
      <c r="Z1195" s="22">
        <v>0</v>
      </c>
      <c r="AA1195" s="20">
        <v>0</v>
      </c>
      <c r="AB1195" s="20">
        <v>0</v>
      </c>
      <c r="AC1195" s="20">
        <v>0</v>
      </c>
      <c r="AD1195" s="23">
        <f t="shared" ref="AD1195:AE1195" si="2444">AD1165</f>
        <v>46</v>
      </c>
      <c r="AE1195" s="23">
        <f t="shared" si="2444"/>
        <v>50</v>
      </c>
    </row>
    <row r="1196" spans="1:31">
      <c r="A1196" s="4">
        <v>13104</v>
      </c>
      <c r="B1196" s="4">
        <v>25</v>
      </c>
      <c r="C1196" s="19" t="s">
        <v>70</v>
      </c>
      <c r="D1196" s="44">
        <f t="shared" si="2411"/>
        <v>1089</v>
      </c>
      <c r="E1196" s="18">
        <v>0</v>
      </c>
      <c r="F1196" s="18">
        <v>0</v>
      </c>
      <c r="G1196" s="18">
        <v>0</v>
      </c>
      <c r="H1196" s="45">
        <v>0</v>
      </c>
      <c r="I1196" s="21">
        <f t="shared" si="2421"/>
        <v>385</v>
      </c>
      <c r="J1196" s="21">
        <f t="shared" si="2374"/>
        <v>24</v>
      </c>
      <c r="K1196" s="21">
        <v>0</v>
      </c>
      <c r="L1196" s="20">
        <v>6</v>
      </c>
      <c r="M1196" s="20">
        <v>0</v>
      </c>
      <c r="N1196" s="20">
        <f t="shared" si="2422"/>
        <v>12500</v>
      </c>
      <c r="O1196" s="19" t="s">
        <v>70</v>
      </c>
      <c r="P1196" s="20">
        <v>3100</v>
      </c>
      <c r="Q1196" s="20">
        <f t="shared" ref="Q1196:X1196" si="2445">Q1166</f>
        <v>1250</v>
      </c>
      <c r="R1196" s="20">
        <f t="shared" si="2445"/>
        <v>5000</v>
      </c>
      <c r="S1196" s="20">
        <f t="shared" si="2445"/>
        <v>8750</v>
      </c>
      <c r="T1196" s="20">
        <f t="shared" si="2445"/>
        <v>11250</v>
      </c>
      <c r="U1196" s="20">
        <f t="shared" si="2445"/>
        <v>10</v>
      </c>
      <c r="V1196" s="20">
        <f t="shared" si="2445"/>
        <v>1300</v>
      </c>
      <c r="W1196" s="20">
        <f t="shared" si="2445"/>
        <v>1000</v>
      </c>
      <c r="X1196" s="20">
        <f t="shared" si="2445"/>
        <v>7</v>
      </c>
      <c r="Y1196" s="20">
        <f t="shared" si="2413"/>
        <v>0</v>
      </c>
      <c r="Z1196" s="22">
        <v>0</v>
      </c>
      <c r="AA1196" s="20">
        <v>0</v>
      </c>
      <c r="AB1196" s="20">
        <v>0</v>
      </c>
      <c r="AC1196" s="20">
        <v>0</v>
      </c>
      <c r="AD1196" s="23">
        <f t="shared" ref="AD1196:AE1196" si="2446">AD1166</f>
        <v>48</v>
      </c>
      <c r="AE1196" s="23">
        <f t="shared" si="2446"/>
        <v>52</v>
      </c>
    </row>
    <row r="1197" spans="1:31">
      <c r="A1197" s="4">
        <v>13104</v>
      </c>
      <c r="B1197" s="4">
        <v>26</v>
      </c>
      <c r="C1197" s="19" t="s">
        <v>71</v>
      </c>
      <c r="D1197" s="44">
        <f t="shared" si="2411"/>
        <v>1179</v>
      </c>
      <c r="E1197" s="18">
        <v>0</v>
      </c>
      <c r="F1197" s="18">
        <v>0</v>
      </c>
      <c r="G1197" s="18">
        <v>0</v>
      </c>
      <c r="H1197" s="45">
        <v>0</v>
      </c>
      <c r="I1197" s="21">
        <f t="shared" si="2421"/>
        <v>385</v>
      </c>
      <c r="J1197" s="21">
        <f t="shared" si="2374"/>
        <v>25</v>
      </c>
      <c r="K1197" s="21">
        <v>0</v>
      </c>
      <c r="L1197" s="20">
        <v>6</v>
      </c>
      <c r="M1197" s="20">
        <v>0</v>
      </c>
      <c r="N1197" s="20">
        <f t="shared" si="2422"/>
        <v>13000</v>
      </c>
      <c r="O1197" s="19" t="s">
        <v>71</v>
      </c>
      <c r="P1197" s="20">
        <v>1777</v>
      </c>
      <c r="Q1197" s="20">
        <f t="shared" ref="Q1197:X1197" si="2447">Q1167</f>
        <v>1300</v>
      </c>
      <c r="R1197" s="20">
        <f t="shared" si="2447"/>
        <v>5200</v>
      </c>
      <c r="S1197" s="20">
        <f t="shared" si="2447"/>
        <v>9100</v>
      </c>
      <c r="T1197" s="20">
        <f t="shared" si="2447"/>
        <v>11700</v>
      </c>
      <c r="U1197" s="20">
        <f t="shared" si="2447"/>
        <v>90</v>
      </c>
      <c r="V1197" s="20">
        <f t="shared" si="2447"/>
        <v>800</v>
      </c>
      <c r="W1197" s="20">
        <f t="shared" si="2447"/>
        <v>2000</v>
      </c>
      <c r="X1197" s="20">
        <f t="shared" si="2447"/>
        <v>7</v>
      </c>
      <c r="Y1197" s="20">
        <f t="shared" si="2413"/>
        <v>0</v>
      </c>
      <c r="Z1197" s="22">
        <v>0</v>
      </c>
      <c r="AA1197" s="20">
        <v>0</v>
      </c>
      <c r="AB1197" s="20">
        <v>0</v>
      </c>
      <c r="AC1197" s="20">
        <v>0</v>
      </c>
      <c r="AD1197" s="23">
        <f t="shared" ref="AD1197:AE1197" si="2448">AD1167</f>
        <v>50</v>
      </c>
      <c r="AE1197" s="23">
        <f t="shared" si="2448"/>
        <v>54</v>
      </c>
    </row>
    <row r="1198" spans="1:31">
      <c r="A1198" s="4">
        <v>13104</v>
      </c>
      <c r="B1198" s="4">
        <v>27</v>
      </c>
      <c r="C1198" s="19" t="s">
        <v>72</v>
      </c>
      <c r="D1198" s="44">
        <f t="shared" si="2411"/>
        <v>1276</v>
      </c>
      <c r="E1198" s="18">
        <v>0</v>
      </c>
      <c r="F1198" s="18">
        <v>0</v>
      </c>
      <c r="G1198" s="18">
        <v>0</v>
      </c>
      <c r="H1198" s="45">
        <v>0</v>
      </c>
      <c r="I1198" s="21">
        <f t="shared" si="2421"/>
        <v>385</v>
      </c>
      <c r="J1198" s="21">
        <f t="shared" si="2374"/>
        <v>26</v>
      </c>
      <c r="K1198" s="21">
        <v>0</v>
      </c>
      <c r="L1198" s="20">
        <v>6</v>
      </c>
      <c r="M1198" s="20">
        <v>0</v>
      </c>
      <c r="N1198" s="20">
        <f t="shared" si="2422"/>
        <v>13500</v>
      </c>
      <c r="O1198" s="19" t="s">
        <v>72</v>
      </c>
      <c r="P1198" s="20">
        <v>2332</v>
      </c>
      <c r="Q1198" s="20">
        <f t="shared" ref="Q1198:X1198" si="2449">Q1168</f>
        <v>1350</v>
      </c>
      <c r="R1198" s="20">
        <f t="shared" si="2449"/>
        <v>5400</v>
      </c>
      <c r="S1198" s="20">
        <f t="shared" si="2449"/>
        <v>9450</v>
      </c>
      <c r="T1198" s="20">
        <f t="shared" si="2449"/>
        <v>12150</v>
      </c>
      <c r="U1198" s="20">
        <f t="shared" si="2449"/>
        <v>80</v>
      </c>
      <c r="V1198" s="20">
        <f t="shared" si="2449"/>
        <v>700</v>
      </c>
      <c r="W1198" s="20">
        <f t="shared" si="2449"/>
        <v>800</v>
      </c>
      <c r="X1198" s="20">
        <f t="shared" si="2449"/>
        <v>7</v>
      </c>
      <c r="Y1198" s="20">
        <f t="shared" si="2413"/>
        <v>0</v>
      </c>
      <c r="Z1198" s="22">
        <v>0</v>
      </c>
      <c r="AA1198" s="20">
        <v>0</v>
      </c>
      <c r="AB1198" s="20">
        <v>0</v>
      </c>
      <c r="AC1198" s="20">
        <v>0</v>
      </c>
      <c r="AD1198" s="23">
        <f t="shared" ref="AD1198:AE1198" si="2450">AD1168</f>
        <v>52</v>
      </c>
      <c r="AE1198" s="23">
        <f t="shared" si="2450"/>
        <v>56</v>
      </c>
    </row>
    <row r="1199" spans="1:31">
      <c r="A1199" s="4">
        <v>13104</v>
      </c>
      <c r="B1199" s="4">
        <v>28</v>
      </c>
      <c r="C1199" s="19" t="s">
        <v>73</v>
      </c>
      <c r="D1199" s="44">
        <f t="shared" si="2411"/>
        <v>1382</v>
      </c>
      <c r="E1199" s="18">
        <v>0</v>
      </c>
      <c r="F1199" s="18">
        <v>0</v>
      </c>
      <c r="G1199" s="18">
        <v>0</v>
      </c>
      <c r="H1199" s="45">
        <v>0</v>
      </c>
      <c r="I1199" s="21">
        <f t="shared" si="2421"/>
        <v>385</v>
      </c>
      <c r="J1199" s="21">
        <f t="shared" si="2374"/>
        <v>27</v>
      </c>
      <c r="K1199" s="21">
        <v>0</v>
      </c>
      <c r="L1199" s="20">
        <v>6</v>
      </c>
      <c r="M1199" s="20">
        <v>0</v>
      </c>
      <c r="N1199" s="20">
        <f t="shared" si="2422"/>
        <v>14000</v>
      </c>
      <c r="O1199" s="19" t="s">
        <v>73</v>
      </c>
      <c r="P1199" s="20">
        <v>1487</v>
      </c>
      <c r="Q1199" s="20">
        <f t="shared" ref="Q1199:X1199" si="2451">Q1169</f>
        <v>1400</v>
      </c>
      <c r="R1199" s="20">
        <f t="shared" si="2451"/>
        <v>5600</v>
      </c>
      <c r="S1199" s="20">
        <f t="shared" si="2451"/>
        <v>9800</v>
      </c>
      <c r="T1199" s="20">
        <f t="shared" si="2451"/>
        <v>12600</v>
      </c>
      <c r="U1199" s="20">
        <f t="shared" si="2451"/>
        <v>80</v>
      </c>
      <c r="V1199" s="20">
        <f t="shared" si="2451"/>
        <v>500</v>
      </c>
      <c r="W1199" s="20">
        <f t="shared" si="2451"/>
        <v>600</v>
      </c>
      <c r="X1199" s="20">
        <f t="shared" si="2451"/>
        <v>7</v>
      </c>
      <c r="Y1199" s="20">
        <f t="shared" si="2413"/>
        <v>270</v>
      </c>
      <c r="Z1199" s="22">
        <v>0</v>
      </c>
      <c r="AA1199" s="20">
        <v>0</v>
      </c>
      <c r="AB1199" s="20">
        <v>0</v>
      </c>
      <c r="AC1199" s="20">
        <v>0</v>
      </c>
      <c r="AD1199" s="23">
        <f t="shared" ref="AD1199:AE1199" si="2452">AD1169</f>
        <v>54</v>
      </c>
      <c r="AE1199" s="23">
        <f t="shared" si="2452"/>
        <v>58</v>
      </c>
    </row>
    <row r="1200" spans="1:31">
      <c r="A1200" s="4">
        <v>13104</v>
      </c>
      <c r="B1200" s="4">
        <v>29</v>
      </c>
      <c r="C1200" s="19" t="s">
        <v>74</v>
      </c>
      <c r="D1200" s="44">
        <f t="shared" si="2411"/>
        <v>1497</v>
      </c>
      <c r="E1200" s="18">
        <v>0</v>
      </c>
      <c r="F1200" s="18">
        <v>0</v>
      </c>
      <c r="G1200" s="18">
        <v>0</v>
      </c>
      <c r="H1200" s="45">
        <v>0</v>
      </c>
      <c r="I1200" s="21">
        <f t="shared" si="2421"/>
        <v>440</v>
      </c>
      <c r="J1200" s="21">
        <f t="shared" si="2374"/>
        <v>28</v>
      </c>
      <c r="K1200" s="21">
        <v>0</v>
      </c>
      <c r="L1200" s="20">
        <v>6</v>
      </c>
      <c r="M1200" s="20">
        <v>0</v>
      </c>
      <c r="N1200" s="20">
        <f t="shared" si="2422"/>
        <v>14500</v>
      </c>
      <c r="O1200" s="19" t="s">
        <v>74</v>
      </c>
      <c r="P1200" s="20">
        <v>1518</v>
      </c>
      <c r="Q1200" s="20">
        <f t="shared" ref="Q1200:X1200" si="2453">Q1170</f>
        <v>1450</v>
      </c>
      <c r="R1200" s="20">
        <f t="shared" si="2453"/>
        <v>5800</v>
      </c>
      <c r="S1200" s="20">
        <f t="shared" si="2453"/>
        <v>10150</v>
      </c>
      <c r="T1200" s="20">
        <f t="shared" si="2453"/>
        <v>13050</v>
      </c>
      <c r="U1200" s="20">
        <f t="shared" si="2453"/>
        <v>80</v>
      </c>
      <c r="V1200" s="20">
        <f t="shared" si="2453"/>
        <v>600</v>
      </c>
      <c r="W1200" s="20">
        <f t="shared" si="2453"/>
        <v>700</v>
      </c>
      <c r="X1200" s="20">
        <f t="shared" si="2453"/>
        <v>8</v>
      </c>
      <c r="Y1200" s="20">
        <f t="shared" si="2413"/>
        <v>0</v>
      </c>
      <c r="Z1200" s="22">
        <v>0</v>
      </c>
      <c r="AA1200" s="20">
        <v>0</v>
      </c>
      <c r="AB1200" s="20">
        <v>0</v>
      </c>
      <c r="AC1200" s="20">
        <v>0</v>
      </c>
      <c r="AD1200" s="23">
        <f t="shared" ref="AD1200:AE1200" si="2454">AD1170</f>
        <v>56</v>
      </c>
      <c r="AE1200" s="23">
        <f t="shared" si="2454"/>
        <v>60</v>
      </c>
    </row>
    <row r="1201" spans="1:31">
      <c r="A1201" s="4">
        <v>13104</v>
      </c>
      <c r="B1201" s="4">
        <v>30</v>
      </c>
      <c r="C1201" s="19" t="s">
        <v>75</v>
      </c>
      <c r="D1201" s="44">
        <f t="shared" si="2411"/>
        <v>1620</v>
      </c>
      <c r="E1201" s="18">
        <v>0</v>
      </c>
      <c r="F1201" s="18">
        <v>0</v>
      </c>
      <c r="G1201" s="18">
        <v>0</v>
      </c>
      <c r="H1201" s="45">
        <v>0</v>
      </c>
      <c r="I1201" s="21">
        <f t="shared" si="2421"/>
        <v>440</v>
      </c>
      <c r="J1201" s="21">
        <f t="shared" si="2374"/>
        <v>29</v>
      </c>
      <c r="K1201" s="21">
        <v>0</v>
      </c>
      <c r="L1201" s="20">
        <v>6</v>
      </c>
      <c r="M1201" s="20">
        <v>0</v>
      </c>
      <c r="N1201" s="20">
        <f t="shared" si="2422"/>
        <v>15000</v>
      </c>
      <c r="O1201" s="19" t="s">
        <v>75</v>
      </c>
      <c r="P1201" s="20">
        <v>861</v>
      </c>
      <c r="Q1201" s="20">
        <f t="shared" ref="Q1201:X1201" si="2455">Q1171</f>
        <v>1500</v>
      </c>
      <c r="R1201" s="20">
        <f t="shared" si="2455"/>
        <v>6000</v>
      </c>
      <c r="S1201" s="20">
        <f t="shared" si="2455"/>
        <v>10500</v>
      </c>
      <c r="T1201" s="20">
        <f t="shared" si="2455"/>
        <v>13500</v>
      </c>
      <c r="U1201" s="20">
        <f t="shared" si="2455"/>
        <v>20</v>
      </c>
      <c r="V1201" s="20">
        <f t="shared" si="2455"/>
        <v>450</v>
      </c>
      <c r="W1201" s="20">
        <f t="shared" si="2455"/>
        <v>1000</v>
      </c>
      <c r="X1201" s="20">
        <f t="shared" si="2455"/>
        <v>8</v>
      </c>
      <c r="Y1201" s="20">
        <f t="shared" si="2413"/>
        <v>0</v>
      </c>
      <c r="Z1201" s="22">
        <v>0</v>
      </c>
      <c r="AA1201" s="20">
        <v>0</v>
      </c>
      <c r="AB1201" s="20">
        <v>0</v>
      </c>
      <c r="AC1201" s="20">
        <v>0</v>
      </c>
      <c r="AD1201" s="23">
        <f t="shared" ref="AD1201:AE1201" si="2456">AD1171</f>
        <v>58</v>
      </c>
      <c r="AE1201" s="23">
        <f t="shared" si="2456"/>
        <v>62</v>
      </c>
    </row>
    <row r="1202" spans="1:31">
      <c r="A1202" s="8">
        <v>13200</v>
      </c>
      <c r="B1202" s="8">
        <v>1</v>
      </c>
      <c r="C1202" s="19" t="s">
        <v>66</v>
      </c>
      <c r="D1202" s="44">
        <v>0</v>
      </c>
      <c r="E1202" s="18">
        <f>D1052</f>
        <v>36</v>
      </c>
      <c r="F1202" s="18">
        <v>0</v>
      </c>
      <c r="G1202" s="18">
        <v>0</v>
      </c>
      <c r="H1202" s="45">
        <v>0</v>
      </c>
      <c r="I1202" s="21">
        <f t="shared" si="2421"/>
        <v>55</v>
      </c>
      <c r="J1202" s="21">
        <f t="shared" si="2374"/>
        <v>0</v>
      </c>
      <c r="K1202" s="21">
        <v>0</v>
      </c>
      <c r="L1202" s="20">
        <v>45</v>
      </c>
      <c r="M1202" s="20">
        <v>0</v>
      </c>
      <c r="N1202" s="20">
        <f t="shared" si="2422"/>
        <v>10</v>
      </c>
      <c r="O1202" s="19" t="s">
        <v>66</v>
      </c>
      <c r="P1202" s="20">
        <v>9400</v>
      </c>
      <c r="Q1202" s="20">
        <f t="shared" ref="Q1202:X1202" si="2457">Q1172</f>
        <v>1</v>
      </c>
      <c r="R1202" s="20">
        <f t="shared" si="2457"/>
        <v>4</v>
      </c>
      <c r="S1202" s="20">
        <f t="shared" si="2457"/>
        <v>7</v>
      </c>
      <c r="T1202" s="20">
        <f t="shared" si="2457"/>
        <v>9</v>
      </c>
      <c r="U1202" s="20">
        <f t="shared" si="2457"/>
        <v>9400</v>
      </c>
      <c r="V1202" s="20">
        <f t="shared" si="2457"/>
        <v>9400</v>
      </c>
      <c r="W1202" s="20">
        <f t="shared" si="2457"/>
        <v>9400</v>
      </c>
      <c r="X1202" s="20">
        <f t="shared" si="2457"/>
        <v>1</v>
      </c>
      <c r="Y1202" s="20">
        <v>0</v>
      </c>
      <c r="Z1202" s="20">
        <f>Y1052</f>
        <v>0</v>
      </c>
      <c r="AA1202" s="20">
        <v>0</v>
      </c>
      <c r="AB1202" s="20">
        <v>0</v>
      </c>
      <c r="AC1202" s="20">
        <v>0</v>
      </c>
      <c r="AD1202" s="23">
        <f t="shared" ref="AD1202:AE1202" si="2458">AD1172</f>
        <v>1</v>
      </c>
      <c r="AE1202" s="23">
        <f t="shared" si="2458"/>
        <v>3</v>
      </c>
    </row>
    <row r="1203" spans="1:31">
      <c r="A1203" s="4">
        <v>13200</v>
      </c>
      <c r="B1203" s="4">
        <v>2</v>
      </c>
      <c r="C1203" s="19" t="s">
        <v>67</v>
      </c>
      <c r="D1203" s="44">
        <v>0</v>
      </c>
      <c r="E1203" s="18">
        <f t="shared" ref="E1203:E1266" si="2459">D1053</f>
        <v>39</v>
      </c>
      <c r="F1203" s="18">
        <v>0</v>
      </c>
      <c r="G1203" s="18">
        <v>0</v>
      </c>
      <c r="H1203" s="45">
        <v>0</v>
      </c>
      <c r="I1203" s="21">
        <f t="shared" si="2421"/>
        <v>55</v>
      </c>
      <c r="J1203" s="21">
        <f t="shared" si="2374"/>
        <v>1</v>
      </c>
      <c r="K1203" s="21">
        <v>0</v>
      </c>
      <c r="L1203" s="20">
        <v>40</v>
      </c>
      <c r="M1203" s="20">
        <v>0</v>
      </c>
      <c r="N1203" s="20">
        <f t="shared" si="2422"/>
        <v>20</v>
      </c>
      <c r="O1203" s="19" t="s">
        <v>67</v>
      </c>
      <c r="P1203" s="20">
        <v>9100</v>
      </c>
      <c r="Q1203" s="20">
        <f t="shared" ref="Q1203:X1203" si="2460">Q1173</f>
        <v>2</v>
      </c>
      <c r="R1203" s="20">
        <f t="shared" si="2460"/>
        <v>8</v>
      </c>
      <c r="S1203" s="20">
        <f t="shared" si="2460"/>
        <v>14</v>
      </c>
      <c r="T1203" s="20">
        <f t="shared" si="2460"/>
        <v>18</v>
      </c>
      <c r="U1203" s="20">
        <f t="shared" si="2460"/>
        <v>4000</v>
      </c>
      <c r="V1203" s="20">
        <f t="shared" si="2460"/>
        <v>8000</v>
      </c>
      <c r="W1203" s="20">
        <f t="shared" si="2460"/>
        <v>8000</v>
      </c>
      <c r="X1203" s="20">
        <f t="shared" si="2460"/>
        <v>1</v>
      </c>
      <c r="Y1203" s="20">
        <v>0</v>
      </c>
      <c r="Z1203" s="20">
        <f t="shared" ref="Z1203:Z1266" si="2461">Y1053</f>
        <v>0</v>
      </c>
      <c r="AA1203" s="20">
        <v>0</v>
      </c>
      <c r="AB1203" s="20">
        <v>0</v>
      </c>
      <c r="AC1203" s="20">
        <v>0</v>
      </c>
      <c r="AD1203" s="23">
        <f t="shared" ref="AD1203:AE1203" si="2462">AD1173</f>
        <v>2</v>
      </c>
      <c r="AE1203" s="23">
        <f t="shared" si="2462"/>
        <v>5</v>
      </c>
    </row>
    <row r="1204" spans="1:31">
      <c r="A1204" s="4">
        <v>13200</v>
      </c>
      <c r="B1204" s="4">
        <v>3</v>
      </c>
      <c r="C1204" s="19" t="s">
        <v>68</v>
      </c>
      <c r="D1204" s="44">
        <v>0</v>
      </c>
      <c r="E1204" s="18">
        <f t="shared" si="2459"/>
        <v>42</v>
      </c>
      <c r="F1204" s="18">
        <v>0</v>
      </c>
      <c r="G1204" s="18">
        <v>0</v>
      </c>
      <c r="H1204" s="45">
        <v>0</v>
      </c>
      <c r="I1204" s="21">
        <f t="shared" si="2421"/>
        <v>55</v>
      </c>
      <c r="J1204" s="21">
        <f t="shared" si="2374"/>
        <v>2</v>
      </c>
      <c r="K1204" s="21">
        <v>0</v>
      </c>
      <c r="L1204" s="20">
        <v>35</v>
      </c>
      <c r="M1204" s="20">
        <v>0</v>
      </c>
      <c r="N1204" s="20">
        <f t="shared" si="2422"/>
        <v>40</v>
      </c>
      <c r="O1204" s="19" t="s">
        <v>68</v>
      </c>
      <c r="P1204" s="20">
        <v>8600</v>
      </c>
      <c r="Q1204" s="20">
        <f t="shared" ref="Q1204:X1204" si="2463">Q1174</f>
        <v>4</v>
      </c>
      <c r="R1204" s="20">
        <f t="shared" si="2463"/>
        <v>16</v>
      </c>
      <c r="S1204" s="20">
        <f t="shared" si="2463"/>
        <v>28</v>
      </c>
      <c r="T1204" s="20">
        <f t="shared" si="2463"/>
        <v>36</v>
      </c>
      <c r="U1204" s="20">
        <f t="shared" si="2463"/>
        <v>1600</v>
      </c>
      <c r="V1204" s="20">
        <f t="shared" si="2463"/>
        <v>5000</v>
      </c>
      <c r="W1204" s="20">
        <f t="shared" si="2463"/>
        <v>6000</v>
      </c>
      <c r="X1204" s="20">
        <f t="shared" si="2463"/>
        <v>1</v>
      </c>
      <c r="Y1204" s="20">
        <v>0</v>
      </c>
      <c r="Z1204" s="20">
        <f t="shared" si="2461"/>
        <v>0</v>
      </c>
      <c r="AA1204" s="20">
        <v>0</v>
      </c>
      <c r="AB1204" s="20">
        <v>0</v>
      </c>
      <c r="AC1204" s="20">
        <v>0</v>
      </c>
      <c r="AD1204" s="23">
        <f t="shared" ref="AD1204:AE1204" si="2464">AD1174</f>
        <v>4</v>
      </c>
      <c r="AE1204" s="23">
        <f t="shared" si="2464"/>
        <v>8</v>
      </c>
    </row>
    <row r="1205" spans="1:31">
      <c r="A1205" s="4">
        <v>13200</v>
      </c>
      <c r="B1205" s="4">
        <v>4</v>
      </c>
      <c r="C1205" s="19" t="s">
        <v>69</v>
      </c>
      <c r="D1205" s="44">
        <v>0</v>
      </c>
      <c r="E1205" s="18">
        <f t="shared" si="2459"/>
        <v>46</v>
      </c>
      <c r="F1205" s="18">
        <v>0</v>
      </c>
      <c r="G1205" s="18">
        <v>0</v>
      </c>
      <c r="H1205" s="45">
        <v>0</v>
      </c>
      <c r="I1205" s="21">
        <f t="shared" si="2421"/>
        <v>55</v>
      </c>
      <c r="J1205" s="21">
        <f t="shared" si="2374"/>
        <v>3</v>
      </c>
      <c r="K1205" s="21">
        <v>0</v>
      </c>
      <c r="L1205" s="20">
        <v>30</v>
      </c>
      <c r="M1205" s="20">
        <v>0</v>
      </c>
      <c r="N1205" s="20">
        <f t="shared" si="2422"/>
        <v>100</v>
      </c>
      <c r="O1205" s="19" t="s">
        <v>69</v>
      </c>
      <c r="P1205" s="20">
        <v>6400</v>
      </c>
      <c r="Q1205" s="20">
        <f t="shared" ref="Q1205:X1205" si="2465">Q1175</f>
        <v>10</v>
      </c>
      <c r="R1205" s="20">
        <f t="shared" si="2465"/>
        <v>40</v>
      </c>
      <c r="S1205" s="20">
        <f t="shared" si="2465"/>
        <v>70</v>
      </c>
      <c r="T1205" s="20">
        <f t="shared" si="2465"/>
        <v>90</v>
      </c>
      <c r="U1205" s="20">
        <f t="shared" si="2465"/>
        <v>900</v>
      </c>
      <c r="V1205" s="20">
        <f t="shared" si="2465"/>
        <v>2000</v>
      </c>
      <c r="W1205" s="20">
        <f t="shared" si="2465"/>
        <v>8000</v>
      </c>
      <c r="X1205" s="20">
        <f t="shared" si="2465"/>
        <v>1</v>
      </c>
      <c r="Y1205" s="20">
        <v>0</v>
      </c>
      <c r="Z1205" s="20">
        <f t="shared" si="2461"/>
        <v>0</v>
      </c>
      <c r="AA1205" s="20">
        <v>0</v>
      </c>
      <c r="AB1205" s="20">
        <v>0</v>
      </c>
      <c r="AC1205" s="20">
        <v>0</v>
      </c>
      <c r="AD1205" s="23">
        <f t="shared" ref="AD1205:AE1205" si="2466">AD1175</f>
        <v>6</v>
      </c>
      <c r="AE1205" s="23">
        <f t="shared" si="2466"/>
        <v>10</v>
      </c>
    </row>
    <row r="1206" spans="1:31">
      <c r="A1206" s="4">
        <v>13200</v>
      </c>
      <c r="B1206" s="4">
        <v>5</v>
      </c>
      <c r="C1206" s="19" t="s">
        <v>70</v>
      </c>
      <c r="D1206" s="44">
        <v>0</v>
      </c>
      <c r="E1206" s="18">
        <f t="shared" si="2459"/>
        <v>50</v>
      </c>
      <c r="F1206" s="18">
        <v>0</v>
      </c>
      <c r="G1206" s="18">
        <v>0</v>
      </c>
      <c r="H1206" s="45">
        <v>0</v>
      </c>
      <c r="I1206" s="21">
        <f t="shared" si="2421"/>
        <v>110</v>
      </c>
      <c r="J1206" s="21">
        <f t="shared" si="2374"/>
        <v>4</v>
      </c>
      <c r="K1206" s="21">
        <v>0</v>
      </c>
      <c r="L1206" s="20">
        <v>25</v>
      </c>
      <c r="M1206" s="20">
        <v>0</v>
      </c>
      <c r="N1206" s="20">
        <f t="shared" si="2422"/>
        <v>200</v>
      </c>
      <c r="O1206" s="19" t="s">
        <v>70</v>
      </c>
      <c r="P1206" s="20">
        <v>3100</v>
      </c>
      <c r="Q1206" s="20">
        <f t="shared" ref="Q1206:X1206" si="2467">Q1176</f>
        <v>20</v>
      </c>
      <c r="R1206" s="20">
        <f t="shared" si="2467"/>
        <v>80</v>
      </c>
      <c r="S1206" s="20">
        <f t="shared" si="2467"/>
        <v>140</v>
      </c>
      <c r="T1206" s="20">
        <f t="shared" si="2467"/>
        <v>180</v>
      </c>
      <c r="U1206" s="20">
        <f t="shared" si="2467"/>
        <v>1000</v>
      </c>
      <c r="V1206" s="20">
        <f t="shared" si="2467"/>
        <v>2000</v>
      </c>
      <c r="W1206" s="20">
        <f t="shared" si="2467"/>
        <v>2000</v>
      </c>
      <c r="X1206" s="20">
        <f t="shared" si="2467"/>
        <v>2</v>
      </c>
      <c r="Y1206" s="20">
        <v>0</v>
      </c>
      <c r="Z1206" s="20">
        <f t="shared" si="2461"/>
        <v>0</v>
      </c>
      <c r="AA1206" s="20">
        <v>0</v>
      </c>
      <c r="AB1206" s="20">
        <v>0</v>
      </c>
      <c r="AC1206" s="20">
        <v>0</v>
      </c>
      <c r="AD1206" s="23">
        <f t="shared" ref="AD1206:AE1206" si="2468">AD1176</f>
        <v>8</v>
      </c>
      <c r="AE1206" s="23">
        <f t="shared" si="2468"/>
        <v>12</v>
      </c>
    </row>
    <row r="1207" spans="1:31">
      <c r="A1207" s="4">
        <v>13200</v>
      </c>
      <c r="B1207" s="4">
        <v>6</v>
      </c>
      <c r="C1207" s="19" t="s">
        <v>71</v>
      </c>
      <c r="D1207" s="44">
        <v>0</v>
      </c>
      <c r="E1207" s="18">
        <f t="shared" si="2459"/>
        <v>54</v>
      </c>
      <c r="F1207" s="18">
        <v>0</v>
      </c>
      <c r="G1207" s="18">
        <v>0</v>
      </c>
      <c r="H1207" s="45">
        <v>0</v>
      </c>
      <c r="I1207" s="21">
        <f t="shared" si="2421"/>
        <v>110</v>
      </c>
      <c r="J1207" s="21">
        <f t="shared" si="2374"/>
        <v>5</v>
      </c>
      <c r="K1207" s="21">
        <v>0</v>
      </c>
      <c r="L1207" s="20">
        <v>20</v>
      </c>
      <c r="M1207" s="20">
        <v>0</v>
      </c>
      <c r="N1207" s="20">
        <f t="shared" si="2422"/>
        <v>500</v>
      </c>
      <c r="O1207" s="19" t="s">
        <v>71</v>
      </c>
      <c r="P1207" s="20">
        <v>1777</v>
      </c>
      <c r="Q1207" s="20">
        <f t="shared" ref="Q1207:X1207" si="2469">Q1177</f>
        <v>50</v>
      </c>
      <c r="R1207" s="20">
        <f t="shared" si="2469"/>
        <v>200</v>
      </c>
      <c r="S1207" s="20">
        <f t="shared" si="2469"/>
        <v>350</v>
      </c>
      <c r="T1207" s="20">
        <f t="shared" si="2469"/>
        <v>450</v>
      </c>
      <c r="U1207" s="20">
        <f t="shared" si="2469"/>
        <v>800</v>
      </c>
      <c r="V1207" s="20">
        <f t="shared" si="2469"/>
        <v>800</v>
      </c>
      <c r="W1207" s="20">
        <f t="shared" si="2469"/>
        <v>600</v>
      </c>
      <c r="X1207" s="20">
        <f t="shared" si="2469"/>
        <v>2</v>
      </c>
      <c r="Y1207" s="20">
        <v>0</v>
      </c>
      <c r="Z1207" s="20">
        <f t="shared" si="2461"/>
        <v>0</v>
      </c>
      <c r="AA1207" s="20">
        <v>0</v>
      </c>
      <c r="AB1207" s="20">
        <v>0</v>
      </c>
      <c r="AC1207" s="20">
        <v>0</v>
      </c>
      <c r="AD1207" s="23">
        <f t="shared" ref="AD1207:AE1207" si="2470">AD1177</f>
        <v>10</v>
      </c>
      <c r="AE1207" s="23">
        <f t="shared" si="2470"/>
        <v>14</v>
      </c>
    </row>
    <row r="1208" spans="1:31">
      <c r="A1208" s="4">
        <v>13200</v>
      </c>
      <c r="B1208" s="4">
        <v>7</v>
      </c>
      <c r="C1208" s="19" t="s">
        <v>72</v>
      </c>
      <c r="D1208" s="44">
        <v>0</v>
      </c>
      <c r="E1208" s="18">
        <f t="shared" si="2459"/>
        <v>58</v>
      </c>
      <c r="F1208" s="18">
        <v>0</v>
      </c>
      <c r="G1208" s="18">
        <v>0</v>
      </c>
      <c r="H1208" s="45">
        <v>0</v>
      </c>
      <c r="I1208" s="21">
        <f t="shared" si="2421"/>
        <v>110</v>
      </c>
      <c r="J1208" s="21">
        <f t="shared" si="2374"/>
        <v>6</v>
      </c>
      <c r="K1208" s="21">
        <v>0</v>
      </c>
      <c r="L1208" s="20">
        <v>16</v>
      </c>
      <c r="M1208" s="20">
        <v>0</v>
      </c>
      <c r="N1208" s="20">
        <f t="shared" si="2422"/>
        <v>700</v>
      </c>
      <c r="O1208" s="19" t="s">
        <v>72</v>
      </c>
      <c r="P1208" s="20">
        <v>2332</v>
      </c>
      <c r="Q1208" s="20">
        <f t="shared" ref="Q1208:X1208" si="2471">Q1178</f>
        <v>70</v>
      </c>
      <c r="R1208" s="20">
        <f t="shared" si="2471"/>
        <v>280</v>
      </c>
      <c r="S1208" s="20">
        <f t="shared" si="2471"/>
        <v>489.99999999999994</v>
      </c>
      <c r="T1208" s="20">
        <f t="shared" si="2471"/>
        <v>630</v>
      </c>
      <c r="U1208" s="20">
        <f t="shared" si="2471"/>
        <v>650</v>
      </c>
      <c r="V1208" s="20">
        <f t="shared" si="2471"/>
        <v>800</v>
      </c>
      <c r="W1208" s="20">
        <f t="shared" si="2471"/>
        <v>300</v>
      </c>
      <c r="X1208" s="20">
        <f t="shared" si="2471"/>
        <v>2</v>
      </c>
      <c r="Y1208" s="20">
        <v>0</v>
      </c>
      <c r="Z1208" s="20">
        <f t="shared" si="2461"/>
        <v>0</v>
      </c>
      <c r="AA1208" s="20">
        <v>0</v>
      </c>
      <c r="AB1208" s="20">
        <v>0</v>
      </c>
      <c r="AC1208" s="20">
        <v>0</v>
      </c>
      <c r="AD1208" s="23">
        <f t="shared" ref="AD1208:AE1208" si="2472">AD1178</f>
        <v>12</v>
      </c>
      <c r="AE1208" s="23">
        <f t="shared" si="2472"/>
        <v>16</v>
      </c>
    </row>
    <row r="1209" spans="1:31">
      <c r="A1209" s="4">
        <v>13200</v>
      </c>
      <c r="B1209" s="4">
        <v>8</v>
      </c>
      <c r="C1209" s="19" t="s">
        <v>73</v>
      </c>
      <c r="D1209" s="44">
        <v>0</v>
      </c>
      <c r="E1209" s="18">
        <f t="shared" si="2459"/>
        <v>63</v>
      </c>
      <c r="F1209" s="18">
        <v>0</v>
      </c>
      <c r="G1209" s="18">
        <v>0</v>
      </c>
      <c r="H1209" s="45">
        <v>0</v>
      </c>
      <c r="I1209" s="21">
        <f t="shared" si="2421"/>
        <v>110</v>
      </c>
      <c r="J1209" s="21">
        <f t="shared" si="2374"/>
        <v>7</v>
      </c>
      <c r="K1209" s="21">
        <v>0</v>
      </c>
      <c r="L1209" s="20">
        <v>12</v>
      </c>
      <c r="M1209" s="20">
        <v>0</v>
      </c>
      <c r="N1209" s="20">
        <f t="shared" si="2422"/>
        <v>800</v>
      </c>
      <c r="O1209" s="19" t="s">
        <v>73</v>
      </c>
      <c r="P1209" s="20">
        <v>1487</v>
      </c>
      <c r="Q1209" s="20">
        <f t="shared" ref="Q1209:X1209" si="2473">Q1179</f>
        <v>80</v>
      </c>
      <c r="R1209" s="20">
        <f t="shared" si="2473"/>
        <v>320</v>
      </c>
      <c r="S1209" s="20">
        <f t="shared" si="2473"/>
        <v>560</v>
      </c>
      <c r="T1209" s="20">
        <f t="shared" si="2473"/>
        <v>720</v>
      </c>
      <c r="U1209" s="20">
        <f t="shared" si="2473"/>
        <v>200</v>
      </c>
      <c r="V1209" s="20">
        <f t="shared" si="2473"/>
        <v>2000</v>
      </c>
      <c r="W1209" s="20">
        <f t="shared" si="2473"/>
        <v>1000</v>
      </c>
      <c r="X1209" s="20">
        <f t="shared" si="2473"/>
        <v>2</v>
      </c>
      <c r="Y1209" s="20">
        <v>0</v>
      </c>
      <c r="Z1209" s="20">
        <f t="shared" si="2461"/>
        <v>32</v>
      </c>
      <c r="AA1209" s="20">
        <v>0</v>
      </c>
      <c r="AB1209" s="20">
        <v>0</v>
      </c>
      <c r="AC1209" s="20">
        <v>0</v>
      </c>
      <c r="AD1209" s="23">
        <f t="shared" ref="AD1209:AE1209" si="2474">AD1179</f>
        <v>14</v>
      </c>
      <c r="AE1209" s="23">
        <f t="shared" si="2474"/>
        <v>18</v>
      </c>
    </row>
    <row r="1210" spans="1:31">
      <c r="A1210" s="4">
        <v>13200</v>
      </c>
      <c r="B1210" s="4">
        <v>9</v>
      </c>
      <c r="C1210" s="19" t="s">
        <v>74</v>
      </c>
      <c r="D1210" s="44">
        <v>0</v>
      </c>
      <c r="E1210" s="18">
        <f t="shared" si="2459"/>
        <v>68</v>
      </c>
      <c r="F1210" s="18">
        <v>0</v>
      </c>
      <c r="G1210" s="18">
        <v>0</v>
      </c>
      <c r="H1210" s="45">
        <v>0</v>
      </c>
      <c r="I1210" s="21">
        <f t="shared" si="2421"/>
        <v>165</v>
      </c>
      <c r="J1210" s="21">
        <f t="shared" si="2374"/>
        <v>8</v>
      </c>
      <c r="K1210" s="21">
        <v>0</v>
      </c>
      <c r="L1210" s="20">
        <v>8</v>
      </c>
      <c r="M1210" s="20">
        <v>0</v>
      </c>
      <c r="N1210" s="20">
        <f t="shared" si="2422"/>
        <v>900</v>
      </c>
      <c r="O1210" s="19" t="s">
        <v>74</v>
      </c>
      <c r="P1210" s="20">
        <v>1518</v>
      </c>
      <c r="Q1210" s="20">
        <f t="shared" ref="Q1210:X1210" si="2475">Q1180</f>
        <v>90</v>
      </c>
      <c r="R1210" s="20">
        <f t="shared" si="2475"/>
        <v>360</v>
      </c>
      <c r="S1210" s="20">
        <f t="shared" si="2475"/>
        <v>630</v>
      </c>
      <c r="T1210" s="20">
        <f t="shared" si="2475"/>
        <v>810</v>
      </c>
      <c r="U1210" s="20">
        <f t="shared" si="2475"/>
        <v>120</v>
      </c>
      <c r="V1210" s="20">
        <f t="shared" si="2475"/>
        <v>1500</v>
      </c>
      <c r="W1210" s="20">
        <f t="shared" si="2475"/>
        <v>1000</v>
      </c>
      <c r="X1210" s="20">
        <f t="shared" si="2475"/>
        <v>3</v>
      </c>
      <c r="Y1210" s="20">
        <v>0</v>
      </c>
      <c r="Z1210" s="20">
        <f t="shared" si="2461"/>
        <v>0</v>
      </c>
      <c r="AA1210" s="20">
        <v>0</v>
      </c>
      <c r="AB1210" s="20">
        <v>0</v>
      </c>
      <c r="AC1210" s="20">
        <v>0</v>
      </c>
      <c r="AD1210" s="23">
        <f t="shared" ref="AD1210:AE1210" si="2476">AD1180</f>
        <v>16</v>
      </c>
      <c r="AE1210" s="23">
        <f t="shared" si="2476"/>
        <v>20</v>
      </c>
    </row>
    <row r="1211" spans="1:31">
      <c r="A1211" s="4">
        <v>13200</v>
      </c>
      <c r="B1211" s="4">
        <v>10</v>
      </c>
      <c r="C1211" s="19" t="s">
        <v>75</v>
      </c>
      <c r="D1211" s="44">
        <v>0</v>
      </c>
      <c r="E1211" s="18">
        <f t="shared" si="2459"/>
        <v>74</v>
      </c>
      <c r="F1211" s="18">
        <v>0</v>
      </c>
      <c r="G1211" s="18">
        <v>0</v>
      </c>
      <c r="H1211" s="45">
        <v>0</v>
      </c>
      <c r="I1211" s="21">
        <f t="shared" si="2421"/>
        <v>165</v>
      </c>
      <c r="J1211" s="21">
        <f t="shared" si="2374"/>
        <v>9</v>
      </c>
      <c r="K1211" s="21">
        <v>0</v>
      </c>
      <c r="L1211" s="20">
        <v>6</v>
      </c>
      <c r="M1211" s="20">
        <v>0</v>
      </c>
      <c r="N1211" s="20">
        <f t="shared" si="2422"/>
        <v>2000</v>
      </c>
      <c r="O1211" s="19" t="s">
        <v>75</v>
      </c>
      <c r="P1211" s="20">
        <v>861</v>
      </c>
      <c r="Q1211" s="20">
        <f t="shared" ref="Q1211:X1211" si="2477">Q1181</f>
        <v>200</v>
      </c>
      <c r="R1211" s="20">
        <f t="shared" si="2477"/>
        <v>800</v>
      </c>
      <c r="S1211" s="20">
        <f t="shared" si="2477"/>
        <v>1400</v>
      </c>
      <c r="T1211" s="20">
        <f t="shared" si="2477"/>
        <v>1800</v>
      </c>
      <c r="U1211" s="20">
        <f t="shared" si="2477"/>
        <v>150</v>
      </c>
      <c r="V1211" s="20">
        <f t="shared" si="2477"/>
        <v>5000</v>
      </c>
      <c r="W1211" s="20">
        <f t="shared" si="2477"/>
        <v>800</v>
      </c>
      <c r="X1211" s="20">
        <f t="shared" si="2477"/>
        <v>3</v>
      </c>
      <c r="Y1211" s="20">
        <v>0</v>
      </c>
      <c r="Z1211" s="20">
        <f t="shared" si="2461"/>
        <v>0</v>
      </c>
      <c r="AA1211" s="20">
        <v>0</v>
      </c>
      <c r="AB1211" s="20">
        <v>0</v>
      </c>
      <c r="AC1211" s="20">
        <v>0</v>
      </c>
      <c r="AD1211" s="23">
        <f t="shared" ref="AD1211:AE1211" si="2478">AD1181</f>
        <v>18</v>
      </c>
      <c r="AE1211" s="23">
        <f t="shared" si="2478"/>
        <v>22</v>
      </c>
    </row>
    <row r="1212" spans="1:31">
      <c r="A1212" s="4">
        <v>13200</v>
      </c>
      <c r="B1212" s="4">
        <v>11</v>
      </c>
      <c r="C1212" s="19" t="s">
        <v>66</v>
      </c>
      <c r="D1212" s="44">
        <v>0</v>
      </c>
      <c r="E1212" s="18">
        <f t="shared" si="2459"/>
        <v>80</v>
      </c>
      <c r="F1212" s="18">
        <v>0</v>
      </c>
      <c r="G1212" s="18">
        <v>0</v>
      </c>
      <c r="H1212" s="45">
        <v>0</v>
      </c>
      <c r="I1212" s="21">
        <f t="shared" si="2421"/>
        <v>165</v>
      </c>
      <c r="J1212" s="21">
        <f t="shared" si="2374"/>
        <v>10</v>
      </c>
      <c r="K1212" s="21">
        <v>0</v>
      </c>
      <c r="L1212" s="20">
        <v>6</v>
      </c>
      <c r="M1212" s="20">
        <v>0</v>
      </c>
      <c r="N1212" s="20">
        <f t="shared" si="2422"/>
        <v>2200</v>
      </c>
      <c r="O1212" s="19" t="s">
        <v>66</v>
      </c>
      <c r="P1212" s="20">
        <v>9400</v>
      </c>
      <c r="Q1212" s="20">
        <f t="shared" ref="Q1212:X1212" si="2479">Q1182</f>
        <v>220</v>
      </c>
      <c r="R1212" s="20">
        <f t="shared" si="2479"/>
        <v>880</v>
      </c>
      <c r="S1212" s="20">
        <f t="shared" si="2479"/>
        <v>1540</v>
      </c>
      <c r="T1212" s="20">
        <f t="shared" si="2479"/>
        <v>1980</v>
      </c>
      <c r="U1212" s="20">
        <f t="shared" si="2479"/>
        <v>100</v>
      </c>
      <c r="V1212" s="20">
        <f t="shared" si="2479"/>
        <v>800</v>
      </c>
      <c r="W1212" s="20">
        <f t="shared" si="2479"/>
        <v>600</v>
      </c>
      <c r="X1212" s="20">
        <f t="shared" si="2479"/>
        <v>3</v>
      </c>
      <c r="Y1212" s="20">
        <v>0</v>
      </c>
      <c r="Z1212" s="20">
        <f t="shared" si="2461"/>
        <v>0</v>
      </c>
      <c r="AA1212" s="20">
        <v>0</v>
      </c>
      <c r="AB1212" s="20">
        <v>0</v>
      </c>
      <c r="AC1212" s="20">
        <v>0</v>
      </c>
      <c r="AD1212" s="23">
        <f t="shared" ref="AD1212:AE1212" si="2480">AD1182</f>
        <v>20</v>
      </c>
      <c r="AE1212" s="23">
        <f t="shared" si="2480"/>
        <v>24</v>
      </c>
    </row>
    <row r="1213" spans="1:31">
      <c r="A1213" s="4">
        <v>13200</v>
      </c>
      <c r="B1213" s="4">
        <v>12</v>
      </c>
      <c r="C1213" s="19" t="s">
        <v>67</v>
      </c>
      <c r="D1213" s="44">
        <v>0</v>
      </c>
      <c r="E1213" s="18">
        <f t="shared" si="2459"/>
        <v>86</v>
      </c>
      <c r="F1213" s="18">
        <v>0</v>
      </c>
      <c r="G1213" s="18">
        <v>0</v>
      </c>
      <c r="H1213" s="45">
        <v>0</v>
      </c>
      <c r="I1213" s="21">
        <f t="shared" si="2421"/>
        <v>165</v>
      </c>
      <c r="J1213" s="21">
        <f t="shared" si="2374"/>
        <v>11</v>
      </c>
      <c r="K1213" s="21">
        <v>0</v>
      </c>
      <c r="L1213" s="20">
        <v>6</v>
      </c>
      <c r="M1213" s="20">
        <v>0</v>
      </c>
      <c r="N1213" s="20">
        <f t="shared" si="2422"/>
        <v>2400</v>
      </c>
      <c r="O1213" s="19" t="s">
        <v>67</v>
      </c>
      <c r="P1213" s="20">
        <v>9100</v>
      </c>
      <c r="Q1213" s="20">
        <f t="shared" ref="Q1213:X1213" si="2481">Q1183</f>
        <v>240</v>
      </c>
      <c r="R1213" s="20">
        <f t="shared" si="2481"/>
        <v>960</v>
      </c>
      <c r="S1213" s="20">
        <f t="shared" si="2481"/>
        <v>1680</v>
      </c>
      <c r="T1213" s="20">
        <f t="shared" si="2481"/>
        <v>2160</v>
      </c>
      <c r="U1213" s="20">
        <f t="shared" si="2481"/>
        <v>150</v>
      </c>
      <c r="V1213" s="20">
        <f t="shared" si="2481"/>
        <v>700</v>
      </c>
      <c r="W1213" s="20">
        <f t="shared" si="2481"/>
        <v>900</v>
      </c>
      <c r="X1213" s="20">
        <f t="shared" si="2481"/>
        <v>3</v>
      </c>
      <c r="Y1213" s="20">
        <v>0</v>
      </c>
      <c r="Z1213" s="20">
        <f t="shared" si="2461"/>
        <v>0</v>
      </c>
      <c r="AA1213" s="20">
        <v>0</v>
      </c>
      <c r="AB1213" s="20">
        <v>0</v>
      </c>
      <c r="AC1213" s="20">
        <v>0</v>
      </c>
      <c r="AD1213" s="23">
        <f t="shared" ref="AD1213:AE1213" si="2482">AD1183</f>
        <v>22</v>
      </c>
      <c r="AE1213" s="23">
        <f t="shared" si="2482"/>
        <v>26</v>
      </c>
    </row>
    <row r="1214" spans="1:31">
      <c r="A1214" s="4">
        <v>13200</v>
      </c>
      <c r="B1214" s="4">
        <v>13</v>
      </c>
      <c r="C1214" s="19" t="s">
        <v>68</v>
      </c>
      <c r="D1214" s="44">
        <v>0</v>
      </c>
      <c r="E1214" s="18">
        <f t="shared" si="2459"/>
        <v>94</v>
      </c>
      <c r="F1214" s="18">
        <v>0</v>
      </c>
      <c r="G1214" s="18">
        <v>0</v>
      </c>
      <c r="H1214" s="45">
        <v>0</v>
      </c>
      <c r="I1214" s="21">
        <f t="shared" si="2421"/>
        <v>220</v>
      </c>
      <c r="J1214" s="21">
        <f t="shared" si="2374"/>
        <v>12</v>
      </c>
      <c r="K1214" s="21">
        <v>0</v>
      </c>
      <c r="L1214" s="20">
        <v>6</v>
      </c>
      <c r="M1214" s="20">
        <v>0</v>
      </c>
      <c r="N1214" s="20">
        <f t="shared" si="2422"/>
        <v>2600</v>
      </c>
      <c r="O1214" s="19" t="s">
        <v>68</v>
      </c>
      <c r="P1214" s="20">
        <v>8600</v>
      </c>
      <c r="Q1214" s="20">
        <f t="shared" ref="Q1214:X1214" si="2483">Q1184</f>
        <v>260</v>
      </c>
      <c r="R1214" s="20">
        <f t="shared" si="2483"/>
        <v>1040</v>
      </c>
      <c r="S1214" s="20">
        <f t="shared" si="2483"/>
        <v>1819.9999999999998</v>
      </c>
      <c r="T1214" s="20">
        <f t="shared" si="2483"/>
        <v>2340</v>
      </c>
      <c r="U1214" s="20">
        <f t="shared" si="2483"/>
        <v>100</v>
      </c>
      <c r="V1214" s="20">
        <f t="shared" si="2483"/>
        <v>700</v>
      </c>
      <c r="W1214" s="20">
        <f t="shared" si="2483"/>
        <v>1000</v>
      </c>
      <c r="X1214" s="20">
        <f t="shared" si="2483"/>
        <v>4</v>
      </c>
      <c r="Y1214" s="20">
        <v>0</v>
      </c>
      <c r="Z1214" s="20">
        <f t="shared" si="2461"/>
        <v>64</v>
      </c>
      <c r="AA1214" s="20">
        <v>0</v>
      </c>
      <c r="AB1214" s="20">
        <v>0</v>
      </c>
      <c r="AC1214" s="20">
        <v>0</v>
      </c>
      <c r="AD1214" s="23">
        <f t="shared" ref="AD1214:AE1214" si="2484">AD1184</f>
        <v>24</v>
      </c>
      <c r="AE1214" s="23">
        <f t="shared" si="2484"/>
        <v>28</v>
      </c>
    </row>
    <row r="1215" spans="1:31">
      <c r="A1215" s="4">
        <v>13200</v>
      </c>
      <c r="B1215" s="4">
        <v>14</v>
      </c>
      <c r="C1215" s="19" t="s">
        <v>69</v>
      </c>
      <c r="D1215" s="44">
        <v>0</v>
      </c>
      <c r="E1215" s="18">
        <f t="shared" si="2459"/>
        <v>101</v>
      </c>
      <c r="F1215" s="18">
        <v>0</v>
      </c>
      <c r="G1215" s="18">
        <v>0</v>
      </c>
      <c r="H1215" s="45">
        <v>0</v>
      </c>
      <c r="I1215" s="21">
        <f t="shared" si="2421"/>
        <v>220</v>
      </c>
      <c r="J1215" s="21">
        <f t="shared" si="2374"/>
        <v>13</v>
      </c>
      <c r="K1215" s="21">
        <v>0</v>
      </c>
      <c r="L1215" s="20">
        <v>6</v>
      </c>
      <c r="M1215" s="20">
        <v>0</v>
      </c>
      <c r="N1215" s="20">
        <f t="shared" si="2422"/>
        <v>2800</v>
      </c>
      <c r="O1215" s="19" t="s">
        <v>69</v>
      </c>
      <c r="P1215" s="20">
        <v>6400</v>
      </c>
      <c r="Q1215" s="20">
        <f t="shared" ref="Q1215:X1215" si="2485">Q1185</f>
        <v>280</v>
      </c>
      <c r="R1215" s="20">
        <f t="shared" si="2485"/>
        <v>1120</v>
      </c>
      <c r="S1215" s="20">
        <f t="shared" si="2485"/>
        <v>1959.9999999999998</v>
      </c>
      <c r="T1215" s="20">
        <f t="shared" si="2485"/>
        <v>2520</v>
      </c>
      <c r="U1215" s="20">
        <f t="shared" si="2485"/>
        <v>100</v>
      </c>
      <c r="V1215" s="20">
        <f t="shared" si="2485"/>
        <v>400</v>
      </c>
      <c r="W1215" s="20">
        <f t="shared" si="2485"/>
        <v>1200</v>
      </c>
      <c r="X1215" s="20">
        <f t="shared" si="2485"/>
        <v>4</v>
      </c>
      <c r="Y1215" s="20">
        <v>0</v>
      </c>
      <c r="Z1215" s="20">
        <f t="shared" si="2461"/>
        <v>0</v>
      </c>
      <c r="AA1215" s="20">
        <v>0</v>
      </c>
      <c r="AB1215" s="20">
        <v>0</v>
      </c>
      <c r="AC1215" s="20">
        <v>0</v>
      </c>
      <c r="AD1215" s="23">
        <f t="shared" ref="AD1215:AE1215" si="2486">AD1185</f>
        <v>26</v>
      </c>
      <c r="AE1215" s="23">
        <f t="shared" si="2486"/>
        <v>30</v>
      </c>
    </row>
    <row r="1216" spans="1:31">
      <c r="A1216" s="4">
        <v>13200</v>
      </c>
      <c r="B1216" s="4">
        <v>15</v>
      </c>
      <c r="C1216" s="19" t="s">
        <v>70</v>
      </c>
      <c r="D1216" s="44">
        <v>0</v>
      </c>
      <c r="E1216" s="18">
        <f t="shared" si="2459"/>
        <v>110</v>
      </c>
      <c r="F1216" s="18">
        <v>0</v>
      </c>
      <c r="G1216" s="18">
        <v>0</v>
      </c>
      <c r="H1216" s="45">
        <v>0</v>
      </c>
      <c r="I1216" s="21">
        <f t="shared" si="2421"/>
        <v>220</v>
      </c>
      <c r="J1216" s="21">
        <f t="shared" si="2374"/>
        <v>14</v>
      </c>
      <c r="K1216" s="21">
        <v>0</v>
      </c>
      <c r="L1216" s="20">
        <v>6</v>
      </c>
      <c r="M1216" s="20">
        <v>0</v>
      </c>
      <c r="N1216" s="20">
        <f t="shared" si="2422"/>
        <v>4500</v>
      </c>
      <c r="O1216" s="19" t="s">
        <v>70</v>
      </c>
      <c r="P1216" s="20">
        <v>3100</v>
      </c>
      <c r="Q1216" s="20">
        <f t="shared" ref="Q1216:X1216" si="2487">Q1186</f>
        <v>450</v>
      </c>
      <c r="R1216" s="20">
        <f t="shared" si="2487"/>
        <v>1800</v>
      </c>
      <c r="S1216" s="20">
        <f t="shared" si="2487"/>
        <v>3150</v>
      </c>
      <c r="T1216" s="20">
        <f t="shared" si="2487"/>
        <v>4050</v>
      </c>
      <c r="U1216" s="20">
        <f t="shared" si="2487"/>
        <v>100</v>
      </c>
      <c r="V1216" s="20">
        <f t="shared" si="2487"/>
        <v>1000</v>
      </c>
      <c r="W1216" s="20">
        <f t="shared" si="2487"/>
        <v>600</v>
      </c>
      <c r="X1216" s="20">
        <f t="shared" si="2487"/>
        <v>4</v>
      </c>
      <c r="Y1216" s="20">
        <v>0</v>
      </c>
      <c r="Z1216" s="20">
        <f t="shared" si="2461"/>
        <v>0</v>
      </c>
      <c r="AA1216" s="20">
        <v>0</v>
      </c>
      <c r="AB1216" s="20">
        <v>0</v>
      </c>
      <c r="AC1216" s="20">
        <v>0</v>
      </c>
      <c r="AD1216" s="23">
        <f t="shared" ref="AD1216:AE1216" si="2488">AD1186</f>
        <v>28</v>
      </c>
      <c r="AE1216" s="23">
        <f t="shared" si="2488"/>
        <v>32</v>
      </c>
    </row>
    <row r="1217" spans="1:31">
      <c r="A1217" s="4">
        <v>13200</v>
      </c>
      <c r="B1217" s="4">
        <v>16</v>
      </c>
      <c r="C1217" s="19" t="s">
        <v>71</v>
      </c>
      <c r="D1217" s="44">
        <v>0</v>
      </c>
      <c r="E1217" s="18">
        <f t="shared" si="2459"/>
        <v>119</v>
      </c>
      <c r="F1217" s="18">
        <v>0</v>
      </c>
      <c r="G1217" s="18">
        <v>0</v>
      </c>
      <c r="H1217" s="45">
        <v>0</v>
      </c>
      <c r="I1217" s="21">
        <f t="shared" si="2421"/>
        <v>220</v>
      </c>
      <c r="J1217" s="21">
        <f t="shared" si="2374"/>
        <v>15</v>
      </c>
      <c r="K1217" s="21">
        <v>0</v>
      </c>
      <c r="L1217" s="20">
        <v>6</v>
      </c>
      <c r="M1217" s="20">
        <v>0</v>
      </c>
      <c r="N1217" s="20">
        <f t="shared" si="2422"/>
        <v>4800</v>
      </c>
      <c r="O1217" s="19" t="s">
        <v>71</v>
      </c>
      <c r="P1217" s="20">
        <v>1777</v>
      </c>
      <c r="Q1217" s="20">
        <f t="shared" ref="Q1217:X1217" si="2489">Q1187</f>
        <v>480</v>
      </c>
      <c r="R1217" s="20">
        <f t="shared" si="2489"/>
        <v>1920</v>
      </c>
      <c r="S1217" s="20">
        <f t="shared" si="2489"/>
        <v>3360</v>
      </c>
      <c r="T1217" s="20">
        <f t="shared" si="2489"/>
        <v>4320</v>
      </c>
      <c r="U1217" s="20">
        <f t="shared" si="2489"/>
        <v>100</v>
      </c>
      <c r="V1217" s="20">
        <f t="shared" si="2489"/>
        <v>800</v>
      </c>
      <c r="W1217" s="20">
        <f t="shared" si="2489"/>
        <v>800</v>
      </c>
      <c r="X1217" s="20">
        <f t="shared" si="2489"/>
        <v>4</v>
      </c>
      <c r="Y1217" s="20">
        <v>0</v>
      </c>
      <c r="Z1217" s="20">
        <f t="shared" si="2461"/>
        <v>0</v>
      </c>
      <c r="AA1217" s="20">
        <v>0</v>
      </c>
      <c r="AB1217" s="20">
        <v>0</v>
      </c>
      <c r="AC1217" s="20">
        <v>0</v>
      </c>
      <c r="AD1217" s="23">
        <f t="shared" ref="AD1217:AE1217" si="2490">AD1187</f>
        <v>30</v>
      </c>
      <c r="AE1217" s="23">
        <f t="shared" si="2490"/>
        <v>34</v>
      </c>
    </row>
    <row r="1218" spans="1:31">
      <c r="A1218" s="4">
        <v>13200</v>
      </c>
      <c r="B1218" s="4">
        <v>17</v>
      </c>
      <c r="C1218" s="19" t="s">
        <v>72</v>
      </c>
      <c r="D1218" s="44">
        <v>0</v>
      </c>
      <c r="E1218" s="18">
        <f t="shared" si="2459"/>
        <v>128</v>
      </c>
      <c r="F1218" s="18">
        <v>0</v>
      </c>
      <c r="G1218" s="18">
        <v>0</v>
      </c>
      <c r="H1218" s="45">
        <v>0</v>
      </c>
      <c r="I1218" s="21">
        <f t="shared" si="2421"/>
        <v>275</v>
      </c>
      <c r="J1218" s="21">
        <f t="shared" si="2374"/>
        <v>16</v>
      </c>
      <c r="K1218" s="21">
        <v>0</v>
      </c>
      <c r="L1218" s="20">
        <v>6</v>
      </c>
      <c r="M1218" s="20">
        <v>0</v>
      </c>
      <c r="N1218" s="20">
        <f t="shared" si="2422"/>
        <v>5100</v>
      </c>
      <c r="O1218" s="19" t="s">
        <v>72</v>
      </c>
      <c r="P1218" s="20">
        <v>2332</v>
      </c>
      <c r="Q1218" s="20">
        <f t="shared" ref="Q1218:X1218" si="2491">Q1188</f>
        <v>510</v>
      </c>
      <c r="R1218" s="20">
        <f t="shared" si="2491"/>
        <v>2040</v>
      </c>
      <c r="S1218" s="20">
        <f t="shared" si="2491"/>
        <v>3570</v>
      </c>
      <c r="T1218" s="20">
        <f t="shared" si="2491"/>
        <v>4590</v>
      </c>
      <c r="U1218" s="20">
        <f t="shared" si="2491"/>
        <v>80</v>
      </c>
      <c r="V1218" s="20">
        <f t="shared" si="2491"/>
        <v>800</v>
      </c>
      <c r="W1218" s="20">
        <f t="shared" si="2491"/>
        <v>600</v>
      </c>
      <c r="X1218" s="20">
        <f t="shared" si="2491"/>
        <v>5</v>
      </c>
      <c r="Y1218" s="20">
        <v>0</v>
      </c>
      <c r="Z1218" s="20">
        <f t="shared" si="2461"/>
        <v>0</v>
      </c>
      <c r="AA1218" s="20">
        <v>0</v>
      </c>
      <c r="AB1218" s="20">
        <v>0</v>
      </c>
      <c r="AC1218" s="20">
        <v>0</v>
      </c>
      <c r="AD1218" s="23">
        <f t="shared" ref="AD1218:AE1218" si="2492">AD1188</f>
        <v>32</v>
      </c>
      <c r="AE1218" s="23">
        <f t="shared" si="2492"/>
        <v>36</v>
      </c>
    </row>
    <row r="1219" spans="1:31">
      <c r="A1219" s="4">
        <v>13200</v>
      </c>
      <c r="B1219" s="4">
        <v>18</v>
      </c>
      <c r="C1219" s="19" t="s">
        <v>73</v>
      </c>
      <c r="D1219" s="44">
        <v>0</v>
      </c>
      <c r="E1219" s="18">
        <f t="shared" si="2459"/>
        <v>139</v>
      </c>
      <c r="F1219" s="18">
        <v>0</v>
      </c>
      <c r="G1219" s="18">
        <v>0</v>
      </c>
      <c r="H1219" s="45">
        <v>0</v>
      </c>
      <c r="I1219" s="21">
        <f t="shared" si="2421"/>
        <v>275</v>
      </c>
      <c r="J1219" s="21">
        <f t="shared" si="2374"/>
        <v>17</v>
      </c>
      <c r="K1219" s="21">
        <v>0</v>
      </c>
      <c r="L1219" s="20">
        <v>6</v>
      </c>
      <c r="M1219" s="20">
        <v>0</v>
      </c>
      <c r="N1219" s="20">
        <f t="shared" si="2422"/>
        <v>5400</v>
      </c>
      <c r="O1219" s="19" t="s">
        <v>73</v>
      </c>
      <c r="P1219" s="20">
        <v>1487</v>
      </c>
      <c r="Q1219" s="20">
        <f t="shared" ref="Q1219:X1219" si="2493">Q1189</f>
        <v>540</v>
      </c>
      <c r="R1219" s="20">
        <f t="shared" si="2493"/>
        <v>2160</v>
      </c>
      <c r="S1219" s="20">
        <f t="shared" si="2493"/>
        <v>3779.9999999999995</v>
      </c>
      <c r="T1219" s="20">
        <f t="shared" si="2493"/>
        <v>4860</v>
      </c>
      <c r="U1219" s="20">
        <f t="shared" si="2493"/>
        <v>100</v>
      </c>
      <c r="V1219" s="20">
        <f t="shared" si="2493"/>
        <v>600</v>
      </c>
      <c r="W1219" s="20">
        <f t="shared" si="2493"/>
        <v>300</v>
      </c>
      <c r="X1219" s="20">
        <f t="shared" si="2493"/>
        <v>5</v>
      </c>
      <c r="Y1219" s="20">
        <v>0</v>
      </c>
      <c r="Z1219" s="20">
        <f t="shared" si="2461"/>
        <v>96</v>
      </c>
      <c r="AA1219" s="20">
        <v>0</v>
      </c>
      <c r="AB1219" s="20">
        <v>0</v>
      </c>
      <c r="AC1219" s="20">
        <v>0</v>
      </c>
      <c r="AD1219" s="23">
        <f t="shared" ref="AD1219:AE1219" si="2494">AD1189</f>
        <v>34</v>
      </c>
      <c r="AE1219" s="23">
        <f t="shared" si="2494"/>
        <v>38</v>
      </c>
    </row>
    <row r="1220" spans="1:31">
      <c r="A1220" s="4">
        <v>13200</v>
      </c>
      <c r="B1220" s="4">
        <v>19</v>
      </c>
      <c r="C1220" s="19" t="s">
        <v>74</v>
      </c>
      <c r="D1220" s="44">
        <v>0</v>
      </c>
      <c r="E1220" s="18">
        <f t="shared" si="2459"/>
        <v>151</v>
      </c>
      <c r="F1220" s="18">
        <v>0</v>
      </c>
      <c r="G1220" s="18">
        <v>0</v>
      </c>
      <c r="H1220" s="45">
        <v>0</v>
      </c>
      <c r="I1220" s="21">
        <f t="shared" si="2421"/>
        <v>275</v>
      </c>
      <c r="J1220" s="21">
        <f t="shared" si="2374"/>
        <v>18</v>
      </c>
      <c r="K1220" s="21">
        <v>0</v>
      </c>
      <c r="L1220" s="20">
        <v>6</v>
      </c>
      <c r="M1220" s="20">
        <v>0</v>
      </c>
      <c r="N1220" s="20">
        <f t="shared" si="2422"/>
        <v>5700</v>
      </c>
      <c r="O1220" s="19" t="s">
        <v>74</v>
      </c>
      <c r="P1220" s="20">
        <v>1518</v>
      </c>
      <c r="Q1220" s="20">
        <f t="shared" ref="Q1220:X1220" si="2495">Q1190</f>
        <v>570</v>
      </c>
      <c r="R1220" s="20">
        <f t="shared" si="2495"/>
        <v>2280</v>
      </c>
      <c r="S1220" s="20">
        <f t="shared" si="2495"/>
        <v>3989.9999999999995</v>
      </c>
      <c r="T1220" s="20">
        <f t="shared" si="2495"/>
        <v>5130</v>
      </c>
      <c r="U1220" s="20">
        <f t="shared" si="2495"/>
        <v>100</v>
      </c>
      <c r="V1220" s="20">
        <f t="shared" si="2495"/>
        <v>500</v>
      </c>
      <c r="W1220" s="20">
        <f t="shared" si="2495"/>
        <v>400</v>
      </c>
      <c r="X1220" s="20">
        <f t="shared" si="2495"/>
        <v>5</v>
      </c>
      <c r="Y1220" s="20">
        <v>0</v>
      </c>
      <c r="Z1220" s="20">
        <f t="shared" si="2461"/>
        <v>0</v>
      </c>
      <c r="AA1220" s="20">
        <v>0</v>
      </c>
      <c r="AB1220" s="20">
        <v>0</v>
      </c>
      <c r="AC1220" s="20">
        <v>0</v>
      </c>
      <c r="AD1220" s="23">
        <f t="shared" ref="AD1220:AE1220" si="2496">AD1190</f>
        <v>36</v>
      </c>
      <c r="AE1220" s="23">
        <f t="shared" si="2496"/>
        <v>40</v>
      </c>
    </row>
    <row r="1221" spans="1:31">
      <c r="A1221" s="4">
        <v>13200</v>
      </c>
      <c r="B1221" s="4">
        <v>20</v>
      </c>
      <c r="C1221" s="19" t="s">
        <v>75</v>
      </c>
      <c r="D1221" s="44">
        <v>0</v>
      </c>
      <c r="E1221" s="18">
        <f t="shared" si="2459"/>
        <v>163</v>
      </c>
      <c r="F1221" s="18">
        <v>0</v>
      </c>
      <c r="G1221" s="18">
        <v>0</v>
      </c>
      <c r="H1221" s="45">
        <v>0</v>
      </c>
      <c r="I1221" s="21">
        <f t="shared" si="2421"/>
        <v>275</v>
      </c>
      <c r="J1221" s="21">
        <f t="shared" si="2374"/>
        <v>19</v>
      </c>
      <c r="K1221" s="21">
        <v>0</v>
      </c>
      <c r="L1221" s="20">
        <v>6</v>
      </c>
      <c r="M1221" s="20">
        <v>0</v>
      </c>
      <c r="N1221" s="20">
        <f t="shared" si="2422"/>
        <v>8000</v>
      </c>
      <c r="O1221" s="19" t="s">
        <v>75</v>
      </c>
      <c r="P1221" s="20">
        <v>861</v>
      </c>
      <c r="Q1221" s="20">
        <f t="shared" ref="Q1221:X1221" si="2497">Q1191</f>
        <v>800</v>
      </c>
      <c r="R1221" s="20">
        <f t="shared" si="2497"/>
        <v>3200</v>
      </c>
      <c r="S1221" s="20">
        <f t="shared" si="2497"/>
        <v>5600</v>
      </c>
      <c r="T1221" s="20">
        <f t="shared" si="2497"/>
        <v>7200</v>
      </c>
      <c r="U1221" s="20">
        <f t="shared" si="2497"/>
        <v>100</v>
      </c>
      <c r="V1221" s="20">
        <f t="shared" si="2497"/>
        <v>800</v>
      </c>
      <c r="W1221" s="20">
        <f t="shared" si="2497"/>
        <v>8000</v>
      </c>
      <c r="X1221" s="20">
        <f t="shared" si="2497"/>
        <v>5</v>
      </c>
      <c r="Y1221" s="20">
        <v>0</v>
      </c>
      <c r="Z1221" s="20">
        <f t="shared" si="2461"/>
        <v>0</v>
      </c>
      <c r="AA1221" s="20">
        <v>0</v>
      </c>
      <c r="AB1221" s="20">
        <v>0</v>
      </c>
      <c r="AC1221" s="20">
        <v>0</v>
      </c>
      <c r="AD1221" s="23">
        <f t="shared" ref="AD1221:AE1221" si="2498">AD1191</f>
        <v>38</v>
      </c>
      <c r="AE1221" s="23">
        <f t="shared" si="2498"/>
        <v>42</v>
      </c>
    </row>
    <row r="1222" spans="1:31">
      <c r="A1222" s="4">
        <v>13200</v>
      </c>
      <c r="B1222" s="4">
        <v>21</v>
      </c>
      <c r="C1222" s="19" t="s">
        <v>66</v>
      </c>
      <c r="D1222" s="44">
        <v>0</v>
      </c>
      <c r="E1222" s="18">
        <f t="shared" si="2459"/>
        <v>176</v>
      </c>
      <c r="F1222" s="18">
        <v>0</v>
      </c>
      <c r="G1222" s="18">
        <v>0</v>
      </c>
      <c r="H1222" s="45">
        <v>0</v>
      </c>
      <c r="I1222" s="21">
        <f t="shared" si="2421"/>
        <v>330</v>
      </c>
      <c r="J1222" s="21">
        <f t="shared" si="2374"/>
        <v>20</v>
      </c>
      <c r="K1222" s="21">
        <v>0</v>
      </c>
      <c r="L1222" s="20">
        <v>6</v>
      </c>
      <c r="M1222" s="20">
        <v>0</v>
      </c>
      <c r="N1222" s="20">
        <f t="shared" si="2422"/>
        <v>8400</v>
      </c>
      <c r="O1222" s="19" t="s">
        <v>66</v>
      </c>
      <c r="P1222" s="20">
        <v>9400</v>
      </c>
      <c r="Q1222" s="20">
        <f t="shared" ref="Q1222:X1222" si="2499">Q1192</f>
        <v>840</v>
      </c>
      <c r="R1222" s="20">
        <f t="shared" si="2499"/>
        <v>3360</v>
      </c>
      <c r="S1222" s="20">
        <f t="shared" si="2499"/>
        <v>5880</v>
      </c>
      <c r="T1222" s="20">
        <f t="shared" si="2499"/>
        <v>7560</v>
      </c>
      <c r="U1222" s="20">
        <f t="shared" si="2499"/>
        <v>50</v>
      </c>
      <c r="V1222" s="20">
        <f t="shared" si="2499"/>
        <v>1000</v>
      </c>
      <c r="W1222" s="20">
        <f t="shared" si="2499"/>
        <v>600</v>
      </c>
      <c r="X1222" s="20">
        <f t="shared" si="2499"/>
        <v>6</v>
      </c>
      <c r="Y1222" s="20">
        <v>0</v>
      </c>
      <c r="Z1222" s="20">
        <f t="shared" si="2461"/>
        <v>0</v>
      </c>
      <c r="AA1222" s="20">
        <v>0</v>
      </c>
      <c r="AB1222" s="20">
        <v>0</v>
      </c>
      <c r="AC1222" s="20">
        <v>0</v>
      </c>
      <c r="AD1222" s="23">
        <f t="shared" ref="AD1222:AE1222" si="2500">AD1192</f>
        <v>40</v>
      </c>
      <c r="AE1222" s="23">
        <f t="shared" si="2500"/>
        <v>44</v>
      </c>
    </row>
    <row r="1223" spans="1:31">
      <c r="A1223" s="4">
        <v>13200</v>
      </c>
      <c r="B1223" s="4">
        <v>22</v>
      </c>
      <c r="C1223" s="19" t="s">
        <v>67</v>
      </c>
      <c r="D1223" s="44">
        <v>0</v>
      </c>
      <c r="E1223" s="18">
        <f t="shared" si="2459"/>
        <v>191</v>
      </c>
      <c r="F1223" s="18">
        <v>0</v>
      </c>
      <c r="G1223" s="18">
        <v>0</v>
      </c>
      <c r="H1223" s="45">
        <v>0</v>
      </c>
      <c r="I1223" s="21">
        <f t="shared" si="2421"/>
        <v>330</v>
      </c>
      <c r="J1223" s="21">
        <f t="shared" si="2374"/>
        <v>21</v>
      </c>
      <c r="K1223" s="21">
        <v>0</v>
      </c>
      <c r="L1223" s="20">
        <v>6</v>
      </c>
      <c r="M1223" s="20">
        <v>0</v>
      </c>
      <c r="N1223" s="20">
        <f t="shared" si="2422"/>
        <v>8800</v>
      </c>
      <c r="O1223" s="19" t="s">
        <v>67</v>
      </c>
      <c r="P1223" s="20">
        <v>9100</v>
      </c>
      <c r="Q1223" s="20">
        <f t="shared" ref="Q1223:X1223" si="2501">Q1193</f>
        <v>880</v>
      </c>
      <c r="R1223" s="20">
        <f t="shared" si="2501"/>
        <v>3520</v>
      </c>
      <c r="S1223" s="20">
        <f t="shared" si="2501"/>
        <v>6160</v>
      </c>
      <c r="T1223" s="20">
        <f t="shared" si="2501"/>
        <v>7920</v>
      </c>
      <c r="U1223" s="20">
        <f t="shared" si="2501"/>
        <v>100</v>
      </c>
      <c r="V1223" s="20">
        <f t="shared" si="2501"/>
        <v>600</v>
      </c>
      <c r="W1223" s="20">
        <f t="shared" si="2501"/>
        <v>700</v>
      </c>
      <c r="X1223" s="20">
        <f t="shared" si="2501"/>
        <v>6</v>
      </c>
      <c r="Y1223" s="20">
        <v>0</v>
      </c>
      <c r="Z1223" s="20">
        <f t="shared" si="2461"/>
        <v>0</v>
      </c>
      <c r="AA1223" s="20">
        <v>0</v>
      </c>
      <c r="AB1223" s="20">
        <v>0</v>
      </c>
      <c r="AC1223" s="20">
        <v>0</v>
      </c>
      <c r="AD1223" s="23">
        <f t="shared" ref="AD1223:AE1223" si="2502">AD1193</f>
        <v>42</v>
      </c>
      <c r="AE1223" s="23">
        <f t="shared" si="2502"/>
        <v>46</v>
      </c>
    </row>
    <row r="1224" spans="1:31">
      <c r="A1224" s="4">
        <v>13200</v>
      </c>
      <c r="B1224" s="4">
        <v>23</v>
      </c>
      <c r="C1224" s="19" t="s">
        <v>68</v>
      </c>
      <c r="D1224" s="44">
        <v>0</v>
      </c>
      <c r="E1224" s="18">
        <f t="shared" si="2459"/>
        <v>207</v>
      </c>
      <c r="F1224" s="18">
        <v>0</v>
      </c>
      <c r="G1224" s="18">
        <v>0</v>
      </c>
      <c r="H1224" s="45">
        <v>0</v>
      </c>
      <c r="I1224" s="21">
        <f t="shared" si="2421"/>
        <v>330</v>
      </c>
      <c r="J1224" s="21">
        <f t="shared" si="2374"/>
        <v>22</v>
      </c>
      <c r="K1224" s="21">
        <v>0</v>
      </c>
      <c r="L1224" s="20">
        <v>6</v>
      </c>
      <c r="M1224" s="20">
        <v>0</v>
      </c>
      <c r="N1224" s="20">
        <f t="shared" si="2422"/>
        <v>9200</v>
      </c>
      <c r="O1224" s="19" t="s">
        <v>68</v>
      </c>
      <c r="P1224" s="20">
        <v>8600</v>
      </c>
      <c r="Q1224" s="20">
        <f t="shared" ref="Q1224:X1224" si="2503">Q1194</f>
        <v>920</v>
      </c>
      <c r="R1224" s="20">
        <f t="shared" si="2503"/>
        <v>3680</v>
      </c>
      <c r="S1224" s="20">
        <f t="shared" si="2503"/>
        <v>6440</v>
      </c>
      <c r="T1224" s="20">
        <f t="shared" si="2503"/>
        <v>8280</v>
      </c>
      <c r="U1224" s="20">
        <f t="shared" si="2503"/>
        <v>100</v>
      </c>
      <c r="V1224" s="20">
        <f t="shared" si="2503"/>
        <v>550</v>
      </c>
      <c r="W1224" s="20">
        <f t="shared" si="2503"/>
        <v>500</v>
      </c>
      <c r="X1224" s="20">
        <f t="shared" si="2503"/>
        <v>6</v>
      </c>
      <c r="Y1224" s="20">
        <v>0</v>
      </c>
      <c r="Z1224" s="20">
        <f t="shared" si="2461"/>
        <v>129</v>
      </c>
      <c r="AA1224" s="20">
        <v>0</v>
      </c>
      <c r="AB1224" s="20">
        <v>0</v>
      </c>
      <c r="AC1224" s="20">
        <v>0</v>
      </c>
      <c r="AD1224" s="23">
        <f t="shared" ref="AD1224:AE1224" si="2504">AD1194</f>
        <v>44</v>
      </c>
      <c r="AE1224" s="23">
        <f t="shared" si="2504"/>
        <v>48</v>
      </c>
    </row>
    <row r="1225" spans="1:31">
      <c r="A1225" s="4">
        <v>13200</v>
      </c>
      <c r="B1225" s="4">
        <v>24</v>
      </c>
      <c r="C1225" s="19" t="s">
        <v>69</v>
      </c>
      <c r="D1225" s="44">
        <v>0</v>
      </c>
      <c r="E1225" s="18">
        <f t="shared" si="2459"/>
        <v>224</v>
      </c>
      <c r="F1225" s="18">
        <v>0</v>
      </c>
      <c r="G1225" s="18">
        <v>0</v>
      </c>
      <c r="H1225" s="45">
        <v>0</v>
      </c>
      <c r="I1225" s="21">
        <f t="shared" si="2421"/>
        <v>330</v>
      </c>
      <c r="J1225" s="21">
        <f t="shared" si="2374"/>
        <v>23</v>
      </c>
      <c r="K1225" s="21">
        <v>0</v>
      </c>
      <c r="L1225" s="20">
        <v>6</v>
      </c>
      <c r="M1225" s="20">
        <v>0</v>
      </c>
      <c r="N1225" s="20">
        <f t="shared" si="2422"/>
        <v>9600</v>
      </c>
      <c r="O1225" s="19" t="s">
        <v>69</v>
      </c>
      <c r="P1225" s="20">
        <v>6400</v>
      </c>
      <c r="Q1225" s="20">
        <f t="shared" ref="Q1225:X1225" si="2505">Q1195</f>
        <v>960</v>
      </c>
      <c r="R1225" s="20">
        <f t="shared" si="2505"/>
        <v>3840</v>
      </c>
      <c r="S1225" s="20">
        <f t="shared" si="2505"/>
        <v>6720</v>
      </c>
      <c r="T1225" s="20">
        <f t="shared" si="2505"/>
        <v>8640</v>
      </c>
      <c r="U1225" s="20">
        <f t="shared" si="2505"/>
        <v>100</v>
      </c>
      <c r="V1225" s="20">
        <f t="shared" si="2505"/>
        <v>500</v>
      </c>
      <c r="W1225" s="20">
        <f t="shared" si="2505"/>
        <v>900</v>
      </c>
      <c r="X1225" s="20">
        <f t="shared" si="2505"/>
        <v>6</v>
      </c>
      <c r="Y1225" s="20">
        <v>0</v>
      </c>
      <c r="Z1225" s="20">
        <f t="shared" si="2461"/>
        <v>0</v>
      </c>
      <c r="AA1225" s="20">
        <v>0</v>
      </c>
      <c r="AB1225" s="20">
        <v>0</v>
      </c>
      <c r="AC1225" s="20">
        <v>0</v>
      </c>
      <c r="AD1225" s="23">
        <f t="shared" ref="AD1225:AE1225" si="2506">AD1195</f>
        <v>46</v>
      </c>
      <c r="AE1225" s="23">
        <f t="shared" si="2506"/>
        <v>50</v>
      </c>
    </row>
    <row r="1226" spans="1:31">
      <c r="A1226" s="4">
        <v>13200</v>
      </c>
      <c r="B1226" s="4">
        <v>25</v>
      </c>
      <c r="C1226" s="19" t="s">
        <v>70</v>
      </c>
      <c r="D1226" s="44">
        <v>0</v>
      </c>
      <c r="E1226" s="18">
        <f t="shared" si="2459"/>
        <v>242</v>
      </c>
      <c r="F1226" s="18">
        <v>0</v>
      </c>
      <c r="G1226" s="18">
        <v>0</v>
      </c>
      <c r="H1226" s="45">
        <v>0</v>
      </c>
      <c r="I1226" s="21">
        <f t="shared" si="2421"/>
        <v>385</v>
      </c>
      <c r="J1226" s="21">
        <f t="shared" si="2374"/>
        <v>24</v>
      </c>
      <c r="K1226" s="21">
        <v>0</v>
      </c>
      <c r="L1226" s="20">
        <v>6</v>
      </c>
      <c r="M1226" s="20">
        <v>0</v>
      </c>
      <c r="N1226" s="20">
        <f t="shared" si="2422"/>
        <v>12500</v>
      </c>
      <c r="O1226" s="19" t="s">
        <v>70</v>
      </c>
      <c r="P1226" s="20">
        <v>3100</v>
      </c>
      <c r="Q1226" s="20">
        <f t="shared" ref="Q1226:X1226" si="2507">Q1196</f>
        <v>1250</v>
      </c>
      <c r="R1226" s="20">
        <f t="shared" si="2507"/>
        <v>5000</v>
      </c>
      <c r="S1226" s="20">
        <f t="shared" si="2507"/>
        <v>8750</v>
      </c>
      <c r="T1226" s="20">
        <f t="shared" si="2507"/>
        <v>11250</v>
      </c>
      <c r="U1226" s="20">
        <f t="shared" si="2507"/>
        <v>10</v>
      </c>
      <c r="V1226" s="20">
        <f t="shared" si="2507"/>
        <v>1300</v>
      </c>
      <c r="W1226" s="20">
        <f t="shared" si="2507"/>
        <v>1000</v>
      </c>
      <c r="X1226" s="20">
        <f t="shared" si="2507"/>
        <v>7</v>
      </c>
      <c r="Y1226" s="20">
        <v>0</v>
      </c>
      <c r="Z1226" s="20">
        <f t="shared" si="2461"/>
        <v>0</v>
      </c>
      <c r="AA1226" s="20">
        <v>0</v>
      </c>
      <c r="AB1226" s="20">
        <v>0</v>
      </c>
      <c r="AC1226" s="20">
        <v>0</v>
      </c>
      <c r="AD1226" s="23">
        <f t="shared" ref="AD1226:AE1226" si="2508">AD1196</f>
        <v>48</v>
      </c>
      <c r="AE1226" s="23">
        <f t="shared" si="2508"/>
        <v>52</v>
      </c>
    </row>
    <row r="1227" spans="1:31">
      <c r="A1227" s="4">
        <v>13200</v>
      </c>
      <c r="B1227" s="4">
        <v>26</v>
      </c>
      <c r="C1227" s="19" t="s">
        <v>71</v>
      </c>
      <c r="D1227" s="44">
        <v>0</v>
      </c>
      <c r="E1227" s="18">
        <f t="shared" si="2459"/>
        <v>262</v>
      </c>
      <c r="F1227" s="18">
        <v>0</v>
      </c>
      <c r="G1227" s="18">
        <v>0</v>
      </c>
      <c r="H1227" s="45">
        <v>0</v>
      </c>
      <c r="I1227" s="21">
        <f t="shared" si="2421"/>
        <v>385</v>
      </c>
      <c r="J1227" s="21">
        <f t="shared" ref="J1227:J1290" si="2509">B1227-1</f>
        <v>25</v>
      </c>
      <c r="K1227" s="21">
        <v>0</v>
      </c>
      <c r="L1227" s="20">
        <v>6</v>
      </c>
      <c r="M1227" s="20">
        <v>0</v>
      </c>
      <c r="N1227" s="20">
        <f t="shared" si="2422"/>
        <v>13000</v>
      </c>
      <c r="O1227" s="19" t="s">
        <v>71</v>
      </c>
      <c r="P1227" s="20">
        <v>1777</v>
      </c>
      <c r="Q1227" s="20">
        <f t="shared" ref="Q1227:X1227" si="2510">Q1197</f>
        <v>1300</v>
      </c>
      <c r="R1227" s="20">
        <f t="shared" si="2510"/>
        <v>5200</v>
      </c>
      <c r="S1227" s="20">
        <f t="shared" si="2510"/>
        <v>9100</v>
      </c>
      <c r="T1227" s="20">
        <f t="shared" si="2510"/>
        <v>11700</v>
      </c>
      <c r="U1227" s="20">
        <f t="shared" si="2510"/>
        <v>90</v>
      </c>
      <c r="V1227" s="20">
        <f t="shared" si="2510"/>
        <v>800</v>
      </c>
      <c r="W1227" s="20">
        <f t="shared" si="2510"/>
        <v>2000</v>
      </c>
      <c r="X1227" s="20">
        <f t="shared" si="2510"/>
        <v>7</v>
      </c>
      <c r="Y1227" s="20">
        <v>0</v>
      </c>
      <c r="Z1227" s="20">
        <f t="shared" si="2461"/>
        <v>0</v>
      </c>
      <c r="AA1227" s="20">
        <v>0</v>
      </c>
      <c r="AB1227" s="20">
        <v>0</v>
      </c>
      <c r="AC1227" s="20">
        <v>0</v>
      </c>
      <c r="AD1227" s="23">
        <f t="shared" ref="AD1227:AE1227" si="2511">AD1197</f>
        <v>50</v>
      </c>
      <c r="AE1227" s="23">
        <f t="shared" si="2511"/>
        <v>54</v>
      </c>
    </row>
    <row r="1228" spans="1:31">
      <c r="A1228" s="4">
        <v>13200</v>
      </c>
      <c r="B1228" s="4">
        <v>27</v>
      </c>
      <c r="C1228" s="19" t="s">
        <v>72</v>
      </c>
      <c r="D1228" s="44">
        <v>0</v>
      </c>
      <c r="E1228" s="18">
        <f t="shared" si="2459"/>
        <v>284</v>
      </c>
      <c r="F1228" s="18">
        <v>0</v>
      </c>
      <c r="G1228" s="18">
        <v>0</v>
      </c>
      <c r="H1228" s="45">
        <v>0</v>
      </c>
      <c r="I1228" s="21">
        <f t="shared" si="2421"/>
        <v>385</v>
      </c>
      <c r="J1228" s="21">
        <f t="shared" si="2509"/>
        <v>26</v>
      </c>
      <c r="K1228" s="21">
        <v>0</v>
      </c>
      <c r="L1228" s="20">
        <v>6</v>
      </c>
      <c r="M1228" s="20">
        <v>0</v>
      </c>
      <c r="N1228" s="20">
        <f t="shared" si="2422"/>
        <v>13500</v>
      </c>
      <c r="O1228" s="19" t="s">
        <v>72</v>
      </c>
      <c r="P1228" s="20">
        <v>2332</v>
      </c>
      <c r="Q1228" s="20">
        <f t="shared" ref="Q1228:X1228" si="2512">Q1198</f>
        <v>1350</v>
      </c>
      <c r="R1228" s="20">
        <f t="shared" si="2512"/>
        <v>5400</v>
      </c>
      <c r="S1228" s="20">
        <f t="shared" si="2512"/>
        <v>9450</v>
      </c>
      <c r="T1228" s="20">
        <f t="shared" si="2512"/>
        <v>12150</v>
      </c>
      <c r="U1228" s="20">
        <f t="shared" si="2512"/>
        <v>80</v>
      </c>
      <c r="V1228" s="20">
        <f t="shared" si="2512"/>
        <v>700</v>
      </c>
      <c r="W1228" s="20">
        <f t="shared" si="2512"/>
        <v>800</v>
      </c>
      <c r="X1228" s="20">
        <f t="shared" si="2512"/>
        <v>7</v>
      </c>
      <c r="Y1228" s="20">
        <v>0</v>
      </c>
      <c r="Z1228" s="20">
        <f t="shared" si="2461"/>
        <v>0</v>
      </c>
      <c r="AA1228" s="20">
        <v>0</v>
      </c>
      <c r="AB1228" s="20">
        <v>0</v>
      </c>
      <c r="AC1228" s="20">
        <v>0</v>
      </c>
      <c r="AD1228" s="23">
        <f t="shared" ref="AD1228:AE1228" si="2513">AD1198</f>
        <v>52</v>
      </c>
      <c r="AE1228" s="23">
        <f t="shared" si="2513"/>
        <v>56</v>
      </c>
    </row>
    <row r="1229" spans="1:31">
      <c r="A1229" s="4">
        <v>13200</v>
      </c>
      <c r="B1229" s="4">
        <v>28</v>
      </c>
      <c r="C1229" s="19" t="s">
        <v>73</v>
      </c>
      <c r="D1229" s="44">
        <v>0</v>
      </c>
      <c r="E1229" s="18">
        <f t="shared" si="2459"/>
        <v>307</v>
      </c>
      <c r="F1229" s="18">
        <v>0</v>
      </c>
      <c r="G1229" s="18">
        <v>0</v>
      </c>
      <c r="H1229" s="45">
        <v>0</v>
      </c>
      <c r="I1229" s="21">
        <f t="shared" si="2421"/>
        <v>385</v>
      </c>
      <c r="J1229" s="21">
        <f t="shared" si="2509"/>
        <v>27</v>
      </c>
      <c r="K1229" s="21">
        <v>0</v>
      </c>
      <c r="L1229" s="20">
        <v>6</v>
      </c>
      <c r="M1229" s="20">
        <v>0</v>
      </c>
      <c r="N1229" s="20">
        <f t="shared" si="2422"/>
        <v>14000</v>
      </c>
      <c r="O1229" s="19" t="s">
        <v>73</v>
      </c>
      <c r="P1229" s="20">
        <v>1487</v>
      </c>
      <c r="Q1229" s="20">
        <f t="shared" ref="Q1229:X1229" si="2514">Q1199</f>
        <v>1400</v>
      </c>
      <c r="R1229" s="20">
        <f t="shared" si="2514"/>
        <v>5600</v>
      </c>
      <c r="S1229" s="20">
        <f t="shared" si="2514"/>
        <v>9800</v>
      </c>
      <c r="T1229" s="20">
        <f t="shared" si="2514"/>
        <v>12600</v>
      </c>
      <c r="U1229" s="20">
        <f t="shared" si="2514"/>
        <v>80</v>
      </c>
      <c r="V1229" s="20">
        <f t="shared" si="2514"/>
        <v>500</v>
      </c>
      <c r="W1229" s="20">
        <f t="shared" si="2514"/>
        <v>600</v>
      </c>
      <c r="X1229" s="20">
        <f t="shared" si="2514"/>
        <v>7</v>
      </c>
      <c r="Y1229" s="20">
        <v>0</v>
      </c>
      <c r="Z1229" s="20">
        <f t="shared" si="2461"/>
        <v>162</v>
      </c>
      <c r="AA1229" s="20">
        <v>0</v>
      </c>
      <c r="AB1229" s="20">
        <v>0</v>
      </c>
      <c r="AC1229" s="20">
        <v>0</v>
      </c>
      <c r="AD1229" s="23">
        <f t="shared" ref="AD1229:AE1229" si="2515">AD1199</f>
        <v>54</v>
      </c>
      <c r="AE1229" s="23">
        <f t="shared" si="2515"/>
        <v>58</v>
      </c>
    </row>
    <row r="1230" spans="1:31">
      <c r="A1230" s="4">
        <v>13200</v>
      </c>
      <c r="B1230" s="4">
        <v>29</v>
      </c>
      <c r="C1230" s="19" t="s">
        <v>74</v>
      </c>
      <c r="D1230" s="44">
        <v>0</v>
      </c>
      <c r="E1230" s="18">
        <f t="shared" si="2459"/>
        <v>333</v>
      </c>
      <c r="F1230" s="18">
        <v>0</v>
      </c>
      <c r="G1230" s="18">
        <v>0</v>
      </c>
      <c r="H1230" s="45">
        <v>0</v>
      </c>
      <c r="I1230" s="21">
        <f t="shared" si="2421"/>
        <v>440</v>
      </c>
      <c r="J1230" s="21">
        <f t="shared" si="2509"/>
        <v>28</v>
      </c>
      <c r="K1230" s="21">
        <v>0</v>
      </c>
      <c r="L1230" s="20">
        <v>6</v>
      </c>
      <c r="M1230" s="20">
        <v>0</v>
      </c>
      <c r="N1230" s="20">
        <f t="shared" si="2422"/>
        <v>14500</v>
      </c>
      <c r="O1230" s="19" t="s">
        <v>74</v>
      </c>
      <c r="P1230" s="20">
        <v>1518</v>
      </c>
      <c r="Q1230" s="20">
        <f t="shared" ref="Q1230:X1230" si="2516">Q1200</f>
        <v>1450</v>
      </c>
      <c r="R1230" s="20">
        <f t="shared" si="2516"/>
        <v>5800</v>
      </c>
      <c r="S1230" s="20">
        <f t="shared" si="2516"/>
        <v>10150</v>
      </c>
      <c r="T1230" s="20">
        <f t="shared" si="2516"/>
        <v>13050</v>
      </c>
      <c r="U1230" s="20">
        <f t="shared" si="2516"/>
        <v>80</v>
      </c>
      <c r="V1230" s="20">
        <f t="shared" si="2516"/>
        <v>600</v>
      </c>
      <c r="W1230" s="20">
        <f t="shared" si="2516"/>
        <v>700</v>
      </c>
      <c r="X1230" s="20">
        <f t="shared" si="2516"/>
        <v>8</v>
      </c>
      <c r="Y1230" s="20">
        <v>0</v>
      </c>
      <c r="Z1230" s="20">
        <f t="shared" si="2461"/>
        <v>0</v>
      </c>
      <c r="AA1230" s="20">
        <v>0</v>
      </c>
      <c r="AB1230" s="20">
        <v>0</v>
      </c>
      <c r="AC1230" s="20">
        <v>0</v>
      </c>
      <c r="AD1230" s="23">
        <f t="shared" ref="AD1230:AE1230" si="2517">AD1200</f>
        <v>56</v>
      </c>
      <c r="AE1230" s="23">
        <f t="shared" si="2517"/>
        <v>60</v>
      </c>
    </row>
    <row r="1231" spans="1:31">
      <c r="A1231" s="4">
        <v>13200</v>
      </c>
      <c r="B1231" s="4">
        <v>30</v>
      </c>
      <c r="C1231" s="19" t="s">
        <v>75</v>
      </c>
      <c r="D1231" s="44">
        <v>0</v>
      </c>
      <c r="E1231" s="18">
        <f t="shared" si="2459"/>
        <v>360</v>
      </c>
      <c r="F1231" s="18">
        <v>0</v>
      </c>
      <c r="G1231" s="18">
        <v>0</v>
      </c>
      <c r="H1231" s="45">
        <v>0</v>
      </c>
      <c r="I1231" s="21">
        <f t="shared" si="2421"/>
        <v>440</v>
      </c>
      <c r="J1231" s="21">
        <f t="shared" si="2509"/>
        <v>29</v>
      </c>
      <c r="K1231" s="21">
        <v>0</v>
      </c>
      <c r="L1231" s="20">
        <v>6</v>
      </c>
      <c r="M1231" s="20">
        <v>0</v>
      </c>
      <c r="N1231" s="20">
        <f t="shared" si="2422"/>
        <v>15000</v>
      </c>
      <c r="O1231" s="19" t="s">
        <v>75</v>
      </c>
      <c r="P1231" s="20">
        <v>861</v>
      </c>
      <c r="Q1231" s="20">
        <f t="shared" ref="Q1231:X1231" si="2518">Q1201</f>
        <v>1500</v>
      </c>
      <c r="R1231" s="20">
        <f t="shared" si="2518"/>
        <v>6000</v>
      </c>
      <c r="S1231" s="20">
        <f t="shared" si="2518"/>
        <v>10500</v>
      </c>
      <c r="T1231" s="20">
        <f t="shared" si="2518"/>
        <v>13500</v>
      </c>
      <c r="U1231" s="20">
        <f t="shared" si="2518"/>
        <v>20</v>
      </c>
      <c r="V1231" s="20">
        <f t="shared" si="2518"/>
        <v>450</v>
      </c>
      <c r="W1231" s="20">
        <f t="shared" si="2518"/>
        <v>1000</v>
      </c>
      <c r="X1231" s="20">
        <f t="shared" si="2518"/>
        <v>8</v>
      </c>
      <c r="Y1231" s="20">
        <v>0</v>
      </c>
      <c r="Z1231" s="20">
        <f t="shared" si="2461"/>
        <v>0</v>
      </c>
      <c r="AA1231" s="20">
        <v>0</v>
      </c>
      <c r="AB1231" s="20">
        <v>0</v>
      </c>
      <c r="AC1231" s="20">
        <v>0</v>
      </c>
      <c r="AD1231" s="23">
        <f t="shared" ref="AD1231:AE1231" si="2519">AD1201</f>
        <v>58</v>
      </c>
      <c r="AE1231" s="23">
        <f t="shared" si="2519"/>
        <v>62</v>
      </c>
    </row>
    <row r="1232" spans="1:31">
      <c r="A1232" s="4">
        <v>13201</v>
      </c>
      <c r="B1232" s="4">
        <v>1</v>
      </c>
      <c r="C1232" s="29" t="s">
        <v>66</v>
      </c>
      <c r="D1232" s="46">
        <v>0</v>
      </c>
      <c r="E1232" s="18">
        <f t="shared" si="2459"/>
        <v>72</v>
      </c>
      <c r="F1232" s="28">
        <v>0</v>
      </c>
      <c r="G1232" s="28">
        <v>0</v>
      </c>
      <c r="H1232" s="47">
        <v>0</v>
      </c>
      <c r="I1232" s="21">
        <f t="shared" si="2421"/>
        <v>55</v>
      </c>
      <c r="J1232" s="21">
        <f t="shared" si="2509"/>
        <v>0</v>
      </c>
      <c r="K1232" s="21">
        <v>0</v>
      </c>
      <c r="L1232" s="20">
        <v>45</v>
      </c>
      <c r="M1232" s="20">
        <v>0</v>
      </c>
      <c r="N1232" s="20">
        <f t="shared" si="2422"/>
        <v>10</v>
      </c>
      <c r="O1232" s="19" t="s">
        <v>66</v>
      </c>
      <c r="P1232" s="20">
        <v>9400</v>
      </c>
      <c r="Q1232" s="20">
        <f t="shared" ref="Q1232:X1232" si="2520">Q1202</f>
        <v>1</v>
      </c>
      <c r="R1232" s="20">
        <f t="shared" si="2520"/>
        <v>4</v>
      </c>
      <c r="S1232" s="20">
        <f t="shared" si="2520"/>
        <v>7</v>
      </c>
      <c r="T1232" s="20">
        <f t="shared" si="2520"/>
        <v>9</v>
      </c>
      <c r="U1232" s="20">
        <f t="shared" si="2520"/>
        <v>9400</v>
      </c>
      <c r="V1232" s="20">
        <f t="shared" si="2520"/>
        <v>9400</v>
      </c>
      <c r="W1232" s="20">
        <f t="shared" si="2520"/>
        <v>9400</v>
      </c>
      <c r="X1232" s="20">
        <f t="shared" si="2520"/>
        <v>1</v>
      </c>
      <c r="Y1232" s="27">
        <v>0</v>
      </c>
      <c r="Z1232" s="20">
        <f t="shared" si="2461"/>
        <v>0</v>
      </c>
      <c r="AA1232" s="27">
        <v>0</v>
      </c>
      <c r="AB1232" s="27">
        <v>0</v>
      </c>
      <c r="AC1232" s="27">
        <v>0</v>
      </c>
      <c r="AD1232" s="23">
        <f t="shared" ref="AD1232:AE1232" si="2521">AD1202</f>
        <v>1</v>
      </c>
      <c r="AE1232" s="23">
        <f t="shared" si="2521"/>
        <v>3</v>
      </c>
    </row>
    <row r="1233" spans="1:31">
      <c r="A1233" s="4">
        <v>13201</v>
      </c>
      <c r="B1233" s="4">
        <v>2</v>
      </c>
      <c r="C1233" s="29" t="s">
        <v>67</v>
      </c>
      <c r="D1233" s="46">
        <v>0</v>
      </c>
      <c r="E1233" s="18">
        <f t="shared" si="2459"/>
        <v>78</v>
      </c>
      <c r="F1233" s="28">
        <v>0</v>
      </c>
      <c r="G1233" s="28">
        <v>0</v>
      </c>
      <c r="H1233" s="47">
        <v>0</v>
      </c>
      <c r="I1233" s="21">
        <f t="shared" si="2421"/>
        <v>55</v>
      </c>
      <c r="J1233" s="21">
        <f t="shared" si="2509"/>
        <v>1</v>
      </c>
      <c r="K1233" s="21">
        <v>0</v>
      </c>
      <c r="L1233" s="20">
        <v>40</v>
      </c>
      <c r="M1233" s="20">
        <v>0</v>
      </c>
      <c r="N1233" s="20">
        <f t="shared" si="2422"/>
        <v>20</v>
      </c>
      <c r="O1233" s="19" t="s">
        <v>67</v>
      </c>
      <c r="P1233" s="20">
        <v>9100</v>
      </c>
      <c r="Q1233" s="20">
        <f t="shared" ref="Q1233:X1233" si="2522">Q1203</f>
        <v>2</v>
      </c>
      <c r="R1233" s="20">
        <f t="shared" si="2522"/>
        <v>8</v>
      </c>
      <c r="S1233" s="20">
        <f t="shared" si="2522"/>
        <v>14</v>
      </c>
      <c r="T1233" s="20">
        <f t="shared" si="2522"/>
        <v>18</v>
      </c>
      <c r="U1233" s="20">
        <f t="shared" si="2522"/>
        <v>4000</v>
      </c>
      <c r="V1233" s="20">
        <f t="shared" si="2522"/>
        <v>8000</v>
      </c>
      <c r="W1233" s="20">
        <f t="shared" si="2522"/>
        <v>8000</v>
      </c>
      <c r="X1233" s="20">
        <f t="shared" si="2522"/>
        <v>1</v>
      </c>
      <c r="Y1233" s="27">
        <v>0</v>
      </c>
      <c r="Z1233" s="20">
        <f t="shared" si="2461"/>
        <v>0</v>
      </c>
      <c r="AA1233" s="27">
        <v>0</v>
      </c>
      <c r="AB1233" s="27">
        <v>0</v>
      </c>
      <c r="AC1233" s="27">
        <v>0</v>
      </c>
      <c r="AD1233" s="23">
        <f t="shared" ref="AD1233:AE1233" si="2523">AD1203</f>
        <v>2</v>
      </c>
      <c r="AE1233" s="23">
        <f t="shared" si="2523"/>
        <v>5</v>
      </c>
    </row>
    <row r="1234" spans="1:31">
      <c r="A1234" s="8">
        <v>13201</v>
      </c>
      <c r="B1234" s="8">
        <v>3</v>
      </c>
      <c r="C1234" s="29" t="s">
        <v>68</v>
      </c>
      <c r="D1234" s="46">
        <v>0</v>
      </c>
      <c r="E1234" s="18">
        <f t="shared" si="2459"/>
        <v>84</v>
      </c>
      <c r="F1234" s="28">
        <v>0</v>
      </c>
      <c r="G1234" s="28">
        <v>0</v>
      </c>
      <c r="H1234" s="47">
        <v>0</v>
      </c>
      <c r="I1234" s="21">
        <f t="shared" si="2421"/>
        <v>55</v>
      </c>
      <c r="J1234" s="21">
        <f t="shared" si="2509"/>
        <v>2</v>
      </c>
      <c r="K1234" s="21">
        <v>0</v>
      </c>
      <c r="L1234" s="20">
        <v>35</v>
      </c>
      <c r="M1234" s="20">
        <v>0</v>
      </c>
      <c r="N1234" s="20">
        <f t="shared" si="2422"/>
        <v>40</v>
      </c>
      <c r="O1234" s="19" t="s">
        <v>68</v>
      </c>
      <c r="P1234" s="20">
        <v>8600</v>
      </c>
      <c r="Q1234" s="20">
        <f t="shared" ref="Q1234:X1234" si="2524">Q1204</f>
        <v>4</v>
      </c>
      <c r="R1234" s="20">
        <f t="shared" si="2524"/>
        <v>16</v>
      </c>
      <c r="S1234" s="20">
        <f t="shared" si="2524"/>
        <v>28</v>
      </c>
      <c r="T1234" s="20">
        <f t="shared" si="2524"/>
        <v>36</v>
      </c>
      <c r="U1234" s="20">
        <f t="shared" si="2524"/>
        <v>1600</v>
      </c>
      <c r="V1234" s="20">
        <f t="shared" si="2524"/>
        <v>5000</v>
      </c>
      <c r="W1234" s="20">
        <f t="shared" si="2524"/>
        <v>6000</v>
      </c>
      <c r="X1234" s="20">
        <f t="shared" si="2524"/>
        <v>1</v>
      </c>
      <c r="Y1234" s="27">
        <v>0</v>
      </c>
      <c r="Z1234" s="20">
        <f t="shared" si="2461"/>
        <v>0</v>
      </c>
      <c r="AA1234" s="27">
        <v>0</v>
      </c>
      <c r="AB1234" s="27">
        <v>0</v>
      </c>
      <c r="AC1234" s="27">
        <v>0</v>
      </c>
      <c r="AD1234" s="23">
        <f t="shared" ref="AD1234:AE1234" si="2525">AD1204</f>
        <v>4</v>
      </c>
      <c r="AE1234" s="23">
        <f t="shared" si="2525"/>
        <v>8</v>
      </c>
    </row>
    <row r="1235" spans="1:31">
      <c r="A1235" s="4">
        <v>13201</v>
      </c>
      <c r="B1235" s="4">
        <v>4</v>
      </c>
      <c r="C1235" s="29" t="s">
        <v>69</v>
      </c>
      <c r="D1235" s="46">
        <v>0</v>
      </c>
      <c r="E1235" s="18">
        <f t="shared" si="2459"/>
        <v>91</v>
      </c>
      <c r="F1235" s="28">
        <v>0</v>
      </c>
      <c r="G1235" s="28">
        <v>0</v>
      </c>
      <c r="H1235" s="47">
        <v>0</v>
      </c>
      <c r="I1235" s="21">
        <f t="shared" si="2421"/>
        <v>55</v>
      </c>
      <c r="J1235" s="21">
        <f t="shared" si="2509"/>
        <v>3</v>
      </c>
      <c r="K1235" s="21">
        <v>0</v>
      </c>
      <c r="L1235" s="20">
        <v>30</v>
      </c>
      <c r="M1235" s="20">
        <v>0</v>
      </c>
      <c r="N1235" s="20">
        <f t="shared" si="2422"/>
        <v>100</v>
      </c>
      <c r="O1235" s="19" t="s">
        <v>69</v>
      </c>
      <c r="P1235" s="20">
        <v>6400</v>
      </c>
      <c r="Q1235" s="20">
        <f t="shared" ref="Q1235:X1235" si="2526">Q1205</f>
        <v>10</v>
      </c>
      <c r="R1235" s="20">
        <f t="shared" si="2526"/>
        <v>40</v>
      </c>
      <c r="S1235" s="20">
        <f t="shared" si="2526"/>
        <v>70</v>
      </c>
      <c r="T1235" s="20">
        <f t="shared" si="2526"/>
        <v>90</v>
      </c>
      <c r="U1235" s="20">
        <f t="shared" si="2526"/>
        <v>900</v>
      </c>
      <c r="V1235" s="20">
        <f t="shared" si="2526"/>
        <v>2000</v>
      </c>
      <c r="W1235" s="20">
        <f t="shared" si="2526"/>
        <v>8000</v>
      </c>
      <c r="X1235" s="20">
        <f t="shared" si="2526"/>
        <v>1</v>
      </c>
      <c r="Y1235" s="27">
        <v>0</v>
      </c>
      <c r="Z1235" s="20">
        <f t="shared" si="2461"/>
        <v>0</v>
      </c>
      <c r="AA1235" s="27">
        <v>0</v>
      </c>
      <c r="AB1235" s="27">
        <v>0</v>
      </c>
      <c r="AC1235" s="27">
        <v>0</v>
      </c>
      <c r="AD1235" s="23">
        <f t="shared" ref="AD1235:AE1235" si="2527">AD1205</f>
        <v>6</v>
      </c>
      <c r="AE1235" s="23">
        <f t="shared" si="2527"/>
        <v>10</v>
      </c>
    </row>
    <row r="1236" spans="1:31">
      <c r="A1236" s="4">
        <v>13201</v>
      </c>
      <c r="B1236" s="4">
        <v>5</v>
      </c>
      <c r="C1236" s="29" t="s">
        <v>70</v>
      </c>
      <c r="D1236" s="46">
        <v>0</v>
      </c>
      <c r="E1236" s="18">
        <f t="shared" si="2459"/>
        <v>99</v>
      </c>
      <c r="F1236" s="28">
        <v>0</v>
      </c>
      <c r="G1236" s="28">
        <v>0</v>
      </c>
      <c r="H1236" s="47">
        <v>0</v>
      </c>
      <c r="I1236" s="21">
        <f t="shared" si="2421"/>
        <v>110</v>
      </c>
      <c r="J1236" s="21">
        <f t="shared" si="2509"/>
        <v>4</v>
      </c>
      <c r="K1236" s="21">
        <v>0</v>
      </c>
      <c r="L1236" s="20">
        <v>25</v>
      </c>
      <c r="M1236" s="20">
        <v>0</v>
      </c>
      <c r="N1236" s="20">
        <f t="shared" si="2422"/>
        <v>200</v>
      </c>
      <c r="O1236" s="19" t="s">
        <v>70</v>
      </c>
      <c r="P1236" s="20">
        <v>3100</v>
      </c>
      <c r="Q1236" s="20">
        <f t="shared" ref="Q1236:X1236" si="2528">Q1206</f>
        <v>20</v>
      </c>
      <c r="R1236" s="20">
        <f t="shared" si="2528"/>
        <v>80</v>
      </c>
      <c r="S1236" s="20">
        <f t="shared" si="2528"/>
        <v>140</v>
      </c>
      <c r="T1236" s="20">
        <f t="shared" si="2528"/>
        <v>180</v>
      </c>
      <c r="U1236" s="20">
        <f t="shared" si="2528"/>
        <v>1000</v>
      </c>
      <c r="V1236" s="20">
        <f t="shared" si="2528"/>
        <v>2000</v>
      </c>
      <c r="W1236" s="20">
        <f t="shared" si="2528"/>
        <v>2000</v>
      </c>
      <c r="X1236" s="20">
        <f t="shared" si="2528"/>
        <v>2</v>
      </c>
      <c r="Y1236" s="27">
        <v>0</v>
      </c>
      <c r="Z1236" s="20">
        <f t="shared" si="2461"/>
        <v>0</v>
      </c>
      <c r="AA1236" s="27">
        <v>0</v>
      </c>
      <c r="AB1236" s="27">
        <v>0</v>
      </c>
      <c r="AC1236" s="27">
        <v>0</v>
      </c>
      <c r="AD1236" s="23">
        <f t="shared" ref="AD1236:AE1236" si="2529">AD1206</f>
        <v>8</v>
      </c>
      <c r="AE1236" s="23">
        <f t="shared" si="2529"/>
        <v>12</v>
      </c>
    </row>
    <row r="1237" spans="1:31">
      <c r="A1237" s="4">
        <v>13201</v>
      </c>
      <c r="B1237" s="4">
        <v>6</v>
      </c>
      <c r="C1237" s="29" t="s">
        <v>71</v>
      </c>
      <c r="D1237" s="46">
        <v>0</v>
      </c>
      <c r="E1237" s="18">
        <f t="shared" si="2459"/>
        <v>107</v>
      </c>
      <c r="F1237" s="28">
        <v>0</v>
      </c>
      <c r="G1237" s="28">
        <v>0</v>
      </c>
      <c r="H1237" s="47">
        <v>0</v>
      </c>
      <c r="I1237" s="21">
        <f t="shared" si="2421"/>
        <v>110</v>
      </c>
      <c r="J1237" s="21">
        <f t="shared" si="2509"/>
        <v>5</v>
      </c>
      <c r="K1237" s="21">
        <v>0</v>
      </c>
      <c r="L1237" s="20">
        <v>20</v>
      </c>
      <c r="M1237" s="20">
        <v>0</v>
      </c>
      <c r="N1237" s="20">
        <f t="shared" si="2422"/>
        <v>500</v>
      </c>
      <c r="O1237" s="19" t="s">
        <v>71</v>
      </c>
      <c r="P1237" s="20">
        <v>1777</v>
      </c>
      <c r="Q1237" s="20">
        <f t="shared" ref="Q1237:X1237" si="2530">Q1207</f>
        <v>50</v>
      </c>
      <c r="R1237" s="20">
        <f t="shared" si="2530"/>
        <v>200</v>
      </c>
      <c r="S1237" s="20">
        <f t="shared" si="2530"/>
        <v>350</v>
      </c>
      <c r="T1237" s="20">
        <f t="shared" si="2530"/>
        <v>450</v>
      </c>
      <c r="U1237" s="20">
        <f t="shared" si="2530"/>
        <v>800</v>
      </c>
      <c r="V1237" s="20">
        <f t="shared" si="2530"/>
        <v>800</v>
      </c>
      <c r="W1237" s="20">
        <f t="shared" si="2530"/>
        <v>600</v>
      </c>
      <c r="X1237" s="20">
        <f t="shared" si="2530"/>
        <v>2</v>
      </c>
      <c r="Y1237" s="27">
        <v>0</v>
      </c>
      <c r="Z1237" s="20">
        <f t="shared" si="2461"/>
        <v>0</v>
      </c>
      <c r="AA1237" s="27">
        <v>0</v>
      </c>
      <c r="AB1237" s="27">
        <v>0</v>
      </c>
      <c r="AC1237" s="27">
        <v>0</v>
      </c>
      <c r="AD1237" s="23">
        <f t="shared" ref="AD1237:AE1237" si="2531">AD1207</f>
        <v>10</v>
      </c>
      <c r="AE1237" s="23">
        <f t="shared" si="2531"/>
        <v>14</v>
      </c>
    </row>
    <row r="1238" spans="1:31">
      <c r="A1238" s="4">
        <v>13201</v>
      </c>
      <c r="B1238" s="4">
        <v>7</v>
      </c>
      <c r="C1238" s="29" t="s">
        <v>72</v>
      </c>
      <c r="D1238" s="46">
        <v>0</v>
      </c>
      <c r="E1238" s="18">
        <f t="shared" si="2459"/>
        <v>116</v>
      </c>
      <c r="F1238" s="28">
        <v>0</v>
      </c>
      <c r="G1238" s="28">
        <v>0</v>
      </c>
      <c r="H1238" s="47">
        <v>0</v>
      </c>
      <c r="I1238" s="21">
        <f t="shared" si="2421"/>
        <v>110</v>
      </c>
      <c r="J1238" s="21">
        <f t="shared" si="2509"/>
        <v>6</v>
      </c>
      <c r="K1238" s="21">
        <v>0</v>
      </c>
      <c r="L1238" s="20">
        <v>16</v>
      </c>
      <c r="M1238" s="20">
        <v>0</v>
      </c>
      <c r="N1238" s="20">
        <f t="shared" si="2422"/>
        <v>700</v>
      </c>
      <c r="O1238" s="19" t="s">
        <v>72</v>
      </c>
      <c r="P1238" s="20">
        <v>2332</v>
      </c>
      <c r="Q1238" s="20">
        <f t="shared" ref="Q1238:X1238" si="2532">Q1208</f>
        <v>70</v>
      </c>
      <c r="R1238" s="20">
        <f t="shared" si="2532"/>
        <v>280</v>
      </c>
      <c r="S1238" s="20">
        <f t="shared" si="2532"/>
        <v>489.99999999999994</v>
      </c>
      <c r="T1238" s="20">
        <f t="shared" si="2532"/>
        <v>630</v>
      </c>
      <c r="U1238" s="20">
        <f t="shared" si="2532"/>
        <v>650</v>
      </c>
      <c r="V1238" s="20">
        <f t="shared" si="2532"/>
        <v>800</v>
      </c>
      <c r="W1238" s="20">
        <f t="shared" si="2532"/>
        <v>300</v>
      </c>
      <c r="X1238" s="20">
        <f t="shared" si="2532"/>
        <v>2</v>
      </c>
      <c r="Y1238" s="27">
        <v>0</v>
      </c>
      <c r="Z1238" s="20">
        <f t="shared" si="2461"/>
        <v>0</v>
      </c>
      <c r="AA1238" s="27">
        <v>0</v>
      </c>
      <c r="AB1238" s="27">
        <v>0</v>
      </c>
      <c r="AC1238" s="27">
        <v>0</v>
      </c>
      <c r="AD1238" s="23">
        <f t="shared" ref="AD1238:AE1238" si="2533">AD1208</f>
        <v>12</v>
      </c>
      <c r="AE1238" s="23">
        <f t="shared" si="2533"/>
        <v>16</v>
      </c>
    </row>
    <row r="1239" spans="1:31">
      <c r="A1239" s="4">
        <v>13201</v>
      </c>
      <c r="B1239" s="4">
        <v>8</v>
      </c>
      <c r="C1239" s="29" t="s">
        <v>73</v>
      </c>
      <c r="D1239" s="46">
        <v>0</v>
      </c>
      <c r="E1239" s="18">
        <f t="shared" si="2459"/>
        <v>126</v>
      </c>
      <c r="F1239" s="28">
        <v>0</v>
      </c>
      <c r="G1239" s="28">
        <v>0</v>
      </c>
      <c r="H1239" s="47">
        <v>0</v>
      </c>
      <c r="I1239" s="21">
        <f t="shared" si="2421"/>
        <v>110</v>
      </c>
      <c r="J1239" s="21">
        <f t="shared" si="2509"/>
        <v>7</v>
      </c>
      <c r="K1239" s="21">
        <v>0</v>
      </c>
      <c r="L1239" s="20">
        <v>12</v>
      </c>
      <c r="M1239" s="20">
        <v>0</v>
      </c>
      <c r="N1239" s="20">
        <f t="shared" si="2422"/>
        <v>800</v>
      </c>
      <c r="O1239" s="19" t="s">
        <v>73</v>
      </c>
      <c r="P1239" s="20">
        <v>1487</v>
      </c>
      <c r="Q1239" s="20">
        <f t="shared" ref="Q1239:X1239" si="2534">Q1209</f>
        <v>80</v>
      </c>
      <c r="R1239" s="20">
        <f t="shared" si="2534"/>
        <v>320</v>
      </c>
      <c r="S1239" s="20">
        <f t="shared" si="2534"/>
        <v>560</v>
      </c>
      <c r="T1239" s="20">
        <f t="shared" si="2534"/>
        <v>720</v>
      </c>
      <c r="U1239" s="20">
        <f t="shared" si="2534"/>
        <v>200</v>
      </c>
      <c r="V1239" s="20">
        <f t="shared" si="2534"/>
        <v>2000</v>
      </c>
      <c r="W1239" s="20">
        <f t="shared" si="2534"/>
        <v>1000</v>
      </c>
      <c r="X1239" s="20">
        <f t="shared" si="2534"/>
        <v>2</v>
      </c>
      <c r="Y1239" s="27">
        <v>0</v>
      </c>
      <c r="Z1239" s="20">
        <f t="shared" si="2461"/>
        <v>37</v>
      </c>
      <c r="AA1239" s="27">
        <v>0</v>
      </c>
      <c r="AB1239" s="27">
        <v>0</v>
      </c>
      <c r="AC1239" s="27">
        <v>0</v>
      </c>
      <c r="AD1239" s="23">
        <f t="shared" ref="AD1239:AE1239" si="2535">AD1209</f>
        <v>14</v>
      </c>
      <c r="AE1239" s="23">
        <f t="shared" si="2535"/>
        <v>18</v>
      </c>
    </row>
    <row r="1240" spans="1:31">
      <c r="A1240" s="4">
        <v>13201</v>
      </c>
      <c r="B1240" s="4">
        <v>9</v>
      </c>
      <c r="C1240" s="29" t="s">
        <v>74</v>
      </c>
      <c r="D1240" s="46">
        <v>0</v>
      </c>
      <c r="E1240" s="18">
        <f t="shared" si="2459"/>
        <v>136</v>
      </c>
      <c r="F1240" s="28">
        <v>0</v>
      </c>
      <c r="G1240" s="28">
        <v>0</v>
      </c>
      <c r="H1240" s="47">
        <v>0</v>
      </c>
      <c r="I1240" s="21">
        <f t="shared" si="2421"/>
        <v>165</v>
      </c>
      <c r="J1240" s="21">
        <f t="shared" si="2509"/>
        <v>8</v>
      </c>
      <c r="K1240" s="21">
        <v>0</v>
      </c>
      <c r="L1240" s="20">
        <v>8</v>
      </c>
      <c r="M1240" s="20">
        <v>0</v>
      </c>
      <c r="N1240" s="20">
        <f t="shared" si="2422"/>
        <v>900</v>
      </c>
      <c r="O1240" s="19" t="s">
        <v>74</v>
      </c>
      <c r="P1240" s="20">
        <v>1518</v>
      </c>
      <c r="Q1240" s="20">
        <f t="shared" ref="Q1240:X1240" si="2536">Q1210</f>
        <v>90</v>
      </c>
      <c r="R1240" s="20">
        <f t="shared" si="2536"/>
        <v>360</v>
      </c>
      <c r="S1240" s="20">
        <f t="shared" si="2536"/>
        <v>630</v>
      </c>
      <c r="T1240" s="20">
        <f t="shared" si="2536"/>
        <v>810</v>
      </c>
      <c r="U1240" s="20">
        <f t="shared" si="2536"/>
        <v>120</v>
      </c>
      <c r="V1240" s="20">
        <f t="shared" si="2536"/>
        <v>1500</v>
      </c>
      <c r="W1240" s="20">
        <f t="shared" si="2536"/>
        <v>1000</v>
      </c>
      <c r="X1240" s="20">
        <f t="shared" si="2536"/>
        <v>3</v>
      </c>
      <c r="Y1240" s="27">
        <v>0</v>
      </c>
      <c r="Z1240" s="20">
        <f t="shared" si="2461"/>
        <v>0</v>
      </c>
      <c r="AA1240" s="27">
        <v>0</v>
      </c>
      <c r="AB1240" s="27">
        <v>0</v>
      </c>
      <c r="AC1240" s="27">
        <v>0</v>
      </c>
      <c r="AD1240" s="23">
        <f t="shared" ref="AD1240:AE1240" si="2537">AD1210</f>
        <v>16</v>
      </c>
      <c r="AE1240" s="23">
        <f t="shared" si="2537"/>
        <v>20</v>
      </c>
    </row>
    <row r="1241" spans="1:31">
      <c r="A1241" s="4">
        <v>13201</v>
      </c>
      <c r="B1241" s="4">
        <v>10</v>
      </c>
      <c r="C1241" s="29" t="s">
        <v>75</v>
      </c>
      <c r="D1241" s="46">
        <v>0</v>
      </c>
      <c r="E1241" s="18">
        <f t="shared" si="2459"/>
        <v>147</v>
      </c>
      <c r="F1241" s="28">
        <v>0</v>
      </c>
      <c r="G1241" s="28">
        <v>0</v>
      </c>
      <c r="H1241" s="47">
        <v>0</v>
      </c>
      <c r="I1241" s="21">
        <f t="shared" si="2421"/>
        <v>165</v>
      </c>
      <c r="J1241" s="21">
        <f t="shared" si="2509"/>
        <v>9</v>
      </c>
      <c r="K1241" s="21">
        <v>0</v>
      </c>
      <c r="L1241" s="20">
        <v>6</v>
      </c>
      <c r="M1241" s="20">
        <v>0</v>
      </c>
      <c r="N1241" s="20">
        <f t="shared" si="2422"/>
        <v>2000</v>
      </c>
      <c r="O1241" s="19" t="s">
        <v>75</v>
      </c>
      <c r="P1241" s="20">
        <v>861</v>
      </c>
      <c r="Q1241" s="20">
        <f t="shared" ref="Q1241:X1241" si="2538">Q1211</f>
        <v>200</v>
      </c>
      <c r="R1241" s="20">
        <f t="shared" si="2538"/>
        <v>800</v>
      </c>
      <c r="S1241" s="20">
        <f t="shared" si="2538"/>
        <v>1400</v>
      </c>
      <c r="T1241" s="20">
        <f t="shared" si="2538"/>
        <v>1800</v>
      </c>
      <c r="U1241" s="20">
        <f t="shared" si="2538"/>
        <v>150</v>
      </c>
      <c r="V1241" s="20">
        <f t="shared" si="2538"/>
        <v>5000</v>
      </c>
      <c r="W1241" s="20">
        <f t="shared" si="2538"/>
        <v>800</v>
      </c>
      <c r="X1241" s="20">
        <f t="shared" si="2538"/>
        <v>3</v>
      </c>
      <c r="Y1241" s="27">
        <v>0</v>
      </c>
      <c r="Z1241" s="20">
        <f t="shared" si="2461"/>
        <v>0</v>
      </c>
      <c r="AA1241" s="27">
        <v>0</v>
      </c>
      <c r="AB1241" s="27">
        <v>0</v>
      </c>
      <c r="AC1241" s="27">
        <v>0</v>
      </c>
      <c r="AD1241" s="23">
        <f t="shared" ref="AD1241:AE1241" si="2539">AD1211</f>
        <v>18</v>
      </c>
      <c r="AE1241" s="23">
        <f t="shared" si="2539"/>
        <v>22</v>
      </c>
    </row>
    <row r="1242" spans="1:31">
      <c r="A1242" s="4">
        <v>13201</v>
      </c>
      <c r="B1242" s="4">
        <v>11</v>
      </c>
      <c r="C1242" s="29" t="s">
        <v>66</v>
      </c>
      <c r="D1242" s="46">
        <v>0</v>
      </c>
      <c r="E1242" s="18">
        <f t="shared" si="2459"/>
        <v>159</v>
      </c>
      <c r="F1242" s="28">
        <v>0</v>
      </c>
      <c r="G1242" s="28">
        <v>0</v>
      </c>
      <c r="H1242" s="47">
        <v>0</v>
      </c>
      <c r="I1242" s="21">
        <f t="shared" si="2421"/>
        <v>165</v>
      </c>
      <c r="J1242" s="21">
        <f t="shared" si="2509"/>
        <v>10</v>
      </c>
      <c r="K1242" s="21">
        <v>0</v>
      </c>
      <c r="L1242" s="20">
        <v>6</v>
      </c>
      <c r="M1242" s="20">
        <v>0</v>
      </c>
      <c r="N1242" s="20">
        <f t="shared" si="2422"/>
        <v>2200</v>
      </c>
      <c r="O1242" s="19" t="s">
        <v>66</v>
      </c>
      <c r="P1242" s="20">
        <v>9400</v>
      </c>
      <c r="Q1242" s="20">
        <f t="shared" ref="Q1242:X1242" si="2540">Q1212</f>
        <v>220</v>
      </c>
      <c r="R1242" s="20">
        <f t="shared" si="2540"/>
        <v>880</v>
      </c>
      <c r="S1242" s="20">
        <f t="shared" si="2540"/>
        <v>1540</v>
      </c>
      <c r="T1242" s="20">
        <f t="shared" si="2540"/>
        <v>1980</v>
      </c>
      <c r="U1242" s="20">
        <f t="shared" si="2540"/>
        <v>100</v>
      </c>
      <c r="V1242" s="20">
        <f t="shared" si="2540"/>
        <v>800</v>
      </c>
      <c r="W1242" s="20">
        <f t="shared" si="2540"/>
        <v>600</v>
      </c>
      <c r="X1242" s="20">
        <f t="shared" si="2540"/>
        <v>3</v>
      </c>
      <c r="Y1242" s="27">
        <v>0</v>
      </c>
      <c r="Z1242" s="20">
        <f t="shared" si="2461"/>
        <v>0</v>
      </c>
      <c r="AA1242" s="27">
        <v>0</v>
      </c>
      <c r="AB1242" s="27">
        <v>0</v>
      </c>
      <c r="AC1242" s="27">
        <v>0</v>
      </c>
      <c r="AD1242" s="23">
        <f t="shared" ref="AD1242:AE1242" si="2541">AD1212</f>
        <v>20</v>
      </c>
      <c r="AE1242" s="23">
        <f t="shared" si="2541"/>
        <v>24</v>
      </c>
    </row>
    <row r="1243" spans="1:31">
      <c r="A1243" s="4">
        <v>13201</v>
      </c>
      <c r="B1243" s="4">
        <v>12</v>
      </c>
      <c r="C1243" s="29" t="s">
        <v>67</v>
      </c>
      <c r="D1243" s="46">
        <v>0</v>
      </c>
      <c r="E1243" s="18">
        <f t="shared" si="2459"/>
        <v>172</v>
      </c>
      <c r="F1243" s="28">
        <v>0</v>
      </c>
      <c r="G1243" s="28">
        <v>0</v>
      </c>
      <c r="H1243" s="47">
        <v>0</v>
      </c>
      <c r="I1243" s="21">
        <f t="shared" si="2421"/>
        <v>165</v>
      </c>
      <c r="J1243" s="21">
        <f t="shared" si="2509"/>
        <v>11</v>
      </c>
      <c r="K1243" s="21">
        <v>0</v>
      </c>
      <c r="L1243" s="20">
        <v>6</v>
      </c>
      <c r="M1243" s="20">
        <v>0</v>
      </c>
      <c r="N1243" s="20">
        <f t="shared" si="2422"/>
        <v>2400</v>
      </c>
      <c r="O1243" s="19" t="s">
        <v>67</v>
      </c>
      <c r="P1243" s="20">
        <v>9100</v>
      </c>
      <c r="Q1243" s="20">
        <f t="shared" ref="Q1243:X1243" si="2542">Q1213</f>
        <v>240</v>
      </c>
      <c r="R1243" s="20">
        <f t="shared" si="2542"/>
        <v>960</v>
      </c>
      <c r="S1243" s="20">
        <f t="shared" si="2542"/>
        <v>1680</v>
      </c>
      <c r="T1243" s="20">
        <f t="shared" si="2542"/>
        <v>2160</v>
      </c>
      <c r="U1243" s="20">
        <f t="shared" si="2542"/>
        <v>150</v>
      </c>
      <c r="V1243" s="20">
        <f t="shared" si="2542"/>
        <v>700</v>
      </c>
      <c r="W1243" s="20">
        <f t="shared" si="2542"/>
        <v>900</v>
      </c>
      <c r="X1243" s="20">
        <f t="shared" si="2542"/>
        <v>3</v>
      </c>
      <c r="Y1243" s="27">
        <v>0</v>
      </c>
      <c r="Z1243" s="20">
        <f t="shared" si="2461"/>
        <v>0</v>
      </c>
      <c r="AA1243" s="27">
        <v>0</v>
      </c>
      <c r="AB1243" s="27">
        <v>0</v>
      </c>
      <c r="AC1243" s="27">
        <v>0</v>
      </c>
      <c r="AD1243" s="23">
        <f t="shared" ref="AD1243:AE1243" si="2543">AD1213</f>
        <v>22</v>
      </c>
      <c r="AE1243" s="23">
        <f t="shared" si="2543"/>
        <v>26</v>
      </c>
    </row>
    <row r="1244" spans="1:31">
      <c r="A1244" s="4">
        <v>13201</v>
      </c>
      <c r="B1244" s="4">
        <v>13</v>
      </c>
      <c r="C1244" s="29" t="s">
        <v>68</v>
      </c>
      <c r="D1244" s="46">
        <v>0</v>
      </c>
      <c r="E1244" s="18">
        <f t="shared" si="2459"/>
        <v>187</v>
      </c>
      <c r="F1244" s="28">
        <v>0</v>
      </c>
      <c r="G1244" s="28">
        <v>0</v>
      </c>
      <c r="H1244" s="47">
        <v>0</v>
      </c>
      <c r="I1244" s="21">
        <f t="shared" si="2421"/>
        <v>220</v>
      </c>
      <c r="J1244" s="21">
        <f t="shared" si="2509"/>
        <v>12</v>
      </c>
      <c r="K1244" s="21">
        <v>0</v>
      </c>
      <c r="L1244" s="20">
        <v>6</v>
      </c>
      <c r="M1244" s="20">
        <v>0</v>
      </c>
      <c r="N1244" s="20">
        <f t="shared" si="2422"/>
        <v>2600</v>
      </c>
      <c r="O1244" s="19" t="s">
        <v>68</v>
      </c>
      <c r="P1244" s="20">
        <v>8600</v>
      </c>
      <c r="Q1244" s="20">
        <f t="shared" ref="Q1244:X1244" si="2544">Q1214</f>
        <v>260</v>
      </c>
      <c r="R1244" s="20">
        <f t="shared" si="2544"/>
        <v>1040</v>
      </c>
      <c r="S1244" s="20">
        <f t="shared" si="2544"/>
        <v>1819.9999999999998</v>
      </c>
      <c r="T1244" s="20">
        <f t="shared" si="2544"/>
        <v>2340</v>
      </c>
      <c r="U1244" s="20">
        <f t="shared" si="2544"/>
        <v>100</v>
      </c>
      <c r="V1244" s="20">
        <f t="shared" si="2544"/>
        <v>700</v>
      </c>
      <c r="W1244" s="20">
        <f t="shared" si="2544"/>
        <v>1000</v>
      </c>
      <c r="X1244" s="20">
        <f t="shared" si="2544"/>
        <v>4</v>
      </c>
      <c r="Y1244" s="27">
        <v>0</v>
      </c>
      <c r="Z1244" s="20">
        <f t="shared" si="2461"/>
        <v>75</v>
      </c>
      <c r="AA1244" s="27">
        <v>0</v>
      </c>
      <c r="AB1244" s="27">
        <v>0</v>
      </c>
      <c r="AC1244" s="27">
        <v>0</v>
      </c>
      <c r="AD1244" s="23">
        <f t="shared" ref="AD1244:AE1244" si="2545">AD1214</f>
        <v>24</v>
      </c>
      <c r="AE1244" s="23">
        <f t="shared" si="2545"/>
        <v>28</v>
      </c>
    </row>
    <row r="1245" spans="1:31">
      <c r="A1245" s="4">
        <v>13201</v>
      </c>
      <c r="B1245" s="4">
        <v>14</v>
      </c>
      <c r="C1245" s="29" t="s">
        <v>69</v>
      </c>
      <c r="D1245" s="46">
        <v>0</v>
      </c>
      <c r="E1245" s="18">
        <f t="shared" si="2459"/>
        <v>202</v>
      </c>
      <c r="F1245" s="28">
        <v>0</v>
      </c>
      <c r="G1245" s="28">
        <v>0</v>
      </c>
      <c r="H1245" s="47">
        <v>0</v>
      </c>
      <c r="I1245" s="21">
        <f t="shared" si="2421"/>
        <v>220</v>
      </c>
      <c r="J1245" s="21">
        <f t="shared" si="2509"/>
        <v>13</v>
      </c>
      <c r="K1245" s="21">
        <v>0</v>
      </c>
      <c r="L1245" s="20">
        <v>6</v>
      </c>
      <c r="M1245" s="20">
        <v>0</v>
      </c>
      <c r="N1245" s="20">
        <f t="shared" si="2422"/>
        <v>2800</v>
      </c>
      <c r="O1245" s="19" t="s">
        <v>69</v>
      </c>
      <c r="P1245" s="20">
        <v>6400</v>
      </c>
      <c r="Q1245" s="20">
        <f t="shared" ref="Q1245:X1245" si="2546">Q1215</f>
        <v>280</v>
      </c>
      <c r="R1245" s="20">
        <f t="shared" si="2546"/>
        <v>1120</v>
      </c>
      <c r="S1245" s="20">
        <f t="shared" si="2546"/>
        <v>1959.9999999999998</v>
      </c>
      <c r="T1245" s="20">
        <f t="shared" si="2546"/>
        <v>2520</v>
      </c>
      <c r="U1245" s="20">
        <f t="shared" si="2546"/>
        <v>100</v>
      </c>
      <c r="V1245" s="20">
        <f t="shared" si="2546"/>
        <v>400</v>
      </c>
      <c r="W1245" s="20">
        <f t="shared" si="2546"/>
        <v>1200</v>
      </c>
      <c r="X1245" s="20">
        <f t="shared" si="2546"/>
        <v>4</v>
      </c>
      <c r="Y1245" s="27">
        <v>0</v>
      </c>
      <c r="Z1245" s="20">
        <f t="shared" si="2461"/>
        <v>0</v>
      </c>
      <c r="AA1245" s="27">
        <v>0</v>
      </c>
      <c r="AB1245" s="27">
        <v>0</v>
      </c>
      <c r="AC1245" s="27">
        <v>0</v>
      </c>
      <c r="AD1245" s="23">
        <f t="shared" ref="AD1245:AE1245" si="2547">AD1215</f>
        <v>26</v>
      </c>
      <c r="AE1245" s="23">
        <f t="shared" si="2547"/>
        <v>30</v>
      </c>
    </row>
    <row r="1246" spans="1:31">
      <c r="A1246" s="8">
        <v>13201</v>
      </c>
      <c r="B1246" s="8">
        <v>15</v>
      </c>
      <c r="C1246" s="29" t="s">
        <v>70</v>
      </c>
      <c r="D1246" s="46">
        <v>0</v>
      </c>
      <c r="E1246" s="18">
        <f t="shared" si="2459"/>
        <v>219</v>
      </c>
      <c r="F1246" s="28">
        <v>0</v>
      </c>
      <c r="G1246" s="28">
        <v>0</v>
      </c>
      <c r="H1246" s="47">
        <v>0</v>
      </c>
      <c r="I1246" s="21">
        <f t="shared" si="2421"/>
        <v>220</v>
      </c>
      <c r="J1246" s="21">
        <f t="shared" si="2509"/>
        <v>14</v>
      </c>
      <c r="K1246" s="21">
        <v>0</v>
      </c>
      <c r="L1246" s="20">
        <v>6</v>
      </c>
      <c r="M1246" s="20">
        <v>0</v>
      </c>
      <c r="N1246" s="20">
        <f t="shared" si="2422"/>
        <v>4500</v>
      </c>
      <c r="O1246" s="19" t="s">
        <v>70</v>
      </c>
      <c r="P1246" s="20">
        <v>3100</v>
      </c>
      <c r="Q1246" s="20">
        <f t="shared" ref="Q1246:X1246" si="2548">Q1216</f>
        <v>450</v>
      </c>
      <c r="R1246" s="20">
        <f t="shared" si="2548"/>
        <v>1800</v>
      </c>
      <c r="S1246" s="20">
        <f t="shared" si="2548"/>
        <v>3150</v>
      </c>
      <c r="T1246" s="20">
        <f t="shared" si="2548"/>
        <v>4050</v>
      </c>
      <c r="U1246" s="20">
        <f t="shared" si="2548"/>
        <v>100</v>
      </c>
      <c r="V1246" s="20">
        <f t="shared" si="2548"/>
        <v>1000</v>
      </c>
      <c r="W1246" s="20">
        <f t="shared" si="2548"/>
        <v>600</v>
      </c>
      <c r="X1246" s="20">
        <f t="shared" si="2548"/>
        <v>4</v>
      </c>
      <c r="Y1246" s="27">
        <v>0</v>
      </c>
      <c r="Z1246" s="20">
        <f t="shared" si="2461"/>
        <v>0</v>
      </c>
      <c r="AA1246" s="27">
        <v>0</v>
      </c>
      <c r="AB1246" s="27">
        <v>0</v>
      </c>
      <c r="AC1246" s="27">
        <v>0</v>
      </c>
      <c r="AD1246" s="23">
        <f t="shared" ref="AD1246:AE1246" si="2549">AD1216</f>
        <v>28</v>
      </c>
      <c r="AE1246" s="23">
        <f t="shared" si="2549"/>
        <v>32</v>
      </c>
    </row>
    <row r="1247" spans="1:31">
      <c r="A1247" s="4">
        <v>13201</v>
      </c>
      <c r="B1247" s="4">
        <v>16</v>
      </c>
      <c r="C1247" s="29" t="s">
        <v>71</v>
      </c>
      <c r="D1247" s="46">
        <v>0</v>
      </c>
      <c r="E1247" s="18">
        <f t="shared" si="2459"/>
        <v>237</v>
      </c>
      <c r="F1247" s="28">
        <v>0</v>
      </c>
      <c r="G1247" s="28">
        <v>0</v>
      </c>
      <c r="H1247" s="47">
        <v>0</v>
      </c>
      <c r="I1247" s="21">
        <f t="shared" si="2421"/>
        <v>220</v>
      </c>
      <c r="J1247" s="21">
        <f t="shared" si="2509"/>
        <v>15</v>
      </c>
      <c r="K1247" s="21">
        <v>0</v>
      </c>
      <c r="L1247" s="20">
        <v>6</v>
      </c>
      <c r="M1247" s="20">
        <v>0</v>
      </c>
      <c r="N1247" s="20">
        <f t="shared" si="2422"/>
        <v>4800</v>
      </c>
      <c r="O1247" s="19" t="s">
        <v>71</v>
      </c>
      <c r="P1247" s="20">
        <v>1777</v>
      </c>
      <c r="Q1247" s="20">
        <f t="shared" ref="Q1247:X1247" si="2550">Q1217</f>
        <v>480</v>
      </c>
      <c r="R1247" s="20">
        <f t="shared" si="2550"/>
        <v>1920</v>
      </c>
      <c r="S1247" s="20">
        <f t="shared" si="2550"/>
        <v>3360</v>
      </c>
      <c r="T1247" s="20">
        <f t="shared" si="2550"/>
        <v>4320</v>
      </c>
      <c r="U1247" s="20">
        <f t="shared" si="2550"/>
        <v>100</v>
      </c>
      <c r="V1247" s="20">
        <f t="shared" si="2550"/>
        <v>800</v>
      </c>
      <c r="W1247" s="20">
        <f t="shared" si="2550"/>
        <v>800</v>
      </c>
      <c r="X1247" s="20">
        <f t="shared" si="2550"/>
        <v>4</v>
      </c>
      <c r="Y1247" s="27">
        <v>0</v>
      </c>
      <c r="Z1247" s="20">
        <f t="shared" si="2461"/>
        <v>0</v>
      </c>
      <c r="AA1247" s="27">
        <v>0</v>
      </c>
      <c r="AB1247" s="27">
        <v>0</v>
      </c>
      <c r="AC1247" s="27">
        <v>0</v>
      </c>
      <c r="AD1247" s="23">
        <f t="shared" ref="AD1247:AE1247" si="2551">AD1217</f>
        <v>30</v>
      </c>
      <c r="AE1247" s="23">
        <f t="shared" si="2551"/>
        <v>34</v>
      </c>
    </row>
    <row r="1248" spans="1:31">
      <c r="A1248" s="4">
        <v>13201</v>
      </c>
      <c r="B1248" s="4">
        <v>17</v>
      </c>
      <c r="C1248" s="29" t="s">
        <v>72</v>
      </c>
      <c r="D1248" s="46">
        <v>0</v>
      </c>
      <c r="E1248" s="18">
        <f t="shared" si="2459"/>
        <v>256</v>
      </c>
      <c r="F1248" s="28">
        <v>0</v>
      </c>
      <c r="G1248" s="28">
        <v>0</v>
      </c>
      <c r="H1248" s="47">
        <v>0</v>
      </c>
      <c r="I1248" s="21">
        <f t="shared" si="2421"/>
        <v>275</v>
      </c>
      <c r="J1248" s="21">
        <f t="shared" si="2509"/>
        <v>16</v>
      </c>
      <c r="K1248" s="21">
        <v>0</v>
      </c>
      <c r="L1248" s="20">
        <v>6</v>
      </c>
      <c r="M1248" s="20">
        <v>0</v>
      </c>
      <c r="N1248" s="20">
        <f t="shared" si="2422"/>
        <v>5100</v>
      </c>
      <c r="O1248" s="19" t="s">
        <v>72</v>
      </c>
      <c r="P1248" s="20">
        <v>2332</v>
      </c>
      <c r="Q1248" s="20">
        <f t="shared" ref="Q1248:X1248" si="2552">Q1218</f>
        <v>510</v>
      </c>
      <c r="R1248" s="20">
        <f t="shared" si="2552"/>
        <v>2040</v>
      </c>
      <c r="S1248" s="20">
        <f t="shared" si="2552"/>
        <v>3570</v>
      </c>
      <c r="T1248" s="20">
        <f t="shared" si="2552"/>
        <v>4590</v>
      </c>
      <c r="U1248" s="20">
        <f t="shared" si="2552"/>
        <v>80</v>
      </c>
      <c r="V1248" s="20">
        <f t="shared" si="2552"/>
        <v>800</v>
      </c>
      <c r="W1248" s="20">
        <f t="shared" si="2552"/>
        <v>600</v>
      </c>
      <c r="X1248" s="20">
        <f t="shared" si="2552"/>
        <v>5</v>
      </c>
      <c r="Y1248" s="27">
        <v>0</v>
      </c>
      <c r="Z1248" s="20">
        <f t="shared" si="2461"/>
        <v>0</v>
      </c>
      <c r="AA1248" s="27">
        <v>0</v>
      </c>
      <c r="AB1248" s="27">
        <v>0</v>
      </c>
      <c r="AC1248" s="27">
        <v>0</v>
      </c>
      <c r="AD1248" s="23">
        <f t="shared" ref="AD1248:AE1248" si="2553">AD1218</f>
        <v>32</v>
      </c>
      <c r="AE1248" s="23">
        <f t="shared" si="2553"/>
        <v>36</v>
      </c>
    </row>
    <row r="1249" spans="1:31">
      <c r="A1249" s="4">
        <v>13201</v>
      </c>
      <c r="B1249" s="4">
        <v>18</v>
      </c>
      <c r="C1249" s="29" t="s">
        <v>73</v>
      </c>
      <c r="D1249" s="46">
        <v>0</v>
      </c>
      <c r="E1249" s="18">
        <f t="shared" si="2459"/>
        <v>278</v>
      </c>
      <c r="F1249" s="28">
        <v>0</v>
      </c>
      <c r="G1249" s="28">
        <v>0</v>
      </c>
      <c r="H1249" s="47">
        <v>0</v>
      </c>
      <c r="I1249" s="21">
        <f t="shared" ref="I1249:I1312" si="2554">I1219</f>
        <v>275</v>
      </c>
      <c r="J1249" s="21">
        <f t="shared" si="2509"/>
        <v>17</v>
      </c>
      <c r="K1249" s="21">
        <v>0</v>
      </c>
      <c r="L1249" s="20">
        <v>6</v>
      </c>
      <c r="M1249" s="20">
        <v>0</v>
      </c>
      <c r="N1249" s="20">
        <f t="shared" ref="N1249:N1312" si="2555">N1219</f>
        <v>5400</v>
      </c>
      <c r="O1249" s="19" t="s">
        <v>73</v>
      </c>
      <c r="P1249" s="20">
        <v>1487</v>
      </c>
      <c r="Q1249" s="20">
        <f t="shared" ref="Q1249:X1249" si="2556">Q1219</f>
        <v>540</v>
      </c>
      <c r="R1249" s="20">
        <f t="shared" si="2556"/>
        <v>2160</v>
      </c>
      <c r="S1249" s="20">
        <f t="shared" si="2556"/>
        <v>3779.9999999999995</v>
      </c>
      <c r="T1249" s="20">
        <f t="shared" si="2556"/>
        <v>4860</v>
      </c>
      <c r="U1249" s="20">
        <f t="shared" si="2556"/>
        <v>100</v>
      </c>
      <c r="V1249" s="20">
        <f t="shared" si="2556"/>
        <v>600</v>
      </c>
      <c r="W1249" s="20">
        <f t="shared" si="2556"/>
        <v>300</v>
      </c>
      <c r="X1249" s="20">
        <f t="shared" si="2556"/>
        <v>5</v>
      </c>
      <c r="Y1249" s="27">
        <v>0</v>
      </c>
      <c r="Z1249" s="20">
        <f t="shared" si="2461"/>
        <v>113</v>
      </c>
      <c r="AA1249" s="27">
        <v>0</v>
      </c>
      <c r="AB1249" s="27">
        <v>0</v>
      </c>
      <c r="AC1249" s="27">
        <v>0</v>
      </c>
      <c r="AD1249" s="23">
        <f t="shared" ref="AD1249:AE1249" si="2557">AD1219</f>
        <v>34</v>
      </c>
      <c r="AE1249" s="23">
        <f t="shared" si="2557"/>
        <v>38</v>
      </c>
    </row>
    <row r="1250" spans="1:31">
      <c r="A1250" s="4">
        <v>13201</v>
      </c>
      <c r="B1250" s="4">
        <v>19</v>
      </c>
      <c r="C1250" s="29" t="s">
        <v>74</v>
      </c>
      <c r="D1250" s="46">
        <v>0</v>
      </c>
      <c r="E1250" s="18">
        <f t="shared" si="2459"/>
        <v>301</v>
      </c>
      <c r="F1250" s="28">
        <v>0</v>
      </c>
      <c r="G1250" s="28">
        <v>0</v>
      </c>
      <c r="H1250" s="47">
        <v>0</v>
      </c>
      <c r="I1250" s="21">
        <f t="shared" si="2554"/>
        <v>275</v>
      </c>
      <c r="J1250" s="21">
        <f t="shared" si="2509"/>
        <v>18</v>
      </c>
      <c r="K1250" s="21">
        <v>0</v>
      </c>
      <c r="L1250" s="20">
        <v>6</v>
      </c>
      <c r="M1250" s="20">
        <v>0</v>
      </c>
      <c r="N1250" s="20">
        <f t="shared" si="2555"/>
        <v>5700</v>
      </c>
      <c r="O1250" s="19" t="s">
        <v>74</v>
      </c>
      <c r="P1250" s="20">
        <v>1518</v>
      </c>
      <c r="Q1250" s="20">
        <f t="shared" ref="Q1250:X1250" si="2558">Q1220</f>
        <v>570</v>
      </c>
      <c r="R1250" s="20">
        <f t="shared" si="2558"/>
        <v>2280</v>
      </c>
      <c r="S1250" s="20">
        <f t="shared" si="2558"/>
        <v>3989.9999999999995</v>
      </c>
      <c r="T1250" s="20">
        <f t="shared" si="2558"/>
        <v>5130</v>
      </c>
      <c r="U1250" s="20">
        <f t="shared" si="2558"/>
        <v>100</v>
      </c>
      <c r="V1250" s="20">
        <f t="shared" si="2558"/>
        <v>500</v>
      </c>
      <c r="W1250" s="20">
        <f t="shared" si="2558"/>
        <v>400</v>
      </c>
      <c r="X1250" s="20">
        <f t="shared" si="2558"/>
        <v>5</v>
      </c>
      <c r="Y1250" s="27">
        <v>0</v>
      </c>
      <c r="Z1250" s="20">
        <f t="shared" si="2461"/>
        <v>0</v>
      </c>
      <c r="AA1250" s="27">
        <v>0</v>
      </c>
      <c r="AB1250" s="27">
        <v>0</v>
      </c>
      <c r="AC1250" s="27">
        <v>0</v>
      </c>
      <c r="AD1250" s="23">
        <f t="shared" ref="AD1250:AE1250" si="2559">AD1220</f>
        <v>36</v>
      </c>
      <c r="AE1250" s="23">
        <f t="shared" si="2559"/>
        <v>40</v>
      </c>
    </row>
    <row r="1251" spans="1:31">
      <c r="A1251" s="4">
        <v>13201</v>
      </c>
      <c r="B1251" s="4">
        <v>20</v>
      </c>
      <c r="C1251" s="29" t="s">
        <v>75</v>
      </c>
      <c r="D1251" s="46">
        <v>0</v>
      </c>
      <c r="E1251" s="18">
        <f t="shared" si="2459"/>
        <v>325</v>
      </c>
      <c r="F1251" s="28">
        <v>0</v>
      </c>
      <c r="G1251" s="28">
        <v>0</v>
      </c>
      <c r="H1251" s="47">
        <v>0</v>
      </c>
      <c r="I1251" s="21">
        <f t="shared" si="2554"/>
        <v>275</v>
      </c>
      <c r="J1251" s="21">
        <f t="shared" si="2509"/>
        <v>19</v>
      </c>
      <c r="K1251" s="21">
        <v>0</v>
      </c>
      <c r="L1251" s="20">
        <v>6</v>
      </c>
      <c r="M1251" s="20">
        <v>0</v>
      </c>
      <c r="N1251" s="20">
        <f t="shared" si="2555"/>
        <v>8000</v>
      </c>
      <c r="O1251" s="19" t="s">
        <v>75</v>
      </c>
      <c r="P1251" s="20">
        <v>861</v>
      </c>
      <c r="Q1251" s="20">
        <f t="shared" ref="Q1251:X1251" si="2560">Q1221</f>
        <v>800</v>
      </c>
      <c r="R1251" s="20">
        <f t="shared" si="2560"/>
        <v>3200</v>
      </c>
      <c r="S1251" s="20">
        <f t="shared" si="2560"/>
        <v>5600</v>
      </c>
      <c r="T1251" s="20">
        <f t="shared" si="2560"/>
        <v>7200</v>
      </c>
      <c r="U1251" s="20">
        <f t="shared" si="2560"/>
        <v>100</v>
      </c>
      <c r="V1251" s="20">
        <f t="shared" si="2560"/>
        <v>800</v>
      </c>
      <c r="W1251" s="20">
        <f t="shared" si="2560"/>
        <v>8000</v>
      </c>
      <c r="X1251" s="20">
        <f t="shared" si="2560"/>
        <v>5</v>
      </c>
      <c r="Y1251" s="27">
        <v>0</v>
      </c>
      <c r="Z1251" s="20">
        <f t="shared" si="2461"/>
        <v>0</v>
      </c>
      <c r="AA1251" s="27">
        <v>0</v>
      </c>
      <c r="AB1251" s="27">
        <v>0</v>
      </c>
      <c r="AC1251" s="27">
        <v>0</v>
      </c>
      <c r="AD1251" s="23">
        <f t="shared" ref="AD1251:AE1251" si="2561">AD1221</f>
        <v>38</v>
      </c>
      <c r="AE1251" s="23">
        <f t="shared" si="2561"/>
        <v>42</v>
      </c>
    </row>
    <row r="1252" spans="1:31">
      <c r="A1252" s="4">
        <v>13201</v>
      </c>
      <c r="B1252" s="4">
        <v>21</v>
      </c>
      <c r="C1252" s="29" t="s">
        <v>66</v>
      </c>
      <c r="D1252" s="46">
        <v>0</v>
      </c>
      <c r="E1252" s="18">
        <f t="shared" si="2459"/>
        <v>352</v>
      </c>
      <c r="F1252" s="28">
        <v>0</v>
      </c>
      <c r="G1252" s="28">
        <v>0</v>
      </c>
      <c r="H1252" s="47">
        <v>0</v>
      </c>
      <c r="I1252" s="21">
        <f t="shared" si="2554"/>
        <v>330</v>
      </c>
      <c r="J1252" s="21">
        <f t="shared" si="2509"/>
        <v>20</v>
      </c>
      <c r="K1252" s="21">
        <v>0</v>
      </c>
      <c r="L1252" s="20">
        <v>6</v>
      </c>
      <c r="M1252" s="20">
        <v>0</v>
      </c>
      <c r="N1252" s="20">
        <f t="shared" si="2555"/>
        <v>8400</v>
      </c>
      <c r="O1252" s="19" t="s">
        <v>66</v>
      </c>
      <c r="P1252" s="20">
        <v>9400</v>
      </c>
      <c r="Q1252" s="20">
        <f t="shared" ref="Q1252:X1252" si="2562">Q1222</f>
        <v>840</v>
      </c>
      <c r="R1252" s="20">
        <f t="shared" si="2562"/>
        <v>3360</v>
      </c>
      <c r="S1252" s="20">
        <f t="shared" si="2562"/>
        <v>5880</v>
      </c>
      <c r="T1252" s="20">
        <f t="shared" si="2562"/>
        <v>7560</v>
      </c>
      <c r="U1252" s="20">
        <f t="shared" si="2562"/>
        <v>50</v>
      </c>
      <c r="V1252" s="20">
        <f t="shared" si="2562"/>
        <v>1000</v>
      </c>
      <c r="W1252" s="20">
        <f t="shared" si="2562"/>
        <v>600</v>
      </c>
      <c r="X1252" s="20">
        <f t="shared" si="2562"/>
        <v>6</v>
      </c>
      <c r="Y1252" s="27">
        <v>0</v>
      </c>
      <c r="Z1252" s="20">
        <f t="shared" si="2461"/>
        <v>0</v>
      </c>
      <c r="AA1252" s="27">
        <v>0</v>
      </c>
      <c r="AB1252" s="27">
        <v>0</v>
      </c>
      <c r="AC1252" s="27">
        <v>0</v>
      </c>
      <c r="AD1252" s="23">
        <f t="shared" ref="AD1252:AE1252" si="2563">AD1222</f>
        <v>40</v>
      </c>
      <c r="AE1252" s="23">
        <f t="shared" si="2563"/>
        <v>44</v>
      </c>
    </row>
    <row r="1253" spans="1:31">
      <c r="A1253" s="4">
        <v>13201</v>
      </c>
      <c r="B1253" s="4">
        <v>22</v>
      </c>
      <c r="C1253" s="29" t="s">
        <v>67</v>
      </c>
      <c r="D1253" s="46">
        <v>0</v>
      </c>
      <c r="E1253" s="18">
        <f t="shared" si="2459"/>
        <v>381</v>
      </c>
      <c r="F1253" s="28">
        <v>0</v>
      </c>
      <c r="G1253" s="28">
        <v>0</v>
      </c>
      <c r="H1253" s="47">
        <v>0</v>
      </c>
      <c r="I1253" s="21">
        <f t="shared" si="2554"/>
        <v>330</v>
      </c>
      <c r="J1253" s="21">
        <f t="shared" si="2509"/>
        <v>21</v>
      </c>
      <c r="K1253" s="21">
        <v>0</v>
      </c>
      <c r="L1253" s="20">
        <v>6</v>
      </c>
      <c r="M1253" s="20">
        <v>0</v>
      </c>
      <c r="N1253" s="20">
        <f t="shared" si="2555"/>
        <v>8800</v>
      </c>
      <c r="O1253" s="19" t="s">
        <v>67</v>
      </c>
      <c r="P1253" s="20">
        <v>9100</v>
      </c>
      <c r="Q1253" s="20">
        <f t="shared" ref="Q1253:X1253" si="2564">Q1223</f>
        <v>880</v>
      </c>
      <c r="R1253" s="20">
        <f t="shared" si="2564"/>
        <v>3520</v>
      </c>
      <c r="S1253" s="20">
        <f t="shared" si="2564"/>
        <v>6160</v>
      </c>
      <c r="T1253" s="20">
        <f t="shared" si="2564"/>
        <v>7920</v>
      </c>
      <c r="U1253" s="20">
        <f t="shared" si="2564"/>
        <v>100</v>
      </c>
      <c r="V1253" s="20">
        <f t="shared" si="2564"/>
        <v>600</v>
      </c>
      <c r="W1253" s="20">
        <f t="shared" si="2564"/>
        <v>700</v>
      </c>
      <c r="X1253" s="20">
        <f t="shared" si="2564"/>
        <v>6</v>
      </c>
      <c r="Y1253" s="27">
        <v>0</v>
      </c>
      <c r="Z1253" s="20">
        <f t="shared" si="2461"/>
        <v>0</v>
      </c>
      <c r="AA1253" s="27">
        <v>0</v>
      </c>
      <c r="AB1253" s="27">
        <v>0</v>
      </c>
      <c r="AC1253" s="27">
        <v>0</v>
      </c>
      <c r="AD1253" s="23">
        <f t="shared" ref="AD1253:AE1253" si="2565">AD1223</f>
        <v>42</v>
      </c>
      <c r="AE1253" s="23">
        <f t="shared" si="2565"/>
        <v>46</v>
      </c>
    </row>
    <row r="1254" spans="1:31">
      <c r="A1254" s="4">
        <v>13201</v>
      </c>
      <c r="B1254" s="4">
        <v>23</v>
      </c>
      <c r="C1254" s="29" t="s">
        <v>68</v>
      </c>
      <c r="D1254" s="46">
        <v>0</v>
      </c>
      <c r="E1254" s="18">
        <f t="shared" si="2459"/>
        <v>413</v>
      </c>
      <c r="F1254" s="28">
        <v>0</v>
      </c>
      <c r="G1254" s="28">
        <v>0</v>
      </c>
      <c r="H1254" s="47">
        <v>0</v>
      </c>
      <c r="I1254" s="21">
        <f t="shared" si="2554"/>
        <v>330</v>
      </c>
      <c r="J1254" s="21">
        <f t="shared" si="2509"/>
        <v>22</v>
      </c>
      <c r="K1254" s="21">
        <v>0</v>
      </c>
      <c r="L1254" s="20">
        <v>6</v>
      </c>
      <c r="M1254" s="20">
        <v>0</v>
      </c>
      <c r="N1254" s="20">
        <f t="shared" si="2555"/>
        <v>9200</v>
      </c>
      <c r="O1254" s="19" t="s">
        <v>68</v>
      </c>
      <c r="P1254" s="20">
        <v>8600</v>
      </c>
      <c r="Q1254" s="20">
        <f t="shared" ref="Q1254:X1254" si="2566">Q1224</f>
        <v>920</v>
      </c>
      <c r="R1254" s="20">
        <f t="shared" si="2566"/>
        <v>3680</v>
      </c>
      <c r="S1254" s="20">
        <f t="shared" si="2566"/>
        <v>6440</v>
      </c>
      <c r="T1254" s="20">
        <f t="shared" si="2566"/>
        <v>8280</v>
      </c>
      <c r="U1254" s="20">
        <f t="shared" si="2566"/>
        <v>100</v>
      </c>
      <c r="V1254" s="20">
        <f t="shared" si="2566"/>
        <v>550</v>
      </c>
      <c r="W1254" s="20">
        <f t="shared" si="2566"/>
        <v>500</v>
      </c>
      <c r="X1254" s="20">
        <f t="shared" si="2566"/>
        <v>6</v>
      </c>
      <c r="Y1254" s="27">
        <v>0</v>
      </c>
      <c r="Z1254" s="20">
        <f t="shared" si="2461"/>
        <v>150</v>
      </c>
      <c r="AA1254" s="27">
        <v>0</v>
      </c>
      <c r="AB1254" s="27">
        <v>0</v>
      </c>
      <c r="AC1254" s="27">
        <v>0</v>
      </c>
      <c r="AD1254" s="23">
        <f t="shared" ref="AD1254:AE1254" si="2567">AD1224</f>
        <v>44</v>
      </c>
      <c r="AE1254" s="23">
        <f t="shared" si="2567"/>
        <v>48</v>
      </c>
    </row>
    <row r="1255" spans="1:31">
      <c r="A1255" s="4">
        <v>13201</v>
      </c>
      <c r="B1255" s="4">
        <v>24</v>
      </c>
      <c r="C1255" s="29" t="s">
        <v>69</v>
      </c>
      <c r="D1255" s="46">
        <v>0</v>
      </c>
      <c r="E1255" s="18">
        <f t="shared" si="2459"/>
        <v>447</v>
      </c>
      <c r="F1255" s="28">
        <v>0</v>
      </c>
      <c r="G1255" s="28">
        <v>0</v>
      </c>
      <c r="H1255" s="47">
        <v>0</v>
      </c>
      <c r="I1255" s="21">
        <f t="shared" si="2554"/>
        <v>330</v>
      </c>
      <c r="J1255" s="21">
        <f t="shared" si="2509"/>
        <v>23</v>
      </c>
      <c r="K1255" s="21">
        <v>0</v>
      </c>
      <c r="L1255" s="20">
        <v>6</v>
      </c>
      <c r="M1255" s="20">
        <v>0</v>
      </c>
      <c r="N1255" s="20">
        <f t="shared" si="2555"/>
        <v>9600</v>
      </c>
      <c r="O1255" s="19" t="s">
        <v>69</v>
      </c>
      <c r="P1255" s="20">
        <v>6400</v>
      </c>
      <c r="Q1255" s="20">
        <f t="shared" ref="Q1255:X1255" si="2568">Q1225</f>
        <v>960</v>
      </c>
      <c r="R1255" s="20">
        <f t="shared" si="2568"/>
        <v>3840</v>
      </c>
      <c r="S1255" s="20">
        <f t="shared" si="2568"/>
        <v>6720</v>
      </c>
      <c r="T1255" s="20">
        <f t="shared" si="2568"/>
        <v>8640</v>
      </c>
      <c r="U1255" s="20">
        <f t="shared" si="2568"/>
        <v>100</v>
      </c>
      <c r="V1255" s="20">
        <f t="shared" si="2568"/>
        <v>500</v>
      </c>
      <c r="W1255" s="20">
        <f t="shared" si="2568"/>
        <v>900</v>
      </c>
      <c r="X1255" s="20">
        <f t="shared" si="2568"/>
        <v>6</v>
      </c>
      <c r="Y1255" s="27">
        <v>0</v>
      </c>
      <c r="Z1255" s="20">
        <f t="shared" si="2461"/>
        <v>0</v>
      </c>
      <c r="AA1255" s="27">
        <v>0</v>
      </c>
      <c r="AB1255" s="27">
        <v>0</v>
      </c>
      <c r="AC1255" s="27">
        <v>0</v>
      </c>
      <c r="AD1255" s="23">
        <f t="shared" ref="AD1255:AE1255" si="2569">AD1225</f>
        <v>46</v>
      </c>
      <c r="AE1255" s="23">
        <f t="shared" si="2569"/>
        <v>50</v>
      </c>
    </row>
    <row r="1256" spans="1:31">
      <c r="A1256" s="4">
        <v>13201</v>
      </c>
      <c r="B1256" s="4">
        <v>25</v>
      </c>
      <c r="C1256" s="29" t="s">
        <v>70</v>
      </c>
      <c r="D1256" s="46">
        <v>0</v>
      </c>
      <c r="E1256" s="18">
        <f t="shared" si="2459"/>
        <v>484</v>
      </c>
      <c r="F1256" s="28">
        <v>0</v>
      </c>
      <c r="G1256" s="28">
        <v>0</v>
      </c>
      <c r="H1256" s="47">
        <v>0</v>
      </c>
      <c r="I1256" s="21">
        <f t="shared" si="2554"/>
        <v>385</v>
      </c>
      <c r="J1256" s="21">
        <f t="shared" si="2509"/>
        <v>24</v>
      </c>
      <c r="K1256" s="21">
        <v>0</v>
      </c>
      <c r="L1256" s="20">
        <v>6</v>
      </c>
      <c r="M1256" s="20">
        <v>0</v>
      </c>
      <c r="N1256" s="20">
        <f t="shared" si="2555"/>
        <v>12500</v>
      </c>
      <c r="O1256" s="19" t="s">
        <v>70</v>
      </c>
      <c r="P1256" s="20">
        <v>3100</v>
      </c>
      <c r="Q1256" s="20">
        <f t="shared" ref="Q1256:X1256" si="2570">Q1226</f>
        <v>1250</v>
      </c>
      <c r="R1256" s="20">
        <f t="shared" si="2570"/>
        <v>5000</v>
      </c>
      <c r="S1256" s="20">
        <f t="shared" si="2570"/>
        <v>8750</v>
      </c>
      <c r="T1256" s="20">
        <f t="shared" si="2570"/>
        <v>11250</v>
      </c>
      <c r="U1256" s="20">
        <f t="shared" si="2570"/>
        <v>10</v>
      </c>
      <c r="V1256" s="20">
        <f t="shared" si="2570"/>
        <v>1300</v>
      </c>
      <c r="W1256" s="20">
        <f t="shared" si="2570"/>
        <v>1000</v>
      </c>
      <c r="X1256" s="20">
        <f t="shared" si="2570"/>
        <v>7</v>
      </c>
      <c r="Y1256" s="27">
        <v>0</v>
      </c>
      <c r="Z1256" s="20">
        <f t="shared" si="2461"/>
        <v>0</v>
      </c>
      <c r="AA1256" s="27">
        <v>0</v>
      </c>
      <c r="AB1256" s="27">
        <v>0</v>
      </c>
      <c r="AC1256" s="27">
        <v>0</v>
      </c>
      <c r="AD1256" s="23">
        <f t="shared" ref="AD1256:AE1256" si="2571">AD1226</f>
        <v>48</v>
      </c>
      <c r="AE1256" s="23">
        <f t="shared" si="2571"/>
        <v>52</v>
      </c>
    </row>
    <row r="1257" spans="1:31">
      <c r="A1257" s="4">
        <v>13201</v>
      </c>
      <c r="B1257" s="4">
        <v>26</v>
      </c>
      <c r="C1257" s="29" t="s">
        <v>71</v>
      </c>
      <c r="D1257" s="46">
        <v>0</v>
      </c>
      <c r="E1257" s="18">
        <f t="shared" si="2459"/>
        <v>524</v>
      </c>
      <c r="F1257" s="28">
        <v>0</v>
      </c>
      <c r="G1257" s="28">
        <v>0</v>
      </c>
      <c r="H1257" s="47">
        <v>0</v>
      </c>
      <c r="I1257" s="21">
        <f t="shared" si="2554"/>
        <v>385</v>
      </c>
      <c r="J1257" s="21">
        <f t="shared" si="2509"/>
        <v>25</v>
      </c>
      <c r="K1257" s="21">
        <v>0</v>
      </c>
      <c r="L1257" s="20">
        <v>6</v>
      </c>
      <c r="M1257" s="20">
        <v>0</v>
      </c>
      <c r="N1257" s="20">
        <f t="shared" si="2555"/>
        <v>13000</v>
      </c>
      <c r="O1257" s="19" t="s">
        <v>71</v>
      </c>
      <c r="P1257" s="20">
        <v>1777</v>
      </c>
      <c r="Q1257" s="20">
        <f t="shared" ref="Q1257:X1257" si="2572">Q1227</f>
        <v>1300</v>
      </c>
      <c r="R1257" s="20">
        <f t="shared" si="2572"/>
        <v>5200</v>
      </c>
      <c r="S1257" s="20">
        <f t="shared" si="2572"/>
        <v>9100</v>
      </c>
      <c r="T1257" s="20">
        <f t="shared" si="2572"/>
        <v>11700</v>
      </c>
      <c r="U1257" s="20">
        <f t="shared" si="2572"/>
        <v>90</v>
      </c>
      <c r="V1257" s="20">
        <f t="shared" si="2572"/>
        <v>800</v>
      </c>
      <c r="W1257" s="20">
        <f t="shared" si="2572"/>
        <v>2000</v>
      </c>
      <c r="X1257" s="20">
        <f t="shared" si="2572"/>
        <v>7</v>
      </c>
      <c r="Y1257" s="27">
        <v>0</v>
      </c>
      <c r="Z1257" s="20">
        <f t="shared" si="2461"/>
        <v>0</v>
      </c>
      <c r="AA1257" s="27">
        <v>0</v>
      </c>
      <c r="AB1257" s="27">
        <v>0</v>
      </c>
      <c r="AC1257" s="27">
        <v>0</v>
      </c>
      <c r="AD1257" s="23">
        <f t="shared" ref="AD1257:AE1257" si="2573">AD1227</f>
        <v>50</v>
      </c>
      <c r="AE1257" s="23">
        <f t="shared" si="2573"/>
        <v>54</v>
      </c>
    </row>
    <row r="1258" spans="1:31">
      <c r="A1258" s="4">
        <v>13201</v>
      </c>
      <c r="B1258" s="4">
        <v>27</v>
      </c>
      <c r="C1258" s="29" t="s">
        <v>72</v>
      </c>
      <c r="D1258" s="46">
        <v>0</v>
      </c>
      <c r="E1258" s="18">
        <f t="shared" si="2459"/>
        <v>567</v>
      </c>
      <c r="F1258" s="28">
        <v>0</v>
      </c>
      <c r="G1258" s="28">
        <v>0</v>
      </c>
      <c r="H1258" s="47">
        <v>0</v>
      </c>
      <c r="I1258" s="21">
        <f t="shared" si="2554"/>
        <v>385</v>
      </c>
      <c r="J1258" s="21">
        <f t="shared" si="2509"/>
        <v>26</v>
      </c>
      <c r="K1258" s="21">
        <v>0</v>
      </c>
      <c r="L1258" s="20">
        <v>6</v>
      </c>
      <c r="M1258" s="20">
        <v>0</v>
      </c>
      <c r="N1258" s="20">
        <f t="shared" si="2555"/>
        <v>13500</v>
      </c>
      <c r="O1258" s="19" t="s">
        <v>72</v>
      </c>
      <c r="P1258" s="20">
        <v>2332</v>
      </c>
      <c r="Q1258" s="20">
        <f t="shared" ref="Q1258:X1258" si="2574">Q1228</f>
        <v>1350</v>
      </c>
      <c r="R1258" s="20">
        <f t="shared" si="2574"/>
        <v>5400</v>
      </c>
      <c r="S1258" s="20">
        <f t="shared" si="2574"/>
        <v>9450</v>
      </c>
      <c r="T1258" s="20">
        <f t="shared" si="2574"/>
        <v>12150</v>
      </c>
      <c r="U1258" s="20">
        <f t="shared" si="2574"/>
        <v>80</v>
      </c>
      <c r="V1258" s="20">
        <f t="shared" si="2574"/>
        <v>700</v>
      </c>
      <c r="W1258" s="20">
        <f t="shared" si="2574"/>
        <v>800</v>
      </c>
      <c r="X1258" s="20">
        <f t="shared" si="2574"/>
        <v>7</v>
      </c>
      <c r="Y1258" s="27">
        <v>0</v>
      </c>
      <c r="Z1258" s="20">
        <f t="shared" si="2461"/>
        <v>0</v>
      </c>
      <c r="AA1258" s="27">
        <v>0</v>
      </c>
      <c r="AB1258" s="27">
        <v>0</v>
      </c>
      <c r="AC1258" s="27">
        <v>0</v>
      </c>
      <c r="AD1258" s="23">
        <f t="shared" ref="AD1258:AE1258" si="2575">AD1228</f>
        <v>52</v>
      </c>
      <c r="AE1258" s="23">
        <f t="shared" si="2575"/>
        <v>56</v>
      </c>
    </row>
    <row r="1259" spans="1:31">
      <c r="A1259" s="4">
        <v>13201</v>
      </c>
      <c r="B1259" s="4">
        <v>28</v>
      </c>
      <c r="C1259" s="29" t="s">
        <v>73</v>
      </c>
      <c r="D1259" s="46">
        <v>0</v>
      </c>
      <c r="E1259" s="18">
        <f t="shared" si="2459"/>
        <v>614</v>
      </c>
      <c r="F1259" s="28">
        <v>0</v>
      </c>
      <c r="G1259" s="28">
        <v>0</v>
      </c>
      <c r="H1259" s="47">
        <v>0</v>
      </c>
      <c r="I1259" s="21">
        <f t="shared" si="2554"/>
        <v>385</v>
      </c>
      <c r="J1259" s="21">
        <f t="shared" si="2509"/>
        <v>27</v>
      </c>
      <c r="K1259" s="21">
        <v>0</v>
      </c>
      <c r="L1259" s="20">
        <v>6</v>
      </c>
      <c r="M1259" s="20">
        <v>0</v>
      </c>
      <c r="N1259" s="20">
        <f t="shared" si="2555"/>
        <v>14000</v>
      </c>
      <c r="O1259" s="19" t="s">
        <v>73</v>
      </c>
      <c r="P1259" s="20">
        <v>1487</v>
      </c>
      <c r="Q1259" s="20">
        <f t="shared" ref="Q1259:X1259" si="2576">Q1229</f>
        <v>1400</v>
      </c>
      <c r="R1259" s="20">
        <f t="shared" si="2576"/>
        <v>5600</v>
      </c>
      <c r="S1259" s="20">
        <f t="shared" si="2576"/>
        <v>9800</v>
      </c>
      <c r="T1259" s="20">
        <f t="shared" si="2576"/>
        <v>12600</v>
      </c>
      <c r="U1259" s="20">
        <f t="shared" si="2576"/>
        <v>80</v>
      </c>
      <c r="V1259" s="20">
        <f t="shared" si="2576"/>
        <v>500</v>
      </c>
      <c r="W1259" s="20">
        <f t="shared" si="2576"/>
        <v>600</v>
      </c>
      <c r="X1259" s="20">
        <f t="shared" si="2576"/>
        <v>7</v>
      </c>
      <c r="Y1259" s="27">
        <v>0</v>
      </c>
      <c r="Z1259" s="20">
        <f t="shared" si="2461"/>
        <v>189</v>
      </c>
      <c r="AA1259" s="27">
        <v>0</v>
      </c>
      <c r="AB1259" s="27">
        <v>0</v>
      </c>
      <c r="AC1259" s="27">
        <v>0</v>
      </c>
      <c r="AD1259" s="23">
        <f t="shared" ref="AD1259:AE1259" si="2577">AD1229</f>
        <v>54</v>
      </c>
      <c r="AE1259" s="23">
        <f t="shared" si="2577"/>
        <v>58</v>
      </c>
    </row>
    <row r="1260" spans="1:31">
      <c r="A1260" s="4">
        <v>13201</v>
      </c>
      <c r="B1260" s="4">
        <v>29</v>
      </c>
      <c r="C1260" s="29" t="s">
        <v>74</v>
      </c>
      <c r="D1260" s="46">
        <v>0</v>
      </c>
      <c r="E1260" s="18">
        <f t="shared" si="2459"/>
        <v>665</v>
      </c>
      <c r="F1260" s="28">
        <v>0</v>
      </c>
      <c r="G1260" s="28">
        <v>0</v>
      </c>
      <c r="H1260" s="47">
        <v>0</v>
      </c>
      <c r="I1260" s="21">
        <f t="shared" si="2554"/>
        <v>440</v>
      </c>
      <c r="J1260" s="21">
        <f t="shared" si="2509"/>
        <v>28</v>
      </c>
      <c r="K1260" s="21">
        <v>0</v>
      </c>
      <c r="L1260" s="20">
        <v>6</v>
      </c>
      <c r="M1260" s="20">
        <v>0</v>
      </c>
      <c r="N1260" s="20">
        <f t="shared" si="2555"/>
        <v>14500</v>
      </c>
      <c r="O1260" s="19" t="s">
        <v>74</v>
      </c>
      <c r="P1260" s="20">
        <v>1518</v>
      </c>
      <c r="Q1260" s="20">
        <f t="shared" ref="Q1260:X1260" si="2578">Q1230</f>
        <v>1450</v>
      </c>
      <c r="R1260" s="20">
        <f t="shared" si="2578"/>
        <v>5800</v>
      </c>
      <c r="S1260" s="20">
        <f t="shared" si="2578"/>
        <v>10150</v>
      </c>
      <c r="T1260" s="20">
        <f t="shared" si="2578"/>
        <v>13050</v>
      </c>
      <c r="U1260" s="20">
        <f t="shared" si="2578"/>
        <v>80</v>
      </c>
      <c r="V1260" s="20">
        <f t="shared" si="2578"/>
        <v>600</v>
      </c>
      <c r="W1260" s="20">
        <f t="shared" si="2578"/>
        <v>700</v>
      </c>
      <c r="X1260" s="20">
        <f t="shared" si="2578"/>
        <v>8</v>
      </c>
      <c r="Y1260" s="27">
        <v>0</v>
      </c>
      <c r="Z1260" s="20">
        <f t="shared" si="2461"/>
        <v>0</v>
      </c>
      <c r="AA1260" s="27">
        <v>0</v>
      </c>
      <c r="AB1260" s="27">
        <v>0</v>
      </c>
      <c r="AC1260" s="27">
        <v>0</v>
      </c>
      <c r="AD1260" s="23">
        <f t="shared" ref="AD1260:AE1260" si="2579">AD1230</f>
        <v>56</v>
      </c>
      <c r="AE1260" s="23">
        <f t="shared" si="2579"/>
        <v>60</v>
      </c>
    </row>
    <row r="1261" spans="1:31">
      <c r="A1261" s="4">
        <v>13201</v>
      </c>
      <c r="B1261" s="4">
        <v>30</v>
      </c>
      <c r="C1261" s="29" t="s">
        <v>75</v>
      </c>
      <c r="D1261" s="46">
        <v>0</v>
      </c>
      <c r="E1261" s="18">
        <f t="shared" si="2459"/>
        <v>720</v>
      </c>
      <c r="F1261" s="28">
        <v>0</v>
      </c>
      <c r="G1261" s="28">
        <v>0</v>
      </c>
      <c r="H1261" s="47">
        <v>0</v>
      </c>
      <c r="I1261" s="21">
        <f t="shared" si="2554"/>
        <v>440</v>
      </c>
      <c r="J1261" s="21">
        <f t="shared" si="2509"/>
        <v>29</v>
      </c>
      <c r="K1261" s="21">
        <v>0</v>
      </c>
      <c r="L1261" s="20">
        <v>6</v>
      </c>
      <c r="M1261" s="20">
        <v>0</v>
      </c>
      <c r="N1261" s="20">
        <f t="shared" si="2555"/>
        <v>15000</v>
      </c>
      <c r="O1261" s="19" t="s">
        <v>75</v>
      </c>
      <c r="P1261" s="20">
        <v>861</v>
      </c>
      <c r="Q1261" s="20">
        <f t="shared" ref="Q1261:X1261" si="2580">Q1231</f>
        <v>1500</v>
      </c>
      <c r="R1261" s="20">
        <f t="shared" si="2580"/>
        <v>6000</v>
      </c>
      <c r="S1261" s="20">
        <f t="shared" si="2580"/>
        <v>10500</v>
      </c>
      <c r="T1261" s="20">
        <f t="shared" si="2580"/>
        <v>13500</v>
      </c>
      <c r="U1261" s="20">
        <f t="shared" si="2580"/>
        <v>20</v>
      </c>
      <c r="V1261" s="20">
        <f t="shared" si="2580"/>
        <v>450</v>
      </c>
      <c r="W1261" s="20">
        <f t="shared" si="2580"/>
        <v>1000</v>
      </c>
      <c r="X1261" s="20">
        <f t="shared" si="2580"/>
        <v>8</v>
      </c>
      <c r="Y1261" s="27">
        <v>0</v>
      </c>
      <c r="Z1261" s="20">
        <f t="shared" si="2461"/>
        <v>0</v>
      </c>
      <c r="AA1261" s="27">
        <v>0</v>
      </c>
      <c r="AB1261" s="27">
        <v>0</v>
      </c>
      <c r="AC1261" s="27">
        <v>0</v>
      </c>
      <c r="AD1261" s="23">
        <f t="shared" ref="AD1261:AE1261" si="2581">AD1231</f>
        <v>58</v>
      </c>
      <c r="AE1261" s="23">
        <f t="shared" si="2581"/>
        <v>62</v>
      </c>
    </row>
    <row r="1262" spans="1:31">
      <c r="A1262" s="4">
        <v>13202</v>
      </c>
      <c r="B1262" s="4">
        <v>1</v>
      </c>
      <c r="C1262" s="19" t="s">
        <v>66</v>
      </c>
      <c r="D1262" s="44">
        <v>0</v>
      </c>
      <c r="E1262" s="18">
        <f t="shared" si="2459"/>
        <v>108</v>
      </c>
      <c r="F1262" s="18">
        <v>0</v>
      </c>
      <c r="G1262" s="18">
        <v>0</v>
      </c>
      <c r="H1262" s="45">
        <v>0</v>
      </c>
      <c r="I1262" s="21">
        <f t="shared" si="2554"/>
        <v>55</v>
      </c>
      <c r="J1262" s="21">
        <f t="shared" si="2509"/>
        <v>0</v>
      </c>
      <c r="K1262" s="21">
        <v>0</v>
      </c>
      <c r="L1262" s="20">
        <v>45</v>
      </c>
      <c r="M1262" s="20">
        <v>0</v>
      </c>
      <c r="N1262" s="20">
        <f t="shared" si="2555"/>
        <v>10</v>
      </c>
      <c r="O1262" s="19" t="s">
        <v>66</v>
      </c>
      <c r="P1262" s="20">
        <v>9400</v>
      </c>
      <c r="Q1262" s="20">
        <f t="shared" ref="Q1262:X1262" si="2582">Q1232</f>
        <v>1</v>
      </c>
      <c r="R1262" s="20">
        <f t="shared" si="2582"/>
        <v>4</v>
      </c>
      <c r="S1262" s="20">
        <f t="shared" si="2582"/>
        <v>7</v>
      </c>
      <c r="T1262" s="20">
        <f t="shared" si="2582"/>
        <v>9</v>
      </c>
      <c r="U1262" s="20">
        <f t="shared" si="2582"/>
        <v>9400</v>
      </c>
      <c r="V1262" s="20">
        <f t="shared" si="2582"/>
        <v>9400</v>
      </c>
      <c r="W1262" s="20">
        <f t="shared" si="2582"/>
        <v>9400</v>
      </c>
      <c r="X1262" s="20">
        <f t="shared" si="2582"/>
        <v>1</v>
      </c>
      <c r="Y1262" s="20">
        <v>0</v>
      </c>
      <c r="Z1262" s="20">
        <f t="shared" si="2461"/>
        <v>0</v>
      </c>
      <c r="AA1262" s="20">
        <v>0</v>
      </c>
      <c r="AB1262" s="20">
        <v>0</v>
      </c>
      <c r="AC1262" s="20">
        <v>0</v>
      </c>
      <c r="AD1262" s="23">
        <f t="shared" ref="AD1262:AE1262" si="2583">AD1232</f>
        <v>1</v>
      </c>
      <c r="AE1262" s="23">
        <f t="shared" si="2583"/>
        <v>3</v>
      </c>
    </row>
    <row r="1263" spans="1:31">
      <c r="A1263" s="4">
        <v>13202</v>
      </c>
      <c r="B1263" s="4">
        <v>2</v>
      </c>
      <c r="C1263" s="19" t="s">
        <v>67</v>
      </c>
      <c r="D1263" s="44">
        <v>0</v>
      </c>
      <c r="E1263" s="18">
        <f t="shared" si="2459"/>
        <v>117</v>
      </c>
      <c r="F1263" s="18">
        <v>0</v>
      </c>
      <c r="G1263" s="18">
        <v>0</v>
      </c>
      <c r="H1263" s="45">
        <v>0</v>
      </c>
      <c r="I1263" s="21">
        <f t="shared" si="2554"/>
        <v>55</v>
      </c>
      <c r="J1263" s="21">
        <f t="shared" si="2509"/>
        <v>1</v>
      </c>
      <c r="K1263" s="21">
        <v>0</v>
      </c>
      <c r="L1263" s="20">
        <v>40</v>
      </c>
      <c r="M1263" s="20">
        <v>0</v>
      </c>
      <c r="N1263" s="20">
        <f t="shared" si="2555"/>
        <v>20</v>
      </c>
      <c r="O1263" s="19" t="s">
        <v>67</v>
      </c>
      <c r="P1263" s="20">
        <v>9100</v>
      </c>
      <c r="Q1263" s="20">
        <f t="shared" ref="Q1263:X1263" si="2584">Q1233</f>
        <v>2</v>
      </c>
      <c r="R1263" s="20">
        <f t="shared" si="2584"/>
        <v>8</v>
      </c>
      <c r="S1263" s="20">
        <f t="shared" si="2584"/>
        <v>14</v>
      </c>
      <c r="T1263" s="20">
        <f t="shared" si="2584"/>
        <v>18</v>
      </c>
      <c r="U1263" s="20">
        <f t="shared" si="2584"/>
        <v>4000</v>
      </c>
      <c r="V1263" s="20">
        <f t="shared" si="2584"/>
        <v>8000</v>
      </c>
      <c r="W1263" s="20">
        <f t="shared" si="2584"/>
        <v>8000</v>
      </c>
      <c r="X1263" s="20">
        <f t="shared" si="2584"/>
        <v>1</v>
      </c>
      <c r="Y1263" s="20">
        <v>0</v>
      </c>
      <c r="Z1263" s="20">
        <f t="shared" si="2461"/>
        <v>0</v>
      </c>
      <c r="AA1263" s="20">
        <v>0</v>
      </c>
      <c r="AB1263" s="20">
        <v>0</v>
      </c>
      <c r="AC1263" s="20">
        <v>0</v>
      </c>
      <c r="AD1263" s="23">
        <f t="shared" ref="AD1263:AE1263" si="2585">AD1233</f>
        <v>2</v>
      </c>
      <c r="AE1263" s="23">
        <f t="shared" si="2585"/>
        <v>5</v>
      </c>
    </row>
    <row r="1264" spans="1:31">
      <c r="A1264" s="4">
        <v>13202</v>
      </c>
      <c r="B1264" s="4">
        <v>3</v>
      </c>
      <c r="C1264" s="19" t="s">
        <v>68</v>
      </c>
      <c r="D1264" s="44">
        <v>0</v>
      </c>
      <c r="E1264" s="18">
        <f t="shared" si="2459"/>
        <v>126</v>
      </c>
      <c r="F1264" s="18">
        <v>0</v>
      </c>
      <c r="G1264" s="18">
        <v>0</v>
      </c>
      <c r="H1264" s="45">
        <v>0</v>
      </c>
      <c r="I1264" s="21">
        <f t="shared" si="2554"/>
        <v>55</v>
      </c>
      <c r="J1264" s="21">
        <f t="shared" si="2509"/>
        <v>2</v>
      </c>
      <c r="K1264" s="21">
        <v>0</v>
      </c>
      <c r="L1264" s="20">
        <v>35</v>
      </c>
      <c r="M1264" s="20">
        <v>0</v>
      </c>
      <c r="N1264" s="20">
        <f t="shared" si="2555"/>
        <v>40</v>
      </c>
      <c r="O1264" s="19" t="s">
        <v>68</v>
      </c>
      <c r="P1264" s="20">
        <v>8600</v>
      </c>
      <c r="Q1264" s="20">
        <f t="shared" ref="Q1264:X1264" si="2586">Q1234</f>
        <v>4</v>
      </c>
      <c r="R1264" s="20">
        <f t="shared" si="2586"/>
        <v>16</v>
      </c>
      <c r="S1264" s="20">
        <f t="shared" si="2586"/>
        <v>28</v>
      </c>
      <c r="T1264" s="20">
        <f t="shared" si="2586"/>
        <v>36</v>
      </c>
      <c r="U1264" s="20">
        <f t="shared" si="2586"/>
        <v>1600</v>
      </c>
      <c r="V1264" s="20">
        <f t="shared" si="2586"/>
        <v>5000</v>
      </c>
      <c r="W1264" s="20">
        <f t="shared" si="2586"/>
        <v>6000</v>
      </c>
      <c r="X1264" s="20">
        <f t="shared" si="2586"/>
        <v>1</v>
      </c>
      <c r="Y1264" s="20">
        <v>0</v>
      </c>
      <c r="Z1264" s="20">
        <f t="shared" si="2461"/>
        <v>0</v>
      </c>
      <c r="AA1264" s="20">
        <v>0</v>
      </c>
      <c r="AB1264" s="20">
        <v>0</v>
      </c>
      <c r="AC1264" s="20">
        <v>0</v>
      </c>
      <c r="AD1264" s="23">
        <f t="shared" ref="AD1264:AE1264" si="2587">AD1234</f>
        <v>4</v>
      </c>
      <c r="AE1264" s="23">
        <f t="shared" si="2587"/>
        <v>8</v>
      </c>
    </row>
    <row r="1265" spans="1:31">
      <c r="A1265" s="4">
        <v>13202</v>
      </c>
      <c r="B1265" s="4">
        <v>4</v>
      </c>
      <c r="C1265" s="19" t="s">
        <v>69</v>
      </c>
      <c r="D1265" s="44">
        <v>0</v>
      </c>
      <c r="E1265" s="18">
        <f t="shared" si="2459"/>
        <v>137</v>
      </c>
      <c r="F1265" s="18">
        <v>0</v>
      </c>
      <c r="G1265" s="18">
        <v>0</v>
      </c>
      <c r="H1265" s="45">
        <v>0</v>
      </c>
      <c r="I1265" s="21">
        <f t="shared" si="2554"/>
        <v>55</v>
      </c>
      <c r="J1265" s="21">
        <f t="shared" si="2509"/>
        <v>3</v>
      </c>
      <c r="K1265" s="21">
        <v>0</v>
      </c>
      <c r="L1265" s="20">
        <v>30</v>
      </c>
      <c r="M1265" s="20">
        <v>0</v>
      </c>
      <c r="N1265" s="20">
        <f t="shared" si="2555"/>
        <v>100</v>
      </c>
      <c r="O1265" s="19" t="s">
        <v>69</v>
      </c>
      <c r="P1265" s="20">
        <v>6400</v>
      </c>
      <c r="Q1265" s="20">
        <f t="shared" ref="Q1265:X1265" si="2588">Q1235</f>
        <v>10</v>
      </c>
      <c r="R1265" s="20">
        <f t="shared" si="2588"/>
        <v>40</v>
      </c>
      <c r="S1265" s="20">
        <f t="shared" si="2588"/>
        <v>70</v>
      </c>
      <c r="T1265" s="20">
        <f t="shared" si="2588"/>
        <v>90</v>
      </c>
      <c r="U1265" s="20">
        <f t="shared" si="2588"/>
        <v>900</v>
      </c>
      <c r="V1265" s="20">
        <f t="shared" si="2588"/>
        <v>2000</v>
      </c>
      <c r="W1265" s="20">
        <f t="shared" si="2588"/>
        <v>8000</v>
      </c>
      <c r="X1265" s="20">
        <f t="shared" si="2588"/>
        <v>1</v>
      </c>
      <c r="Y1265" s="20">
        <v>0</v>
      </c>
      <c r="Z1265" s="20">
        <f t="shared" si="2461"/>
        <v>0</v>
      </c>
      <c r="AA1265" s="20">
        <v>0</v>
      </c>
      <c r="AB1265" s="20">
        <v>0</v>
      </c>
      <c r="AC1265" s="20">
        <v>0</v>
      </c>
      <c r="AD1265" s="23">
        <f t="shared" ref="AD1265:AE1265" si="2589">AD1235</f>
        <v>6</v>
      </c>
      <c r="AE1265" s="23">
        <f t="shared" si="2589"/>
        <v>10</v>
      </c>
    </row>
    <row r="1266" spans="1:31">
      <c r="A1266" s="4">
        <v>13202</v>
      </c>
      <c r="B1266" s="4">
        <v>5</v>
      </c>
      <c r="C1266" s="19" t="s">
        <v>70</v>
      </c>
      <c r="D1266" s="44">
        <v>0</v>
      </c>
      <c r="E1266" s="18">
        <f t="shared" si="2459"/>
        <v>149</v>
      </c>
      <c r="F1266" s="18">
        <v>0</v>
      </c>
      <c r="G1266" s="18">
        <v>0</v>
      </c>
      <c r="H1266" s="45">
        <v>0</v>
      </c>
      <c r="I1266" s="21">
        <f t="shared" si="2554"/>
        <v>110</v>
      </c>
      <c r="J1266" s="21">
        <f t="shared" si="2509"/>
        <v>4</v>
      </c>
      <c r="K1266" s="21">
        <v>0</v>
      </c>
      <c r="L1266" s="20">
        <v>25</v>
      </c>
      <c r="M1266" s="20">
        <v>0</v>
      </c>
      <c r="N1266" s="20">
        <f t="shared" si="2555"/>
        <v>200</v>
      </c>
      <c r="O1266" s="19" t="s">
        <v>70</v>
      </c>
      <c r="P1266" s="20">
        <v>3100</v>
      </c>
      <c r="Q1266" s="20">
        <f t="shared" ref="Q1266:X1266" si="2590">Q1236</f>
        <v>20</v>
      </c>
      <c r="R1266" s="20">
        <f t="shared" si="2590"/>
        <v>80</v>
      </c>
      <c r="S1266" s="20">
        <f t="shared" si="2590"/>
        <v>140</v>
      </c>
      <c r="T1266" s="20">
        <f t="shared" si="2590"/>
        <v>180</v>
      </c>
      <c r="U1266" s="20">
        <f t="shared" si="2590"/>
        <v>1000</v>
      </c>
      <c r="V1266" s="20">
        <f t="shared" si="2590"/>
        <v>2000</v>
      </c>
      <c r="W1266" s="20">
        <f t="shared" si="2590"/>
        <v>2000</v>
      </c>
      <c r="X1266" s="20">
        <f t="shared" si="2590"/>
        <v>2</v>
      </c>
      <c r="Y1266" s="20">
        <v>0</v>
      </c>
      <c r="Z1266" s="20">
        <f t="shared" si="2461"/>
        <v>0</v>
      </c>
      <c r="AA1266" s="20">
        <v>0</v>
      </c>
      <c r="AB1266" s="20">
        <v>0</v>
      </c>
      <c r="AC1266" s="20">
        <v>0</v>
      </c>
      <c r="AD1266" s="23">
        <f t="shared" ref="AD1266:AE1266" si="2591">AD1236</f>
        <v>8</v>
      </c>
      <c r="AE1266" s="23">
        <f t="shared" si="2591"/>
        <v>12</v>
      </c>
    </row>
    <row r="1267" spans="1:31">
      <c r="A1267" s="4">
        <v>13202</v>
      </c>
      <c r="B1267" s="4">
        <v>6</v>
      </c>
      <c r="C1267" s="19" t="s">
        <v>71</v>
      </c>
      <c r="D1267" s="44">
        <v>0</v>
      </c>
      <c r="E1267" s="18">
        <f t="shared" ref="E1267:E1330" si="2592">D1117</f>
        <v>161</v>
      </c>
      <c r="F1267" s="18">
        <v>0</v>
      </c>
      <c r="G1267" s="18">
        <v>0</v>
      </c>
      <c r="H1267" s="45">
        <v>0</v>
      </c>
      <c r="I1267" s="21">
        <f t="shared" si="2554"/>
        <v>110</v>
      </c>
      <c r="J1267" s="21">
        <f t="shared" si="2509"/>
        <v>5</v>
      </c>
      <c r="K1267" s="21">
        <v>0</v>
      </c>
      <c r="L1267" s="20">
        <v>20</v>
      </c>
      <c r="M1267" s="20">
        <v>0</v>
      </c>
      <c r="N1267" s="20">
        <f t="shared" si="2555"/>
        <v>500</v>
      </c>
      <c r="O1267" s="19" t="s">
        <v>71</v>
      </c>
      <c r="P1267" s="20">
        <v>1777</v>
      </c>
      <c r="Q1267" s="20">
        <f t="shared" ref="Q1267:X1267" si="2593">Q1237</f>
        <v>50</v>
      </c>
      <c r="R1267" s="20">
        <f t="shared" si="2593"/>
        <v>200</v>
      </c>
      <c r="S1267" s="20">
        <f t="shared" si="2593"/>
        <v>350</v>
      </c>
      <c r="T1267" s="20">
        <f t="shared" si="2593"/>
        <v>450</v>
      </c>
      <c r="U1267" s="20">
        <f t="shared" si="2593"/>
        <v>800</v>
      </c>
      <c r="V1267" s="20">
        <f t="shared" si="2593"/>
        <v>800</v>
      </c>
      <c r="W1267" s="20">
        <f t="shared" si="2593"/>
        <v>600</v>
      </c>
      <c r="X1267" s="20">
        <f t="shared" si="2593"/>
        <v>2</v>
      </c>
      <c r="Y1267" s="20">
        <v>0</v>
      </c>
      <c r="Z1267" s="20">
        <f t="shared" ref="Z1267:Z1330" si="2594">Y1117</f>
        <v>0</v>
      </c>
      <c r="AA1267" s="20">
        <v>0</v>
      </c>
      <c r="AB1267" s="20">
        <v>0</v>
      </c>
      <c r="AC1267" s="20">
        <v>0</v>
      </c>
      <c r="AD1267" s="23">
        <f t="shared" ref="AD1267:AE1267" si="2595">AD1237</f>
        <v>10</v>
      </c>
      <c r="AE1267" s="23">
        <f t="shared" si="2595"/>
        <v>14</v>
      </c>
    </row>
    <row r="1268" spans="1:31">
      <c r="A1268" s="8">
        <v>13202</v>
      </c>
      <c r="B1268" s="8">
        <v>7</v>
      </c>
      <c r="C1268" s="19" t="s">
        <v>72</v>
      </c>
      <c r="D1268" s="44">
        <v>0</v>
      </c>
      <c r="E1268" s="18">
        <f t="shared" si="2592"/>
        <v>174</v>
      </c>
      <c r="F1268" s="18">
        <v>0</v>
      </c>
      <c r="G1268" s="18">
        <v>0</v>
      </c>
      <c r="H1268" s="45">
        <v>0</v>
      </c>
      <c r="I1268" s="21">
        <f t="shared" si="2554"/>
        <v>110</v>
      </c>
      <c r="J1268" s="21">
        <f t="shared" si="2509"/>
        <v>6</v>
      </c>
      <c r="K1268" s="21">
        <v>0</v>
      </c>
      <c r="L1268" s="20">
        <v>16</v>
      </c>
      <c r="M1268" s="20">
        <v>0</v>
      </c>
      <c r="N1268" s="20">
        <f t="shared" si="2555"/>
        <v>700</v>
      </c>
      <c r="O1268" s="19" t="s">
        <v>72</v>
      </c>
      <c r="P1268" s="20">
        <v>2332</v>
      </c>
      <c r="Q1268" s="20">
        <f t="shared" ref="Q1268:X1268" si="2596">Q1238</f>
        <v>70</v>
      </c>
      <c r="R1268" s="20">
        <f t="shared" si="2596"/>
        <v>280</v>
      </c>
      <c r="S1268" s="20">
        <f t="shared" si="2596"/>
        <v>489.99999999999994</v>
      </c>
      <c r="T1268" s="20">
        <f t="shared" si="2596"/>
        <v>630</v>
      </c>
      <c r="U1268" s="20">
        <f t="shared" si="2596"/>
        <v>650</v>
      </c>
      <c r="V1268" s="20">
        <f t="shared" si="2596"/>
        <v>800</v>
      </c>
      <c r="W1268" s="20">
        <f t="shared" si="2596"/>
        <v>300</v>
      </c>
      <c r="X1268" s="20">
        <f t="shared" si="2596"/>
        <v>2</v>
      </c>
      <c r="Y1268" s="20">
        <v>0</v>
      </c>
      <c r="Z1268" s="20">
        <f t="shared" si="2594"/>
        <v>0</v>
      </c>
      <c r="AA1268" s="20">
        <v>0</v>
      </c>
      <c r="AB1268" s="20">
        <v>0</v>
      </c>
      <c r="AC1268" s="20">
        <v>0</v>
      </c>
      <c r="AD1268" s="23">
        <f t="shared" ref="AD1268:AE1268" si="2597">AD1238</f>
        <v>12</v>
      </c>
      <c r="AE1268" s="23">
        <f t="shared" si="2597"/>
        <v>16</v>
      </c>
    </row>
    <row r="1269" spans="1:31">
      <c r="A1269" s="4">
        <v>13202</v>
      </c>
      <c r="B1269" s="4">
        <v>8</v>
      </c>
      <c r="C1269" s="19" t="s">
        <v>73</v>
      </c>
      <c r="D1269" s="44">
        <v>0</v>
      </c>
      <c r="E1269" s="18">
        <f t="shared" si="2592"/>
        <v>189</v>
      </c>
      <c r="F1269" s="18">
        <v>0</v>
      </c>
      <c r="G1269" s="18">
        <v>0</v>
      </c>
      <c r="H1269" s="45">
        <v>0</v>
      </c>
      <c r="I1269" s="21">
        <f t="shared" si="2554"/>
        <v>110</v>
      </c>
      <c r="J1269" s="21">
        <f t="shared" si="2509"/>
        <v>7</v>
      </c>
      <c r="K1269" s="21">
        <v>0</v>
      </c>
      <c r="L1269" s="20">
        <v>12</v>
      </c>
      <c r="M1269" s="20">
        <v>0</v>
      </c>
      <c r="N1269" s="20">
        <f t="shared" si="2555"/>
        <v>800</v>
      </c>
      <c r="O1269" s="19" t="s">
        <v>73</v>
      </c>
      <c r="P1269" s="20">
        <v>1487</v>
      </c>
      <c r="Q1269" s="20">
        <f t="shared" ref="Q1269:X1269" si="2598">Q1239</f>
        <v>80</v>
      </c>
      <c r="R1269" s="20">
        <f t="shared" si="2598"/>
        <v>320</v>
      </c>
      <c r="S1269" s="20">
        <f t="shared" si="2598"/>
        <v>560</v>
      </c>
      <c r="T1269" s="20">
        <f t="shared" si="2598"/>
        <v>720</v>
      </c>
      <c r="U1269" s="20">
        <f t="shared" si="2598"/>
        <v>200</v>
      </c>
      <c r="V1269" s="20">
        <f t="shared" si="2598"/>
        <v>2000</v>
      </c>
      <c r="W1269" s="20">
        <f t="shared" si="2598"/>
        <v>1000</v>
      </c>
      <c r="X1269" s="20">
        <f t="shared" si="2598"/>
        <v>2</v>
      </c>
      <c r="Y1269" s="20">
        <v>0</v>
      </c>
      <c r="Z1269" s="20">
        <f t="shared" si="2594"/>
        <v>42</v>
      </c>
      <c r="AA1269" s="20">
        <v>0</v>
      </c>
      <c r="AB1269" s="20">
        <v>0</v>
      </c>
      <c r="AC1269" s="20">
        <v>0</v>
      </c>
      <c r="AD1269" s="23">
        <f t="shared" ref="AD1269:AE1269" si="2599">AD1239</f>
        <v>14</v>
      </c>
      <c r="AE1269" s="23">
        <f t="shared" si="2599"/>
        <v>18</v>
      </c>
    </row>
    <row r="1270" spans="1:31">
      <c r="A1270" s="4">
        <v>13202</v>
      </c>
      <c r="B1270" s="4">
        <v>9</v>
      </c>
      <c r="C1270" s="19" t="s">
        <v>74</v>
      </c>
      <c r="D1270" s="44">
        <v>0</v>
      </c>
      <c r="E1270" s="18">
        <f t="shared" si="2592"/>
        <v>204</v>
      </c>
      <c r="F1270" s="18">
        <v>0</v>
      </c>
      <c r="G1270" s="18">
        <v>0</v>
      </c>
      <c r="H1270" s="45">
        <v>0</v>
      </c>
      <c r="I1270" s="21">
        <f t="shared" si="2554"/>
        <v>165</v>
      </c>
      <c r="J1270" s="21">
        <f t="shared" si="2509"/>
        <v>8</v>
      </c>
      <c r="K1270" s="21">
        <v>0</v>
      </c>
      <c r="L1270" s="20">
        <v>8</v>
      </c>
      <c r="M1270" s="20">
        <v>0</v>
      </c>
      <c r="N1270" s="20">
        <f t="shared" si="2555"/>
        <v>900</v>
      </c>
      <c r="O1270" s="19" t="s">
        <v>74</v>
      </c>
      <c r="P1270" s="20">
        <v>1518</v>
      </c>
      <c r="Q1270" s="20">
        <f t="shared" ref="Q1270:X1270" si="2600">Q1240</f>
        <v>90</v>
      </c>
      <c r="R1270" s="20">
        <f t="shared" si="2600"/>
        <v>360</v>
      </c>
      <c r="S1270" s="20">
        <f t="shared" si="2600"/>
        <v>630</v>
      </c>
      <c r="T1270" s="20">
        <f t="shared" si="2600"/>
        <v>810</v>
      </c>
      <c r="U1270" s="20">
        <f t="shared" si="2600"/>
        <v>120</v>
      </c>
      <c r="V1270" s="20">
        <f t="shared" si="2600"/>
        <v>1500</v>
      </c>
      <c r="W1270" s="20">
        <f t="shared" si="2600"/>
        <v>1000</v>
      </c>
      <c r="X1270" s="20">
        <f t="shared" si="2600"/>
        <v>3</v>
      </c>
      <c r="Y1270" s="20">
        <v>0</v>
      </c>
      <c r="Z1270" s="20">
        <f t="shared" si="2594"/>
        <v>0</v>
      </c>
      <c r="AA1270" s="20">
        <v>0</v>
      </c>
      <c r="AB1270" s="20">
        <v>0</v>
      </c>
      <c r="AC1270" s="20">
        <v>0</v>
      </c>
      <c r="AD1270" s="23">
        <f t="shared" ref="AD1270:AE1270" si="2601">AD1240</f>
        <v>16</v>
      </c>
      <c r="AE1270" s="23">
        <f t="shared" si="2601"/>
        <v>20</v>
      </c>
    </row>
    <row r="1271" spans="1:31">
      <c r="A1271" s="4">
        <v>13202</v>
      </c>
      <c r="B1271" s="4">
        <v>10</v>
      </c>
      <c r="C1271" s="19" t="s">
        <v>75</v>
      </c>
      <c r="D1271" s="44">
        <v>0</v>
      </c>
      <c r="E1271" s="18">
        <f t="shared" si="2592"/>
        <v>221</v>
      </c>
      <c r="F1271" s="18">
        <v>0</v>
      </c>
      <c r="G1271" s="18">
        <v>0</v>
      </c>
      <c r="H1271" s="45">
        <v>0</v>
      </c>
      <c r="I1271" s="21">
        <f t="shared" si="2554"/>
        <v>165</v>
      </c>
      <c r="J1271" s="21">
        <f t="shared" si="2509"/>
        <v>9</v>
      </c>
      <c r="K1271" s="21">
        <v>0</v>
      </c>
      <c r="L1271" s="20">
        <v>6</v>
      </c>
      <c r="M1271" s="20">
        <v>0</v>
      </c>
      <c r="N1271" s="20">
        <f t="shared" si="2555"/>
        <v>2000</v>
      </c>
      <c r="O1271" s="19" t="s">
        <v>75</v>
      </c>
      <c r="P1271" s="20">
        <v>861</v>
      </c>
      <c r="Q1271" s="20">
        <f t="shared" ref="Q1271:X1271" si="2602">Q1241</f>
        <v>200</v>
      </c>
      <c r="R1271" s="20">
        <f t="shared" si="2602"/>
        <v>800</v>
      </c>
      <c r="S1271" s="20">
        <f t="shared" si="2602"/>
        <v>1400</v>
      </c>
      <c r="T1271" s="20">
        <f t="shared" si="2602"/>
        <v>1800</v>
      </c>
      <c r="U1271" s="20">
        <f t="shared" si="2602"/>
        <v>150</v>
      </c>
      <c r="V1271" s="20">
        <f t="shared" si="2602"/>
        <v>5000</v>
      </c>
      <c r="W1271" s="20">
        <f t="shared" si="2602"/>
        <v>800</v>
      </c>
      <c r="X1271" s="20">
        <f t="shared" si="2602"/>
        <v>3</v>
      </c>
      <c r="Y1271" s="20">
        <v>0</v>
      </c>
      <c r="Z1271" s="20">
        <f t="shared" si="2594"/>
        <v>0</v>
      </c>
      <c r="AA1271" s="20">
        <v>0</v>
      </c>
      <c r="AB1271" s="20">
        <v>0</v>
      </c>
      <c r="AC1271" s="20">
        <v>0</v>
      </c>
      <c r="AD1271" s="23">
        <f t="shared" ref="AD1271:AE1271" si="2603">AD1241</f>
        <v>18</v>
      </c>
      <c r="AE1271" s="23">
        <f t="shared" si="2603"/>
        <v>22</v>
      </c>
    </row>
    <row r="1272" spans="1:31">
      <c r="A1272" s="4">
        <v>13202</v>
      </c>
      <c r="B1272" s="4">
        <v>11</v>
      </c>
      <c r="C1272" s="19" t="s">
        <v>66</v>
      </c>
      <c r="D1272" s="44">
        <v>0</v>
      </c>
      <c r="E1272" s="18">
        <f t="shared" si="2592"/>
        <v>239</v>
      </c>
      <c r="F1272" s="18">
        <v>0</v>
      </c>
      <c r="G1272" s="18">
        <v>0</v>
      </c>
      <c r="H1272" s="45">
        <v>0</v>
      </c>
      <c r="I1272" s="21">
        <f t="shared" si="2554"/>
        <v>165</v>
      </c>
      <c r="J1272" s="21">
        <f t="shared" si="2509"/>
        <v>10</v>
      </c>
      <c r="K1272" s="21">
        <v>0</v>
      </c>
      <c r="L1272" s="20">
        <v>6</v>
      </c>
      <c r="M1272" s="20">
        <v>0</v>
      </c>
      <c r="N1272" s="20">
        <f t="shared" si="2555"/>
        <v>2200</v>
      </c>
      <c r="O1272" s="19" t="s">
        <v>66</v>
      </c>
      <c r="P1272" s="20">
        <v>9400</v>
      </c>
      <c r="Q1272" s="20">
        <f t="shared" ref="Q1272:X1272" si="2604">Q1242</f>
        <v>220</v>
      </c>
      <c r="R1272" s="20">
        <f t="shared" si="2604"/>
        <v>880</v>
      </c>
      <c r="S1272" s="20">
        <f t="shared" si="2604"/>
        <v>1540</v>
      </c>
      <c r="T1272" s="20">
        <f t="shared" si="2604"/>
        <v>1980</v>
      </c>
      <c r="U1272" s="20">
        <f t="shared" si="2604"/>
        <v>100</v>
      </c>
      <c r="V1272" s="20">
        <f t="shared" si="2604"/>
        <v>800</v>
      </c>
      <c r="W1272" s="20">
        <f t="shared" si="2604"/>
        <v>600</v>
      </c>
      <c r="X1272" s="20">
        <f t="shared" si="2604"/>
        <v>3</v>
      </c>
      <c r="Y1272" s="20">
        <v>0</v>
      </c>
      <c r="Z1272" s="20">
        <f t="shared" si="2594"/>
        <v>0</v>
      </c>
      <c r="AA1272" s="20">
        <v>0</v>
      </c>
      <c r="AB1272" s="20">
        <v>0</v>
      </c>
      <c r="AC1272" s="20">
        <v>0</v>
      </c>
      <c r="AD1272" s="23">
        <f t="shared" ref="AD1272:AE1272" si="2605">AD1242</f>
        <v>20</v>
      </c>
      <c r="AE1272" s="23">
        <f t="shared" si="2605"/>
        <v>24</v>
      </c>
    </row>
    <row r="1273" spans="1:31">
      <c r="A1273" s="4">
        <v>13202</v>
      </c>
      <c r="B1273" s="4">
        <v>12</v>
      </c>
      <c r="C1273" s="19" t="s">
        <v>67</v>
      </c>
      <c r="D1273" s="44">
        <v>0</v>
      </c>
      <c r="E1273" s="18">
        <f t="shared" si="2592"/>
        <v>258</v>
      </c>
      <c r="F1273" s="18">
        <v>0</v>
      </c>
      <c r="G1273" s="18">
        <v>0</v>
      </c>
      <c r="H1273" s="45">
        <v>0</v>
      </c>
      <c r="I1273" s="21">
        <f t="shared" si="2554"/>
        <v>165</v>
      </c>
      <c r="J1273" s="21">
        <f t="shared" si="2509"/>
        <v>11</v>
      </c>
      <c r="K1273" s="21">
        <v>0</v>
      </c>
      <c r="L1273" s="20">
        <v>6</v>
      </c>
      <c r="M1273" s="20">
        <v>0</v>
      </c>
      <c r="N1273" s="20">
        <f t="shared" si="2555"/>
        <v>2400</v>
      </c>
      <c r="O1273" s="19" t="s">
        <v>67</v>
      </c>
      <c r="P1273" s="20">
        <v>9100</v>
      </c>
      <c r="Q1273" s="20">
        <f t="shared" ref="Q1273:X1273" si="2606">Q1243</f>
        <v>240</v>
      </c>
      <c r="R1273" s="20">
        <f t="shared" si="2606"/>
        <v>960</v>
      </c>
      <c r="S1273" s="20">
        <f t="shared" si="2606"/>
        <v>1680</v>
      </c>
      <c r="T1273" s="20">
        <f t="shared" si="2606"/>
        <v>2160</v>
      </c>
      <c r="U1273" s="20">
        <f t="shared" si="2606"/>
        <v>150</v>
      </c>
      <c r="V1273" s="20">
        <f t="shared" si="2606"/>
        <v>700</v>
      </c>
      <c r="W1273" s="20">
        <f t="shared" si="2606"/>
        <v>900</v>
      </c>
      <c r="X1273" s="20">
        <f t="shared" si="2606"/>
        <v>3</v>
      </c>
      <c r="Y1273" s="20">
        <v>0</v>
      </c>
      <c r="Z1273" s="20">
        <f t="shared" si="2594"/>
        <v>0</v>
      </c>
      <c r="AA1273" s="20">
        <v>0</v>
      </c>
      <c r="AB1273" s="20">
        <v>0</v>
      </c>
      <c r="AC1273" s="20">
        <v>0</v>
      </c>
      <c r="AD1273" s="23">
        <f t="shared" ref="AD1273:AE1273" si="2607">AD1243</f>
        <v>22</v>
      </c>
      <c r="AE1273" s="23">
        <f t="shared" si="2607"/>
        <v>26</v>
      </c>
    </row>
    <row r="1274" spans="1:31">
      <c r="A1274" s="4">
        <v>13202</v>
      </c>
      <c r="B1274" s="4">
        <v>13</v>
      </c>
      <c r="C1274" s="19" t="s">
        <v>68</v>
      </c>
      <c r="D1274" s="44">
        <v>0</v>
      </c>
      <c r="E1274" s="18">
        <f t="shared" si="2592"/>
        <v>281</v>
      </c>
      <c r="F1274" s="18">
        <v>0</v>
      </c>
      <c r="G1274" s="18">
        <v>0</v>
      </c>
      <c r="H1274" s="45">
        <v>0</v>
      </c>
      <c r="I1274" s="21">
        <f t="shared" si="2554"/>
        <v>220</v>
      </c>
      <c r="J1274" s="21">
        <f t="shared" si="2509"/>
        <v>12</v>
      </c>
      <c r="K1274" s="21">
        <v>0</v>
      </c>
      <c r="L1274" s="20">
        <v>6</v>
      </c>
      <c r="M1274" s="20">
        <v>0</v>
      </c>
      <c r="N1274" s="20">
        <f t="shared" si="2555"/>
        <v>2600</v>
      </c>
      <c r="O1274" s="19" t="s">
        <v>68</v>
      </c>
      <c r="P1274" s="20">
        <v>8600</v>
      </c>
      <c r="Q1274" s="20">
        <f t="shared" ref="Q1274:X1274" si="2608">Q1244</f>
        <v>260</v>
      </c>
      <c r="R1274" s="20">
        <f t="shared" si="2608"/>
        <v>1040</v>
      </c>
      <c r="S1274" s="20">
        <f t="shared" si="2608"/>
        <v>1819.9999999999998</v>
      </c>
      <c r="T1274" s="20">
        <f t="shared" si="2608"/>
        <v>2340</v>
      </c>
      <c r="U1274" s="20">
        <f t="shared" si="2608"/>
        <v>100</v>
      </c>
      <c r="V1274" s="20">
        <f t="shared" si="2608"/>
        <v>700</v>
      </c>
      <c r="W1274" s="20">
        <f t="shared" si="2608"/>
        <v>1000</v>
      </c>
      <c r="X1274" s="20">
        <f t="shared" si="2608"/>
        <v>4</v>
      </c>
      <c r="Y1274" s="20">
        <v>0</v>
      </c>
      <c r="Z1274" s="20">
        <f t="shared" si="2594"/>
        <v>86</v>
      </c>
      <c r="AA1274" s="20">
        <v>0</v>
      </c>
      <c r="AB1274" s="20">
        <v>0</v>
      </c>
      <c r="AC1274" s="20">
        <v>0</v>
      </c>
      <c r="AD1274" s="23">
        <f t="shared" ref="AD1274:AE1274" si="2609">AD1244</f>
        <v>24</v>
      </c>
      <c r="AE1274" s="23">
        <f t="shared" si="2609"/>
        <v>28</v>
      </c>
    </row>
    <row r="1275" spans="1:31">
      <c r="A1275" s="4">
        <v>13202</v>
      </c>
      <c r="B1275" s="4">
        <v>14</v>
      </c>
      <c r="C1275" s="19" t="s">
        <v>69</v>
      </c>
      <c r="D1275" s="44">
        <v>0</v>
      </c>
      <c r="E1275" s="18">
        <f t="shared" si="2592"/>
        <v>303</v>
      </c>
      <c r="F1275" s="18">
        <v>0</v>
      </c>
      <c r="G1275" s="18">
        <v>0</v>
      </c>
      <c r="H1275" s="45">
        <v>0</v>
      </c>
      <c r="I1275" s="21">
        <f t="shared" si="2554"/>
        <v>220</v>
      </c>
      <c r="J1275" s="21">
        <f t="shared" si="2509"/>
        <v>13</v>
      </c>
      <c r="K1275" s="21">
        <v>0</v>
      </c>
      <c r="L1275" s="20">
        <v>6</v>
      </c>
      <c r="M1275" s="20">
        <v>0</v>
      </c>
      <c r="N1275" s="20">
        <f t="shared" si="2555"/>
        <v>2800</v>
      </c>
      <c r="O1275" s="19" t="s">
        <v>69</v>
      </c>
      <c r="P1275" s="20">
        <v>6400</v>
      </c>
      <c r="Q1275" s="20">
        <f t="shared" ref="Q1275:X1275" si="2610">Q1245</f>
        <v>280</v>
      </c>
      <c r="R1275" s="20">
        <f t="shared" si="2610"/>
        <v>1120</v>
      </c>
      <c r="S1275" s="20">
        <f t="shared" si="2610"/>
        <v>1959.9999999999998</v>
      </c>
      <c r="T1275" s="20">
        <f t="shared" si="2610"/>
        <v>2520</v>
      </c>
      <c r="U1275" s="20">
        <f t="shared" si="2610"/>
        <v>100</v>
      </c>
      <c r="V1275" s="20">
        <f t="shared" si="2610"/>
        <v>400</v>
      </c>
      <c r="W1275" s="20">
        <f t="shared" si="2610"/>
        <v>1200</v>
      </c>
      <c r="X1275" s="20">
        <f t="shared" si="2610"/>
        <v>4</v>
      </c>
      <c r="Y1275" s="20">
        <v>0</v>
      </c>
      <c r="Z1275" s="20">
        <f t="shared" si="2594"/>
        <v>0</v>
      </c>
      <c r="AA1275" s="20">
        <v>0</v>
      </c>
      <c r="AB1275" s="20">
        <v>0</v>
      </c>
      <c r="AC1275" s="20">
        <v>0</v>
      </c>
      <c r="AD1275" s="23">
        <f t="shared" ref="AD1275:AE1275" si="2611">AD1245</f>
        <v>26</v>
      </c>
      <c r="AE1275" s="23">
        <f t="shared" si="2611"/>
        <v>30</v>
      </c>
    </row>
    <row r="1276" spans="1:31">
      <c r="A1276" s="4">
        <v>13202</v>
      </c>
      <c r="B1276" s="4">
        <v>15</v>
      </c>
      <c r="C1276" s="19" t="s">
        <v>70</v>
      </c>
      <c r="D1276" s="44">
        <v>0</v>
      </c>
      <c r="E1276" s="18">
        <f t="shared" si="2592"/>
        <v>329</v>
      </c>
      <c r="F1276" s="18">
        <v>0</v>
      </c>
      <c r="G1276" s="18">
        <v>0</v>
      </c>
      <c r="H1276" s="45">
        <v>0</v>
      </c>
      <c r="I1276" s="21">
        <f t="shared" si="2554"/>
        <v>220</v>
      </c>
      <c r="J1276" s="21">
        <f t="shared" si="2509"/>
        <v>14</v>
      </c>
      <c r="K1276" s="21">
        <v>0</v>
      </c>
      <c r="L1276" s="20">
        <v>6</v>
      </c>
      <c r="M1276" s="20">
        <v>0</v>
      </c>
      <c r="N1276" s="20">
        <f t="shared" si="2555"/>
        <v>4500</v>
      </c>
      <c r="O1276" s="19" t="s">
        <v>70</v>
      </c>
      <c r="P1276" s="20">
        <v>3100</v>
      </c>
      <c r="Q1276" s="20">
        <f t="shared" ref="Q1276:X1276" si="2612">Q1246</f>
        <v>450</v>
      </c>
      <c r="R1276" s="20">
        <f t="shared" si="2612"/>
        <v>1800</v>
      </c>
      <c r="S1276" s="20">
        <f t="shared" si="2612"/>
        <v>3150</v>
      </c>
      <c r="T1276" s="20">
        <f t="shared" si="2612"/>
        <v>4050</v>
      </c>
      <c r="U1276" s="20">
        <f t="shared" si="2612"/>
        <v>100</v>
      </c>
      <c r="V1276" s="20">
        <f t="shared" si="2612"/>
        <v>1000</v>
      </c>
      <c r="W1276" s="20">
        <f t="shared" si="2612"/>
        <v>600</v>
      </c>
      <c r="X1276" s="20">
        <f t="shared" si="2612"/>
        <v>4</v>
      </c>
      <c r="Y1276" s="20">
        <v>0</v>
      </c>
      <c r="Z1276" s="20">
        <f t="shared" si="2594"/>
        <v>0</v>
      </c>
      <c r="AA1276" s="20">
        <v>0</v>
      </c>
      <c r="AB1276" s="20">
        <v>0</v>
      </c>
      <c r="AC1276" s="20">
        <v>0</v>
      </c>
      <c r="AD1276" s="23">
        <f t="shared" ref="AD1276:AE1276" si="2613">AD1246</f>
        <v>28</v>
      </c>
      <c r="AE1276" s="23">
        <f t="shared" si="2613"/>
        <v>32</v>
      </c>
    </row>
    <row r="1277" spans="1:31">
      <c r="A1277" s="4">
        <v>13202</v>
      </c>
      <c r="B1277" s="4">
        <v>16</v>
      </c>
      <c r="C1277" s="19" t="s">
        <v>71</v>
      </c>
      <c r="D1277" s="44">
        <v>0</v>
      </c>
      <c r="E1277" s="18">
        <f t="shared" si="2592"/>
        <v>356</v>
      </c>
      <c r="F1277" s="18">
        <v>0</v>
      </c>
      <c r="G1277" s="18">
        <v>0</v>
      </c>
      <c r="H1277" s="45">
        <v>0</v>
      </c>
      <c r="I1277" s="21">
        <f t="shared" si="2554"/>
        <v>220</v>
      </c>
      <c r="J1277" s="21">
        <f t="shared" si="2509"/>
        <v>15</v>
      </c>
      <c r="K1277" s="21">
        <v>0</v>
      </c>
      <c r="L1277" s="20">
        <v>6</v>
      </c>
      <c r="M1277" s="20">
        <v>0</v>
      </c>
      <c r="N1277" s="20">
        <f t="shared" si="2555"/>
        <v>4800</v>
      </c>
      <c r="O1277" s="19" t="s">
        <v>71</v>
      </c>
      <c r="P1277" s="20">
        <v>1777</v>
      </c>
      <c r="Q1277" s="20">
        <f t="shared" ref="Q1277:X1277" si="2614">Q1247</f>
        <v>480</v>
      </c>
      <c r="R1277" s="20">
        <f t="shared" si="2614"/>
        <v>1920</v>
      </c>
      <c r="S1277" s="20">
        <f t="shared" si="2614"/>
        <v>3360</v>
      </c>
      <c r="T1277" s="20">
        <f t="shared" si="2614"/>
        <v>4320</v>
      </c>
      <c r="U1277" s="20">
        <f t="shared" si="2614"/>
        <v>100</v>
      </c>
      <c r="V1277" s="20">
        <f t="shared" si="2614"/>
        <v>800</v>
      </c>
      <c r="W1277" s="20">
        <f t="shared" si="2614"/>
        <v>800</v>
      </c>
      <c r="X1277" s="20">
        <f t="shared" si="2614"/>
        <v>4</v>
      </c>
      <c r="Y1277" s="20">
        <v>0</v>
      </c>
      <c r="Z1277" s="20">
        <f t="shared" si="2594"/>
        <v>0</v>
      </c>
      <c r="AA1277" s="20">
        <v>0</v>
      </c>
      <c r="AB1277" s="20">
        <v>0</v>
      </c>
      <c r="AC1277" s="20">
        <v>0</v>
      </c>
      <c r="AD1277" s="23">
        <f t="shared" ref="AD1277:AE1277" si="2615">AD1247</f>
        <v>30</v>
      </c>
      <c r="AE1277" s="23">
        <f t="shared" si="2615"/>
        <v>34</v>
      </c>
    </row>
    <row r="1278" spans="1:31">
      <c r="A1278" s="4">
        <v>13202</v>
      </c>
      <c r="B1278" s="4">
        <v>17</v>
      </c>
      <c r="C1278" s="19" t="s">
        <v>72</v>
      </c>
      <c r="D1278" s="44">
        <v>0</v>
      </c>
      <c r="E1278" s="18">
        <f t="shared" si="2592"/>
        <v>384</v>
      </c>
      <c r="F1278" s="18">
        <v>0</v>
      </c>
      <c r="G1278" s="18">
        <v>0</v>
      </c>
      <c r="H1278" s="45">
        <v>0</v>
      </c>
      <c r="I1278" s="21">
        <f t="shared" si="2554"/>
        <v>275</v>
      </c>
      <c r="J1278" s="21">
        <f t="shared" si="2509"/>
        <v>16</v>
      </c>
      <c r="K1278" s="21">
        <v>0</v>
      </c>
      <c r="L1278" s="20">
        <v>6</v>
      </c>
      <c r="M1278" s="20">
        <v>0</v>
      </c>
      <c r="N1278" s="20">
        <f t="shared" si="2555"/>
        <v>5100</v>
      </c>
      <c r="O1278" s="19" t="s">
        <v>72</v>
      </c>
      <c r="P1278" s="20">
        <v>2332</v>
      </c>
      <c r="Q1278" s="20">
        <f t="shared" ref="Q1278:X1278" si="2616">Q1248</f>
        <v>510</v>
      </c>
      <c r="R1278" s="20">
        <f t="shared" si="2616"/>
        <v>2040</v>
      </c>
      <c r="S1278" s="20">
        <f t="shared" si="2616"/>
        <v>3570</v>
      </c>
      <c r="T1278" s="20">
        <f t="shared" si="2616"/>
        <v>4590</v>
      </c>
      <c r="U1278" s="20">
        <f t="shared" si="2616"/>
        <v>80</v>
      </c>
      <c r="V1278" s="20">
        <f t="shared" si="2616"/>
        <v>800</v>
      </c>
      <c r="W1278" s="20">
        <f t="shared" si="2616"/>
        <v>600</v>
      </c>
      <c r="X1278" s="20">
        <f t="shared" si="2616"/>
        <v>5</v>
      </c>
      <c r="Y1278" s="20">
        <v>0</v>
      </c>
      <c r="Z1278" s="20">
        <f t="shared" si="2594"/>
        <v>0</v>
      </c>
      <c r="AA1278" s="20">
        <v>0</v>
      </c>
      <c r="AB1278" s="20">
        <v>0</v>
      </c>
      <c r="AC1278" s="20">
        <v>0</v>
      </c>
      <c r="AD1278" s="23">
        <f t="shared" ref="AD1278:AE1278" si="2617">AD1248</f>
        <v>32</v>
      </c>
      <c r="AE1278" s="23">
        <f t="shared" si="2617"/>
        <v>36</v>
      </c>
    </row>
    <row r="1279" spans="1:31">
      <c r="A1279" s="4">
        <v>13202</v>
      </c>
      <c r="B1279" s="4">
        <v>18</v>
      </c>
      <c r="C1279" s="19" t="s">
        <v>73</v>
      </c>
      <c r="D1279" s="44">
        <v>0</v>
      </c>
      <c r="E1279" s="18">
        <f t="shared" si="2592"/>
        <v>417</v>
      </c>
      <c r="F1279" s="18">
        <v>0</v>
      </c>
      <c r="G1279" s="18">
        <v>0</v>
      </c>
      <c r="H1279" s="45">
        <v>0</v>
      </c>
      <c r="I1279" s="21">
        <f t="shared" si="2554"/>
        <v>275</v>
      </c>
      <c r="J1279" s="21">
        <f t="shared" si="2509"/>
        <v>17</v>
      </c>
      <c r="K1279" s="21">
        <v>0</v>
      </c>
      <c r="L1279" s="20">
        <v>6</v>
      </c>
      <c r="M1279" s="20">
        <v>0</v>
      </c>
      <c r="N1279" s="20">
        <f t="shared" si="2555"/>
        <v>5400</v>
      </c>
      <c r="O1279" s="19" t="s">
        <v>73</v>
      </c>
      <c r="P1279" s="20">
        <v>1487</v>
      </c>
      <c r="Q1279" s="20">
        <f t="shared" ref="Q1279:X1279" si="2618">Q1249</f>
        <v>540</v>
      </c>
      <c r="R1279" s="20">
        <f t="shared" si="2618"/>
        <v>2160</v>
      </c>
      <c r="S1279" s="20">
        <f t="shared" si="2618"/>
        <v>3779.9999999999995</v>
      </c>
      <c r="T1279" s="20">
        <f t="shared" si="2618"/>
        <v>4860</v>
      </c>
      <c r="U1279" s="20">
        <f t="shared" si="2618"/>
        <v>100</v>
      </c>
      <c r="V1279" s="20">
        <f t="shared" si="2618"/>
        <v>600</v>
      </c>
      <c r="W1279" s="20">
        <f t="shared" si="2618"/>
        <v>300</v>
      </c>
      <c r="X1279" s="20">
        <f t="shared" si="2618"/>
        <v>5</v>
      </c>
      <c r="Y1279" s="20">
        <v>0</v>
      </c>
      <c r="Z1279" s="20">
        <f t="shared" si="2594"/>
        <v>129</v>
      </c>
      <c r="AA1279" s="20">
        <v>0</v>
      </c>
      <c r="AB1279" s="20">
        <v>0</v>
      </c>
      <c r="AC1279" s="20">
        <v>0</v>
      </c>
      <c r="AD1279" s="23">
        <f t="shared" ref="AD1279:AE1279" si="2619">AD1249</f>
        <v>34</v>
      </c>
      <c r="AE1279" s="23">
        <f t="shared" si="2619"/>
        <v>38</v>
      </c>
    </row>
    <row r="1280" spans="1:31">
      <c r="A1280" s="8">
        <v>13202</v>
      </c>
      <c r="B1280" s="8">
        <v>19</v>
      </c>
      <c r="C1280" s="19" t="s">
        <v>74</v>
      </c>
      <c r="D1280" s="44">
        <v>0</v>
      </c>
      <c r="E1280" s="18">
        <f t="shared" si="2592"/>
        <v>452</v>
      </c>
      <c r="F1280" s="18">
        <v>0</v>
      </c>
      <c r="G1280" s="18">
        <v>0</v>
      </c>
      <c r="H1280" s="45">
        <v>0</v>
      </c>
      <c r="I1280" s="21">
        <f t="shared" si="2554"/>
        <v>275</v>
      </c>
      <c r="J1280" s="21">
        <f t="shared" si="2509"/>
        <v>18</v>
      </c>
      <c r="K1280" s="21">
        <v>0</v>
      </c>
      <c r="L1280" s="20">
        <v>6</v>
      </c>
      <c r="M1280" s="20">
        <v>0</v>
      </c>
      <c r="N1280" s="20">
        <f t="shared" si="2555"/>
        <v>5700</v>
      </c>
      <c r="O1280" s="19" t="s">
        <v>74</v>
      </c>
      <c r="P1280" s="20">
        <v>1518</v>
      </c>
      <c r="Q1280" s="20">
        <f t="shared" ref="Q1280:X1280" si="2620">Q1250</f>
        <v>570</v>
      </c>
      <c r="R1280" s="20">
        <f t="shared" si="2620"/>
        <v>2280</v>
      </c>
      <c r="S1280" s="20">
        <f t="shared" si="2620"/>
        <v>3989.9999999999995</v>
      </c>
      <c r="T1280" s="20">
        <f t="shared" si="2620"/>
        <v>5130</v>
      </c>
      <c r="U1280" s="20">
        <f t="shared" si="2620"/>
        <v>100</v>
      </c>
      <c r="V1280" s="20">
        <f t="shared" si="2620"/>
        <v>500</v>
      </c>
      <c r="W1280" s="20">
        <f t="shared" si="2620"/>
        <v>400</v>
      </c>
      <c r="X1280" s="20">
        <f t="shared" si="2620"/>
        <v>5</v>
      </c>
      <c r="Y1280" s="20">
        <v>0</v>
      </c>
      <c r="Z1280" s="20">
        <f t="shared" si="2594"/>
        <v>0</v>
      </c>
      <c r="AA1280" s="20">
        <v>0</v>
      </c>
      <c r="AB1280" s="20">
        <v>0</v>
      </c>
      <c r="AC1280" s="20">
        <v>0</v>
      </c>
      <c r="AD1280" s="23">
        <f t="shared" ref="AD1280:AE1280" si="2621">AD1250</f>
        <v>36</v>
      </c>
      <c r="AE1280" s="23">
        <f t="shared" si="2621"/>
        <v>40</v>
      </c>
    </row>
    <row r="1281" spans="1:31">
      <c r="A1281" s="4">
        <v>13202</v>
      </c>
      <c r="B1281" s="4">
        <v>20</v>
      </c>
      <c r="C1281" s="19" t="s">
        <v>75</v>
      </c>
      <c r="D1281" s="44">
        <v>0</v>
      </c>
      <c r="E1281" s="18">
        <f t="shared" si="2592"/>
        <v>488</v>
      </c>
      <c r="F1281" s="18">
        <v>0</v>
      </c>
      <c r="G1281" s="18">
        <v>0</v>
      </c>
      <c r="H1281" s="45">
        <v>0</v>
      </c>
      <c r="I1281" s="21">
        <f t="shared" si="2554"/>
        <v>275</v>
      </c>
      <c r="J1281" s="21">
        <f t="shared" si="2509"/>
        <v>19</v>
      </c>
      <c r="K1281" s="21">
        <v>0</v>
      </c>
      <c r="L1281" s="20">
        <v>6</v>
      </c>
      <c r="M1281" s="20">
        <v>0</v>
      </c>
      <c r="N1281" s="20">
        <f t="shared" si="2555"/>
        <v>8000</v>
      </c>
      <c r="O1281" s="19" t="s">
        <v>75</v>
      </c>
      <c r="P1281" s="20">
        <v>861</v>
      </c>
      <c r="Q1281" s="20">
        <f t="shared" ref="Q1281:X1281" si="2622">Q1251</f>
        <v>800</v>
      </c>
      <c r="R1281" s="20">
        <f t="shared" si="2622"/>
        <v>3200</v>
      </c>
      <c r="S1281" s="20">
        <f t="shared" si="2622"/>
        <v>5600</v>
      </c>
      <c r="T1281" s="20">
        <f t="shared" si="2622"/>
        <v>7200</v>
      </c>
      <c r="U1281" s="20">
        <f t="shared" si="2622"/>
        <v>100</v>
      </c>
      <c r="V1281" s="20">
        <f t="shared" si="2622"/>
        <v>800</v>
      </c>
      <c r="W1281" s="20">
        <f t="shared" si="2622"/>
        <v>8000</v>
      </c>
      <c r="X1281" s="20">
        <f t="shared" si="2622"/>
        <v>5</v>
      </c>
      <c r="Y1281" s="20">
        <v>0</v>
      </c>
      <c r="Z1281" s="20">
        <f t="shared" si="2594"/>
        <v>0</v>
      </c>
      <c r="AA1281" s="20">
        <v>0</v>
      </c>
      <c r="AB1281" s="20">
        <v>0</v>
      </c>
      <c r="AC1281" s="20">
        <v>0</v>
      </c>
      <c r="AD1281" s="23">
        <f t="shared" ref="AD1281:AE1281" si="2623">AD1251</f>
        <v>38</v>
      </c>
      <c r="AE1281" s="23">
        <f t="shared" si="2623"/>
        <v>42</v>
      </c>
    </row>
    <row r="1282" spans="1:31">
      <c r="A1282" s="4">
        <v>13202</v>
      </c>
      <c r="B1282" s="4">
        <v>21</v>
      </c>
      <c r="C1282" s="19" t="s">
        <v>66</v>
      </c>
      <c r="D1282" s="44">
        <v>0</v>
      </c>
      <c r="E1282" s="18">
        <f t="shared" si="2592"/>
        <v>528</v>
      </c>
      <c r="F1282" s="18">
        <v>0</v>
      </c>
      <c r="G1282" s="18">
        <v>0</v>
      </c>
      <c r="H1282" s="45">
        <v>0</v>
      </c>
      <c r="I1282" s="21">
        <f t="shared" si="2554"/>
        <v>330</v>
      </c>
      <c r="J1282" s="21">
        <f t="shared" si="2509"/>
        <v>20</v>
      </c>
      <c r="K1282" s="21">
        <v>0</v>
      </c>
      <c r="L1282" s="20">
        <v>6</v>
      </c>
      <c r="M1282" s="20">
        <v>0</v>
      </c>
      <c r="N1282" s="20">
        <f t="shared" si="2555"/>
        <v>8400</v>
      </c>
      <c r="O1282" s="19" t="s">
        <v>66</v>
      </c>
      <c r="P1282" s="20">
        <v>9400</v>
      </c>
      <c r="Q1282" s="20">
        <f t="shared" ref="Q1282:X1282" si="2624">Q1252</f>
        <v>840</v>
      </c>
      <c r="R1282" s="20">
        <f t="shared" si="2624"/>
        <v>3360</v>
      </c>
      <c r="S1282" s="20">
        <f t="shared" si="2624"/>
        <v>5880</v>
      </c>
      <c r="T1282" s="20">
        <f t="shared" si="2624"/>
        <v>7560</v>
      </c>
      <c r="U1282" s="20">
        <f t="shared" si="2624"/>
        <v>50</v>
      </c>
      <c r="V1282" s="20">
        <f t="shared" si="2624"/>
        <v>1000</v>
      </c>
      <c r="W1282" s="20">
        <f t="shared" si="2624"/>
        <v>600</v>
      </c>
      <c r="X1282" s="20">
        <f t="shared" si="2624"/>
        <v>6</v>
      </c>
      <c r="Y1282" s="20">
        <v>0</v>
      </c>
      <c r="Z1282" s="20">
        <f t="shared" si="2594"/>
        <v>0</v>
      </c>
      <c r="AA1282" s="20">
        <v>0</v>
      </c>
      <c r="AB1282" s="20">
        <v>0</v>
      </c>
      <c r="AC1282" s="20">
        <v>0</v>
      </c>
      <c r="AD1282" s="23">
        <f t="shared" ref="AD1282:AE1282" si="2625">AD1252</f>
        <v>40</v>
      </c>
      <c r="AE1282" s="23">
        <f t="shared" si="2625"/>
        <v>44</v>
      </c>
    </row>
    <row r="1283" spans="1:31">
      <c r="A1283" s="4">
        <v>13202</v>
      </c>
      <c r="B1283" s="4">
        <v>22</v>
      </c>
      <c r="C1283" s="19" t="s">
        <v>67</v>
      </c>
      <c r="D1283" s="44">
        <v>0</v>
      </c>
      <c r="E1283" s="18">
        <f t="shared" si="2592"/>
        <v>572</v>
      </c>
      <c r="F1283" s="18">
        <v>0</v>
      </c>
      <c r="G1283" s="18">
        <v>0</v>
      </c>
      <c r="H1283" s="45">
        <v>0</v>
      </c>
      <c r="I1283" s="21">
        <f t="shared" si="2554"/>
        <v>330</v>
      </c>
      <c r="J1283" s="21">
        <f t="shared" si="2509"/>
        <v>21</v>
      </c>
      <c r="K1283" s="21">
        <v>0</v>
      </c>
      <c r="L1283" s="20">
        <v>6</v>
      </c>
      <c r="M1283" s="20">
        <v>0</v>
      </c>
      <c r="N1283" s="20">
        <f t="shared" si="2555"/>
        <v>8800</v>
      </c>
      <c r="O1283" s="19" t="s">
        <v>67</v>
      </c>
      <c r="P1283" s="20">
        <v>9100</v>
      </c>
      <c r="Q1283" s="20">
        <f t="shared" ref="Q1283:X1283" si="2626">Q1253</f>
        <v>880</v>
      </c>
      <c r="R1283" s="20">
        <f t="shared" si="2626"/>
        <v>3520</v>
      </c>
      <c r="S1283" s="20">
        <f t="shared" si="2626"/>
        <v>6160</v>
      </c>
      <c r="T1283" s="20">
        <f t="shared" si="2626"/>
        <v>7920</v>
      </c>
      <c r="U1283" s="20">
        <f t="shared" si="2626"/>
        <v>100</v>
      </c>
      <c r="V1283" s="20">
        <f t="shared" si="2626"/>
        <v>600</v>
      </c>
      <c r="W1283" s="20">
        <f t="shared" si="2626"/>
        <v>700</v>
      </c>
      <c r="X1283" s="20">
        <f t="shared" si="2626"/>
        <v>6</v>
      </c>
      <c r="Y1283" s="20">
        <v>0</v>
      </c>
      <c r="Z1283" s="20">
        <f t="shared" si="2594"/>
        <v>0</v>
      </c>
      <c r="AA1283" s="20">
        <v>0</v>
      </c>
      <c r="AB1283" s="20">
        <v>0</v>
      </c>
      <c r="AC1283" s="20">
        <v>0</v>
      </c>
      <c r="AD1283" s="23">
        <f t="shared" ref="AD1283:AE1283" si="2627">AD1253</f>
        <v>42</v>
      </c>
      <c r="AE1283" s="23">
        <f t="shared" si="2627"/>
        <v>46</v>
      </c>
    </row>
    <row r="1284" spans="1:31">
      <c r="A1284" s="4">
        <v>13202</v>
      </c>
      <c r="B1284" s="4">
        <v>23</v>
      </c>
      <c r="C1284" s="19" t="s">
        <v>68</v>
      </c>
      <c r="D1284" s="44">
        <v>0</v>
      </c>
      <c r="E1284" s="18">
        <f t="shared" si="2592"/>
        <v>620</v>
      </c>
      <c r="F1284" s="18">
        <v>0</v>
      </c>
      <c r="G1284" s="18">
        <v>0</v>
      </c>
      <c r="H1284" s="45">
        <v>0</v>
      </c>
      <c r="I1284" s="21">
        <f t="shared" si="2554"/>
        <v>330</v>
      </c>
      <c r="J1284" s="21">
        <f t="shared" si="2509"/>
        <v>22</v>
      </c>
      <c r="K1284" s="21">
        <v>0</v>
      </c>
      <c r="L1284" s="20">
        <v>6</v>
      </c>
      <c r="M1284" s="20">
        <v>0</v>
      </c>
      <c r="N1284" s="20">
        <f t="shared" si="2555"/>
        <v>9200</v>
      </c>
      <c r="O1284" s="19" t="s">
        <v>68</v>
      </c>
      <c r="P1284" s="20">
        <v>8600</v>
      </c>
      <c r="Q1284" s="20">
        <f t="shared" ref="Q1284:X1284" si="2628">Q1254</f>
        <v>920</v>
      </c>
      <c r="R1284" s="20">
        <f t="shared" si="2628"/>
        <v>3680</v>
      </c>
      <c r="S1284" s="20">
        <f t="shared" si="2628"/>
        <v>6440</v>
      </c>
      <c r="T1284" s="20">
        <f t="shared" si="2628"/>
        <v>8280</v>
      </c>
      <c r="U1284" s="20">
        <f t="shared" si="2628"/>
        <v>100</v>
      </c>
      <c r="V1284" s="20">
        <f t="shared" si="2628"/>
        <v>550</v>
      </c>
      <c r="W1284" s="20">
        <f t="shared" si="2628"/>
        <v>500</v>
      </c>
      <c r="X1284" s="20">
        <f t="shared" si="2628"/>
        <v>6</v>
      </c>
      <c r="Y1284" s="20">
        <v>0</v>
      </c>
      <c r="Z1284" s="20">
        <f t="shared" si="2594"/>
        <v>172</v>
      </c>
      <c r="AA1284" s="20">
        <v>0</v>
      </c>
      <c r="AB1284" s="20">
        <v>0</v>
      </c>
      <c r="AC1284" s="20">
        <v>0</v>
      </c>
      <c r="AD1284" s="23">
        <f t="shared" ref="AD1284:AE1284" si="2629">AD1254</f>
        <v>44</v>
      </c>
      <c r="AE1284" s="23">
        <f t="shared" si="2629"/>
        <v>48</v>
      </c>
    </row>
    <row r="1285" spans="1:31">
      <c r="A1285" s="4">
        <v>13202</v>
      </c>
      <c r="B1285" s="4">
        <v>24</v>
      </c>
      <c r="C1285" s="19" t="s">
        <v>69</v>
      </c>
      <c r="D1285" s="44">
        <v>0</v>
      </c>
      <c r="E1285" s="18">
        <f t="shared" si="2592"/>
        <v>671</v>
      </c>
      <c r="F1285" s="18">
        <v>0</v>
      </c>
      <c r="G1285" s="18">
        <v>0</v>
      </c>
      <c r="H1285" s="45">
        <v>0</v>
      </c>
      <c r="I1285" s="21">
        <f t="shared" si="2554"/>
        <v>330</v>
      </c>
      <c r="J1285" s="21">
        <f t="shared" si="2509"/>
        <v>23</v>
      </c>
      <c r="K1285" s="21">
        <v>0</v>
      </c>
      <c r="L1285" s="20">
        <v>6</v>
      </c>
      <c r="M1285" s="20">
        <v>0</v>
      </c>
      <c r="N1285" s="20">
        <f t="shared" si="2555"/>
        <v>9600</v>
      </c>
      <c r="O1285" s="19" t="s">
        <v>69</v>
      </c>
      <c r="P1285" s="20">
        <v>6400</v>
      </c>
      <c r="Q1285" s="20">
        <f t="shared" ref="Q1285:X1285" si="2630">Q1255</f>
        <v>960</v>
      </c>
      <c r="R1285" s="20">
        <f t="shared" si="2630"/>
        <v>3840</v>
      </c>
      <c r="S1285" s="20">
        <f t="shared" si="2630"/>
        <v>6720</v>
      </c>
      <c r="T1285" s="20">
        <f t="shared" si="2630"/>
        <v>8640</v>
      </c>
      <c r="U1285" s="20">
        <f t="shared" si="2630"/>
        <v>100</v>
      </c>
      <c r="V1285" s="20">
        <f t="shared" si="2630"/>
        <v>500</v>
      </c>
      <c r="W1285" s="20">
        <f t="shared" si="2630"/>
        <v>900</v>
      </c>
      <c r="X1285" s="20">
        <f t="shared" si="2630"/>
        <v>6</v>
      </c>
      <c r="Y1285" s="20">
        <v>0</v>
      </c>
      <c r="Z1285" s="20">
        <f t="shared" si="2594"/>
        <v>0</v>
      </c>
      <c r="AA1285" s="20">
        <v>0</v>
      </c>
      <c r="AB1285" s="20">
        <v>0</v>
      </c>
      <c r="AC1285" s="20">
        <v>0</v>
      </c>
      <c r="AD1285" s="23">
        <f t="shared" ref="AD1285:AE1285" si="2631">AD1255</f>
        <v>46</v>
      </c>
      <c r="AE1285" s="23">
        <f t="shared" si="2631"/>
        <v>50</v>
      </c>
    </row>
    <row r="1286" spans="1:31">
      <c r="A1286" s="4">
        <v>13202</v>
      </c>
      <c r="B1286" s="4">
        <v>25</v>
      </c>
      <c r="C1286" s="19" t="s">
        <v>70</v>
      </c>
      <c r="D1286" s="44">
        <v>0</v>
      </c>
      <c r="E1286" s="18">
        <f t="shared" si="2592"/>
        <v>726</v>
      </c>
      <c r="F1286" s="18">
        <v>0</v>
      </c>
      <c r="G1286" s="18">
        <v>0</v>
      </c>
      <c r="H1286" s="45">
        <v>0</v>
      </c>
      <c r="I1286" s="21">
        <f t="shared" si="2554"/>
        <v>385</v>
      </c>
      <c r="J1286" s="21">
        <f t="shared" si="2509"/>
        <v>24</v>
      </c>
      <c r="K1286" s="21">
        <v>0</v>
      </c>
      <c r="L1286" s="20">
        <v>6</v>
      </c>
      <c r="M1286" s="20">
        <v>0</v>
      </c>
      <c r="N1286" s="20">
        <f t="shared" si="2555"/>
        <v>12500</v>
      </c>
      <c r="O1286" s="19" t="s">
        <v>70</v>
      </c>
      <c r="P1286" s="20">
        <v>3100</v>
      </c>
      <c r="Q1286" s="20">
        <f t="shared" ref="Q1286:X1286" si="2632">Q1256</f>
        <v>1250</v>
      </c>
      <c r="R1286" s="20">
        <f t="shared" si="2632"/>
        <v>5000</v>
      </c>
      <c r="S1286" s="20">
        <f t="shared" si="2632"/>
        <v>8750</v>
      </c>
      <c r="T1286" s="20">
        <f t="shared" si="2632"/>
        <v>11250</v>
      </c>
      <c r="U1286" s="20">
        <f t="shared" si="2632"/>
        <v>10</v>
      </c>
      <c r="V1286" s="20">
        <f t="shared" si="2632"/>
        <v>1300</v>
      </c>
      <c r="W1286" s="20">
        <f t="shared" si="2632"/>
        <v>1000</v>
      </c>
      <c r="X1286" s="20">
        <f t="shared" si="2632"/>
        <v>7</v>
      </c>
      <c r="Y1286" s="20">
        <v>0</v>
      </c>
      <c r="Z1286" s="20">
        <f t="shared" si="2594"/>
        <v>0</v>
      </c>
      <c r="AA1286" s="20">
        <v>0</v>
      </c>
      <c r="AB1286" s="20">
        <v>0</v>
      </c>
      <c r="AC1286" s="20">
        <v>0</v>
      </c>
      <c r="AD1286" s="23">
        <f t="shared" ref="AD1286:AE1286" si="2633">AD1256</f>
        <v>48</v>
      </c>
      <c r="AE1286" s="23">
        <f t="shared" si="2633"/>
        <v>52</v>
      </c>
    </row>
    <row r="1287" spans="1:31">
      <c r="A1287" s="4">
        <v>13202</v>
      </c>
      <c r="B1287" s="4">
        <v>26</v>
      </c>
      <c r="C1287" s="19" t="s">
        <v>71</v>
      </c>
      <c r="D1287" s="44">
        <v>0</v>
      </c>
      <c r="E1287" s="18">
        <f t="shared" si="2592"/>
        <v>786</v>
      </c>
      <c r="F1287" s="18">
        <v>0</v>
      </c>
      <c r="G1287" s="18">
        <v>0</v>
      </c>
      <c r="H1287" s="45">
        <v>0</v>
      </c>
      <c r="I1287" s="21">
        <f t="shared" si="2554"/>
        <v>385</v>
      </c>
      <c r="J1287" s="21">
        <f t="shared" si="2509"/>
        <v>25</v>
      </c>
      <c r="K1287" s="21">
        <v>0</v>
      </c>
      <c r="L1287" s="20">
        <v>6</v>
      </c>
      <c r="M1287" s="20">
        <v>0</v>
      </c>
      <c r="N1287" s="20">
        <f t="shared" si="2555"/>
        <v>13000</v>
      </c>
      <c r="O1287" s="19" t="s">
        <v>71</v>
      </c>
      <c r="P1287" s="20">
        <v>1777</v>
      </c>
      <c r="Q1287" s="20">
        <f t="shared" ref="Q1287:X1287" si="2634">Q1257</f>
        <v>1300</v>
      </c>
      <c r="R1287" s="20">
        <f t="shared" si="2634"/>
        <v>5200</v>
      </c>
      <c r="S1287" s="20">
        <f t="shared" si="2634"/>
        <v>9100</v>
      </c>
      <c r="T1287" s="20">
        <f t="shared" si="2634"/>
        <v>11700</v>
      </c>
      <c r="U1287" s="20">
        <f t="shared" si="2634"/>
        <v>90</v>
      </c>
      <c r="V1287" s="20">
        <f t="shared" si="2634"/>
        <v>800</v>
      </c>
      <c r="W1287" s="20">
        <f t="shared" si="2634"/>
        <v>2000</v>
      </c>
      <c r="X1287" s="20">
        <f t="shared" si="2634"/>
        <v>7</v>
      </c>
      <c r="Y1287" s="20">
        <v>0</v>
      </c>
      <c r="Z1287" s="20">
        <f t="shared" si="2594"/>
        <v>0</v>
      </c>
      <c r="AA1287" s="20">
        <v>0</v>
      </c>
      <c r="AB1287" s="20">
        <v>0</v>
      </c>
      <c r="AC1287" s="20">
        <v>0</v>
      </c>
      <c r="AD1287" s="23">
        <f t="shared" ref="AD1287:AE1287" si="2635">AD1257</f>
        <v>50</v>
      </c>
      <c r="AE1287" s="23">
        <f t="shared" si="2635"/>
        <v>54</v>
      </c>
    </row>
    <row r="1288" spans="1:31">
      <c r="A1288" s="4">
        <v>13202</v>
      </c>
      <c r="B1288" s="4">
        <v>27</v>
      </c>
      <c r="C1288" s="19" t="s">
        <v>72</v>
      </c>
      <c r="D1288" s="44">
        <v>0</v>
      </c>
      <c r="E1288" s="18">
        <f t="shared" si="2592"/>
        <v>851</v>
      </c>
      <c r="F1288" s="18">
        <v>0</v>
      </c>
      <c r="G1288" s="18">
        <v>0</v>
      </c>
      <c r="H1288" s="45">
        <v>0</v>
      </c>
      <c r="I1288" s="21">
        <f t="shared" si="2554"/>
        <v>385</v>
      </c>
      <c r="J1288" s="21">
        <f t="shared" si="2509"/>
        <v>26</v>
      </c>
      <c r="K1288" s="21">
        <v>0</v>
      </c>
      <c r="L1288" s="20">
        <v>6</v>
      </c>
      <c r="M1288" s="20">
        <v>0</v>
      </c>
      <c r="N1288" s="20">
        <f t="shared" si="2555"/>
        <v>13500</v>
      </c>
      <c r="O1288" s="19" t="s">
        <v>72</v>
      </c>
      <c r="P1288" s="20">
        <v>2332</v>
      </c>
      <c r="Q1288" s="20">
        <f t="shared" ref="Q1288:X1288" si="2636">Q1258</f>
        <v>1350</v>
      </c>
      <c r="R1288" s="20">
        <f t="shared" si="2636"/>
        <v>5400</v>
      </c>
      <c r="S1288" s="20">
        <f t="shared" si="2636"/>
        <v>9450</v>
      </c>
      <c r="T1288" s="20">
        <f t="shared" si="2636"/>
        <v>12150</v>
      </c>
      <c r="U1288" s="20">
        <f t="shared" si="2636"/>
        <v>80</v>
      </c>
      <c r="V1288" s="20">
        <f t="shared" si="2636"/>
        <v>700</v>
      </c>
      <c r="W1288" s="20">
        <f t="shared" si="2636"/>
        <v>800</v>
      </c>
      <c r="X1288" s="20">
        <f t="shared" si="2636"/>
        <v>7</v>
      </c>
      <c r="Y1288" s="20">
        <v>0</v>
      </c>
      <c r="Z1288" s="20">
        <f t="shared" si="2594"/>
        <v>0</v>
      </c>
      <c r="AA1288" s="20">
        <v>0</v>
      </c>
      <c r="AB1288" s="20">
        <v>0</v>
      </c>
      <c r="AC1288" s="20">
        <v>0</v>
      </c>
      <c r="AD1288" s="23">
        <f t="shared" ref="AD1288:AE1288" si="2637">AD1258</f>
        <v>52</v>
      </c>
      <c r="AE1288" s="23">
        <f t="shared" si="2637"/>
        <v>56</v>
      </c>
    </row>
    <row r="1289" spans="1:31">
      <c r="A1289" s="4">
        <v>13202</v>
      </c>
      <c r="B1289" s="4">
        <v>28</v>
      </c>
      <c r="C1289" s="19" t="s">
        <v>73</v>
      </c>
      <c r="D1289" s="44">
        <v>0</v>
      </c>
      <c r="E1289" s="18">
        <f t="shared" si="2592"/>
        <v>921</v>
      </c>
      <c r="F1289" s="18">
        <v>0</v>
      </c>
      <c r="G1289" s="18">
        <v>0</v>
      </c>
      <c r="H1289" s="45">
        <v>0</v>
      </c>
      <c r="I1289" s="21">
        <f t="shared" si="2554"/>
        <v>385</v>
      </c>
      <c r="J1289" s="21">
        <f t="shared" si="2509"/>
        <v>27</v>
      </c>
      <c r="K1289" s="21">
        <v>0</v>
      </c>
      <c r="L1289" s="20">
        <v>6</v>
      </c>
      <c r="M1289" s="20">
        <v>0</v>
      </c>
      <c r="N1289" s="20">
        <f t="shared" si="2555"/>
        <v>14000</v>
      </c>
      <c r="O1289" s="19" t="s">
        <v>73</v>
      </c>
      <c r="P1289" s="20">
        <v>1487</v>
      </c>
      <c r="Q1289" s="20">
        <f t="shared" ref="Q1289:X1289" si="2638">Q1259</f>
        <v>1400</v>
      </c>
      <c r="R1289" s="20">
        <f t="shared" si="2638"/>
        <v>5600</v>
      </c>
      <c r="S1289" s="20">
        <f t="shared" si="2638"/>
        <v>9800</v>
      </c>
      <c r="T1289" s="20">
        <f t="shared" si="2638"/>
        <v>12600</v>
      </c>
      <c r="U1289" s="20">
        <f t="shared" si="2638"/>
        <v>80</v>
      </c>
      <c r="V1289" s="20">
        <f t="shared" si="2638"/>
        <v>500</v>
      </c>
      <c r="W1289" s="20">
        <f t="shared" si="2638"/>
        <v>600</v>
      </c>
      <c r="X1289" s="20">
        <f t="shared" si="2638"/>
        <v>7</v>
      </c>
      <c r="Y1289" s="20">
        <v>0</v>
      </c>
      <c r="Z1289" s="20">
        <f t="shared" si="2594"/>
        <v>216</v>
      </c>
      <c r="AA1289" s="20">
        <v>0</v>
      </c>
      <c r="AB1289" s="20">
        <v>0</v>
      </c>
      <c r="AC1289" s="20">
        <v>0</v>
      </c>
      <c r="AD1289" s="23">
        <f t="shared" ref="AD1289:AE1289" si="2639">AD1259</f>
        <v>54</v>
      </c>
      <c r="AE1289" s="23">
        <f t="shared" si="2639"/>
        <v>58</v>
      </c>
    </row>
    <row r="1290" spans="1:31">
      <c r="A1290" s="4">
        <v>13202</v>
      </c>
      <c r="B1290" s="4">
        <v>29</v>
      </c>
      <c r="C1290" s="19" t="s">
        <v>74</v>
      </c>
      <c r="D1290" s="44">
        <v>0</v>
      </c>
      <c r="E1290" s="18">
        <f t="shared" si="2592"/>
        <v>998</v>
      </c>
      <c r="F1290" s="18">
        <v>0</v>
      </c>
      <c r="G1290" s="18">
        <v>0</v>
      </c>
      <c r="H1290" s="45">
        <v>0</v>
      </c>
      <c r="I1290" s="21">
        <f t="shared" si="2554"/>
        <v>440</v>
      </c>
      <c r="J1290" s="21">
        <f t="shared" si="2509"/>
        <v>28</v>
      </c>
      <c r="K1290" s="21">
        <v>0</v>
      </c>
      <c r="L1290" s="20">
        <v>6</v>
      </c>
      <c r="M1290" s="20">
        <v>0</v>
      </c>
      <c r="N1290" s="20">
        <f t="shared" si="2555"/>
        <v>14500</v>
      </c>
      <c r="O1290" s="19" t="s">
        <v>74</v>
      </c>
      <c r="P1290" s="20">
        <v>1518</v>
      </c>
      <c r="Q1290" s="20">
        <f t="shared" ref="Q1290:X1290" si="2640">Q1260</f>
        <v>1450</v>
      </c>
      <c r="R1290" s="20">
        <f t="shared" si="2640"/>
        <v>5800</v>
      </c>
      <c r="S1290" s="20">
        <f t="shared" si="2640"/>
        <v>10150</v>
      </c>
      <c r="T1290" s="20">
        <f t="shared" si="2640"/>
        <v>13050</v>
      </c>
      <c r="U1290" s="20">
        <f t="shared" si="2640"/>
        <v>80</v>
      </c>
      <c r="V1290" s="20">
        <f t="shared" si="2640"/>
        <v>600</v>
      </c>
      <c r="W1290" s="20">
        <f t="shared" si="2640"/>
        <v>700</v>
      </c>
      <c r="X1290" s="20">
        <f t="shared" si="2640"/>
        <v>8</v>
      </c>
      <c r="Y1290" s="20">
        <v>0</v>
      </c>
      <c r="Z1290" s="20">
        <f t="shared" si="2594"/>
        <v>0</v>
      </c>
      <c r="AA1290" s="20">
        <v>0</v>
      </c>
      <c r="AB1290" s="20">
        <v>0</v>
      </c>
      <c r="AC1290" s="20">
        <v>0</v>
      </c>
      <c r="AD1290" s="23">
        <f t="shared" ref="AD1290:AE1290" si="2641">AD1260</f>
        <v>56</v>
      </c>
      <c r="AE1290" s="23">
        <f t="shared" si="2641"/>
        <v>60</v>
      </c>
    </row>
    <row r="1291" spans="1:31">
      <c r="A1291" s="4">
        <v>13202</v>
      </c>
      <c r="B1291" s="4">
        <v>30</v>
      </c>
      <c r="C1291" s="19" t="s">
        <v>75</v>
      </c>
      <c r="D1291" s="44">
        <v>0</v>
      </c>
      <c r="E1291" s="18">
        <f t="shared" si="2592"/>
        <v>1080</v>
      </c>
      <c r="F1291" s="18">
        <v>0</v>
      </c>
      <c r="G1291" s="18">
        <v>0</v>
      </c>
      <c r="H1291" s="45">
        <v>0</v>
      </c>
      <c r="I1291" s="21">
        <f t="shared" si="2554"/>
        <v>440</v>
      </c>
      <c r="J1291" s="21">
        <f t="shared" ref="J1291:J1354" si="2642">B1291-1</f>
        <v>29</v>
      </c>
      <c r="K1291" s="21">
        <v>0</v>
      </c>
      <c r="L1291" s="20">
        <v>6</v>
      </c>
      <c r="M1291" s="20">
        <v>0</v>
      </c>
      <c r="N1291" s="20">
        <f t="shared" si="2555"/>
        <v>15000</v>
      </c>
      <c r="O1291" s="19" t="s">
        <v>75</v>
      </c>
      <c r="P1291" s="20">
        <v>861</v>
      </c>
      <c r="Q1291" s="20">
        <f t="shared" ref="Q1291:X1291" si="2643">Q1261</f>
        <v>1500</v>
      </c>
      <c r="R1291" s="20">
        <f t="shared" si="2643"/>
        <v>6000</v>
      </c>
      <c r="S1291" s="20">
        <f t="shared" si="2643"/>
        <v>10500</v>
      </c>
      <c r="T1291" s="20">
        <f t="shared" si="2643"/>
        <v>13500</v>
      </c>
      <c r="U1291" s="20">
        <f t="shared" si="2643"/>
        <v>20</v>
      </c>
      <c r="V1291" s="20">
        <f t="shared" si="2643"/>
        <v>450</v>
      </c>
      <c r="W1291" s="20">
        <f t="shared" si="2643"/>
        <v>1000</v>
      </c>
      <c r="X1291" s="20">
        <f t="shared" si="2643"/>
        <v>8</v>
      </c>
      <c r="Y1291" s="20">
        <v>0</v>
      </c>
      <c r="Z1291" s="20">
        <f t="shared" si="2594"/>
        <v>0</v>
      </c>
      <c r="AA1291" s="20">
        <v>0</v>
      </c>
      <c r="AB1291" s="20">
        <v>0</v>
      </c>
      <c r="AC1291" s="20">
        <v>0</v>
      </c>
      <c r="AD1291" s="23">
        <f t="shared" ref="AD1291:AE1291" si="2644">AD1261</f>
        <v>58</v>
      </c>
      <c r="AE1291" s="23">
        <f t="shared" si="2644"/>
        <v>62</v>
      </c>
    </row>
    <row r="1292" spans="1:31">
      <c r="A1292" s="8">
        <v>13203</v>
      </c>
      <c r="B1292" s="8">
        <v>1</v>
      </c>
      <c r="C1292" s="29" t="s">
        <v>66</v>
      </c>
      <c r="D1292" s="46">
        <v>0</v>
      </c>
      <c r="E1292" s="18">
        <f t="shared" si="2592"/>
        <v>144</v>
      </c>
      <c r="F1292" s="28">
        <v>0</v>
      </c>
      <c r="G1292" s="28">
        <v>0</v>
      </c>
      <c r="H1292" s="47">
        <v>0</v>
      </c>
      <c r="I1292" s="21">
        <f t="shared" si="2554"/>
        <v>55</v>
      </c>
      <c r="J1292" s="21">
        <f t="shared" si="2642"/>
        <v>0</v>
      </c>
      <c r="K1292" s="21">
        <v>0</v>
      </c>
      <c r="L1292" s="20">
        <v>45</v>
      </c>
      <c r="M1292" s="20">
        <v>0</v>
      </c>
      <c r="N1292" s="20">
        <f t="shared" si="2555"/>
        <v>10</v>
      </c>
      <c r="O1292" s="19" t="s">
        <v>66</v>
      </c>
      <c r="P1292" s="20">
        <v>9400</v>
      </c>
      <c r="Q1292" s="20">
        <f t="shared" ref="Q1292:X1292" si="2645">Q1262</f>
        <v>1</v>
      </c>
      <c r="R1292" s="20">
        <f t="shared" si="2645"/>
        <v>4</v>
      </c>
      <c r="S1292" s="20">
        <f t="shared" si="2645"/>
        <v>7</v>
      </c>
      <c r="T1292" s="20">
        <f t="shared" si="2645"/>
        <v>9</v>
      </c>
      <c r="U1292" s="20">
        <f t="shared" si="2645"/>
        <v>9400</v>
      </c>
      <c r="V1292" s="20">
        <f t="shared" si="2645"/>
        <v>9400</v>
      </c>
      <c r="W1292" s="20">
        <f t="shared" si="2645"/>
        <v>9400</v>
      </c>
      <c r="X1292" s="20">
        <f t="shared" si="2645"/>
        <v>1</v>
      </c>
      <c r="Y1292" s="27">
        <v>0</v>
      </c>
      <c r="Z1292" s="20">
        <f t="shared" si="2594"/>
        <v>0</v>
      </c>
      <c r="AA1292" s="27">
        <v>0</v>
      </c>
      <c r="AB1292" s="27">
        <v>0</v>
      </c>
      <c r="AC1292" s="27">
        <v>0</v>
      </c>
      <c r="AD1292" s="23">
        <f t="shared" ref="AD1292:AE1292" si="2646">AD1262</f>
        <v>1</v>
      </c>
      <c r="AE1292" s="23">
        <f t="shared" si="2646"/>
        <v>3</v>
      </c>
    </row>
    <row r="1293" spans="1:31">
      <c r="A1293" s="4">
        <v>13203</v>
      </c>
      <c r="B1293" s="4">
        <v>2</v>
      </c>
      <c r="C1293" s="29" t="s">
        <v>67</v>
      </c>
      <c r="D1293" s="46">
        <v>0</v>
      </c>
      <c r="E1293" s="18">
        <f t="shared" si="2592"/>
        <v>156</v>
      </c>
      <c r="F1293" s="28">
        <v>0</v>
      </c>
      <c r="G1293" s="28">
        <v>0</v>
      </c>
      <c r="H1293" s="47">
        <v>0</v>
      </c>
      <c r="I1293" s="21">
        <f t="shared" si="2554"/>
        <v>55</v>
      </c>
      <c r="J1293" s="21">
        <f t="shared" si="2642"/>
        <v>1</v>
      </c>
      <c r="K1293" s="21">
        <v>0</v>
      </c>
      <c r="L1293" s="20">
        <v>40</v>
      </c>
      <c r="M1293" s="20">
        <v>0</v>
      </c>
      <c r="N1293" s="20">
        <f t="shared" si="2555"/>
        <v>20</v>
      </c>
      <c r="O1293" s="19" t="s">
        <v>67</v>
      </c>
      <c r="P1293" s="20">
        <v>9100</v>
      </c>
      <c r="Q1293" s="20">
        <f t="shared" ref="Q1293:X1293" si="2647">Q1263</f>
        <v>2</v>
      </c>
      <c r="R1293" s="20">
        <f t="shared" si="2647"/>
        <v>8</v>
      </c>
      <c r="S1293" s="20">
        <f t="shared" si="2647"/>
        <v>14</v>
      </c>
      <c r="T1293" s="20">
        <f t="shared" si="2647"/>
        <v>18</v>
      </c>
      <c r="U1293" s="20">
        <f t="shared" si="2647"/>
        <v>4000</v>
      </c>
      <c r="V1293" s="20">
        <f t="shared" si="2647"/>
        <v>8000</v>
      </c>
      <c r="W1293" s="20">
        <f t="shared" si="2647"/>
        <v>8000</v>
      </c>
      <c r="X1293" s="20">
        <f t="shared" si="2647"/>
        <v>1</v>
      </c>
      <c r="Y1293" s="27">
        <v>0</v>
      </c>
      <c r="Z1293" s="20">
        <f t="shared" si="2594"/>
        <v>0</v>
      </c>
      <c r="AA1293" s="27">
        <v>0</v>
      </c>
      <c r="AB1293" s="27">
        <v>0</v>
      </c>
      <c r="AC1293" s="27">
        <v>0</v>
      </c>
      <c r="AD1293" s="23">
        <f t="shared" ref="AD1293:AE1293" si="2648">AD1263</f>
        <v>2</v>
      </c>
      <c r="AE1293" s="23">
        <f t="shared" si="2648"/>
        <v>5</v>
      </c>
    </row>
    <row r="1294" spans="1:31">
      <c r="A1294" s="4">
        <v>13203</v>
      </c>
      <c r="B1294" s="4">
        <v>3</v>
      </c>
      <c r="C1294" s="29" t="s">
        <v>68</v>
      </c>
      <c r="D1294" s="46">
        <v>0</v>
      </c>
      <c r="E1294" s="18">
        <f t="shared" si="2592"/>
        <v>168</v>
      </c>
      <c r="F1294" s="28">
        <v>0</v>
      </c>
      <c r="G1294" s="28">
        <v>0</v>
      </c>
      <c r="H1294" s="47">
        <v>0</v>
      </c>
      <c r="I1294" s="21">
        <f t="shared" si="2554"/>
        <v>55</v>
      </c>
      <c r="J1294" s="21">
        <f t="shared" si="2642"/>
        <v>2</v>
      </c>
      <c r="K1294" s="21">
        <v>0</v>
      </c>
      <c r="L1294" s="20">
        <v>35</v>
      </c>
      <c r="M1294" s="20">
        <v>0</v>
      </c>
      <c r="N1294" s="20">
        <f t="shared" si="2555"/>
        <v>40</v>
      </c>
      <c r="O1294" s="19" t="s">
        <v>68</v>
      </c>
      <c r="P1294" s="20">
        <v>8600</v>
      </c>
      <c r="Q1294" s="20">
        <f t="shared" ref="Q1294:X1294" si="2649">Q1264</f>
        <v>4</v>
      </c>
      <c r="R1294" s="20">
        <f t="shared" si="2649"/>
        <v>16</v>
      </c>
      <c r="S1294" s="20">
        <f t="shared" si="2649"/>
        <v>28</v>
      </c>
      <c r="T1294" s="20">
        <f t="shared" si="2649"/>
        <v>36</v>
      </c>
      <c r="U1294" s="20">
        <f t="shared" si="2649"/>
        <v>1600</v>
      </c>
      <c r="V1294" s="20">
        <f t="shared" si="2649"/>
        <v>5000</v>
      </c>
      <c r="W1294" s="20">
        <f t="shared" si="2649"/>
        <v>6000</v>
      </c>
      <c r="X1294" s="20">
        <f t="shared" si="2649"/>
        <v>1</v>
      </c>
      <c r="Y1294" s="27">
        <v>0</v>
      </c>
      <c r="Z1294" s="20">
        <f t="shared" si="2594"/>
        <v>0</v>
      </c>
      <c r="AA1294" s="27">
        <v>0</v>
      </c>
      <c r="AB1294" s="27">
        <v>0</v>
      </c>
      <c r="AC1294" s="27">
        <v>0</v>
      </c>
      <c r="AD1294" s="23">
        <f t="shared" ref="AD1294:AE1294" si="2650">AD1264</f>
        <v>4</v>
      </c>
      <c r="AE1294" s="23">
        <f t="shared" si="2650"/>
        <v>8</v>
      </c>
    </row>
    <row r="1295" spans="1:31">
      <c r="A1295" s="4">
        <v>13203</v>
      </c>
      <c r="B1295" s="4">
        <v>4</v>
      </c>
      <c r="C1295" s="29" t="s">
        <v>69</v>
      </c>
      <c r="D1295" s="46">
        <v>0</v>
      </c>
      <c r="E1295" s="18">
        <f t="shared" si="2592"/>
        <v>182</v>
      </c>
      <c r="F1295" s="28">
        <v>0</v>
      </c>
      <c r="G1295" s="28">
        <v>0</v>
      </c>
      <c r="H1295" s="47">
        <v>0</v>
      </c>
      <c r="I1295" s="21">
        <f t="shared" si="2554"/>
        <v>55</v>
      </c>
      <c r="J1295" s="21">
        <f t="shared" si="2642"/>
        <v>3</v>
      </c>
      <c r="K1295" s="21">
        <v>0</v>
      </c>
      <c r="L1295" s="20">
        <v>30</v>
      </c>
      <c r="M1295" s="20">
        <v>0</v>
      </c>
      <c r="N1295" s="20">
        <f t="shared" si="2555"/>
        <v>100</v>
      </c>
      <c r="O1295" s="19" t="s">
        <v>69</v>
      </c>
      <c r="P1295" s="20">
        <v>6400</v>
      </c>
      <c r="Q1295" s="20">
        <f t="shared" ref="Q1295:X1295" si="2651">Q1265</f>
        <v>10</v>
      </c>
      <c r="R1295" s="20">
        <f t="shared" si="2651"/>
        <v>40</v>
      </c>
      <c r="S1295" s="20">
        <f t="shared" si="2651"/>
        <v>70</v>
      </c>
      <c r="T1295" s="20">
        <f t="shared" si="2651"/>
        <v>90</v>
      </c>
      <c r="U1295" s="20">
        <f t="shared" si="2651"/>
        <v>900</v>
      </c>
      <c r="V1295" s="20">
        <f t="shared" si="2651"/>
        <v>2000</v>
      </c>
      <c r="W1295" s="20">
        <f t="shared" si="2651"/>
        <v>8000</v>
      </c>
      <c r="X1295" s="20">
        <f t="shared" si="2651"/>
        <v>1</v>
      </c>
      <c r="Y1295" s="27">
        <v>0</v>
      </c>
      <c r="Z1295" s="20">
        <f t="shared" si="2594"/>
        <v>0</v>
      </c>
      <c r="AA1295" s="27">
        <v>0</v>
      </c>
      <c r="AB1295" s="27">
        <v>0</v>
      </c>
      <c r="AC1295" s="27">
        <v>0</v>
      </c>
      <c r="AD1295" s="23">
        <f t="shared" ref="AD1295:AE1295" si="2652">AD1265</f>
        <v>6</v>
      </c>
      <c r="AE1295" s="23">
        <f t="shared" si="2652"/>
        <v>10</v>
      </c>
    </row>
    <row r="1296" spans="1:31">
      <c r="A1296" s="4">
        <v>13203</v>
      </c>
      <c r="B1296" s="4">
        <v>5</v>
      </c>
      <c r="C1296" s="29" t="s">
        <v>70</v>
      </c>
      <c r="D1296" s="46">
        <v>0</v>
      </c>
      <c r="E1296" s="18">
        <f t="shared" si="2592"/>
        <v>198</v>
      </c>
      <c r="F1296" s="28">
        <v>0</v>
      </c>
      <c r="G1296" s="28">
        <v>0</v>
      </c>
      <c r="H1296" s="47">
        <v>0</v>
      </c>
      <c r="I1296" s="21">
        <f t="shared" si="2554"/>
        <v>110</v>
      </c>
      <c r="J1296" s="21">
        <f t="shared" si="2642"/>
        <v>4</v>
      </c>
      <c r="K1296" s="21">
        <v>0</v>
      </c>
      <c r="L1296" s="20">
        <v>25</v>
      </c>
      <c r="M1296" s="20">
        <v>0</v>
      </c>
      <c r="N1296" s="20">
        <f t="shared" si="2555"/>
        <v>200</v>
      </c>
      <c r="O1296" s="19" t="s">
        <v>70</v>
      </c>
      <c r="P1296" s="20">
        <v>3100</v>
      </c>
      <c r="Q1296" s="20">
        <f t="shared" ref="Q1296:X1296" si="2653">Q1266</f>
        <v>20</v>
      </c>
      <c r="R1296" s="20">
        <f t="shared" si="2653"/>
        <v>80</v>
      </c>
      <c r="S1296" s="20">
        <f t="shared" si="2653"/>
        <v>140</v>
      </c>
      <c r="T1296" s="20">
        <f t="shared" si="2653"/>
        <v>180</v>
      </c>
      <c r="U1296" s="20">
        <f t="shared" si="2653"/>
        <v>1000</v>
      </c>
      <c r="V1296" s="20">
        <f t="shared" si="2653"/>
        <v>2000</v>
      </c>
      <c r="W1296" s="20">
        <f t="shared" si="2653"/>
        <v>2000</v>
      </c>
      <c r="X1296" s="20">
        <f t="shared" si="2653"/>
        <v>2</v>
      </c>
      <c r="Y1296" s="27">
        <v>0</v>
      </c>
      <c r="Z1296" s="20">
        <f t="shared" si="2594"/>
        <v>0</v>
      </c>
      <c r="AA1296" s="27">
        <v>0</v>
      </c>
      <c r="AB1296" s="27">
        <v>0</v>
      </c>
      <c r="AC1296" s="27">
        <v>0</v>
      </c>
      <c r="AD1296" s="23">
        <f t="shared" ref="AD1296:AE1296" si="2654">AD1266</f>
        <v>8</v>
      </c>
      <c r="AE1296" s="23">
        <f t="shared" si="2654"/>
        <v>12</v>
      </c>
    </row>
    <row r="1297" spans="1:31">
      <c r="A1297" s="4">
        <v>13203</v>
      </c>
      <c r="B1297" s="4">
        <v>6</v>
      </c>
      <c r="C1297" s="29" t="s">
        <v>71</v>
      </c>
      <c r="D1297" s="46">
        <v>0</v>
      </c>
      <c r="E1297" s="18">
        <f t="shared" si="2592"/>
        <v>214</v>
      </c>
      <c r="F1297" s="28">
        <v>0</v>
      </c>
      <c r="G1297" s="28">
        <v>0</v>
      </c>
      <c r="H1297" s="47">
        <v>0</v>
      </c>
      <c r="I1297" s="21">
        <f t="shared" si="2554"/>
        <v>110</v>
      </c>
      <c r="J1297" s="21">
        <f t="shared" si="2642"/>
        <v>5</v>
      </c>
      <c r="K1297" s="21">
        <v>0</v>
      </c>
      <c r="L1297" s="20">
        <v>20</v>
      </c>
      <c r="M1297" s="20">
        <v>0</v>
      </c>
      <c r="N1297" s="20">
        <f t="shared" si="2555"/>
        <v>500</v>
      </c>
      <c r="O1297" s="19" t="s">
        <v>71</v>
      </c>
      <c r="P1297" s="20">
        <v>1777</v>
      </c>
      <c r="Q1297" s="20">
        <f t="shared" ref="Q1297:X1297" si="2655">Q1267</f>
        <v>50</v>
      </c>
      <c r="R1297" s="20">
        <f t="shared" si="2655"/>
        <v>200</v>
      </c>
      <c r="S1297" s="20">
        <f t="shared" si="2655"/>
        <v>350</v>
      </c>
      <c r="T1297" s="20">
        <f t="shared" si="2655"/>
        <v>450</v>
      </c>
      <c r="U1297" s="20">
        <f t="shared" si="2655"/>
        <v>800</v>
      </c>
      <c r="V1297" s="20">
        <f t="shared" si="2655"/>
        <v>800</v>
      </c>
      <c r="W1297" s="20">
        <f t="shared" si="2655"/>
        <v>600</v>
      </c>
      <c r="X1297" s="20">
        <f t="shared" si="2655"/>
        <v>2</v>
      </c>
      <c r="Y1297" s="27">
        <v>0</v>
      </c>
      <c r="Z1297" s="20">
        <f t="shared" si="2594"/>
        <v>0</v>
      </c>
      <c r="AA1297" s="27">
        <v>0</v>
      </c>
      <c r="AB1297" s="27">
        <v>0</v>
      </c>
      <c r="AC1297" s="27">
        <v>0</v>
      </c>
      <c r="AD1297" s="23">
        <f t="shared" ref="AD1297:AE1297" si="2656">AD1267</f>
        <v>10</v>
      </c>
      <c r="AE1297" s="23">
        <f t="shared" si="2656"/>
        <v>14</v>
      </c>
    </row>
    <row r="1298" spans="1:31">
      <c r="A1298" s="4">
        <v>13203</v>
      </c>
      <c r="B1298" s="4">
        <v>7</v>
      </c>
      <c r="C1298" s="29" t="s">
        <v>72</v>
      </c>
      <c r="D1298" s="46">
        <v>0</v>
      </c>
      <c r="E1298" s="18">
        <f t="shared" si="2592"/>
        <v>232</v>
      </c>
      <c r="F1298" s="28">
        <v>0</v>
      </c>
      <c r="G1298" s="28">
        <v>0</v>
      </c>
      <c r="H1298" s="47">
        <v>0</v>
      </c>
      <c r="I1298" s="21">
        <f t="shared" si="2554"/>
        <v>110</v>
      </c>
      <c r="J1298" s="21">
        <f t="shared" si="2642"/>
        <v>6</v>
      </c>
      <c r="K1298" s="21">
        <v>0</v>
      </c>
      <c r="L1298" s="20">
        <v>16</v>
      </c>
      <c r="M1298" s="20">
        <v>0</v>
      </c>
      <c r="N1298" s="20">
        <f t="shared" si="2555"/>
        <v>700</v>
      </c>
      <c r="O1298" s="19" t="s">
        <v>72</v>
      </c>
      <c r="P1298" s="20">
        <v>2332</v>
      </c>
      <c r="Q1298" s="20">
        <f t="shared" ref="Q1298:X1298" si="2657">Q1268</f>
        <v>70</v>
      </c>
      <c r="R1298" s="20">
        <f t="shared" si="2657"/>
        <v>280</v>
      </c>
      <c r="S1298" s="20">
        <f t="shared" si="2657"/>
        <v>489.99999999999994</v>
      </c>
      <c r="T1298" s="20">
        <f t="shared" si="2657"/>
        <v>630</v>
      </c>
      <c r="U1298" s="20">
        <f t="shared" si="2657"/>
        <v>650</v>
      </c>
      <c r="V1298" s="20">
        <f t="shared" si="2657"/>
        <v>800</v>
      </c>
      <c r="W1298" s="20">
        <f t="shared" si="2657"/>
        <v>300</v>
      </c>
      <c r="X1298" s="20">
        <f t="shared" si="2657"/>
        <v>2</v>
      </c>
      <c r="Y1298" s="27">
        <v>0</v>
      </c>
      <c r="Z1298" s="20">
        <f t="shared" si="2594"/>
        <v>0</v>
      </c>
      <c r="AA1298" s="27">
        <v>0</v>
      </c>
      <c r="AB1298" s="27">
        <v>0</v>
      </c>
      <c r="AC1298" s="27">
        <v>0</v>
      </c>
      <c r="AD1298" s="23">
        <f t="shared" ref="AD1298:AE1298" si="2658">AD1268</f>
        <v>12</v>
      </c>
      <c r="AE1298" s="23">
        <f t="shared" si="2658"/>
        <v>16</v>
      </c>
    </row>
    <row r="1299" spans="1:31">
      <c r="A1299" s="4">
        <v>13203</v>
      </c>
      <c r="B1299" s="4">
        <v>8</v>
      </c>
      <c r="C1299" s="29" t="s">
        <v>73</v>
      </c>
      <c r="D1299" s="46">
        <v>0</v>
      </c>
      <c r="E1299" s="18">
        <f t="shared" si="2592"/>
        <v>252</v>
      </c>
      <c r="F1299" s="28">
        <v>0</v>
      </c>
      <c r="G1299" s="28">
        <v>0</v>
      </c>
      <c r="H1299" s="47">
        <v>0</v>
      </c>
      <c r="I1299" s="21">
        <f t="shared" si="2554"/>
        <v>110</v>
      </c>
      <c r="J1299" s="21">
        <f t="shared" si="2642"/>
        <v>7</v>
      </c>
      <c r="K1299" s="21">
        <v>0</v>
      </c>
      <c r="L1299" s="20">
        <v>12</v>
      </c>
      <c r="M1299" s="20">
        <v>0</v>
      </c>
      <c r="N1299" s="20">
        <f t="shared" si="2555"/>
        <v>800</v>
      </c>
      <c r="O1299" s="19" t="s">
        <v>73</v>
      </c>
      <c r="P1299" s="20">
        <v>1487</v>
      </c>
      <c r="Q1299" s="20">
        <f t="shared" ref="Q1299:X1299" si="2659">Q1269</f>
        <v>80</v>
      </c>
      <c r="R1299" s="20">
        <f t="shared" si="2659"/>
        <v>320</v>
      </c>
      <c r="S1299" s="20">
        <f t="shared" si="2659"/>
        <v>560</v>
      </c>
      <c r="T1299" s="20">
        <f t="shared" si="2659"/>
        <v>720</v>
      </c>
      <c r="U1299" s="20">
        <f t="shared" si="2659"/>
        <v>200</v>
      </c>
      <c r="V1299" s="20">
        <f t="shared" si="2659"/>
        <v>2000</v>
      </c>
      <c r="W1299" s="20">
        <f t="shared" si="2659"/>
        <v>1000</v>
      </c>
      <c r="X1299" s="20">
        <f t="shared" si="2659"/>
        <v>2</v>
      </c>
      <c r="Y1299" s="27">
        <v>0</v>
      </c>
      <c r="Z1299" s="20">
        <f t="shared" si="2594"/>
        <v>48</v>
      </c>
      <c r="AA1299" s="27">
        <v>0</v>
      </c>
      <c r="AB1299" s="27">
        <v>0</v>
      </c>
      <c r="AC1299" s="27">
        <v>0</v>
      </c>
      <c r="AD1299" s="23">
        <f t="shared" ref="AD1299:AE1299" si="2660">AD1269</f>
        <v>14</v>
      </c>
      <c r="AE1299" s="23">
        <f t="shared" si="2660"/>
        <v>18</v>
      </c>
    </row>
    <row r="1300" spans="1:31">
      <c r="A1300" s="4">
        <v>13203</v>
      </c>
      <c r="B1300" s="4">
        <v>9</v>
      </c>
      <c r="C1300" s="29" t="s">
        <v>74</v>
      </c>
      <c r="D1300" s="46">
        <v>0</v>
      </c>
      <c r="E1300" s="18">
        <f t="shared" si="2592"/>
        <v>272</v>
      </c>
      <c r="F1300" s="28">
        <v>0</v>
      </c>
      <c r="G1300" s="28">
        <v>0</v>
      </c>
      <c r="H1300" s="47">
        <v>0</v>
      </c>
      <c r="I1300" s="21">
        <f t="shared" si="2554"/>
        <v>165</v>
      </c>
      <c r="J1300" s="21">
        <f t="shared" si="2642"/>
        <v>8</v>
      </c>
      <c r="K1300" s="21">
        <v>0</v>
      </c>
      <c r="L1300" s="20">
        <v>8</v>
      </c>
      <c r="M1300" s="20">
        <v>0</v>
      </c>
      <c r="N1300" s="20">
        <f t="shared" si="2555"/>
        <v>900</v>
      </c>
      <c r="O1300" s="19" t="s">
        <v>74</v>
      </c>
      <c r="P1300" s="20">
        <v>1518</v>
      </c>
      <c r="Q1300" s="20">
        <f t="shared" ref="Q1300:X1300" si="2661">Q1270</f>
        <v>90</v>
      </c>
      <c r="R1300" s="20">
        <f t="shared" si="2661"/>
        <v>360</v>
      </c>
      <c r="S1300" s="20">
        <f t="shared" si="2661"/>
        <v>630</v>
      </c>
      <c r="T1300" s="20">
        <f t="shared" si="2661"/>
        <v>810</v>
      </c>
      <c r="U1300" s="20">
        <f t="shared" si="2661"/>
        <v>120</v>
      </c>
      <c r="V1300" s="20">
        <f t="shared" si="2661"/>
        <v>1500</v>
      </c>
      <c r="W1300" s="20">
        <f t="shared" si="2661"/>
        <v>1000</v>
      </c>
      <c r="X1300" s="20">
        <f t="shared" si="2661"/>
        <v>3</v>
      </c>
      <c r="Y1300" s="27">
        <v>0</v>
      </c>
      <c r="Z1300" s="20">
        <f t="shared" si="2594"/>
        <v>0</v>
      </c>
      <c r="AA1300" s="27">
        <v>0</v>
      </c>
      <c r="AB1300" s="27">
        <v>0</v>
      </c>
      <c r="AC1300" s="27">
        <v>0</v>
      </c>
      <c r="AD1300" s="23">
        <f t="shared" ref="AD1300:AE1300" si="2662">AD1270</f>
        <v>16</v>
      </c>
      <c r="AE1300" s="23">
        <f t="shared" si="2662"/>
        <v>20</v>
      </c>
    </row>
    <row r="1301" spans="1:31">
      <c r="A1301" s="4">
        <v>13203</v>
      </c>
      <c r="B1301" s="4">
        <v>10</v>
      </c>
      <c r="C1301" s="29" t="s">
        <v>75</v>
      </c>
      <c r="D1301" s="46">
        <v>0</v>
      </c>
      <c r="E1301" s="18">
        <f t="shared" si="2592"/>
        <v>294</v>
      </c>
      <c r="F1301" s="28">
        <v>0</v>
      </c>
      <c r="G1301" s="28">
        <v>0</v>
      </c>
      <c r="H1301" s="47">
        <v>0</v>
      </c>
      <c r="I1301" s="21">
        <f t="shared" si="2554"/>
        <v>165</v>
      </c>
      <c r="J1301" s="21">
        <f t="shared" si="2642"/>
        <v>9</v>
      </c>
      <c r="K1301" s="21">
        <v>0</v>
      </c>
      <c r="L1301" s="20">
        <v>6</v>
      </c>
      <c r="M1301" s="20">
        <v>0</v>
      </c>
      <c r="N1301" s="20">
        <f t="shared" si="2555"/>
        <v>2000</v>
      </c>
      <c r="O1301" s="19" t="s">
        <v>75</v>
      </c>
      <c r="P1301" s="20">
        <v>861</v>
      </c>
      <c r="Q1301" s="20">
        <f t="shared" ref="Q1301:X1301" si="2663">Q1271</f>
        <v>200</v>
      </c>
      <c r="R1301" s="20">
        <f t="shared" si="2663"/>
        <v>800</v>
      </c>
      <c r="S1301" s="20">
        <f t="shared" si="2663"/>
        <v>1400</v>
      </c>
      <c r="T1301" s="20">
        <f t="shared" si="2663"/>
        <v>1800</v>
      </c>
      <c r="U1301" s="20">
        <f t="shared" si="2663"/>
        <v>150</v>
      </c>
      <c r="V1301" s="20">
        <f t="shared" si="2663"/>
        <v>5000</v>
      </c>
      <c r="W1301" s="20">
        <f t="shared" si="2663"/>
        <v>800</v>
      </c>
      <c r="X1301" s="20">
        <f t="shared" si="2663"/>
        <v>3</v>
      </c>
      <c r="Y1301" s="27">
        <v>0</v>
      </c>
      <c r="Z1301" s="20">
        <f t="shared" si="2594"/>
        <v>0</v>
      </c>
      <c r="AA1301" s="27">
        <v>0</v>
      </c>
      <c r="AB1301" s="27">
        <v>0</v>
      </c>
      <c r="AC1301" s="27">
        <v>0</v>
      </c>
      <c r="AD1301" s="23">
        <f t="shared" ref="AD1301:AE1301" si="2664">AD1271</f>
        <v>18</v>
      </c>
      <c r="AE1301" s="23">
        <f t="shared" si="2664"/>
        <v>22</v>
      </c>
    </row>
    <row r="1302" spans="1:31">
      <c r="A1302" s="4">
        <v>13203</v>
      </c>
      <c r="B1302" s="4">
        <v>11</v>
      </c>
      <c r="C1302" s="29" t="s">
        <v>66</v>
      </c>
      <c r="D1302" s="46">
        <v>0</v>
      </c>
      <c r="E1302" s="18">
        <f t="shared" si="2592"/>
        <v>318</v>
      </c>
      <c r="F1302" s="28">
        <v>0</v>
      </c>
      <c r="G1302" s="28">
        <v>0</v>
      </c>
      <c r="H1302" s="47">
        <v>0</v>
      </c>
      <c r="I1302" s="21">
        <f t="shared" si="2554"/>
        <v>165</v>
      </c>
      <c r="J1302" s="21">
        <f t="shared" si="2642"/>
        <v>10</v>
      </c>
      <c r="K1302" s="21">
        <v>0</v>
      </c>
      <c r="L1302" s="20">
        <v>6</v>
      </c>
      <c r="M1302" s="20">
        <v>0</v>
      </c>
      <c r="N1302" s="20">
        <f t="shared" si="2555"/>
        <v>2200</v>
      </c>
      <c r="O1302" s="19" t="s">
        <v>66</v>
      </c>
      <c r="P1302" s="20">
        <v>9400</v>
      </c>
      <c r="Q1302" s="20">
        <f t="shared" ref="Q1302:X1302" si="2665">Q1272</f>
        <v>220</v>
      </c>
      <c r="R1302" s="20">
        <f t="shared" si="2665"/>
        <v>880</v>
      </c>
      <c r="S1302" s="20">
        <f t="shared" si="2665"/>
        <v>1540</v>
      </c>
      <c r="T1302" s="20">
        <f t="shared" si="2665"/>
        <v>1980</v>
      </c>
      <c r="U1302" s="20">
        <f t="shared" si="2665"/>
        <v>100</v>
      </c>
      <c r="V1302" s="20">
        <f t="shared" si="2665"/>
        <v>800</v>
      </c>
      <c r="W1302" s="20">
        <f t="shared" si="2665"/>
        <v>600</v>
      </c>
      <c r="X1302" s="20">
        <f t="shared" si="2665"/>
        <v>3</v>
      </c>
      <c r="Y1302" s="27">
        <v>0</v>
      </c>
      <c r="Z1302" s="20">
        <f t="shared" si="2594"/>
        <v>0</v>
      </c>
      <c r="AA1302" s="27">
        <v>0</v>
      </c>
      <c r="AB1302" s="27">
        <v>0</v>
      </c>
      <c r="AC1302" s="27">
        <v>0</v>
      </c>
      <c r="AD1302" s="23">
        <f t="shared" ref="AD1302:AE1302" si="2666">AD1272</f>
        <v>20</v>
      </c>
      <c r="AE1302" s="23">
        <f t="shared" si="2666"/>
        <v>24</v>
      </c>
    </row>
    <row r="1303" spans="1:31">
      <c r="A1303" s="4">
        <v>13203</v>
      </c>
      <c r="B1303" s="4">
        <v>12</v>
      </c>
      <c r="C1303" s="29" t="s">
        <v>67</v>
      </c>
      <c r="D1303" s="46">
        <v>0</v>
      </c>
      <c r="E1303" s="18">
        <f t="shared" si="2592"/>
        <v>344</v>
      </c>
      <c r="F1303" s="28">
        <v>0</v>
      </c>
      <c r="G1303" s="28">
        <v>0</v>
      </c>
      <c r="H1303" s="47">
        <v>0</v>
      </c>
      <c r="I1303" s="21">
        <f t="shared" si="2554"/>
        <v>165</v>
      </c>
      <c r="J1303" s="21">
        <f t="shared" si="2642"/>
        <v>11</v>
      </c>
      <c r="K1303" s="21">
        <v>0</v>
      </c>
      <c r="L1303" s="20">
        <v>6</v>
      </c>
      <c r="M1303" s="20">
        <v>0</v>
      </c>
      <c r="N1303" s="20">
        <f t="shared" si="2555"/>
        <v>2400</v>
      </c>
      <c r="O1303" s="19" t="s">
        <v>67</v>
      </c>
      <c r="P1303" s="20">
        <v>9100</v>
      </c>
      <c r="Q1303" s="20">
        <f t="shared" ref="Q1303:X1303" si="2667">Q1273</f>
        <v>240</v>
      </c>
      <c r="R1303" s="20">
        <f t="shared" si="2667"/>
        <v>960</v>
      </c>
      <c r="S1303" s="20">
        <f t="shared" si="2667"/>
        <v>1680</v>
      </c>
      <c r="T1303" s="20">
        <f t="shared" si="2667"/>
        <v>2160</v>
      </c>
      <c r="U1303" s="20">
        <f t="shared" si="2667"/>
        <v>150</v>
      </c>
      <c r="V1303" s="20">
        <f t="shared" si="2667"/>
        <v>700</v>
      </c>
      <c r="W1303" s="20">
        <f t="shared" si="2667"/>
        <v>900</v>
      </c>
      <c r="X1303" s="20">
        <f t="shared" si="2667"/>
        <v>3</v>
      </c>
      <c r="Y1303" s="27">
        <v>0</v>
      </c>
      <c r="Z1303" s="20">
        <f t="shared" si="2594"/>
        <v>0</v>
      </c>
      <c r="AA1303" s="27">
        <v>0</v>
      </c>
      <c r="AB1303" s="27">
        <v>0</v>
      </c>
      <c r="AC1303" s="27">
        <v>0</v>
      </c>
      <c r="AD1303" s="23">
        <f t="shared" ref="AD1303:AE1303" si="2668">AD1273</f>
        <v>22</v>
      </c>
      <c r="AE1303" s="23">
        <f t="shared" si="2668"/>
        <v>26</v>
      </c>
    </row>
    <row r="1304" spans="1:31">
      <c r="A1304" s="8">
        <v>13203</v>
      </c>
      <c r="B1304" s="8">
        <v>13</v>
      </c>
      <c r="C1304" s="29" t="s">
        <v>68</v>
      </c>
      <c r="D1304" s="46">
        <v>0</v>
      </c>
      <c r="E1304" s="18">
        <f t="shared" si="2592"/>
        <v>374</v>
      </c>
      <c r="F1304" s="28">
        <v>0</v>
      </c>
      <c r="G1304" s="28">
        <v>0</v>
      </c>
      <c r="H1304" s="47">
        <v>0</v>
      </c>
      <c r="I1304" s="21">
        <f t="shared" si="2554"/>
        <v>220</v>
      </c>
      <c r="J1304" s="21">
        <f t="shared" si="2642"/>
        <v>12</v>
      </c>
      <c r="K1304" s="21">
        <v>0</v>
      </c>
      <c r="L1304" s="20">
        <v>6</v>
      </c>
      <c r="M1304" s="20">
        <v>0</v>
      </c>
      <c r="N1304" s="20">
        <f t="shared" si="2555"/>
        <v>2600</v>
      </c>
      <c r="O1304" s="19" t="s">
        <v>68</v>
      </c>
      <c r="P1304" s="20">
        <v>8600</v>
      </c>
      <c r="Q1304" s="20">
        <f t="shared" ref="Q1304:X1304" si="2669">Q1274</f>
        <v>260</v>
      </c>
      <c r="R1304" s="20">
        <f t="shared" si="2669"/>
        <v>1040</v>
      </c>
      <c r="S1304" s="20">
        <f t="shared" si="2669"/>
        <v>1819.9999999999998</v>
      </c>
      <c r="T1304" s="20">
        <f t="shared" si="2669"/>
        <v>2340</v>
      </c>
      <c r="U1304" s="20">
        <f t="shared" si="2669"/>
        <v>100</v>
      </c>
      <c r="V1304" s="20">
        <f t="shared" si="2669"/>
        <v>700</v>
      </c>
      <c r="W1304" s="20">
        <f t="shared" si="2669"/>
        <v>1000</v>
      </c>
      <c r="X1304" s="20">
        <f t="shared" si="2669"/>
        <v>4</v>
      </c>
      <c r="Y1304" s="27">
        <v>0</v>
      </c>
      <c r="Z1304" s="20">
        <f t="shared" si="2594"/>
        <v>96</v>
      </c>
      <c r="AA1304" s="27">
        <v>0</v>
      </c>
      <c r="AB1304" s="27">
        <v>0</v>
      </c>
      <c r="AC1304" s="27">
        <v>0</v>
      </c>
      <c r="AD1304" s="23">
        <f t="shared" ref="AD1304:AE1304" si="2670">AD1274</f>
        <v>24</v>
      </c>
      <c r="AE1304" s="23">
        <f t="shared" si="2670"/>
        <v>28</v>
      </c>
    </row>
    <row r="1305" spans="1:31">
      <c r="A1305" s="4">
        <v>13203</v>
      </c>
      <c r="B1305" s="4">
        <v>14</v>
      </c>
      <c r="C1305" s="29" t="s">
        <v>69</v>
      </c>
      <c r="D1305" s="46">
        <v>0</v>
      </c>
      <c r="E1305" s="18">
        <f t="shared" si="2592"/>
        <v>404</v>
      </c>
      <c r="F1305" s="28">
        <v>0</v>
      </c>
      <c r="G1305" s="28">
        <v>0</v>
      </c>
      <c r="H1305" s="47">
        <v>0</v>
      </c>
      <c r="I1305" s="21">
        <f t="shared" si="2554"/>
        <v>220</v>
      </c>
      <c r="J1305" s="21">
        <f t="shared" si="2642"/>
        <v>13</v>
      </c>
      <c r="K1305" s="21">
        <v>0</v>
      </c>
      <c r="L1305" s="20">
        <v>6</v>
      </c>
      <c r="M1305" s="20">
        <v>0</v>
      </c>
      <c r="N1305" s="20">
        <f t="shared" si="2555"/>
        <v>2800</v>
      </c>
      <c r="O1305" s="19" t="s">
        <v>69</v>
      </c>
      <c r="P1305" s="20">
        <v>6400</v>
      </c>
      <c r="Q1305" s="20">
        <f t="shared" ref="Q1305:X1305" si="2671">Q1275</f>
        <v>280</v>
      </c>
      <c r="R1305" s="20">
        <f t="shared" si="2671"/>
        <v>1120</v>
      </c>
      <c r="S1305" s="20">
        <f t="shared" si="2671"/>
        <v>1959.9999999999998</v>
      </c>
      <c r="T1305" s="20">
        <f t="shared" si="2671"/>
        <v>2520</v>
      </c>
      <c r="U1305" s="20">
        <f t="shared" si="2671"/>
        <v>100</v>
      </c>
      <c r="V1305" s="20">
        <f t="shared" si="2671"/>
        <v>400</v>
      </c>
      <c r="W1305" s="20">
        <f t="shared" si="2671"/>
        <v>1200</v>
      </c>
      <c r="X1305" s="20">
        <f t="shared" si="2671"/>
        <v>4</v>
      </c>
      <c r="Y1305" s="27">
        <v>0</v>
      </c>
      <c r="Z1305" s="20">
        <f t="shared" si="2594"/>
        <v>0</v>
      </c>
      <c r="AA1305" s="27">
        <v>0</v>
      </c>
      <c r="AB1305" s="27">
        <v>0</v>
      </c>
      <c r="AC1305" s="27">
        <v>0</v>
      </c>
      <c r="AD1305" s="23">
        <f t="shared" ref="AD1305:AE1305" si="2672">AD1275</f>
        <v>26</v>
      </c>
      <c r="AE1305" s="23">
        <f t="shared" si="2672"/>
        <v>30</v>
      </c>
    </row>
    <row r="1306" spans="1:31">
      <c r="A1306" s="4">
        <v>13203</v>
      </c>
      <c r="B1306" s="4">
        <v>15</v>
      </c>
      <c r="C1306" s="29" t="s">
        <v>70</v>
      </c>
      <c r="D1306" s="46">
        <v>0</v>
      </c>
      <c r="E1306" s="18">
        <f t="shared" si="2592"/>
        <v>438</v>
      </c>
      <c r="F1306" s="28">
        <v>0</v>
      </c>
      <c r="G1306" s="28">
        <v>0</v>
      </c>
      <c r="H1306" s="47">
        <v>0</v>
      </c>
      <c r="I1306" s="21">
        <f t="shared" si="2554"/>
        <v>220</v>
      </c>
      <c r="J1306" s="21">
        <f t="shared" si="2642"/>
        <v>14</v>
      </c>
      <c r="K1306" s="21">
        <v>0</v>
      </c>
      <c r="L1306" s="20">
        <v>6</v>
      </c>
      <c r="M1306" s="20">
        <v>0</v>
      </c>
      <c r="N1306" s="20">
        <f t="shared" si="2555"/>
        <v>4500</v>
      </c>
      <c r="O1306" s="19" t="s">
        <v>70</v>
      </c>
      <c r="P1306" s="20">
        <v>3100</v>
      </c>
      <c r="Q1306" s="20">
        <f t="shared" ref="Q1306:X1306" si="2673">Q1276</f>
        <v>450</v>
      </c>
      <c r="R1306" s="20">
        <f t="shared" si="2673"/>
        <v>1800</v>
      </c>
      <c r="S1306" s="20">
        <f t="shared" si="2673"/>
        <v>3150</v>
      </c>
      <c r="T1306" s="20">
        <f t="shared" si="2673"/>
        <v>4050</v>
      </c>
      <c r="U1306" s="20">
        <f t="shared" si="2673"/>
        <v>100</v>
      </c>
      <c r="V1306" s="20">
        <f t="shared" si="2673"/>
        <v>1000</v>
      </c>
      <c r="W1306" s="20">
        <f t="shared" si="2673"/>
        <v>600</v>
      </c>
      <c r="X1306" s="20">
        <f t="shared" si="2673"/>
        <v>4</v>
      </c>
      <c r="Y1306" s="27">
        <v>0</v>
      </c>
      <c r="Z1306" s="20">
        <f t="shared" si="2594"/>
        <v>0</v>
      </c>
      <c r="AA1306" s="27">
        <v>0</v>
      </c>
      <c r="AB1306" s="27">
        <v>0</v>
      </c>
      <c r="AC1306" s="27">
        <v>0</v>
      </c>
      <c r="AD1306" s="23">
        <f t="shared" ref="AD1306:AE1306" si="2674">AD1276</f>
        <v>28</v>
      </c>
      <c r="AE1306" s="23">
        <f t="shared" si="2674"/>
        <v>32</v>
      </c>
    </row>
    <row r="1307" spans="1:31">
      <c r="A1307" s="4">
        <v>13203</v>
      </c>
      <c r="B1307" s="4">
        <v>16</v>
      </c>
      <c r="C1307" s="29" t="s">
        <v>71</v>
      </c>
      <c r="D1307" s="46">
        <v>0</v>
      </c>
      <c r="E1307" s="18">
        <f t="shared" si="2592"/>
        <v>474</v>
      </c>
      <c r="F1307" s="28">
        <v>0</v>
      </c>
      <c r="G1307" s="28">
        <v>0</v>
      </c>
      <c r="H1307" s="47">
        <v>0</v>
      </c>
      <c r="I1307" s="21">
        <f t="shared" si="2554"/>
        <v>220</v>
      </c>
      <c r="J1307" s="21">
        <f t="shared" si="2642"/>
        <v>15</v>
      </c>
      <c r="K1307" s="21">
        <v>0</v>
      </c>
      <c r="L1307" s="20">
        <v>6</v>
      </c>
      <c r="M1307" s="20">
        <v>0</v>
      </c>
      <c r="N1307" s="20">
        <f t="shared" si="2555"/>
        <v>4800</v>
      </c>
      <c r="O1307" s="19" t="s">
        <v>71</v>
      </c>
      <c r="P1307" s="20">
        <v>1777</v>
      </c>
      <c r="Q1307" s="20">
        <f t="shared" ref="Q1307:X1307" si="2675">Q1277</f>
        <v>480</v>
      </c>
      <c r="R1307" s="20">
        <f t="shared" si="2675"/>
        <v>1920</v>
      </c>
      <c r="S1307" s="20">
        <f t="shared" si="2675"/>
        <v>3360</v>
      </c>
      <c r="T1307" s="20">
        <f t="shared" si="2675"/>
        <v>4320</v>
      </c>
      <c r="U1307" s="20">
        <f t="shared" si="2675"/>
        <v>100</v>
      </c>
      <c r="V1307" s="20">
        <f t="shared" si="2675"/>
        <v>800</v>
      </c>
      <c r="W1307" s="20">
        <f t="shared" si="2675"/>
        <v>800</v>
      </c>
      <c r="X1307" s="20">
        <f t="shared" si="2675"/>
        <v>4</v>
      </c>
      <c r="Y1307" s="27">
        <v>0</v>
      </c>
      <c r="Z1307" s="20">
        <f t="shared" si="2594"/>
        <v>0</v>
      </c>
      <c r="AA1307" s="27">
        <v>0</v>
      </c>
      <c r="AB1307" s="27">
        <v>0</v>
      </c>
      <c r="AC1307" s="27">
        <v>0</v>
      </c>
      <c r="AD1307" s="23">
        <f t="shared" ref="AD1307:AE1307" si="2676">AD1277</f>
        <v>30</v>
      </c>
      <c r="AE1307" s="23">
        <f t="shared" si="2676"/>
        <v>34</v>
      </c>
    </row>
    <row r="1308" spans="1:31">
      <c r="A1308" s="4">
        <v>13203</v>
      </c>
      <c r="B1308" s="4">
        <v>17</v>
      </c>
      <c r="C1308" s="29" t="s">
        <v>72</v>
      </c>
      <c r="D1308" s="46">
        <v>0</v>
      </c>
      <c r="E1308" s="18">
        <f t="shared" si="2592"/>
        <v>512</v>
      </c>
      <c r="F1308" s="28">
        <v>0</v>
      </c>
      <c r="G1308" s="28">
        <v>0</v>
      </c>
      <c r="H1308" s="47">
        <v>0</v>
      </c>
      <c r="I1308" s="21">
        <f t="shared" si="2554"/>
        <v>275</v>
      </c>
      <c r="J1308" s="21">
        <f t="shared" si="2642"/>
        <v>16</v>
      </c>
      <c r="K1308" s="21">
        <v>0</v>
      </c>
      <c r="L1308" s="20">
        <v>6</v>
      </c>
      <c r="M1308" s="20">
        <v>0</v>
      </c>
      <c r="N1308" s="20">
        <f t="shared" si="2555"/>
        <v>5100</v>
      </c>
      <c r="O1308" s="19" t="s">
        <v>72</v>
      </c>
      <c r="P1308" s="20">
        <v>2332</v>
      </c>
      <c r="Q1308" s="20">
        <f t="shared" ref="Q1308:X1308" si="2677">Q1278</f>
        <v>510</v>
      </c>
      <c r="R1308" s="20">
        <f t="shared" si="2677"/>
        <v>2040</v>
      </c>
      <c r="S1308" s="20">
        <f t="shared" si="2677"/>
        <v>3570</v>
      </c>
      <c r="T1308" s="20">
        <f t="shared" si="2677"/>
        <v>4590</v>
      </c>
      <c r="U1308" s="20">
        <f t="shared" si="2677"/>
        <v>80</v>
      </c>
      <c r="V1308" s="20">
        <f t="shared" si="2677"/>
        <v>800</v>
      </c>
      <c r="W1308" s="20">
        <f t="shared" si="2677"/>
        <v>600</v>
      </c>
      <c r="X1308" s="20">
        <f t="shared" si="2677"/>
        <v>5</v>
      </c>
      <c r="Y1308" s="27">
        <v>0</v>
      </c>
      <c r="Z1308" s="20">
        <f t="shared" si="2594"/>
        <v>0</v>
      </c>
      <c r="AA1308" s="27">
        <v>0</v>
      </c>
      <c r="AB1308" s="27">
        <v>0</v>
      </c>
      <c r="AC1308" s="27">
        <v>0</v>
      </c>
      <c r="AD1308" s="23">
        <f t="shared" ref="AD1308:AE1308" si="2678">AD1278</f>
        <v>32</v>
      </c>
      <c r="AE1308" s="23">
        <f t="shared" si="2678"/>
        <v>36</v>
      </c>
    </row>
    <row r="1309" spans="1:31">
      <c r="A1309" s="4">
        <v>13203</v>
      </c>
      <c r="B1309" s="4">
        <v>18</v>
      </c>
      <c r="C1309" s="29" t="s">
        <v>73</v>
      </c>
      <c r="D1309" s="46">
        <v>0</v>
      </c>
      <c r="E1309" s="18">
        <f t="shared" si="2592"/>
        <v>556</v>
      </c>
      <c r="F1309" s="28">
        <v>0</v>
      </c>
      <c r="G1309" s="28">
        <v>0</v>
      </c>
      <c r="H1309" s="47">
        <v>0</v>
      </c>
      <c r="I1309" s="21">
        <f t="shared" si="2554"/>
        <v>275</v>
      </c>
      <c r="J1309" s="21">
        <f t="shared" si="2642"/>
        <v>17</v>
      </c>
      <c r="K1309" s="21">
        <v>0</v>
      </c>
      <c r="L1309" s="20">
        <v>6</v>
      </c>
      <c r="M1309" s="20">
        <v>0</v>
      </c>
      <c r="N1309" s="20">
        <f t="shared" si="2555"/>
        <v>5400</v>
      </c>
      <c r="O1309" s="19" t="s">
        <v>73</v>
      </c>
      <c r="P1309" s="20">
        <v>1487</v>
      </c>
      <c r="Q1309" s="20">
        <f t="shared" ref="Q1309:X1309" si="2679">Q1279</f>
        <v>540</v>
      </c>
      <c r="R1309" s="20">
        <f t="shared" si="2679"/>
        <v>2160</v>
      </c>
      <c r="S1309" s="20">
        <f t="shared" si="2679"/>
        <v>3779.9999999999995</v>
      </c>
      <c r="T1309" s="20">
        <f t="shared" si="2679"/>
        <v>4860</v>
      </c>
      <c r="U1309" s="20">
        <f t="shared" si="2679"/>
        <v>100</v>
      </c>
      <c r="V1309" s="20">
        <f t="shared" si="2679"/>
        <v>600</v>
      </c>
      <c r="W1309" s="20">
        <f t="shared" si="2679"/>
        <v>300</v>
      </c>
      <c r="X1309" s="20">
        <f t="shared" si="2679"/>
        <v>5</v>
      </c>
      <c r="Y1309" s="27">
        <v>0</v>
      </c>
      <c r="Z1309" s="20">
        <f t="shared" si="2594"/>
        <v>145</v>
      </c>
      <c r="AA1309" s="27">
        <v>0</v>
      </c>
      <c r="AB1309" s="27">
        <v>0</v>
      </c>
      <c r="AC1309" s="27">
        <v>0</v>
      </c>
      <c r="AD1309" s="23">
        <f t="shared" ref="AD1309:AE1309" si="2680">AD1279</f>
        <v>34</v>
      </c>
      <c r="AE1309" s="23">
        <f t="shared" si="2680"/>
        <v>38</v>
      </c>
    </row>
    <row r="1310" spans="1:31">
      <c r="A1310" s="4">
        <v>13203</v>
      </c>
      <c r="B1310" s="4">
        <v>19</v>
      </c>
      <c r="C1310" s="29" t="s">
        <v>74</v>
      </c>
      <c r="D1310" s="46">
        <v>0</v>
      </c>
      <c r="E1310" s="18">
        <f t="shared" si="2592"/>
        <v>602</v>
      </c>
      <c r="F1310" s="28">
        <v>0</v>
      </c>
      <c r="G1310" s="28">
        <v>0</v>
      </c>
      <c r="H1310" s="47">
        <v>0</v>
      </c>
      <c r="I1310" s="21">
        <f t="shared" si="2554"/>
        <v>275</v>
      </c>
      <c r="J1310" s="21">
        <f t="shared" si="2642"/>
        <v>18</v>
      </c>
      <c r="K1310" s="21">
        <v>0</v>
      </c>
      <c r="L1310" s="20">
        <v>6</v>
      </c>
      <c r="M1310" s="20">
        <v>0</v>
      </c>
      <c r="N1310" s="20">
        <f t="shared" si="2555"/>
        <v>5700</v>
      </c>
      <c r="O1310" s="19" t="s">
        <v>74</v>
      </c>
      <c r="P1310" s="20">
        <v>1518</v>
      </c>
      <c r="Q1310" s="20">
        <f t="shared" ref="Q1310:X1310" si="2681">Q1280</f>
        <v>570</v>
      </c>
      <c r="R1310" s="20">
        <f t="shared" si="2681"/>
        <v>2280</v>
      </c>
      <c r="S1310" s="20">
        <f t="shared" si="2681"/>
        <v>3989.9999999999995</v>
      </c>
      <c r="T1310" s="20">
        <f t="shared" si="2681"/>
        <v>5130</v>
      </c>
      <c r="U1310" s="20">
        <f t="shared" si="2681"/>
        <v>100</v>
      </c>
      <c r="V1310" s="20">
        <f t="shared" si="2681"/>
        <v>500</v>
      </c>
      <c r="W1310" s="20">
        <f t="shared" si="2681"/>
        <v>400</v>
      </c>
      <c r="X1310" s="20">
        <f t="shared" si="2681"/>
        <v>5</v>
      </c>
      <c r="Y1310" s="27">
        <v>0</v>
      </c>
      <c r="Z1310" s="20">
        <f t="shared" si="2594"/>
        <v>0</v>
      </c>
      <c r="AA1310" s="27">
        <v>0</v>
      </c>
      <c r="AB1310" s="27">
        <v>0</v>
      </c>
      <c r="AC1310" s="27">
        <v>0</v>
      </c>
      <c r="AD1310" s="23">
        <f t="shared" ref="AD1310:AE1310" si="2682">AD1280</f>
        <v>36</v>
      </c>
      <c r="AE1310" s="23">
        <f t="shared" si="2682"/>
        <v>40</v>
      </c>
    </row>
    <row r="1311" spans="1:31">
      <c r="A1311" s="4">
        <v>13203</v>
      </c>
      <c r="B1311" s="4">
        <v>20</v>
      </c>
      <c r="C1311" s="29" t="s">
        <v>75</v>
      </c>
      <c r="D1311" s="46">
        <v>0</v>
      </c>
      <c r="E1311" s="18">
        <f t="shared" si="2592"/>
        <v>650</v>
      </c>
      <c r="F1311" s="28">
        <v>0</v>
      </c>
      <c r="G1311" s="28">
        <v>0</v>
      </c>
      <c r="H1311" s="47">
        <v>0</v>
      </c>
      <c r="I1311" s="21">
        <f t="shared" si="2554"/>
        <v>275</v>
      </c>
      <c r="J1311" s="21">
        <f t="shared" si="2642"/>
        <v>19</v>
      </c>
      <c r="K1311" s="21">
        <v>0</v>
      </c>
      <c r="L1311" s="20">
        <v>6</v>
      </c>
      <c r="M1311" s="20">
        <v>0</v>
      </c>
      <c r="N1311" s="20">
        <f t="shared" si="2555"/>
        <v>8000</v>
      </c>
      <c r="O1311" s="19" t="s">
        <v>75</v>
      </c>
      <c r="P1311" s="20">
        <v>861</v>
      </c>
      <c r="Q1311" s="20">
        <f t="shared" ref="Q1311:X1311" si="2683">Q1281</f>
        <v>800</v>
      </c>
      <c r="R1311" s="20">
        <f t="shared" si="2683"/>
        <v>3200</v>
      </c>
      <c r="S1311" s="20">
        <f t="shared" si="2683"/>
        <v>5600</v>
      </c>
      <c r="T1311" s="20">
        <f t="shared" si="2683"/>
        <v>7200</v>
      </c>
      <c r="U1311" s="20">
        <f t="shared" si="2683"/>
        <v>100</v>
      </c>
      <c r="V1311" s="20">
        <f t="shared" si="2683"/>
        <v>800</v>
      </c>
      <c r="W1311" s="20">
        <f t="shared" si="2683"/>
        <v>8000</v>
      </c>
      <c r="X1311" s="20">
        <f t="shared" si="2683"/>
        <v>5</v>
      </c>
      <c r="Y1311" s="27">
        <v>0</v>
      </c>
      <c r="Z1311" s="20">
        <f t="shared" si="2594"/>
        <v>0</v>
      </c>
      <c r="AA1311" s="27">
        <v>0</v>
      </c>
      <c r="AB1311" s="27">
        <v>0</v>
      </c>
      <c r="AC1311" s="27">
        <v>0</v>
      </c>
      <c r="AD1311" s="23">
        <f t="shared" ref="AD1311:AE1311" si="2684">AD1281</f>
        <v>38</v>
      </c>
      <c r="AE1311" s="23">
        <f t="shared" si="2684"/>
        <v>42</v>
      </c>
    </row>
    <row r="1312" spans="1:31">
      <c r="A1312" s="4">
        <v>13203</v>
      </c>
      <c r="B1312" s="4">
        <v>21</v>
      </c>
      <c r="C1312" s="29" t="s">
        <v>66</v>
      </c>
      <c r="D1312" s="46">
        <v>0</v>
      </c>
      <c r="E1312" s="18">
        <f t="shared" si="2592"/>
        <v>704</v>
      </c>
      <c r="F1312" s="28">
        <v>0</v>
      </c>
      <c r="G1312" s="28">
        <v>0</v>
      </c>
      <c r="H1312" s="47">
        <v>0</v>
      </c>
      <c r="I1312" s="21">
        <f t="shared" si="2554"/>
        <v>330</v>
      </c>
      <c r="J1312" s="21">
        <f t="shared" si="2642"/>
        <v>20</v>
      </c>
      <c r="K1312" s="21">
        <v>0</v>
      </c>
      <c r="L1312" s="20">
        <v>6</v>
      </c>
      <c r="M1312" s="20">
        <v>0</v>
      </c>
      <c r="N1312" s="20">
        <f t="shared" si="2555"/>
        <v>8400</v>
      </c>
      <c r="O1312" s="19" t="s">
        <v>66</v>
      </c>
      <c r="P1312" s="20">
        <v>9400</v>
      </c>
      <c r="Q1312" s="20">
        <f t="shared" ref="Q1312:X1312" si="2685">Q1282</f>
        <v>840</v>
      </c>
      <c r="R1312" s="20">
        <f t="shared" si="2685"/>
        <v>3360</v>
      </c>
      <c r="S1312" s="20">
        <f t="shared" si="2685"/>
        <v>5880</v>
      </c>
      <c r="T1312" s="20">
        <f t="shared" si="2685"/>
        <v>7560</v>
      </c>
      <c r="U1312" s="20">
        <f t="shared" si="2685"/>
        <v>50</v>
      </c>
      <c r="V1312" s="20">
        <f t="shared" si="2685"/>
        <v>1000</v>
      </c>
      <c r="W1312" s="20">
        <f t="shared" si="2685"/>
        <v>600</v>
      </c>
      <c r="X1312" s="20">
        <f t="shared" si="2685"/>
        <v>6</v>
      </c>
      <c r="Y1312" s="27">
        <v>0</v>
      </c>
      <c r="Z1312" s="20">
        <f t="shared" si="2594"/>
        <v>0</v>
      </c>
      <c r="AA1312" s="27">
        <v>0</v>
      </c>
      <c r="AB1312" s="27">
        <v>0</v>
      </c>
      <c r="AC1312" s="27">
        <v>0</v>
      </c>
      <c r="AD1312" s="23">
        <f t="shared" ref="AD1312:AE1312" si="2686">AD1282</f>
        <v>40</v>
      </c>
      <c r="AE1312" s="23">
        <f t="shared" si="2686"/>
        <v>44</v>
      </c>
    </row>
    <row r="1313" spans="1:31">
      <c r="A1313" s="4">
        <v>13203</v>
      </c>
      <c r="B1313" s="4">
        <v>22</v>
      </c>
      <c r="C1313" s="29" t="s">
        <v>67</v>
      </c>
      <c r="D1313" s="46">
        <v>0</v>
      </c>
      <c r="E1313" s="18">
        <f t="shared" si="2592"/>
        <v>762</v>
      </c>
      <c r="F1313" s="28">
        <v>0</v>
      </c>
      <c r="G1313" s="28">
        <v>0</v>
      </c>
      <c r="H1313" s="47">
        <v>0</v>
      </c>
      <c r="I1313" s="21">
        <f t="shared" ref="I1313:I1376" si="2687">I1283</f>
        <v>330</v>
      </c>
      <c r="J1313" s="21">
        <f t="shared" si="2642"/>
        <v>21</v>
      </c>
      <c r="K1313" s="21">
        <v>0</v>
      </c>
      <c r="L1313" s="20">
        <v>6</v>
      </c>
      <c r="M1313" s="20">
        <v>0</v>
      </c>
      <c r="N1313" s="20">
        <f t="shared" ref="N1313:N1376" si="2688">N1283</f>
        <v>8800</v>
      </c>
      <c r="O1313" s="19" t="s">
        <v>67</v>
      </c>
      <c r="P1313" s="20">
        <v>9100</v>
      </c>
      <c r="Q1313" s="20">
        <f t="shared" ref="Q1313:X1313" si="2689">Q1283</f>
        <v>880</v>
      </c>
      <c r="R1313" s="20">
        <f t="shared" si="2689"/>
        <v>3520</v>
      </c>
      <c r="S1313" s="20">
        <f t="shared" si="2689"/>
        <v>6160</v>
      </c>
      <c r="T1313" s="20">
        <f t="shared" si="2689"/>
        <v>7920</v>
      </c>
      <c r="U1313" s="20">
        <f t="shared" si="2689"/>
        <v>100</v>
      </c>
      <c r="V1313" s="20">
        <f t="shared" si="2689"/>
        <v>600</v>
      </c>
      <c r="W1313" s="20">
        <f t="shared" si="2689"/>
        <v>700</v>
      </c>
      <c r="X1313" s="20">
        <f t="shared" si="2689"/>
        <v>6</v>
      </c>
      <c r="Y1313" s="27">
        <v>0</v>
      </c>
      <c r="Z1313" s="20">
        <f t="shared" si="2594"/>
        <v>0</v>
      </c>
      <c r="AA1313" s="27">
        <v>0</v>
      </c>
      <c r="AB1313" s="27">
        <v>0</v>
      </c>
      <c r="AC1313" s="27">
        <v>0</v>
      </c>
      <c r="AD1313" s="23">
        <f t="shared" ref="AD1313:AE1313" si="2690">AD1283</f>
        <v>42</v>
      </c>
      <c r="AE1313" s="23">
        <f t="shared" si="2690"/>
        <v>46</v>
      </c>
    </row>
    <row r="1314" spans="1:31">
      <c r="A1314" s="4">
        <v>13203</v>
      </c>
      <c r="B1314" s="4">
        <v>23</v>
      </c>
      <c r="C1314" s="29" t="s">
        <v>68</v>
      </c>
      <c r="D1314" s="46">
        <v>0</v>
      </c>
      <c r="E1314" s="18">
        <f t="shared" si="2592"/>
        <v>826</v>
      </c>
      <c r="F1314" s="28">
        <v>0</v>
      </c>
      <c r="G1314" s="28">
        <v>0</v>
      </c>
      <c r="H1314" s="47">
        <v>0</v>
      </c>
      <c r="I1314" s="21">
        <f t="shared" si="2687"/>
        <v>330</v>
      </c>
      <c r="J1314" s="21">
        <f t="shared" si="2642"/>
        <v>22</v>
      </c>
      <c r="K1314" s="21">
        <v>0</v>
      </c>
      <c r="L1314" s="20">
        <v>6</v>
      </c>
      <c r="M1314" s="20">
        <v>0</v>
      </c>
      <c r="N1314" s="20">
        <f t="shared" si="2688"/>
        <v>9200</v>
      </c>
      <c r="O1314" s="19" t="s">
        <v>68</v>
      </c>
      <c r="P1314" s="20">
        <v>8600</v>
      </c>
      <c r="Q1314" s="20">
        <f t="shared" ref="Q1314:X1314" si="2691">Q1284</f>
        <v>920</v>
      </c>
      <c r="R1314" s="20">
        <f t="shared" si="2691"/>
        <v>3680</v>
      </c>
      <c r="S1314" s="20">
        <f t="shared" si="2691"/>
        <v>6440</v>
      </c>
      <c r="T1314" s="20">
        <f t="shared" si="2691"/>
        <v>8280</v>
      </c>
      <c r="U1314" s="20">
        <f t="shared" si="2691"/>
        <v>100</v>
      </c>
      <c r="V1314" s="20">
        <f t="shared" si="2691"/>
        <v>550</v>
      </c>
      <c r="W1314" s="20">
        <f t="shared" si="2691"/>
        <v>500</v>
      </c>
      <c r="X1314" s="20">
        <f t="shared" si="2691"/>
        <v>6</v>
      </c>
      <c r="Y1314" s="27">
        <v>0</v>
      </c>
      <c r="Z1314" s="20">
        <f t="shared" si="2594"/>
        <v>194</v>
      </c>
      <c r="AA1314" s="27">
        <v>0</v>
      </c>
      <c r="AB1314" s="27">
        <v>0</v>
      </c>
      <c r="AC1314" s="27">
        <v>0</v>
      </c>
      <c r="AD1314" s="23">
        <f t="shared" ref="AD1314:AE1314" si="2692">AD1284</f>
        <v>44</v>
      </c>
      <c r="AE1314" s="23">
        <f t="shared" si="2692"/>
        <v>48</v>
      </c>
    </row>
    <row r="1315" spans="1:31">
      <c r="A1315" s="4">
        <v>13203</v>
      </c>
      <c r="B1315" s="4">
        <v>24</v>
      </c>
      <c r="C1315" s="29" t="s">
        <v>69</v>
      </c>
      <c r="D1315" s="46">
        <v>0</v>
      </c>
      <c r="E1315" s="18">
        <f t="shared" si="2592"/>
        <v>894</v>
      </c>
      <c r="F1315" s="28">
        <v>0</v>
      </c>
      <c r="G1315" s="28">
        <v>0</v>
      </c>
      <c r="H1315" s="47">
        <v>0</v>
      </c>
      <c r="I1315" s="21">
        <f t="shared" si="2687"/>
        <v>330</v>
      </c>
      <c r="J1315" s="21">
        <f t="shared" si="2642"/>
        <v>23</v>
      </c>
      <c r="K1315" s="21">
        <v>0</v>
      </c>
      <c r="L1315" s="20">
        <v>6</v>
      </c>
      <c r="M1315" s="20">
        <v>0</v>
      </c>
      <c r="N1315" s="20">
        <f t="shared" si="2688"/>
        <v>9600</v>
      </c>
      <c r="O1315" s="19" t="s">
        <v>69</v>
      </c>
      <c r="P1315" s="20">
        <v>6400</v>
      </c>
      <c r="Q1315" s="20">
        <f t="shared" ref="Q1315:X1315" si="2693">Q1285</f>
        <v>960</v>
      </c>
      <c r="R1315" s="20">
        <f t="shared" si="2693"/>
        <v>3840</v>
      </c>
      <c r="S1315" s="20">
        <f t="shared" si="2693"/>
        <v>6720</v>
      </c>
      <c r="T1315" s="20">
        <f t="shared" si="2693"/>
        <v>8640</v>
      </c>
      <c r="U1315" s="20">
        <f t="shared" si="2693"/>
        <v>100</v>
      </c>
      <c r="V1315" s="20">
        <f t="shared" si="2693"/>
        <v>500</v>
      </c>
      <c r="W1315" s="20">
        <f t="shared" si="2693"/>
        <v>900</v>
      </c>
      <c r="X1315" s="20">
        <f t="shared" si="2693"/>
        <v>6</v>
      </c>
      <c r="Y1315" s="27">
        <v>0</v>
      </c>
      <c r="Z1315" s="20">
        <f t="shared" si="2594"/>
        <v>0</v>
      </c>
      <c r="AA1315" s="27">
        <v>0</v>
      </c>
      <c r="AB1315" s="27">
        <v>0</v>
      </c>
      <c r="AC1315" s="27">
        <v>0</v>
      </c>
      <c r="AD1315" s="23">
        <f t="shared" ref="AD1315:AE1315" si="2694">AD1285</f>
        <v>46</v>
      </c>
      <c r="AE1315" s="23">
        <f t="shared" si="2694"/>
        <v>50</v>
      </c>
    </row>
    <row r="1316" spans="1:31">
      <c r="A1316" s="8">
        <v>13203</v>
      </c>
      <c r="B1316" s="8">
        <v>25</v>
      </c>
      <c r="C1316" s="29" t="s">
        <v>70</v>
      </c>
      <c r="D1316" s="46">
        <v>0</v>
      </c>
      <c r="E1316" s="18">
        <f t="shared" si="2592"/>
        <v>968</v>
      </c>
      <c r="F1316" s="28">
        <v>0</v>
      </c>
      <c r="G1316" s="28">
        <v>0</v>
      </c>
      <c r="H1316" s="47">
        <v>0</v>
      </c>
      <c r="I1316" s="21">
        <f t="shared" si="2687"/>
        <v>385</v>
      </c>
      <c r="J1316" s="21">
        <f t="shared" si="2642"/>
        <v>24</v>
      </c>
      <c r="K1316" s="21">
        <v>0</v>
      </c>
      <c r="L1316" s="20">
        <v>6</v>
      </c>
      <c r="M1316" s="20">
        <v>0</v>
      </c>
      <c r="N1316" s="20">
        <f t="shared" si="2688"/>
        <v>12500</v>
      </c>
      <c r="O1316" s="19" t="s">
        <v>70</v>
      </c>
      <c r="P1316" s="20">
        <v>3100</v>
      </c>
      <c r="Q1316" s="20">
        <f t="shared" ref="Q1316:X1316" si="2695">Q1286</f>
        <v>1250</v>
      </c>
      <c r="R1316" s="20">
        <f t="shared" si="2695"/>
        <v>5000</v>
      </c>
      <c r="S1316" s="20">
        <f t="shared" si="2695"/>
        <v>8750</v>
      </c>
      <c r="T1316" s="20">
        <f t="shared" si="2695"/>
        <v>11250</v>
      </c>
      <c r="U1316" s="20">
        <f t="shared" si="2695"/>
        <v>10</v>
      </c>
      <c r="V1316" s="20">
        <f t="shared" si="2695"/>
        <v>1300</v>
      </c>
      <c r="W1316" s="20">
        <f t="shared" si="2695"/>
        <v>1000</v>
      </c>
      <c r="X1316" s="20">
        <f t="shared" si="2695"/>
        <v>7</v>
      </c>
      <c r="Y1316" s="27">
        <v>0</v>
      </c>
      <c r="Z1316" s="20">
        <f t="shared" si="2594"/>
        <v>0</v>
      </c>
      <c r="AA1316" s="27">
        <v>0</v>
      </c>
      <c r="AB1316" s="27">
        <v>0</v>
      </c>
      <c r="AC1316" s="27">
        <v>0</v>
      </c>
      <c r="AD1316" s="23">
        <f t="shared" ref="AD1316:AE1316" si="2696">AD1286</f>
        <v>48</v>
      </c>
      <c r="AE1316" s="23">
        <f t="shared" si="2696"/>
        <v>52</v>
      </c>
    </row>
    <row r="1317" spans="1:31">
      <c r="A1317" s="4">
        <v>13203</v>
      </c>
      <c r="B1317" s="4">
        <v>26</v>
      </c>
      <c r="C1317" s="29" t="s">
        <v>71</v>
      </c>
      <c r="D1317" s="46">
        <v>0</v>
      </c>
      <c r="E1317" s="18">
        <f t="shared" si="2592"/>
        <v>1048</v>
      </c>
      <c r="F1317" s="28">
        <v>0</v>
      </c>
      <c r="G1317" s="28">
        <v>0</v>
      </c>
      <c r="H1317" s="47">
        <v>0</v>
      </c>
      <c r="I1317" s="21">
        <f t="shared" si="2687"/>
        <v>385</v>
      </c>
      <c r="J1317" s="21">
        <f t="shared" si="2642"/>
        <v>25</v>
      </c>
      <c r="K1317" s="21">
        <v>0</v>
      </c>
      <c r="L1317" s="20">
        <v>6</v>
      </c>
      <c r="M1317" s="20">
        <v>0</v>
      </c>
      <c r="N1317" s="20">
        <f t="shared" si="2688"/>
        <v>13000</v>
      </c>
      <c r="O1317" s="19" t="s">
        <v>71</v>
      </c>
      <c r="P1317" s="20">
        <v>1777</v>
      </c>
      <c r="Q1317" s="20">
        <f t="shared" ref="Q1317:X1317" si="2697">Q1287</f>
        <v>1300</v>
      </c>
      <c r="R1317" s="20">
        <f t="shared" si="2697"/>
        <v>5200</v>
      </c>
      <c r="S1317" s="20">
        <f t="shared" si="2697"/>
        <v>9100</v>
      </c>
      <c r="T1317" s="20">
        <f t="shared" si="2697"/>
        <v>11700</v>
      </c>
      <c r="U1317" s="20">
        <f t="shared" si="2697"/>
        <v>90</v>
      </c>
      <c r="V1317" s="20">
        <f t="shared" si="2697"/>
        <v>800</v>
      </c>
      <c r="W1317" s="20">
        <f t="shared" si="2697"/>
        <v>2000</v>
      </c>
      <c r="X1317" s="20">
        <f t="shared" si="2697"/>
        <v>7</v>
      </c>
      <c r="Y1317" s="27">
        <v>0</v>
      </c>
      <c r="Z1317" s="20">
        <f t="shared" si="2594"/>
        <v>0</v>
      </c>
      <c r="AA1317" s="27">
        <v>0</v>
      </c>
      <c r="AB1317" s="27">
        <v>0</v>
      </c>
      <c r="AC1317" s="27">
        <v>0</v>
      </c>
      <c r="AD1317" s="23">
        <f t="shared" ref="AD1317:AE1317" si="2698">AD1287</f>
        <v>50</v>
      </c>
      <c r="AE1317" s="23">
        <f t="shared" si="2698"/>
        <v>54</v>
      </c>
    </row>
    <row r="1318" spans="1:31">
      <c r="A1318" s="4">
        <v>13203</v>
      </c>
      <c r="B1318" s="4">
        <v>27</v>
      </c>
      <c r="C1318" s="29" t="s">
        <v>72</v>
      </c>
      <c r="D1318" s="46">
        <v>0</v>
      </c>
      <c r="E1318" s="18">
        <f t="shared" si="2592"/>
        <v>1134</v>
      </c>
      <c r="F1318" s="28">
        <v>0</v>
      </c>
      <c r="G1318" s="28">
        <v>0</v>
      </c>
      <c r="H1318" s="47">
        <v>0</v>
      </c>
      <c r="I1318" s="21">
        <f t="shared" si="2687"/>
        <v>385</v>
      </c>
      <c r="J1318" s="21">
        <f t="shared" si="2642"/>
        <v>26</v>
      </c>
      <c r="K1318" s="21">
        <v>0</v>
      </c>
      <c r="L1318" s="20">
        <v>6</v>
      </c>
      <c r="M1318" s="20">
        <v>0</v>
      </c>
      <c r="N1318" s="20">
        <f t="shared" si="2688"/>
        <v>13500</v>
      </c>
      <c r="O1318" s="19" t="s">
        <v>72</v>
      </c>
      <c r="P1318" s="20">
        <v>2332</v>
      </c>
      <c r="Q1318" s="20">
        <f t="shared" ref="Q1318:X1318" si="2699">Q1288</f>
        <v>1350</v>
      </c>
      <c r="R1318" s="20">
        <f t="shared" si="2699"/>
        <v>5400</v>
      </c>
      <c r="S1318" s="20">
        <f t="shared" si="2699"/>
        <v>9450</v>
      </c>
      <c r="T1318" s="20">
        <f t="shared" si="2699"/>
        <v>12150</v>
      </c>
      <c r="U1318" s="20">
        <f t="shared" si="2699"/>
        <v>80</v>
      </c>
      <c r="V1318" s="20">
        <f t="shared" si="2699"/>
        <v>700</v>
      </c>
      <c r="W1318" s="20">
        <f t="shared" si="2699"/>
        <v>800</v>
      </c>
      <c r="X1318" s="20">
        <f t="shared" si="2699"/>
        <v>7</v>
      </c>
      <c r="Y1318" s="27">
        <v>0</v>
      </c>
      <c r="Z1318" s="20">
        <f t="shared" si="2594"/>
        <v>0</v>
      </c>
      <c r="AA1318" s="27">
        <v>0</v>
      </c>
      <c r="AB1318" s="27">
        <v>0</v>
      </c>
      <c r="AC1318" s="27">
        <v>0</v>
      </c>
      <c r="AD1318" s="23">
        <f t="shared" ref="AD1318:AE1318" si="2700">AD1288</f>
        <v>52</v>
      </c>
      <c r="AE1318" s="23">
        <f t="shared" si="2700"/>
        <v>56</v>
      </c>
    </row>
    <row r="1319" spans="1:31">
      <c r="A1319" s="4">
        <v>13203</v>
      </c>
      <c r="B1319" s="4">
        <v>28</v>
      </c>
      <c r="C1319" s="29" t="s">
        <v>73</v>
      </c>
      <c r="D1319" s="46">
        <v>0</v>
      </c>
      <c r="E1319" s="18">
        <f t="shared" si="2592"/>
        <v>1228</v>
      </c>
      <c r="F1319" s="28">
        <v>0</v>
      </c>
      <c r="G1319" s="28">
        <v>0</v>
      </c>
      <c r="H1319" s="47">
        <v>0</v>
      </c>
      <c r="I1319" s="21">
        <f t="shared" si="2687"/>
        <v>385</v>
      </c>
      <c r="J1319" s="21">
        <f t="shared" si="2642"/>
        <v>27</v>
      </c>
      <c r="K1319" s="21">
        <v>0</v>
      </c>
      <c r="L1319" s="20">
        <v>6</v>
      </c>
      <c r="M1319" s="20">
        <v>0</v>
      </c>
      <c r="N1319" s="20">
        <f t="shared" si="2688"/>
        <v>14000</v>
      </c>
      <c r="O1319" s="19" t="s">
        <v>73</v>
      </c>
      <c r="P1319" s="20">
        <v>1487</v>
      </c>
      <c r="Q1319" s="20">
        <f t="shared" ref="Q1319:X1319" si="2701">Q1289</f>
        <v>1400</v>
      </c>
      <c r="R1319" s="20">
        <f t="shared" si="2701"/>
        <v>5600</v>
      </c>
      <c r="S1319" s="20">
        <f t="shared" si="2701"/>
        <v>9800</v>
      </c>
      <c r="T1319" s="20">
        <f t="shared" si="2701"/>
        <v>12600</v>
      </c>
      <c r="U1319" s="20">
        <f t="shared" si="2701"/>
        <v>80</v>
      </c>
      <c r="V1319" s="20">
        <f t="shared" si="2701"/>
        <v>500</v>
      </c>
      <c r="W1319" s="20">
        <f t="shared" si="2701"/>
        <v>600</v>
      </c>
      <c r="X1319" s="20">
        <f t="shared" si="2701"/>
        <v>7</v>
      </c>
      <c r="Y1319" s="27">
        <v>0</v>
      </c>
      <c r="Z1319" s="20">
        <f t="shared" si="2594"/>
        <v>243</v>
      </c>
      <c r="AA1319" s="27">
        <v>0</v>
      </c>
      <c r="AB1319" s="27">
        <v>0</v>
      </c>
      <c r="AC1319" s="27">
        <v>0</v>
      </c>
      <c r="AD1319" s="23">
        <f t="shared" ref="AD1319:AE1319" si="2702">AD1289</f>
        <v>54</v>
      </c>
      <c r="AE1319" s="23">
        <f t="shared" si="2702"/>
        <v>58</v>
      </c>
    </row>
    <row r="1320" spans="1:31">
      <c r="A1320" s="4">
        <v>13203</v>
      </c>
      <c r="B1320" s="4">
        <v>29</v>
      </c>
      <c r="C1320" s="29" t="s">
        <v>74</v>
      </c>
      <c r="D1320" s="46">
        <v>0</v>
      </c>
      <c r="E1320" s="18">
        <f t="shared" si="2592"/>
        <v>1330</v>
      </c>
      <c r="F1320" s="28">
        <v>0</v>
      </c>
      <c r="G1320" s="28">
        <v>0</v>
      </c>
      <c r="H1320" s="47">
        <v>0</v>
      </c>
      <c r="I1320" s="21">
        <f t="shared" si="2687"/>
        <v>440</v>
      </c>
      <c r="J1320" s="21">
        <f t="shared" si="2642"/>
        <v>28</v>
      </c>
      <c r="K1320" s="21">
        <v>0</v>
      </c>
      <c r="L1320" s="20">
        <v>6</v>
      </c>
      <c r="M1320" s="20">
        <v>0</v>
      </c>
      <c r="N1320" s="20">
        <f t="shared" si="2688"/>
        <v>14500</v>
      </c>
      <c r="O1320" s="19" t="s">
        <v>74</v>
      </c>
      <c r="P1320" s="20">
        <v>1518</v>
      </c>
      <c r="Q1320" s="20">
        <f t="shared" ref="Q1320:X1320" si="2703">Q1290</f>
        <v>1450</v>
      </c>
      <c r="R1320" s="20">
        <f t="shared" si="2703"/>
        <v>5800</v>
      </c>
      <c r="S1320" s="20">
        <f t="shared" si="2703"/>
        <v>10150</v>
      </c>
      <c r="T1320" s="20">
        <f t="shared" si="2703"/>
        <v>13050</v>
      </c>
      <c r="U1320" s="20">
        <f t="shared" si="2703"/>
        <v>80</v>
      </c>
      <c r="V1320" s="20">
        <f t="shared" si="2703"/>
        <v>600</v>
      </c>
      <c r="W1320" s="20">
        <f t="shared" si="2703"/>
        <v>700</v>
      </c>
      <c r="X1320" s="20">
        <f t="shared" si="2703"/>
        <v>8</v>
      </c>
      <c r="Y1320" s="27">
        <v>0</v>
      </c>
      <c r="Z1320" s="20">
        <f t="shared" si="2594"/>
        <v>0</v>
      </c>
      <c r="AA1320" s="27">
        <v>0</v>
      </c>
      <c r="AB1320" s="27">
        <v>0</v>
      </c>
      <c r="AC1320" s="27">
        <v>0</v>
      </c>
      <c r="AD1320" s="23">
        <f t="shared" ref="AD1320:AE1320" si="2704">AD1290</f>
        <v>56</v>
      </c>
      <c r="AE1320" s="23">
        <f t="shared" si="2704"/>
        <v>60</v>
      </c>
    </row>
    <row r="1321" spans="1:31">
      <c r="A1321" s="4">
        <v>13203</v>
      </c>
      <c r="B1321" s="4">
        <v>30</v>
      </c>
      <c r="C1321" s="29" t="s">
        <v>75</v>
      </c>
      <c r="D1321" s="46">
        <v>0</v>
      </c>
      <c r="E1321" s="18">
        <f t="shared" si="2592"/>
        <v>1440</v>
      </c>
      <c r="F1321" s="28">
        <v>0</v>
      </c>
      <c r="G1321" s="28">
        <v>0</v>
      </c>
      <c r="H1321" s="47">
        <v>0</v>
      </c>
      <c r="I1321" s="21">
        <f t="shared" si="2687"/>
        <v>440</v>
      </c>
      <c r="J1321" s="21">
        <f t="shared" si="2642"/>
        <v>29</v>
      </c>
      <c r="K1321" s="21">
        <v>0</v>
      </c>
      <c r="L1321" s="20">
        <v>6</v>
      </c>
      <c r="M1321" s="20">
        <v>0</v>
      </c>
      <c r="N1321" s="20">
        <f t="shared" si="2688"/>
        <v>15000</v>
      </c>
      <c r="O1321" s="19" t="s">
        <v>75</v>
      </c>
      <c r="P1321" s="20">
        <v>861</v>
      </c>
      <c r="Q1321" s="20">
        <f t="shared" ref="Q1321:X1321" si="2705">Q1291</f>
        <v>1500</v>
      </c>
      <c r="R1321" s="20">
        <f t="shared" si="2705"/>
        <v>6000</v>
      </c>
      <c r="S1321" s="20">
        <f t="shared" si="2705"/>
        <v>10500</v>
      </c>
      <c r="T1321" s="20">
        <f t="shared" si="2705"/>
        <v>13500</v>
      </c>
      <c r="U1321" s="20">
        <f t="shared" si="2705"/>
        <v>20</v>
      </c>
      <c r="V1321" s="20">
        <f t="shared" si="2705"/>
        <v>450</v>
      </c>
      <c r="W1321" s="20">
        <f t="shared" si="2705"/>
        <v>1000</v>
      </c>
      <c r="X1321" s="20">
        <f t="shared" si="2705"/>
        <v>8</v>
      </c>
      <c r="Y1321" s="27">
        <v>0</v>
      </c>
      <c r="Z1321" s="20">
        <f t="shared" si="2594"/>
        <v>0</v>
      </c>
      <c r="AA1321" s="27">
        <v>0</v>
      </c>
      <c r="AB1321" s="27">
        <v>0</v>
      </c>
      <c r="AC1321" s="27">
        <v>0</v>
      </c>
      <c r="AD1321" s="23">
        <f t="shared" ref="AD1321:AE1321" si="2706">AD1291</f>
        <v>58</v>
      </c>
      <c r="AE1321" s="23">
        <f t="shared" si="2706"/>
        <v>62</v>
      </c>
    </row>
    <row r="1322" spans="1:31">
      <c r="A1322" s="4">
        <v>13204</v>
      </c>
      <c r="B1322" s="4">
        <v>1</v>
      </c>
      <c r="C1322" s="19" t="s">
        <v>66</v>
      </c>
      <c r="D1322" s="44">
        <v>0</v>
      </c>
      <c r="E1322" s="18">
        <f t="shared" si="2592"/>
        <v>162</v>
      </c>
      <c r="F1322" s="18">
        <v>0</v>
      </c>
      <c r="G1322" s="18">
        <v>0</v>
      </c>
      <c r="H1322" s="45">
        <v>0</v>
      </c>
      <c r="I1322" s="21">
        <f t="shared" si="2687"/>
        <v>55</v>
      </c>
      <c r="J1322" s="21">
        <f t="shared" si="2642"/>
        <v>0</v>
      </c>
      <c r="K1322" s="21">
        <v>0</v>
      </c>
      <c r="L1322" s="20">
        <v>45</v>
      </c>
      <c r="M1322" s="20">
        <v>0</v>
      </c>
      <c r="N1322" s="20">
        <f t="shared" si="2688"/>
        <v>10</v>
      </c>
      <c r="O1322" s="19" t="s">
        <v>66</v>
      </c>
      <c r="P1322" s="20">
        <v>9400</v>
      </c>
      <c r="Q1322" s="20">
        <f t="shared" ref="Q1322:X1322" si="2707">Q1292</f>
        <v>1</v>
      </c>
      <c r="R1322" s="20">
        <f t="shared" si="2707"/>
        <v>4</v>
      </c>
      <c r="S1322" s="20">
        <f t="shared" si="2707"/>
        <v>7</v>
      </c>
      <c r="T1322" s="20">
        <f t="shared" si="2707"/>
        <v>9</v>
      </c>
      <c r="U1322" s="20">
        <f t="shared" si="2707"/>
        <v>9400</v>
      </c>
      <c r="V1322" s="20">
        <f t="shared" si="2707"/>
        <v>9400</v>
      </c>
      <c r="W1322" s="20">
        <f t="shared" si="2707"/>
        <v>9400</v>
      </c>
      <c r="X1322" s="20">
        <f t="shared" si="2707"/>
        <v>1</v>
      </c>
      <c r="Y1322" s="20">
        <v>0</v>
      </c>
      <c r="Z1322" s="20">
        <f t="shared" si="2594"/>
        <v>0</v>
      </c>
      <c r="AA1322" s="20">
        <v>0</v>
      </c>
      <c r="AB1322" s="20">
        <v>0</v>
      </c>
      <c r="AC1322" s="20">
        <v>0</v>
      </c>
      <c r="AD1322" s="23">
        <f t="shared" ref="AD1322:AE1322" si="2708">AD1292</f>
        <v>1</v>
      </c>
      <c r="AE1322" s="23">
        <f t="shared" si="2708"/>
        <v>3</v>
      </c>
    </row>
    <row r="1323" spans="1:31">
      <c r="A1323" s="4">
        <v>13204</v>
      </c>
      <c r="B1323" s="4">
        <v>2</v>
      </c>
      <c r="C1323" s="19" t="s">
        <v>67</v>
      </c>
      <c r="D1323" s="44">
        <v>0</v>
      </c>
      <c r="E1323" s="18">
        <f t="shared" si="2592"/>
        <v>176</v>
      </c>
      <c r="F1323" s="18">
        <v>0</v>
      </c>
      <c r="G1323" s="18">
        <v>0</v>
      </c>
      <c r="H1323" s="45">
        <v>0</v>
      </c>
      <c r="I1323" s="21">
        <f t="shared" si="2687"/>
        <v>55</v>
      </c>
      <c r="J1323" s="21">
        <f t="shared" si="2642"/>
        <v>1</v>
      </c>
      <c r="K1323" s="21">
        <v>0</v>
      </c>
      <c r="L1323" s="20">
        <v>40</v>
      </c>
      <c r="M1323" s="20">
        <v>0</v>
      </c>
      <c r="N1323" s="20">
        <f t="shared" si="2688"/>
        <v>20</v>
      </c>
      <c r="O1323" s="19" t="s">
        <v>67</v>
      </c>
      <c r="P1323" s="20">
        <v>9100</v>
      </c>
      <c r="Q1323" s="20">
        <f t="shared" ref="Q1323:X1323" si="2709">Q1293</f>
        <v>2</v>
      </c>
      <c r="R1323" s="20">
        <f t="shared" si="2709"/>
        <v>8</v>
      </c>
      <c r="S1323" s="20">
        <f t="shared" si="2709"/>
        <v>14</v>
      </c>
      <c r="T1323" s="20">
        <f t="shared" si="2709"/>
        <v>18</v>
      </c>
      <c r="U1323" s="20">
        <f t="shared" si="2709"/>
        <v>4000</v>
      </c>
      <c r="V1323" s="20">
        <f t="shared" si="2709"/>
        <v>8000</v>
      </c>
      <c r="W1323" s="20">
        <f t="shared" si="2709"/>
        <v>8000</v>
      </c>
      <c r="X1323" s="20">
        <f t="shared" si="2709"/>
        <v>1</v>
      </c>
      <c r="Y1323" s="20">
        <v>0</v>
      </c>
      <c r="Z1323" s="20">
        <f t="shared" si="2594"/>
        <v>0</v>
      </c>
      <c r="AA1323" s="20">
        <v>0</v>
      </c>
      <c r="AB1323" s="20">
        <v>0</v>
      </c>
      <c r="AC1323" s="20">
        <v>0</v>
      </c>
      <c r="AD1323" s="23">
        <f t="shared" ref="AD1323:AE1323" si="2710">AD1293</f>
        <v>2</v>
      </c>
      <c r="AE1323" s="23">
        <f t="shared" si="2710"/>
        <v>5</v>
      </c>
    </row>
    <row r="1324" spans="1:31">
      <c r="A1324" s="4">
        <v>13204</v>
      </c>
      <c r="B1324" s="4">
        <v>3</v>
      </c>
      <c r="C1324" s="19" t="s">
        <v>68</v>
      </c>
      <c r="D1324" s="44">
        <v>0</v>
      </c>
      <c r="E1324" s="18">
        <f t="shared" si="2592"/>
        <v>189</v>
      </c>
      <c r="F1324" s="18">
        <v>0</v>
      </c>
      <c r="G1324" s="18">
        <v>0</v>
      </c>
      <c r="H1324" s="45">
        <v>0</v>
      </c>
      <c r="I1324" s="21">
        <f t="shared" si="2687"/>
        <v>55</v>
      </c>
      <c r="J1324" s="21">
        <f t="shared" si="2642"/>
        <v>2</v>
      </c>
      <c r="K1324" s="21">
        <v>0</v>
      </c>
      <c r="L1324" s="20">
        <v>35</v>
      </c>
      <c r="M1324" s="20">
        <v>0</v>
      </c>
      <c r="N1324" s="20">
        <f t="shared" si="2688"/>
        <v>40</v>
      </c>
      <c r="O1324" s="19" t="s">
        <v>68</v>
      </c>
      <c r="P1324" s="20">
        <v>8600</v>
      </c>
      <c r="Q1324" s="20">
        <f t="shared" ref="Q1324:X1324" si="2711">Q1294</f>
        <v>4</v>
      </c>
      <c r="R1324" s="20">
        <f t="shared" si="2711"/>
        <v>16</v>
      </c>
      <c r="S1324" s="20">
        <f t="shared" si="2711"/>
        <v>28</v>
      </c>
      <c r="T1324" s="20">
        <f t="shared" si="2711"/>
        <v>36</v>
      </c>
      <c r="U1324" s="20">
        <f t="shared" si="2711"/>
        <v>1600</v>
      </c>
      <c r="V1324" s="20">
        <f t="shared" si="2711"/>
        <v>5000</v>
      </c>
      <c r="W1324" s="20">
        <f t="shared" si="2711"/>
        <v>6000</v>
      </c>
      <c r="X1324" s="20">
        <f t="shared" si="2711"/>
        <v>1</v>
      </c>
      <c r="Y1324" s="20">
        <v>0</v>
      </c>
      <c r="Z1324" s="20">
        <f t="shared" si="2594"/>
        <v>0</v>
      </c>
      <c r="AA1324" s="20">
        <v>0</v>
      </c>
      <c r="AB1324" s="20">
        <v>0</v>
      </c>
      <c r="AC1324" s="20">
        <v>0</v>
      </c>
      <c r="AD1324" s="23">
        <f t="shared" ref="AD1324:AE1324" si="2712">AD1294</f>
        <v>4</v>
      </c>
      <c r="AE1324" s="23">
        <f t="shared" si="2712"/>
        <v>8</v>
      </c>
    </row>
    <row r="1325" spans="1:31">
      <c r="A1325" s="4">
        <v>13204</v>
      </c>
      <c r="B1325" s="4">
        <v>4</v>
      </c>
      <c r="C1325" s="19" t="s">
        <v>69</v>
      </c>
      <c r="D1325" s="44">
        <v>0</v>
      </c>
      <c r="E1325" s="18">
        <f t="shared" si="2592"/>
        <v>205</v>
      </c>
      <c r="F1325" s="18">
        <v>0</v>
      </c>
      <c r="G1325" s="18">
        <v>0</v>
      </c>
      <c r="H1325" s="45">
        <v>0</v>
      </c>
      <c r="I1325" s="21">
        <f t="shared" si="2687"/>
        <v>55</v>
      </c>
      <c r="J1325" s="21">
        <f t="shared" si="2642"/>
        <v>3</v>
      </c>
      <c r="K1325" s="21">
        <v>0</v>
      </c>
      <c r="L1325" s="20">
        <v>30</v>
      </c>
      <c r="M1325" s="20">
        <v>0</v>
      </c>
      <c r="N1325" s="20">
        <f t="shared" si="2688"/>
        <v>100</v>
      </c>
      <c r="O1325" s="19" t="s">
        <v>69</v>
      </c>
      <c r="P1325" s="20">
        <v>6400</v>
      </c>
      <c r="Q1325" s="20">
        <f t="shared" ref="Q1325:X1325" si="2713">Q1295</f>
        <v>10</v>
      </c>
      <c r="R1325" s="20">
        <f t="shared" si="2713"/>
        <v>40</v>
      </c>
      <c r="S1325" s="20">
        <f t="shared" si="2713"/>
        <v>70</v>
      </c>
      <c r="T1325" s="20">
        <f t="shared" si="2713"/>
        <v>90</v>
      </c>
      <c r="U1325" s="20">
        <f t="shared" si="2713"/>
        <v>900</v>
      </c>
      <c r="V1325" s="20">
        <f t="shared" si="2713"/>
        <v>2000</v>
      </c>
      <c r="W1325" s="20">
        <f t="shared" si="2713"/>
        <v>8000</v>
      </c>
      <c r="X1325" s="20">
        <f t="shared" si="2713"/>
        <v>1</v>
      </c>
      <c r="Y1325" s="20">
        <v>0</v>
      </c>
      <c r="Z1325" s="20">
        <f t="shared" si="2594"/>
        <v>0</v>
      </c>
      <c r="AA1325" s="20">
        <v>0</v>
      </c>
      <c r="AB1325" s="20">
        <v>0</v>
      </c>
      <c r="AC1325" s="20">
        <v>0</v>
      </c>
      <c r="AD1325" s="23">
        <f t="shared" ref="AD1325:AE1325" si="2714">AD1295</f>
        <v>6</v>
      </c>
      <c r="AE1325" s="23">
        <f t="shared" si="2714"/>
        <v>10</v>
      </c>
    </row>
    <row r="1326" spans="1:31">
      <c r="A1326" s="4">
        <v>13204</v>
      </c>
      <c r="B1326" s="4">
        <v>5</v>
      </c>
      <c r="C1326" s="19" t="s">
        <v>70</v>
      </c>
      <c r="D1326" s="44">
        <v>0</v>
      </c>
      <c r="E1326" s="18">
        <f t="shared" si="2592"/>
        <v>223</v>
      </c>
      <c r="F1326" s="18">
        <v>0</v>
      </c>
      <c r="G1326" s="18">
        <v>0</v>
      </c>
      <c r="H1326" s="45">
        <v>0</v>
      </c>
      <c r="I1326" s="21">
        <f t="shared" si="2687"/>
        <v>110</v>
      </c>
      <c r="J1326" s="21">
        <f t="shared" si="2642"/>
        <v>4</v>
      </c>
      <c r="K1326" s="21">
        <v>0</v>
      </c>
      <c r="L1326" s="20">
        <v>25</v>
      </c>
      <c r="M1326" s="20">
        <v>0</v>
      </c>
      <c r="N1326" s="20">
        <f t="shared" si="2688"/>
        <v>200</v>
      </c>
      <c r="O1326" s="19" t="s">
        <v>70</v>
      </c>
      <c r="P1326" s="20">
        <v>3100</v>
      </c>
      <c r="Q1326" s="20">
        <f t="shared" ref="Q1326:X1326" si="2715">Q1296</f>
        <v>20</v>
      </c>
      <c r="R1326" s="20">
        <f t="shared" si="2715"/>
        <v>80</v>
      </c>
      <c r="S1326" s="20">
        <f t="shared" si="2715"/>
        <v>140</v>
      </c>
      <c r="T1326" s="20">
        <f t="shared" si="2715"/>
        <v>180</v>
      </c>
      <c r="U1326" s="20">
        <f t="shared" si="2715"/>
        <v>1000</v>
      </c>
      <c r="V1326" s="20">
        <f t="shared" si="2715"/>
        <v>2000</v>
      </c>
      <c r="W1326" s="20">
        <f t="shared" si="2715"/>
        <v>2000</v>
      </c>
      <c r="X1326" s="20">
        <f t="shared" si="2715"/>
        <v>2</v>
      </c>
      <c r="Y1326" s="20">
        <v>0</v>
      </c>
      <c r="Z1326" s="20">
        <f t="shared" si="2594"/>
        <v>0</v>
      </c>
      <c r="AA1326" s="20">
        <v>0</v>
      </c>
      <c r="AB1326" s="20">
        <v>0</v>
      </c>
      <c r="AC1326" s="20">
        <v>0</v>
      </c>
      <c r="AD1326" s="23">
        <f t="shared" ref="AD1326:AE1326" si="2716">AD1296</f>
        <v>8</v>
      </c>
      <c r="AE1326" s="23">
        <f t="shared" si="2716"/>
        <v>12</v>
      </c>
    </row>
    <row r="1327" spans="1:31">
      <c r="A1327" s="4">
        <v>13204</v>
      </c>
      <c r="B1327" s="4">
        <v>6</v>
      </c>
      <c r="C1327" s="19" t="s">
        <v>71</v>
      </c>
      <c r="D1327" s="44">
        <v>0</v>
      </c>
      <c r="E1327" s="18">
        <f t="shared" si="2592"/>
        <v>241</v>
      </c>
      <c r="F1327" s="18">
        <v>0</v>
      </c>
      <c r="G1327" s="18">
        <v>0</v>
      </c>
      <c r="H1327" s="45">
        <v>0</v>
      </c>
      <c r="I1327" s="21">
        <f t="shared" si="2687"/>
        <v>110</v>
      </c>
      <c r="J1327" s="21">
        <f t="shared" si="2642"/>
        <v>5</v>
      </c>
      <c r="K1327" s="21">
        <v>0</v>
      </c>
      <c r="L1327" s="20">
        <v>20</v>
      </c>
      <c r="M1327" s="20">
        <v>0</v>
      </c>
      <c r="N1327" s="20">
        <f t="shared" si="2688"/>
        <v>500</v>
      </c>
      <c r="O1327" s="19" t="s">
        <v>71</v>
      </c>
      <c r="P1327" s="20">
        <v>1777</v>
      </c>
      <c r="Q1327" s="20">
        <f t="shared" ref="Q1327:X1327" si="2717">Q1297</f>
        <v>50</v>
      </c>
      <c r="R1327" s="20">
        <f t="shared" si="2717"/>
        <v>200</v>
      </c>
      <c r="S1327" s="20">
        <f t="shared" si="2717"/>
        <v>350</v>
      </c>
      <c r="T1327" s="20">
        <f t="shared" si="2717"/>
        <v>450</v>
      </c>
      <c r="U1327" s="20">
        <f t="shared" si="2717"/>
        <v>800</v>
      </c>
      <c r="V1327" s="20">
        <f t="shared" si="2717"/>
        <v>800</v>
      </c>
      <c r="W1327" s="20">
        <f t="shared" si="2717"/>
        <v>600</v>
      </c>
      <c r="X1327" s="20">
        <f t="shared" si="2717"/>
        <v>2</v>
      </c>
      <c r="Y1327" s="20">
        <v>0</v>
      </c>
      <c r="Z1327" s="20">
        <f t="shared" si="2594"/>
        <v>0</v>
      </c>
      <c r="AA1327" s="20">
        <v>0</v>
      </c>
      <c r="AB1327" s="20">
        <v>0</v>
      </c>
      <c r="AC1327" s="20">
        <v>0</v>
      </c>
      <c r="AD1327" s="23">
        <f t="shared" ref="AD1327:AE1327" si="2718">AD1297</f>
        <v>10</v>
      </c>
      <c r="AE1327" s="23">
        <f t="shared" si="2718"/>
        <v>14</v>
      </c>
    </row>
    <row r="1328" spans="1:31">
      <c r="A1328" s="8">
        <v>13204</v>
      </c>
      <c r="B1328" s="8">
        <v>7</v>
      </c>
      <c r="C1328" s="19" t="s">
        <v>72</v>
      </c>
      <c r="D1328" s="44">
        <v>0</v>
      </c>
      <c r="E1328" s="18">
        <f t="shared" si="2592"/>
        <v>261</v>
      </c>
      <c r="F1328" s="18">
        <v>0</v>
      </c>
      <c r="G1328" s="18">
        <v>0</v>
      </c>
      <c r="H1328" s="45">
        <v>0</v>
      </c>
      <c r="I1328" s="21">
        <f t="shared" si="2687"/>
        <v>110</v>
      </c>
      <c r="J1328" s="21">
        <f t="shared" si="2642"/>
        <v>6</v>
      </c>
      <c r="K1328" s="21">
        <v>0</v>
      </c>
      <c r="L1328" s="20">
        <v>16</v>
      </c>
      <c r="M1328" s="20">
        <v>0</v>
      </c>
      <c r="N1328" s="20">
        <f t="shared" si="2688"/>
        <v>700</v>
      </c>
      <c r="O1328" s="19" t="s">
        <v>72</v>
      </c>
      <c r="P1328" s="20">
        <v>2332</v>
      </c>
      <c r="Q1328" s="20">
        <f t="shared" ref="Q1328:X1328" si="2719">Q1298</f>
        <v>70</v>
      </c>
      <c r="R1328" s="20">
        <f t="shared" si="2719"/>
        <v>280</v>
      </c>
      <c r="S1328" s="20">
        <f t="shared" si="2719"/>
        <v>489.99999999999994</v>
      </c>
      <c r="T1328" s="20">
        <f t="shared" si="2719"/>
        <v>630</v>
      </c>
      <c r="U1328" s="20">
        <f t="shared" si="2719"/>
        <v>650</v>
      </c>
      <c r="V1328" s="20">
        <f t="shared" si="2719"/>
        <v>800</v>
      </c>
      <c r="W1328" s="20">
        <f t="shared" si="2719"/>
        <v>300</v>
      </c>
      <c r="X1328" s="20">
        <f t="shared" si="2719"/>
        <v>2</v>
      </c>
      <c r="Y1328" s="20">
        <v>0</v>
      </c>
      <c r="Z1328" s="20">
        <f t="shared" si="2594"/>
        <v>0</v>
      </c>
      <c r="AA1328" s="20">
        <v>0</v>
      </c>
      <c r="AB1328" s="20">
        <v>0</v>
      </c>
      <c r="AC1328" s="20">
        <v>0</v>
      </c>
      <c r="AD1328" s="23">
        <f t="shared" ref="AD1328:AE1328" si="2720">AD1298</f>
        <v>12</v>
      </c>
      <c r="AE1328" s="23">
        <f t="shared" si="2720"/>
        <v>16</v>
      </c>
    </row>
    <row r="1329" spans="1:31">
      <c r="A1329" s="4">
        <v>13204</v>
      </c>
      <c r="B1329" s="4">
        <v>8</v>
      </c>
      <c r="C1329" s="19" t="s">
        <v>73</v>
      </c>
      <c r="D1329" s="44">
        <v>0</v>
      </c>
      <c r="E1329" s="18">
        <f t="shared" si="2592"/>
        <v>284</v>
      </c>
      <c r="F1329" s="18">
        <v>0</v>
      </c>
      <c r="G1329" s="18">
        <v>0</v>
      </c>
      <c r="H1329" s="45">
        <v>0</v>
      </c>
      <c r="I1329" s="21">
        <f t="shared" si="2687"/>
        <v>110</v>
      </c>
      <c r="J1329" s="21">
        <f t="shared" si="2642"/>
        <v>7</v>
      </c>
      <c r="K1329" s="21">
        <v>0</v>
      </c>
      <c r="L1329" s="20">
        <v>12</v>
      </c>
      <c r="M1329" s="20">
        <v>0</v>
      </c>
      <c r="N1329" s="20">
        <f t="shared" si="2688"/>
        <v>800</v>
      </c>
      <c r="O1329" s="19" t="s">
        <v>73</v>
      </c>
      <c r="P1329" s="20">
        <v>1487</v>
      </c>
      <c r="Q1329" s="20">
        <f t="shared" ref="Q1329:X1329" si="2721">Q1299</f>
        <v>80</v>
      </c>
      <c r="R1329" s="20">
        <f t="shared" si="2721"/>
        <v>320</v>
      </c>
      <c r="S1329" s="20">
        <f t="shared" si="2721"/>
        <v>560</v>
      </c>
      <c r="T1329" s="20">
        <f t="shared" si="2721"/>
        <v>720</v>
      </c>
      <c r="U1329" s="20">
        <f t="shared" si="2721"/>
        <v>200</v>
      </c>
      <c r="V1329" s="20">
        <f t="shared" si="2721"/>
        <v>2000</v>
      </c>
      <c r="W1329" s="20">
        <f t="shared" si="2721"/>
        <v>1000</v>
      </c>
      <c r="X1329" s="20">
        <f t="shared" si="2721"/>
        <v>2</v>
      </c>
      <c r="Y1329" s="20">
        <v>0</v>
      </c>
      <c r="Z1329" s="20">
        <f t="shared" si="2594"/>
        <v>54</v>
      </c>
      <c r="AA1329" s="20">
        <v>0</v>
      </c>
      <c r="AB1329" s="20">
        <v>0</v>
      </c>
      <c r="AC1329" s="20">
        <v>0</v>
      </c>
      <c r="AD1329" s="23">
        <f t="shared" ref="AD1329:AE1329" si="2722">AD1299</f>
        <v>14</v>
      </c>
      <c r="AE1329" s="23">
        <f t="shared" si="2722"/>
        <v>18</v>
      </c>
    </row>
    <row r="1330" spans="1:31">
      <c r="A1330" s="4">
        <v>13204</v>
      </c>
      <c r="B1330" s="4">
        <v>9</v>
      </c>
      <c r="C1330" s="19" t="s">
        <v>74</v>
      </c>
      <c r="D1330" s="44">
        <v>0</v>
      </c>
      <c r="E1330" s="18">
        <f t="shared" si="2592"/>
        <v>306</v>
      </c>
      <c r="F1330" s="18">
        <v>0</v>
      </c>
      <c r="G1330" s="18">
        <v>0</v>
      </c>
      <c r="H1330" s="45">
        <v>0</v>
      </c>
      <c r="I1330" s="21">
        <f t="shared" si="2687"/>
        <v>165</v>
      </c>
      <c r="J1330" s="21">
        <f t="shared" si="2642"/>
        <v>8</v>
      </c>
      <c r="K1330" s="21">
        <v>0</v>
      </c>
      <c r="L1330" s="20">
        <v>8</v>
      </c>
      <c r="M1330" s="20">
        <v>0</v>
      </c>
      <c r="N1330" s="20">
        <f t="shared" si="2688"/>
        <v>900</v>
      </c>
      <c r="O1330" s="19" t="s">
        <v>74</v>
      </c>
      <c r="P1330" s="20">
        <v>1518</v>
      </c>
      <c r="Q1330" s="20">
        <f t="shared" ref="Q1330:X1330" si="2723">Q1300</f>
        <v>90</v>
      </c>
      <c r="R1330" s="20">
        <f t="shared" si="2723"/>
        <v>360</v>
      </c>
      <c r="S1330" s="20">
        <f t="shared" si="2723"/>
        <v>630</v>
      </c>
      <c r="T1330" s="20">
        <f t="shared" si="2723"/>
        <v>810</v>
      </c>
      <c r="U1330" s="20">
        <f t="shared" si="2723"/>
        <v>120</v>
      </c>
      <c r="V1330" s="20">
        <f t="shared" si="2723"/>
        <v>1500</v>
      </c>
      <c r="W1330" s="20">
        <f t="shared" si="2723"/>
        <v>1000</v>
      </c>
      <c r="X1330" s="20">
        <f t="shared" si="2723"/>
        <v>3</v>
      </c>
      <c r="Y1330" s="20">
        <v>0</v>
      </c>
      <c r="Z1330" s="20">
        <f t="shared" si="2594"/>
        <v>0</v>
      </c>
      <c r="AA1330" s="20">
        <v>0</v>
      </c>
      <c r="AB1330" s="20">
        <v>0</v>
      </c>
      <c r="AC1330" s="20">
        <v>0</v>
      </c>
      <c r="AD1330" s="23">
        <f t="shared" ref="AD1330:AE1330" si="2724">AD1300</f>
        <v>16</v>
      </c>
      <c r="AE1330" s="23">
        <f t="shared" si="2724"/>
        <v>20</v>
      </c>
    </row>
    <row r="1331" spans="1:31">
      <c r="A1331" s="4">
        <v>13204</v>
      </c>
      <c r="B1331" s="4">
        <v>10</v>
      </c>
      <c r="C1331" s="19" t="s">
        <v>75</v>
      </c>
      <c r="D1331" s="44">
        <v>0</v>
      </c>
      <c r="E1331" s="18">
        <f t="shared" ref="E1331:E1351" si="2725">D1181</f>
        <v>331</v>
      </c>
      <c r="F1331" s="18">
        <v>0</v>
      </c>
      <c r="G1331" s="18">
        <v>0</v>
      </c>
      <c r="H1331" s="45">
        <v>0</v>
      </c>
      <c r="I1331" s="21">
        <f t="shared" si="2687"/>
        <v>165</v>
      </c>
      <c r="J1331" s="21">
        <f t="shared" si="2642"/>
        <v>9</v>
      </c>
      <c r="K1331" s="21">
        <v>0</v>
      </c>
      <c r="L1331" s="20">
        <v>6</v>
      </c>
      <c r="M1331" s="20">
        <v>0</v>
      </c>
      <c r="N1331" s="20">
        <f t="shared" si="2688"/>
        <v>2000</v>
      </c>
      <c r="O1331" s="19" t="s">
        <v>75</v>
      </c>
      <c r="P1331" s="20">
        <v>861</v>
      </c>
      <c r="Q1331" s="20">
        <f t="shared" ref="Q1331:X1331" si="2726">Q1301</f>
        <v>200</v>
      </c>
      <c r="R1331" s="20">
        <f t="shared" si="2726"/>
        <v>800</v>
      </c>
      <c r="S1331" s="20">
        <f t="shared" si="2726"/>
        <v>1400</v>
      </c>
      <c r="T1331" s="20">
        <f t="shared" si="2726"/>
        <v>1800</v>
      </c>
      <c r="U1331" s="20">
        <f t="shared" si="2726"/>
        <v>150</v>
      </c>
      <c r="V1331" s="20">
        <f t="shared" si="2726"/>
        <v>5000</v>
      </c>
      <c r="W1331" s="20">
        <f t="shared" si="2726"/>
        <v>800</v>
      </c>
      <c r="X1331" s="20">
        <f t="shared" si="2726"/>
        <v>3</v>
      </c>
      <c r="Y1331" s="20">
        <v>0</v>
      </c>
      <c r="Z1331" s="20">
        <f t="shared" ref="Z1331:Z1351" si="2727">Y1181</f>
        <v>0</v>
      </c>
      <c r="AA1331" s="20">
        <v>0</v>
      </c>
      <c r="AB1331" s="20">
        <v>0</v>
      </c>
      <c r="AC1331" s="20">
        <v>0</v>
      </c>
      <c r="AD1331" s="23">
        <f t="shared" ref="AD1331:AE1331" si="2728">AD1301</f>
        <v>18</v>
      </c>
      <c r="AE1331" s="23">
        <f t="shared" si="2728"/>
        <v>22</v>
      </c>
    </row>
    <row r="1332" spans="1:31">
      <c r="A1332" s="4">
        <v>13204</v>
      </c>
      <c r="B1332" s="4">
        <v>11</v>
      </c>
      <c r="C1332" s="19" t="s">
        <v>66</v>
      </c>
      <c r="D1332" s="44">
        <v>0</v>
      </c>
      <c r="E1332" s="18">
        <f t="shared" si="2725"/>
        <v>358</v>
      </c>
      <c r="F1332" s="18">
        <v>0</v>
      </c>
      <c r="G1332" s="18">
        <v>0</v>
      </c>
      <c r="H1332" s="45">
        <v>0</v>
      </c>
      <c r="I1332" s="21">
        <f t="shared" si="2687"/>
        <v>165</v>
      </c>
      <c r="J1332" s="21">
        <f t="shared" si="2642"/>
        <v>10</v>
      </c>
      <c r="K1332" s="21">
        <v>0</v>
      </c>
      <c r="L1332" s="20">
        <v>6</v>
      </c>
      <c r="M1332" s="20">
        <v>0</v>
      </c>
      <c r="N1332" s="20">
        <f t="shared" si="2688"/>
        <v>2200</v>
      </c>
      <c r="O1332" s="19" t="s">
        <v>66</v>
      </c>
      <c r="P1332" s="20">
        <v>9400</v>
      </c>
      <c r="Q1332" s="20">
        <f t="shared" ref="Q1332:X1332" si="2729">Q1302</f>
        <v>220</v>
      </c>
      <c r="R1332" s="20">
        <f t="shared" si="2729"/>
        <v>880</v>
      </c>
      <c r="S1332" s="20">
        <f t="shared" si="2729"/>
        <v>1540</v>
      </c>
      <c r="T1332" s="20">
        <f t="shared" si="2729"/>
        <v>1980</v>
      </c>
      <c r="U1332" s="20">
        <f t="shared" si="2729"/>
        <v>100</v>
      </c>
      <c r="V1332" s="20">
        <f t="shared" si="2729"/>
        <v>800</v>
      </c>
      <c r="W1332" s="20">
        <f t="shared" si="2729"/>
        <v>600</v>
      </c>
      <c r="X1332" s="20">
        <f t="shared" si="2729"/>
        <v>3</v>
      </c>
      <c r="Y1332" s="20">
        <v>0</v>
      </c>
      <c r="Z1332" s="20">
        <f t="shared" si="2727"/>
        <v>0</v>
      </c>
      <c r="AA1332" s="20">
        <v>0</v>
      </c>
      <c r="AB1332" s="20">
        <v>0</v>
      </c>
      <c r="AC1332" s="20">
        <v>0</v>
      </c>
      <c r="AD1332" s="23">
        <f t="shared" ref="AD1332:AE1332" si="2730">AD1302</f>
        <v>20</v>
      </c>
      <c r="AE1332" s="23">
        <f t="shared" si="2730"/>
        <v>24</v>
      </c>
    </row>
    <row r="1333" spans="1:31">
      <c r="A1333" s="4">
        <v>13204</v>
      </c>
      <c r="B1333" s="4">
        <v>12</v>
      </c>
      <c r="C1333" s="19" t="s">
        <v>67</v>
      </c>
      <c r="D1333" s="44">
        <v>0</v>
      </c>
      <c r="E1333" s="18">
        <f t="shared" si="2725"/>
        <v>387</v>
      </c>
      <c r="F1333" s="18">
        <v>0</v>
      </c>
      <c r="G1333" s="18">
        <v>0</v>
      </c>
      <c r="H1333" s="45">
        <v>0</v>
      </c>
      <c r="I1333" s="21">
        <f t="shared" si="2687"/>
        <v>165</v>
      </c>
      <c r="J1333" s="21">
        <f t="shared" si="2642"/>
        <v>11</v>
      </c>
      <c r="K1333" s="21">
        <v>0</v>
      </c>
      <c r="L1333" s="20">
        <v>6</v>
      </c>
      <c r="M1333" s="20">
        <v>0</v>
      </c>
      <c r="N1333" s="20">
        <f t="shared" si="2688"/>
        <v>2400</v>
      </c>
      <c r="O1333" s="19" t="s">
        <v>67</v>
      </c>
      <c r="P1333" s="20">
        <v>9100</v>
      </c>
      <c r="Q1333" s="20">
        <f t="shared" ref="Q1333:X1333" si="2731">Q1303</f>
        <v>240</v>
      </c>
      <c r="R1333" s="20">
        <f t="shared" si="2731"/>
        <v>960</v>
      </c>
      <c r="S1333" s="20">
        <f t="shared" si="2731"/>
        <v>1680</v>
      </c>
      <c r="T1333" s="20">
        <f t="shared" si="2731"/>
        <v>2160</v>
      </c>
      <c r="U1333" s="20">
        <f t="shared" si="2731"/>
        <v>150</v>
      </c>
      <c r="V1333" s="20">
        <f t="shared" si="2731"/>
        <v>700</v>
      </c>
      <c r="W1333" s="20">
        <f t="shared" si="2731"/>
        <v>900</v>
      </c>
      <c r="X1333" s="20">
        <f t="shared" si="2731"/>
        <v>3</v>
      </c>
      <c r="Y1333" s="20">
        <v>0</v>
      </c>
      <c r="Z1333" s="20">
        <f t="shared" si="2727"/>
        <v>0</v>
      </c>
      <c r="AA1333" s="20">
        <v>0</v>
      </c>
      <c r="AB1333" s="20">
        <v>0</v>
      </c>
      <c r="AC1333" s="20">
        <v>0</v>
      </c>
      <c r="AD1333" s="23">
        <f t="shared" ref="AD1333:AE1333" si="2732">AD1303</f>
        <v>22</v>
      </c>
      <c r="AE1333" s="23">
        <f t="shared" si="2732"/>
        <v>26</v>
      </c>
    </row>
    <row r="1334" spans="1:31">
      <c r="A1334" s="4">
        <v>13204</v>
      </c>
      <c r="B1334" s="4">
        <v>13</v>
      </c>
      <c r="C1334" s="19" t="s">
        <v>68</v>
      </c>
      <c r="D1334" s="44">
        <v>0</v>
      </c>
      <c r="E1334" s="18">
        <f t="shared" si="2725"/>
        <v>421</v>
      </c>
      <c r="F1334" s="18">
        <v>0</v>
      </c>
      <c r="G1334" s="18">
        <v>0</v>
      </c>
      <c r="H1334" s="45">
        <v>0</v>
      </c>
      <c r="I1334" s="21">
        <f t="shared" si="2687"/>
        <v>220</v>
      </c>
      <c r="J1334" s="21">
        <f t="shared" si="2642"/>
        <v>12</v>
      </c>
      <c r="K1334" s="21">
        <v>0</v>
      </c>
      <c r="L1334" s="20">
        <v>6</v>
      </c>
      <c r="M1334" s="20">
        <v>0</v>
      </c>
      <c r="N1334" s="20">
        <f t="shared" si="2688"/>
        <v>2600</v>
      </c>
      <c r="O1334" s="19" t="s">
        <v>68</v>
      </c>
      <c r="P1334" s="20">
        <v>8600</v>
      </c>
      <c r="Q1334" s="20">
        <f t="shared" ref="Q1334:X1334" si="2733">Q1304</f>
        <v>260</v>
      </c>
      <c r="R1334" s="20">
        <f t="shared" si="2733"/>
        <v>1040</v>
      </c>
      <c r="S1334" s="20">
        <f t="shared" si="2733"/>
        <v>1819.9999999999998</v>
      </c>
      <c r="T1334" s="20">
        <f t="shared" si="2733"/>
        <v>2340</v>
      </c>
      <c r="U1334" s="20">
        <f t="shared" si="2733"/>
        <v>100</v>
      </c>
      <c r="V1334" s="20">
        <f t="shared" si="2733"/>
        <v>700</v>
      </c>
      <c r="W1334" s="20">
        <f t="shared" si="2733"/>
        <v>1000</v>
      </c>
      <c r="X1334" s="20">
        <f t="shared" si="2733"/>
        <v>4</v>
      </c>
      <c r="Y1334" s="20">
        <v>0</v>
      </c>
      <c r="Z1334" s="20">
        <f t="shared" si="2727"/>
        <v>108</v>
      </c>
      <c r="AA1334" s="20">
        <v>0</v>
      </c>
      <c r="AB1334" s="20">
        <v>0</v>
      </c>
      <c r="AC1334" s="20">
        <v>0</v>
      </c>
      <c r="AD1334" s="23">
        <f t="shared" ref="AD1334:AE1334" si="2734">AD1304</f>
        <v>24</v>
      </c>
      <c r="AE1334" s="23">
        <f t="shared" si="2734"/>
        <v>28</v>
      </c>
    </row>
    <row r="1335" spans="1:31">
      <c r="A1335" s="4">
        <v>13204</v>
      </c>
      <c r="B1335" s="4">
        <v>14</v>
      </c>
      <c r="C1335" s="19" t="s">
        <v>69</v>
      </c>
      <c r="D1335" s="44">
        <v>0</v>
      </c>
      <c r="E1335" s="18">
        <f t="shared" si="2725"/>
        <v>455</v>
      </c>
      <c r="F1335" s="18">
        <v>0</v>
      </c>
      <c r="G1335" s="18">
        <v>0</v>
      </c>
      <c r="H1335" s="45">
        <v>0</v>
      </c>
      <c r="I1335" s="21">
        <f t="shared" si="2687"/>
        <v>220</v>
      </c>
      <c r="J1335" s="21">
        <f t="shared" si="2642"/>
        <v>13</v>
      </c>
      <c r="K1335" s="21">
        <v>0</v>
      </c>
      <c r="L1335" s="20">
        <v>6</v>
      </c>
      <c r="M1335" s="20">
        <v>0</v>
      </c>
      <c r="N1335" s="20">
        <f t="shared" si="2688"/>
        <v>2800</v>
      </c>
      <c r="O1335" s="19" t="s">
        <v>69</v>
      </c>
      <c r="P1335" s="20">
        <v>6400</v>
      </c>
      <c r="Q1335" s="20">
        <f t="shared" ref="Q1335:X1335" si="2735">Q1305</f>
        <v>280</v>
      </c>
      <c r="R1335" s="20">
        <f t="shared" si="2735"/>
        <v>1120</v>
      </c>
      <c r="S1335" s="20">
        <f t="shared" si="2735"/>
        <v>1959.9999999999998</v>
      </c>
      <c r="T1335" s="20">
        <f t="shared" si="2735"/>
        <v>2520</v>
      </c>
      <c r="U1335" s="20">
        <f t="shared" si="2735"/>
        <v>100</v>
      </c>
      <c r="V1335" s="20">
        <f t="shared" si="2735"/>
        <v>400</v>
      </c>
      <c r="W1335" s="20">
        <f t="shared" si="2735"/>
        <v>1200</v>
      </c>
      <c r="X1335" s="20">
        <f t="shared" si="2735"/>
        <v>4</v>
      </c>
      <c r="Y1335" s="20">
        <v>0</v>
      </c>
      <c r="Z1335" s="20">
        <f t="shared" si="2727"/>
        <v>0</v>
      </c>
      <c r="AA1335" s="20">
        <v>0</v>
      </c>
      <c r="AB1335" s="20">
        <v>0</v>
      </c>
      <c r="AC1335" s="20">
        <v>0</v>
      </c>
      <c r="AD1335" s="23">
        <f t="shared" ref="AD1335:AE1335" si="2736">AD1305</f>
        <v>26</v>
      </c>
      <c r="AE1335" s="23">
        <f t="shared" si="2736"/>
        <v>30</v>
      </c>
    </row>
    <row r="1336" spans="1:31">
      <c r="A1336" s="4">
        <v>13204</v>
      </c>
      <c r="B1336" s="4">
        <v>15</v>
      </c>
      <c r="C1336" s="19" t="s">
        <v>70</v>
      </c>
      <c r="D1336" s="44">
        <v>0</v>
      </c>
      <c r="E1336" s="18">
        <f t="shared" si="2725"/>
        <v>493</v>
      </c>
      <c r="F1336" s="18">
        <v>0</v>
      </c>
      <c r="G1336" s="18">
        <v>0</v>
      </c>
      <c r="H1336" s="45">
        <v>0</v>
      </c>
      <c r="I1336" s="21">
        <f t="shared" si="2687"/>
        <v>220</v>
      </c>
      <c r="J1336" s="21">
        <f t="shared" si="2642"/>
        <v>14</v>
      </c>
      <c r="K1336" s="21">
        <v>0</v>
      </c>
      <c r="L1336" s="20">
        <v>6</v>
      </c>
      <c r="M1336" s="20">
        <v>0</v>
      </c>
      <c r="N1336" s="20">
        <f t="shared" si="2688"/>
        <v>4500</v>
      </c>
      <c r="O1336" s="19" t="s">
        <v>70</v>
      </c>
      <c r="P1336" s="20">
        <v>3100</v>
      </c>
      <c r="Q1336" s="20">
        <f t="shared" ref="Q1336:X1336" si="2737">Q1306</f>
        <v>450</v>
      </c>
      <c r="R1336" s="20">
        <f t="shared" si="2737"/>
        <v>1800</v>
      </c>
      <c r="S1336" s="20">
        <f t="shared" si="2737"/>
        <v>3150</v>
      </c>
      <c r="T1336" s="20">
        <f t="shared" si="2737"/>
        <v>4050</v>
      </c>
      <c r="U1336" s="20">
        <f t="shared" si="2737"/>
        <v>100</v>
      </c>
      <c r="V1336" s="20">
        <f t="shared" si="2737"/>
        <v>1000</v>
      </c>
      <c r="W1336" s="20">
        <f t="shared" si="2737"/>
        <v>600</v>
      </c>
      <c r="X1336" s="20">
        <f t="shared" si="2737"/>
        <v>4</v>
      </c>
      <c r="Y1336" s="20">
        <v>0</v>
      </c>
      <c r="Z1336" s="20">
        <f t="shared" si="2727"/>
        <v>0</v>
      </c>
      <c r="AA1336" s="20">
        <v>0</v>
      </c>
      <c r="AB1336" s="20">
        <v>0</v>
      </c>
      <c r="AC1336" s="20">
        <v>0</v>
      </c>
      <c r="AD1336" s="23">
        <f t="shared" ref="AD1336:AE1336" si="2738">AD1306</f>
        <v>28</v>
      </c>
      <c r="AE1336" s="23">
        <f t="shared" si="2738"/>
        <v>32</v>
      </c>
    </row>
    <row r="1337" spans="1:31">
      <c r="A1337" s="4">
        <v>13204</v>
      </c>
      <c r="B1337" s="4">
        <v>16</v>
      </c>
      <c r="C1337" s="19" t="s">
        <v>71</v>
      </c>
      <c r="D1337" s="44">
        <v>0</v>
      </c>
      <c r="E1337" s="18">
        <f t="shared" si="2725"/>
        <v>534</v>
      </c>
      <c r="F1337" s="18">
        <v>0</v>
      </c>
      <c r="G1337" s="18">
        <v>0</v>
      </c>
      <c r="H1337" s="45">
        <v>0</v>
      </c>
      <c r="I1337" s="21">
        <f t="shared" si="2687"/>
        <v>220</v>
      </c>
      <c r="J1337" s="21">
        <f t="shared" si="2642"/>
        <v>15</v>
      </c>
      <c r="K1337" s="21">
        <v>0</v>
      </c>
      <c r="L1337" s="20">
        <v>6</v>
      </c>
      <c r="M1337" s="20">
        <v>0</v>
      </c>
      <c r="N1337" s="20">
        <f t="shared" si="2688"/>
        <v>4800</v>
      </c>
      <c r="O1337" s="19" t="s">
        <v>71</v>
      </c>
      <c r="P1337" s="20">
        <v>1777</v>
      </c>
      <c r="Q1337" s="20">
        <f t="shared" ref="Q1337:X1337" si="2739">Q1307</f>
        <v>480</v>
      </c>
      <c r="R1337" s="20">
        <f t="shared" si="2739"/>
        <v>1920</v>
      </c>
      <c r="S1337" s="20">
        <f t="shared" si="2739"/>
        <v>3360</v>
      </c>
      <c r="T1337" s="20">
        <f t="shared" si="2739"/>
        <v>4320</v>
      </c>
      <c r="U1337" s="20">
        <f t="shared" si="2739"/>
        <v>100</v>
      </c>
      <c r="V1337" s="20">
        <f t="shared" si="2739"/>
        <v>800</v>
      </c>
      <c r="W1337" s="20">
        <f t="shared" si="2739"/>
        <v>800</v>
      </c>
      <c r="X1337" s="20">
        <f t="shared" si="2739"/>
        <v>4</v>
      </c>
      <c r="Y1337" s="20">
        <v>0</v>
      </c>
      <c r="Z1337" s="20">
        <f t="shared" si="2727"/>
        <v>0</v>
      </c>
      <c r="AA1337" s="20">
        <v>0</v>
      </c>
      <c r="AB1337" s="20">
        <v>0</v>
      </c>
      <c r="AC1337" s="20">
        <v>0</v>
      </c>
      <c r="AD1337" s="23">
        <f t="shared" ref="AD1337:AE1337" si="2740">AD1307</f>
        <v>30</v>
      </c>
      <c r="AE1337" s="23">
        <f t="shared" si="2740"/>
        <v>34</v>
      </c>
    </row>
    <row r="1338" spans="1:31">
      <c r="A1338" s="4">
        <v>13204</v>
      </c>
      <c r="B1338" s="4">
        <v>17</v>
      </c>
      <c r="C1338" s="19" t="s">
        <v>72</v>
      </c>
      <c r="D1338" s="44">
        <v>0</v>
      </c>
      <c r="E1338" s="18">
        <f t="shared" si="2725"/>
        <v>576</v>
      </c>
      <c r="F1338" s="18">
        <v>0</v>
      </c>
      <c r="G1338" s="18">
        <v>0</v>
      </c>
      <c r="H1338" s="45">
        <v>0</v>
      </c>
      <c r="I1338" s="21">
        <f t="shared" si="2687"/>
        <v>275</v>
      </c>
      <c r="J1338" s="21">
        <f t="shared" si="2642"/>
        <v>16</v>
      </c>
      <c r="K1338" s="21">
        <v>0</v>
      </c>
      <c r="L1338" s="20">
        <v>6</v>
      </c>
      <c r="M1338" s="20">
        <v>0</v>
      </c>
      <c r="N1338" s="20">
        <f t="shared" si="2688"/>
        <v>5100</v>
      </c>
      <c r="O1338" s="19" t="s">
        <v>72</v>
      </c>
      <c r="P1338" s="20">
        <v>2332</v>
      </c>
      <c r="Q1338" s="20">
        <f t="shared" ref="Q1338:X1338" si="2741">Q1308</f>
        <v>510</v>
      </c>
      <c r="R1338" s="20">
        <f t="shared" si="2741"/>
        <v>2040</v>
      </c>
      <c r="S1338" s="20">
        <f t="shared" si="2741"/>
        <v>3570</v>
      </c>
      <c r="T1338" s="20">
        <f t="shared" si="2741"/>
        <v>4590</v>
      </c>
      <c r="U1338" s="20">
        <f t="shared" si="2741"/>
        <v>80</v>
      </c>
      <c r="V1338" s="20">
        <f t="shared" si="2741"/>
        <v>800</v>
      </c>
      <c r="W1338" s="20">
        <f t="shared" si="2741"/>
        <v>600</v>
      </c>
      <c r="X1338" s="20">
        <f t="shared" si="2741"/>
        <v>5</v>
      </c>
      <c r="Y1338" s="20">
        <v>0</v>
      </c>
      <c r="Z1338" s="20">
        <f t="shared" si="2727"/>
        <v>0</v>
      </c>
      <c r="AA1338" s="20">
        <v>0</v>
      </c>
      <c r="AB1338" s="20">
        <v>0</v>
      </c>
      <c r="AC1338" s="20">
        <v>0</v>
      </c>
      <c r="AD1338" s="23">
        <f t="shared" ref="AD1338:AE1338" si="2742">AD1308</f>
        <v>32</v>
      </c>
      <c r="AE1338" s="23">
        <f t="shared" si="2742"/>
        <v>36</v>
      </c>
    </row>
    <row r="1339" spans="1:31">
      <c r="A1339" s="4">
        <v>13204</v>
      </c>
      <c r="B1339" s="4">
        <v>18</v>
      </c>
      <c r="C1339" s="19" t="s">
        <v>73</v>
      </c>
      <c r="D1339" s="44">
        <v>0</v>
      </c>
      <c r="E1339" s="18">
        <f t="shared" si="2725"/>
        <v>626</v>
      </c>
      <c r="F1339" s="18">
        <v>0</v>
      </c>
      <c r="G1339" s="18">
        <v>0</v>
      </c>
      <c r="H1339" s="45">
        <v>0</v>
      </c>
      <c r="I1339" s="21">
        <f t="shared" si="2687"/>
        <v>275</v>
      </c>
      <c r="J1339" s="21">
        <f t="shared" si="2642"/>
        <v>17</v>
      </c>
      <c r="K1339" s="21">
        <v>0</v>
      </c>
      <c r="L1339" s="20">
        <v>6</v>
      </c>
      <c r="M1339" s="20">
        <v>0</v>
      </c>
      <c r="N1339" s="20">
        <f t="shared" si="2688"/>
        <v>5400</v>
      </c>
      <c r="O1339" s="19" t="s">
        <v>73</v>
      </c>
      <c r="P1339" s="20">
        <v>1487</v>
      </c>
      <c r="Q1339" s="20">
        <f t="shared" ref="Q1339:X1339" si="2743">Q1309</f>
        <v>540</v>
      </c>
      <c r="R1339" s="20">
        <f t="shared" si="2743"/>
        <v>2160</v>
      </c>
      <c r="S1339" s="20">
        <f t="shared" si="2743"/>
        <v>3779.9999999999995</v>
      </c>
      <c r="T1339" s="20">
        <f t="shared" si="2743"/>
        <v>4860</v>
      </c>
      <c r="U1339" s="20">
        <f t="shared" si="2743"/>
        <v>100</v>
      </c>
      <c r="V1339" s="20">
        <f t="shared" si="2743"/>
        <v>600</v>
      </c>
      <c r="W1339" s="20">
        <f t="shared" si="2743"/>
        <v>300</v>
      </c>
      <c r="X1339" s="20">
        <f t="shared" si="2743"/>
        <v>5</v>
      </c>
      <c r="Y1339" s="20">
        <v>0</v>
      </c>
      <c r="Z1339" s="20">
        <f t="shared" si="2727"/>
        <v>162</v>
      </c>
      <c r="AA1339" s="20">
        <v>0</v>
      </c>
      <c r="AB1339" s="20">
        <v>0</v>
      </c>
      <c r="AC1339" s="20">
        <v>0</v>
      </c>
      <c r="AD1339" s="23">
        <f t="shared" ref="AD1339:AE1339" si="2744">AD1309</f>
        <v>34</v>
      </c>
      <c r="AE1339" s="23">
        <f t="shared" si="2744"/>
        <v>38</v>
      </c>
    </row>
    <row r="1340" spans="1:31">
      <c r="A1340" s="8">
        <v>13204</v>
      </c>
      <c r="B1340" s="8">
        <v>19</v>
      </c>
      <c r="C1340" s="19" t="s">
        <v>74</v>
      </c>
      <c r="D1340" s="44">
        <v>0</v>
      </c>
      <c r="E1340" s="18">
        <f t="shared" si="2725"/>
        <v>678</v>
      </c>
      <c r="F1340" s="18">
        <v>0</v>
      </c>
      <c r="G1340" s="18">
        <v>0</v>
      </c>
      <c r="H1340" s="45">
        <v>0</v>
      </c>
      <c r="I1340" s="21">
        <f t="shared" si="2687"/>
        <v>275</v>
      </c>
      <c r="J1340" s="21">
        <f t="shared" si="2642"/>
        <v>18</v>
      </c>
      <c r="K1340" s="21">
        <v>0</v>
      </c>
      <c r="L1340" s="20">
        <v>6</v>
      </c>
      <c r="M1340" s="20">
        <v>0</v>
      </c>
      <c r="N1340" s="20">
        <f t="shared" si="2688"/>
        <v>5700</v>
      </c>
      <c r="O1340" s="19" t="s">
        <v>74</v>
      </c>
      <c r="P1340" s="20">
        <v>1518</v>
      </c>
      <c r="Q1340" s="20">
        <f t="shared" ref="Q1340:X1340" si="2745">Q1310</f>
        <v>570</v>
      </c>
      <c r="R1340" s="20">
        <f t="shared" si="2745"/>
        <v>2280</v>
      </c>
      <c r="S1340" s="20">
        <f t="shared" si="2745"/>
        <v>3989.9999999999995</v>
      </c>
      <c r="T1340" s="20">
        <f t="shared" si="2745"/>
        <v>5130</v>
      </c>
      <c r="U1340" s="20">
        <f t="shared" si="2745"/>
        <v>100</v>
      </c>
      <c r="V1340" s="20">
        <f t="shared" si="2745"/>
        <v>500</v>
      </c>
      <c r="W1340" s="20">
        <f t="shared" si="2745"/>
        <v>400</v>
      </c>
      <c r="X1340" s="20">
        <f t="shared" si="2745"/>
        <v>5</v>
      </c>
      <c r="Y1340" s="20">
        <v>0</v>
      </c>
      <c r="Z1340" s="20">
        <f t="shared" si="2727"/>
        <v>0</v>
      </c>
      <c r="AA1340" s="20">
        <v>0</v>
      </c>
      <c r="AB1340" s="20">
        <v>0</v>
      </c>
      <c r="AC1340" s="20">
        <v>0</v>
      </c>
      <c r="AD1340" s="23">
        <f t="shared" ref="AD1340:AE1340" si="2746">AD1310</f>
        <v>36</v>
      </c>
      <c r="AE1340" s="23">
        <f t="shared" si="2746"/>
        <v>40</v>
      </c>
    </row>
    <row r="1341" spans="1:31">
      <c r="A1341" s="4">
        <v>13204</v>
      </c>
      <c r="B1341" s="4">
        <v>20</v>
      </c>
      <c r="C1341" s="19" t="s">
        <v>75</v>
      </c>
      <c r="D1341" s="44">
        <v>0</v>
      </c>
      <c r="E1341" s="18">
        <f t="shared" si="2725"/>
        <v>732</v>
      </c>
      <c r="F1341" s="18">
        <v>0</v>
      </c>
      <c r="G1341" s="18">
        <v>0</v>
      </c>
      <c r="H1341" s="45">
        <v>0</v>
      </c>
      <c r="I1341" s="21">
        <f t="shared" si="2687"/>
        <v>275</v>
      </c>
      <c r="J1341" s="21">
        <f t="shared" si="2642"/>
        <v>19</v>
      </c>
      <c r="K1341" s="21">
        <v>0</v>
      </c>
      <c r="L1341" s="20">
        <v>6</v>
      </c>
      <c r="M1341" s="20">
        <v>0</v>
      </c>
      <c r="N1341" s="20">
        <f t="shared" si="2688"/>
        <v>8000</v>
      </c>
      <c r="O1341" s="19" t="s">
        <v>75</v>
      </c>
      <c r="P1341" s="20">
        <v>861</v>
      </c>
      <c r="Q1341" s="20">
        <f t="shared" ref="Q1341:X1341" si="2747">Q1311</f>
        <v>800</v>
      </c>
      <c r="R1341" s="20">
        <f t="shared" si="2747"/>
        <v>3200</v>
      </c>
      <c r="S1341" s="20">
        <f t="shared" si="2747"/>
        <v>5600</v>
      </c>
      <c r="T1341" s="20">
        <f t="shared" si="2747"/>
        <v>7200</v>
      </c>
      <c r="U1341" s="20">
        <f t="shared" si="2747"/>
        <v>100</v>
      </c>
      <c r="V1341" s="20">
        <f t="shared" si="2747"/>
        <v>800</v>
      </c>
      <c r="W1341" s="20">
        <f t="shared" si="2747"/>
        <v>8000</v>
      </c>
      <c r="X1341" s="20">
        <f t="shared" si="2747"/>
        <v>5</v>
      </c>
      <c r="Y1341" s="20">
        <v>0</v>
      </c>
      <c r="Z1341" s="20">
        <f t="shared" si="2727"/>
        <v>0</v>
      </c>
      <c r="AA1341" s="20">
        <v>0</v>
      </c>
      <c r="AB1341" s="20">
        <v>0</v>
      </c>
      <c r="AC1341" s="20">
        <v>0</v>
      </c>
      <c r="AD1341" s="23">
        <f t="shared" ref="AD1341:AE1341" si="2748">AD1311</f>
        <v>38</v>
      </c>
      <c r="AE1341" s="23">
        <f t="shared" si="2748"/>
        <v>42</v>
      </c>
    </row>
    <row r="1342" spans="1:31">
      <c r="A1342" s="4">
        <v>13204</v>
      </c>
      <c r="B1342" s="4">
        <v>21</v>
      </c>
      <c r="C1342" s="19" t="s">
        <v>66</v>
      </c>
      <c r="D1342" s="44">
        <v>0</v>
      </c>
      <c r="E1342" s="18">
        <f t="shared" si="2725"/>
        <v>792</v>
      </c>
      <c r="F1342" s="18">
        <v>0</v>
      </c>
      <c r="G1342" s="18">
        <v>0</v>
      </c>
      <c r="H1342" s="45">
        <v>0</v>
      </c>
      <c r="I1342" s="21">
        <f t="shared" si="2687"/>
        <v>330</v>
      </c>
      <c r="J1342" s="21">
        <f t="shared" si="2642"/>
        <v>20</v>
      </c>
      <c r="K1342" s="21">
        <v>0</v>
      </c>
      <c r="L1342" s="20">
        <v>6</v>
      </c>
      <c r="M1342" s="20">
        <v>0</v>
      </c>
      <c r="N1342" s="20">
        <f t="shared" si="2688"/>
        <v>8400</v>
      </c>
      <c r="O1342" s="19" t="s">
        <v>66</v>
      </c>
      <c r="P1342" s="20">
        <v>9400</v>
      </c>
      <c r="Q1342" s="20">
        <f t="shared" ref="Q1342:X1342" si="2749">Q1312</f>
        <v>840</v>
      </c>
      <c r="R1342" s="20">
        <f t="shared" si="2749"/>
        <v>3360</v>
      </c>
      <c r="S1342" s="20">
        <f t="shared" si="2749"/>
        <v>5880</v>
      </c>
      <c r="T1342" s="20">
        <f t="shared" si="2749"/>
        <v>7560</v>
      </c>
      <c r="U1342" s="20">
        <f t="shared" si="2749"/>
        <v>50</v>
      </c>
      <c r="V1342" s="20">
        <f t="shared" si="2749"/>
        <v>1000</v>
      </c>
      <c r="W1342" s="20">
        <f t="shared" si="2749"/>
        <v>600</v>
      </c>
      <c r="X1342" s="20">
        <f t="shared" si="2749"/>
        <v>6</v>
      </c>
      <c r="Y1342" s="20">
        <v>0</v>
      </c>
      <c r="Z1342" s="20">
        <f t="shared" si="2727"/>
        <v>0</v>
      </c>
      <c r="AA1342" s="20">
        <v>0</v>
      </c>
      <c r="AB1342" s="20">
        <v>0</v>
      </c>
      <c r="AC1342" s="20">
        <v>0</v>
      </c>
      <c r="AD1342" s="23">
        <f t="shared" ref="AD1342:AE1342" si="2750">AD1312</f>
        <v>40</v>
      </c>
      <c r="AE1342" s="23">
        <f t="shared" si="2750"/>
        <v>44</v>
      </c>
    </row>
    <row r="1343" spans="1:31">
      <c r="A1343" s="4">
        <v>13204</v>
      </c>
      <c r="B1343" s="4">
        <v>22</v>
      </c>
      <c r="C1343" s="19" t="s">
        <v>67</v>
      </c>
      <c r="D1343" s="44">
        <v>0</v>
      </c>
      <c r="E1343" s="18">
        <f t="shared" si="2725"/>
        <v>858</v>
      </c>
      <c r="F1343" s="18">
        <v>0</v>
      </c>
      <c r="G1343" s="18">
        <v>0</v>
      </c>
      <c r="H1343" s="45">
        <v>0</v>
      </c>
      <c r="I1343" s="21">
        <f t="shared" si="2687"/>
        <v>330</v>
      </c>
      <c r="J1343" s="21">
        <f t="shared" si="2642"/>
        <v>21</v>
      </c>
      <c r="K1343" s="21">
        <v>0</v>
      </c>
      <c r="L1343" s="20">
        <v>6</v>
      </c>
      <c r="M1343" s="20">
        <v>0</v>
      </c>
      <c r="N1343" s="20">
        <f t="shared" si="2688"/>
        <v>8800</v>
      </c>
      <c r="O1343" s="19" t="s">
        <v>67</v>
      </c>
      <c r="P1343" s="20">
        <v>9100</v>
      </c>
      <c r="Q1343" s="20">
        <f t="shared" ref="Q1343:X1343" si="2751">Q1313</f>
        <v>880</v>
      </c>
      <c r="R1343" s="20">
        <f t="shared" si="2751"/>
        <v>3520</v>
      </c>
      <c r="S1343" s="20">
        <f t="shared" si="2751"/>
        <v>6160</v>
      </c>
      <c r="T1343" s="20">
        <f t="shared" si="2751"/>
        <v>7920</v>
      </c>
      <c r="U1343" s="20">
        <f t="shared" si="2751"/>
        <v>100</v>
      </c>
      <c r="V1343" s="20">
        <f t="shared" si="2751"/>
        <v>600</v>
      </c>
      <c r="W1343" s="20">
        <f t="shared" si="2751"/>
        <v>700</v>
      </c>
      <c r="X1343" s="20">
        <f t="shared" si="2751"/>
        <v>6</v>
      </c>
      <c r="Y1343" s="20">
        <v>0</v>
      </c>
      <c r="Z1343" s="20">
        <f t="shared" si="2727"/>
        <v>0</v>
      </c>
      <c r="AA1343" s="20">
        <v>0</v>
      </c>
      <c r="AB1343" s="20">
        <v>0</v>
      </c>
      <c r="AC1343" s="20">
        <v>0</v>
      </c>
      <c r="AD1343" s="23">
        <f t="shared" ref="AD1343:AE1343" si="2752">AD1313</f>
        <v>42</v>
      </c>
      <c r="AE1343" s="23">
        <f t="shared" si="2752"/>
        <v>46</v>
      </c>
    </row>
    <row r="1344" spans="1:31">
      <c r="A1344" s="4">
        <v>13204</v>
      </c>
      <c r="B1344" s="4">
        <v>23</v>
      </c>
      <c r="C1344" s="19" t="s">
        <v>68</v>
      </c>
      <c r="D1344" s="44">
        <v>0</v>
      </c>
      <c r="E1344" s="18">
        <f t="shared" si="2725"/>
        <v>930</v>
      </c>
      <c r="F1344" s="18">
        <v>0</v>
      </c>
      <c r="G1344" s="18">
        <v>0</v>
      </c>
      <c r="H1344" s="45">
        <v>0</v>
      </c>
      <c r="I1344" s="21">
        <f t="shared" si="2687"/>
        <v>330</v>
      </c>
      <c r="J1344" s="21">
        <f t="shared" si="2642"/>
        <v>22</v>
      </c>
      <c r="K1344" s="21">
        <v>0</v>
      </c>
      <c r="L1344" s="20">
        <v>6</v>
      </c>
      <c r="M1344" s="20">
        <v>0</v>
      </c>
      <c r="N1344" s="20">
        <f t="shared" si="2688"/>
        <v>9200</v>
      </c>
      <c r="O1344" s="19" t="s">
        <v>68</v>
      </c>
      <c r="P1344" s="20">
        <v>8600</v>
      </c>
      <c r="Q1344" s="20">
        <f t="shared" ref="Q1344:X1344" si="2753">Q1314</f>
        <v>920</v>
      </c>
      <c r="R1344" s="20">
        <f t="shared" si="2753"/>
        <v>3680</v>
      </c>
      <c r="S1344" s="20">
        <f t="shared" si="2753"/>
        <v>6440</v>
      </c>
      <c r="T1344" s="20">
        <f t="shared" si="2753"/>
        <v>8280</v>
      </c>
      <c r="U1344" s="20">
        <f t="shared" si="2753"/>
        <v>100</v>
      </c>
      <c r="V1344" s="20">
        <f t="shared" si="2753"/>
        <v>550</v>
      </c>
      <c r="W1344" s="20">
        <f t="shared" si="2753"/>
        <v>500</v>
      </c>
      <c r="X1344" s="20">
        <f t="shared" si="2753"/>
        <v>6</v>
      </c>
      <c r="Y1344" s="20">
        <v>0</v>
      </c>
      <c r="Z1344" s="20">
        <f t="shared" si="2727"/>
        <v>216</v>
      </c>
      <c r="AA1344" s="20">
        <v>0</v>
      </c>
      <c r="AB1344" s="20">
        <v>0</v>
      </c>
      <c r="AC1344" s="20">
        <v>0</v>
      </c>
      <c r="AD1344" s="23">
        <f t="shared" ref="AD1344:AE1344" si="2754">AD1314</f>
        <v>44</v>
      </c>
      <c r="AE1344" s="23">
        <f t="shared" si="2754"/>
        <v>48</v>
      </c>
    </row>
    <row r="1345" spans="1:31">
      <c r="A1345" s="4">
        <v>13204</v>
      </c>
      <c r="B1345" s="4">
        <v>24</v>
      </c>
      <c r="C1345" s="19" t="s">
        <v>69</v>
      </c>
      <c r="D1345" s="44">
        <v>0</v>
      </c>
      <c r="E1345" s="18">
        <f t="shared" si="2725"/>
        <v>1006</v>
      </c>
      <c r="F1345" s="18">
        <v>0</v>
      </c>
      <c r="G1345" s="18">
        <v>0</v>
      </c>
      <c r="H1345" s="45">
        <v>0</v>
      </c>
      <c r="I1345" s="21">
        <f t="shared" si="2687"/>
        <v>330</v>
      </c>
      <c r="J1345" s="21">
        <f t="shared" si="2642"/>
        <v>23</v>
      </c>
      <c r="K1345" s="21">
        <v>0</v>
      </c>
      <c r="L1345" s="20">
        <v>6</v>
      </c>
      <c r="M1345" s="20">
        <v>0</v>
      </c>
      <c r="N1345" s="20">
        <f t="shared" si="2688"/>
        <v>9600</v>
      </c>
      <c r="O1345" s="19" t="s">
        <v>69</v>
      </c>
      <c r="P1345" s="20">
        <v>6400</v>
      </c>
      <c r="Q1345" s="20">
        <f t="shared" ref="Q1345:X1345" si="2755">Q1315</f>
        <v>960</v>
      </c>
      <c r="R1345" s="20">
        <f t="shared" si="2755"/>
        <v>3840</v>
      </c>
      <c r="S1345" s="20">
        <f t="shared" si="2755"/>
        <v>6720</v>
      </c>
      <c r="T1345" s="20">
        <f t="shared" si="2755"/>
        <v>8640</v>
      </c>
      <c r="U1345" s="20">
        <f t="shared" si="2755"/>
        <v>100</v>
      </c>
      <c r="V1345" s="20">
        <f t="shared" si="2755"/>
        <v>500</v>
      </c>
      <c r="W1345" s="20">
        <f t="shared" si="2755"/>
        <v>900</v>
      </c>
      <c r="X1345" s="20">
        <f t="shared" si="2755"/>
        <v>6</v>
      </c>
      <c r="Y1345" s="20">
        <v>0</v>
      </c>
      <c r="Z1345" s="20">
        <f t="shared" si="2727"/>
        <v>0</v>
      </c>
      <c r="AA1345" s="20">
        <v>0</v>
      </c>
      <c r="AB1345" s="20">
        <v>0</v>
      </c>
      <c r="AC1345" s="20">
        <v>0</v>
      </c>
      <c r="AD1345" s="23">
        <f t="shared" ref="AD1345:AE1345" si="2756">AD1315</f>
        <v>46</v>
      </c>
      <c r="AE1345" s="23">
        <f t="shared" si="2756"/>
        <v>50</v>
      </c>
    </row>
    <row r="1346" spans="1:31">
      <c r="A1346" s="4">
        <v>13204</v>
      </c>
      <c r="B1346" s="4">
        <v>25</v>
      </c>
      <c r="C1346" s="19" t="s">
        <v>70</v>
      </c>
      <c r="D1346" s="44">
        <v>0</v>
      </c>
      <c r="E1346" s="18">
        <f t="shared" si="2725"/>
        <v>1089</v>
      </c>
      <c r="F1346" s="18">
        <v>0</v>
      </c>
      <c r="G1346" s="18">
        <v>0</v>
      </c>
      <c r="H1346" s="45">
        <v>0</v>
      </c>
      <c r="I1346" s="21">
        <f t="shared" si="2687"/>
        <v>385</v>
      </c>
      <c r="J1346" s="21">
        <f t="shared" si="2642"/>
        <v>24</v>
      </c>
      <c r="K1346" s="21">
        <v>0</v>
      </c>
      <c r="L1346" s="20">
        <v>6</v>
      </c>
      <c r="M1346" s="20">
        <v>0</v>
      </c>
      <c r="N1346" s="20">
        <f t="shared" si="2688"/>
        <v>12500</v>
      </c>
      <c r="O1346" s="19" t="s">
        <v>70</v>
      </c>
      <c r="P1346" s="20">
        <v>3100</v>
      </c>
      <c r="Q1346" s="20">
        <f t="shared" ref="Q1346:X1346" si="2757">Q1316</f>
        <v>1250</v>
      </c>
      <c r="R1346" s="20">
        <f t="shared" si="2757"/>
        <v>5000</v>
      </c>
      <c r="S1346" s="20">
        <f t="shared" si="2757"/>
        <v>8750</v>
      </c>
      <c r="T1346" s="20">
        <f t="shared" si="2757"/>
        <v>11250</v>
      </c>
      <c r="U1346" s="20">
        <f t="shared" si="2757"/>
        <v>10</v>
      </c>
      <c r="V1346" s="20">
        <f t="shared" si="2757"/>
        <v>1300</v>
      </c>
      <c r="W1346" s="20">
        <f t="shared" si="2757"/>
        <v>1000</v>
      </c>
      <c r="X1346" s="20">
        <f t="shared" si="2757"/>
        <v>7</v>
      </c>
      <c r="Y1346" s="20">
        <v>0</v>
      </c>
      <c r="Z1346" s="20">
        <f t="shared" si="2727"/>
        <v>0</v>
      </c>
      <c r="AA1346" s="20">
        <v>0</v>
      </c>
      <c r="AB1346" s="20">
        <v>0</v>
      </c>
      <c r="AC1346" s="20">
        <v>0</v>
      </c>
      <c r="AD1346" s="23">
        <f t="shared" ref="AD1346:AE1346" si="2758">AD1316</f>
        <v>48</v>
      </c>
      <c r="AE1346" s="23">
        <f t="shared" si="2758"/>
        <v>52</v>
      </c>
    </row>
    <row r="1347" spans="1:31">
      <c r="A1347" s="4">
        <v>13204</v>
      </c>
      <c r="B1347" s="4">
        <v>26</v>
      </c>
      <c r="C1347" s="19" t="s">
        <v>71</v>
      </c>
      <c r="D1347" s="44">
        <v>0</v>
      </c>
      <c r="E1347" s="18">
        <f t="shared" si="2725"/>
        <v>1179</v>
      </c>
      <c r="F1347" s="18">
        <v>0</v>
      </c>
      <c r="G1347" s="18">
        <v>0</v>
      </c>
      <c r="H1347" s="45">
        <v>0</v>
      </c>
      <c r="I1347" s="21">
        <f t="shared" si="2687"/>
        <v>385</v>
      </c>
      <c r="J1347" s="21">
        <f t="shared" si="2642"/>
        <v>25</v>
      </c>
      <c r="K1347" s="21">
        <v>0</v>
      </c>
      <c r="L1347" s="20">
        <v>6</v>
      </c>
      <c r="M1347" s="20">
        <v>0</v>
      </c>
      <c r="N1347" s="20">
        <f t="shared" si="2688"/>
        <v>13000</v>
      </c>
      <c r="O1347" s="19" t="s">
        <v>71</v>
      </c>
      <c r="P1347" s="20">
        <v>1777</v>
      </c>
      <c r="Q1347" s="20">
        <f t="shared" ref="Q1347:X1347" si="2759">Q1317</f>
        <v>1300</v>
      </c>
      <c r="R1347" s="20">
        <f t="shared" si="2759"/>
        <v>5200</v>
      </c>
      <c r="S1347" s="20">
        <f t="shared" si="2759"/>
        <v>9100</v>
      </c>
      <c r="T1347" s="20">
        <f t="shared" si="2759"/>
        <v>11700</v>
      </c>
      <c r="U1347" s="20">
        <f t="shared" si="2759"/>
        <v>90</v>
      </c>
      <c r="V1347" s="20">
        <f t="shared" si="2759"/>
        <v>800</v>
      </c>
      <c r="W1347" s="20">
        <f t="shared" si="2759"/>
        <v>2000</v>
      </c>
      <c r="X1347" s="20">
        <f t="shared" si="2759"/>
        <v>7</v>
      </c>
      <c r="Y1347" s="20">
        <v>0</v>
      </c>
      <c r="Z1347" s="20">
        <f t="shared" si="2727"/>
        <v>0</v>
      </c>
      <c r="AA1347" s="20">
        <v>0</v>
      </c>
      <c r="AB1347" s="20">
        <v>0</v>
      </c>
      <c r="AC1347" s="20">
        <v>0</v>
      </c>
      <c r="AD1347" s="23">
        <f t="shared" ref="AD1347:AE1347" si="2760">AD1317</f>
        <v>50</v>
      </c>
      <c r="AE1347" s="23">
        <f t="shared" si="2760"/>
        <v>54</v>
      </c>
    </row>
    <row r="1348" spans="1:31">
      <c r="A1348" s="4">
        <v>13204</v>
      </c>
      <c r="B1348" s="4">
        <v>27</v>
      </c>
      <c r="C1348" s="19" t="s">
        <v>72</v>
      </c>
      <c r="D1348" s="44">
        <v>0</v>
      </c>
      <c r="E1348" s="18">
        <f t="shared" si="2725"/>
        <v>1276</v>
      </c>
      <c r="F1348" s="18">
        <v>0</v>
      </c>
      <c r="G1348" s="18">
        <v>0</v>
      </c>
      <c r="H1348" s="45">
        <v>0</v>
      </c>
      <c r="I1348" s="21">
        <f t="shared" si="2687"/>
        <v>385</v>
      </c>
      <c r="J1348" s="21">
        <f t="shared" si="2642"/>
        <v>26</v>
      </c>
      <c r="K1348" s="21">
        <v>0</v>
      </c>
      <c r="L1348" s="20">
        <v>6</v>
      </c>
      <c r="M1348" s="20">
        <v>0</v>
      </c>
      <c r="N1348" s="20">
        <f t="shared" si="2688"/>
        <v>13500</v>
      </c>
      <c r="O1348" s="19" t="s">
        <v>72</v>
      </c>
      <c r="P1348" s="20">
        <v>2332</v>
      </c>
      <c r="Q1348" s="20">
        <f t="shared" ref="Q1348:X1348" si="2761">Q1318</f>
        <v>1350</v>
      </c>
      <c r="R1348" s="20">
        <f t="shared" si="2761"/>
        <v>5400</v>
      </c>
      <c r="S1348" s="20">
        <f t="shared" si="2761"/>
        <v>9450</v>
      </c>
      <c r="T1348" s="20">
        <f t="shared" si="2761"/>
        <v>12150</v>
      </c>
      <c r="U1348" s="20">
        <f t="shared" si="2761"/>
        <v>80</v>
      </c>
      <c r="V1348" s="20">
        <f t="shared" si="2761"/>
        <v>700</v>
      </c>
      <c r="W1348" s="20">
        <f t="shared" si="2761"/>
        <v>800</v>
      </c>
      <c r="X1348" s="20">
        <f t="shared" si="2761"/>
        <v>7</v>
      </c>
      <c r="Y1348" s="20">
        <v>0</v>
      </c>
      <c r="Z1348" s="20">
        <f t="shared" si="2727"/>
        <v>0</v>
      </c>
      <c r="AA1348" s="20">
        <v>0</v>
      </c>
      <c r="AB1348" s="20">
        <v>0</v>
      </c>
      <c r="AC1348" s="20">
        <v>0</v>
      </c>
      <c r="AD1348" s="23">
        <f t="shared" ref="AD1348:AE1348" si="2762">AD1318</f>
        <v>52</v>
      </c>
      <c r="AE1348" s="23">
        <f t="shared" si="2762"/>
        <v>56</v>
      </c>
    </row>
    <row r="1349" spans="1:31">
      <c r="A1349" s="4">
        <v>13204</v>
      </c>
      <c r="B1349" s="4">
        <v>28</v>
      </c>
      <c r="C1349" s="19" t="s">
        <v>73</v>
      </c>
      <c r="D1349" s="44">
        <v>0</v>
      </c>
      <c r="E1349" s="18">
        <f t="shared" si="2725"/>
        <v>1382</v>
      </c>
      <c r="F1349" s="18">
        <v>0</v>
      </c>
      <c r="G1349" s="18">
        <v>0</v>
      </c>
      <c r="H1349" s="45">
        <v>0</v>
      </c>
      <c r="I1349" s="21">
        <f t="shared" si="2687"/>
        <v>385</v>
      </c>
      <c r="J1349" s="21">
        <f t="shared" si="2642"/>
        <v>27</v>
      </c>
      <c r="K1349" s="21">
        <v>0</v>
      </c>
      <c r="L1349" s="20">
        <v>6</v>
      </c>
      <c r="M1349" s="20">
        <v>0</v>
      </c>
      <c r="N1349" s="20">
        <f t="shared" si="2688"/>
        <v>14000</v>
      </c>
      <c r="O1349" s="19" t="s">
        <v>73</v>
      </c>
      <c r="P1349" s="20">
        <v>1487</v>
      </c>
      <c r="Q1349" s="20">
        <f t="shared" ref="Q1349:X1349" si="2763">Q1319</f>
        <v>1400</v>
      </c>
      <c r="R1349" s="20">
        <f t="shared" si="2763"/>
        <v>5600</v>
      </c>
      <c r="S1349" s="20">
        <f t="shared" si="2763"/>
        <v>9800</v>
      </c>
      <c r="T1349" s="20">
        <f t="shared" si="2763"/>
        <v>12600</v>
      </c>
      <c r="U1349" s="20">
        <f t="shared" si="2763"/>
        <v>80</v>
      </c>
      <c r="V1349" s="20">
        <f t="shared" si="2763"/>
        <v>500</v>
      </c>
      <c r="W1349" s="20">
        <f t="shared" si="2763"/>
        <v>600</v>
      </c>
      <c r="X1349" s="20">
        <f t="shared" si="2763"/>
        <v>7</v>
      </c>
      <c r="Y1349" s="20">
        <v>0</v>
      </c>
      <c r="Z1349" s="20">
        <f t="shared" si="2727"/>
        <v>270</v>
      </c>
      <c r="AA1349" s="20">
        <v>0</v>
      </c>
      <c r="AB1349" s="20">
        <v>0</v>
      </c>
      <c r="AC1349" s="20">
        <v>0</v>
      </c>
      <c r="AD1349" s="23">
        <f t="shared" ref="AD1349:AE1349" si="2764">AD1319</f>
        <v>54</v>
      </c>
      <c r="AE1349" s="23">
        <f t="shared" si="2764"/>
        <v>58</v>
      </c>
    </row>
    <row r="1350" spans="1:31">
      <c r="A1350" s="4">
        <v>13204</v>
      </c>
      <c r="B1350" s="4">
        <v>29</v>
      </c>
      <c r="C1350" s="19" t="s">
        <v>74</v>
      </c>
      <c r="D1350" s="44">
        <v>0</v>
      </c>
      <c r="E1350" s="18">
        <f t="shared" si="2725"/>
        <v>1497</v>
      </c>
      <c r="F1350" s="18">
        <v>0</v>
      </c>
      <c r="G1350" s="18">
        <v>0</v>
      </c>
      <c r="H1350" s="45">
        <v>0</v>
      </c>
      <c r="I1350" s="21">
        <f t="shared" si="2687"/>
        <v>440</v>
      </c>
      <c r="J1350" s="21">
        <f t="shared" si="2642"/>
        <v>28</v>
      </c>
      <c r="K1350" s="21">
        <v>0</v>
      </c>
      <c r="L1350" s="20">
        <v>6</v>
      </c>
      <c r="M1350" s="20">
        <v>0</v>
      </c>
      <c r="N1350" s="20">
        <f t="shared" si="2688"/>
        <v>14500</v>
      </c>
      <c r="O1350" s="19" t="s">
        <v>74</v>
      </c>
      <c r="P1350" s="20">
        <v>1518</v>
      </c>
      <c r="Q1350" s="20">
        <f t="shared" ref="Q1350:X1350" si="2765">Q1320</f>
        <v>1450</v>
      </c>
      <c r="R1350" s="20">
        <f t="shared" si="2765"/>
        <v>5800</v>
      </c>
      <c r="S1350" s="20">
        <f t="shared" si="2765"/>
        <v>10150</v>
      </c>
      <c r="T1350" s="20">
        <f t="shared" si="2765"/>
        <v>13050</v>
      </c>
      <c r="U1350" s="20">
        <f t="shared" si="2765"/>
        <v>80</v>
      </c>
      <c r="V1350" s="20">
        <f t="shared" si="2765"/>
        <v>600</v>
      </c>
      <c r="W1350" s="20">
        <f t="shared" si="2765"/>
        <v>700</v>
      </c>
      <c r="X1350" s="20">
        <f t="shared" si="2765"/>
        <v>8</v>
      </c>
      <c r="Y1350" s="20">
        <v>0</v>
      </c>
      <c r="Z1350" s="20">
        <f t="shared" si="2727"/>
        <v>0</v>
      </c>
      <c r="AA1350" s="20">
        <v>0</v>
      </c>
      <c r="AB1350" s="20">
        <v>0</v>
      </c>
      <c r="AC1350" s="20">
        <v>0</v>
      </c>
      <c r="AD1350" s="23">
        <f t="shared" ref="AD1350:AE1350" si="2766">AD1320</f>
        <v>56</v>
      </c>
      <c r="AE1350" s="23">
        <f t="shared" si="2766"/>
        <v>60</v>
      </c>
    </row>
    <row r="1351" spans="1:31">
      <c r="A1351" s="4">
        <v>13204</v>
      </c>
      <c r="B1351" s="4">
        <v>30</v>
      </c>
      <c r="C1351" s="19" t="s">
        <v>75</v>
      </c>
      <c r="D1351" s="44">
        <v>0</v>
      </c>
      <c r="E1351" s="18">
        <f t="shared" si="2725"/>
        <v>1620</v>
      </c>
      <c r="F1351" s="18">
        <v>0</v>
      </c>
      <c r="G1351" s="18">
        <v>0</v>
      </c>
      <c r="H1351" s="45">
        <v>0</v>
      </c>
      <c r="I1351" s="21">
        <f t="shared" si="2687"/>
        <v>440</v>
      </c>
      <c r="J1351" s="21">
        <f t="shared" si="2642"/>
        <v>29</v>
      </c>
      <c r="K1351" s="21">
        <v>0</v>
      </c>
      <c r="L1351" s="20">
        <v>6</v>
      </c>
      <c r="M1351" s="20">
        <v>0</v>
      </c>
      <c r="N1351" s="20">
        <f t="shared" si="2688"/>
        <v>15000</v>
      </c>
      <c r="O1351" s="19" t="s">
        <v>75</v>
      </c>
      <c r="P1351" s="20">
        <v>861</v>
      </c>
      <c r="Q1351" s="20">
        <f t="shared" ref="Q1351:X1351" si="2767">Q1321</f>
        <v>1500</v>
      </c>
      <c r="R1351" s="20">
        <f t="shared" si="2767"/>
        <v>6000</v>
      </c>
      <c r="S1351" s="20">
        <f t="shared" si="2767"/>
        <v>10500</v>
      </c>
      <c r="T1351" s="20">
        <f t="shared" si="2767"/>
        <v>13500</v>
      </c>
      <c r="U1351" s="20">
        <f t="shared" si="2767"/>
        <v>20</v>
      </c>
      <c r="V1351" s="20">
        <f t="shared" si="2767"/>
        <v>450</v>
      </c>
      <c r="W1351" s="20">
        <f t="shared" si="2767"/>
        <v>1000</v>
      </c>
      <c r="X1351" s="20">
        <f t="shared" si="2767"/>
        <v>8</v>
      </c>
      <c r="Y1351" s="20">
        <v>0</v>
      </c>
      <c r="Z1351" s="20">
        <f t="shared" si="2727"/>
        <v>0</v>
      </c>
      <c r="AA1351" s="20">
        <v>0</v>
      </c>
      <c r="AB1351" s="20">
        <v>0</v>
      </c>
      <c r="AC1351" s="20">
        <v>0</v>
      </c>
      <c r="AD1351" s="23">
        <f t="shared" ref="AD1351:AE1351" si="2768">AD1321</f>
        <v>58</v>
      </c>
      <c r="AE1351" s="23">
        <f t="shared" si="2768"/>
        <v>62</v>
      </c>
    </row>
    <row r="1352" spans="1:31">
      <c r="A1352" s="8">
        <v>14100</v>
      </c>
      <c r="B1352" s="8">
        <v>1</v>
      </c>
      <c r="C1352" s="19" t="s">
        <v>66</v>
      </c>
      <c r="D1352" s="44">
        <v>0</v>
      </c>
      <c r="E1352" s="18">
        <v>0</v>
      </c>
      <c r="F1352" s="18">
        <f>F1381/10</f>
        <v>63</v>
      </c>
      <c r="G1352" s="18">
        <v>0</v>
      </c>
      <c r="H1352" s="45">
        <v>0</v>
      </c>
      <c r="I1352" s="21">
        <f t="shared" si="2687"/>
        <v>55</v>
      </c>
      <c r="J1352" s="21">
        <f t="shared" si="2642"/>
        <v>0</v>
      </c>
      <c r="K1352" s="21">
        <v>0</v>
      </c>
      <c r="L1352" s="20">
        <v>45</v>
      </c>
      <c r="M1352" s="20">
        <v>0</v>
      </c>
      <c r="N1352" s="20">
        <f t="shared" si="2688"/>
        <v>10</v>
      </c>
      <c r="O1352" s="19" t="s">
        <v>66</v>
      </c>
      <c r="P1352" s="20">
        <v>9400</v>
      </c>
      <c r="Q1352" s="20">
        <f t="shared" ref="Q1352:X1352" si="2769">Q1322</f>
        <v>1</v>
      </c>
      <c r="R1352" s="20">
        <f t="shared" si="2769"/>
        <v>4</v>
      </c>
      <c r="S1352" s="20">
        <f t="shared" si="2769"/>
        <v>7</v>
      </c>
      <c r="T1352" s="20">
        <f t="shared" si="2769"/>
        <v>9</v>
      </c>
      <c r="U1352" s="20">
        <f t="shared" si="2769"/>
        <v>9400</v>
      </c>
      <c r="V1352" s="20">
        <f t="shared" si="2769"/>
        <v>9400</v>
      </c>
      <c r="W1352" s="20">
        <f t="shared" si="2769"/>
        <v>9400</v>
      </c>
      <c r="X1352" s="20">
        <f t="shared" si="2769"/>
        <v>1</v>
      </c>
      <c r="Y1352" s="20">
        <v>0</v>
      </c>
      <c r="Z1352" s="22">
        <v>0</v>
      </c>
      <c r="AA1352" s="20">
        <f>INT(AA602*4/3)</f>
        <v>0</v>
      </c>
      <c r="AB1352" s="20">
        <v>0</v>
      </c>
      <c r="AC1352" s="20">
        <v>0</v>
      </c>
      <c r="AD1352" s="23">
        <f t="shared" ref="AD1352:AE1352" si="2770">AD1322</f>
        <v>1</v>
      </c>
      <c r="AE1352" s="23">
        <f t="shared" si="2770"/>
        <v>3</v>
      </c>
    </row>
    <row r="1353" spans="1:31">
      <c r="A1353" s="4">
        <v>14100</v>
      </c>
      <c r="B1353" s="4">
        <v>2</v>
      </c>
      <c r="C1353" s="19" t="s">
        <v>67</v>
      </c>
      <c r="D1353" s="44">
        <v>0</v>
      </c>
      <c r="E1353" s="18">
        <v>0</v>
      </c>
      <c r="F1353" s="18">
        <f>ROUND(POWER(POWER(F$1381/F$1352,B1353-1),1/29)*F$1352,0)</f>
        <v>68</v>
      </c>
      <c r="G1353" s="18">
        <v>0</v>
      </c>
      <c r="H1353" s="45">
        <v>0</v>
      </c>
      <c r="I1353" s="21">
        <f t="shared" si="2687"/>
        <v>55</v>
      </c>
      <c r="J1353" s="21">
        <f t="shared" si="2642"/>
        <v>1</v>
      </c>
      <c r="K1353" s="21">
        <v>0</v>
      </c>
      <c r="L1353" s="20">
        <v>40</v>
      </c>
      <c r="M1353" s="20">
        <v>0</v>
      </c>
      <c r="N1353" s="20">
        <f t="shared" si="2688"/>
        <v>20</v>
      </c>
      <c r="O1353" s="19" t="s">
        <v>67</v>
      </c>
      <c r="P1353" s="20">
        <v>9100</v>
      </c>
      <c r="Q1353" s="20">
        <f t="shared" ref="Q1353:X1353" si="2771">Q1323</f>
        <v>2</v>
      </c>
      <c r="R1353" s="20">
        <f t="shared" si="2771"/>
        <v>8</v>
      </c>
      <c r="S1353" s="20">
        <f t="shared" si="2771"/>
        <v>14</v>
      </c>
      <c r="T1353" s="20">
        <f t="shared" si="2771"/>
        <v>18</v>
      </c>
      <c r="U1353" s="20">
        <f t="shared" si="2771"/>
        <v>4000</v>
      </c>
      <c r="V1353" s="20">
        <f t="shared" si="2771"/>
        <v>8000</v>
      </c>
      <c r="W1353" s="20">
        <f t="shared" si="2771"/>
        <v>8000</v>
      </c>
      <c r="X1353" s="20">
        <f t="shared" si="2771"/>
        <v>1</v>
      </c>
      <c r="Y1353" s="20">
        <v>0</v>
      </c>
      <c r="Z1353" s="22">
        <v>0</v>
      </c>
      <c r="AA1353" s="20">
        <f t="shared" ref="AA1353:AA1416" si="2772">INT(AA603*4/3)</f>
        <v>0</v>
      </c>
      <c r="AB1353" s="20">
        <v>0</v>
      </c>
      <c r="AC1353" s="20">
        <v>0</v>
      </c>
      <c r="AD1353" s="23">
        <f t="shared" ref="AD1353:AE1353" si="2773">AD1323</f>
        <v>2</v>
      </c>
      <c r="AE1353" s="23">
        <f t="shared" si="2773"/>
        <v>5</v>
      </c>
    </row>
    <row r="1354" spans="1:31">
      <c r="A1354" s="4">
        <v>14100</v>
      </c>
      <c r="B1354" s="4">
        <v>3</v>
      </c>
      <c r="C1354" s="19" t="s">
        <v>68</v>
      </c>
      <c r="D1354" s="44">
        <v>0</v>
      </c>
      <c r="E1354" s="18">
        <v>0</v>
      </c>
      <c r="F1354" s="18">
        <f t="shared" ref="F1354:F1380" si="2774">ROUND(POWER(POWER(F$1381/F$1352,B1354-1),1/29)*F$1352,0)</f>
        <v>74</v>
      </c>
      <c r="G1354" s="18">
        <v>0</v>
      </c>
      <c r="H1354" s="45">
        <v>0</v>
      </c>
      <c r="I1354" s="21">
        <f t="shared" si="2687"/>
        <v>55</v>
      </c>
      <c r="J1354" s="21">
        <f t="shared" si="2642"/>
        <v>2</v>
      </c>
      <c r="K1354" s="21">
        <v>0</v>
      </c>
      <c r="L1354" s="20">
        <v>35</v>
      </c>
      <c r="M1354" s="20">
        <v>0</v>
      </c>
      <c r="N1354" s="20">
        <f t="shared" si="2688"/>
        <v>40</v>
      </c>
      <c r="O1354" s="19" t="s">
        <v>68</v>
      </c>
      <c r="P1354" s="20">
        <v>8600</v>
      </c>
      <c r="Q1354" s="20">
        <f t="shared" ref="Q1354:X1354" si="2775">Q1324</f>
        <v>4</v>
      </c>
      <c r="R1354" s="20">
        <f t="shared" si="2775"/>
        <v>16</v>
      </c>
      <c r="S1354" s="20">
        <f t="shared" si="2775"/>
        <v>28</v>
      </c>
      <c r="T1354" s="20">
        <f t="shared" si="2775"/>
        <v>36</v>
      </c>
      <c r="U1354" s="20">
        <f t="shared" si="2775"/>
        <v>1600</v>
      </c>
      <c r="V1354" s="20">
        <f t="shared" si="2775"/>
        <v>5000</v>
      </c>
      <c r="W1354" s="20">
        <f t="shared" si="2775"/>
        <v>6000</v>
      </c>
      <c r="X1354" s="20">
        <f t="shared" si="2775"/>
        <v>1</v>
      </c>
      <c r="Y1354" s="20">
        <v>0</v>
      </c>
      <c r="Z1354" s="22">
        <v>0</v>
      </c>
      <c r="AA1354" s="20">
        <f t="shared" si="2772"/>
        <v>0</v>
      </c>
      <c r="AB1354" s="20">
        <v>0</v>
      </c>
      <c r="AC1354" s="20">
        <v>0</v>
      </c>
      <c r="AD1354" s="23">
        <f t="shared" ref="AD1354:AE1354" si="2776">AD1324</f>
        <v>4</v>
      </c>
      <c r="AE1354" s="23">
        <f t="shared" si="2776"/>
        <v>8</v>
      </c>
    </row>
    <row r="1355" spans="1:31">
      <c r="A1355" s="4">
        <v>14100</v>
      </c>
      <c r="B1355" s="4">
        <v>4</v>
      </c>
      <c r="C1355" s="19" t="s">
        <v>69</v>
      </c>
      <c r="D1355" s="44">
        <v>0</v>
      </c>
      <c r="E1355" s="18">
        <v>0</v>
      </c>
      <c r="F1355" s="18">
        <f t="shared" si="2774"/>
        <v>80</v>
      </c>
      <c r="G1355" s="18">
        <v>0</v>
      </c>
      <c r="H1355" s="45">
        <v>0</v>
      </c>
      <c r="I1355" s="21">
        <f t="shared" si="2687"/>
        <v>55</v>
      </c>
      <c r="J1355" s="21">
        <f t="shared" ref="J1355:J1418" si="2777">B1355-1</f>
        <v>3</v>
      </c>
      <c r="K1355" s="21">
        <v>0</v>
      </c>
      <c r="L1355" s="20">
        <v>30</v>
      </c>
      <c r="M1355" s="20">
        <v>0</v>
      </c>
      <c r="N1355" s="20">
        <f t="shared" si="2688"/>
        <v>100</v>
      </c>
      <c r="O1355" s="19" t="s">
        <v>69</v>
      </c>
      <c r="P1355" s="20">
        <v>6400</v>
      </c>
      <c r="Q1355" s="20">
        <f t="shared" ref="Q1355:X1355" si="2778">Q1325</f>
        <v>10</v>
      </c>
      <c r="R1355" s="20">
        <f t="shared" si="2778"/>
        <v>40</v>
      </c>
      <c r="S1355" s="20">
        <f t="shared" si="2778"/>
        <v>70</v>
      </c>
      <c r="T1355" s="20">
        <f t="shared" si="2778"/>
        <v>90</v>
      </c>
      <c r="U1355" s="20">
        <f t="shared" si="2778"/>
        <v>900</v>
      </c>
      <c r="V1355" s="20">
        <f t="shared" si="2778"/>
        <v>2000</v>
      </c>
      <c r="W1355" s="20">
        <f t="shared" si="2778"/>
        <v>8000</v>
      </c>
      <c r="X1355" s="20">
        <f t="shared" si="2778"/>
        <v>1</v>
      </c>
      <c r="Y1355" s="20">
        <v>0</v>
      </c>
      <c r="Z1355" s="22">
        <v>0</v>
      </c>
      <c r="AA1355" s="20">
        <f t="shared" si="2772"/>
        <v>0</v>
      </c>
      <c r="AB1355" s="20">
        <v>0</v>
      </c>
      <c r="AC1355" s="20">
        <v>0</v>
      </c>
      <c r="AD1355" s="23">
        <f t="shared" ref="AD1355:AE1355" si="2779">AD1325</f>
        <v>6</v>
      </c>
      <c r="AE1355" s="23">
        <f t="shared" si="2779"/>
        <v>10</v>
      </c>
    </row>
    <row r="1356" spans="1:31">
      <c r="A1356" s="4">
        <v>14100</v>
      </c>
      <c r="B1356" s="4">
        <v>5</v>
      </c>
      <c r="C1356" s="19" t="s">
        <v>70</v>
      </c>
      <c r="D1356" s="44">
        <v>0</v>
      </c>
      <c r="E1356" s="18">
        <v>0</v>
      </c>
      <c r="F1356" s="18">
        <f t="shared" si="2774"/>
        <v>87</v>
      </c>
      <c r="G1356" s="18">
        <v>0</v>
      </c>
      <c r="H1356" s="45">
        <v>0</v>
      </c>
      <c r="I1356" s="21">
        <f t="shared" si="2687"/>
        <v>110</v>
      </c>
      <c r="J1356" s="21">
        <f t="shared" si="2777"/>
        <v>4</v>
      </c>
      <c r="K1356" s="21">
        <v>0</v>
      </c>
      <c r="L1356" s="20">
        <v>25</v>
      </c>
      <c r="M1356" s="20">
        <v>0</v>
      </c>
      <c r="N1356" s="20">
        <f t="shared" si="2688"/>
        <v>200</v>
      </c>
      <c r="O1356" s="19" t="s">
        <v>70</v>
      </c>
      <c r="P1356" s="20">
        <v>3100</v>
      </c>
      <c r="Q1356" s="20">
        <f t="shared" ref="Q1356:X1356" si="2780">Q1326</f>
        <v>20</v>
      </c>
      <c r="R1356" s="20">
        <f t="shared" si="2780"/>
        <v>80</v>
      </c>
      <c r="S1356" s="20">
        <f t="shared" si="2780"/>
        <v>140</v>
      </c>
      <c r="T1356" s="20">
        <f t="shared" si="2780"/>
        <v>180</v>
      </c>
      <c r="U1356" s="20">
        <f t="shared" si="2780"/>
        <v>1000</v>
      </c>
      <c r="V1356" s="20">
        <f t="shared" si="2780"/>
        <v>2000</v>
      </c>
      <c r="W1356" s="20">
        <f t="shared" si="2780"/>
        <v>2000</v>
      </c>
      <c r="X1356" s="20">
        <f t="shared" si="2780"/>
        <v>2</v>
      </c>
      <c r="Y1356" s="20">
        <v>0</v>
      </c>
      <c r="Z1356" s="22">
        <v>0</v>
      </c>
      <c r="AA1356" s="20">
        <f t="shared" si="2772"/>
        <v>0</v>
      </c>
      <c r="AB1356" s="20">
        <v>0</v>
      </c>
      <c r="AC1356" s="20">
        <v>0</v>
      </c>
      <c r="AD1356" s="23">
        <f t="shared" ref="AD1356:AE1356" si="2781">AD1326</f>
        <v>8</v>
      </c>
      <c r="AE1356" s="23">
        <f t="shared" si="2781"/>
        <v>12</v>
      </c>
    </row>
    <row r="1357" spans="1:31">
      <c r="A1357" s="4">
        <v>14100</v>
      </c>
      <c r="B1357" s="4">
        <v>6</v>
      </c>
      <c r="C1357" s="19" t="s">
        <v>71</v>
      </c>
      <c r="D1357" s="44">
        <v>0</v>
      </c>
      <c r="E1357" s="18">
        <v>0</v>
      </c>
      <c r="F1357" s="18">
        <f t="shared" si="2774"/>
        <v>94</v>
      </c>
      <c r="G1357" s="18">
        <v>0</v>
      </c>
      <c r="H1357" s="45">
        <v>0</v>
      </c>
      <c r="I1357" s="21">
        <f t="shared" si="2687"/>
        <v>110</v>
      </c>
      <c r="J1357" s="21">
        <f t="shared" si="2777"/>
        <v>5</v>
      </c>
      <c r="K1357" s="21">
        <v>0</v>
      </c>
      <c r="L1357" s="20">
        <v>20</v>
      </c>
      <c r="M1357" s="20">
        <v>0</v>
      </c>
      <c r="N1357" s="20">
        <f t="shared" si="2688"/>
        <v>500</v>
      </c>
      <c r="O1357" s="19" t="s">
        <v>71</v>
      </c>
      <c r="P1357" s="20">
        <v>1777</v>
      </c>
      <c r="Q1357" s="20">
        <f t="shared" ref="Q1357:X1357" si="2782">Q1327</f>
        <v>50</v>
      </c>
      <c r="R1357" s="20">
        <f t="shared" si="2782"/>
        <v>200</v>
      </c>
      <c r="S1357" s="20">
        <f t="shared" si="2782"/>
        <v>350</v>
      </c>
      <c r="T1357" s="20">
        <f t="shared" si="2782"/>
        <v>450</v>
      </c>
      <c r="U1357" s="20">
        <f t="shared" si="2782"/>
        <v>800</v>
      </c>
      <c r="V1357" s="20">
        <f t="shared" si="2782"/>
        <v>800</v>
      </c>
      <c r="W1357" s="20">
        <f t="shared" si="2782"/>
        <v>600</v>
      </c>
      <c r="X1357" s="20">
        <f t="shared" si="2782"/>
        <v>2</v>
      </c>
      <c r="Y1357" s="20">
        <v>0</v>
      </c>
      <c r="Z1357" s="22">
        <v>0</v>
      </c>
      <c r="AA1357" s="20">
        <f t="shared" si="2772"/>
        <v>0</v>
      </c>
      <c r="AB1357" s="20">
        <v>0</v>
      </c>
      <c r="AC1357" s="20">
        <v>0</v>
      </c>
      <c r="AD1357" s="23">
        <f t="shared" ref="AD1357:AE1357" si="2783">AD1327</f>
        <v>10</v>
      </c>
      <c r="AE1357" s="23">
        <f t="shared" si="2783"/>
        <v>14</v>
      </c>
    </row>
    <row r="1358" spans="1:31">
      <c r="A1358" s="4">
        <v>14100</v>
      </c>
      <c r="B1358" s="4">
        <v>7</v>
      </c>
      <c r="C1358" s="19" t="s">
        <v>72</v>
      </c>
      <c r="D1358" s="44">
        <v>0</v>
      </c>
      <c r="E1358" s="18">
        <v>0</v>
      </c>
      <c r="F1358" s="18">
        <f t="shared" si="2774"/>
        <v>101</v>
      </c>
      <c r="G1358" s="18">
        <v>0</v>
      </c>
      <c r="H1358" s="45">
        <v>0</v>
      </c>
      <c r="I1358" s="21">
        <f t="shared" si="2687"/>
        <v>110</v>
      </c>
      <c r="J1358" s="21">
        <f t="shared" si="2777"/>
        <v>6</v>
      </c>
      <c r="K1358" s="21">
        <v>0</v>
      </c>
      <c r="L1358" s="20">
        <v>16</v>
      </c>
      <c r="M1358" s="20">
        <v>0</v>
      </c>
      <c r="N1358" s="20">
        <f t="shared" si="2688"/>
        <v>700</v>
      </c>
      <c r="O1358" s="19" t="s">
        <v>72</v>
      </c>
      <c r="P1358" s="20">
        <v>2332</v>
      </c>
      <c r="Q1358" s="20">
        <f t="shared" ref="Q1358:X1358" si="2784">Q1328</f>
        <v>70</v>
      </c>
      <c r="R1358" s="20">
        <f t="shared" si="2784"/>
        <v>280</v>
      </c>
      <c r="S1358" s="20">
        <f t="shared" si="2784"/>
        <v>489.99999999999994</v>
      </c>
      <c r="T1358" s="20">
        <f t="shared" si="2784"/>
        <v>630</v>
      </c>
      <c r="U1358" s="20">
        <f t="shared" si="2784"/>
        <v>650</v>
      </c>
      <c r="V1358" s="20">
        <f t="shared" si="2784"/>
        <v>800</v>
      </c>
      <c r="W1358" s="20">
        <f t="shared" si="2784"/>
        <v>300</v>
      </c>
      <c r="X1358" s="20">
        <f t="shared" si="2784"/>
        <v>2</v>
      </c>
      <c r="Y1358" s="20">
        <v>0</v>
      </c>
      <c r="Z1358" s="22">
        <v>0</v>
      </c>
      <c r="AA1358" s="20">
        <f t="shared" si="2772"/>
        <v>0</v>
      </c>
      <c r="AB1358" s="20">
        <v>0</v>
      </c>
      <c r="AC1358" s="20">
        <v>0</v>
      </c>
      <c r="AD1358" s="23">
        <f t="shared" ref="AD1358:AE1358" si="2785">AD1328</f>
        <v>12</v>
      </c>
      <c r="AE1358" s="23">
        <f t="shared" si="2785"/>
        <v>16</v>
      </c>
    </row>
    <row r="1359" spans="1:31">
      <c r="A1359" s="4">
        <v>14100</v>
      </c>
      <c r="B1359" s="4">
        <v>8</v>
      </c>
      <c r="C1359" s="19" t="s">
        <v>73</v>
      </c>
      <c r="D1359" s="44">
        <v>0</v>
      </c>
      <c r="E1359" s="18">
        <v>0</v>
      </c>
      <c r="F1359" s="18">
        <f t="shared" si="2774"/>
        <v>110</v>
      </c>
      <c r="G1359" s="18">
        <v>0</v>
      </c>
      <c r="H1359" s="45">
        <v>0</v>
      </c>
      <c r="I1359" s="21">
        <f t="shared" si="2687"/>
        <v>110</v>
      </c>
      <c r="J1359" s="21">
        <f t="shared" si="2777"/>
        <v>7</v>
      </c>
      <c r="K1359" s="21">
        <v>0</v>
      </c>
      <c r="L1359" s="20">
        <v>12</v>
      </c>
      <c r="M1359" s="20">
        <v>0</v>
      </c>
      <c r="N1359" s="20">
        <f t="shared" si="2688"/>
        <v>800</v>
      </c>
      <c r="O1359" s="19" t="s">
        <v>73</v>
      </c>
      <c r="P1359" s="20">
        <v>1487</v>
      </c>
      <c r="Q1359" s="20">
        <f t="shared" ref="Q1359:X1359" si="2786">Q1329</f>
        <v>80</v>
      </c>
      <c r="R1359" s="20">
        <f t="shared" si="2786"/>
        <v>320</v>
      </c>
      <c r="S1359" s="20">
        <f t="shared" si="2786"/>
        <v>560</v>
      </c>
      <c r="T1359" s="20">
        <f t="shared" si="2786"/>
        <v>720</v>
      </c>
      <c r="U1359" s="20">
        <f t="shared" si="2786"/>
        <v>200</v>
      </c>
      <c r="V1359" s="20">
        <f t="shared" si="2786"/>
        <v>2000</v>
      </c>
      <c r="W1359" s="20">
        <f t="shared" si="2786"/>
        <v>1000</v>
      </c>
      <c r="X1359" s="20">
        <f t="shared" si="2786"/>
        <v>2</v>
      </c>
      <c r="Y1359" s="20">
        <v>0</v>
      </c>
      <c r="Z1359" s="22">
        <v>0</v>
      </c>
      <c r="AA1359" s="20">
        <f t="shared" si="2772"/>
        <v>29</v>
      </c>
      <c r="AB1359" s="20">
        <v>0</v>
      </c>
      <c r="AC1359" s="20">
        <v>0</v>
      </c>
      <c r="AD1359" s="23">
        <f t="shared" ref="AD1359:AE1359" si="2787">AD1329</f>
        <v>14</v>
      </c>
      <c r="AE1359" s="23">
        <f t="shared" si="2787"/>
        <v>18</v>
      </c>
    </row>
    <row r="1360" spans="1:31">
      <c r="A1360" s="4">
        <v>14100</v>
      </c>
      <c r="B1360" s="4">
        <v>9</v>
      </c>
      <c r="C1360" s="19" t="s">
        <v>74</v>
      </c>
      <c r="D1360" s="44">
        <v>0</v>
      </c>
      <c r="E1360" s="18">
        <v>0</v>
      </c>
      <c r="F1360" s="18">
        <f t="shared" si="2774"/>
        <v>119</v>
      </c>
      <c r="G1360" s="18">
        <v>0</v>
      </c>
      <c r="H1360" s="45">
        <v>0</v>
      </c>
      <c r="I1360" s="21">
        <f t="shared" si="2687"/>
        <v>165</v>
      </c>
      <c r="J1360" s="21">
        <f t="shared" si="2777"/>
        <v>8</v>
      </c>
      <c r="K1360" s="21">
        <v>0</v>
      </c>
      <c r="L1360" s="20">
        <v>8</v>
      </c>
      <c r="M1360" s="20">
        <v>0</v>
      </c>
      <c r="N1360" s="20">
        <f t="shared" si="2688"/>
        <v>900</v>
      </c>
      <c r="O1360" s="19" t="s">
        <v>74</v>
      </c>
      <c r="P1360" s="20">
        <v>1518</v>
      </c>
      <c r="Q1360" s="20">
        <f t="shared" ref="Q1360:X1360" si="2788">Q1330</f>
        <v>90</v>
      </c>
      <c r="R1360" s="20">
        <f t="shared" si="2788"/>
        <v>360</v>
      </c>
      <c r="S1360" s="20">
        <f t="shared" si="2788"/>
        <v>630</v>
      </c>
      <c r="T1360" s="20">
        <f t="shared" si="2788"/>
        <v>810</v>
      </c>
      <c r="U1360" s="20">
        <f t="shared" si="2788"/>
        <v>120</v>
      </c>
      <c r="V1360" s="20">
        <f t="shared" si="2788"/>
        <v>1500</v>
      </c>
      <c r="W1360" s="20">
        <f t="shared" si="2788"/>
        <v>1000</v>
      </c>
      <c r="X1360" s="20">
        <f t="shared" si="2788"/>
        <v>3</v>
      </c>
      <c r="Y1360" s="20">
        <v>0</v>
      </c>
      <c r="Z1360" s="22">
        <v>0</v>
      </c>
      <c r="AA1360" s="20">
        <f t="shared" si="2772"/>
        <v>0</v>
      </c>
      <c r="AB1360" s="20">
        <v>0</v>
      </c>
      <c r="AC1360" s="20">
        <v>0</v>
      </c>
      <c r="AD1360" s="23">
        <f t="shared" ref="AD1360:AE1360" si="2789">AD1330</f>
        <v>16</v>
      </c>
      <c r="AE1360" s="23">
        <f t="shared" si="2789"/>
        <v>20</v>
      </c>
    </row>
    <row r="1361" spans="1:31">
      <c r="A1361" s="4">
        <v>14100</v>
      </c>
      <c r="B1361" s="4">
        <v>10</v>
      </c>
      <c r="C1361" s="19" t="s">
        <v>75</v>
      </c>
      <c r="D1361" s="44">
        <v>0</v>
      </c>
      <c r="E1361" s="18">
        <v>0</v>
      </c>
      <c r="F1361" s="18">
        <f t="shared" si="2774"/>
        <v>129</v>
      </c>
      <c r="G1361" s="18">
        <v>0</v>
      </c>
      <c r="H1361" s="45">
        <v>0</v>
      </c>
      <c r="I1361" s="21">
        <f t="shared" si="2687"/>
        <v>165</v>
      </c>
      <c r="J1361" s="21">
        <f t="shared" si="2777"/>
        <v>9</v>
      </c>
      <c r="K1361" s="21">
        <v>0</v>
      </c>
      <c r="L1361" s="20">
        <v>6</v>
      </c>
      <c r="M1361" s="20">
        <v>0</v>
      </c>
      <c r="N1361" s="20">
        <f t="shared" si="2688"/>
        <v>2000</v>
      </c>
      <c r="O1361" s="19" t="s">
        <v>75</v>
      </c>
      <c r="P1361" s="20">
        <v>861</v>
      </c>
      <c r="Q1361" s="20">
        <f t="shared" ref="Q1361:X1361" si="2790">Q1331</f>
        <v>200</v>
      </c>
      <c r="R1361" s="20">
        <f t="shared" si="2790"/>
        <v>800</v>
      </c>
      <c r="S1361" s="20">
        <f t="shared" si="2790"/>
        <v>1400</v>
      </c>
      <c r="T1361" s="20">
        <f t="shared" si="2790"/>
        <v>1800</v>
      </c>
      <c r="U1361" s="20">
        <f t="shared" si="2790"/>
        <v>150</v>
      </c>
      <c r="V1361" s="20">
        <f t="shared" si="2790"/>
        <v>5000</v>
      </c>
      <c r="W1361" s="20">
        <f t="shared" si="2790"/>
        <v>800</v>
      </c>
      <c r="X1361" s="20">
        <f t="shared" si="2790"/>
        <v>3</v>
      </c>
      <c r="Y1361" s="20">
        <v>0</v>
      </c>
      <c r="Z1361" s="22">
        <v>0</v>
      </c>
      <c r="AA1361" s="20">
        <f t="shared" si="2772"/>
        <v>0</v>
      </c>
      <c r="AB1361" s="20">
        <v>0</v>
      </c>
      <c r="AC1361" s="20">
        <v>0</v>
      </c>
      <c r="AD1361" s="23">
        <f t="shared" ref="AD1361:AE1361" si="2791">AD1331</f>
        <v>18</v>
      </c>
      <c r="AE1361" s="23">
        <f t="shared" si="2791"/>
        <v>22</v>
      </c>
    </row>
    <row r="1362" spans="1:31">
      <c r="A1362" s="4">
        <v>14100</v>
      </c>
      <c r="B1362" s="4">
        <v>11</v>
      </c>
      <c r="C1362" s="19" t="s">
        <v>66</v>
      </c>
      <c r="D1362" s="44">
        <v>0</v>
      </c>
      <c r="E1362" s="18">
        <v>0</v>
      </c>
      <c r="F1362" s="18">
        <f t="shared" si="2774"/>
        <v>139</v>
      </c>
      <c r="G1362" s="18">
        <v>0</v>
      </c>
      <c r="H1362" s="45">
        <v>0</v>
      </c>
      <c r="I1362" s="21">
        <f t="shared" si="2687"/>
        <v>165</v>
      </c>
      <c r="J1362" s="21">
        <f t="shared" si="2777"/>
        <v>10</v>
      </c>
      <c r="K1362" s="21">
        <v>0</v>
      </c>
      <c r="L1362" s="20">
        <v>6</v>
      </c>
      <c r="M1362" s="20">
        <v>0</v>
      </c>
      <c r="N1362" s="20">
        <f t="shared" si="2688"/>
        <v>2200</v>
      </c>
      <c r="O1362" s="19" t="s">
        <v>66</v>
      </c>
      <c r="P1362" s="20">
        <v>9400</v>
      </c>
      <c r="Q1362" s="20">
        <f t="shared" ref="Q1362:X1362" si="2792">Q1332</f>
        <v>220</v>
      </c>
      <c r="R1362" s="20">
        <f t="shared" si="2792"/>
        <v>880</v>
      </c>
      <c r="S1362" s="20">
        <f t="shared" si="2792"/>
        <v>1540</v>
      </c>
      <c r="T1362" s="20">
        <f t="shared" si="2792"/>
        <v>1980</v>
      </c>
      <c r="U1362" s="20">
        <f t="shared" si="2792"/>
        <v>100</v>
      </c>
      <c r="V1362" s="20">
        <f t="shared" si="2792"/>
        <v>800</v>
      </c>
      <c r="W1362" s="20">
        <f t="shared" si="2792"/>
        <v>600</v>
      </c>
      <c r="X1362" s="20">
        <f t="shared" si="2792"/>
        <v>3</v>
      </c>
      <c r="Y1362" s="20">
        <v>0</v>
      </c>
      <c r="Z1362" s="22">
        <v>0</v>
      </c>
      <c r="AA1362" s="20">
        <f t="shared" si="2772"/>
        <v>0</v>
      </c>
      <c r="AB1362" s="20">
        <v>0</v>
      </c>
      <c r="AC1362" s="20">
        <v>0</v>
      </c>
      <c r="AD1362" s="23">
        <f t="shared" ref="AD1362:AE1362" si="2793">AD1332</f>
        <v>20</v>
      </c>
      <c r="AE1362" s="23">
        <f t="shared" si="2793"/>
        <v>24</v>
      </c>
    </row>
    <row r="1363" spans="1:31">
      <c r="A1363" s="4">
        <v>14100</v>
      </c>
      <c r="B1363" s="4">
        <v>12</v>
      </c>
      <c r="C1363" s="19" t="s">
        <v>67</v>
      </c>
      <c r="D1363" s="44">
        <v>0</v>
      </c>
      <c r="E1363" s="18">
        <v>0</v>
      </c>
      <c r="F1363" s="18">
        <f t="shared" si="2774"/>
        <v>151</v>
      </c>
      <c r="G1363" s="18">
        <v>0</v>
      </c>
      <c r="H1363" s="45">
        <v>0</v>
      </c>
      <c r="I1363" s="21">
        <f t="shared" si="2687"/>
        <v>165</v>
      </c>
      <c r="J1363" s="21">
        <f t="shared" si="2777"/>
        <v>11</v>
      </c>
      <c r="K1363" s="21">
        <v>0</v>
      </c>
      <c r="L1363" s="20">
        <v>6</v>
      </c>
      <c r="M1363" s="20">
        <v>0</v>
      </c>
      <c r="N1363" s="20">
        <f t="shared" si="2688"/>
        <v>2400</v>
      </c>
      <c r="O1363" s="19" t="s">
        <v>67</v>
      </c>
      <c r="P1363" s="20">
        <v>9100</v>
      </c>
      <c r="Q1363" s="20">
        <f t="shared" ref="Q1363:X1363" si="2794">Q1333</f>
        <v>240</v>
      </c>
      <c r="R1363" s="20">
        <f t="shared" si="2794"/>
        <v>960</v>
      </c>
      <c r="S1363" s="20">
        <f t="shared" si="2794"/>
        <v>1680</v>
      </c>
      <c r="T1363" s="20">
        <f t="shared" si="2794"/>
        <v>2160</v>
      </c>
      <c r="U1363" s="20">
        <f t="shared" si="2794"/>
        <v>150</v>
      </c>
      <c r="V1363" s="20">
        <f t="shared" si="2794"/>
        <v>700</v>
      </c>
      <c r="W1363" s="20">
        <f t="shared" si="2794"/>
        <v>900</v>
      </c>
      <c r="X1363" s="20">
        <f t="shared" si="2794"/>
        <v>3</v>
      </c>
      <c r="Y1363" s="20">
        <v>0</v>
      </c>
      <c r="Z1363" s="22">
        <v>0</v>
      </c>
      <c r="AA1363" s="20">
        <f t="shared" si="2772"/>
        <v>0</v>
      </c>
      <c r="AB1363" s="20">
        <v>0</v>
      </c>
      <c r="AC1363" s="20">
        <v>0</v>
      </c>
      <c r="AD1363" s="23">
        <f t="shared" ref="AD1363:AE1363" si="2795">AD1333</f>
        <v>22</v>
      </c>
      <c r="AE1363" s="23">
        <f t="shared" si="2795"/>
        <v>26</v>
      </c>
    </row>
    <row r="1364" spans="1:31">
      <c r="A1364" s="4">
        <v>14100</v>
      </c>
      <c r="B1364" s="4">
        <v>13</v>
      </c>
      <c r="C1364" s="19" t="s">
        <v>68</v>
      </c>
      <c r="D1364" s="44">
        <v>0</v>
      </c>
      <c r="E1364" s="18">
        <v>0</v>
      </c>
      <c r="F1364" s="18">
        <f t="shared" si="2774"/>
        <v>163</v>
      </c>
      <c r="G1364" s="18">
        <v>0</v>
      </c>
      <c r="H1364" s="45">
        <v>0</v>
      </c>
      <c r="I1364" s="21">
        <f t="shared" si="2687"/>
        <v>220</v>
      </c>
      <c r="J1364" s="21">
        <f t="shared" si="2777"/>
        <v>12</v>
      </c>
      <c r="K1364" s="21">
        <v>0</v>
      </c>
      <c r="L1364" s="20">
        <v>6</v>
      </c>
      <c r="M1364" s="20">
        <v>0</v>
      </c>
      <c r="N1364" s="20">
        <f t="shared" si="2688"/>
        <v>2600</v>
      </c>
      <c r="O1364" s="19" t="s">
        <v>68</v>
      </c>
      <c r="P1364" s="20">
        <v>8600</v>
      </c>
      <c r="Q1364" s="20">
        <f t="shared" ref="Q1364:X1364" si="2796">Q1334</f>
        <v>260</v>
      </c>
      <c r="R1364" s="20">
        <f t="shared" si="2796"/>
        <v>1040</v>
      </c>
      <c r="S1364" s="20">
        <f t="shared" si="2796"/>
        <v>1819.9999999999998</v>
      </c>
      <c r="T1364" s="20">
        <f t="shared" si="2796"/>
        <v>2340</v>
      </c>
      <c r="U1364" s="20">
        <f t="shared" si="2796"/>
        <v>100</v>
      </c>
      <c r="V1364" s="20">
        <f t="shared" si="2796"/>
        <v>700</v>
      </c>
      <c r="W1364" s="20">
        <f t="shared" si="2796"/>
        <v>1000</v>
      </c>
      <c r="X1364" s="20">
        <f t="shared" si="2796"/>
        <v>4</v>
      </c>
      <c r="Y1364" s="20">
        <v>0</v>
      </c>
      <c r="Z1364" s="22">
        <v>0</v>
      </c>
      <c r="AA1364" s="20">
        <f t="shared" si="2772"/>
        <v>60</v>
      </c>
      <c r="AB1364" s="20">
        <v>0</v>
      </c>
      <c r="AC1364" s="20">
        <v>0</v>
      </c>
      <c r="AD1364" s="23">
        <f t="shared" ref="AD1364:AE1364" si="2797">AD1334</f>
        <v>24</v>
      </c>
      <c r="AE1364" s="23">
        <f t="shared" si="2797"/>
        <v>28</v>
      </c>
    </row>
    <row r="1365" spans="1:31">
      <c r="A1365" s="4">
        <v>14100</v>
      </c>
      <c r="B1365" s="4">
        <v>14</v>
      </c>
      <c r="C1365" s="19" t="s">
        <v>69</v>
      </c>
      <c r="D1365" s="44">
        <v>0</v>
      </c>
      <c r="E1365" s="18">
        <v>0</v>
      </c>
      <c r="F1365" s="18">
        <f t="shared" si="2774"/>
        <v>177</v>
      </c>
      <c r="G1365" s="18">
        <v>0</v>
      </c>
      <c r="H1365" s="45">
        <v>0</v>
      </c>
      <c r="I1365" s="21">
        <f t="shared" si="2687"/>
        <v>220</v>
      </c>
      <c r="J1365" s="21">
        <f t="shared" si="2777"/>
        <v>13</v>
      </c>
      <c r="K1365" s="21">
        <v>0</v>
      </c>
      <c r="L1365" s="20">
        <v>6</v>
      </c>
      <c r="M1365" s="20">
        <v>0</v>
      </c>
      <c r="N1365" s="20">
        <f t="shared" si="2688"/>
        <v>2800</v>
      </c>
      <c r="O1365" s="19" t="s">
        <v>69</v>
      </c>
      <c r="P1365" s="20">
        <v>6400</v>
      </c>
      <c r="Q1365" s="20">
        <f t="shared" ref="Q1365:X1365" si="2798">Q1335</f>
        <v>280</v>
      </c>
      <c r="R1365" s="20">
        <f t="shared" si="2798"/>
        <v>1120</v>
      </c>
      <c r="S1365" s="20">
        <f t="shared" si="2798"/>
        <v>1959.9999999999998</v>
      </c>
      <c r="T1365" s="20">
        <f t="shared" si="2798"/>
        <v>2520</v>
      </c>
      <c r="U1365" s="20">
        <f t="shared" si="2798"/>
        <v>100</v>
      </c>
      <c r="V1365" s="20">
        <f t="shared" si="2798"/>
        <v>400</v>
      </c>
      <c r="W1365" s="20">
        <f t="shared" si="2798"/>
        <v>1200</v>
      </c>
      <c r="X1365" s="20">
        <f t="shared" si="2798"/>
        <v>4</v>
      </c>
      <c r="Y1365" s="20">
        <v>0</v>
      </c>
      <c r="Z1365" s="22">
        <v>0</v>
      </c>
      <c r="AA1365" s="20">
        <f t="shared" si="2772"/>
        <v>0</v>
      </c>
      <c r="AB1365" s="20">
        <v>0</v>
      </c>
      <c r="AC1365" s="20">
        <v>0</v>
      </c>
      <c r="AD1365" s="23">
        <f t="shared" ref="AD1365:AE1365" si="2799">AD1335</f>
        <v>26</v>
      </c>
      <c r="AE1365" s="23">
        <f t="shared" si="2799"/>
        <v>30</v>
      </c>
    </row>
    <row r="1366" spans="1:31">
      <c r="A1366" s="4">
        <v>14100</v>
      </c>
      <c r="B1366" s="4">
        <v>15</v>
      </c>
      <c r="C1366" s="19" t="s">
        <v>70</v>
      </c>
      <c r="D1366" s="44">
        <v>0</v>
      </c>
      <c r="E1366" s="18">
        <v>0</v>
      </c>
      <c r="F1366" s="18">
        <f t="shared" si="2774"/>
        <v>191</v>
      </c>
      <c r="G1366" s="18">
        <v>0</v>
      </c>
      <c r="H1366" s="45">
        <v>0</v>
      </c>
      <c r="I1366" s="21">
        <f t="shared" si="2687"/>
        <v>220</v>
      </c>
      <c r="J1366" s="21">
        <f t="shared" si="2777"/>
        <v>14</v>
      </c>
      <c r="K1366" s="21">
        <v>0</v>
      </c>
      <c r="L1366" s="20">
        <v>6</v>
      </c>
      <c r="M1366" s="20">
        <v>0</v>
      </c>
      <c r="N1366" s="20">
        <f t="shared" si="2688"/>
        <v>4500</v>
      </c>
      <c r="O1366" s="19" t="s">
        <v>70</v>
      </c>
      <c r="P1366" s="20">
        <v>3100</v>
      </c>
      <c r="Q1366" s="20">
        <f t="shared" ref="Q1366:X1366" si="2800">Q1336</f>
        <v>450</v>
      </c>
      <c r="R1366" s="20">
        <f t="shared" si="2800"/>
        <v>1800</v>
      </c>
      <c r="S1366" s="20">
        <f t="shared" si="2800"/>
        <v>3150</v>
      </c>
      <c r="T1366" s="20">
        <f t="shared" si="2800"/>
        <v>4050</v>
      </c>
      <c r="U1366" s="20">
        <f t="shared" si="2800"/>
        <v>100</v>
      </c>
      <c r="V1366" s="20">
        <f t="shared" si="2800"/>
        <v>1000</v>
      </c>
      <c r="W1366" s="20">
        <f t="shared" si="2800"/>
        <v>600</v>
      </c>
      <c r="X1366" s="20">
        <f t="shared" si="2800"/>
        <v>4</v>
      </c>
      <c r="Y1366" s="20">
        <v>0</v>
      </c>
      <c r="Z1366" s="22">
        <v>0</v>
      </c>
      <c r="AA1366" s="20">
        <f t="shared" si="2772"/>
        <v>0</v>
      </c>
      <c r="AB1366" s="20">
        <v>0</v>
      </c>
      <c r="AC1366" s="20">
        <v>0</v>
      </c>
      <c r="AD1366" s="23">
        <f t="shared" ref="AD1366:AE1366" si="2801">AD1336</f>
        <v>28</v>
      </c>
      <c r="AE1366" s="23">
        <f t="shared" si="2801"/>
        <v>32</v>
      </c>
    </row>
    <row r="1367" spans="1:31">
      <c r="A1367" s="4">
        <v>14100</v>
      </c>
      <c r="B1367" s="4">
        <v>16</v>
      </c>
      <c r="C1367" s="19" t="s">
        <v>71</v>
      </c>
      <c r="D1367" s="44">
        <v>0</v>
      </c>
      <c r="E1367" s="18">
        <v>0</v>
      </c>
      <c r="F1367" s="18">
        <f t="shared" si="2774"/>
        <v>207</v>
      </c>
      <c r="G1367" s="18">
        <v>0</v>
      </c>
      <c r="H1367" s="45">
        <v>0</v>
      </c>
      <c r="I1367" s="21">
        <f t="shared" si="2687"/>
        <v>220</v>
      </c>
      <c r="J1367" s="21">
        <f t="shared" si="2777"/>
        <v>15</v>
      </c>
      <c r="K1367" s="21">
        <v>0</v>
      </c>
      <c r="L1367" s="20">
        <v>6</v>
      </c>
      <c r="M1367" s="20">
        <v>0</v>
      </c>
      <c r="N1367" s="20">
        <f t="shared" si="2688"/>
        <v>4800</v>
      </c>
      <c r="O1367" s="19" t="s">
        <v>71</v>
      </c>
      <c r="P1367" s="20">
        <v>1777</v>
      </c>
      <c r="Q1367" s="20">
        <f t="shared" ref="Q1367:X1367" si="2802">Q1337</f>
        <v>480</v>
      </c>
      <c r="R1367" s="20">
        <f t="shared" si="2802"/>
        <v>1920</v>
      </c>
      <c r="S1367" s="20">
        <f t="shared" si="2802"/>
        <v>3360</v>
      </c>
      <c r="T1367" s="20">
        <f t="shared" si="2802"/>
        <v>4320</v>
      </c>
      <c r="U1367" s="20">
        <f t="shared" si="2802"/>
        <v>100</v>
      </c>
      <c r="V1367" s="20">
        <f t="shared" si="2802"/>
        <v>800</v>
      </c>
      <c r="W1367" s="20">
        <f t="shared" si="2802"/>
        <v>800</v>
      </c>
      <c r="X1367" s="20">
        <f t="shared" si="2802"/>
        <v>4</v>
      </c>
      <c r="Y1367" s="20">
        <v>0</v>
      </c>
      <c r="Z1367" s="22">
        <v>0</v>
      </c>
      <c r="AA1367" s="20">
        <f t="shared" si="2772"/>
        <v>0</v>
      </c>
      <c r="AB1367" s="20">
        <v>0</v>
      </c>
      <c r="AC1367" s="20">
        <v>0</v>
      </c>
      <c r="AD1367" s="23">
        <f t="shared" ref="AD1367:AE1367" si="2803">AD1337</f>
        <v>30</v>
      </c>
      <c r="AE1367" s="23">
        <f t="shared" si="2803"/>
        <v>34</v>
      </c>
    </row>
    <row r="1368" spans="1:31">
      <c r="A1368" s="4">
        <v>14100</v>
      </c>
      <c r="B1368" s="4">
        <v>17</v>
      </c>
      <c r="C1368" s="19" t="s">
        <v>72</v>
      </c>
      <c r="D1368" s="44">
        <v>0</v>
      </c>
      <c r="E1368" s="18">
        <v>0</v>
      </c>
      <c r="F1368" s="18">
        <f t="shared" si="2774"/>
        <v>224</v>
      </c>
      <c r="G1368" s="18">
        <v>0</v>
      </c>
      <c r="H1368" s="45">
        <v>0</v>
      </c>
      <c r="I1368" s="21">
        <f t="shared" si="2687"/>
        <v>275</v>
      </c>
      <c r="J1368" s="21">
        <f t="shared" si="2777"/>
        <v>16</v>
      </c>
      <c r="K1368" s="21">
        <v>0</v>
      </c>
      <c r="L1368" s="20">
        <v>6</v>
      </c>
      <c r="M1368" s="20">
        <v>0</v>
      </c>
      <c r="N1368" s="20">
        <f t="shared" si="2688"/>
        <v>5100</v>
      </c>
      <c r="O1368" s="19" t="s">
        <v>72</v>
      </c>
      <c r="P1368" s="20">
        <v>2332</v>
      </c>
      <c r="Q1368" s="20">
        <f t="shared" ref="Q1368:X1368" si="2804">Q1338</f>
        <v>510</v>
      </c>
      <c r="R1368" s="20">
        <f t="shared" si="2804"/>
        <v>2040</v>
      </c>
      <c r="S1368" s="20">
        <f t="shared" si="2804"/>
        <v>3570</v>
      </c>
      <c r="T1368" s="20">
        <f t="shared" si="2804"/>
        <v>4590</v>
      </c>
      <c r="U1368" s="20">
        <f t="shared" si="2804"/>
        <v>80</v>
      </c>
      <c r="V1368" s="20">
        <f t="shared" si="2804"/>
        <v>800</v>
      </c>
      <c r="W1368" s="20">
        <f t="shared" si="2804"/>
        <v>600</v>
      </c>
      <c r="X1368" s="20">
        <f t="shared" si="2804"/>
        <v>5</v>
      </c>
      <c r="Y1368" s="20">
        <v>0</v>
      </c>
      <c r="Z1368" s="22">
        <v>0</v>
      </c>
      <c r="AA1368" s="20">
        <f t="shared" si="2772"/>
        <v>0</v>
      </c>
      <c r="AB1368" s="20">
        <v>0</v>
      </c>
      <c r="AC1368" s="20">
        <v>0</v>
      </c>
      <c r="AD1368" s="23">
        <f t="shared" ref="AD1368:AE1368" si="2805">AD1338</f>
        <v>32</v>
      </c>
      <c r="AE1368" s="23">
        <f t="shared" si="2805"/>
        <v>36</v>
      </c>
    </row>
    <row r="1369" spans="1:31">
      <c r="A1369" s="4">
        <v>14100</v>
      </c>
      <c r="B1369" s="4">
        <v>18</v>
      </c>
      <c r="C1369" s="19" t="s">
        <v>73</v>
      </c>
      <c r="D1369" s="44">
        <v>0</v>
      </c>
      <c r="E1369" s="18">
        <v>0</v>
      </c>
      <c r="F1369" s="18">
        <f t="shared" si="2774"/>
        <v>243</v>
      </c>
      <c r="G1369" s="18">
        <v>0</v>
      </c>
      <c r="H1369" s="45">
        <v>0</v>
      </c>
      <c r="I1369" s="21">
        <f t="shared" si="2687"/>
        <v>275</v>
      </c>
      <c r="J1369" s="21">
        <f t="shared" si="2777"/>
        <v>17</v>
      </c>
      <c r="K1369" s="21">
        <v>0</v>
      </c>
      <c r="L1369" s="20">
        <v>6</v>
      </c>
      <c r="M1369" s="20">
        <v>0</v>
      </c>
      <c r="N1369" s="20">
        <f t="shared" si="2688"/>
        <v>5400</v>
      </c>
      <c r="O1369" s="19" t="s">
        <v>73</v>
      </c>
      <c r="P1369" s="20">
        <v>1487</v>
      </c>
      <c r="Q1369" s="20">
        <f t="shared" ref="Q1369:X1369" si="2806">Q1339</f>
        <v>540</v>
      </c>
      <c r="R1369" s="20">
        <f t="shared" si="2806"/>
        <v>2160</v>
      </c>
      <c r="S1369" s="20">
        <f t="shared" si="2806"/>
        <v>3779.9999999999995</v>
      </c>
      <c r="T1369" s="20">
        <f t="shared" si="2806"/>
        <v>4860</v>
      </c>
      <c r="U1369" s="20">
        <f t="shared" si="2806"/>
        <v>100</v>
      </c>
      <c r="V1369" s="20">
        <f t="shared" si="2806"/>
        <v>600</v>
      </c>
      <c r="W1369" s="20">
        <f t="shared" si="2806"/>
        <v>300</v>
      </c>
      <c r="X1369" s="20">
        <f t="shared" si="2806"/>
        <v>5</v>
      </c>
      <c r="Y1369" s="20">
        <v>0</v>
      </c>
      <c r="Z1369" s="22">
        <v>0</v>
      </c>
      <c r="AA1369" s="20">
        <f t="shared" si="2772"/>
        <v>89</v>
      </c>
      <c r="AB1369" s="20">
        <v>0</v>
      </c>
      <c r="AC1369" s="20">
        <v>0</v>
      </c>
      <c r="AD1369" s="23">
        <f t="shared" ref="AD1369:AE1369" si="2807">AD1339</f>
        <v>34</v>
      </c>
      <c r="AE1369" s="23">
        <f t="shared" si="2807"/>
        <v>38</v>
      </c>
    </row>
    <row r="1370" spans="1:31">
      <c r="A1370" s="4">
        <v>14100</v>
      </c>
      <c r="B1370" s="4">
        <v>19</v>
      </c>
      <c r="C1370" s="19" t="s">
        <v>74</v>
      </c>
      <c r="D1370" s="44">
        <v>0</v>
      </c>
      <c r="E1370" s="18">
        <v>0</v>
      </c>
      <c r="F1370" s="18">
        <f t="shared" si="2774"/>
        <v>263</v>
      </c>
      <c r="G1370" s="18">
        <v>0</v>
      </c>
      <c r="H1370" s="45">
        <v>0</v>
      </c>
      <c r="I1370" s="21">
        <f t="shared" si="2687"/>
        <v>275</v>
      </c>
      <c r="J1370" s="21">
        <f t="shared" si="2777"/>
        <v>18</v>
      </c>
      <c r="K1370" s="21">
        <v>0</v>
      </c>
      <c r="L1370" s="20">
        <v>6</v>
      </c>
      <c r="M1370" s="20">
        <v>0</v>
      </c>
      <c r="N1370" s="20">
        <f t="shared" si="2688"/>
        <v>5700</v>
      </c>
      <c r="O1370" s="19" t="s">
        <v>74</v>
      </c>
      <c r="P1370" s="20">
        <v>1518</v>
      </c>
      <c r="Q1370" s="20">
        <f t="shared" ref="Q1370:X1370" si="2808">Q1340</f>
        <v>570</v>
      </c>
      <c r="R1370" s="20">
        <f t="shared" si="2808"/>
        <v>2280</v>
      </c>
      <c r="S1370" s="20">
        <f t="shared" si="2808"/>
        <v>3989.9999999999995</v>
      </c>
      <c r="T1370" s="20">
        <f t="shared" si="2808"/>
        <v>5130</v>
      </c>
      <c r="U1370" s="20">
        <f t="shared" si="2808"/>
        <v>100</v>
      </c>
      <c r="V1370" s="20">
        <f t="shared" si="2808"/>
        <v>500</v>
      </c>
      <c r="W1370" s="20">
        <f t="shared" si="2808"/>
        <v>400</v>
      </c>
      <c r="X1370" s="20">
        <f t="shared" si="2808"/>
        <v>5</v>
      </c>
      <c r="Y1370" s="20">
        <v>0</v>
      </c>
      <c r="Z1370" s="22">
        <v>0</v>
      </c>
      <c r="AA1370" s="20">
        <f t="shared" si="2772"/>
        <v>0</v>
      </c>
      <c r="AB1370" s="20">
        <v>0</v>
      </c>
      <c r="AC1370" s="20">
        <v>0</v>
      </c>
      <c r="AD1370" s="23">
        <f t="shared" ref="AD1370:AE1370" si="2809">AD1340</f>
        <v>36</v>
      </c>
      <c r="AE1370" s="23">
        <f t="shared" si="2809"/>
        <v>40</v>
      </c>
    </row>
    <row r="1371" spans="1:31">
      <c r="A1371" s="4">
        <v>14100</v>
      </c>
      <c r="B1371" s="4">
        <v>20</v>
      </c>
      <c r="C1371" s="19" t="s">
        <v>75</v>
      </c>
      <c r="D1371" s="44">
        <v>0</v>
      </c>
      <c r="E1371" s="18">
        <v>0</v>
      </c>
      <c r="F1371" s="18">
        <f t="shared" si="2774"/>
        <v>285</v>
      </c>
      <c r="G1371" s="18">
        <v>0</v>
      </c>
      <c r="H1371" s="45">
        <v>0</v>
      </c>
      <c r="I1371" s="21">
        <f t="shared" si="2687"/>
        <v>275</v>
      </c>
      <c r="J1371" s="21">
        <f t="shared" si="2777"/>
        <v>19</v>
      </c>
      <c r="K1371" s="21">
        <v>0</v>
      </c>
      <c r="L1371" s="20">
        <v>6</v>
      </c>
      <c r="M1371" s="20">
        <v>0</v>
      </c>
      <c r="N1371" s="20">
        <f t="shared" si="2688"/>
        <v>8000</v>
      </c>
      <c r="O1371" s="19" t="s">
        <v>75</v>
      </c>
      <c r="P1371" s="20">
        <v>861</v>
      </c>
      <c r="Q1371" s="20">
        <f t="shared" ref="Q1371:X1371" si="2810">Q1341</f>
        <v>800</v>
      </c>
      <c r="R1371" s="20">
        <f t="shared" si="2810"/>
        <v>3200</v>
      </c>
      <c r="S1371" s="20">
        <f t="shared" si="2810"/>
        <v>5600</v>
      </c>
      <c r="T1371" s="20">
        <f t="shared" si="2810"/>
        <v>7200</v>
      </c>
      <c r="U1371" s="20">
        <f t="shared" si="2810"/>
        <v>100</v>
      </c>
      <c r="V1371" s="20">
        <f t="shared" si="2810"/>
        <v>800</v>
      </c>
      <c r="W1371" s="20">
        <f t="shared" si="2810"/>
        <v>8000</v>
      </c>
      <c r="X1371" s="20">
        <f t="shared" si="2810"/>
        <v>5</v>
      </c>
      <c r="Y1371" s="20">
        <v>0</v>
      </c>
      <c r="Z1371" s="22">
        <v>0</v>
      </c>
      <c r="AA1371" s="20">
        <f t="shared" si="2772"/>
        <v>0</v>
      </c>
      <c r="AB1371" s="20">
        <v>0</v>
      </c>
      <c r="AC1371" s="20">
        <v>0</v>
      </c>
      <c r="AD1371" s="23">
        <f t="shared" ref="AD1371:AE1371" si="2811">AD1341</f>
        <v>38</v>
      </c>
      <c r="AE1371" s="23">
        <f t="shared" si="2811"/>
        <v>42</v>
      </c>
    </row>
    <row r="1372" spans="1:31">
      <c r="A1372" s="4">
        <v>14100</v>
      </c>
      <c r="B1372" s="4">
        <v>21</v>
      </c>
      <c r="C1372" s="19" t="s">
        <v>66</v>
      </c>
      <c r="D1372" s="44">
        <v>0</v>
      </c>
      <c r="E1372" s="18">
        <v>0</v>
      </c>
      <c r="F1372" s="18">
        <f t="shared" si="2774"/>
        <v>308</v>
      </c>
      <c r="G1372" s="18">
        <v>0</v>
      </c>
      <c r="H1372" s="45">
        <v>0</v>
      </c>
      <c r="I1372" s="21">
        <f t="shared" si="2687"/>
        <v>330</v>
      </c>
      <c r="J1372" s="21">
        <f t="shared" si="2777"/>
        <v>20</v>
      </c>
      <c r="K1372" s="21">
        <v>0</v>
      </c>
      <c r="L1372" s="20">
        <v>6</v>
      </c>
      <c r="M1372" s="20">
        <v>0</v>
      </c>
      <c r="N1372" s="20">
        <f t="shared" si="2688"/>
        <v>8400</v>
      </c>
      <c r="O1372" s="19" t="s">
        <v>66</v>
      </c>
      <c r="P1372" s="20">
        <v>9400</v>
      </c>
      <c r="Q1372" s="20">
        <f t="shared" ref="Q1372:X1372" si="2812">Q1342</f>
        <v>840</v>
      </c>
      <c r="R1372" s="20">
        <f t="shared" si="2812"/>
        <v>3360</v>
      </c>
      <c r="S1372" s="20">
        <f t="shared" si="2812"/>
        <v>5880</v>
      </c>
      <c r="T1372" s="20">
        <f t="shared" si="2812"/>
        <v>7560</v>
      </c>
      <c r="U1372" s="20">
        <f t="shared" si="2812"/>
        <v>50</v>
      </c>
      <c r="V1372" s="20">
        <f t="shared" si="2812"/>
        <v>1000</v>
      </c>
      <c r="W1372" s="20">
        <f t="shared" si="2812"/>
        <v>600</v>
      </c>
      <c r="X1372" s="20">
        <f t="shared" si="2812"/>
        <v>6</v>
      </c>
      <c r="Y1372" s="20">
        <v>0</v>
      </c>
      <c r="Z1372" s="22">
        <v>0</v>
      </c>
      <c r="AA1372" s="20">
        <f t="shared" si="2772"/>
        <v>0</v>
      </c>
      <c r="AB1372" s="20">
        <v>0</v>
      </c>
      <c r="AC1372" s="20">
        <v>0</v>
      </c>
      <c r="AD1372" s="23">
        <f t="shared" ref="AD1372:AE1372" si="2813">AD1342</f>
        <v>40</v>
      </c>
      <c r="AE1372" s="23">
        <f t="shared" si="2813"/>
        <v>44</v>
      </c>
    </row>
    <row r="1373" spans="1:31">
      <c r="A1373" s="4">
        <v>14100</v>
      </c>
      <c r="B1373" s="4">
        <v>22</v>
      </c>
      <c r="C1373" s="19" t="s">
        <v>67</v>
      </c>
      <c r="D1373" s="44">
        <v>0</v>
      </c>
      <c r="E1373" s="18">
        <v>0</v>
      </c>
      <c r="F1373" s="18">
        <f t="shared" si="2774"/>
        <v>334</v>
      </c>
      <c r="G1373" s="18">
        <v>0</v>
      </c>
      <c r="H1373" s="45">
        <v>0</v>
      </c>
      <c r="I1373" s="21">
        <f t="shared" si="2687"/>
        <v>330</v>
      </c>
      <c r="J1373" s="21">
        <f t="shared" si="2777"/>
        <v>21</v>
      </c>
      <c r="K1373" s="21">
        <v>0</v>
      </c>
      <c r="L1373" s="20">
        <v>6</v>
      </c>
      <c r="M1373" s="20">
        <v>0</v>
      </c>
      <c r="N1373" s="20">
        <f t="shared" si="2688"/>
        <v>8800</v>
      </c>
      <c r="O1373" s="19" t="s">
        <v>67</v>
      </c>
      <c r="P1373" s="20">
        <v>9100</v>
      </c>
      <c r="Q1373" s="20">
        <f t="shared" ref="Q1373:X1373" si="2814">Q1343</f>
        <v>880</v>
      </c>
      <c r="R1373" s="20">
        <f t="shared" si="2814"/>
        <v>3520</v>
      </c>
      <c r="S1373" s="20">
        <f t="shared" si="2814"/>
        <v>6160</v>
      </c>
      <c r="T1373" s="20">
        <f t="shared" si="2814"/>
        <v>7920</v>
      </c>
      <c r="U1373" s="20">
        <f t="shared" si="2814"/>
        <v>100</v>
      </c>
      <c r="V1373" s="20">
        <f t="shared" si="2814"/>
        <v>600</v>
      </c>
      <c r="W1373" s="20">
        <f t="shared" si="2814"/>
        <v>700</v>
      </c>
      <c r="X1373" s="20">
        <f t="shared" si="2814"/>
        <v>6</v>
      </c>
      <c r="Y1373" s="20">
        <v>0</v>
      </c>
      <c r="Z1373" s="22">
        <v>0</v>
      </c>
      <c r="AA1373" s="20">
        <f t="shared" si="2772"/>
        <v>0</v>
      </c>
      <c r="AB1373" s="20">
        <v>0</v>
      </c>
      <c r="AC1373" s="20">
        <v>0</v>
      </c>
      <c r="AD1373" s="23">
        <f t="shared" ref="AD1373:AE1373" si="2815">AD1343</f>
        <v>42</v>
      </c>
      <c r="AE1373" s="23">
        <f t="shared" si="2815"/>
        <v>46</v>
      </c>
    </row>
    <row r="1374" spans="1:31">
      <c r="A1374" s="4">
        <v>14100</v>
      </c>
      <c r="B1374" s="4">
        <v>23</v>
      </c>
      <c r="C1374" s="19" t="s">
        <v>68</v>
      </c>
      <c r="D1374" s="44">
        <v>0</v>
      </c>
      <c r="E1374" s="18">
        <v>0</v>
      </c>
      <c r="F1374" s="18">
        <f t="shared" si="2774"/>
        <v>361</v>
      </c>
      <c r="G1374" s="18">
        <v>0</v>
      </c>
      <c r="H1374" s="45">
        <v>0</v>
      </c>
      <c r="I1374" s="21">
        <f t="shared" si="2687"/>
        <v>330</v>
      </c>
      <c r="J1374" s="21">
        <f t="shared" si="2777"/>
        <v>22</v>
      </c>
      <c r="K1374" s="21">
        <v>0</v>
      </c>
      <c r="L1374" s="20">
        <v>6</v>
      </c>
      <c r="M1374" s="20">
        <v>0</v>
      </c>
      <c r="N1374" s="20">
        <f t="shared" si="2688"/>
        <v>9200</v>
      </c>
      <c r="O1374" s="19" t="s">
        <v>68</v>
      </c>
      <c r="P1374" s="20">
        <v>8600</v>
      </c>
      <c r="Q1374" s="20">
        <f t="shared" ref="Q1374:X1374" si="2816">Q1344</f>
        <v>920</v>
      </c>
      <c r="R1374" s="20">
        <f t="shared" si="2816"/>
        <v>3680</v>
      </c>
      <c r="S1374" s="20">
        <f t="shared" si="2816"/>
        <v>6440</v>
      </c>
      <c r="T1374" s="20">
        <f t="shared" si="2816"/>
        <v>8280</v>
      </c>
      <c r="U1374" s="20">
        <f t="shared" si="2816"/>
        <v>100</v>
      </c>
      <c r="V1374" s="20">
        <f t="shared" si="2816"/>
        <v>550</v>
      </c>
      <c r="W1374" s="20">
        <f t="shared" si="2816"/>
        <v>500</v>
      </c>
      <c r="X1374" s="20">
        <f t="shared" si="2816"/>
        <v>6</v>
      </c>
      <c r="Y1374" s="20">
        <v>0</v>
      </c>
      <c r="Z1374" s="22">
        <v>0</v>
      </c>
      <c r="AA1374" s="20">
        <f t="shared" si="2772"/>
        <v>120</v>
      </c>
      <c r="AB1374" s="20">
        <v>0</v>
      </c>
      <c r="AC1374" s="20">
        <v>0</v>
      </c>
      <c r="AD1374" s="23">
        <f t="shared" ref="AD1374:AE1374" si="2817">AD1344</f>
        <v>44</v>
      </c>
      <c r="AE1374" s="23">
        <f t="shared" si="2817"/>
        <v>48</v>
      </c>
    </row>
    <row r="1375" spans="1:31">
      <c r="A1375" s="4">
        <v>14100</v>
      </c>
      <c r="B1375" s="4">
        <v>24</v>
      </c>
      <c r="C1375" s="19" t="s">
        <v>69</v>
      </c>
      <c r="D1375" s="44">
        <v>0</v>
      </c>
      <c r="E1375" s="18">
        <v>0</v>
      </c>
      <c r="F1375" s="18">
        <f t="shared" si="2774"/>
        <v>391</v>
      </c>
      <c r="G1375" s="18">
        <v>0</v>
      </c>
      <c r="H1375" s="45">
        <v>0</v>
      </c>
      <c r="I1375" s="21">
        <f t="shared" si="2687"/>
        <v>330</v>
      </c>
      <c r="J1375" s="21">
        <f t="shared" si="2777"/>
        <v>23</v>
      </c>
      <c r="K1375" s="21">
        <v>0</v>
      </c>
      <c r="L1375" s="20">
        <v>6</v>
      </c>
      <c r="M1375" s="20">
        <v>0</v>
      </c>
      <c r="N1375" s="20">
        <f t="shared" si="2688"/>
        <v>9600</v>
      </c>
      <c r="O1375" s="19" t="s">
        <v>69</v>
      </c>
      <c r="P1375" s="20">
        <v>6400</v>
      </c>
      <c r="Q1375" s="20">
        <f t="shared" ref="Q1375:X1375" si="2818">Q1345</f>
        <v>960</v>
      </c>
      <c r="R1375" s="20">
        <f t="shared" si="2818"/>
        <v>3840</v>
      </c>
      <c r="S1375" s="20">
        <f t="shared" si="2818"/>
        <v>6720</v>
      </c>
      <c r="T1375" s="20">
        <f t="shared" si="2818"/>
        <v>8640</v>
      </c>
      <c r="U1375" s="20">
        <f t="shared" si="2818"/>
        <v>100</v>
      </c>
      <c r="V1375" s="20">
        <f t="shared" si="2818"/>
        <v>500</v>
      </c>
      <c r="W1375" s="20">
        <f t="shared" si="2818"/>
        <v>900</v>
      </c>
      <c r="X1375" s="20">
        <f t="shared" si="2818"/>
        <v>6</v>
      </c>
      <c r="Y1375" s="20">
        <v>0</v>
      </c>
      <c r="Z1375" s="22">
        <v>0</v>
      </c>
      <c r="AA1375" s="20">
        <f t="shared" si="2772"/>
        <v>0</v>
      </c>
      <c r="AB1375" s="20">
        <v>0</v>
      </c>
      <c r="AC1375" s="20">
        <v>0</v>
      </c>
      <c r="AD1375" s="23">
        <f t="shared" ref="AD1375:AE1375" si="2819">AD1345</f>
        <v>46</v>
      </c>
      <c r="AE1375" s="23">
        <f t="shared" si="2819"/>
        <v>50</v>
      </c>
    </row>
    <row r="1376" spans="1:31">
      <c r="A1376" s="4">
        <v>14100</v>
      </c>
      <c r="B1376" s="4">
        <v>25</v>
      </c>
      <c r="C1376" s="19" t="s">
        <v>70</v>
      </c>
      <c r="D1376" s="44">
        <v>0</v>
      </c>
      <c r="E1376" s="18">
        <v>0</v>
      </c>
      <c r="F1376" s="18">
        <f t="shared" si="2774"/>
        <v>424</v>
      </c>
      <c r="G1376" s="18">
        <v>0</v>
      </c>
      <c r="H1376" s="45">
        <v>0</v>
      </c>
      <c r="I1376" s="21">
        <f t="shared" si="2687"/>
        <v>385</v>
      </c>
      <c r="J1376" s="21">
        <f t="shared" si="2777"/>
        <v>24</v>
      </c>
      <c r="K1376" s="21">
        <v>0</v>
      </c>
      <c r="L1376" s="20">
        <v>6</v>
      </c>
      <c r="M1376" s="20">
        <v>0</v>
      </c>
      <c r="N1376" s="20">
        <f t="shared" si="2688"/>
        <v>12500</v>
      </c>
      <c r="O1376" s="19" t="s">
        <v>70</v>
      </c>
      <c r="P1376" s="20">
        <v>3100</v>
      </c>
      <c r="Q1376" s="20">
        <f t="shared" ref="Q1376:X1376" si="2820">Q1346</f>
        <v>1250</v>
      </c>
      <c r="R1376" s="20">
        <f t="shared" si="2820"/>
        <v>5000</v>
      </c>
      <c r="S1376" s="20">
        <f t="shared" si="2820"/>
        <v>8750</v>
      </c>
      <c r="T1376" s="20">
        <f t="shared" si="2820"/>
        <v>11250</v>
      </c>
      <c r="U1376" s="20">
        <f t="shared" si="2820"/>
        <v>10</v>
      </c>
      <c r="V1376" s="20">
        <f t="shared" si="2820"/>
        <v>1300</v>
      </c>
      <c r="W1376" s="20">
        <f t="shared" si="2820"/>
        <v>1000</v>
      </c>
      <c r="X1376" s="20">
        <f t="shared" si="2820"/>
        <v>7</v>
      </c>
      <c r="Y1376" s="20">
        <v>0</v>
      </c>
      <c r="Z1376" s="22">
        <v>0</v>
      </c>
      <c r="AA1376" s="20">
        <f t="shared" si="2772"/>
        <v>0</v>
      </c>
      <c r="AB1376" s="20">
        <v>0</v>
      </c>
      <c r="AC1376" s="20">
        <v>0</v>
      </c>
      <c r="AD1376" s="23">
        <f t="shared" ref="AD1376:AE1376" si="2821">AD1346</f>
        <v>48</v>
      </c>
      <c r="AE1376" s="23">
        <f t="shared" si="2821"/>
        <v>52</v>
      </c>
    </row>
    <row r="1377" spans="1:31">
      <c r="A1377" s="4">
        <v>14100</v>
      </c>
      <c r="B1377" s="4">
        <v>26</v>
      </c>
      <c r="C1377" s="19" t="s">
        <v>71</v>
      </c>
      <c r="D1377" s="44">
        <v>0</v>
      </c>
      <c r="E1377" s="18">
        <v>0</v>
      </c>
      <c r="F1377" s="18">
        <f t="shared" si="2774"/>
        <v>459</v>
      </c>
      <c r="G1377" s="18">
        <v>0</v>
      </c>
      <c r="H1377" s="45">
        <v>0</v>
      </c>
      <c r="I1377" s="21">
        <f t="shared" ref="I1377:I1440" si="2822">I1347</f>
        <v>385</v>
      </c>
      <c r="J1377" s="21">
        <f t="shared" si="2777"/>
        <v>25</v>
      </c>
      <c r="K1377" s="21">
        <v>0</v>
      </c>
      <c r="L1377" s="20">
        <v>6</v>
      </c>
      <c r="M1377" s="20">
        <v>0</v>
      </c>
      <c r="N1377" s="20">
        <f t="shared" ref="N1377:N1440" si="2823">N1347</f>
        <v>13000</v>
      </c>
      <c r="O1377" s="19" t="s">
        <v>71</v>
      </c>
      <c r="P1377" s="20">
        <v>1777</v>
      </c>
      <c r="Q1377" s="20">
        <f t="shared" ref="Q1377:X1377" si="2824">Q1347</f>
        <v>1300</v>
      </c>
      <c r="R1377" s="20">
        <f t="shared" si="2824"/>
        <v>5200</v>
      </c>
      <c r="S1377" s="20">
        <f t="shared" si="2824"/>
        <v>9100</v>
      </c>
      <c r="T1377" s="20">
        <f t="shared" si="2824"/>
        <v>11700</v>
      </c>
      <c r="U1377" s="20">
        <f t="shared" si="2824"/>
        <v>90</v>
      </c>
      <c r="V1377" s="20">
        <f t="shared" si="2824"/>
        <v>800</v>
      </c>
      <c r="W1377" s="20">
        <f t="shared" si="2824"/>
        <v>2000</v>
      </c>
      <c r="X1377" s="20">
        <f t="shared" si="2824"/>
        <v>7</v>
      </c>
      <c r="Y1377" s="20">
        <v>0</v>
      </c>
      <c r="Z1377" s="22">
        <v>0</v>
      </c>
      <c r="AA1377" s="20">
        <f t="shared" si="2772"/>
        <v>0</v>
      </c>
      <c r="AB1377" s="20">
        <v>0</v>
      </c>
      <c r="AC1377" s="20">
        <v>0</v>
      </c>
      <c r="AD1377" s="23">
        <f t="shared" ref="AD1377:AE1377" si="2825">AD1347</f>
        <v>50</v>
      </c>
      <c r="AE1377" s="23">
        <f t="shared" si="2825"/>
        <v>54</v>
      </c>
    </row>
    <row r="1378" spans="1:31">
      <c r="A1378" s="4">
        <v>14100</v>
      </c>
      <c r="B1378" s="4">
        <v>27</v>
      </c>
      <c r="C1378" s="19" t="s">
        <v>72</v>
      </c>
      <c r="D1378" s="44">
        <v>0</v>
      </c>
      <c r="E1378" s="18">
        <v>0</v>
      </c>
      <c r="F1378" s="18">
        <f t="shared" si="2774"/>
        <v>496</v>
      </c>
      <c r="G1378" s="18">
        <v>0</v>
      </c>
      <c r="H1378" s="45">
        <v>0</v>
      </c>
      <c r="I1378" s="21">
        <f t="shared" si="2822"/>
        <v>385</v>
      </c>
      <c r="J1378" s="21">
        <f t="shared" si="2777"/>
        <v>26</v>
      </c>
      <c r="K1378" s="21">
        <v>0</v>
      </c>
      <c r="L1378" s="20">
        <v>6</v>
      </c>
      <c r="M1378" s="20">
        <v>0</v>
      </c>
      <c r="N1378" s="20">
        <f t="shared" si="2823"/>
        <v>13500</v>
      </c>
      <c r="O1378" s="19" t="s">
        <v>72</v>
      </c>
      <c r="P1378" s="20">
        <v>2332</v>
      </c>
      <c r="Q1378" s="20">
        <f t="shared" ref="Q1378:X1378" si="2826">Q1348</f>
        <v>1350</v>
      </c>
      <c r="R1378" s="20">
        <f t="shared" si="2826"/>
        <v>5400</v>
      </c>
      <c r="S1378" s="20">
        <f t="shared" si="2826"/>
        <v>9450</v>
      </c>
      <c r="T1378" s="20">
        <f t="shared" si="2826"/>
        <v>12150</v>
      </c>
      <c r="U1378" s="20">
        <f t="shared" si="2826"/>
        <v>80</v>
      </c>
      <c r="V1378" s="20">
        <f t="shared" si="2826"/>
        <v>700</v>
      </c>
      <c r="W1378" s="20">
        <f t="shared" si="2826"/>
        <v>800</v>
      </c>
      <c r="X1378" s="20">
        <f t="shared" si="2826"/>
        <v>7</v>
      </c>
      <c r="Y1378" s="20">
        <v>0</v>
      </c>
      <c r="Z1378" s="22">
        <v>0</v>
      </c>
      <c r="AA1378" s="20">
        <f t="shared" si="2772"/>
        <v>0</v>
      </c>
      <c r="AB1378" s="20">
        <v>0</v>
      </c>
      <c r="AC1378" s="20">
        <v>0</v>
      </c>
      <c r="AD1378" s="23">
        <f t="shared" ref="AD1378:AE1378" si="2827">AD1348</f>
        <v>52</v>
      </c>
      <c r="AE1378" s="23">
        <f t="shared" si="2827"/>
        <v>56</v>
      </c>
    </row>
    <row r="1379" spans="1:31">
      <c r="A1379" s="4">
        <v>14100</v>
      </c>
      <c r="B1379" s="4">
        <v>28</v>
      </c>
      <c r="C1379" s="19" t="s">
        <v>73</v>
      </c>
      <c r="D1379" s="44">
        <v>0</v>
      </c>
      <c r="E1379" s="18">
        <v>0</v>
      </c>
      <c r="F1379" s="18">
        <f t="shared" si="2774"/>
        <v>537</v>
      </c>
      <c r="G1379" s="18">
        <v>0</v>
      </c>
      <c r="H1379" s="45">
        <v>0</v>
      </c>
      <c r="I1379" s="21">
        <f t="shared" si="2822"/>
        <v>385</v>
      </c>
      <c r="J1379" s="21">
        <f t="shared" si="2777"/>
        <v>27</v>
      </c>
      <c r="K1379" s="21">
        <v>0</v>
      </c>
      <c r="L1379" s="20">
        <v>6</v>
      </c>
      <c r="M1379" s="20">
        <v>0</v>
      </c>
      <c r="N1379" s="20">
        <f t="shared" si="2823"/>
        <v>14000</v>
      </c>
      <c r="O1379" s="19" t="s">
        <v>73</v>
      </c>
      <c r="P1379" s="20">
        <v>1487</v>
      </c>
      <c r="Q1379" s="20">
        <f t="shared" ref="Q1379:X1379" si="2828">Q1349</f>
        <v>1400</v>
      </c>
      <c r="R1379" s="20">
        <f t="shared" si="2828"/>
        <v>5600</v>
      </c>
      <c r="S1379" s="20">
        <f t="shared" si="2828"/>
        <v>9800</v>
      </c>
      <c r="T1379" s="20">
        <f t="shared" si="2828"/>
        <v>12600</v>
      </c>
      <c r="U1379" s="20">
        <f t="shared" si="2828"/>
        <v>80</v>
      </c>
      <c r="V1379" s="20">
        <f t="shared" si="2828"/>
        <v>500</v>
      </c>
      <c r="W1379" s="20">
        <f t="shared" si="2828"/>
        <v>600</v>
      </c>
      <c r="X1379" s="20">
        <f t="shared" si="2828"/>
        <v>7</v>
      </c>
      <c r="Y1379" s="20">
        <v>0</v>
      </c>
      <c r="Z1379" s="22">
        <v>0</v>
      </c>
      <c r="AA1379" s="20">
        <f t="shared" si="2772"/>
        <v>150</v>
      </c>
      <c r="AB1379" s="20">
        <v>0</v>
      </c>
      <c r="AC1379" s="20">
        <v>0</v>
      </c>
      <c r="AD1379" s="23">
        <f t="shared" ref="AD1379:AE1379" si="2829">AD1349</f>
        <v>54</v>
      </c>
      <c r="AE1379" s="23">
        <f t="shared" si="2829"/>
        <v>58</v>
      </c>
    </row>
    <row r="1380" spans="1:31">
      <c r="A1380" s="4">
        <v>14100</v>
      </c>
      <c r="B1380" s="4">
        <v>29</v>
      </c>
      <c r="C1380" s="19" t="s">
        <v>74</v>
      </c>
      <c r="D1380" s="44">
        <v>0</v>
      </c>
      <c r="E1380" s="18">
        <v>0</v>
      </c>
      <c r="F1380" s="18">
        <f t="shared" si="2774"/>
        <v>582</v>
      </c>
      <c r="G1380" s="18">
        <v>0</v>
      </c>
      <c r="H1380" s="45">
        <v>0</v>
      </c>
      <c r="I1380" s="21">
        <f t="shared" si="2822"/>
        <v>440</v>
      </c>
      <c r="J1380" s="21">
        <f t="shared" si="2777"/>
        <v>28</v>
      </c>
      <c r="K1380" s="21">
        <v>0</v>
      </c>
      <c r="L1380" s="20">
        <v>6</v>
      </c>
      <c r="M1380" s="20">
        <v>0</v>
      </c>
      <c r="N1380" s="20">
        <f t="shared" si="2823"/>
        <v>14500</v>
      </c>
      <c r="O1380" s="19" t="s">
        <v>74</v>
      </c>
      <c r="P1380" s="20">
        <v>1518</v>
      </c>
      <c r="Q1380" s="20">
        <f t="shared" ref="Q1380:X1380" si="2830">Q1350</f>
        <v>1450</v>
      </c>
      <c r="R1380" s="20">
        <f t="shared" si="2830"/>
        <v>5800</v>
      </c>
      <c r="S1380" s="20">
        <f t="shared" si="2830"/>
        <v>10150</v>
      </c>
      <c r="T1380" s="20">
        <f t="shared" si="2830"/>
        <v>13050</v>
      </c>
      <c r="U1380" s="20">
        <f t="shared" si="2830"/>
        <v>80</v>
      </c>
      <c r="V1380" s="20">
        <f t="shared" si="2830"/>
        <v>600</v>
      </c>
      <c r="W1380" s="20">
        <f t="shared" si="2830"/>
        <v>700</v>
      </c>
      <c r="X1380" s="20">
        <f t="shared" si="2830"/>
        <v>8</v>
      </c>
      <c r="Y1380" s="20">
        <v>0</v>
      </c>
      <c r="Z1380" s="22">
        <v>0</v>
      </c>
      <c r="AA1380" s="20">
        <f t="shared" si="2772"/>
        <v>0</v>
      </c>
      <c r="AB1380" s="20">
        <v>0</v>
      </c>
      <c r="AC1380" s="20">
        <v>0</v>
      </c>
      <c r="AD1380" s="23">
        <f t="shared" ref="AD1380:AE1380" si="2831">AD1350</f>
        <v>56</v>
      </c>
      <c r="AE1380" s="23">
        <f t="shared" si="2831"/>
        <v>60</v>
      </c>
    </row>
    <row r="1381" spans="1:31">
      <c r="A1381" s="4">
        <v>14100</v>
      </c>
      <c r="B1381" s="4">
        <v>30</v>
      </c>
      <c r="C1381" s="19" t="s">
        <v>75</v>
      </c>
      <c r="D1381" s="44">
        <v>0</v>
      </c>
      <c r="E1381" s="18">
        <v>0</v>
      </c>
      <c r="F1381" s="18">
        <v>630</v>
      </c>
      <c r="G1381" s="18">
        <v>0</v>
      </c>
      <c r="H1381" s="45">
        <v>0</v>
      </c>
      <c r="I1381" s="21">
        <f t="shared" si="2822"/>
        <v>440</v>
      </c>
      <c r="J1381" s="21">
        <f t="shared" si="2777"/>
        <v>29</v>
      </c>
      <c r="K1381" s="21">
        <v>0</v>
      </c>
      <c r="L1381" s="20">
        <v>6</v>
      </c>
      <c r="M1381" s="20">
        <v>0</v>
      </c>
      <c r="N1381" s="20">
        <f t="shared" si="2823"/>
        <v>15000</v>
      </c>
      <c r="O1381" s="19" t="s">
        <v>75</v>
      </c>
      <c r="P1381" s="20">
        <v>861</v>
      </c>
      <c r="Q1381" s="20">
        <f t="shared" ref="Q1381:X1381" si="2832">Q1351</f>
        <v>1500</v>
      </c>
      <c r="R1381" s="20">
        <f t="shared" si="2832"/>
        <v>6000</v>
      </c>
      <c r="S1381" s="20">
        <f t="shared" si="2832"/>
        <v>10500</v>
      </c>
      <c r="T1381" s="20">
        <f t="shared" si="2832"/>
        <v>13500</v>
      </c>
      <c r="U1381" s="20">
        <f t="shared" si="2832"/>
        <v>20</v>
      </c>
      <c r="V1381" s="20">
        <f t="shared" si="2832"/>
        <v>450</v>
      </c>
      <c r="W1381" s="20">
        <f t="shared" si="2832"/>
        <v>1000</v>
      </c>
      <c r="X1381" s="20">
        <f t="shared" si="2832"/>
        <v>8</v>
      </c>
      <c r="Y1381" s="20">
        <v>0</v>
      </c>
      <c r="Z1381" s="22">
        <v>0</v>
      </c>
      <c r="AA1381" s="20">
        <f t="shared" si="2772"/>
        <v>0</v>
      </c>
      <c r="AB1381" s="20">
        <v>0</v>
      </c>
      <c r="AC1381" s="20">
        <v>0</v>
      </c>
      <c r="AD1381" s="23">
        <f t="shared" ref="AD1381:AE1381" si="2833">AD1351</f>
        <v>58</v>
      </c>
      <c r="AE1381" s="23">
        <f t="shared" si="2833"/>
        <v>62</v>
      </c>
    </row>
    <row r="1382" spans="1:31">
      <c r="A1382" s="4">
        <v>14101</v>
      </c>
      <c r="B1382" s="4">
        <v>1</v>
      </c>
      <c r="C1382" s="29" t="s">
        <v>66</v>
      </c>
      <c r="D1382" s="46">
        <v>0</v>
      </c>
      <c r="E1382" s="28">
        <v>0</v>
      </c>
      <c r="F1382" s="28">
        <f>F1352*2</f>
        <v>126</v>
      </c>
      <c r="G1382" s="28">
        <v>0</v>
      </c>
      <c r="H1382" s="47">
        <v>0</v>
      </c>
      <c r="I1382" s="21">
        <f t="shared" si="2822"/>
        <v>55</v>
      </c>
      <c r="J1382" s="21">
        <f t="shared" si="2777"/>
        <v>0</v>
      </c>
      <c r="K1382" s="21">
        <v>0</v>
      </c>
      <c r="L1382" s="20">
        <v>45</v>
      </c>
      <c r="M1382" s="20">
        <v>0</v>
      </c>
      <c r="N1382" s="20">
        <f t="shared" si="2823"/>
        <v>10</v>
      </c>
      <c r="O1382" s="19" t="s">
        <v>66</v>
      </c>
      <c r="P1382" s="20">
        <v>9400</v>
      </c>
      <c r="Q1382" s="20">
        <f t="shared" ref="Q1382:X1382" si="2834">Q1352</f>
        <v>1</v>
      </c>
      <c r="R1382" s="20">
        <f t="shared" si="2834"/>
        <v>4</v>
      </c>
      <c r="S1382" s="20">
        <f t="shared" si="2834"/>
        <v>7</v>
      </c>
      <c r="T1382" s="20">
        <f t="shared" si="2834"/>
        <v>9</v>
      </c>
      <c r="U1382" s="20">
        <f t="shared" si="2834"/>
        <v>9400</v>
      </c>
      <c r="V1382" s="20">
        <f t="shared" si="2834"/>
        <v>9400</v>
      </c>
      <c r="W1382" s="20">
        <f t="shared" si="2834"/>
        <v>9400</v>
      </c>
      <c r="X1382" s="20">
        <f t="shared" si="2834"/>
        <v>1</v>
      </c>
      <c r="Y1382" s="27">
        <v>0</v>
      </c>
      <c r="Z1382" s="30">
        <v>0</v>
      </c>
      <c r="AA1382" s="20">
        <f t="shared" si="2772"/>
        <v>0</v>
      </c>
      <c r="AB1382" s="27">
        <v>0</v>
      </c>
      <c r="AC1382" s="27">
        <v>0</v>
      </c>
      <c r="AD1382" s="23">
        <f t="shared" ref="AD1382:AE1382" si="2835">AD1352</f>
        <v>1</v>
      </c>
      <c r="AE1382" s="23">
        <f t="shared" si="2835"/>
        <v>3</v>
      </c>
    </row>
    <row r="1383" spans="1:31">
      <c r="A1383" s="4">
        <v>14101</v>
      </c>
      <c r="B1383" s="4">
        <v>2</v>
      </c>
      <c r="C1383" s="29" t="s">
        <v>67</v>
      </c>
      <c r="D1383" s="46">
        <v>0</v>
      </c>
      <c r="E1383" s="28">
        <v>0</v>
      </c>
      <c r="F1383" s="28">
        <f t="shared" ref="F1383:F1411" si="2836">F1353*2</f>
        <v>136</v>
      </c>
      <c r="G1383" s="28">
        <v>0</v>
      </c>
      <c r="H1383" s="47">
        <v>0</v>
      </c>
      <c r="I1383" s="21">
        <f t="shared" si="2822"/>
        <v>55</v>
      </c>
      <c r="J1383" s="21">
        <f t="shared" si="2777"/>
        <v>1</v>
      </c>
      <c r="K1383" s="21">
        <v>0</v>
      </c>
      <c r="L1383" s="20">
        <v>40</v>
      </c>
      <c r="M1383" s="20">
        <v>0</v>
      </c>
      <c r="N1383" s="20">
        <f t="shared" si="2823"/>
        <v>20</v>
      </c>
      <c r="O1383" s="19" t="s">
        <v>67</v>
      </c>
      <c r="P1383" s="20">
        <v>9100</v>
      </c>
      <c r="Q1383" s="20">
        <f t="shared" ref="Q1383:X1383" si="2837">Q1353</f>
        <v>2</v>
      </c>
      <c r="R1383" s="20">
        <f t="shared" si="2837"/>
        <v>8</v>
      </c>
      <c r="S1383" s="20">
        <f t="shared" si="2837"/>
        <v>14</v>
      </c>
      <c r="T1383" s="20">
        <f t="shared" si="2837"/>
        <v>18</v>
      </c>
      <c r="U1383" s="20">
        <f t="shared" si="2837"/>
        <v>4000</v>
      </c>
      <c r="V1383" s="20">
        <f t="shared" si="2837"/>
        <v>8000</v>
      </c>
      <c r="W1383" s="20">
        <f t="shared" si="2837"/>
        <v>8000</v>
      </c>
      <c r="X1383" s="20">
        <f t="shared" si="2837"/>
        <v>1</v>
      </c>
      <c r="Y1383" s="27">
        <v>0</v>
      </c>
      <c r="Z1383" s="30">
        <v>0</v>
      </c>
      <c r="AA1383" s="20">
        <f t="shared" si="2772"/>
        <v>0</v>
      </c>
      <c r="AB1383" s="27">
        <v>0</v>
      </c>
      <c r="AC1383" s="27">
        <v>0</v>
      </c>
      <c r="AD1383" s="23">
        <f t="shared" ref="AD1383:AE1383" si="2838">AD1353</f>
        <v>2</v>
      </c>
      <c r="AE1383" s="23">
        <f t="shared" si="2838"/>
        <v>5</v>
      </c>
    </row>
    <row r="1384" spans="1:31">
      <c r="A1384" s="8">
        <v>14101</v>
      </c>
      <c r="B1384" s="8">
        <v>3</v>
      </c>
      <c r="C1384" s="29" t="s">
        <v>68</v>
      </c>
      <c r="D1384" s="46">
        <v>0</v>
      </c>
      <c r="E1384" s="28">
        <v>0</v>
      </c>
      <c r="F1384" s="28">
        <f t="shared" si="2836"/>
        <v>148</v>
      </c>
      <c r="G1384" s="28">
        <v>0</v>
      </c>
      <c r="H1384" s="47">
        <v>0</v>
      </c>
      <c r="I1384" s="21">
        <f t="shared" si="2822"/>
        <v>55</v>
      </c>
      <c r="J1384" s="21">
        <f t="shared" si="2777"/>
        <v>2</v>
      </c>
      <c r="K1384" s="21">
        <v>0</v>
      </c>
      <c r="L1384" s="20">
        <v>35</v>
      </c>
      <c r="M1384" s="20">
        <v>0</v>
      </c>
      <c r="N1384" s="20">
        <f t="shared" si="2823"/>
        <v>40</v>
      </c>
      <c r="O1384" s="19" t="s">
        <v>68</v>
      </c>
      <c r="P1384" s="20">
        <v>8600</v>
      </c>
      <c r="Q1384" s="20">
        <f t="shared" ref="Q1384:X1384" si="2839">Q1354</f>
        <v>4</v>
      </c>
      <c r="R1384" s="20">
        <f t="shared" si="2839"/>
        <v>16</v>
      </c>
      <c r="S1384" s="20">
        <f t="shared" si="2839"/>
        <v>28</v>
      </c>
      <c r="T1384" s="20">
        <f t="shared" si="2839"/>
        <v>36</v>
      </c>
      <c r="U1384" s="20">
        <f t="shared" si="2839"/>
        <v>1600</v>
      </c>
      <c r="V1384" s="20">
        <f t="shared" si="2839"/>
        <v>5000</v>
      </c>
      <c r="W1384" s="20">
        <f t="shared" si="2839"/>
        <v>6000</v>
      </c>
      <c r="X1384" s="20">
        <f t="shared" si="2839"/>
        <v>1</v>
      </c>
      <c r="Y1384" s="27">
        <v>0</v>
      </c>
      <c r="Z1384" s="30">
        <v>0</v>
      </c>
      <c r="AA1384" s="20">
        <f t="shared" si="2772"/>
        <v>0</v>
      </c>
      <c r="AB1384" s="27">
        <v>0</v>
      </c>
      <c r="AC1384" s="27">
        <v>0</v>
      </c>
      <c r="AD1384" s="23">
        <f t="shared" ref="AD1384:AE1384" si="2840">AD1354</f>
        <v>4</v>
      </c>
      <c r="AE1384" s="23">
        <f t="shared" si="2840"/>
        <v>8</v>
      </c>
    </row>
    <row r="1385" spans="1:31">
      <c r="A1385" s="4">
        <v>14101</v>
      </c>
      <c r="B1385" s="4">
        <v>4</v>
      </c>
      <c r="C1385" s="29" t="s">
        <v>69</v>
      </c>
      <c r="D1385" s="46">
        <v>0</v>
      </c>
      <c r="E1385" s="28">
        <v>0</v>
      </c>
      <c r="F1385" s="28">
        <f t="shared" si="2836"/>
        <v>160</v>
      </c>
      <c r="G1385" s="28">
        <v>0</v>
      </c>
      <c r="H1385" s="47">
        <v>0</v>
      </c>
      <c r="I1385" s="21">
        <f t="shared" si="2822"/>
        <v>55</v>
      </c>
      <c r="J1385" s="21">
        <f t="shared" si="2777"/>
        <v>3</v>
      </c>
      <c r="K1385" s="21">
        <v>0</v>
      </c>
      <c r="L1385" s="20">
        <v>30</v>
      </c>
      <c r="M1385" s="20">
        <v>0</v>
      </c>
      <c r="N1385" s="20">
        <f t="shared" si="2823"/>
        <v>100</v>
      </c>
      <c r="O1385" s="19" t="s">
        <v>69</v>
      </c>
      <c r="P1385" s="20">
        <v>6400</v>
      </c>
      <c r="Q1385" s="20">
        <f t="shared" ref="Q1385:X1385" si="2841">Q1355</f>
        <v>10</v>
      </c>
      <c r="R1385" s="20">
        <f t="shared" si="2841"/>
        <v>40</v>
      </c>
      <c r="S1385" s="20">
        <f t="shared" si="2841"/>
        <v>70</v>
      </c>
      <c r="T1385" s="20">
        <f t="shared" si="2841"/>
        <v>90</v>
      </c>
      <c r="U1385" s="20">
        <f t="shared" si="2841"/>
        <v>900</v>
      </c>
      <c r="V1385" s="20">
        <f t="shared" si="2841"/>
        <v>2000</v>
      </c>
      <c r="W1385" s="20">
        <f t="shared" si="2841"/>
        <v>8000</v>
      </c>
      <c r="X1385" s="20">
        <f t="shared" si="2841"/>
        <v>1</v>
      </c>
      <c r="Y1385" s="27">
        <v>0</v>
      </c>
      <c r="Z1385" s="30">
        <v>0</v>
      </c>
      <c r="AA1385" s="20">
        <f t="shared" si="2772"/>
        <v>0</v>
      </c>
      <c r="AB1385" s="27">
        <v>0</v>
      </c>
      <c r="AC1385" s="27">
        <v>0</v>
      </c>
      <c r="AD1385" s="23">
        <f t="shared" ref="AD1385:AE1385" si="2842">AD1355</f>
        <v>6</v>
      </c>
      <c r="AE1385" s="23">
        <f t="shared" si="2842"/>
        <v>10</v>
      </c>
    </row>
    <row r="1386" spans="1:31">
      <c r="A1386" s="4">
        <v>14101</v>
      </c>
      <c r="B1386" s="4">
        <v>5</v>
      </c>
      <c r="C1386" s="29" t="s">
        <v>70</v>
      </c>
      <c r="D1386" s="46">
        <v>0</v>
      </c>
      <c r="E1386" s="28">
        <v>0</v>
      </c>
      <c r="F1386" s="28">
        <f t="shared" si="2836"/>
        <v>174</v>
      </c>
      <c r="G1386" s="28">
        <v>0</v>
      </c>
      <c r="H1386" s="47">
        <v>0</v>
      </c>
      <c r="I1386" s="21">
        <f t="shared" si="2822"/>
        <v>110</v>
      </c>
      <c r="J1386" s="21">
        <f t="shared" si="2777"/>
        <v>4</v>
      </c>
      <c r="K1386" s="21">
        <v>0</v>
      </c>
      <c r="L1386" s="20">
        <v>25</v>
      </c>
      <c r="M1386" s="20">
        <v>0</v>
      </c>
      <c r="N1386" s="20">
        <f t="shared" si="2823"/>
        <v>200</v>
      </c>
      <c r="O1386" s="19" t="s">
        <v>70</v>
      </c>
      <c r="P1386" s="20">
        <v>3100</v>
      </c>
      <c r="Q1386" s="20">
        <f t="shared" ref="Q1386:X1386" si="2843">Q1356</f>
        <v>20</v>
      </c>
      <c r="R1386" s="20">
        <f t="shared" si="2843"/>
        <v>80</v>
      </c>
      <c r="S1386" s="20">
        <f t="shared" si="2843"/>
        <v>140</v>
      </c>
      <c r="T1386" s="20">
        <f t="shared" si="2843"/>
        <v>180</v>
      </c>
      <c r="U1386" s="20">
        <f t="shared" si="2843"/>
        <v>1000</v>
      </c>
      <c r="V1386" s="20">
        <f t="shared" si="2843"/>
        <v>2000</v>
      </c>
      <c r="W1386" s="20">
        <f t="shared" si="2843"/>
        <v>2000</v>
      </c>
      <c r="X1386" s="20">
        <f t="shared" si="2843"/>
        <v>2</v>
      </c>
      <c r="Y1386" s="27">
        <v>0</v>
      </c>
      <c r="Z1386" s="30">
        <v>0</v>
      </c>
      <c r="AA1386" s="20">
        <f t="shared" si="2772"/>
        <v>0</v>
      </c>
      <c r="AB1386" s="27">
        <v>0</v>
      </c>
      <c r="AC1386" s="27">
        <v>0</v>
      </c>
      <c r="AD1386" s="23">
        <f t="shared" ref="AD1386:AE1386" si="2844">AD1356</f>
        <v>8</v>
      </c>
      <c r="AE1386" s="23">
        <f t="shared" si="2844"/>
        <v>12</v>
      </c>
    </row>
    <row r="1387" spans="1:31">
      <c r="A1387" s="4">
        <v>14101</v>
      </c>
      <c r="B1387" s="4">
        <v>6</v>
      </c>
      <c r="C1387" s="29" t="s">
        <v>71</v>
      </c>
      <c r="D1387" s="46">
        <v>0</v>
      </c>
      <c r="E1387" s="28">
        <v>0</v>
      </c>
      <c r="F1387" s="28">
        <f t="shared" si="2836"/>
        <v>188</v>
      </c>
      <c r="G1387" s="28">
        <v>0</v>
      </c>
      <c r="H1387" s="47">
        <v>0</v>
      </c>
      <c r="I1387" s="21">
        <f t="shared" si="2822"/>
        <v>110</v>
      </c>
      <c r="J1387" s="21">
        <f t="shared" si="2777"/>
        <v>5</v>
      </c>
      <c r="K1387" s="21">
        <v>0</v>
      </c>
      <c r="L1387" s="20">
        <v>20</v>
      </c>
      <c r="M1387" s="20">
        <v>0</v>
      </c>
      <c r="N1387" s="20">
        <f t="shared" si="2823"/>
        <v>500</v>
      </c>
      <c r="O1387" s="19" t="s">
        <v>71</v>
      </c>
      <c r="P1387" s="20">
        <v>1777</v>
      </c>
      <c r="Q1387" s="20">
        <f t="shared" ref="Q1387:X1387" si="2845">Q1357</f>
        <v>50</v>
      </c>
      <c r="R1387" s="20">
        <f t="shared" si="2845"/>
        <v>200</v>
      </c>
      <c r="S1387" s="20">
        <f t="shared" si="2845"/>
        <v>350</v>
      </c>
      <c r="T1387" s="20">
        <f t="shared" si="2845"/>
        <v>450</v>
      </c>
      <c r="U1387" s="20">
        <f t="shared" si="2845"/>
        <v>800</v>
      </c>
      <c r="V1387" s="20">
        <f t="shared" si="2845"/>
        <v>800</v>
      </c>
      <c r="W1387" s="20">
        <f t="shared" si="2845"/>
        <v>600</v>
      </c>
      <c r="X1387" s="20">
        <f t="shared" si="2845"/>
        <v>2</v>
      </c>
      <c r="Y1387" s="27">
        <v>0</v>
      </c>
      <c r="Z1387" s="30">
        <v>0</v>
      </c>
      <c r="AA1387" s="20">
        <f t="shared" si="2772"/>
        <v>0</v>
      </c>
      <c r="AB1387" s="27">
        <v>0</v>
      </c>
      <c r="AC1387" s="27">
        <v>0</v>
      </c>
      <c r="AD1387" s="23">
        <f t="shared" ref="AD1387:AE1387" si="2846">AD1357</f>
        <v>10</v>
      </c>
      <c r="AE1387" s="23">
        <f t="shared" si="2846"/>
        <v>14</v>
      </c>
    </row>
    <row r="1388" spans="1:31">
      <c r="A1388" s="4">
        <v>14101</v>
      </c>
      <c r="B1388" s="4">
        <v>7</v>
      </c>
      <c r="C1388" s="29" t="s">
        <v>72</v>
      </c>
      <c r="D1388" s="46">
        <v>0</v>
      </c>
      <c r="E1388" s="28">
        <v>0</v>
      </c>
      <c r="F1388" s="28">
        <f t="shared" si="2836"/>
        <v>202</v>
      </c>
      <c r="G1388" s="28">
        <v>0</v>
      </c>
      <c r="H1388" s="47">
        <v>0</v>
      </c>
      <c r="I1388" s="21">
        <f t="shared" si="2822"/>
        <v>110</v>
      </c>
      <c r="J1388" s="21">
        <f t="shared" si="2777"/>
        <v>6</v>
      </c>
      <c r="K1388" s="21">
        <v>0</v>
      </c>
      <c r="L1388" s="20">
        <v>16</v>
      </c>
      <c r="M1388" s="20">
        <v>0</v>
      </c>
      <c r="N1388" s="20">
        <f t="shared" si="2823"/>
        <v>700</v>
      </c>
      <c r="O1388" s="19" t="s">
        <v>72</v>
      </c>
      <c r="P1388" s="20">
        <v>2332</v>
      </c>
      <c r="Q1388" s="20">
        <f t="shared" ref="Q1388:X1388" si="2847">Q1358</f>
        <v>70</v>
      </c>
      <c r="R1388" s="20">
        <f t="shared" si="2847"/>
        <v>280</v>
      </c>
      <c r="S1388" s="20">
        <f t="shared" si="2847"/>
        <v>489.99999999999994</v>
      </c>
      <c r="T1388" s="20">
        <f t="shared" si="2847"/>
        <v>630</v>
      </c>
      <c r="U1388" s="20">
        <f t="shared" si="2847"/>
        <v>650</v>
      </c>
      <c r="V1388" s="20">
        <f t="shared" si="2847"/>
        <v>800</v>
      </c>
      <c r="W1388" s="20">
        <f t="shared" si="2847"/>
        <v>300</v>
      </c>
      <c r="X1388" s="20">
        <f t="shared" si="2847"/>
        <v>2</v>
      </c>
      <c r="Y1388" s="27">
        <v>0</v>
      </c>
      <c r="Z1388" s="30">
        <v>0</v>
      </c>
      <c r="AA1388" s="20">
        <f t="shared" si="2772"/>
        <v>0</v>
      </c>
      <c r="AB1388" s="27">
        <v>0</v>
      </c>
      <c r="AC1388" s="27">
        <v>0</v>
      </c>
      <c r="AD1388" s="23">
        <f t="shared" ref="AD1388:AE1388" si="2848">AD1358</f>
        <v>12</v>
      </c>
      <c r="AE1388" s="23">
        <f t="shared" si="2848"/>
        <v>16</v>
      </c>
    </row>
    <row r="1389" spans="1:31">
      <c r="A1389" s="4">
        <v>14101</v>
      </c>
      <c r="B1389" s="4">
        <v>8</v>
      </c>
      <c r="C1389" s="29" t="s">
        <v>73</v>
      </c>
      <c r="D1389" s="46">
        <v>0</v>
      </c>
      <c r="E1389" s="28">
        <v>0</v>
      </c>
      <c r="F1389" s="28">
        <f t="shared" si="2836"/>
        <v>220</v>
      </c>
      <c r="G1389" s="28">
        <v>0</v>
      </c>
      <c r="H1389" s="47">
        <v>0</v>
      </c>
      <c r="I1389" s="21">
        <f t="shared" si="2822"/>
        <v>110</v>
      </c>
      <c r="J1389" s="21">
        <f t="shared" si="2777"/>
        <v>7</v>
      </c>
      <c r="K1389" s="21">
        <v>0</v>
      </c>
      <c r="L1389" s="20">
        <v>12</v>
      </c>
      <c r="M1389" s="20">
        <v>0</v>
      </c>
      <c r="N1389" s="20">
        <f t="shared" si="2823"/>
        <v>800</v>
      </c>
      <c r="O1389" s="19" t="s">
        <v>73</v>
      </c>
      <c r="P1389" s="20">
        <v>1487</v>
      </c>
      <c r="Q1389" s="20">
        <f t="shared" ref="Q1389:X1389" si="2849">Q1359</f>
        <v>80</v>
      </c>
      <c r="R1389" s="20">
        <f t="shared" si="2849"/>
        <v>320</v>
      </c>
      <c r="S1389" s="20">
        <f t="shared" si="2849"/>
        <v>560</v>
      </c>
      <c r="T1389" s="20">
        <f t="shared" si="2849"/>
        <v>720</v>
      </c>
      <c r="U1389" s="20">
        <f t="shared" si="2849"/>
        <v>200</v>
      </c>
      <c r="V1389" s="20">
        <f t="shared" si="2849"/>
        <v>2000</v>
      </c>
      <c r="W1389" s="20">
        <f t="shared" si="2849"/>
        <v>1000</v>
      </c>
      <c r="X1389" s="20">
        <f t="shared" si="2849"/>
        <v>2</v>
      </c>
      <c r="Y1389" s="27">
        <v>0</v>
      </c>
      <c r="Z1389" s="30">
        <v>0</v>
      </c>
      <c r="AA1389" s="20">
        <f t="shared" si="2772"/>
        <v>33</v>
      </c>
      <c r="AB1389" s="27">
        <v>0</v>
      </c>
      <c r="AC1389" s="27">
        <v>0</v>
      </c>
      <c r="AD1389" s="23">
        <f t="shared" ref="AD1389:AE1389" si="2850">AD1359</f>
        <v>14</v>
      </c>
      <c r="AE1389" s="23">
        <f t="shared" si="2850"/>
        <v>18</v>
      </c>
    </row>
    <row r="1390" spans="1:31">
      <c r="A1390" s="4">
        <v>14101</v>
      </c>
      <c r="B1390" s="4">
        <v>9</v>
      </c>
      <c r="C1390" s="29" t="s">
        <v>74</v>
      </c>
      <c r="D1390" s="46">
        <v>0</v>
      </c>
      <c r="E1390" s="28">
        <v>0</v>
      </c>
      <c r="F1390" s="28">
        <f t="shared" si="2836"/>
        <v>238</v>
      </c>
      <c r="G1390" s="28">
        <v>0</v>
      </c>
      <c r="H1390" s="47">
        <v>0</v>
      </c>
      <c r="I1390" s="21">
        <f t="shared" si="2822"/>
        <v>165</v>
      </c>
      <c r="J1390" s="21">
        <f t="shared" si="2777"/>
        <v>8</v>
      </c>
      <c r="K1390" s="21">
        <v>0</v>
      </c>
      <c r="L1390" s="20">
        <v>8</v>
      </c>
      <c r="M1390" s="20">
        <v>0</v>
      </c>
      <c r="N1390" s="20">
        <f t="shared" si="2823"/>
        <v>900</v>
      </c>
      <c r="O1390" s="19" t="s">
        <v>74</v>
      </c>
      <c r="P1390" s="20">
        <v>1518</v>
      </c>
      <c r="Q1390" s="20">
        <f t="shared" ref="Q1390:X1390" si="2851">Q1360</f>
        <v>90</v>
      </c>
      <c r="R1390" s="20">
        <f t="shared" si="2851"/>
        <v>360</v>
      </c>
      <c r="S1390" s="20">
        <f t="shared" si="2851"/>
        <v>630</v>
      </c>
      <c r="T1390" s="20">
        <f t="shared" si="2851"/>
        <v>810</v>
      </c>
      <c r="U1390" s="20">
        <f t="shared" si="2851"/>
        <v>120</v>
      </c>
      <c r="V1390" s="20">
        <f t="shared" si="2851"/>
        <v>1500</v>
      </c>
      <c r="W1390" s="20">
        <f t="shared" si="2851"/>
        <v>1000</v>
      </c>
      <c r="X1390" s="20">
        <f t="shared" si="2851"/>
        <v>3</v>
      </c>
      <c r="Y1390" s="27">
        <v>0</v>
      </c>
      <c r="Z1390" s="30">
        <v>0</v>
      </c>
      <c r="AA1390" s="20">
        <f t="shared" si="2772"/>
        <v>0</v>
      </c>
      <c r="AB1390" s="27">
        <v>0</v>
      </c>
      <c r="AC1390" s="27">
        <v>0</v>
      </c>
      <c r="AD1390" s="23">
        <f t="shared" ref="AD1390:AE1390" si="2852">AD1360</f>
        <v>16</v>
      </c>
      <c r="AE1390" s="23">
        <f t="shared" si="2852"/>
        <v>20</v>
      </c>
    </row>
    <row r="1391" spans="1:31">
      <c r="A1391" s="4">
        <v>14101</v>
      </c>
      <c r="B1391" s="4">
        <v>10</v>
      </c>
      <c r="C1391" s="29" t="s">
        <v>75</v>
      </c>
      <c r="D1391" s="46">
        <v>0</v>
      </c>
      <c r="E1391" s="28">
        <v>0</v>
      </c>
      <c r="F1391" s="28">
        <f t="shared" si="2836"/>
        <v>258</v>
      </c>
      <c r="G1391" s="28">
        <v>0</v>
      </c>
      <c r="H1391" s="47">
        <v>0</v>
      </c>
      <c r="I1391" s="21">
        <f t="shared" si="2822"/>
        <v>165</v>
      </c>
      <c r="J1391" s="21">
        <f t="shared" si="2777"/>
        <v>9</v>
      </c>
      <c r="K1391" s="21">
        <v>0</v>
      </c>
      <c r="L1391" s="20">
        <v>6</v>
      </c>
      <c r="M1391" s="20">
        <v>0</v>
      </c>
      <c r="N1391" s="20">
        <f t="shared" si="2823"/>
        <v>2000</v>
      </c>
      <c r="O1391" s="19" t="s">
        <v>75</v>
      </c>
      <c r="P1391" s="20">
        <v>861</v>
      </c>
      <c r="Q1391" s="20">
        <f t="shared" ref="Q1391:X1391" si="2853">Q1361</f>
        <v>200</v>
      </c>
      <c r="R1391" s="20">
        <f t="shared" si="2853"/>
        <v>800</v>
      </c>
      <c r="S1391" s="20">
        <f t="shared" si="2853"/>
        <v>1400</v>
      </c>
      <c r="T1391" s="20">
        <f t="shared" si="2853"/>
        <v>1800</v>
      </c>
      <c r="U1391" s="20">
        <f t="shared" si="2853"/>
        <v>150</v>
      </c>
      <c r="V1391" s="20">
        <f t="shared" si="2853"/>
        <v>5000</v>
      </c>
      <c r="W1391" s="20">
        <f t="shared" si="2853"/>
        <v>800</v>
      </c>
      <c r="X1391" s="20">
        <f t="shared" si="2853"/>
        <v>3</v>
      </c>
      <c r="Y1391" s="27">
        <v>0</v>
      </c>
      <c r="Z1391" s="30">
        <v>0</v>
      </c>
      <c r="AA1391" s="20">
        <f t="shared" si="2772"/>
        <v>0</v>
      </c>
      <c r="AB1391" s="27">
        <v>0</v>
      </c>
      <c r="AC1391" s="27">
        <v>0</v>
      </c>
      <c r="AD1391" s="23">
        <f t="shared" ref="AD1391:AE1391" si="2854">AD1361</f>
        <v>18</v>
      </c>
      <c r="AE1391" s="23">
        <f t="shared" si="2854"/>
        <v>22</v>
      </c>
    </row>
    <row r="1392" spans="1:31">
      <c r="A1392" s="4">
        <v>14101</v>
      </c>
      <c r="B1392" s="4">
        <v>11</v>
      </c>
      <c r="C1392" s="29" t="s">
        <v>66</v>
      </c>
      <c r="D1392" s="46">
        <v>0</v>
      </c>
      <c r="E1392" s="28">
        <v>0</v>
      </c>
      <c r="F1392" s="28">
        <f t="shared" si="2836"/>
        <v>278</v>
      </c>
      <c r="G1392" s="28">
        <v>0</v>
      </c>
      <c r="H1392" s="47">
        <v>0</v>
      </c>
      <c r="I1392" s="21">
        <f t="shared" si="2822"/>
        <v>165</v>
      </c>
      <c r="J1392" s="21">
        <f t="shared" si="2777"/>
        <v>10</v>
      </c>
      <c r="K1392" s="21">
        <v>0</v>
      </c>
      <c r="L1392" s="20">
        <v>6</v>
      </c>
      <c r="M1392" s="20">
        <v>0</v>
      </c>
      <c r="N1392" s="20">
        <f t="shared" si="2823"/>
        <v>2200</v>
      </c>
      <c r="O1392" s="19" t="s">
        <v>66</v>
      </c>
      <c r="P1392" s="20">
        <v>9400</v>
      </c>
      <c r="Q1392" s="20">
        <f t="shared" ref="Q1392:X1392" si="2855">Q1362</f>
        <v>220</v>
      </c>
      <c r="R1392" s="20">
        <f t="shared" si="2855"/>
        <v>880</v>
      </c>
      <c r="S1392" s="20">
        <f t="shared" si="2855"/>
        <v>1540</v>
      </c>
      <c r="T1392" s="20">
        <f t="shared" si="2855"/>
        <v>1980</v>
      </c>
      <c r="U1392" s="20">
        <f t="shared" si="2855"/>
        <v>100</v>
      </c>
      <c r="V1392" s="20">
        <f t="shared" si="2855"/>
        <v>800</v>
      </c>
      <c r="W1392" s="20">
        <f t="shared" si="2855"/>
        <v>600</v>
      </c>
      <c r="X1392" s="20">
        <f t="shared" si="2855"/>
        <v>3</v>
      </c>
      <c r="Y1392" s="27">
        <v>0</v>
      </c>
      <c r="Z1392" s="30">
        <v>0</v>
      </c>
      <c r="AA1392" s="20">
        <f t="shared" si="2772"/>
        <v>0</v>
      </c>
      <c r="AB1392" s="27">
        <v>0</v>
      </c>
      <c r="AC1392" s="27">
        <v>0</v>
      </c>
      <c r="AD1392" s="23">
        <f t="shared" ref="AD1392:AE1392" si="2856">AD1362</f>
        <v>20</v>
      </c>
      <c r="AE1392" s="23">
        <f t="shared" si="2856"/>
        <v>24</v>
      </c>
    </row>
    <row r="1393" spans="1:31">
      <c r="A1393" s="4">
        <v>14101</v>
      </c>
      <c r="B1393" s="4">
        <v>12</v>
      </c>
      <c r="C1393" s="29" t="s">
        <v>67</v>
      </c>
      <c r="D1393" s="46">
        <v>0</v>
      </c>
      <c r="E1393" s="28">
        <v>0</v>
      </c>
      <c r="F1393" s="28">
        <f t="shared" si="2836"/>
        <v>302</v>
      </c>
      <c r="G1393" s="28">
        <v>0</v>
      </c>
      <c r="H1393" s="47">
        <v>0</v>
      </c>
      <c r="I1393" s="21">
        <f t="shared" si="2822"/>
        <v>165</v>
      </c>
      <c r="J1393" s="21">
        <f t="shared" si="2777"/>
        <v>11</v>
      </c>
      <c r="K1393" s="21">
        <v>0</v>
      </c>
      <c r="L1393" s="20">
        <v>6</v>
      </c>
      <c r="M1393" s="20">
        <v>0</v>
      </c>
      <c r="N1393" s="20">
        <f t="shared" si="2823"/>
        <v>2400</v>
      </c>
      <c r="O1393" s="19" t="s">
        <v>67</v>
      </c>
      <c r="P1393" s="20">
        <v>9100</v>
      </c>
      <c r="Q1393" s="20">
        <f t="shared" ref="Q1393:X1393" si="2857">Q1363</f>
        <v>240</v>
      </c>
      <c r="R1393" s="20">
        <f t="shared" si="2857"/>
        <v>960</v>
      </c>
      <c r="S1393" s="20">
        <f t="shared" si="2857"/>
        <v>1680</v>
      </c>
      <c r="T1393" s="20">
        <f t="shared" si="2857"/>
        <v>2160</v>
      </c>
      <c r="U1393" s="20">
        <f t="shared" si="2857"/>
        <v>150</v>
      </c>
      <c r="V1393" s="20">
        <f t="shared" si="2857"/>
        <v>700</v>
      </c>
      <c r="W1393" s="20">
        <f t="shared" si="2857"/>
        <v>900</v>
      </c>
      <c r="X1393" s="20">
        <f t="shared" si="2857"/>
        <v>3</v>
      </c>
      <c r="Y1393" s="27">
        <v>0</v>
      </c>
      <c r="Z1393" s="30">
        <v>0</v>
      </c>
      <c r="AA1393" s="20">
        <f t="shared" si="2772"/>
        <v>0</v>
      </c>
      <c r="AB1393" s="27">
        <v>0</v>
      </c>
      <c r="AC1393" s="27">
        <v>0</v>
      </c>
      <c r="AD1393" s="23">
        <f t="shared" ref="AD1393:AE1393" si="2858">AD1363</f>
        <v>22</v>
      </c>
      <c r="AE1393" s="23">
        <f t="shared" si="2858"/>
        <v>26</v>
      </c>
    </row>
    <row r="1394" spans="1:31">
      <c r="A1394" s="4">
        <v>14101</v>
      </c>
      <c r="B1394" s="4">
        <v>13</v>
      </c>
      <c r="C1394" s="29" t="s">
        <v>68</v>
      </c>
      <c r="D1394" s="46">
        <v>0</v>
      </c>
      <c r="E1394" s="28">
        <v>0</v>
      </c>
      <c r="F1394" s="28">
        <f t="shared" si="2836"/>
        <v>326</v>
      </c>
      <c r="G1394" s="28">
        <v>0</v>
      </c>
      <c r="H1394" s="47">
        <v>0</v>
      </c>
      <c r="I1394" s="21">
        <f t="shared" si="2822"/>
        <v>220</v>
      </c>
      <c r="J1394" s="21">
        <f t="shared" si="2777"/>
        <v>12</v>
      </c>
      <c r="K1394" s="21">
        <v>0</v>
      </c>
      <c r="L1394" s="20">
        <v>6</v>
      </c>
      <c r="M1394" s="20">
        <v>0</v>
      </c>
      <c r="N1394" s="20">
        <f t="shared" si="2823"/>
        <v>2600</v>
      </c>
      <c r="O1394" s="19" t="s">
        <v>68</v>
      </c>
      <c r="P1394" s="20">
        <v>8600</v>
      </c>
      <c r="Q1394" s="20">
        <f t="shared" ref="Q1394:X1394" si="2859">Q1364</f>
        <v>260</v>
      </c>
      <c r="R1394" s="20">
        <f t="shared" si="2859"/>
        <v>1040</v>
      </c>
      <c r="S1394" s="20">
        <f t="shared" si="2859"/>
        <v>1819.9999999999998</v>
      </c>
      <c r="T1394" s="20">
        <f t="shared" si="2859"/>
        <v>2340</v>
      </c>
      <c r="U1394" s="20">
        <f t="shared" si="2859"/>
        <v>100</v>
      </c>
      <c r="V1394" s="20">
        <f t="shared" si="2859"/>
        <v>700</v>
      </c>
      <c r="W1394" s="20">
        <f t="shared" si="2859"/>
        <v>1000</v>
      </c>
      <c r="X1394" s="20">
        <f t="shared" si="2859"/>
        <v>4</v>
      </c>
      <c r="Y1394" s="27">
        <v>0</v>
      </c>
      <c r="Z1394" s="30">
        <v>0</v>
      </c>
      <c r="AA1394" s="20">
        <f t="shared" si="2772"/>
        <v>69</v>
      </c>
      <c r="AB1394" s="27">
        <v>0</v>
      </c>
      <c r="AC1394" s="27">
        <v>0</v>
      </c>
      <c r="AD1394" s="23">
        <f t="shared" ref="AD1394:AE1394" si="2860">AD1364</f>
        <v>24</v>
      </c>
      <c r="AE1394" s="23">
        <f t="shared" si="2860"/>
        <v>28</v>
      </c>
    </row>
    <row r="1395" spans="1:31">
      <c r="A1395" s="4">
        <v>14101</v>
      </c>
      <c r="B1395" s="4">
        <v>14</v>
      </c>
      <c r="C1395" s="29" t="s">
        <v>69</v>
      </c>
      <c r="D1395" s="46">
        <v>0</v>
      </c>
      <c r="E1395" s="28">
        <v>0</v>
      </c>
      <c r="F1395" s="28">
        <f t="shared" si="2836"/>
        <v>354</v>
      </c>
      <c r="G1395" s="28">
        <v>0</v>
      </c>
      <c r="H1395" s="47">
        <v>0</v>
      </c>
      <c r="I1395" s="21">
        <f t="shared" si="2822"/>
        <v>220</v>
      </c>
      <c r="J1395" s="21">
        <f t="shared" si="2777"/>
        <v>13</v>
      </c>
      <c r="K1395" s="21">
        <v>0</v>
      </c>
      <c r="L1395" s="20">
        <v>6</v>
      </c>
      <c r="M1395" s="20">
        <v>0</v>
      </c>
      <c r="N1395" s="20">
        <f t="shared" si="2823"/>
        <v>2800</v>
      </c>
      <c r="O1395" s="19" t="s">
        <v>69</v>
      </c>
      <c r="P1395" s="20">
        <v>6400</v>
      </c>
      <c r="Q1395" s="20">
        <f t="shared" ref="Q1395:X1395" si="2861">Q1365</f>
        <v>280</v>
      </c>
      <c r="R1395" s="20">
        <f t="shared" si="2861"/>
        <v>1120</v>
      </c>
      <c r="S1395" s="20">
        <f t="shared" si="2861"/>
        <v>1959.9999999999998</v>
      </c>
      <c r="T1395" s="20">
        <f t="shared" si="2861"/>
        <v>2520</v>
      </c>
      <c r="U1395" s="20">
        <f t="shared" si="2861"/>
        <v>100</v>
      </c>
      <c r="V1395" s="20">
        <f t="shared" si="2861"/>
        <v>400</v>
      </c>
      <c r="W1395" s="20">
        <f t="shared" si="2861"/>
        <v>1200</v>
      </c>
      <c r="X1395" s="20">
        <f t="shared" si="2861"/>
        <v>4</v>
      </c>
      <c r="Y1395" s="27">
        <v>0</v>
      </c>
      <c r="Z1395" s="30">
        <v>0</v>
      </c>
      <c r="AA1395" s="20">
        <f t="shared" si="2772"/>
        <v>0</v>
      </c>
      <c r="AB1395" s="27">
        <v>0</v>
      </c>
      <c r="AC1395" s="27">
        <v>0</v>
      </c>
      <c r="AD1395" s="23">
        <f t="shared" ref="AD1395:AE1395" si="2862">AD1365</f>
        <v>26</v>
      </c>
      <c r="AE1395" s="23">
        <f t="shared" si="2862"/>
        <v>30</v>
      </c>
    </row>
    <row r="1396" spans="1:31">
      <c r="A1396" s="8">
        <v>14101</v>
      </c>
      <c r="B1396" s="8">
        <v>15</v>
      </c>
      <c r="C1396" s="29" t="s">
        <v>70</v>
      </c>
      <c r="D1396" s="46">
        <v>0</v>
      </c>
      <c r="E1396" s="28">
        <v>0</v>
      </c>
      <c r="F1396" s="28">
        <f t="shared" si="2836"/>
        <v>382</v>
      </c>
      <c r="G1396" s="28">
        <v>0</v>
      </c>
      <c r="H1396" s="47">
        <v>0</v>
      </c>
      <c r="I1396" s="21">
        <f t="shared" si="2822"/>
        <v>220</v>
      </c>
      <c r="J1396" s="21">
        <f t="shared" si="2777"/>
        <v>14</v>
      </c>
      <c r="K1396" s="21">
        <v>0</v>
      </c>
      <c r="L1396" s="20">
        <v>6</v>
      </c>
      <c r="M1396" s="20">
        <v>0</v>
      </c>
      <c r="N1396" s="20">
        <f t="shared" si="2823"/>
        <v>4500</v>
      </c>
      <c r="O1396" s="19" t="s">
        <v>70</v>
      </c>
      <c r="P1396" s="20">
        <v>3100</v>
      </c>
      <c r="Q1396" s="20">
        <f t="shared" ref="Q1396:X1396" si="2863">Q1366</f>
        <v>450</v>
      </c>
      <c r="R1396" s="20">
        <f t="shared" si="2863"/>
        <v>1800</v>
      </c>
      <c r="S1396" s="20">
        <f t="shared" si="2863"/>
        <v>3150</v>
      </c>
      <c r="T1396" s="20">
        <f t="shared" si="2863"/>
        <v>4050</v>
      </c>
      <c r="U1396" s="20">
        <f t="shared" si="2863"/>
        <v>100</v>
      </c>
      <c r="V1396" s="20">
        <f t="shared" si="2863"/>
        <v>1000</v>
      </c>
      <c r="W1396" s="20">
        <f t="shared" si="2863"/>
        <v>600</v>
      </c>
      <c r="X1396" s="20">
        <f t="shared" si="2863"/>
        <v>4</v>
      </c>
      <c r="Y1396" s="27">
        <v>0</v>
      </c>
      <c r="Z1396" s="30">
        <v>0</v>
      </c>
      <c r="AA1396" s="20">
        <f t="shared" si="2772"/>
        <v>0</v>
      </c>
      <c r="AB1396" s="27">
        <v>0</v>
      </c>
      <c r="AC1396" s="27">
        <v>0</v>
      </c>
      <c r="AD1396" s="23">
        <f t="shared" ref="AD1396:AE1396" si="2864">AD1366</f>
        <v>28</v>
      </c>
      <c r="AE1396" s="23">
        <f t="shared" si="2864"/>
        <v>32</v>
      </c>
    </row>
    <row r="1397" spans="1:31">
      <c r="A1397" s="4">
        <v>14101</v>
      </c>
      <c r="B1397" s="4">
        <v>16</v>
      </c>
      <c r="C1397" s="29" t="s">
        <v>71</v>
      </c>
      <c r="D1397" s="46">
        <v>0</v>
      </c>
      <c r="E1397" s="28">
        <v>0</v>
      </c>
      <c r="F1397" s="28">
        <f t="shared" si="2836"/>
        <v>414</v>
      </c>
      <c r="G1397" s="28">
        <v>0</v>
      </c>
      <c r="H1397" s="47">
        <v>0</v>
      </c>
      <c r="I1397" s="21">
        <f t="shared" si="2822"/>
        <v>220</v>
      </c>
      <c r="J1397" s="21">
        <f t="shared" si="2777"/>
        <v>15</v>
      </c>
      <c r="K1397" s="21">
        <v>0</v>
      </c>
      <c r="L1397" s="20">
        <v>6</v>
      </c>
      <c r="M1397" s="20">
        <v>0</v>
      </c>
      <c r="N1397" s="20">
        <f t="shared" si="2823"/>
        <v>4800</v>
      </c>
      <c r="O1397" s="19" t="s">
        <v>71</v>
      </c>
      <c r="P1397" s="20">
        <v>1777</v>
      </c>
      <c r="Q1397" s="20">
        <f t="shared" ref="Q1397:X1397" si="2865">Q1367</f>
        <v>480</v>
      </c>
      <c r="R1397" s="20">
        <f t="shared" si="2865"/>
        <v>1920</v>
      </c>
      <c r="S1397" s="20">
        <f t="shared" si="2865"/>
        <v>3360</v>
      </c>
      <c r="T1397" s="20">
        <f t="shared" si="2865"/>
        <v>4320</v>
      </c>
      <c r="U1397" s="20">
        <f t="shared" si="2865"/>
        <v>100</v>
      </c>
      <c r="V1397" s="20">
        <f t="shared" si="2865"/>
        <v>800</v>
      </c>
      <c r="W1397" s="20">
        <f t="shared" si="2865"/>
        <v>800</v>
      </c>
      <c r="X1397" s="20">
        <f t="shared" si="2865"/>
        <v>4</v>
      </c>
      <c r="Y1397" s="27">
        <v>0</v>
      </c>
      <c r="Z1397" s="30">
        <v>0</v>
      </c>
      <c r="AA1397" s="20">
        <f t="shared" si="2772"/>
        <v>0</v>
      </c>
      <c r="AB1397" s="27">
        <v>0</v>
      </c>
      <c r="AC1397" s="27">
        <v>0</v>
      </c>
      <c r="AD1397" s="23">
        <f t="shared" ref="AD1397:AE1397" si="2866">AD1367</f>
        <v>30</v>
      </c>
      <c r="AE1397" s="23">
        <f t="shared" si="2866"/>
        <v>34</v>
      </c>
    </row>
    <row r="1398" spans="1:31">
      <c r="A1398" s="4">
        <v>14101</v>
      </c>
      <c r="B1398" s="4">
        <v>17</v>
      </c>
      <c r="C1398" s="29" t="s">
        <v>72</v>
      </c>
      <c r="D1398" s="46">
        <v>0</v>
      </c>
      <c r="E1398" s="28">
        <v>0</v>
      </c>
      <c r="F1398" s="28">
        <f t="shared" si="2836"/>
        <v>448</v>
      </c>
      <c r="G1398" s="28">
        <v>0</v>
      </c>
      <c r="H1398" s="47">
        <v>0</v>
      </c>
      <c r="I1398" s="21">
        <f t="shared" si="2822"/>
        <v>275</v>
      </c>
      <c r="J1398" s="21">
        <f t="shared" si="2777"/>
        <v>16</v>
      </c>
      <c r="K1398" s="21">
        <v>0</v>
      </c>
      <c r="L1398" s="20">
        <v>6</v>
      </c>
      <c r="M1398" s="20">
        <v>0</v>
      </c>
      <c r="N1398" s="20">
        <f t="shared" si="2823"/>
        <v>5100</v>
      </c>
      <c r="O1398" s="19" t="s">
        <v>72</v>
      </c>
      <c r="P1398" s="20">
        <v>2332</v>
      </c>
      <c r="Q1398" s="20">
        <f t="shared" ref="Q1398:X1398" si="2867">Q1368</f>
        <v>510</v>
      </c>
      <c r="R1398" s="20">
        <f t="shared" si="2867"/>
        <v>2040</v>
      </c>
      <c r="S1398" s="20">
        <f t="shared" si="2867"/>
        <v>3570</v>
      </c>
      <c r="T1398" s="20">
        <f t="shared" si="2867"/>
        <v>4590</v>
      </c>
      <c r="U1398" s="20">
        <f t="shared" si="2867"/>
        <v>80</v>
      </c>
      <c r="V1398" s="20">
        <f t="shared" si="2867"/>
        <v>800</v>
      </c>
      <c r="W1398" s="20">
        <f t="shared" si="2867"/>
        <v>600</v>
      </c>
      <c r="X1398" s="20">
        <f t="shared" si="2867"/>
        <v>5</v>
      </c>
      <c r="Y1398" s="27">
        <v>0</v>
      </c>
      <c r="Z1398" s="30">
        <v>0</v>
      </c>
      <c r="AA1398" s="20">
        <f t="shared" si="2772"/>
        <v>0</v>
      </c>
      <c r="AB1398" s="27">
        <v>0</v>
      </c>
      <c r="AC1398" s="27">
        <v>0</v>
      </c>
      <c r="AD1398" s="23">
        <f t="shared" ref="AD1398:AE1398" si="2868">AD1368</f>
        <v>32</v>
      </c>
      <c r="AE1398" s="23">
        <f t="shared" si="2868"/>
        <v>36</v>
      </c>
    </row>
    <row r="1399" spans="1:31">
      <c r="A1399" s="4">
        <v>14101</v>
      </c>
      <c r="B1399" s="4">
        <v>18</v>
      </c>
      <c r="C1399" s="29" t="s">
        <v>73</v>
      </c>
      <c r="D1399" s="46">
        <v>0</v>
      </c>
      <c r="E1399" s="28">
        <v>0</v>
      </c>
      <c r="F1399" s="28">
        <f t="shared" si="2836"/>
        <v>486</v>
      </c>
      <c r="G1399" s="28">
        <v>0</v>
      </c>
      <c r="H1399" s="47">
        <v>0</v>
      </c>
      <c r="I1399" s="21">
        <f t="shared" si="2822"/>
        <v>275</v>
      </c>
      <c r="J1399" s="21">
        <f t="shared" si="2777"/>
        <v>17</v>
      </c>
      <c r="K1399" s="21">
        <v>0</v>
      </c>
      <c r="L1399" s="20">
        <v>6</v>
      </c>
      <c r="M1399" s="20">
        <v>0</v>
      </c>
      <c r="N1399" s="20">
        <f t="shared" si="2823"/>
        <v>5400</v>
      </c>
      <c r="O1399" s="19" t="s">
        <v>73</v>
      </c>
      <c r="P1399" s="20">
        <v>1487</v>
      </c>
      <c r="Q1399" s="20">
        <f t="shared" ref="Q1399:X1399" si="2869">Q1369</f>
        <v>540</v>
      </c>
      <c r="R1399" s="20">
        <f t="shared" si="2869"/>
        <v>2160</v>
      </c>
      <c r="S1399" s="20">
        <f t="shared" si="2869"/>
        <v>3779.9999999999995</v>
      </c>
      <c r="T1399" s="20">
        <f t="shared" si="2869"/>
        <v>4860</v>
      </c>
      <c r="U1399" s="20">
        <f t="shared" si="2869"/>
        <v>100</v>
      </c>
      <c r="V1399" s="20">
        <f t="shared" si="2869"/>
        <v>600</v>
      </c>
      <c r="W1399" s="20">
        <f t="shared" si="2869"/>
        <v>300</v>
      </c>
      <c r="X1399" s="20">
        <f t="shared" si="2869"/>
        <v>5</v>
      </c>
      <c r="Y1399" s="27">
        <v>0</v>
      </c>
      <c r="Z1399" s="30">
        <v>0</v>
      </c>
      <c r="AA1399" s="20">
        <f t="shared" si="2772"/>
        <v>105</v>
      </c>
      <c r="AB1399" s="27">
        <v>0</v>
      </c>
      <c r="AC1399" s="27">
        <v>0</v>
      </c>
      <c r="AD1399" s="23">
        <f t="shared" ref="AD1399:AE1399" si="2870">AD1369</f>
        <v>34</v>
      </c>
      <c r="AE1399" s="23">
        <f t="shared" si="2870"/>
        <v>38</v>
      </c>
    </row>
    <row r="1400" spans="1:31">
      <c r="A1400" s="4">
        <v>14101</v>
      </c>
      <c r="B1400" s="4">
        <v>19</v>
      </c>
      <c r="C1400" s="29" t="s">
        <v>74</v>
      </c>
      <c r="D1400" s="46">
        <v>0</v>
      </c>
      <c r="E1400" s="28">
        <v>0</v>
      </c>
      <c r="F1400" s="28">
        <f t="shared" si="2836"/>
        <v>526</v>
      </c>
      <c r="G1400" s="28">
        <v>0</v>
      </c>
      <c r="H1400" s="47">
        <v>0</v>
      </c>
      <c r="I1400" s="21">
        <f t="shared" si="2822"/>
        <v>275</v>
      </c>
      <c r="J1400" s="21">
        <f t="shared" si="2777"/>
        <v>18</v>
      </c>
      <c r="K1400" s="21">
        <v>0</v>
      </c>
      <c r="L1400" s="20">
        <v>6</v>
      </c>
      <c r="M1400" s="20">
        <v>0</v>
      </c>
      <c r="N1400" s="20">
        <f t="shared" si="2823"/>
        <v>5700</v>
      </c>
      <c r="O1400" s="19" t="s">
        <v>74</v>
      </c>
      <c r="P1400" s="20">
        <v>1518</v>
      </c>
      <c r="Q1400" s="20">
        <f t="shared" ref="Q1400:X1400" si="2871">Q1370</f>
        <v>570</v>
      </c>
      <c r="R1400" s="20">
        <f t="shared" si="2871"/>
        <v>2280</v>
      </c>
      <c r="S1400" s="20">
        <f t="shared" si="2871"/>
        <v>3989.9999999999995</v>
      </c>
      <c r="T1400" s="20">
        <f t="shared" si="2871"/>
        <v>5130</v>
      </c>
      <c r="U1400" s="20">
        <f t="shared" si="2871"/>
        <v>100</v>
      </c>
      <c r="V1400" s="20">
        <f t="shared" si="2871"/>
        <v>500</v>
      </c>
      <c r="W1400" s="20">
        <f t="shared" si="2871"/>
        <v>400</v>
      </c>
      <c r="X1400" s="20">
        <f t="shared" si="2871"/>
        <v>5</v>
      </c>
      <c r="Y1400" s="27">
        <v>0</v>
      </c>
      <c r="Z1400" s="30">
        <v>0</v>
      </c>
      <c r="AA1400" s="20">
        <f t="shared" si="2772"/>
        <v>0</v>
      </c>
      <c r="AB1400" s="27">
        <v>0</v>
      </c>
      <c r="AC1400" s="27">
        <v>0</v>
      </c>
      <c r="AD1400" s="23">
        <f t="shared" ref="AD1400:AE1400" si="2872">AD1370</f>
        <v>36</v>
      </c>
      <c r="AE1400" s="23">
        <f t="shared" si="2872"/>
        <v>40</v>
      </c>
    </row>
    <row r="1401" spans="1:31">
      <c r="A1401" s="4">
        <v>14101</v>
      </c>
      <c r="B1401" s="4">
        <v>20</v>
      </c>
      <c r="C1401" s="29" t="s">
        <v>75</v>
      </c>
      <c r="D1401" s="46">
        <v>0</v>
      </c>
      <c r="E1401" s="28">
        <v>0</v>
      </c>
      <c r="F1401" s="28">
        <f t="shared" si="2836"/>
        <v>570</v>
      </c>
      <c r="G1401" s="28">
        <v>0</v>
      </c>
      <c r="H1401" s="47">
        <v>0</v>
      </c>
      <c r="I1401" s="21">
        <f t="shared" si="2822"/>
        <v>275</v>
      </c>
      <c r="J1401" s="21">
        <f t="shared" si="2777"/>
        <v>19</v>
      </c>
      <c r="K1401" s="21">
        <v>0</v>
      </c>
      <c r="L1401" s="20">
        <v>6</v>
      </c>
      <c r="M1401" s="20">
        <v>0</v>
      </c>
      <c r="N1401" s="20">
        <f t="shared" si="2823"/>
        <v>8000</v>
      </c>
      <c r="O1401" s="19" t="s">
        <v>75</v>
      </c>
      <c r="P1401" s="20">
        <v>861</v>
      </c>
      <c r="Q1401" s="20">
        <f t="shared" ref="Q1401:X1401" si="2873">Q1371</f>
        <v>800</v>
      </c>
      <c r="R1401" s="20">
        <f t="shared" si="2873"/>
        <v>3200</v>
      </c>
      <c r="S1401" s="20">
        <f t="shared" si="2873"/>
        <v>5600</v>
      </c>
      <c r="T1401" s="20">
        <f t="shared" si="2873"/>
        <v>7200</v>
      </c>
      <c r="U1401" s="20">
        <f t="shared" si="2873"/>
        <v>100</v>
      </c>
      <c r="V1401" s="20">
        <f t="shared" si="2873"/>
        <v>800</v>
      </c>
      <c r="W1401" s="20">
        <f t="shared" si="2873"/>
        <v>8000</v>
      </c>
      <c r="X1401" s="20">
        <f t="shared" si="2873"/>
        <v>5</v>
      </c>
      <c r="Y1401" s="27">
        <v>0</v>
      </c>
      <c r="Z1401" s="30">
        <v>0</v>
      </c>
      <c r="AA1401" s="20">
        <f t="shared" si="2772"/>
        <v>0</v>
      </c>
      <c r="AB1401" s="27">
        <v>0</v>
      </c>
      <c r="AC1401" s="27">
        <v>0</v>
      </c>
      <c r="AD1401" s="23">
        <f t="shared" ref="AD1401:AE1401" si="2874">AD1371</f>
        <v>38</v>
      </c>
      <c r="AE1401" s="23">
        <f t="shared" si="2874"/>
        <v>42</v>
      </c>
    </row>
    <row r="1402" spans="1:31">
      <c r="A1402" s="4">
        <v>14101</v>
      </c>
      <c r="B1402" s="4">
        <v>21</v>
      </c>
      <c r="C1402" s="29" t="s">
        <v>66</v>
      </c>
      <c r="D1402" s="46">
        <v>0</v>
      </c>
      <c r="E1402" s="28">
        <v>0</v>
      </c>
      <c r="F1402" s="28">
        <f t="shared" si="2836"/>
        <v>616</v>
      </c>
      <c r="G1402" s="28">
        <v>0</v>
      </c>
      <c r="H1402" s="47">
        <v>0</v>
      </c>
      <c r="I1402" s="21">
        <f t="shared" si="2822"/>
        <v>330</v>
      </c>
      <c r="J1402" s="21">
        <f t="shared" si="2777"/>
        <v>20</v>
      </c>
      <c r="K1402" s="21">
        <v>0</v>
      </c>
      <c r="L1402" s="20">
        <v>6</v>
      </c>
      <c r="M1402" s="20">
        <v>0</v>
      </c>
      <c r="N1402" s="20">
        <f t="shared" si="2823"/>
        <v>8400</v>
      </c>
      <c r="O1402" s="19" t="s">
        <v>66</v>
      </c>
      <c r="P1402" s="20">
        <v>9400</v>
      </c>
      <c r="Q1402" s="20">
        <f t="shared" ref="Q1402:X1402" si="2875">Q1372</f>
        <v>840</v>
      </c>
      <c r="R1402" s="20">
        <f t="shared" si="2875"/>
        <v>3360</v>
      </c>
      <c r="S1402" s="20">
        <f t="shared" si="2875"/>
        <v>5880</v>
      </c>
      <c r="T1402" s="20">
        <f t="shared" si="2875"/>
        <v>7560</v>
      </c>
      <c r="U1402" s="20">
        <f t="shared" si="2875"/>
        <v>50</v>
      </c>
      <c r="V1402" s="20">
        <f t="shared" si="2875"/>
        <v>1000</v>
      </c>
      <c r="W1402" s="20">
        <f t="shared" si="2875"/>
        <v>600</v>
      </c>
      <c r="X1402" s="20">
        <f t="shared" si="2875"/>
        <v>6</v>
      </c>
      <c r="Y1402" s="27">
        <v>0</v>
      </c>
      <c r="Z1402" s="30">
        <v>0</v>
      </c>
      <c r="AA1402" s="20">
        <f t="shared" si="2772"/>
        <v>0</v>
      </c>
      <c r="AB1402" s="27">
        <v>0</v>
      </c>
      <c r="AC1402" s="27">
        <v>0</v>
      </c>
      <c r="AD1402" s="23">
        <f t="shared" ref="AD1402:AE1402" si="2876">AD1372</f>
        <v>40</v>
      </c>
      <c r="AE1402" s="23">
        <f t="shared" si="2876"/>
        <v>44</v>
      </c>
    </row>
    <row r="1403" spans="1:31">
      <c r="A1403" s="4">
        <v>14101</v>
      </c>
      <c r="B1403" s="4">
        <v>22</v>
      </c>
      <c r="C1403" s="29" t="s">
        <v>67</v>
      </c>
      <c r="D1403" s="46">
        <v>0</v>
      </c>
      <c r="E1403" s="28">
        <v>0</v>
      </c>
      <c r="F1403" s="28">
        <f t="shared" si="2836"/>
        <v>668</v>
      </c>
      <c r="G1403" s="28">
        <v>0</v>
      </c>
      <c r="H1403" s="47">
        <v>0</v>
      </c>
      <c r="I1403" s="21">
        <f t="shared" si="2822"/>
        <v>330</v>
      </c>
      <c r="J1403" s="21">
        <f t="shared" si="2777"/>
        <v>21</v>
      </c>
      <c r="K1403" s="21">
        <v>0</v>
      </c>
      <c r="L1403" s="20">
        <v>6</v>
      </c>
      <c r="M1403" s="20">
        <v>0</v>
      </c>
      <c r="N1403" s="20">
        <f t="shared" si="2823"/>
        <v>8800</v>
      </c>
      <c r="O1403" s="19" t="s">
        <v>67</v>
      </c>
      <c r="P1403" s="20">
        <v>9100</v>
      </c>
      <c r="Q1403" s="20">
        <f t="shared" ref="Q1403:X1403" si="2877">Q1373</f>
        <v>880</v>
      </c>
      <c r="R1403" s="20">
        <f t="shared" si="2877"/>
        <v>3520</v>
      </c>
      <c r="S1403" s="20">
        <f t="shared" si="2877"/>
        <v>6160</v>
      </c>
      <c r="T1403" s="20">
        <f t="shared" si="2877"/>
        <v>7920</v>
      </c>
      <c r="U1403" s="20">
        <f t="shared" si="2877"/>
        <v>100</v>
      </c>
      <c r="V1403" s="20">
        <f t="shared" si="2877"/>
        <v>600</v>
      </c>
      <c r="W1403" s="20">
        <f t="shared" si="2877"/>
        <v>700</v>
      </c>
      <c r="X1403" s="20">
        <f t="shared" si="2877"/>
        <v>6</v>
      </c>
      <c r="Y1403" s="27">
        <v>0</v>
      </c>
      <c r="Z1403" s="30">
        <v>0</v>
      </c>
      <c r="AA1403" s="20">
        <f t="shared" si="2772"/>
        <v>0</v>
      </c>
      <c r="AB1403" s="27">
        <v>0</v>
      </c>
      <c r="AC1403" s="27">
        <v>0</v>
      </c>
      <c r="AD1403" s="23">
        <f t="shared" ref="AD1403:AE1403" si="2878">AD1373</f>
        <v>42</v>
      </c>
      <c r="AE1403" s="23">
        <f t="shared" si="2878"/>
        <v>46</v>
      </c>
    </row>
    <row r="1404" spans="1:31">
      <c r="A1404" s="4">
        <v>14101</v>
      </c>
      <c r="B1404" s="4">
        <v>23</v>
      </c>
      <c r="C1404" s="29" t="s">
        <v>68</v>
      </c>
      <c r="D1404" s="46">
        <v>0</v>
      </c>
      <c r="E1404" s="28">
        <v>0</v>
      </c>
      <c r="F1404" s="28">
        <f t="shared" si="2836"/>
        <v>722</v>
      </c>
      <c r="G1404" s="28">
        <v>0</v>
      </c>
      <c r="H1404" s="47">
        <v>0</v>
      </c>
      <c r="I1404" s="21">
        <f t="shared" si="2822"/>
        <v>330</v>
      </c>
      <c r="J1404" s="21">
        <f t="shared" si="2777"/>
        <v>22</v>
      </c>
      <c r="K1404" s="21">
        <v>0</v>
      </c>
      <c r="L1404" s="20">
        <v>6</v>
      </c>
      <c r="M1404" s="20">
        <v>0</v>
      </c>
      <c r="N1404" s="20">
        <f t="shared" si="2823"/>
        <v>9200</v>
      </c>
      <c r="O1404" s="19" t="s">
        <v>68</v>
      </c>
      <c r="P1404" s="20">
        <v>8600</v>
      </c>
      <c r="Q1404" s="20">
        <f t="shared" ref="Q1404:X1404" si="2879">Q1374</f>
        <v>920</v>
      </c>
      <c r="R1404" s="20">
        <f t="shared" si="2879"/>
        <v>3680</v>
      </c>
      <c r="S1404" s="20">
        <f t="shared" si="2879"/>
        <v>6440</v>
      </c>
      <c r="T1404" s="20">
        <f t="shared" si="2879"/>
        <v>8280</v>
      </c>
      <c r="U1404" s="20">
        <f t="shared" si="2879"/>
        <v>100</v>
      </c>
      <c r="V1404" s="20">
        <f t="shared" si="2879"/>
        <v>550</v>
      </c>
      <c r="W1404" s="20">
        <f t="shared" si="2879"/>
        <v>500</v>
      </c>
      <c r="X1404" s="20">
        <f t="shared" si="2879"/>
        <v>6</v>
      </c>
      <c r="Y1404" s="27">
        <v>0</v>
      </c>
      <c r="Z1404" s="30">
        <v>0</v>
      </c>
      <c r="AA1404" s="20">
        <f t="shared" si="2772"/>
        <v>140</v>
      </c>
      <c r="AB1404" s="27">
        <v>0</v>
      </c>
      <c r="AC1404" s="27">
        <v>0</v>
      </c>
      <c r="AD1404" s="23">
        <f t="shared" ref="AD1404:AE1404" si="2880">AD1374</f>
        <v>44</v>
      </c>
      <c r="AE1404" s="23">
        <f t="shared" si="2880"/>
        <v>48</v>
      </c>
    </row>
    <row r="1405" spans="1:31">
      <c r="A1405" s="4">
        <v>14101</v>
      </c>
      <c r="B1405" s="4">
        <v>24</v>
      </c>
      <c r="C1405" s="29" t="s">
        <v>69</v>
      </c>
      <c r="D1405" s="46">
        <v>0</v>
      </c>
      <c r="E1405" s="28">
        <v>0</v>
      </c>
      <c r="F1405" s="28">
        <f t="shared" si="2836"/>
        <v>782</v>
      </c>
      <c r="G1405" s="28">
        <v>0</v>
      </c>
      <c r="H1405" s="47">
        <v>0</v>
      </c>
      <c r="I1405" s="21">
        <f t="shared" si="2822"/>
        <v>330</v>
      </c>
      <c r="J1405" s="21">
        <f t="shared" si="2777"/>
        <v>23</v>
      </c>
      <c r="K1405" s="21">
        <v>0</v>
      </c>
      <c r="L1405" s="20">
        <v>6</v>
      </c>
      <c r="M1405" s="20">
        <v>0</v>
      </c>
      <c r="N1405" s="20">
        <f t="shared" si="2823"/>
        <v>9600</v>
      </c>
      <c r="O1405" s="19" t="s">
        <v>69</v>
      </c>
      <c r="P1405" s="20">
        <v>6400</v>
      </c>
      <c r="Q1405" s="20">
        <f t="shared" ref="Q1405:X1405" si="2881">Q1375</f>
        <v>960</v>
      </c>
      <c r="R1405" s="20">
        <f t="shared" si="2881"/>
        <v>3840</v>
      </c>
      <c r="S1405" s="20">
        <f t="shared" si="2881"/>
        <v>6720</v>
      </c>
      <c r="T1405" s="20">
        <f t="shared" si="2881"/>
        <v>8640</v>
      </c>
      <c r="U1405" s="20">
        <f t="shared" si="2881"/>
        <v>100</v>
      </c>
      <c r="V1405" s="20">
        <f t="shared" si="2881"/>
        <v>500</v>
      </c>
      <c r="W1405" s="20">
        <f t="shared" si="2881"/>
        <v>900</v>
      </c>
      <c r="X1405" s="20">
        <f t="shared" si="2881"/>
        <v>6</v>
      </c>
      <c r="Y1405" s="27">
        <v>0</v>
      </c>
      <c r="Z1405" s="30">
        <v>0</v>
      </c>
      <c r="AA1405" s="20">
        <f t="shared" si="2772"/>
        <v>0</v>
      </c>
      <c r="AB1405" s="27">
        <v>0</v>
      </c>
      <c r="AC1405" s="27">
        <v>0</v>
      </c>
      <c r="AD1405" s="23">
        <f t="shared" ref="AD1405:AE1405" si="2882">AD1375</f>
        <v>46</v>
      </c>
      <c r="AE1405" s="23">
        <f t="shared" si="2882"/>
        <v>50</v>
      </c>
    </row>
    <row r="1406" spans="1:31">
      <c r="A1406" s="4">
        <v>14101</v>
      </c>
      <c r="B1406" s="4">
        <v>25</v>
      </c>
      <c r="C1406" s="29" t="s">
        <v>70</v>
      </c>
      <c r="D1406" s="46">
        <v>0</v>
      </c>
      <c r="E1406" s="28">
        <v>0</v>
      </c>
      <c r="F1406" s="28">
        <f t="shared" si="2836"/>
        <v>848</v>
      </c>
      <c r="G1406" s="28">
        <v>0</v>
      </c>
      <c r="H1406" s="47">
        <v>0</v>
      </c>
      <c r="I1406" s="21">
        <f t="shared" si="2822"/>
        <v>385</v>
      </c>
      <c r="J1406" s="21">
        <f t="shared" si="2777"/>
        <v>24</v>
      </c>
      <c r="K1406" s="21">
        <v>0</v>
      </c>
      <c r="L1406" s="20">
        <v>6</v>
      </c>
      <c r="M1406" s="20">
        <v>0</v>
      </c>
      <c r="N1406" s="20">
        <f t="shared" si="2823"/>
        <v>12500</v>
      </c>
      <c r="O1406" s="19" t="s">
        <v>70</v>
      </c>
      <c r="P1406" s="20">
        <v>3100</v>
      </c>
      <c r="Q1406" s="20">
        <f t="shared" ref="Q1406:X1406" si="2883">Q1376</f>
        <v>1250</v>
      </c>
      <c r="R1406" s="20">
        <f t="shared" si="2883"/>
        <v>5000</v>
      </c>
      <c r="S1406" s="20">
        <f t="shared" si="2883"/>
        <v>8750</v>
      </c>
      <c r="T1406" s="20">
        <f t="shared" si="2883"/>
        <v>11250</v>
      </c>
      <c r="U1406" s="20">
        <f t="shared" si="2883"/>
        <v>10</v>
      </c>
      <c r="V1406" s="20">
        <f t="shared" si="2883"/>
        <v>1300</v>
      </c>
      <c r="W1406" s="20">
        <f t="shared" si="2883"/>
        <v>1000</v>
      </c>
      <c r="X1406" s="20">
        <f t="shared" si="2883"/>
        <v>7</v>
      </c>
      <c r="Y1406" s="27">
        <v>0</v>
      </c>
      <c r="Z1406" s="30">
        <v>0</v>
      </c>
      <c r="AA1406" s="20">
        <f t="shared" si="2772"/>
        <v>0</v>
      </c>
      <c r="AB1406" s="27">
        <v>0</v>
      </c>
      <c r="AC1406" s="27">
        <v>0</v>
      </c>
      <c r="AD1406" s="23">
        <f t="shared" ref="AD1406:AE1406" si="2884">AD1376</f>
        <v>48</v>
      </c>
      <c r="AE1406" s="23">
        <f t="shared" si="2884"/>
        <v>52</v>
      </c>
    </row>
    <row r="1407" spans="1:31">
      <c r="A1407" s="4">
        <v>14101</v>
      </c>
      <c r="B1407" s="4">
        <v>26</v>
      </c>
      <c r="C1407" s="29" t="s">
        <v>71</v>
      </c>
      <c r="D1407" s="46">
        <v>0</v>
      </c>
      <c r="E1407" s="28">
        <v>0</v>
      </c>
      <c r="F1407" s="28">
        <f t="shared" si="2836"/>
        <v>918</v>
      </c>
      <c r="G1407" s="28">
        <v>0</v>
      </c>
      <c r="H1407" s="47">
        <v>0</v>
      </c>
      <c r="I1407" s="21">
        <f t="shared" si="2822"/>
        <v>385</v>
      </c>
      <c r="J1407" s="21">
        <f t="shared" si="2777"/>
        <v>25</v>
      </c>
      <c r="K1407" s="21">
        <v>0</v>
      </c>
      <c r="L1407" s="20">
        <v>6</v>
      </c>
      <c r="M1407" s="20">
        <v>0</v>
      </c>
      <c r="N1407" s="20">
        <f t="shared" si="2823"/>
        <v>13000</v>
      </c>
      <c r="O1407" s="19" t="s">
        <v>71</v>
      </c>
      <c r="P1407" s="20">
        <v>1777</v>
      </c>
      <c r="Q1407" s="20">
        <f t="shared" ref="Q1407:X1407" si="2885">Q1377</f>
        <v>1300</v>
      </c>
      <c r="R1407" s="20">
        <f t="shared" si="2885"/>
        <v>5200</v>
      </c>
      <c r="S1407" s="20">
        <f t="shared" si="2885"/>
        <v>9100</v>
      </c>
      <c r="T1407" s="20">
        <f t="shared" si="2885"/>
        <v>11700</v>
      </c>
      <c r="U1407" s="20">
        <f t="shared" si="2885"/>
        <v>90</v>
      </c>
      <c r="V1407" s="20">
        <f t="shared" si="2885"/>
        <v>800</v>
      </c>
      <c r="W1407" s="20">
        <f t="shared" si="2885"/>
        <v>2000</v>
      </c>
      <c r="X1407" s="20">
        <f t="shared" si="2885"/>
        <v>7</v>
      </c>
      <c r="Y1407" s="27">
        <v>0</v>
      </c>
      <c r="Z1407" s="30">
        <v>0</v>
      </c>
      <c r="AA1407" s="20">
        <f t="shared" si="2772"/>
        <v>0</v>
      </c>
      <c r="AB1407" s="27">
        <v>0</v>
      </c>
      <c r="AC1407" s="27">
        <v>0</v>
      </c>
      <c r="AD1407" s="23">
        <f t="shared" ref="AD1407:AE1407" si="2886">AD1377</f>
        <v>50</v>
      </c>
      <c r="AE1407" s="23">
        <f t="shared" si="2886"/>
        <v>54</v>
      </c>
    </row>
    <row r="1408" spans="1:31">
      <c r="A1408" s="4">
        <v>14101</v>
      </c>
      <c r="B1408" s="4">
        <v>27</v>
      </c>
      <c r="C1408" s="29" t="s">
        <v>72</v>
      </c>
      <c r="D1408" s="46">
        <v>0</v>
      </c>
      <c r="E1408" s="28">
        <v>0</v>
      </c>
      <c r="F1408" s="28">
        <f t="shared" si="2836"/>
        <v>992</v>
      </c>
      <c r="G1408" s="28">
        <v>0</v>
      </c>
      <c r="H1408" s="47">
        <v>0</v>
      </c>
      <c r="I1408" s="21">
        <f t="shared" si="2822"/>
        <v>385</v>
      </c>
      <c r="J1408" s="21">
        <f t="shared" si="2777"/>
        <v>26</v>
      </c>
      <c r="K1408" s="21">
        <v>0</v>
      </c>
      <c r="L1408" s="20">
        <v>6</v>
      </c>
      <c r="M1408" s="20">
        <v>0</v>
      </c>
      <c r="N1408" s="20">
        <f t="shared" si="2823"/>
        <v>13500</v>
      </c>
      <c r="O1408" s="19" t="s">
        <v>72</v>
      </c>
      <c r="P1408" s="20">
        <v>2332</v>
      </c>
      <c r="Q1408" s="20">
        <f t="shared" ref="Q1408:X1408" si="2887">Q1378</f>
        <v>1350</v>
      </c>
      <c r="R1408" s="20">
        <f t="shared" si="2887"/>
        <v>5400</v>
      </c>
      <c r="S1408" s="20">
        <f t="shared" si="2887"/>
        <v>9450</v>
      </c>
      <c r="T1408" s="20">
        <f t="shared" si="2887"/>
        <v>12150</v>
      </c>
      <c r="U1408" s="20">
        <f t="shared" si="2887"/>
        <v>80</v>
      </c>
      <c r="V1408" s="20">
        <f t="shared" si="2887"/>
        <v>700</v>
      </c>
      <c r="W1408" s="20">
        <f t="shared" si="2887"/>
        <v>800</v>
      </c>
      <c r="X1408" s="20">
        <f t="shared" si="2887"/>
        <v>7</v>
      </c>
      <c r="Y1408" s="27">
        <v>0</v>
      </c>
      <c r="Z1408" s="30">
        <v>0</v>
      </c>
      <c r="AA1408" s="20">
        <f t="shared" si="2772"/>
        <v>0</v>
      </c>
      <c r="AB1408" s="27">
        <v>0</v>
      </c>
      <c r="AC1408" s="27">
        <v>0</v>
      </c>
      <c r="AD1408" s="23">
        <f t="shared" ref="AD1408:AE1408" si="2888">AD1378</f>
        <v>52</v>
      </c>
      <c r="AE1408" s="23">
        <f t="shared" si="2888"/>
        <v>56</v>
      </c>
    </row>
    <row r="1409" spans="1:31">
      <c r="A1409" s="4">
        <v>14101</v>
      </c>
      <c r="B1409" s="4">
        <v>28</v>
      </c>
      <c r="C1409" s="29" t="s">
        <v>73</v>
      </c>
      <c r="D1409" s="46">
        <v>0</v>
      </c>
      <c r="E1409" s="28">
        <v>0</v>
      </c>
      <c r="F1409" s="28">
        <f t="shared" si="2836"/>
        <v>1074</v>
      </c>
      <c r="G1409" s="28">
        <v>0</v>
      </c>
      <c r="H1409" s="47">
        <v>0</v>
      </c>
      <c r="I1409" s="21">
        <f t="shared" si="2822"/>
        <v>385</v>
      </c>
      <c r="J1409" s="21">
        <f t="shared" si="2777"/>
        <v>27</v>
      </c>
      <c r="K1409" s="21">
        <v>0</v>
      </c>
      <c r="L1409" s="20">
        <v>6</v>
      </c>
      <c r="M1409" s="20">
        <v>0</v>
      </c>
      <c r="N1409" s="20">
        <f t="shared" si="2823"/>
        <v>14000</v>
      </c>
      <c r="O1409" s="19" t="s">
        <v>73</v>
      </c>
      <c r="P1409" s="20">
        <v>1487</v>
      </c>
      <c r="Q1409" s="20">
        <f t="shared" ref="Q1409:X1409" si="2889">Q1379</f>
        <v>1400</v>
      </c>
      <c r="R1409" s="20">
        <f t="shared" si="2889"/>
        <v>5600</v>
      </c>
      <c r="S1409" s="20">
        <f t="shared" si="2889"/>
        <v>9800</v>
      </c>
      <c r="T1409" s="20">
        <f t="shared" si="2889"/>
        <v>12600</v>
      </c>
      <c r="U1409" s="20">
        <f t="shared" si="2889"/>
        <v>80</v>
      </c>
      <c r="V1409" s="20">
        <f t="shared" si="2889"/>
        <v>500</v>
      </c>
      <c r="W1409" s="20">
        <f t="shared" si="2889"/>
        <v>600</v>
      </c>
      <c r="X1409" s="20">
        <f t="shared" si="2889"/>
        <v>7</v>
      </c>
      <c r="Y1409" s="27">
        <v>0</v>
      </c>
      <c r="Z1409" s="30">
        <v>0</v>
      </c>
      <c r="AA1409" s="20">
        <f t="shared" si="2772"/>
        <v>176</v>
      </c>
      <c r="AB1409" s="27">
        <v>0</v>
      </c>
      <c r="AC1409" s="27">
        <v>0</v>
      </c>
      <c r="AD1409" s="23">
        <f t="shared" ref="AD1409:AE1409" si="2890">AD1379</f>
        <v>54</v>
      </c>
      <c r="AE1409" s="23">
        <f t="shared" si="2890"/>
        <v>58</v>
      </c>
    </row>
    <row r="1410" spans="1:31">
      <c r="A1410" s="4">
        <v>14101</v>
      </c>
      <c r="B1410" s="4">
        <v>29</v>
      </c>
      <c r="C1410" s="29" t="s">
        <v>74</v>
      </c>
      <c r="D1410" s="46">
        <v>0</v>
      </c>
      <c r="E1410" s="28">
        <v>0</v>
      </c>
      <c r="F1410" s="28">
        <f t="shared" si="2836"/>
        <v>1164</v>
      </c>
      <c r="G1410" s="28">
        <v>0</v>
      </c>
      <c r="H1410" s="47">
        <v>0</v>
      </c>
      <c r="I1410" s="21">
        <f t="shared" si="2822"/>
        <v>440</v>
      </c>
      <c r="J1410" s="21">
        <f t="shared" si="2777"/>
        <v>28</v>
      </c>
      <c r="K1410" s="21">
        <v>0</v>
      </c>
      <c r="L1410" s="20">
        <v>6</v>
      </c>
      <c r="M1410" s="20">
        <v>0</v>
      </c>
      <c r="N1410" s="20">
        <f t="shared" si="2823"/>
        <v>14500</v>
      </c>
      <c r="O1410" s="19" t="s">
        <v>74</v>
      </c>
      <c r="P1410" s="20">
        <v>1518</v>
      </c>
      <c r="Q1410" s="20">
        <f t="shared" ref="Q1410:X1410" si="2891">Q1380</f>
        <v>1450</v>
      </c>
      <c r="R1410" s="20">
        <f t="shared" si="2891"/>
        <v>5800</v>
      </c>
      <c r="S1410" s="20">
        <f t="shared" si="2891"/>
        <v>10150</v>
      </c>
      <c r="T1410" s="20">
        <f t="shared" si="2891"/>
        <v>13050</v>
      </c>
      <c r="U1410" s="20">
        <f t="shared" si="2891"/>
        <v>80</v>
      </c>
      <c r="V1410" s="20">
        <f t="shared" si="2891"/>
        <v>600</v>
      </c>
      <c r="W1410" s="20">
        <f t="shared" si="2891"/>
        <v>700</v>
      </c>
      <c r="X1410" s="20">
        <f t="shared" si="2891"/>
        <v>8</v>
      </c>
      <c r="Y1410" s="27">
        <v>0</v>
      </c>
      <c r="Z1410" s="30">
        <v>0</v>
      </c>
      <c r="AA1410" s="20">
        <f t="shared" si="2772"/>
        <v>0</v>
      </c>
      <c r="AB1410" s="27">
        <v>0</v>
      </c>
      <c r="AC1410" s="27">
        <v>0</v>
      </c>
      <c r="AD1410" s="23">
        <f t="shared" ref="AD1410:AE1410" si="2892">AD1380</f>
        <v>56</v>
      </c>
      <c r="AE1410" s="23">
        <f t="shared" si="2892"/>
        <v>60</v>
      </c>
    </row>
    <row r="1411" spans="1:31">
      <c r="A1411" s="4">
        <v>14101</v>
      </c>
      <c r="B1411" s="4">
        <v>30</v>
      </c>
      <c r="C1411" s="29" t="s">
        <v>75</v>
      </c>
      <c r="D1411" s="46">
        <v>0</v>
      </c>
      <c r="E1411" s="28">
        <v>0</v>
      </c>
      <c r="F1411" s="28">
        <f t="shared" si="2836"/>
        <v>1260</v>
      </c>
      <c r="G1411" s="28">
        <v>0</v>
      </c>
      <c r="H1411" s="47">
        <v>0</v>
      </c>
      <c r="I1411" s="21">
        <f t="shared" si="2822"/>
        <v>440</v>
      </c>
      <c r="J1411" s="21">
        <f t="shared" si="2777"/>
        <v>29</v>
      </c>
      <c r="K1411" s="21">
        <v>0</v>
      </c>
      <c r="L1411" s="20">
        <v>6</v>
      </c>
      <c r="M1411" s="20">
        <v>0</v>
      </c>
      <c r="N1411" s="20">
        <f t="shared" si="2823"/>
        <v>15000</v>
      </c>
      <c r="O1411" s="19" t="s">
        <v>75</v>
      </c>
      <c r="P1411" s="20">
        <v>861</v>
      </c>
      <c r="Q1411" s="20">
        <f t="shared" ref="Q1411:X1411" si="2893">Q1381</f>
        <v>1500</v>
      </c>
      <c r="R1411" s="20">
        <f t="shared" si="2893"/>
        <v>6000</v>
      </c>
      <c r="S1411" s="20">
        <f t="shared" si="2893"/>
        <v>10500</v>
      </c>
      <c r="T1411" s="20">
        <f t="shared" si="2893"/>
        <v>13500</v>
      </c>
      <c r="U1411" s="20">
        <f t="shared" si="2893"/>
        <v>20</v>
      </c>
      <c r="V1411" s="20">
        <f t="shared" si="2893"/>
        <v>450</v>
      </c>
      <c r="W1411" s="20">
        <f t="shared" si="2893"/>
        <v>1000</v>
      </c>
      <c r="X1411" s="20">
        <f t="shared" si="2893"/>
        <v>8</v>
      </c>
      <c r="Y1411" s="27">
        <v>0</v>
      </c>
      <c r="Z1411" s="30">
        <v>0</v>
      </c>
      <c r="AA1411" s="20">
        <f t="shared" si="2772"/>
        <v>0</v>
      </c>
      <c r="AB1411" s="27">
        <v>0</v>
      </c>
      <c r="AC1411" s="27">
        <v>0</v>
      </c>
      <c r="AD1411" s="23">
        <f t="shared" ref="AD1411:AE1411" si="2894">AD1381</f>
        <v>58</v>
      </c>
      <c r="AE1411" s="23">
        <f t="shared" si="2894"/>
        <v>62</v>
      </c>
    </row>
    <row r="1412" spans="1:31">
      <c r="A1412" s="4">
        <v>14102</v>
      </c>
      <c r="B1412" s="4">
        <v>1</v>
      </c>
      <c r="C1412" s="19" t="s">
        <v>66</v>
      </c>
      <c r="D1412" s="44">
        <v>0</v>
      </c>
      <c r="E1412" s="18">
        <v>0</v>
      </c>
      <c r="F1412" s="18">
        <f>F1352*3</f>
        <v>189</v>
      </c>
      <c r="G1412" s="18">
        <v>0</v>
      </c>
      <c r="H1412" s="45">
        <v>0</v>
      </c>
      <c r="I1412" s="21">
        <f t="shared" si="2822"/>
        <v>55</v>
      </c>
      <c r="J1412" s="21">
        <f t="shared" si="2777"/>
        <v>0</v>
      </c>
      <c r="K1412" s="21">
        <v>0</v>
      </c>
      <c r="L1412" s="20">
        <v>45</v>
      </c>
      <c r="M1412" s="20">
        <v>0</v>
      </c>
      <c r="N1412" s="20">
        <f t="shared" si="2823"/>
        <v>10</v>
      </c>
      <c r="O1412" s="19" t="s">
        <v>66</v>
      </c>
      <c r="P1412" s="20">
        <v>9400</v>
      </c>
      <c r="Q1412" s="20">
        <f t="shared" ref="Q1412:X1412" si="2895">Q1382</f>
        <v>1</v>
      </c>
      <c r="R1412" s="20">
        <f t="shared" si="2895"/>
        <v>4</v>
      </c>
      <c r="S1412" s="20">
        <f t="shared" si="2895"/>
        <v>7</v>
      </c>
      <c r="T1412" s="20">
        <f t="shared" si="2895"/>
        <v>9</v>
      </c>
      <c r="U1412" s="20">
        <f t="shared" si="2895"/>
        <v>9400</v>
      </c>
      <c r="V1412" s="20">
        <f t="shared" si="2895"/>
        <v>9400</v>
      </c>
      <c r="W1412" s="20">
        <f t="shared" si="2895"/>
        <v>9400</v>
      </c>
      <c r="X1412" s="20">
        <f t="shared" si="2895"/>
        <v>1</v>
      </c>
      <c r="Y1412" s="20">
        <v>0</v>
      </c>
      <c r="Z1412" s="22">
        <v>0</v>
      </c>
      <c r="AA1412" s="20">
        <f t="shared" si="2772"/>
        <v>0</v>
      </c>
      <c r="AB1412" s="20">
        <v>0</v>
      </c>
      <c r="AC1412" s="20">
        <v>0</v>
      </c>
      <c r="AD1412" s="23">
        <f t="shared" ref="AD1412:AE1412" si="2896">AD1382</f>
        <v>1</v>
      </c>
      <c r="AE1412" s="23">
        <f t="shared" si="2896"/>
        <v>3</v>
      </c>
    </row>
    <row r="1413" spans="1:31">
      <c r="A1413" s="4">
        <v>14102</v>
      </c>
      <c r="B1413" s="4">
        <v>2</v>
      </c>
      <c r="C1413" s="19" t="s">
        <v>67</v>
      </c>
      <c r="D1413" s="44">
        <v>0</v>
      </c>
      <c r="E1413" s="18">
        <v>0</v>
      </c>
      <c r="F1413" s="18">
        <f t="shared" ref="F1413:F1441" si="2897">F1353*3</f>
        <v>204</v>
      </c>
      <c r="G1413" s="18">
        <v>0</v>
      </c>
      <c r="H1413" s="45">
        <v>0</v>
      </c>
      <c r="I1413" s="21">
        <f t="shared" si="2822"/>
        <v>55</v>
      </c>
      <c r="J1413" s="21">
        <f t="shared" si="2777"/>
        <v>1</v>
      </c>
      <c r="K1413" s="21">
        <v>0</v>
      </c>
      <c r="L1413" s="20">
        <v>40</v>
      </c>
      <c r="M1413" s="20">
        <v>0</v>
      </c>
      <c r="N1413" s="20">
        <f t="shared" si="2823"/>
        <v>20</v>
      </c>
      <c r="O1413" s="19" t="s">
        <v>67</v>
      </c>
      <c r="P1413" s="20">
        <v>9100</v>
      </c>
      <c r="Q1413" s="20">
        <f t="shared" ref="Q1413:X1413" si="2898">Q1383</f>
        <v>2</v>
      </c>
      <c r="R1413" s="20">
        <f t="shared" si="2898"/>
        <v>8</v>
      </c>
      <c r="S1413" s="20">
        <f t="shared" si="2898"/>
        <v>14</v>
      </c>
      <c r="T1413" s="20">
        <f t="shared" si="2898"/>
        <v>18</v>
      </c>
      <c r="U1413" s="20">
        <f t="shared" si="2898"/>
        <v>4000</v>
      </c>
      <c r="V1413" s="20">
        <f t="shared" si="2898"/>
        <v>8000</v>
      </c>
      <c r="W1413" s="20">
        <f t="shared" si="2898"/>
        <v>8000</v>
      </c>
      <c r="X1413" s="20">
        <f t="shared" si="2898"/>
        <v>1</v>
      </c>
      <c r="Y1413" s="20">
        <v>0</v>
      </c>
      <c r="Z1413" s="22">
        <v>0</v>
      </c>
      <c r="AA1413" s="20">
        <f t="shared" si="2772"/>
        <v>0</v>
      </c>
      <c r="AB1413" s="20">
        <v>0</v>
      </c>
      <c r="AC1413" s="20">
        <v>0</v>
      </c>
      <c r="AD1413" s="23">
        <f t="shared" ref="AD1413:AE1413" si="2899">AD1383</f>
        <v>2</v>
      </c>
      <c r="AE1413" s="23">
        <f t="shared" si="2899"/>
        <v>5</v>
      </c>
    </row>
    <row r="1414" spans="1:31">
      <c r="A1414" s="4">
        <v>14102</v>
      </c>
      <c r="B1414" s="4">
        <v>3</v>
      </c>
      <c r="C1414" s="19" t="s">
        <v>68</v>
      </c>
      <c r="D1414" s="44">
        <v>0</v>
      </c>
      <c r="E1414" s="18">
        <v>0</v>
      </c>
      <c r="F1414" s="18">
        <f t="shared" si="2897"/>
        <v>222</v>
      </c>
      <c r="G1414" s="18">
        <v>0</v>
      </c>
      <c r="H1414" s="45">
        <v>0</v>
      </c>
      <c r="I1414" s="21">
        <f t="shared" si="2822"/>
        <v>55</v>
      </c>
      <c r="J1414" s="21">
        <f t="shared" si="2777"/>
        <v>2</v>
      </c>
      <c r="K1414" s="21">
        <v>0</v>
      </c>
      <c r="L1414" s="20">
        <v>35</v>
      </c>
      <c r="M1414" s="20">
        <v>0</v>
      </c>
      <c r="N1414" s="20">
        <f t="shared" si="2823"/>
        <v>40</v>
      </c>
      <c r="O1414" s="19" t="s">
        <v>68</v>
      </c>
      <c r="P1414" s="20">
        <v>8600</v>
      </c>
      <c r="Q1414" s="20">
        <f t="shared" ref="Q1414:X1414" si="2900">Q1384</f>
        <v>4</v>
      </c>
      <c r="R1414" s="20">
        <f t="shared" si="2900"/>
        <v>16</v>
      </c>
      <c r="S1414" s="20">
        <f t="shared" si="2900"/>
        <v>28</v>
      </c>
      <c r="T1414" s="20">
        <f t="shared" si="2900"/>
        <v>36</v>
      </c>
      <c r="U1414" s="20">
        <f t="shared" si="2900"/>
        <v>1600</v>
      </c>
      <c r="V1414" s="20">
        <f t="shared" si="2900"/>
        <v>5000</v>
      </c>
      <c r="W1414" s="20">
        <f t="shared" si="2900"/>
        <v>6000</v>
      </c>
      <c r="X1414" s="20">
        <f t="shared" si="2900"/>
        <v>1</v>
      </c>
      <c r="Y1414" s="20">
        <v>0</v>
      </c>
      <c r="Z1414" s="22">
        <v>0</v>
      </c>
      <c r="AA1414" s="20">
        <f t="shared" si="2772"/>
        <v>0</v>
      </c>
      <c r="AB1414" s="20">
        <v>0</v>
      </c>
      <c r="AC1414" s="20">
        <v>0</v>
      </c>
      <c r="AD1414" s="23">
        <f t="shared" ref="AD1414:AE1414" si="2901">AD1384</f>
        <v>4</v>
      </c>
      <c r="AE1414" s="23">
        <f t="shared" si="2901"/>
        <v>8</v>
      </c>
    </row>
    <row r="1415" spans="1:31">
      <c r="A1415" s="4">
        <v>14102</v>
      </c>
      <c r="B1415" s="4">
        <v>4</v>
      </c>
      <c r="C1415" s="19" t="s">
        <v>69</v>
      </c>
      <c r="D1415" s="44">
        <v>0</v>
      </c>
      <c r="E1415" s="18">
        <v>0</v>
      </c>
      <c r="F1415" s="18">
        <f t="shared" si="2897"/>
        <v>240</v>
      </c>
      <c r="G1415" s="18">
        <v>0</v>
      </c>
      <c r="H1415" s="45">
        <v>0</v>
      </c>
      <c r="I1415" s="21">
        <f t="shared" si="2822"/>
        <v>55</v>
      </c>
      <c r="J1415" s="21">
        <f t="shared" si="2777"/>
        <v>3</v>
      </c>
      <c r="K1415" s="21">
        <v>0</v>
      </c>
      <c r="L1415" s="20">
        <v>30</v>
      </c>
      <c r="M1415" s="20">
        <v>0</v>
      </c>
      <c r="N1415" s="20">
        <f t="shared" si="2823"/>
        <v>100</v>
      </c>
      <c r="O1415" s="19" t="s">
        <v>69</v>
      </c>
      <c r="P1415" s="20">
        <v>6400</v>
      </c>
      <c r="Q1415" s="20">
        <f t="shared" ref="Q1415:X1415" si="2902">Q1385</f>
        <v>10</v>
      </c>
      <c r="R1415" s="20">
        <f t="shared" si="2902"/>
        <v>40</v>
      </c>
      <c r="S1415" s="20">
        <f t="shared" si="2902"/>
        <v>70</v>
      </c>
      <c r="T1415" s="20">
        <f t="shared" si="2902"/>
        <v>90</v>
      </c>
      <c r="U1415" s="20">
        <f t="shared" si="2902"/>
        <v>900</v>
      </c>
      <c r="V1415" s="20">
        <f t="shared" si="2902"/>
        <v>2000</v>
      </c>
      <c r="W1415" s="20">
        <f t="shared" si="2902"/>
        <v>8000</v>
      </c>
      <c r="X1415" s="20">
        <f t="shared" si="2902"/>
        <v>1</v>
      </c>
      <c r="Y1415" s="20">
        <v>0</v>
      </c>
      <c r="Z1415" s="22">
        <v>0</v>
      </c>
      <c r="AA1415" s="20">
        <f t="shared" si="2772"/>
        <v>0</v>
      </c>
      <c r="AB1415" s="20">
        <v>0</v>
      </c>
      <c r="AC1415" s="20">
        <v>0</v>
      </c>
      <c r="AD1415" s="23">
        <f t="shared" ref="AD1415:AE1415" si="2903">AD1385</f>
        <v>6</v>
      </c>
      <c r="AE1415" s="23">
        <f t="shared" si="2903"/>
        <v>10</v>
      </c>
    </row>
    <row r="1416" spans="1:31">
      <c r="A1416" s="4">
        <v>14102</v>
      </c>
      <c r="B1416" s="4">
        <v>5</v>
      </c>
      <c r="C1416" s="19" t="s">
        <v>70</v>
      </c>
      <c r="D1416" s="44">
        <v>0</v>
      </c>
      <c r="E1416" s="18">
        <v>0</v>
      </c>
      <c r="F1416" s="18">
        <f t="shared" si="2897"/>
        <v>261</v>
      </c>
      <c r="G1416" s="18">
        <v>0</v>
      </c>
      <c r="H1416" s="45">
        <v>0</v>
      </c>
      <c r="I1416" s="21">
        <f t="shared" si="2822"/>
        <v>110</v>
      </c>
      <c r="J1416" s="21">
        <f t="shared" si="2777"/>
        <v>4</v>
      </c>
      <c r="K1416" s="21">
        <v>0</v>
      </c>
      <c r="L1416" s="20">
        <v>25</v>
      </c>
      <c r="M1416" s="20">
        <v>0</v>
      </c>
      <c r="N1416" s="20">
        <f t="shared" si="2823"/>
        <v>200</v>
      </c>
      <c r="O1416" s="19" t="s">
        <v>70</v>
      </c>
      <c r="P1416" s="20">
        <v>3100</v>
      </c>
      <c r="Q1416" s="20">
        <f t="shared" ref="Q1416:X1416" si="2904">Q1386</f>
        <v>20</v>
      </c>
      <c r="R1416" s="20">
        <f t="shared" si="2904"/>
        <v>80</v>
      </c>
      <c r="S1416" s="20">
        <f t="shared" si="2904"/>
        <v>140</v>
      </c>
      <c r="T1416" s="20">
        <f t="shared" si="2904"/>
        <v>180</v>
      </c>
      <c r="U1416" s="20">
        <f t="shared" si="2904"/>
        <v>1000</v>
      </c>
      <c r="V1416" s="20">
        <f t="shared" si="2904"/>
        <v>2000</v>
      </c>
      <c r="W1416" s="20">
        <f t="shared" si="2904"/>
        <v>2000</v>
      </c>
      <c r="X1416" s="20">
        <f t="shared" si="2904"/>
        <v>2</v>
      </c>
      <c r="Y1416" s="20">
        <v>0</v>
      </c>
      <c r="Z1416" s="22">
        <v>0</v>
      </c>
      <c r="AA1416" s="20">
        <f t="shared" si="2772"/>
        <v>0</v>
      </c>
      <c r="AB1416" s="20">
        <v>0</v>
      </c>
      <c r="AC1416" s="20">
        <v>0</v>
      </c>
      <c r="AD1416" s="23">
        <f t="shared" ref="AD1416:AE1416" si="2905">AD1386</f>
        <v>8</v>
      </c>
      <c r="AE1416" s="23">
        <f t="shared" si="2905"/>
        <v>12</v>
      </c>
    </row>
    <row r="1417" spans="1:31">
      <c r="A1417" s="4">
        <v>14102</v>
      </c>
      <c r="B1417" s="4">
        <v>6</v>
      </c>
      <c r="C1417" s="19" t="s">
        <v>71</v>
      </c>
      <c r="D1417" s="44">
        <v>0</v>
      </c>
      <c r="E1417" s="18">
        <v>0</v>
      </c>
      <c r="F1417" s="18">
        <f t="shared" si="2897"/>
        <v>282</v>
      </c>
      <c r="G1417" s="18">
        <v>0</v>
      </c>
      <c r="H1417" s="45">
        <v>0</v>
      </c>
      <c r="I1417" s="21">
        <f t="shared" si="2822"/>
        <v>110</v>
      </c>
      <c r="J1417" s="21">
        <f t="shared" si="2777"/>
        <v>5</v>
      </c>
      <c r="K1417" s="21">
        <v>0</v>
      </c>
      <c r="L1417" s="20">
        <v>20</v>
      </c>
      <c r="M1417" s="20">
        <v>0</v>
      </c>
      <c r="N1417" s="20">
        <f t="shared" si="2823"/>
        <v>500</v>
      </c>
      <c r="O1417" s="19" t="s">
        <v>71</v>
      </c>
      <c r="P1417" s="20">
        <v>1777</v>
      </c>
      <c r="Q1417" s="20">
        <f t="shared" ref="Q1417:X1417" si="2906">Q1387</f>
        <v>50</v>
      </c>
      <c r="R1417" s="20">
        <f t="shared" si="2906"/>
        <v>200</v>
      </c>
      <c r="S1417" s="20">
        <f t="shared" si="2906"/>
        <v>350</v>
      </c>
      <c r="T1417" s="20">
        <f t="shared" si="2906"/>
        <v>450</v>
      </c>
      <c r="U1417" s="20">
        <f t="shared" si="2906"/>
        <v>800</v>
      </c>
      <c r="V1417" s="20">
        <f t="shared" si="2906"/>
        <v>800</v>
      </c>
      <c r="W1417" s="20">
        <f t="shared" si="2906"/>
        <v>600</v>
      </c>
      <c r="X1417" s="20">
        <f t="shared" si="2906"/>
        <v>2</v>
      </c>
      <c r="Y1417" s="20">
        <v>0</v>
      </c>
      <c r="Z1417" s="22">
        <v>0</v>
      </c>
      <c r="AA1417" s="20">
        <f t="shared" ref="AA1417:AA1480" si="2907">INT(AA667*4/3)</f>
        <v>0</v>
      </c>
      <c r="AB1417" s="20">
        <v>0</v>
      </c>
      <c r="AC1417" s="20">
        <v>0</v>
      </c>
      <c r="AD1417" s="23">
        <f t="shared" ref="AD1417:AE1417" si="2908">AD1387</f>
        <v>10</v>
      </c>
      <c r="AE1417" s="23">
        <f t="shared" si="2908"/>
        <v>14</v>
      </c>
    </row>
    <row r="1418" spans="1:31">
      <c r="A1418" s="8">
        <v>14102</v>
      </c>
      <c r="B1418" s="8">
        <v>7</v>
      </c>
      <c r="C1418" s="19" t="s">
        <v>72</v>
      </c>
      <c r="D1418" s="44">
        <v>0</v>
      </c>
      <c r="E1418" s="18">
        <v>0</v>
      </c>
      <c r="F1418" s="18">
        <f t="shared" si="2897"/>
        <v>303</v>
      </c>
      <c r="G1418" s="18">
        <v>0</v>
      </c>
      <c r="H1418" s="45">
        <v>0</v>
      </c>
      <c r="I1418" s="21">
        <f t="shared" si="2822"/>
        <v>110</v>
      </c>
      <c r="J1418" s="21">
        <f t="shared" si="2777"/>
        <v>6</v>
      </c>
      <c r="K1418" s="21">
        <v>0</v>
      </c>
      <c r="L1418" s="20">
        <v>16</v>
      </c>
      <c r="M1418" s="20">
        <v>0</v>
      </c>
      <c r="N1418" s="20">
        <f t="shared" si="2823"/>
        <v>700</v>
      </c>
      <c r="O1418" s="19" t="s">
        <v>72</v>
      </c>
      <c r="P1418" s="20">
        <v>2332</v>
      </c>
      <c r="Q1418" s="20">
        <f t="shared" ref="Q1418:X1418" si="2909">Q1388</f>
        <v>70</v>
      </c>
      <c r="R1418" s="20">
        <f t="shared" si="2909"/>
        <v>280</v>
      </c>
      <c r="S1418" s="20">
        <f t="shared" si="2909"/>
        <v>489.99999999999994</v>
      </c>
      <c r="T1418" s="20">
        <f t="shared" si="2909"/>
        <v>630</v>
      </c>
      <c r="U1418" s="20">
        <f t="shared" si="2909"/>
        <v>650</v>
      </c>
      <c r="V1418" s="20">
        <f t="shared" si="2909"/>
        <v>800</v>
      </c>
      <c r="W1418" s="20">
        <f t="shared" si="2909"/>
        <v>300</v>
      </c>
      <c r="X1418" s="20">
        <f t="shared" si="2909"/>
        <v>2</v>
      </c>
      <c r="Y1418" s="20">
        <v>0</v>
      </c>
      <c r="Z1418" s="22">
        <v>0</v>
      </c>
      <c r="AA1418" s="20">
        <f t="shared" si="2907"/>
        <v>0</v>
      </c>
      <c r="AB1418" s="20">
        <v>0</v>
      </c>
      <c r="AC1418" s="20">
        <v>0</v>
      </c>
      <c r="AD1418" s="23">
        <f t="shared" ref="AD1418:AE1418" si="2910">AD1388</f>
        <v>12</v>
      </c>
      <c r="AE1418" s="23">
        <f t="shared" si="2910"/>
        <v>16</v>
      </c>
    </row>
    <row r="1419" spans="1:31">
      <c r="A1419" s="4">
        <v>14102</v>
      </c>
      <c r="B1419" s="4">
        <v>8</v>
      </c>
      <c r="C1419" s="19" t="s">
        <v>73</v>
      </c>
      <c r="D1419" s="44">
        <v>0</v>
      </c>
      <c r="E1419" s="18">
        <v>0</v>
      </c>
      <c r="F1419" s="18">
        <f t="shared" si="2897"/>
        <v>330</v>
      </c>
      <c r="G1419" s="18">
        <v>0</v>
      </c>
      <c r="H1419" s="45">
        <v>0</v>
      </c>
      <c r="I1419" s="21">
        <f t="shared" si="2822"/>
        <v>110</v>
      </c>
      <c r="J1419" s="21">
        <f t="shared" ref="J1419:J1482" si="2911">B1419-1</f>
        <v>7</v>
      </c>
      <c r="K1419" s="21">
        <v>0</v>
      </c>
      <c r="L1419" s="20">
        <v>12</v>
      </c>
      <c r="M1419" s="20">
        <v>0</v>
      </c>
      <c r="N1419" s="20">
        <f t="shared" si="2823"/>
        <v>800</v>
      </c>
      <c r="O1419" s="19" t="s">
        <v>73</v>
      </c>
      <c r="P1419" s="20">
        <v>1487</v>
      </c>
      <c r="Q1419" s="20">
        <f t="shared" ref="Q1419:X1419" si="2912">Q1389</f>
        <v>80</v>
      </c>
      <c r="R1419" s="20">
        <f t="shared" si="2912"/>
        <v>320</v>
      </c>
      <c r="S1419" s="20">
        <f t="shared" si="2912"/>
        <v>560</v>
      </c>
      <c r="T1419" s="20">
        <f t="shared" si="2912"/>
        <v>720</v>
      </c>
      <c r="U1419" s="20">
        <f t="shared" si="2912"/>
        <v>200</v>
      </c>
      <c r="V1419" s="20">
        <f t="shared" si="2912"/>
        <v>2000</v>
      </c>
      <c r="W1419" s="20">
        <f t="shared" si="2912"/>
        <v>1000</v>
      </c>
      <c r="X1419" s="20">
        <f t="shared" si="2912"/>
        <v>2</v>
      </c>
      <c r="Y1419" s="20">
        <v>0</v>
      </c>
      <c r="Z1419" s="22">
        <v>0</v>
      </c>
      <c r="AA1419" s="20">
        <f t="shared" si="2907"/>
        <v>38</v>
      </c>
      <c r="AB1419" s="20">
        <v>0</v>
      </c>
      <c r="AC1419" s="20">
        <v>0</v>
      </c>
      <c r="AD1419" s="23">
        <f t="shared" ref="AD1419:AE1419" si="2913">AD1389</f>
        <v>14</v>
      </c>
      <c r="AE1419" s="23">
        <f t="shared" si="2913"/>
        <v>18</v>
      </c>
    </row>
    <row r="1420" spans="1:31">
      <c r="A1420" s="4">
        <v>14102</v>
      </c>
      <c r="B1420" s="4">
        <v>9</v>
      </c>
      <c r="C1420" s="19" t="s">
        <v>74</v>
      </c>
      <c r="D1420" s="44">
        <v>0</v>
      </c>
      <c r="E1420" s="18">
        <v>0</v>
      </c>
      <c r="F1420" s="18">
        <f t="shared" si="2897"/>
        <v>357</v>
      </c>
      <c r="G1420" s="18">
        <v>0</v>
      </c>
      <c r="H1420" s="45">
        <v>0</v>
      </c>
      <c r="I1420" s="21">
        <f t="shared" si="2822"/>
        <v>165</v>
      </c>
      <c r="J1420" s="21">
        <f t="shared" si="2911"/>
        <v>8</v>
      </c>
      <c r="K1420" s="21">
        <v>0</v>
      </c>
      <c r="L1420" s="20">
        <v>8</v>
      </c>
      <c r="M1420" s="20">
        <v>0</v>
      </c>
      <c r="N1420" s="20">
        <f t="shared" si="2823"/>
        <v>900</v>
      </c>
      <c r="O1420" s="19" t="s">
        <v>74</v>
      </c>
      <c r="P1420" s="20">
        <v>1518</v>
      </c>
      <c r="Q1420" s="20">
        <f t="shared" ref="Q1420:X1420" si="2914">Q1390</f>
        <v>90</v>
      </c>
      <c r="R1420" s="20">
        <f t="shared" si="2914"/>
        <v>360</v>
      </c>
      <c r="S1420" s="20">
        <f t="shared" si="2914"/>
        <v>630</v>
      </c>
      <c r="T1420" s="20">
        <f t="shared" si="2914"/>
        <v>810</v>
      </c>
      <c r="U1420" s="20">
        <f t="shared" si="2914"/>
        <v>120</v>
      </c>
      <c r="V1420" s="20">
        <f t="shared" si="2914"/>
        <v>1500</v>
      </c>
      <c r="W1420" s="20">
        <f t="shared" si="2914"/>
        <v>1000</v>
      </c>
      <c r="X1420" s="20">
        <f t="shared" si="2914"/>
        <v>3</v>
      </c>
      <c r="Y1420" s="20">
        <v>0</v>
      </c>
      <c r="Z1420" s="22">
        <v>0</v>
      </c>
      <c r="AA1420" s="20">
        <f t="shared" si="2907"/>
        <v>0</v>
      </c>
      <c r="AB1420" s="20">
        <v>0</v>
      </c>
      <c r="AC1420" s="20">
        <v>0</v>
      </c>
      <c r="AD1420" s="23">
        <f t="shared" ref="AD1420:AE1420" si="2915">AD1390</f>
        <v>16</v>
      </c>
      <c r="AE1420" s="23">
        <f t="shared" si="2915"/>
        <v>20</v>
      </c>
    </row>
    <row r="1421" spans="1:31">
      <c r="A1421" s="4">
        <v>14102</v>
      </c>
      <c r="B1421" s="4">
        <v>10</v>
      </c>
      <c r="C1421" s="19" t="s">
        <v>75</v>
      </c>
      <c r="D1421" s="44">
        <v>0</v>
      </c>
      <c r="E1421" s="18">
        <v>0</v>
      </c>
      <c r="F1421" s="18">
        <f t="shared" si="2897"/>
        <v>387</v>
      </c>
      <c r="G1421" s="18">
        <v>0</v>
      </c>
      <c r="H1421" s="45">
        <v>0</v>
      </c>
      <c r="I1421" s="21">
        <f t="shared" si="2822"/>
        <v>165</v>
      </c>
      <c r="J1421" s="21">
        <f t="shared" si="2911"/>
        <v>9</v>
      </c>
      <c r="K1421" s="21">
        <v>0</v>
      </c>
      <c r="L1421" s="20">
        <v>6</v>
      </c>
      <c r="M1421" s="20">
        <v>0</v>
      </c>
      <c r="N1421" s="20">
        <f t="shared" si="2823"/>
        <v>2000</v>
      </c>
      <c r="O1421" s="19" t="s">
        <v>75</v>
      </c>
      <c r="P1421" s="20">
        <v>861</v>
      </c>
      <c r="Q1421" s="20">
        <f t="shared" ref="Q1421:X1421" si="2916">Q1391</f>
        <v>200</v>
      </c>
      <c r="R1421" s="20">
        <f t="shared" si="2916"/>
        <v>800</v>
      </c>
      <c r="S1421" s="20">
        <f t="shared" si="2916"/>
        <v>1400</v>
      </c>
      <c r="T1421" s="20">
        <f t="shared" si="2916"/>
        <v>1800</v>
      </c>
      <c r="U1421" s="20">
        <f t="shared" si="2916"/>
        <v>150</v>
      </c>
      <c r="V1421" s="20">
        <f t="shared" si="2916"/>
        <v>5000</v>
      </c>
      <c r="W1421" s="20">
        <f t="shared" si="2916"/>
        <v>800</v>
      </c>
      <c r="X1421" s="20">
        <f t="shared" si="2916"/>
        <v>3</v>
      </c>
      <c r="Y1421" s="20">
        <v>0</v>
      </c>
      <c r="Z1421" s="22">
        <v>0</v>
      </c>
      <c r="AA1421" s="20">
        <f t="shared" si="2907"/>
        <v>0</v>
      </c>
      <c r="AB1421" s="20">
        <v>0</v>
      </c>
      <c r="AC1421" s="20">
        <v>0</v>
      </c>
      <c r="AD1421" s="23">
        <f t="shared" ref="AD1421:AE1421" si="2917">AD1391</f>
        <v>18</v>
      </c>
      <c r="AE1421" s="23">
        <f t="shared" si="2917"/>
        <v>22</v>
      </c>
    </row>
    <row r="1422" spans="1:31">
      <c r="A1422" s="4">
        <v>14102</v>
      </c>
      <c r="B1422" s="4">
        <v>11</v>
      </c>
      <c r="C1422" s="19" t="s">
        <v>66</v>
      </c>
      <c r="D1422" s="44">
        <v>0</v>
      </c>
      <c r="E1422" s="18">
        <v>0</v>
      </c>
      <c r="F1422" s="18">
        <f t="shared" si="2897"/>
        <v>417</v>
      </c>
      <c r="G1422" s="18">
        <v>0</v>
      </c>
      <c r="H1422" s="45">
        <v>0</v>
      </c>
      <c r="I1422" s="21">
        <f t="shared" si="2822"/>
        <v>165</v>
      </c>
      <c r="J1422" s="21">
        <f t="shared" si="2911"/>
        <v>10</v>
      </c>
      <c r="K1422" s="21">
        <v>0</v>
      </c>
      <c r="L1422" s="20">
        <v>6</v>
      </c>
      <c r="M1422" s="20">
        <v>0</v>
      </c>
      <c r="N1422" s="20">
        <f t="shared" si="2823"/>
        <v>2200</v>
      </c>
      <c r="O1422" s="19" t="s">
        <v>66</v>
      </c>
      <c r="P1422" s="20">
        <v>9400</v>
      </c>
      <c r="Q1422" s="20">
        <f t="shared" ref="Q1422:X1422" si="2918">Q1392</f>
        <v>220</v>
      </c>
      <c r="R1422" s="20">
        <f t="shared" si="2918"/>
        <v>880</v>
      </c>
      <c r="S1422" s="20">
        <f t="shared" si="2918"/>
        <v>1540</v>
      </c>
      <c r="T1422" s="20">
        <f t="shared" si="2918"/>
        <v>1980</v>
      </c>
      <c r="U1422" s="20">
        <f t="shared" si="2918"/>
        <v>100</v>
      </c>
      <c r="V1422" s="20">
        <f t="shared" si="2918"/>
        <v>800</v>
      </c>
      <c r="W1422" s="20">
        <f t="shared" si="2918"/>
        <v>600</v>
      </c>
      <c r="X1422" s="20">
        <f t="shared" si="2918"/>
        <v>3</v>
      </c>
      <c r="Y1422" s="20">
        <v>0</v>
      </c>
      <c r="Z1422" s="22">
        <v>0</v>
      </c>
      <c r="AA1422" s="20">
        <f t="shared" si="2907"/>
        <v>0</v>
      </c>
      <c r="AB1422" s="20">
        <v>0</v>
      </c>
      <c r="AC1422" s="20">
        <v>0</v>
      </c>
      <c r="AD1422" s="23">
        <f t="shared" ref="AD1422:AE1422" si="2919">AD1392</f>
        <v>20</v>
      </c>
      <c r="AE1422" s="23">
        <f t="shared" si="2919"/>
        <v>24</v>
      </c>
    </row>
    <row r="1423" spans="1:31">
      <c r="A1423" s="4">
        <v>14102</v>
      </c>
      <c r="B1423" s="4">
        <v>12</v>
      </c>
      <c r="C1423" s="19" t="s">
        <v>67</v>
      </c>
      <c r="D1423" s="44">
        <v>0</v>
      </c>
      <c r="E1423" s="18">
        <v>0</v>
      </c>
      <c r="F1423" s="18">
        <f t="shared" si="2897"/>
        <v>453</v>
      </c>
      <c r="G1423" s="18">
        <v>0</v>
      </c>
      <c r="H1423" s="45">
        <v>0</v>
      </c>
      <c r="I1423" s="21">
        <f t="shared" si="2822"/>
        <v>165</v>
      </c>
      <c r="J1423" s="21">
        <f t="shared" si="2911"/>
        <v>11</v>
      </c>
      <c r="K1423" s="21">
        <v>0</v>
      </c>
      <c r="L1423" s="20">
        <v>6</v>
      </c>
      <c r="M1423" s="20">
        <v>0</v>
      </c>
      <c r="N1423" s="20">
        <f t="shared" si="2823"/>
        <v>2400</v>
      </c>
      <c r="O1423" s="19" t="s">
        <v>67</v>
      </c>
      <c r="P1423" s="20">
        <v>9100</v>
      </c>
      <c r="Q1423" s="20">
        <f t="shared" ref="Q1423:X1423" si="2920">Q1393</f>
        <v>240</v>
      </c>
      <c r="R1423" s="20">
        <f t="shared" si="2920"/>
        <v>960</v>
      </c>
      <c r="S1423" s="20">
        <f t="shared" si="2920"/>
        <v>1680</v>
      </c>
      <c r="T1423" s="20">
        <f t="shared" si="2920"/>
        <v>2160</v>
      </c>
      <c r="U1423" s="20">
        <f t="shared" si="2920"/>
        <v>150</v>
      </c>
      <c r="V1423" s="20">
        <f t="shared" si="2920"/>
        <v>700</v>
      </c>
      <c r="W1423" s="20">
        <f t="shared" si="2920"/>
        <v>900</v>
      </c>
      <c r="X1423" s="20">
        <f t="shared" si="2920"/>
        <v>3</v>
      </c>
      <c r="Y1423" s="20">
        <v>0</v>
      </c>
      <c r="Z1423" s="22">
        <v>0</v>
      </c>
      <c r="AA1423" s="20">
        <f t="shared" si="2907"/>
        <v>0</v>
      </c>
      <c r="AB1423" s="20">
        <v>0</v>
      </c>
      <c r="AC1423" s="20">
        <v>0</v>
      </c>
      <c r="AD1423" s="23">
        <f t="shared" ref="AD1423:AE1423" si="2921">AD1393</f>
        <v>22</v>
      </c>
      <c r="AE1423" s="23">
        <f t="shared" si="2921"/>
        <v>26</v>
      </c>
    </row>
    <row r="1424" spans="1:31">
      <c r="A1424" s="4">
        <v>14102</v>
      </c>
      <c r="B1424" s="4">
        <v>13</v>
      </c>
      <c r="C1424" s="19" t="s">
        <v>68</v>
      </c>
      <c r="D1424" s="44">
        <v>0</v>
      </c>
      <c r="E1424" s="18">
        <v>0</v>
      </c>
      <c r="F1424" s="18">
        <f t="shared" si="2897"/>
        <v>489</v>
      </c>
      <c r="G1424" s="18">
        <v>0</v>
      </c>
      <c r="H1424" s="45">
        <v>0</v>
      </c>
      <c r="I1424" s="21">
        <f t="shared" si="2822"/>
        <v>220</v>
      </c>
      <c r="J1424" s="21">
        <f t="shared" si="2911"/>
        <v>12</v>
      </c>
      <c r="K1424" s="21">
        <v>0</v>
      </c>
      <c r="L1424" s="20">
        <v>6</v>
      </c>
      <c r="M1424" s="20">
        <v>0</v>
      </c>
      <c r="N1424" s="20">
        <f t="shared" si="2823"/>
        <v>2600</v>
      </c>
      <c r="O1424" s="19" t="s">
        <v>68</v>
      </c>
      <c r="P1424" s="20">
        <v>8600</v>
      </c>
      <c r="Q1424" s="20">
        <f t="shared" ref="Q1424:X1424" si="2922">Q1394</f>
        <v>260</v>
      </c>
      <c r="R1424" s="20">
        <f t="shared" si="2922"/>
        <v>1040</v>
      </c>
      <c r="S1424" s="20">
        <f t="shared" si="2922"/>
        <v>1819.9999999999998</v>
      </c>
      <c r="T1424" s="20">
        <f t="shared" si="2922"/>
        <v>2340</v>
      </c>
      <c r="U1424" s="20">
        <f t="shared" si="2922"/>
        <v>100</v>
      </c>
      <c r="V1424" s="20">
        <f t="shared" si="2922"/>
        <v>700</v>
      </c>
      <c r="W1424" s="20">
        <f t="shared" si="2922"/>
        <v>1000</v>
      </c>
      <c r="X1424" s="20">
        <f t="shared" si="2922"/>
        <v>4</v>
      </c>
      <c r="Y1424" s="20">
        <v>0</v>
      </c>
      <c r="Z1424" s="22">
        <v>0</v>
      </c>
      <c r="AA1424" s="20">
        <f t="shared" si="2907"/>
        <v>80</v>
      </c>
      <c r="AB1424" s="20">
        <v>0</v>
      </c>
      <c r="AC1424" s="20">
        <v>0</v>
      </c>
      <c r="AD1424" s="23">
        <f t="shared" ref="AD1424:AE1424" si="2923">AD1394</f>
        <v>24</v>
      </c>
      <c r="AE1424" s="23">
        <f t="shared" si="2923"/>
        <v>28</v>
      </c>
    </row>
    <row r="1425" spans="1:31">
      <c r="A1425" s="4">
        <v>14102</v>
      </c>
      <c r="B1425" s="4">
        <v>14</v>
      </c>
      <c r="C1425" s="19" t="s">
        <v>69</v>
      </c>
      <c r="D1425" s="44">
        <v>0</v>
      </c>
      <c r="E1425" s="18">
        <v>0</v>
      </c>
      <c r="F1425" s="18">
        <f t="shared" si="2897"/>
        <v>531</v>
      </c>
      <c r="G1425" s="18">
        <v>0</v>
      </c>
      <c r="H1425" s="45">
        <v>0</v>
      </c>
      <c r="I1425" s="21">
        <f t="shared" si="2822"/>
        <v>220</v>
      </c>
      <c r="J1425" s="21">
        <f t="shared" si="2911"/>
        <v>13</v>
      </c>
      <c r="K1425" s="21">
        <v>0</v>
      </c>
      <c r="L1425" s="20">
        <v>6</v>
      </c>
      <c r="M1425" s="20">
        <v>0</v>
      </c>
      <c r="N1425" s="20">
        <f t="shared" si="2823"/>
        <v>2800</v>
      </c>
      <c r="O1425" s="19" t="s">
        <v>69</v>
      </c>
      <c r="P1425" s="20">
        <v>6400</v>
      </c>
      <c r="Q1425" s="20">
        <f t="shared" ref="Q1425:X1425" si="2924">Q1395</f>
        <v>280</v>
      </c>
      <c r="R1425" s="20">
        <f t="shared" si="2924"/>
        <v>1120</v>
      </c>
      <c r="S1425" s="20">
        <f t="shared" si="2924"/>
        <v>1959.9999999999998</v>
      </c>
      <c r="T1425" s="20">
        <f t="shared" si="2924"/>
        <v>2520</v>
      </c>
      <c r="U1425" s="20">
        <f t="shared" si="2924"/>
        <v>100</v>
      </c>
      <c r="V1425" s="20">
        <f t="shared" si="2924"/>
        <v>400</v>
      </c>
      <c r="W1425" s="20">
        <f t="shared" si="2924"/>
        <v>1200</v>
      </c>
      <c r="X1425" s="20">
        <f t="shared" si="2924"/>
        <v>4</v>
      </c>
      <c r="Y1425" s="20">
        <v>0</v>
      </c>
      <c r="Z1425" s="22">
        <v>0</v>
      </c>
      <c r="AA1425" s="20">
        <f t="shared" si="2907"/>
        <v>0</v>
      </c>
      <c r="AB1425" s="20">
        <v>0</v>
      </c>
      <c r="AC1425" s="20">
        <v>0</v>
      </c>
      <c r="AD1425" s="23">
        <f t="shared" ref="AD1425:AE1425" si="2925">AD1395</f>
        <v>26</v>
      </c>
      <c r="AE1425" s="23">
        <f t="shared" si="2925"/>
        <v>30</v>
      </c>
    </row>
    <row r="1426" spans="1:31">
      <c r="A1426" s="4">
        <v>14102</v>
      </c>
      <c r="B1426" s="4">
        <v>15</v>
      </c>
      <c r="C1426" s="19" t="s">
        <v>70</v>
      </c>
      <c r="D1426" s="44">
        <v>0</v>
      </c>
      <c r="E1426" s="18">
        <v>0</v>
      </c>
      <c r="F1426" s="18">
        <f t="shared" si="2897"/>
        <v>573</v>
      </c>
      <c r="G1426" s="18">
        <v>0</v>
      </c>
      <c r="H1426" s="45">
        <v>0</v>
      </c>
      <c r="I1426" s="21">
        <f t="shared" si="2822"/>
        <v>220</v>
      </c>
      <c r="J1426" s="21">
        <f t="shared" si="2911"/>
        <v>14</v>
      </c>
      <c r="K1426" s="21">
        <v>0</v>
      </c>
      <c r="L1426" s="20">
        <v>6</v>
      </c>
      <c r="M1426" s="20">
        <v>0</v>
      </c>
      <c r="N1426" s="20">
        <f t="shared" si="2823"/>
        <v>4500</v>
      </c>
      <c r="O1426" s="19" t="s">
        <v>70</v>
      </c>
      <c r="P1426" s="20">
        <v>3100</v>
      </c>
      <c r="Q1426" s="20">
        <f t="shared" ref="Q1426:X1426" si="2926">Q1396</f>
        <v>450</v>
      </c>
      <c r="R1426" s="20">
        <f t="shared" si="2926"/>
        <v>1800</v>
      </c>
      <c r="S1426" s="20">
        <f t="shared" si="2926"/>
        <v>3150</v>
      </c>
      <c r="T1426" s="20">
        <f t="shared" si="2926"/>
        <v>4050</v>
      </c>
      <c r="U1426" s="20">
        <f t="shared" si="2926"/>
        <v>100</v>
      </c>
      <c r="V1426" s="20">
        <f t="shared" si="2926"/>
        <v>1000</v>
      </c>
      <c r="W1426" s="20">
        <f t="shared" si="2926"/>
        <v>600</v>
      </c>
      <c r="X1426" s="20">
        <f t="shared" si="2926"/>
        <v>4</v>
      </c>
      <c r="Y1426" s="20">
        <v>0</v>
      </c>
      <c r="Z1426" s="22">
        <v>0</v>
      </c>
      <c r="AA1426" s="20">
        <f t="shared" si="2907"/>
        <v>0</v>
      </c>
      <c r="AB1426" s="20">
        <v>0</v>
      </c>
      <c r="AC1426" s="20">
        <v>0</v>
      </c>
      <c r="AD1426" s="23">
        <f t="shared" ref="AD1426:AE1426" si="2927">AD1396</f>
        <v>28</v>
      </c>
      <c r="AE1426" s="23">
        <f t="shared" si="2927"/>
        <v>32</v>
      </c>
    </row>
    <row r="1427" spans="1:31">
      <c r="A1427" s="4">
        <v>14102</v>
      </c>
      <c r="B1427" s="4">
        <v>16</v>
      </c>
      <c r="C1427" s="19" t="s">
        <v>71</v>
      </c>
      <c r="D1427" s="44">
        <v>0</v>
      </c>
      <c r="E1427" s="18">
        <v>0</v>
      </c>
      <c r="F1427" s="18">
        <f t="shared" si="2897"/>
        <v>621</v>
      </c>
      <c r="G1427" s="18">
        <v>0</v>
      </c>
      <c r="H1427" s="45">
        <v>0</v>
      </c>
      <c r="I1427" s="21">
        <f t="shared" si="2822"/>
        <v>220</v>
      </c>
      <c r="J1427" s="21">
        <f t="shared" si="2911"/>
        <v>15</v>
      </c>
      <c r="K1427" s="21">
        <v>0</v>
      </c>
      <c r="L1427" s="20">
        <v>6</v>
      </c>
      <c r="M1427" s="20">
        <v>0</v>
      </c>
      <c r="N1427" s="20">
        <f t="shared" si="2823"/>
        <v>4800</v>
      </c>
      <c r="O1427" s="19" t="s">
        <v>71</v>
      </c>
      <c r="P1427" s="20">
        <v>1777</v>
      </c>
      <c r="Q1427" s="20">
        <f t="shared" ref="Q1427:X1427" si="2928">Q1397</f>
        <v>480</v>
      </c>
      <c r="R1427" s="20">
        <f t="shared" si="2928"/>
        <v>1920</v>
      </c>
      <c r="S1427" s="20">
        <f t="shared" si="2928"/>
        <v>3360</v>
      </c>
      <c r="T1427" s="20">
        <f t="shared" si="2928"/>
        <v>4320</v>
      </c>
      <c r="U1427" s="20">
        <f t="shared" si="2928"/>
        <v>100</v>
      </c>
      <c r="V1427" s="20">
        <f t="shared" si="2928"/>
        <v>800</v>
      </c>
      <c r="W1427" s="20">
        <f t="shared" si="2928"/>
        <v>800</v>
      </c>
      <c r="X1427" s="20">
        <f t="shared" si="2928"/>
        <v>4</v>
      </c>
      <c r="Y1427" s="20">
        <v>0</v>
      </c>
      <c r="Z1427" s="22">
        <v>0</v>
      </c>
      <c r="AA1427" s="20">
        <f t="shared" si="2907"/>
        <v>0</v>
      </c>
      <c r="AB1427" s="20">
        <v>0</v>
      </c>
      <c r="AC1427" s="20">
        <v>0</v>
      </c>
      <c r="AD1427" s="23">
        <f t="shared" ref="AD1427:AE1427" si="2929">AD1397</f>
        <v>30</v>
      </c>
      <c r="AE1427" s="23">
        <f t="shared" si="2929"/>
        <v>34</v>
      </c>
    </row>
    <row r="1428" spans="1:31">
      <c r="A1428" s="4">
        <v>14102</v>
      </c>
      <c r="B1428" s="4">
        <v>17</v>
      </c>
      <c r="C1428" s="19" t="s">
        <v>72</v>
      </c>
      <c r="D1428" s="44">
        <v>0</v>
      </c>
      <c r="E1428" s="18">
        <v>0</v>
      </c>
      <c r="F1428" s="18">
        <f t="shared" si="2897"/>
        <v>672</v>
      </c>
      <c r="G1428" s="18">
        <v>0</v>
      </c>
      <c r="H1428" s="45">
        <v>0</v>
      </c>
      <c r="I1428" s="21">
        <f t="shared" si="2822"/>
        <v>275</v>
      </c>
      <c r="J1428" s="21">
        <f t="shared" si="2911"/>
        <v>16</v>
      </c>
      <c r="K1428" s="21">
        <v>0</v>
      </c>
      <c r="L1428" s="20">
        <v>6</v>
      </c>
      <c r="M1428" s="20">
        <v>0</v>
      </c>
      <c r="N1428" s="20">
        <f t="shared" si="2823"/>
        <v>5100</v>
      </c>
      <c r="O1428" s="19" t="s">
        <v>72</v>
      </c>
      <c r="P1428" s="20">
        <v>2332</v>
      </c>
      <c r="Q1428" s="20">
        <f t="shared" ref="Q1428:X1428" si="2930">Q1398</f>
        <v>510</v>
      </c>
      <c r="R1428" s="20">
        <f t="shared" si="2930"/>
        <v>2040</v>
      </c>
      <c r="S1428" s="20">
        <f t="shared" si="2930"/>
        <v>3570</v>
      </c>
      <c r="T1428" s="20">
        <f t="shared" si="2930"/>
        <v>4590</v>
      </c>
      <c r="U1428" s="20">
        <f t="shared" si="2930"/>
        <v>80</v>
      </c>
      <c r="V1428" s="20">
        <f t="shared" si="2930"/>
        <v>800</v>
      </c>
      <c r="W1428" s="20">
        <f t="shared" si="2930"/>
        <v>600</v>
      </c>
      <c r="X1428" s="20">
        <f t="shared" si="2930"/>
        <v>5</v>
      </c>
      <c r="Y1428" s="20">
        <v>0</v>
      </c>
      <c r="Z1428" s="22">
        <v>0</v>
      </c>
      <c r="AA1428" s="20">
        <f t="shared" si="2907"/>
        <v>0</v>
      </c>
      <c r="AB1428" s="20">
        <v>0</v>
      </c>
      <c r="AC1428" s="20">
        <v>0</v>
      </c>
      <c r="AD1428" s="23">
        <f t="shared" ref="AD1428:AE1428" si="2931">AD1398</f>
        <v>32</v>
      </c>
      <c r="AE1428" s="23">
        <f t="shared" si="2931"/>
        <v>36</v>
      </c>
    </row>
    <row r="1429" spans="1:31">
      <c r="A1429" s="4">
        <v>14102</v>
      </c>
      <c r="B1429" s="4">
        <v>18</v>
      </c>
      <c r="C1429" s="19" t="s">
        <v>73</v>
      </c>
      <c r="D1429" s="44">
        <v>0</v>
      </c>
      <c r="E1429" s="18">
        <v>0</v>
      </c>
      <c r="F1429" s="18">
        <f t="shared" si="2897"/>
        <v>729</v>
      </c>
      <c r="G1429" s="18">
        <v>0</v>
      </c>
      <c r="H1429" s="45">
        <v>0</v>
      </c>
      <c r="I1429" s="21">
        <f t="shared" si="2822"/>
        <v>275</v>
      </c>
      <c r="J1429" s="21">
        <f t="shared" si="2911"/>
        <v>17</v>
      </c>
      <c r="K1429" s="21">
        <v>0</v>
      </c>
      <c r="L1429" s="20">
        <v>6</v>
      </c>
      <c r="M1429" s="20">
        <v>0</v>
      </c>
      <c r="N1429" s="20">
        <f t="shared" si="2823"/>
        <v>5400</v>
      </c>
      <c r="O1429" s="19" t="s">
        <v>73</v>
      </c>
      <c r="P1429" s="20">
        <v>1487</v>
      </c>
      <c r="Q1429" s="20">
        <f t="shared" ref="Q1429:X1429" si="2932">Q1399</f>
        <v>540</v>
      </c>
      <c r="R1429" s="20">
        <f t="shared" si="2932"/>
        <v>2160</v>
      </c>
      <c r="S1429" s="20">
        <f t="shared" si="2932"/>
        <v>3779.9999999999995</v>
      </c>
      <c r="T1429" s="20">
        <f t="shared" si="2932"/>
        <v>4860</v>
      </c>
      <c r="U1429" s="20">
        <f t="shared" si="2932"/>
        <v>100</v>
      </c>
      <c r="V1429" s="20">
        <f t="shared" si="2932"/>
        <v>600</v>
      </c>
      <c r="W1429" s="20">
        <f t="shared" si="2932"/>
        <v>300</v>
      </c>
      <c r="X1429" s="20">
        <f t="shared" si="2932"/>
        <v>5</v>
      </c>
      <c r="Y1429" s="20">
        <v>0</v>
      </c>
      <c r="Z1429" s="22">
        <v>0</v>
      </c>
      <c r="AA1429" s="20">
        <f t="shared" si="2907"/>
        <v>120</v>
      </c>
      <c r="AB1429" s="20">
        <v>0</v>
      </c>
      <c r="AC1429" s="20">
        <v>0</v>
      </c>
      <c r="AD1429" s="23">
        <f t="shared" ref="AD1429:AE1429" si="2933">AD1399</f>
        <v>34</v>
      </c>
      <c r="AE1429" s="23">
        <f t="shared" si="2933"/>
        <v>38</v>
      </c>
    </row>
    <row r="1430" spans="1:31">
      <c r="A1430" s="8">
        <v>14102</v>
      </c>
      <c r="B1430" s="8">
        <v>19</v>
      </c>
      <c r="C1430" s="19" t="s">
        <v>74</v>
      </c>
      <c r="D1430" s="44">
        <v>0</v>
      </c>
      <c r="E1430" s="18">
        <v>0</v>
      </c>
      <c r="F1430" s="18">
        <f t="shared" si="2897"/>
        <v>789</v>
      </c>
      <c r="G1430" s="18">
        <v>0</v>
      </c>
      <c r="H1430" s="45">
        <v>0</v>
      </c>
      <c r="I1430" s="21">
        <f t="shared" si="2822"/>
        <v>275</v>
      </c>
      <c r="J1430" s="21">
        <f t="shared" si="2911"/>
        <v>18</v>
      </c>
      <c r="K1430" s="21">
        <v>0</v>
      </c>
      <c r="L1430" s="20">
        <v>6</v>
      </c>
      <c r="M1430" s="20">
        <v>0</v>
      </c>
      <c r="N1430" s="20">
        <f t="shared" si="2823"/>
        <v>5700</v>
      </c>
      <c r="O1430" s="19" t="s">
        <v>74</v>
      </c>
      <c r="P1430" s="20">
        <v>1518</v>
      </c>
      <c r="Q1430" s="20">
        <f t="shared" ref="Q1430:X1430" si="2934">Q1400</f>
        <v>570</v>
      </c>
      <c r="R1430" s="20">
        <f t="shared" si="2934"/>
        <v>2280</v>
      </c>
      <c r="S1430" s="20">
        <f t="shared" si="2934"/>
        <v>3989.9999999999995</v>
      </c>
      <c r="T1430" s="20">
        <f t="shared" si="2934"/>
        <v>5130</v>
      </c>
      <c r="U1430" s="20">
        <f t="shared" si="2934"/>
        <v>100</v>
      </c>
      <c r="V1430" s="20">
        <f t="shared" si="2934"/>
        <v>500</v>
      </c>
      <c r="W1430" s="20">
        <f t="shared" si="2934"/>
        <v>400</v>
      </c>
      <c r="X1430" s="20">
        <f t="shared" si="2934"/>
        <v>5</v>
      </c>
      <c r="Y1430" s="20">
        <v>0</v>
      </c>
      <c r="Z1430" s="22">
        <v>0</v>
      </c>
      <c r="AA1430" s="20">
        <f t="shared" si="2907"/>
        <v>0</v>
      </c>
      <c r="AB1430" s="20">
        <v>0</v>
      </c>
      <c r="AC1430" s="20">
        <v>0</v>
      </c>
      <c r="AD1430" s="23">
        <f t="shared" ref="AD1430:AE1430" si="2935">AD1400</f>
        <v>36</v>
      </c>
      <c r="AE1430" s="23">
        <f t="shared" si="2935"/>
        <v>40</v>
      </c>
    </row>
    <row r="1431" spans="1:31">
      <c r="A1431" s="4">
        <v>14102</v>
      </c>
      <c r="B1431" s="4">
        <v>20</v>
      </c>
      <c r="C1431" s="19" t="s">
        <v>75</v>
      </c>
      <c r="D1431" s="44">
        <v>0</v>
      </c>
      <c r="E1431" s="18">
        <v>0</v>
      </c>
      <c r="F1431" s="18">
        <f t="shared" si="2897"/>
        <v>855</v>
      </c>
      <c r="G1431" s="18">
        <v>0</v>
      </c>
      <c r="H1431" s="45">
        <v>0</v>
      </c>
      <c r="I1431" s="21">
        <f t="shared" si="2822"/>
        <v>275</v>
      </c>
      <c r="J1431" s="21">
        <f t="shared" si="2911"/>
        <v>19</v>
      </c>
      <c r="K1431" s="21">
        <v>0</v>
      </c>
      <c r="L1431" s="20">
        <v>6</v>
      </c>
      <c r="M1431" s="20">
        <v>0</v>
      </c>
      <c r="N1431" s="20">
        <f t="shared" si="2823"/>
        <v>8000</v>
      </c>
      <c r="O1431" s="19" t="s">
        <v>75</v>
      </c>
      <c r="P1431" s="20">
        <v>861</v>
      </c>
      <c r="Q1431" s="20">
        <f t="shared" ref="Q1431:X1431" si="2936">Q1401</f>
        <v>800</v>
      </c>
      <c r="R1431" s="20">
        <f t="shared" si="2936"/>
        <v>3200</v>
      </c>
      <c r="S1431" s="20">
        <f t="shared" si="2936"/>
        <v>5600</v>
      </c>
      <c r="T1431" s="20">
        <f t="shared" si="2936"/>
        <v>7200</v>
      </c>
      <c r="U1431" s="20">
        <f t="shared" si="2936"/>
        <v>100</v>
      </c>
      <c r="V1431" s="20">
        <f t="shared" si="2936"/>
        <v>800</v>
      </c>
      <c r="W1431" s="20">
        <f t="shared" si="2936"/>
        <v>8000</v>
      </c>
      <c r="X1431" s="20">
        <f t="shared" si="2936"/>
        <v>5</v>
      </c>
      <c r="Y1431" s="20">
        <v>0</v>
      </c>
      <c r="Z1431" s="22">
        <v>0</v>
      </c>
      <c r="AA1431" s="20">
        <f t="shared" si="2907"/>
        <v>0</v>
      </c>
      <c r="AB1431" s="20">
        <v>0</v>
      </c>
      <c r="AC1431" s="20">
        <v>0</v>
      </c>
      <c r="AD1431" s="23">
        <f t="shared" ref="AD1431:AE1431" si="2937">AD1401</f>
        <v>38</v>
      </c>
      <c r="AE1431" s="23">
        <f t="shared" si="2937"/>
        <v>42</v>
      </c>
    </row>
    <row r="1432" spans="1:31">
      <c r="A1432" s="4">
        <v>14102</v>
      </c>
      <c r="B1432" s="4">
        <v>21</v>
      </c>
      <c r="C1432" s="19" t="s">
        <v>66</v>
      </c>
      <c r="D1432" s="44">
        <v>0</v>
      </c>
      <c r="E1432" s="18">
        <v>0</v>
      </c>
      <c r="F1432" s="18">
        <f t="shared" si="2897"/>
        <v>924</v>
      </c>
      <c r="G1432" s="18">
        <v>0</v>
      </c>
      <c r="H1432" s="45">
        <v>0</v>
      </c>
      <c r="I1432" s="21">
        <f t="shared" si="2822"/>
        <v>330</v>
      </c>
      <c r="J1432" s="21">
        <f t="shared" si="2911"/>
        <v>20</v>
      </c>
      <c r="K1432" s="21">
        <v>0</v>
      </c>
      <c r="L1432" s="20">
        <v>6</v>
      </c>
      <c r="M1432" s="20">
        <v>0</v>
      </c>
      <c r="N1432" s="20">
        <f t="shared" si="2823"/>
        <v>8400</v>
      </c>
      <c r="O1432" s="19" t="s">
        <v>66</v>
      </c>
      <c r="P1432" s="20">
        <v>9400</v>
      </c>
      <c r="Q1432" s="20">
        <f t="shared" ref="Q1432:X1432" si="2938">Q1402</f>
        <v>840</v>
      </c>
      <c r="R1432" s="20">
        <f t="shared" si="2938"/>
        <v>3360</v>
      </c>
      <c r="S1432" s="20">
        <f t="shared" si="2938"/>
        <v>5880</v>
      </c>
      <c r="T1432" s="20">
        <f t="shared" si="2938"/>
        <v>7560</v>
      </c>
      <c r="U1432" s="20">
        <f t="shared" si="2938"/>
        <v>50</v>
      </c>
      <c r="V1432" s="20">
        <f t="shared" si="2938"/>
        <v>1000</v>
      </c>
      <c r="W1432" s="20">
        <f t="shared" si="2938"/>
        <v>600</v>
      </c>
      <c r="X1432" s="20">
        <f t="shared" si="2938"/>
        <v>6</v>
      </c>
      <c r="Y1432" s="20">
        <v>0</v>
      </c>
      <c r="Z1432" s="22">
        <v>0</v>
      </c>
      <c r="AA1432" s="20">
        <f t="shared" si="2907"/>
        <v>0</v>
      </c>
      <c r="AB1432" s="20">
        <v>0</v>
      </c>
      <c r="AC1432" s="20">
        <v>0</v>
      </c>
      <c r="AD1432" s="23">
        <f t="shared" ref="AD1432:AE1432" si="2939">AD1402</f>
        <v>40</v>
      </c>
      <c r="AE1432" s="23">
        <f t="shared" si="2939"/>
        <v>44</v>
      </c>
    </row>
    <row r="1433" spans="1:31">
      <c r="A1433" s="4">
        <v>14102</v>
      </c>
      <c r="B1433" s="4">
        <v>22</v>
      </c>
      <c r="C1433" s="19" t="s">
        <v>67</v>
      </c>
      <c r="D1433" s="44">
        <v>0</v>
      </c>
      <c r="E1433" s="18">
        <v>0</v>
      </c>
      <c r="F1433" s="18">
        <f t="shared" si="2897"/>
        <v>1002</v>
      </c>
      <c r="G1433" s="18">
        <v>0</v>
      </c>
      <c r="H1433" s="45">
        <v>0</v>
      </c>
      <c r="I1433" s="21">
        <f t="shared" si="2822"/>
        <v>330</v>
      </c>
      <c r="J1433" s="21">
        <f t="shared" si="2911"/>
        <v>21</v>
      </c>
      <c r="K1433" s="21">
        <v>0</v>
      </c>
      <c r="L1433" s="20">
        <v>6</v>
      </c>
      <c r="M1433" s="20">
        <v>0</v>
      </c>
      <c r="N1433" s="20">
        <f t="shared" si="2823"/>
        <v>8800</v>
      </c>
      <c r="O1433" s="19" t="s">
        <v>67</v>
      </c>
      <c r="P1433" s="20">
        <v>9100</v>
      </c>
      <c r="Q1433" s="20">
        <f t="shared" ref="Q1433:X1433" si="2940">Q1403</f>
        <v>880</v>
      </c>
      <c r="R1433" s="20">
        <f t="shared" si="2940"/>
        <v>3520</v>
      </c>
      <c r="S1433" s="20">
        <f t="shared" si="2940"/>
        <v>6160</v>
      </c>
      <c r="T1433" s="20">
        <f t="shared" si="2940"/>
        <v>7920</v>
      </c>
      <c r="U1433" s="20">
        <f t="shared" si="2940"/>
        <v>100</v>
      </c>
      <c r="V1433" s="20">
        <f t="shared" si="2940"/>
        <v>600</v>
      </c>
      <c r="W1433" s="20">
        <f t="shared" si="2940"/>
        <v>700</v>
      </c>
      <c r="X1433" s="20">
        <f t="shared" si="2940"/>
        <v>6</v>
      </c>
      <c r="Y1433" s="20">
        <v>0</v>
      </c>
      <c r="Z1433" s="22">
        <v>0</v>
      </c>
      <c r="AA1433" s="20">
        <f t="shared" si="2907"/>
        <v>0</v>
      </c>
      <c r="AB1433" s="20">
        <v>0</v>
      </c>
      <c r="AC1433" s="20">
        <v>0</v>
      </c>
      <c r="AD1433" s="23">
        <f t="shared" ref="AD1433:AE1433" si="2941">AD1403</f>
        <v>42</v>
      </c>
      <c r="AE1433" s="23">
        <f t="shared" si="2941"/>
        <v>46</v>
      </c>
    </row>
    <row r="1434" spans="1:31">
      <c r="A1434" s="4">
        <v>14102</v>
      </c>
      <c r="B1434" s="4">
        <v>23</v>
      </c>
      <c r="C1434" s="19" t="s">
        <v>68</v>
      </c>
      <c r="D1434" s="44">
        <v>0</v>
      </c>
      <c r="E1434" s="18">
        <v>0</v>
      </c>
      <c r="F1434" s="18">
        <f t="shared" si="2897"/>
        <v>1083</v>
      </c>
      <c r="G1434" s="18">
        <v>0</v>
      </c>
      <c r="H1434" s="45">
        <v>0</v>
      </c>
      <c r="I1434" s="21">
        <f t="shared" si="2822"/>
        <v>330</v>
      </c>
      <c r="J1434" s="21">
        <f t="shared" si="2911"/>
        <v>22</v>
      </c>
      <c r="K1434" s="21">
        <v>0</v>
      </c>
      <c r="L1434" s="20">
        <v>6</v>
      </c>
      <c r="M1434" s="20">
        <v>0</v>
      </c>
      <c r="N1434" s="20">
        <f t="shared" si="2823"/>
        <v>9200</v>
      </c>
      <c r="O1434" s="19" t="s">
        <v>68</v>
      </c>
      <c r="P1434" s="20">
        <v>8600</v>
      </c>
      <c r="Q1434" s="20">
        <f t="shared" ref="Q1434:X1434" si="2942">Q1404</f>
        <v>920</v>
      </c>
      <c r="R1434" s="20">
        <f t="shared" si="2942"/>
        <v>3680</v>
      </c>
      <c r="S1434" s="20">
        <f t="shared" si="2942"/>
        <v>6440</v>
      </c>
      <c r="T1434" s="20">
        <f t="shared" si="2942"/>
        <v>8280</v>
      </c>
      <c r="U1434" s="20">
        <f t="shared" si="2942"/>
        <v>100</v>
      </c>
      <c r="V1434" s="20">
        <f t="shared" si="2942"/>
        <v>550</v>
      </c>
      <c r="W1434" s="20">
        <f t="shared" si="2942"/>
        <v>500</v>
      </c>
      <c r="X1434" s="20">
        <f t="shared" si="2942"/>
        <v>6</v>
      </c>
      <c r="Y1434" s="20">
        <v>0</v>
      </c>
      <c r="Z1434" s="22">
        <v>0</v>
      </c>
      <c r="AA1434" s="20">
        <f t="shared" si="2907"/>
        <v>160</v>
      </c>
      <c r="AB1434" s="20">
        <v>0</v>
      </c>
      <c r="AC1434" s="20">
        <v>0</v>
      </c>
      <c r="AD1434" s="23">
        <f t="shared" ref="AD1434:AE1434" si="2943">AD1404</f>
        <v>44</v>
      </c>
      <c r="AE1434" s="23">
        <f t="shared" si="2943"/>
        <v>48</v>
      </c>
    </row>
    <row r="1435" spans="1:31">
      <c r="A1435" s="4">
        <v>14102</v>
      </c>
      <c r="B1435" s="4">
        <v>24</v>
      </c>
      <c r="C1435" s="19" t="s">
        <v>69</v>
      </c>
      <c r="D1435" s="44">
        <v>0</v>
      </c>
      <c r="E1435" s="18">
        <v>0</v>
      </c>
      <c r="F1435" s="18">
        <f t="shared" si="2897"/>
        <v>1173</v>
      </c>
      <c r="G1435" s="18">
        <v>0</v>
      </c>
      <c r="H1435" s="45">
        <v>0</v>
      </c>
      <c r="I1435" s="21">
        <f t="shared" si="2822"/>
        <v>330</v>
      </c>
      <c r="J1435" s="21">
        <f t="shared" si="2911"/>
        <v>23</v>
      </c>
      <c r="K1435" s="21">
        <v>0</v>
      </c>
      <c r="L1435" s="20">
        <v>6</v>
      </c>
      <c r="M1435" s="20">
        <v>0</v>
      </c>
      <c r="N1435" s="20">
        <f t="shared" si="2823"/>
        <v>9600</v>
      </c>
      <c r="O1435" s="19" t="s">
        <v>69</v>
      </c>
      <c r="P1435" s="20">
        <v>6400</v>
      </c>
      <c r="Q1435" s="20">
        <f t="shared" ref="Q1435:X1435" si="2944">Q1405</f>
        <v>960</v>
      </c>
      <c r="R1435" s="20">
        <f t="shared" si="2944"/>
        <v>3840</v>
      </c>
      <c r="S1435" s="20">
        <f t="shared" si="2944"/>
        <v>6720</v>
      </c>
      <c r="T1435" s="20">
        <f t="shared" si="2944"/>
        <v>8640</v>
      </c>
      <c r="U1435" s="20">
        <f t="shared" si="2944"/>
        <v>100</v>
      </c>
      <c r="V1435" s="20">
        <f t="shared" si="2944"/>
        <v>500</v>
      </c>
      <c r="W1435" s="20">
        <f t="shared" si="2944"/>
        <v>900</v>
      </c>
      <c r="X1435" s="20">
        <f t="shared" si="2944"/>
        <v>6</v>
      </c>
      <c r="Y1435" s="20">
        <v>0</v>
      </c>
      <c r="Z1435" s="22">
        <v>0</v>
      </c>
      <c r="AA1435" s="20">
        <f t="shared" si="2907"/>
        <v>0</v>
      </c>
      <c r="AB1435" s="20">
        <v>0</v>
      </c>
      <c r="AC1435" s="20">
        <v>0</v>
      </c>
      <c r="AD1435" s="23">
        <f t="shared" ref="AD1435:AE1435" si="2945">AD1405</f>
        <v>46</v>
      </c>
      <c r="AE1435" s="23">
        <f t="shared" si="2945"/>
        <v>50</v>
      </c>
    </row>
    <row r="1436" spans="1:31">
      <c r="A1436" s="4">
        <v>14102</v>
      </c>
      <c r="B1436" s="4">
        <v>25</v>
      </c>
      <c r="C1436" s="19" t="s">
        <v>70</v>
      </c>
      <c r="D1436" s="44">
        <v>0</v>
      </c>
      <c r="E1436" s="18">
        <v>0</v>
      </c>
      <c r="F1436" s="18">
        <f t="shared" si="2897"/>
        <v>1272</v>
      </c>
      <c r="G1436" s="18">
        <v>0</v>
      </c>
      <c r="H1436" s="45">
        <v>0</v>
      </c>
      <c r="I1436" s="21">
        <f t="shared" si="2822"/>
        <v>385</v>
      </c>
      <c r="J1436" s="21">
        <f t="shared" si="2911"/>
        <v>24</v>
      </c>
      <c r="K1436" s="21">
        <v>0</v>
      </c>
      <c r="L1436" s="20">
        <v>6</v>
      </c>
      <c r="M1436" s="20">
        <v>0</v>
      </c>
      <c r="N1436" s="20">
        <f t="shared" si="2823"/>
        <v>12500</v>
      </c>
      <c r="O1436" s="19" t="s">
        <v>70</v>
      </c>
      <c r="P1436" s="20">
        <v>3100</v>
      </c>
      <c r="Q1436" s="20">
        <f t="shared" ref="Q1436:X1436" si="2946">Q1406</f>
        <v>1250</v>
      </c>
      <c r="R1436" s="20">
        <f t="shared" si="2946"/>
        <v>5000</v>
      </c>
      <c r="S1436" s="20">
        <f t="shared" si="2946"/>
        <v>8750</v>
      </c>
      <c r="T1436" s="20">
        <f t="shared" si="2946"/>
        <v>11250</v>
      </c>
      <c r="U1436" s="20">
        <f t="shared" si="2946"/>
        <v>10</v>
      </c>
      <c r="V1436" s="20">
        <f t="shared" si="2946"/>
        <v>1300</v>
      </c>
      <c r="W1436" s="20">
        <f t="shared" si="2946"/>
        <v>1000</v>
      </c>
      <c r="X1436" s="20">
        <f t="shared" si="2946"/>
        <v>7</v>
      </c>
      <c r="Y1436" s="20">
        <v>0</v>
      </c>
      <c r="Z1436" s="22">
        <v>0</v>
      </c>
      <c r="AA1436" s="20">
        <f t="shared" si="2907"/>
        <v>0</v>
      </c>
      <c r="AB1436" s="20">
        <v>0</v>
      </c>
      <c r="AC1436" s="20">
        <v>0</v>
      </c>
      <c r="AD1436" s="23">
        <f t="shared" ref="AD1436:AE1436" si="2947">AD1406</f>
        <v>48</v>
      </c>
      <c r="AE1436" s="23">
        <f t="shared" si="2947"/>
        <v>52</v>
      </c>
    </row>
    <row r="1437" spans="1:31">
      <c r="A1437" s="4">
        <v>14102</v>
      </c>
      <c r="B1437" s="4">
        <v>26</v>
      </c>
      <c r="C1437" s="19" t="s">
        <v>71</v>
      </c>
      <c r="D1437" s="44">
        <v>0</v>
      </c>
      <c r="E1437" s="18">
        <v>0</v>
      </c>
      <c r="F1437" s="18">
        <f t="shared" si="2897"/>
        <v>1377</v>
      </c>
      <c r="G1437" s="18">
        <v>0</v>
      </c>
      <c r="H1437" s="45">
        <v>0</v>
      </c>
      <c r="I1437" s="21">
        <f t="shared" si="2822"/>
        <v>385</v>
      </c>
      <c r="J1437" s="21">
        <f t="shared" si="2911"/>
        <v>25</v>
      </c>
      <c r="K1437" s="21">
        <v>0</v>
      </c>
      <c r="L1437" s="20">
        <v>6</v>
      </c>
      <c r="M1437" s="20">
        <v>0</v>
      </c>
      <c r="N1437" s="20">
        <f t="shared" si="2823"/>
        <v>13000</v>
      </c>
      <c r="O1437" s="19" t="s">
        <v>71</v>
      </c>
      <c r="P1437" s="20">
        <v>1777</v>
      </c>
      <c r="Q1437" s="20">
        <f t="shared" ref="Q1437:X1437" si="2948">Q1407</f>
        <v>1300</v>
      </c>
      <c r="R1437" s="20">
        <f t="shared" si="2948"/>
        <v>5200</v>
      </c>
      <c r="S1437" s="20">
        <f t="shared" si="2948"/>
        <v>9100</v>
      </c>
      <c r="T1437" s="20">
        <f t="shared" si="2948"/>
        <v>11700</v>
      </c>
      <c r="U1437" s="20">
        <f t="shared" si="2948"/>
        <v>90</v>
      </c>
      <c r="V1437" s="20">
        <f t="shared" si="2948"/>
        <v>800</v>
      </c>
      <c r="W1437" s="20">
        <f t="shared" si="2948"/>
        <v>2000</v>
      </c>
      <c r="X1437" s="20">
        <f t="shared" si="2948"/>
        <v>7</v>
      </c>
      <c r="Y1437" s="20">
        <v>0</v>
      </c>
      <c r="Z1437" s="22">
        <v>0</v>
      </c>
      <c r="AA1437" s="20">
        <f t="shared" si="2907"/>
        <v>0</v>
      </c>
      <c r="AB1437" s="20">
        <v>0</v>
      </c>
      <c r="AC1437" s="20">
        <v>0</v>
      </c>
      <c r="AD1437" s="23">
        <f t="shared" ref="AD1437:AE1437" si="2949">AD1407</f>
        <v>50</v>
      </c>
      <c r="AE1437" s="23">
        <f t="shared" si="2949"/>
        <v>54</v>
      </c>
    </row>
    <row r="1438" spans="1:31">
      <c r="A1438" s="4">
        <v>14102</v>
      </c>
      <c r="B1438" s="4">
        <v>27</v>
      </c>
      <c r="C1438" s="19" t="s">
        <v>72</v>
      </c>
      <c r="D1438" s="44">
        <v>0</v>
      </c>
      <c r="E1438" s="18">
        <v>0</v>
      </c>
      <c r="F1438" s="18">
        <f t="shared" si="2897"/>
        <v>1488</v>
      </c>
      <c r="G1438" s="18">
        <v>0</v>
      </c>
      <c r="H1438" s="45">
        <v>0</v>
      </c>
      <c r="I1438" s="21">
        <f t="shared" si="2822"/>
        <v>385</v>
      </c>
      <c r="J1438" s="21">
        <f t="shared" si="2911"/>
        <v>26</v>
      </c>
      <c r="K1438" s="21">
        <v>0</v>
      </c>
      <c r="L1438" s="20">
        <v>6</v>
      </c>
      <c r="M1438" s="20">
        <v>0</v>
      </c>
      <c r="N1438" s="20">
        <f t="shared" si="2823"/>
        <v>13500</v>
      </c>
      <c r="O1438" s="19" t="s">
        <v>72</v>
      </c>
      <c r="P1438" s="20">
        <v>2332</v>
      </c>
      <c r="Q1438" s="20">
        <f t="shared" ref="Q1438:X1438" si="2950">Q1408</f>
        <v>1350</v>
      </c>
      <c r="R1438" s="20">
        <f t="shared" si="2950"/>
        <v>5400</v>
      </c>
      <c r="S1438" s="20">
        <f t="shared" si="2950"/>
        <v>9450</v>
      </c>
      <c r="T1438" s="20">
        <f t="shared" si="2950"/>
        <v>12150</v>
      </c>
      <c r="U1438" s="20">
        <f t="shared" si="2950"/>
        <v>80</v>
      </c>
      <c r="V1438" s="20">
        <f t="shared" si="2950"/>
        <v>700</v>
      </c>
      <c r="W1438" s="20">
        <f t="shared" si="2950"/>
        <v>800</v>
      </c>
      <c r="X1438" s="20">
        <f t="shared" si="2950"/>
        <v>7</v>
      </c>
      <c r="Y1438" s="20">
        <v>0</v>
      </c>
      <c r="Z1438" s="22">
        <v>0</v>
      </c>
      <c r="AA1438" s="20">
        <f t="shared" si="2907"/>
        <v>0</v>
      </c>
      <c r="AB1438" s="20">
        <v>0</v>
      </c>
      <c r="AC1438" s="20">
        <v>0</v>
      </c>
      <c r="AD1438" s="23">
        <f t="shared" ref="AD1438:AE1438" si="2951">AD1408</f>
        <v>52</v>
      </c>
      <c r="AE1438" s="23">
        <f t="shared" si="2951"/>
        <v>56</v>
      </c>
    </row>
    <row r="1439" spans="1:31">
      <c r="A1439" s="4">
        <v>14102</v>
      </c>
      <c r="B1439" s="4">
        <v>28</v>
      </c>
      <c r="C1439" s="19" t="s">
        <v>73</v>
      </c>
      <c r="D1439" s="44">
        <v>0</v>
      </c>
      <c r="E1439" s="18">
        <v>0</v>
      </c>
      <c r="F1439" s="18">
        <f t="shared" si="2897"/>
        <v>1611</v>
      </c>
      <c r="G1439" s="18">
        <v>0</v>
      </c>
      <c r="H1439" s="45">
        <v>0</v>
      </c>
      <c r="I1439" s="21">
        <f t="shared" si="2822"/>
        <v>385</v>
      </c>
      <c r="J1439" s="21">
        <f t="shared" si="2911"/>
        <v>27</v>
      </c>
      <c r="K1439" s="21">
        <v>0</v>
      </c>
      <c r="L1439" s="20">
        <v>6</v>
      </c>
      <c r="M1439" s="20">
        <v>0</v>
      </c>
      <c r="N1439" s="20">
        <f t="shared" si="2823"/>
        <v>14000</v>
      </c>
      <c r="O1439" s="19" t="s">
        <v>73</v>
      </c>
      <c r="P1439" s="20">
        <v>1487</v>
      </c>
      <c r="Q1439" s="20">
        <f t="shared" ref="Q1439:X1439" si="2952">Q1409</f>
        <v>1400</v>
      </c>
      <c r="R1439" s="20">
        <f t="shared" si="2952"/>
        <v>5600</v>
      </c>
      <c r="S1439" s="20">
        <f t="shared" si="2952"/>
        <v>9800</v>
      </c>
      <c r="T1439" s="20">
        <f t="shared" si="2952"/>
        <v>12600</v>
      </c>
      <c r="U1439" s="20">
        <f t="shared" si="2952"/>
        <v>80</v>
      </c>
      <c r="V1439" s="20">
        <f t="shared" si="2952"/>
        <v>500</v>
      </c>
      <c r="W1439" s="20">
        <f t="shared" si="2952"/>
        <v>600</v>
      </c>
      <c r="X1439" s="20">
        <f t="shared" si="2952"/>
        <v>7</v>
      </c>
      <c r="Y1439" s="20">
        <v>0</v>
      </c>
      <c r="Z1439" s="22">
        <v>0</v>
      </c>
      <c r="AA1439" s="20">
        <f t="shared" si="2907"/>
        <v>201</v>
      </c>
      <c r="AB1439" s="20">
        <v>0</v>
      </c>
      <c r="AC1439" s="20">
        <v>0</v>
      </c>
      <c r="AD1439" s="23">
        <f t="shared" ref="AD1439:AE1439" si="2953">AD1409</f>
        <v>54</v>
      </c>
      <c r="AE1439" s="23">
        <f t="shared" si="2953"/>
        <v>58</v>
      </c>
    </row>
    <row r="1440" spans="1:31">
      <c r="A1440" s="4">
        <v>14102</v>
      </c>
      <c r="B1440" s="4">
        <v>29</v>
      </c>
      <c r="C1440" s="19" t="s">
        <v>74</v>
      </c>
      <c r="D1440" s="44">
        <v>0</v>
      </c>
      <c r="E1440" s="18">
        <v>0</v>
      </c>
      <c r="F1440" s="18">
        <f t="shared" si="2897"/>
        <v>1746</v>
      </c>
      <c r="G1440" s="18">
        <v>0</v>
      </c>
      <c r="H1440" s="45">
        <v>0</v>
      </c>
      <c r="I1440" s="21">
        <f t="shared" si="2822"/>
        <v>440</v>
      </c>
      <c r="J1440" s="21">
        <f t="shared" si="2911"/>
        <v>28</v>
      </c>
      <c r="K1440" s="21">
        <v>0</v>
      </c>
      <c r="L1440" s="20">
        <v>6</v>
      </c>
      <c r="M1440" s="20">
        <v>0</v>
      </c>
      <c r="N1440" s="20">
        <f t="shared" si="2823"/>
        <v>14500</v>
      </c>
      <c r="O1440" s="19" t="s">
        <v>74</v>
      </c>
      <c r="P1440" s="20">
        <v>1518</v>
      </c>
      <c r="Q1440" s="20">
        <f t="shared" ref="Q1440:X1440" si="2954">Q1410</f>
        <v>1450</v>
      </c>
      <c r="R1440" s="20">
        <f t="shared" si="2954"/>
        <v>5800</v>
      </c>
      <c r="S1440" s="20">
        <f t="shared" si="2954"/>
        <v>10150</v>
      </c>
      <c r="T1440" s="20">
        <f t="shared" si="2954"/>
        <v>13050</v>
      </c>
      <c r="U1440" s="20">
        <f t="shared" si="2954"/>
        <v>80</v>
      </c>
      <c r="V1440" s="20">
        <f t="shared" si="2954"/>
        <v>600</v>
      </c>
      <c r="W1440" s="20">
        <f t="shared" si="2954"/>
        <v>700</v>
      </c>
      <c r="X1440" s="20">
        <f t="shared" si="2954"/>
        <v>8</v>
      </c>
      <c r="Y1440" s="20">
        <v>0</v>
      </c>
      <c r="Z1440" s="22">
        <v>0</v>
      </c>
      <c r="AA1440" s="20">
        <f t="shared" si="2907"/>
        <v>0</v>
      </c>
      <c r="AB1440" s="20">
        <v>0</v>
      </c>
      <c r="AC1440" s="20">
        <v>0</v>
      </c>
      <c r="AD1440" s="23">
        <f t="shared" ref="AD1440:AE1440" si="2955">AD1410</f>
        <v>56</v>
      </c>
      <c r="AE1440" s="23">
        <f t="shared" si="2955"/>
        <v>60</v>
      </c>
    </row>
    <row r="1441" spans="1:31">
      <c r="A1441" s="4">
        <v>14102</v>
      </c>
      <c r="B1441" s="4">
        <v>30</v>
      </c>
      <c r="C1441" s="19" t="s">
        <v>75</v>
      </c>
      <c r="D1441" s="44">
        <v>0</v>
      </c>
      <c r="E1441" s="18">
        <v>0</v>
      </c>
      <c r="F1441" s="18">
        <f t="shared" si="2897"/>
        <v>1890</v>
      </c>
      <c r="G1441" s="18">
        <v>0</v>
      </c>
      <c r="H1441" s="45">
        <v>0</v>
      </c>
      <c r="I1441" s="21">
        <f t="shared" ref="I1441:I1504" si="2956">I1411</f>
        <v>440</v>
      </c>
      <c r="J1441" s="21">
        <f t="shared" si="2911"/>
        <v>29</v>
      </c>
      <c r="K1441" s="21">
        <v>0</v>
      </c>
      <c r="L1441" s="20">
        <v>6</v>
      </c>
      <c r="M1441" s="20">
        <v>0</v>
      </c>
      <c r="N1441" s="20">
        <f t="shared" ref="N1441:N1504" si="2957">N1411</f>
        <v>15000</v>
      </c>
      <c r="O1441" s="19" t="s">
        <v>75</v>
      </c>
      <c r="P1441" s="20">
        <v>861</v>
      </c>
      <c r="Q1441" s="20">
        <f t="shared" ref="Q1441:X1441" si="2958">Q1411</f>
        <v>1500</v>
      </c>
      <c r="R1441" s="20">
        <f t="shared" si="2958"/>
        <v>6000</v>
      </c>
      <c r="S1441" s="20">
        <f t="shared" si="2958"/>
        <v>10500</v>
      </c>
      <c r="T1441" s="20">
        <f t="shared" si="2958"/>
        <v>13500</v>
      </c>
      <c r="U1441" s="20">
        <f t="shared" si="2958"/>
        <v>20</v>
      </c>
      <c r="V1441" s="20">
        <f t="shared" si="2958"/>
        <v>450</v>
      </c>
      <c r="W1441" s="20">
        <f t="shared" si="2958"/>
        <v>1000</v>
      </c>
      <c r="X1441" s="20">
        <f t="shared" si="2958"/>
        <v>8</v>
      </c>
      <c r="Y1441" s="20">
        <v>0</v>
      </c>
      <c r="Z1441" s="22">
        <v>0</v>
      </c>
      <c r="AA1441" s="20">
        <f t="shared" si="2907"/>
        <v>0</v>
      </c>
      <c r="AB1441" s="20">
        <v>0</v>
      </c>
      <c r="AC1441" s="20">
        <v>0</v>
      </c>
      <c r="AD1441" s="23">
        <f t="shared" ref="AD1441:AE1441" si="2959">AD1411</f>
        <v>58</v>
      </c>
      <c r="AE1441" s="23">
        <f t="shared" si="2959"/>
        <v>62</v>
      </c>
    </row>
    <row r="1442" spans="1:31">
      <c r="A1442" s="8">
        <v>14103</v>
      </c>
      <c r="B1442" s="8">
        <v>1</v>
      </c>
      <c r="C1442" s="29" t="s">
        <v>66</v>
      </c>
      <c r="D1442" s="46">
        <v>0</v>
      </c>
      <c r="E1442" s="28">
        <v>0</v>
      </c>
      <c r="F1442" s="28">
        <f>F1352*4</f>
        <v>252</v>
      </c>
      <c r="G1442" s="28">
        <v>0</v>
      </c>
      <c r="H1442" s="47">
        <v>0</v>
      </c>
      <c r="I1442" s="21">
        <f t="shared" si="2956"/>
        <v>55</v>
      </c>
      <c r="J1442" s="21">
        <f t="shared" si="2911"/>
        <v>0</v>
      </c>
      <c r="K1442" s="21">
        <v>0</v>
      </c>
      <c r="L1442" s="20">
        <v>45</v>
      </c>
      <c r="M1442" s="20">
        <v>0</v>
      </c>
      <c r="N1442" s="20">
        <f t="shared" si="2957"/>
        <v>10</v>
      </c>
      <c r="O1442" s="19" t="s">
        <v>66</v>
      </c>
      <c r="P1442" s="20">
        <v>9400</v>
      </c>
      <c r="Q1442" s="20">
        <f t="shared" ref="Q1442:X1442" si="2960">Q1412</f>
        <v>1</v>
      </c>
      <c r="R1442" s="20">
        <f t="shared" si="2960"/>
        <v>4</v>
      </c>
      <c r="S1442" s="20">
        <f t="shared" si="2960"/>
        <v>7</v>
      </c>
      <c r="T1442" s="20">
        <f t="shared" si="2960"/>
        <v>9</v>
      </c>
      <c r="U1442" s="20">
        <f t="shared" si="2960"/>
        <v>9400</v>
      </c>
      <c r="V1442" s="20">
        <f t="shared" si="2960"/>
        <v>9400</v>
      </c>
      <c r="W1442" s="20">
        <f t="shared" si="2960"/>
        <v>9400</v>
      </c>
      <c r="X1442" s="20">
        <f t="shared" si="2960"/>
        <v>1</v>
      </c>
      <c r="Y1442" s="27">
        <v>0</v>
      </c>
      <c r="Z1442" s="30">
        <v>0</v>
      </c>
      <c r="AA1442" s="20">
        <f t="shared" si="2907"/>
        <v>0</v>
      </c>
      <c r="AB1442" s="27">
        <v>0</v>
      </c>
      <c r="AC1442" s="27">
        <v>0</v>
      </c>
      <c r="AD1442" s="23">
        <f t="shared" ref="AD1442:AE1442" si="2961">AD1412</f>
        <v>1</v>
      </c>
      <c r="AE1442" s="23">
        <f t="shared" si="2961"/>
        <v>3</v>
      </c>
    </row>
    <row r="1443" spans="1:31">
      <c r="A1443" s="4">
        <v>14103</v>
      </c>
      <c r="B1443" s="4">
        <v>2</v>
      </c>
      <c r="C1443" s="29" t="s">
        <v>67</v>
      </c>
      <c r="D1443" s="46">
        <v>0</v>
      </c>
      <c r="E1443" s="28">
        <v>0</v>
      </c>
      <c r="F1443" s="28">
        <f t="shared" ref="F1443:F1471" si="2962">F1353*4</f>
        <v>272</v>
      </c>
      <c r="G1443" s="28">
        <v>0</v>
      </c>
      <c r="H1443" s="47">
        <v>0</v>
      </c>
      <c r="I1443" s="21">
        <f t="shared" si="2956"/>
        <v>55</v>
      </c>
      <c r="J1443" s="21">
        <f t="shared" si="2911"/>
        <v>1</v>
      </c>
      <c r="K1443" s="21">
        <v>0</v>
      </c>
      <c r="L1443" s="20">
        <v>40</v>
      </c>
      <c r="M1443" s="20">
        <v>0</v>
      </c>
      <c r="N1443" s="20">
        <f t="shared" si="2957"/>
        <v>20</v>
      </c>
      <c r="O1443" s="19" t="s">
        <v>67</v>
      </c>
      <c r="P1443" s="20">
        <v>9100</v>
      </c>
      <c r="Q1443" s="20">
        <f t="shared" ref="Q1443:X1443" si="2963">Q1413</f>
        <v>2</v>
      </c>
      <c r="R1443" s="20">
        <f t="shared" si="2963"/>
        <v>8</v>
      </c>
      <c r="S1443" s="20">
        <f t="shared" si="2963"/>
        <v>14</v>
      </c>
      <c r="T1443" s="20">
        <f t="shared" si="2963"/>
        <v>18</v>
      </c>
      <c r="U1443" s="20">
        <f t="shared" si="2963"/>
        <v>4000</v>
      </c>
      <c r="V1443" s="20">
        <f t="shared" si="2963"/>
        <v>8000</v>
      </c>
      <c r="W1443" s="20">
        <f t="shared" si="2963"/>
        <v>8000</v>
      </c>
      <c r="X1443" s="20">
        <f t="shared" si="2963"/>
        <v>1</v>
      </c>
      <c r="Y1443" s="27">
        <v>0</v>
      </c>
      <c r="Z1443" s="30">
        <v>0</v>
      </c>
      <c r="AA1443" s="20">
        <f t="shared" si="2907"/>
        <v>0</v>
      </c>
      <c r="AB1443" s="27">
        <v>0</v>
      </c>
      <c r="AC1443" s="27">
        <v>0</v>
      </c>
      <c r="AD1443" s="23">
        <f t="shared" ref="AD1443:AE1443" si="2964">AD1413</f>
        <v>2</v>
      </c>
      <c r="AE1443" s="23">
        <f t="shared" si="2964"/>
        <v>5</v>
      </c>
    </row>
    <row r="1444" spans="1:31">
      <c r="A1444" s="4">
        <v>14103</v>
      </c>
      <c r="B1444" s="4">
        <v>3</v>
      </c>
      <c r="C1444" s="29" t="s">
        <v>68</v>
      </c>
      <c r="D1444" s="46">
        <v>0</v>
      </c>
      <c r="E1444" s="28">
        <v>0</v>
      </c>
      <c r="F1444" s="28">
        <f t="shared" si="2962"/>
        <v>296</v>
      </c>
      <c r="G1444" s="28">
        <v>0</v>
      </c>
      <c r="H1444" s="47">
        <v>0</v>
      </c>
      <c r="I1444" s="21">
        <f t="shared" si="2956"/>
        <v>55</v>
      </c>
      <c r="J1444" s="21">
        <f t="shared" si="2911"/>
        <v>2</v>
      </c>
      <c r="K1444" s="21">
        <v>0</v>
      </c>
      <c r="L1444" s="20">
        <v>35</v>
      </c>
      <c r="M1444" s="20">
        <v>0</v>
      </c>
      <c r="N1444" s="20">
        <f t="shared" si="2957"/>
        <v>40</v>
      </c>
      <c r="O1444" s="19" t="s">
        <v>68</v>
      </c>
      <c r="P1444" s="20">
        <v>8600</v>
      </c>
      <c r="Q1444" s="20">
        <f t="shared" ref="Q1444:X1444" si="2965">Q1414</f>
        <v>4</v>
      </c>
      <c r="R1444" s="20">
        <f t="shared" si="2965"/>
        <v>16</v>
      </c>
      <c r="S1444" s="20">
        <f t="shared" si="2965"/>
        <v>28</v>
      </c>
      <c r="T1444" s="20">
        <f t="shared" si="2965"/>
        <v>36</v>
      </c>
      <c r="U1444" s="20">
        <f t="shared" si="2965"/>
        <v>1600</v>
      </c>
      <c r="V1444" s="20">
        <f t="shared" si="2965"/>
        <v>5000</v>
      </c>
      <c r="W1444" s="20">
        <f t="shared" si="2965"/>
        <v>6000</v>
      </c>
      <c r="X1444" s="20">
        <f t="shared" si="2965"/>
        <v>1</v>
      </c>
      <c r="Y1444" s="27">
        <v>0</v>
      </c>
      <c r="Z1444" s="30">
        <v>0</v>
      </c>
      <c r="AA1444" s="20">
        <f t="shared" si="2907"/>
        <v>0</v>
      </c>
      <c r="AB1444" s="27">
        <v>0</v>
      </c>
      <c r="AC1444" s="27">
        <v>0</v>
      </c>
      <c r="AD1444" s="23">
        <f t="shared" ref="AD1444:AE1444" si="2966">AD1414</f>
        <v>4</v>
      </c>
      <c r="AE1444" s="23">
        <f t="shared" si="2966"/>
        <v>8</v>
      </c>
    </row>
    <row r="1445" spans="1:31">
      <c r="A1445" s="4">
        <v>14103</v>
      </c>
      <c r="B1445" s="4">
        <v>4</v>
      </c>
      <c r="C1445" s="29" t="s">
        <v>69</v>
      </c>
      <c r="D1445" s="46">
        <v>0</v>
      </c>
      <c r="E1445" s="28">
        <v>0</v>
      </c>
      <c r="F1445" s="28">
        <f t="shared" si="2962"/>
        <v>320</v>
      </c>
      <c r="G1445" s="28">
        <v>0</v>
      </c>
      <c r="H1445" s="47">
        <v>0</v>
      </c>
      <c r="I1445" s="21">
        <f t="shared" si="2956"/>
        <v>55</v>
      </c>
      <c r="J1445" s="21">
        <f t="shared" si="2911"/>
        <v>3</v>
      </c>
      <c r="K1445" s="21">
        <v>0</v>
      </c>
      <c r="L1445" s="20">
        <v>30</v>
      </c>
      <c r="M1445" s="20">
        <v>0</v>
      </c>
      <c r="N1445" s="20">
        <f t="shared" si="2957"/>
        <v>100</v>
      </c>
      <c r="O1445" s="19" t="s">
        <v>69</v>
      </c>
      <c r="P1445" s="20">
        <v>6400</v>
      </c>
      <c r="Q1445" s="20">
        <f t="shared" ref="Q1445:X1445" si="2967">Q1415</f>
        <v>10</v>
      </c>
      <c r="R1445" s="20">
        <f t="shared" si="2967"/>
        <v>40</v>
      </c>
      <c r="S1445" s="20">
        <f t="shared" si="2967"/>
        <v>70</v>
      </c>
      <c r="T1445" s="20">
        <f t="shared" si="2967"/>
        <v>90</v>
      </c>
      <c r="U1445" s="20">
        <f t="shared" si="2967"/>
        <v>900</v>
      </c>
      <c r="V1445" s="20">
        <f t="shared" si="2967"/>
        <v>2000</v>
      </c>
      <c r="W1445" s="20">
        <f t="shared" si="2967"/>
        <v>8000</v>
      </c>
      <c r="X1445" s="20">
        <f t="shared" si="2967"/>
        <v>1</v>
      </c>
      <c r="Y1445" s="27">
        <v>0</v>
      </c>
      <c r="Z1445" s="30">
        <v>0</v>
      </c>
      <c r="AA1445" s="20">
        <f t="shared" si="2907"/>
        <v>0</v>
      </c>
      <c r="AB1445" s="27">
        <v>0</v>
      </c>
      <c r="AC1445" s="27">
        <v>0</v>
      </c>
      <c r="AD1445" s="23">
        <f t="shared" ref="AD1445:AE1445" si="2968">AD1415</f>
        <v>6</v>
      </c>
      <c r="AE1445" s="23">
        <f t="shared" si="2968"/>
        <v>10</v>
      </c>
    </row>
    <row r="1446" spans="1:31">
      <c r="A1446" s="4">
        <v>14103</v>
      </c>
      <c r="B1446" s="4">
        <v>5</v>
      </c>
      <c r="C1446" s="29" t="s">
        <v>70</v>
      </c>
      <c r="D1446" s="46">
        <v>0</v>
      </c>
      <c r="E1446" s="28">
        <v>0</v>
      </c>
      <c r="F1446" s="28">
        <f t="shared" si="2962"/>
        <v>348</v>
      </c>
      <c r="G1446" s="28">
        <v>0</v>
      </c>
      <c r="H1446" s="47">
        <v>0</v>
      </c>
      <c r="I1446" s="21">
        <f t="shared" si="2956"/>
        <v>110</v>
      </c>
      <c r="J1446" s="21">
        <f t="shared" si="2911"/>
        <v>4</v>
      </c>
      <c r="K1446" s="21">
        <v>0</v>
      </c>
      <c r="L1446" s="20">
        <v>25</v>
      </c>
      <c r="M1446" s="20">
        <v>0</v>
      </c>
      <c r="N1446" s="20">
        <f t="shared" si="2957"/>
        <v>200</v>
      </c>
      <c r="O1446" s="19" t="s">
        <v>70</v>
      </c>
      <c r="P1446" s="20">
        <v>3100</v>
      </c>
      <c r="Q1446" s="20">
        <f t="shared" ref="Q1446:X1446" si="2969">Q1416</f>
        <v>20</v>
      </c>
      <c r="R1446" s="20">
        <f t="shared" si="2969"/>
        <v>80</v>
      </c>
      <c r="S1446" s="20">
        <f t="shared" si="2969"/>
        <v>140</v>
      </c>
      <c r="T1446" s="20">
        <f t="shared" si="2969"/>
        <v>180</v>
      </c>
      <c r="U1446" s="20">
        <f t="shared" si="2969"/>
        <v>1000</v>
      </c>
      <c r="V1446" s="20">
        <f t="shared" si="2969"/>
        <v>2000</v>
      </c>
      <c r="W1446" s="20">
        <f t="shared" si="2969"/>
        <v>2000</v>
      </c>
      <c r="X1446" s="20">
        <f t="shared" si="2969"/>
        <v>2</v>
      </c>
      <c r="Y1446" s="27">
        <v>0</v>
      </c>
      <c r="Z1446" s="30">
        <v>0</v>
      </c>
      <c r="AA1446" s="20">
        <f t="shared" si="2907"/>
        <v>0</v>
      </c>
      <c r="AB1446" s="27">
        <v>0</v>
      </c>
      <c r="AC1446" s="27">
        <v>0</v>
      </c>
      <c r="AD1446" s="23">
        <f t="shared" ref="AD1446:AE1446" si="2970">AD1416</f>
        <v>8</v>
      </c>
      <c r="AE1446" s="23">
        <f t="shared" si="2970"/>
        <v>12</v>
      </c>
    </row>
    <row r="1447" spans="1:31">
      <c r="A1447" s="4">
        <v>14103</v>
      </c>
      <c r="B1447" s="4">
        <v>6</v>
      </c>
      <c r="C1447" s="29" t="s">
        <v>71</v>
      </c>
      <c r="D1447" s="46">
        <v>0</v>
      </c>
      <c r="E1447" s="28">
        <v>0</v>
      </c>
      <c r="F1447" s="28">
        <f t="shared" si="2962"/>
        <v>376</v>
      </c>
      <c r="G1447" s="28">
        <v>0</v>
      </c>
      <c r="H1447" s="47">
        <v>0</v>
      </c>
      <c r="I1447" s="21">
        <f t="shared" si="2956"/>
        <v>110</v>
      </c>
      <c r="J1447" s="21">
        <f t="shared" si="2911"/>
        <v>5</v>
      </c>
      <c r="K1447" s="21">
        <v>0</v>
      </c>
      <c r="L1447" s="20">
        <v>20</v>
      </c>
      <c r="M1447" s="20">
        <v>0</v>
      </c>
      <c r="N1447" s="20">
        <f t="shared" si="2957"/>
        <v>500</v>
      </c>
      <c r="O1447" s="19" t="s">
        <v>71</v>
      </c>
      <c r="P1447" s="20">
        <v>1777</v>
      </c>
      <c r="Q1447" s="20">
        <f t="shared" ref="Q1447:X1447" si="2971">Q1417</f>
        <v>50</v>
      </c>
      <c r="R1447" s="20">
        <f t="shared" si="2971"/>
        <v>200</v>
      </c>
      <c r="S1447" s="20">
        <f t="shared" si="2971"/>
        <v>350</v>
      </c>
      <c r="T1447" s="20">
        <f t="shared" si="2971"/>
        <v>450</v>
      </c>
      <c r="U1447" s="20">
        <f t="shared" si="2971"/>
        <v>800</v>
      </c>
      <c r="V1447" s="20">
        <f t="shared" si="2971"/>
        <v>800</v>
      </c>
      <c r="W1447" s="20">
        <f t="shared" si="2971"/>
        <v>600</v>
      </c>
      <c r="X1447" s="20">
        <f t="shared" si="2971"/>
        <v>2</v>
      </c>
      <c r="Y1447" s="27">
        <v>0</v>
      </c>
      <c r="Z1447" s="30">
        <v>0</v>
      </c>
      <c r="AA1447" s="20">
        <f t="shared" si="2907"/>
        <v>0</v>
      </c>
      <c r="AB1447" s="27">
        <v>0</v>
      </c>
      <c r="AC1447" s="27">
        <v>0</v>
      </c>
      <c r="AD1447" s="23">
        <f t="shared" ref="AD1447:AE1447" si="2972">AD1417</f>
        <v>10</v>
      </c>
      <c r="AE1447" s="23">
        <f t="shared" si="2972"/>
        <v>14</v>
      </c>
    </row>
    <row r="1448" spans="1:31">
      <c r="A1448" s="4">
        <v>14103</v>
      </c>
      <c r="B1448" s="4">
        <v>7</v>
      </c>
      <c r="C1448" s="29" t="s">
        <v>72</v>
      </c>
      <c r="D1448" s="46">
        <v>0</v>
      </c>
      <c r="E1448" s="28">
        <v>0</v>
      </c>
      <c r="F1448" s="28">
        <f t="shared" si="2962"/>
        <v>404</v>
      </c>
      <c r="G1448" s="28">
        <v>0</v>
      </c>
      <c r="H1448" s="47">
        <v>0</v>
      </c>
      <c r="I1448" s="21">
        <f t="shared" si="2956"/>
        <v>110</v>
      </c>
      <c r="J1448" s="21">
        <f t="shared" si="2911"/>
        <v>6</v>
      </c>
      <c r="K1448" s="21">
        <v>0</v>
      </c>
      <c r="L1448" s="20">
        <v>16</v>
      </c>
      <c r="M1448" s="20">
        <v>0</v>
      </c>
      <c r="N1448" s="20">
        <f t="shared" si="2957"/>
        <v>700</v>
      </c>
      <c r="O1448" s="19" t="s">
        <v>72</v>
      </c>
      <c r="P1448" s="20">
        <v>2332</v>
      </c>
      <c r="Q1448" s="20">
        <f t="shared" ref="Q1448:X1448" si="2973">Q1418</f>
        <v>70</v>
      </c>
      <c r="R1448" s="20">
        <f t="shared" si="2973"/>
        <v>280</v>
      </c>
      <c r="S1448" s="20">
        <f t="shared" si="2973"/>
        <v>489.99999999999994</v>
      </c>
      <c r="T1448" s="20">
        <f t="shared" si="2973"/>
        <v>630</v>
      </c>
      <c r="U1448" s="20">
        <f t="shared" si="2973"/>
        <v>650</v>
      </c>
      <c r="V1448" s="20">
        <f t="shared" si="2973"/>
        <v>800</v>
      </c>
      <c r="W1448" s="20">
        <f t="shared" si="2973"/>
        <v>300</v>
      </c>
      <c r="X1448" s="20">
        <f t="shared" si="2973"/>
        <v>2</v>
      </c>
      <c r="Y1448" s="27">
        <v>0</v>
      </c>
      <c r="Z1448" s="30">
        <v>0</v>
      </c>
      <c r="AA1448" s="20">
        <f t="shared" si="2907"/>
        <v>0</v>
      </c>
      <c r="AB1448" s="27">
        <v>0</v>
      </c>
      <c r="AC1448" s="27">
        <v>0</v>
      </c>
      <c r="AD1448" s="23">
        <f t="shared" ref="AD1448:AE1448" si="2974">AD1418</f>
        <v>12</v>
      </c>
      <c r="AE1448" s="23">
        <f t="shared" si="2974"/>
        <v>16</v>
      </c>
    </row>
    <row r="1449" spans="1:31">
      <c r="A1449" s="4">
        <v>14103</v>
      </c>
      <c r="B1449" s="4">
        <v>8</v>
      </c>
      <c r="C1449" s="29" t="s">
        <v>73</v>
      </c>
      <c r="D1449" s="46">
        <v>0</v>
      </c>
      <c r="E1449" s="28">
        <v>0</v>
      </c>
      <c r="F1449" s="28">
        <f t="shared" si="2962"/>
        <v>440</v>
      </c>
      <c r="G1449" s="28">
        <v>0</v>
      </c>
      <c r="H1449" s="47">
        <v>0</v>
      </c>
      <c r="I1449" s="21">
        <f t="shared" si="2956"/>
        <v>110</v>
      </c>
      <c r="J1449" s="21">
        <f t="shared" si="2911"/>
        <v>7</v>
      </c>
      <c r="K1449" s="21">
        <v>0</v>
      </c>
      <c r="L1449" s="20">
        <v>12</v>
      </c>
      <c r="M1449" s="20">
        <v>0</v>
      </c>
      <c r="N1449" s="20">
        <f t="shared" si="2957"/>
        <v>800</v>
      </c>
      <c r="O1449" s="19" t="s">
        <v>73</v>
      </c>
      <c r="P1449" s="20">
        <v>1487</v>
      </c>
      <c r="Q1449" s="20">
        <f t="shared" ref="Q1449:X1449" si="2975">Q1419</f>
        <v>80</v>
      </c>
      <c r="R1449" s="20">
        <f t="shared" si="2975"/>
        <v>320</v>
      </c>
      <c r="S1449" s="20">
        <f t="shared" si="2975"/>
        <v>560</v>
      </c>
      <c r="T1449" s="20">
        <f t="shared" si="2975"/>
        <v>720</v>
      </c>
      <c r="U1449" s="20">
        <f t="shared" si="2975"/>
        <v>200</v>
      </c>
      <c r="V1449" s="20">
        <f t="shared" si="2975"/>
        <v>2000</v>
      </c>
      <c r="W1449" s="20">
        <f t="shared" si="2975"/>
        <v>1000</v>
      </c>
      <c r="X1449" s="20">
        <f t="shared" si="2975"/>
        <v>2</v>
      </c>
      <c r="Y1449" s="27">
        <v>0</v>
      </c>
      <c r="Z1449" s="30">
        <v>0</v>
      </c>
      <c r="AA1449" s="20">
        <f t="shared" si="2907"/>
        <v>44</v>
      </c>
      <c r="AB1449" s="27">
        <v>0</v>
      </c>
      <c r="AC1449" s="27">
        <v>0</v>
      </c>
      <c r="AD1449" s="23">
        <f t="shared" ref="AD1449:AE1449" si="2976">AD1419</f>
        <v>14</v>
      </c>
      <c r="AE1449" s="23">
        <f t="shared" si="2976"/>
        <v>18</v>
      </c>
    </row>
    <row r="1450" spans="1:31">
      <c r="A1450" s="4">
        <v>14103</v>
      </c>
      <c r="B1450" s="4">
        <v>9</v>
      </c>
      <c r="C1450" s="29" t="s">
        <v>74</v>
      </c>
      <c r="D1450" s="46">
        <v>0</v>
      </c>
      <c r="E1450" s="28">
        <v>0</v>
      </c>
      <c r="F1450" s="28">
        <f t="shared" si="2962"/>
        <v>476</v>
      </c>
      <c r="G1450" s="28">
        <v>0</v>
      </c>
      <c r="H1450" s="47">
        <v>0</v>
      </c>
      <c r="I1450" s="21">
        <f t="shared" si="2956"/>
        <v>165</v>
      </c>
      <c r="J1450" s="21">
        <f t="shared" si="2911"/>
        <v>8</v>
      </c>
      <c r="K1450" s="21">
        <v>0</v>
      </c>
      <c r="L1450" s="20">
        <v>8</v>
      </c>
      <c r="M1450" s="20">
        <v>0</v>
      </c>
      <c r="N1450" s="20">
        <f t="shared" si="2957"/>
        <v>900</v>
      </c>
      <c r="O1450" s="19" t="s">
        <v>74</v>
      </c>
      <c r="P1450" s="20">
        <v>1518</v>
      </c>
      <c r="Q1450" s="20">
        <f t="shared" ref="Q1450:X1450" si="2977">Q1420</f>
        <v>90</v>
      </c>
      <c r="R1450" s="20">
        <f t="shared" si="2977"/>
        <v>360</v>
      </c>
      <c r="S1450" s="20">
        <f t="shared" si="2977"/>
        <v>630</v>
      </c>
      <c r="T1450" s="20">
        <f t="shared" si="2977"/>
        <v>810</v>
      </c>
      <c r="U1450" s="20">
        <f t="shared" si="2977"/>
        <v>120</v>
      </c>
      <c r="V1450" s="20">
        <f t="shared" si="2977"/>
        <v>1500</v>
      </c>
      <c r="W1450" s="20">
        <f t="shared" si="2977"/>
        <v>1000</v>
      </c>
      <c r="X1450" s="20">
        <f t="shared" si="2977"/>
        <v>3</v>
      </c>
      <c r="Y1450" s="27">
        <v>0</v>
      </c>
      <c r="Z1450" s="30">
        <v>0</v>
      </c>
      <c r="AA1450" s="20">
        <f t="shared" si="2907"/>
        <v>0</v>
      </c>
      <c r="AB1450" s="27">
        <v>0</v>
      </c>
      <c r="AC1450" s="27">
        <v>0</v>
      </c>
      <c r="AD1450" s="23">
        <f t="shared" ref="AD1450:AE1450" si="2978">AD1420</f>
        <v>16</v>
      </c>
      <c r="AE1450" s="23">
        <f t="shared" si="2978"/>
        <v>20</v>
      </c>
    </row>
    <row r="1451" spans="1:31">
      <c r="A1451" s="4">
        <v>14103</v>
      </c>
      <c r="B1451" s="4">
        <v>10</v>
      </c>
      <c r="C1451" s="29" t="s">
        <v>75</v>
      </c>
      <c r="D1451" s="46">
        <v>0</v>
      </c>
      <c r="E1451" s="28">
        <v>0</v>
      </c>
      <c r="F1451" s="28">
        <f t="shared" si="2962"/>
        <v>516</v>
      </c>
      <c r="G1451" s="28">
        <v>0</v>
      </c>
      <c r="H1451" s="47">
        <v>0</v>
      </c>
      <c r="I1451" s="21">
        <f t="shared" si="2956"/>
        <v>165</v>
      </c>
      <c r="J1451" s="21">
        <f t="shared" si="2911"/>
        <v>9</v>
      </c>
      <c r="K1451" s="21">
        <v>0</v>
      </c>
      <c r="L1451" s="20">
        <v>6</v>
      </c>
      <c r="M1451" s="20">
        <v>0</v>
      </c>
      <c r="N1451" s="20">
        <f t="shared" si="2957"/>
        <v>2000</v>
      </c>
      <c r="O1451" s="19" t="s">
        <v>75</v>
      </c>
      <c r="P1451" s="20">
        <v>861</v>
      </c>
      <c r="Q1451" s="20">
        <f t="shared" ref="Q1451:X1451" si="2979">Q1421</f>
        <v>200</v>
      </c>
      <c r="R1451" s="20">
        <f t="shared" si="2979"/>
        <v>800</v>
      </c>
      <c r="S1451" s="20">
        <f t="shared" si="2979"/>
        <v>1400</v>
      </c>
      <c r="T1451" s="20">
        <f t="shared" si="2979"/>
        <v>1800</v>
      </c>
      <c r="U1451" s="20">
        <f t="shared" si="2979"/>
        <v>150</v>
      </c>
      <c r="V1451" s="20">
        <f t="shared" si="2979"/>
        <v>5000</v>
      </c>
      <c r="W1451" s="20">
        <f t="shared" si="2979"/>
        <v>800</v>
      </c>
      <c r="X1451" s="20">
        <f t="shared" si="2979"/>
        <v>3</v>
      </c>
      <c r="Y1451" s="27">
        <v>0</v>
      </c>
      <c r="Z1451" s="30">
        <v>0</v>
      </c>
      <c r="AA1451" s="20">
        <f t="shared" si="2907"/>
        <v>0</v>
      </c>
      <c r="AB1451" s="27">
        <v>0</v>
      </c>
      <c r="AC1451" s="27">
        <v>0</v>
      </c>
      <c r="AD1451" s="23">
        <f t="shared" ref="AD1451:AE1451" si="2980">AD1421</f>
        <v>18</v>
      </c>
      <c r="AE1451" s="23">
        <f t="shared" si="2980"/>
        <v>22</v>
      </c>
    </row>
    <row r="1452" spans="1:31">
      <c r="A1452" s="4">
        <v>14103</v>
      </c>
      <c r="B1452" s="4">
        <v>11</v>
      </c>
      <c r="C1452" s="29" t="s">
        <v>66</v>
      </c>
      <c r="D1452" s="46">
        <v>0</v>
      </c>
      <c r="E1452" s="28">
        <v>0</v>
      </c>
      <c r="F1452" s="28">
        <f t="shared" si="2962"/>
        <v>556</v>
      </c>
      <c r="G1452" s="28">
        <v>0</v>
      </c>
      <c r="H1452" s="47">
        <v>0</v>
      </c>
      <c r="I1452" s="21">
        <f t="shared" si="2956"/>
        <v>165</v>
      </c>
      <c r="J1452" s="21">
        <f t="shared" si="2911"/>
        <v>10</v>
      </c>
      <c r="K1452" s="21">
        <v>0</v>
      </c>
      <c r="L1452" s="20">
        <v>6</v>
      </c>
      <c r="M1452" s="20">
        <v>0</v>
      </c>
      <c r="N1452" s="20">
        <f t="shared" si="2957"/>
        <v>2200</v>
      </c>
      <c r="O1452" s="19" t="s">
        <v>66</v>
      </c>
      <c r="P1452" s="20">
        <v>9400</v>
      </c>
      <c r="Q1452" s="20">
        <f t="shared" ref="Q1452:X1452" si="2981">Q1422</f>
        <v>220</v>
      </c>
      <c r="R1452" s="20">
        <f t="shared" si="2981"/>
        <v>880</v>
      </c>
      <c r="S1452" s="20">
        <f t="shared" si="2981"/>
        <v>1540</v>
      </c>
      <c r="T1452" s="20">
        <f t="shared" si="2981"/>
        <v>1980</v>
      </c>
      <c r="U1452" s="20">
        <f t="shared" si="2981"/>
        <v>100</v>
      </c>
      <c r="V1452" s="20">
        <f t="shared" si="2981"/>
        <v>800</v>
      </c>
      <c r="W1452" s="20">
        <f t="shared" si="2981"/>
        <v>600</v>
      </c>
      <c r="X1452" s="20">
        <f t="shared" si="2981"/>
        <v>3</v>
      </c>
      <c r="Y1452" s="27">
        <v>0</v>
      </c>
      <c r="Z1452" s="30">
        <v>0</v>
      </c>
      <c r="AA1452" s="20">
        <f t="shared" si="2907"/>
        <v>0</v>
      </c>
      <c r="AB1452" s="27">
        <v>0</v>
      </c>
      <c r="AC1452" s="27">
        <v>0</v>
      </c>
      <c r="AD1452" s="23">
        <f t="shared" ref="AD1452:AE1452" si="2982">AD1422</f>
        <v>20</v>
      </c>
      <c r="AE1452" s="23">
        <f t="shared" si="2982"/>
        <v>24</v>
      </c>
    </row>
    <row r="1453" spans="1:31">
      <c r="A1453" s="4">
        <v>14103</v>
      </c>
      <c r="B1453" s="4">
        <v>12</v>
      </c>
      <c r="C1453" s="29" t="s">
        <v>67</v>
      </c>
      <c r="D1453" s="46">
        <v>0</v>
      </c>
      <c r="E1453" s="28">
        <v>0</v>
      </c>
      <c r="F1453" s="28">
        <f t="shared" si="2962"/>
        <v>604</v>
      </c>
      <c r="G1453" s="28">
        <v>0</v>
      </c>
      <c r="H1453" s="47">
        <v>0</v>
      </c>
      <c r="I1453" s="21">
        <f t="shared" si="2956"/>
        <v>165</v>
      </c>
      <c r="J1453" s="21">
        <f t="shared" si="2911"/>
        <v>11</v>
      </c>
      <c r="K1453" s="21">
        <v>0</v>
      </c>
      <c r="L1453" s="20">
        <v>6</v>
      </c>
      <c r="M1453" s="20">
        <v>0</v>
      </c>
      <c r="N1453" s="20">
        <f t="shared" si="2957"/>
        <v>2400</v>
      </c>
      <c r="O1453" s="19" t="s">
        <v>67</v>
      </c>
      <c r="P1453" s="20">
        <v>9100</v>
      </c>
      <c r="Q1453" s="20">
        <f t="shared" ref="Q1453:X1453" si="2983">Q1423</f>
        <v>240</v>
      </c>
      <c r="R1453" s="20">
        <f t="shared" si="2983"/>
        <v>960</v>
      </c>
      <c r="S1453" s="20">
        <f t="shared" si="2983"/>
        <v>1680</v>
      </c>
      <c r="T1453" s="20">
        <f t="shared" si="2983"/>
        <v>2160</v>
      </c>
      <c r="U1453" s="20">
        <f t="shared" si="2983"/>
        <v>150</v>
      </c>
      <c r="V1453" s="20">
        <f t="shared" si="2983"/>
        <v>700</v>
      </c>
      <c r="W1453" s="20">
        <f t="shared" si="2983"/>
        <v>900</v>
      </c>
      <c r="X1453" s="20">
        <f t="shared" si="2983"/>
        <v>3</v>
      </c>
      <c r="Y1453" s="27">
        <v>0</v>
      </c>
      <c r="Z1453" s="30">
        <v>0</v>
      </c>
      <c r="AA1453" s="20">
        <f t="shared" si="2907"/>
        <v>0</v>
      </c>
      <c r="AB1453" s="27">
        <v>0</v>
      </c>
      <c r="AC1453" s="27">
        <v>0</v>
      </c>
      <c r="AD1453" s="23">
        <f t="shared" ref="AD1453:AE1453" si="2984">AD1423</f>
        <v>22</v>
      </c>
      <c r="AE1453" s="23">
        <f t="shared" si="2984"/>
        <v>26</v>
      </c>
    </row>
    <row r="1454" spans="1:31">
      <c r="A1454" s="8">
        <v>14103</v>
      </c>
      <c r="B1454" s="8">
        <v>13</v>
      </c>
      <c r="C1454" s="29" t="s">
        <v>68</v>
      </c>
      <c r="D1454" s="46">
        <v>0</v>
      </c>
      <c r="E1454" s="28">
        <v>0</v>
      </c>
      <c r="F1454" s="28">
        <f t="shared" si="2962"/>
        <v>652</v>
      </c>
      <c r="G1454" s="28">
        <v>0</v>
      </c>
      <c r="H1454" s="47">
        <v>0</v>
      </c>
      <c r="I1454" s="21">
        <f t="shared" si="2956"/>
        <v>220</v>
      </c>
      <c r="J1454" s="21">
        <f t="shared" si="2911"/>
        <v>12</v>
      </c>
      <c r="K1454" s="21">
        <v>0</v>
      </c>
      <c r="L1454" s="20">
        <v>6</v>
      </c>
      <c r="M1454" s="20">
        <v>0</v>
      </c>
      <c r="N1454" s="20">
        <f t="shared" si="2957"/>
        <v>2600</v>
      </c>
      <c r="O1454" s="19" t="s">
        <v>68</v>
      </c>
      <c r="P1454" s="20">
        <v>8600</v>
      </c>
      <c r="Q1454" s="20">
        <f t="shared" ref="Q1454:X1454" si="2985">Q1424</f>
        <v>260</v>
      </c>
      <c r="R1454" s="20">
        <f t="shared" si="2985"/>
        <v>1040</v>
      </c>
      <c r="S1454" s="20">
        <f t="shared" si="2985"/>
        <v>1819.9999999999998</v>
      </c>
      <c r="T1454" s="20">
        <f t="shared" si="2985"/>
        <v>2340</v>
      </c>
      <c r="U1454" s="20">
        <f t="shared" si="2985"/>
        <v>100</v>
      </c>
      <c r="V1454" s="20">
        <f t="shared" si="2985"/>
        <v>700</v>
      </c>
      <c r="W1454" s="20">
        <f t="shared" si="2985"/>
        <v>1000</v>
      </c>
      <c r="X1454" s="20">
        <f t="shared" si="2985"/>
        <v>4</v>
      </c>
      <c r="Y1454" s="27">
        <v>0</v>
      </c>
      <c r="Z1454" s="30">
        <v>0</v>
      </c>
      <c r="AA1454" s="20">
        <f t="shared" si="2907"/>
        <v>89</v>
      </c>
      <c r="AB1454" s="27">
        <v>0</v>
      </c>
      <c r="AC1454" s="27">
        <v>0</v>
      </c>
      <c r="AD1454" s="23">
        <f t="shared" ref="AD1454:AE1454" si="2986">AD1424</f>
        <v>24</v>
      </c>
      <c r="AE1454" s="23">
        <f t="shared" si="2986"/>
        <v>28</v>
      </c>
    </row>
    <row r="1455" spans="1:31">
      <c r="A1455" s="4">
        <v>14103</v>
      </c>
      <c r="B1455" s="4">
        <v>14</v>
      </c>
      <c r="C1455" s="29" t="s">
        <v>69</v>
      </c>
      <c r="D1455" s="46">
        <v>0</v>
      </c>
      <c r="E1455" s="28">
        <v>0</v>
      </c>
      <c r="F1455" s="28">
        <f t="shared" si="2962"/>
        <v>708</v>
      </c>
      <c r="G1455" s="28">
        <v>0</v>
      </c>
      <c r="H1455" s="47">
        <v>0</v>
      </c>
      <c r="I1455" s="21">
        <f t="shared" si="2956"/>
        <v>220</v>
      </c>
      <c r="J1455" s="21">
        <f t="shared" si="2911"/>
        <v>13</v>
      </c>
      <c r="K1455" s="21">
        <v>0</v>
      </c>
      <c r="L1455" s="20">
        <v>6</v>
      </c>
      <c r="M1455" s="20">
        <v>0</v>
      </c>
      <c r="N1455" s="20">
        <f t="shared" si="2957"/>
        <v>2800</v>
      </c>
      <c r="O1455" s="19" t="s">
        <v>69</v>
      </c>
      <c r="P1455" s="20">
        <v>6400</v>
      </c>
      <c r="Q1455" s="20">
        <f t="shared" ref="Q1455:X1455" si="2987">Q1425</f>
        <v>280</v>
      </c>
      <c r="R1455" s="20">
        <f t="shared" si="2987"/>
        <v>1120</v>
      </c>
      <c r="S1455" s="20">
        <f t="shared" si="2987"/>
        <v>1959.9999999999998</v>
      </c>
      <c r="T1455" s="20">
        <f t="shared" si="2987"/>
        <v>2520</v>
      </c>
      <c r="U1455" s="20">
        <f t="shared" si="2987"/>
        <v>100</v>
      </c>
      <c r="V1455" s="20">
        <f t="shared" si="2987"/>
        <v>400</v>
      </c>
      <c r="W1455" s="20">
        <f t="shared" si="2987"/>
        <v>1200</v>
      </c>
      <c r="X1455" s="20">
        <f t="shared" si="2987"/>
        <v>4</v>
      </c>
      <c r="Y1455" s="27">
        <v>0</v>
      </c>
      <c r="Z1455" s="30">
        <v>0</v>
      </c>
      <c r="AA1455" s="20">
        <f t="shared" si="2907"/>
        <v>0</v>
      </c>
      <c r="AB1455" s="27">
        <v>0</v>
      </c>
      <c r="AC1455" s="27">
        <v>0</v>
      </c>
      <c r="AD1455" s="23">
        <f t="shared" ref="AD1455:AE1455" si="2988">AD1425</f>
        <v>26</v>
      </c>
      <c r="AE1455" s="23">
        <f t="shared" si="2988"/>
        <v>30</v>
      </c>
    </row>
    <row r="1456" spans="1:31">
      <c r="A1456" s="4">
        <v>14103</v>
      </c>
      <c r="B1456" s="4">
        <v>15</v>
      </c>
      <c r="C1456" s="29" t="s">
        <v>70</v>
      </c>
      <c r="D1456" s="46">
        <v>0</v>
      </c>
      <c r="E1456" s="28">
        <v>0</v>
      </c>
      <c r="F1456" s="28">
        <f t="shared" si="2962"/>
        <v>764</v>
      </c>
      <c r="G1456" s="28">
        <v>0</v>
      </c>
      <c r="H1456" s="47">
        <v>0</v>
      </c>
      <c r="I1456" s="21">
        <f t="shared" si="2956"/>
        <v>220</v>
      </c>
      <c r="J1456" s="21">
        <f t="shared" si="2911"/>
        <v>14</v>
      </c>
      <c r="K1456" s="21">
        <v>0</v>
      </c>
      <c r="L1456" s="20">
        <v>6</v>
      </c>
      <c r="M1456" s="20">
        <v>0</v>
      </c>
      <c r="N1456" s="20">
        <f t="shared" si="2957"/>
        <v>4500</v>
      </c>
      <c r="O1456" s="19" t="s">
        <v>70</v>
      </c>
      <c r="P1456" s="20">
        <v>3100</v>
      </c>
      <c r="Q1456" s="20">
        <f t="shared" ref="Q1456:X1456" si="2989">Q1426</f>
        <v>450</v>
      </c>
      <c r="R1456" s="20">
        <f t="shared" si="2989"/>
        <v>1800</v>
      </c>
      <c r="S1456" s="20">
        <f t="shared" si="2989"/>
        <v>3150</v>
      </c>
      <c r="T1456" s="20">
        <f t="shared" si="2989"/>
        <v>4050</v>
      </c>
      <c r="U1456" s="20">
        <f t="shared" si="2989"/>
        <v>100</v>
      </c>
      <c r="V1456" s="20">
        <f t="shared" si="2989"/>
        <v>1000</v>
      </c>
      <c r="W1456" s="20">
        <f t="shared" si="2989"/>
        <v>600</v>
      </c>
      <c r="X1456" s="20">
        <f t="shared" si="2989"/>
        <v>4</v>
      </c>
      <c r="Y1456" s="27">
        <v>0</v>
      </c>
      <c r="Z1456" s="30">
        <v>0</v>
      </c>
      <c r="AA1456" s="20">
        <f t="shared" si="2907"/>
        <v>0</v>
      </c>
      <c r="AB1456" s="27">
        <v>0</v>
      </c>
      <c r="AC1456" s="27">
        <v>0</v>
      </c>
      <c r="AD1456" s="23">
        <f t="shared" ref="AD1456:AE1456" si="2990">AD1426</f>
        <v>28</v>
      </c>
      <c r="AE1456" s="23">
        <f t="shared" si="2990"/>
        <v>32</v>
      </c>
    </row>
    <row r="1457" spans="1:31">
      <c r="A1457" s="4">
        <v>14103</v>
      </c>
      <c r="B1457" s="4">
        <v>16</v>
      </c>
      <c r="C1457" s="29" t="s">
        <v>71</v>
      </c>
      <c r="D1457" s="46">
        <v>0</v>
      </c>
      <c r="E1457" s="28">
        <v>0</v>
      </c>
      <c r="F1457" s="28">
        <f t="shared" si="2962"/>
        <v>828</v>
      </c>
      <c r="G1457" s="28">
        <v>0</v>
      </c>
      <c r="H1457" s="47">
        <v>0</v>
      </c>
      <c r="I1457" s="21">
        <f t="shared" si="2956"/>
        <v>220</v>
      </c>
      <c r="J1457" s="21">
        <f t="shared" si="2911"/>
        <v>15</v>
      </c>
      <c r="K1457" s="21">
        <v>0</v>
      </c>
      <c r="L1457" s="20">
        <v>6</v>
      </c>
      <c r="M1457" s="20">
        <v>0</v>
      </c>
      <c r="N1457" s="20">
        <f t="shared" si="2957"/>
        <v>4800</v>
      </c>
      <c r="O1457" s="19" t="s">
        <v>71</v>
      </c>
      <c r="P1457" s="20">
        <v>1777</v>
      </c>
      <c r="Q1457" s="20">
        <f t="shared" ref="Q1457:X1457" si="2991">Q1427</f>
        <v>480</v>
      </c>
      <c r="R1457" s="20">
        <f t="shared" si="2991"/>
        <v>1920</v>
      </c>
      <c r="S1457" s="20">
        <f t="shared" si="2991"/>
        <v>3360</v>
      </c>
      <c r="T1457" s="20">
        <f t="shared" si="2991"/>
        <v>4320</v>
      </c>
      <c r="U1457" s="20">
        <f t="shared" si="2991"/>
        <v>100</v>
      </c>
      <c r="V1457" s="20">
        <f t="shared" si="2991"/>
        <v>800</v>
      </c>
      <c r="W1457" s="20">
        <f t="shared" si="2991"/>
        <v>800</v>
      </c>
      <c r="X1457" s="20">
        <f t="shared" si="2991"/>
        <v>4</v>
      </c>
      <c r="Y1457" s="27">
        <v>0</v>
      </c>
      <c r="Z1457" s="30">
        <v>0</v>
      </c>
      <c r="AA1457" s="20">
        <f t="shared" si="2907"/>
        <v>0</v>
      </c>
      <c r="AB1457" s="27">
        <v>0</v>
      </c>
      <c r="AC1457" s="27">
        <v>0</v>
      </c>
      <c r="AD1457" s="23">
        <f t="shared" ref="AD1457:AE1457" si="2992">AD1427</f>
        <v>30</v>
      </c>
      <c r="AE1457" s="23">
        <f t="shared" si="2992"/>
        <v>34</v>
      </c>
    </row>
    <row r="1458" spans="1:31">
      <c r="A1458" s="4">
        <v>14103</v>
      </c>
      <c r="B1458" s="4">
        <v>17</v>
      </c>
      <c r="C1458" s="29" t="s">
        <v>72</v>
      </c>
      <c r="D1458" s="46">
        <v>0</v>
      </c>
      <c r="E1458" s="28">
        <v>0</v>
      </c>
      <c r="F1458" s="28">
        <f t="shared" si="2962"/>
        <v>896</v>
      </c>
      <c r="G1458" s="28">
        <v>0</v>
      </c>
      <c r="H1458" s="47">
        <v>0</v>
      </c>
      <c r="I1458" s="21">
        <f t="shared" si="2956"/>
        <v>275</v>
      </c>
      <c r="J1458" s="21">
        <f t="shared" si="2911"/>
        <v>16</v>
      </c>
      <c r="K1458" s="21">
        <v>0</v>
      </c>
      <c r="L1458" s="20">
        <v>6</v>
      </c>
      <c r="M1458" s="20">
        <v>0</v>
      </c>
      <c r="N1458" s="20">
        <f t="shared" si="2957"/>
        <v>5100</v>
      </c>
      <c r="O1458" s="19" t="s">
        <v>72</v>
      </c>
      <c r="P1458" s="20">
        <v>2332</v>
      </c>
      <c r="Q1458" s="20">
        <f t="shared" ref="Q1458:X1458" si="2993">Q1428</f>
        <v>510</v>
      </c>
      <c r="R1458" s="20">
        <f t="shared" si="2993"/>
        <v>2040</v>
      </c>
      <c r="S1458" s="20">
        <f t="shared" si="2993"/>
        <v>3570</v>
      </c>
      <c r="T1458" s="20">
        <f t="shared" si="2993"/>
        <v>4590</v>
      </c>
      <c r="U1458" s="20">
        <f t="shared" si="2993"/>
        <v>80</v>
      </c>
      <c r="V1458" s="20">
        <f t="shared" si="2993"/>
        <v>800</v>
      </c>
      <c r="W1458" s="20">
        <f t="shared" si="2993"/>
        <v>600</v>
      </c>
      <c r="X1458" s="20">
        <f t="shared" si="2993"/>
        <v>5</v>
      </c>
      <c r="Y1458" s="27">
        <v>0</v>
      </c>
      <c r="Z1458" s="30">
        <v>0</v>
      </c>
      <c r="AA1458" s="20">
        <f t="shared" si="2907"/>
        <v>0</v>
      </c>
      <c r="AB1458" s="27">
        <v>0</v>
      </c>
      <c r="AC1458" s="27">
        <v>0</v>
      </c>
      <c r="AD1458" s="23">
        <f t="shared" ref="AD1458:AE1458" si="2994">AD1428</f>
        <v>32</v>
      </c>
      <c r="AE1458" s="23">
        <f t="shared" si="2994"/>
        <v>36</v>
      </c>
    </row>
    <row r="1459" spans="1:31">
      <c r="A1459" s="4">
        <v>14103</v>
      </c>
      <c r="B1459" s="4">
        <v>18</v>
      </c>
      <c r="C1459" s="29" t="s">
        <v>73</v>
      </c>
      <c r="D1459" s="46">
        <v>0</v>
      </c>
      <c r="E1459" s="28">
        <v>0</v>
      </c>
      <c r="F1459" s="28">
        <f t="shared" si="2962"/>
        <v>972</v>
      </c>
      <c r="G1459" s="28">
        <v>0</v>
      </c>
      <c r="H1459" s="47">
        <v>0</v>
      </c>
      <c r="I1459" s="21">
        <f t="shared" si="2956"/>
        <v>275</v>
      </c>
      <c r="J1459" s="21">
        <f t="shared" si="2911"/>
        <v>17</v>
      </c>
      <c r="K1459" s="21">
        <v>0</v>
      </c>
      <c r="L1459" s="20">
        <v>6</v>
      </c>
      <c r="M1459" s="20">
        <v>0</v>
      </c>
      <c r="N1459" s="20">
        <f t="shared" si="2957"/>
        <v>5400</v>
      </c>
      <c r="O1459" s="19" t="s">
        <v>73</v>
      </c>
      <c r="P1459" s="20">
        <v>1487</v>
      </c>
      <c r="Q1459" s="20">
        <f t="shared" ref="Q1459:X1459" si="2995">Q1429</f>
        <v>540</v>
      </c>
      <c r="R1459" s="20">
        <f t="shared" si="2995"/>
        <v>2160</v>
      </c>
      <c r="S1459" s="20">
        <f t="shared" si="2995"/>
        <v>3779.9999999999995</v>
      </c>
      <c r="T1459" s="20">
        <f t="shared" si="2995"/>
        <v>4860</v>
      </c>
      <c r="U1459" s="20">
        <f t="shared" si="2995"/>
        <v>100</v>
      </c>
      <c r="V1459" s="20">
        <f t="shared" si="2995"/>
        <v>600</v>
      </c>
      <c r="W1459" s="20">
        <f t="shared" si="2995"/>
        <v>300</v>
      </c>
      <c r="X1459" s="20">
        <f t="shared" si="2995"/>
        <v>5</v>
      </c>
      <c r="Y1459" s="27">
        <v>0</v>
      </c>
      <c r="Z1459" s="30">
        <v>0</v>
      </c>
      <c r="AA1459" s="20">
        <f t="shared" si="2907"/>
        <v>134</v>
      </c>
      <c r="AB1459" s="27">
        <v>0</v>
      </c>
      <c r="AC1459" s="27">
        <v>0</v>
      </c>
      <c r="AD1459" s="23">
        <f t="shared" ref="AD1459:AE1459" si="2996">AD1429</f>
        <v>34</v>
      </c>
      <c r="AE1459" s="23">
        <f t="shared" si="2996"/>
        <v>38</v>
      </c>
    </row>
    <row r="1460" spans="1:31">
      <c r="A1460" s="4">
        <v>14103</v>
      </c>
      <c r="B1460" s="4">
        <v>19</v>
      </c>
      <c r="C1460" s="29" t="s">
        <v>74</v>
      </c>
      <c r="D1460" s="46">
        <v>0</v>
      </c>
      <c r="E1460" s="28">
        <v>0</v>
      </c>
      <c r="F1460" s="28">
        <f t="shared" si="2962"/>
        <v>1052</v>
      </c>
      <c r="G1460" s="28">
        <v>0</v>
      </c>
      <c r="H1460" s="47">
        <v>0</v>
      </c>
      <c r="I1460" s="21">
        <f t="shared" si="2956"/>
        <v>275</v>
      </c>
      <c r="J1460" s="21">
        <f t="shared" si="2911"/>
        <v>18</v>
      </c>
      <c r="K1460" s="21">
        <v>0</v>
      </c>
      <c r="L1460" s="20">
        <v>6</v>
      </c>
      <c r="M1460" s="20">
        <v>0</v>
      </c>
      <c r="N1460" s="20">
        <f t="shared" si="2957"/>
        <v>5700</v>
      </c>
      <c r="O1460" s="19" t="s">
        <v>74</v>
      </c>
      <c r="P1460" s="20">
        <v>1518</v>
      </c>
      <c r="Q1460" s="20">
        <f t="shared" ref="Q1460:X1460" si="2997">Q1430</f>
        <v>570</v>
      </c>
      <c r="R1460" s="20">
        <f t="shared" si="2997"/>
        <v>2280</v>
      </c>
      <c r="S1460" s="20">
        <f t="shared" si="2997"/>
        <v>3989.9999999999995</v>
      </c>
      <c r="T1460" s="20">
        <f t="shared" si="2997"/>
        <v>5130</v>
      </c>
      <c r="U1460" s="20">
        <f t="shared" si="2997"/>
        <v>100</v>
      </c>
      <c r="V1460" s="20">
        <f t="shared" si="2997"/>
        <v>500</v>
      </c>
      <c r="W1460" s="20">
        <f t="shared" si="2997"/>
        <v>400</v>
      </c>
      <c r="X1460" s="20">
        <f t="shared" si="2997"/>
        <v>5</v>
      </c>
      <c r="Y1460" s="27">
        <v>0</v>
      </c>
      <c r="Z1460" s="30">
        <v>0</v>
      </c>
      <c r="AA1460" s="20">
        <f t="shared" si="2907"/>
        <v>0</v>
      </c>
      <c r="AB1460" s="27">
        <v>0</v>
      </c>
      <c r="AC1460" s="27">
        <v>0</v>
      </c>
      <c r="AD1460" s="23">
        <f t="shared" ref="AD1460:AE1460" si="2998">AD1430</f>
        <v>36</v>
      </c>
      <c r="AE1460" s="23">
        <f t="shared" si="2998"/>
        <v>40</v>
      </c>
    </row>
    <row r="1461" spans="1:31">
      <c r="A1461" s="4">
        <v>14103</v>
      </c>
      <c r="B1461" s="4">
        <v>20</v>
      </c>
      <c r="C1461" s="29" t="s">
        <v>75</v>
      </c>
      <c r="D1461" s="46">
        <v>0</v>
      </c>
      <c r="E1461" s="28">
        <v>0</v>
      </c>
      <c r="F1461" s="28">
        <f t="shared" si="2962"/>
        <v>1140</v>
      </c>
      <c r="G1461" s="28">
        <v>0</v>
      </c>
      <c r="H1461" s="47">
        <v>0</v>
      </c>
      <c r="I1461" s="21">
        <f t="shared" si="2956"/>
        <v>275</v>
      </c>
      <c r="J1461" s="21">
        <f t="shared" si="2911"/>
        <v>19</v>
      </c>
      <c r="K1461" s="21">
        <v>0</v>
      </c>
      <c r="L1461" s="20">
        <v>6</v>
      </c>
      <c r="M1461" s="20">
        <v>0</v>
      </c>
      <c r="N1461" s="20">
        <f t="shared" si="2957"/>
        <v>8000</v>
      </c>
      <c r="O1461" s="19" t="s">
        <v>75</v>
      </c>
      <c r="P1461" s="20">
        <v>861</v>
      </c>
      <c r="Q1461" s="20">
        <f t="shared" ref="Q1461:X1461" si="2999">Q1431</f>
        <v>800</v>
      </c>
      <c r="R1461" s="20">
        <f t="shared" si="2999"/>
        <v>3200</v>
      </c>
      <c r="S1461" s="20">
        <f t="shared" si="2999"/>
        <v>5600</v>
      </c>
      <c r="T1461" s="20">
        <f t="shared" si="2999"/>
        <v>7200</v>
      </c>
      <c r="U1461" s="20">
        <f t="shared" si="2999"/>
        <v>100</v>
      </c>
      <c r="V1461" s="20">
        <f t="shared" si="2999"/>
        <v>800</v>
      </c>
      <c r="W1461" s="20">
        <f t="shared" si="2999"/>
        <v>8000</v>
      </c>
      <c r="X1461" s="20">
        <f t="shared" si="2999"/>
        <v>5</v>
      </c>
      <c r="Y1461" s="27">
        <v>0</v>
      </c>
      <c r="Z1461" s="30">
        <v>0</v>
      </c>
      <c r="AA1461" s="20">
        <f t="shared" si="2907"/>
        <v>0</v>
      </c>
      <c r="AB1461" s="27">
        <v>0</v>
      </c>
      <c r="AC1461" s="27">
        <v>0</v>
      </c>
      <c r="AD1461" s="23">
        <f t="shared" ref="AD1461:AE1461" si="3000">AD1431</f>
        <v>38</v>
      </c>
      <c r="AE1461" s="23">
        <f t="shared" si="3000"/>
        <v>42</v>
      </c>
    </row>
    <row r="1462" spans="1:31">
      <c r="A1462" s="4">
        <v>14103</v>
      </c>
      <c r="B1462" s="4">
        <v>21</v>
      </c>
      <c r="C1462" s="29" t="s">
        <v>66</v>
      </c>
      <c r="D1462" s="46">
        <v>0</v>
      </c>
      <c r="E1462" s="28">
        <v>0</v>
      </c>
      <c r="F1462" s="28">
        <f t="shared" si="2962"/>
        <v>1232</v>
      </c>
      <c r="G1462" s="28">
        <v>0</v>
      </c>
      <c r="H1462" s="47">
        <v>0</v>
      </c>
      <c r="I1462" s="21">
        <f t="shared" si="2956"/>
        <v>330</v>
      </c>
      <c r="J1462" s="21">
        <f t="shared" si="2911"/>
        <v>20</v>
      </c>
      <c r="K1462" s="21">
        <v>0</v>
      </c>
      <c r="L1462" s="20">
        <v>6</v>
      </c>
      <c r="M1462" s="20">
        <v>0</v>
      </c>
      <c r="N1462" s="20">
        <f t="shared" si="2957"/>
        <v>8400</v>
      </c>
      <c r="O1462" s="19" t="s">
        <v>66</v>
      </c>
      <c r="P1462" s="20">
        <v>9400</v>
      </c>
      <c r="Q1462" s="20">
        <f t="shared" ref="Q1462:X1462" si="3001">Q1432</f>
        <v>840</v>
      </c>
      <c r="R1462" s="20">
        <f t="shared" si="3001"/>
        <v>3360</v>
      </c>
      <c r="S1462" s="20">
        <f t="shared" si="3001"/>
        <v>5880</v>
      </c>
      <c r="T1462" s="20">
        <f t="shared" si="3001"/>
        <v>7560</v>
      </c>
      <c r="U1462" s="20">
        <f t="shared" si="3001"/>
        <v>50</v>
      </c>
      <c r="V1462" s="20">
        <f t="shared" si="3001"/>
        <v>1000</v>
      </c>
      <c r="W1462" s="20">
        <f t="shared" si="3001"/>
        <v>600</v>
      </c>
      <c r="X1462" s="20">
        <f t="shared" si="3001"/>
        <v>6</v>
      </c>
      <c r="Y1462" s="27">
        <v>0</v>
      </c>
      <c r="Z1462" s="30">
        <v>0</v>
      </c>
      <c r="AA1462" s="20">
        <f t="shared" si="2907"/>
        <v>0</v>
      </c>
      <c r="AB1462" s="27">
        <v>0</v>
      </c>
      <c r="AC1462" s="27">
        <v>0</v>
      </c>
      <c r="AD1462" s="23">
        <f t="shared" ref="AD1462:AE1462" si="3002">AD1432</f>
        <v>40</v>
      </c>
      <c r="AE1462" s="23">
        <f t="shared" si="3002"/>
        <v>44</v>
      </c>
    </row>
    <row r="1463" spans="1:31">
      <c r="A1463" s="4">
        <v>14103</v>
      </c>
      <c r="B1463" s="4">
        <v>22</v>
      </c>
      <c r="C1463" s="29" t="s">
        <v>67</v>
      </c>
      <c r="D1463" s="46">
        <v>0</v>
      </c>
      <c r="E1463" s="28">
        <v>0</v>
      </c>
      <c r="F1463" s="28">
        <f t="shared" si="2962"/>
        <v>1336</v>
      </c>
      <c r="G1463" s="28">
        <v>0</v>
      </c>
      <c r="H1463" s="47">
        <v>0</v>
      </c>
      <c r="I1463" s="21">
        <f t="shared" si="2956"/>
        <v>330</v>
      </c>
      <c r="J1463" s="21">
        <f t="shared" si="2911"/>
        <v>21</v>
      </c>
      <c r="K1463" s="21">
        <v>0</v>
      </c>
      <c r="L1463" s="20">
        <v>6</v>
      </c>
      <c r="M1463" s="20">
        <v>0</v>
      </c>
      <c r="N1463" s="20">
        <f t="shared" si="2957"/>
        <v>8800</v>
      </c>
      <c r="O1463" s="19" t="s">
        <v>67</v>
      </c>
      <c r="P1463" s="20">
        <v>9100</v>
      </c>
      <c r="Q1463" s="20">
        <f t="shared" ref="Q1463:X1463" si="3003">Q1433</f>
        <v>880</v>
      </c>
      <c r="R1463" s="20">
        <f t="shared" si="3003"/>
        <v>3520</v>
      </c>
      <c r="S1463" s="20">
        <f t="shared" si="3003"/>
        <v>6160</v>
      </c>
      <c r="T1463" s="20">
        <f t="shared" si="3003"/>
        <v>7920</v>
      </c>
      <c r="U1463" s="20">
        <f t="shared" si="3003"/>
        <v>100</v>
      </c>
      <c r="V1463" s="20">
        <f t="shared" si="3003"/>
        <v>600</v>
      </c>
      <c r="W1463" s="20">
        <f t="shared" si="3003"/>
        <v>700</v>
      </c>
      <c r="X1463" s="20">
        <f t="shared" si="3003"/>
        <v>6</v>
      </c>
      <c r="Y1463" s="27">
        <v>0</v>
      </c>
      <c r="Z1463" s="30">
        <v>0</v>
      </c>
      <c r="AA1463" s="20">
        <f t="shared" si="2907"/>
        <v>0</v>
      </c>
      <c r="AB1463" s="27">
        <v>0</v>
      </c>
      <c r="AC1463" s="27">
        <v>0</v>
      </c>
      <c r="AD1463" s="23">
        <f t="shared" ref="AD1463:AE1463" si="3004">AD1433</f>
        <v>42</v>
      </c>
      <c r="AE1463" s="23">
        <f t="shared" si="3004"/>
        <v>46</v>
      </c>
    </row>
    <row r="1464" spans="1:31">
      <c r="A1464" s="4">
        <v>14103</v>
      </c>
      <c r="B1464" s="4">
        <v>23</v>
      </c>
      <c r="C1464" s="29" t="s">
        <v>68</v>
      </c>
      <c r="D1464" s="46">
        <v>0</v>
      </c>
      <c r="E1464" s="28">
        <v>0</v>
      </c>
      <c r="F1464" s="28">
        <f t="shared" si="2962"/>
        <v>1444</v>
      </c>
      <c r="G1464" s="28">
        <v>0</v>
      </c>
      <c r="H1464" s="47">
        <v>0</v>
      </c>
      <c r="I1464" s="21">
        <f t="shared" si="2956"/>
        <v>330</v>
      </c>
      <c r="J1464" s="21">
        <f t="shared" si="2911"/>
        <v>22</v>
      </c>
      <c r="K1464" s="21">
        <v>0</v>
      </c>
      <c r="L1464" s="20">
        <v>6</v>
      </c>
      <c r="M1464" s="20">
        <v>0</v>
      </c>
      <c r="N1464" s="20">
        <f t="shared" si="2957"/>
        <v>9200</v>
      </c>
      <c r="O1464" s="19" t="s">
        <v>68</v>
      </c>
      <c r="P1464" s="20">
        <v>8600</v>
      </c>
      <c r="Q1464" s="20">
        <f t="shared" ref="Q1464:X1464" si="3005">Q1434</f>
        <v>920</v>
      </c>
      <c r="R1464" s="20">
        <f t="shared" si="3005"/>
        <v>3680</v>
      </c>
      <c r="S1464" s="20">
        <f t="shared" si="3005"/>
        <v>6440</v>
      </c>
      <c r="T1464" s="20">
        <f t="shared" si="3005"/>
        <v>8280</v>
      </c>
      <c r="U1464" s="20">
        <f t="shared" si="3005"/>
        <v>100</v>
      </c>
      <c r="V1464" s="20">
        <f t="shared" si="3005"/>
        <v>550</v>
      </c>
      <c r="W1464" s="20">
        <f t="shared" si="3005"/>
        <v>500</v>
      </c>
      <c r="X1464" s="20">
        <f t="shared" si="3005"/>
        <v>6</v>
      </c>
      <c r="Y1464" s="27">
        <v>0</v>
      </c>
      <c r="Z1464" s="30">
        <v>0</v>
      </c>
      <c r="AA1464" s="20">
        <f t="shared" si="2907"/>
        <v>180</v>
      </c>
      <c r="AB1464" s="27">
        <v>0</v>
      </c>
      <c r="AC1464" s="27">
        <v>0</v>
      </c>
      <c r="AD1464" s="23">
        <f t="shared" ref="AD1464:AE1464" si="3006">AD1434</f>
        <v>44</v>
      </c>
      <c r="AE1464" s="23">
        <f t="shared" si="3006"/>
        <v>48</v>
      </c>
    </row>
    <row r="1465" spans="1:31">
      <c r="A1465" s="4">
        <v>14103</v>
      </c>
      <c r="B1465" s="4">
        <v>24</v>
      </c>
      <c r="C1465" s="29" t="s">
        <v>69</v>
      </c>
      <c r="D1465" s="46">
        <v>0</v>
      </c>
      <c r="E1465" s="28">
        <v>0</v>
      </c>
      <c r="F1465" s="28">
        <f t="shared" si="2962"/>
        <v>1564</v>
      </c>
      <c r="G1465" s="28">
        <v>0</v>
      </c>
      <c r="H1465" s="47">
        <v>0</v>
      </c>
      <c r="I1465" s="21">
        <f t="shared" si="2956"/>
        <v>330</v>
      </c>
      <c r="J1465" s="21">
        <f t="shared" si="2911"/>
        <v>23</v>
      </c>
      <c r="K1465" s="21">
        <v>0</v>
      </c>
      <c r="L1465" s="20">
        <v>6</v>
      </c>
      <c r="M1465" s="20">
        <v>0</v>
      </c>
      <c r="N1465" s="20">
        <f t="shared" si="2957"/>
        <v>9600</v>
      </c>
      <c r="O1465" s="19" t="s">
        <v>69</v>
      </c>
      <c r="P1465" s="20">
        <v>6400</v>
      </c>
      <c r="Q1465" s="20">
        <f t="shared" ref="Q1465:X1465" si="3007">Q1435</f>
        <v>960</v>
      </c>
      <c r="R1465" s="20">
        <f t="shared" si="3007"/>
        <v>3840</v>
      </c>
      <c r="S1465" s="20">
        <f t="shared" si="3007"/>
        <v>6720</v>
      </c>
      <c r="T1465" s="20">
        <f t="shared" si="3007"/>
        <v>8640</v>
      </c>
      <c r="U1465" s="20">
        <f t="shared" si="3007"/>
        <v>100</v>
      </c>
      <c r="V1465" s="20">
        <f t="shared" si="3007"/>
        <v>500</v>
      </c>
      <c r="W1465" s="20">
        <f t="shared" si="3007"/>
        <v>900</v>
      </c>
      <c r="X1465" s="20">
        <f t="shared" si="3007"/>
        <v>6</v>
      </c>
      <c r="Y1465" s="27">
        <v>0</v>
      </c>
      <c r="Z1465" s="30">
        <v>0</v>
      </c>
      <c r="AA1465" s="20">
        <f t="shared" si="2907"/>
        <v>0</v>
      </c>
      <c r="AB1465" s="27">
        <v>0</v>
      </c>
      <c r="AC1465" s="27">
        <v>0</v>
      </c>
      <c r="AD1465" s="23">
        <f t="shared" ref="AD1465:AE1465" si="3008">AD1435</f>
        <v>46</v>
      </c>
      <c r="AE1465" s="23">
        <f t="shared" si="3008"/>
        <v>50</v>
      </c>
    </row>
    <row r="1466" spans="1:31">
      <c r="A1466" s="8">
        <v>14103</v>
      </c>
      <c r="B1466" s="8">
        <v>25</v>
      </c>
      <c r="C1466" s="29" t="s">
        <v>70</v>
      </c>
      <c r="D1466" s="46">
        <v>0</v>
      </c>
      <c r="E1466" s="28">
        <v>0</v>
      </c>
      <c r="F1466" s="28">
        <f t="shared" si="2962"/>
        <v>1696</v>
      </c>
      <c r="G1466" s="28">
        <v>0</v>
      </c>
      <c r="H1466" s="47">
        <v>0</v>
      </c>
      <c r="I1466" s="21">
        <f t="shared" si="2956"/>
        <v>385</v>
      </c>
      <c r="J1466" s="21">
        <f t="shared" si="2911"/>
        <v>24</v>
      </c>
      <c r="K1466" s="21">
        <v>0</v>
      </c>
      <c r="L1466" s="20">
        <v>6</v>
      </c>
      <c r="M1466" s="20">
        <v>0</v>
      </c>
      <c r="N1466" s="20">
        <f t="shared" si="2957"/>
        <v>12500</v>
      </c>
      <c r="O1466" s="19" t="s">
        <v>70</v>
      </c>
      <c r="P1466" s="20">
        <v>3100</v>
      </c>
      <c r="Q1466" s="20">
        <f t="shared" ref="Q1466:X1466" si="3009">Q1436</f>
        <v>1250</v>
      </c>
      <c r="R1466" s="20">
        <f t="shared" si="3009"/>
        <v>5000</v>
      </c>
      <c r="S1466" s="20">
        <f t="shared" si="3009"/>
        <v>8750</v>
      </c>
      <c r="T1466" s="20">
        <f t="shared" si="3009"/>
        <v>11250</v>
      </c>
      <c r="U1466" s="20">
        <f t="shared" si="3009"/>
        <v>10</v>
      </c>
      <c r="V1466" s="20">
        <f t="shared" si="3009"/>
        <v>1300</v>
      </c>
      <c r="W1466" s="20">
        <f t="shared" si="3009"/>
        <v>1000</v>
      </c>
      <c r="X1466" s="20">
        <f t="shared" si="3009"/>
        <v>7</v>
      </c>
      <c r="Y1466" s="27">
        <v>0</v>
      </c>
      <c r="Z1466" s="30">
        <v>0</v>
      </c>
      <c r="AA1466" s="20">
        <f t="shared" si="2907"/>
        <v>0</v>
      </c>
      <c r="AB1466" s="27">
        <v>0</v>
      </c>
      <c r="AC1466" s="27">
        <v>0</v>
      </c>
      <c r="AD1466" s="23">
        <f t="shared" ref="AD1466:AE1466" si="3010">AD1436</f>
        <v>48</v>
      </c>
      <c r="AE1466" s="23">
        <f t="shared" si="3010"/>
        <v>52</v>
      </c>
    </row>
    <row r="1467" spans="1:31">
      <c r="A1467" s="4">
        <v>14103</v>
      </c>
      <c r="B1467" s="4">
        <v>26</v>
      </c>
      <c r="C1467" s="29" t="s">
        <v>71</v>
      </c>
      <c r="D1467" s="46">
        <v>0</v>
      </c>
      <c r="E1467" s="28">
        <v>0</v>
      </c>
      <c r="F1467" s="28">
        <f t="shared" si="2962"/>
        <v>1836</v>
      </c>
      <c r="G1467" s="28">
        <v>0</v>
      </c>
      <c r="H1467" s="47">
        <v>0</v>
      </c>
      <c r="I1467" s="21">
        <f t="shared" si="2956"/>
        <v>385</v>
      </c>
      <c r="J1467" s="21">
        <f t="shared" si="2911"/>
        <v>25</v>
      </c>
      <c r="K1467" s="21">
        <v>0</v>
      </c>
      <c r="L1467" s="20">
        <v>6</v>
      </c>
      <c r="M1467" s="20">
        <v>0</v>
      </c>
      <c r="N1467" s="20">
        <f t="shared" si="2957"/>
        <v>13000</v>
      </c>
      <c r="O1467" s="19" t="s">
        <v>71</v>
      </c>
      <c r="P1467" s="20">
        <v>1777</v>
      </c>
      <c r="Q1467" s="20">
        <f t="shared" ref="Q1467:X1467" si="3011">Q1437</f>
        <v>1300</v>
      </c>
      <c r="R1467" s="20">
        <f t="shared" si="3011"/>
        <v>5200</v>
      </c>
      <c r="S1467" s="20">
        <f t="shared" si="3011"/>
        <v>9100</v>
      </c>
      <c r="T1467" s="20">
        <f t="shared" si="3011"/>
        <v>11700</v>
      </c>
      <c r="U1467" s="20">
        <f t="shared" si="3011"/>
        <v>90</v>
      </c>
      <c r="V1467" s="20">
        <f t="shared" si="3011"/>
        <v>800</v>
      </c>
      <c r="W1467" s="20">
        <f t="shared" si="3011"/>
        <v>2000</v>
      </c>
      <c r="X1467" s="20">
        <f t="shared" si="3011"/>
        <v>7</v>
      </c>
      <c r="Y1467" s="27">
        <v>0</v>
      </c>
      <c r="Z1467" s="30">
        <v>0</v>
      </c>
      <c r="AA1467" s="20">
        <f t="shared" si="2907"/>
        <v>0</v>
      </c>
      <c r="AB1467" s="27">
        <v>0</v>
      </c>
      <c r="AC1467" s="27">
        <v>0</v>
      </c>
      <c r="AD1467" s="23">
        <f t="shared" ref="AD1467:AE1467" si="3012">AD1437</f>
        <v>50</v>
      </c>
      <c r="AE1467" s="23">
        <f t="shared" si="3012"/>
        <v>54</v>
      </c>
    </row>
    <row r="1468" spans="1:31">
      <c r="A1468" s="4">
        <v>14103</v>
      </c>
      <c r="B1468" s="4">
        <v>27</v>
      </c>
      <c r="C1468" s="29" t="s">
        <v>72</v>
      </c>
      <c r="D1468" s="46">
        <v>0</v>
      </c>
      <c r="E1468" s="28">
        <v>0</v>
      </c>
      <c r="F1468" s="28">
        <f t="shared" si="2962"/>
        <v>1984</v>
      </c>
      <c r="G1468" s="28">
        <v>0</v>
      </c>
      <c r="H1468" s="47">
        <v>0</v>
      </c>
      <c r="I1468" s="21">
        <f t="shared" si="2956"/>
        <v>385</v>
      </c>
      <c r="J1468" s="21">
        <f t="shared" si="2911"/>
        <v>26</v>
      </c>
      <c r="K1468" s="21">
        <v>0</v>
      </c>
      <c r="L1468" s="20">
        <v>6</v>
      </c>
      <c r="M1468" s="20">
        <v>0</v>
      </c>
      <c r="N1468" s="20">
        <f t="shared" si="2957"/>
        <v>13500</v>
      </c>
      <c r="O1468" s="19" t="s">
        <v>72</v>
      </c>
      <c r="P1468" s="20">
        <v>2332</v>
      </c>
      <c r="Q1468" s="20">
        <f t="shared" ref="Q1468:X1468" si="3013">Q1438</f>
        <v>1350</v>
      </c>
      <c r="R1468" s="20">
        <f t="shared" si="3013"/>
        <v>5400</v>
      </c>
      <c r="S1468" s="20">
        <f t="shared" si="3013"/>
        <v>9450</v>
      </c>
      <c r="T1468" s="20">
        <f t="shared" si="3013"/>
        <v>12150</v>
      </c>
      <c r="U1468" s="20">
        <f t="shared" si="3013"/>
        <v>80</v>
      </c>
      <c r="V1468" s="20">
        <f t="shared" si="3013"/>
        <v>700</v>
      </c>
      <c r="W1468" s="20">
        <f t="shared" si="3013"/>
        <v>800</v>
      </c>
      <c r="X1468" s="20">
        <f t="shared" si="3013"/>
        <v>7</v>
      </c>
      <c r="Y1468" s="27">
        <v>0</v>
      </c>
      <c r="Z1468" s="30">
        <v>0</v>
      </c>
      <c r="AA1468" s="20">
        <f t="shared" si="2907"/>
        <v>0</v>
      </c>
      <c r="AB1468" s="27">
        <v>0</v>
      </c>
      <c r="AC1468" s="27">
        <v>0</v>
      </c>
      <c r="AD1468" s="23">
        <f t="shared" ref="AD1468:AE1468" si="3014">AD1438</f>
        <v>52</v>
      </c>
      <c r="AE1468" s="23">
        <f t="shared" si="3014"/>
        <v>56</v>
      </c>
    </row>
    <row r="1469" spans="1:31">
      <c r="A1469" s="4">
        <v>14103</v>
      </c>
      <c r="B1469" s="4">
        <v>28</v>
      </c>
      <c r="C1469" s="29" t="s">
        <v>73</v>
      </c>
      <c r="D1469" s="46">
        <v>0</v>
      </c>
      <c r="E1469" s="28">
        <v>0</v>
      </c>
      <c r="F1469" s="28">
        <f t="shared" si="2962"/>
        <v>2148</v>
      </c>
      <c r="G1469" s="28">
        <v>0</v>
      </c>
      <c r="H1469" s="47">
        <v>0</v>
      </c>
      <c r="I1469" s="21">
        <f t="shared" si="2956"/>
        <v>385</v>
      </c>
      <c r="J1469" s="21">
        <f t="shared" si="2911"/>
        <v>27</v>
      </c>
      <c r="K1469" s="21">
        <v>0</v>
      </c>
      <c r="L1469" s="20">
        <v>6</v>
      </c>
      <c r="M1469" s="20">
        <v>0</v>
      </c>
      <c r="N1469" s="20">
        <f t="shared" si="2957"/>
        <v>14000</v>
      </c>
      <c r="O1469" s="19" t="s">
        <v>73</v>
      </c>
      <c r="P1469" s="20">
        <v>1487</v>
      </c>
      <c r="Q1469" s="20">
        <f t="shared" ref="Q1469:X1469" si="3015">Q1439</f>
        <v>1400</v>
      </c>
      <c r="R1469" s="20">
        <f t="shared" si="3015"/>
        <v>5600</v>
      </c>
      <c r="S1469" s="20">
        <f t="shared" si="3015"/>
        <v>9800</v>
      </c>
      <c r="T1469" s="20">
        <f t="shared" si="3015"/>
        <v>12600</v>
      </c>
      <c r="U1469" s="20">
        <f t="shared" si="3015"/>
        <v>80</v>
      </c>
      <c r="V1469" s="20">
        <f t="shared" si="3015"/>
        <v>500</v>
      </c>
      <c r="W1469" s="20">
        <f t="shared" si="3015"/>
        <v>600</v>
      </c>
      <c r="X1469" s="20">
        <f t="shared" si="3015"/>
        <v>7</v>
      </c>
      <c r="Y1469" s="27">
        <v>0</v>
      </c>
      <c r="Z1469" s="30">
        <v>0</v>
      </c>
      <c r="AA1469" s="20">
        <f t="shared" si="2907"/>
        <v>226</v>
      </c>
      <c r="AB1469" s="27">
        <v>0</v>
      </c>
      <c r="AC1469" s="27">
        <v>0</v>
      </c>
      <c r="AD1469" s="23">
        <f t="shared" ref="AD1469:AE1469" si="3016">AD1439</f>
        <v>54</v>
      </c>
      <c r="AE1469" s="23">
        <f t="shared" si="3016"/>
        <v>58</v>
      </c>
    </row>
    <row r="1470" spans="1:31">
      <c r="A1470" s="4">
        <v>14103</v>
      </c>
      <c r="B1470" s="4">
        <v>29</v>
      </c>
      <c r="C1470" s="29" t="s">
        <v>74</v>
      </c>
      <c r="D1470" s="46">
        <v>0</v>
      </c>
      <c r="E1470" s="28">
        <v>0</v>
      </c>
      <c r="F1470" s="28">
        <f t="shared" si="2962"/>
        <v>2328</v>
      </c>
      <c r="G1470" s="28">
        <v>0</v>
      </c>
      <c r="H1470" s="47">
        <v>0</v>
      </c>
      <c r="I1470" s="21">
        <f t="shared" si="2956"/>
        <v>440</v>
      </c>
      <c r="J1470" s="21">
        <f t="shared" si="2911"/>
        <v>28</v>
      </c>
      <c r="K1470" s="21">
        <v>0</v>
      </c>
      <c r="L1470" s="20">
        <v>6</v>
      </c>
      <c r="M1470" s="20">
        <v>0</v>
      </c>
      <c r="N1470" s="20">
        <f t="shared" si="2957"/>
        <v>14500</v>
      </c>
      <c r="O1470" s="19" t="s">
        <v>74</v>
      </c>
      <c r="P1470" s="20">
        <v>1518</v>
      </c>
      <c r="Q1470" s="20">
        <f t="shared" ref="Q1470:X1470" si="3017">Q1440</f>
        <v>1450</v>
      </c>
      <c r="R1470" s="20">
        <f t="shared" si="3017"/>
        <v>5800</v>
      </c>
      <c r="S1470" s="20">
        <f t="shared" si="3017"/>
        <v>10150</v>
      </c>
      <c r="T1470" s="20">
        <f t="shared" si="3017"/>
        <v>13050</v>
      </c>
      <c r="U1470" s="20">
        <f t="shared" si="3017"/>
        <v>80</v>
      </c>
      <c r="V1470" s="20">
        <f t="shared" si="3017"/>
        <v>600</v>
      </c>
      <c r="W1470" s="20">
        <f t="shared" si="3017"/>
        <v>700</v>
      </c>
      <c r="X1470" s="20">
        <f t="shared" si="3017"/>
        <v>8</v>
      </c>
      <c r="Y1470" s="27">
        <v>0</v>
      </c>
      <c r="Z1470" s="30">
        <v>0</v>
      </c>
      <c r="AA1470" s="20">
        <f t="shared" si="2907"/>
        <v>0</v>
      </c>
      <c r="AB1470" s="27">
        <v>0</v>
      </c>
      <c r="AC1470" s="27">
        <v>0</v>
      </c>
      <c r="AD1470" s="23">
        <f t="shared" ref="AD1470:AE1470" si="3018">AD1440</f>
        <v>56</v>
      </c>
      <c r="AE1470" s="23">
        <f t="shared" si="3018"/>
        <v>60</v>
      </c>
    </row>
    <row r="1471" spans="1:31">
      <c r="A1471" s="4">
        <v>14103</v>
      </c>
      <c r="B1471" s="4">
        <v>30</v>
      </c>
      <c r="C1471" s="29" t="s">
        <v>75</v>
      </c>
      <c r="D1471" s="46">
        <v>0</v>
      </c>
      <c r="E1471" s="28">
        <v>0</v>
      </c>
      <c r="F1471" s="28">
        <f t="shared" si="2962"/>
        <v>2520</v>
      </c>
      <c r="G1471" s="28">
        <v>0</v>
      </c>
      <c r="H1471" s="47">
        <v>0</v>
      </c>
      <c r="I1471" s="21">
        <f t="shared" si="2956"/>
        <v>440</v>
      </c>
      <c r="J1471" s="21">
        <f t="shared" si="2911"/>
        <v>29</v>
      </c>
      <c r="K1471" s="21">
        <v>0</v>
      </c>
      <c r="L1471" s="20">
        <v>6</v>
      </c>
      <c r="M1471" s="20">
        <v>0</v>
      </c>
      <c r="N1471" s="20">
        <f t="shared" si="2957"/>
        <v>15000</v>
      </c>
      <c r="O1471" s="19" t="s">
        <v>75</v>
      </c>
      <c r="P1471" s="20">
        <v>861</v>
      </c>
      <c r="Q1471" s="20">
        <f t="shared" ref="Q1471:X1471" si="3019">Q1441</f>
        <v>1500</v>
      </c>
      <c r="R1471" s="20">
        <f t="shared" si="3019"/>
        <v>6000</v>
      </c>
      <c r="S1471" s="20">
        <f t="shared" si="3019"/>
        <v>10500</v>
      </c>
      <c r="T1471" s="20">
        <f t="shared" si="3019"/>
        <v>13500</v>
      </c>
      <c r="U1471" s="20">
        <f t="shared" si="3019"/>
        <v>20</v>
      </c>
      <c r="V1471" s="20">
        <f t="shared" si="3019"/>
        <v>450</v>
      </c>
      <c r="W1471" s="20">
        <f t="shared" si="3019"/>
        <v>1000</v>
      </c>
      <c r="X1471" s="20">
        <f t="shared" si="3019"/>
        <v>8</v>
      </c>
      <c r="Y1471" s="27">
        <v>0</v>
      </c>
      <c r="Z1471" s="30">
        <v>0</v>
      </c>
      <c r="AA1471" s="20">
        <f t="shared" si="2907"/>
        <v>0</v>
      </c>
      <c r="AB1471" s="27">
        <v>0</v>
      </c>
      <c r="AC1471" s="27">
        <v>0</v>
      </c>
      <c r="AD1471" s="23">
        <f t="shared" ref="AD1471:AE1471" si="3020">AD1441</f>
        <v>58</v>
      </c>
      <c r="AE1471" s="23">
        <f t="shared" si="3020"/>
        <v>62</v>
      </c>
    </row>
    <row r="1472" spans="1:31">
      <c r="A1472" s="4">
        <v>14104</v>
      </c>
      <c r="B1472" s="4">
        <v>1</v>
      </c>
      <c r="C1472" s="19" t="s">
        <v>66</v>
      </c>
      <c r="D1472" s="44">
        <v>0</v>
      </c>
      <c r="E1472" s="18">
        <v>0</v>
      </c>
      <c r="F1472" s="18">
        <f>ROUND(F1352*4.5,0)</f>
        <v>284</v>
      </c>
      <c r="G1472" s="18">
        <v>0</v>
      </c>
      <c r="H1472" s="45">
        <v>0</v>
      </c>
      <c r="I1472" s="21">
        <f t="shared" si="2956"/>
        <v>55</v>
      </c>
      <c r="J1472" s="21">
        <f t="shared" si="2911"/>
        <v>0</v>
      </c>
      <c r="K1472" s="21">
        <v>0</v>
      </c>
      <c r="L1472" s="20">
        <v>45</v>
      </c>
      <c r="M1472" s="20">
        <v>0</v>
      </c>
      <c r="N1472" s="20">
        <f t="shared" si="2957"/>
        <v>10</v>
      </c>
      <c r="O1472" s="19" t="s">
        <v>66</v>
      </c>
      <c r="P1472" s="20">
        <v>9400</v>
      </c>
      <c r="Q1472" s="20">
        <f t="shared" ref="Q1472:X1472" si="3021">Q1442</f>
        <v>1</v>
      </c>
      <c r="R1472" s="20">
        <f t="shared" si="3021"/>
        <v>4</v>
      </c>
      <c r="S1472" s="20">
        <f t="shared" si="3021"/>
        <v>7</v>
      </c>
      <c r="T1472" s="20">
        <f t="shared" si="3021"/>
        <v>9</v>
      </c>
      <c r="U1472" s="20">
        <f t="shared" si="3021"/>
        <v>9400</v>
      </c>
      <c r="V1472" s="20">
        <f t="shared" si="3021"/>
        <v>9400</v>
      </c>
      <c r="W1472" s="20">
        <f t="shared" si="3021"/>
        <v>9400</v>
      </c>
      <c r="X1472" s="20">
        <f t="shared" si="3021"/>
        <v>1</v>
      </c>
      <c r="Y1472" s="20">
        <v>0</v>
      </c>
      <c r="Z1472" s="22">
        <v>0</v>
      </c>
      <c r="AA1472" s="20">
        <f t="shared" si="2907"/>
        <v>0</v>
      </c>
      <c r="AB1472" s="20">
        <v>0</v>
      </c>
      <c r="AC1472" s="20">
        <v>0</v>
      </c>
      <c r="AD1472" s="23">
        <f t="shared" ref="AD1472:AE1472" si="3022">AD1442</f>
        <v>1</v>
      </c>
      <c r="AE1472" s="23">
        <f t="shared" si="3022"/>
        <v>3</v>
      </c>
    </row>
    <row r="1473" spans="1:31">
      <c r="A1473" s="4">
        <v>14104</v>
      </c>
      <c r="B1473" s="4">
        <v>2</v>
      </c>
      <c r="C1473" s="19" t="s">
        <v>67</v>
      </c>
      <c r="D1473" s="44">
        <v>0</v>
      </c>
      <c r="E1473" s="18">
        <v>0</v>
      </c>
      <c r="F1473" s="18">
        <f t="shared" ref="F1473:F1501" si="3023">ROUND(F1353*4.5,0)</f>
        <v>306</v>
      </c>
      <c r="G1473" s="18">
        <v>0</v>
      </c>
      <c r="H1473" s="45">
        <v>0</v>
      </c>
      <c r="I1473" s="21">
        <f t="shared" si="2956"/>
        <v>55</v>
      </c>
      <c r="J1473" s="21">
        <f t="shared" si="2911"/>
        <v>1</v>
      </c>
      <c r="K1473" s="21">
        <v>0</v>
      </c>
      <c r="L1473" s="20">
        <v>40</v>
      </c>
      <c r="M1473" s="20">
        <v>0</v>
      </c>
      <c r="N1473" s="20">
        <f t="shared" si="2957"/>
        <v>20</v>
      </c>
      <c r="O1473" s="19" t="s">
        <v>67</v>
      </c>
      <c r="P1473" s="20">
        <v>9100</v>
      </c>
      <c r="Q1473" s="20">
        <f t="shared" ref="Q1473:X1473" si="3024">Q1443</f>
        <v>2</v>
      </c>
      <c r="R1473" s="20">
        <f t="shared" si="3024"/>
        <v>8</v>
      </c>
      <c r="S1473" s="20">
        <f t="shared" si="3024"/>
        <v>14</v>
      </c>
      <c r="T1473" s="20">
        <f t="shared" si="3024"/>
        <v>18</v>
      </c>
      <c r="U1473" s="20">
        <f t="shared" si="3024"/>
        <v>4000</v>
      </c>
      <c r="V1473" s="20">
        <f t="shared" si="3024"/>
        <v>8000</v>
      </c>
      <c r="W1473" s="20">
        <f t="shared" si="3024"/>
        <v>8000</v>
      </c>
      <c r="X1473" s="20">
        <f t="shared" si="3024"/>
        <v>1</v>
      </c>
      <c r="Y1473" s="20">
        <v>0</v>
      </c>
      <c r="Z1473" s="22">
        <v>0</v>
      </c>
      <c r="AA1473" s="20">
        <f t="shared" si="2907"/>
        <v>0</v>
      </c>
      <c r="AB1473" s="20">
        <v>0</v>
      </c>
      <c r="AC1473" s="20">
        <v>0</v>
      </c>
      <c r="AD1473" s="23">
        <f t="shared" ref="AD1473:AE1473" si="3025">AD1443</f>
        <v>2</v>
      </c>
      <c r="AE1473" s="23">
        <f t="shared" si="3025"/>
        <v>5</v>
      </c>
    </row>
    <row r="1474" spans="1:31">
      <c r="A1474" s="4">
        <v>14104</v>
      </c>
      <c r="B1474" s="4">
        <v>3</v>
      </c>
      <c r="C1474" s="19" t="s">
        <v>68</v>
      </c>
      <c r="D1474" s="44">
        <v>0</v>
      </c>
      <c r="E1474" s="18">
        <v>0</v>
      </c>
      <c r="F1474" s="18">
        <f t="shared" si="3023"/>
        <v>333</v>
      </c>
      <c r="G1474" s="18">
        <v>0</v>
      </c>
      <c r="H1474" s="45">
        <v>0</v>
      </c>
      <c r="I1474" s="21">
        <f t="shared" si="2956"/>
        <v>55</v>
      </c>
      <c r="J1474" s="21">
        <f t="shared" si="2911"/>
        <v>2</v>
      </c>
      <c r="K1474" s="21">
        <v>0</v>
      </c>
      <c r="L1474" s="20">
        <v>35</v>
      </c>
      <c r="M1474" s="20">
        <v>0</v>
      </c>
      <c r="N1474" s="20">
        <f t="shared" si="2957"/>
        <v>40</v>
      </c>
      <c r="O1474" s="19" t="s">
        <v>68</v>
      </c>
      <c r="P1474" s="20">
        <v>8600</v>
      </c>
      <c r="Q1474" s="20">
        <f t="shared" ref="Q1474:X1474" si="3026">Q1444</f>
        <v>4</v>
      </c>
      <c r="R1474" s="20">
        <f t="shared" si="3026"/>
        <v>16</v>
      </c>
      <c r="S1474" s="20">
        <f t="shared" si="3026"/>
        <v>28</v>
      </c>
      <c r="T1474" s="20">
        <f t="shared" si="3026"/>
        <v>36</v>
      </c>
      <c r="U1474" s="20">
        <f t="shared" si="3026"/>
        <v>1600</v>
      </c>
      <c r="V1474" s="20">
        <f t="shared" si="3026"/>
        <v>5000</v>
      </c>
      <c r="W1474" s="20">
        <f t="shared" si="3026"/>
        <v>6000</v>
      </c>
      <c r="X1474" s="20">
        <f t="shared" si="3026"/>
        <v>1</v>
      </c>
      <c r="Y1474" s="20">
        <v>0</v>
      </c>
      <c r="Z1474" s="22">
        <v>0</v>
      </c>
      <c r="AA1474" s="20">
        <f t="shared" si="2907"/>
        <v>0</v>
      </c>
      <c r="AB1474" s="20">
        <v>0</v>
      </c>
      <c r="AC1474" s="20">
        <v>0</v>
      </c>
      <c r="AD1474" s="23">
        <f t="shared" ref="AD1474:AE1474" si="3027">AD1444</f>
        <v>4</v>
      </c>
      <c r="AE1474" s="23">
        <f t="shared" si="3027"/>
        <v>8</v>
      </c>
    </row>
    <row r="1475" spans="1:31">
      <c r="A1475" s="4">
        <v>14104</v>
      </c>
      <c r="B1475" s="4">
        <v>4</v>
      </c>
      <c r="C1475" s="19" t="s">
        <v>69</v>
      </c>
      <c r="D1475" s="44">
        <v>0</v>
      </c>
      <c r="E1475" s="18">
        <v>0</v>
      </c>
      <c r="F1475" s="18">
        <f t="shared" si="3023"/>
        <v>360</v>
      </c>
      <c r="G1475" s="18">
        <v>0</v>
      </c>
      <c r="H1475" s="45">
        <v>0</v>
      </c>
      <c r="I1475" s="21">
        <f t="shared" si="2956"/>
        <v>55</v>
      </c>
      <c r="J1475" s="21">
        <f t="shared" si="2911"/>
        <v>3</v>
      </c>
      <c r="K1475" s="21">
        <v>0</v>
      </c>
      <c r="L1475" s="20">
        <v>30</v>
      </c>
      <c r="M1475" s="20">
        <v>0</v>
      </c>
      <c r="N1475" s="20">
        <f t="shared" si="2957"/>
        <v>100</v>
      </c>
      <c r="O1475" s="19" t="s">
        <v>69</v>
      </c>
      <c r="P1475" s="20">
        <v>6400</v>
      </c>
      <c r="Q1475" s="20">
        <f t="shared" ref="Q1475:X1475" si="3028">Q1445</f>
        <v>10</v>
      </c>
      <c r="R1475" s="20">
        <f t="shared" si="3028"/>
        <v>40</v>
      </c>
      <c r="S1475" s="20">
        <f t="shared" si="3028"/>
        <v>70</v>
      </c>
      <c r="T1475" s="20">
        <f t="shared" si="3028"/>
        <v>90</v>
      </c>
      <c r="U1475" s="20">
        <f t="shared" si="3028"/>
        <v>900</v>
      </c>
      <c r="V1475" s="20">
        <f t="shared" si="3028"/>
        <v>2000</v>
      </c>
      <c r="W1475" s="20">
        <f t="shared" si="3028"/>
        <v>8000</v>
      </c>
      <c r="X1475" s="20">
        <f t="shared" si="3028"/>
        <v>1</v>
      </c>
      <c r="Y1475" s="20">
        <v>0</v>
      </c>
      <c r="Z1475" s="22">
        <v>0</v>
      </c>
      <c r="AA1475" s="20">
        <f t="shared" si="2907"/>
        <v>0</v>
      </c>
      <c r="AB1475" s="20">
        <v>0</v>
      </c>
      <c r="AC1475" s="20">
        <v>0</v>
      </c>
      <c r="AD1475" s="23">
        <f t="shared" ref="AD1475:AE1475" si="3029">AD1445</f>
        <v>6</v>
      </c>
      <c r="AE1475" s="23">
        <f t="shared" si="3029"/>
        <v>10</v>
      </c>
    </row>
    <row r="1476" spans="1:31">
      <c r="A1476" s="4">
        <v>14104</v>
      </c>
      <c r="B1476" s="4">
        <v>5</v>
      </c>
      <c r="C1476" s="19" t="s">
        <v>70</v>
      </c>
      <c r="D1476" s="44">
        <v>0</v>
      </c>
      <c r="E1476" s="18">
        <v>0</v>
      </c>
      <c r="F1476" s="18">
        <f t="shared" si="3023"/>
        <v>392</v>
      </c>
      <c r="G1476" s="18">
        <v>0</v>
      </c>
      <c r="H1476" s="45">
        <v>0</v>
      </c>
      <c r="I1476" s="21">
        <f t="shared" si="2956"/>
        <v>110</v>
      </c>
      <c r="J1476" s="21">
        <f t="shared" si="2911"/>
        <v>4</v>
      </c>
      <c r="K1476" s="21">
        <v>0</v>
      </c>
      <c r="L1476" s="20">
        <v>25</v>
      </c>
      <c r="M1476" s="20">
        <v>0</v>
      </c>
      <c r="N1476" s="20">
        <f t="shared" si="2957"/>
        <v>200</v>
      </c>
      <c r="O1476" s="19" t="s">
        <v>70</v>
      </c>
      <c r="P1476" s="20">
        <v>3100</v>
      </c>
      <c r="Q1476" s="20">
        <f t="shared" ref="Q1476:X1476" si="3030">Q1446</f>
        <v>20</v>
      </c>
      <c r="R1476" s="20">
        <f t="shared" si="3030"/>
        <v>80</v>
      </c>
      <c r="S1476" s="20">
        <f t="shared" si="3030"/>
        <v>140</v>
      </c>
      <c r="T1476" s="20">
        <f t="shared" si="3030"/>
        <v>180</v>
      </c>
      <c r="U1476" s="20">
        <f t="shared" si="3030"/>
        <v>1000</v>
      </c>
      <c r="V1476" s="20">
        <f t="shared" si="3030"/>
        <v>2000</v>
      </c>
      <c r="W1476" s="20">
        <f t="shared" si="3030"/>
        <v>2000</v>
      </c>
      <c r="X1476" s="20">
        <f t="shared" si="3030"/>
        <v>2</v>
      </c>
      <c r="Y1476" s="20">
        <v>0</v>
      </c>
      <c r="Z1476" s="22">
        <v>0</v>
      </c>
      <c r="AA1476" s="20">
        <f t="shared" si="2907"/>
        <v>0</v>
      </c>
      <c r="AB1476" s="20">
        <v>0</v>
      </c>
      <c r="AC1476" s="20">
        <v>0</v>
      </c>
      <c r="AD1476" s="23">
        <f t="shared" ref="AD1476:AE1476" si="3031">AD1446</f>
        <v>8</v>
      </c>
      <c r="AE1476" s="23">
        <f t="shared" si="3031"/>
        <v>12</v>
      </c>
    </row>
    <row r="1477" spans="1:31">
      <c r="A1477" s="4">
        <v>14104</v>
      </c>
      <c r="B1477" s="4">
        <v>6</v>
      </c>
      <c r="C1477" s="19" t="s">
        <v>71</v>
      </c>
      <c r="D1477" s="44">
        <v>0</v>
      </c>
      <c r="E1477" s="18">
        <v>0</v>
      </c>
      <c r="F1477" s="18">
        <f t="shared" si="3023"/>
        <v>423</v>
      </c>
      <c r="G1477" s="18">
        <v>0</v>
      </c>
      <c r="H1477" s="45">
        <v>0</v>
      </c>
      <c r="I1477" s="21">
        <f t="shared" si="2956"/>
        <v>110</v>
      </c>
      <c r="J1477" s="21">
        <f t="shared" si="2911"/>
        <v>5</v>
      </c>
      <c r="K1477" s="21">
        <v>0</v>
      </c>
      <c r="L1477" s="20">
        <v>20</v>
      </c>
      <c r="M1477" s="20">
        <v>0</v>
      </c>
      <c r="N1477" s="20">
        <f t="shared" si="2957"/>
        <v>500</v>
      </c>
      <c r="O1477" s="19" t="s">
        <v>71</v>
      </c>
      <c r="P1477" s="20">
        <v>1777</v>
      </c>
      <c r="Q1477" s="20">
        <f t="shared" ref="Q1477:X1477" si="3032">Q1447</f>
        <v>50</v>
      </c>
      <c r="R1477" s="20">
        <f t="shared" si="3032"/>
        <v>200</v>
      </c>
      <c r="S1477" s="20">
        <f t="shared" si="3032"/>
        <v>350</v>
      </c>
      <c r="T1477" s="20">
        <f t="shared" si="3032"/>
        <v>450</v>
      </c>
      <c r="U1477" s="20">
        <f t="shared" si="3032"/>
        <v>800</v>
      </c>
      <c r="V1477" s="20">
        <f t="shared" si="3032"/>
        <v>800</v>
      </c>
      <c r="W1477" s="20">
        <f t="shared" si="3032"/>
        <v>600</v>
      </c>
      <c r="X1477" s="20">
        <f t="shared" si="3032"/>
        <v>2</v>
      </c>
      <c r="Y1477" s="20">
        <v>0</v>
      </c>
      <c r="Z1477" s="22">
        <v>0</v>
      </c>
      <c r="AA1477" s="20">
        <f t="shared" si="2907"/>
        <v>0</v>
      </c>
      <c r="AB1477" s="20">
        <v>0</v>
      </c>
      <c r="AC1477" s="20">
        <v>0</v>
      </c>
      <c r="AD1477" s="23">
        <f t="shared" ref="AD1477:AE1477" si="3033">AD1447</f>
        <v>10</v>
      </c>
      <c r="AE1477" s="23">
        <f t="shared" si="3033"/>
        <v>14</v>
      </c>
    </row>
    <row r="1478" spans="1:31">
      <c r="A1478" s="8">
        <v>14104</v>
      </c>
      <c r="B1478" s="8">
        <v>7</v>
      </c>
      <c r="C1478" s="19" t="s">
        <v>72</v>
      </c>
      <c r="D1478" s="44">
        <v>0</v>
      </c>
      <c r="E1478" s="18">
        <v>0</v>
      </c>
      <c r="F1478" s="18">
        <f t="shared" si="3023"/>
        <v>455</v>
      </c>
      <c r="G1478" s="18">
        <v>0</v>
      </c>
      <c r="H1478" s="45">
        <v>0</v>
      </c>
      <c r="I1478" s="21">
        <f t="shared" si="2956"/>
        <v>110</v>
      </c>
      <c r="J1478" s="21">
        <f t="shared" si="2911"/>
        <v>6</v>
      </c>
      <c r="K1478" s="21">
        <v>0</v>
      </c>
      <c r="L1478" s="20">
        <v>16</v>
      </c>
      <c r="M1478" s="20">
        <v>0</v>
      </c>
      <c r="N1478" s="20">
        <f t="shared" si="2957"/>
        <v>700</v>
      </c>
      <c r="O1478" s="19" t="s">
        <v>72</v>
      </c>
      <c r="P1478" s="20">
        <v>2332</v>
      </c>
      <c r="Q1478" s="20">
        <f t="shared" ref="Q1478:X1478" si="3034">Q1448</f>
        <v>70</v>
      </c>
      <c r="R1478" s="20">
        <f t="shared" si="3034"/>
        <v>280</v>
      </c>
      <c r="S1478" s="20">
        <f t="shared" si="3034"/>
        <v>489.99999999999994</v>
      </c>
      <c r="T1478" s="20">
        <f t="shared" si="3034"/>
        <v>630</v>
      </c>
      <c r="U1478" s="20">
        <f t="shared" si="3034"/>
        <v>650</v>
      </c>
      <c r="V1478" s="20">
        <f t="shared" si="3034"/>
        <v>800</v>
      </c>
      <c r="W1478" s="20">
        <f t="shared" si="3034"/>
        <v>300</v>
      </c>
      <c r="X1478" s="20">
        <f t="shared" si="3034"/>
        <v>2</v>
      </c>
      <c r="Y1478" s="20">
        <v>0</v>
      </c>
      <c r="Z1478" s="22">
        <v>0</v>
      </c>
      <c r="AA1478" s="20">
        <f t="shared" si="2907"/>
        <v>0</v>
      </c>
      <c r="AB1478" s="20">
        <v>0</v>
      </c>
      <c r="AC1478" s="20">
        <v>0</v>
      </c>
      <c r="AD1478" s="23">
        <f t="shared" ref="AD1478:AE1478" si="3035">AD1448</f>
        <v>12</v>
      </c>
      <c r="AE1478" s="23">
        <f t="shared" si="3035"/>
        <v>16</v>
      </c>
    </row>
    <row r="1479" spans="1:31">
      <c r="A1479" s="4">
        <v>14104</v>
      </c>
      <c r="B1479" s="4">
        <v>8</v>
      </c>
      <c r="C1479" s="19" t="s">
        <v>73</v>
      </c>
      <c r="D1479" s="44">
        <v>0</v>
      </c>
      <c r="E1479" s="18">
        <v>0</v>
      </c>
      <c r="F1479" s="18">
        <f t="shared" si="3023"/>
        <v>495</v>
      </c>
      <c r="G1479" s="18">
        <v>0</v>
      </c>
      <c r="H1479" s="45">
        <v>0</v>
      </c>
      <c r="I1479" s="21">
        <f t="shared" si="2956"/>
        <v>110</v>
      </c>
      <c r="J1479" s="21">
        <f t="shared" si="2911"/>
        <v>7</v>
      </c>
      <c r="K1479" s="21">
        <v>0</v>
      </c>
      <c r="L1479" s="20">
        <v>12</v>
      </c>
      <c r="M1479" s="20">
        <v>0</v>
      </c>
      <c r="N1479" s="20">
        <f t="shared" si="2957"/>
        <v>800</v>
      </c>
      <c r="O1479" s="19" t="s">
        <v>73</v>
      </c>
      <c r="P1479" s="20">
        <v>1487</v>
      </c>
      <c r="Q1479" s="20">
        <f t="shared" ref="Q1479:X1479" si="3036">Q1449</f>
        <v>80</v>
      </c>
      <c r="R1479" s="20">
        <f t="shared" si="3036"/>
        <v>320</v>
      </c>
      <c r="S1479" s="20">
        <f t="shared" si="3036"/>
        <v>560</v>
      </c>
      <c r="T1479" s="20">
        <f t="shared" si="3036"/>
        <v>720</v>
      </c>
      <c r="U1479" s="20">
        <f t="shared" si="3036"/>
        <v>200</v>
      </c>
      <c r="V1479" s="20">
        <f t="shared" si="3036"/>
        <v>2000</v>
      </c>
      <c r="W1479" s="20">
        <f t="shared" si="3036"/>
        <v>1000</v>
      </c>
      <c r="X1479" s="20">
        <f t="shared" si="3036"/>
        <v>2</v>
      </c>
      <c r="Y1479" s="20">
        <v>0</v>
      </c>
      <c r="Z1479" s="22">
        <v>0</v>
      </c>
      <c r="AA1479" s="20">
        <f t="shared" si="2907"/>
        <v>49</v>
      </c>
      <c r="AB1479" s="20">
        <v>0</v>
      </c>
      <c r="AC1479" s="20">
        <v>0</v>
      </c>
      <c r="AD1479" s="23">
        <f t="shared" ref="AD1479:AE1479" si="3037">AD1449</f>
        <v>14</v>
      </c>
      <c r="AE1479" s="23">
        <f t="shared" si="3037"/>
        <v>18</v>
      </c>
    </row>
    <row r="1480" spans="1:31">
      <c r="A1480" s="4">
        <v>14104</v>
      </c>
      <c r="B1480" s="4">
        <v>9</v>
      </c>
      <c r="C1480" s="19" t="s">
        <v>74</v>
      </c>
      <c r="D1480" s="44">
        <v>0</v>
      </c>
      <c r="E1480" s="18">
        <v>0</v>
      </c>
      <c r="F1480" s="18">
        <f t="shared" si="3023"/>
        <v>536</v>
      </c>
      <c r="G1480" s="18">
        <v>0</v>
      </c>
      <c r="H1480" s="45">
        <v>0</v>
      </c>
      <c r="I1480" s="21">
        <f t="shared" si="2956"/>
        <v>165</v>
      </c>
      <c r="J1480" s="21">
        <f t="shared" si="2911"/>
        <v>8</v>
      </c>
      <c r="K1480" s="21">
        <v>0</v>
      </c>
      <c r="L1480" s="20">
        <v>8</v>
      </c>
      <c r="M1480" s="20">
        <v>0</v>
      </c>
      <c r="N1480" s="20">
        <f t="shared" si="2957"/>
        <v>900</v>
      </c>
      <c r="O1480" s="19" t="s">
        <v>74</v>
      </c>
      <c r="P1480" s="20">
        <v>1518</v>
      </c>
      <c r="Q1480" s="20">
        <f t="shared" ref="Q1480:X1480" si="3038">Q1450</f>
        <v>90</v>
      </c>
      <c r="R1480" s="20">
        <f t="shared" si="3038"/>
        <v>360</v>
      </c>
      <c r="S1480" s="20">
        <f t="shared" si="3038"/>
        <v>630</v>
      </c>
      <c r="T1480" s="20">
        <f t="shared" si="3038"/>
        <v>810</v>
      </c>
      <c r="U1480" s="20">
        <f t="shared" si="3038"/>
        <v>120</v>
      </c>
      <c r="V1480" s="20">
        <f t="shared" si="3038"/>
        <v>1500</v>
      </c>
      <c r="W1480" s="20">
        <f t="shared" si="3038"/>
        <v>1000</v>
      </c>
      <c r="X1480" s="20">
        <f t="shared" si="3038"/>
        <v>3</v>
      </c>
      <c r="Y1480" s="20">
        <v>0</v>
      </c>
      <c r="Z1480" s="22">
        <v>0</v>
      </c>
      <c r="AA1480" s="20">
        <f t="shared" si="2907"/>
        <v>0</v>
      </c>
      <c r="AB1480" s="20">
        <v>0</v>
      </c>
      <c r="AC1480" s="20">
        <v>0</v>
      </c>
      <c r="AD1480" s="23">
        <f t="shared" ref="AD1480:AE1480" si="3039">AD1450</f>
        <v>16</v>
      </c>
      <c r="AE1480" s="23">
        <f t="shared" si="3039"/>
        <v>20</v>
      </c>
    </row>
    <row r="1481" spans="1:31">
      <c r="A1481" s="4">
        <v>14104</v>
      </c>
      <c r="B1481" s="4">
        <v>10</v>
      </c>
      <c r="C1481" s="19" t="s">
        <v>75</v>
      </c>
      <c r="D1481" s="44">
        <v>0</v>
      </c>
      <c r="E1481" s="18">
        <v>0</v>
      </c>
      <c r="F1481" s="18">
        <f t="shared" si="3023"/>
        <v>581</v>
      </c>
      <c r="G1481" s="18">
        <v>0</v>
      </c>
      <c r="H1481" s="45">
        <v>0</v>
      </c>
      <c r="I1481" s="21">
        <f t="shared" si="2956"/>
        <v>165</v>
      </c>
      <c r="J1481" s="21">
        <f t="shared" si="2911"/>
        <v>9</v>
      </c>
      <c r="K1481" s="21">
        <v>0</v>
      </c>
      <c r="L1481" s="20">
        <v>6</v>
      </c>
      <c r="M1481" s="20">
        <v>0</v>
      </c>
      <c r="N1481" s="20">
        <f t="shared" si="2957"/>
        <v>2000</v>
      </c>
      <c r="O1481" s="19" t="s">
        <v>75</v>
      </c>
      <c r="P1481" s="20">
        <v>861</v>
      </c>
      <c r="Q1481" s="20">
        <f t="shared" ref="Q1481:X1481" si="3040">Q1451</f>
        <v>200</v>
      </c>
      <c r="R1481" s="20">
        <f t="shared" si="3040"/>
        <v>800</v>
      </c>
      <c r="S1481" s="20">
        <f t="shared" si="3040"/>
        <v>1400</v>
      </c>
      <c r="T1481" s="20">
        <f t="shared" si="3040"/>
        <v>1800</v>
      </c>
      <c r="U1481" s="20">
        <f t="shared" si="3040"/>
        <v>150</v>
      </c>
      <c r="V1481" s="20">
        <f t="shared" si="3040"/>
        <v>5000</v>
      </c>
      <c r="W1481" s="20">
        <f t="shared" si="3040"/>
        <v>800</v>
      </c>
      <c r="X1481" s="20">
        <f t="shared" si="3040"/>
        <v>3</v>
      </c>
      <c r="Y1481" s="20">
        <v>0</v>
      </c>
      <c r="Z1481" s="22">
        <v>0</v>
      </c>
      <c r="AA1481" s="20">
        <f t="shared" ref="AA1481:AA1501" si="3041">INT(AA731*4/3)</f>
        <v>0</v>
      </c>
      <c r="AB1481" s="20">
        <v>0</v>
      </c>
      <c r="AC1481" s="20">
        <v>0</v>
      </c>
      <c r="AD1481" s="23">
        <f t="shared" ref="AD1481:AE1481" si="3042">AD1451</f>
        <v>18</v>
      </c>
      <c r="AE1481" s="23">
        <f t="shared" si="3042"/>
        <v>22</v>
      </c>
    </row>
    <row r="1482" spans="1:31">
      <c r="A1482" s="4">
        <v>14104</v>
      </c>
      <c r="B1482" s="4">
        <v>11</v>
      </c>
      <c r="C1482" s="19" t="s">
        <v>66</v>
      </c>
      <c r="D1482" s="44">
        <v>0</v>
      </c>
      <c r="E1482" s="18">
        <v>0</v>
      </c>
      <c r="F1482" s="18">
        <f t="shared" si="3023"/>
        <v>626</v>
      </c>
      <c r="G1482" s="18">
        <v>0</v>
      </c>
      <c r="H1482" s="45">
        <v>0</v>
      </c>
      <c r="I1482" s="21">
        <f t="shared" si="2956"/>
        <v>165</v>
      </c>
      <c r="J1482" s="21">
        <f t="shared" si="2911"/>
        <v>10</v>
      </c>
      <c r="K1482" s="21">
        <v>0</v>
      </c>
      <c r="L1482" s="20">
        <v>6</v>
      </c>
      <c r="M1482" s="20">
        <v>0</v>
      </c>
      <c r="N1482" s="20">
        <f t="shared" si="2957"/>
        <v>2200</v>
      </c>
      <c r="O1482" s="19" t="s">
        <v>66</v>
      </c>
      <c r="P1482" s="20">
        <v>9400</v>
      </c>
      <c r="Q1482" s="20">
        <f t="shared" ref="Q1482:X1482" si="3043">Q1452</f>
        <v>220</v>
      </c>
      <c r="R1482" s="20">
        <f t="shared" si="3043"/>
        <v>880</v>
      </c>
      <c r="S1482" s="20">
        <f t="shared" si="3043"/>
        <v>1540</v>
      </c>
      <c r="T1482" s="20">
        <f t="shared" si="3043"/>
        <v>1980</v>
      </c>
      <c r="U1482" s="20">
        <f t="shared" si="3043"/>
        <v>100</v>
      </c>
      <c r="V1482" s="20">
        <f t="shared" si="3043"/>
        <v>800</v>
      </c>
      <c r="W1482" s="20">
        <f t="shared" si="3043"/>
        <v>600</v>
      </c>
      <c r="X1482" s="20">
        <f t="shared" si="3043"/>
        <v>3</v>
      </c>
      <c r="Y1482" s="20">
        <v>0</v>
      </c>
      <c r="Z1482" s="22">
        <v>0</v>
      </c>
      <c r="AA1482" s="20">
        <f t="shared" si="3041"/>
        <v>0</v>
      </c>
      <c r="AB1482" s="20">
        <v>0</v>
      </c>
      <c r="AC1482" s="20">
        <v>0</v>
      </c>
      <c r="AD1482" s="23">
        <f t="shared" ref="AD1482:AE1482" si="3044">AD1452</f>
        <v>20</v>
      </c>
      <c r="AE1482" s="23">
        <f t="shared" si="3044"/>
        <v>24</v>
      </c>
    </row>
    <row r="1483" spans="1:31">
      <c r="A1483" s="4">
        <v>14104</v>
      </c>
      <c r="B1483" s="4">
        <v>12</v>
      </c>
      <c r="C1483" s="19" t="s">
        <v>67</v>
      </c>
      <c r="D1483" s="44">
        <v>0</v>
      </c>
      <c r="E1483" s="18">
        <v>0</v>
      </c>
      <c r="F1483" s="18">
        <f t="shared" si="3023"/>
        <v>680</v>
      </c>
      <c r="G1483" s="18">
        <v>0</v>
      </c>
      <c r="H1483" s="45">
        <v>0</v>
      </c>
      <c r="I1483" s="21">
        <f t="shared" si="2956"/>
        <v>165</v>
      </c>
      <c r="J1483" s="21">
        <f t="shared" ref="J1483:J1546" si="3045">B1483-1</f>
        <v>11</v>
      </c>
      <c r="K1483" s="21">
        <v>0</v>
      </c>
      <c r="L1483" s="20">
        <v>6</v>
      </c>
      <c r="M1483" s="20">
        <v>0</v>
      </c>
      <c r="N1483" s="20">
        <f t="shared" si="2957"/>
        <v>2400</v>
      </c>
      <c r="O1483" s="19" t="s">
        <v>67</v>
      </c>
      <c r="P1483" s="20">
        <v>9100</v>
      </c>
      <c r="Q1483" s="20">
        <f t="shared" ref="Q1483:X1483" si="3046">Q1453</f>
        <v>240</v>
      </c>
      <c r="R1483" s="20">
        <f t="shared" si="3046"/>
        <v>960</v>
      </c>
      <c r="S1483" s="20">
        <f t="shared" si="3046"/>
        <v>1680</v>
      </c>
      <c r="T1483" s="20">
        <f t="shared" si="3046"/>
        <v>2160</v>
      </c>
      <c r="U1483" s="20">
        <f t="shared" si="3046"/>
        <v>150</v>
      </c>
      <c r="V1483" s="20">
        <f t="shared" si="3046"/>
        <v>700</v>
      </c>
      <c r="W1483" s="20">
        <f t="shared" si="3046"/>
        <v>900</v>
      </c>
      <c r="X1483" s="20">
        <f t="shared" si="3046"/>
        <v>3</v>
      </c>
      <c r="Y1483" s="20">
        <v>0</v>
      </c>
      <c r="Z1483" s="22">
        <v>0</v>
      </c>
      <c r="AA1483" s="20">
        <f t="shared" si="3041"/>
        <v>0</v>
      </c>
      <c r="AB1483" s="20">
        <v>0</v>
      </c>
      <c r="AC1483" s="20">
        <v>0</v>
      </c>
      <c r="AD1483" s="23">
        <f t="shared" ref="AD1483:AE1483" si="3047">AD1453</f>
        <v>22</v>
      </c>
      <c r="AE1483" s="23">
        <f t="shared" si="3047"/>
        <v>26</v>
      </c>
    </row>
    <row r="1484" spans="1:31">
      <c r="A1484" s="4">
        <v>14104</v>
      </c>
      <c r="B1484" s="4">
        <v>13</v>
      </c>
      <c r="C1484" s="19" t="s">
        <v>68</v>
      </c>
      <c r="D1484" s="44">
        <v>0</v>
      </c>
      <c r="E1484" s="18">
        <v>0</v>
      </c>
      <c r="F1484" s="18">
        <f t="shared" si="3023"/>
        <v>734</v>
      </c>
      <c r="G1484" s="18">
        <v>0</v>
      </c>
      <c r="H1484" s="45">
        <v>0</v>
      </c>
      <c r="I1484" s="21">
        <f t="shared" si="2956"/>
        <v>220</v>
      </c>
      <c r="J1484" s="21">
        <f t="shared" si="3045"/>
        <v>12</v>
      </c>
      <c r="K1484" s="21">
        <v>0</v>
      </c>
      <c r="L1484" s="20">
        <v>6</v>
      </c>
      <c r="M1484" s="20">
        <v>0</v>
      </c>
      <c r="N1484" s="20">
        <f t="shared" si="2957"/>
        <v>2600</v>
      </c>
      <c r="O1484" s="19" t="s">
        <v>68</v>
      </c>
      <c r="P1484" s="20">
        <v>8600</v>
      </c>
      <c r="Q1484" s="20">
        <f t="shared" ref="Q1484:X1484" si="3048">Q1454</f>
        <v>260</v>
      </c>
      <c r="R1484" s="20">
        <f t="shared" si="3048"/>
        <v>1040</v>
      </c>
      <c r="S1484" s="20">
        <f t="shared" si="3048"/>
        <v>1819.9999999999998</v>
      </c>
      <c r="T1484" s="20">
        <f t="shared" si="3048"/>
        <v>2340</v>
      </c>
      <c r="U1484" s="20">
        <f t="shared" si="3048"/>
        <v>100</v>
      </c>
      <c r="V1484" s="20">
        <f t="shared" si="3048"/>
        <v>700</v>
      </c>
      <c r="W1484" s="20">
        <f t="shared" si="3048"/>
        <v>1000</v>
      </c>
      <c r="X1484" s="20">
        <f t="shared" si="3048"/>
        <v>4</v>
      </c>
      <c r="Y1484" s="20">
        <v>0</v>
      </c>
      <c r="Z1484" s="22">
        <v>0</v>
      </c>
      <c r="AA1484" s="20">
        <f t="shared" si="3041"/>
        <v>100</v>
      </c>
      <c r="AB1484" s="20">
        <v>0</v>
      </c>
      <c r="AC1484" s="20">
        <v>0</v>
      </c>
      <c r="AD1484" s="23">
        <f t="shared" ref="AD1484:AE1484" si="3049">AD1454</f>
        <v>24</v>
      </c>
      <c r="AE1484" s="23">
        <f t="shared" si="3049"/>
        <v>28</v>
      </c>
    </row>
    <row r="1485" spans="1:31">
      <c r="A1485" s="4">
        <v>14104</v>
      </c>
      <c r="B1485" s="4">
        <v>14</v>
      </c>
      <c r="C1485" s="19" t="s">
        <v>69</v>
      </c>
      <c r="D1485" s="44">
        <v>0</v>
      </c>
      <c r="E1485" s="18">
        <v>0</v>
      </c>
      <c r="F1485" s="18">
        <f t="shared" si="3023"/>
        <v>797</v>
      </c>
      <c r="G1485" s="18">
        <v>0</v>
      </c>
      <c r="H1485" s="45">
        <v>0</v>
      </c>
      <c r="I1485" s="21">
        <f t="shared" si="2956"/>
        <v>220</v>
      </c>
      <c r="J1485" s="21">
        <f t="shared" si="3045"/>
        <v>13</v>
      </c>
      <c r="K1485" s="21">
        <v>0</v>
      </c>
      <c r="L1485" s="20">
        <v>6</v>
      </c>
      <c r="M1485" s="20">
        <v>0</v>
      </c>
      <c r="N1485" s="20">
        <f t="shared" si="2957"/>
        <v>2800</v>
      </c>
      <c r="O1485" s="19" t="s">
        <v>69</v>
      </c>
      <c r="P1485" s="20">
        <v>6400</v>
      </c>
      <c r="Q1485" s="20">
        <f t="shared" ref="Q1485:X1485" si="3050">Q1455</f>
        <v>280</v>
      </c>
      <c r="R1485" s="20">
        <f t="shared" si="3050"/>
        <v>1120</v>
      </c>
      <c r="S1485" s="20">
        <f t="shared" si="3050"/>
        <v>1959.9999999999998</v>
      </c>
      <c r="T1485" s="20">
        <f t="shared" si="3050"/>
        <v>2520</v>
      </c>
      <c r="U1485" s="20">
        <f t="shared" si="3050"/>
        <v>100</v>
      </c>
      <c r="V1485" s="20">
        <f t="shared" si="3050"/>
        <v>400</v>
      </c>
      <c r="W1485" s="20">
        <f t="shared" si="3050"/>
        <v>1200</v>
      </c>
      <c r="X1485" s="20">
        <f t="shared" si="3050"/>
        <v>4</v>
      </c>
      <c r="Y1485" s="20">
        <v>0</v>
      </c>
      <c r="Z1485" s="22">
        <v>0</v>
      </c>
      <c r="AA1485" s="20">
        <f t="shared" si="3041"/>
        <v>0</v>
      </c>
      <c r="AB1485" s="20">
        <v>0</v>
      </c>
      <c r="AC1485" s="20">
        <v>0</v>
      </c>
      <c r="AD1485" s="23">
        <f t="shared" ref="AD1485:AE1485" si="3051">AD1455</f>
        <v>26</v>
      </c>
      <c r="AE1485" s="23">
        <f t="shared" si="3051"/>
        <v>30</v>
      </c>
    </row>
    <row r="1486" spans="1:31">
      <c r="A1486" s="4">
        <v>14104</v>
      </c>
      <c r="B1486" s="4">
        <v>15</v>
      </c>
      <c r="C1486" s="19" t="s">
        <v>70</v>
      </c>
      <c r="D1486" s="44">
        <v>0</v>
      </c>
      <c r="E1486" s="18">
        <v>0</v>
      </c>
      <c r="F1486" s="18">
        <f t="shared" si="3023"/>
        <v>860</v>
      </c>
      <c r="G1486" s="18">
        <v>0</v>
      </c>
      <c r="H1486" s="45">
        <v>0</v>
      </c>
      <c r="I1486" s="21">
        <f t="shared" si="2956"/>
        <v>220</v>
      </c>
      <c r="J1486" s="21">
        <f t="shared" si="3045"/>
        <v>14</v>
      </c>
      <c r="K1486" s="21">
        <v>0</v>
      </c>
      <c r="L1486" s="20">
        <v>6</v>
      </c>
      <c r="M1486" s="20">
        <v>0</v>
      </c>
      <c r="N1486" s="20">
        <f t="shared" si="2957"/>
        <v>4500</v>
      </c>
      <c r="O1486" s="19" t="s">
        <v>70</v>
      </c>
      <c r="P1486" s="20">
        <v>3100</v>
      </c>
      <c r="Q1486" s="20">
        <f t="shared" ref="Q1486:X1486" si="3052">Q1456</f>
        <v>450</v>
      </c>
      <c r="R1486" s="20">
        <f t="shared" si="3052"/>
        <v>1800</v>
      </c>
      <c r="S1486" s="20">
        <f t="shared" si="3052"/>
        <v>3150</v>
      </c>
      <c r="T1486" s="20">
        <f t="shared" si="3052"/>
        <v>4050</v>
      </c>
      <c r="U1486" s="20">
        <f t="shared" si="3052"/>
        <v>100</v>
      </c>
      <c r="V1486" s="20">
        <f t="shared" si="3052"/>
        <v>1000</v>
      </c>
      <c r="W1486" s="20">
        <f t="shared" si="3052"/>
        <v>600</v>
      </c>
      <c r="X1486" s="20">
        <f t="shared" si="3052"/>
        <v>4</v>
      </c>
      <c r="Y1486" s="20">
        <v>0</v>
      </c>
      <c r="Z1486" s="22">
        <v>0</v>
      </c>
      <c r="AA1486" s="20">
        <f t="shared" si="3041"/>
        <v>0</v>
      </c>
      <c r="AB1486" s="20">
        <v>0</v>
      </c>
      <c r="AC1486" s="20">
        <v>0</v>
      </c>
      <c r="AD1486" s="23">
        <f t="shared" ref="AD1486:AE1486" si="3053">AD1456</f>
        <v>28</v>
      </c>
      <c r="AE1486" s="23">
        <f t="shared" si="3053"/>
        <v>32</v>
      </c>
    </row>
    <row r="1487" spans="1:31">
      <c r="A1487" s="4">
        <v>14104</v>
      </c>
      <c r="B1487" s="4">
        <v>16</v>
      </c>
      <c r="C1487" s="19" t="s">
        <v>71</v>
      </c>
      <c r="D1487" s="44">
        <v>0</v>
      </c>
      <c r="E1487" s="18">
        <v>0</v>
      </c>
      <c r="F1487" s="18">
        <f t="shared" si="3023"/>
        <v>932</v>
      </c>
      <c r="G1487" s="18">
        <v>0</v>
      </c>
      <c r="H1487" s="45">
        <v>0</v>
      </c>
      <c r="I1487" s="21">
        <f t="shared" si="2956"/>
        <v>220</v>
      </c>
      <c r="J1487" s="21">
        <f t="shared" si="3045"/>
        <v>15</v>
      </c>
      <c r="K1487" s="21">
        <v>0</v>
      </c>
      <c r="L1487" s="20">
        <v>6</v>
      </c>
      <c r="M1487" s="20">
        <v>0</v>
      </c>
      <c r="N1487" s="20">
        <f t="shared" si="2957"/>
        <v>4800</v>
      </c>
      <c r="O1487" s="19" t="s">
        <v>71</v>
      </c>
      <c r="P1487" s="20">
        <v>1777</v>
      </c>
      <c r="Q1487" s="20">
        <f t="shared" ref="Q1487:X1487" si="3054">Q1457</f>
        <v>480</v>
      </c>
      <c r="R1487" s="20">
        <f t="shared" si="3054"/>
        <v>1920</v>
      </c>
      <c r="S1487" s="20">
        <f t="shared" si="3054"/>
        <v>3360</v>
      </c>
      <c r="T1487" s="20">
        <f t="shared" si="3054"/>
        <v>4320</v>
      </c>
      <c r="U1487" s="20">
        <f t="shared" si="3054"/>
        <v>100</v>
      </c>
      <c r="V1487" s="20">
        <f t="shared" si="3054"/>
        <v>800</v>
      </c>
      <c r="W1487" s="20">
        <f t="shared" si="3054"/>
        <v>800</v>
      </c>
      <c r="X1487" s="20">
        <f t="shared" si="3054"/>
        <v>4</v>
      </c>
      <c r="Y1487" s="20">
        <v>0</v>
      </c>
      <c r="Z1487" s="22">
        <v>0</v>
      </c>
      <c r="AA1487" s="20">
        <f t="shared" si="3041"/>
        <v>0</v>
      </c>
      <c r="AB1487" s="20">
        <v>0</v>
      </c>
      <c r="AC1487" s="20">
        <v>0</v>
      </c>
      <c r="AD1487" s="23">
        <f t="shared" ref="AD1487:AE1487" si="3055">AD1457</f>
        <v>30</v>
      </c>
      <c r="AE1487" s="23">
        <f t="shared" si="3055"/>
        <v>34</v>
      </c>
    </row>
    <row r="1488" spans="1:31">
      <c r="A1488" s="4">
        <v>14104</v>
      </c>
      <c r="B1488" s="4">
        <v>17</v>
      </c>
      <c r="C1488" s="19" t="s">
        <v>72</v>
      </c>
      <c r="D1488" s="44">
        <v>0</v>
      </c>
      <c r="E1488" s="18">
        <v>0</v>
      </c>
      <c r="F1488" s="18">
        <f t="shared" si="3023"/>
        <v>1008</v>
      </c>
      <c r="G1488" s="18">
        <v>0</v>
      </c>
      <c r="H1488" s="45">
        <v>0</v>
      </c>
      <c r="I1488" s="21">
        <f t="shared" si="2956"/>
        <v>275</v>
      </c>
      <c r="J1488" s="21">
        <f t="shared" si="3045"/>
        <v>16</v>
      </c>
      <c r="K1488" s="21">
        <v>0</v>
      </c>
      <c r="L1488" s="20">
        <v>6</v>
      </c>
      <c r="M1488" s="20">
        <v>0</v>
      </c>
      <c r="N1488" s="20">
        <f t="shared" si="2957"/>
        <v>5100</v>
      </c>
      <c r="O1488" s="19" t="s">
        <v>72</v>
      </c>
      <c r="P1488" s="20">
        <v>2332</v>
      </c>
      <c r="Q1488" s="20">
        <f t="shared" ref="Q1488:X1488" si="3056">Q1458</f>
        <v>510</v>
      </c>
      <c r="R1488" s="20">
        <f t="shared" si="3056"/>
        <v>2040</v>
      </c>
      <c r="S1488" s="20">
        <f t="shared" si="3056"/>
        <v>3570</v>
      </c>
      <c r="T1488" s="20">
        <f t="shared" si="3056"/>
        <v>4590</v>
      </c>
      <c r="U1488" s="20">
        <f t="shared" si="3056"/>
        <v>80</v>
      </c>
      <c r="V1488" s="20">
        <f t="shared" si="3056"/>
        <v>800</v>
      </c>
      <c r="W1488" s="20">
        <f t="shared" si="3056"/>
        <v>600</v>
      </c>
      <c r="X1488" s="20">
        <f t="shared" si="3056"/>
        <v>5</v>
      </c>
      <c r="Y1488" s="20">
        <v>0</v>
      </c>
      <c r="Z1488" s="22">
        <v>0</v>
      </c>
      <c r="AA1488" s="20">
        <f t="shared" si="3041"/>
        <v>0</v>
      </c>
      <c r="AB1488" s="20">
        <v>0</v>
      </c>
      <c r="AC1488" s="20">
        <v>0</v>
      </c>
      <c r="AD1488" s="23">
        <f t="shared" ref="AD1488:AE1488" si="3057">AD1458</f>
        <v>32</v>
      </c>
      <c r="AE1488" s="23">
        <f t="shared" si="3057"/>
        <v>36</v>
      </c>
    </row>
    <row r="1489" spans="1:31">
      <c r="A1489" s="4">
        <v>14104</v>
      </c>
      <c r="B1489" s="4">
        <v>18</v>
      </c>
      <c r="C1489" s="19" t="s">
        <v>73</v>
      </c>
      <c r="D1489" s="44">
        <v>0</v>
      </c>
      <c r="E1489" s="18">
        <v>0</v>
      </c>
      <c r="F1489" s="18">
        <f t="shared" si="3023"/>
        <v>1094</v>
      </c>
      <c r="G1489" s="18">
        <v>0</v>
      </c>
      <c r="H1489" s="45">
        <v>0</v>
      </c>
      <c r="I1489" s="21">
        <f t="shared" si="2956"/>
        <v>275</v>
      </c>
      <c r="J1489" s="21">
        <f t="shared" si="3045"/>
        <v>17</v>
      </c>
      <c r="K1489" s="21">
        <v>0</v>
      </c>
      <c r="L1489" s="20">
        <v>6</v>
      </c>
      <c r="M1489" s="20">
        <v>0</v>
      </c>
      <c r="N1489" s="20">
        <f t="shared" si="2957"/>
        <v>5400</v>
      </c>
      <c r="O1489" s="19" t="s">
        <v>73</v>
      </c>
      <c r="P1489" s="20">
        <v>1487</v>
      </c>
      <c r="Q1489" s="20">
        <f t="shared" ref="Q1489:X1489" si="3058">Q1459</f>
        <v>540</v>
      </c>
      <c r="R1489" s="20">
        <f t="shared" si="3058"/>
        <v>2160</v>
      </c>
      <c r="S1489" s="20">
        <f t="shared" si="3058"/>
        <v>3779.9999999999995</v>
      </c>
      <c r="T1489" s="20">
        <f t="shared" si="3058"/>
        <v>4860</v>
      </c>
      <c r="U1489" s="20">
        <f t="shared" si="3058"/>
        <v>100</v>
      </c>
      <c r="V1489" s="20">
        <f t="shared" si="3058"/>
        <v>600</v>
      </c>
      <c r="W1489" s="20">
        <f t="shared" si="3058"/>
        <v>300</v>
      </c>
      <c r="X1489" s="20">
        <f t="shared" si="3058"/>
        <v>5</v>
      </c>
      <c r="Y1489" s="20">
        <v>0</v>
      </c>
      <c r="Z1489" s="22">
        <v>0</v>
      </c>
      <c r="AA1489" s="20">
        <f t="shared" si="3041"/>
        <v>150</v>
      </c>
      <c r="AB1489" s="20">
        <v>0</v>
      </c>
      <c r="AC1489" s="20">
        <v>0</v>
      </c>
      <c r="AD1489" s="23">
        <f t="shared" ref="AD1489:AE1489" si="3059">AD1459</f>
        <v>34</v>
      </c>
      <c r="AE1489" s="23">
        <f t="shared" si="3059"/>
        <v>38</v>
      </c>
    </row>
    <row r="1490" spans="1:31">
      <c r="A1490" s="8">
        <v>14104</v>
      </c>
      <c r="B1490" s="8">
        <v>19</v>
      </c>
      <c r="C1490" s="19" t="s">
        <v>74</v>
      </c>
      <c r="D1490" s="44">
        <v>0</v>
      </c>
      <c r="E1490" s="18">
        <v>0</v>
      </c>
      <c r="F1490" s="18">
        <f t="shared" si="3023"/>
        <v>1184</v>
      </c>
      <c r="G1490" s="18">
        <v>0</v>
      </c>
      <c r="H1490" s="45">
        <v>0</v>
      </c>
      <c r="I1490" s="21">
        <f t="shared" si="2956"/>
        <v>275</v>
      </c>
      <c r="J1490" s="21">
        <f t="shared" si="3045"/>
        <v>18</v>
      </c>
      <c r="K1490" s="21">
        <v>0</v>
      </c>
      <c r="L1490" s="20">
        <v>6</v>
      </c>
      <c r="M1490" s="20">
        <v>0</v>
      </c>
      <c r="N1490" s="20">
        <f t="shared" si="2957"/>
        <v>5700</v>
      </c>
      <c r="O1490" s="19" t="s">
        <v>74</v>
      </c>
      <c r="P1490" s="20">
        <v>1518</v>
      </c>
      <c r="Q1490" s="20">
        <f t="shared" ref="Q1490:X1490" si="3060">Q1460</f>
        <v>570</v>
      </c>
      <c r="R1490" s="20">
        <f t="shared" si="3060"/>
        <v>2280</v>
      </c>
      <c r="S1490" s="20">
        <f t="shared" si="3060"/>
        <v>3989.9999999999995</v>
      </c>
      <c r="T1490" s="20">
        <f t="shared" si="3060"/>
        <v>5130</v>
      </c>
      <c r="U1490" s="20">
        <f t="shared" si="3060"/>
        <v>100</v>
      </c>
      <c r="V1490" s="20">
        <f t="shared" si="3060"/>
        <v>500</v>
      </c>
      <c r="W1490" s="20">
        <f t="shared" si="3060"/>
        <v>400</v>
      </c>
      <c r="X1490" s="20">
        <f t="shared" si="3060"/>
        <v>5</v>
      </c>
      <c r="Y1490" s="20">
        <v>0</v>
      </c>
      <c r="Z1490" s="22">
        <v>0</v>
      </c>
      <c r="AA1490" s="20">
        <f t="shared" si="3041"/>
        <v>0</v>
      </c>
      <c r="AB1490" s="20">
        <v>0</v>
      </c>
      <c r="AC1490" s="20">
        <v>0</v>
      </c>
      <c r="AD1490" s="23">
        <f t="shared" ref="AD1490:AE1490" si="3061">AD1460</f>
        <v>36</v>
      </c>
      <c r="AE1490" s="23">
        <f t="shared" si="3061"/>
        <v>40</v>
      </c>
    </row>
    <row r="1491" spans="1:31">
      <c r="A1491" s="4">
        <v>14104</v>
      </c>
      <c r="B1491" s="4">
        <v>20</v>
      </c>
      <c r="C1491" s="19" t="s">
        <v>75</v>
      </c>
      <c r="D1491" s="44">
        <v>0</v>
      </c>
      <c r="E1491" s="18">
        <v>0</v>
      </c>
      <c r="F1491" s="18">
        <f t="shared" si="3023"/>
        <v>1283</v>
      </c>
      <c r="G1491" s="18">
        <v>0</v>
      </c>
      <c r="H1491" s="45">
        <v>0</v>
      </c>
      <c r="I1491" s="21">
        <f t="shared" si="2956"/>
        <v>275</v>
      </c>
      <c r="J1491" s="21">
        <f t="shared" si="3045"/>
        <v>19</v>
      </c>
      <c r="K1491" s="21">
        <v>0</v>
      </c>
      <c r="L1491" s="20">
        <v>6</v>
      </c>
      <c r="M1491" s="20">
        <v>0</v>
      </c>
      <c r="N1491" s="20">
        <f t="shared" si="2957"/>
        <v>8000</v>
      </c>
      <c r="O1491" s="19" t="s">
        <v>75</v>
      </c>
      <c r="P1491" s="20">
        <v>861</v>
      </c>
      <c r="Q1491" s="20">
        <f t="shared" ref="Q1491:X1491" si="3062">Q1461</f>
        <v>800</v>
      </c>
      <c r="R1491" s="20">
        <f t="shared" si="3062"/>
        <v>3200</v>
      </c>
      <c r="S1491" s="20">
        <f t="shared" si="3062"/>
        <v>5600</v>
      </c>
      <c r="T1491" s="20">
        <f t="shared" si="3062"/>
        <v>7200</v>
      </c>
      <c r="U1491" s="20">
        <f t="shared" si="3062"/>
        <v>100</v>
      </c>
      <c r="V1491" s="20">
        <f t="shared" si="3062"/>
        <v>800</v>
      </c>
      <c r="W1491" s="20">
        <f t="shared" si="3062"/>
        <v>8000</v>
      </c>
      <c r="X1491" s="20">
        <f t="shared" si="3062"/>
        <v>5</v>
      </c>
      <c r="Y1491" s="20">
        <v>0</v>
      </c>
      <c r="Z1491" s="22">
        <v>0</v>
      </c>
      <c r="AA1491" s="20">
        <f t="shared" si="3041"/>
        <v>0</v>
      </c>
      <c r="AB1491" s="20">
        <v>0</v>
      </c>
      <c r="AC1491" s="20">
        <v>0</v>
      </c>
      <c r="AD1491" s="23">
        <f t="shared" ref="AD1491:AE1491" si="3063">AD1461</f>
        <v>38</v>
      </c>
      <c r="AE1491" s="23">
        <f t="shared" si="3063"/>
        <v>42</v>
      </c>
    </row>
    <row r="1492" spans="1:31">
      <c r="A1492" s="4">
        <v>14104</v>
      </c>
      <c r="B1492" s="4">
        <v>21</v>
      </c>
      <c r="C1492" s="19" t="s">
        <v>66</v>
      </c>
      <c r="D1492" s="44">
        <v>0</v>
      </c>
      <c r="E1492" s="18">
        <v>0</v>
      </c>
      <c r="F1492" s="18">
        <f t="shared" si="3023"/>
        <v>1386</v>
      </c>
      <c r="G1492" s="18">
        <v>0</v>
      </c>
      <c r="H1492" s="45">
        <v>0</v>
      </c>
      <c r="I1492" s="21">
        <f t="shared" si="2956"/>
        <v>330</v>
      </c>
      <c r="J1492" s="21">
        <f t="shared" si="3045"/>
        <v>20</v>
      </c>
      <c r="K1492" s="21">
        <v>0</v>
      </c>
      <c r="L1492" s="20">
        <v>6</v>
      </c>
      <c r="M1492" s="20">
        <v>0</v>
      </c>
      <c r="N1492" s="20">
        <f t="shared" si="2957"/>
        <v>8400</v>
      </c>
      <c r="O1492" s="19" t="s">
        <v>66</v>
      </c>
      <c r="P1492" s="20">
        <v>9400</v>
      </c>
      <c r="Q1492" s="20">
        <f t="shared" ref="Q1492:X1492" si="3064">Q1462</f>
        <v>840</v>
      </c>
      <c r="R1492" s="20">
        <f t="shared" si="3064"/>
        <v>3360</v>
      </c>
      <c r="S1492" s="20">
        <f t="shared" si="3064"/>
        <v>5880</v>
      </c>
      <c r="T1492" s="20">
        <f t="shared" si="3064"/>
        <v>7560</v>
      </c>
      <c r="U1492" s="20">
        <f t="shared" si="3064"/>
        <v>50</v>
      </c>
      <c r="V1492" s="20">
        <f t="shared" si="3064"/>
        <v>1000</v>
      </c>
      <c r="W1492" s="20">
        <f t="shared" si="3064"/>
        <v>600</v>
      </c>
      <c r="X1492" s="20">
        <f t="shared" si="3064"/>
        <v>6</v>
      </c>
      <c r="Y1492" s="20">
        <v>0</v>
      </c>
      <c r="Z1492" s="22">
        <v>0</v>
      </c>
      <c r="AA1492" s="20">
        <f t="shared" si="3041"/>
        <v>0</v>
      </c>
      <c r="AB1492" s="20">
        <v>0</v>
      </c>
      <c r="AC1492" s="20">
        <v>0</v>
      </c>
      <c r="AD1492" s="23">
        <f t="shared" ref="AD1492:AE1492" si="3065">AD1462</f>
        <v>40</v>
      </c>
      <c r="AE1492" s="23">
        <f t="shared" si="3065"/>
        <v>44</v>
      </c>
    </row>
    <row r="1493" spans="1:31">
      <c r="A1493" s="4">
        <v>14104</v>
      </c>
      <c r="B1493" s="4">
        <v>22</v>
      </c>
      <c r="C1493" s="19" t="s">
        <v>67</v>
      </c>
      <c r="D1493" s="44">
        <v>0</v>
      </c>
      <c r="E1493" s="18">
        <v>0</v>
      </c>
      <c r="F1493" s="18">
        <f t="shared" si="3023"/>
        <v>1503</v>
      </c>
      <c r="G1493" s="18">
        <v>0</v>
      </c>
      <c r="H1493" s="45">
        <v>0</v>
      </c>
      <c r="I1493" s="21">
        <f t="shared" si="2956"/>
        <v>330</v>
      </c>
      <c r="J1493" s="21">
        <f t="shared" si="3045"/>
        <v>21</v>
      </c>
      <c r="K1493" s="21">
        <v>0</v>
      </c>
      <c r="L1493" s="20">
        <v>6</v>
      </c>
      <c r="M1493" s="20">
        <v>0</v>
      </c>
      <c r="N1493" s="20">
        <f t="shared" si="2957"/>
        <v>8800</v>
      </c>
      <c r="O1493" s="19" t="s">
        <v>67</v>
      </c>
      <c r="P1493" s="20">
        <v>9100</v>
      </c>
      <c r="Q1493" s="20">
        <f t="shared" ref="Q1493:X1493" si="3066">Q1463</f>
        <v>880</v>
      </c>
      <c r="R1493" s="20">
        <f t="shared" si="3066"/>
        <v>3520</v>
      </c>
      <c r="S1493" s="20">
        <f t="shared" si="3066"/>
        <v>6160</v>
      </c>
      <c r="T1493" s="20">
        <f t="shared" si="3066"/>
        <v>7920</v>
      </c>
      <c r="U1493" s="20">
        <f t="shared" si="3066"/>
        <v>100</v>
      </c>
      <c r="V1493" s="20">
        <f t="shared" si="3066"/>
        <v>600</v>
      </c>
      <c r="W1493" s="20">
        <f t="shared" si="3066"/>
        <v>700</v>
      </c>
      <c r="X1493" s="20">
        <f t="shared" si="3066"/>
        <v>6</v>
      </c>
      <c r="Y1493" s="20">
        <v>0</v>
      </c>
      <c r="Z1493" s="22">
        <v>0</v>
      </c>
      <c r="AA1493" s="20">
        <f t="shared" si="3041"/>
        <v>0</v>
      </c>
      <c r="AB1493" s="20">
        <v>0</v>
      </c>
      <c r="AC1493" s="20">
        <v>0</v>
      </c>
      <c r="AD1493" s="23">
        <f t="shared" ref="AD1493:AE1493" si="3067">AD1463</f>
        <v>42</v>
      </c>
      <c r="AE1493" s="23">
        <f t="shared" si="3067"/>
        <v>46</v>
      </c>
    </row>
    <row r="1494" spans="1:31">
      <c r="A1494" s="4">
        <v>14104</v>
      </c>
      <c r="B1494" s="4">
        <v>23</v>
      </c>
      <c r="C1494" s="19" t="s">
        <v>68</v>
      </c>
      <c r="D1494" s="44">
        <v>0</v>
      </c>
      <c r="E1494" s="18">
        <v>0</v>
      </c>
      <c r="F1494" s="18">
        <f t="shared" si="3023"/>
        <v>1625</v>
      </c>
      <c r="G1494" s="18">
        <v>0</v>
      </c>
      <c r="H1494" s="45">
        <v>0</v>
      </c>
      <c r="I1494" s="21">
        <f t="shared" si="2956"/>
        <v>330</v>
      </c>
      <c r="J1494" s="21">
        <f t="shared" si="3045"/>
        <v>22</v>
      </c>
      <c r="K1494" s="21">
        <v>0</v>
      </c>
      <c r="L1494" s="20">
        <v>6</v>
      </c>
      <c r="M1494" s="20">
        <v>0</v>
      </c>
      <c r="N1494" s="20">
        <f t="shared" si="2957"/>
        <v>9200</v>
      </c>
      <c r="O1494" s="19" t="s">
        <v>68</v>
      </c>
      <c r="P1494" s="20">
        <v>8600</v>
      </c>
      <c r="Q1494" s="20">
        <f t="shared" ref="Q1494:X1494" si="3068">Q1464</f>
        <v>920</v>
      </c>
      <c r="R1494" s="20">
        <f t="shared" si="3068"/>
        <v>3680</v>
      </c>
      <c r="S1494" s="20">
        <f t="shared" si="3068"/>
        <v>6440</v>
      </c>
      <c r="T1494" s="20">
        <f t="shared" si="3068"/>
        <v>8280</v>
      </c>
      <c r="U1494" s="20">
        <f t="shared" si="3068"/>
        <v>100</v>
      </c>
      <c r="V1494" s="20">
        <f t="shared" si="3068"/>
        <v>550</v>
      </c>
      <c r="W1494" s="20">
        <f t="shared" si="3068"/>
        <v>500</v>
      </c>
      <c r="X1494" s="20">
        <f t="shared" si="3068"/>
        <v>6</v>
      </c>
      <c r="Y1494" s="20">
        <v>0</v>
      </c>
      <c r="Z1494" s="22">
        <v>0</v>
      </c>
      <c r="AA1494" s="20">
        <f t="shared" si="3041"/>
        <v>201</v>
      </c>
      <c r="AB1494" s="20">
        <v>0</v>
      </c>
      <c r="AC1494" s="20">
        <v>0</v>
      </c>
      <c r="AD1494" s="23">
        <f t="shared" ref="AD1494:AE1494" si="3069">AD1464</f>
        <v>44</v>
      </c>
      <c r="AE1494" s="23">
        <f t="shared" si="3069"/>
        <v>48</v>
      </c>
    </row>
    <row r="1495" spans="1:31">
      <c r="A1495" s="4">
        <v>14104</v>
      </c>
      <c r="B1495" s="4">
        <v>24</v>
      </c>
      <c r="C1495" s="19" t="s">
        <v>69</v>
      </c>
      <c r="D1495" s="44">
        <v>0</v>
      </c>
      <c r="E1495" s="18">
        <v>0</v>
      </c>
      <c r="F1495" s="18">
        <f t="shared" si="3023"/>
        <v>1760</v>
      </c>
      <c r="G1495" s="18">
        <v>0</v>
      </c>
      <c r="H1495" s="45">
        <v>0</v>
      </c>
      <c r="I1495" s="21">
        <f t="shared" si="2956"/>
        <v>330</v>
      </c>
      <c r="J1495" s="21">
        <f t="shared" si="3045"/>
        <v>23</v>
      </c>
      <c r="K1495" s="21">
        <v>0</v>
      </c>
      <c r="L1495" s="20">
        <v>6</v>
      </c>
      <c r="M1495" s="20">
        <v>0</v>
      </c>
      <c r="N1495" s="20">
        <f t="shared" si="2957"/>
        <v>9600</v>
      </c>
      <c r="O1495" s="19" t="s">
        <v>69</v>
      </c>
      <c r="P1495" s="20">
        <v>6400</v>
      </c>
      <c r="Q1495" s="20">
        <f t="shared" ref="Q1495:X1495" si="3070">Q1465</f>
        <v>960</v>
      </c>
      <c r="R1495" s="20">
        <f t="shared" si="3070"/>
        <v>3840</v>
      </c>
      <c r="S1495" s="20">
        <f t="shared" si="3070"/>
        <v>6720</v>
      </c>
      <c r="T1495" s="20">
        <f t="shared" si="3070"/>
        <v>8640</v>
      </c>
      <c r="U1495" s="20">
        <f t="shared" si="3070"/>
        <v>100</v>
      </c>
      <c r="V1495" s="20">
        <f t="shared" si="3070"/>
        <v>500</v>
      </c>
      <c r="W1495" s="20">
        <f t="shared" si="3070"/>
        <v>900</v>
      </c>
      <c r="X1495" s="20">
        <f t="shared" si="3070"/>
        <v>6</v>
      </c>
      <c r="Y1495" s="20">
        <v>0</v>
      </c>
      <c r="Z1495" s="22">
        <v>0</v>
      </c>
      <c r="AA1495" s="20">
        <f t="shared" si="3041"/>
        <v>0</v>
      </c>
      <c r="AB1495" s="20">
        <v>0</v>
      </c>
      <c r="AC1495" s="20">
        <v>0</v>
      </c>
      <c r="AD1495" s="23">
        <f t="shared" ref="AD1495:AE1495" si="3071">AD1465</f>
        <v>46</v>
      </c>
      <c r="AE1495" s="23">
        <f t="shared" si="3071"/>
        <v>50</v>
      </c>
    </row>
    <row r="1496" spans="1:31">
      <c r="A1496" s="4">
        <v>14104</v>
      </c>
      <c r="B1496" s="4">
        <v>25</v>
      </c>
      <c r="C1496" s="19" t="s">
        <v>70</v>
      </c>
      <c r="D1496" s="44">
        <v>0</v>
      </c>
      <c r="E1496" s="18">
        <v>0</v>
      </c>
      <c r="F1496" s="18">
        <f t="shared" si="3023"/>
        <v>1908</v>
      </c>
      <c r="G1496" s="18">
        <v>0</v>
      </c>
      <c r="H1496" s="45">
        <v>0</v>
      </c>
      <c r="I1496" s="21">
        <f t="shared" si="2956"/>
        <v>385</v>
      </c>
      <c r="J1496" s="21">
        <f t="shared" si="3045"/>
        <v>24</v>
      </c>
      <c r="K1496" s="21">
        <v>0</v>
      </c>
      <c r="L1496" s="20">
        <v>6</v>
      </c>
      <c r="M1496" s="20">
        <v>0</v>
      </c>
      <c r="N1496" s="20">
        <f t="shared" si="2957"/>
        <v>12500</v>
      </c>
      <c r="O1496" s="19" t="s">
        <v>70</v>
      </c>
      <c r="P1496" s="20">
        <v>3100</v>
      </c>
      <c r="Q1496" s="20">
        <f t="shared" ref="Q1496:X1496" si="3072">Q1466</f>
        <v>1250</v>
      </c>
      <c r="R1496" s="20">
        <f t="shared" si="3072"/>
        <v>5000</v>
      </c>
      <c r="S1496" s="20">
        <f t="shared" si="3072"/>
        <v>8750</v>
      </c>
      <c r="T1496" s="20">
        <f t="shared" si="3072"/>
        <v>11250</v>
      </c>
      <c r="U1496" s="20">
        <f t="shared" si="3072"/>
        <v>10</v>
      </c>
      <c r="V1496" s="20">
        <f t="shared" si="3072"/>
        <v>1300</v>
      </c>
      <c r="W1496" s="20">
        <f t="shared" si="3072"/>
        <v>1000</v>
      </c>
      <c r="X1496" s="20">
        <f t="shared" si="3072"/>
        <v>7</v>
      </c>
      <c r="Y1496" s="20">
        <v>0</v>
      </c>
      <c r="Z1496" s="22">
        <v>0</v>
      </c>
      <c r="AA1496" s="20">
        <f t="shared" si="3041"/>
        <v>0</v>
      </c>
      <c r="AB1496" s="20">
        <v>0</v>
      </c>
      <c r="AC1496" s="20">
        <v>0</v>
      </c>
      <c r="AD1496" s="23">
        <f t="shared" ref="AD1496:AE1496" si="3073">AD1466</f>
        <v>48</v>
      </c>
      <c r="AE1496" s="23">
        <f t="shared" si="3073"/>
        <v>52</v>
      </c>
    </row>
    <row r="1497" spans="1:31">
      <c r="A1497" s="4">
        <v>14104</v>
      </c>
      <c r="B1497" s="4">
        <v>26</v>
      </c>
      <c r="C1497" s="19" t="s">
        <v>71</v>
      </c>
      <c r="D1497" s="44">
        <v>0</v>
      </c>
      <c r="E1497" s="18">
        <v>0</v>
      </c>
      <c r="F1497" s="18">
        <f t="shared" si="3023"/>
        <v>2066</v>
      </c>
      <c r="G1497" s="18">
        <v>0</v>
      </c>
      <c r="H1497" s="45">
        <v>0</v>
      </c>
      <c r="I1497" s="21">
        <f t="shared" si="2956"/>
        <v>385</v>
      </c>
      <c r="J1497" s="21">
        <f t="shared" si="3045"/>
        <v>25</v>
      </c>
      <c r="K1497" s="21">
        <v>0</v>
      </c>
      <c r="L1497" s="20">
        <v>6</v>
      </c>
      <c r="M1497" s="20">
        <v>0</v>
      </c>
      <c r="N1497" s="20">
        <f t="shared" si="2957"/>
        <v>13000</v>
      </c>
      <c r="O1497" s="19" t="s">
        <v>71</v>
      </c>
      <c r="P1497" s="20">
        <v>1777</v>
      </c>
      <c r="Q1497" s="20">
        <f t="shared" ref="Q1497:X1497" si="3074">Q1467</f>
        <v>1300</v>
      </c>
      <c r="R1497" s="20">
        <f t="shared" si="3074"/>
        <v>5200</v>
      </c>
      <c r="S1497" s="20">
        <f t="shared" si="3074"/>
        <v>9100</v>
      </c>
      <c r="T1497" s="20">
        <f t="shared" si="3074"/>
        <v>11700</v>
      </c>
      <c r="U1497" s="20">
        <f t="shared" si="3074"/>
        <v>90</v>
      </c>
      <c r="V1497" s="20">
        <f t="shared" si="3074"/>
        <v>800</v>
      </c>
      <c r="W1497" s="20">
        <f t="shared" si="3074"/>
        <v>2000</v>
      </c>
      <c r="X1497" s="20">
        <f t="shared" si="3074"/>
        <v>7</v>
      </c>
      <c r="Y1497" s="20">
        <v>0</v>
      </c>
      <c r="Z1497" s="22">
        <v>0</v>
      </c>
      <c r="AA1497" s="20">
        <f t="shared" si="3041"/>
        <v>0</v>
      </c>
      <c r="AB1497" s="20">
        <v>0</v>
      </c>
      <c r="AC1497" s="20">
        <v>0</v>
      </c>
      <c r="AD1497" s="23">
        <f t="shared" ref="AD1497:AE1497" si="3075">AD1467</f>
        <v>50</v>
      </c>
      <c r="AE1497" s="23">
        <f t="shared" si="3075"/>
        <v>54</v>
      </c>
    </row>
    <row r="1498" spans="1:31">
      <c r="A1498" s="4">
        <v>14104</v>
      </c>
      <c r="B1498" s="4">
        <v>27</v>
      </c>
      <c r="C1498" s="19" t="s">
        <v>72</v>
      </c>
      <c r="D1498" s="44">
        <v>0</v>
      </c>
      <c r="E1498" s="18">
        <v>0</v>
      </c>
      <c r="F1498" s="18">
        <f t="shared" si="3023"/>
        <v>2232</v>
      </c>
      <c r="G1498" s="18">
        <v>0</v>
      </c>
      <c r="H1498" s="45">
        <v>0</v>
      </c>
      <c r="I1498" s="21">
        <f t="shared" si="2956"/>
        <v>385</v>
      </c>
      <c r="J1498" s="21">
        <f t="shared" si="3045"/>
        <v>26</v>
      </c>
      <c r="K1498" s="21">
        <v>0</v>
      </c>
      <c r="L1498" s="20">
        <v>6</v>
      </c>
      <c r="M1498" s="20">
        <v>0</v>
      </c>
      <c r="N1498" s="20">
        <f t="shared" si="2957"/>
        <v>13500</v>
      </c>
      <c r="O1498" s="19" t="s">
        <v>72</v>
      </c>
      <c r="P1498" s="20">
        <v>2332</v>
      </c>
      <c r="Q1498" s="20">
        <f t="shared" ref="Q1498:X1498" si="3076">Q1468</f>
        <v>1350</v>
      </c>
      <c r="R1498" s="20">
        <f t="shared" si="3076"/>
        <v>5400</v>
      </c>
      <c r="S1498" s="20">
        <f t="shared" si="3076"/>
        <v>9450</v>
      </c>
      <c r="T1498" s="20">
        <f t="shared" si="3076"/>
        <v>12150</v>
      </c>
      <c r="U1498" s="20">
        <f t="shared" si="3076"/>
        <v>80</v>
      </c>
      <c r="V1498" s="20">
        <f t="shared" si="3076"/>
        <v>700</v>
      </c>
      <c r="W1498" s="20">
        <f t="shared" si="3076"/>
        <v>800</v>
      </c>
      <c r="X1498" s="20">
        <f t="shared" si="3076"/>
        <v>7</v>
      </c>
      <c r="Y1498" s="20">
        <v>0</v>
      </c>
      <c r="Z1498" s="22">
        <v>0</v>
      </c>
      <c r="AA1498" s="20">
        <f t="shared" si="3041"/>
        <v>0</v>
      </c>
      <c r="AB1498" s="20">
        <v>0</v>
      </c>
      <c r="AC1498" s="20">
        <v>0</v>
      </c>
      <c r="AD1498" s="23">
        <f t="shared" ref="AD1498:AE1498" si="3077">AD1468</f>
        <v>52</v>
      </c>
      <c r="AE1498" s="23">
        <f t="shared" si="3077"/>
        <v>56</v>
      </c>
    </row>
    <row r="1499" spans="1:31">
      <c r="A1499" s="4">
        <v>14104</v>
      </c>
      <c r="B1499" s="4">
        <v>28</v>
      </c>
      <c r="C1499" s="19" t="s">
        <v>73</v>
      </c>
      <c r="D1499" s="44">
        <v>0</v>
      </c>
      <c r="E1499" s="18">
        <v>0</v>
      </c>
      <c r="F1499" s="18">
        <f t="shared" si="3023"/>
        <v>2417</v>
      </c>
      <c r="G1499" s="18">
        <v>0</v>
      </c>
      <c r="H1499" s="45">
        <v>0</v>
      </c>
      <c r="I1499" s="21">
        <f t="shared" si="2956"/>
        <v>385</v>
      </c>
      <c r="J1499" s="21">
        <f t="shared" si="3045"/>
        <v>27</v>
      </c>
      <c r="K1499" s="21">
        <v>0</v>
      </c>
      <c r="L1499" s="20">
        <v>6</v>
      </c>
      <c r="M1499" s="20">
        <v>0</v>
      </c>
      <c r="N1499" s="20">
        <f t="shared" si="2957"/>
        <v>14000</v>
      </c>
      <c r="O1499" s="19" t="s">
        <v>73</v>
      </c>
      <c r="P1499" s="20">
        <v>1487</v>
      </c>
      <c r="Q1499" s="20">
        <f t="shared" ref="Q1499:X1499" si="3078">Q1469</f>
        <v>1400</v>
      </c>
      <c r="R1499" s="20">
        <f t="shared" si="3078"/>
        <v>5600</v>
      </c>
      <c r="S1499" s="20">
        <f t="shared" si="3078"/>
        <v>9800</v>
      </c>
      <c r="T1499" s="20">
        <f t="shared" si="3078"/>
        <v>12600</v>
      </c>
      <c r="U1499" s="20">
        <f t="shared" si="3078"/>
        <v>80</v>
      </c>
      <c r="V1499" s="20">
        <f t="shared" si="3078"/>
        <v>500</v>
      </c>
      <c r="W1499" s="20">
        <f t="shared" si="3078"/>
        <v>600</v>
      </c>
      <c r="X1499" s="20">
        <f t="shared" si="3078"/>
        <v>7</v>
      </c>
      <c r="Y1499" s="20">
        <v>0</v>
      </c>
      <c r="Z1499" s="22">
        <v>0</v>
      </c>
      <c r="AA1499" s="20">
        <f t="shared" si="3041"/>
        <v>252</v>
      </c>
      <c r="AB1499" s="20">
        <v>0</v>
      </c>
      <c r="AC1499" s="20">
        <v>0</v>
      </c>
      <c r="AD1499" s="23">
        <f t="shared" ref="AD1499:AE1499" si="3079">AD1469</f>
        <v>54</v>
      </c>
      <c r="AE1499" s="23">
        <f t="shared" si="3079"/>
        <v>58</v>
      </c>
    </row>
    <row r="1500" spans="1:31">
      <c r="A1500" s="4">
        <v>14104</v>
      </c>
      <c r="B1500" s="4">
        <v>29</v>
      </c>
      <c r="C1500" s="19" t="s">
        <v>74</v>
      </c>
      <c r="D1500" s="44">
        <v>0</v>
      </c>
      <c r="E1500" s="18">
        <v>0</v>
      </c>
      <c r="F1500" s="18">
        <f t="shared" si="3023"/>
        <v>2619</v>
      </c>
      <c r="G1500" s="18">
        <v>0</v>
      </c>
      <c r="H1500" s="45">
        <v>0</v>
      </c>
      <c r="I1500" s="21">
        <f t="shared" si="2956"/>
        <v>440</v>
      </c>
      <c r="J1500" s="21">
        <f t="shared" si="3045"/>
        <v>28</v>
      </c>
      <c r="K1500" s="21">
        <v>0</v>
      </c>
      <c r="L1500" s="20">
        <v>6</v>
      </c>
      <c r="M1500" s="20">
        <v>0</v>
      </c>
      <c r="N1500" s="20">
        <f t="shared" si="2957"/>
        <v>14500</v>
      </c>
      <c r="O1500" s="19" t="s">
        <v>74</v>
      </c>
      <c r="P1500" s="20">
        <v>1518</v>
      </c>
      <c r="Q1500" s="20">
        <f t="shared" ref="Q1500:X1500" si="3080">Q1470</f>
        <v>1450</v>
      </c>
      <c r="R1500" s="20">
        <f t="shared" si="3080"/>
        <v>5800</v>
      </c>
      <c r="S1500" s="20">
        <f t="shared" si="3080"/>
        <v>10150</v>
      </c>
      <c r="T1500" s="20">
        <f t="shared" si="3080"/>
        <v>13050</v>
      </c>
      <c r="U1500" s="20">
        <f t="shared" si="3080"/>
        <v>80</v>
      </c>
      <c r="V1500" s="20">
        <f t="shared" si="3080"/>
        <v>600</v>
      </c>
      <c r="W1500" s="20">
        <f t="shared" si="3080"/>
        <v>700</v>
      </c>
      <c r="X1500" s="20">
        <f t="shared" si="3080"/>
        <v>8</v>
      </c>
      <c r="Y1500" s="20">
        <v>0</v>
      </c>
      <c r="Z1500" s="22">
        <v>0</v>
      </c>
      <c r="AA1500" s="20">
        <f t="shared" si="3041"/>
        <v>0</v>
      </c>
      <c r="AB1500" s="20">
        <v>0</v>
      </c>
      <c r="AC1500" s="20">
        <v>0</v>
      </c>
      <c r="AD1500" s="23">
        <f t="shared" ref="AD1500:AE1500" si="3081">AD1470</f>
        <v>56</v>
      </c>
      <c r="AE1500" s="23">
        <f t="shared" si="3081"/>
        <v>60</v>
      </c>
    </row>
    <row r="1501" spans="1:31">
      <c r="A1501" s="4">
        <v>14104</v>
      </c>
      <c r="B1501" s="4">
        <v>30</v>
      </c>
      <c r="C1501" s="19" t="s">
        <v>75</v>
      </c>
      <c r="D1501" s="44">
        <v>0</v>
      </c>
      <c r="E1501" s="18">
        <v>0</v>
      </c>
      <c r="F1501" s="18">
        <f t="shared" si="3023"/>
        <v>2835</v>
      </c>
      <c r="G1501" s="18">
        <v>0</v>
      </c>
      <c r="H1501" s="45">
        <v>0</v>
      </c>
      <c r="I1501" s="21">
        <f t="shared" si="2956"/>
        <v>440</v>
      </c>
      <c r="J1501" s="21">
        <f t="shared" si="3045"/>
        <v>29</v>
      </c>
      <c r="K1501" s="21">
        <v>0</v>
      </c>
      <c r="L1501" s="20">
        <v>6</v>
      </c>
      <c r="M1501" s="20">
        <v>0</v>
      </c>
      <c r="N1501" s="20">
        <f t="shared" si="2957"/>
        <v>15000</v>
      </c>
      <c r="O1501" s="19" t="s">
        <v>75</v>
      </c>
      <c r="P1501" s="20">
        <v>861</v>
      </c>
      <c r="Q1501" s="20">
        <f t="shared" ref="Q1501:X1501" si="3082">Q1471</f>
        <v>1500</v>
      </c>
      <c r="R1501" s="20">
        <f t="shared" si="3082"/>
        <v>6000</v>
      </c>
      <c r="S1501" s="20">
        <f t="shared" si="3082"/>
        <v>10500</v>
      </c>
      <c r="T1501" s="20">
        <f t="shared" si="3082"/>
        <v>13500</v>
      </c>
      <c r="U1501" s="20">
        <f t="shared" si="3082"/>
        <v>20</v>
      </c>
      <c r="V1501" s="20">
        <f t="shared" si="3082"/>
        <v>450</v>
      </c>
      <c r="W1501" s="20">
        <f t="shared" si="3082"/>
        <v>1000</v>
      </c>
      <c r="X1501" s="20">
        <f t="shared" si="3082"/>
        <v>8</v>
      </c>
      <c r="Y1501" s="20">
        <v>0</v>
      </c>
      <c r="Z1501" s="22">
        <v>0</v>
      </c>
      <c r="AA1501" s="20">
        <f t="shared" si="3041"/>
        <v>0</v>
      </c>
      <c r="AB1501" s="20">
        <v>0</v>
      </c>
      <c r="AC1501" s="20">
        <v>0</v>
      </c>
      <c r="AD1501" s="23">
        <f t="shared" ref="AD1501:AE1501" si="3083">AD1471</f>
        <v>58</v>
      </c>
      <c r="AE1501" s="23">
        <f t="shared" si="3083"/>
        <v>62</v>
      </c>
    </row>
    <row r="1502" spans="1:31" s="10" customFormat="1">
      <c r="A1502" s="31">
        <v>14200</v>
      </c>
      <c r="B1502" s="31">
        <v>1</v>
      </c>
      <c r="C1502" s="19" t="s">
        <v>66</v>
      </c>
      <c r="D1502" s="44">
        <v>0</v>
      </c>
      <c r="E1502" s="18">
        <v>0</v>
      </c>
      <c r="F1502" s="18">
        <f>F1352</f>
        <v>63</v>
      </c>
      <c r="G1502" s="18">
        <v>0</v>
      </c>
      <c r="H1502" s="45">
        <v>0</v>
      </c>
      <c r="I1502" s="21">
        <f t="shared" si="2956"/>
        <v>55</v>
      </c>
      <c r="J1502" s="21">
        <f t="shared" si="3045"/>
        <v>0</v>
      </c>
      <c r="K1502" s="21">
        <v>0</v>
      </c>
      <c r="L1502" s="20">
        <v>45</v>
      </c>
      <c r="M1502" s="20">
        <v>0</v>
      </c>
      <c r="N1502" s="20">
        <f t="shared" si="2957"/>
        <v>10</v>
      </c>
      <c r="O1502" s="19" t="s">
        <v>66</v>
      </c>
      <c r="P1502" s="20">
        <v>9400</v>
      </c>
      <c r="Q1502" s="20">
        <f t="shared" ref="Q1502:X1502" si="3084">Q1472</f>
        <v>1</v>
      </c>
      <c r="R1502" s="20">
        <f t="shared" si="3084"/>
        <v>4</v>
      </c>
      <c r="S1502" s="20">
        <f t="shared" si="3084"/>
        <v>7</v>
      </c>
      <c r="T1502" s="20">
        <f t="shared" si="3084"/>
        <v>9</v>
      </c>
      <c r="U1502" s="20">
        <f t="shared" si="3084"/>
        <v>9400</v>
      </c>
      <c r="V1502" s="20">
        <f t="shared" si="3084"/>
        <v>9400</v>
      </c>
      <c r="W1502" s="20">
        <f t="shared" si="3084"/>
        <v>9400</v>
      </c>
      <c r="X1502" s="20">
        <f t="shared" si="3084"/>
        <v>1</v>
      </c>
      <c r="Y1502" s="20">
        <v>0</v>
      </c>
      <c r="Z1502" s="22">
        <v>0</v>
      </c>
      <c r="AA1502" s="20">
        <f>AA1352</f>
        <v>0</v>
      </c>
      <c r="AB1502" s="20">
        <v>0</v>
      </c>
      <c r="AC1502" s="20">
        <v>0</v>
      </c>
      <c r="AD1502" s="23">
        <f t="shared" ref="AD1502:AE1502" si="3085">AD1472</f>
        <v>1</v>
      </c>
      <c r="AE1502" s="23">
        <f t="shared" si="3085"/>
        <v>3</v>
      </c>
    </row>
    <row r="1503" spans="1:31" s="10" customFormat="1">
      <c r="A1503" s="10">
        <v>14200</v>
      </c>
      <c r="B1503" s="10">
        <v>2</v>
      </c>
      <c r="C1503" s="19" t="s">
        <v>67</v>
      </c>
      <c r="D1503" s="44">
        <v>0</v>
      </c>
      <c r="E1503" s="18">
        <v>0</v>
      </c>
      <c r="F1503" s="18">
        <f t="shared" ref="F1503:F1566" si="3086">F1353</f>
        <v>68</v>
      </c>
      <c r="G1503" s="18">
        <v>0</v>
      </c>
      <c r="H1503" s="45">
        <v>0</v>
      </c>
      <c r="I1503" s="21">
        <f t="shared" si="2956"/>
        <v>55</v>
      </c>
      <c r="J1503" s="21">
        <f t="shared" si="3045"/>
        <v>1</v>
      </c>
      <c r="K1503" s="21">
        <v>0</v>
      </c>
      <c r="L1503" s="20">
        <v>40</v>
      </c>
      <c r="M1503" s="20">
        <v>0</v>
      </c>
      <c r="N1503" s="20">
        <f t="shared" si="2957"/>
        <v>20</v>
      </c>
      <c r="O1503" s="19" t="s">
        <v>67</v>
      </c>
      <c r="P1503" s="20">
        <v>9100</v>
      </c>
      <c r="Q1503" s="20">
        <f t="shared" ref="Q1503:X1503" si="3087">Q1473</f>
        <v>2</v>
      </c>
      <c r="R1503" s="20">
        <f t="shared" si="3087"/>
        <v>8</v>
      </c>
      <c r="S1503" s="20">
        <f t="shared" si="3087"/>
        <v>14</v>
      </c>
      <c r="T1503" s="20">
        <f t="shared" si="3087"/>
        <v>18</v>
      </c>
      <c r="U1503" s="20">
        <f t="shared" si="3087"/>
        <v>4000</v>
      </c>
      <c r="V1503" s="20">
        <f t="shared" si="3087"/>
        <v>8000</v>
      </c>
      <c r="W1503" s="20">
        <f t="shared" si="3087"/>
        <v>8000</v>
      </c>
      <c r="X1503" s="20">
        <f t="shared" si="3087"/>
        <v>1</v>
      </c>
      <c r="Y1503" s="20">
        <v>0</v>
      </c>
      <c r="Z1503" s="22">
        <v>0</v>
      </c>
      <c r="AA1503" s="20">
        <f t="shared" ref="AA1503:AA1566" si="3088">AA1353</f>
        <v>0</v>
      </c>
      <c r="AB1503" s="20">
        <v>0</v>
      </c>
      <c r="AC1503" s="20">
        <v>0</v>
      </c>
      <c r="AD1503" s="23">
        <f t="shared" ref="AD1503:AE1503" si="3089">AD1473</f>
        <v>2</v>
      </c>
      <c r="AE1503" s="23">
        <f t="shared" si="3089"/>
        <v>5</v>
      </c>
    </row>
    <row r="1504" spans="1:31" s="10" customFormat="1">
      <c r="A1504" s="10">
        <v>14200</v>
      </c>
      <c r="B1504" s="10">
        <v>3</v>
      </c>
      <c r="C1504" s="19" t="s">
        <v>68</v>
      </c>
      <c r="D1504" s="44">
        <v>0</v>
      </c>
      <c r="E1504" s="18">
        <v>0</v>
      </c>
      <c r="F1504" s="18">
        <f t="shared" si="3086"/>
        <v>74</v>
      </c>
      <c r="G1504" s="18">
        <v>0</v>
      </c>
      <c r="H1504" s="45">
        <v>0</v>
      </c>
      <c r="I1504" s="21">
        <f t="shared" si="2956"/>
        <v>55</v>
      </c>
      <c r="J1504" s="21">
        <f t="shared" si="3045"/>
        <v>2</v>
      </c>
      <c r="K1504" s="21">
        <v>0</v>
      </c>
      <c r="L1504" s="20">
        <v>35</v>
      </c>
      <c r="M1504" s="20">
        <v>0</v>
      </c>
      <c r="N1504" s="20">
        <f t="shared" si="2957"/>
        <v>40</v>
      </c>
      <c r="O1504" s="19" t="s">
        <v>68</v>
      </c>
      <c r="P1504" s="20">
        <v>8600</v>
      </c>
      <c r="Q1504" s="20">
        <f t="shared" ref="Q1504:X1504" si="3090">Q1474</f>
        <v>4</v>
      </c>
      <c r="R1504" s="20">
        <f t="shared" si="3090"/>
        <v>16</v>
      </c>
      <c r="S1504" s="20">
        <f t="shared" si="3090"/>
        <v>28</v>
      </c>
      <c r="T1504" s="20">
        <f t="shared" si="3090"/>
        <v>36</v>
      </c>
      <c r="U1504" s="20">
        <f t="shared" si="3090"/>
        <v>1600</v>
      </c>
      <c r="V1504" s="20">
        <f t="shared" si="3090"/>
        <v>5000</v>
      </c>
      <c r="W1504" s="20">
        <f t="shared" si="3090"/>
        <v>6000</v>
      </c>
      <c r="X1504" s="20">
        <f t="shared" si="3090"/>
        <v>1</v>
      </c>
      <c r="Y1504" s="20">
        <v>0</v>
      </c>
      <c r="Z1504" s="22">
        <v>0</v>
      </c>
      <c r="AA1504" s="20">
        <f t="shared" si="3088"/>
        <v>0</v>
      </c>
      <c r="AB1504" s="20">
        <v>0</v>
      </c>
      <c r="AC1504" s="20">
        <v>0</v>
      </c>
      <c r="AD1504" s="23">
        <f t="shared" ref="AD1504:AE1504" si="3091">AD1474</f>
        <v>4</v>
      </c>
      <c r="AE1504" s="23">
        <f t="shared" si="3091"/>
        <v>8</v>
      </c>
    </row>
    <row r="1505" spans="1:31" s="10" customFormat="1">
      <c r="A1505" s="10">
        <v>14200</v>
      </c>
      <c r="B1505" s="10">
        <v>4</v>
      </c>
      <c r="C1505" s="19" t="s">
        <v>69</v>
      </c>
      <c r="D1505" s="44">
        <v>0</v>
      </c>
      <c r="E1505" s="18">
        <v>0</v>
      </c>
      <c r="F1505" s="18">
        <f t="shared" si="3086"/>
        <v>80</v>
      </c>
      <c r="G1505" s="18">
        <v>0</v>
      </c>
      <c r="H1505" s="45">
        <v>0</v>
      </c>
      <c r="I1505" s="21">
        <f t="shared" ref="I1505:I1568" si="3092">I1475</f>
        <v>55</v>
      </c>
      <c r="J1505" s="21">
        <f t="shared" si="3045"/>
        <v>3</v>
      </c>
      <c r="K1505" s="21">
        <v>0</v>
      </c>
      <c r="L1505" s="20">
        <v>30</v>
      </c>
      <c r="M1505" s="20">
        <v>0</v>
      </c>
      <c r="N1505" s="20">
        <f t="shared" ref="N1505:N1568" si="3093">N1475</f>
        <v>100</v>
      </c>
      <c r="O1505" s="19" t="s">
        <v>69</v>
      </c>
      <c r="P1505" s="20">
        <v>6400</v>
      </c>
      <c r="Q1505" s="20">
        <f t="shared" ref="Q1505:X1505" si="3094">Q1475</f>
        <v>10</v>
      </c>
      <c r="R1505" s="20">
        <f t="shared" si="3094"/>
        <v>40</v>
      </c>
      <c r="S1505" s="20">
        <f t="shared" si="3094"/>
        <v>70</v>
      </c>
      <c r="T1505" s="20">
        <f t="shared" si="3094"/>
        <v>90</v>
      </c>
      <c r="U1505" s="20">
        <f t="shared" si="3094"/>
        <v>900</v>
      </c>
      <c r="V1505" s="20">
        <f t="shared" si="3094"/>
        <v>2000</v>
      </c>
      <c r="W1505" s="20">
        <f t="shared" si="3094"/>
        <v>8000</v>
      </c>
      <c r="X1505" s="20">
        <f t="shared" si="3094"/>
        <v>1</v>
      </c>
      <c r="Y1505" s="20">
        <v>0</v>
      </c>
      <c r="Z1505" s="22">
        <v>0</v>
      </c>
      <c r="AA1505" s="20">
        <f t="shared" si="3088"/>
        <v>0</v>
      </c>
      <c r="AB1505" s="20">
        <v>0</v>
      </c>
      <c r="AC1505" s="20">
        <v>0</v>
      </c>
      <c r="AD1505" s="23">
        <f t="shared" ref="AD1505:AE1505" si="3095">AD1475</f>
        <v>6</v>
      </c>
      <c r="AE1505" s="23">
        <f t="shared" si="3095"/>
        <v>10</v>
      </c>
    </row>
    <row r="1506" spans="1:31" s="10" customFormat="1">
      <c r="A1506" s="10">
        <v>14200</v>
      </c>
      <c r="B1506" s="10">
        <v>5</v>
      </c>
      <c r="C1506" s="19" t="s">
        <v>70</v>
      </c>
      <c r="D1506" s="44">
        <v>0</v>
      </c>
      <c r="E1506" s="18">
        <v>0</v>
      </c>
      <c r="F1506" s="18">
        <f t="shared" si="3086"/>
        <v>87</v>
      </c>
      <c r="G1506" s="18">
        <v>0</v>
      </c>
      <c r="H1506" s="45">
        <v>0</v>
      </c>
      <c r="I1506" s="21">
        <f t="shared" si="3092"/>
        <v>110</v>
      </c>
      <c r="J1506" s="21">
        <f t="shared" si="3045"/>
        <v>4</v>
      </c>
      <c r="K1506" s="21">
        <v>0</v>
      </c>
      <c r="L1506" s="20">
        <v>25</v>
      </c>
      <c r="M1506" s="20">
        <v>0</v>
      </c>
      <c r="N1506" s="20">
        <f t="shared" si="3093"/>
        <v>200</v>
      </c>
      <c r="O1506" s="19" t="s">
        <v>70</v>
      </c>
      <c r="P1506" s="20">
        <v>3100</v>
      </c>
      <c r="Q1506" s="20">
        <f t="shared" ref="Q1506:X1506" si="3096">Q1476</f>
        <v>20</v>
      </c>
      <c r="R1506" s="20">
        <f t="shared" si="3096"/>
        <v>80</v>
      </c>
      <c r="S1506" s="20">
        <f t="shared" si="3096"/>
        <v>140</v>
      </c>
      <c r="T1506" s="20">
        <f t="shared" si="3096"/>
        <v>180</v>
      </c>
      <c r="U1506" s="20">
        <f t="shared" si="3096"/>
        <v>1000</v>
      </c>
      <c r="V1506" s="20">
        <f t="shared" si="3096"/>
        <v>2000</v>
      </c>
      <c r="W1506" s="20">
        <f t="shared" si="3096"/>
        <v>2000</v>
      </c>
      <c r="X1506" s="20">
        <f t="shared" si="3096"/>
        <v>2</v>
      </c>
      <c r="Y1506" s="20">
        <v>0</v>
      </c>
      <c r="Z1506" s="22">
        <v>0</v>
      </c>
      <c r="AA1506" s="20">
        <f t="shared" si="3088"/>
        <v>0</v>
      </c>
      <c r="AB1506" s="20">
        <v>0</v>
      </c>
      <c r="AC1506" s="20">
        <v>0</v>
      </c>
      <c r="AD1506" s="23">
        <f t="shared" ref="AD1506:AE1506" si="3097">AD1476</f>
        <v>8</v>
      </c>
      <c r="AE1506" s="23">
        <f t="shared" si="3097"/>
        <v>12</v>
      </c>
    </row>
    <row r="1507" spans="1:31" s="10" customFormat="1">
      <c r="A1507" s="10">
        <v>14200</v>
      </c>
      <c r="B1507" s="10">
        <v>6</v>
      </c>
      <c r="C1507" s="19" t="s">
        <v>71</v>
      </c>
      <c r="D1507" s="44">
        <v>0</v>
      </c>
      <c r="E1507" s="18">
        <v>0</v>
      </c>
      <c r="F1507" s="18">
        <f t="shared" si="3086"/>
        <v>94</v>
      </c>
      <c r="G1507" s="18">
        <v>0</v>
      </c>
      <c r="H1507" s="45">
        <v>0</v>
      </c>
      <c r="I1507" s="21">
        <f t="shared" si="3092"/>
        <v>110</v>
      </c>
      <c r="J1507" s="21">
        <f t="shared" si="3045"/>
        <v>5</v>
      </c>
      <c r="K1507" s="21">
        <v>0</v>
      </c>
      <c r="L1507" s="20">
        <v>20</v>
      </c>
      <c r="M1507" s="20">
        <v>0</v>
      </c>
      <c r="N1507" s="20">
        <f t="shared" si="3093"/>
        <v>500</v>
      </c>
      <c r="O1507" s="19" t="s">
        <v>71</v>
      </c>
      <c r="P1507" s="20">
        <v>1777</v>
      </c>
      <c r="Q1507" s="20">
        <f t="shared" ref="Q1507:X1507" si="3098">Q1477</f>
        <v>50</v>
      </c>
      <c r="R1507" s="20">
        <f t="shared" si="3098"/>
        <v>200</v>
      </c>
      <c r="S1507" s="20">
        <f t="shared" si="3098"/>
        <v>350</v>
      </c>
      <c r="T1507" s="20">
        <f t="shared" si="3098"/>
        <v>450</v>
      </c>
      <c r="U1507" s="20">
        <f t="shared" si="3098"/>
        <v>800</v>
      </c>
      <c r="V1507" s="20">
        <f t="shared" si="3098"/>
        <v>800</v>
      </c>
      <c r="W1507" s="20">
        <f t="shared" si="3098"/>
        <v>600</v>
      </c>
      <c r="X1507" s="20">
        <f t="shared" si="3098"/>
        <v>2</v>
      </c>
      <c r="Y1507" s="20">
        <v>0</v>
      </c>
      <c r="Z1507" s="22">
        <v>0</v>
      </c>
      <c r="AA1507" s="20">
        <f t="shared" si="3088"/>
        <v>0</v>
      </c>
      <c r="AB1507" s="20">
        <v>0</v>
      </c>
      <c r="AC1507" s="20">
        <v>0</v>
      </c>
      <c r="AD1507" s="23">
        <f t="shared" ref="AD1507:AE1507" si="3099">AD1477</f>
        <v>10</v>
      </c>
      <c r="AE1507" s="23">
        <f t="shared" si="3099"/>
        <v>14</v>
      </c>
    </row>
    <row r="1508" spans="1:31" s="10" customFormat="1">
      <c r="A1508" s="10">
        <v>14200</v>
      </c>
      <c r="B1508" s="10">
        <v>7</v>
      </c>
      <c r="C1508" s="19" t="s">
        <v>72</v>
      </c>
      <c r="D1508" s="44">
        <v>0</v>
      </c>
      <c r="E1508" s="18">
        <v>0</v>
      </c>
      <c r="F1508" s="18">
        <f t="shared" si="3086"/>
        <v>101</v>
      </c>
      <c r="G1508" s="18">
        <v>0</v>
      </c>
      <c r="H1508" s="45">
        <v>0</v>
      </c>
      <c r="I1508" s="21">
        <f t="shared" si="3092"/>
        <v>110</v>
      </c>
      <c r="J1508" s="21">
        <f t="shared" si="3045"/>
        <v>6</v>
      </c>
      <c r="K1508" s="21">
        <v>0</v>
      </c>
      <c r="L1508" s="20">
        <v>16</v>
      </c>
      <c r="M1508" s="20">
        <v>0</v>
      </c>
      <c r="N1508" s="20">
        <f t="shared" si="3093"/>
        <v>700</v>
      </c>
      <c r="O1508" s="19" t="s">
        <v>72</v>
      </c>
      <c r="P1508" s="20">
        <v>2332</v>
      </c>
      <c r="Q1508" s="20">
        <f t="shared" ref="Q1508:X1508" si="3100">Q1478</f>
        <v>70</v>
      </c>
      <c r="R1508" s="20">
        <f t="shared" si="3100"/>
        <v>280</v>
      </c>
      <c r="S1508" s="20">
        <f t="shared" si="3100"/>
        <v>489.99999999999994</v>
      </c>
      <c r="T1508" s="20">
        <f t="shared" si="3100"/>
        <v>630</v>
      </c>
      <c r="U1508" s="20">
        <f t="shared" si="3100"/>
        <v>650</v>
      </c>
      <c r="V1508" s="20">
        <f t="shared" si="3100"/>
        <v>800</v>
      </c>
      <c r="W1508" s="20">
        <f t="shared" si="3100"/>
        <v>300</v>
      </c>
      <c r="X1508" s="20">
        <f t="shared" si="3100"/>
        <v>2</v>
      </c>
      <c r="Y1508" s="20">
        <v>0</v>
      </c>
      <c r="Z1508" s="22">
        <v>0</v>
      </c>
      <c r="AA1508" s="20">
        <f t="shared" si="3088"/>
        <v>0</v>
      </c>
      <c r="AB1508" s="20">
        <v>0</v>
      </c>
      <c r="AC1508" s="20">
        <v>0</v>
      </c>
      <c r="AD1508" s="23">
        <f t="shared" ref="AD1508:AE1508" si="3101">AD1478</f>
        <v>12</v>
      </c>
      <c r="AE1508" s="23">
        <f t="shared" si="3101"/>
        <v>16</v>
      </c>
    </row>
    <row r="1509" spans="1:31" s="10" customFormat="1">
      <c r="A1509" s="10">
        <v>14200</v>
      </c>
      <c r="B1509" s="10">
        <v>8</v>
      </c>
      <c r="C1509" s="19" t="s">
        <v>73</v>
      </c>
      <c r="D1509" s="44">
        <v>0</v>
      </c>
      <c r="E1509" s="18">
        <v>0</v>
      </c>
      <c r="F1509" s="18">
        <f t="shared" si="3086"/>
        <v>110</v>
      </c>
      <c r="G1509" s="18">
        <v>0</v>
      </c>
      <c r="H1509" s="45">
        <v>0</v>
      </c>
      <c r="I1509" s="21">
        <f t="shared" si="3092"/>
        <v>110</v>
      </c>
      <c r="J1509" s="21">
        <f t="shared" si="3045"/>
        <v>7</v>
      </c>
      <c r="K1509" s="21">
        <v>0</v>
      </c>
      <c r="L1509" s="20">
        <v>12</v>
      </c>
      <c r="M1509" s="20">
        <v>0</v>
      </c>
      <c r="N1509" s="20">
        <f t="shared" si="3093"/>
        <v>800</v>
      </c>
      <c r="O1509" s="19" t="s">
        <v>73</v>
      </c>
      <c r="P1509" s="20">
        <v>1487</v>
      </c>
      <c r="Q1509" s="20">
        <f t="shared" ref="Q1509:X1509" si="3102">Q1479</f>
        <v>80</v>
      </c>
      <c r="R1509" s="20">
        <f t="shared" si="3102"/>
        <v>320</v>
      </c>
      <c r="S1509" s="20">
        <f t="shared" si="3102"/>
        <v>560</v>
      </c>
      <c r="T1509" s="20">
        <f t="shared" si="3102"/>
        <v>720</v>
      </c>
      <c r="U1509" s="20">
        <f t="shared" si="3102"/>
        <v>200</v>
      </c>
      <c r="V1509" s="20">
        <f t="shared" si="3102"/>
        <v>2000</v>
      </c>
      <c r="W1509" s="20">
        <f t="shared" si="3102"/>
        <v>1000</v>
      </c>
      <c r="X1509" s="20">
        <f t="shared" si="3102"/>
        <v>2</v>
      </c>
      <c r="Y1509" s="20">
        <v>0</v>
      </c>
      <c r="Z1509" s="22">
        <v>0</v>
      </c>
      <c r="AA1509" s="20">
        <f t="shared" si="3088"/>
        <v>29</v>
      </c>
      <c r="AB1509" s="20">
        <v>0</v>
      </c>
      <c r="AC1509" s="20">
        <v>0</v>
      </c>
      <c r="AD1509" s="23">
        <f t="shared" ref="AD1509:AE1509" si="3103">AD1479</f>
        <v>14</v>
      </c>
      <c r="AE1509" s="23">
        <f t="shared" si="3103"/>
        <v>18</v>
      </c>
    </row>
    <row r="1510" spans="1:31" s="10" customFormat="1">
      <c r="A1510" s="10">
        <v>14200</v>
      </c>
      <c r="B1510" s="10">
        <v>9</v>
      </c>
      <c r="C1510" s="19" t="s">
        <v>74</v>
      </c>
      <c r="D1510" s="44">
        <v>0</v>
      </c>
      <c r="E1510" s="18">
        <v>0</v>
      </c>
      <c r="F1510" s="18">
        <f t="shared" si="3086"/>
        <v>119</v>
      </c>
      <c r="G1510" s="18">
        <v>0</v>
      </c>
      <c r="H1510" s="45">
        <v>0</v>
      </c>
      <c r="I1510" s="21">
        <f t="shared" si="3092"/>
        <v>165</v>
      </c>
      <c r="J1510" s="21">
        <f t="shared" si="3045"/>
        <v>8</v>
      </c>
      <c r="K1510" s="21">
        <v>0</v>
      </c>
      <c r="L1510" s="20">
        <v>8</v>
      </c>
      <c r="M1510" s="20">
        <v>0</v>
      </c>
      <c r="N1510" s="20">
        <f t="shared" si="3093"/>
        <v>900</v>
      </c>
      <c r="O1510" s="19" t="s">
        <v>74</v>
      </c>
      <c r="P1510" s="20">
        <v>1518</v>
      </c>
      <c r="Q1510" s="20">
        <f t="shared" ref="Q1510:X1510" si="3104">Q1480</f>
        <v>90</v>
      </c>
      <c r="R1510" s="20">
        <f t="shared" si="3104"/>
        <v>360</v>
      </c>
      <c r="S1510" s="20">
        <f t="shared" si="3104"/>
        <v>630</v>
      </c>
      <c r="T1510" s="20">
        <f t="shared" si="3104"/>
        <v>810</v>
      </c>
      <c r="U1510" s="20">
        <f t="shared" si="3104"/>
        <v>120</v>
      </c>
      <c r="V1510" s="20">
        <f t="shared" si="3104"/>
        <v>1500</v>
      </c>
      <c r="W1510" s="20">
        <f t="shared" si="3104"/>
        <v>1000</v>
      </c>
      <c r="X1510" s="20">
        <f t="shared" si="3104"/>
        <v>3</v>
      </c>
      <c r="Y1510" s="20">
        <v>0</v>
      </c>
      <c r="Z1510" s="22">
        <v>0</v>
      </c>
      <c r="AA1510" s="20">
        <f t="shared" si="3088"/>
        <v>0</v>
      </c>
      <c r="AB1510" s="20">
        <v>0</v>
      </c>
      <c r="AC1510" s="20">
        <v>0</v>
      </c>
      <c r="AD1510" s="23">
        <f t="shared" ref="AD1510:AE1510" si="3105">AD1480</f>
        <v>16</v>
      </c>
      <c r="AE1510" s="23">
        <f t="shared" si="3105"/>
        <v>20</v>
      </c>
    </row>
    <row r="1511" spans="1:31" s="10" customFormat="1">
      <c r="A1511" s="10">
        <v>14200</v>
      </c>
      <c r="B1511" s="10">
        <v>10</v>
      </c>
      <c r="C1511" s="19" t="s">
        <v>75</v>
      </c>
      <c r="D1511" s="44">
        <v>0</v>
      </c>
      <c r="E1511" s="18">
        <v>0</v>
      </c>
      <c r="F1511" s="18">
        <f t="shared" si="3086"/>
        <v>129</v>
      </c>
      <c r="G1511" s="18">
        <v>0</v>
      </c>
      <c r="H1511" s="45">
        <v>0</v>
      </c>
      <c r="I1511" s="21">
        <f t="shared" si="3092"/>
        <v>165</v>
      </c>
      <c r="J1511" s="21">
        <f t="shared" si="3045"/>
        <v>9</v>
      </c>
      <c r="K1511" s="21">
        <v>0</v>
      </c>
      <c r="L1511" s="20">
        <v>6</v>
      </c>
      <c r="M1511" s="20">
        <v>0</v>
      </c>
      <c r="N1511" s="20">
        <f t="shared" si="3093"/>
        <v>2000</v>
      </c>
      <c r="O1511" s="19" t="s">
        <v>75</v>
      </c>
      <c r="P1511" s="20">
        <v>861</v>
      </c>
      <c r="Q1511" s="20">
        <f t="shared" ref="Q1511:X1511" si="3106">Q1481</f>
        <v>200</v>
      </c>
      <c r="R1511" s="20">
        <f t="shared" si="3106"/>
        <v>800</v>
      </c>
      <c r="S1511" s="20">
        <f t="shared" si="3106"/>
        <v>1400</v>
      </c>
      <c r="T1511" s="20">
        <f t="shared" si="3106"/>
        <v>1800</v>
      </c>
      <c r="U1511" s="20">
        <f t="shared" si="3106"/>
        <v>150</v>
      </c>
      <c r="V1511" s="20">
        <f t="shared" si="3106"/>
        <v>5000</v>
      </c>
      <c r="W1511" s="20">
        <f t="shared" si="3106"/>
        <v>800</v>
      </c>
      <c r="X1511" s="20">
        <f t="shared" si="3106"/>
        <v>3</v>
      </c>
      <c r="Y1511" s="20">
        <v>0</v>
      </c>
      <c r="Z1511" s="22">
        <v>0</v>
      </c>
      <c r="AA1511" s="20">
        <f t="shared" si="3088"/>
        <v>0</v>
      </c>
      <c r="AB1511" s="20">
        <v>0</v>
      </c>
      <c r="AC1511" s="20">
        <v>0</v>
      </c>
      <c r="AD1511" s="23">
        <f t="shared" ref="AD1511:AE1511" si="3107">AD1481</f>
        <v>18</v>
      </c>
      <c r="AE1511" s="23">
        <f t="shared" si="3107"/>
        <v>22</v>
      </c>
    </row>
    <row r="1512" spans="1:31" s="10" customFormat="1">
      <c r="A1512" s="10">
        <v>14200</v>
      </c>
      <c r="B1512" s="10">
        <v>11</v>
      </c>
      <c r="C1512" s="19" t="s">
        <v>66</v>
      </c>
      <c r="D1512" s="44">
        <v>0</v>
      </c>
      <c r="E1512" s="18">
        <v>0</v>
      </c>
      <c r="F1512" s="18">
        <f t="shared" si="3086"/>
        <v>139</v>
      </c>
      <c r="G1512" s="18">
        <v>0</v>
      </c>
      <c r="H1512" s="45">
        <v>0</v>
      </c>
      <c r="I1512" s="21">
        <f t="shared" si="3092"/>
        <v>165</v>
      </c>
      <c r="J1512" s="21">
        <f t="shared" si="3045"/>
        <v>10</v>
      </c>
      <c r="K1512" s="21">
        <v>0</v>
      </c>
      <c r="L1512" s="20">
        <v>6</v>
      </c>
      <c r="M1512" s="20">
        <v>0</v>
      </c>
      <c r="N1512" s="20">
        <f t="shared" si="3093"/>
        <v>2200</v>
      </c>
      <c r="O1512" s="19" t="s">
        <v>66</v>
      </c>
      <c r="P1512" s="20">
        <v>9400</v>
      </c>
      <c r="Q1512" s="20">
        <f t="shared" ref="Q1512:X1512" si="3108">Q1482</f>
        <v>220</v>
      </c>
      <c r="R1512" s="20">
        <f t="shared" si="3108"/>
        <v>880</v>
      </c>
      <c r="S1512" s="20">
        <f t="shared" si="3108"/>
        <v>1540</v>
      </c>
      <c r="T1512" s="20">
        <f t="shared" si="3108"/>
        <v>1980</v>
      </c>
      <c r="U1512" s="20">
        <f t="shared" si="3108"/>
        <v>100</v>
      </c>
      <c r="V1512" s="20">
        <f t="shared" si="3108"/>
        <v>800</v>
      </c>
      <c r="W1512" s="20">
        <f t="shared" si="3108"/>
        <v>600</v>
      </c>
      <c r="X1512" s="20">
        <f t="shared" si="3108"/>
        <v>3</v>
      </c>
      <c r="Y1512" s="20">
        <v>0</v>
      </c>
      <c r="Z1512" s="22">
        <v>0</v>
      </c>
      <c r="AA1512" s="20">
        <f t="shared" si="3088"/>
        <v>0</v>
      </c>
      <c r="AB1512" s="20">
        <v>0</v>
      </c>
      <c r="AC1512" s="20">
        <v>0</v>
      </c>
      <c r="AD1512" s="23">
        <f t="shared" ref="AD1512:AE1512" si="3109">AD1482</f>
        <v>20</v>
      </c>
      <c r="AE1512" s="23">
        <f t="shared" si="3109"/>
        <v>24</v>
      </c>
    </row>
    <row r="1513" spans="1:31" s="10" customFormat="1">
      <c r="A1513" s="10">
        <v>14200</v>
      </c>
      <c r="B1513" s="10">
        <v>12</v>
      </c>
      <c r="C1513" s="19" t="s">
        <v>67</v>
      </c>
      <c r="D1513" s="44">
        <v>0</v>
      </c>
      <c r="E1513" s="18">
        <v>0</v>
      </c>
      <c r="F1513" s="18">
        <f t="shared" si="3086"/>
        <v>151</v>
      </c>
      <c r="G1513" s="18">
        <v>0</v>
      </c>
      <c r="H1513" s="45">
        <v>0</v>
      </c>
      <c r="I1513" s="21">
        <f t="shared" si="3092"/>
        <v>165</v>
      </c>
      <c r="J1513" s="21">
        <f t="shared" si="3045"/>
        <v>11</v>
      </c>
      <c r="K1513" s="21">
        <v>0</v>
      </c>
      <c r="L1513" s="20">
        <v>6</v>
      </c>
      <c r="M1513" s="20">
        <v>0</v>
      </c>
      <c r="N1513" s="20">
        <f t="shared" si="3093"/>
        <v>2400</v>
      </c>
      <c r="O1513" s="19" t="s">
        <v>67</v>
      </c>
      <c r="P1513" s="20">
        <v>9100</v>
      </c>
      <c r="Q1513" s="20">
        <f t="shared" ref="Q1513:X1513" si="3110">Q1483</f>
        <v>240</v>
      </c>
      <c r="R1513" s="20">
        <f t="shared" si="3110"/>
        <v>960</v>
      </c>
      <c r="S1513" s="20">
        <f t="shared" si="3110"/>
        <v>1680</v>
      </c>
      <c r="T1513" s="20">
        <f t="shared" si="3110"/>
        <v>2160</v>
      </c>
      <c r="U1513" s="20">
        <f t="shared" si="3110"/>
        <v>150</v>
      </c>
      <c r="V1513" s="20">
        <f t="shared" si="3110"/>
        <v>700</v>
      </c>
      <c r="W1513" s="20">
        <f t="shared" si="3110"/>
        <v>900</v>
      </c>
      <c r="X1513" s="20">
        <f t="shared" si="3110"/>
        <v>3</v>
      </c>
      <c r="Y1513" s="20">
        <v>0</v>
      </c>
      <c r="Z1513" s="22">
        <v>0</v>
      </c>
      <c r="AA1513" s="20">
        <f t="shared" si="3088"/>
        <v>0</v>
      </c>
      <c r="AB1513" s="20">
        <v>0</v>
      </c>
      <c r="AC1513" s="20">
        <v>0</v>
      </c>
      <c r="AD1513" s="23">
        <f t="shared" ref="AD1513:AE1513" si="3111">AD1483</f>
        <v>22</v>
      </c>
      <c r="AE1513" s="23">
        <f t="shared" si="3111"/>
        <v>26</v>
      </c>
    </row>
    <row r="1514" spans="1:31" s="10" customFormat="1">
      <c r="A1514" s="10">
        <v>14200</v>
      </c>
      <c r="B1514" s="10">
        <v>13</v>
      </c>
      <c r="C1514" s="19" t="s">
        <v>68</v>
      </c>
      <c r="D1514" s="44">
        <v>0</v>
      </c>
      <c r="E1514" s="18">
        <v>0</v>
      </c>
      <c r="F1514" s="18">
        <f t="shared" si="3086"/>
        <v>163</v>
      </c>
      <c r="G1514" s="18">
        <v>0</v>
      </c>
      <c r="H1514" s="45">
        <v>0</v>
      </c>
      <c r="I1514" s="21">
        <f t="shared" si="3092"/>
        <v>220</v>
      </c>
      <c r="J1514" s="21">
        <f t="shared" si="3045"/>
        <v>12</v>
      </c>
      <c r="K1514" s="21">
        <v>0</v>
      </c>
      <c r="L1514" s="20">
        <v>6</v>
      </c>
      <c r="M1514" s="20">
        <v>0</v>
      </c>
      <c r="N1514" s="20">
        <f t="shared" si="3093"/>
        <v>2600</v>
      </c>
      <c r="O1514" s="19" t="s">
        <v>68</v>
      </c>
      <c r="P1514" s="20">
        <v>8600</v>
      </c>
      <c r="Q1514" s="20">
        <f t="shared" ref="Q1514:X1514" si="3112">Q1484</f>
        <v>260</v>
      </c>
      <c r="R1514" s="20">
        <f t="shared" si="3112"/>
        <v>1040</v>
      </c>
      <c r="S1514" s="20">
        <f t="shared" si="3112"/>
        <v>1819.9999999999998</v>
      </c>
      <c r="T1514" s="20">
        <f t="shared" si="3112"/>
        <v>2340</v>
      </c>
      <c r="U1514" s="20">
        <f t="shared" si="3112"/>
        <v>100</v>
      </c>
      <c r="V1514" s="20">
        <f t="shared" si="3112"/>
        <v>700</v>
      </c>
      <c r="W1514" s="20">
        <f t="shared" si="3112"/>
        <v>1000</v>
      </c>
      <c r="X1514" s="20">
        <f t="shared" si="3112"/>
        <v>4</v>
      </c>
      <c r="Y1514" s="20">
        <v>0</v>
      </c>
      <c r="Z1514" s="22">
        <v>0</v>
      </c>
      <c r="AA1514" s="20">
        <f t="shared" si="3088"/>
        <v>60</v>
      </c>
      <c r="AB1514" s="20">
        <v>0</v>
      </c>
      <c r="AC1514" s="20">
        <v>0</v>
      </c>
      <c r="AD1514" s="23">
        <f t="shared" ref="AD1514:AE1514" si="3113">AD1484</f>
        <v>24</v>
      </c>
      <c r="AE1514" s="23">
        <f t="shared" si="3113"/>
        <v>28</v>
      </c>
    </row>
    <row r="1515" spans="1:31" s="10" customFormat="1">
      <c r="A1515" s="10">
        <v>14200</v>
      </c>
      <c r="B1515" s="10">
        <v>14</v>
      </c>
      <c r="C1515" s="19" t="s">
        <v>69</v>
      </c>
      <c r="D1515" s="44">
        <v>0</v>
      </c>
      <c r="E1515" s="18">
        <v>0</v>
      </c>
      <c r="F1515" s="18">
        <f t="shared" si="3086"/>
        <v>177</v>
      </c>
      <c r="G1515" s="18">
        <v>0</v>
      </c>
      <c r="H1515" s="45">
        <v>0</v>
      </c>
      <c r="I1515" s="21">
        <f t="shared" si="3092"/>
        <v>220</v>
      </c>
      <c r="J1515" s="21">
        <f t="shared" si="3045"/>
        <v>13</v>
      </c>
      <c r="K1515" s="21">
        <v>0</v>
      </c>
      <c r="L1515" s="20">
        <v>6</v>
      </c>
      <c r="M1515" s="20">
        <v>0</v>
      </c>
      <c r="N1515" s="20">
        <f t="shared" si="3093"/>
        <v>2800</v>
      </c>
      <c r="O1515" s="19" t="s">
        <v>69</v>
      </c>
      <c r="P1515" s="20">
        <v>6400</v>
      </c>
      <c r="Q1515" s="20">
        <f t="shared" ref="Q1515:X1515" si="3114">Q1485</f>
        <v>280</v>
      </c>
      <c r="R1515" s="20">
        <f t="shared" si="3114"/>
        <v>1120</v>
      </c>
      <c r="S1515" s="20">
        <f t="shared" si="3114"/>
        <v>1959.9999999999998</v>
      </c>
      <c r="T1515" s="20">
        <f t="shared" si="3114"/>
        <v>2520</v>
      </c>
      <c r="U1515" s="20">
        <f t="shared" si="3114"/>
        <v>100</v>
      </c>
      <c r="V1515" s="20">
        <f t="shared" si="3114"/>
        <v>400</v>
      </c>
      <c r="W1515" s="20">
        <f t="shared" si="3114"/>
        <v>1200</v>
      </c>
      <c r="X1515" s="20">
        <f t="shared" si="3114"/>
        <v>4</v>
      </c>
      <c r="Y1515" s="20">
        <v>0</v>
      </c>
      <c r="Z1515" s="22">
        <v>0</v>
      </c>
      <c r="AA1515" s="20">
        <f t="shared" si="3088"/>
        <v>0</v>
      </c>
      <c r="AB1515" s="20">
        <v>0</v>
      </c>
      <c r="AC1515" s="20">
        <v>0</v>
      </c>
      <c r="AD1515" s="23">
        <f t="shared" ref="AD1515:AE1515" si="3115">AD1485</f>
        <v>26</v>
      </c>
      <c r="AE1515" s="23">
        <f t="shared" si="3115"/>
        <v>30</v>
      </c>
    </row>
    <row r="1516" spans="1:31" s="10" customFormat="1">
      <c r="A1516" s="10">
        <v>14200</v>
      </c>
      <c r="B1516" s="10">
        <v>15</v>
      </c>
      <c r="C1516" s="19" t="s">
        <v>70</v>
      </c>
      <c r="D1516" s="44">
        <v>0</v>
      </c>
      <c r="E1516" s="18">
        <v>0</v>
      </c>
      <c r="F1516" s="18">
        <f t="shared" si="3086"/>
        <v>191</v>
      </c>
      <c r="G1516" s="18">
        <v>0</v>
      </c>
      <c r="H1516" s="45">
        <v>0</v>
      </c>
      <c r="I1516" s="21">
        <f t="shared" si="3092"/>
        <v>220</v>
      </c>
      <c r="J1516" s="21">
        <f t="shared" si="3045"/>
        <v>14</v>
      </c>
      <c r="K1516" s="21">
        <v>0</v>
      </c>
      <c r="L1516" s="20">
        <v>6</v>
      </c>
      <c r="M1516" s="20">
        <v>0</v>
      </c>
      <c r="N1516" s="20">
        <f t="shared" si="3093"/>
        <v>4500</v>
      </c>
      <c r="O1516" s="19" t="s">
        <v>70</v>
      </c>
      <c r="P1516" s="20">
        <v>3100</v>
      </c>
      <c r="Q1516" s="20">
        <f t="shared" ref="Q1516:X1516" si="3116">Q1486</f>
        <v>450</v>
      </c>
      <c r="R1516" s="20">
        <f t="shared" si="3116"/>
        <v>1800</v>
      </c>
      <c r="S1516" s="20">
        <f t="shared" si="3116"/>
        <v>3150</v>
      </c>
      <c r="T1516" s="20">
        <f t="shared" si="3116"/>
        <v>4050</v>
      </c>
      <c r="U1516" s="20">
        <f t="shared" si="3116"/>
        <v>100</v>
      </c>
      <c r="V1516" s="20">
        <f t="shared" si="3116"/>
        <v>1000</v>
      </c>
      <c r="W1516" s="20">
        <f t="shared" si="3116"/>
        <v>600</v>
      </c>
      <c r="X1516" s="20">
        <f t="shared" si="3116"/>
        <v>4</v>
      </c>
      <c r="Y1516" s="20">
        <v>0</v>
      </c>
      <c r="Z1516" s="22">
        <v>0</v>
      </c>
      <c r="AA1516" s="20">
        <f t="shared" si="3088"/>
        <v>0</v>
      </c>
      <c r="AB1516" s="20">
        <v>0</v>
      </c>
      <c r="AC1516" s="20">
        <v>0</v>
      </c>
      <c r="AD1516" s="23">
        <f t="shared" ref="AD1516:AE1516" si="3117">AD1486</f>
        <v>28</v>
      </c>
      <c r="AE1516" s="23">
        <f t="shared" si="3117"/>
        <v>32</v>
      </c>
    </row>
    <row r="1517" spans="1:31" s="10" customFormat="1">
      <c r="A1517" s="10">
        <v>14200</v>
      </c>
      <c r="B1517" s="10">
        <v>16</v>
      </c>
      <c r="C1517" s="19" t="s">
        <v>71</v>
      </c>
      <c r="D1517" s="44">
        <v>0</v>
      </c>
      <c r="E1517" s="18">
        <v>0</v>
      </c>
      <c r="F1517" s="18">
        <f t="shared" si="3086"/>
        <v>207</v>
      </c>
      <c r="G1517" s="18">
        <v>0</v>
      </c>
      <c r="H1517" s="45">
        <v>0</v>
      </c>
      <c r="I1517" s="21">
        <f t="shared" si="3092"/>
        <v>220</v>
      </c>
      <c r="J1517" s="21">
        <f t="shared" si="3045"/>
        <v>15</v>
      </c>
      <c r="K1517" s="21">
        <v>0</v>
      </c>
      <c r="L1517" s="20">
        <v>6</v>
      </c>
      <c r="M1517" s="20">
        <v>0</v>
      </c>
      <c r="N1517" s="20">
        <f t="shared" si="3093"/>
        <v>4800</v>
      </c>
      <c r="O1517" s="19" t="s">
        <v>71</v>
      </c>
      <c r="P1517" s="20">
        <v>1777</v>
      </c>
      <c r="Q1517" s="20">
        <f t="shared" ref="Q1517:X1517" si="3118">Q1487</f>
        <v>480</v>
      </c>
      <c r="R1517" s="20">
        <f t="shared" si="3118"/>
        <v>1920</v>
      </c>
      <c r="S1517" s="20">
        <f t="shared" si="3118"/>
        <v>3360</v>
      </c>
      <c r="T1517" s="20">
        <f t="shared" si="3118"/>
        <v>4320</v>
      </c>
      <c r="U1517" s="20">
        <f t="shared" si="3118"/>
        <v>100</v>
      </c>
      <c r="V1517" s="20">
        <f t="shared" si="3118"/>
        <v>800</v>
      </c>
      <c r="W1517" s="20">
        <f t="shared" si="3118"/>
        <v>800</v>
      </c>
      <c r="X1517" s="20">
        <f t="shared" si="3118"/>
        <v>4</v>
      </c>
      <c r="Y1517" s="20">
        <v>0</v>
      </c>
      <c r="Z1517" s="22">
        <v>0</v>
      </c>
      <c r="AA1517" s="20">
        <f t="shared" si="3088"/>
        <v>0</v>
      </c>
      <c r="AB1517" s="20">
        <v>0</v>
      </c>
      <c r="AC1517" s="20">
        <v>0</v>
      </c>
      <c r="AD1517" s="23">
        <f t="shared" ref="AD1517:AE1517" si="3119">AD1487</f>
        <v>30</v>
      </c>
      <c r="AE1517" s="23">
        <f t="shared" si="3119"/>
        <v>34</v>
      </c>
    </row>
    <row r="1518" spans="1:31" s="10" customFormat="1">
      <c r="A1518" s="10">
        <v>14200</v>
      </c>
      <c r="B1518" s="10">
        <v>17</v>
      </c>
      <c r="C1518" s="19" t="s">
        <v>72</v>
      </c>
      <c r="D1518" s="44">
        <v>0</v>
      </c>
      <c r="E1518" s="18">
        <v>0</v>
      </c>
      <c r="F1518" s="18">
        <f t="shared" si="3086"/>
        <v>224</v>
      </c>
      <c r="G1518" s="18">
        <v>0</v>
      </c>
      <c r="H1518" s="45">
        <v>0</v>
      </c>
      <c r="I1518" s="21">
        <f t="shared" si="3092"/>
        <v>275</v>
      </c>
      <c r="J1518" s="21">
        <f t="shared" si="3045"/>
        <v>16</v>
      </c>
      <c r="K1518" s="21">
        <v>0</v>
      </c>
      <c r="L1518" s="20">
        <v>6</v>
      </c>
      <c r="M1518" s="20">
        <v>0</v>
      </c>
      <c r="N1518" s="20">
        <f t="shared" si="3093"/>
        <v>5100</v>
      </c>
      <c r="O1518" s="19" t="s">
        <v>72</v>
      </c>
      <c r="P1518" s="20">
        <v>2332</v>
      </c>
      <c r="Q1518" s="20">
        <f t="shared" ref="Q1518:X1518" si="3120">Q1488</f>
        <v>510</v>
      </c>
      <c r="R1518" s="20">
        <f t="shared" si="3120"/>
        <v>2040</v>
      </c>
      <c r="S1518" s="20">
        <f t="shared" si="3120"/>
        <v>3570</v>
      </c>
      <c r="T1518" s="20">
        <f t="shared" si="3120"/>
        <v>4590</v>
      </c>
      <c r="U1518" s="20">
        <f t="shared" si="3120"/>
        <v>80</v>
      </c>
      <c r="V1518" s="20">
        <f t="shared" si="3120"/>
        <v>800</v>
      </c>
      <c r="W1518" s="20">
        <f t="shared" si="3120"/>
        <v>600</v>
      </c>
      <c r="X1518" s="20">
        <f t="shared" si="3120"/>
        <v>5</v>
      </c>
      <c r="Y1518" s="20">
        <v>0</v>
      </c>
      <c r="Z1518" s="22">
        <v>0</v>
      </c>
      <c r="AA1518" s="20">
        <f t="shared" si="3088"/>
        <v>0</v>
      </c>
      <c r="AB1518" s="20">
        <v>0</v>
      </c>
      <c r="AC1518" s="20">
        <v>0</v>
      </c>
      <c r="AD1518" s="23">
        <f t="shared" ref="AD1518:AE1518" si="3121">AD1488</f>
        <v>32</v>
      </c>
      <c r="AE1518" s="23">
        <f t="shared" si="3121"/>
        <v>36</v>
      </c>
    </row>
    <row r="1519" spans="1:31" s="10" customFormat="1">
      <c r="A1519" s="10">
        <v>14200</v>
      </c>
      <c r="B1519" s="10">
        <v>18</v>
      </c>
      <c r="C1519" s="19" t="s">
        <v>73</v>
      </c>
      <c r="D1519" s="44">
        <v>0</v>
      </c>
      <c r="E1519" s="18">
        <v>0</v>
      </c>
      <c r="F1519" s="18">
        <f t="shared" si="3086"/>
        <v>243</v>
      </c>
      <c r="G1519" s="18">
        <v>0</v>
      </c>
      <c r="H1519" s="45">
        <v>0</v>
      </c>
      <c r="I1519" s="21">
        <f t="shared" si="3092"/>
        <v>275</v>
      </c>
      <c r="J1519" s="21">
        <f t="shared" si="3045"/>
        <v>17</v>
      </c>
      <c r="K1519" s="21">
        <v>0</v>
      </c>
      <c r="L1519" s="20">
        <v>6</v>
      </c>
      <c r="M1519" s="20">
        <v>0</v>
      </c>
      <c r="N1519" s="20">
        <f t="shared" si="3093"/>
        <v>5400</v>
      </c>
      <c r="O1519" s="19" t="s">
        <v>73</v>
      </c>
      <c r="P1519" s="20">
        <v>1487</v>
      </c>
      <c r="Q1519" s="20">
        <f t="shared" ref="Q1519:X1519" si="3122">Q1489</f>
        <v>540</v>
      </c>
      <c r="R1519" s="20">
        <f t="shared" si="3122"/>
        <v>2160</v>
      </c>
      <c r="S1519" s="20">
        <f t="shared" si="3122"/>
        <v>3779.9999999999995</v>
      </c>
      <c r="T1519" s="20">
        <f t="shared" si="3122"/>
        <v>4860</v>
      </c>
      <c r="U1519" s="20">
        <f t="shared" si="3122"/>
        <v>100</v>
      </c>
      <c r="V1519" s="20">
        <f t="shared" si="3122"/>
        <v>600</v>
      </c>
      <c r="W1519" s="20">
        <f t="shared" si="3122"/>
        <v>300</v>
      </c>
      <c r="X1519" s="20">
        <f t="shared" si="3122"/>
        <v>5</v>
      </c>
      <c r="Y1519" s="20">
        <v>0</v>
      </c>
      <c r="Z1519" s="22">
        <v>0</v>
      </c>
      <c r="AA1519" s="20">
        <f t="shared" si="3088"/>
        <v>89</v>
      </c>
      <c r="AB1519" s="20">
        <v>0</v>
      </c>
      <c r="AC1519" s="20">
        <v>0</v>
      </c>
      <c r="AD1519" s="23">
        <f t="shared" ref="AD1519:AE1519" si="3123">AD1489</f>
        <v>34</v>
      </c>
      <c r="AE1519" s="23">
        <f t="shared" si="3123"/>
        <v>38</v>
      </c>
    </row>
    <row r="1520" spans="1:31" s="10" customFormat="1">
      <c r="A1520" s="10">
        <v>14200</v>
      </c>
      <c r="B1520" s="10">
        <v>19</v>
      </c>
      <c r="C1520" s="19" t="s">
        <v>74</v>
      </c>
      <c r="D1520" s="44">
        <v>0</v>
      </c>
      <c r="E1520" s="18">
        <v>0</v>
      </c>
      <c r="F1520" s="18">
        <f t="shared" si="3086"/>
        <v>263</v>
      </c>
      <c r="G1520" s="18">
        <v>0</v>
      </c>
      <c r="H1520" s="45">
        <v>0</v>
      </c>
      <c r="I1520" s="21">
        <f t="shared" si="3092"/>
        <v>275</v>
      </c>
      <c r="J1520" s="21">
        <f t="shared" si="3045"/>
        <v>18</v>
      </c>
      <c r="K1520" s="21">
        <v>0</v>
      </c>
      <c r="L1520" s="20">
        <v>6</v>
      </c>
      <c r="M1520" s="20">
        <v>0</v>
      </c>
      <c r="N1520" s="20">
        <f t="shared" si="3093"/>
        <v>5700</v>
      </c>
      <c r="O1520" s="19" t="s">
        <v>74</v>
      </c>
      <c r="P1520" s="20">
        <v>1518</v>
      </c>
      <c r="Q1520" s="20">
        <f t="shared" ref="Q1520:X1520" si="3124">Q1490</f>
        <v>570</v>
      </c>
      <c r="R1520" s="20">
        <f t="shared" si="3124"/>
        <v>2280</v>
      </c>
      <c r="S1520" s="20">
        <f t="shared" si="3124"/>
        <v>3989.9999999999995</v>
      </c>
      <c r="T1520" s="20">
        <f t="shared" si="3124"/>
        <v>5130</v>
      </c>
      <c r="U1520" s="20">
        <f t="shared" si="3124"/>
        <v>100</v>
      </c>
      <c r="V1520" s="20">
        <f t="shared" si="3124"/>
        <v>500</v>
      </c>
      <c r="W1520" s="20">
        <f t="shared" si="3124"/>
        <v>400</v>
      </c>
      <c r="X1520" s="20">
        <f t="shared" si="3124"/>
        <v>5</v>
      </c>
      <c r="Y1520" s="20">
        <v>0</v>
      </c>
      <c r="Z1520" s="22">
        <v>0</v>
      </c>
      <c r="AA1520" s="20">
        <f t="shared" si="3088"/>
        <v>0</v>
      </c>
      <c r="AB1520" s="20">
        <v>0</v>
      </c>
      <c r="AC1520" s="20">
        <v>0</v>
      </c>
      <c r="AD1520" s="23">
        <f t="shared" ref="AD1520:AE1520" si="3125">AD1490</f>
        <v>36</v>
      </c>
      <c r="AE1520" s="23">
        <f t="shared" si="3125"/>
        <v>40</v>
      </c>
    </row>
    <row r="1521" spans="1:31" s="10" customFormat="1">
      <c r="A1521" s="10">
        <v>14200</v>
      </c>
      <c r="B1521" s="10">
        <v>20</v>
      </c>
      <c r="C1521" s="19" t="s">
        <v>75</v>
      </c>
      <c r="D1521" s="44">
        <v>0</v>
      </c>
      <c r="E1521" s="18">
        <v>0</v>
      </c>
      <c r="F1521" s="18">
        <f t="shared" si="3086"/>
        <v>285</v>
      </c>
      <c r="G1521" s="18">
        <v>0</v>
      </c>
      <c r="H1521" s="45">
        <v>0</v>
      </c>
      <c r="I1521" s="21">
        <f t="shared" si="3092"/>
        <v>275</v>
      </c>
      <c r="J1521" s="21">
        <f t="shared" si="3045"/>
        <v>19</v>
      </c>
      <c r="K1521" s="21">
        <v>0</v>
      </c>
      <c r="L1521" s="20">
        <v>6</v>
      </c>
      <c r="M1521" s="20">
        <v>0</v>
      </c>
      <c r="N1521" s="20">
        <f t="shared" si="3093"/>
        <v>8000</v>
      </c>
      <c r="O1521" s="19" t="s">
        <v>75</v>
      </c>
      <c r="P1521" s="20">
        <v>861</v>
      </c>
      <c r="Q1521" s="20">
        <f t="shared" ref="Q1521:X1521" si="3126">Q1491</f>
        <v>800</v>
      </c>
      <c r="R1521" s="20">
        <f t="shared" si="3126"/>
        <v>3200</v>
      </c>
      <c r="S1521" s="20">
        <f t="shared" si="3126"/>
        <v>5600</v>
      </c>
      <c r="T1521" s="20">
        <f t="shared" si="3126"/>
        <v>7200</v>
      </c>
      <c r="U1521" s="20">
        <f t="shared" si="3126"/>
        <v>100</v>
      </c>
      <c r="V1521" s="20">
        <f t="shared" si="3126"/>
        <v>800</v>
      </c>
      <c r="W1521" s="20">
        <f t="shared" si="3126"/>
        <v>8000</v>
      </c>
      <c r="X1521" s="20">
        <f t="shared" si="3126"/>
        <v>5</v>
      </c>
      <c r="Y1521" s="20">
        <v>0</v>
      </c>
      <c r="Z1521" s="22">
        <v>0</v>
      </c>
      <c r="AA1521" s="20">
        <f t="shared" si="3088"/>
        <v>0</v>
      </c>
      <c r="AB1521" s="20">
        <v>0</v>
      </c>
      <c r="AC1521" s="20">
        <v>0</v>
      </c>
      <c r="AD1521" s="23">
        <f t="shared" ref="AD1521:AE1521" si="3127">AD1491</f>
        <v>38</v>
      </c>
      <c r="AE1521" s="23">
        <f t="shared" si="3127"/>
        <v>42</v>
      </c>
    </row>
    <row r="1522" spans="1:31" s="10" customFormat="1">
      <c r="A1522" s="10">
        <v>14200</v>
      </c>
      <c r="B1522" s="10">
        <v>21</v>
      </c>
      <c r="C1522" s="19" t="s">
        <v>66</v>
      </c>
      <c r="D1522" s="44">
        <v>0</v>
      </c>
      <c r="E1522" s="18">
        <v>0</v>
      </c>
      <c r="F1522" s="18">
        <f t="shared" si="3086"/>
        <v>308</v>
      </c>
      <c r="G1522" s="18">
        <v>0</v>
      </c>
      <c r="H1522" s="45">
        <v>0</v>
      </c>
      <c r="I1522" s="21">
        <f t="shared" si="3092"/>
        <v>330</v>
      </c>
      <c r="J1522" s="21">
        <f t="shared" si="3045"/>
        <v>20</v>
      </c>
      <c r="K1522" s="21">
        <v>0</v>
      </c>
      <c r="L1522" s="20">
        <v>6</v>
      </c>
      <c r="M1522" s="20">
        <v>0</v>
      </c>
      <c r="N1522" s="20">
        <f t="shared" si="3093"/>
        <v>8400</v>
      </c>
      <c r="O1522" s="19" t="s">
        <v>66</v>
      </c>
      <c r="P1522" s="20">
        <v>9400</v>
      </c>
      <c r="Q1522" s="20">
        <f t="shared" ref="Q1522:X1522" si="3128">Q1492</f>
        <v>840</v>
      </c>
      <c r="R1522" s="20">
        <f t="shared" si="3128"/>
        <v>3360</v>
      </c>
      <c r="S1522" s="20">
        <f t="shared" si="3128"/>
        <v>5880</v>
      </c>
      <c r="T1522" s="20">
        <f t="shared" si="3128"/>
        <v>7560</v>
      </c>
      <c r="U1522" s="20">
        <f t="shared" si="3128"/>
        <v>50</v>
      </c>
      <c r="V1522" s="20">
        <f t="shared" si="3128"/>
        <v>1000</v>
      </c>
      <c r="W1522" s="20">
        <f t="shared" si="3128"/>
        <v>600</v>
      </c>
      <c r="X1522" s="20">
        <f t="shared" si="3128"/>
        <v>6</v>
      </c>
      <c r="Y1522" s="20">
        <v>0</v>
      </c>
      <c r="Z1522" s="22">
        <v>0</v>
      </c>
      <c r="AA1522" s="20">
        <f t="shared" si="3088"/>
        <v>0</v>
      </c>
      <c r="AB1522" s="20">
        <v>0</v>
      </c>
      <c r="AC1522" s="20">
        <v>0</v>
      </c>
      <c r="AD1522" s="23">
        <f t="shared" ref="AD1522:AE1522" si="3129">AD1492</f>
        <v>40</v>
      </c>
      <c r="AE1522" s="23">
        <f t="shared" si="3129"/>
        <v>44</v>
      </c>
    </row>
    <row r="1523" spans="1:31" s="10" customFormat="1">
      <c r="A1523" s="10">
        <v>14200</v>
      </c>
      <c r="B1523" s="10">
        <v>22</v>
      </c>
      <c r="C1523" s="19" t="s">
        <v>67</v>
      </c>
      <c r="D1523" s="44">
        <v>0</v>
      </c>
      <c r="E1523" s="18">
        <v>0</v>
      </c>
      <c r="F1523" s="18">
        <f t="shared" si="3086"/>
        <v>334</v>
      </c>
      <c r="G1523" s="18">
        <v>0</v>
      </c>
      <c r="H1523" s="45">
        <v>0</v>
      </c>
      <c r="I1523" s="21">
        <f t="shared" si="3092"/>
        <v>330</v>
      </c>
      <c r="J1523" s="21">
        <f t="shared" si="3045"/>
        <v>21</v>
      </c>
      <c r="K1523" s="21">
        <v>0</v>
      </c>
      <c r="L1523" s="20">
        <v>6</v>
      </c>
      <c r="M1523" s="20">
        <v>0</v>
      </c>
      <c r="N1523" s="20">
        <f t="shared" si="3093"/>
        <v>8800</v>
      </c>
      <c r="O1523" s="19" t="s">
        <v>67</v>
      </c>
      <c r="P1523" s="20">
        <v>9100</v>
      </c>
      <c r="Q1523" s="20">
        <f t="shared" ref="Q1523:X1523" si="3130">Q1493</f>
        <v>880</v>
      </c>
      <c r="R1523" s="20">
        <f t="shared" si="3130"/>
        <v>3520</v>
      </c>
      <c r="S1523" s="20">
        <f t="shared" si="3130"/>
        <v>6160</v>
      </c>
      <c r="T1523" s="20">
        <f t="shared" si="3130"/>
        <v>7920</v>
      </c>
      <c r="U1523" s="20">
        <f t="shared" si="3130"/>
        <v>100</v>
      </c>
      <c r="V1523" s="20">
        <f t="shared" si="3130"/>
        <v>600</v>
      </c>
      <c r="W1523" s="20">
        <f t="shared" si="3130"/>
        <v>700</v>
      </c>
      <c r="X1523" s="20">
        <f t="shared" si="3130"/>
        <v>6</v>
      </c>
      <c r="Y1523" s="20">
        <v>0</v>
      </c>
      <c r="Z1523" s="22">
        <v>0</v>
      </c>
      <c r="AA1523" s="20">
        <f t="shared" si="3088"/>
        <v>0</v>
      </c>
      <c r="AB1523" s="20">
        <v>0</v>
      </c>
      <c r="AC1523" s="20">
        <v>0</v>
      </c>
      <c r="AD1523" s="23">
        <f t="shared" ref="AD1523:AE1523" si="3131">AD1493</f>
        <v>42</v>
      </c>
      <c r="AE1523" s="23">
        <f t="shared" si="3131"/>
        <v>46</v>
      </c>
    </row>
    <row r="1524" spans="1:31" s="10" customFormat="1">
      <c r="A1524" s="10">
        <v>14200</v>
      </c>
      <c r="B1524" s="10">
        <v>23</v>
      </c>
      <c r="C1524" s="19" t="s">
        <v>68</v>
      </c>
      <c r="D1524" s="44">
        <v>0</v>
      </c>
      <c r="E1524" s="18">
        <v>0</v>
      </c>
      <c r="F1524" s="18">
        <f t="shared" si="3086"/>
        <v>361</v>
      </c>
      <c r="G1524" s="18">
        <v>0</v>
      </c>
      <c r="H1524" s="45">
        <v>0</v>
      </c>
      <c r="I1524" s="21">
        <f t="shared" si="3092"/>
        <v>330</v>
      </c>
      <c r="J1524" s="21">
        <f t="shared" si="3045"/>
        <v>22</v>
      </c>
      <c r="K1524" s="21">
        <v>0</v>
      </c>
      <c r="L1524" s="20">
        <v>6</v>
      </c>
      <c r="M1524" s="20">
        <v>0</v>
      </c>
      <c r="N1524" s="20">
        <f t="shared" si="3093"/>
        <v>9200</v>
      </c>
      <c r="O1524" s="19" t="s">
        <v>68</v>
      </c>
      <c r="P1524" s="20">
        <v>8600</v>
      </c>
      <c r="Q1524" s="20">
        <f t="shared" ref="Q1524:X1524" si="3132">Q1494</f>
        <v>920</v>
      </c>
      <c r="R1524" s="20">
        <f t="shared" si="3132"/>
        <v>3680</v>
      </c>
      <c r="S1524" s="20">
        <f t="shared" si="3132"/>
        <v>6440</v>
      </c>
      <c r="T1524" s="20">
        <f t="shared" si="3132"/>
        <v>8280</v>
      </c>
      <c r="U1524" s="20">
        <f t="shared" si="3132"/>
        <v>100</v>
      </c>
      <c r="V1524" s="20">
        <f t="shared" si="3132"/>
        <v>550</v>
      </c>
      <c r="W1524" s="20">
        <f t="shared" si="3132"/>
        <v>500</v>
      </c>
      <c r="X1524" s="20">
        <f t="shared" si="3132"/>
        <v>6</v>
      </c>
      <c r="Y1524" s="20">
        <v>0</v>
      </c>
      <c r="Z1524" s="22">
        <v>0</v>
      </c>
      <c r="AA1524" s="20">
        <f t="shared" si="3088"/>
        <v>120</v>
      </c>
      <c r="AB1524" s="20">
        <v>0</v>
      </c>
      <c r="AC1524" s="20">
        <v>0</v>
      </c>
      <c r="AD1524" s="23">
        <f t="shared" ref="AD1524:AE1524" si="3133">AD1494</f>
        <v>44</v>
      </c>
      <c r="AE1524" s="23">
        <f t="shared" si="3133"/>
        <v>48</v>
      </c>
    </row>
    <row r="1525" spans="1:31" s="10" customFormat="1">
      <c r="A1525" s="10">
        <v>14200</v>
      </c>
      <c r="B1525" s="10">
        <v>24</v>
      </c>
      <c r="C1525" s="19" t="s">
        <v>69</v>
      </c>
      <c r="D1525" s="44">
        <v>0</v>
      </c>
      <c r="E1525" s="18">
        <v>0</v>
      </c>
      <c r="F1525" s="18">
        <f t="shared" si="3086"/>
        <v>391</v>
      </c>
      <c r="G1525" s="18">
        <v>0</v>
      </c>
      <c r="H1525" s="45">
        <v>0</v>
      </c>
      <c r="I1525" s="21">
        <f t="shared" si="3092"/>
        <v>330</v>
      </c>
      <c r="J1525" s="21">
        <f t="shared" si="3045"/>
        <v>23</v>
      </c>
      <c r="K1525" s="21">
        <v>0</v>
      </c>
      <c r="L1525" s="20">
        <v>6</v>
      </c>
      <c r="M1525" s="20">
        <v>0</v>
      </c>
      <c r="N1525" s="20">
        <f t="shared" si="3093"/>
        <v>9600</v>
      </c>
      <c r="O1525" s="19" t="s">
        <v>69</v>
      </c>
      <c r="P1525" s="20">
        <v>6400</v>
      </c>
      <c r="Q1525" s="20">
        <f t="shared" ref="Q1525:X1525" si="3134">Q1495</f>
        <v>960</v>
      </c>
      <c r="R1525" s="20">
        <f t="shared" si="3134"/>
        <v>3840</v>
      </c>
      <c r="S1525" s="20">
        <f t="shared" si="3134"/>
        <v>6720</v>
      </c>
      <c r="T1525" s="20">
        <f t="shared" si="3134"/>
        <v>8640</v>
      </c>
      <c r="U1525" s="20">
        <f t="shared" si="3134"/>
        <v>100</v>
      </c>
      <c r="V1525" s="20">
        <f t="shared" si="3134"/>
        <v>500</v>
      </c>
      <c r="W1525" s="20">
        <f t="shared" si="3134"/>
        <v>900</v>
      </c>
      <c r="X1525" s="20">
        <f t="shared" si="3134"/>
        <v>6</v>
      </c>
      <c r="Y1525" s="20">
        <v>0</v>
      </c>
      <c r="Z1525" s="22">
        <v>0</v>
      </c>
      <c r="AA1525" s="20">
        <f t="shared" si="3088"/>
        <v>0</v>
      </c>
      <c r="AB1525" s="20">
        <v>0</v>
      </c>
      <c r="AC1525" s="20">
        <v>0</v>
      </c>
      <c r="AD1525" s="23">
        <f t="shared" ref="AD1525:AE1525" si="3135">AD1495</f>
        <v>46</v>
      </c>
      <c r="AE1525" s="23">
        <f t="shared" si="3135"/>
        <v>50</v>
      </c>
    </row>
    <row r="1526" spans="1:31" s="10" customFormat="1">
      <c r="A1526" s="10">
        <v>14200</v>
      </c>
      <c r="B1526" s="10">
        <v>25</v>
      </c>
      <c r="C1526" s="19" t="s">
        <v>70</v>
      </c>
      <c r="D1526" s="44">
        <v>0</v>
      </c>
      <c r="E1526" s="18">
        <v>0</v>
      </c>
      <c r="F1526" s="18">
        <f t="shared" si="3086"/>
        <v>424</v>
      </c>
      <c r="G1526" s="18">
        <v>0</v>
      </c>
      <c r="H1526" s="45">
        <v>0</v>
      </c>
      <c r="I1526" s="21">
        <f t="shared" si="3092"/>
        <v>385</v>
      </c>
      <c r="J1526" s="21">
        <f t="shared" si="3045"/>
        <v>24</v>
      </c>
      <c r="K1526" s="21">
        <v>0</v>
      </c>
      <c r="L1526" s="20">
        <v>6</v>
      </c>
      <c r="M1526" s="20">
        <v>0</v>
      </c>
      <c r="N1526" s="20">
        <f t="shared" si="3093"/>
        <v>12500</v>
      </c>
      <c r="O1526" s="19" t="s">
        <v>70</v>
      </c>
      <c r="P1526" s="20">
        <v>3100</v>
      </c>
      <c r="Q1526" s="20">
        <f t="shared" ref="Q1526:X1526" si="3136">Q1496</f>
        <v>1250</v>
      </c>
      <c r="R1526" s="20">
        <f t="shared" si="3136"/>
        <v>5000</v>
      </c>
      <c r="S1526" s="20">
        <f t="shared" si="3136"/>
        <v>8750</v>
      </c>
      <c r="T1526" s="20">
        <f t="shared" si="3136"/>
        <v>11250</v>
      </c>
      <c r="U1526" s="20">
        <f t="shared" si="3136"/>
        <v>10</v>
      </c>
      <c r="V1526" s="20">
        <f t="shared" si="3136"/>
        <v>1300</v>
      </c>
      <c r="W1526" s="20">
        <f t="shared" si="3136"/>
        <v>1000</v>
      </c>
      <c r="X1526" s="20">
        <f t="shared" si="3136"/>
        <v>7</v>
      </c>
      <c r="Y1526" s="20">
        <v>0</v>
      </c>
      <c r="Z1526" s="22">
        <v>0</v>
      </c>
      <c r="AA1526" s="20">
        <f t="shared" si="3088"/>
        <v>0</v>
      </c>
      <c r="AB1526" s="20">
        <v>0</v>
      </c>
      <c r="AC1526" s="20">
        <v>0</v>
      </c>
      <c r="AD1526" s="23">
        <f t="shared" ref="AD1526:AE1526" si="3137">AD1496</f>
        <v>48</v>
      </c>
      <c r="AE1526" s="23">
        <f t="shared" si="3137"/>
        <v>52</v>
      </c>
    </row>
    <row r="1527" spans="1:31" s="10" customFormat="1">
      <c r="A1527" s="10">
        <v>14200</v>
      </c>
      <c r="B1527" s="10">
        <v>26</v>
      </c>
      <c r="C1527" s="19" t="s">
        <v>71</v>
      </c>
      <c r="D1527" s="44">
        <v>0</v>
      </c>
      <c r="E1527" s="18">
        <v>0</v>
      </c>
      <c r="F1527" s="18">
        <f t="shared" si="3086"/>
        <v>459</v>
      </c>
      <c r="G1527" s="18">
        <v>0</v>
      </c>
      <c r="H1527" s="45">
        <v>0</v>
      </c>
      <c r="I1527" s="21">
        <f t="shared" si="3092"/>
        <v>385</v>
      </c>
      <c r="J1527" s="21">
        <f t="shared" si="3045"/>
        <v>25</v>
      </c>
      <c r="K1527" s="21">
        <v>0</v>
      </c>
      <c r="L1527" s="20">
        <v>6</v>
      </c>
      <c r="M1527" s="20">
        <v>0</v>
      </c>
      <c r="N1527" s="20">
        <f t="shared" si="3093"/>
        <v>13000</v>
      </c>
      <c r="O1527" s="19" t="s">
        <v>71</v>
      </c>
      <c r="P1527" s="20">
        <v>1777</v>
      </c>
      <c r="Q1527" s="20">
        <f t="shared" ref="Q1527:X1527" si="3138">Q1497</f>
        <v>1300</v>
      </c>
      <c r="R1527" s="20">
        <f t="shared" si="3138"/>
        <v>5200</v>
      </c>
      <c r="S1527" s="20">
        <f t="shared" si="3138"/>
        <v>9100</v>
      </c>
      <c r="T1527" s="20">
        <f t="shared" si="3138"/>
        <v>11700</v>
      </c>
      <c r="U1527" s="20">
        <f t="shared" si="3138"/>
        <v>90</v>
      </c>
      <c r="V1527" s="20">
        <f t="shared" si="3138"/>
        <v>800</v>
      </c>
      <c r="W1527" s="20">
        <f t="shared" si="3138"/>
        <v>2000</v>
      </c>
      <c r="X1527" s="20">
        <f t="shared" si="3138"/>
        <v>7</v>
      </c>
      <c r="Y1527" s="20">
        <v>0</v>
      </c>
      <c r="Z1527" s="22">
        <v>0</v>
      </c>
      <c r="AA1527" s="20">
        <f t="shared" si="3088"/>
        <v>0</v>
      </c>
      <c r="AB1527" s="20">
        <v>0</v>
      </c>
      <c r="AC1527" s="20">
        <v>0</v>
      </c>
      <c r="AD1527" s="23">
        <f t="shared" ref="AD1527:AE1527" si="3139">AD1497</f>
        <v>50</v>
      </c>
      <c r="AE1527" s="23">
        <f t="shared" si="3139"/>
        <v>54</v>
      </c>
    </row>
    <row r="1528" spans="1:31" s="10" customFormat="1">
      <c r="A1528" s="10">
        <v>14200</v>
      </c>
      <c r="B1528" s="10">
        <v>27</v>
      </c>
      <c r="C1528" s="19" t="s">
        <v>72</v>
      </c>
      <c r="D1528" s="44">
        <v>0</v>
      </c>
      <c r="E1528" s="18">
        <v>0</v>
      </c>
      <c r="F1528" s="18">
        <f t="shared" si="3086"/>
        <v>496</v>
      </c>
      <c r="G1528" s="18">
        <v>0</v>
      </c>
      <c r="H1528" s="45">
        <v>0</v>
      </c>
      <c r="I1528" s="21">
        <f t="shared" si="3092"/>
        <v>385</v>
      </c>
      <c r="J1528" s="21">
        <f t="shared" si="3045"/>
        <v>26</v>
      </c>
      <c r="K1528" s="21">
        <v>0</v>
      </c>
      <c r="L1528" s="20">
        <v>6</v>
      </c>
      <c r="M1528" s="20">
        <v>0</v>
      </c>
      <c r="N1528" s="20">
        <f t="shared" si="3093"/>
        <v>13500</v>
      </c>
      <c r="O1528" s="19" t="s">
        <v>72</v>
      </c>
      <c r="P1528" s="20">
        <v>2332</v>
      </c>
      <c r="Q1528" s="20">
        <f t="shared" ref="Q1528:X1528" si="3140">Q1498</f>
        <v>1350</v>
      </c>
      <c r="R1528" s="20">
        <f t="shared" si="3140"/>
        <v>5400</v>
      </c>
      <c r="S1528" s="20">
        <f t="shared" si="3140"/>
        <v>9450</v>
      </c>
      <c r="T1528" s="20">
        <f t="shared" si="3140"/>
        <v>12150</v>
      </c>
      <c r="U1528" s="20">
        <f t="shared" si="3140"/>
        <v>80</v>
      </c>
      <c r="V1528" s="20">
        <f t="shared" si="3140"/>
        <v>700</v>
      </c>
      <c r="W1528" s="20">
        <f t="shared" si="3140"/>
        <v>800</v>
      </c>
      <c r="X1528" s="20">
        <f t="shared" si="3140"/>
        <v>7</v>
      </c>
      <c r="Y1528" s="20">
        <v>0</v>
      </c>
      <c r="Z1528" s="22">
        <v>0</v>
      </c>
      <c r="AA1528" s="20">
        <f t="shared" si="3088"/>
        <v>0</v>
      </c>
      <c r="AB1528" s="20">
        <v>0</v>
      </c>
      <c r="AC1528" s="20">
        <v>0</v>
      </c>
      <c r="AD1528" s="23">
        <f t="shared" ref="AD1528:AE1528" si="3141">AD1498</f>
        <v>52</v>
      </c>
      <c r="AE1528" s="23">
        <f t="shared" si="3141"/>
        <v>56</v>
      </c>
    </row>
    <row r="1529" spans="1:31" s="10" customFormat="1">
      <c r="A1529" s="10">
        <v>14200</v>
      </c>
      <c r="B1529" s="10">
        <v>28</v>
      </c>
      <c r="C1529" s="19" t="s">
        <v>73</v>
      </c>
      <c r="D1529" s="44">
        <v>0</v>
      </c>
      <c r="E1529" s="18">
        <v>0</v>
      </c>
      <c r="F1529" s="18">
        <f t="shared" si="3086"/>
        <v>537</v>
      </c>
      <c r="G1529" s="18">
        <v>0</v>
      </c>
      <c r="H1529" s="45">
        <v>0</v>
      </c>
      <c r="I1529" s="21">
        <f t="shared" si="3092"/>
        <v>385</v>
      </c>
      <c r="J1529" s="21">
        <f t="shared" si="3045"/>
        <v>27</v>
      </c>
      <c r="K1529" s="21">
        <v>0</v>
      </c>
      <c r="L1529" s="20">
        <v>6</v>
      </c>
      <c r="M1529" s="20">
        <v>0</v>
      </c>
      <c r="N1529" s="20">
        <f t="shared" si="3093"/>
        <v>14000</v>
      </c>
      <c r="O1529" s="19" t="s">
        <v>73</v>
      </c>
      <c r="P1529" s="20">
        <v>1487</v>
      </c>
      <c r="Q1529" s="20">
        <f t="shared" ref="Q1529:X1529" si="3142">Q1499</f>
        <v>1400</v>
      </c>
      <c r="R1529" s="20">
        <f t="shared" si="3142"/>
        <v>5600</v>
      </c>
      <c r="S1529" s="20">
        <f t="shared" si="3142"/>
        <v>9800</v>
      </c>
      <c r="T1529" s="20">
        <f t="shared" si="3142"/>
        <v>12600</v>
      </c>
      <c r="U1529" s="20">
        <f t="shared" si="3142"/>
        <v>80</v>
      </c>
      <c r="V1529" s="20">
        <f t="shared" si="3142"/>
        <v>500</v>
      </c>
      <c r="W1529" s="20">
        <f t="shared" si="3142"/>
        <v>600</v>
      </c>
      <c r="X1529" s="20">
        <f t="shared" si="3142"/>
        <v>7</v>
      </c>
      <c r="Y1529" s="20">
        <v>0</v>
      </c>
      <c r="Z1529" s="22">
        <v>0</v>
      </c>
      <c r="AA1529" s="20">
        <f t="shared" si="3088"/>
        <v>150</v>
      </c>
      <c r="AB1529" s="20">
        <v>0</v>
      </c>
      <c r="AC1529" s="20">
        <v>0</v>
      </c>
      <c r="AD1529" s="23">
        <f t="shared" ref="AD1529:AE1529" si="3143">AD1499</f>
        <v>54</v>
      </c>
      <c r="AE1529" s="23">
        <f t="shared" si="3143"/>
        <v>58</v>
      </c>
    </row>
    <row r="1530" spans="1:31" s="10" customFormat="1">
      <c r="A1530" s="10">
        <v>14200</v>
      </c>
      <c r="B1530" s="10">
        <v>29</v>
      </c>
      <c r="C1530" s="19" t="s">
        <v>74</v>
      </c>
      <c r="D1530" s="44">
        <v>0</v>
      </c>
      <c r="E1530" s="18">
        <v>0</v>
      </c>
      <c r="F1530" s="18">
        <f t="shared" si="3086"/>
        <v>582</v>
      </c>
      <c r="G1530" s="18">
        <v>0</v>
      </c>
      <c r="H1530" s="45">
        <v>0</v>
      </c>
      <c r="I1530" s="21">
        <f t="shared" si="3092"/>
        <v>440</v>
      </c>
      <c r="J1530" s="21">
        <f t="shared" si="3045"/>
        <v>28</v>
      </c>
      <c r="K1530" s="21">
        <v>0</v>
      </c>
      <c r="L1530" s="20">
        <v>6</v>
      </c>
      <c r="M1530" s="20">
        <v>0</v>
      </c>
      <c r="N1530" s="20">
        <f t="shared" si="3093"/>
        <v>14500</v>
      </c>
      <c r="O1530" s="19" t="s">
        <v>74</v>
      </c>
      <c r="P1530" s="20">
        <v>1518</v>
      </c>
      <c r="Q1530" s="20">
        <f t="shared" ref="Q1530:X1530" si="3144">Q1500</f>
        <v>1450</v>
      </c>
      <c r="R1530" s="20">
        <f t="shared" si="3144"/>
        <v>5800</v>
      </c>
      <c r="S1530" s="20">
        <f t="shared" si="3144"/>
        <v>10150</v>
      </c>
      <c r="T1530" s="20">
        <f t="shared" si="3144"/>
        <v>13050</v>
      </c>
      <c r="U1530" s="20">
        <f t="shared" si="3144"/>
        <v>80</v>
      </c>
      <c r="V1530" s="20">
        <f t="shared" si="3144"/>
        <v>600</v>
      </c>
      <c r="W1530" s="20">
        <f t="shared" si="3144"/>
        <v>700</v>
      </c>
      <c r="X1530" s="20">
        <f t="shared" si="3144"/>
        <v>8</v>
      </c>
      <c r="Y1530" s="20">
        <v>0</v>
      </c>
      <c r="Z1530" s="22">
        <v>0</v>
      </c>
      <c r="AA1530" s="20">
        <f t="shared" si="3088"/>
        <v>0</v>
      </c>
      <c r="AB1530" s="20">
        <v>0</v>
      </c>
      <c r="AC1530" s="20">
        <v>0</v>
      </c>
      <c r="AD1530" s="23">
        <f t="shared" ref="AD1530:AE1530" si="3145">AD1500</f>
        <v>56</v>
      </c>
      <c r="AE1530" s="23">
        <f t="shared" si="3145"/>
        <v>60</v>
      </c>
    </row>
    <row r="1531" spans="1:31" s="10" customFormat="1">
      <c r="A1531" s="10">
        <v>14200</v>
      </c>
      <c r="B1531" s="10">
        <v>30</v>
      </c>
      <c r="C1531" s="19" t="s">
        <v>75</v>
      </c>
      <c r="D1531" s="44">
        <v>0</v>
      </c>
      <c r="E1531" s="18">
        <v>0</v>
      </c>
      <c r="F1531" s="18">
        <f t="shared" si="3086"/>
        <v>630</v>
      </c>
      <c r="G1531" s="18">
        <v>0</v>
      </c>
      <c r="H1531" s="45">
        <v>0</v>
      </c>
      <c r="I1531" s="21">
        <f t="shared" si="3092"/>
        <v>440</v>
      </c>
      <c r="J1531" s="21">
        <f t="shared" si="3045"/>
        <v>29</v>
      </c>
      <c r="K1531" s="21">
        <v>0</v>
      </c>
      <c r="L1531" s="20">
        <v>6</v>
      </c>
      <c r="M1531" s="20">
        <v>0</v>
      </c>
      <c r="N1531" s="20">
        <f t="shared" si="3093"/>
        <v>15000</v>
      </c>
      <c r="O1531" s="19" t="s">
        <v>75</v>
      </c>
      <c r="P1531" s="20">
        <v>861</v>
      </c>
      <c r="Q1531" s="20">
        <f t="shared" ref="Q1531:X1531" si="3146">Q1501</f>
        <v>1500</v>
      </c>
      <c r="R1531" s="20">
        <f t="shared" si="3146"/>
        <v>6000</v>
      </c>
      <c r="S1531" s="20">
        <f t="shared" si="3146"/>
        <v>10500</v>
      </c>
      <c r="T1531" s="20">
        <f t="shared" si="3146"/>
        <v>13500</v>
      </c>
      <c r="U1531" s="20">
        <f t="shared" si="3146"/>
        <v>20</v>
      </c>
      <c r="V1531" s="20">
        <f t="shared" si="3146"/>
        <v>450</v>
      </c>
      <c r="W1531" s="20">
        <f t="shared" si="3146"/>
        <v>1000</v>
      </c>
      <c r="X1531" s="20">
        <f t="shared" si="3146"/>
        <v>8</v>
      </c>
      <c r="Y1531" s="20">
        <v>0</v>
      </c>
      <c r="Z1531" s="22">
        <v>0</v>
      </c>
      <c r="AA1531" s="20">
        <f t="shared" si="3088"/>
        <v>0</v>
      </c>
      <c r="AB1531" s="20">
        <v>0</v>
      </c>
      <c r="AC1531" s="20">
        <v>0</v>
      </c>
      <c r="AD1531" s="23">
        <f t="shared" ref="AD1531:AE1531" si="3147">AD1501</f>
        <v>58</v>
      </c>
      <c r="AE1531" s="23">
        <f t="shared" si="3147"/>
        <v>62</v>
      </c>
    </row>
    <row r="1532" spans="1:31" s="10" customFormat="1">
      <c r="A1532" s="10">
        <v>14201</v>
      </c>
      <c r="B1532" s="10">
        <v>1</v>
      </c>
      <c r="C1532" s="29" t="s">
        <v>66</v>
      </c>
      <c r="D1532" s="46">
        <v>0</v>
      </c>
      <c r="E1532" s="28">
        <v>0</v>
      </c>
      <c r="F1532" s="18">
        <f>F1382</f>
        <v>126</v>
      </c>
      <c r="G1532" s="28">
        <v>0</v>
      </c>
      <c r="H1532" s="47">
        <v>0</v>
      </c>
      <c r="I1532" s="21">
        <f t="shared" si="3092"/>
        <v>55</v>
      </c>
      <c r="J1532" s="21">
        <f t="shared" si="3045"/>
        <v>0</v>
      </c>
      <c r="K1532" s="21">
        <v>0</v>
      </c>
      <c r="L1532" s="20">
        <v>45</v>
      </c>
      <c r="M1532" s="20">
        <v>0</v>
      </c>
      <c r="N1532" s="20">
        <f t="shared" si="3093"/>
        <v>10</v>
      </c>
      <c r="O1532" s="19" t="s">
        <v>66</v>
      </c>
      <c r="P1532" s="20">
        <v>9400</v>
      </c>
      <c r="Q1532" s="20">
        <f t="shared" ref="Q1532:X1532" si="3148">Q1502</f>
        <v>1</v>
      </c>
      <c r="R1532" s="20">
        <f t="shared" si="3148"/>
        <v>4</v>
      </c>
      <c r="S1532" s="20">
        <f t="shared" si="3148"/>
        <v>7</v>
      </c>
      <c r="T1532" s="20">
        <f t="shared" si="3148"/>
        <v>9</v>
      </c>
      <c r="U1532" s="20">
        <f t="shared" si="3148"/>
        <v>9400</v>
      </c>
      <c r="V1532" s="20">
        <f t="shared" si="3148"/>
        <v>9400</v>
      </c>
      <c r="W1532" s="20">
        <f t="shared" si="3148"/>
        <v>9400</v>
      </c>
      <c r="X1532" s="20">
        <f t="shared" si="3148"/>
        <v>1</v>
      </c>
      <c r="Y1532" s="27">
        <v>0</v>
      </c>
      <c r="Z1532" s="30">
        <v>0</v>
      </c>
      <c r="AA1532" s="20">
        <f t="shared" si="3088"/>
        <v>0</v>
      </c>
      <c r="AB1532" s="27">
        <v>0</v>
      </c>
      <c r="AC1532" s="27">
        <v>0</v>
      </c>
      <c r="AD1532" s="23">
        <f t="shared" ref="AD1532:AE1532" si="3149">AD1502</f>
        <v>1</v>
      </c>
      <c r="AE1532" s="23">
        <f t="shared" si="3149"/>
        <v>3</v>
      </c>
    </row>
    <row r="1533" spans="1:31" s="10" customFormat="1">
      <c r="A1533" s="10">
        <v>14201</v>
      </c>
      <c r="B1533" s="10">
        <v>2</v>
      </c>
      <c r="C1533" s="29" t="s">
        <v>67</v>
      </c>
      <c r="D1533" s="46">
        <v>0</v>
      </c>
      <c r="E1533" s="28">
        <v>0</v>
      </c>
      <c r="F1533" s="18">
        <f t="shared" si="3086"/>
        <v>136</v>
      </c>
      <c r="G1533" s="28">
        <v>0</v>
      </c>
      <c r="H1533" s="47">
        <v>0</v>
      </c>
      <c r="I1533" s="21">
        <f t="shared" si="3092"/>
        <v>55</v>
      </c>
      <c r="J1533" s="21">
        <f t="shared" si="3045"/>
        <v>1</v>
      </c>
      <c r="K1533" s="21">
        <v>0</v>
      </c>
      <c r="L1533" s="20">
        <v>40</v>
      </c>
      <c r="M1533" s="20">
        <v>0</v>
      </c>
      <c r="N1533" s="20">
        <f t="shared" si="3093"/>
        <v>20</v>
      </c>
      <c r="O1533" s="19" t="s">
        <v>67</v>
      </c>
      <c r="P1533" s="20">
        <v>9100</v>
      </c>
      <c r="Q1533" s="20">
        <f t="shared" ref="Q1533:X1533" si="3150">Q1503</f>
        <v>2</v>
      </c>
      <c r="R1533" s="20">
        <f t="shared" si="3150"/>
        <v>8</v>
      </c>
      <c r="S1533" s="20">
        <f t="shared" si="3150"/>
        <v>14</v>
      </c>
      <c r="T1533" s="20">
        <f t="shared" si="3150"/>
        <v>18</v>
      </c>
      <c r="U1533" s="20">
        <f t="shared" si="3150"/>
        <v>4000</v>
      </c>
      <c r="V1533" s="20">
        <f t="shared" si="3150"/>
        <v>8000</v>
      </c>
      <c r="W1533" s="20">
        <f t="shared" si="3150"/>
        <v>8000</v>
      </c>
      <c r="X1533" s="20">
        <f t="shared" si="3150"/>
        <v>1</v>
      </c>
      <c r="Y1533" s="27">
        <v>0</v>
      </c>
      <c r="Z1533" s="30">
        <v>0</v>
      </c>
      <c r="AA1533" s="20">
        <f t="shared" si="3088"/>
        <v>0</v>
      </c>
      <c r="AB1533" s="27">
        <v>0</v>
      </c>
      <c r="AC1533" s="27">
        <v>0</v>
      </c>
      <c r="AD1533" s="23">
        <f t="shared" ref="AD1533:AE1533" si="3151">AD1503</f>
        <v>2</v>
      </c>
      <c r="AE1533" s="23">
        <f t="shared" si="3151"/>
        <v>5</v>
      </c>
    </row>
    <row r="1534" spans="1:31" s="10" customFormat="1">
      <c r="A1534" s="31">
        <v>14201</v>
      </c>
      <c r="B1534" s="31">
        <v>3</v>
      </c>
      <c r="C1534" s="29" t="s">
        <v>68</v>
      </c>
      <c r="D1534" s="46">
        <v>0</v>
      </c>
      <c r="E1534" s="28">
        <v>0</v>
      </c>
      <c r="F1534" s="18">
        <f t="shared" si="3086"/>
        <v>148</v>
      </c>
      <c r="G1534" s="28">
        <v>0</v>
      </c>
      <c r="H1534" s="47">
        <v>0</v>
      </c>
      <c r="I1534" s="21">
        <f t="shared" si="3092"/>
        <v>55</v>
      </c>
      <c r="J1534" s="21">
        <f t="shared" si="3045"/>
        <v>2</v>
      </c>
      <c r="K1534" s="21">
        <v>0</v>
      </c>
      <c r="L1534" s="20">
        <v>35</v>
      </c>
      <c r="M1534" s="20">
        <v>0</v>
      </c>
      <c r="N1534" s="20">
        <f t="shared" si="3093"/>
        <v>40</v>
      </c>
      <c r="O1534" s="19" t="s">
        <v>68</v>
      </c>
      <c r="P1534" s="20">
        <v>8600</v>
      </c>
      <c r="Q1534" s="20">
        <f t="shared" ref="Q1534:X1534" si="3152">Q1504</f>
        <v>4</v>
      </c>
      <c r="R1534" s="20">
        <f t="shared" si="3152"/>
        <v>16</v>
      </c>
      <c r="S1534" s="20">
        <f t="shared" si="3152"/>
        <v>28</v>
      </c>
      <c r="T1534" s="20">
        <f t="shared" si="3152"/>
        <v>36</v>
      </c>
      <c r="U1534" s="20">
        <f t="shared" si="3152"/>
        <v>1600</v>
      </c>
      <c r="V1534" s="20">
        <f t="shared" si="3152"/>
        <v>5000</v>
      </c>
      <c r="W1534" s="20">
        <f t="shared" si="3152"/>
        <v>6000</v>
      </c>
      <c r="X1534" s="20">
        <f t="shared" si="3152"/>
        <v>1</v>
      </c>
      <c r="Y1534" s="27">
        <v>0</v>
      </c>
      <c r="Z1534" s="30">
        <v>0</v>
      </c>
      <c r="AA1534" s="20">
        <f t="shared" si="3088"/>
        <v>0</v>
      </c>
      <c r="AB1534" s="27">
        <v>0</v>
      </c>
      <c r="AC1534" s="27">
        <v>0</v>
      </c>
      <c r="AD1534" s="23">
        <f t="shared" ref="AD1534:AE1534" si="3153">AD1504</f>
        <v>4</v>
      </c>
      <c r="AE1534" s="23">
        <f t="shared" si="3153"/>
        <v>8</v>
      </c>
    </row>
    <row r="1535" spans="1:31" s="10" customFormat="1">
      <c r="A1535" s="10">
        <v>14201</v>
      </c>
      <c r="B1535" s="10">
        <v>4</v>
      </c>
      <c r="C1535" s="29" t="s">
        <v>69</v>
      </c>
      <c r="D1535" s="46">
        <v>0</v>
      </c>
      <c r="E1535" s="28">
        <v>0</v>
      </c>
      <c r="F1535" s="18">
        <f t="shared" si="3086"/>
        <v>160</v>
      </c>
      <c r="G1535" s="28">
        <v>0</v>
      </c>
      <c r="H1535" s="47">
        <v>0</v>
      </c>
      <c r="I1535" s="21">
        <f t="shared" si="3092"/>
        <v>55</v>
      </c>
      <c r="J1535" s="21">
        <f t="shared" si="3045"/>
        <v>3</v>
      </c>
      <c r="K1535" s="21">
        <v>0</v>
      </c>
      <c r="L1535" s="20">
        <v>30</v>
      </c>
      <c r="M1535" s="20">
        <v>0</v>
      </c>
      <c r="N1535" s="20">
        <f t="shared" si="3093"/>
        <v>100</v>
      </c>
      <c r="O1535" s="19" t="s">
        <v>69</v>
      </c>
      <c r="P1535" s="20">
        <v>6400</v>
      </c>
      <c r="Q1535" s="20">
        <f t="shared" ref="Q1535:X1535" si="3154">Q1505</f>
        <v>10</v>
      </c>
      <c r="R1535" s="20">
        <f t="shared" si="3154"/>
        <v>40</v>
      </c>
      <c r="S1535" s="20">
        <f t="shared" si="3154"/>
        <v>70</v>
      </c>
      <c r="T1535" s="20">
        <f t="shared" si="3154"/>
        <v>90</v>
      </c>
      <c r="U1535" s="20">
        <f t="shared" si="3154"/>
        <v>900</v>
      </c>
      <c r="V1535" s="20">
        <f t="shared" si="3154"/>
        <v>2000</v>
      </c>
      <c r="W1535" s="20">
        <f t="shared" si="3154"/>
        <v>8000</v>
      </c>
      <c r="X1535" s="20">
        <f t="shared" si="3154"/>
        <v>1</v>
      </c>
      <c r="Y1535" s="27">
        <v>0</v>
      </c>
      <c r="Z1535" s="30">
        <v>0</v>
      </c>
      <c r="AA1535" s="20">
        <f t="shared" si="3088"/>
        <v>0</v>
      </c>
      <c r="AB1535" s="27">
        <v>0</v>
      </c>
      <c r="AC1535" s="27">
        <v>0</v>
      </c>
      <c r="AD1535" s="23">
        <f t="shared" ref="AD1535:AE1535" si="3155">AD1505</f>
        <v>6</v>
      </c>
      <c r="AE1535" s="23">
        <f t="shared" si="3155"/>
        <v>10</v>
      </c>
    </row>
    <row r="1536" spans="1:31" s="10" customFormat="1">
      <c r="A1536" s="10">
        <v>14201</v>
      </c>
      <c r="B1536" s="10">
        <v>5</v>
      </c>
      <c r="C1536" s="29" t="s">
        <v>70</v>
      </c>
      <c r="D1536" s="46">
        <v>0</v>
      </c>
      <c r="E1536" s="28">
        <v>0</v>
      </c>
      <c r="F1536" s="18">
        <f t="shared" si="3086"/>
        <v>174</v>
      </c>
      <c r="G1536" s="28">
        <v>0</v>
      </c>
      <c r="H1536" s="47">
        <v>0</v>
      </c>
      <c r="I1536" s="21">
        <f t="shared" si="3092"/>
        <v>110</v>
      </c>
      <c r="J1536" s="21">
        <f t="shared" si="3045"/>
        <v>4</v>
      </c>
      <c r="K1536" s="21">
        <v>0</v>
      </c>
      <c r="L1536" s="20">
        <v>25</v>
      </c>
      <c r="M1536" s="20">
        <v>0</v>
      </c>
      <c r="N1536" s="20">
        <f t="shared" si="3093"/>
        <v>200</v>
      </c>
      <c r="O1536" s="19" t="s">
        <v>70</v>
      </c>
      <c r="P1536" s="20">
        <v>3100</v>
      </c>
      <c r="Q1536" s="20">
        <f t="shared" ref="Q1536:X1536" si="3156">Q1506</f>
        <v>20</v>
      </c>
      <c r="R1536" s="20">
        <f t="shared" si="3156"/>
        <v>80</v>
      </c>
      <c r="S1536" s="20">
        <f t="shared" si="3156"/>
        <v>140</v>
      </c>
      <c r="T1536" s="20">
        <f t="shared" si="3156"/>
        <v>180</v>
      </c>
      <c r="U1536" s="20">
        <f t="shared" si="3156"/>
        <v>1000</v>
      </c>
      <c r="V1536" s="20">
        <f t="shared" si="3156"/>
        <v>2000</v>
      </c>
      <c r="W1536" s="20">
        <f t="shared" si="3156"/>
        <v>2000</v>
      </c>
      <c r="X1536" s="20">
        <f t="shared" si="3156"/>
        <v>2</v>
      </c>
      <c r="Y1536" s="27">
        <v>0</v>
      </c>
      <c r="Z1536" s="30">
        <v>0</v>
      </c>
      <c r="AA1536" s="20">
        <f t="shared" si="3088"/>
        <v>0</v>
      </c>
      <c r="AB1536" s="27">
        <v>0</v>
      </c>
      <c r="AC1536" s="27">
        <v>0</v>
      </c>
      <c r="AD1536" s="23">
        <f t="shared" ref="AD1536:AE1536" si="3157">AD1506</f>
        <v>8</v>
      </c>
      <c r="AE1536" s="23">
        <f t="shared" si="3157"/>
        <v>12</v>
      </c>
    </row>
    <row r="1537" spans="1:31" s="10" customFormat="1">
      <c r="A1537" s="10">
        <v>14201</v>
      </c>
      <c r="B1537" s="10">
        <v>6</v>
      </c>
      <c r="C1537" s="29" t="s">
        <v>71</v>
      </c>
      <c r="D1537" s="46">
        <v>0</v>
      </c>
      <c r="E1537" s="28">
        <v>0</v>
      </c>
      <c r="F1537" s="18">
        <f t="shared" si="3086"/>
        <v>188</v>
      </c>
      <c r="G1537" s="28">
        <v>0</v>
      </c>
      <c r="H1537" s="47">
        <v>0</v>
      </c>
      <c r="I1537" s="21">
        <f t="shared" si="3092"/>
        <v>110</v>
      </c>
      <c r="J1537" s="21">
        <f t="shared" si="3045"/>
        <v>5</v>
      </c>
      <c r="K1537" s="21">
        <v>0</v>
      </c>
      <c r="L1537" s="20">
        <v>20</v>
      </c>
      <c r="M1537" s="20">
        <v>0</v>
      </c>
      <c r="N1537" s="20">
        <f t="shared" si="3093"/>
        <v>500</v>
      </c>
      <c r="O1537" s="19" t="s">
        <v>71</v>
      </c>
      <c r="P1537" s="20">
        <v>1777</v>
      </c>
      <c r="Q1537" s="20">
        <f t="shared" ref="Q1537:X1537" si="3158">Q1507</f>
        <v>50</v>
      </c>
      <c r="R1537" s="20">
        <f t="shared" si="3158"/>
        <v>200</v>
      </c>
      <c r="S1537" s="20">
        <f t="shared" si="3158"/>
        <v>350</v>
      </c>
      <c r="T1537" s="20">
        <f t="shared" si="3158"/>
        <v>450</v>
      </c>
      <c r="U1537" s="20">
        <f t="shared" si="3158"/>
        <v>800</v>
      </c>
      <c r="V1537" s="20">
        <f t="shared" si="3158"/>
        <v>800</v>
      </c>
      <c r="W1537" s="20">
        <f t="shared" si="3158"/>
        <v>600</v>
      </c>
      <c r="X1537" s="20">
        <f t="shared" si="3158"/>
        <v>2</v>
      </c>
      <c r="Y1537" s="27">
        <v>0</v>
      </c>
      <c r="Z1537" s="30">
        <v>0</v>
      </c>
      <c r="AA1537" s="20">
        <f t="shared" si="3088"/>
        <v>0</v>
      </c>
      <c r="AB1537" s="27">
        <v>0</v>
      </c>
      <c r="AC1537" s="27">
        <v>0</v>
      </c>
      <c r="AD1537" s="23">
        <f t="shared" ref="AD1537:AE1537" si="3159">AD1507</f>
        <v>10</v>
      </c>
      <c r="AE1537" s="23">
        <f t="shared" si="3159"/>
        <v>14</v>
      </c>
    </row>
    <row r="1538" spans="1:31" s="10" customFormat="1">
      <c r="A1538" s="10">
        <v>14201</v>
      </c>
      <c r="B1538" s="10">
        <v>7</v>
      </c>
      <c r="C1538" s="29" t="s">
        <v>72</v>
      </c>
      <c r="D1538" s="46">
        <v>0</v>
      </c>
      <c r="E1538" s="28">
        <v>0</v>
      </c>
      <c r="F1538" s="18">
        <f t="shared" si="3086"/>
        <v>202</v>
      </c>
      <c r="G1538" s="28">
        <v>0</v>
      </c>
      <c r="H1538" s="47">
        <v>0</v>
      </c>
      <c r="I1538" s="21">
        <f t="shared" si="3092"/>
        <v>110</v>
      </c>
      <c r="J1538" s="21">
        <f t="shared" si="3045"/>
        <v>6</v>
      </c>
      <c r="K1538" s="21">
        <v>0</v>
      </c>
      <c r="L1538" s="20">
        <v>16</v>
      </c>
      <c r="M1538" s="20">
        <v>0</v>
      </c>
      <c r="N1538" s="20">
        <f t="shared" si="3093"/>
        <v>700</v>
      </c>
      <c r="O1538" s="19" t="s">
        <v>72</v>
      </c>
      <c r="P1538" s="20">
        <v>2332</v>
      </c>
      <c r="Q1538" s="20">
        <f t="shared" ref="Q1538:X1538" si="3160">Q1508</f>
        <v>70</v>
      </c>
      <c r="R1538" s="20">
        <f t="shared" si="3160"/>
        <v>280</v>
      </c>
      <c r="S1538" s="20">
        <f t="shared" si="3160"/>
        <v>489.99999999999994</v>
      </c>
      <c r="T1538" s="20">
        <f t="shared" si="3160"/>
        <v>630</v>
      </c>
      <c r="U1538" s="20">
        <f t="shared" si="3160"/>
        <v>650</v>
      </c>
      <c r="V1538" s="20">
        <f t="shared" si="3160"/>
        <v>800</v>
      </c>
      <c r="W1538" s="20">
        <f t="shared" si="3160"/>
        <v>300</v>
      </c>
      <c r="X1538" s="20">
        <f t="shared" si="3160"/>
        <v>2</v>
      </c>
      <c r="Y1538" s="27">
        <v>0</v>
      </c>
      <c r="Z1538" s="30">
        <v>0</v>
      </c>
      <c r="AA1538" s="20">
        <f t="shared" si="3088"/>
        <v>0</v>
      </c>
      <c r="AB1538" s="27">
        <v>0</v>
      </c>
      <c r="AC1538" s="27">
        <v>0</v>
      </c>
      <c r="AD1538" s="23">
        <f t="shared" ref="AD1538:AE1538" si="3161">AD1508</f>
        <v>12</v>
      </c>
      <c r="AE1538" s="23">
        <f t="shared" si="3161"/>
        <v>16</v>
      </c>
    </row>
    <row r="1539" spans="1:31" s="10" customFormat="1">
      <c r="A1539" s="10">
        <v>14201</v>
      </c>
      <c r="B1539" s="10">
        <v>8</v>
      </c>
      <c r="C1539" s="29" t="s">
        <v>73</v>
      </c>
      <c r="D1539" s="46">
        <v>0</v>
      </c>
      <c r="E1539" s="28">
        <v>0</v>
      </c>
      <c r="F1539" s="18">
        <f t="shared" si="3086"/>
        <v>220</v>
      </c>
      <c r="G1539" s="28">
        <v>0</v>
      </c>
      <c r="H1539" s="47">
        <v>0</v>
      </c>
      <c r="I1539" s="21">
        <f t="shared" si="3092"/>
        <v>110</v>
      </c>
      <c r="J1539" s="21">
        <f t="shared" si="3045"/>
        <v>7</v>
      </c>
      <c r="K1539" s="21">
        <v>0</v>
      </c>
      <c r="L1539" s="20">
        <v>12</v>
      </c>
      <c r="M1539" s="20">
        <v>0</v>
      </c>
      <c r="N1539" s="20">
        <f t="shared" si="3093"/>
        <v>800</v>
      </c>
      <c r="O1539" s="19" t="s">
        <v>73</v>
      </c>
      <c r="P1539" s="20">
        <v>1487</v>
      </c>
      <c r="Q1539" s="20">
        <f t="shared" ref="Q1539:X1539" si="3162">Q1509</f>
        <v>80</v>
      </c>
      <c r="R1539" s="20">
        <f t="shared" si="3162"/>
        <v>320</v>
      </c>
      <c r="S1539" s="20">
        <f t="shared" si="3162"/>
        <v>560</v>
      </c>
      <c r="T1539" s="20">
        <f t="shared" si="3162"/>
        <v>720</v>
      </c>
      <c r="U1539" s="20">
        <f t="shared" si="3162"/>
        <v>200</v>
      </c>
      <c r="V1539" s="20">
        <f t="shared" si="3162"/>
        <v>2000</v>
      </c>
      <c r="W1539" s="20">
        <f t="shared" si="3162"/>
        <v>1000</v>
      </c>
      <c r="X1539" s="20">
        <f t="shared" si="3162"/>
        <v>2</v>
      </c>
      <c r="Y1539" s="27">
        <v>0</v>
      </c>
      <c r="Z1539" s="30">
        <v>0</v>
      </c>
      <c r="AA1539" s="20">
        <f t="shared" si="3088"/>
        <v>33</v>
      </c>
      <c r="AB1539" s="27">
        <v>0</v>
      </c>
      <c r="AC1539" s="27">
        <v>0</v>
      </c>
      <c r="AD1539" s="23">
        <f t="shared" ref="AD1539:AE1539" si="3163">AD1509</f>
        <v>14</v>
      </c>
      <c r="AE1539" s="23">
        <f t="shared" si="3163"/>
        <v>18</v>
      </c>
    </row>
    <row r="1540" spans="1:31" s="10" customFormat="1">
      <c r="A1540" s="10">
        <v>14201</v>
      </c>
      <c r="B1540" s="10">
        <v>9</v>
      </c>
      <c r="C1540" s="29" t="s">
        <v>74</v>
      </c>
      <c r="D1540" s="46">
        <v>0</v>
      </c>
      <c r="E1540" s="28">
        <v>0</v>
      </c>
      <c r="F1540" s="18">
        <f t="shared" si="3086"/>
        <v>238</v>
      </c>
      <c r="G1540" s="28">
        <v>0</v>
      </c>
      <c r="H1540" s="47">
        <v>0</v>
      </c>
      <c r="I1540" s="21">
        <f t="shared" si="3092"/>
        <v>165</v>
      </c>
      <c r="J1540" s="21">
        <f t="shared" si="3045"/>
        <v>8</v>
      </c>
      <c r="K1540" s="21">
        <v>0</v>
      </c>
      <c r="L1540" s="20">
        <v>8</v>
      </c>
      <c r="M1540" s="20">
        <v>0</v>
      </c>
      <c r="N1540" s="20">
        <f t="shared" si="3093"/>
        <v>900</v>
      </c>
      <c r="O1540" s="19" t="s">
        <v>74</v>
      </c>
      <c r="P1540" s="20">
        <v>1518</v>
      </c>
      <c r="Q1540" s="20">
        <f t="shared" ref="Q1540:X1540" si="3164">Q1510</f>
        <v>90</v>
      </c>
      <c r="R1540" s="20">
        <f t="shared" si="3164"/>
        <v>360</v>
      </c>
      <c r="S1540" s="20">
        <f t="shared" si="3164"/>
        <v>630</v>
      </c>
      <c r="T1540" s="20">
        <f t="shared" si="3164"/>
        <v>810</v>
      </c>
      <c r="U1540" s="20">
        <f t="shared" si="3164"/>
        <v>120</v>
      </c>
      <c r="V1540" s="20">
        <f t="shared" si="3164"/>
        <v>1500</v>
      </c>
      <c r="W1540" s="20">
        <f t="shared" si="3164"/>
        <v>1000</v>
      </c>
      <c r="X1540" s="20">
        <f t="shared" si="3164"/>
        <v>3</v>
      </c>
      <c r="Y1540" s="27">
        <v>0</v>
      </c>
      <c r="Z1540" s="30">
        <v>0</v>
      </c>
      <c r="AA1540" s="20">
        <f t="shared" si="3088"/>
        <v>0</v>
      </c>
      <c r="AB1540" s="27">
        <v>0</v>
      </c>
      <c r="AC1540" s="27">
        <v>0</v>
      </c>
      <c r="AD1540" s="23">
        <f t="shared" ref="AD1540:AE1540" si="3165">AD1510</f>
        <v>16</v>
      </c>
      <c r="AE1540" s="23">
        <f t="shared" si="3165"/>
        <v>20</v>
      </c>
    </row>
    <row r="1541" spans="1:31" s="10" customFormat="1">
      <c r="A1541" s="10">
        <v>14201</v>
      </c>
      <c r="B1541" s="10">
        <v>10</v>
      </c>
      <c r="C1541" s="29" t="s">
        <v>75</v>
      </c>
      <c r="D1541" s="46">
        <v>0</v>
      </c>
      <c r="E1541" s="28">
        <v>0</v>
      </c>
      <c r="F1541" s="18">
        <f t="shared" si="3086"/>
        <v>258</v>
      </c>
      <c r="G1541" s="28">
        <v>0</v>
      </c>
      <c r="H1541" s="47">
        <v>0</v>
      </c>
      <c r="I1541" s="21">
        <f t="shared" si="3092"/>
        <v>165</v>
      </c>
      <c r="J1541" s="21">
        <f t="shared" si="3045"/>
        <v>9</v>
      </c>
      <c r="K1541" s="21">
        <v>0</v>
      </c>
      <c r="L1541" s="20">
        <v>6</v>
      </c>
      <c r="M1541" s="20">
        <v>0</v>
      </c>
      <c r="N1541" s="20">
        <f t="shared" si="3093"/>
        <v>2000</v>
      </c>
      <c r="O1541" s="19" t="s">
        <v>75</v>
      </c>
      <c r="P1541" s="20">
        <v>861</v>
      </c>
      <c r="Q1541" s="20">
        <f t="shared" ref="Q1541:X1541" si="3166">Q1511</f>
        <v>200</v>
      </c>
      <c r="R1541" s="20">
        <f t="shared" si="3166"/>
        <v>800</v>
      </c>
      <c r="S1541" s="20">
        <f t="shared" si="3166"/>
        <v>1400</v>
      </c>
      <c r="T1541" s="20">
        <f t="shared" si="3166"/>
        <v>1800</v>
      </c>
      <c r="U1541" s="20">
        <f t="shared" si="3166"/>
        <v>150</v>
      </c>
      <c r="V1541" s="20">
        <f t="shared" si="3166"/>
        <v>5000</v>
      </c>
      <c r="W1541" s="20">
        <f t="shared" si="3166"/>
        <v>800</v>
      </c>
      <c r="X1541" s="20">
        <f t="shared" si="3166"/>
        <v>3</v>
      </c>
      <c r="Y1541" s="27">
        <v>0</v>
      </c>
      <c r="Z1541" s="30">
        <v>0</v>
      </c>
      <c r="AA1541" s="20">
        <f t="shared" si="3088"/>
        <v>0</v>
      </c>
      <c r="AB1541" s="27">
        <v>0</v>
      </c>
      <c r="AC1541" s="27">
        <v>0</v>
      </c>
      <c r="AD1541" s="23">
        <f t="shared" ref="AD1541:AE1541" si="3167">AD1511</f>
        <v>18</v>
      </c>
      <c r="AE1541" s="23">
        <f t="shared" si="3167"/>
        <v>22</v>
      </c>
    </row>
    <row r="1542" spans="1:31" s="10" customFormat="1">
      <c r="A1542" s="10">
        <v>14201</v>
      </c>
      <c r="B1542" s="10">
        <v>11</v>
      </c>
      <c r="C1542" s="29" t="s">
        <v>66</v>
      </c>
      <c r="D1542" s="46">
        <v>0</v>
      </c>
      <c r="E1542" s="28">
        <v>0</v>
      </c>
      <c r="F1542" s="18">
        <f t="shared" si="3086"/>
        <v>278</v>
      </c>
      <c r="G1542" s="28">
        <v>0</v>
      </c>
      <c r="H1542" s="47">
        <v>0</v>
      </c>
      <c r="I1542" s="21">
        <f t="shared" si="3092"/>
        <v>165</v>
      </c>
      <c r="J1542" s="21">
        <f t="shared" si="3045"/>
        <v>10</v>
      </c>
      <c r="K1542" s="21">
        <v>0</v>
      </c>
      <c r="L1542" s="20">
        <v>6</v>
      </c>
      <c r="M1542" s="20">
        <v>0</v>
      </c>
      <c r="N1542" s="20">
        <f t="shared" si="3093"/>
        <v>2200</v>
      </c>
      <c r="O1542" s="19" t="s">
        <v>66</v>
      </c>
      <c r="P1542" s="20">
        <v>9400</v>
      </c>
      <c r="Q1542" s="20">
        <f t="shared" ref="Q1542:X1542" si="3168">Q1512</f>
        <v>220</v>
      </c>
      <c r="R1542" s="20">
        <f t="shared" si="3168"/>
        <v>880</v>
      </c>
      <c r="S1542" s="20">
        <f t="shared" si="3168"/>
        <v>1540</v>
      </c>
      <c r="T1542" s="20">
        <f t="shared" si="3168"/>
        <v>1980</v>
      </c>
      <c r="U1542" s="20">
        <f t="shared" si="3168"/>
        <v>100</v>
      </c>
      <c r="V1542" s="20">
        <f t="shared" si="3168"/>
        <v>800</v>
      </c>
      <c r="W1542" s="20">
        <f t="shared" si="3168"/>
        <v>600</v>
      </c>
      <c r="X1542" s="20">
        <f t="shared" si="3168"/>
        <v>3</v>
      </c>
      <c r="Y1542" s="27">
        <v>0</v>
      </c>
      <c r="Z1542" s="30">
        <v>0</v>
      </c>
      <c r="AA1542" s="20">
        <f t="shared" si="3088"/>
        <v>0</v>
      </c>
      <c r="AB1542" s="27">
        <v>0</v>
      </c>
      <c r="AC1542" s="27">
        <v>0</v>
      </c>
      <c r="AD1542" s="23">
        <f t="shared" ref="AD1542:AE1542" si="3169">AD1512</f>
        <v>20</v>
      </c>
      <c r="AE1542" s="23">
        <f t="shared" si="3169"/>
        <v>24</v>
      </c>
    </row>
    <row r="1543" spans="1:31" s="10" customFormat="1">
      <c r="A1543" s="10">
        <v>14201</v>
      </c>
      <c r="B1543" s="10">
        <v>12</v>
      </c>
      <c r="C1543" s="29" t="s">
        <v>67</v>
      </c>
      <c r="D1543" s="46">
        <v>0</v>
      </c>
      <c r="E1543" s="28">
        <v>0</v>
      </c>
      <c r="F1543" s="18">
        <f t="shared" si="3086"/>
        <v>302</v>
      </c>
      <c r="G1543" s="28">
        <v>0</v>
      </c>
      <c r="H1543" s="47">
        <v>0</v>
      </c>
      <c r="I1543" s="21">
        <f t="shared" si="3092"/>
        <v>165</v>
      </c>
      <c r="J1543" s="21">
        <f t="shared" si="3045"/>
        <v>11</v>
      </c>
      <c r="K1543" s="21">
        <v>0</v>
      </c>
      <c r="L1543" s="20">
        <v>6</v>
      </c>
      <c r="M1543" s="20">
        <v>0</v>
      </c>
      <c r="N1543" s="20">
        <f t="shared" si="3093"/>
        <v>2400</v>
      </c>
      <c r="O1543" s="19" t="s">
        <v>67</v>
      </c>
      <c r="P1543" s="20">
        <v>9100</v>
      </c>
      <c r="Q1543" s="20">
        <f t="shared" ref="Q1543:X1543" si="3170">Q1513</f>
        <v>240</v>
      </c>
      <c r="R1543" s="20">
        <f t="shared" si="3170"/>
        <v>960</v>
      </c>
      <c r="S1543" s="20">
        <f t="shared" si="3170"/>
        <v>1680</v>
      </c>
      <c r="T1543" s="20">
        <f t="shared" si="3170"/>
        <v>2160</v>
      </c>
      <c r="U1543" s="20">
        <f t="shared" si="3170"/>
        <v>150</v>
      </c>
      <c r="V1543" s="20">
        <f t="shared" si="3170"/>
        <v>700</v>
      </c>
      <c r="W1543" s="20">
        <f t="shared" si="3170"/>
        <v>900</v>
      </c>
      <c r="X1543" s="20">
        <f t="shared" si="3170"/>
        <v>3</v>
      </c>
      <c r="Y1543" s="27">
        <v>0</v>
      </c>
      <c r="Z1543" s="30">
        <v>0</v>
      </c>
      <c r="AA1543" s="20">
        <f t="shared" si="3088"/>
        <v>0</v>
      </c>
      <c r="AB1543" s="27">
        <v>0</v>
      </c>
      <c r="AC1543" s="27">
        <v>0</v>
      </c>
      <c r="AD1543" s="23">
        <f t="shared" ref="AD1543:AE1543" si="3171">AD1513</f>
        <v>22</v>
      </c>
      <c r="AE1543" s="23">
        <f t="shared" si="3171"/>
        <v>26</v>
      </c>
    </row>
    <row r="1544" spans="1:31" s="10" customFormat="1">
      <c r="A1544" s="10">
        <v>14201</v>
      </c>
      <c r="B1544" s="10">
        <v>13</v>
      </c>
      <c r="C1544" s="29" t="s">
        <v>68</v>
      </c>
      <c r="D1544" s="46">
        <v>0</v>
      </c>
      <c r="E1544" s="28">
        <v>0</v>
      </c>
      <c r="F1544" s="18">
        <f t="shared" si="3086"/>
        <v>326</v>
      </c>
      <c r="G1544" s="28">
        <v>0</v>
      </c>
      <c r="H1544" s="47">
        <v>0</v>
      </c>
      <c r="I1544" s="21">
        <f t="shared" si="3092"/>
        <v>220</v>
      </c>
      <c r="J1544" s="21">
        <f t="shared" si="3045"/>
        <v>12</v>
      </c>
      <c r="K1544" s="21">
        <v>0</v>
      </c>
      <c r="L1544" s="20">
        <v>6</v>
      </c>
      <c r="M1544" s="20">
        <v>0</v>
      </c>
      <c r="N1544" s="20">
        <f t="shared" si="3093"/>
        <v>2600</v>
      </c>
      <c r="O1544" s="19" t="s">
        <v>68</v>
      </c>
      <c r="P1544" s="20">
        <v>8600</v>
      </c>
      <c r="Q1544" s="20">
        <f t="shared" ref="Q1544:X1544" si="3172">Q1514</f>
        <v>260</v>
      </c>
      <c r="R1544" s="20">
        <f t="shared" si="3172"/>
        <v>1040</v>
      </c>
      <c r="S1544" s="20">
        <f t="shared" si="3172"/>
        <v>1819.9999999999998</v>
      </c>
      <c r="T1544" s="20">
        <f t="shared" si="3172"/>
        <v>2340</v>
      </c>
      <c r="U1544" s="20">
        <f t="shared" si="3172"/>
        <v>100</v>
      </c>
      <c r="V1544" s="20">
        <f t="shared" si="3172"/>
        <v>700</v>
      </c>
      <c r="W1544" s="20">
        <f t="shared" si="3172"/>
        <v>1000</v>
      </c>
      <c r="X1544" s="20">
        <f t="shared" si="3172"/>
        <v>4</v>
      </c>
      <c r="Y1544" s="27">
        <v>0</v>
      </c>
      <c r="Z1544" s="30">
        <v>0</v>
      </c>
      <c r="AA1544" s="20">
        <f t="shared" si="3088"/>
        <v>69</v>
      </c>
      <c r="AB1544" s="27">
        <v>0</v>
      </c>
      <c r="AC1544" s="27">
        <v>0</v>
      </c>
      <c r="AD1544" s="23">
        <f t="shared" ref="AD1544:AE1544" si="3173">AD1514</f>
        <v>24</v>
      </c>
      <c r="AE1544" s="23">
        <f t="shared" si="3173"/>
        <v>28</v>
      </c>
    </row>
    <row r="1545" spans="1:31" s="10" customFormat="1">
      <c r="A1545" s="10">
        <v>14201</v>
      </c>
      <c r="B1545" s="10">
        <v>14</v>
      </c>
      <c r="C1545" s="29" t="s">
        <v>69</v>
      </c>
      <c r="D1545" s="46">
        <v>0</v>
      </c>
      <c r="E1545" s="28">
        <v>0</v>
      </c>
      <c r="F1545" s="18">
        <f t="shared" si="3086"/>
        <v>354</v>
      </c>
      <c r="G1545" s="28">
        <v>0</v>
      </c>
      <c r="H1545" s="47">
        <v>0</v>
      </c>
      <c r="I1545" s="21">
        <f t="shared" si="3092"/>
        <v>220</v>
      </c>
      <c r="J1545" s="21">
        <f t="shared" si="3045"/>
        <v>13</v>
      </c>
      <c r="K1545" s="21">
        <v>0</v>
      </c>
      <c r="L1545" s="20">
        <v>6</v>
      </c>
      <c r="M1545" s="20">
        <v>0</v>
      </c>
      <c r="N1545" s="20">
        <f t="shared" si="3093"/>
        <v>2800</v>
      </c>
      <c r="O1545" s="19" t="s">
        <v>69</v>
      </c>
      <c r="P1545" s="20">
        <v>6400</v>
      </c>
      <c r="Q1545" s="20">
        <f t="shared" ref="Q1545:X1545" si="3174">Q1515</f>
        <v>280</v>
      </c>
      <c r="R1545" s="20">
        <f t="shared" si="3174"/>
        <v>1120</v>
      </c>
      <c r="S1545" s="20">
        <f t="shared" si="3174"/>
        <v>1959.9999999999998</v>
      </c>
      <c r="T1545" s="20">
        <f t="shared" si="3174"/>
        <v>2520</v>
      </c>
      <c r="U1545" s="20">
        <f t="shared" si="3174"/>
        <v>100</v>
      </c>
      <c r="V1545" s="20">
        <f t="shared" si="3174"/>
        <v>400</v>
      </c>
      <c r="W1545" s="20">
        <f t="shared" si="3174"/>
        <v>1200</v>
      </c>
      <c r="X1545" s="20">
        <f t="shared" si="3174"/>
        <v>4</v>
      </c>
      <c r="Y1545" s="27">
        <v>0</v>
      </c>
      <c r="Z1545" s="30">
        <v>0</v>
      </c>
      <c r="AA1545" s="20">
        <f t="shared" si="3088"/>
        <v>0</v>
      </c>
      <c r="AB1545" s="27">
        <v>0</v>
      </c>
      <c r="AC1545" s="27">
        <v>0</v>
      </c>
      <c r="AD1545" s="23">
        <f t="shared" ref="AD1545:AE1545" si="3175">AD1515</f>
        <v>26</v>
      </c>
      <c r="AE1545" s="23">
        <f t="shared" si="3175"/>
        <v>30</v>
      </c>
    </row>
    <row r="1546" spans="1:31" s="10" customFormat="1">
      <c r="A1546" s="31">
        <v>14201</v>
      </c>
      <c r="B1546" s="31">
        <v>15</v>
      </c>
      <c r="C1546" s="29" t="s">
        <v>70</v>
      </c>
      <c r="D1546" s="46">
        <v>0</v>
      </c>
      <c r="E1546" s="28">
        <v>0</v>
      </c>
      <c r="F1546" s="18">
        <f t="shared" si="3086"/>
        <v>382</v>
      </c>
      <c r="G1546" s="28">
        <v>0</v>
      </c>
      <c r="H1546" s="47">
        <v>0</v>
      </c>
      <c r="I1546" s="21">
        <f t="shared" si="3092"/>
        <v>220</v>
      </c>
      <c r="J1546" s="21">
        <f t="shared" si="3045"/>
        <v>14</v>
      </c>
      <c r="K1546" s="21">
        <v>0</v>
      </c>
      <c r="L1546" s="20">
        <v>6</v>
      </c>
      <c r="M1546" s="20">
        <v>0</v>
      </c>
      <c r="N1546" s="20">
        <f t="shared" si="3093"/>
        <v>4500</v>
      </c>
      <c r="O1546" s="19" t="s">
        <v>70</v>
      </c>
      <c r="P1546" s="20">
        <v>3100</v>
      </c>
      <c r="Q1546" s="20">
        <f t="shared" ref="Q1546:X1546" si="3176">Q1516</f>
        <v>450</v>
      </c>
      <c r="R1546" s="20">
        <f t="shared" si="3176"/>
        <v>1800</v>
      </c>
      <c r="S1546" s="20">
        <f t="shared" si="3176"/>
        <v>3150</v>
      </c>
      <c r="T1546" s="20">
        <f t="shared" si="3176"/>
        <v>4050</v>
      </c>
      <c r="U1546" s="20">
        <f t="shared" si="3176"/>
        <v>100</v>
      </c>
      <c r="V1546" s="20">
        <f t="shared" si="3176"/>
        <v>1000</v>
      </c>
      <c r="W1546" s="20">
        <f t="shared" si="3176"/>
        <v>600</v>
      </c>
      <c r="X1546" s="20">
        <f t="shared" si="3176"/>
        <v>4</v>
      </c>
      <c r="Y1546" s="27">
        <v>0</v>
      </c>
      <c r="Z1546" s="30">
        <v>0</v>
      </c>
      <c r="AA1546" s="20">
        <f t="shared" si="3088"/>
        <v>0</v>
      </c>
      <c r="AB1546" s="27">
        <v>0</v>
      </c>
      <c r="AC1546" s="27">
        <v>0</v>
      </c>
      <c r="AD1546" s="23">
        <f t="shared" ref="AD1546:AE1546" si="3177">AD1516</f>
        <v>28</v>
      </c>
      <c r="AE1546" s="23">
        <f t="shared" si="3177"/>
        <v>32</v>
      </c>
    </row>
    <row r="1547" spans="1:31" s="10" customFormat="1">
      <c r="A1547" s="10">
        <v>14201</v>
      </c>
      <c r="B1547" s="10">
        <v>16</v>
      </c>
      <c r="C1547" s="29" t="s">
        <v>71</v>
      </c>
      <c r="D1547" s="46">
        <v>0</v>
      </c>
      <c r="E1547" s="28">
        <v>0</v>
      </c>
      <c r="F1547" s="18">
        <f t="shared" si="3086"/>
        <v>414</v>
      </c>
      <c r="G1547" s="28">
        <v>0</v>
      </c>
      <c r="H1547" s="47">
        <v>0</v>
      </c>
      <c r="I1547" s="21">
        <f t="shared" si="3092"/>
        <v>220</v>
      </c>
      <c r="J1547" s="21">
        <f t="shared" ref="J1547:J1610" si="3178">B1547-1</f>
        <v>15</v>
      </c>
      <c r="K1547" s="21">
        <v>0</v>
      </c>
      <c r="L1547" s="20">
        <v>6</v>
      </c>
      <c r="M1547" s="20">
        <v>0</v>
      </c>
      <c r="N1547" s="20">
        <f t="shared" si="3093"/>
        <v>4800</v>
      </c>
      <c r="O1547" s="19" t="s">
        <v>71</v>
      </c>
      <c r="P1547" s="20">
        <v>1777</v>
      </c>
      <c r="Q1547" s="20">
        <f t="shared" ref="Q1547:X1547" si="3179">Q1517</f>
        <v>480</v>
      </c>
      <c r="R1547" s="20">
        <f t="shared" si="3179"/>
        <v>1920</v>
      </c>
      <c r="S1547" s="20">
        <f t="shared" si="3179"/>
        <v>3360</v>
      </c>
      <c r="T1547" s="20">
        <f t="shared" si="3179"/>
        <v>4320</v>
      </c>
      <c r="U1547" s="20">
        <f t="shared" si="3179"/>
        <v>100</v>
      </c>
      <c r="V1547" s="20">
        <f t="shared" si="3179"/>
        <v>800</v>
      </c>
      <c r="W1547" s="20">
        <f t="shared" si="3179"/>
        <v>800</v>
      </c>
      <c r="X1547" s="20">
        <f t="shared" si="3179"/>
        <v>4</v>
      </c>
      <c r="Y1547" s="27">
        <v>0</v>
      </c>
      <c r="Z1547" s="30">
        <v>0</v>
      </c>
      <c r="AA1547" s="20">
        <f t="shared" si="3088"/>
        <v>0</v>
      </c>
      <c r="AB1547" s="27">
        <v>0</v>
      </c>
      <c r="AC1547" s="27">
        <v>0</v>
      </c>
      <c r="AD1547" s="23">
        <f t="shared" ref="AD1547:AE1547" si="3180">AD1517</f>
        <v>30</v>
      </c>
      <c r="AE1547" s="23">
        <f t="shared" si="3180"/>
        <v>34</v>
      </c>
    </row>
    <row r="1548" spans="1:31" s="10" customFormat="1">
      <c r="A1548" s="10">
        <v>14201</v>
      </c>
      <c r="B1548" s="10">
        <v>17</v>
      </c>
      <c r="C1548" s="29" t="s">
        <v>72</v>
      </c>
      <c r="D1548" s="46">
        <v>0</v>
      </c>
      <c r="E1548" s="28">
        <v>0</v>
      </c>
      <c r="F1548" s="18">
        <f t="shared" si="3086"/>
        <v>448</v>
      </c>
      <c r="G1548" s="28">
        <v>0</v>
      </c>
      <c r="H1548" s="47">
        <v>0</v>
      </c>
      <c r="I1548" s="21">
        <f t="shared" si="3092"/>
        <v>275</v>
      </c>
      <c r="J1548" s="21">
        <f t="shared" si="3178"/>
        <v>16</v>
      </c>
      <c r="K1548" s="21">
        <v>0</v>
      </c>
      <c r="L1548" s="20">
        <v>6</v>
      </c>
      <c r="M1548" s="20">
        <v>0</v>
      </c>
      <c r="N1548" s="20">
        <f t="shared" si="3093"/>
        <v>5100</v>
      </c>
      <c r="O1548" s="19" t="s">
        <v>72</v>
      </c>
      <c r="P1548" s="20">
        <v>2332</v>
      </c>
      <c r="Q1548" s="20">
        <f t="shared" ref="Q1548:X1548" si="3181">Q1518</f>
        <v>510</v>
      </c>
      <c r="R1548" s="20">
        <f t="shared" si="3181"/>
        <v>2040</v>
      </c>
      <c r="S1548" s="20">
        <f t="shared" si="3181"/>
        <v>3570</v>
      </c>
      <c r="T1548" s="20">
        <f t="shared" si="3181"/>
        <v>4590</v>
      </c>
      <c r="U1548" s="20">
        <f t="shared" si="3181"/>
        <v>80</v>
      </c>
      <c r="V1548" s="20">
        <f t="shared" si="3181"/>
        <v>800</v>
      </c>
      <c r="W1548" s="20">
        <f t="shared" si="3181"/>
        <v>600</v>
      </c>
      <c r="X1548" s="20">
        <f t="shared" si="3181"/>
        <v>5</v>
      </c>
      <c r="Y1548" s="27">
        <v>0</v>
      </c>
      <c r="Z1548" s="30">
        <v>0</v>
      </c>
      <c r="AA1548" s="20">
        <f t="shared" si="3088"/>
        <v>0</v>
      </c>
      <c r="AB1548" s="27">
        <v>0</v>
      </c>
      <c r="AC1548" s="27">
        <v>0</v>
      </c>
      <c r="AD1548" s="23">
        <f t="shared" ref="AD1548:AE1548" si="3182">AD1518</f>
        <v>32</v>
      </c>
      <c r="AE1548" s="23">
        <f t="shared" si="3182"/>
        <v>36</v>
      </c>
    </row>
    <row r="1549" spans="1:31" s="10" customFormat="1">
      <c r="A1549" s="10">
        <v>14201</v>
      </c>
      <c r="B1549" s="10">
        <v>18</v>
      </c>
      <c r="C1549" s="29" t="s">
        <v>73</v>
      </c>
      <c r="D1549" s="46">
        <v>0</v>
      </c>
      <c r="E1549" s="28">
        <v>0</v>
      </c>
      <c r="F1549" s="18">
        <f t="shared" si="3086"/>
        <v>486</v>
      </c>
      <c r="G1549" s="28">
        <v>0</v>
      </c>
      <c r="H1549" s="47">
        <v>0</v>
      </c>
      <c r="I1549" s="21">
        <f t="shared" si="3092"/>
        <v>275</v>
      </c>
      <c r="J1549" s="21">
        <f t="shared" si="3178"/>
        <v>17</v>
      </c>
      <c r="K1549" s="21">
        <v>0</v>
      </c>
      <c r="L1549" s="20">
        <v>6</v>
      </c>
      <c r="M1549" s="20">
        <v>0</v>
      </c>
      <c r="N1549" s="20">
        <f t="shared" si="3093"/>
        <v>5400</v>
      </c>
      <c r="O1549" s="19" t="s">
        <v>73</v>
      </c>
      <c r="P1549" s="20">
        <v>1487</v>
      </c>
      <c r="Q1549" s="20">
        <f t="shared" ref="Q1549:X1549" si="3183">Q1519</f>
        <v>540</v>
      </c>
      <c r="R1549" s="20">
        <f t="shared" si="3183"/>
        <v>2160</v>
      </c>
      <c r="S1549" s="20">
        <f t="shared" si="3183"/>
        <v>3779.9999999999995</v>
      </c>
      <c r="T1549" s="20">
        <f t="shared" si="3183"/>
        <v>4860</v>
      </c>
      <c r="U1549" s="20">
        <f t="shared" si="3183"/>
        <v>100</v>
      </c>
      <c r="V1549" s="20">
        <f t="shared" si="3183"/>
        <v>600</v>
      </c>
      <c r="W1549" s="20">
        <f t="shared" si="3183"/>
        <v>300</v>
      </c>
      <c r="X1549" s="20">
        <f t="shared" si="3183"/>
        <v>5</v>
      </c>
      <c r="Y1549" s="27">
        <v>0</v>
      </c>
      <c r="Z1549" s="30">
        <v>0</v>
      </c>
      <c r="AA1549" s="20">
        <f t="shared" si="3088"/>
        <v>105</v>
      </c>
      <c r="AB1549" s="27">
        <v>0</v>
      </c>
      <c r="AC1549" s="27">
        <v>0</v>
      </c>
      <c r="AD1549" s="23">
        <f t="shared" ref="AD1549:AE1549" si="3184">AD1519</f>
        <v>34</v>
      </c>
      <c r="AE1549" s="23">
        <f t="shared" si="3184"/>
        <v>38</v>
      </c>
    </row>
    <row r="1550" spans="1:31" s="10" customFormat="1">
      <c r="A1550" s="10">
        <v>14201</v>
      </c>
      <c r="B1550" s="10">
        <v>19</v>
      </c>
      <c r="C1550" s="29" t="s">
        <v>74</v>
      </c>
      <c r="D1550" s="46">
        <v>0</v>
      </c>
      <c r="E1550" s="28">
        <v>0</v>
      </c>
      <c r="F1550" s="18">
        <f t="shared" si="3086"/>
        <v>526</v>
      </c>
      <c r="G1550" s="28">
        <v>0</v>
      </c>
      <c r="H1550" s="47">
        <v>0</v>
      </c>
      <c r="I1550" s="21">
        <f t="shared" si="3092"/>
        <v>275</v>
      </c>
      <c r="J1550" s="21">
        <f t="shared" si="3178"/>
        <v>18</v>
      </c>
      <c r="K1550" s="21">
        <v>0</v>
      </c>
      <c r="L1550" s="20">
        <v>6</v>
      </c>
      <c r="M1550" s="20">
        <v>0</v>
      </c>
      <c r="N1550" s="20">
        <f t="shared" si="3093"/>
        <v>5700</v>
      </c>
      <c r="O1550" s="19" t="s">
        <v>74</v>
      </c>
      <c r="P1550" s="20">
        <v>1518</v>
      </c>
      <c r="Q1550" s="20">
        <f t="shared" ref="Q1550:X1550" si="3185">Q1520</f>
        <v>570</v>
      </c>
      <c r="R1550" s="20">
        <f t="shared" si="3185"/>
        <v>2280</v>
      </c>
      <c r="S1550" s="20">
        <f t="shared" si="3185"/>
        <v>3989.9999999999995</v>
      </c>
      <c r="T1550" s="20">
        <f t="shared" si="3185"/>
        <v>5130</v>
      </c>
      <c r="U1550" s="20">
        <f t="shared" si="3185"/>
        <v>100</v>
      </c>
      <c r="V1550" s="20">
        <f t="shared" si="3185"/>
        <v>500</v>
      </c>
      <c r="W1550" s="20">
        <f t="shared" si="3185"/>
        <v>400</v>
      </c>
      <c r="X1550" s="20">
        <f t="shared" si="3185"/>
        <v>5</v>
      </c>
      <c r="Y1550" s="27">
        <v>0</v>
      </c>
      <c r="Z1550" s="30">
        <v>0</v>
      </c>
      <c r="AA1550" s="20">
        <f t="shared" si="3088"/>
        <v>0</v>
      </c>
      <c r="AB1550" s="27">
        <v>0</v>
      </c>
      <c r="AC1550" s="27">
        <v>0</v>
      </c>
      <c r="AD1550" s="23">
        <f t="shared" ref="AD1550:AE1550" si="3186">AD1520</f>
        <v>36</v>
      </c>
      <c r="AE1550" s="23">
        <f t="shared" si="3186"/>
        <v>40</v>
      </c>
    </row>
    <row r="1551" spans="1:31" s="10" customFormat="1">
      <c r="A1551" s="10">
        <v>14201</v>
      </c>
      <c r="B1551" s="10">
        <v>20</v>
      </c>
      <c r="C1551" s="29" t="s">
        <v>75</v>
      </c>
      <c r="D1551" s="46">
        <v>0</v>
      </c>
      <c r="E1551" s="28">
        <v>0</v>
      </c>
      <c r="F1551" s="18">
        <f t="shared" si="3086"/>
        <v>570</v>
      </c>
      <c r="G1551" s="28">
        <v>0</v>
      </c>
      <c r="H1551" s="47">
        <v>0</v>
      </c>
      <c r="I1551" s="21">
        <f t="shared" si="3092"/>
        <v>275</v>
      </c>
      <c r="J1551" s="21">
        <f t="shared" si="3178"/>
        <v>19</v>
      </c>
      <c r="K1551" s="21">
        <v>0</v>
      </c>
      <c r="L1551" s="20">
        <v>6</v>
      </c>
      <c r="M1551" s="20">
        <v>0</v>
      </c>
      <c r="N1551" s="20">
        <f t="shared" si="3093"/>
        <v>8000</v>
      </c>
      <c r="O1551" s="19" t="s">
        <v>75</v>
      </c>
      <c r="P1551" s="20">
        <v>861</v>
      </c>
      <c r="Q1551" s="20">
        <f t="shared" ref="Q1551:X1551" si="3187">Q1521</f>
        <v>800</v>
      </c>
      <c r="R1551" s="20">
        <f t="shared" si="3187"/>
        <v>3200</v>
      </c>
      <c r="S1551" s="20">
        <f t="shared" si="3187"/>
        <v>5600</v>
      </c>
      <c r="T1551" s="20">
        <f t="shared" si="3187"/>
        <v>7200</v>
      </c>
      <c r="U1551" s="20">
        <f t="shared" si="3187"/>
        <v>100</v>
      </c>
      <c r="V1551" s="20">
        <f t="shared" si="3187"/>
        <v>800</v>
      </c>
      <c r="W1551" s="20">
        <f t="shared" si="3187"/>
        <v>8000</v>
      </c>
      <c r="X1551" s="20">
        <f t="shared" si="3187"/>
        <v>5</v>
      </c>
      <c r="Y1551" s="27">
        <v>0</v>
      </c>
      <c r="Z1551" s="30">
        <v>0</v>
      </c>
      <c r="AA1551" s="20">
        <f t="shared" si="3088"/>
        <v>0</v>
      </c>
      <c r="AB1551" s="27">
        <v>0</v>
      </c>
      <c r="AC1551" s="27">
        <v>0</v>
      </c>
      <c r="AD1551" s="23">
        <f t="shared" ref="AD1551:AE1551" si="3188">AD1521</f>
        <v>38</v>
      </c>
      <c r="AE1551" s="23">
        <f t="shared" si="3188"/>
        <v>42</v>
      </c>
    </row>
    <row r="1552" spans="1:31" s="10" customFormat="1">
      <c r="A1552" s="10">
        <v>14201</v>
      </c>
      <c r="B1552" s="10">
        <v>21</v>
      </c>
      <c r="C1552" s="29" t="s">
        <v>66</v>
      </c>
      <c r="D1552" s="46">
        <v>0</v>
      </c>
      <c r="E1552" s="28">
        <v>0</v>
      </c>
      <c r="F1552" s="18">
        <f t="shared" si="3086"/>
        <v>616</v>
      </c>
      <c r="G1552" s="28">
        <v>0</v>
      </c>
      <c r="H1552" s="47">
        <v>0</v>
      </c>
      <c r="I1552" s="21">
        <f t="shared" si="3092"/>
        <v>330</v>
      </c>
      <c r="J1552" s="21">
        <f t="shared" si="3178"/>
        <v>20</v>
      </c>
      <c r="K1552" s="21">
        <v>0</v>
      </c>
      <c r="L1552" s="20">
        <v>6</v>
      </c>
      <c r="M1552" s="20">
        <v>0</v>
      </c>
      <c r="N1552" s="20">
        <f t="shared" si="3093"/>
        <v>8400</v>
      </c>
      <c r="O1552" s="19" t="s">
        <v>66</v>
      </c>
      <c r="P1552" s="20">
        <v>9400</v>
      </c>
      <c r="Q1552" s="20">
        <f t="shared" ref="Q1552:X1552" si="3189">Q1522</f>
        <v>840</v>
      </c>
      <c r="R1552" s="20">
        <f t="shared" si="3189"/>
        <v>3360</v>
      </c>
      <c r="S1552" s="20">
        <f t="shared" si="3189"/>
        <v>5880</v>
      </c>
      <c r="T1552" s="20">
        <f t="shared" si="3189"/>
        <v>7560</v>
      </c>
      <c r="U1552" s="20">
        <f t="shared" si="3189"/>
        <v>50</v>
      </c>
      <c r="V1552" s="20">
        <f t="shared" si="3189"/>
        <v>1000</v>
      </c>
      <c r="W1552" s="20">
        <f t="shared" si="3189"/>
        <v>600</v>
      </c>
      <c r="X1552" s="20">
        <f t="shared" si="3189"/>
        <v>6</v>
      </c>
      <c r="Y1552" s="27">
        <v>0</v>
      </c>
      <c r="Z1552" s="30">
        <v>0</v>
      </c>
      <c r="AA1552" s="20">
        <f t="shared" si="3088"/>
        <v>0</v>
      </c>
      <c r="AB1552" s="27">
        <v>0</v>
      </c>
      <c r="AC1552" s="27">
        <v>0</v>
      </c>
      <c r="AD1552" s="23">
        <f t="shared" ref="AD1552:AE1552" si="3190">AD1522</f>
        <v>40</v>
      </c>
      <c r="AE1552" s="23">
        <f t="shared" si="3190"/>
        <v>44</v>
      </c>
    </row>
    <row r="1553" spans="1:31" s="10" customFormat="1">
      <c r="A1553" s="10">
        <v>14201</v>
      </c>
      <c r="B1553" s="10">
        <v>22</v>
      </c>
      <c r="C1553" s="29" t="s">
        <v>67</v>
      </c>
      <c r="D1553" s="46">
        <v>0</v>
      </c>
      <c r="E1553" s="28">
        <v>0</v>
      </c>
      <c r="F1553" s="18">
        <f t="shared" si="3086"/>
        <v>668</v>
      </c>
      <c r="G1553" s="28">
        <v>0</v>
      </c>
      <c r="H1553" s="47">
        <v>0</v>
      </c>
      <c r="I1553" s="21">
        <f t="shared" si="3092"/>
        <v>330</v>
      </c>
      <c r="J1553" s="21">
        <f t="shared" si="3178"/>
        <v>21</v>
      </c>
      <c r="K1553" s="21">
        <v>0</v>
      </c>
      <c r="L1553" s="20">
        <v>6</v>
      </c>
      <c r="M1553" s="20">
        <v>0</v>
      </c>
      <c r="N1553" s="20">
        <f t="shared" si="3093"/>
        <v>8800</v>
      </c>
      <c r="O1553" s="19" t="s">
        <v>67</v>
      </c>
      <c r="P1553" s="20">
        <v>9100</v>
      </c>
      <c r="Q1553" s="20">
        <f t="shared" ref="Q1553:X1553" si="3191">Q1523</f>
        <v>880</v>
      </c>
      <c r="R1553" s="20">
        <f t="shared" si="3191"/>
        <v>3520</v>
      </c>
      <c r="S1553" s="20">
        <f t="shared" si="3191"/>
        <v>6160</v>
      </c>
      <c r="T1553" s="20">
        <f t="shared" si="3191"/>
        <v>7920</v>
      </c>
      <c r="U1553" s="20">
        <f t="shared" si="3191"/>
        <v>100</v>
      </c>
      <c r="V1553" s="20">
        <f t="shared" si="3191"/>
        <v>600</v>
      </c>
      <c r="W1553" s="20">
        <f t="shared" si="3191"/>
        <v>700</v>
      </c>
      <c r="X1553" s="20">
        <f t="shared" si="3191"/>
        <v>6</v>
      </c>
      <c r="Y1553" s="27">
        <v>0</v>
      </c>
      <c r="Z1553" s="30">
        <v>0</v>
      </c>
      <c r="AA1553" s="20">
        <f t="shared" si="3088"/>
        <v>0</v>
      </c>
      <c r="AB1553" s="27">
        <v>0</v>
      </c>
      <c r="AC1553" s="27">
        <v>0</v>
      </c>
      <c r="AD1553" s="23">
        <f t="shared" ref="AD1553:AE1553" si="3192">AD1523</f>
        <v>42</v>
      </c>
      <c r="AE1553" s="23">
        <f t="shared" si="3192"/>
        <v>46</v>
      </c>
    </row>
    <row r="1554" spans="1:31" s="10" customFormat="1">
      <c r="A1554" s="10">
        <v>14201</v>
      </c>
      <c r="B1554" s="10">
        <v>23</v>
      </c>
      <c r="C1554" s="29" t="s">
        <v>68</v>
      </c>
      <c r="D1554" s="46">
        <v>0</v>
      </c>
      <c r="E1554" s="28">
        <v>0</v>
      </c>
      <c r="F1554" s="18">
        <f t="shared" si="3086"/>
        <v>722</v>
      </c>
      <c r="G1554" s="28">
        <v>0</v>
      </c>
      <c r="H1554" s="47">
        <v>0</v>
      </c>
      <c r="I1554" s="21">
        <f t="shared" si="3092"/>
        <v>330</v>
      </c>
      <c r="J1554" s="21">
        <f t="shared" si="3178"/>
        <v>22</v>
      </c>
      <c r="K1554" s="21">
        <v>0</v>
      </c>
      <c r="L1554" s="20">
        <v>6</v>
      </c>
      <c r="M1554" s="20">
        <v>0</v>
      </c>
      <c r="N1554" s="20">
        <f t="shared" si="3093"/>
        <v>9200</v>
      </c>
      <c r="O1554" s="19" t="s">
        <v>68</v>
      </c>
      <c r="P1554" s="20">
        <v>8600</v>
      </c>
      <c r="Q1554" s="20">
        <f t="shared" ref="Q1554:X1554" si="3193">Q1524</f>
        <v>920</v>
      </c>
      <c r="R1554" s="20">
        <f t="shared" si="3193"/>
        <v>3680</v>
      </c>
      <c r="S1554" s="20">
        <f t="shared" si="3193"/>
        <v>6440</v>
      </c>
      <c r="T1554" s="20">
        <f t="shared" si="3193"/>
        <v>8280</v>
      </c>
      <c r="U1554" s="20">
        <f t="shared" si="3193"/>
        <v>100</v>
      </c>
      <c r="V1554" s="20">
        <f t="shared" si="3193"/>
        <v>550</v>
      </c>
      <c r="W1554" s="20">
        <f t="shared" si="3193"/>
        <v>500</v>
      </c>
      <c r="X1554" s="20">
        <f t="shared" si="3193"/>
        <v>6</v>
      </c>
      <c r="Y1554" s="27">
        <v>0</v>
      </c>
      <c r="Z1554" s="30">
        <v>0</v>
      </c>
      <c r="AA1554" s="20">
        <f t="shared" si="3088"/>
        <v>140</v>
      </c>
      <c r="AB1554" s="27">
        <v>0</v>
      </c>
      <c r="AC1554" s="27">
        <v>0</v>
      </c>
      <c r="AD1554" s="23">
        <f t="shared" ref="AD1554:AE1554" si="3194">AD1524</f>
        <v>44</v>
      </c>
      <c r="AE1554" s="23">
        <f t="shared" si="3194"/>
        <v>48</v>
      </c>
    </row>
    <row r="1555" spans="1:31" s="10" customFormat="1">
      <c r="A1555" s="10">
        <v>14201</v>
      </c>
      <c r="B1555" s="10">
        <v>24</v>
      </c>
      <c r="C1555" s="29" t="s">
        <v>69</v>
      </c>
      <c r="D1555" s="46">
        <v>0</v>
      </c>
      <c r="E1555" s="28">
        <v>0</v>
      </c>
      <c r="F1555" s="18">
        <f t="shared" si="3086"/>
        <v>782</v>
      </c>
      <c r="G1555" s="28">
        <v>0</v>
      </c>
      <c r="H1555" s="47">
        <v>0</v>
      </c>
      <c r="I1555" s="21">
        <f t="shared" si="3092"/>
        <v>330</v>
      </c>
      <c r="J1555" s="21">
        <f t="shared" si="3178"/>
        <v>23</v>
      </c>
      <c r="K1555" s="21">
        <v>0</v>
      </c>
      <c r="L1555" s="20">
        <v>6</v>
      </c>
      <c r="M1555" s="20">
        <v>0</v>
      </c>
      <c r="N1555" s="20">
        <f t="shared" si="3093"/>
        <v>9600</v>
      </c>
      <c r="O1555" s="19" t="s">
        <v>69</v>
      </c>
      <c r="P1555" s="20">
        <v>6400</v>
      </c>
      <c r="Q1555" s="20">
        <f t="shared" ref="Q1555:X1555" si="3195">Q1525</f>
        <v>960</v>
      </c>
      <c r="R1555" s="20">
        <f t="shared" si="3195"/>
        <v>3840</v>
      </c>
      <c r="S1555" s="20">
        <f t="shared" si="3195"/>
        <v>6720</v>
      </c>
      <c r="T1555" s="20">
        <f t="shared" si="3195"/>
        <v>8640</v>
      </c>
      <c r="U1555" s="20">
        <f t="shared" si="3195"/>
        <v>100</v>
      </c>
      <c r="V1555" s="20">
        <f t="shared" si="3195"/>
        <v>500</v>
      </c>
      <c r="W1555" s="20">
        <f t="shared" si="3195"/>
        <v>900</v>
      </c>
      <c r="X1555" s="20">
        <f t="shared" si="3195"/>
        <v>6</v>
      </c>
      <c r="Y1555" s="27">
        <v>0</v>
      </c>
      <c r="Z1555" s="30">
        <v>0</v>
      </c>
      <c r="AA1555" s="20">
        <f t="shared" si="3088"/>
        <v>0</v>
      </c>
      <c r="AB1555" s="27">
        <v>0</v>
      </c>
      <c r="AC1555" s="27">
        <v>0</v>
      </c>
      <c r="AD1555" s="23">
        <f t="shared" ref="AD1555:AE1555" si="3196">AD1525</f>
        <v>46</v>
      </c>
      <c r="AE1555" s="23">
        <f t="shared" si="3196"/>
        <v>50</v>
      </c>
    </row>
    <row r="1556" spans="1:31" s="10" customFormat="1">
      <c r="A1556" s="10">
        <v>14201</v>
      </c>
      <c r="B1556" s="10">
        <v>25</v>
      </c>
      <c r="C1556" s="29" t="s">
        <v>70</v>
      </c>
      <c r="D1556" s="46">
        <v>0</v>
      </c>
      <c r="E1556" s="28">
        <v>0</v>
      </c>
      <c r="F1556" s="18">
        <f t="shared" si="3086"/>
        <v>848</v>
      </c>
      <c r="G1556" s="28">
        <v>0</v>
      </c>
      <c r="H1556" s="47">
        <v>0</v>
      </c>
      <c r="I1556" s="21">
        <f t="shared" si="3092"/>
        <v>385</v>
      </c>
      <c r="J1556" s="21">
        <f t="shared" si="3178"/>
        <v>24</v>
      </c>
      <c r="K1556" s="21">
        <v>0</v>
      </c>
      <c r="L1556" s="20">
        <v>6</v>
      </c>
      <c r="M1556" s="20">
        <v>0</v>
      </c>
      <c r="N1556" s="20">
        <f t="shared" si="3093"/>
        <v>12500</v>
      </c>
      <c r="O1556" s="19" t="s">
        <v>70</v>
      </c>
      <c r="P1556" s="20">
        <v>3100</v>
      </c>
      <c r="Q1556" s="20">
        <f t="shared" ref="Q1556:X1556" si="3197">Q1526</f>
        <v>1250</v>
      </c>
      <c r="R1556" s="20">
        <f t="shared" si="3197"/>
        <v>5000</v>
      </c>
      <c r="S1556" s="20">
        <f t="shared" si="3197"/>
        <v>8750</v>
      </c>
      <c r="T1556" s="20">
        <f t="shared" si="3197"/>
        <v>11250</v>
      </c>
      <c r="U1556" s="20">
        <f t="shared" si="3197"/>
        <v>10</v>
      </c>
      <c r="V1556" s="20">
        <f t="shared" si="3197"/>
        <v>1300</v>
      </c>
      <c r="W1556" s="20">
        <f t="shared" si="3197"/>
        <v>1000</v>
      </c>
      <c r="X1556" s="20">
        <f t="shared" si="3197"/>
        <v>7</v>
      </c>
      <c r="Y1556" s="27">
        <v>0</v>
      </c>
      <c r="Z1556" s="30">
        <v>0</v>
      </c>
      <c r="AA1556" s="20">
        <f t="shared" si="3088"/>
        <v>0</v>
      </c>
      <c r="AB1556" s="27">
        <v>0</v>
      </c>
      <c r="AC1556" s="27">
        <v>0</v>
      </c>
      <c r="AD1556" s="23">
        <f t="shared" ref="AD1556:AE1556" si="3198">AD1526</f>
        <v>48</v>
      </c>
      <c r="AE1556" s="23">
        <f t="shared" si="3198"/>
        <v>52</v>
      </c>
    </row>
    <row r="1557" spans="1:31" s="10" customFormat="1">
      <c r="A1557" s="10">
        <v>14201</v>
      </c>
      <c r="B1557" s="10">
        <v>26</v>
      </c>
      <c r="C1557" s="29" t="s">
        <v>71</v>
      </c>
      <c r="D1557" s="46">
        <v>0</v>
      </c>
      <c r="E1557" s="28">
        <v>0</v>
      </c>
      <c r="F1557" s="18">
        <f t="shared" si="3086"/>
        <v>918</v>
      </c>
      <c r="G1557" s="28">
        <v>0</v>
      </c>
      <c r="H1557" s="47">
        <v>0</v>
      </c>
      <c r="I1557" s="21">
        <f t="shared" si="3092"/>
        <v>385</v>
      </c>
      <c r="J1557" s="21">
        <f t="shared" si="3178"/>
        <v>25</v>
      </c>
      <c r="K1557" s="21">
        <v>0</v>
      </c>
      <c r="L1557" s="20">
        <v>6</v>
      </c>
      <c r="M1557" s="20">
        <v>0</v>
      </c>
      <c r="N1557" s="20">
        <f t="shared" si="3093"/>
        <v>13000</v>
      </c>
      <c r="O1557" s="19" t="s">
        <v>71</v>
      </c>
      <c r="P1557" s="20">
        <v>1777</v>
      </c>
      <c r="Q1557" s="20">
        <f t="shared" ref="Q1557:X1557" si="3199">Q1527</f>
        <v>1300</v>
      </c>
      <c r="R1557" s="20">
        <f t="shared" si="3199"/>
        <v>5200</v>
      </c>
      <c r="S1557" s="20">
        <f t="shared" si="3199"/>
        <v>9100</v>
      </c>
      <c r="T1557" s="20">
        <f t="shared" si="3199"/>
        <v>11700</v>
      </c>
      <c r="U1557" s="20">
        <f t="shared" si="3199"/>
        <v>90</v>
      </c>
      <c r="V1557" s="20">
        <f t="shared" si="3199"/>
        <v>800</v>
      </c>
      <c r="W1557" s="20">
        <f t="shared" si="3199"/>
        <v>2000</v>
      </c>
      <c r="X1557" s="20">
        <f t="shared" si="3199"/>
        <v>7</v>
      </c>
      <c r="Y1557" s="27">
        <v>0</v>
      </c>
      <c r="Z1557" s="30">
        <v>0</v>
      </c>
      <c r="AA1557" s="20">
        <f t="shared" si="3088"/>
        <v>0</v>
      </c>
      <c r="AB1557" s="27">
        <v>0</v>
      </c>
      <c r="AC1557" s="27">
        <v>0</v>
      </c>
      <c r="AD1557" s="23">
        <f t="shared" ref="AD1557:AE1557" si="3200">AD1527</f>
        <v>50</v>
      </c>
      <c r="AE1557" s="23">
        <f t="shared" si="3200"/>
        <v>54</v>
      </c>
    </row>
    <row r="1558" spans="1:31" s="10" customFormat="1">
      <c r="A1558" s="10">
        <v>14201</v>
      </c>
      <c r="B1558" s="10">
        <v>27</v>
      </c>
      <c r="C1558" s="29" t="s">
        <v>72</v>
      </c>
      <c r="D1558" s="46">
        <v>0</v>
      </c>
      <c r="E1558" s="28">
        <v>0</v>
      </c>
      <c r="F1558" s="18">
        <f t="shared" si="3086"/>
        <v>992</v>
      </c>
      <c r="G1558" s="28">
        <v>0</v>
      </c>
      <c r="H1558" s="47">
        <v>0</v>
      </c>
      <c r="I1558" s="21">
        <f t="shared" si="3092"/>
        <v>385</v>
      </c>
      <c r="J1558" s="21">
        <f t="shared" si="3178"/>
        <v>26</v>
      </c>
      <c r="K1558" s="21">
        <v>0</v>
      </c>
      <c r="L1558" s="20">
        <v>6</v>
      </c>
      <c r="M1558" s="20">
        <v>0</v>
      </c>
      <c r="N1558" s="20">
        <f t="shared" si="3093"/>
        <v>13500</v>
      </c>
      <c r="O1558" s="19" t="s">
        <v>72</v>
      </c>
      <c r="P1558" s="20">
        <v>2332</v>
      </c>
      <c r="Q1558" s="20">
        <f t="shared" ref="Q1558:X1558" si="3201">Q1528</f>
        <v>1350</v>
      </c>
      <c r="R1558" s="20">
        <f t="shared" si="3201"/>
        <v>5400</v>
      </c>
      <c r="S1558" s="20">
        <f t="shared" si="3201"/>
        <v>9450</v>
      </c>
      <c r="T1558" s="20">
        <f t="shared" si="3201"/>
        <v>12150</v>
      </c>
      <c r="U1558" s="20">
        <f t="shared" si="3201"/>
        <v>80</v>
      </c>
      <c r="V1558" s="20">
        <f t="shared" si="3201"/>
        <v>700</v>
      </c>
      <c r="W1558" s="20">
        <f t="shared" si="3201"/>
        <v>800</v>
      </c>
      <c r="X1558" s="20">
        <f t="shared" si="3201"/>
        <v>7</v>
      </c>
      <c r="Y1558" s="27">
        <v>0</v>
      </c>
      <c r="Z1558" s="30">
        <v>0</v>
      </c>
      <c r="AA1558" s="20">
        <f t="shared" si="3088"/>
        <v>0</v>
      </c>
      <c r="AB1558" s="27">
        <v>0</v>
      </c>
      <c r="AC1558" s="27">
        <v>0</v>
      </c>
      <c r="AD1558" s="23">
        <f t="shared" ref="AD1558:AE1558" si="3202">AD1528</f>
        <v>52</v>
      </c>
      <c r="AE1558" s="23">
        <f t="shared" si="3202"/>
        <v>56</v>
      </c>
    </row>
    <row r="1559" spans="1:31" s="10" customFormat="1">
      <c r="A1559" s="10">
        <v>14201</v>
      </c>
      <c r="B1559" s="10">
        <v>28</v>
      </c>
      <c r="C1559" s="29" t="s">
        <v>73</v>
      </c>
      <c r="D1559" s="46">
        <v>0</v>
      </c>
      <c r="E1559" s="28">
        <v>0</v>
      </c>
      <c r="F1559" s="18">
        <f t="shared" si="3086"/>
        <v>1074</v>
      </c>
      <c r="G1559" s="28">
        <v>0</v>
      </c>
      <c r="H1559" s="47">
        <v>0</v>
      </c>
      <c r="I1559" s="21">
        <f t="shared" si="3092"/>
        <v>385</v>
      </c>
      <c r="J1559" s="21">
        <f t="shared" si="3178"/>
        <v>27</v>
      </c>
      <c r="K1559" s="21">
        <v>0</v>
      </c>
      <c r="L1559" s="20">
        <v>6</v>
      </c>
      <c r="M1559" s="20">
        <v>0</v>
      </c>
      <c r="N1559" s="20">
        <f t="shared" si="3093"/>
        <v>14000</v>
      </c>
      <c r="O1559" s="19" t="s">
        <v>73</v>
      </c>
      <c r="P1559" s="20">
        <v>1487</v>
      </c>
      <c r="Q1559" s="20">
        <f t="shared" ref="Q1559:X1559" si="3203">Q1529</f>
        <v>1400</v>
      </c>
      <c r="R1559" s="20">
        <f t="shared" si="3203"/>
        <v>5600</v>
      </c>
      <c r="S1559" s="20">
        <f t="shared" si="3203"/>
        <v>9800</v>
      </c>
      <c r="T1559" s="20">
        <f t="shared" si="3203"/>
        <v>12600</v>
      </c>
      <c r="U1559" s="20">
        <f t="shared" si="3203"/>
        <v>80</v>
      </c>
      <c r="V1559" s="20">
        <f t="shared" si="3203"/>
        <v>500</v>
      </c>
      <c r="W1559" s="20">
        <f t="shared" si="3203"/>
        <v>600</v>
      </c>
      <c r="X1559" s="20">
        <f t="shared" si="3203"/>
        <v>7</v>
      </c>
      <c r="Y1559" s="27">
        <v>0</v>
      </c>
      <c r="Z1559" s="30">
        <v>0</v>
      </c>
      <c r="AA1559" s="20">
        <f t="shared" si="3088"/>
        <v>176</v>
      </c>
      <c r="AB1559" s="27">
        <v>0</v>
      </c>
      <c r="AC1559" s="27">
        <v>0</v>
      </c>
      <c r="AD1559" s="23">
        <f t="shared" ref="AD1559:AE1559" si="3204">AD1529</f>
        <v>54</v>
      </c>
      <c r="AE1559" s="23">
        <f t="shared" si="3204"/>
        <v>58</v>
      </c>
    </row>
    <row r="1560" spans="1:31" s="10" customFormat="1">
      <c r="A1560" s="10">
        <v>14201</v>
      </c>
      <c r="B1560" s="10">
        <v>29</v>
      </c>
      <c r="C1560" s="29" t="s">
        <v>74</v>
      </c>
      <c r="D1560" s="46">
        <v>0</v>
      </c>
      <c r="E1560" s="28">
        <v>0</v>
      </c>
      <c r="F1560" s="18">
        <f t="shared" si="3086"/>
        <v>1164</v>
      </c>
      <c r="G1560" s="28">
        <v>0</v>
      </c>
      <c r="H1560" s="47">
        <v>0</v>
      </c>
      <c r="I1560" s="21">
        <f t="shared" si="3092"/>
        <v>440</v>
      </c>
      <c r="J1560" s="21">
        <f t="shared" si="3178"/>
        <v>28</v>
      </c>
      <c r="K1560" s="21">
        <v>0</v>
      </c>
      <c r="L1560" s="20">
        <v>6</v>
      </c>
      <c r="M1560" s="20">
        <v>0</v>
      </c>
      <c r="N1560" s="20">
        <f t="shared" si="3093"/>
        <v>14500</v>
      </c>
      <c r="O1560" s="19" t="s">
        <v>74</v>
      </c>
      <c r="P1560" s="20">
        <v>1518</v>
      </c>
      <c r="Q1560" s="20">
        <f t="shared" ref="Q1560:X1560" si="3205">Q1530</f>
        <v>1450</v>
      </c>
      <c r="R1560" s="20">
        <f t="shared" si="3205"/>
        <v>5800</v>
      </c>
      <c r="S1560" s="20">
        <f t="shared" si="3205"/>
        <v>10150</v>
      </c>
      <c r="T1560" s="20">
        <f t="shared" si="3205"/>
        <v>13050</v>
      </c>
      <c r="U1560" s="20">
        <f t="shared" si="3205"/>
        <v>80</v>
      </c>
      <c r="V1560" s="20">
        <f t="shared" si="3205"/>
        <v>600</v>
      </c>
      <c r="W1560" s="20">
        <f t="shared" si="3205"/>
        <v>700</v>
      </c>
      <c r="X1560" s="20">
        <f t="shared" si="3205"/>
        <v>8</v>
      </c>
      <c r="Y1560" s="27">
        <v>0</v>
      </c>
      <c r="Z1560" s="30">
        <v>0</v>
      </c>
      <c r="AA1560" s="20">
        <f t="shared" si="3088"/>
        <v>0</v>
      </c>
      <c r="AB1560" s="27">
        <v>0</v>
      </c>
      <c r="AC1560" s="27">
        <v>0</v>
      </c>
      <c r="AD1560" s="23">
        <f t="shared" ref="AD1560:AE1560" si="3206">AD1530</f>
        <v>56</v>
      </c>
      <c r="AE1560" s="23">
        <f t="shared" si="3206"/>
        <v>60</v>
      </c>
    </row>
    <row r="1561" spans="1:31" s="10" customFormat="1">
      <c r="A1561" s="10">
        <v>14201</v>
      </c>
      <c r="B1561" s="10">
        <v>30</v>
      </c>
      <c r="C1561" s="29" t="s">
        <v>75</v>
      </c>
      <c r="D1561" s="46">
        <v>0</v>
      </c>
      <c r="E1561" s="28">
        <v>0</v>
      </c>
      <c r="F1561" s="18">
        <f t="shared" si="3086"/>
        <v>1260</v>
      </c>
      <c r="G1561" s="28">
        <v>0</v>
      </c>
      <c r="H1561" s="47">
        <v>0</v>
      </c>
      <c r="I1561" s="21">
        <f t="shared" si="3092"/>
        <v>440</v>
      </c>
      <c r="J1561" s="21">
        <f t="shared" si="3178"/>
        <v>29</v>
      </c>
      <c r="K1561" s="21">
        <v>0</v>
      </c>
      <c r="L1561" s="20">
        <v>6</v>
      </c>
      <c r="M1561" s="20">
        <v>0</v>
      </c>
      <c r="N1561" s="20">
        <f t="shared" si="3093"/>
        <v>15000</v>
      </c>
      <c r="O1561" s="19" t="s">
        <v>75</v>
      </c>
      <c r="P1561" s="20">
        <v>861</v>
      </c>
      <c r="Q1561" s="20">
        <f t="shared" ref="Q1561:X1561" si="3207">Q1531</f>
        <v>1500</v>
      </c>
      <c r="R1561" s="20">
        <f t="shared" si="3207"/>
        <v>6000</v>
      </c>
      <c r="S1561" s="20">
        <f t="shared" si="3207"/>
        <v>10500</v>
      </c>
      <c r="T1561" s="20">
        <f t="shared" si="3207"/>
        <v>13500</v>
      </c>
      <c r="U1561" s="20">
        <f t="shared" si="3207"/>
        <v>20</v>
      </c>
      <c r="V1561" s="20">
        <f t="shared" si="3207"/>
        <v>450</v>
      </c>
      <c r="W1561" s="20">
        <f t="shared" si="3207"/>
        <v>1000</v>
      </c>
      <c r="X1561" s="20">
        <f t="shared" si="3207"/>
        <v>8</v>
      </c>
      <c r="Y1561" s="27">
        <v>0</v>
      </c>
      <c r="Z1561" s="30">
        <v>0</v>
      </c>
      <c r="AA1561" s="20">
        <f t="shared" si="3088"/>
        <v>0</v>
      </c>
      <c r="AB1561" s="27">
        <v>0</v>
      </c>
      <c r="AC1561" s="27">
        <v>0</v>
      </c>
      <c r="AD1561" s="23">
        <f t="shared" ref="AD1561:AE1561" si="3208">AD1531</f>
        <v>58</v>
      </c>
      <c r="AE1561" s="23">
        <f t="shared" si="3208"/>
        <v>62</v>
      </c>
    </row>
    <row r="1562" spans="1:31" s="10" customFormat="1">
      <c r="A1562" s="10">
        <v>14202</v>
      </c>
      <c r="B1562" s="10">
        <v>1</v>
      </c>
      <c r="C1562" s="19" t="s">
        <v>66</v>
      </c>
      <c r="D1562" s="44">
        <v>0</v>
      </c>
      <c r="E1562" s="18">
        <v>0</v>
      </c>
      <c r="F1562" s="18">
        <f t="shared" si="3086"/>
        <v>189</v>
      </c>
      <c r="G1562" s="18">
        <v>0</v>
      </c>
      <c r="H1562" s="45">
        <v>0</v>
      </c>
      <c r="I1562" s="21">
        <f t="shared" si="3092"/>
        <v>55</v>
      </c>
      <c r="J1562" s="21">
        <f t="shared" si="3178"/>
        <v>0</v>
      </c>
      <c r="K1562" s="21">
        <v>0</v>
      </c>
      <c r="L1562" s="20">
        <v>45</v>
      </c>
      <c r="M1562" s="20">
        <v>0</v>
      </c>
      <c r="N1562" s="20">
        <f t="shared" si="3093"/>
        <v>10</v>
      </c>
      <c r="O1562" s="19" t="s">
        <v>66</v>
      </c>
      <c r="P1562" s="20">
        <v>9400</v>
      </c>
      <c r="Q1562" s="20">
        <f t="shared" ref="Q1562:X1562" si="3209">Q1532</f>
        <v>1</v>
      </c>
      <c r="R1562" s="20">
        <f t="shared" si="3209"/>
        <v>4</v>
      </c>
      <c r="S1562" s="20">
        <f t="shared" si="3209"/>
        <v>7</v>
      </c>
      <c r="T1562" s="20">
        <f t="shared" si="3209"/>
        <v>9</v>
      </c>
      <c r="U1562" s="20">
        <f t="shared" si="3209"/>
        <v>9400</v>
      </c>
      <c r="V1562" s="20">
        <f t="shared" si="3209"/>
        <v>9400</v>
      </c>
      <c r="W1562" s="20">
        <f t="shared" si="3209"/>
        <v>9400</v>
      </c>
      <c r="X1562" s="20">
        <f t="shared" si="3209"/>
        <v>1</v>
      </c>
      <c r="Y1562" s="20">
        <v>0</v>
      </c>
      <c r="Z1562" s="22">
        <v>0</v>
      </c>
      <c r="AA1562" s="20">
        <f t="shared" si="3088"/>
        <v>0</v>
      </c>
      <c r="AB1562" s="20">
        <v>0</v>
      </c>
      <c r="AC1562" s="20">
        <v>0</v>
      </c>
      <c r="AD1562" s="23">
        <f t="shared" ref="AD1562:AE1562" si="3210">AD1532</f>
        <v>1</v>
      </c>
      <c r="AE1562" s="23">
        <f t="shared" si="3210"/>
        <v>3</v>
      </c>
    </row>
    <row r="1563" spans="1:31" s="10" customFormat="1">
      <c r="A1563" s="10">
        <v>14202</v>
      </c>
      <c r="B1563" s="10">
        <v>2</v>
      </c>
      <c r="C1563" s="19" t="s">
        <v>67</v>
      </c>
      <c r="D1563" s="44">
        <v>0</v>
      </c>
      <c r="E1563" s="18">
        <v>0</v>
      </c>
      <c r="F1563" s="18">
        <f t="shared" si="3086"/>
        <v>204</v>
      </c>
      <c r="G1563" s="18">
        <v>0</v>
      </c>
      <c r="H1563" s="45">
        <v>0</v>
      </c>
      <c r="I1563" s="21">
        <f t="shared" si="3092"/>
        <v>55</v>
      </c>
      <c r="J1563" s="21">
        <f t="shared" si="3178"/>
        <v>1</v>
      </c>
      <c r="K1563" s="21">
        <v>0</v>
      </c>
      <c r="L1563" s="20">
        <v>40</v>
      </c>
      <c r="M1563" s="20">
        <v>0</v>
      </c>
      <c r="N1563" s="20">
        <f t="shared" si="3093"/>
        <v>20</v>
      </c>
      <c r="O1563" s="19" t="s">
        <v>67</v>
      </c>
      <c r="P1563" s="20">
        <v>9100</v>
      </c>
      <c r="Q1563" s="20">
        <f t="shared" ref="Q1563:X1563" si="3211">Q1533</f>
        <v>2</v>
      </c>
      <c r="R1563" s="20">
        <f t="shared" si="3211"/>
        <v>8</v>
      </c>
      <c r="S1563" s="20">
        <f t="shared" si="3211"/>
        <v>14</v>
      </c>
      <c r="T1563" s="20">
        <f t="shared" si="3211"/>
        <v>18</v>
      </c>
      <c r="U1563" s="20">
        <f t="shared" si="3211"/>
        <v>4000</v>
      </c>
      <c r="V1563" s="20">
        <f t="shared" si="3211"/>
        <v>8000</v>
      </c>
      <c r="W1563" s="20">
        <f t="shared" si="3211"/>
        <v>8000</v>
      </c>
      <c r="X1563" s="20">
        <f t="shared" si="3211"/>
        <v>1</v>
      </c>
      <c r="Y1563" s="20">
        <v>0</v>
      </c>
      <c r="Z1563" s="22">
        <v>0</v>
      </c>
      <c r="AA1563" s="20">
        <f t="shared" si="3088"/>
        <v>0</v>
      </c>
      <c r="AB1563" s="20">
        <v>0</v>
      </c>
      <c r="AC1563" s="20">
        <v>0</v>
      </c>
      <c r="AD1563" s="23">
        <f t="shared" ref="AD1563:AE1563" si="3212">AD1533</f>
        <v>2</v>
      </c>
      <c r="AE1563" s="23">
        <f t="shared" si="3212"/>
        <v>5</v>
      </c>
    </row>
    <row r="1564" spans="1:31" s="10" customFormat="1">
      <c r="A1564" s="10">
        <v>14202</v>
      </c>
      <c r="B1564" s="10">
        <v>3</v>
      </c>
      <c r="C1564" s="19" t="s">
        <v>68</v>
      </c>
      <c r="D1564" s="44">
        <v>0</v>
      </c>
      <c r="E1564" s="18">
        <v>0</v>
      </c>
      <c r="F1564" s="18">
        <f t="shared" si="3086"/>
        <v>222</v>
      </c>
      <c r="G1564" s="18">
        <v>0</v>
      </c>
      <c r="H1564" s="45">
        <v>0</v>
      </c>
      <c r="I1564" s="21">
        <f t="shared" si="3092"/>
        <v>55</v>
      </c>
      <c r="J1564" s="21">
        <f t="shared" si="3178"/>
        <v>2</v>
      </c>
      <c r="K1564" s="21">
        <v>0</v>
      </c>
      <c r="L1564" s="20">
        <v>35</v>
      </c>
      <c r="M1564" s="20">
        <v>0</v>
      </c>
      <c r="N1564" s="20">
        <f t="shared" si="3093"/>
        <v>40</v>
      </c>
      <c r="O1564" s="19" t="s">
        <v>68</v>
      </c>
      <c r="P1564" s="20">
        <v>8600</v>
      </c>
      <c r="Q1564" s="20">
        <f t="shared" ref="Q1564:X1564" si="3213">Q1534</f>
        <v>4</v>
      </c>
      <c r="R1564" s="20">
        <f t="shared" si="3213"/>
        <v>16</v>
      </c>
      <c r="S1564" s="20">
        <f t="shared" si="3213"/>
        <v>28</v>
      </c>
      <c r="T1564" s="20">
        <f t="shared" si="3213"/>
        <v>36</v>
      </c>
      <c r="U1564" s="20">
        <f t="shared" si="3213"/>
        <v>1600</v>
      </c>
      <c r="V1564" s="20">
        <f t="shared" si="3213"/>
        <v>5000</v>
      </c>
      <c r="W1564" s="20">
        <f t="shared" si="3213"/>
        <v>6000</v>
      </c>
      <c r="X1564" s="20">
        <f t="shared" si="3213"/>
        <v>1</v>
      </c>
      <c r="Y1564" s="20">
        <v>0</v>
      </c>
      <c r="Z1564" s="22">
        <v>0</v>
      </c>
      <c r="AA1564" s="20">
        <f t="shared" si="3088"/>
        <v>0</v>
      </c>
      <c r="AB1564" s="20">
        <v>0</v>
      </c>
      <c r="AC1564" s="20">
        <v>0</v>
      </c>
      <c r="AD1564" s="23">
        <f t="shared" ref="AD1564:AE1564" si="3214">AD1534</f>
        <v>4</v>
      </c>
      <c r="AE1564" s="23">
        <f t="shared" si="3214"/>
        <v>8</v>
      </c>
    </row>
    <row r="1565" spans="1:31" s="10" customFormat="1">
      <c r="A1565" s="10">
        <v>14202</v>
      </c>
      <c r="B1565" s="10">
        <v>4</v>
      </c>
      <c r="C1565" s="19" t="s">
        <v>69</v>
      </c>
      <c r="D1565" s="44">
        <v>0</v>
      </c>
      <c r="E1565" s="18">
        <v>0</v>
      </c>
      <c r="F1565" s="18">
        <f t="shared" si="3086"/>
        <v>240</v>
      </c>
      <c r="G1565" s="18">
        <v>0</v>
      </c>
      <c r="H1565" s="45">
        <v>0</v>
      </c>
      <c r="I1565" s="21">
        <f t="shared" si="3092"/>
        <v>55</v>
      </c>
      <c r="J1565" s="21">
        <f t="shared" si="3178"/>
        <v>3</v>
      </c>
      <c r="K1565" s="21">
        <v>0</v>
      </c>
      <c r="L1565" s="20">
        <v>30</v>
      </c>
      <c r="M1565" s="20">
        <v>0</v>
      </c>
      <c r="N1565" s="20">
        <f t="shared" si="3093"/>
        <v>100</v>
      </c>
      <c r="O1565" s="19" t="s">
        <v>69</v>
      </c>
      <c r="P1565" s="20">
        <v>6400</v>
      </c>
      <c r="Q1565" s="20">
        <f t="shared" ref="Q1565:X1565" si="3215">Q1535</f>
        <v>10</v>
      </c>
      <c r="R1565" s="20">
        <f t="shared" si="3215"/>
        <v>40</v>
      </c>
      <c r="S1565" s="20">
        <f t="shared" si="3215"/>
        <v>70</v>
      </c>
      <c r="T1565" s="20">
        <f t="shared" si="3215"/>
        <v>90</v>
      </c>
      <c r="U1565" s="20">
        <f t="shared" si="3215"/>
        <v>900</v>
      </c>
      <c r="V1565" s="20">
        <f t="shared" si="3215"/>
        <v>2000</v>
      </c>
      <c r="W1565" s="20">
        <f t="shared" si="3215"/>
        <v>8000</v>
      </c>
      <c r="X1565" s="20">
        <f t="shared" si="3215"/>
        <v>1</v>
      </c>
      <c r="Y1565" s="20">
        <v>0</v>
      </c>
      <c r="Z1565" s="22">
        <v>0</v>
      </c>
      <c r="AA1565" s="20">
        <f t="shared" si="3088"/>
        <v>0</v>
      </c>
      <c r="AB1565" s="20">
        <v>0</v>
      </c>
      <c r="AC1565" s="20">
        <v>0</v>
      </c>
      <c r="AD1565" s="23">
        <f t="shared" ref="AD1565:AE1565" si="3216">AD1535</f>
        <v>6</v>
      </c>
      <c r="AE1565" s="23">
        <f t="shared" si="3216"/>
        <v>10</v>
      </c>
    </row>
    <row r="1566" spans="1:31" s="10" customFormat="1">
      <c r="A1566" s="10">
        <v>14202</v>
      </c>
      <c r="B1566" s="10">
        <v>5</v>
      </c>
      <c r="C1566" s="19" t="s">
        <v>70</v>
      </c>
      <c r="D1566" s="44">
        <v>0</v>
      </c>
      <c r="E1566" s="18">
        <v>0</v>
      </c>
      <c r="F1566" s="18">
        <f t="shared" si="3086"/>
        <v>261</v>
      </c>
      <c r="G1566" s="18">
        <v>0</v>
      </c>
      <c r="H1566" s="45">
        <v>0</v>
      </c>
      <c r="I1566" s="21">
        <f t="shared" si="3092"/>
        <v>110</v>
      </c>
      <c r="J1566" s="21">
        <f t="shared" si="3178"/>
        <v>4</v>
      </c>
      <c r="K1566" s="21">
        <v>0</v>
      </c>
      <c r="L1566" s="20">
        <v>25</v>
      </c>
      <c r="M1566" s="20">
        <v>0</v>
      </c>
      <c r="N1566" s="20">
        <f t="shared" si="3093"/>
        <v>200</v>
      </c>
      <c r="O1566" s="19" t="s">
        <v>70</v>
      </c>
      <c r="P1566" s="20">
        <v>3100</v>
      </c>
      <c r="Q1566" s="20">
        <f t="shared" ref="Q1566:X1566" si="3217">Q1536</f>
        <v>20</v>
      </c>
      <c r="R1566" s="20">
        <f t="shared" si="3217"/>
        <v>80</v>
      </c>
      <c r="S1566" s="20">
        <f t="shared" si="3217"/>
        <v>140</v>
      </c>
      <c r="T1566" s="20">
        <f t="shared" si="3217"/>
        <v>180</v>
      </c>
      <c r="U1566" s="20">
        <f t="shared" si="3217"/>
        <v>1000</v>
      </c>
      <c r="V1566" s="20">
        <f t="shared" si="3217"/>
        <v>2000</v>
      </c>
      <c r="W1566" s="20">
        <f t="shared" si="3217"/>
        <v>2000</v>
      </c>
      <c r="X1566" s="20">
        <f t="shared" si="3217"/>
        <v>2</v>
      </c>
      <c r="Y1566" s="20">
        <v>0</v>
      </c>
      <c r="Z1566" s="22">
        <v>0</v>
      </c>
      <c r="AA1566" s="20">
        <f t="shared" si="3088"/>
        <v>0</v>
      </c>
      <c r="AB1566" s="20">
        <v>0</v>
      </c>
      <c r="AC1566" s="20">
        <v>0</v>
      </c>
      <c r="AD1566" s="23">
        <f t="shared" ref="AD1566:AE1566" si="3218">AD1536</f>
        <v>8</v>
      </c>
      <c r="AE1566" s="23">
        <f t="shared" si="3218"/>
        <v>12</v>
      </c>
    </row>
    <row r="1567" spans="1:31" s="10" customFormat="1">
      <c r="A1567" s="10">
        <v>14202</v>
      </c>
      <c r="B1567" s="10">
        <v>6</v>
      </c>
      <c r="C1567" s="19" t="s">
        <v>71</v>
      </c>
      <c r="D1567" s="44">
        <v>0</v>
      </c>
      <c r="E1567" s="18">
        <v>0</v>
      </c>
      <c r="F1567" s="18">
        <f t="shared" ref="F1567:F1630" si="3219">F1417</f>
        <v>282</v>
      </c>
      <c r="G1567" s="18">
        <v>0</v>
      </c>
      <c r="H1567" s="45">
        <v>0</v>
      </c>
      <c r="I1567" s="21">
        <f t="shared" si="3092"/>
        <v>110</v>
      </c>
      <c r="J1567" s="21">
        <f t="shared" si="3178"/>
        <v>5</v>
      </c>
      <c r="K1567" s="21">
        <v>0</v>
      </c>
      <c r="L1567" s="20">
        <v>20</v>
      </c>
      <c r="M1567" s="20">
        <v>0</v>
      </c>
      <c r="N1567" s="20">
        <f t="shared" si="3093"/>
        <v>500</v>
      </c>
      <c r="O1567" s="19" t="s">
        <v>71</v>
      </c>
      <c r="P1567" s="20">
        <v>1777</v>
      </c>
      <c r="Q1567" s="20">
        <f t="shared" ref="Q1567:X1567" si="3220">Q1537</f>
        <v>50</v>
      </c>
      <c r="R1567" s="20">
        <f t="shared" si="3220"/>
        <v>200</v>
      </c>
      <c r="S1567" s="20">
        <f t="shared" si="3220"/>
        <v>350</v>
      </c>
      <c r="T1567" s="20">
        <f t="shared" si="3220"/>
        <v>450</v>
      </c>
      <c r="U1567" s="20">
        <f t="shared" si="3220"/>
        <v>800</v>
      </c>
      <c r="V1567" s="20">
        <f t="shared" si="3220"/>
        <v>800</v>
      </c>
      <c r="W1567" s="20">
        <f t="shared" si="3220"/>
        <v>600</v>
      </c>
      <c r="X1567" s="20">
        <f t="shared" si="3220"/>
        <v>2</v>
      </c>
      <c r="Y1567" s="20">
        <v>0</v>
      </c>
      <c r="Z1567" s="22">
        <v>0</v>
      </c>
      <c r="AA1567" s="20">
        <f t="shared" ref="AA1567:AA1630" si="3221">AA1417</f>
        <v>0</v>
      </c>
      <c r="AB1567" s="20">
        <v>0</v>
      </c>
      <c r="AC1567" s="20">
        <v>0</v>
      </c>
      <c r="AD1567" s="23">
        <f t="shared" ref="AD1567:AE1567" si="3222">AD1537</f>
        <v>10</v>
      </c>
      <c r="AE1567" s="23">
        <f t="shared" si="3222"/>
        <v>14</v>
      </c>
    </row>
    <row r="1568" spans="1:31" s="10" customFormat="1">
      <c r="A1568" s="31">
        <v>14202</v>
      </c>
      <c r="B1568" s="31">
        <v>7</v>
      </c>
      <c r="C1568" s="19" t="s">
        <v>72</v>
      </c>
      <c r="D1568" s="44">
        <v>0</v>
      </c>
      <c r="E1568" s="18">
        <v>0</v>
      </c>
      <c r="F1568" s="18">
        <f t="shared" si="3219"/>
        <v>303</v>
      </c>
      <c r="G1568" s="18">
        <v>0</v>
      </c>
      <c r="H1568" s="45">
        <v>0</v>
      </c>
      <c r="I1568" s="21">
        <f t="shared" si="3092"/>
        <v>110</v>
      </c>
      <c r="J1568" s="21">
        <f t="shared" si="3178"/>
        <v>6</v>
      </c>
      <c r="K1568" s="21">
        <v>0</v>
      </c>
      <c r="L1568" s="20">
        <v>16</v>
      </c>
      <c r="M1568" s="20">
        <v>0</v>
      </c>
      <c r="N1568" s="20">
        <f t="shared" si="3093"/>
        <v>700</v>
      </c>
      <c r="O1568" s="19" t="s">
        <v>72</v>
      </c>
      <c r="P1568" s="20">
        <v>2332</v>
      </c>
      <c r="Q1568" s="20">
        <f t="shared" ref="Q1568:X1568" si="3223">Q1538</f>
        <v>70</v>
      </c>
      <c r="R1568" s="20">
        <f t="shared" si="3223"/>
        <v>280</v>
      </c>
      <c r="S1568" s="20">
        <f t="shared" si="3223"/>
        <v>489.99999999999994</v>
      </c>
      <c r="T1568" s="20">
        <f t="shared" si="3223"/>
        <v>630</v>
      </c>
      <c r="U1568" s="20">
        <f t="shared" si="3223"/>
        <v>650</v>
      </c>
      <c r="V1568" s="20">
        <f t="shared" si="3223"/>
        <v>800</v>
      </c>
      <c r="W1568" s="20">
        <f t="shared" si="3223"/>
        <v>300</v>
      </c>
      <c r="X1568" s="20">
        <f t="shared" si="3223"/>
        <v>2</v>
      </c>
      <c r="Y1568" s="20">
        <v>0</v>
      </c>
      <c r="Z1568" s="22">
        <v>0</v>
      </c>
      <c r="AA1568" s="20">
        <f t="shared" si="3221"/>
        <v>0</v>
      </c>
      <c r="AB1568" s="20">
        <v>0</v>
      </c>
      <c r="AC1568" s="20">
        <v>0</v>
      </c>
      <c r="AD1568" s="23">
        <f t="shared" ref="AD1568:AE1568" si="3224">AD1538</f>
        <v>12</v>
      </c>
      <c r="AE1568" s="23">
        <f t="shared" si="3224"/>
        <v>16</v>
      </c>
    </row>
    <row r="1569" spans="1:31" s="10" customFormat="1">
      <c r="A1569" s="10">
        <v>14202</v>
      </c>
      <c r="B1569" s="10">
        <v>8</v>
      </c>
      <c r="C1569" s="19" t="s">
        <v>73</v>
      </c>
      <c r="D1569" s="44">
        <v>0</v>
      </c>
      <c r="E1569" s="18">
        <v>0</v>
      </c>
      <c r="F1569" s="18">
        <f t="shared" si="3219"/>
        <v>330</v>
      </c>
      <c r="G1569" s="18">
        <v>0</v>
      </c>
      <c r="H1569" s="45">
        <v>0</v>
      </c>
      <c r="I1569" s="21">
        <f t="shared" ref="I1569:I1632" si="3225">I1539</f>
        <v>110</v>
      </c>
      <c r="J1569" s="21">
        <f t="shared" si="3178"/>
        <v>7</v>
      </c>
      <c r="K1569" s="21">
        <v>0</v>
      </c>
      <c r="L1569" s="20">
        <v>12</v>
      </c>
      <c r="M1569" s="20">
        <v>0</v>
      </c>
      <c r="N1569" s="20">
        <f t="shared" ref="N1569:N1632" si="3226">N1539</f>
        <v>800</v>
      </c>
      <c r="O1569" s="19" t="s">
        <v>73</v>
      </c>
      <c r="P1569" s="20">
        <v>1487</v>
      </c>
      <c r="Q1569" s="20">
        <f t="shared" ref="Q1569:X1569" si="3227">Q1539</f>
        <v>80</v>
      </c>
      <c r="R1569" s="20">
        <f t="shared" si="3227"/>
        <v>320</v>
      </c>
      <c r="S1569" s="20">
        <f t="shared" si="3227"/>
        <v>560</v>
      </c>
      <c r="T1569" s="20">
        <f t="shared" si="3227"/>
        <v>720</v>
      </c>
      <c r="U1569" s="20">
        <f t="shared" si="3227"/>
        <v>200</v>
      </c>
      <c r="V1569" s="20">
        <f t="shared" si="3227"/>
        <v>2000</v>
      </c>
      <c r="W1569" s="20">
        <f t="shared" si="3227"/>
        <v>1000</v>
      </c>
      <c r="X1569" s="20">
        <f t="shared" si="3227"/>
        <v>2</v>
      </c>
      <c r="Y1569" s="20">
        <v>0</v>
      </c>
      <c r="Z1569" s="22">
        <v>0</v>
      </c>
      <c r="AA1569" s="20">
        <f t="shared" si="3221"/>
        <v>38</v>
      </c>
      <c r="AB1569" s="20">
        <v>0</v>
      </c>
      <c r="AC1569" s="20">
        <v>0</v>
      </c>
      <c r="AD1569" s="23">
        <f t="shared" ref="AD1569:AE1569" si="3228">AD1539</f>
        <v>14</v>
      </c>
      <c r="AE1569" s="23">
        <f t="shared" si="3228"/>
        <v>18</v>
      </c>
    </row>
    <row r="1570" spans="1:31" s="10" customFormat="1">
      <c r="A1570" s="10">
        <v>14202</v>
      </c>
      <c r="B1570" s="10">
        <v>9</v>
      </c>
      <c r="C1570" s="19" t="s">
        <v>74</v>
      </c>
      <c r="D1570" s="44">
        <v>0</v>
      </c>
      <c r="E1570" s="18">
        <v>0</v>
      </c>
      <c r="F1570" s="18">
        <f t="shared" si="3219"/>
        <v>357</v>
      </c>
      <c r="G1570" s="18">
        <v>0</v>
      </c>
      <c r="H1570" s="45">
        <v>0</v>
      </c>
      <c r="I1570" s="21">
        <f t="shared" si="3225"/>
        <v>165</v>
      </c>
      <c r="J1570" s="21">
        <f t="shared" si="3178"/>
        <v>8</v>
      </c>
      <c r="K1570" s="21">
        <v>0</v>
      </c>
      <c r="L1570" s="20">
        <v>8</v>
      </c>
      <c r="M1570" s="20">
        <v>0</v>
      </c>
      <c r="N1570" s="20">
        <f t="shared" si="3226"/>
        <v>900</v>
      </c>
      <c r="O1570" s="19" t="s">
        <v>74</v>
      </c>
      <c r="P1570" s="20">
        <v>1518</v>
      </c>
      <c r="Q1570" s="20">
        <f t="shared" ref="Q1570:X1570" si="3229">Q1540</f>
        <v>90</v>
      </c>
      <c r="R1570" s="20">
        <f t="shared" si="3229"/>
        <v>360</v>
      </c>
      <c r="S1570" s="20">
        <f t="shared" si="3229"/>
        <v>630</v>
      </c>
      <c r="T1570" s="20">
        <f t="shared" si="3229"/>
        <v>810</v>
      </c>
      <c r="U1570" s="20">
        <f t="shared" si="3229"/>
        <v>120</v>
      </c>
      <c r="V1570" s="20">
        <f t="shared" si="3229"/>
        <v>1500</v>
      </c>
      <c r="W1570" s="20">
        <f t="shared" si="3229"/>
        <v>1000</v>
      </c>
      <c r="X1570" s="20">
        <f t="shared" si="3229"/>
        <v>3</v>
      </c>
      <c r="Y1570" s="20">
        <v>0</v>
      </c>
      <c r="Z1570" s="22">
        <v>0</v>
      </c>
      <c r="AA1570" s="20">
        <f t="shared" si="3221"/>
        <v>0</v>
      </c>
      <c r="AB1570" s="20">
        <v>0</v>
      </c>
      <c r="AC1570" s="20">
        <v>0</v>
      </c>
      <c r="AD1570" s="23">
        <f t="shared" ref="AD1570:AE1570" si="3230">AD1540</f>
        <v>16</v>
      </c>
      <c r="AE1570" s="23">
        <f t="shared" si="3230"/>
        <v>20</v>
      </c>
    </row>
    <row r="1571" spans="1:31" s="10" customFormat="1">
      <c r="A1571" s="10">
        <v>14202</v>
      </c>
      <c r="B1571" s="10">
        <v>10</v>
      </c>
      <c r="C1571" s="19" t="s">
        <v>75</v>
      </c>
      <c r="D1571" s="44">
        <v>0</v>
      </c>
      <c r="E1571" s="18">
        <v>0</v>
      </c>
      <c r="F1571" s="18">
        <f t="shared" si="3219"/>
        <v>387</v>
      </c>
      <c r="G1571" s="18">
        <v>0</v>
      </c>
      <c r="H1571" s="45">
        <v>0</v>
      </c>
      <c r="I1571" s="21">
        <f t="shared" si="3225"/>
        <v>165</v>
      </c>
      <c r="J1571" s="21">
        <f t="shared" si="3178"/>
        <v>9</v>
      </c>
      <c r="K1571" s="21">
        <v>0</v>
      </c>
      <c r="L1571" s="20">
        <v>6</v>
      </c>
      <c r="M1571" s="20">
        <v>0</v>
      </c>
      <c r="N1571" s="20">
        <f t="shared" si="3226"/>
        <v>2000</v>
      </c>
      <c r="O1571" s="19" t="s">
        <v>75</v>
      </c>
      <c r="P1571" s="20">
        <v>861</v>
      </c>
      <c r="Q1571" s="20">
        <f t="shared" ref="Q1571:X1571" si="3231">Q1541</f>
        <v>200</v>
      </c>
      <c r="R1571" s="20">
        <f t="shared" si="3231"/>
        <v>800</v>
      </c>
      <c r="S1571" s="20">
        <f t="shared" si="3231"/>
        <v>1400</v>
      </c>
      <c r="T1571" s="20">
        <f t="shared" si="3231"/>
        <v>1800</v>
      </c>
      <c r="U1571" s="20">
        <f t="shared" si="3231"/>
        <v>150</v>
      </c>
      <c r="V1571" s="20">
        <f t="shared" si="3231"/>
        <v>5000</v>
      </c>
      <c r="W1571" s="20">
        <f t="shared" si="3231"/>
        <v>800</v>
      </c>
      <c r="X1571" s="20">
        <f t="shared" si="3231"/>
        <v>3</v>
      </c>
      <c r="Y1571" s="20">
        <v>0</v>
      </c>
      <c r="Z1571" s="22">
        <v>0</v>
      </c>
      <c r="AA1571" s="20">
        <f t="shared" si="3221"/>
        <v>0</v>
      </c>
      <c r="AB1571" s="20">
        <v>0</v>
      </c>
      <c r="AC1571" s="20">
        <v>0</v>
      </c>
      <c r="AD1571" s="23">
        <f t="shared" ref="AD1571:AE1571" si="3232">AD1541</f>
        <v>18</v>
      </c>
      <c r="AE1571" s="23">
        <f t="shared" si="3232"/>
        <v>22</v>
      </c>
    </row>
    <row r="1572" spans="1:31" s="10" customFormat="1">
      <c r="A1572" s="10">
        <v>14202</v>
      </c>
      <c r="B1572" s="10">
        <v>11</v>
      </c>
      <c r="C1572" s="19" t="s">
        <v>66</v>
      </c>
      <c r="D1572" s="44">
        <v>0</v>
      </c>
      <c r="E1572" s="18">
        <v>0</v>
      </c>
      <c r="F1572" s="18">
        <f t="shared" si="3219"/>
        <v>417</v>
      </c>
      <c r="G1572" s="18">
        <v>0</v>
      </c>
      <c r="H1572" s="45">
        <v>0</v>
      </c>
      <c r="I1572" s="21">
        <f t="shared" si="3225"/>
        <v>165</v>
      </c>
      <c r="J1572" s="21">
        <f t="shared" si="3178"/>
        <v>10</v>
      </c>
      <c r="K1572" s="21">
        <v>0</v>
      </c>
      <c r="L1572" s="20">
        <v>6</v>
      </c>
      <c r="M1572" s="20">
        <v>0</v>
      </c>
      <c r="N1572" s="20">
        <f t="shared" si="3226"/>
        <v>2200</v>
      </c>
      <c r="O1572" s="19" t="s">
        <v>66</v>
      </c>
      <c r="P1572" s="20">
        <v>9400</v>
      </c>
      <c r="Q1572" s="20">
        <f t="shared" ref="Q1572:X1572" si="3233">Q1542</f>
        <v>220</v>
      </c>
      <c r="R1572" s="20">
        <f t="shared" si="3233"/>
        <v>880</v>
      </c>
      <c r="S1572" s="20">
        <f t="shared" si="3233"/>
        <v>1540</v>
      </c>
      <c r="T1572" s="20">
        <f t="shared" si="3233"/>
        <v>1980</v>
      </c>
      <c r="U1572" s="20">
        <f t="shared" si="3233"/>
        <v>100</v>
      </c>
      <c r="V1572" s="20">
        <f t="shared" si="3233"/>
        <v>800</v>
      </c>
      <c r="W1572" s="20">
        <f t="shared" si="3233"/>
        <v>600</v>
      </c>
      <c r="X1572" s="20">
        <f t="shared" si="3233"/>
        <v>3</v>
      </c>
      <c r="Y1572" s="20">
        <v>0</v>
      </c>
      <c r="Z1572" s="22">
        <v>0</v>
      </c>
      <c r="AA1572" s="20">
        <f t="shared" si="3221"/>
        <v>0</v>
      </c>
      <c r="AB1572" s="20">
        <v>0</v>
      </c>
      <c r="AC1572" s="20">
        <v>0</v>
      </c>
      <c r="AD1572" s="23">
        <f t="shared" ref="AD1572:AE1572" si="3234">AD1542</f>
        <v>20</v>
      </c>
      <c r="AE1572" s="23">
        <f t="shared" si="3234"/>
        <v>24</v>
      </c>
    </row>
    <row r="1573" spans="1:31" s="10" customFormat="1">
      <c r="A1573" s="10">
        <v>14202</v>
      </c>
      <c r="B1573" s="10">
        <v>12</v>
      </c>
      <c r="C1573" s="19" t="s">
        <v>67</v>
      </c>
      <c r="D1573" s="44">
        <v>0</v>
      </c>
      <c r="E1573" s="18">
        <v>0</v>
      </c>
      <c r="F1573" s="18">
        <f t="shared" si="3219"/>
        <v>453</v>
      </c>
      <c r="G1573" s="18">
        <v>0</v>
      </c>
      <c r="H1573" s="45">
        <v>0</v>
      </c>
      <c r="I1573" s="21">
        <f t="shared" si="3225"/>
        <v>165</v>
      </c>
      <c r="J1573" s="21">
        <f t="shared" si="3178"/>
        <v>11</v>
      </c>
      <c r="K1573" s="21">
        <v>0</v>
      </c>
      <c r="L1573" s="20">
        <v>6</v>
      </c>
      <c r="M1573" s="20">
        <v>0</v>
      </c>
      <c r="N1573" s="20">
        <f t="shared" si="3226"/>
        <v>2400</v>
      </c>
      <c r="O1573" s="19" t="s">
        <v>67</v>
      </c>
      <c r="P1573" s="20">
        <v>9100</v>
      </c>
      <c r="Q1573" s="20">
        <f t="shared" ref="Q1573:X1573" si="3235">Q1543</f>
        <v>240</v>
      </c>
      <c r="R1573" s="20">
        <f t="shared" si="3235"/>
        <v>960</v>
      </c>
      <c r="S1573" s="20">
        <f t="shared" si="3235"/>
        <v>1680</v>
      </c>
      <c r="T1573" s="20">
        <f t="shared" si="3235"/>
        <v>2160</v>
      </c>
      <c r="U1573" s="20">
        <f t="shared" si="3235"/>
        <v>150</v>
      </c>
      <c r="V1573" s="20">
        <f t="shared" si="3235"/>
        <v>700</v>
      </c>
      <c r="W1573" s="20">
        <f t="shared" si="3235"/>
        <v>900</v>
      </c>
      <c r="X1573" s="20">
        <f t="shared" si="3235"/>
        <v>3</v>
      </c>
      <c r="Y1573" s="20">
        <v>0</v>
      </c>
      <c r="Z1573" s="22">
        <v>0</v>
      </c>
      <c r="AA1573" s="20">
        <f t="shared" si="3221"/>
        <v>0</v>
      </c>
      <c r="AB1573" s="20">
        <v>0</v>
      </c>
      <c r="AC1573" s="20">
        <v>0</v>
      </c>
      <c r="AD1573" s="23">
        <f t="shared" ref="AD1573:AE1573" si="3236">AD1543</f>
        <v>22</v>
      </c>
      <c r="AE1573" s="23">
        <f t="shared" si="3236"/>
        <v>26</v>
      </c>
    </row>
    <row r="1574" spans="1:31" s="10" customFormat="1">
      <c r="A1574" s="10">
        <v>14202</v>
      </c>
      <c r="B1574" s="10">
        <v>13</v>
      </c>
      <c r="C1574" s="19" t="s">
        <v>68</v>
      </c>
      <c r="D1574" s="44">
        <v>0</v>
      </c>
      <c r="E1574" s="18">
        <v>0</v>
      </c>
      <c r="F1574" s="18">
        <f t="shared" si="3219"/>
        <v>489</v>
      </c>
      <c r="G1574" s="18">
        <v>0</v>
      </c>
      <c r="H1574" s="45">
        <v>0</v>
      </c>
      <c r="I1574" s="21">
        <f t="shared" si="3225"/>
        <v>220</v>
      </c>
      <c r="J1574" s="21">
        <f t="shared" si="3178"/>
        <v>12</v>
      </c>
      <c r="K1574" s="21">
        <v>0</v>
      </c>
      <c r="L1574" s="20">
        <v>6</v>
      </c>
      <c r="M1574" s="20">
        <v>0</v>
      </c>
      <c r="N1574" s="20">
        <f t="shared" si="3226"/>
        <v>2600</v>
      </c>
      <c r="O1574" s="19" t="s">
        <v>68</v>
      </c>
      <c r="P1574" s="20">
        <v>8600</v>
      </c>
      <c r="Q1574" s="20">
        <f t="shared" ref="Q1574:X1574" si="3237">Q1544</f>
        <v>260</v>
      </c>
      <c r="R1574" s="20">
        <f t="shared" si="3237"/>
        <v>1040</v>
      </c>
      <c r="S1574" s="20">
        <f t="shared" si="3237"/>
        <v>1819.9999999999998</v>
      </c>
      <c r="T1574" s="20">
        <f t="shared" si="3237"/>
        <v>2340</v>
      </c>
      <c r="U1574" s="20">
        <f t="shared" si="3237"/>
        <v>100</v>
      </c>
      <c r="V1574" s="20">
        <f t="shared" si="3237"/>
        <v>700</v>
      </c>
      <c r="W1574" s="20">
        <f t="shared" si="3237"/>
        <v>1000</v>
      </c>
      <c r="X1574" s="20">
        <f t="shared" si="3237"/>
        <v>4</v>
      </c>
      <c r="Y1574" s="20">
        <v>0</v>
      </c>
      <c r="Z1574" s="22">
        <v>0</v>
      </c>
      <c r="AA1574" s="20">
        <f t="shared" si="3221"/>
        <v>80</v>
      </c>
      <c r="AB1574" s="20">
        <v>0</v>
      </c>
      <c r="AC1574" s="20">
        <v>0</v>
      </c>
      <c r="AD1574" s="23">
        <f t="shared" ref="AD1574:AE1574" si="3238">AD1544</f>
        <v>24</v>
      </c>
      <c r="AE1574" s="23">
        <f t="shared" si="3238"/>
        <v>28</v>
      </c>
    </row>
    <row r="1575" spans="1:31" s="10" customFormat="1">
      <c r="A1575" s="10">
        <v>14202</v>
      </c>
      <c r="B1575" s="10">
        <v>14</v>
      </c>
      <c r="C1575" s="19" t="s">
        <v>69</v>
      </c>
      <c r="D1575" s="44">
        <v>0</v>
      </c>
      <c r="E1575" s="18">
        <v>0</v>
      </c>
      <c r="F1575" s="18">
        <f t="shared" si="3219"/>
        <v>531</v>
      </c>
      <c r="G1575" s="18">
        <v>0</v>
      </c>
      <c r="H1575" s="45">
        <v>0</v>
      </c>
      <c r="I1575" s="21">
        <f t="shared" si="3225"/>
        <v>220</v>
      </c>
      <c r="J1575" s="21">
        <f t="shared" si="3178"/>
        <v>13</v>
      </c>
      <c r="K1575" s="21">
        <v>0</v>
      </c>
      <c r="L1575" s="20">
        <v>6</v>
      </c>
      <c r="M1575" s="20">
        <v>0</v>
      </c>
      <c r="N1575" s="20">
        <f t="shared" si="3226"/>
        <v>2800</v>
      </c>
      <c r="O1575" s="19" t="s">
        <v>69</v>
      </c>
      <c r="P1575" s="20">
        <v>6400</v>
      </c>
      <c r="Q1575" s="20">
        <f t="shared" ref="Q1575:X1575" si="3239">Q1545</f>
        <v>280</v>
      </c>
      <c r="R1575" s="20">
        <f t="shared" si="3239"/>
        <v>1120</v>
      </c>
      <c r="S1575" s="20">
        <f t="shared" si="3239"/>
        <v>1959.9999999999998</v>
      </c>
      <c r="T1575" s="20">
        <f t="shared" si="3239"/>
        <v>2520</v>
      </c>
      <c r="U1575" s="20">
        <f t="shared" si="3239"/>
        <v>100</v>
      </c>
      <c r="V1575" s="20">
        <f t="shared" si="3239"/>
        <v>400</v>
      </c>
      <c r="W1575" s="20">
        <f t="shared" si="3239"/>
        <v>1200</v>
      </c>
      <c r="X1575" s="20">
        <f t="shared" si="3239"/>
        <v>4</v>
      </c>
      <c r="Y1575" s="20">
        <v>0</v>
      </c>
      <c r="Z1575" s="22">
        <v>0</v>
      </c>
      <c r="AA1575" s="20">
        <f t="shared" si="3221"/>
        <v>0</v>
      </c>
      <c r="AB1575" s="20">
        <v>0</v>
      </c>
      <c r="AC1575" s="20">
        <v>0</v>
      </c>
      <c r="AD1575" s="23">
        <f t="shared" ref="AD1575:AE1575" si="3240">AD1545</f>
        <v>26</v>
      </c>
      <c r="AE1575" s="23">
        <f t="shared" si="3240"/>
        <v>30</v>
      </c>
    </row>
    <row r="1576" spans="1:31" s="10" customFormat="1">
      <c r="A1576" s="10">
        <v>14202</v>
      </c>
      <c r="B1576" s="10">
        <v>15</v>
      </c>
      <c r="C1576" s="19" t="s">
        <v>70</v>
      </c>
      <c r="D1576" s="44">
        <v>0</v>
      </c>
      <c r="E1576" s="18">
        <v>0</v>
      </c>
      <c r="F1576" s="18">
        <f t="shared" si="3219"/>
        <v>573</v>
      </c>
      <c r="G1576" s="18">
        <v>0</v>
      </c>
      <c r="H1576" s="45">
        <v>0</v>
      </c>
      <c r="I1576" s="21">
        <f t="shared" si="3225"/>
        <v>220</v>
      </c>
      <c r="J1576" s="21">
        <f t="shared" si="3178"/>
        <v>14</v>
      </c>
      <c r="K1576" s="21">
        <v>0</v>
      </c>
      <c r="L1576" s="20">
        <v>6</v>
      </c>
      <c r="M1576" s="20">
        <v>0</v>
      </c>
      <c r="N1576" s="20">
        <f t="shared" si="3226"/>
        <v>4500</v>
      </c>
      <c r="O1576" s="19" t="s">
        <v>70</v>
      </c>
      <c r="P1576" s="20">
        <v>3100</v>
      </c>
      <c r="Q1576" s="20">
        <f t="shared" ref="Q1576:X1576" si="3241">Q1546</f>
        <v>450</v>
      </c>
      <c r="R1576" s="20">
        <f t="shared" si="3241"/>
        <v>1800</v>
      </c>
      <c r="S1576" s="20">
        <f t="shared" si="3241"/>
        <v>3150</v>
      </c>
      <c r="T1576" s="20">
        <f t="shared" si="3241"/>
        <v>4050</v>
      </c>
      <c r="U1576" s="20">
        <f t="shared" si="3241"/>
        <v>100</v>
      </c>
      <c r="V1576" s="20">
        <f t="shared" si="3241"/>
        <v>1000</v>
      </c>
      <c r="W1576" s="20">
        <f t="shared" si="3241"/>
        <v>600</v>
      </c>
      <c r="X1576" s="20">
        <f t="shared" si="3241"/>
        <v>4</v>
      </c>
      <c r="Y1576" s="20">
        <v>0</v>
      </c>
      <c r="Z1576" s="22">
        <v>0</v>
      </c>
      <c r="AA1576" s="20">
        <f t="shared" si="3221"/>
        <v>0</v>
      </c>
      <c r="AB1576" s="20">
        <v>0</v>
      </c>
      <c r="AC1576" s="20">
        <v>0</v>
      </c>
      <c r="AD1576" s="23">
        <f t="shared" ref="AD1576:AE1576" si="3242">AD1546</f>
        <v>28</v>
      </c>
      <c r="AE1576" s="23">
        <f t="shared" si="3242"/>
        <v>32</v>
      </c>
    </row>
    <row r="1577" spans="1:31" s="10" customFormat="1">
      <c r="A1577" s="10">
        <v>14202</v>
      </c>
      <c r="B1577" s="10">
        <v>16</v>
      </c>
      <c r="C1577" s="19" t="s">
        <v>71</v>
      </c>
      <c r="D1577" s="44">
        <v>0</v>
      </c>
      <c r="E1577" s="18">
        <v>0</v>
      </c>
      <c r="F1577" s="18">
        <f t="shared" si="3219"/>
        <v>621</v>
      </c>
      <c r="G1577" s="18">
        <v>0</v>
      </c>
      <c r="H1577" s="45">
        <v>0</v>
      </c>
      <c r="I1577" s="21">
        <f t="shared" si="3225"/>
        <v>220</v>
      </c>
      <c r="J1577" s="21">
        <f t="shared" si="3178"/>
        <v>15</v>
      </c>
      <c r="K1577" s="21">
        <v>0</v>
      </c>
      <c r="L1577" s="20">
        <v>6</v>
      </c>
      <c r="M1577" s="20">
        <v>0</v>
      </c>
      <c r="N1577" s="20">
        <f t="shared" si="3226"/>
        <v>4800</v>
      </c>
      <c r="O1577" s="19" t="s">
        <v>71</v>
      </c>
      <c r="P1577" s="20">
        <v>1777</v>
      </c>
      <c r="Q1577" s="20">
        <f t="shared" ref="Q1577:X1577" si="3243">Q1547</f>
        <v>480</v>
      </c>
      <c r="R1577" s="20">
        <f t="shared" si="3243"/>
        <v>1920</v>
      </c>
      <c r="S1577" s="20">
        <f t="shared" si="3243"/>
        <v>3360</v>
      </c>
      <c r="T1577" s="20">
        <f t="shared" si="3243"/>
        <v>4320</v>
      </c>
      <c r="U1577" s="20">
        <f t="shared" si="3243"/>
        <v>100</v>
      </c>
      <c r="V1577" s="20">
        <f t="shared" si="3243"/>
        <v>800</v>
      </c>
      <c r="W1577" s="20">
        <f t="shared" si="3243"/>
        <v>800</v>
      </c>
      <c r="X1577" s="20">
        <f t="shared" si="3243"/>
        <v>4</v>
      </c>
      <c r="Y1577" s="20">
        <v>0</v>
      </c>
      <c r="Z1577" s="22">
        <v>0</v>
      </c>
      <c r="AA1577" s="20">
        <f t="shared" si="3221"/>
        <v>0</v>
      </c>
      <c r="AB1577" s="20">
        <v>0</v>
      </c>
      <c r="AC1577" s="20">
        <v>0</v>
      </c>
      <c r="AD1577" s="23">
        <f t="shared" ref="AD1577:AE1577" si="3244">AD1547</f>
        <v>30</v>
      </c>
      <c r="AE1577" s="23">
        <f t="shared" si="3244"/>
        <v>34</v>
      </c>
    </row>
    <row r="1578" spans="1:31" s="10" customFormat="1">
      <c r="A1578" s="10">
        <v>14202</v>
      </c>
      <c r="B1578" s="10">
        <v>17</v>
      </c>
      <c r="C1578" s="19" t="s">
        <v>72</v>
      </c>
      <c r="D1578" s="44">
        <v>0</v>
      </c>
      <c r="E1578" s="18">
        <v>0</v>
      </c>
      <c r="F1578" s="18">
        <f t="shared" si="3219"/>
        <v>672</v>
      </c>
      <c r="G1578" s="18">
        <v>0</v>
      </c>
      <c r="H1578" s="45">
        <v>0</v>
      </c>
      <c r="I1578" s="21">
        <f t="shared" si="3225"/>
        <v>275</v>
      </c>
      <c r="J1578" s="21">
        <f t="shared" si="3178"/>
        <v>16</v>
      </c>
      <c r="K1578" s="21">
        <v>0</v>
      </c>
      <c r="L1578" s="20">
        <v>6</v>
      </c>
      <c r="M1578" s="20">
        <v>0</v>
      </c>
      <c r="N1578" s="20">
        <f t="shared" si="3226"/>
        <v>5100</v>
      </c>
      <c r="O1578" s="19" t="s">
        <v>72</v>
      </c>
      <c r="P1578" s="20">
        <v>2332</v>
      </c>
      <c r="Q1578" s="20">
        <f t="shared" ref="Q1578:X1578" si="3245">Q1548</f>
        <v>510</v>
      </c>
      <c r="R1578" s="20">
        <f t="shared" si="3245"/>
        <v>2040</v>
      </c>
      <c r="S1578" s="20">
        <f t="shared" si="3245"/>
        <v>3570</v>
      </c>
      <c r="T1578" s="20">
        <f t="shared" si="3245"/>
        <v>4590</v>
      </c>
      <c r="U1578" s="20">
        <f t="shared" si="3245"/>
        <v>80</v>
      </c>
      <c r="V1578" s="20">
        <f t="shared" si="3245"/>
        <v>800</v>
      </c>
      <c r="W1578" s="20">
        <f t="shared" si="3245"/>
        <v>600</v>
      </c>
      <c r="X1578" s="20">
        <f t="shared" si="3245"/>
        <v>5</v>
      </c>
      <c r="Y1578" s="20">
        <v>0</v>
      </c>
      <c r="Z1578" s="22">
        <v>0</v>
      </c>
      <c r="AA1578" s="20">
        <f t="shared" si="3221"/>
        <v>0</v>
      </c>
      <c r="AB1578" s="20">
        <v>0</v>
      </c>
      <c r="AC1578" s="20">
        <v>0</v>
      </c>
      <c r="AD1578" s="23">
        <f t="shared" ref="AD1578:AE1578" si="3246">AD1548</f>
        <v>32</v>
      </c>
      <c r="AE1578" s="23">
        <f t="shared" si="3246"/>
        <v>36</v>
      </c>
    </row>
    <row r="1579" spans="1:31" s="10" customFormat="1">
      <c r="A1579" s="10">
        <v>14202</v>
      </c>
      <c r="B1579" s="10">
        <v>18</v>
      </c>
      <c r="C1579" s="19" t="s">
        <v>73</v>
      </c>
      <c r="D1579" s="44">
        <v>0</v>
      </c>
      <c r="E1579" s="18">
        <v>0</v>
      </c>
      <c r="F1579" s="18">
        <f t="shared" si="3219"/>
        <v>729</v>
      </c>
      <c r="G1579" s="18">
        <v>0</v>
      </c>
      <c r="H1579" s="45">
        <v>0</v>
      </c>
      <c r="I1579" s="21">
        <f t="shared" si="3225"/>
        <v>275</v>
      </c>
      <c r="J1579" s="21">
        <f t="shared" si="3178"/>
        <v>17</v>
      </c>
      <c r="K1579" s="21">
        <v>0</v>
      </c>
      <c r="L1579" s="20">
        <v>6</v>
      </c>
      <c r="M1579" s="20">
        <v>0</v>
      </c>
      <c r="N1579" s="20">
        <f t="shared" si="3226"/>
        <v>5400</v>
      </c>
      <c r="O1579" s="19" t="s">
        <v>73</v>
      </c>
      <c r="P1579" s="20">
        <v>1487</v>
      </c>
      <c r="Q1579" s="20">
        <f t="shared" ref="Q1579:X1579" si="3247">Q1549</f>
        <v>540</v>
      </c>
      <c r="R1579" s="20">
        <f t="shared" si="3247"/>
        <v>2160</v>
      </c>
      <c r="S1579" s="20">
        <f t="shared" si="3247"/>
        <v>3779.9999999999995</v>
      </c>
      <c r="T1579" s="20">
        <f t="shared" si="3247"/>
        <v>4860</v>
      </c>
      <c r="U1579" s="20">
        <f t="shared" si="3247"/>
        <v>100</v>
      </c>
      <c r="V1579" s="20">
        <f t="shared" si="3247"/>
        <v>600</v>
      </c>
      <c r="W1579" s="20">
        <f t="shared" si="3247"/>
        <v>300</v>
      </c>
      <c r="X1579" s="20">
        <f t="shared" si="3247"/>
        <v>5</v>
      </c>
      <c r="Y1579" s="20">
        <v>0</v>
      </c>
      <c r="Z1579" s="22">
        <v>0</v>
      </c>
      <c r="AA1579" s="20">
        <f t="shared" si="3221"/>
        <v>120</v>
      </c>
      <c r="AB1579" s="20">
        <v>0</v>
      </c>
      <c r="AC1579" s="20">
        <v>0</v>
      </c>
      <c r="AD1579" s="23">
        <f t="shared" ref="AD1579:AE1579" si="3248">AD1549</f>
        <v>34</v>
      </c>
      <c r="AE1579" s="23">
        <f t="shared" si="3248"/>
        <v>38</v>
      </c>
    </row>
    <row r="1580" spans="1:31" s="10" customFormat="1">
      <c r="A1580" s="31">
        <v>14202</v>
      </c>
      <c r="B1580" s="31">
        <v>19</v>
      </c>
      <c r="C1580" s="19" t="s">
        <v>74</v>
      </c>
      <c r="D1580" s="44">
        <v>0</v>
      </c>
      <c r="E1580" s="18">
        <v>0</v>
      </c>
      <c r="F1580" s="18">
        <f t="shared" si="3219"/>
        <v>789</v>
      </c>
      <c r="G1580" s="18">
        <v>0</v>
      </c>
      <c r="H1580" s="45">
        <v>0</v>
      </c>
      <c r="I1580" s="21">
        <f t="shared" si="3225"/>
        <v>275</v>
      </c>
      <c r="J1580" s="21">
        <f t="shared" si="3178"/>
        <v>18</v>
      </c>
      <c r="K1580" s="21">
        <v>0</v>
      </c>
      <c r="L1580" s="20">
        <v>6</v>
      </c>
      <c r="M1580" s="20">
        <v>0</v>
      </c>
      <c r="N1580" s="20">
        <f t="shared" si="3226"/>
        <v>5700</v>
      </c>
      <c r="O1580" s="19" t="s">
        <v>74</v>
      </c>
      <c r="P1580" s="20">
        <v>1518</v>
      </c>
      <c r="Q1580" s="20">
        <f t="shared" ref="Q1580:X1580" si="3249">Q1550</f>
        <v>570</v>
      </c>
      <c r="R1580" s="20">
        <f t="shared" si="3249"/>
        <v>2280</v>
      </c>
      <c r="S1580" s="20">
        <f t="shared" si="3249"/>
        <v>3989.9999999999995</v>
      </c>
      <c r="T1580" s="20">
        <f t="shared" si="3249"/>
        <v>5130</v>
      </c>
      <c r="U1580" s="20">
        <f t="shared" si="3249"/>
        <v>100</v>
      </c>
      <c r="V1580" s="20">
        <f t="shared" si="3249"/>
        <v>500</v>
      </c>
      <c r="W1580" s="20">
        <f t="shared" si="3249"/>
        <v>400</v>
      </c>
      <c r="X1580" s="20">
        <f t="shared" si="3249"/>
        <v>5</v>
      </c>
      <c r="Y1580" s="20">
        <v>0</v>
      </c>
      <c r="Z1580" s="22">
        <v>0</v>
      </c>
      <c r="AA1580" s="20">
        <f t="shared" si="3221"/>
        <v>0</v>
      </c>
      <c r="AB1580" s="20">
        <v>0</v>
      </c>
      <c r="AC1580" s="20">
        <v>0</v>
      </c>
      <c r="AD1580" s="23">
        <f t="shared" ref="AD1580:AE1580" si="3250">AD1550</f>
        <v>36</v>
      </c>
      <c r="AE1580" s="23">
        <f t="shared" si="3250"/>
        <v>40</v>
      </c>
    </row>
    <row r="1581" spans="1:31" s="10" customFormat="1">
      <c r="A1581" s="10">
        <v>14202</v>
      </c>
      <c r="B1581" s="10">
        <v>20</v>
      </c>
      <c r="C1581" s="19" t="s">
        <v>75</v>
      </c>
      <c r="D1581" s="44">
        <v>0</v>
      </c>
      <c r="E1581" s="18">
        <v>0</v>
      </c>
      <c r="F1581" s="18">
        <f t="shared" si="3219"/>
        <v>855</v>
      </c>
      <c r="G1581" s="18">
        <v>0</v>
      </c>
      <c r="H1581" s="45">
        <v>0</v>
      </c>
      <c r="I1581" s="21">
        <f t="shared" si="3225"/>
        <v>275</v>
      </c>
      <c r="J1581" s="21">
        <f t="shared" si="3178"/>
        <v>19</v>
      </c>
      <c r="K1581" s="21">
        <v>0</v>
      </c>
      <c r="L1581" s="20">
        <v>6</v>
      </c>
      <c r="M1581" s="20">
        <v>0</v>
      </c>
      <c r="N1581" s="20">
        <f t="shared" si="3226"/>
        <v>8000</v>
      </c>
      <c r="O1581" s="19" t="s">
        <v>75</v>
      </c>
      <c r="P1581" s="20">
        <v>861</v>
      </c>
      <c r="Q1581" s="20">
        <f t="shared" ref="Q1581:X1581" si="3251">Q1551</f>
        <v>800</v>
      </c>
      <c r="R1581" s="20">
        <f t="shared" si="3251"/>
        <v>3200</v>
      </c>
      <c r="S1581" s="20">
        <f t="shared" si="3251"/>
        <v>5600</v>
      </c>
      <c r="T1581" s="20">
        <f t="shared" si="3251"/>
        <v>7200</v>
      </c>
      <c r="U1581" s="20">
        <f t="shared" si="3251"/>
        <v>100</v>
      </c>
      <c r="V1581" s="20">
        <f t="shared" si="3251"/>
        <v>800</v>
      </c>
      <c r="W1581" s="20">
        <f t="shared" si="3251"/>
        <v>8000</v>
      </c>
      <c r="X1581" s="20">
        <f t="shared" si="3251"/>
        <v>5</v>
      </c>
      <c r="Y1581" s="20">
        <v>0</v>
      </c>
      <c r="Z1581" s="22">
        <v>0</v>
      </c>
      <c r="AA1581" s="20">
        <f t="shared" si="3221"/>
        <v>0</v>
      </c>
      <c r="AB1581" s="20">
        <v>0</v>
      </c>
      <c r="AC1581" s="20">
        <v>0</v>
      </c>
      <c r="AD1581" s="23">
        <f t="shared" ref="AD1581:AE1581" si="3252">AD1551</f>
        <v>38</v>
      </c>
      <c r="AE1581" s="23">
        <f t="shared" si="3252"/>
        <v>42</v>
      </c>
    </row>
    <row r="1582" spans="1:31" s="10" customFormat="1">
      <c r="A1582" s="10">
        <v>14202</v>
      </c>
      <c r="B1582" s="10">
        <v>21</v>
      </c>
      <c r="C1582" s="19" t="s">
        <v>66</v>
      </c>
      <c r="D1582" s="44">
        <v>0</v>
      </c>
      <c r="E1582" s="18">
        <v>0</v>
      </c>
      <c r="F1582" s="18">
        <f t="shared" si="3219"/>
        <v>924</v>
      </c>
      <c r="G1582" s="18">
        <v>0</v>
      </c>
      <c r="H1582" s="45">
        <v>0</v>
      </c>
      <c r="I1582" s="21">
        <f t="shared" si="3225"/>
        <v>330</v>
      </c>
      <c r="J1582" s="21">
        <f t="shared" si="3178"/>
        <v>20</v>
      </c>
      <c r="K1582" s="21">
        <v>0</v>
      </c>
      <c r="L1582" s="20">
        <v>6</v>
      </c>
      <c r="M1582" s="20">
        <v>0</v>
      </c>
      <c r="N1582" s="20">
        <f t="shared" si="3226"/>
        <v>8400</v>
      </c>
      <c r="O1582" s="19" t="s">
        <v>66</v>
      </c>
      <c r="P1582" s="20">
        <v>9400</v>
      </c>
      <c r="Q1582" s="20">
        <f t="shared" ref="Q1582:X1582" si="3253">Q1552</f>
        <v>840</v>
      </c>
      <c r="R1582" s="20">
        <f t="shared" si="3253"/>
        <v>3360</v>
      </c>
      <c r="S1582" s="20">
        <f t="shared" si="3253"/>
        <v>5880</v>
      </c>
      <c r="T1582" s="20">
        <f t="shared" si="3253"/>
        <v>7560</v>
      </c>
      <c r="U1582" s="20">
        <f t="shared" si="3253"/>
        <v>50</v>
      </c>
      <c r="V1582" s="20">
        <f t="shared" si="3253"/>
        <v>1000</v>
      </c>
      <c r="W1582" s="20">
        <f t="shared" si="3253"/>
        <v>600</v>
      </c>
      <c r="X1582" s="20">
        <f t="shared" si="3253"/>
        <v>6</v>
      </c>
      <c r="Y1582" s="20">
        <v>0</v>
      </c>
      <c r="Z1582" s="22">
        <v>0</v>
      </c>
      <c r="AA1582" s="20">
        <f t="shared" si="3221"/>
        <v>0</v>
      </c>
      <c r="AB1582" s="20">
        <v>0</v>
      </c>
      <c r="AC1582" s="20">
        <v>0</v>
      </c>
      <c r="AD1582" s="23">
        <f t="shared" ref="AD1582:AE1582" si="3254">AD1552</f>
        <v>40</v>
      </c>
      <c r="AE1582" s="23">
        <f t="shared" si="3254"/>
        <v>44</v>
      </c>
    </row>
    <row r="1583" spans="1:31" s="10" customFormat="1">
      <c r="A1583" s="10">
        <v>14202</v>
      </c>
      <c r="B1583" s="10">
        <v>22</v>
      </c>
      <c r="C1583" s="19" t="s">
        <v>67</v>
      </c>
      <c r="D1583" s="44">
        <v>0</v>
      </c>
      <c r="E1583" s="18">
        <v>0</v>
      </c>
      <c r="F1583" s="18">
        <f t="shared" si="3219"/>
        <v>1002</v>
      </c>
      <c r="G1583" s="18">
        <v>0</v>
      </c>
      <c r="H1583" s="45">
        <v>0</v>
      </c>
      <c r="I1583" s="21">
        <f t="shared" si="3225"/>
        <v>330</v>
      </c>
      <c r="J1583" s="21">
        <f t="shared" si="3178"/>
        <v>21</v>
      </c>
      <c r="K1583" s="21">
        <v>0</v>
      </c>
      <c r="L1583" s="20">
        <v>6</v>
      </c>
      <c r="M1583" s="20">
        <v>0</v>
      </c>
      <c r="N1583" s="20">
        <f t="shared" si="3226"/>
        <v>8800</v>
      </c>
      <c r="O1583" s="19" t="s">
        <v>67</v>
      </c>
      <c r="P1583" s="20">
        <v>9100</v>
      </c>
      <c r="Q1583" s="20">
        <f t="shared" ref="Q1583:X1583" si="3255">Q1553</f>
        <v>880</v>
      </c>
      <c r="R1583" s="20">
        <f t="shared" si="3255"/>
        <v>3520</v>
      </c>
      <c r="S1583" s="20">
        <f t="shared" si="3255"/>
        <v>6160</v>
      </c>
      <c r="T1583" s="20">
        <f t="shared" si="3255"/>
        <v>7920</v>
      </c>
      <c r="U1583" s="20">
        <f t="shared" si="3255"/>
        <v>100</v>
      </c>
      <c r="V1583" s="20">
        <f t="shared" si="3255"/>
        <v>600</v>
      </c>
      <c r="W1583" s="20">
        <f t="shared" si="3255"/>
        <v>700</v>
      </c>
      <c r="X1583" s="20">
        <f t="shared" si="3255"/>
        <v>6</v>
      </c>
      <c r="Y1583" s="20">
        <v>0</v>
      </c>
      <c r="Z1583" s="22">
        <v>0</v>
      </c>
      <c r="AA1583" s="20">
        <f t="shared" si="3221"/>
        <v>0</v>
      </c>
      <c r="AB1583" s="20">
        <v>0</v>
      </c>
      <c r="AC1583" s="20">
        <v>0</v>
      </c>
      <c r="AD1583" s="23">
        <f t="shared" ref="AD1583:AE1583" si="3256">AD1553</f>
        <v>42</v>
      </c>
      <c r="AE1583" s="23">
        <f t="shared" si="3256"/>
        <v>46</v>
      </c>
    </row>
    <row r="1584" spans="1:31" s="10" customFormat="1">
      <c r="A1584" s="10">
        <v>14202</v>
      </c>
      <c r="B1584" s="10">
        <v>23</v>
      </c>
      <c r="C1584" s="19" t="s">
        <v>68</v>
      </c>
      <c r="D1584" s="44">
        <v>0</v>
      </c>
      <c r="E1584" s="18">
        <v>0</v>
      </c>
      <c r="F1584" s="18">
        <f t="shared" si="3219"/>
        <v>1083</v>
      </c>
      <c r="G1584" s="18">
        <v>0</v>
      </c>
      <c r="H1584" s="45">
        <v>0</v>
      </c>
      <c r="I1584" s="21">
        <f t="shared" si="3225"/>
        <v>330</v>
      </c>
      <c r="J1584" s="21">
        <f t="shared" si="3178"/>
        <v>22</v>
      </c>
      <c r="K1584" s="21">
        <v>0</v>
      </c>
      <c r="L1584" s="20">
        <v>6</v>
      </c>
      <c r="M1584" s="20">
        <v>0</v>
      </c>
      <c r="N1584" s="20">
        <f t="shared" si="3226"/>
        <v>9200</v>
      </c>
      <c r="O1584" s="19" t="s">
        <v>68</v>
      </c>
      <c r="P1584" s="20">
        <v>8600</v>
      </c>
      <c r="Q1584" s="20">
        <f t="shared" ref="Q1584:X1584" si="3257">Q1554</f>
        <v>920</v>
      </c>
      <c r="R1584" s="20">
        <f t="shared" si="3257"/>
        <v>3680</v>
      </c>
      <c r="S1584" s="20">
        <f t="shared" si="3257"/>
        <v>6440</v>
      </c>
      <c r="T1584" s="20">
        <f t="shared" si="3257"/>
        <v>8280</v>
      </c>
      <c r="U1584" s="20">
        <f t="shared" si="3257"/>
        <v>100</v>
      </c>
      <c r="V1584" s="20">
        <f t="shared" si="3257"/>
        <v>550</v>
      </c>
      <c r="W1584" s="20">
        <f t="shared" si="3257"/>
        <v>500</v>
      </c>
      <c r="X1584" s="20">
        <f t="shared" si="3257"/>
        <v>6</v>
      </c>
      <c r="Y1584" s="20">
        <v>0</v>
      </c>
      <c r="Z1584" s="22">
        <v>0</v>
      </c>
      <c r="AA1584" s="20">
        <f t="shared" si="3221"/>
        <v>160</v>
      </c>
      <c r="AB1584" s="20">
        <v>0</v>
      </c>
      <c r="AC1584" s="20">
        <v>0</v>
      </c>
      <c r="AD1584" s="23">
        <f t="shared" ref="AD1584:AE1584" si="3258">AD1554</f>
        <v>44</v>
      </c>
      <c r="AE1584" s="23">
        <f t="shared" si="3258"/>
        <v>48</v>
      </c>
    </row>
    <row r="1585" spans="1:31" s="10" customFormat="1">
      <c r="A1585" s="10">
        <v>14202</v>
      </c>
      <c r="B1585" s="10">
        <v>24</v>
      </c>
      <c r="C1585" s="19" t="s">
        <v>69</v>
      </c>
      <c r="D1585" s="44">
        <v>0</v>
      </c>
      <c r="E1585" s="18">
        <v>0</v>
      </c>
      <c r="F1585" s="18">
        <f t="shared" si="3219"/>
        <v>1173</v>
      </c>
      <c r="G1585" s="18">
        <v>0</v>
      </c>
      <c r="H1585" s="45">
        <v>0</v>
      </c>
      <c r="I1585" s="21">
        <f t="shared" si="3225"/>
        <v>330</v>
      </c>
      <c r="J1585" s="21">
        <f t="shared" si="3178"/>
        <v>23</v>
      </c>
      <c r="K1585" s="21">
        <v>0</v>
      </c>
      <c r="L1585" s="20">
        <v>6</v>
      </c>
      <c r="M1585" s="20">
        <v>0</v>
      </c>
      <c r="N1585" s="20">
        <f t="shared" si="3226"/>
        <v>9600</v>
      </c>
      <c r="O1585" s="19" t="s">
        <v>69</v>
      </c>
      <c r="P1585" s="20">
        <v>6400</v>
      </c>
      <c r="Q1585" s="20">
        <f t="shared" ref="Q1585:X1585" si="3259">Q1555</f>
        <v>960</v>
      </c>
      <c r="R1585" s="20">
        <f t="shared" si="3259"/>
        <v>3840</v>
      </c>
      <c r="S1585" s="20">
        <f t="shared" si="3259"/>
        <v>6720</v>
      </c>
      <c r="T1585" s="20">
        <f t="shared" si="3259"/>
        <v>8640</v>
      </c>
      <c r="U1585" s="20">
        <f t="shared" si="3259"/>
        <v>100</v>
      </c>
      <c r="V1585" s="20">
        <f t="shared" si="3259"/>
        <v>500</v>
      </c>
      <c r="W1585" s="20">
        <f t="shared" si="3259"/>
        <v>900</v>
      </c>
      <c r="X1585" s="20">
        <f t="shared" si="3259"/>
        <v>6</v>
      </c>
      <c r="Y1585" s="20">
        <v>0</v>
      </c>
      <c r="Z1585" s="22">
        <v>0</v>
      </c>
      <c r="AA1585" s="20">
        <f t="shared" si="3221"/>
        <v>0</v>
      </c>
      <c r="AB1585" s="20">
        <v>0</v>
      </c>
      <c r="AC1585" s="20">
        <v>0</v>
      </c>
      <c r="AD1585" s="23">
        <f t="shared" ref="AD1585:AE1585" si="3260">AD1555</f>
        <v>46</v>
      </c>
      <c r="AE1585" s="23">
        <f t="shared" si="3260"/>
        <v>50</v>
      </c>
    </row>
    <row r="1586" spans="1:31" s="10" customFormat="1">
      <c r="A1586" s="10">
        <v>14202</v>
      </c>
      <c r="B1586" s="10">
        <v>25</v>
      </c>
      <c r="C1586" s="19" t="s">
        <v>70</v>
      </c>
      <c r="D1586" s="44">
        <v>0</v>
      </c>
      <c r="E1586" s="18">
        <v>0</v>
      </c>
      <c r="F1586" s="18">
        <f t="shared" si="3219"/>
        <v>1272</v>
      </c>
      <c r="G1586" s="18">
        <v>0</v>
      </c>
      <c r="H1586" s="45">
        <v>0</v>
      </c>
      <c r="I1586" s="21">
        <f t="shared" si="3225"/>
        <v>385</v>
      </c>
      <c r="J1586" s="21">
        <f t="shared" si="3178"/>
        <v>24</v>
      </c>
      <c r="K1586" s="21">
        <v>0</v>
      </c>
      <c r="L1586" s="20">
        <v>6</v>
      </c>
      <c r="M1586" s="20">
        <v>0</v>
      </c>
      <c r="N1586" s="20">
        <f t="shared" si="3226"/>
        <v>12500</v>
      </c>
      <c r="O1586" s="19" t="s">
        <v>70</v>
      </c>
      <c r="P1586" s="20">
        <v>3100</v>
      </c>
      <c r="Q1586" s="20">
        <f t="shared" ref="Q1586:X1586" si="3261">Q1556</f>
        <v>1250</v>
      </c>
      <c r="R1586" s="20">
        <f t="shared" si="3261"/>
        <v>5000</v>
      </c>
      <c r="S1586" s="20">
        <f t="shared" si="3261"/>
        <v>8750</v>
      </c>
      <c r="T1586" s="20">
        <f t="shared" si="3261"/>
        <v>11250</v>
      </c>
      <c r="U1586" s="20">
        <f t="shared" si="3261"/>
        <v>10</v>
      </c>
      <c r="V1586" s="20">
        <f t="shared" si="3261"/>
        <v>1300</v>
      </c>
      <c r="W1586" s="20">
        <f t="shared" si="3261"/>
        <v>1000</v>
      </c>
      <c r="X1586" s="20">
        <f t="shared" si="3261"/>
        <v>7</v>
      </c>
      <c r="Y1586" s="20">
        <v>0</v>
      </c>
      <c r="Z1586" s="22">
        <v>0</v>
      </c>
      <c r="AA1586" s="20">
        <f t="shared" si="3221"/>
        <v>0</v>
      </c>
      <c r="AB1586" s="20">
        <v>0</v>
      </c>
      <c r="AC1586" s="20">
        <v>0</v>
      </c>
      <c r="AD1586" s="23">
        <f t="shared" ref="AD1586:AE1586" si="3262">AD1556</f>
        <v>48</v>
      </c>
      <c r="AE1586" s="23">
        <f t="shared" si="3262"/>
        <v>52</v>
      </c>
    </row>
    <row r="1587" spans="1:31" s="10" customFormat="1">
      <c r="A1587" s="10">
        <v>14202</v>
      </c>
      <c r="B1587" s="10">
        <v>26</v>
      </c>
      <c r="C1587" s="19" t="s">
        <v>71</v>
      </c>
      <c r="D1587" s="44">
        <v>0</v>
      </c>
      <c r="E1587" s="18">
        <v>0</v>
      </c>
      <c r="F1587" s="18">
        <f t="shared" si="3219"/>
        <v>1377</v>
      </c>
      <c r="G1587" s="18">
        <v>0</v>
      </c>
      <c r="H1587" s="45">
        <v>0</v>
      </c>
      <c r="I1587" s="21">
        <f t="shared" si="3225"/>
        <v>385</v>
      </c>
      <c r="J1587" s="21">
        <f t="shared" si="3178"/>
        <v>25</v>
      </c>
      <c r="K1587" s="21">
        <v>0</v>
      </c>
      <c r="L1587" s="20">
        <v>6</v>
      </c>
      <c r="M1587" s="20">
        <v>0</v>
      </c>
      <c r="N1587" s="20">
        <f t="shared" si="3226"/>
        <v>13000</v>
      </c>
      <c r="O1587" s="19" t="s">
        <v>71</v>
      </c>
      <c r="P1587" s="20">
        <v>1777</v>
      </c>
      <c r="Q1587" s="20">
        <f t="shared" ref="Q1587:X1587" si="3263">Q1557</f>
        <v>1300</v>
      </c>
      <c r="R1587" s="20">
        <f t="shared" si="3263"/>
        <v>5200</v>
      </c>
      <c r="S1587" s="20">
        <f t="shared" si="3263"/>
        <v>9100</v>
      </c>
      <c r="T1587" s="20">
        <f t="shared" si="3263"/>
        <v>11700</v>
      </c>
      <c r="U1587" s="20">
        <f t="shared" si="3263"/>
        <v>90</v>
      </c>
      <c r="V1587" s="20">
        <f t="shared" si="3263"/>
        <v>800</v>
      </c>
      <c r="W1587" s="20">
        <f t="shared" si="3263"/>
        <v>2000</v>
      </c>
      <c r="X1587" s="20">
        <f t="shared" si="3263"/>
        <v>7</v>
      </c>
      <c r="Y1587" s="20">
        <v>0</v>
      </c>
      <c r="Z1587" s="22">
        <v>0</v>
      </c>
      <c r="AA1587" s="20">
        <f t="shared" si="3221"/>
        <v>0</v>
      </c>
      <c r="AB1587" s="20">
        <v>0</v>
      </c>
      <c r="AC1587" s="20">
        <v>0</v>
      </c>
      <c r="AD1587" s="23">
        <f t="shared" ref="AD1587:AE1587" si="3264">AD1557</f>
        <v>50</v>
      </c>
      <c r="AE1587" s="23">
        <f t="shared" si="3264"/>
        <v>54</v>
      </c>
    </row>
    <row r="1588" spans="1:31" s="10" customFormat="1">
      <c r="A1588" s="10">
        <v>14202</v>
      </c>
      <c r="B1588" s="10">
        <v>27</v>
      </c>
      <c r="C1588" s="19" t="s">
        <v>72</v>
      </c>
      <c r="D1588" s="44">
        <v>0</v>
      </c>
      <c r="E1588" s="18">
        <v>0</v>
      </c>
      <c r="F1588" s="18">
        <f t="shared" si="3219"/>
        <v>1488</v>
      </c>
      <c r="G1588" s="18">
        <v>0</v>
      </c>
      <c r="H1588" s="45">
        <v>0</v>
      </c>
      <c r="I1588" s="21">
        <f t="shared" si="3225"/>
        <v>385</v>
      </c>
      <c r="J1588" s="21">
        <f t="shared" si="3178"/>
        <v>26</v>
      </c>
      <c r="K1588" s="21">
        <v>0</v>
      </c>
      <c r="L1588" s="20">
        <v>6</v>
      </c>
      <c r="M1588" s="20">
        <v>0</v>
      </c>
      <c r="N1588" s="20">
        <f t="shared" si="3226"/>
        <v>13500</v>
      </c>
      <c r="O1588" s="19" t="s">
        <v>72</v>
      </c>
      <c r="P1588" s="20">
        <v>2332</v>
      </c>
      <c r="Q1588" s="20">
        <f t="shared" ref="Q1588:X1588" si="3265">Q1558</f>
        <v>1350</v>
      </c>
      <c r="R1588" s="20">
        <f t="shared" si="3265"/>
        <v>5400</v>
      </c>
      <c r="S1588" s="20">
        <f t="shared" si="3265"/>
        <v>9450</v>
      </c>
      <c r="T1588" s="20">
        <f t="shared" si="3265"/>
        <v>12150</v>
      </c>
      <c r="U1588" s="20">
        <f t="shared" si="3265"/>
        <v>80</v>
      </c>
      <c r="V1588" s="20">
        <f t="shared" si="3265"/>
        <v>700</v>
      </c>
      <c r="W1588" s="20">
        <f t="shared" si="3265"/>
        <v>800</v>
      </c>
      <c r="X1588" s="20">
        <f t="shared" si="3265"/>
        <v>7</v>
      </c>
      <c r="Y1588" s="20">
        <v>0</v>
      </c>
      <c r="Z1588" s="22">
        <v>0</v>
      </c>
      <c r="AA1588" s="20">
        <f t="shared" si="3221"/>
        <v>0</v>
      </c>
      <c r="AB1588" s="20">
        <v>0</v>
      </c>
      <c r="AC1588" s="20">
        <v>0</v>
      </c>
      <c r="AD1588" s="23">
        <f t="shared" ref="AD1588:AE1588" si="3266">AD1558</f>
        <v>52</v>
      </c>
      <c r="AE1588" s="23">
        <f t="shared" si="3266"/>
        <v>56</v>
      </c>
    </row>
    <row r="1589" spans="1:31" s="10" customFormat="1">
      <c r="A1589" s="10">
        <v>14202</v>
      </c>
      <c r="B1589" s="10">
        <v>28</v>
      </c>
      <c r="C1589" s="19" t="s">
        <v>73</v>
      </c>
      <c r="D1589" s="44">
        <v>0</v>
      </c>
      <c r="E1589" s="18">
        <v>0</v>
      </c>
      <c r="F1589" s="18">
        <f t="shared" si="3219"/>
        <v>1611</v>
      </c>
      <c r="G1589" s="18">
        <v>0</v>
      </c>
      <c r="H1589" s="45">
        <v>0</v>
      </c>
      <c r="I1589" s="21">
        <f t="shared" si="3225"/>
        <v>385</v>
      </c>
      <c r="J1589" s="21">
        <f t="shared" si="3178"/>
        <v>27</v>
      </c>
      <c r="K1589" s="21">
        <v>0</v>
      </c>
      <c r="L1589" s="20">
        <v>6</v>
      </c>
      <c r="M1589" s="20">
        <v>0</v>
      </c>
      <c r="N1589" s="20">
        <f t="shared" si="3226"/>
        <v>14000</v>
      </c>
      <c r="O1589" s="19" t="s">
        <v>73</v>
      </c>
      <c r="P1589" s="20">
        <v>1487</v>
      </c>
      <c r="Q1589" s="20">
        <f t="shared" ref="Q1589:X1589" si="3267">Q1559</f>
        <v>1400</v>
      </c>
      <c r="R1589" s="20">
        <f t="shared" si="3267"/>
        <v>5600</v>
      </c>
      <c r="S1589" s="20">
        <f t="shared" si="3267"/>
        <v>9800</v>
      </c>
      <c r="T1589" s="20">
        <f t="shared" si="3267"/>
        <v>12600</v>
      </c>
      <c r="U1589" s="20">
        <f t="shared" si="3267"/>
        <v>80</v>
      </c>
      <c r="V1589" s="20">
        <f t="shared" si="3267"/>
        <v>500</v>
      </c>
      <c r="W1589" s="20">
        <f t="shared" si="3267"/>
        <v>600</v>
      </c>
      <c r="X1589" s="20">
        <f t="shared" si="3267"/>
        <v>7</v>
      </c>
      <c r="Y1589" s="20">
        <v>0</v>
      </c>
      <c r="Z1589" s="22">
        <v>0</v>
      </c>
      <c r="AA1589" s="20">
        <f t="shared" si="3221"/>
        <v>201</v>
      </c>
      <c r="AB1589" s="20">
        <v>0</v>
      </c>
      <c r="AC1589" s="20">
        <v>0</v>
      </c>
      <c r="AD1589" s="23">
        <f t="shared" ref="AD1589:AE1589" si="3268">AD1559</f>
        <v>54</v>
      </c>
      <c r="AE1589" s="23">
        <f t="shared" si="3268"/>
        <v>58</v>
      </c>
    </row>
    <row r="1590" spans="1:31" s="10" customFormat="1">
      <c r="A1590" s="10">
        <v>14202</v>
      </c>
      <c r="B1590" s="10">
        <v>29</v>
      </c>
      <c r="C1590" s="19" t="s">
        <v>74</v>
      </c>
      <c r="D1590" s="44">
        <v>0</v>
      </c>
      <c r="E1590" s="18">
        <v>0</v>
      </c>
      <c r="F1590" s="18">
        <f t="shared" si="3219"/>
        <v>1746</v>
      </c>
      <c r="G1590" s="18">
        <v>0</v>
      </c>
      <c r="H1590" s="45">
        <v>0</v>
      </c>
      <c r="I1590" s="21">
        <f t="shared" si="3225"/>
        <v>440</v>
      </c>
      <c r="J1590" s="21">
        <f t="shared" si="3178"/>
        <v>28</v>
      </c>
      <c r="K1590" s="21">
        <v>0</v>
      </c>
      <c r="L1590" s="20">
        <v>6</v>
      </c>
      <c r="M1590" s="20">
        <v>0</v>
      </c>
      <c r="N1590" s="20">
        <f t="shared" si="3226"/>
        <v>14500</v>
      </c>
      <c r="O1590" s="19" t="s">
        <v>74</v>
      </c>
      <c r="P1590" s="20">
        <v>1518</v>
      </c>
      <c r="Q1590" s="20">
        <f t="shared" ref="Q1590:X1590" si="3269">Q1560</f>
        <v>1450</v>
      </c>
      <c r="R1590" s="20">
        <f t="shared" si="3269"/>
        <v>5800</v>
      </c>
      <c r="S1590" s="20">
        <f t="shared" si="3269"/>
        <v>10150</v>
      </c>
      <c r="T1590" s="20">
        <f t="shared" si="3269"/>
        <v>13050</v>
      </c>
      <c r="U1590" s="20">
        <f t="shared" si="3269"/>
        <v>80</v>
      </c>
      <c r="V1590" s="20">
        <f t="shared" si="3269"/>
        <v>600</v>
      </c>
      <c r="W1590" s="20">
        <f t="shared" si="3269"/>
        <v>700</v>
      </c>
      <c r="X1590" s="20">
        <f t="shared" si="3269"/>
        <v>8</v>
      </c>
      <c r="Y1590" s="20">
        <v>0</v>
      </c>
      <c r="Z1590" s="22">
        <v>0</v>
      </c>
      <c r="AA1590" s="20">
        <f t="shared" si="3221"/>
        <v>0</v>
      </c>
      <c r="AB1590" s="20">
        <v>0</v>
      </c>
      <c r="AC1590" s="20">
        <v>0</v>
      </c>
      <c r="AD1590" s="23">
        <f t="shared" ref="AD1590:AE1590" si="3270">AD1560</f>
        <v>56</v>
      </c>
      <c r="AE1590" s="23">
        <f t="shared" si="3270"/>
        <v>60</v>
      </c>
    </row>
    <row r="1591" spans="1:31" s="10" customFormat="1">
      <c r="A1591" s="10">
        <v>14202</v>
      </c>
      <c r="B1591" s="10">
        <v>30</v>
      </c>
      <c r="C1591" s="19" t="s">
        <v>75</v>
      </c>
      <c r="D1591" s="44">
        <v>0</v>
      </c>
      <c r="E1591" s="18">
        <v>0</v>
      </c>
      <c r="F1591" s="18">
        <f t="shared" si="3219"/>
        <v>1890</v>
      </c>
      <c r="G1591" s="18">
        <v>0</v>
      </c>
      <c r="H1591" s="45">
        <v>0</v>
      </c>
      <c r="I1591" s="21">
        <f t="shared" si="3225"/>
        <v>440</v>
      </c>
      <c r="J1591" s="21">
        <f t="shared" si="3178"/>
        <v>29</v>
      </c>
      <c r="K1591" s="21">
        <v>0</v>
      </c>
      <c r="L1591" s="20">
        <v>6</v>
      </c>
      <c r="M1591" s="20">
        <v>0</v>
      </c>
      <c r="N1591" s="20">
        <f t="shared" si="3226"/>
        <v>15000</v>
      </c>
      <c r="O1591" s="19" t="s">
        <v>75</v>
      </c>
      <c r="P1591" s="20">
        <v>861</v>
      </c>
      <c r="Q1591" s="20">
        <f t="shared" ref="Q1591:X1591" si="3271">Q1561</f>
        <v>1500</v>
      </c>
      <c r="R1591" s="20">
        <f t="shared" si="3271"/>
        <v>6000</v>
      </c>
      <c r="S1591" s="20">
        <f t="shared" si="3271"/>
        <v>10500</v>
      </c>
      <c r="T1591" s="20">
        <f t="shared" si="3271"/>
        <v>13500</v>
      </c>
      <c r="U1591" s="20">
        <f t="shared" si="3271"/>
        <v>20</v>
      </c>
      <c r="V1591" s="20">
        <f t="shared" si="3271"/>
        <v>450</v>
      </c>
      <c r="W1591" s="20">
        <f t="shared" si="3271"/>
        <v>1000</v>
      </c>
      <c r="X1591" s="20">
        <f t="shared" si="3271"/>
        <v>8</v>
      </c>
      <c r="Y1591" s="20">
        <v>0</v>
      </c>
      <c r="Z1591" s="22">
        <v>0</v>
      </c>
      <c r="AA1591" s="20">
        <f t="shared" si="3221"/>
        <v>0</v>
      </c>
      <c r="AB1591" s="20">
        <v>0</v>
      </c>
      <c r="AC1591" s="20">
        <v>0</v>
      </c>
      <c r="AD1591" s="23">
        <f t="shared" ref="AD1591:AE1591" si="3272">AD1561</f>
        <v>58</v>
      </c>
      <c r="AE1591" s="23">
        <f t="shared" si="3272"/>
        <v>62</v>
      </c>
    </row>
    <row r="1592" spans="1:31" s="10" customFormat="1">
      <c r="A1592" s="31">
        <v>14203</v>
      </c>
      <c r="B1592" s="31">
        <v>1</v>
      </c>
      <c r="C1592" s="29" t="s">
        <v>66</v>
      </c>
      <c r="D1592" s="46">
        <v>0</v>
      </c>
      <c r="E1592" s="28">
        <v>0</v>
      </c>
      <c r="F1592" s="18">
        <f t="shared" si="3219"/>
        <v>252</v>
      </c>
      <c r="G1592" s="28">
        <v>0</v>
      </c>
      <c r="H1592" s="47">
        <v>0</v>
      </c>
      <c r="I1592" s="21">
        <f t="shared" si="3225"/>
        <v>55</v>
      </c>
      <c r="J1592" s="21">
        <f t="shared" si="3178"/>
        <v>0</v>
      </c>
      <c r="K1592" s="21">
        <v>0</v>
      </c>
      <c r="L1592" s="20">
        <v>45</v>
      </c>
      <c r="M1592" s="20">
        <v>0</v>
      </c>
      <c r="N1592" s="20">
        <f t="shared" si="3226"/>
        <v>10</v>
      </c>
      <c r="O1592" s="19" t="s">
        <v>66</v>
      </c>
      <c r="P1592" s="20">
        <v>9400</v>
      </c>
      <c r="Q1592" s="20">
        <f t="shared" ref="Q1592:X1592" si="3273">Q1562</f>
        <v>1</v>
      </c>
      <c r="R1592" s="20">
        <f t="shared" si="3273"/>
        <v>4</v>
      </c>
      <c r="S1592" s="20">
        <f t="shared" si="3273"/>
        <v>7</v>
      </c>
      <c r="T1592" s="20">
        <f t="shared" si="3273"/>
        <v>9</v>
      </c>
      <c r="U1592" s="20">
        <f t="shared" si="3273"/>
        <v>9400</v>
      </c>
      <c r="V1592" s="20">
        <f t="shared" si="3273"/>
        <v>9400</v>
      </c>
      <c r="W1592" s="20">
        <f t="shared" si="3273"/>
        <v>9400</v>
      </c>
      <c r="X1592" s="20">
        <f t="shared" si="3273"/>
        <v>1</v>
      </c>
      <c r="Y1592" s="27">
        <v>0</v>
      </c>
      <c r="Z1592" s="30">
        <v>0</v>
      </c>
      <c r="AA1592" s="20">
        <f t="shared" si="3221"/>
        <v>0</v>
      </c>
      <c r="AB1592" s="27">
        <v>0</v>
      </c>
      <c r="AC1592" s="27">
        <v>0</v>
      </c>
      <c r="AD1592" s="23">
        <f t="shared" ref="AD1592:AE1592" si="3274">AD1562</f>
        <v>1</v>
      </c>
      <c r="AE1592" s="23">
        <f t="shared" si="3274"/>
        <v>3</v>
      </c>
    </row>
    <row r="1593" spans="1:31" s="10" customFormat="1">
      <c r="A1593" s="10">
        <v>14203</v>
      </c>
      <c r="B1593" s="10">
        <v>2</v>
      </c>
      <c r="C1593" s="29" t="s">
        <v>67</v>
      </c>
      <c r="D1593" s="46">
        <v>0</v>
      </c>
      <c r="E1593" s="28">
        <v>0</v>
      </c>
      <c r="F1593" s="18">
        <f t="shared" si="3219"/>
        <v>272</v>
      </c>
      <c r="G1593" s="28">
        <v>0</v>
      </c>
      <c r="H1593" s="47">
        <v>0</v>
      </c>
      <c r="I1593" s="21">
        <f t="shared" si="3225"/>
        <v>55</v>
      </c>
      <c r="J1593" s="21">
        <f t="shared" si="3178"/>
        <v>1</v>
      </c>
      <c r="K1593" s="21">
        <v>0</v>
      </c>
      <c r="L1593" s="20">
        <v>40</v>
      </c>
      <c r="M1593" s="20">
        <v>0</v>
      </c>
      <c r="N1593" s="20">
        <f t="shared" si="3226"/>
        <v>20</v>
      </c>
      <c r="O1593" s="19" t="s">
        <v>67</v>
      </c>
      <c r="P1593" s="20">
        <v>9100</v>
      </c>
      <c r="Q1593" s="20">
        <f t="shared" ref="Q1593:X1593" si="3275">Q1563</f>
        <v>2</v>
      </c>
      <c r="R1593" s="20">
        <f t="shared" si="3275"/>
        <v>8</v>
      </c>
      <c r="S1593" s="20">
        <f t="shared" si="3275"/>
        <v>14</v>
      </c>
      <c r="T1593" s="20">
        <f t="shared" si="3275"/>
        <v>18</v>
      </c>
      <c r="U1593" s="20">
        <f t="shared" si="3275"/>
        <v>4000</v>
      </c>
      <c r="V1593" s="20">
        <f t="shared" si="3275"/>
        <v>8000</v>
      </c>
      <c r="W1593" s="20">
        <f t="shared" si="3275"/>
        <v>8000</v>
      </c>
      <c r="X1593" s="20">
        <f t="shared" si="3275"/>
        <v>1</v>
      </c>
      <c r="Y1593" s="27">
        <v>0</v>
      </c>
      <c r="Z1593" s="30">
        <v>0</v>
      </c>
      <c r="AA1593" s="20">
        <f t="shared" si="3221"/>
        <v>0</v>
      </c>
      <c r="AB1593" s="27">
        <v>0</v>
      </c>
      <c r="AC1593" s="27">
        <v>0</v>
      </c>
      <c r="AD1593" s="23">
        <f t="shared" ref="AD1593:AE1593" si="3276">AD1563</f>
        <v>2</v>
      </c>
      <c r="AE1593" s="23">
        <f t="shared" si="3276"/>
        <v>5</v>
      </c>
    </row>
    <row r="1594" spans="1:31" s="10" customFormat="1">
      <c r="A1594" s="10">
        <v>14203</v>
      </c>
      <c r="B1594" s="10">
        <v>3</v>
      </c>
      <c r="C1594" s="29" t="s">
        <v>68</v>
      </c>
      <c r="D1594" s="46">
        <v>0</v>
      </c>
      <c r="E1594" s="28">
        <v>0</v>
      </c>
      <c r="F1594" s="18">
        <f t="shared" si="3219"/>
        <v>296</v>
      </c>
      <c r="G1594" s="28">
        <v>0</v>
      </c>
      <c r="H1594" s="47">
        <v>0</v>
      </c>
      <c r="I1594" s="21">
        <f t="shared" si="3225"/>
        <v>55</v>
      </c>
      <c r="J1594" s="21">
        <f t="shared" si="3178"/>
        <v>2</v>
      </c>
      <c r="K1594" s="21">
        <v>0</v>
      </c>
      <c r="L1594" s="20">
        <v>35</v>
      </c>
      <c r="M1594" s="20">
        <v>0</v>
      </c>
      <c r="N1594" s="20">
        <f t="shared" si="3226"/>
        <v>40</v>
      </c>
      <c r="O1594" s="19" t="s">
        <v>68</v>
      </c>
      <c r="P1594" s="20">
        <v>8600</v>
      </c>
      <c r="Q1594" s="20">
        <f t="shared" ref="Q1594:X1594" si="3277">Q1564</f>
        <v>4</v>
      </c>
      <c r="R1594" s="20">
        <f t="shared" si="3277"/>
        <v>16</v>
      </c>
      <c r="S1594" s="20">
        <f t="shared" si="3277"/>
        <v>28</v>
      </c>
      <c r="T1594" s="20">
        <f t="shared" si="3277"/>
        <v>36</v>
      </c>
      <c r="U1594" s="20">
        <f t="shared" si="3277"/>
        <v>1600</v>
      </c>
      <c r="V1594" s="20">
        <f t="shared" si="3277"/>
        <v>5000</v>
      </c>
      <c r="W1594" s="20">
        <f t="shared" si="3277"/>
        <v>6000</v>
      </c>
      <c r="X1594" s="20">
        <f t="shared" si="3277"/>
        <v>1</v>
      </c>
      <c r="Y1594" s="27">
        <v>0</v>
      </c>
      <c r="Z1594" s="30">
        <v>0</v>
      </c>
      <c r="AA1594" s="20">
        <f t="shared" si="3221"/>
        <v>0</v>
      </c>
      <c r="AB1594" s="27">
        <v>0</v>
      </c>
      <c r="AC1594" s="27">
        <v>0</v>
      </c>
      <c r="AD1594" s="23">
        <f t="shared" ref="AD1594:AE1594" si="3278">AD1564</f>
        <v>4</v>
      </c>
      <c r="AE1594" s="23">
        <f t="shared" si="3278"/>
        <v>8</v>
      </c>
    </row>
    <row r="1595" spans="1:31" s="10" customFormat="1">
      <c r="A1595" s="10">
        <v>14203</v>
      </c>
      <c r="B1595" s="10">
        <v>4</v>
      </c>
      <c r="C1595" s="29" t="s">
        <v>69</v>
      </c>
      <c r="D1595" s="46">
        <v>0</v>
      </c>
      <c r="E1595" s="28">
        <v>0</v>
      </c>
      <c r="F1595" s="18">
        <f t="shared" si="3219"/>
        <v>320</v>
      </c>
      <c r="G1595" s="28">
        <v>0</v>
      </c>
      <c r="H1595" s="47">
        <v>0</v>
      </c>
      <c r="I1595" s="21">
        <f t="shared" si="3225"/>
        <v>55</v>
      </c>
      <c r="J1595" s="21">
        <f t="shared" si="3178"/>
        <v>3</v>
      </c>
      <c r="K1595" s="21">
        <v>0</v>
      </c>
      <c r="L1595" s="20">
        <v>30</v>
      </c>
      <c r="M1595" s="20">
        <v>0</v>
      </c>
      <c r="N1595" s="20">
        <f t="shared" si="3226"/>
        <v>100</v>
      </c>
      <c r="O1595" s="19" t="s">
        <v>69</v>
      </c>
      <c r="P1595" s="20">
        <v>6400</v>
      </c>
      <c r="Q1595" s="20">
        <f t="shared" ref="Q1595:X1595" si="3279">Q1565</f>
        <v>10</v>
      </c>
      <c r="R1595" s="20">
        <f t="shared" si="3279"/>
        <v>40</v>
      </c>
      <c r="S1595" s="20">
        <f t="shared" si="3279"/>
        <v>70</v>
      </c>
      <c r="T1595" s="20">
        <f t="shared" si="3279"/>
        <v>90</v>
      </c>
      <c r="U1595" s="20">
        <f t="shared" si="3279"/>
        <v>900</v>
      </c>
      <c r="V1595" s="20">
        <f t="shared" si="3279"/>
        <v>2000</v>
      </c>
      <c r="W1595" s="20">
        <f t="shared" si="3279"/>
        <v>8000</v>
      </c>
      <c r="X1595" s="20">
        <f t="shared" si="3279"/>
        <v>1</v>
      </c>
      <c r="Y1595" s="27">
        <v>0</v>
      </c>
      <c r="Z1595" s="30">
        <v>0</v>
      </c>
      <c r="AA1595" s="20">
        <f t="shared" si="3221"/>
        <v>0</v>
      </c>
      <c r="AB1595" s="27">
        <v>0</v>
      </c>
      <c r="AC1595" s="27">
        <v>0</v>
      </c>
      <c r="AD1595" s="23">
        <f t="shared" ref="AD1595:AE1595" si="3280">AD1565</f>
        <v>6</v>
      </c>
      <c r="AE1595" s="23">
        <f t="shared" si="3280"/>
        <v>10</v>
      </c>
    </row>
    <row r="1596" spans="1:31" s="10" customFormat="1">
      <c r="A1596" s="10">
        <v>14203</v>
      </c>
      <c r="B1596" s="10">
        <v>5</v>
      </c>
      <c r="C1596" s="29" t="s">
        <v>70</v>
      </c>
      <c r="D1596" s="46">
        <v>0</v>
      </c>
      <c r="E1596" s="28">
        <v>0</v>
      </c>
      <c r="F1596" s="18">
        <f t="shared" si="3219"/>
        <v>348</v>
      </c>
      <c r="G1596" s="28">
        <v>0</v>
      </c>
      <c r="H1596" s="47">
        <v>0</v>
      </c>
      <c r="I1596" s="21">
        <f t="shared" si="3225"/>
        <v>110</v>
      </c>
      <c r="J1596" s="21">
        <f t="shared" si="3178"/>
        <v>4</v>
      </c>
      <c r="K1596" s="21">
        <v>0</v>
      </c>
      <c r="L1596" s="20">
        <v>25</v>
      </c>
      <c r="M1596" s="20">
        <v>0</v>
      </c>
      <c r="N1596" s="20">
        <f t="shared" si="3226"/>
        <v>200</v>
      </c>
      <c r="O1596" s="19" t="s">
        <v>70</v>
      </c>
      <c r="P1596" s="20">
        <v>3100</v>
      </c>
      <c r="Q1596" s="20">
        <f t="shared" ref="Q1596:X1596" si="3281">Q1566</f>
        <v>20</v>
      </c>
      <c r="R1596" s="20">
        <f t="shared" si="3281"/>
        <v>80</v>
      </c>
      <c r="S1596" s="20">
        <f t="shared" si="3281"/>
        <v>140</v>
      </c>
      <c r="T1596" s="20">
        <f t="shared" si="3281"/>
        <v>180</v>
      </c>
      <c r="U1596" s="20">
        <f t="shared" si="3281"/>
        <v>1000</v>
      </c>
      <c r="V1596" s="20">
        <f t="shared" si="3281"/>
        <v>2000</v>
      </c>
      <c r="W1596" s="20">
        <f t="shared" si="3281"/>
        <v>2000</v>
      </c>
      <c r="X1596" s="20">
        <f t="shared" si="3281"/>
        <v>2</v>
      </c>
      <c r="Y1596" s="27">
        <v>0</v>
      </c>
      <c r="Z1596" s="30">
        <v>0</v>
      </c>
      <c r="AA1596" s="20">
        <f t="shared" si="3221"/>
        <v>0</v>
      </c>
      <c r="AB1596" s="27">
        <v>0</v>
      </c>
      <c r="AC1596" s="27">
        <v>0</v>
      </c>
      <c r="AD1596" s="23">
        <f t="shared" ref="AD1596:AE1596" si="3282">AD1566</f>
        <v>8</v>
      </c>
      <c r="AE1596" s="23">
        <f t="shared" si="3282"/>
        <v>12</v>
      </c>
    </row>
    <row r="1597" spans="1:31" s="10" customFormat="1">
      <c r="A1597" s="10">
        <v>14203</v>
      </c>
      <c r="B1597" s="10">
        <v>6</v>
      </c>
      <c r="C1597" s="29" t="s">
        <v>71</v>
      </c>
      <c r="D1597" s="46">
        <v>0</v>
      </c>
      <c r="E1597" s="28">
        <v>0</v>
      </c>
      <c r="F1597" s="18">
        <f t="shared" si="3219"/>
        <v>376</v>
      </c>
      <c r="G1597" s="28">
        <v>0</v>
      </c>
      <c r="H1597" s="47">
        <v>0</v>
      </c>
      <c r="I1597" s="21">
        <f t="shared" si="3225"/>
        <v>110</v>
      </c>
      <c r="J1597" s="21">
        <f t="shared" si="3178"/>
        <v>5</v>
      </c>
      <c r="K1597" s="21">
        <v>0</v>
      </c>
      <c r="L1597" s="20">
        <v>20</v>
      </c>
      <c r="M1597" s="20">
        <v>0</v>
      </c>
      <c r="N1597" s="20">
        <f t="shared" si="3226"/>
        <v>500</v>
      </c>
      <c r="O1597" s="19" t="s">
        <v>71</v>
      </c>
      <c r="P1597" s="20">
        <v>1777</v>
      </c>
      <c r="Q1597" s="20">
        <f t="shared" ref="Q1597:X1597" si="3283">Q1567</f>
        <v>50</v>
      </c>
      <c r="R1597" s="20">
        <f t="shared" si="3283"/>
        <v>200</v>
      </c>
      <c r="S1597" s="20">
        <f t="shared" si="3283"/>
        <v>350</v>
      </c>
      <c r="T1597" s="20">
        <f t="shared" si="3283"/>
        <v>450</v>
      </c>
      <c r="U1597" s="20">
        <f t="shared" si="3283"/>
        <v>800</v>
      </c>
      <c r="V1597" s="20">
        <f t="shared" si="3283"/>
        <v>800</v>
      </c>
      <c r="W1597" s="20">
        <f t="shared" si="3283"/>
        <v>600</v>
      </c>
      <c r="X1597" s="20">
        <f t="shared" si="3283"/>
        <v>2</v>
      </c>
      <c r="Y1597" s="27">
        <v>0</v>
      </c>
      <c r="Z1597" s="30">
        <v>0</v>
      </c>
      <c r="AA1597" s="20">
        <f t="shared" si="3221"/>
        <v>0</v>
      </c>
      <c r="AB1597" s="27">
        <v>0</v>
      </c>
      <c r="AC1597" s="27">
        <v>0</v>
      </c>
      <c r="AD1597" s="23">
        <f t="shared" ref="AD1597:AE1597" si="3284">AD1567</f>
        <v>10</v>
      </c>
      <c r="AE1597" s="23">
        <f t="shared" si="3284"/>
        <v>14</v>
      </c>
    </row>
    <row r="1598" spans="1:31" s="10" customFormat="1">
      <c r="A1598" s="10">
        <v>14203</v>
      </c>
      <c r="B1598" s="10">
        <v>7</v>
      </c>
      <c r="C1598" s="29" t="s">
        <v>72</v>
      </c>
      <c r="D1598" s="46">
        <v>0</v>
      </c>
      <c r="E1598" s="28">
        <v>0</v>
      </c>
      <c r="F1598" s="18">
        <f t="shared" si="3219"/>
        <v>404</v>
      </c>
      <c r="G1598" s="28">
        <v>0</v>
      </c>
      <c r="H1598" s="47">
        <v>0</v>
      </c>
      <c r="I1598" s="21">
        <f t="shared" si="3225"/>
        <v>110</v>
      </c>
      <c r="J1598" s="21">
        <f t="shared" si="3178"/>
        <v>6</v>
      </c>
      <c r="K1598" s="21">
        <v>0</v>
      </c>
      <c r="L1598" s="20">
        <v>16</v>
      </c>
      <c r="M1598" s="20">
        <v>0</v>
      </c>
      <c r="N1598" s="20">
        <f t="shared" si="3226"/>
        <v>700</v>
      </c>
      <c r="O1598" s="19" t="s">
        <v>72</v>
      </c>
      <c r="P1598" s="20">
        <v>2332</v>
      </c>
      <c r="Q1598" s="20">
        <f t="shared" ref="Q1598:X1598" si="3285">Q1568</f>
        <v>70</v>
      </c>
      <c r="R1598" s="20">
        <f t="shared" si="3285"/>
        <v>280</v>
      </c>
      <c r="S1598" s="20">
        <f t="shared" si="3285"/>
        <v>489.99999999999994</v>
      </c>
      <c r="T1598" s="20">
        <f t="shared" si="3285"/>
        <v>630</v>
      </c>
      <c r="U1598" s="20">
        <f t="shared" si="3285"/>
        <v>650</v>
      </c>
      <c r="V1598" s="20">
        <f t="shared" si="3285"/>
        <v>800</v>
      </c>
      <c r="W1598" s="20">
        <f t="shared" si="3285"/>
        <v>300</v>
      </c>
      <c r="X1598" s="20">
        <f t="shared" si="3285"/>
        <v>2</v>
      </c>
      <c r="Y1598" s="27">
        <v>0</v>
      </c>
      <c r="Z1598" s="30">
        <v>0</v>
      </c>
      <c r="AA1598" s="20">
        <f t="shared" si="3221"/>
        <v>0</v>
      </c>
      <c r="AB1598" s="27">
        <v>0</v>
      </c>
      <c r="AC1598" s="27">
        <v>0</v>
      </c>
      <c r="AD1598" s="23">
        <f t="shared" ref="AD1598:AE1598" si="3286">AD1568</f>
        <v>12</v>
      </c>
      <c r="AE1598" s="23">
        <f t="shared" si="3286"/>
        <v>16</v>
      </c>
    </row>
    <row r="1599" spans="1:31" s="10" customFormat="1">
      <c r="A1599" s="10">
        <v>14203</v>
      </c>
      <c r="B1599" s="10">
        <v>8</v>
      </c>
      <c r="C1599" s="29" t="s">
        <v>73</v>
      </c>
      <c r="D1599" s="46">
        <v>0</v>
      </c>
      <c r="E1599" s="28">
        <v>0</v>
      </c>
      <c r="F1599" s="18">
        <f t="shared" si="3219"/>
        <v>440</v>
      </c>
      <c r="G1599" s="28">
        <v>0</v>
      </c>
      <c r="H1599" s="47">
        <v>0</v>
      </c>
      <c r="I1599" s="21">
        <f t="shared" si="3225"/>
        <v>110</v>
      </c>
      <c r="J1599" s="21">
        <f t="shared" si="3178"/>
        <v>7</v>
      </c>
      <c r="K1599" s="21">
        <v>0</v>
      </c>
      <c r="L1599" s="20">
        <v>12</v>
      </c>
      <c r="M1599" s="20">
        <v>0</v>
      </c>
      <c r="N1599" s="20">
        <f t="shared" si="3226"/>
        <v>800</v>
      </c>
      <c r="O1599" s="19" t="s">
        <v>73</v>
      </c>
      <c r="P1599" s="20">
        <v>1487</v>
      </c>
      <c r="Q1599" s="20">
        <f t="shared" ref="Q1599:X1599" si="3287">Q1569</f>
        <v>80</v>
      </c>
      <c r="R1599" s="20">
        <f t="shared" si="3287"/>
        <v>320</v>
      </c>
      <c r="S1599" s="20">
        <f t="shared" si="3287"/>
        <v>560</v>
      </c>
      <c r="T1599" s="20">
        <f t="shared" si="3287"/>
        <v>720</v>
      </c>
      <c r="U1599" s="20">
        <f t="shared" si="3287"/>
        <v>200</v>
      </c>
      <c r="V1599" s="20">
        <f t="shared" si="3287"/>
        <v>2000</v>
      </c>
      <c r="W1599" s="20">
        <f t="shared" si="3287"/>
        <v>1000</v>
      </c>
      <c r="X1599" s="20">
        <f t="shared" si="3287"/>
        <v>2</v>
      </c>
      <c r="Y1599" s="27">
        <v>0</v>
      </c>
      <c r="Z1599" s="30">
        <v>0</v>
      </c>
      <c r="AA1599" s="20">
        <f t="shared" si="3221"/>
        <v>44</v>
      </c>
      <c r="AB1599" s="27">
        <v>0</v>
      </c>
      <c r="AC1599" s="27">
        <v>0</v>
      </c>
      <c r="AD1599" s="23">
        <f t="shared" ref="AD1599:AE1599" si="3288">AD1569</f>
        <v>14</v>
      </c>
      <c r="AE1599" s="23">
        <f t="shared" si="3288"/>
        <v>18</v>
      </c>
    </row>
    <row r="1600" spans="1:31" s="10" customFormat="1">
      <c r="A1600" s="10">
        <v>14203</v>
      </c>
      <c r="B1600" s="10">
        <v>9</v>
      </c>
      <c r="C1600" s="29" t="s">
        <v>74</v>
      </c>
      <c r="D1600" s="46">
        <v>0</v>
      </c>
      <c r="E1600" s="28">
        <v>0</v>
      </c>
      <c r="F1600" s="18">
        <f t="shared" si="3219"/>
        <v>476</v>
      </c>
      <c r="G1600" s="28">
        <v>0</v>
      </c>
      <c r="H1600" s="47">
        <v>0</v>
      </c>
      <c r="I1600" s="21">
        <f t="shared" si="3225"/>
        <v>165</v>
      </c>
      <c r="J1600" s="21">
        <f t="shared" si="3178"/>
        <v>8</v>
      </c>
      <c r="K1600" s="21">
        <v>0</v>
      </c>
      <c r="L1600" s="20">
        <v>8</v>
      </c>
      <c r="M1600" s="20">
        <v>0</v>
      </c>
      <c r="N1600" s="20">
        <f t="shared" si="3226"/>
        <v>900</v>
      </c>
      <c r="O1600" s="19" t="s">
        <v>74</v>
      </c>
      <c r="P1600" s="20">
        <v>1518</v>
      </c>
      <c r="Q1600" s="20">
        <f t="shared" ref="Q1600:X1600" si="3289">Q1570</f>
        <v>90</v>
      </c>
      <c r="R1600" s="20">
        <f t="shared" si="3289"/>
        <v>360</v>
      </c>
      <c r="S1600" s="20">
        <f t="shared" si="3289"/>
        <v>630</v>
      </c>
      <c r="T1600" s="20">
        <f t="shared" si="3289"/>
        <v>810</v>
      </c>
      <c r="U1600" s="20">
        <f t="shared" si="3289"/>
        <v>120</v>
      </c>
      <c r="V1600" s="20">
        <f t="shared" si="3289"/>
        <v>1500</v>
      </c>
      <c r="W1600" s="20">
        <f t="shared" si="3289"/>
        <v>1000</v>
      </c>
      <c r="X1600" s="20">
        <f t="shared" si="3289"/>
        <v>3</v>
      </c>
      <c r="Y1600" s="27">
        <v>0</v>
      </c>
      <c r="Z1600" s="30">
        <v>0</v>
      </c>
      <c r="AA1600" s="20">
        <f t="shared" si="3221"/>
        <v>0</v>
      </c>
      <c r="AB1600" s="27">
        <v>0</v>
      </c>
      <c r="AC1600" s="27">
        <v>0</v>
      </c>
      <c r="AD1600" s="23">
        <f t="shared" ref="AD1600:AE1600" si="3290">AD1570</f>
        <v>16</v>
      </c>
      <c r="AE1600" s="23">
        <f t="shared" si="3290"/>
        <v>20</v>
      </c>
    </row>
    <row r="1601" spans="1:31" s="10" customFormat="1">
      <c r="A1601" s="10">
        <v>14203</v>
      </c>
      <c r="B1601" s="10">
        <v>10</v>
      </c>
      <c r="C1601" s="29" t="s">
        <v>75</v>
      </c>
      <c r="D1601" s="46">
        <v>0</v>
      </c>
      <c r="E1601" s="28">
        <v>0</v>
      </c>
      <c r="F1601" s="18">
        <f t="shared" si="3219"/>
        <v>516</v>
      </c>
      <c r="G1601" s="28">
        <v>0</v>
      </c>
      <c r="H1601" s="47">
        <v>0</v>
      </c>
      <c r="I1601" s="21">
        <f t="shared" si="3225"/>
        <v>165</v>
      </c>
      <c r="J1601" s="21">
        <f t="shared" si="3178"/>
        <v>9</v>
      </c>
      <c r="K1601" s="21">
        <v>0</v>
      </c>
      <c r="L1601" s="20">
        <v>6</v>
      </c>
      <c r="M1601" s="20">
        <v>0</v>
      </c>
      <c r="N1601" s="20">
        <f t="shared" si="3226"/>
        <v>2000</v>
      </c>
      <c r="O1601" s="19" t="s">
        <v>75</v>
      </c>
      <c r="P1601" s="20">
        <v>861</v>
      </c>
      <c r="Q1601" s="20">
        <f t="shared" ref="Q1601:X1601" si="3291">Q1571</f>
        <v>200</v>
      </c>
      <c r="R1601" s="20">
        <f t="shared" si="3291"/>
        <v>800</v>
      </c>
      <c r="S1601" s="20">
        <f t="shared" si="3291"/>
        <v>1400</v>
      </c>
      <c r="T1601" s="20">
        <f t="shared" si="3291"/>
        <v>1800</v>
      </c>
      <c r="U1601" s="20">
        <f t="shared" si="3291"/>
        <v>150</v>
      </c>
      <c r="V1601" s="20">
        <f t="shared" si="3291"/>
        <v>5000</v>
      </c>
      <c r="W1601" s="20">
        <f t="shared" si="3291"/>
        <v>800</v>
      </c>
      <c r="X1601" s="20">
        <f t="shared" si="3291"/>
        <v>3</v>
      </c>
      <c r="Y1601" s="27">
        <v>0</v>
      </c>
      <c r="Z1601" s="30">
        <v>0</v>
      </c>
      <c r="AA1601" s="20">
        <f t="shared" si="3221"/>
        <v>0</v>
      </c>
      <c r="AB1601" s="27">
        <v>0</v>
      </c>
      <c r="AC1601" s="27">
        <v>0</v>
      </c>
      <c r="AD1601" s="23">
        <f t="shared" ref="AD1601:AE1601" si="3292">AD1571</f>
        <v>18</v>
      </c>
      <c r="AE1601" s="23">
        <f t="shared" si="3292"/>
        <v>22</v>
      </c>
    </row>
    <row r="1602" spans="1:31" s="10" customFormat="1">
      <c r="A1602" s="10">
        <v>14203</v>
      </c>
      <c r="B1602" s="10">
        <v>11</v>
      </c>
      <c r="C1602" s="29" t="s">
        <v>66</v>
      </c>
      <c r="D1602" s="46">
        <v>0</v>
      </c>
      <c r="E1602" s="28">
        <v>0</v>
      </c>
      <c r="F1602" s="18">
        <f t="shared" si="3219"/>
        <v>556</v>
      </c>
      <c r="G1602" s="28">
        <v>0</v>
      </c>
      <c r="H1602" s="47">
        <v>0</v>
      </c>
      <c r="I1602" s="21">
        <f t="shared" si="3225"/>
        <v>165</v>
      </c>
      <c r="J1602" s="21">
        <f t="shared" si="3178"/>
        <v>10</v>
      </c>
      <c r="K1602" s="21">
        <v>0</v>
      </c>
      <c r="L1602" s="20">
        <v>6</v>
      </c>
      <c r="M1602" s="20">
        <v>0</v>
      </c>
      <c r="N1602" s="20">
        <f t="shared" si="3226"/>
        <v>2200</v>
      </c>
      <c r="O1602" s="19" t="s">
        <v>66</v>
      </c>
      <c r="P1602" s="20">
        <v>9400</v>
      </c>
      <c r="Q1602" s="20">
        <f t="shared" ref="Q1602:X1602" si="3293">Q1572</f>
        <v>220</v>
      </c>
      <c r="R1602" s="20">
        <f t="shared" si="3293"/>
        <v>880</v>
      </c>
      <c r="S1602" s="20">
        <f t="shared" si="3293"/>
        <v>1540</v>
      </c>
      <c r="T1602" s="20">
        <f t="shared" si="3293"/>
        <v>1980</v>
      </c>
      <c r="U1602" s="20">
        <f t="shared" si="3293"/>
        <v>100</v>
      </c>
      <c r="V1602" s="20">
        <f t="shared" si="3293"/>
        <v>800</v>
      </c>
      <c r="W1602" s="20">
        <f t="shared" si="3293"/>
        <v>600</v>
      </c>
      <c r="X1602" s="20">
        <f t="shared" si="3293"/>
        <v>3</v>
      </c>
      <c r="Y1602" s="27">
        <v>0</v>
      </c>
      <c r="Z1602" s="30">
        <v>0</v>
      </c>
      <c r="AA1602" s="20">
        <f t="shared" si="3221"/>
        <v>0</v>
      </c>
      <c r="AB1602" s="27">
        <v>0</v>
      </c>
      <c r="AC1602" s="27">
        <v>0</v>
      </c>
      <c r="AD1602" s="23">
        <f t="shared" ref="AD1602:AE1602" si="3294">AD1572</f>
        <v>20</v>
      </c>
      <c r="AE1602" s="23">
        <f t="shared" si="3294"/>
        <v>24</v>
      </c>
    </row>
    <row r="1603" spans="1:31" s="10" customFormat="1">
      <c r="A1603" s="10">
        <v>14203</v>
      </c>
      <c r="B1603" s="10">
        <v>12</v>
      </c>
      <c r="C1603" s="29" t="s">
        <v>67</v>
      </c>
      <c r="D1603" s="46">
        <v>0</v>
      </c>
      <c r="E1603" s="28">
        <v>0</v>
      </c>
      <c r="F1603" s="18">
        <f t="shared" si="3219"/>
        <v>604</v>
      </c>
      <c r="G1603" s="28">
        <v>0</v>
      </c>
      <c r="H1603" s="47">
        <v>0</v>
      </c>
      <c r="I1603" s="21">
        <f t="shared" si="3225"/>
        <v>165</v>
      </c>
      <c r="J1603" s="21">
        <f t="shared" si="3178"/>
        <v>11</v>
      </c>
      <c r="K1603" s="21">
        <v>0</v>
      </c>
      <c r="L1603" s="20">
        <v>6</v>
      </c>
      <c r="M1603" s="20">
        <v>0</v>
      </c>
      <c r="N1603" s="20">
        <f t="shared" si="3226"/>
        <v>2400</v>
      </c>
      <c r="O1603" s="19" t="s">
        <v>67</v>
      </c>
      <c r="P1603" s="20">
        <v>9100</v>
      </c>
      <c r="Q1603" s="20">
        <f t="shared" ref="Q1603:X1603" si="3295">Q1573</f>
        <v>240</v>
      </c>
      <c r="R1603" s="20">
        <f t="shared" si="3295"/>
        <v>960</v>
      </c>
      <c r="S1603" s="20">
        <f t="shared" si="3295"/>
        <v>1680</v>
      </c>
      <c r="T1603" s="20">
        <f t="shared" si="3295"/>
        <v>2160</v>
      </c>
      <c r="U1603" s="20">
        <f t="shared" si="3295"/>
        <v>150</v>
      </c>
      <c r="V1603" s="20">
        <f t="shared" si="3295"/>
        <v>700</v>
      </c>
      <c r="W1603" s="20">
        <f t="shared" si="3295"/>
        <v>900</v>
      </c>
      <c r="X1603" s="20">
        <f t="shared" si="3295"/>
        <v>3</v>
      </c>
      <c r="Y1603" s="27">
        <v>0</v>
      </c>
      <c r="Z1603" s="30">
        <v>0</v>
      </c>
      <c r="AA1603" s="20">
        <f t="shared" si="3221"/>
        <v>0</v>
      </c>
      <c r="AB1603" s="27">
        <v>0</v>
      </c>
      <c r="AC1603" s="27">
        <v>0</v>
      </c>
      <c r="AD1603" s="23">
        <f t="shared" ref="AD1603:AE1603" si="3296">AD1573</f>
        <v>22</v>
      </c>
      <c r="AE1603" s="23">
        <f t="shared" si="3296"/>
        <v>26</v>
      </c>
    </row>
    <row r="1604" spans="1:31" s="10" customFormat="1">
      <c r="A1604" s="31">
        <v>14203</v>
      </c>
      <c r="B1604" s="31">
        <v>13</v>
      </c>
      <c r="C1604" s="29" t="s">
        <v>68</v>
      </c>
      <c r="D1604" s="46">
        <v>0</v>
      </c>
      <c r="E1604" s="28">
        <v>0</v>
      </c>
      <c r="F1604" s="18">
        <f t="shared" si="3219"/>
        <v>652</v>
      </c>
      <c r="G1604" s="28">
        <v>0</v>
      </c>
      <c r="H1604" s="47">
        <v>0</v>
      </c>
      <c r="I1604" s="21">
        <f t="shared" si="3225"/>
        <v>220</v>
      </c>
      <c r="J1604" s="21">
        <f t="shared" si="3178"/>
        <v>12</v>
      </c>
      <c r="K1604" s="21">
        <v>0</v>
      </c>
      <c r="L1604" s="20">
        <v>6</v>
      </c>
      <c r="M1604" s="20">
        <v>0</v>
      </c>
      <c r="N1604" s="20">
        <f t="shared" si="3226"/>
        <v>2600</v>
      </c>
      <c r="O1604" s="19" t="s">
        <v>68</v>
      </c>
      <c r="P1604" s="20">
        <v>8600</v>
      </c>
      <c r="Q1604" s="20">
        <f t="shared" ref="Q1604:X1604" si="3297">Q1574</f>
        <v>260</v>
      </c>
      <c r="R1604" s="20">
        <f t="shared" si="3297"/>
        <v>1040</v>
      </c>
      <c r="S1604" s="20">
        <f t="shared" si="3297"/>
        <v>1819.9999999999998</v>
      </c>
      <c r="T1604" s="20">
        <f t="shared" si="3297"/>
        <v>2340</v>
      </c>
      <c r="U1604" s="20">
        <f t="shared" si="3297"/>
        <v>100</v>
      </c>
      <c r="V1604" s="20">
        <f t="shared" si="3297"/>
        <v>700</v>
      </c>
      <c r="W1604" s="20">
        <f t="shared" si="3297"/>
        <v>1000</v>
      </c>
      <c r="X1604" s="20">
        <f t="shared" si="3297"/>
        <v>4</v>
      </c>
      <c r="Y1604" s="27">
        <v>0</v>
      </c>
      <c r="Z1604" s="30">
        <v>0</v>
      </c>
      <c r="AA1604" s="20">
        <f t="shared" si="3221"/>
        <v>89</v>
      </c>
      <c r="AB1604" s="27">
        <v>0</v>
      </c>
      <c r="AC1604" s="27">
        <v>0</v>
      </c>
      <c r="AD1604" s="23">
        <f t="shared" ref="AD1604:AE1604" si="3298">AD1574</f>
        <v>24</v>
      </c>
      <c r="AE1604" s="23">
        <f t="shared" si="3298"/>
        <v>28</v>
      </c>
    </row>
    <row r="1605" spans="1:31" s="10" customFormat="1">
      <c r="A1605" s="10">
        <v>14203</v>
      </c>
      <c r="B1605" s="10">
        <v>14</v>
      </c>
      <c r="C1605" s="29" t="s">
        <v>69</v>
      </c>
      <c r="D1605" s="46">
        <v>0</v>
      </c>
      <c r="E1605" s="28">
        <v>0</v>
      </c>
      <c r="F1605" s="18">
        <f t="shared" si="3219"/>
        <v>708</v>
      </c>
      <c r="G1605" s="28">
        <v>0</v>
      </c>
      <c r="H1605" s="47">
        <v>0</v>
      </c>
      <c r="I1605" s="21">
        <f t="shared" si="3225"/>
        <v>220</v>
      </c>
      <c r="J1605" s="21">
        <f t="shared" si="3178"/>
        <v>13</v>
      </c>
      <c r="K1605" s="21">
        <v>0</v>
      </c>
      <c r="L1605" s="20">
        <v>6</v>
      </c>
      <c r="M1605" s="20">
        <v>0</v>
      </c>
      <c r="N1605" s="20">
        <f t="shared" si="3226"/>
        <v>2800</v>
      </c>
      <c r="O1605" s="19" t="s">
        <v>69</v>
      </c>
      <c r="P1605" s="20">
        <v>6400</v>
      </c>
      <c r="Q1605" s="20">
        <f t="shared" ref="Q1605:X1605" si="3299">Q1575</f>
        <v>280</v>
      </c>
      <c r="R1605" s="20">
        <f t="shared" si="3299"/>
        <v>1120</v>
      </c>
      <c r="S1605" s="20">
        <f t="shared" si="3299"/>
        <v>1959.9999999999998</v>
      </c>
      <c r="T1605" s="20">
        <f t="shared" si="3299"/>
        <v>2520</v>
      </c>
      <c r="U1605" s="20">
        <f t="shared" si="3299"/>
        <v>100</v>
      </c>
      <c r="V1605" s="20">
        <f t="shared" si="3299"/>
        <v>400</v>
      </c>
      <c r="W1605" s="20">
        <f t="shared" si="3299"/>
        <v>1200</v>
      </c>
      <c r="X1605" s="20">
        <f t="shared" si="3299"/>
        <v>4</v>
      </c>
      <c r="Y1605" s="27">
        <v>0</v>
      </c>
      <c r="Z1605" s="30">
        <v>0</v>
      </c>
      <c r="AA1605" s="20">
        <f t="shared" si="3221"/>
        <v>0</v>
      </c>
      <c r="AB1605" s="27">
        <v>0</v>
      </c>
      <c r="AC1605" s="27">
        <v>0</v>
      </c>
      <c r="AD1605" s="23">
        <f t="shared" ref="AD1605:AE1605" si="3300">AD1575</f>
        <v>26</v>
      </c>
      <c r="AE1605" s="23">
        <f t="shared" si="3300"/>
        <v>30</v>
      </c>
    </row>
    <row r="1606" spans="1:31" s="10" customFormat="1">
      <c r="A1606" s="10">
        <v>14203</v>
      </c>
      <c r="B1606" s="10">
        <v>15</v>
      </c>
      <c r="C1606" s="29" t="s">
        <v>70</v>
      </c>
      <c r="D1606" s="46">
        <v>0</v>
      </c>
      <c r="E1606" s="28">
        <v>0</v>
      </c>
      <c r="F1606" s="18">
        <f t="shared" si="3219"/>
        <v>764</v>
      </c>
      <c r="G1606" s="28">
        <v>0</v>
      </c>
      <c r="H1606" s="47">
        <v>0</v>
      </c>
      <c r="I1606" s="21">
        <f t="shared" si="3225"/>
        <v>220</v>
      </c>
      <c r="J1606" s="21">
        <f t="shared" si="3178"/>
        <v>14</v>
      </c>
      <c r="K1606" s="21">
        <v>0</v>
      </c>
      <c r="L1606" s="20">
        <v>6</v>
      </c>
      <c r="M1606" s="20">
        <v>0</v>
      </c>
      <c r="N1606" s="20">
        <f t="shared" si="3226"/>
        <v>4500</v>
      </c>
      <c r="O1606" s="19" t="s">
        <v>70</v>
      </c>
      <c r="P1606" s="20">
        <v>3100</v>
      </c>
      <c r="Q1606" s="20">
        <f t="shared" ref="Q1606:X1606" si="3301">Q1576</f>
        <v>450</v>
      </c>
      <c r="R1606" s="20">
        <f t="shared" si="3301"/>
        <v>1800</v>
      </c>
      <c r="S1606" s="20">
        <f t="shared" si="3301"/>
        <v>3150</v>
      </c>
      <c r="T1606" s="20">
        <f t="shared" si="3301"/>
        <v>4050</v>
      </c>
      <c r="U1606" s="20">
        <f t="shared" si="3301"/>
        <v>100</v>
      </c>
      <c r="V1606" s="20">
        <f t="shared" si="3301"/>
        <v>1000</v>
      </c>
      <c r="W1606" s="20">
        <f t="shared" si="3301"/>
        <v>600</v>
      </c>
      <c r="X1606" s="20">
        <f t="shared" si="3301"/>
        <v>4</v>
      </c>
      <c r="Y1606" s="27">
        <v>0</v>
      </c>
      <c r="Z1606" s="30">
        <v>0</v>
      </c>
      <c r="AA1606" s="20">
        <f t="shared" si="3221"/>
        <v>0</v>
      </c>
      <c r="AB1606" s="27">
        <v>0</v>
      </c>
      <c r="AC1606" s="27">
        <v>0</v>
      </c>
      <c r="AD1606" s="23">
        <f t="shared" ref="AD1606:AE1606" si="3302">AD1576</f>
        <v>28</v>
      </c>
      <c r="AE1606" s="23">
        <f t="shared" si="3302"/>
        <v>32</v>
      </c>
    </row>
    <row r="1607" spans="1:31" s="10" customFormat="1">
      <c r="A1607" s="10">
        <v>14203</v>
      </c>
      <c r="B1607" s="10">
        <v>16</v>
      </c>
      <c r="C1607" s="29" t="s">
        <v>71</v>
      </c>
      <c r="D1607" s="46">
        <v>0</v>
      </c>
      <c r="E1607" s="28">
        <v>0</v>
      </c>
      <c r="F1607" s="18">
        <f t="shared" si="3219"/>
        <v>828</v>
      </c>
      <c r="G1607" s="28">
        <v>0</v>
      </c>
      <c r="H1607" s="47">
        <v>0</v>
      </c>
      <c r="I1607" s="21">
        <f t="shared" si="3225"/>
        <v>220</v>
      </c>
      <c r="J1607" s="21">
        <f t="shared" si="3178"/>
        <v>15</v>
      </c>
      <c r="K1607" s="21">
        <v>0</v>
      </c>
      <c r="L1607" s="20">
        <v>6</v>
      </c>
      <c r="M1607" s="20">
        <v>0</v>
      </c>
      <c r="N1607" s="20">
        <f t="shared" si="3226"/>
        <v>4800</v>
      </c>
      <c r="O1607" s="19" t="s">
        <v>71</v>
      </c>
      <c r="P1607" s="20">
        <v>1777</v>
      </c>
      <c r="Q1607" s="20">
        <f t="shared" ref="Q1607:X1607" si="3303">Q1577</f>
        <v>480</v>
      </c>
      <c r="R1607" s="20">
        <f t="shared" si="3303"/>
        <v>1920</v>
      </c>
      <c r="S1607" s="20">
        <f t="shared" si="3303"/>
        <v>3360</v>
      </c>
      <c r="T1607" s="20">
        <f t="shared" si="3303"/>
        <v>4320</v>
      </c>
      <c r="U1607" s="20">
        <f t="shared" si="3303"/>
        <v>100</v>
      </c>
      <c r="V1607" s="20">
        <f t="shared" si="3303"/>
        <v>800</v>
      </c>
      <c r="W1607" s="20">
        <f t="shared" si="3303"/>
        <v>800</v>
      </c>
      <c r="X1607" s="20">
        <f t="shared" si="3303"/>
        <v>4</v>
      </c>
      <c r="Y1607" s="27">
        <v>0</v>
      </c>
      <c r="Z1607" s="30">
        <v>0</v>
      </c>
      <c r="AA1607" s="20">
        <f t="shared" si="3221"/>
        <v>0</v>
      </c>
      <c r="AB1607" s="27">
        <v>0</v>
      </c>
      <c r="AC1607" s="27">
        <v>0</v>
      </c>
      <c r="AD1607" s="23">
        <f t="shared" ref="AD1607:AE1607" si="3304">AD1577</f>
        <v>30</v>
      </c>
      <c r="AE1607" s="23">
        <f t="shared" si="3304"/>
        <v>34</v>
      </c>
    </row>
    <row r="1608" spans="1:31" s="10" customFormat="1">
      <c r="A1608" s="10">
        <v>14203</v>
      </c>
      <c r="B1608" s="10">
        <v>17</v>
      </c>
      <c r="C1608" s="29" t="s">
        <v>72</v>
      </c>
      <c r="D1608" s="46">
        <v>0</v>
      </c>
      <c r="E1608" s="28">
        <v>0</v>
      </c>
      <c r="F1608" s="18">
        <f t="shared" si="3219"/>
        <v>896</v>
      </c>
      <c r="G1608" s="28">
        <v>0</v>
      </c>
      <c r="H1608" s="47">
        <v>0</v>
      </c>
      <c r="I1608" s="21">
        <f t="shared" si="3225"/>
        <v>275</v>
      </c>
      <c r="J1608" s="21">
        <f t="shared" si="3178"/>
        <v>16</v>
      </c>
      <c r="K1608" s="21">
        <v>0</v>
      </c>
      <c r="L1608" s="20">
        <v>6</v>
      </c>
      <c r="M1608" s="20">
        <v>0</v>
      </c>
      <c r="N1608" s="20">
        <f t="shared" si="3226"/>
        <v>5100</v>
      </c>
      <c r="O1608" s="19" t="s">
        <v>72</v>
      </c>
      <c r="P1608" s="20">
        <v>2332</v>
      </c>
      <c r="Q1608" s="20">
        <f t="shared" ref="Q1608:X1608" si="3305">Q1578</f>
        <v>510</v>
      </c>
      <c r="R1608" s="20">
        <f t="shared" si="3305"/>
        <v>2040</v>
      </c>
      <c r="S1608" s="20">
        <f t="shared" si="3305"/>
        <v>3570</v>
      </c>
      <c r="T1608" s="20">
        <f t="shared" si="3305"/>
        <v>4590</v>
      </c>
      <c r="U1608" s="20">
        <f t="shared" si="3305"/>
        <v>80</v>
      </c>
      <c r="V1608" s="20">
        <f t="shared" si="3305"/>
        <v>800</v>
      </c>
      <c r="W1608" s="20">
        <f t="shared" si="3305"/>
        <v>600</v>
      </c>
      <c r="X1608" s="20">
        <f t="shared" si="3305"/>
        <v>5</v>
      </c>
      <c r="Y1608" s="27">
        <v>0</v>
      </c>
      <c r="Z1608" s="30">
        <v>0</v>
      </c>
      <c r="AA1608" s="20">
        <f t="shared" si="3221"/>
        <v>0</v>
      </c>
      <c r="AB1608" s="27">
        <v>0</v>
      </c>
      <c r="AC1608" s="27">
        <v>0</v>
      </c>
      <c r="AD1608" s="23">
        <f t="shared" ref="AD1608:AE1608" si="3306">AD1578</f>
        <v>32</v>
      </c>
      <c r="AE1608" s="23">
        <f t="shared" si="3306"/>
        <v>36</v>
      </c>
    </row>
    <row r="1609" spans="1:31" s="10" customFormat="1">
      <c r="A1609" s="10">
        <v>14203</v>
      </c>
      <c r="B1609" s="10">
        <v>18</v>
      </c>
      <c r="C1609" s="29" t="s">
        <v>73</v>
      </c>
      <c r="D1609" s="46">
        <v>0</v>
      </c>
      <c r="E1609" s="28">
        <v>0</v>
      </c>
      <c r="F1609" s="18">
        <f t="shared" si="3219"/>
        <v>972</v>
      </c>
      <c r="G1609" s="28">
        <v>0</v>
      </c>
      <c r="H1609" s="47">
        <v>0</v>
      </c>
      <c r="I1609" s="21">
        <f t="shared" si="3225"/>
        <v>275</v>
      </c>
      <c r="J1609" s="21">
        <f t="shared" si="3178"/>
        <v>17</v>
      </c>
      <c r="K1609" s="21">
        <v>0</v>
      </c>
      <c r="L1609" s="20">
        <v>6</v>
      </c>
      <c r="M1609" s="20">
        <v>0</v>
      </c>
      <c r="N1609" s="20">
        <f t="shared" si="3226"/>
        <v>5400</v>
      </c>
      <c r="O1609" s="19" t="s">
        <v>73</v>
      </c>
      <c r="P1609" s="20">
        <v>1487</v>
      </c>
      <c r="Q1609" s="20">
        <f t="shared" ref="Q1609:X1609" si="3307">Q1579</f>
        <v>540</v>
      </c>
      <c r="R1609" s="20">
        <f t="shared" si="3307"/>
        <v>2160</v>
      </c>
      <c r="S1609" s="20">
        <f t="shared" si="3307"/>
        <v>3779.9999999999995</v>
      </c>
      <c r="T1609" s="20">
        <f t="shared" si="3307"/>
        <v>4860</v>
      </c>
      <c r="U1609" s="20">
        <f t="shared" si="3307"/>
        <v>100</v>
      </c>
      <c r="V1609" s="20">
        <f t="shared" si="3307"/>
        <v>600</v>
      </c>
      <c r="W1609" s="20">
        <f t="shared" si="3307"/>
        <v>300</v>
      </c>
      <c r="X1609" s="20">
        <f t="shared" si="3307"/>
        <v>5</v>
      </c>
      <c r="Y1609" s="27">
        <v>0</v>
      </c>
      <c r="Z1609" s="30">
        <v>0</v>
      </c>
      <c r="AA1609" s="20">
        <f t="shared" si="3221"/>
        <v>134</v>
      </c>
      <c r="AB1609" s="27">
        <v>0</v>
      </c>
      <c r="AC1609" s="27">
        <v>0</v>
      </c>
      <c r="AD1609" s="23">
        <f t="shared" ref="AD1609:AE1609" si="3308">AD1579</f>
        <v>34</v>
      </c>
      <c r="AE1609" s="23">
        <f t="shared" si="3308"/>
        <v>38</v>
      </c>
    </row>
    <row r="1610" spans="1:31" s="10" customFormat="1">
      <c r="A1610" s="10">
        <v>14203</v>
      </c>
      <c r="B1610" s="10">
        <v>19</v>
      </c>
      <c r="C1610" s="29" t="s">
        <v>74</v>
      </c>
      <c r="D1610" s="46">
        <v>0</v>
      </c>
      <c r="E1610" s="28">
        <v>0</v>
      </c>
      <c r="F1610" s="18">
        <f t="shared" si="3219"/>
        <v>1052</v>
      </c>
      <c r="G1610" s="28">
        <v>0</v>
      </c>
      <c r="H1610" s="47">
        <v>0</v>
      </c>
      <c r="I1610" s="21">
        <f t="shared" si="3225"/>
        <v>275</v>
      </c>
      <c r="J1610" s="21">
        <f t="shared" si="3178"/>
        <v>18</v>
      </c>
      <c r="K1610" s="21">
        <v>0</v>
      </c>
      <c r="L1610" s="20">
        <v>6</v>
      </c>
      <c r="M1610" s="20">
        <v>0</v>
      </c>
      <c r="N1610" s="20">
        <f t="shared" si="3226"/>
        <v>5700</v>
      </c>
      <c r="O1610" s="19" t="s">
        <v>74</v>
      </c>
      <c r="P1610" s="20">
        <v>1518</v>
      </c>
      <c r="Q1610" s="20">
        <f t="shared" ref="Q1610:X1610" si="3309">Q1580</f>
        <v>570</v>
      </c>
      <c r="R1610" s="20">
        <f t="shared" si="3309"/>
        <v>2280</v>
      </c>
      <c r="S1610" s="20">
        <f t="shared" si="3309"/>
        <v>3989.9999999999995</v>
      </c>
      <c r="T1610" s="20">
        <f t="shared" si="3309"/>
        <v>5130</v>
      </c>
      <c r="U1610" s="20">
        <f t="shared" si="3309"/>
        <v>100</v>
      </c>
      <c r="V1610" s="20">
        <f t="shared" si="3309"/>
        <v>500</v>
      </c>
      <c r="W1610" s="20">
        <f t="shared" si="3309"/>
        <v>400</v>
      </c>
      <c r="X1610" s="20">
        <f t="shared" si="3309"/>
        <v>5</v>
      </c>
      <c r="Y1610" s="27">
        <v>0</v>
      </c>
      <c r="Z1610" s="30">
        <v>0</v>
      </c>
      <c r="AA1610" s="20">
        <f t="shared" si="3221"/>
        <v>0</v>
      </c>
      <c r="AB1610" s="27">
        <v>0</v>
      </c>
      <c r="AC1610" s="27">
        <v>0</v>
      </c>
      <c r="AD1610" s="23">
        <f t="shared" ref="AD1610:AE1610" si="3310">AD1580</f>
        <v>36</v>
      </c>
      <c r="AE1610" s="23">
        <f t="shared" si="3310"/>
        <v>40</v>
      </c>
    </row>
    <row r="1611" spans="1:31" s="10" customFormat="1">
      <c r="A1611" s="10">
        <v>14203</v>
      </c>
      <c r="B1611" s="10">
        <v>20</v>
      </c>
      <c r="C1611" s="29" t="s">
        <v>75</v>
      </c>
      <c r="D1611" s="46">
        <v>0</v>
      </c>
      <c r="E1611" s="28">
        <v>0</v>
      </c>
      <c r="F1611" s="18">
        <f t="shared" si="3219"/>
        <v>1140</v>
      </c>
      <c r="G1611" s="28">
        <v>0</v>
      </c>
      <c r="H1611" s="47">
        <v>0</v>
      </c>
      <c r="I1611" s="21">
        <f t="shared" si="3225"/>
        <v>275</v>
      </c>
      <c r="J1611" s="21">
        <f t="shared" ref="J1611:J1674" si="3311">B1611-1</f>
        <v>19</v>
      </c>
      <c r="K1611" s="21">
        <v>0</v>
      </c>
      <c r="L1611" s="20">
        <v>6</v>
      </c>
      <c r="M1611" s="20">
        <v>0</v>
      </c>
      <c r="N1611" s="20">
        <f t="shared" si="3226"/>
        <v>8000</v>
      </c>
      <c r="O1611" s="19" t="s">
        <v>75</v>
      </c>
      <c r="P1611" s="20">
        <v>861</v>
      </c>
      <c r="Q1611" s="20">
        <f t="shared" ref="Q1611:X1611" si="3312">Q1581</f>
        <v>800</v>
      </c>
      <c r="R1611" s="20">
        <f t="shared" si="3312"/>
        <v>3200</v>
      </c>
      <c r="S1611" s="20">
        <f t="shared" si="3312"/>
        <v>5600</v>
      </c>
      <c r="T1611" s="20">
        <f t="shared" si="3312"/>
        <v>7200</v>
      </c>
      <c r="U1611" s="20">
        <f t="shared" si="3312"/>
        <v>100</v>
      </c>
      <c r="V1611" s="20">
        <f t="shared" si="3312"/>
        <v>800</v>
      </c>
      <c r="W1611" s="20">
        <f t="shared" si="3312"/>
        <v>8000</v>
      </c>
      <c r="X1611" s="20">
        <f t="shared" si="3312"/>
        <v>5</v>
      </c>
      <c r="Y1611" s="27">
        <v>0</v>
      </c>
      <c r="Z1611" s="30">
        <v>0</v>
      </c>
      <c r="AA1611" s="20">
        <f t="shared" si="3221"/>
        <v>0</v>
      </c>
      <c r="AB1611" s="27">
        <v>0</v>
      </c>
      <c r="AC1611" s="27">
        <v>0</v>
      </c>
      <c r="AD1611" s="23">
        <f t="shared" ref="AD1611:AE1611" si="3313">AD1581</f>
        <v>38</v>
      </c>
      <c r="AE1611" s="23">
        <f t="shared" si="3313"/>
        <v>42</v>
      </c>
    </row>
    <row r="1612" spans="1:31" s="10" customFormat="1">
      <c r="A1612" s="10">
        <v>14203</v>
      </c>
      <c r="B1612" s="10">
        <v>21</v>
      </c>
      <c r="C1612" s="29" t="s">
        <v>66</v>
      </c>
      <c r="D1612" s="46">
        <v>0</v>
      </c>
      <c r="E1612" s="28">
        <v>0</v>
      </c>
      <c r="F1612" s="18">
        <f t="shared" si="3219"/>
        <v>1232</v>
      </c>
      <c r="G1612" s="28">
        <v>0</v>
      </c>
      <c r="H1612" s="47">
        <v>0</v>
      </c>
      <c r="I1612" s="21">
        <f t="shared" si="3225"/>
        <v>330</v>
      </c>
      <c r="J1612" s="21">
        <f t="shared" si="3311"/>
        <v>20</v>
      </c>
      <c r="K1612" s="21">
        <v>0</v>
      </c>
      <c r="L1612" s="20">
        <v>6</v>
      </c>
      <c r="M1612" s="20">
        <v>0</v>
      </c>
      <c r="N1612" s="20">
        <f t="shared" si="3226"/>
        <v>8400</v>
      </c>
      <c r="O1612" s="19" t="s">
        <v>66</v>
      </c>
      <c r="P1612" s="20">
        <v>9400</v>
      </c>
      <c r="Q1612" s="20">
        <f t="shared" ref="Q1612:X1612" si="3314">Q1582</f>
        <v>840</v>
      </c>
      <c r="R1612" s="20">
        <f t="shared" si="3314"/>
        <v>3360</v>
      </c>
      <c r="S1612" s="20">
        <f t="shared" si="3314"/>
        <v>5880</v>
      </c>
      <c r="T1612" s="20">
        <f t="shared" si="3314"/>
        <v>7560</v>
      </c>
      <c r="U1612" s="20">
        <f t="shared" si="3314"/>
        <v>50</v>
      </c>
      <c r="V1612" s="20">
        <f t="shared" si="3314"/>
        <v>1000</v>
      </c>
      <c r="W1612" s="20">
        <f t="shared" si="3314"/>
        <v>600</v>
      </c>
      <c r="X1612" s="20">
        <f t="shared" si="3314"/>
        <v>6</v>
      </c>
      <c r="Y1612" s="27">
        <v>0</v>
      </c>
      <c r="Z1612" s="30">
        <v>0</v>
      </c>
      <c r="AA1612" s="20">
        <f t="shared" si="3221"/>
        <v>0</v>
      </c>
      <c r="AB1612" s="27">
        <v>0</v>
      </c>
      <c r="AC1612" s="27">
        <v>0</v>
      </c>
      <c r="AD1612" s="23">
        <f t="shared" ref="AD1612:AE1612" si="3315">AD1582</f>
        <v>40</v>
      </c>
      <c r="AE1612" s="23">
        <f t="shared" si="3315"/>
        <v>44</v>
      </c>
    </row>
    <row r="1613" spans="1:31" s="10" customFormat="1">
      <c r="A1613" s="10">
        <v>14203</v>
      </c>
      <c r="B1613" s="10">
        <v>22</v>
      </c>
      <c r="C1613" s="29" t="s">
        <v>67</v>
      </c>
      <c r="D1613" s="46">
        <v>0</v>
      </c>
      <c r="E1613" s="28">
        <v>0</v>
      </c>
      <c r="F1613" s="18">
        <f t="shared" si="3219"/>
        <v>1336</v>
      </c>
      <c r="G1613" s="28">
        <v>0</v>
      </c>
      <c r="H1613" s="47">
        <v>0</v>
      </c>
      <c r="I1613" s="21">
        <f t="shared" si="3225"/>
        <v>330</v>
      </c>
      <c r="J1613" s="21">
        <f t="shared" si="3311"/>
        <v>21</v>
      </c>
      <c r="K1613" s="21">
        <v>0</v>
      </c>
      <c r="L1613" s="20">
        <v>6</v>
      </c>
      <c r="M1613" s="20">
        <v>0</v>
      </c>
      <c r="N1613" s="20">
        <f t="shared" si="3226"/>
        <v>8800</v>
      </c>
      <c r="O1613" s="19" t="s">
        <v>67</v>
      </c>
      <c r="P1613" s="20">
        <v>9100</v>
      </c>
      <c r="Q1613" s="20">
        <f t="shared" ref="Q1613:X1613" si="3316">Q1583</f>
        <v>880</v>
      </c>
      <c r="R1613" s="20">
        <f t="shared" si="3316"/>
        <v>3520</v>
      </c>
      <c r="S1613" s="20">
        <f t="shared" si="3316"/>
        <v>6160</v>
      </c>
      <c r="T1613" s="20">
        <f t="shared" si="3316"/>
        <v>7920</v>
      </c>
      <c r="U1613" s="20">
        <f t="shared" si="3316"/>
        <v>100</v>
      </c>
      <c r="V1613" s="20">
        <f t="shared" si="3316"/>
        <v>600</v>
      </c>
      <c r="W1613" s="20">
        <f t="shared" si="3316"/>
        <v>700</v>
      </c>
      <c r="X1613" s="20">
        <f t="shared" si="3316"/>
        <v>6</v>
      </c>
      <c r="Y1613" s="27">
        <v>0</v>
      </c>
      <c r="Z1613" s="30">
        <v>0</v>
      </c>
      <c r="AA1613" s="20">
        <f t="shared" si="3221"/>
        <v>0</v>
      </c>
      <c r="AB1613" s="27">
        <v>0</v>
      </c>
      <c r="AC1613" s="27">
        <v>0</v>
      </c>
      <c r="AD1613" s="23">
        <f t="shared" ref="AD1613:AE1613" si="3317">AD1583</f>
        <v>42</v>
      </c>
      <c r="AE1613" s="23">
        <f t="shared" si="3317"/>
        <v>46</v>
      </c>
    </row>
    <row r="1614" spans="1:31" s="10" customFormat="1">
      <c r="A1614" s="10">
        <v>14203</v>
      </c>
      <c r="B1614" s="10">
        <v>23</v>
      </c>
      <c r="C1614" s="29" t="s">
        <v>68</v>
      </c>
      <c r="D1614" s="46">
        <v>0</v>
      </c>
      <c r="E1614" s="28">
        <v>0</v>
      </c>
      <c r="F1614" s="18">
        <f t="shared" si="3219"/>
        <v>1444</v>
      </c>
      <c r="G1614" s="28">
        <v>0</v>
      </c>
      <c r="H1614" s="47">
        <v>0</v>
      </c>
      <c r="I1614" s="21">
        <f t="shared" si="3225"/>
        <v>330</v>
      </c>
      <c r="J1614" s="21">
        <f t="shared" si="3311"/>
        <v>22</v>
      </c>
      <c r="K1614" s="21">
        <v>0</v>
      </c>
      <c r="L1614" s="20">
        <v>6</v>
      </c>
      <c r="M1614" s="20">
        <v>0</v>
      </c>
      <c r="N1614" s="20">
        <f t="shared" si="3226"/>
        <v>9200</v>
      </c>
      <c r="O1614" s="19" t="s">
        <v>68</v>
      </c>
      <c r="P1614" s="20">
        <v>8600</v>
      </c>
      <c r="Q1614" s="20">
        <f t="shared" ref="Q1614:X1614" si="3318">Q1584</f>
        <v>920</v>
      </c>
      <c r="R1614" s="20">
        <f t="shared" si="3318"/>
        <v>3680</v>
      </c>
      <c r="S1614" s="20">
        <f t="shared" si="3318"/>
        <v>6440</v>
      </c>
      <c r="T1614" s="20">
        <f t="shared" si="3318"/>
        <v>8280</v>
      </c>
      <c r="U1614" s="20">
        <f t="shared" si="3318"/>
        <v>100</v>
      </c>
      <c r="V1614" s="20">
        <f t="shared" si="3318"/>
        <v>550</v>
      </c>
      <c r="W1614" s="20">
        <f t="shared" si="3318"/>
        <v>500</v>
      </c>
      <c r="X1614" s="20">
        <f t="shared" si="3318"/>
        <v>6</v>
      </c>
      <c r="Y1614" s="27">
        <v>0</v>
      </c>
      <c r="Z1614" s="30">
        <v>0</v>
      </c>
      <c r="AA1614" s="20">
        <f t="shared" si="3221"/>
        <v>180</v>
      </c>
      <c r="AB1614" s="27">
        <v>0</v>
      </c>
      <c r="AC1614" s="27">
        <v>0</v>
      </c>
      <c r="AD1614" s="23">
        <f t="shared" ref="AD1614:AE1614" si="3319">AD1584</f>
        <v>44</v>
      </c>
      <c r="AE1614" s="23">
        <f t="shared" si="3319"/>
        <v>48</v>
      </c>
    </row>
    <row r="1615" spans="1:31" s="10" customFormat="1">
      <c r="A1615" s="10">
        <v>14203</v>
      </c>
      <c r="B1615" s="10">
        <v>24</v>
      </c>
      <c r="C1615" s="29" t="s">
        <v>69</v>
      </c>
      <c r="D1615" s="46">
        <v>0</v>
      </c>
      <c r="E1615" s="28">
        <v>0</v>
      </c>
      <c r="F1615" s="18">
        <f t="shared" si="3219"/>
        <v>1564</v>
      </c>
      <c r="G1615" s="28">
        <v>0</v>
      </c>
      <c r="H1615" s="47">
        <v>0</v>
      </c>
      <c r="I1615" s="21">
        <f t="shared" si="3225"/>
        <v>330</v>
      </c>
      <c r="J1615" s="21">
        <f t="shared" si="3311"/>
        <v>23</v>
      </c>
      <c r="K1615" s="21">
        <v>0</v>
      </c>
      <c r="L1615" s="20">
        <v>6</v>
      </c>
      <c r="M1615" s="20">
        <v>0</v>
      </c>
      <c r="N1615" s="20">
        <f t="shared" si="3226"/>
        <v>9600</v>
      </c>
      <c r="O1615" s="19" t="s">
        <v>69</v>
      </c>
      <c r="P1615" s="20">
        <v>6400</v>
      </c>
      <c r="Q1615" s="20">
        <f t="shared" ref="Q1615:X1615" si="3320">Q1585</f>
        <v>960</v>
      </c>
      <c r="R1615" s="20">
        <f t="shared" si="3320"/>
        <v>3840</v>
      </c>
      <c r="S1615" s="20">
        <f t="shared" si="3320"/>
        <v>6720</v>
      </c>
      <c r="T1615" s="20">
        <f t="shared" si="3320"/>
        <v>8640</v>
      </c>
      <c r="U1615" s="20">
        <f t="shared" si="3320"/>
        <v>100</v>
      </c>
      <c r="V1615" s="20">
        <f t="shared" si="3320"/>
        <v>500</v>
      </c>
      <c r="W1615" s="20">
        <f t="shared" si="3320"/>
        <v>900</v>
      </c>
      <c r="X1615" s="20">
        <f t="shared" si="3320"/>
        <v>6</v>
      </c>
      <c r="Y1615" s="27">
        <v>0</v>
      </c>
      <c r="Z1615" s="30">
        <v>0</v>
      </c>
      <c r="AA1615" s="20">
        <f t="shared" si="3221"/>
        <v>0</v>
      </c>
      <c r="AB1615" s="27">
        <v>0</v>
      </c>
      <c r="AC1615" s="27">
        <v>0</v>
      </c>
      <c r="AD1615" s="23">
        <f t="shared" ref="AD1615:AE1615" si="3321">AD1585</f>
        <v>46</v>
      </c>
      <c r="AE1615" s="23">
        <f t="shared" si="3321"/>
        <v>50</v>
      </c>
    </row>
    <row r="1616" spans="1:31" s="10" customFormat="1">
      <c r="A1616" s="31">
        <v>14203</v>
      </c>
      <c r="B1616" s="31">
        <v>25</v>
      </c>
      <c r="C1616" s="29" t="s">
        <v>70</v>
      </c>
      <c r="D1616" s="46">
        <v>0</v>
      </c>
      <c r="E1616" s="28">
        <v>0</v>
      </c>
      <c r="F1616" s="18">
        <f t="shared" si="3219"/>
        <v>1696</v>
      </c>
      <c r="G1616" s="28">
        <v>0</v>
      </c>
      <c r="H1616" s="47">
        <v>0</v>
      </c>
      <c r="I1616" s="21">
        <f t="shared" si="3225"/>
        <v>385</v>
      </c>
      <c r="J1616" s="21">
        <f t="shared" si="3311"/>
        <v>24</v>
      </c>
      <c r="K1616" s="21">
        <v>0</v>
      </c>
      <c r="L1616" s="20">
        <v>6</v>
      </c>
      <c r="M1616" s="20">
        <v>0</v>
      </c>
      <c r="N1616" s="20">
        <f t="shared" si="3226"/>
        <v>12500</v>
      </c>
      <c r="O1616" s="19" t="s">
        <v>70</v>
      </c>
      <c r="P1616" s="20">
        <v>3100</v>
      </c>
      <c r="Q1616" s="20">
        <f t="shared" ref="Q1616:X1616" si="3322">Q1586</f>
        <v>1250</v>
      </c>
      <c r="R1616" s="20">
        <f t="shared" si="3322"/>
        <v>5000</v>
      </c>
      <c r="S1616" s="20">
        <f t="shared" si="3322"/>
        <v>8750</v>
      </c>
      <c r="T1616" s="20">
        <f t="shared" si="3322"/>
        <v>11250</v>
      </c>
      <c r="U1616" s="20">
        <f t="shared" si="3322"/>
        <v>10</v>
      </c>
      <c r="V1616" s="20">
        <f t="shared" si="3322"/>
        <v>1300</v>
      </c>
      <c r="W1616" s="20">
        <f t="shared" si="3322"/>
        <v>1000</v>
      </c>
      <c r="X1616" s="20">
        <f t="shared" si="3322"/>
        <v>7</v>
      </c>
      <c r="Y1616" s="27">
        <v>0</v>
      </c>
      <c r="Z1616" s="30">
        <v>0</v>
      </c>
      <c r="AA1616" s="20">
        <f t="shared" si="3221"/>
        <v>0</v>
      </c>
      <c r="AB1616" s="27">
        <v>0</v>
      </c>
      <c r="AC1616" s="27">
        <v>0</v>
      </c>
      <c r="AD1616" s="23">
        <f t="shared" ref="AD1616:AE1616" si="3323">AD1586</f>
        <v>48</v>
      </c>
      <c r="AE1616" s="23">
        <f t="shared" si="3323"/>
        <v>52</v>
      </c>
    </row>
    <row r="1617" spans="1:31" s="10" customFormat="1">
      <c r="A1617" s="10">
        <v>14203</v>
      </c>
      <c r="B1617" s="10">
        <v>26</v>
      </c>
      <c r="C1617" s="29" t="s">
        <v>71</v>
      </c>
      <c r="D1617" s="46">
        <v>0</v>
      </c>
      <c r="E1617" s="28">
        <v>0</v>
      </c>
      <c r="F1617" s="18">
        <f t="shared" si="3219"/>
        <v>1836</v>
      </c>
      <c r="G1617" s="28">
        <v>0</v>
      </c>
      <c r="H1617" s="47">
        <v>0</v>
      </c>
      <c r="I1617" s="21">
        <f t="shared" si="3225"/>
        <v>385</v>
      </c>
      <c r="J1617" s="21">
        <f t="shared" si="3311"/>
        <v>25</v>
      </c>
      <c r="K1617" s="21">
        <v>0</v>
      </c>
      <c r="L1617" s="20">
        <v>6</v>
      </c>
      <c r="M1617" s="20">
        <v>0</v>
      </c>
      <c r="N1617" s="20">
        <f t="shared" si="3226"/>
        <v>13000</v>
      </c>
      <c r="O1617" s="19" t="s">
        <v>71</v>
      </c>
      <c r="P1617" s="20">
        <v>1777</v>
      </c>
      <c r="Q1617" s="20">
        <f t="shared" ref="Q1617:X1617" si="3324">Q1587</f>
        <v>1300</v>
      </c>
      <c r="R1617" s="20">
        <f t="shared" si="3324"/>
        <v>5200</v>
      </c>
      <c r="S1617" s="20">
        <f t="shared" si="3324"/>
        <v>9100</v>
      </c>
      <c r="T1617" s="20">
        <f t="shared" si="3324"/>
        <v>11700</v>
      </c>
      <c r="U1617" s="20">
        <f t="shared" si="3324"/>
        <v>90</v>
      </c>
      <c r="V1617" s="20">
        <f t="shared" si="3324"/>
        <v>800</v>
      </c>
      <c r="W1617" s="20">
        <f t="shared" si="3324"/>
        <v>2000</v>
      </c>
      <c r="X1617" s="20">
        <f t="shared" si="3324"/>
        <v>7</v>
      </c>
      <c r="Y1617" s="27">
        <v>0</v>
      </c>
      <c r="Z1617" s="30">
        <v>0</v>
      </c>
      <c r="AA1617" s="20">
        <f t="shared" si="3221"/>
        <v>0</v>
      </c>
      <c r="AB1617" s="27">
        <v>0</v>
      </c>
      <c r="AC1617" s="27">
        <v>0</v>
      </c>
      <c r="AD1617" s="23">
        <f t="shared" ref="AD1617:AE1617" si="3325">AD1587</f>
        <v>50</v>
      </c>
      <c r="AE1617" s="23">
        <f t="shared" si="3325"/>
        <v>54</v>
      </c>
    </row>
    <row r="1618" spans="1:31" s="10" customFormat="1">
      <c r="A1618" s="10">
        <v>14203</v>
      </c>
      <c r="B1618" s="10">
        <v>27</v>
      </c>
      <c r="C1618" s="29" t="s">
        <v>72</v>
      </c>
      <c r="D1618" s="46">
        <v>0</v>
      </c>
      <c r="E1618" s="28">
        <v>0</v>
      </c>
      <c r="F1618" s="18">
        <f t="shared" si="3219"/>
        <v>1984</v>
      </c>
      <c r="G1618" s="28">
        <v>0</v>
      </c>
      <c r="H1618" s="47">
        <v>0</v>
      </c>
      <c r="I1618" s="21">
        <f t="shared" si="3225"/>
        <v>385</v>
      </c>
      <c r="J1618" s="21">
        <f t="shared" si="3311"/>
        <v>26</v>
      </c>
      <c r="K1618" s="21">
        <v>0</v>
      </c>
      <c r="L1618" s="20">
        <v>6</v>
      </c>
      <c r="M1618" s="20">
        <v>0</v>
      </c>
      <c r="N1618" s="20">
        <f t="shared" si="3226"/>
        <v>13500</v>
      </c>
      <c r="O1618" s="19" t="s">
        <v>72</v>
      </c>
      <c r="P1618" s="20">
        <v>2332</v>
      </c>
      <c r="Q1618" s="20">
        <f t="shared" ref="Q1618:X1618" si="3326">Q1588</f>
        <v>1350</v>
      </c>
      <c r="R1618" s="20">
        <f t="shared" si="3326"/>
        <v>5400</v>
      </c>
      <c r="S1618" s="20">
        <f t="shared" si="3326"/>
        <v>9450</v>
      </c>
      <c r="T1618" s="20">
        <f t="shared" si="3326"/>
        <v>12150</v>
      </c>
      <c r="U1618" s="20">
        <f t="shared" si="3326"/>
        <v>80</v>
      </c>
      <c r="V1618" s="20">
        <f t="shared" si="3326"/>
        <v>700</v>
      </c>
      <c r="W1618" s="20">
        <f t="shared" si="3326"/>
        <v>800</v>
      </c>
      <c r="X1618" s="20">
        <f t="shared" si="3326"/>
        <v>7</v>
      </c>
      <c r="Y1618" s="27">
        <v>0</v>
      </c>
      <c r="Z1618" s="30">
        <v>0</v>
      </c>
      <c r="AA1618" s="20">
        <f t="shared" si="3221"/>
        <v>0</v>
      </c>
      <c r="AB1618" s="27">
        <v>0</v>
      </c>
      <c r="AC1618" s="27">
        <v>0</v>
      </c>
      <c r="AD1618" s="23">
        <f t="shared" ref="AD1618:AE1618" si="3327">AD1588</f>
        <v>52</v>
      </c>
      <c r="AE1618" s="23">
        <f t="shared" si="3327"/>
        <v>56</v>
      </c>
    </row>
    <row r="1619" spans="1:31" s="10" customFormat="1">
      <c r="A1619" s="10">
        <v>14203</v>
      </c>
      <c r="B1619" s="10">
        <v>28</v>
      </c>
      <c r="C1619" s="29" t="s">
        <v>73</v>
      </c>
      <c r="D1619" s="46">
        <v>0</v>
      </c>
      <c r="E1619" s="28">
        <v>0</v>
      </c>
      <c r="F1619" s="18">
        <f t="shared" si="3219"/>
        <v>2148</v>
      </c>
      <c r="G1619" s="28">
        <v>0</v>
      </c>
      <c r="H1619" s="47">
        <v>0</v>
      </c>
      <c r="I1619" s="21">
        <f t="shared" si="3225"/>
        <v>385</v>
      </c>
      <c r="J1619" s="21">
        <f t="shared" si="3311"/>
        <v>27</v>
      </c>
      <c r="K1619" s="21">
        <v>0</v>
      </c>
      <c r="L1619" s="20">
        <v>6</v>
      </c>
      <c r="M1619" s="20">
        <v>0</v>
      </c>
      <c r="N1619" s="20">
        <f t="shared" si="3226"/>
        <v>14000</v>
      </c>
      <c r="O1619" s="19" t="s">
        <v>73</v>
      </c>
      <c r="P1619" s="20">
        <v>1487</v>
      </c>
      <c r="Q1619" s="20">
        <f t="shared" ref="Q1619:X1619" si="3328">Q1589</f>
        <v>1400</v>
      </c>
      <c r="R1619" s="20">
        <f t="shared" si="3328"/>
        <v>5600</v>
      </c>
      <c r="S1619" s="20">
        <f t="shared" si="3328"/>
        <v>9800</v>
      </c>
      <c r="T1619" s="20">
        <f t="shared" si="3328"/>
        <v>12600</v>
      </c>
      <c r="U1619" s="20">
        <f t="shared" si="3328"/>
        <v>80</v>
      </c>
      <c r="V1619" s="20">
        <f t="shared" si="3328"/>
        <v>500</v>
      </c>
      <c r="W1619" s="20">
        <f t="shared" si="3328"/>
        <v>600</v>
      </c>
      <c r="X1619" s="20">
        <f t="shared" si="3328"/>
        <v>7</v>
      </c>
      <c r="Y1619" s="27">
        <v>0</v>
      </c>
      <c r="Z1619" s="30">
        <v>0</v>
      </c>
      <c r="AA1619" s="20">
        <f t="shared" si="3221"/>
        <v>226</v>
      </c>
      <c r="AB1619" s="27">
        <v>0</v>
      </c>
      <c r="AC1619" s="27">
        <v>0</v>
      </c>
      <c r="AD1619" s="23">
        <f t="shared" ref="AD1619:AE1619" si="3329">AD1589</f>
        <v>54</v>
      </c>
      <c r="AE1619" s="23">
        <f t="shared" si="3329"/>
        <v>58</v>
      </c>
    </row>
    <row r="1620" spans="1:31" s="10" customFormat="1">
      <c r="A1620" s="10">
        <v>14203</v>
      </c>
      <c r="B1620" s="10">
        <v>29</v>
      </c>
      <c r="C1620" s="29" t="s">
        <v>74</v>
      </c>
      <c r="D1620" s="46">
        <v>0</v>
      </c>
      <c r="E1620" s="28">
        <v>0</v>
      </c>
      <c r="F1620" s="18">
        <f t="shared" si="3219"/>
        <v>2328</v>
      </c>
      <c r="G1620" s="28">
        <v>0</v>
      </c>
      <c r="H1620" s="47">
        <v>0</v>
      </c>
      <c r="I1620" s="21">
        <f t="shared" si="3225"/>
        <v>440</v>
      </c>
      <c r="J1620" s="21">
        <f t="shared" si="3311"/>
        <v>28</v>
      </c>
      <c r="K1620" s="21">
        <v>0</v>
      </c>
      <c r="L1620" s="20">
        <v>6</v>
      </c>
      <c r="M1620" s="20">
        <v>0</v>
      </c>
      <c r="N1620" s="20">
        <f t="shared" si="3226"/>
        <v>14500</v>
      </c>
      <c r="O1620" s="19" t="s">
        <v>74</v>
      </c>
      <c r="P1620" s="20">
        <v>1518</v>
      </c>
      <c r="Q1620" s="20">
        <f t="shared" ref="Q1620:X1620" si="3330">Q1590</f>
        <v>1450</v>
      </c>
      <c r="R1620" s="20">
        <f t="shared" si="3330"/>
        <v>5800</v>
      </c>
      <c r="S1620" s="20">
        <f t="shared" si="3330"/>
        <v>10150</v>
      </c>
      <c r="T1620" s="20">
        <f t="shared" si="3330"/>
        <v>13050</v>
      </c>
      <c r="U1620" s="20">
        <f t="shared" si="3330"/>
        <v>80</v>
      </c>
      <c r="V1620" s="20">
        <f t="shared" si="3330"/>
        <v>600</v>
      </c>
      <c r="W1620" s="20">
        <f t="shared" si="3330"/>
        <v>700</v>
      </c>
      <c r="X1620" s="20">
        <f t="shared" si="3330"/>
        <v>8</v>
      </c>
      <c r="Y1620" s="27">
        <v>0</v>
      </c>
      <c r="Z1620" s="30">
        <v>0</v>
      </c>
      <c r="AA1620" s="20">
        <f t="shared" si="3221"/>
        <v>0</v>
      </c>
      <c r="AB1620" s="27">
        <v>0</v>
      </c>
      <c r="AC1620" s="27">
        <v>0</v>
      </c>
      <c r="AD1620" s="23">
        <f t="shared" ref="AD1620:AE1620" si="3331">AD1590</f>
        <v>56</v>
      </c>
      <c r="AE1620" s="23">
        <f t="shared" si="3331"/>
        <v>60</v>
      </c>
    </row>
    <row r="1621" spans="1:31" s="10" customFormat="1">
      <c r="A1621" s="10">
        <v>14203</v>
      </c>
      <c r="B1621" s="10">
        <v>30</v>
      </c>
      <c r="C1621" s="29" t="s">
        <v>75</v>
      </c>
      <c r="D1621" s="46">
        <v>0</v>
      </c>
      <c r="E1621" s="28">
        <v>0</v>
      </c>
      <c r="F1621" s="18">
        <f t="shared" si="3219"/>
        <v>2520</v>
      </c>
      <c r="G1621" s="28">
        <v>0</v>
      </c>
      <c r="H1621" s="47">
        <v>0</v>
      </c>
      <c r="I1621" s="21">
        <f t="shared" si="3225"/>
        <v>440</v>
      </c>
      <c r="J1621" s="21">
        <f t="shared" si="3311"/>
        <v>29</v>
      </c>
      <c r="K1621" s="21">
        <v>0</v>
      </c>
      <c r="L1621" s="20">
        <v>6</v>
      </c>
      <c r="M1621" s="20">
        <v>0</v>
      </c>
      <c r="N1621" s="20">
        <f t="shared" si="3226"/>
        <v>15000</v>
      </c>
      <c r="O1621" s="19" t="s">
        <v>75</v>
      </c>
      <c r="P1621" s="20">
        <v>861</v>
      </c>
      <c r="Q1621" s="20">
        <f t="shared" ref="Q1621:X1621" si="3332">Q1591</f>
        <v>1500</v>
      </c>
      <c r="R1621" s="20">
        <f t="shared" si="3332"/>
        <v>6000</v>
      </c>
      <c r="S1621" s="20">
        <f t="shared" si="3332"/>
        <v>10500</v>
      </c>
      <c r="T1621" s="20">
        <f t="shared" si="3332"/>
        <v>13500</v>
      </c>
      <c r="U1621" s="20">
        <f t="shared" si="3332"/>
        <v>20</v>
      </c>
      <c r="V1621" s="20">
        <f t="shared" si="3332"/>
        <v>450</v>
      </c>
      <c r="W1621" s="20">
        <f t="shared" si="3332"/>
        <v>1000</v>
      </c>
      <c r="X1621" s="20">
        <f t="shared" si="3332"/>
        <v>8</v>
      </c>
      <c r="Y1621" s="27">
        <v>0</v>
      </c>
      <c r="Z1621" s="30">
        <v>0</v>
      </c>
      <c r="AA1621" s="20">
        <f t="shared" si="3221"/>
        <v>0</v>
      </c>
      <c r="AB1621" s="27">
        <v>0</v>
      </c>
      <c r="AC1621" s="27">
        <v>0</v>
      </c>
      <c r="AD1621" s="23">
        <f t="shared" ref="AD1621:AE1621" si="3333">AD1591</f>
        <v>58</v>
      </c>
      <c r="AE1621" s="23">
        <f t="shared" si="3333"/>
        <v>62</v>
      </c>
    </row>
    <row r="1622" spans="1:31" s="10" customFormat="1">
      <c r="A1622" s="10">
        <v>14204</v>
      </c>
      <c r="B1622" s="10">
        <v>1</v>
      </c>
      <c r="C1622" s="19" t="s">
        <v>66</v>
      </c>
      <c r="D1622" s="44">
        <v>0</v>
      </c>
      <c r="E1622" s="18">
        <v>0</v>
      </c>
      <c r="F1622" s="18">
        <f t="shared" si="3219"/>
        <v>284</v>
      </c>
      <c r="G1622" s="18">
        <v>0</v>
      </c>
      <c r="H1622" s="45">
        <v>0</v>
      </c>
      <c r="I1622" s="21">
        <f t="shared" si="3225"/>
        <v>55</v>
      </c>
      <c r="J1622" s="21">
        <f t="shared" si="3311"/>
        <v>0</v>
      </c>
      <c r="K1622" s="21">
        <v>0</v>
      </c>
      <c r="L1622" s="20">
        <v>45</v>
      </c>
      <c r="M1622" s="20">
        <v>0</v>
      </c>
      <c r="N1622" s="20">
        <f t="shared" si="3226"/>
        <v>10</v>
      </c>
      <c r="O1622" s="19" t="s">
        <v>66</v>
      </c>
      <c r="P1622" s="20">
        <v>9400</v>
      </c>
      <c r="Q1622" s="20">
        <f t="shared" ref="Q1622:X1622" si="3334">Q1592</f>
        <v>1</v>
      </c>
      <c r="R1622" s="20">
        <f t="shared" si="3334"/>
        <v>4</v>
      </c>
      <c r="S1622" s="20">
        <f t="shared" si="3334"/>
        <v>7</v>
      </c>
      <c r="T1622" s="20">
        <f t="shared" si="3334"/>
        <v>9</v>
      </c>
      <c r="U1622" s="20">
        <f t="shared" si="3334"/>
        <v>9400</v>
      </c>
      <c r="V1622" s="20">
        <f t="shared" si="3334"/>
        <v>9400</v>
      </c>
      <c r="W1622" s="20">
        <f t="shared" si="3334"/>
        <v>9400</v>
      </c>
      <c r="X1622" s="20">
        <f t="shared" si="3334"/>
        <v>1</v>
      </c>
      <c r="Y1622" s="20">
        <v>0</v>
      </c>
      <c r="Z1622" s="22">
        <v>0</v>
      </c>
      <c r="AA1622" s="20">
        <f t="shared" si="3221"/>
        <v>0</v>
      </c>
      <c r="AB1622" s="20">
        <v>0</v>
      </c>
      <c r="AC1622" s="20">
        <v>0</v>
      </c>
      <c r="AD1622" s="23">
        <f t="shared" ref="AD1622:AE1622" si="3335">AD1592</f>
        <v>1</v>
      </c>
      <c r="AE1622" s="23">
        <f t="shared" si="3335"/>
        <v>3</v>
      </c>
    </row>
    <row r="1623" spans="1:31" s="10" customFormat="1">
      <c r="A1623" s="10">
        <v>14204</v>
      </c>
      <c r="B1623" s="10">
        <v>2</v>
      </c>
      <c r="C1623" s="19" t="s">
        <v>67</v>
      </c>
      <c r="D1623" s="44">
        <v>0</v>
      </c>
      <c r="E1623" s="18">
        <v>0</v>
      </c>
      <c r="F1623" s="18">
        <f t="shared" si="3219"/>
        <v>306</v>
      </c>
      <c r="G1623" s="18">
        <v>0</v>
      </c>
      <c r="H1623" s="45">
        <v>0</v>
      </c>
      <c r="I1623" s="21">
        <f t="shared" si="3225"/>
        <v>55</v>
      </c>
      <c r="J1623" s="21">
        <f t="shared" si="3311"/>
        <v>1</v>
      </c>
      <c r="K1623" s="21">
        <v>0</v>
      </c>
      <c r="L1623" s="20">
        <v>40</v>
      </c>
      <c r="M1623" s="20">
        <v>0</v>
      </c>
      <c r="N1623" s="20">
        <f t="shared" si="3226"/>
        <v>20</v>
      </c>
      <c r="O1623" s="19" t="s">
        <v>67</v>
      </c>
      <c r="P1623" s="20">
        <v>9100</v>
      </c>
      <c r="Q1623" s="20">
        <f t="shared" ref="Q1623:X1623" si="3336">Q1593</f>
        <v>2</v>
      </c>
      <c r="R1623" s="20">
        <f t="shared" si="3336"/>
        <v>8</v>
      </c>
      <c r="S1623" s="20">
        <f t="shared" si="3336"/>
        <v>14</v>
      </c>
      <c r="T1623" s="20">
        <f t="shared" si="3336"/>
        <v>18</v>
      </c>
      <c r="U1623" s="20">
        <f t="shared" si="3336"/>
        <v>4000</v>
      </c>
      <c r="V1623" s="20">
        <f t="shared" si="3336"/>
        <v>8000</v>
      </c>
      <c r="W1623" s="20">
        <f t="shared" si="3336"/>
        <v>8000</v>
      </c>
      <c r="X1623" s="20">
        <f t="shared" si="3336"/>
        <v>1</v>
      </c>
      <c r="Y1623" s="20">
        <v>0</v>
      </c>
      <c r="Z1623" s="22">
        <v>0</v>
      </c>
      <c r="AA1623" s="20">
        <f t="shared" si="3221"/>
        <v>0</v>
      </c>
      <c r="AB1623" s="20">
        <v>0</v>
      </c>
      <c r="AC1623" s="20">
        <v>0</v>
      </c>
      <c r="AD1623" s="23">
        <f t="shared" ref="AD1623:AE1623" si="3337">AD1593</f>
        <v>2</v>
      </c>
      <c r="AE1623" s="23">
        <f t="shared" si="3337"/>
        <v>5</v>
      </c>
    </row>
    <row r="1624" spans="1:31" s="10" customFormat="1">
      <c r="A1624" s="10">
        <v>14204</v>
      </c>
      <c r="B1624" s="10">
        <v>3</v>
      </c>
      <c r="C1624" s="19" t="s">
        <v>68</v>
      </c>
      <c r="D1624" s="44">
        <v>0</v>
      </c>
      <c r="E1624" s="18">
        <v>0</v>
      </c>
      <c r="F1624" s="18">
        <f t="shared" si="3219"/>
        <v>333</v>
      </c>
      <c r="G1624" s="18">
        <v>0</v>
      </c>
      <c r="H1624" s="45">
        <v>0</v>
      </c>
      <c r="I1624" s="21">
        <f t="shared" si="3225"/>
        <v>55</v>
      </c>
      <c r="J1624" s="21">
        <f t="shared" si="3311"/>
        <v>2</v>
      </c>
      <c r="K1624" s="21">
        <v>0</v>
      </c>
      <c r="L1624" s="20">
        <v>35</v>
      </c>
      <c r="M1624" s="20">
        <v>0</v>
      </c>
      <c r="N1624" s="20">
        <f t="shared" si="3226"/>
        <v>40</v>
      </c>
      <c r="O1624" s="19" t="s">
        <v>68</v>
      </c>
      <c r="P1624" s="20">
        <v>8600</v>
      </c>
      <c r="Q1624" s="20">
        <f t="shared" ref="Q1624:X1624" si="3338">Q1594</f>
        <v>4</v>
      </c>
      <c r="R1624" s="20">
        <f t="shared" si="3338"/>
        <v>16</v>
      </c>
      <c r="S1624" s="20">
        <f t="shared" si="3338"/>
        <v>28</v>
      </c>
      <c r="T1624" s="20">
        <f t="shared" si="3338"/>
        <v>36</v>
      </c>
      <c r="U1624" s="20">
        <f t="shared" si="3338"/>
        <v>1600</v>
      </c>
      <c r="V1624" s="20">
        <f t="shared" si="3338"/>
        <v>5000</v>
      </c>
      <c r="W1624" s="20">
        <f t="shared" si="3338"/>
        <v>6000</v>
      </c>
      <c r="X1624" s="20">
        <f t="shared" si="3338"/>
        <v>1</v>
      </c>
      <c r="Y1624" s="20">
        <v>0</v>
      </c>
      <c r="Z1624" s="22">
        <v>0</v>
      </c>
      <c r="AA1624" s="20">
        <f t="shared" si="3221"/>
        <v>0</v>
      </c>
      <c r="AB1624" s="20">
        <v>0</v>
      </c>
      <c r="AC1624" s="20">
        <v>0</v>
      </c>
      <c r="AD1624" s="23">
        <f t="shared" ref="AD1624:AE1624" si="3339">AD1594</f>
        <v>4</v>
      </c>
      <c r="AE1624" s="23">
        <f t="shared" si="3339"/>
        <v>8</v>
      </c>
    </row>
    <row r="1625" spans="1:31" s="10" customFormat="1">
      <c r="A1625" s="10">
        <v>14204</v>
      </c>
      <c r="B1625" s="10">
        <v>4</v>
      </c>
      <c r="C1625" s="19" t="s">
        <v>69</v>
      </c>
      <c r="D1625" s="44">
        <v>0</v>
      </c>
      <c r="E1625" s="18">
        <v>0</v>
      </c>
      <c r="F1625" s="18">
        <f t="shared" si="3219"/>
        <v>360</v>
      </c>
      <c r="G1625" s="18">
        <v>0</v>
      </c>
      <c r="H1625" s="45">
        <v>0</v>
      </c>
      <c r="I1625" s="21">
        <f t="shared" si="3225"/>
        <v>55</v>
      </c>
      <c r="J1625" s="21">
        <f t="shared" si="3311"/>
        <v>3</v>
      </c>
      <c r="K1625" s="21">
        <v>0</v>
      </c>
      <c r="L1625" s="20">
        <v>30</v>
      </c>
      <c r="M1625" s="20">
        <v>0</v>
      </c>
      <c r="N1625" s="20">
        <f t="shared" si="3226"/>
        <v>100</v>
      </c>
      <c r="O1625" s="19" t="s">
        <v>69</v>
      </c>
      <c r="P1625" s="20">
        <v>6400</v>
      </c>
      <c r="Q1625" s="20">
        <f t="shared" ref="Q1625:X1625" si="3340">Q1595</f>
        <v>10</v>
      </c>
      <c r="R1625" s="20">
        <f t="shared" si="3340"/>
        <v>40</v>
      </c>
      <c r="S1625" s="20">
        <f t="shared" si="3340"/>
        <v>70</v>
      </c>
      <c r="T1625" s="20">
        <f t="shared" si="3340"/>
        <v>90</v>
      </c>
      <c r="U1625" s="20">
        <f t="shared" si="3340"/>
        <v>900</v>
      </c>
      <c r="V1625" s="20">
        <f t="shared" si="3340"/>
        <v>2000</v>
      </c>
      <c r="W1625" s="20">
        <f t="shared" si="3340"/>
        <v>8000</v>
      </c>
      <c r="X1625" s="20">
        <f t="shared" si="3340"/>
        <v>1</v>
      </c>
      <c r="Y1625" s="20">
        <v>0</v>
      </c>
      <c r="Z1625" s="22">
        <v>0</v>
      </c>
      <c r="AA1625" s="20">
        <f t="shared" si="3221"/>
        <v>0</v>
      </c>
      <c r="AB1625" s="20">
        <v>0</v>
      </c>
      <c r="AC1625" s="20">
        <v>0</v>
      </c>
      <c r="AD1625" s="23">
        <f t="shared" ref="AD1625:AE1625" si="3341">AD1595</f>
        <v>6</v>
      </c>
      <c r="AE1625" s="23">
        <f t="shared" si="3341"/>
        <v>10</v>
      </c>
    </row>
    <row r="1626" spans="1:31" s="10" customFormat="1">
      <c r="A1626" s="10">
        <v>14204</v>
      </c>
      <c r="B1626" s="10">
        <v>5</v>
      </c>
      <c r="C1626" s="19" t="s">
        <v>70</v>
      </c>
      <c r="D1626" s="44">
        <v>0</v>
      </c>
      <c r="E1626" s="18">
        <v>0</v>
      </c>
      <c r="F1626" s="18">
        <f t="shared" si="3219"/>
        <v>392</v>
      </c>
      <c r="G1626" s="18">
        <v>0</v>
      </c>
      <c r="H1626" s="45">
        <v>0</v>
      </c>
      <c r="I1626" s="21">
        <f t="shared" si="3225"/>
        <v>110</v>
      </c>
      <c r="J1626" s="21">
        <f t="shared" si="3311"/>
        <v>4</v>
      </c>
      <c r="K1626" s="21">
        <v>0</v>
      </c>
      <c r="L1626" s="20">
        <v>25</v>
      </c>
      <c r="M1626" s="20">
        <v>0</v>
      </c>
      <c r="N1626" s="20">
        <f t="shared" si="3226"/>
        <v>200</v>
      </c>
      <c r="O1626" s="19" t="s">
        <v>70</v>
      </c>
      <c r="P1626" s="20">
        <v>3100</v>
      </c>
      <c r="Q1626" s="20">
        <f t="shared" ref="Q1626:X1626" si="3342">Q1596</f>
        <v>20</v>
      </c>
      <c r="R1626" s="20">
        <f t="shared" si="3342"/>
        <v>80</v>
      </c>
      <c r="S1626" s="20">
        <f t="shared" si="3342"/>
        <v>140</v>
      </c>
      <c r="T1626" s="20">
        <f t="shared" si="3342"/>
        <v>180</v>
      </c>
      <c r="U1626" s="20">
        <f t="shared" si="3342"/>
        <v>1000</v>
      </c>
      <c r="V1626" s="20">
        <f t="shared" si="3342"/>
        <v>2000</v>
      </c>
      <c r="W1626" s="20">
        <f t="shared" si="3342"/>
        <v>2000</v>
      </c>
      <c r="X1626" s="20">
        <f t="shared" si="3342"/>
        <v>2</v>
      </c>
      <c r="Y1626" s="20">
        <v>0</v>
      </c>
      <c r="Z1626" s="22">
        <v>0</v>
      </c>
      <c r="AA1626" s="20">
        <f t="shared" si="3221"/>
        <v>0</v>
      </c>
      <c r="AB1626" s="20">
        <v>0</v>
      </c>
      <c r="AC1626" s="20">
        <v>0</v>
      </c>
      <c r="AD1626" s="23">
        <f t="shared" ref="AD1626:AE1626" si="3343">AD1596</f>
        <v>8</v>
      </c>
      <c r="AE1626" s="23">
        <f t="shared" si="3343"/>
        <v>12</v>
      </c>
    </row>
    <row r="1627" spans="1:31" s="10" customFormat="1">
      <c r="A1627" s="10">
        <v>14204</v>
      </c>
      <c r="B1627" s="10">
        <v>6</v>
      </c>
      <c r="C1627" s="19" t="s">
        <v>71</v>
      </c>
      <c r="D1627" s="44">
        <v>0</v>
      </c>
      <c r="E1627" s="18">
        <v>0</v>
      </c>
      <c r="F1627" s="18">
        <f t="shared" si="3219"/>
        <v>423</v>
      </c>
      <c r="G1627" s="18">
        <v>0</v>
      </c>
      <c r="H1627" s="45">
        <v>0</v>
      </c>
      <c r="I1627" s="21">
        <f t="shared" si="3225"/>
        <v>110</v>
      </c>
      <c r="J1627" s="21">
        <f t="shared" si="3311"/>
        <v>5</v>
      </c>
      <c r="K1627" s="21">
        <v>0</v>
      </c>
      <c r="L1627" s="20">
        <v>20</v>
      </c>
      <c r="M1627" s="20">
        <v>0</v>
      </c>
      <c r="N1627" s="20">
        <f t="shared" si="3226"/>
        <v>500</v>
      </c>
      <c r="O1627" s="19" t="s">
        <v>71</v>
      </c>
      <c r="P1627" s="20">
        <v>1777</v>
      </c>
      <c r="Q1627" s="20">
        <f t="shared" ref="Q1627:X1627" si="3344">Q1597</f>
        <v>50</v>
      </c>
      <c r="R1627" s="20">
        <f t="shared" si="3344"/>
        <v>200</v>
      </c>
      <c r="S1627" s="20">
        <f t="shared" si="3344"/>
        <v>350</v>
      </c>
      <c r="T1627" s="20">
        <f t="shared" si="3344"/>
        <v>450</v>
      </c>
      <c r="U1627" s="20">
        <f t="shared" si="3344"/>
        <v>800</v>
      </c>
      <c r="V1627" s="20">
        <f t="shared" si="3344"/>
        <v>800</v>
      </c>
      <c r="W1627" s="20">
        <f t="shared" si="3344"/>
        <v>600</v>
      </c>
      <c r="X1627" s="20">
        <f t="shared" si="3344"/>
        <v>2</v>
      </c>
      <c r="Y1627" s="20">
        <v>0</v>
      </c>
      <c r="Z1627" s="22">
        <v>0</v>
      </c>
      <c r="AA1627" s="20">
        <f t="shared" si="3221"/>
        <v>0</v>
      </c>
      <c r="AB1627" s="20">
        <v>0</v>
      </c>
      <c r="AC1627" s="20">
        <v>0</v>
      </c>
      <c r="AD1627" s="23">
        <f t="shared" ref="AD1627:AE1627" si="3345">AD1597</f>
        <v>10</v>
      </c>
      <c r="AE1627" s="23">
        <f t="shared" si="3345"/>
        <v>14</v>
      </c>
    </row>
    <row r="1628" spans="1:31" s="10" customFormat="1">
      <c r="A1628" s="31">
        <v>14204</v>
      </c>
      <c r="B1628" s="31">
        <v>7</v>
      </c>
      <c r="C1628" s="19" t="s">
        <v>72</v>
      </c>
      <c r="D1628" s="44">
        <v>0</v>
      </c>
      <c r="E1628" s="18">
        <v>0</v>
      </c>
      <c r="F1628" s="18">
        <f t="shared" si="3219"/>
        <v>455</v>
      </c>
      <c r="G1628" s="18">
        <v>0</v>
      </c>
      <c r="H1628" s="45">
        <v>0</v>
      </c>
      <c r="I1628" s="21">
        <f t="shared" si="3225"/>
        <v>110</v>
      </c>
      <c r="J1628" s="21">
        <f t="shared" si="3311"/>
        <v>6</v>
      </c>
      <c r="K1628" s="21">
        <v>0</v>
      </c>
      <c r="L1628" s="20">
        <v>16</v>
      </c>
      <c r="M1628" s="20">
        <v>0</v>
      </c>
      <c r="N1628" s="20">
        <f t="shared" si="3226"/>
        <v>700</v>
      </c>
      <c r="O1628" s="19" t="s">
        <v>72</v>
      </c>
      <c r="P1628" s="20">
        <v>2332</v>
      </c>
      <c r="Q1628" s="20">
        <f t="shared" ref="Q1628:X1628" si="3346">Q1598</f>
        <v>70</v>
      </c>
      <c r="R1628" s="20">
        <f t="shared" si="3346"/>
        <v>280</v>
      </c>
      <c r="S1628" s="20">
        <f t="shared" si="3346"/>
        <v>489.99999999999994</v>
      </c>
      <c r="T1628" s="20">
        <f t="shared" si="3346"/>
        <v>630</v>
      </c>
      <c r="U1628" s="20">
        <f t="shared" si="3346"/>
        <v>650</v>
      </c>
      <c r="V1628" s="20">
        <f t="shared" si="3346"/>
        <v>800</v>
      </c>
      <c r="W1628" s="20">
        <f t="shared" si="3346"/>
        <v>300</v>
      </c>
      <c r="X1628" s="20">
        <f t="shared" si="3346"/>
        <v>2</v>
      </c>
      <c r="Y1628" s="20">
        <v>0</v>
      </c>
      <c r="Z1628" s="22">
        <v>0</v>
      </c>
      <c r="AA1628" s="20">
        <f t="shared" si="3221"/>
        <v>0</v>
      </c>
      <c r="AB1628" s="20">
        <v>0</v>
      </c>
      <c r="AC1628" s="20">
        <v>0</v>
      </c>
      <c r="AD1628" s="23">
        <f t="shared" ref="AD1628:AE1628" si="3347">AD1598</f>
        <v>12</v>
      </c>
      <c r="AE1628" s="23">
        <f t="shared" si="3347"/>
        <v>16</v>
      </c>
    </row>
    <row r="1629" spans="1:31" s="10" customFormat="1">
      <c r="A1629" s="10">
        <v>14204</v>
      </c>
      <c r="B1629" s="10">
        <v>8</v>
      </c>
      <c r="C1629" s="19" t="s">
        <v>73</v>
      </c>
      <c r="D1629" s="44">
        <v>0</v>
      </c>
      <c r="E1629" s="18">
        <v>0</v>
      </c>
      <c r="F1629" s="18">
        <f t="shared" si="3219"/>
        <v>495</v>
      </c>
      <c r="G1629" s="18">
        <v>0</v>
      </c>
      <c r="H1629" s="45">
        <v>0</v>
      </c>
      <c r="I1629" s="21">
        <f t="shared" si="3225"/>
        <v>110</v>
      </c>
      <c r="J1629" s="21">
        <f t="shared" si="3311"/>
        <v>7</v>
      </c>
      <c r="K1629" s="21">
        <v>0</v>
      </c>
      <c r="L1629" s="20">
        <v>12</v>
      </c>
      <c r="M1629" s="20">
        <v>0</v>
      </c>
      <c r="N1629" s="20">
        <f t="shared" si="3226"/>
        <v>800</v>
      </c>
      <c r="O1629" s="19" t="s">
        <v>73</v>
      </c>
      <c r="P1629" s="20">
        <v>1487</v>
      </c>
      <c r="Q1629" s="20">
        <f t="shared" ref="Q1629:X1629" si="3348">Q1599</f>
        <v>80</v>
      </c>
      <c r="R1629" s="20">
        <f t="shared" si="3348"/>
        <v>320</v>
      </c>
      <c r="S1629" s="20">
        <f t="shared" si="3348"/>
        <v>560</v>
      </c>
      <c r="T1629" s="20">
        <f t="shared" si="3348"/>
        <v>720</v>
      </c>
      <c r="U1629" s="20">
        <f t="shared" si="3348"/>
        <v>200</v>
      </c>
      <c r="V1629" s="20">
        <f t="shared" si="3348"/>
        <v>2000</v>
      </c>
      <c r="W1629" s="20">
        <f t="shared" si="3348"/>
        <v>1000</v>
      </c>
      <c r="X1629" s="20">
        <f t="shared" si="3348"/>
        <v>2</v>
      </c>
      <c r="Y1629" s="20">
        <v>0</v>
      </c>
      <c r="Z1629" s="22">
        <v>0</v>
      </c>
      <c r="AA1629" s="20">
        <f t="shared" si="3221"/>
        <v>49</v>
      </c>
      <c r="AB1629" s="20">
        <v>0</v>
      </c>
      <c r="AC1629" s="20">
        <v>0</v>
      </c>
      <c r="AD1629" s="23">
        <f t="shared" ref="AD1629:AE1629" si="3349">AD1599</f>
        <v>14</v>
      </c>
      <c r="AE1629" s="23">
        <f t="shared" si="3349"/>
        <v>18</v>
      </c>
    </row>
    <row r="1630" spans="1:31" s="10" customFormat="1">
      <c r="A1630" s="10">
        <v>14204</v>
      </c>
      <c r="B1630" s="10">
        <v>9</v>
      </c>
      <c r="C1630" s="19" t="s">
        <v>74</v>
      </c>
      <c r="D1630" s="44">
        <v>0</v>
      </c>
      <c r="E1630" s="18">
        <v>0</v>
      </c>
      <c r="F1630" s="18">
        <f t="shared" si="3219"/>
        <v>536</v>
      </c>
      <c r="G1630" s="18">
        <v>0</v>
      </c>
      <c r="H1630" s="45">
        <v>0</v>
      </c>
      <c r="I1630" s="21">
        <f t="shared" si="3225"/>
        <v>165</v>
      </c>
      <c r="J1630" s="21">
        <f t="shared" si="3311"/>
        <v>8</v>
      </c>
      <c r="K1630" s="21">
        <v>0</v>
      </c>
      <c r="L1630" s="20">
        <v>8</v>
      </c>
      <c r="M1630" s="20">
        <v>0</v>
      </c>
      <c r="N1630" s="20">
        <f t="shared" si="3226"/>
        <v>900</v>
      </c>
      <c r="O1630" s="19" t="s">
        <v>74</v>
      </c>
      <c r="P1630" s="20">
        <v>1518</v>
      </c>
      <c r="Q1630" s="20">
        <f t="shared" ref="Q1630:X1630" si="3350">Q1600</f>
        <v>90</v>
      </c>
      <c r="R1630" s="20">
        <f t="shared" si="3350"/>
        <v>360</v>
      </c>
      <c r="S1630" s="20">
        <f t="shared" si="3350"/>
        <v>630</v>
      </c>
      <c r="T1630" s="20">
        <f t="shared" si="3350"/>
        <v>810</v>
      </c>
      <c r="U1630" s="20">
        <f t="shared" si="3350"/>
        <v>120</v>
      </c>
      <c r="V1630" s="20">
        <f t="shared" si="3350"/>
        <v>1500</v>
      </c>
      <c r="W1630" s="20">
        <f t="shared" si="3350"/>
        <v>1000</v>
      </c>
      <c r="X1630" s="20">
        <f t="shared" si="3350"/>
        <v>3</v>
      </c>
      <c r="Y1630" s="20">
        <v>0</v>
      </c>
      <c r="Z1630" s="22">
        <v>0</v>
      </c>
      <c r="AA1630" s="20">
        <f t="shared" si="3221"/>
        <v>0</v>
      </c>
      <c r="AB1630" s="20">
        <v>0</v>
      </c>
      <c r="AC1630" s="20">
        <v>0</v>
      </c>
      <c r="AD1630" s="23">
        <f t="shared" ref="AD1630:AE1630" si="3351">AD1600</f>
        <v>16</v>
      </c>
      <c r="AE1630" s="23">
        <f t="shared" si="3351"/>
        <v>20</v>
      </c>
    </row>
    <row r="1631" spans="1:31" s="10" customFormat="1">
      <c r="A1631" s="10">
        <v>14204</v>
      </c>
      <c r="B1631" s="10">
        <v>10</v>
      </c>
      <c r="C1631" s="19" t="s">
        <v>75</v>
      </c>
      <c r="D1631" s="44">
        <v>0</v>
      </c>
      <c r="E1631" s="18">
        <v>0</v>
      </c>
      <c r="F1631" s="18">
        <f t="shared" ref="F1631:F1651" si="3352">F1481</f>
        <v>581</v>
      </c>
      <c r="G1631" s="18">
        <v>0</v>
      </c>
      <c r="H1631" s="45">
        <v>0</v>
      </c>
      <c r="I1631" s="21">
        <f t="shared" si="3225"/>
        <v>165</v>
      </c>
      <c r="J1631" s="21">
        <f t="shared" si="3311"/>
        <v>9</v>
      </c>
      <c r="K1631" s="21">
        <v>0</v>
      </c>
      <c r="L1631" s="20">
        <v>6</v>
      </c>
      <c r="M1631" s="20">
        <v>0</v>
      </c>
      <c r="N1631" s="20">
        <f t="shared" si="3226"/>
        <v>2000</v>
      </c>
      <c r="O1631" s="19" t="s">
        <v>75</v>
      </c>
      <c r="P1631" s="20">
        <v>861</v>
      </c>
      <c r="Q1631" s="20">
        <f t="shared" ref="Q1631:X1631" si="3353">Q1601</f>
        <v>200</v>
      </c>
      <c r="R1631" s="20">
        <f t="shared" si="3353"/>
        <v>800</v>
      </c>
      <c r="S1631" s="20">
        <f t="shared" si="3353"/>
        <v>1400</v>
      </c>
      <c r="T1631" s="20">
        <f t="shared" si="3353"/>
        <v>1800</v>
      </c>
      <c r="U1631" s="20">
        <f t="shared" si="3353"/>
        <v>150</v>
      </c>
      <c r="V1631" s="20">
        <f t="shared" si="3353"/>
        <v>5000</v>
      </c>
      <c r="W1631" s="20">
        <f t="shared" si="3353"/>
        <v>800</v>
      </c>
      <c r="X1631" s="20">
        <f t="shared" si="3353"/>
        <v>3</v>
      </c>
      <c r="Y1631" s="20">
        <v>0</v>
      </c>
      <c r="Z1631" s="22">
        <v>0</v>
      </c>
      <c r="AA1631" s="20">
        <f t="shared" ref="AA1631:AA1651" si="3354">AA1481</f>
        <v>0</v>
      </c>
      <c r="AB1631" s="20">
        <v>0</v>
      </c>
      <c r="AC1631" s="20">
        <v>0</v>
      </c>
      <c r="AD1631" s="23">
        <f t="shared" ref="AD1631:AE1631" si="3355">AD1601</f>
        <v>18</v>
      </c>
      <c r="AE1631" s="23">
        <f t="shared" si="3355"/>
        <v>22</v>
      </c>
    </row>
    <row r="1632" spans="1:31" s="10" customFormat="1">
      <c r="A1632" s="10">
        <v>14204</v>
      </c>
      <c r="B1632" s="10">
        <v>11</v>
      </c>
      <c r="C1632" s="19" t="s">
        <v>66</v>
      </c>
      <c r="D1632" s="44">
        <v>0</v>
      </c>
      <c r="E1632" s="18">
        <v>0</v>
      </c>
      <c r="F1632" s="18">
        <f t="shared" si="3352"/>
        <v>626</v>
      </c>
      <c r="G1632" s="18">
        <v>0</v>
      </c>
      <c r="H1632" s="45">
        <v>0</v>
      </c>
      <c r="I1632" s="21">
        <f t="shared" si="3225"/>
        <v>165</v>
      </c>
      <c r="J1632" s="21">
        <f t="shared" si="3311"/>
        <v>10</v>
      </c>
      <c r="K1632" s="21">
        <v>0</v>
      </c>
      <c r="L1632" s="20">
        <v>6</v>
      </c>
      <c r="M1632" s="20">
        <v>0</v>
      </c>
      <c r="N1632" s="20">
        <f t="shared" si="3226"/>
        <v>2200</v>
      </c>
      <c r="O1632" s="19" t="s">
        <v>66</v>
      </c>
      <c r="P1632" s="20">
        <v>9400</v>
      </c>
      <c r="Q1632" s="20">
        <f t="shared" ref="Q1632:X1632" si="3356">Q1602</f>
        <v>220</v>
      </c>
      <c r="R1632" s="20">
        <f t="shared" si="3356"/>
        <v>880</v>
      </c>
      <c r="S1632" s="20">
        <f t="shared" si="3356"/>
        <v>1540</v>
      </c>
      <c r="T1632" s="20">
        <f t="shared" si="3356"/>
        <v>1980</v>
      </c>
      <c r="U1632" s="20">
        <f t="shared" si="3356"/>
        <v>100</v>
      </c>
      <c r="V1632" s="20">
        <f t="shared" si="3356"/>
        <v>800</v>
      </c>
      <c r="W1632" s="20">
        <f t="shared" si="3356"/>
        <v>600</v>
      </c>
      <c r="X1632" s="20">
        <f t="shared" si="3356"/>
        <v>3</v>
      </c>
      <c r="Y1632" s="20">
        <v>0</v>
      </c>
      <c r="Z1632" s="22">
        <v>0</v>
      </c>
      <c r="AA1632" s="20">
        <f t="shared" si="3354"/>
        <v>0</v>
      </c>
      <c r="AB1632" s="20">
        <v>0</v>
      </c>
      <c r="AC1632" s="20">
        <v>0</v>
      </c>
      <c r="AD1632" s="23">
        <f t="shared" ref="AD1632:AE1632" si="3357">AD1602</f>
        <v>20</v>
      </c>
      <c r="AE1632" s="23">
        <f t="shared" si="3357"/>
        <v>24</v>
      </c>
    </row>
    <row r="1633" spans="1:31" s="10" customFormat="1">
      <c r="A1633" s="10">
        <v>14204</v>
      </c>
      <c r="B1633" s="10">
        <v>12</v>
      </c>
      <c r="C1633" s="19" t="s">
        <v>67</v>
      </c>
      <c r="D1633" s="44">
        <v>0</v>
      </c>
      <c r="E1633" s="18">
        <v>0</v>
      </c>
      <c r="F1633" s="18">
        <f t="shared" si="3352"/>
        <v>680</v>
      </c>
      <c r="G1633" s="18">
        <v>0</v>
      </c>
      <c r="H1633" s="45">
        <v>0</v>
      </c>
      <c r="I1633" s="21">
        <f t="shared" ref="I1633:I1696" si="3358">I1603</f>
        <v>165</v>
      </c>
      <c r="J1633" s="21">
        <f t="shared" si="3311"/>
        <v>11</v>
      </c>
      <c r="K1633" s="21">
        <v>0</v>
      </c>
      <c r="L1633" s="20">
        <v>6</v>
      </c>
      <c r="M1633" s="20">
        <v>0</v>
      </c>
      <c r="N1633" s="20">
        <f t="shared" ref="N1633:N1696" si="3359">N1603</f>
        <v>2400</v>
      </c>
      <c r="O1633" s="19" t="s">
        <v>67</v>
      </c>
      <c r="P1633" s="20">
        <v>9100</v>
      </c>
      <c r="Q1633" s="20">
        <f t="shared" ref="Q1633:X1633" si="3360">Q1603</f>
        <v>240</v>
      </c>
      <c r="R1633" s="20">
        <f t="shared" si="3360"/>
        <v>960</v>
      </c>
      <c r="S1633" s="20">
        <f t="shared" si="3360"/>
        <v>1680</v>
      </c>
      <c r="T1633" s="20">
        <f t="shared" si="3360"/>
        <v>2160</v>
      </c>
      <c r="U1633" s="20">
        <f t="shared" si="3360"/>
        <v>150</v>
      </c>
      <c r="V1633" s="20">
        <f t="shared" si="3360"/>
        <v>700</v>
      </c>
      <c r="W1633" s="20">
        <f t="shared" si="3360"/>
        <v>900</v>
      </c>
      <c r="X1633" s="20">
        <f t="shared" si="3360"/>
        <v>3</v>
      </c>
      <c r="Y1633" s="20">
        <v>0</v>
      </c>
      <c r="Z1633" s="22">
        <v>0</v>
      </c>
      <c r="AA1633" s="20">
        <f t="shared" si="3354"/>
        <v>0</v>
      </c>
      <c r="AB1633" s="20">
        <v>0</v>
      </c>
      <c r="AC1633" s="20">
        <v>0</v>
      </c>
      <c r="AD1633" s="23">
        <f t="shared" ref="AD1633:AE1633" si="3361">AD1603</f>
        <v>22</v>
      </c>
      <c r="AE1633" s="23">
        <f t="shared" si="3361"/>
        <v>26</v>
      </c>
    </row>
    <row r="1634" spans="1:31" s="10" customFormat="1">
      <c r="A1634" s="10">
        <v>14204</v>
      </c>
      <c r="B1634" s="10">
        <v>13</v>
      </c>
      <c r="C1634" s="19" t="s">
        <v>68</v>
      </c>
      <c r="D1634" s="44">
        <v>0</v>
      </c>
      <c r="E1634" s="18">
        <v>0</v>
      </c>
      <c r="F1634" s="18">
        <f t="shared" si="3352"/>
        <v>734</v>
      </c>
      <c r="G1634" s="18">
        <v>0</v>
      </c>
      <c r="H1634" s="45">
        <v>0</v>
      </c>
      <c r="I1634" s="21">
        <f t="shared" si="3358"/>
        <v>220</v>
      </c>
      <c r="J1634" s="21">
        <f t="shared" si="3311"/>
        <v>12</v>
      </c>
      <c r="K1634" s="21">
        <v>0</v>
      </c>
      <c r="L1634" s="20">
        <v>6</v>
      </c>
      <c r="M1634" s="20">
        <v>0</v>
      </c>
      <c r="N1634" s="20">
        <f t="shared" si="3359"/>
        <v>2600</v>
      </c>
      <c r="O1634" s="19" t="s">
        <v>68</v>
      </c>
      <c r="P1634" s="20">
        <v>8600</v>
      </c>
      <c r="Q1634" s="20">
        <f t="shared" ref="Q1634:X1634" si="3362">Q1604</f>
        <v>260</v>
      </c>
      <c r="R1634" s="20">
        <f t="shared" si="3362"/>
        <v>1040</v>
      </c>
      <c r="S1634" s="20">
        <f t="shared" si="3362"/>
        <v>1819.9999999999998</v>
      </c>
      <c r="T1634" s="20">
        <f t="shared" si="3362"/>
        <v>2340</v>
      </c>
      <c r="U1634" s="20">
        <f t="shared" si="3362"/>
        <v>100</v>
      </c>
      <c r="V1634" s="20">
        <f t="shared" si="3362"/>
        <v>700</v>
      </c>
      <c r="W1634" s="20">
        <f t="shared" si="3362"/>
        <v>1000</v>
      </c>
      <c r="X1634" s="20">
        <f t="shared" si="3362"/>
        <v>4</v>
      </c>
      <c r="Y1634" s="20">
        <v>0</v>
      </c>
      <c r="Z1634" s="22">
        <v>0</v>
      </c>
      <c r="AA1634" s="20">
        <f t="shared" si="3354"/>
        <v>100</v>
      </c>
      <c r="AB1634" s="20">
        <v>0</v>
      </c>
      <c r="AC1634" s="20">
        <v>0</v>
      </c>
      <c r="AD1634" s="23">
        <f t="shared" ref="AD1634:AE1634" si="3363">AD1604</f>
        <v>24</v>
      </c>
      <c r="AE1634" s="23">
        <f t="shared" si="3363"/>
        <v>28</v>
      </c>
    </row>
    <row r="1635" spans="1:31" s="10" customFormat="1">
      <c r="A1635" s="10">
        <v>14204</v>
      </c>
      <c r="B1635" s="10">
        <v>14</v>
      </c>
      <c r="C1635" s="19" t="s">
        <v>69</v>
      </c>
      <c r="D1635" s="44">
        <v>0</v>
      </c>
      <c r="E1635" s="18">
        <v>0</v>
      </c>
      <c r="F1635" s="18">
        <f t="shared" si="3352"/>
        <v>797</v>
      </c>
      <c r="G1635" s="18">
        <v>0</v>
      </c>
      <c r="H1635" s="45">
        <v>0</v>
      </c>
      <c r="I1635" s="21">
        <f t="shared" si="3358"/>
        <v>220</v>
      </c>
      <c r="J1635" s="21">
        <f t="shared" si="3311"/>
        <v>13</v>
      </c>
      <c r="K1635" s="21">
        <v>0</v>
      </c>
      <c r="L1635" s="20">
        <v>6</v>
      </c>
      <c r="M1635" s="20">
        <v>0</v>
      </c>
      <c r="N1635" s="20">
        <f t="shared" si="3359"/>
        <v>2800</v>
      </c>
      <c r="O1635" s="19" t="s">
        <v>69</v>
      </c>
      <c r="P1635" s="20">
        <v>6400</v>
      </c>
      <c r="Q1635" s="20">
        <f t="shared" ref="Q1635:X1635" si="3364">Q1605</f>
        <v>280</v>
      </c>
      <c r="R1635" s="20">
        <f t="shared" si="3364"/>
        <v>1120</v>
      </c>
      <c r="S1635" s="20">
        <f t="shared" si="3364"/>
        <v>1959.9999999999998</v>
      </c>
      <c r="T1635" s="20">
        <f t="shared" si="3364"/>
        <v>2520</v>
      </c>
      <c r="U1635" s="20">
        <f t="shared" si="3364"/>
        <v>100</v>
      </c>
      <c r="V1635" s="20">
        <f t="shared" si="3364"/>
        <v>400</v>
      </c>
      <c r="W1635" s="20">
        <f t="shared" si="3364"/>
        <v>1200</v>
      </c>
      <c r="X1635" s="20">
        <f t="shared" si="3364"/>
        <v>4</v>
      </c>
      <c r="Y1635" s="20">
        <v>0</v>
      </c>
      <c r="Z1635" s="22">
        <v>0</v>
      </c>
      <c r="AA1635" s="20">
        <f t="shared" si="3354"/>
        <v>0</v>
      </c>
      <c r="AB1635" s="20">
        <v>0</v>
      </c>
      <c r="AC1635" s="20">
        <v>0</v>
      </c>
      <c r="AD1635" s="23">
        <f t="shared" ref="AD1635:AE1635" si="3365">AD1605</f>
        <v>26</v>
      </c>
      <c r="AE1635" s="23">
        <f t="shared" si="3365"/>
        <v>30</v>
      </c>
    </row>
    <row r="1636" spans="1:31" s="10" customFormat="1">
      <c r="A1636" s="10">
        <v>14204</v>
      </c>
      <c r="B1636" s="10">
        <v>15</v>
      </c>
      <c r="C1636" s="19" t="s">
        <v>70</v>
      </c>
      <c r="D1636" s="44">
        <v>0</v>
      </c>
      <c r="E1636" s="18">
        <v>0</v>
      </c>
      <c r="F1636" s="18">
        <f t="shared" si="3352"/>
        <v>860</v>
      </c>
      <c r="G1636" s="18">
        <v>0</v>
      </c>
      <c r="H1636" s="45">
        <v>0</v>
      </c>
      <c r="I1636" s="21">
        <f t="shared" si="3358"/>
        <v>220</v>
      </c>
      <c r="J1636" s="21">
        <f t="shared" si="3311"/>
        <v>14</v>
      </c>
      <c r="K1636" s="21">
        <v>0</v>
      </c>
      <c r="L1636" s="20">
        <v>6</v>
      </c>
      <c r="M1636" s="20">
        <v>0</v>
      </c>
      <c r="N1636" s="20">
        <f t="shared" si="3359"/>
        <v>4500</v>
      </c>
      <c r="O1636" s="19" t="s">
        <v>70</v>
      </c>
      <c r="P1636" s="20">
        <v>3100</v>
      </c>
      <c r="Q1636" s="20">
        <f t="shared" ref="Q1636:X1636" si="3366">Q1606</f>
        <v>450</v>
      </c>
      <c r="R1636" s="20">
        <f t="shared" si="3366"/>
        <v>1800</v>
      </c>
      <c r="S1636" s="20">
        <f t="shared" si="3366"/>
        <v>3150</v>
      </c>
      <c r="T1636" s="20">
        <f t="shared" si="3366"/>
        <v>4050</v>
      </c>
      <c r="U1636" s="20">
        <f t="shared" si="3366"/>
        <v>100</v>
      </c>
      <c r="V1636" s="20">
        <f t="shared" si="3366"/>
        <v>1000</v>
      </c>
      <c r="W1636" s="20">
        <f t="shared" si="3366"/>
        <v>600</v>
      </c>
      <c r="X1636" s="20">
        <f t="shared" si="3366"/>
        <v>4</v>
      </c>
      <c r="Y1636" s="20">
        <v>0</v>
      </c>
      <c r="Z1636" s="22">
        <v>0</v>
      </c>
      <c r="AA1636" s="20">
        <f t="shared" si="3354"/>
        <v>0</v>
      </c>
      <c r="AB1636" s="20">
        <v>0</v>
      </c>
      <c r="AC1636" s="20">
        <v>0</v>
      </c>
      <c r="AD1636" s="23">
        <f t="shared" ref="AD1636:AE1636" si="3367">AD1606</f>
        <v>28</v>
      </c>
      <c r="AE1636" s="23">
        <f t="shared" si="3367"/>
        <v>32</v>
      </c>
    </row>
    <row r="1637" spans="1:31" s="10" customFormat="1">
      <c r="A1637" s="10">
        <v>14204</v>
      </c>
      <c r="B1637" s="10">
        <v>16</v>
      </c>
      <c r="C1637" s="19" t="s">
        <v>71</v>
      </c>
      <c r="D1637" s="44">
        <v>0</v>
      </c>
      <c r="E1637" s="18">
        <v>0</v>
      </c>
      <c r="F1637" s="18">
        <f t="shared" si="3352"/>
        <v>932</v>
      </c>
      <c r="G1637" s="18">
        <v>0</v>
      </c>
      <c r="H1637" s="45">
        <v>0</v>
      </c>
      <c r="I1637" s="21">
        <f t="shared" si="3358"/>
        <v>220</v>
      </c>
      <c r="J1637" s="21">
        <f t="shared" si="3311"/>
        <v>15</v>
      </c>
      <c r="K1637" s="21">
        <v>0</v>
      </c>
      <c r="L1637" s="20">
        <v>6</v>
      </c>
      <c r="M1637" s="20">
        <v>0</v>
      </c>
      <c r="N1637" s="20">
        <f t="shared" si="3359"/>
        <v>4800</v>
      </c>
      <c r="O1637" s="19" t="s">
        <v>71</v>
      </c>
      <c r="P1637" s="20">
        <v>1777</v>
      </c>
      <c r="Q1637" s="20">
        <f t="shared" ref="Q1637:X1637" si="3368">Q1607</f>
        <v>480</v>
      </c>
      <c r="R1637" s="20">
        <f t="shared" si="3368"/>
        <v>1920</v>
      </c>
      <c r="S1637" s="20">
        <f t="shared" si="3368"/>
        <v>3360</v>
      </c>
      <c r="T1637" s="20">
        <f t="shared" si="3368"/>
        <v>4320</v>
      </c>
      <c r="U1637" s="20">
        <f t="shared" si="3368"/>
        <v>100</v>
      </c>
      <c r="V1637" s="20">
        <f t="shared" si="3368"/>
        <v>800</v>
      </c>
      <c r="W1637" s="20">
        <f t="shared" si="3368"/>
        <v>800</v>
      </c>
      <c r="X1637" s="20">
        <f t="shared" si="3368"/>
        <v>4</v>
      </c>
      <c r="Y1637" s="20">
        <v>0</v>
      </c>
      <c r="Z1637" s="22">
        <v>0</v>
      </c>
      <c r="AA1637" s="20">
        <f t="shared" si="3354"/>
        <v>0</v>
      </c>
      <c r="AB1637" s="20">
        <v>0</v>
      </c>
      <c r="AC1637" s="20">
        <v>0</v>
      </c>
      <c r="AD1637" s="23">
        <f t="shared" ref="AD1637:AE1637" si="3369">AD1607</f>
        <v>30</v>
      </c>
      <c r="AE1637" s="23">
        <f t="shared" si="3369"/>
        <v>34</v>
      </c>
    </row>
    <row r="1638" spans="1:31" s="10" customFormat="1">
      <c r="A1638" s="10">
        <v>14204</v>
      </c>
      <c r="B1638" s="10">
        <v>17</v>
      </c>
      <c r="C1638" s="19" t="s">
        <v>72</v>
      </c>
      <c r="D1638" s="44">
        <v>0</v>
      </c>
      <c r="E1638" s="18">
        <v>0</v>
      </c>
      <c r="F1638" s="18">
        <f t="shared" si="3352"/>
        <v>1008</v>
      </c>
      <c r="G1638" s="18">
        <v>0</v>
      </c>
      <c r="H1638" s="45">
        <v>0</v>
      </c>
      <c r="I1638" s="21">
        <f t="shared" si="3358"/>
        <v>275</v>
      </c>
      <c r="J1638" s="21">
        <f t="shared" si="3311"/>
        <v>16</v>
      </c>
      <c r="K1638" s="21">
        <v>0</v>
      </c>
      <c r="L1638" s="20">
        <v>6</v>
      </c>
      <c r="M1638" s="20">
        <v>0</v>
      </c>
      <c r="N1638" s="20">
        <f t="shared" si="3359"/>
        <v>5100</v>
      </c>
      <c r="O1638" s="19" t="s">
        <v>72</v>
      </c>
      <c r="P1638" s="20">
        <v>2332</v>
      </c>
      <c r="Q1638" s="20">
        <f t="shared" ref="Q1638:X1638" si="3370">Q1608</f>
        <v>510</v>
      </c>
      <c r="R1638" s="20">
        <f t="shared" si="3370"/>
        <v>2040</v>
      </c>
      <c r="S1638" s="20">
        <f t="shared" si="3370"/>
        <v>3570</v>
      </c>
      <c r="T1638" s="20">
        <f t="shared" si="3370"/>
        <v>4590</v>
      </c>
      <c r="U1638" s="20">
        <f t="shared" si="3370"/>
        <v>80</v>
      </c>
      <c r="V1638" s="20">
        <f t="shared" si="3370"/>
        <v>800</v>
      </c>
      <c r="W1638" s="20">
        <f t="shared" si="3370"/>
        <v>600</v>
      </c>
      <c r="X1638" s="20">
        <f t="shared" si="3370"/>
        <v>5</v>
      </c>
      <c r="Y1638" s="20">
        <v>0</v>
      </c>
      <c r="Z1638" s="22">
        <v>0</v>
      </c>
      <c r="AA1638" s="20">
        <f t="shared" si="3354"/>
        <v>0</v>
      </c>
      <c r="AB1638" s="20">
        <v>0</v>
      </c>
      <c r="AC1638" s="20">
        <v>0</v>
      </c>
      <c r="AD1638" s="23">
        <f t="shared" ref="AD1638:AE1638" si="3371">AD1608</f>
        <v>32</v>
      </c>
      <c r="AE1638" s="23">
        <f t="shared" si="3371"/>
        <v>36</v>
      </c>
    </row>
    <row r="1639" spans="1:31" s="10" customFormat="1">
      <c r="A1639" s="10">
        <v>14204</v>
      </c>
      <c r="B1639" s="10">
        <v>18</v>
      </c>
      <c r="C1639" s="19" t="s">
        <v>73</v>
      </c>
      <c r="D1639" s="44">
        <v>0</v>
      </c>
      <c r="E1639" s="18">
        <v>0</v>
      </c>
      <c r="F1639" s="18">
        <f t="shared" si="3352"/>
        <v>1094</v>
      </c>
      <c r="G1639" s="18">
        <v>0</v>
      </c>
      <c r="H1639" s="45">
        <v>0</v>
      </c>
      <c r="I1639" s="21">
        <f t="shared" si="3358"/>
        <v>275</v>
      </c>
      <c r="J1639" s="21">
        <f t="shared" si="3311"/>
        <v>17</v>
      </c>
      <c r="K1639" s="21">
        <v>0</v>
      </c>
      <c r="L1639" s="20">
        <v>6</v>
      </c>
      <c r="M1639" s="20">
        <v>0</v>
      </c>
      <c r="N1639" s="20">
        <f t="shared" si="3359"/>
        <v>5400</v>
      </c>
      <c r="O1639" s="19" t="s">
        <v>73</v>
      </c>
      <c r="P1639" s="20">
        <v>1487</v>
      </c>
      <c r="Q1639" s="20">
        <f t="shared" ref="Q1639:X1639" si="3372">Q1609</f>
        <v>540</v>
      </c>
      <c r="R1639" s="20">
        <f t="shared" si="3372"/>
        <v>2160</v>
      </c>
      <c r="S1639" s="20">
        <f t="shared" si="3372"/>
        <v>3779.9999999999995</v>
      </c>
      <c r="T1639" s="20">
        <f t="shared" si="3372"/>
        <v>4860</v>
      </c>
      <c r="U1639" s="20">
        <f t="shared" si="3372"/>
        <v>100</v>
      </c>
      <c r="V1639" s="20">
        <f t="shared" si="3372"/>
        <v>600</v>
      </c>
      <c r="W1639" s="20">
        <f t="shared" si="3372"/>
        <v>300</v>
      </c>
      <c r="X1639" s="20">
        <f t="shared" si="3372"/>
        <v>5</v>
      </c>
      <c r="Y1639" s="20">
        <v>0</v>
      </c>
      <c r="Z1639" s="22">
        <v>0</v>
      </c>
      <c r="AA1639" s="20">
        <f t="shared" si="3354"/>
        <v>150</v>
      </c>
      <c r="AB1639" s="20">
        <v>0</v>
      </c>
      <c r="AC1639" s="20">
        <v>0</v>
      </c>
      <c r="AD1639" s="23">
        <f t="shared" ref="AD1639:AE1639" si="3373">AD1609</f>
        <v>34</v>
      </c>
      <c r="AE1639" s="23">
        <f t="shared" si="3373"/>
        <v>38</v>
      </c>
    </row>
    <row r="1640" spans="1:31" s="10" customFormat="1">
      <c r="A1640" s="31">
        <v>14204</v>
      </c>
      <c r="B1640" s="31">
        <v>19</v>
      </c>
      <c r="C1640" s="19" t="s">
        <v>74</v>
      </c>
      <c r="D1640" s="44">
        <v>0</v>
      </c>
      <c r="E1640" s="18">
        <v>0</v>
      </c>
      <c r="F1640" s="18">
        <f t="shared" si="3352"/>
        <v>1184</v>
      </c>
      <c r="G1640" s="18">
        <v>0</v>
      </c>
      <c r="H1640" s="45">
        <v>0</v>
      </c>
      <c r="I1640" s="21">
        <f t="shared" si="3358"/>
        <v>275</v>
      </c>
      <c r="J1640" s="21">
        <f t="shared" si="3311"/>
        <v>18</v>
      </c>
      <c r="K1640" s="21">
        <v>0</v>
      </c>
      <c r="L1640" s="20">
        <v>6</v>
      </c>
      <c r="M1640" s="20">
        <v>0</v>
      </c>
      <c r="N1640" s="20">
        <f t="shared" si="3359"/>
        <v>5700</v>
      </c>
      <c r="O1640" s="19" t="s">
        <v>74</v>
      </c>
      <c r="P1640" s="20">
        <v>1518</v>
      </c>
      <c r="Q1640" s="20">
        <f t="shared" ref="Q1640:X1640" si="3374">Q1610</f>
        <v>570</v>
      </c>
      <c r="R1640" s="20">
        <f t="shared" si="3374"/>
        <v>2280</v>
      </c>
      <c r="S1640" s="20">
        <f t="shared" si="3374"/>
        <v>3989.9999999999995</v>
      </c>
      <c r="T1640" s="20">
        <f t="shared" si="3374"/>
        <v>5130</v>
      </c>
      <c r="U1640" s="20">
        <f t="shared" si="3374"/>
        <v>100</v>
      </c>
      <c r="V1640" s="20">
        <f t="shared" si="3374"/>
        <v>500</v>
      </c>
      <c r="W1640" s="20">
        <f t="shared" si="3374"/>
        <v>400</v>
      </c>
      <c r="X1640" s="20">
        <f t="shared" si="3374"/>
        <v>5</v>
      </c>
      <c r="Y1640" s="20">
        <v>0</v>
      </c>
      <c r="Z1640" s="22">
        <v>0</v>
      </c>
      <c r="AA1640" s="20">
        <f t="shared" si="3354"/>
        <v>0</v>
      </c>
      <c r="AB1640" s="20">
        <v>0</v>
      </c>
      <c r="AC1640" s="20">
        <v>0</v>
      </c>
      <c r="AD1640" s="23">
        <f t="shared" ref="AD1640:AE1640" si="3375">AD1610</f>
        <v>36</v>
      </c>
      <c r="AE1640" s="23">
        <f t="shared" si="3375"/>
        <v>40</v>
      </c>
    </row>
    <row r="1641" spans="1:31" s="10" customFormat="1">
      <c r="A1641" s="10">
        <v>14204</v>
      </c>
      <c r="B1641" s="10">
        <v>20</v>
      </c>
      <c r="C1641" s="19" t="s">
        <v>75</v>
      </c>
      <c r="D1641" s="44">
        <v>0</v>
      </c>
      <c r="E1641" s="18">
        <v>0</v>
      </c>
      <c r="F1641" s="18">
        <f t="shared" si="3352"/>
        <v>1283</v>
      </c>
      <c r="G1641" s="18">
        <v>0</v>
      </c>
      <c r="H1641" s="45">
        <v>0</v>
      </c>
      <c r="I1641" s="21">
        <f t="shared" si="3358"/>
        <v>275</v>
      </c>
      <c r="J1641" s="21">
        <f t="shared" si="3311"/>
        <v>19</v>
      </c>
      <c r="K1641" s="21">
        <v>0</v>
      </c>
      <c r="L1641" s="20">
        <v>6</v>
      </c>
      <c r="M1641" s="20">
        <v>0</v>
      </c>
      <c r="N1641" s="20">
        <f t="shared" si="3359"/>
        <v>8000</v>
      </c>
      <c r="O1641" s="19" t="s">
        <v>75</v>
      </c>
      <c r="P1641" s="20">
        <v>861</v>
      </c>
      <c r="Q1641" s="20">
        <f t="shared" ref="Q1641:X1641" si="3376">Q1611</f>
        <v>800</v>
      </c>
      <c r="R1641" s="20">
        <f t="shared" si="3376"/>
        <v>3200</v>
      </c>
      <c r="S1641" s="20">
        <f t="shared" si="3376"/>
        <v>5600</v>
      </c>
      <c r="T1641" s="20">
        <f t="shared" si="3376"/>
        <v>7200</v>
      </c>
      <c r="U1641" s="20">
        <f t="shared" si="3376"/>
        <v>100</v>
      </c>
      <c r="V1641" s="20">
        <f t="shared" si="3376"/>
        <v>800</v>
      </c>
      <c r="W1641" s="20">
        <f t="shared" si="3376"/>
        <v>8000</v>
      </c>
      <c r="X1641" s="20">
        <f t="shared" si="3376"/>
        <v>5</v>
      </c>
      <c r="Y1641" s="20">
        <v>0</v>
      </c>
      <c r="Z1641" s="22">
        <v>0</v>
      </c>
      <c r="AA1641" s="20">
        <f t="shared" si="3354"/>
        <v>0</v>
      </c>
      <c r="AB1641" s="20">
        <v>0</v>
      </c>
      <c r="AC1641" s="20">
        <v>0</v>
      </c>
      <c r="AD1641" s="23">
        <f t="shared" ref="AD1641:AE1641" si="3377">AD1611</f>
        <v>38</v>
      </c>
      <c r="AE1641" s="23">
        <f t="shared" si="3377"/>
        <v>42</v>
      </c>
    </row>
    <row r="1642" spans="1:31" s="10" customFormat="1">
      <c r="A1642" s="10">
        <v>14204</v>
      </c>
      <c r="B1642" s="10">
        <v>21</v>
      </c>
      <c r="C1642" s="19" t="s">
        <v>66</v>
      </c>
      <c r="D1642" s="44">
        <v>0</v>
      </c>
      <c r="E1642" s="18">
        <v>0</v>
      </c>
      <c r="F1642" s="18">
        <f t="shared" si="3352"/>
        <v>1386</v>
      </c>
      <c r="G1642" s="18">
        <v>0</v>
      </c>
      <c r="H1642" s="45">
        <v>0</v>
      </c>
      <c r="I1642" s="21">
        <f t="shared" si="3358"/>
        <v>330</v>
      </c>
      <c r="J1642" s="21">
        <f t="shared" si="3311"/>
        <v>20</v>
      </c>
      <c r="K1642" s="21">
        <v>0</v>
      </c>
      <c r="L1642" s="20">
        <v>6</v>
      </c>
      <c r="M1642" s="20">
        <v>0</v>
      </c>
      <c r="N1642" s="20">
        <f t="shared" si="3359"/>
        <v>8400</v>
      </c>
      <c r="O1642" s="19" t="s">
        <v>66</v>
      </c>
      <c r="P1642" s="20">
        <v>9400</v>
      </c>
      <c r="Q1642" s="20">
        <f t="shared" ref="Q1642:X1642" si="3378">Q1612</f>
        <v>840</v>
      </c>
      <c r="R1642" s="20">
        <f t="shared" si="3378"/>
        <v>3360</v>
      </c>
      <c r="S1642" s="20">
        <f t="shared" si="3378"/>
        <v>5880</v>
      </c>
      <c r="T1642" s="20">
        <f t="shared" si="3378"/>
        <v>7560</v>
      </c>
      <c r="U1642" s="20">
        <f t="shared" si="3378"/>
        <v>50</v>
      </c>
      <c r="V1642" s="20">
        <f t="shared" si="3378"/>
        <v>1000</v>
      </c>
      <c r="W1642" s="20">
        <f t="shared" si="3378"/>
        <v>600</v>
      </c>
      <c r="X1642" s="20">
        <f t="shared" si="3378"/>
        <v>6</v>
      </c>
      <c r="Y1642" s="20">
        <v>0</v>
      </c>
      <c r="Z1642" s="22">
        <v>0</v>
      </c>
      <c r="AA1642" s="20">
        <f t="shared" si="3354"/>
        <v>0</v>
      </c>
      <c r="AB1642" s="20">
        <v>0</v>
      </c>
      <c r="AC1642" s="20">
        <v>0</v>
      </c>
      <c r="AD1642" s="23">
        <f t="shared" ref="AD1642:AE1642" si="3379">AD1612</f>
        <v>40</v>
      </c>
      <c r="AE1642" s="23">
        <f t="shared" si="3379"/>
        <v>44</v>
      </c>
    </row>
    <row r="1643" spans="1:31" s="10" customFormat="1">
      <c r="A1643" s="10">
        <v>14204</v>
      </c>
      <c r="B1643" s="10">
        <v>22</v>
      </c>
      <c r="C1643" s="19" t="s">
        <v>67</v>
      </c>
      <c r="D1643" s="44">
        <v>0</v>
      </c>
      <c r="E1643" s="18">
        <v>0</v>
      </c>
      <c r="F1643" s="18">
        <f t="shared" si="3352"/>
        <v>1503</v>
      </c>
      <c r="G1643" s="18">
        <v>0</v>
      </c>
      <c r="H1643" s="45">
        <v>0</v>
      </c>
      <c r="I1643" s="21">
        <f t="shared" si="3358"/>
        <v>330</v>
      </c>
      <c r="J1643" s="21">
        <f t="shared" si="3311"/>
        <v>21</v>
      </c>
      <c r="K1643" s="21">
        <v>0</v>
      </c>
      <c r="L1643" s="20">
        <v>6</v>
      </c>
      <c r="M1643" s="20">
        <v>0</v>
      </c>
      <c r="N1643" s="20">
        <f t="shared" si="3359"/>
        <v>8800</v>
      </c>
      <c r="O1643" s="19" t="s">
        <v>67</v>
      </c>
      <c r="P1643" s="20">
        <v>9100</v>
      </c>
      <c r="Q1643" s="20">
        <f t="shared" ref="Q1643:X1643" si="3380">Q1613</f>
        <v>880</v>
      </c>
      <c r="R1643" s="20">
        <f t="shared" si="3380"/>
        <v>3520</v>
      </c>
      <c r="S1643" s="20">
        <f t="shared" si="3380"/>
        <v>6160</v>
      </c>
      <c r="T1643" s="20">
        <f t="shared" si="3380"/>
        <v>7920</v>
      </c>
      <c r="U1643" s="20">
        <f t="shared" si="3380"/>
        <v>100</v>
      </c>
      <c r="V1643" s="20">
        <f t="shared" si="3380"/>
        <v>600</v>
      </c>
      <c r="W1643" s="20">
        <f t="shared" si="3380"/>
        <v>700</v>
      </c>
      <c r="X1643" s="20">
        <f t="shared" si="3380"/>
        <v>6</v>
      </c>
      <c r="Y1643" s="20">
        <v>0</v>
      </c>
      <c r="Z1643" s="22">
        <v>0</v>
      </c>
      <c r="AA1643" s="20">
        <f t="shared" si="3354"/>
        <v>0</v>
      </c>
      <c r="AB1643" s="20">
        <v>0</v>
      </c>
      <c r="AC1643" s="20">
        <v>0</v>
      </c>
      <c r="AD1643" s="23">
        <f t="shared" ref="AD1643:AE1643" si="3381">AD1613</f>
        <v>42</v>
      </c>
      <c r="AE1643" s="23">
        <f t="shared" si="3381"/>
        <v>46</v>
      </c>
    </row>
    <row r="1644" spans="1:31" s="10" customFormat="1">
      <c r="A1644" s="10">
        <v>14204</v>
      </c>
      <c r="B1644" s="10">
        <v>23</v>
      </c>
      <c r="C1644" s="19" t="s">
        <v>68</v>
      </c>
      <c r="D1644" s="44">
        <v>0</v>
      </c>
      <c r="E1644" s="18">
        <v>0</v>
      </c>
      <c r="F1644" s="18">
        <f t="shared" si="3352"/>
        <v>1625</v>
      </c>
      <c r="G1644" s="18">
        <v>0</v>
      </c>
      <c r="H1644" s="45">
        <v>0</v>
      </c>
      <c r="I1644" s="21">
        <f t="shared" si="3358"/>
        <v>330</v>
      </c>
      <c r="J1644" s="21">
        <f t="shared" si="3311"/>
        <v>22</v>
      </c>
      <c r="K1644" s="21">
        <v>0</v>
      </c>
      <c r="L1644" s="20">
        <v>6</v>
      </c>
      <c r="M1644" s="20">
        <v>0</v>
      </c>
      <c r="N1644" s="20">
        <f t="shared" si="3359"/>
        <v>9200</v>
      </c>
      <c r="O1644" s="19" t="s">
        <v>68</v>
      </c>
      <c r="P1644" s="20">
        <v>8600</v>
      </c>
      <c r="Q1644" s="20">
        <f t="shared" ref="Q1644:X1644" si="3382">Q1614</f>
        <v>920</v>
      </c>
      <c r="R1644" s="20">
        <f t="shared" si="3382"/>
        <v>3680</v>
      </c>
      <c r="S1644" s="20">
        <f t="shared" si="3382"/>
        <v>6440</v>
      </c>
      <c r="T1644" s="20">
        <f t="shared" si="3382"/>
        <v>8280</v>
      </c>
      <c r="U1644" s="20">
        <f t="shared" si="3382"/>
        <v>100</v>
      </c>
      <c r="V1644" s="20">
        <f t="shared" si="3382"/>
        <v>550</v>
      </c>
      <c r="W1644" s="20">
        <f t="shared" si="3382"/>
        <v>500</v>
      </c>
      <c r="X1644" s="20">
        <f t="shared" si="3382"/>
        <v>6</v>
      </c>
      <c r="Y1644" s="20">
        <v>0</v>
      </c>
      <c r="Z1644" s="22">
        <v>0</v>
      </c>
      <c r="AA1644" s="20">
        <f t="shared" si="3354"/>
        <v>201</v>
      </c>
      <c r="AB1644" s="20">
        <v>0</v>
      </c>
      <c r="AC1644" s="20">
        <v>0</v>
      </c>
      <c r="AD1644" s="23">
        <f t="shared" ref="AD1644:AE1644" si="3383">AD1614</f>
        <v>44</v>
      </c>
      <c r="AE1644" s="23">
        <f t="shared" si="3383"/>
        <v>48</v>
      </c>
    </row>
    <row r="1645" spans="1:31" s="10" customFormat="1">
      <c r="A1645" s="10">
        <v>14204</v>
      </c>
      <c r="B1645" s="10">
        <v>24</v>
      </c>
      <c r="C1645" s="19" t="s">
        <v>69</v>
      </c>
      <c r="D1645" s="44">
        <v>0</v>
      </c>
      <c r="E1645" s="18">
        <v>0</v>
      </c>
      <c r="F1645" s="18">
        <f t="shared" si="3352"/>
        <v>1760</v>
      </c>
      <c r="G1645" s="18">
        <v>0</v>
      </c>
      <c r="H1645" s="45">
        <v>0</v>
      </c>
      <c r="I1645" s="21">
        <f t="shared" si="3358"/>
        <v>330</v>
      </c>
      <c r="J1645" s="21">
        <f t="shared" si="3311"/>
        <v>23</v>
      </c>
      <c r="K1645" s="21">
        <v>0</v>
      </c>
      <c r="L1645" s="20">
        <v>6</v>
      </c>
      <c r="M1645" s="20">
        <v>0</v>
      </c>
      <c r="N1645" s="20">
        <f t="shared" si="3359"/>
        <v>9600</v>
      </c>
      <c r="O1645" s="19" t="s">
        <v>69</v>
      </c>
      <c r="P1645" s="20">
        <v>6400</v>
      </c>
      <c r="Q1645" s="20">
        <f t="shared" ref="Q1645:X1645" si="3384">Q1615</f>
        <v>960</v>
      </c>
      <c r="R1645" s="20">
        <f t="shared" si="3384"/>
        <v>3840</v>
      </c>
      <c r="S1645" s="20">
        <f t="shared" si="3384"/>
        <v>6720</v>
      </c>
      <c r="T1645" s="20">
        <f t="shared" si="3384"/>
        <v>8640</v>
      </c>
      <c r="U1645" s="20">
        <f t="shared" si="3384"/>
        <v>100</v>
      </c>
      <c r="V1645" s="20">
        <f t="shared" si="3384"/>
        <v>500</v>
      </c>
      <c r="W1645" s="20">
        <f t="shared" si="3384"/>
        <v>900</v>
      </c>
      <c r="X1645" s="20">
        <f t="shared" si="3384"/>
        <v>6</v>
      </c>
      <c r="Y1645" s="20">
        <v>0</v>
      </c>
      <c r="Z1645" s="22">
        <v>0</v>
      </c>
      <c r="AA1645" s="20">
        <f t="shared" si="3354"/>
        <v>0</v>
      </c>
      <c r="AB1645" s="20">
        <v>0</v>
      </c>
      <c r="AC1645" s="20">
        <v>0</v>
      </c>
      <c r="AD1645" s="23">
        <f t="shared" ref="AD1645:AE1645" si="3385">AD1615</f>
        <v>46</v>
      </c>
      <c r="AE1645" s="23">
        <f t="shared" si="3385"/>
        <v>50</v>
      </c>
    </row>
    <row r="1646" spans="1:31" s="10" customFormat="1">
      <c r="A1646" s="10">
        <v>14204</v>
      </c>
      <c r="B1646" s="10">
        <v>25</v>
      </c>
      <c r="C1646" s="19" t="s">
        <v>70</v>
      </c>
      <c r="D1646" s="44">
        <v>0</v>
      </c>
      <c r="E1646" s="18">
        <v>0</v>
      </c>
      <c r="F1646" s="18">
        <f t="shared" si="3352"/>
        <v>1908</v>
      </c>
      <c r="G1646" s="18">
        <v>0</v>
      </c>
      <c r="H1646" s="45">
        <v>0</v>
      </c>
      <c r="I1646" s="21">
        <f t="shared" si="3358"/>
        <v>385</v>
      </c>
      <c r="J1646" s="21">
        <f t="shared" si="3311"/>
        <v>24</v>
      </c>
      <c r="K1646" s="21">
        <v>0</v>
      </c>
      <c r="L1646" s="20">
        <v>6</v>
      </c>
      <c r="M1646" s="20">
        <v>0</v>
      </c>
      <c r="N1646" s="20">
        <f t="shared" si="3359"/>
        <v>12500</v>
      </c>
      <c r="O1646" s="19" t="s">
        <v>70</v>
      </c>
      <c r="P1646" s="20">
        <v>3100</v>
      </c>
      <c r="Q1646" s="20">
        <f t="shared" ref="Q1646:X1646" si="3386">Q1616</f>
        <v>1250</v>
      </c>
      <c r="R1646" s="20">
        <f t="shared" si="3386"/>
        <v>5000</v>
      </c>
      <c r="S1646" s="20">
        <f t="shared" si="3386"/>
        <v>8750</v>
      </c>
      <c r="T1646" s="20">
        <f t="shared" si="3386"/>
        <v>11250</v>
      </c>
      <c r="U1646" s="20">
        <f t="shared" si="3386"/>
        <v>10</v>
      </c>
      <c r="V1646" s="20">
        <f t="shared" si="3386"/>
        <v>1300</v>
      </c>
      <c r="W1646" s="20">
        <f t="shared" si="3386"/>
        <v>1000</v>
      </c>
      <c r="X1646" s="20">
        <f t="shared" si="3386"/>
        <v>7</v>
      </c>
      <c r="Y1646" s="20">
        <v>0</v>
      </c>
      <c r="Z1646" s="22">
        <v>0</v>
      </c>
      <c r="AA1646" s="20">
        <f t="shared" si="3354"/>
        <v>0</v>
      </c>
      <c r="AB1646" s="20">
        <v>0</v>
      </c>
      <c r="AC1646" s="20">
        <v>0</v>
      </c>
      <c r="AD1646" s="23">
        <f t="shared" ref="AD1646:AE1646" si="3387">AD1616</f>
        <v>48</v>
      </c>
      <c r="AE1646" s="23">
        <f t="shared" si="3387"/>
        <v>52</v>
      </c>
    </row>
    <row r="1647" spans="1:31" s="10" customFormat="1">
      <c r="A1647" s="10">
        <v>14204</v>
      </c>
      <c r="B1647" s="10">
        <v>26</v>
      </c>
      <c r="C1647" s="19" t="s">
        <v>71</v>
      </c>
      <c r="D1647" s="44">
        <v>0</v>
      </c>
      <c r="E1647" s="18">
        <v>0</v>
      </c>
      <c r="F1647" s="18">
        <f t="shared" si="3352"/>
        <v>2066</v>
      </c>
      <c r="G1647" s="18">
        <v>0</v>
      </c>
      <c r="H1647" s="45">
        <v>0</v>
      </c>
      <c r="I1647" s="21">
        <f t="shared" si="3358"/>
        <v>385</v>
      </c>
      <c r="J1647" s="21">
        <f t="shared" si="3311"/>
        <v>25</v>
      </c>
      <c r="K1647" s="21">
        <v>0</v>
      </c>
      <c r="L1647" s="20">
        <v>6</v>
      </c>
      <c r="M1647" s="20">
        <v>0</v>
      </c>
      <c r="N1647" s="20">
        <f t="shared" si="3359"/>
        <v>13000</v>
      </c>
      <c r="O1647" s="19" t="s">
        <v>71</v>
      </c>
      <c r="P1647" s="20">
        <v>1777</v>
      </c>
      <c r="Q1647" s="20">
        <f t="shared" ref="Q1647:X1647" si="3388">Q1617</f>
        <v>1300</v>
      </c>
      <c r="R1647" s="20">
        <f t="shared" si="3388"/>
        <v>5200</v>
      </c>
      <c r="S1647" s="20">
        <f t="shared" si="3388"/>
        <v>9100</v>
      </c>
      <c r="T1647" s="20">
        <f t="shared" si="3388"/>
        <v>11700</v>
      </c>
      <c r="U1647" s="20">
        <f t="shared" si="3388"/>
        <v>90</v>
      </c>
      <c r="V1647" s="20">
        <f t="shared" si="3388"/>
        <v>800</v>
      </c>
      <c r="W1647" s="20">
        <f t="shared" si="3388"/>
        <v>2000</v>
      </c>
      <c r="X1647" s="20">
        <f t="shared" si="3388"/>
        <v>7</v>
      </c>
      <c r="Y1647" s="20">
        <v>0</v>
      </c>
      <c r="Z1647" s="22">
        <v>0</v>
      </c>
      <c r="AA1647" s="20">
        <f t="shared" si="3354"/>
        <v>0</v>
      </c>
      <c r="AB1647" s="20">
        <v>0</v>
      </c>
      <c r="AC1647" s="20">
        <v>0</v>
      </c>
      <c r="AD1647" s="23">
        <f t="shared" ref="AD1647:AE1647" si="3389">AD1617</f>
        <v>50</v>
      </c>
      <c r="AE1647" s="23">
        <f t="shared" si="3389"/>
        <v>54</v>
      </c>
    </row>
    <row r="1648" spans="1:31" s="10" customFormat="1">
      <c r="A1648" s="10">
        <v>14204</v>
      </c>
      <c r="B1648" s="10">
        <v>27</v>
      </c>
      <c r="C1648" s="19" t="s">
        <v>72</v>
      </c>
      <c r="D1648" s="44">
        <v>0</v>
      </c>
      <c r="E1648" s="18">
        <v>0</v>
      </c>
      <c r="F1648" s="18">
        <f t="shared" si="3352"/>
        <v>2232</v>
      </c>
      <c r="G1648" s="18">
        <v>0</v>
      </c>
      <c r="H1648" s="45">
        <v>0</v>
      </c>
      <c r="I1648" s="21">
        <f t="shared" si="3358"/>
        <v>385</v>
      </c>
      <c r="J1648" s="21">
        <f t="shared" si="3311"/>
        <v>26</v>
      </c>
      <c r="K1648" s="21">
        <v>0</v>
      </c>
      <c r="L1648" s="20">
        <v>6</v>
      </c>
      <c r="M1648" s="20">
        <v>0</v>
      </c>
      <c r="N1648" s="20">
        <f t="shared" si="3359"/>
        <v>13500</v>
      </c>
      <c r="O1648" s="19" t="s">
        <v>72</v>
      </c>
      <c r="P1648" s="20">
        <v>2332</v>
      </c>
      <c r="Q1648" s="20">
        <f t="shared" ref="Q1648:X1648" si="3390">Q1618</f>
        <v>1350</v>
      </c>
      <c r="R1648" s="20">
        <f t="shared" si="3390"/>
        <v>5400</v>
      </c>
      <c r="S1648" s="20">
        <f t="shared" si="3390"/>
        <v>9450</v>
      </c>
      <c r="T1648" s="20">
        <f t="shared" si="3390"/>
        <v>12150</v>
      </c>
      <c r="U1648" s="20">
        <f t="shared" si="3390"/>
        <v>80</v>
      </c>
      <c r="V1648" s="20">
        <f t="shared" si="3390"/>
        <v>700</v>
      </c>
      <c r="W1648" s="20">
        <f t="shared" si="3390"/>
        <v>800</v>
      </c>
      <c r="X1648" s="20">
        <f t="shared" si="3390"/>
        <v>7</v>
      </c>
      <c r="Y1648" s="20">
        <v>0</v>
      </c>
      <c r="Z1648" s="22">
        <v>0</v>
      </c>
      <c r="AA1648" s="20">
        <f t="shared" si="3354"/>
        <v>0</v>
      </c>
      <c r="AB1648" s="20">
        <v>0</v>
      </c>
      <c r="AC1648" s="20">
        <v>0</v>
      </c>
      <c r="AD1648" s="23">
        <f t="shared" ref="AD1648:AE1648" si="3391">AD1618</f>
        <v>52</v>
      </c>
      <c r="AE1648" s="23">
        <f t="shared" si="3391"/>
        <v>56</v>
      </c>
    </row>
    <row r="1649" spans="1:31" s="10" customFormat="1">
      <c r="A1649" s="10">
        <v>14204</v>
      </c>
      <c r="B1649" s="10">
        <v>28</v>
      </c>
      <c r="C1649" s="19" t="s">
        <v>73</v>
      </c>
      <c r="D1649" s="44">
        <v>0</v>
      </c>
      <c r="E1649" s="18">
        <v>0</v>
      </c>
      <c r="F1649" s="18">
        <f t="shared" si="3352"/>
        <v>2417</v>
      </c>
      <c r="G1649" s="18">
        <v>0</v>
      </c>
      <c r="H1649" s="45">
        <v>0</v>
      </c>
      <c r="I1649" s="21">
        <f t="shared" si="3358"/>
        <v>385</v>
      </c>
      <c r="J1649" s="21">
        <f t="shared" si="3311"/>
        <v>27</v>
      </c>
      <c r="K1649" s="21">
        <v>0</v>
      </c>
      <c r="L1649" s="20">
        <v>6</v>
      </c>
      <c r="M1649" s="20">
        <v>0</v>
      </c>
      <c r="N1649" s="20">
        <f t="shared" si="3359"/>
        <v>14000</v>
      </c>
      <c r="O1649" s="19" t="s">
        <v>73</v>
      </c>
      <c r="P1649" s="20">
        <v>1487</v>
      </c>
      <c r="Q1649" s="20">
        <f t="shared" ref="Q1649:X1649" si="3392">Q1619</f>
        <v>1400</v>
      </c>
      <c r="R1649" s="20">
        <f t="shared" si="3392"/>
        <v>5600</v>
      </c>
      <c r="S1649" s="20">
        <f t="shared" si="3392"/>
        <v>9800</v>
      </c>
      <c r="T1649" s="20">
        <f t="shared" si="3392"/>
        <v>12600</v>
      </c>
      <c r="U1649" s="20">
        <f t="shared" si="3392"/>
        <v>80</v>
      </c>
      <c r="V1649" s="20">
        <f t="shared" si="3392"/>
        <v>500</v>
      </c>
      <c r="W1649" s="20">
        <f t="shared" si="3392"/>
        <v>600</v>
      </c>
      <c r="X1649" s="20">
        <f t="shared" si="3392"/>
        <v>7</v>
      </c>
      <c r="Y1649" s="20">
        <v>0</v>
      </c>
      <c r="Z1649" s="22">
        <v>0</v>
      </c>
      <c r="AA1649" s="20">
        <f t="shared" si="3354"/>
        <v>252</v>
      </c>
      <c r="AB1649" s="20">
        <v>0</v>
      </c>
      <c r="AC1649" s="20">
        <v>0</v>
      </c>
      <c r="AD1649" s="23">
        <f t="shared" ref="AD1649:AE1649" si="3393">AD1619</f>
        <v>54</v>
      </c>
      <c r="AE1649" s="23">
        <f t="shared" si="3393"/>
        <v>58</v>
      </c>
    </row>
    <row r="1650" spans="1:31" s="10" customFormat="1">
      <c r="A1650" s="10">
        <v>14204</v>
      </c>
      <c r="B1650" s="10">
        <v>29</v>
      </c>
      <c r="C1650" s="19" t="s">
        <v>74</v>
      </c>
      <c r="D1650" s="44">
        <v>0</v>
      </c>
      <c r="E1650" s="18">
        <v>0</v>
      </c>
      <c r="F1650" s="18">
        <f t="shared" si="3352"/>
        <v>2619</v>
      </c>
      <c r="G1650" s="18">
        <v>0</v>
      </c>
      <c r="H1650" s="45">
        <v>0</v>
      </c>
      <c r="I1650" s="21">
        <f t="shared" si="3358"/>
        <v>440</v>
      </c>
      <c r="J1650" s="21">
        <f t="shared" si="3311"/>
        <v>28</v>
      </c>
      <c r="K1650" s="21">
        <v>0</v>
      </c>
      <c r="L1650" s="20">
        <v>6</v>
      </c>
      <c r="M1650" s="20">
        <v>0</v>
      </c>
      <c r="N1650" s="20">
        <f t="shared" si="3359"/>
        <v>14500</v>
      </c>
      <c r="O1650" s="19" t="s">
        <v>74</v>
      </c>
      <c r="P1650" s="20">
        <v>1518</v>
      </c>
      <c r="Q1650" s="20">
        <f t="shared" ref="Q1650:X1650" si="3394">Q1620</f>
        <v>1450</v>
      </c>
      <c r="R1650" s="20">
        <f t="shared" si="3394"/>
        <v>5800</v>
      </c>
      <c r="S1650" s="20">
        <f t="shared" si="3394"/>
        <v>10150</v>
      </c>
      <c r="T1650" s="20">
        <f t="shared" si="3394"/>
        <v>13050</v>
      </c>
      <c r="U1650" s="20">
        <f t="shared" si="3394"/>
        <v>80</v>
      </c>
      <c r="V1650" s="20">
        <f t="shared" si="3394"/>
        <v>600</v>
      </c>
      <c r="W1650" s="20">
        <f t="shared" si="3394"/>
        <v>700</v>
      </c>
      <c r="X1650" s="20">
        <f t="shared" si="3394"/>
        <v>8</v>
      </c>
      <c r="Y1650" s="20">
        <v>0</v>
      </c>
      <c r="Z1650" s="22">
        <v>0</v>
      </c>
      <c r="AA1650" s="20">
        <f t="shared" si="3354"/>
        <v>0</v>
      </c>
      <c r="AB1650" s="20">
        <v>0</v>
      </c>
      <c r="AC1650" s="20">
        <v>0</v>
      </c>
      <c r="AD1650" s="23">
        <f t="shared" ref="AD1650:AE1650" si="3395">AD1620</f>
        <v>56</v>
      </c>
      <c r="AE1650" s="23">
        <f t="shared" si="3395"/>
        <v>60</v>
      </c>
    </row>
    <row r="1651" spans="1:31" s="10" customFormat="1">
      <c r="A1651" s="10">
        <v>14204</v>
      </c>
      <c r="B1651" s="10">
        <v>30</v>
      </c>
      <c r="C1651" s="19" t="s">
        <v>75</v>
      </c>
      <c r="D1651" s="44">
        <v>0</v>
      </c>
      <c r="E1651" s="18">
        <v>0</v>
      </c>
      <c r="F1651" s="18">
        <f t="shared" si="3352"/>
        <v>2835</v>
      </c>
      <c r="G1651" s="18">
        <v>0</v>
      </c>
      <c r="H1651" s="45">
        <v>0</v>
      </c>
      <c r="I1651" s="21">
        <f t="shared" si="3358"/>
        <v>440</v>
      </c>
      <c r="J1651" s="21">
        <f t="shared" si="3311"/>
        <v>29</v>
      </c>
      <c r="K1651" s="21">
        <v>0</v>
      </c>
      <c r="L1651" s="20">
        <v>6</v>
      </c>
      <c r="M1651" s="20">
        <v>0</v>
      </c>
      <c r="N1651" s="20">
        <f t="shared" si="3359"/>
        <v>15000</v>
      </c>
      <c r="O1651" s="19" t="s">
        <v>75</v>
      </c>
      <c r="P1651" s="20">
        <v>861</v>
      </c>
      <c r="Q1651" s="20">
        <f t="shared" ref="Q1651:X1651" si="3396">Q1621</f>
        <v>1500</v>
      </c>
      <c r="R1651" s="20">
        <f t="shared" si="3396"/>
        <v>6000</v>
      </c>
      <c r="S1651" s="20">
        <f t="shared" si="3396"/>
        <v>10500</v>
      </c>
      <c r="T1651" s="20">
        <f t="shared" si="3396"/>
        <v>13500</v>
      </c>
      <c r="U1651" s="20">
        <f t="shared" si="3396"/>
        <v>20</v>
      </c>
      <c r="V1651" s="20">
        <f t="shared" si="3396"/>
        <v>450</v>
      </c>
      <c r="W1651" s="20">
        <f t="shared" si="3396"/>
        <v>1000</v>
      </c>
      <c r="X1651" s="20">
        <f t="shared" si="3396"/>
        <v>8</v>
      </c>
      <c r="Y1651" s="20">
        <v>0</v>
      </c>
      <c r="Z1651" s="22">
        <v>0</v>
      </c>
      <c r="AA1651" s="20">
        <f t="shared" si="3354"/>
        <v>0</v>
      </c>
      <c r="AB1651" s="20">
        <v>0</v>
      </c>
      <c r="AC1651" s="20">
        <v>0</v>
      </c>
      <c r="AD1651" s="23">
        <f t="shared" ref="AD1651:AE1651" si="3397">AD1621</f>
        <v>58</v>
      </c>
      <c r="AE1651" s="23">
        <f t="shared" si="3397"/>
        <v>62</v>
      </c>
    </row>
    <row r="1652" spans="1:31">
      <c r="A1652" s="8">
        <v>15100</v>
      </c>
      <c r="B1652" s="8">
        <v>1</v>
      </c>
      <c r="C1652" s="19" t="s">
        <v>66</v>
      </c>
      <c r="D1652" s="44">
        <v>0</v>
      </c>
      <c r="E1652" s="18">
        <v>0</v>
      </c>
      <c r="F1652" s="18">
        <f>ROUND(F1681/10,0)</f>
        <v>38</v>
      </c>
      <c r="G1652" s="18">
        <v>0</v>
      </c>
      <c r="H1652" s="18">
        <f>ROUND(H1681/10,0)</f>
        <v>216</v>
      </c>
      <c r="I1652" s="21">
        <f t="shared" si="3358"/>
        <v>55</v>
      </c>
      <c r="J1652" s="21">
        <f t="shared" si="3311"/>
        <v>0</v>
      </c>
      <c r="K1652" s="21">
        <v>0</v>
      </c>
      <c r="L1652" s="20">
        <v>45</v>
      </c>
      <c r="M1652" s="20">
        <v>0</v>
      </c>
      <c r="N1652" s="20">
        <f t="shared" si="3359"/>
        <v>10</v>
      </c>
      <c r="O1652" s="19" t="s">
        <v>66</v>
      </c>
      <c r="P1652" s="20">
        <v>9400</v>
      </c>
      <c r="Q1652" s="20">
        <f t="shared" ref="Q1652:X1652" si="3398">Q1622</f>
        <v>1</v>
      </c>
      <c r="R1652" s="20">
        <f t="shared" si="3398"/>
        <v>4</v>
      </c>
      <c r="S1652" s="20">
        <f t="shared" si="3398"/>
        <v>7</v>
      </c>
      <c r="T1652" s="20">
        <f t="shared" si="3398"/>
        <v>9</v>
      </c>
      <c r="U1652" s="20">
        <f t="shared" si="3398"/>
        <v>9400</v>
      </c>
      <c r="V1652" s="20">
        <f t="shared" si="3398"/>
        <v>9400</v>
      </c>
      <c r="W1652" s="20">
        <f t="shared" si="3398"/>
        <v>9400</v>
      </c>
      <c r="X1652" s="20">
        <f t="shared" si="3398"/>
        <v>1</v>
      </c>
      <c r="Y1652" s="20">
        <v>0</v>
      </c>
      <c r="Z1652" s="20">
        <v>0</v>
      </c>
      <c r="AA1652" s="20">
        <v>0</v>
      </c>
      <c r="AB1652" s="20">
        <v>0</v>
      </c>
      <c r="AC1652" s="20">
        <f>INT(AC1772*0.6)</f>
        <v>0</v>
      </c>
      <c r="AD1652" s="23">
        <f t="shared" ref="AD1652:AE1652" si="3399">AD1622</f>
        <v>1</v>
      </c>
      <c r="AE1652" s="23">
        <f t="shared" si="3399"/>
        <v>3</v>
      </c>
    </row>
    <row r="1653" spans="1:31">
      <c r="A1653" s="4">
        <v>15100</v>
      </c>
      <c r="B1653" s="4">
        <v>2</v>
      </c>
      <c r="C1653" s="19" t="s">
        <v>67</v>
      </c>
      <c r="D1653" s="44">
        <v>0</v>
      </c>
      <c r="E1653" s="18">
        <v>0</v>
      </c>
      <c r="F1653" s="18">
        <f>ROUND(POWER(POWER(F$1681/F$1652,$B1653-1),1/29)*F$1652,0)</f>
        <v>41</v>
      </c>
      <c r="G1653" s="18">
        <v>0</v>
      </c>
      <c r="H1653" s="18">
        <f t="shared" ref="H1653" si="3400">ROUND(POWER(POWER(H$1681/H$1652,$B1653-1),1/29)*H$1652,0)</f>
        <v>234</v>
      </c>
      <c r="I1653" s="21">
        <f t="shared" si="3358"/>
        <v>55</v>
      </c>
      <c r="J1653" s="21">
        <f t="shared" si="3311"/>
        <v>1</v>
      </c>
      <c r="K1653" s="21">
        <v>0</v>
      </c>
      <c r="L1653" s="20">
        <v>40</v>
      </c>
      <c r="M1653" s="20">
        <v>0</v>
      </c>
      <c r="N1653" s="20">
        <f t="shared" si="3359"/>
        <v>20</v>
      </c>
      <c r="O1653" s="19" t="s">
        <v>67</v>
      </c>
      <c r="P1653" s="20">
        <v>9100</v>
      </c>
      <c r="Q1653" s="20">
        <f t="shared" ref="Q1653:X1653" si="3401">Q1623</f>
        <v>2</v>
      </c>
      <c r="R1653" s="20">
        <f t="shared" si="3401"/>
        <v>8</v>
      </c>
      <c r="S1653" s="20">
        <f t="shared" si="3401"/>
        <v>14</v>
      </c>
      <c r="T1653" s="20">
        <f t="shared" si="3401"/>
        <v>18</v>
      </c>
      <c r="U1653" s="20">
        <f t="shared" si="3401"/>
        <v>4000</v>
      </c>
      <c r="V1653" s="20">
        <f t="shared" si="3401"/>
        <v>8000</v>
      </c>
      <c r="W1653" s="20">
        <f t="shared" si="3401"/>
        <v>8000</v>
      </c>
      <c r="X1653" s="20">
        <f t="shared" si="3401"/>
        <v>1</v>
      </c>
      <c r="Y1653" s="20">
        <v>0</v>
      </c>
      <c r="Z1653" s="20">
        <v>0</v>
      </c>
      <c r="AA1653" s="20">
        <v>0</v>
      </c>
      <c r="AB1653" s="20">
        <v>0</v>
      </c>
      <c r="AC1653" s="20">
        <f t="shared" ref="AC1653:AC1679" si="3402">INT(AC1773*0.6)</f>
        <v>0</v>
      </c>
      <c r="AD1653" s="23">
        <f t="shared" ref="AD1653:AE1653" si="3403">AD1623</f>
        <v>2</v>
      </c>
      <c r="AE1653" s="23">
        <f t="shared" si="3403"/>
        <v>5</v>
      </c>
    </row>
    <row r="1654" spans="1:31">
      <c r="A1654" s="4">
        <v>15100</v>
      </c>
      <c r="B1654" s="4">
        <v>3</v>
      </c>
      <c r="C1654" s="19" t="s">
        <v>68</v>
      </c>
      <c r="D1654" s="44">
        <v>0</v>
      </c>
      <c r="E1654" s="18">
        <v>0</v>
      </c>
      <c r="F1654" s="18">
        <f t="shared" ref="F1654:H1680" si="3404">ROUND(POWER(POWER(F$1681/F$1652,$B1654-1),1/29)*F$1652,0)</f>
        <v>45</v>
      </c>
      <c r="G1654" s="18">
        <v>0</v>
      </c>
      <c r="H1654" s="18">
        <f t="shared" si="3404"/>
        <v>253</v>
      </c>
      <c r="I1654" s="21">
        <f t="shared" si="3358"/>
        <v>55</v>
      </c>
      <c r="J1654" s="21">
        <f t="shared" si="3311"/>
        <v>2</v>
      </c>
      <c r="K1654" s="21">
        <v>0</v>
      </c>
      <c r="L1654" s="20">
        <v>35</v>
      </c>
      <c r="M1654" s="20">
        <v>0</v>
      </c>
      <c r="N1654" s="20">
        <f t="shared" si="3359"/>
        <v>40</v>
      </c>
      <c r="O1654" s="19" t="s">
        <v>68</v>
      </c>
      <c r="P1654" s="20">
        <v>8600</v>
      </c>
      <c r="Q1654" s="20">
        <f t="shared" ref="Q1654:X1654" si="3405">Q1624</f>
        <v>4</v>
      </c>
      <c r="R1654" s="20">
        <f t="shared" si="3405"/>
        <v>16</v>
      </c>
      <c r="S1654" s="20">
        <f t="shared" si="3405"/>
        <v>28</v>
      </c>
      <c r="T1654" s="20">
        <f t="shared" si="3405"/>
        <v>36</v>
      </c>
      <c r="U1654" s="20">
        <f t="shared" si="3405"/>
        <v>1600</v>
      </c>
      <c r="V1654" s="20">
        <f t="shared" si="3405"/>
        <v>5000</v>
      </c>
      <c r="W1654" s="20">
        <f t="shared" si="3405"/>
        <v>6000</v>
      </c>
      <c r="X1654" s="20">
        <f t="shared" si="3405"/>
        <v>1</v>
      </c>
      <c r="Y1654" s="20">
        <v>0</v>
      </c>
      <c r="Z1654" s="20">
        <v>0</v>
      </c>
      <c r="AA1654" s="20">
        <v>0</v>
      </c>
      <c r="AB1654" s="20">
        <v>0</v>
      </c>
      <c r="AC1654" s="20">
        <f t="shared" si="3402"/>
        <v>0</v>
      </c>
      <c r="AD1654" s="23">
        <f t="shared" ref="AD1654:AE1654" si="3406">AD1624</f>
        <v>4</v>
      </c>
      <c r="AE1654" s="23">
        <f t="shared" si="3406"/>
        <v>8</v>
      </c>
    </row>
    <row r="1655" spans="1:31">
      <c r="A1655" s="4">
        <v>15100</v>
      </c>
      <c r="B1655" s="4">
        <v>4</v>
      </c>
      <c r="C1655" s="19" t="s">
        <v>69</v>
      </c>
      <c r="D1655" s="44">
        <v>0</v>
      </c>
      <c r="E1655" s="18">
        <v>0</v>
      </c>
      <c r="F1655" s="18">
        <f t="shared" si="3404"/>
        <v>48</v>
      </c>
      <c r="G1655" s="18">
        <v>0</v>
      </c>
      <c r="H1655" s="18">
        <f t="shared" si="3404"/>
        <v>274</v>
      </c>
      <c r="I1655" s="21">
        <f t="shared" si="3358"/>
        <v>55</v>
      </c>
      <c r="J1655" s="21">
        <f t="shared" si="3311"/>
        <v>3</v>
      </c>
      <c r="K1655" s="21">
        <v>0</v>
      </c>
      <c r="L1655" s="20">
        <v>30</v>
      </c>
      <c r="M1655" s="20">
        <v>0</v>
      </c>
      <c r="N1655" s="20">
        <f t="shared" si="3359"/>
        <v>100</v>
      </c>
      <c r="O1655" s="19" t="s">
        <v>69</v>
      </c>
      <c r="P1655" s="20">
        <v>6400</v>
      </c>
      <c r="Q1655" s="20">
        <f t="shared" ref="Q1655:X1655" si="3407">Q1625</f>
        <v>10</v>
      </c>
      <c r="R1655" s="20">
        <f t="shared" si="3407"/>
        <v>40</v>
      </c>
      <c r="S1655" s="20">
        <f t="shared" si="3407"/>
        <v>70</v>
      </c>
      <c r="T1655" s="20">
        <f t="shared" si="3407"/>
        <v>90</v>
      </c>
      <c r="U1655" s="20">
        <f t="shared" si="3407"/>
        <v>900</v>
      </c>
      <c r="V1655" s="20">
        <f t="shared" si="3407"/>
        <v>2000</v>
      </c>
      <c r="W1655" s="20">
        <f t="shared" si="3407"/>
        <v>8000</v>
      </c>
      <c r="X1655" s="20">
        <f t="shared" si="3407"/>
        <v>1</v>
      </c>
      <c r="Y1655" s="20">
        <v>0</v>
      </c>
      <c r="Z1655" s="20">
        <v>0</v>
      </c>
      <c r="AA1655" s="20">
        <v>0</v>
      </c>
      <c r="AB1655" s="20">
        <v>0</v>
      </c>
      <c r="AC1655" s="20">
        <f t="shared" si="3402"/>
        <v>0</v>
      </c>
      <c r="AD1655" s="23">
        <f t="shared" ref="AD1655:AE1655" si="3408">AD1625</f>
        <v>6</v>
      </c>
      <c r="AE1655" s="23">
        <f t="shared" si="3408"/>
        <v>10</v>
      </c>
    </row>
    <row r="1656" spans="1:31">
      <c r="A1656" s="4">
        <v>15100</v>
      </c>
      <c r="B1656" s="4">
        <v>5</v>
      </c>
      <c r="C1656" s="19" t="s">
        <v>70</v>
      </c>
      <c r="D1656" s="44">
        <v>0</v>
      </c>
      <c r="E1656" s="18">
        <v>0</v>
      </c>
      <c r="F1656" s="18">
        <f t="shared" si="3404"/>
        <v>52</v>
      </c>
      <c r="G1656" s="18">
        <v>0</v>
      </c>
      <c r="H1656" s="18">
        <f t="shared" si="3404"/>
        <v>297</v>
      </c>
      <c r="I1656" s="21">
        <f t="shared" si="3358"/>
        <v>110</v>
      </c>
      <c r="J1656" s="21">
        <f t="shared" si="3311"/>
        <v>4</v>
      </c>
      <c r="K1656" s="21">
        <v>0</v>
      </c>
      <c r="L1656" s="20">
        <v>25</v>
      </c>
      <c r="M1656" s="20">
        <v>0</v>
      </c>
      <c r="N1656" s="20">
        <f t="shared" si="3359"/>
        <v>200</v>
      </c>
      <c r="O1656" s="19" t="s">
        <v>70</v>
      </c>
      <c r="P1656" s="20">
        <v>3100</v>
      </c>
      <c r="Q1656" s="20">
        <f t="shared" ref="Q1656:X1656" si="3409">Q1626</f>
        <v>20</v>
      </c>
      <c r="R1656" s="20">
        <f t="shared" si="3409"/>
        <v>80</v>
      </c>
      <c r="S1656" s="20">
        <f t="shared" si="3409"/>
        <v>140</v>
      </c>
      <c r="T1656" s="20">
        <f t="shared" si="3409"/>
        <v>180</v>
      </c>
      <c r="U1656" s="20">
        <f t="shared" si="3409"/>
        <v>1000</v>
      </c>
      <c r="V1656" s="20">
        <f t="shared" si="3409"/>
        <v>2000</v>
      </c>
      <c r="W1656" s="20">
        <f t="shared" si="3409"/>
        <v>2000</v>
      </c>
      <c r="X1656" s="20">
        <f t="shared" si="3409"/>
        <v>2</v>
      </c>
      <c r="Y1656" s="20">
        <v>0</v>
      </c>
      <c r="Z1656" s="20">
        <v>0</v>
      </c>
      <c r="AA1656" s="20">
        <v>0</v>
      </c>
      <c r="AB1656" s="20">
        <v>0</v>
      </c>
      <c r="AC1656" s="20">
        <f t="shared" si="3402"/>
        <v>0</v>
      </c>
      <c r="AD1656" s="23">
        <f t="shared" ref="AD1656:AE1656" si="3410">AD1626</f>
        <v>8</v>
      </c>
      <c r="AE1656" s="23">
        <f t="shared" si="3410"/>
        <v>12</v>
      </c>
    </row>
    <row r="1657" spans="1:31">
      <c r="A1657" s="4">
        <v>15100</v>
      </c>
      <c r="B1657" s="4">
        <v>6</v>
      </c>
      <c r="C1657" s="19" t="s">
        <v>71</v>
      </c>
      <c r="D1657" s="44">
        <v>0</v>
      </c>
      <c r="E1657" s="18">
        <v>0</v>
      </c>
      <c r="F1657" s="18">
        <f t="shared" si="3404"/>
        <v>56</v>
      </c>
      <c r="G1657" s="18">
        <v>0</v>
      </c>
      <c r="H1657" s="18">
        <f t="shared" si="3404"/>
        <v>321</v>
      </c>
      <c r="I1657" s="21">
        <f t="shared" si="3358"/>
        <v>110</v>
      </c>
      <c r="J1657" s="21">
        <f t="shared" si="3311"/>
        <v>5</v>
      </c>
      <c r="K1657" s="21">
        <v>0</v>
      </c>
      <c r="L1657" s="20">
        <v>20</v>
      </c>
      <c r="M1657" s="20">
        <v>0</v>
      </c>
      <c r="N1657" s="20">
        <f t="shared" si="3359"/>
        <v>500</v>
      </c>
      <c r="O1657" s="19" t="s">
        <v>71</v>
      </c>
      <c r="P1657" s="20">
        <v>1777</v>
      </c>
      <c r="Q1657" s="20">
        <f t="shared" ref="Q1657:X1657" si="3411">Q1627</f>
        <v>50</v>
      </c>
      <c r="R1657" s="20">
        <f t="shared" si="3411"/>
        <v>200</v>
      </c>
      <c r="S1657" s="20">
        <f t="shared" si="3411"/>
        <v>350</v>
      </c>
      <c r="T1657" s="20">
        <f t="shared" si="3411"/>
        <v>450</v>
      </c>
      <c r="U1657" s="20">
        <f t="shared" si="3411"/>
        <v>800</v>
      </c>
      <c r="V1657" s="20">
        <f t="shared" si="3411"/>
        <v>800</v>
      </c>
      <c r="W1657" s="20">
        <f t="shared" si="3411"/>
        <v>600</v>
      </c>
      <c r="X1657" s="20">
        <f t="shared" si="3411"/>
        <v>2</v>
      </c>
      <c r="Y1657" s="20">
        <v>0</v>
      </c>
      <c r="Z1657" s="20">
        <v>0</v>
      </c>
      <c r="AA1657" s="20">
        <v>0</v>
      </c>
      <c r="AB1657" s="20">
        <v>0</v>
      </c>
      <c r="AC1657" s="20">
        <f t="shared" si="3402"/>
        <v>0</v>
      </c>
      <c r="AD1657" s="23">
        <f t="shared" ref="AD1657:AE1657" si="3412">AD1627</f>
        <v>10</v>
      </c>
      <c r="AE1657" s="23">
        <f t="shared" si="3412"/>
        <v>14</v>
      </c>
    </row>
    <row r="1658" spans="1:31">
      <c r="A1658" s="4">
        <v>15100</v>
      </c>
      <c r="B1658" s="4">
        <v>7</v>
      </c>
      <c r="C1658" s="19" t="s">
        <v>72</v>
      </c>
      <c r="D1658" s="44">
        <v>0</v>
      </c>
      <c r="E1658" s="18">
        <v>0</v>
      </c>
      <c r="F1658" s="18">
        <f t="shared" si="3404"/>
        <v>61</v>
      </c>
      <c r="G1658" s="18">
        <v>0</v>
      </c>
      <c r="H1658" s="18">
        <f t="shared" si="3404"/>
        <v>348</v>
      </c>
      <c r="I1658" s="21">
        <f t="shared" si="3358"/>
        <v>110</v>
      </c>
      <c r="J1658" s="21">
        <f t="shared" si="3311"/>
        <v>6</v>
      </c>
      <c r="K1658" s="21">
        <v>0</v>
      </c>
      <c r="L1658" s="20">
        <v>16</v>
      </c>
      <c r="M1658" s="20">
        <v>0</v>
      </c>
      <c r="N1658" s="20">
        <f t="shared" si="3359"/>
        <v>700</v>
      </c>
      <c r="O1658" s="19" t="s">
        <v>72</v>
      </c>
      <c r="P1658" s="20">
        <v>2332</v>
      </c>
      <c r="Q1658" s="20">
        <f t="shared" ref="Q1658:X1658" si="3413">Q1628</f>
        <v>70</v>
      </c>
      <c r="R1658" s="20">
        <f t="shared" si="3413"/>
        <v>280</v>
      </c>
      <c r="S1658" s="20">
        <f t="shared" si="3413"/>
        <v>489.99999999999994</v>
      </c>
      <c r="T1658" s="20">
        <f t="shared" si="3413"/>
        <v>630</v>
      </c>
      <c r="U1658" s="20">
        <f t="shared" si="3413"/>
        <v>650</v>
      </c>
      <c r="V1658" s="20">
        <f t="shared" si="3413"/>
        <v>800</v>
      </c>
      <c r="W1658" s="20">
        <f t="shared" si="3413"/>
        <v>300</v>
      </c>
      <c r="X1658" s="20">
        <f t="shared" si="3413"/>
        <v>2</v>
      </c>
      <c r="Y1658" s="20">
        <v>0</v>
      </c>
      <c r="Z1658" s="20">
        <v>0</v>
      </c>
      <c r="AA1658" s="20">
        <v>0</v>
      </c>
      <c r="AB1658" s="20">
        <v>0</v>
      </c>
      <c r="AC1658" s="20">
        <f t="shared" si="3402"/>
        <v>0</v>
      </c>
      <c r="AD1658" s="23">
        <f t="shared" ref="AD1658:AE1658" si="3414">AD1628</f>
        <v>12</v>
      </c>
      <c r="AE1658" s="23">
        <f t="shared" si="3414"/>
        <v>16</v>
      </c>
    </row>
    <row r="1659" spans="1:31">
      <c r="A1659" s="4">
        <v>15100</v>
      </c>
      <c r="B1659" s="4">
        <v>8</v>
      </c>
      <c r="C1659" s="19" t="s">
        <v>73</v>
      </c>
      <c r="D1659" s="44">
        <v>0</v>
      </c>
      <c r="E1659" s="18">
        <v>0</v>
      </c>
      <c r="F1659" s="18">
        <f t="shared" si="3404"/>
        <v>66</v>
      </c>
      <c r="G1659" s="18">
        <v>0</v>
      </c>
      <c r="H1659" s="18">
        <f t="shared" si="3404"/>
        <v>377</v>
      </c>
      <c r="I1659" s="21">
        <f t="shared" si="3358"/>
        <v>110</v>
      </c>
      <c r="J1659" s="21">
        <f t="shared" si="3311"/>
        <v>7</v>
      </c>
      <c r="K1659" s="21">
        <v>0</v>
      </c>
      <c r="L1659" s="20">
        <v>12</v>
      </c>
      <c r="M1659" s="20">
        <v>0</v>
      </c>
      <c r="N1659" s="20">
        <f t="shared" si="3359"/>
        <v>800</v>
      </c>
      <c r="O1659" s="19" t="s">
        <v>73</v>
      </c>
      <c r="P1659" s="20">
        <v>1487</v>
      </c>
      <c r="Q1659" s="20">
        <f t="shared" ref="Q1659:X1659" si="3415">Q1629</f>
        <v>80</v>
      </c>
      <c r="R1659" s="20">
        <f t="shared" si="3415"/>
        <v>320</v>
      </c>
      <c r="S1659" s="20">
        <f t="shared" si="3415"/>
        <v>560</v>
      </c>
      <c r="T1659" s="20">
        <f t="shared" si="3415"/>
        <v>720</v>
      </c>
      <c r="U1659" s="20">
        <f t="shared" si="3415"/>
        <v>200</v>
      </c>
      <c r="V1659" s="20">
        <f t="shared" si="3415"/>
        <v>2000</v>
      </c>
      <c r="W1659" s="20">
        <f t="shared" si="3415"/>
        <v>1000</v>
      </c>
      <c r="X1659" s="20">
        <f t="shared" si="3415"/>
        <v>2</v>
      </c>
      <c r="Y1659" s="20">
        <f>ROUND(D1659*0.25,-1)</f>
        <v>0</v>
      </c>
      <c r="Z1659" s="20">
        <f>ROUND(E1659*0.25,-1)</f>
        <v>0</v>
      </c>
      <c r="AA1659" s="20">
        <v>0</v>
      </c>
      <c r="AB1659" s="20">
        <f>ROUND(G1659*0.25,-1)</f>
        <v>0</v>
      </c>
      <c r="AC1659" s="20">
        <f t="shared" si="3402"/>
        <v>194</v>
      </c>
      <c r="AD1659" s="23">
        <f t="shared" ref="AD1659:AE1659" si="3416">AD1629</f>
        <v>14</v>
      </c>
      <c r="AE1659" s="23">
        <f t="shared" si="3416"/>
        <v>18</v>
      </c>
    </row>
    <row r="1660" spans="1:31">
      <c r="A1660" s="4">
        <v>15100</v>
      </c>
      <c r="B1660" s="4">
        <v>9</v>
      </c>
      <c r="C1660" s="19" t="s">
        <v>74</v>
      </c>
      <c r="D1660" s="44">
        <v>0</v>
      </c>
      <c r="E1660" s="18">
        <v>0</v>
      </c>
      <c r="F1660" s="18">
        <f t="shared" si="3404"/>
        <v>72</v>
      </c>
      <c r="G1660" s="18">
        <v>0</v>
      </c>
      <c r="H1660" s="18">
        <f t="shared" si="3404"/>
        <v>408</v>
      </c>
      <c r="I1660" s="21">
        <f t="shared" si="3358"/>
        <v>165</v>
      </c>
      <c r="J1660" s="21">
        <f t="shared" si="3311"/>
        <v>8</v>
      </c>
      <c r="K1660" s="21">
        <v>0</v>
      </c>
      <c r="L1660" s="20">
        <v>8</v>
      </c>
      <c r="M1660" s="20">
        <v>0</v>
      </c>
      <c r="N1660" s="20">
        <f t="shared" si="3359"/>
        <v>900</v>
      </c>
      <c r="O1660" s="19" t="s">
        <v>74</v>
      </c>
      <c r="P1660" s="20">
        <v>1518</v>
      </c>
      <c r="Q1660" s="20">
        <f t="shared" ref="Q1660:X1660" si="3417">Q1630</f>
        <v>90</v>
      </c>
      <c r="R1660" s="20">
        <f t="shared" si="3417"/>
        <v>360</v>
      </c>
      <c r="S1660" s="20">
        <f t="shared" si="3417"/>
        <v>630</v>
      </c>
      <c r="T1660" s="20">
        <f t="shared" si="3417"/>
        <v>810</v>
      </c>
      <c r="U1660" s="20">
        <f t="shared" si="3417"/>
        <v>120</v>
      </c>
      <c r="V1660" s="20">
        <f t="shared" si="3417"/>
        <v>1500</v>
      </c>
      <c r="W1660" s="20">
        <f t="shared" si="3417"/>
        <v>1000</v>
      </c>
      <c r="X1660" s="20">
        <f t="shared" si="3417"/>
        <v>3</v>
      </c>
      <c r="Y1660" s="20">
        <v>0</v>
      </c>
      <c r="Z1660" s="20">
        <v>0</v>
      </c>
      <c r="AA1660" s="20">
        <v>0</v>
      </c>
      <c r="AB1660" s="20">
        <v>0</v>
      </c>
      <c r="AC1660" s="20">
        <v>0</v>
      </c>
      <c r="AD1660" s="23">
        <f t="shared" ref="AD1660:AE1660" si="3418">AD1630</f>
        <v>16</v>
      </c>
      <c r="AE1660" s="23">
        <f t="shared" si="3418"/>
        <v>20</v>
      </c>
    </row>
    <row r="1661" spans="1:31">
      <c r="A1661" s="4">
        <v>15100</v>
      </c>
      <c r="B1661" s="4">
        <v>10</v>
      </c>
      <c r="C1661" s="19" t="s">
        <v>75</v>
      </c>
      <c r="D1661" s="44">
        <v>0</v>
      </c>
      <c r="E1661" s="18">
        <v>0</v>
      </c>
      <c r="F1661" s="18">
        <f t="shared" si="3404"/>
        <v>78</v>
      </c>
      <c r="G1661" s="18">
        <v>0</v>
      </c>
      <c r="H1661" s="18">
        <f t="shared" si="3404"/>
        <v>441</v>
      </c>
      <c r="I1661" s="21">
        <f t="shared" si="3358"/>
        <v>165</v>
      </c>
      <c r="J1661" s="21">
        <f t="shared" si="3311"/>
        <v>9</v>
      </c>
      <c r="K1661" s="21">
        <v>0</v>
      </c>
      <c r="L1661" s="20">
        <v>6</v>
      </c>
      <c r="M1661" s="20">
        <v>0</v>
      </c>
      <c r="N1661" s="20">
        <f t="shared" si="3359"/>
        <v>2000</v>
      </c>
      <c r="O1661" s="19" t="s">
        <v>75</v>
      </c>
      <c r="P1661" s="20">
        <v>861</v>
      </c>
      <c r="Q1661" s="20">
        <f t="shared" ref="Q1661:X1661" si="3419">Q1631</f>
        <v>200</v>
      </c>
      <c r="R1661" s="20">
        <f t="shared" si="3419"/>
        <v>800</v>
      </c>
      <c r="S1661" s="20">
        <f t="shared" si="3419"/>
        <v>1400</v>
      </c>
      <c r="T1661" s="20">
        <f t="shared" si="3419"/>
        <v>1800</v>
      </c>
      <c r="U1661" s="20">
        <f t="shared" si="3419"/>
        <v>150</v>
      </c>
      <c r="V1661" s="20">
        <f t="shared" si="3419"/>
        <v>5000</v>
      </c>
      <c r="W1661" s="20">
        <f t="shared" si="3419"/>
        <v>800</v>
      </c>
      <c r="X1661" s="20">
        <f t="shared" si="3419"/>
        <v>3</v>
      </c>
      <c r="Y1661" s="20">
        <v>0</v>
      </c>
      <c r="Z1661" s="20">
        <v>0</v>
      </c>
      <c r="AA1661" s="20">
        <v>0</v>
      </c>
      <c r="AB1661" s="20">
        <v>0</v>
      </c>
      <c r="AC1661" s="20">
        <v>0</v>
      </c>
      <c r="AD1661" s="23">
        <f t="shared" ref="AD1661:AE1661" si="3420">AD1631</f>
        <v>18</v>
      </c>
      <c r="AE1661" s="23">
        <f t="shared" si="3420"/>
        <v>22</v>
      </c>
    </row>
    <row r="1662" spans="1:31">
      <c r="A1662" s="4">
        <v>15100</v>
      </c>
      <c r="B1662" s="4">
        <v>11</v>
      </c>
      <c r="C1662" s="19" t="s">
        <v>66</v>
      </c>
      <c r="D1662" s="44">
        <v>0</v>
      </c>
      <c r="E1662" s="18">
        <v>0</v>
      </c>
      <c r="F1662" s="18">
        <f t="shared" si="3404"/>
        <v>84</v>
      </c>
      <c r="G1662" s="18">
        <v>0</v>
      </c>
      <c r="H1662" s="18">
        <f t="shared" si="3404"/>
        <v>478</v>
      </c>
      <c r="I1662" s="21">
        <f t="shared" si="3358"/>
        <v>165</v>
      </c>
      <c r="J1662" s="21">
        <f t="shared" si="3311"/>
        <v>10</v>
      </c>
      <c r="K1662" s="21">
        <v>0</v>
      </c>
      <c r="L1662" s="20">
        <v>6</v>
      </c>
      <c r="M1662" s="20">
        <v>0</v>
      </c>
      <c r="N1662" s="20">
        <f t="shared" si="3359"/>
        <v>2200</v>
      </c>
      <c r="O1662" s="19" t="s">
        <v>66</v>
      </c>
      <c r="P1662" s="20">
        <v>9400</v>
      </c>
      <c r="Q1662" s="20">
        <f t="shared" ref="Q1662:X1662" si="3421">Q1632</f>
        <v>220</v>
      </c>
      <c r="R1662" s="20">
        <f t="shared" si="3421"/>
        <v>880</v>
      </c>
      <c r="S1662" s="20">
        <f t="shared" si="3421"/>
        <v>1540</v>
      </c>
      <c r="T1662" s="20">
        <f t="shared" si="3421"/>
        <v>1980</v>
      </c>
      <c r="U1662" s="20">
        <f t="shared" si="3421"/>
        <v>100</v>
      </c>
      <c r="V1662" s="20">
        <f t="shared" si="3421"/>
        <v>800</v>
      </c>
      <c r="W1662" s="20">
        <f t="shared" si="3421"/>
        <v>600</v>
      </c>
      <c r="X1662" s="20">
        <f t="shared" si="3421"/>
        <v>3</v>
      </c>
      <c r="Y1662" s="20">
        <v>0</v>
      </c>
      <c r="Z1662" s="20">
        <v>0</v>
      </c>
      <c r="AA1662" s="20">
        <v>0</v>
      </c>
      <c r="AB1662" s="20">
        <v>0</v>
      </c>
      <c r="AC1662" s="20">
        <v>0</v>
      </c>
      <c r="AD1662" s="23">
        <f t="shared" ref="AD1662:AE1662" si="3422">AD1632</f>
        <v>20</v>
      </c>
      <c r="AE1662" s="23">
        <f t="shared" si="3422"/>
        <v>24</v>
      </c>
    </row>
    <row r="1663" spans="1:31">
      <c r="A1663" s="4">
        <v>15100</v>
      </c>
      <c r="B1663" s="4">
        <v>12</v>
      </c>
      <c r="C1663" s="19" t="s">
        <v>67</v>
      </c>
      <c r="D1663" s="44">
        <v>0</v>
      </c>
      <c r="E1663" s="18">
        <v>0</v>
      </c>
      <c r="F1663" s="18">
        <f t="shared" si="3404"/>
        <v>91</v>
      </c>
      <c r="G1663" s="18">
        <v>0</v>
      </c>
      <c r="H1663" s="18">
        <f t="shared" si="3404"/>
        <v>517</v>
      </c>
      <c r="I1663" s="21">
        <f t="shared" si="3358"/>
        <v>165</v>
      </c>
      <c r="J1663" s="21">
        <f t="shared" si="3311"/>
        <v>11</v>
      </c>
      <c r="K1663" s="21">
        <v>0</v>
      </c>
      <c r="L1663" s="20">
        <v>6</v>
      </c>
      <c r="M1663" s="20">
        <v>0</v>
      </c>
      <c r="N1663" s="20">
        <f t="shared" si="3359"/>
        <v>2400</v>
      </c>
      <c r="O1663" s="19" t="s">
        <v>67</v>
      </c>
      <c r="P1663" s="20">
        <v>9100</v>
      </c>
      <c r="Q1663" s="20">
        <f t="shared" ref="Q1663:X1663" si="3423">Q1633</f>
        <v>240</v>
      </c>
      <c r="R1663" s="20">
        <f t="shared" si="3423"/>
        <v>960</v>
      </c>
      <c r="S1663" s="20">
        <f t="shared" si="3423"/>
        <v>1680</v>
      </c>
      <c r="T1663" s="20">
        <f t="shared" si="3423"/>
        <v>2160</v>
      </c>
      <c r="U1663" s="20">
        <f t="shared" si="3423"/>
        <v>150</v>
      </c>
      <c r="V1663" s="20">
        <f t="shared" si="3423"/>
        <v>700</v>
      </c>
      <c r="W1663" s="20">
        <f t="shared" si="3423"/>
        <v>900</v>
      </c>
      <c r="X1663" s="20">
        <f t="shared" si="3423"/>
        <v>3</v>
      </c>
      <c r="Y1663" s="20">
        <v>0</v>
      </c>
      <c r="Z1663" s="20">
        <v>0</v>
      </c>
      <c r="AA1663" s="20">
        <v>0</v>
      </c>
      <c r="AB1663" s="20">
        <v>0</v>
      </c>
      <c r="AC1663" s="20">
        <v>0</v>
      </c>
      <c r="AD1663" s="23">
        <f t="shared" ref="AD1663:AE1663" si="3424">AD1633</f>
        <v>22</v>
      </c>
      <c r="AE1663" s="23">
        <f t="shared" si="3424"/>
        <v>26</v>
      </c>
    </row>
    <row r="1664" spans="1:31">
      <c r="A1664" s="4">
        <v>15100</v>
      </c>
      <c r="B1664" s="4">
        <v>13</v>
      </c>
      <c r="C1664" s="19" t="s">
        <v>68</v>
      </c>
      <c r="D1664" s="44">
        <v>0</v>
      </c>
      <c r="E1664" s="18">
        <v>0</v>
      </c>
      <c r="F1664" s="18">
        <f t="shared" si="3404"/>
        <v>98</v>
      </c>
      <c r="G1664" s="18">
        <v>0</v>
      </c>
      <c r="H1664" s="18">
        <f t="shared" si="3404"/>
        <v>560</v>
      </c>
      <c r="I1664" s="21">
        <f t="shared" si="3358"/>
        <v>220</v>
      </c>
      <c r="J1664" s="21">
        <f t="shared" si="3311"/>
        <v>12</v>
      </c>
      <c r="K1664" s="21">
        <v>0</v>
      </c>
      <c r="L1664" s="20">
        <v>6</v>
      </c>
      <c r="M1664" s="20">
        <v>0</v>
      </c>
      <c r="N1664" s="20">
        <f t="shared" si="3359"/>
        <v>2600</v>
      </c>
      <c r="O1664" s="19" t="s">
        <v>68</v>
      </c>
      <c r="P1664" s="20">
        <v>8600</v>
      </c>
      <c r="Q1664" s="20">
        <f t="shared" ref="Q1664:X1664" si="3425">Q1634</f>
        <v>260</v>
      </c>
      <c r="R1664" s="20">
        <f t="shared" si="3425"/>
        <v>1040</v>
      </c>
      <c r="S1664" s="20">
        <f t="shared" si="3425"/>
        <v>1819.9999999999998</v>
      </c>
      <c r="T1664" s="20">
        <f t="shared" si="3425"/>
        <v>2340</v>
      </c>
      <c r="U1664" s="20">
        <f t="shared" si="3425"/>
        <v>100</v>
      </c>
      <c r="V1664" s="20">
        <f t="shared" si="3425"/>
        <v>700</v>
      </c>
      <c r="W1664" s="20">
        <f t="shared" si="3425"/>
        <v>1000</v>
      </c>
      <c r="X1664" s="20">
        <f t="shared" si="3425"/>
        <v>4</v>
      </c>
      <c r="Y1664" s="20">
        <f>ROUND(D1664*0.25,-1)</f>
        <v>0</v>
      </c>
      <c r="Z1664" s="20">
        <f>ROUND(E1664*0.25,-1)</f>
        <v>0</v>
      </c>
      <c r="AA1664" s="20">
        <v>0</v>
      </c>
      <c r="AB1664" s="20">
        <f>ROUND(G1664*0.25,-1)</f>
        <v>0</v>
      </c>
      <c r="AC1664" s="20">
        <f t="shared" si="3402"/>
        <v>388</v>
      </c>
      <c r="AD1664" s="23">
        <f t="shared" ref="AD1664:AE1664" si="3426">AD1634</f>
        <v>24</v>
      </c>
      <c r="AE1664" s="23">
        <f t="shared" si="3426"/>
        <v>28</v>
      </c>
    </row>
    <row r="1665" spans="1:31">
      <c r="A1665" s="4">
        <v>15100</v>
      </c>
      <c r="B1665" s="4">
        <v>14</v>
      </c>
      <c r="C1665" s="19" t="s">
        <v>69</v>
      </c>
      <c r="D1665" s="44">
        <v>0</v>
      </c>
      <c r="E1665" s="18">
        <v>0</v>
      </c>
      <c r="F1665" s="18">
        <f t="shared" si="3404"/>
        <v>106</v>
      </c>
      <c r="G1665" s="18">
        <v>0</v>
      </c>
      <c r="H1665" s="18">
        <f t="shared" si="3404"/>
        <v>606</v>
      </c>
      <c r="I1665" s="21">
        <f t="shared" si="3358"/>
        <v>220</v>
      </c>
      <c r="J1665" s="21">
        <f t="shared" si="3311"/>
        <v>13</v>
      </c>
      <c r="K1665" s="21">
        <v>0</v>
      </c>
      <c r="L1665" s="20">
        <v>6</v>
      </c>
      <c r="M1665" s="20">
        <v>0</v>
      </c>
      <c r="N1665" s="20">
        <f t="shared" si="3359"/>
        <v>2800</v>
      </c>
      <c r="O1665" s="19" t="s">
        <v>69</v>
      </c>
      <c r="P1665" s="20">
        <v>6400</v>
      </c>
      <c r="Q1665" s="20">
        <f t="shared" ref="Q1665:X1665" si="3427">Q1635</f>
        <v>280</v>
      </c>
      <c r="R1665" s="20">
        <f t="shared" si="3427"/>
        <v>1120</v>
      </c>
      <c r="S1665" s="20">
        <f t="shared" si="3427"/>
        <v>1959.9999999999998</v>
      </c>
      <c r="T1665" s="20">
        <f t="shared" si="3427"/>
        <v>2520</v>
      </c>
      <c r="U1665" s="20">
        <f t="shared" si="3427"/>
        <v>100</v>
      </c>
      <c r="V1665" s="20">
        <f t="shared" si="3427"/>
        <v>400</v>
      </c>
      <c r="W1665" s="20">
        <f t="shared" si="3427"/>
        <v>1200</v>
      </c>
      <c r="X1665" s="20">
        <f t="shared" si="3427"/>
        <v>4</v>
      </c>
      <c r="Y1665" s="20">
        <v>0</v>
      </c>
      <c r="Z1665" s="20">
        <v>0</v>
      </c>
      <c r="AA1665" s="20">
        <v>0</v>
      </c>
      <c r="AB1665" s="20">
        <v>0</v>
      </c>
      <c r="AC1665" s="20">
        <v>0</v>
      </c>
      <c r="AD1665" s="23">
        <f t="shared" ref="AD1665:AE1665" si="3428">AD1635</f>
        <v>26</v>
      </c>
      <c r="AE1665" s="23">
        <f t="shared" si="3428"/>
        <v>30</v>
      </c>
    </row>
    <row r="1666" spans="1:31">
      <c r="A1666" s="4">
        <v>15100</v>
      </c>
      <c r="B1666" s="4">
        <v>15</v>
      </c>
      <c r="C1666" s="19" t="s">
        <v>70</v>
      </c>
      <c r="D1666" s="44">
        <v>0</v>
      </c>
      <c r="E1666" s="18">
        <v>0</v>
      </c>
      <c r="F1666" s="18">
        <f t="shared" si="3404"/>
        <v>115</v>
      </c>
      <c r="G1666" s="18">
        <v>0</v>
      </c>
      <c r="H1666" s="18">
        <f t="shared" si="3404"/>
        <v>656</v>
      </c>
      <c r="I1666" s="21">
        <f t="shared" si="3358"/>
        <v>220</v>
      </c>
      <c r="J1666" s="21">
        <f t="shared" si="3311"/>
        <v>14</v>
      </c>
      <c r="K1666" s="21">
        <v>0</v>
      </c>
      <c r="L1666" s="20">
        <v>6</v>
      </c>
      <c r="M1666" s="20">
        <v>0</v>
      </c>
      <c r="N1666" s="20">
        <f t="shared" si="3359"/>
        <v>4500</v>
      </c>
      <c r="O1666" s="19" t="s">
        <v>70</v>
      </c>
      <c r="P1666" s="20">
        <v>3100</v>
      </c>
      <c r="Q1666" s="20">
        <f t="shared" ref="Q1666:X1666" si="3429">Q1636</f>
        <v>450</v>
      </c>
      <c r="R1666" s="20">
        <f t="shared" si="3429"/>
        <v>1800</v>
      </c>
      <c r="S1666" s="20">
        <f t="shared" si="3429"/>
        <v>3150</v>
      </c>
      <c r="T1666" s="20">
        <f t="shared" si="3429"/>
        <v>4050</v>
      </c>
      <c r="U1666" s="20">
        <f t="shared" si="3429"/>
        <v>100</v>
      </c>
      <c r="V1666" s="20">
        <f t="shared" si="3429"/>
        <v>1000</v>
      </c>
      <c r="W1666" s="20">
        <f t="shared" si="3429"/>
        <v>600</v>
      </c>
      <c r="X1666" s="20">
        <f t="shared" si="3429"/>
        <v>4</v>
      </c>
      <c r="Y1666" s="20">
        <v>0</v>
      </c>
      <c r="Z1666" s="20">
        <v>0</v>
      </c>
      <c r="AA1666" s="20">
        <v>0</v>
      </c>
      <c r="AB1666" s="20">
        <v>0</v>
      </c>
      <c r="AC1666" s="20">
        <v>0</v>
      </c>
      <c r="AD1666" s="23">
        <f t="shared" ref="AD1666:AE1666" si="3430">AD1636</f>
        <v>28</v>
      </c>
      <c r="AE1666" s="23">
        <f t="shared" si="3430"/>
        <v>32</v>
      </c>
    </row>
    <row r="1667" spans="1:31">
      <c r="A1667" s="4">
        <v>15100</v>
      </c>
      <c r="B1667" s="4">
        <v>16</v>
      </c>
      <c r="C1667" s="19" t="s">
        <v>71</v>
      </c>
      <c r="D1667" s="44">
        <v>0</v>
      </c>
      <c r="E1667" s="18">
        <v>0</v>
      </c>
      <c r="F1667" s="18">
        <f t="shared" si="3404"/>
        <v>125</v>
      </c>
      <c r="G1667" s="18">
        <v>0</v>
      </c>
      <c r="H1667" s="18">
        <f t="shared" si="3404"/>
        <v>711</v>
      </c>
      <c r="I1667" s="21">
        <f t="shared" si="3358"/>
        <v>220</v>
      </c>
      <c r="J1667" s="21">
        <f t="shared" si="3311"/>
        <v>15</v>
      </c>
      <c r="K1667" s="21">
        <v>0</v>
      </c>
      <c r="L1667" s="20">
        <v>6</v>
      </c>
      <c r="M1667" s="20">
        <v>0</v>
      </c>
      <c r="N1667" s="20">
        <f t="shared" si="3359"/>
        <v>4800</v>
      </c>
      <c r="O1667" s="19" t="s">
        <v>71</v>
      </c>
      <c r="P1667" s="20">
        <v>1777</v>
      </c>
      <c r="Q1667" s="20">
        <f t="shared" ref="Q1667:X1667" si="3431">Q1637</f>
        <v>480</v>
      </c>
      <c r="R1667" s="20">
        <f t="shared" si="3431"/>
        <v>1920</v>
      </c>
      <c r="S1667" s="20">
        <f t="shared" si="3431"/>
        <v>3360</v>
      </c>
      <c r="T1667" s="20">
        <f t="shared" si="3431"/>
        <v>4320</v>
      </c>
      <c r="U1667" s="20">
        <f t="shared" si="3431"/>
        <v>100</v>
      </c>
      <c r="V1667" s="20">
        <f t="shared" si="3431"/>
        <v>800</v>
      </c>
      <c r="W1667" s="20">
        <f t="shared" si="3431"/>
        <v>800</v>
      </c>
      <c r="X1667" s="20">
        <f t="shared" si="3431"/>
        <v>4</v>
      </c>
      <c r="Y1667" s="20">
        <v>0</v>
      </c>
      <c r="Z1667" s="20">
        <v>0</v>
      </c>
      <c r="AA1667" s="20">
        <v>0</v>
      </c>
      <c r="AB1667" s="20">
        <v>0</v>
      </c>
      <c r="AC1667" s="20">
        <v>0</v>
      </c>
      <c r="AD1667" s="23">
        <f t="shared" ref="AD1667:AE1667" si="3432">AD1637</f>
        <v>30</v>
      </c>
      <c r="AE1667" s="23">
        <f t="shared" si="3432"/>
        <v>34</v>
      </c>
    </row>
    <row r="1668" spans="1:31">
      <c r="A1668" s="4">
        <v>15100</v>
      </c>
      <c r="B1668" s="4">
        <v>17</v>
      </c>
      <c r="C1668" s="19" t="s">
        <v>72</v>
      </c>
      <c r="D1668" s="44">
        <v>0</v>
      </c>
      <c r="E1668" s="18">
        <v>0</v>
      </c>
      <c r="F1668" s="18">
        <f t="shared" si="3404"/>
        <v>135</v>
      </c>
      <c r="G1668" s="18">
        <v>0</v>
      </c>
      <c r="H1668" s="18">
        <f t="shared" si="3404"/>
        <v>769</v>
      </c>
      <c r="I1668" s="21">
        <f t="shared" si="3358"/>
        <v>275</v>
      </c>
      <c r="J1668" s="21">
        <f t="shared" si="3311"/>
        <v>16</v>
      </c>
      <c r="K1668" s="21">
        <v>0</v>
      </c>
      <c r="L1668" s="20">
        <v>6</v>
      </c>
      <c r="M1668" s="20">
        <v>0</v>
      </c>
      <c r="N1668" s="20">
        <f t="shared" si="3359"/>
        <v>5100</v>
      </c>
      <c r="O1668" s="19" t="s">
        <v>72</v>
      </c>
      <c r="P1668" s="20">
        <v>2332</v>
      </c>
      <c r="Q1668" s="20">
        <f t="shared" ref="Q1668:X1668" si="3433">Q1638</f>
        <v>510</v>
      </c>
      <c r="R1668" s="20">
        <f t="shared" si="3433"/>
        <v>2040</v>
      </c>
      <c r="S1668" s="20">
        <f t="shared" si="3433"/>
        <v>3570</v>
      </c>
      <c r="T1668" s="20">
        <f t="shared" si="3433"/>
        <v>4590</v>
      </c>
      <c r="U1668" s="20">
        <f t="shared" si="3433"/>
        <v>80</v>
      </c>
      <c r="V1668" s="20">
        <f t="shared" si="3433"/>
        <v>800</v>
      </c>
      <c r="W1668" s="20">
        <f t="shared" si="3433"/>
        <v>600</v>
      </c>
      <c r="X1668" s="20">
        <f t="shared" si="3433"/>
        <v>5</v>
      </c>
      <c r="Y1668" s="20">
        <v>0</v>
      </c>
      <c r="Z1668" s="20">
        <v>0</v>
      </c>
      <c r="AA1668" s="20">
        <v>0</v>
      </c>
      <c r="AB1668" s="20">
        <v>0</v>
      </c>
      <c r="AC1668" s="20">
        <v>0</v>
      </c>
      <c r="AD1668" s="23">
        <f t="shared" ref="AD1668:AE1668" si="3434">AD1638</f>
        <v>32</v>
      </c>
      <c r="AE1668" s="23">
        <f t="shared" si="3434"/>
        <v>36</v>
      </c>
    </row>
    <row r="1669" spans="1:31">
      <c r="A1669" s="4">
        <v>15100</v>
      </c>
      <c r="B1669" s="4">
        <v>18</v>
      </c>
      <c r="C1669" s="19" t="s">
        <v>73</v>
      </c>
      <c r="D1669" s="44">
        <v>0</v>
      </c>
      <c r="E1669" s="18">
        <v>0</v>
      </c>
      <c r="F1669" s="18">
        <f t="shared" si="3404"/>
        <v>146</v>
      </c>
      <c r="G1669" s="18">
        <v>0</v>
      </c>
      <c r="H1669" s="18">
        <f t="shared" si="3404"/>
        <v>833</v>
      </c>
      <c r="I1669" s="21">
        <f t="shared" si="3358"/>
        <v>275</v>
      </c>
      <c r="J1669" s="21">
        <f t="shared" si="3311"/>
        <v>17</v>
      </c>
      <c r="K1669" s="21">
        <v>0</v>
      </c>
      <c r="L1669" s="20">
        <v>6</v>
      </c>
      <c r="M1669" s="20">
        <v>0</v>
      </c>
      <c r="N1669" s="20">
        <f t="shared" si="3359"/>
        <v>5400</v>
      </c>
      <c r="O1669" s="19" t="s">
        <v>73</v>
      </c>
      <c r="P1669" s="20">
        <v>1487</v>
      </c>
      <c r="Q1669" s="20">
        <f t="shared" ref="Q1669:X1669" si="3435">Q1639</f>
        <v>540</v>
      </c>
      <c r="R1669" s="20">
        <f t="shared" si="3435"/>
        <v>2160</v>
      </c>
      <c r="S1669" s="20">
        <f t="shared" si="3435"/>
        <v>3779.9999999999995</v>
      </c>
      <c r="T1669" s="20">
        <f t="shared" si="3435"/>
        <v>4860</v>
      </c>
      <c r="U1669" s="20">
        <f t="shared" si="3435"/>
        <v>100</v>
      </c>
      <c r="V1669" s="20">
        <f t="shared" si="3435"/>
        <v>600</v>
      </c>
      <c r="W1669" s="20">
        <f t="shared" si="3435"/>
        <v>300</v>
      </c>
      <c r="X1669" s="20">
        <f t="shared" si="3435"/>
        <v>5</v>
      </c>
      <c r="Y1669" s="20">
        <f>ROUND(D1669*0.25,-1)</f>
        <v>0</v>
      </c>
      <c r="Z1669" s="20">
        <f>ROUND(E1669*0.25,-1)</f>
        <v>0</v>
      </c>
      <c r="AA1669" s="20">
        <v>0</v>
      </c>
      <c r="AB1669" s="20">
        <f>ROUND(G1669*0.25,-1)</f>
        <v>0</v>
      </c>
      <c r="AC1669" s="20">
        <f t="shared" si="3402"/>
        <v>583</v>
      </c>
      <c r="AD1669" s="23">
        <f t="shared" ref="AD1669:AE1669" si="3436">AD1639</f>
        <v>34</v>
      </c>
      <c r="AE1669" s="23">
        <f t="shared" si="3436"/>
        <v>38</v>
      </c>
    </row>
    <row r="1670" spans="1:31">
      <c r="A1670" s="4">
        <v>15100</v>
      </c>
      <c r="B1670" s="4">
        <v>19</v>
      </c>
      <c r="C1670" s="19" t="s">
        <v>74</v>
      </c>
      <c r="D1670" s="44">
        <v>0</v>
      </c>
      <c r="E1670" s="18">
        <v>0</v>
      </c>
      <c r="F1670" s="18">
        <f t="shared" si="3404"/>
        <v>158</v>
      </c>
      <c r="G1670" s="18">
        <v>0</v>
      </c>
      <c r="H1670" s="18">
        <f t="shared" si="3404"/>
        <v>902</v>
      </c>
      <c r="I1670" s="21">
        <f t="shared" si="3358"/>
        <v>275</v>
      </c>
      <c r="J1670" s="21">
        <f t="shared" si="3311"/>
        <v>18</v>
      </c>
      <c r="K1670" s="21">
        <v>0</v>
      </c>
      <c r="L1670" s="20">
        <v>6</v>
      </c>
      <c r="M1670" s="20">
        <v>0</v>
      </c>
      <c r="N1670" s="20">
        <f t="shared" si="3359"/>
        <v>5700</v>
      </c>
      <c r="O1670" s="19" t="s">
        <v>74</v>
      </c>
      <c r="P1670" s="20">
        <v>1518</v>
      </c>
      <c r="Q1670" s="20">
        <f t="shared" ref="Q1670:X1670" si="3437">Q1640</f>
        <v>570</v>
      </c>
      <c r="R1670" s="20">
        <f t="shared" si="3437"/>
        <v>2280</v>
      </c>
      <c r="S1670" s="20">
        <f t="shared" si="3437"/>
        <v>3989.9999999999995</v>
      </c>
      <c r="T1670" s="20">
        <f t="shared" si="3437"/>
        <v>5130</v>
      </c>
      <c r="U1670" s="20">
        <f t="shared" si="3437"/>
        <v>100</v>
      </c>
      <c r="V1670" s="20">
        <f t="shared" si="3437"/>
        <v>500</v>
      </c>
      <c r="W1670" s="20">
        <f t="shared" si="3437"/>
        <v>400</v>
      </c>
      <c r="X1670" s="20">
        <f t="shared" si="3437"/>
        <v>5</v>
      </c>
      <c r="Y1670" s="20">
        <v>0</v>
      </c>
      <c r="Z1670" s="20">
        <v>0</v>
      </c>
      <c r="AA1670" s="20">
        <v>0</v>
      </c>
      <c r="AB1670" s="20">
        <v>0</v>
      </c>
      <c r="AC1670" s="20">
        <v>0</v>
      </c>
      <c r="AD1670" s="23">
        <f t="shared" ref="AD1670:AE1670" si="3438">AD1640</f>
        <v>36</v>
      </c>
      <c r="AE1670" s="23">
        <f t="shared" si="3438"/>
        <v>40</v>
      </c>
    </row>
    <row r="1671" spans="1:31">
      <c r="A1671" s="4">
        <v>15100</v>
      </c>
      <c r="B1671" s="4">
        <v>20</v>
      </c>
      <c r="C1671" s="19" t="s">
        <v>75</v>
      </c>
      <c r="D1671" s="44">
        <v>0</v>
      </c>
      <c r="E1671" s="18">
        <v>0</v>
      </c>
      <c r="F1671" s="18">
        <f t="shared" si="3404"/>
        <v>171</v>
      </c>
      <c r="G1671" s="18">
        <v>0</v>
      </c>
      <c r="H1671" s="18">
        <f t="shared" si="3404"/>
        <v>976</v>
      </c>
      <c r="I1671" s="21">
        <f t="shared" si="3358"/>
        <v>275</v>
      </c>
      <c r="J1671" s="21">
        <f t="shared" si="3311"/>
        <v>19</v>
      </c>
      <c r="K1671" s="21">
        <v>0</v>
      </c>
      <c r="L1671" s="20">
        <v>6</v>
      </c>
      <c r="M1671" s="20">
        <v>0</v>
      </c>
      <c r="N1671" s="20">
        <f t="shared" si="3359"/>
        <v>8000</v>
      </c>
      <c r="O1671" s="19" t="s">
        <v>75</v>
      </c>
      <c r="P1671" s="20">
        <v>861</v>
      </c>
      <c r="Q1671" s="20">
        <f t="shared" ref="Q1671:X1671" si="3439">Q1641</f>
        <v>800</v>
      </c>
      <c r="R1671" s="20">
        <f t="shared" si="3439"/>
        <v>3200</v>
      </c>
      <c r="S1671" s="20">
        <f t="shared" si="3439"/>
        <v>5600</v>
      </c>
      <c r="T1671" s="20">
        <f t="shared" si="3439"/>
        <v>7200</v>
      </c>
      <c r="U1671" s="20">
        <f t="shared" si="3439"/>
        <v>100</v>
      </c>
      <c r="V1671" s="20">
        <f t="shared" si="3439"/>
        <v>800</v>
      </c>
      <c r="W1671" s="20">
        <f t="shared" si="3439"/>
        <v>8000</v>
      </c>
      <c r="X1671" s="20">
        <f t="shared" si="3439"/>
        <v>5</v>
      </c>
      <c r="Y1671" s="20">
        <v>0</v>
      </c>
      <c r="Z1671" s="20">
        <v>0</v>
      </c>
      <c r="AA1671" s="20">
        <v>0</v>
      </c>
      <c r="AB1671" s="20">
        <v>0</v>
      </c>
      <c r="AC1671" s="20">
        <v>0</v>
      </c>
      <c r="AD1671" s="23">
        <f t="shared" ref="AD1671:AE1671" si="3440">AD1641</f>
        <v>38</v>
      </c>
      <c r="AE1671" s="23">
        <f t="shared" si="3440"/>
        <v>42</v>
      </c>
    </row>
    <row r="1672" spans="1:31">
      <c r="A1672" s="4">
        <v>15100</v>
      </c>
      <c r="B1672" s="4">
        <v>21</v>
      </c>
      <c r="C1672" s="19" t="s">
        <v>66</v>
      </c>
      <c r="D1672" s="44">
        <v>0</v>
      </c>
      <c r="E1672" s="18">
        <v>0</v>
      </c>
      <c r="F1672" s="18">
        <f t="shared" si="3404"/>
        <v>185</v>
      </c>
      <c r="G1672" s="18">
        <v>0</v>
      </c>
      <c r="H1672" s="18">
        <f t="shared" si="3404"/>
        <v>1057</v>
      </c>
      <c r="I1672" s="21">
        <f t="shared" si="3358"/>
        <v>330</v>
      </c>
      <c r="J1672" s="21">
        <f t="shared" si="3311"/>
        <v>20</v>
      </c>
      <c r="K1672" s="21">
        <v>0</v>
      </c>
      <c r="L1672" s="20">
        <v>6</v>
      </c>
      <c r="M1672" s="20">
        <v>0</v>
      </c>
      <c r="N1672" s="20">
        <f t="shared" si="3359"/>
        <v>8400</v>
      </c>
      <c r="O1672" s="19" t="s">
        <v>66</v>
      </c>
      <c r="P1672" s="20">
        <v>9400</v>
      </c>
      <c r="Q1672" s="20">
        <f t="shared" ref="Q1672:X1672" si="3441">Q1642</f>
        <v>840</v>
      </c>
      <c r="R1672" s="20">
        <f t="shared" si="3441"/>
        <v>3360</v>
      </c>
      <c r="S1672" s="20">
        <f t="shared" si="3441"/>
        <v>5880</v>
      </c>
      <c r="T1672" s="20">
        <f t="shared" si="3441"/>
        <v>7560</v>
      </c>
      <c r="U1672" s="20">
        <f t="shared" si="3441"/>
        <v>50</v>
      </c>
      <c r="V1672" s="20">
        <f t="shared" si="3441"/>
        <v>1000</v>
      </c>
      <c r="W1672" s="20">
        <f t="shared" si="3441"/>
        <v>600</v>
      </c>
      <c r="X1672" s="20">
        <f t="shared" si="3441"/>
        <v>6</v>
      </c>
      <c r="Y1672" s="20">
        <v>0</v>
      </c>
      <c r="Z1672" s="20">
        <v>0</v>
      </c>
      <c r="AA1672" s="20">
        <v>0</v>
      </c>
      <c r="AB1672" s="20">
        <v>0</v>
      </c>
      <c r="AC1672" s="20">
        <v>0</v>
      </c>
      <c r="AD1672" s="23">
        <f t="shared" ref="AD1672:AE1672" si="3442">AD1642</f>
        <v>40</v>
      </c>
      <c r="AE1672" s="23">
        <f t="shared" si="3442"/>
        <v>44</v>
      </c>
    </row>
    <row r="1673" spans="1:31">
      <c r="A1673" s="4">
        <v>15100</v>
      </c>
      <c r="B1673" s="4">
        <v>22</v>
      </c>
      <c r="C1673" s="19" t="s">
        <v>67</v>
      </c>
      <c r="D1673" s="44">
        <v>0</v>
      </c>
      <c r="E1673" s="18">
        <v>0</v>
      </c>
      <c r="F1673" s="18">
        <f t="shared" si="3404"/>
        <v>201</v>
      </c>
      <c r="G1673" s="18">
        <v>0</v>
      </c>
      <c r="H1673" s="18">
        <f t="shared" si="3404"/>
        <v>1144</v>
      </c>
      <c r="I1673" s="21">
        <f t="shared" si="3358"/>
        <v>330</v>
      </c>
      <c r="J1673" s="21">
        <f t="shared" si="3311"/>
        <v>21</v>
      </c>
      <c r="K1673" s="21">
        <v>0</v>
      </c>
      <c r="L1673" s="20">
        <v>6</v>
      </c>
      <c r="M1673" s="20">
        <v>0</v>
      </c>
      <c r="N1673" s="20">
        <f t="shared" si="3359"/>
        <v>8800</v>
      </c>
      <c r="O1673" s="19" t="s">
        <v>67</v>
      </c>
      <c r="P1673" s="20">
        <v>9100</v>
      </c>
      <c r="Q1673" s="20">
        <f t="shared" ref="Q1673:X1673" si="3443">Q1643</f>
        <v>880</v>
      </c>
      <c r="R1673" s="20">
        <f t="shared" si="3443"/>
        <v>3520</v>
      </c>
      <c r="S1673" s="20">
        <f t="shared" si="3443"/>
        <v>6160</v>
      </c>
      <c r="T1673" s="20">
        <f t="shared" si="3443"/>
        <v>7920</v>
      </c>
      <c r="U1673" s="20">
        <f t="shared" si="3443"/>
        <v>100</v>
      </c>
      <c r="V1673" s="20">
        <f t="shared" si="3443"/>
        <v>600</v>
      </c>
      <c r="W1673" s="20">
        <f t="shared" si="3443"/>
        <v>700</v>
      </c>
      <c r="X1673" s="20">
        <f t="shared" si="3443"/>
        <v>6</v>
      </c>
      <c r="Y1673" s="20">
        <v>0</v>
      </c>
      <c r="Z1673" s="20">
        <v>0</v>
      </c>
      <c r="AA1673" s="20">
        <v>0</v>
      </c>
      <c r="AB1673" s="20">
        <v>0</v>
      </c>
      <c r="AC1673" s="20">
        <v>0</v>
      </c>
      <c r="AD1673" s="23">
        <f t="shared" ref="AD1673:AE1673" si="3444">AD1643</f>
        <v>42</v>
      </c>
      <c r="AE1673" s="23">
        <f t="shared" si="3444"/>
        <v>46</v>
      </c>
    </row>
    <row r="1674" spans="1:31">
      <c r="A1674" s="4">
        <v>15100</v>
      </c>
      <c r="B1674" s="4">
        <v>23</v>
      </c>
      <c r="C1674" s="19" t="s">
        <v>68</v>
      </c>
      <c r="D1674" s="44">
        <v>0</v>
      </c>
      <c r="E1674" s="18">
        <v>0</v>
      </c>
      <c r="F1674" s="18">
        <f t="shared" si="3404"/>
        <v>217</v>
      </c>
      <c r="G1674" s="18">
        <v>0</v>
      </c>
      <c r="H1674" s="18">
        <f t="shared" si="3404"/>
        <v>1239</v>
      </c>
      <c r="I1674" s="21">
        <f t="shared" si="3358"/>
        <v>330</v>
      </c>
      <c r="J1674" s="21">
        <f t="shared" si="3311"/>
        <v>22</v>
      </c>
      <c r="K1674" s="21">
        <v>0</v>
      </c>
      <c r="L1674" s="20">
        <v>6</v>
      </c>
      <c r="M1674" s="20">
        <v>0</v>
      </c>
      <c r="N1674" s="20">
        <f t="shared" si="3359"/>
        <v>9200</v>
      </c>
      <c r="O1674" s="19" t="s">
        <v>68</v>
      </c>
      <c r="P1674" s="20">
        <v>8600</v>
      </c>
      <c r="Q1674" s="20">
        <f t="shared" ref="Q1674:X1674" si="3445">Q1644</f>
        <v>920</v>
      </c>
      <c r="R1674" s="20">
        <f t="shared" si="3445"/>
        <v>3680</v>
      </c>
      <c r="S1674" s="20">
        <f t="shared" si="3445"/>
        <v>6440</v>
      </c>
      <c r="T1674" s="20">
        <f t="shared" si="3445"/>
        <v>8280</v>
      </c>
      <c r="U1674" s="20">
        <f t="shared" si="3445"/>
        <v>100</v>
      </c>
      <c r="V1674" s="20">
        <f t="shared" si="3445"/>
        <v>550</v>
      </c>
      <c r="W1674" s="20">
        <f t="shared" si="3445"/>
        <v>500</v>
      </c>
      <c r="X1674" s="20">
        <f t="shared" si="3445"/>
        <v>6</v>
      </c>
      <c r="Y1674" s="20">
        <f>ROUND(D1674*0.25,-1)</f>
        <v>0</v>
      </c>
      <c r="Z1674" s="20">
        <f>ROUND(E1674*0.25,-1)</f>
        <v>0</v>
      </c>
      <c r="AA1674" s="20">
        <v>0</v>
      </c>
      <c r="AB1674" s="20">
        <f>ROUND(G1674*0.25,-1)</f>
        <v>0</v>
      </c>
      <c r="AC1674" s="20">
        <f t="shared" si="3402"/>
        <v>777</v>
      </c>
      <c r="AD1674" s="23">
        <f t="shared" ref="AD1674:AE1674" si="3446">AD1644</f>
        <v>44</v>
      </c>
      <c r="AE1674" s="23">
        <f t="shared" si="3446"/>
        <v>48</v>
      </c>
    </row>
    <row r="1675" spans="1:31">
      <c r="A1675" s="4">
        <v>15100</v>
      </c>
      <c r="B1675" s="4">
        <v>24</v>
      </c>
      <c r="C1675" s="19" t="s">
        <v>69</v>
      </c>
      <c r="D1675" s="44">
        <v>0</v>
      </c>
      <c r="E1675" s="18">
        <v>0</v>
      </c>
      <c r="F1675" s="18">
        <f t="shared" si="3404"/>
        <v>235</v>
      </c>
      <c r="G1675" s="18">
        <v>0</v>
      </c>
      <c r="H1675" s="18">
        <f t="shared" si="3404"/>
        <v>1341</v>
      </c>
      <c r="I1675" s="21">
        <f t="shared" si="3358"/>
        <v>330</v>
      </c>
      <c r="J1675" s="21">
        <f t="shared" ref="J1675:J1738" si="3447">B1675-1</f>
        <v>23</v>
      </c>
      <c r="K1675" s="21">
        <v>0</v>
      </c>
      <c r="L1675" s="20">
        <v>6</v>
      </c>
      <c r="M1675" s="20">
        <v>0</v>
      </c>
      <c r="N1675" s="20">
        <f t="shared" si="3359"/>
        <v>9600</v>
      </c>
      <c r="O1675" s="19" t="s">
        <v>69</v>
      </c>
      <c r="P1675" s="20">
        <v>6400</v>
      </c>
      <c r="Q1675" s="20">
        <f t="shared" ref="Q1675:X1675" si="3448">Q1645</f>
        <v>960</v>
      </c>
      <c r="R1675" s="20">
        <f t="shared" si="3448"/>
        <v>3840</v>
      </c>
      <c r="S1675" s="20">
        <f t="shared" si="3448"/>
        <v>6720</v>
      </c>
      <c r="T1675" s="20">
        <f t="shared" si="3448"/>
        <v>8640</v>
      </c>
      <c r="U1675" s="20">
        <f t="shared" si="3448"/>
        <v>100</v>
      </c>
      <c r="V1675" s="20">
        <f t="shared" si="3448"/>
        <v>500</v>
      </c>
      <c r="W1675" s="20">
        <f t="shared" si="3448"/>
        <v>900</v>
      </c>
      <c r="X1675" s="20">
        <f t="shared" si="3448"/>
        <v>6</v>
      </c>
      <c r="Y1675" s="20">
        <v>0</v>
      </c>
      <c r="Z1675" s="20">
        <v>0</v>
      </c>
      <c r="AA1675" s="20">
        <v>0</v>
      </c>
      <c r="AB1675" s="20">
        <v>0</v>
      </c>
      <c r="AC1675" s="20">
        <v>0</v>
      </c>
      <c r="AD1675" s="23">
        <f t="shared" ref="AD1675:AE1675" si="3449">AD1645</f>
        <v>46</v>
      </c>
      <c r="AE1675" s="23">
        <f t="shared" si="3449"/>
        <v>50</v>
      </c>
    </row>
    <row r="1676" spans="1:31">
      <c r="A1676" s="4">
        <v>15100</v>
      </c>
      <c r="B1676" s="4">
        <v>25</v>
      </c>
      <c r="C1676" s="19" t="s">
        <v>70</v>
      </c>
      <c r="D1676" s="44">
        <v>0</v>
      </c>
      <c r="E1676" s="18">
        <v>0</v>
      </c>
      <c r="F1676" s="18">
        <f t="shared" si="3404"/>
        <v>254</v>
      </c>
      <c r="G1676" s="18">
        <v>0</v>
      </c>
      <c r="H1676" s="18">
        <f t="shared" si="3404"/>
        <v>1452</v>
      </c>
      <c r="I1676" s="21">
        <f t="shared" si="3358"/>
        <v>385</v>
      </c>
      <c r="J1676" s="21">
        <f t="shared" si="3447"/>
        <v>24</v>
      </c>
      <c r="K1676" s="21">
        <v>0</v>
      </c>
      <c r="L1676" s="20">
        <v>6</v>
      </c>
      <c r="M1676" s="20">
        <v>0</v>
      </c>
      <c r="N1676" s="20">
        <f t="shared" si="3359"/>
        <v>12500</v>
      </c>
      <c r="O1676" s="19" t="s">
        <v>70</v>
      </c>
      <c r="P1676" s="20">
        <v>3100</v>
      </c>
      <c r="Q1676" s="20">
        <f t="shared" ref="Q1676:X1676" si="3450">Q1646</f>
        <v>1250</v>
      </c>
      <c r="R1676" s="20">
        <f t="shared" si="3450"/>
        <v>5000</v>
      </c>
      <c r="S1676" s="20">
        <f t="shared" si="3450"/>
        <v>8750</v>
      </c>
      <c r="T1676" s="20">
        <f t="shared" si="3450"/>
        <v>11250</v>
      </c>
      <c r="U1676" s="20">
        <f t="shared" si="3450"/>
        <v>10</v>
      </c>
      <c r="V1676" s="20">
        <f t="shared" si="3450"/>
        <v>1300</v>
      </c>
      <c r="W1676" s="20">
        <f t="shared" si="3450"/>
        <v>1000</v>
      </c>
      <c r="X1676" s="20">
        <f t="shared" si="3450"/>
        <v>7</v>
      </c>
      <c r="Y1676" s="20">
        <v>0</v>
      </c>
      <c r="Z1676" s="20">
        <v>0</v>
      </c>
      <c r="AA1676" s="20">
        <v>0</v>
      </c>
      <c r="AB1676" s="20">
        <v>0</v>
      </c>
      <c r="AC1676" s="20">
        <v>0</v>
      </c>
      <c r="AD1676" s="23">
        <f t="shared" ref="AD1676:AE1676" si="3451">AD1646</f>
        <v>48</v>
      </c>
      <c r="AE1676" s="23">
        <f t="shared" si="3451"/>
        <v>52</v>
      </c>
    </row>
    <row r="1677" spans="1:31">
      <c r="A1677" s="4">
        <v>15100</v>
      </c>
      <c r="B1677" s="4">
        <v>26</v>
      </c>
      <c r="C1677" s="19" t="s">
        <v>71</v>
      </c>
      <c r="D1677" s="44">
        <v>0</v>
      </c>
      <c r="E1677" s="18">
        <v>0</v>
      </c>
      <c r="F1677" s="18">
        <f t="shared" si="3404"/>
        <v>275</v>
      </c>
      <c r="G1677" s="18">
        <v>0</v>
      </c>
      <c r="H1677" s="18">
        <f t="shared" si="3404"/>
        <v>1572</v>
      </c>
      <c r="I1677" s="21">
        <f t="shared" si="3358"/>
        <v>385</v>
      </c>
      <c r="J1677" s="21">
        <f t="shared" si="3447"/>
        <v>25</v>
      </c>
      <c r="K1677" s="21">
        <v>0</v>
      </c>
      <c r="L1677" s="20">
        <v>6</v>
      </c>
      <c r="M1677" s="20">
        <v>0</v>
      </c>
      <c r="N1677" s="20">
        <f t="shared" si="3359"/>
        <v>13000</v>
      </c>
      <c r="O1677" s="19" t="s">
        <v>71</v>
      </c>
      <c r="P1677" s="20">
        <v>1777</v>
      </c>
      <c r="Q1677" s="20">
        <f t="shared" ref="Q1677:X1677" si="3452">Q1647</f>
        <v>1300</v>
      </c>
      <c r="R1677" s="20">
        <f t="shared" si="3452"/>
        <v>5200</v>
      </c>
      <c r="S1677" s="20">
        <f t="shared" si="3452"/>
        <v>9100</v>
      </c>
      <c r="T1677" s="20">
        <f t="shared" si="3452"/>
        <v>11700</v>
      </c>
      <c r="U1677" s="20">
        <f t="shared" si="3452"/>
        <v>90</v>
      </c>
      <c r="V1677" s="20">
        <f t="shared" si="3452"/>
        <v>800</v>
      </c>
      <c r="W1677" s="20">
        <f t="shared" si="3452"/>
        <v>2000</v>
      </c>
      <c r="X1677" s="20">
        <f t="shared" si="3452"/>
        <v>7</v>
      </c>
      <c r="Y1677" s="20">
        <v>0</v>
      </c>
      <c r="Z1677" s="20">
        <v>0</v>
      </c>
      <c r="AA1677" s="20">
        <v>0</v>
      </c>
      <c r="AB1677" s="20">
        <v>0</v>
      </c>
      <c r="AC1677" s="20">
        <v>0</v>
      </c>
      <c r="AD1677" s="23">
        <f t="shared" ref="AD1677:AE1677" si="3453">AD1647</f>
        <v>50</v>
      </c>
      <c r="AE1677" s="23">
        <f t="shared" si="3453"/>
        <v>54</v>
      </c>
    </row>
    <row r="1678" spans="1:31">
      <c r="A1678" s="4">
        <v>15100</v>
      </c>
      <c r="B1678" s="4">
        <v>27</v>
      </c>
      <c r="C1678" s="19" t="s">
        <v>72</v>
      </c>
      <c r="D1678" s="44">
        <v>0</v>
      </c>
      <c r="E1678" s="18">
        <v>0</v>
      </c>
      <c r="F1678" s="18">
        <f t="shared" si="3404"/>
        <v>298</v>
      </c>
      <c r="G1678" s="18">
        <v>0</v>
      </c>
      <c r="H1678" s="18">
        <f t="shared" si="3404"/>
        <v>1702</v>
      </c>
      <c r="I1678" s="21">
        <f t="shared" si="3358"/>
        <v>385</v>
      </c>
      <c r="J1678" s="21">
        <f t="shared" si="3447"/>
        <v>26</v>
      </c>
      <c r="K1678" s="21">
        <v>0</v>
      </c>
      <c r="L1678" s="20">
        <v>6</v>
      </c>
      <c r="M1678" s="20">
        <v>0</v>
      </c>
      <c r="N1678" s="20">
        <f t="shared" si="3359"/>
        <v>13500</v>
      </c>
      <c r="O1678" s="19" t="s">
        <v>72</v>
      </c>
      <c r="P1678" s="20">
        <v>2332</v>
      </c>
      <c r="Q1678" s="20">
        <f t="shared" ref="Q1678:X1678" si="3454">Q1648</f>
        <v>1350</v>
      </c>
      <c r="R1678" s="20">
        <f t="shared" si="3454"/>
        <v>5400</v>
      </c>
      <c r="S1678" s="20">
        <f t="shared" si="3454"/>
        <v>9450</v>
      </c>
      <c r="T1678" s="20">
        <f t="shared" si="3454"/>
        <v>12150</v>
      </c>
      <c r="U1678" s="20">
        <f t="shared" si="3454"/>
        <v>80</v>
      </c>
      <c r="V1678" s="20">
        <f t="shared" si="3454"/>
        <v>700</v>
      </c>
      <c r="W1678" s="20">
        <f t="shared" si="3454"/>
        <v>800</v>
      </c>
      <c r="X1678" s="20">
        <f t="shared" si="3454"/>
        <v>7</v>
      </c>
      <c r="Y1678" s="20">
        <v>0</v>
      </c>
      <c r="Z1678" s="20">
        <v>0</v>
      </c>
      <c r="AA1678" s="20">
        <v>0</v>
      </c>
      <c r="AB1678" s="20">
        <v>0</v>
      </c>
      <c r="AC1678" s="20">
        <v>0</v>
      </c>
      <c r="AD1678" s="23">
        <f t="shared" ref="AD1678:AE1678" si="3455">AD1648</f>
        <v>52</v>
      </c>
      <c r="AE1678" s="23">
        <f t="shared" si="3455"/>
        <v>56</v>
      </c>
    </row>
    <row r="1679" spans="1:31">
      <c r="A1679" s="4">
        <v>15100</v>
      </c>
      <c r="B1679" s="4">
        <v>28</v>
      </c>
      <c r="C1679" s="19" t="s">
        <v>73</v>
      </c>
      <c r="D1679" s="44">
        <v>0</v>
      </c>
      <c r="E1679" s="18">
        <v>0</v>
      </c>
      <c r="F1679" s="18">
        <f t="shared" si="3404"/>
        <v>323</v>
      </c>
      <c r="G1679" s="18">
        <v>0</v>
      </c>
      <c r="H1679" s="18">
        <f t="shared" si="3404"/>
        <v>1843</v>
      </c>
      <c r="I1679" s="21">
        <f t="shared" si="3358"/>
        <v>385</v>
      </c>
      <c r="J1679" s="21">
        <f t="shared" si="3447"/>
        <v>27</v>
      </c>
      <c r="K1679" s="21">
        <v>0</v>
      </c>
      <c r="L1679" s="20">
        <v>6</v>
      </c>
      <c r="M1679" s="20">
        <v>0</v>
      </c>
      <c r="N1679" s="20">
        <f t="shared" si="3359"/>
        <v>14000</v>
      </c>
      <c r="O1679" s="19" t="s">
        <v>73</v>
      </c>
      <c r="P1679" s="20">
        <v>1487</v>
      </c>
      <c r="Q1679" s="20">
        <f t="shared" ref="Q1679:X1679" si="3456">Q1649</f>
        <v>1400</v>
      </c>
      <c r="R1679" s="20">
        <f t="shared" si="3456"/>
        <v>5600</v>
      </c>
      <c r="S1679" s="20">
        <f t="shared" si="3456"/>
        <v>9800</v>
      </c>
      <c r="T1679" s="20">
        <f t="shared" si="3456"/>
        <v>12600</v>
      </c>
      <c r="U1679" s="20">
        <f t="shared" si="3456"/>
        <v>80</v>
      </c>
      <c r="V1679" s="20">
        <f t="shared" si="3456"/>
        <v>500</v>
      </c>
      <c r="W1679" s="20">
        <f t="shared" si="3456"/>
        <v>600</v>
      </c>
      <c r="X1679" s="20">
        <f t="shared" si="3456"/>
        <v>7</v>
      </c>
      <c r="Y1679" s="20">
        <f>ROUND(D1679*0.25,-1)</f>
        <v>0</v>
      </c>
      <c r="Z1679" s="20">
        <f>ROUND(E1679*0.25,-1)</f>
        <v>0</v>
      </c>
      <c r="AA1679" s="20">
        <v>0</v>
      </c>
      <c r="AB1679" s="20">
        <f>ROUND(G1679*0.25,-1)</f>
        <v>0</v>
      </c>
      <c r="AC1679" s="20">
        <f t="shared" si="3402"/>
        <v>972</v>
      </c>
      <c r="AD1679" s="23">
        <f t="shared" ref="AD1679:AE1679" si="3457">AD1649</f>
        <v>54</v>
      </c>
      <c r="AE1679" s="23">
        <f t="shared" si="3457"/>
        <v>58</v>
      </c>
    </row>
    <row r="1680" spans="1:31">
      <c r="A1680" s="4">
        <v>15100</v>
      </c>
      <c r="B1680" s="4">
        <v>29</v>
      </c>
      <c r="C1680" s="19" t="s">
        <v>74</v>
      </c>
      <c r="D1680" s="44">
        <v>0</v>
      </c>
      <c r="E1680" s="18">
        <v>0</v>
      </c>
      <c r="F1680" s="18">
        <f t="shared" si="3404"/>
        <v>349</v>
      </c>
      <c r="G1680" s="18">
        <v>0</v>
      </c>
      <c r="H1680" s="18">
        <f t="shared" si="3404"/>
        <v>1995</v>
      </c>
      <c r="I1680" s="21">
        <f t="shared" si="3358"/>
        <v>440</v>
      </c>
      <c r="J1680" s="21">
        <f t="shared" si="3447"/>
        <v>28</v>
      </c>
      <c r="K1680" s="21">
        <v>0</v>
      </c>
      <c r="L1680" s="20">
        <v>6</v>
      </c>
      <c r="M1680" s="20">
        <v>0</v>
      </c>
      <c r="N1680" s="20">
        <f t="shared" si="3359"/>
        <v>14500</v>
      </c>
      <c r="O1680" s="19" t="s">
        <v>74</v>
      </c>
      <c r="P1680" s="20">
        <v>1518</v>
      </c>
      <c r="Q1680" s="20">
        <f t="shared" ref="Q1680:X1680" si="3458">Q1650</f>
        <v>1450</v>
      </c>
      <c r="R1680" s="20">
        <f t="shared" si="3458"/>
        <v>5800</v>
      </c>
      <c r="S1680" s="20">
        <f t="shared" si="3458"/>
        <v>10150</v>
      </c>
      <c r="T1680" s="20">
        <f t="shared" si="3458"/>
        <v>13050</v>
      </c>
      <c r="U1680" s="20">
        <f t="shared" si="3458"/>
        <v>80</v>
      </c>
      <c r="V1680" s="20">
        <f t="shared" si="3458"/>
        <v>600</v>
      </c>
      <c r="W1680" s="20">
        <f t="shared" si="3458"/>
        <v>700</v>
      </c>
      <c r="X1680" s="20">
        <f t="shared" si="3458"/>
        <v>8</v>
      </c>
      <c r="Y1680" s="20">
        <v>0</v>
      </c>
      <c r="Z1680" s="20">
        <v>0</v>
      </c>
      <c r="AA1680" s="20">
        <v>0</v>
      </c>
      <c r="AB1680" s="20">
        <v>0</v>
      </c>
      <c r="AC1680" s="20">
        <v>0</v>
      </c>
      <c r="AD1680" s="23">
        <f t="shared" ref="AD1680:AE1680" si="3459">AD1650</f>
        <v>56</v>
      </c>
      <c r="AE1680" s="23">
        <f t="shared" si="3459"/>
        <v>60</v>
      </c>
    </row>
    <row r="1681" spans="1:31">
      <c r="A1681" s="4">
        <v>15100</v>
      </c>
      <c r="B1681" s="4">
        <v>30</v>
      </c>
      <c r="C1681" s="19" t="s">
        <v>75</v>
      </c>
      <c r="D1681" s="44">
        <v>0</v>
      </c>
      <c r="E1681" s="18">
        <v>0</v>
      </c>
      <c r="F1681" s="18">
        <v>378</v>
      </c>
      <c r="G1681" s="18">
        <v>0</v>
      </c>
      <c r="H1681" s="45">
        <v>2160</v>
      </c>
      <c r="I1681" s="21">
        <f t="shared" si="3358"/>
        <v>440</v>
      </c>
      <c r="J1681" s="21">
        <f t="shared" si="3447"/>
        <v>29</v>
      </c>
      <c r="K1681" s="21">
        <v>0</v>
      </c>
      <c r="L1681" s="20">
        <v>6</v>
      </c>
      <c r="M1681" s="20">
        <v>0</v>
      </c>
      <c r="N1681" s="20">
        <f t="shared" si="3359"/>
        <v>15000</v>
      </c>
      <c r="O1681" s="19" t="s">
        <v>75</v>
      </c>
      <c r="P1681" s="20">
        <v>861</v>
      </c>
      <c r="Q1681" s="20">
        <f t="shared" ref="Q1681:X1681" si="3460">Q1651</f>
        <v>1500</v>
      </c>
      <c r="R1681" s="20">
        <f t="shared" si="3460"/>
        <v>6000</v>
      </c>
      <c r="S1681" s="20">
        <f t="shared" si="3460"/>
        <v>10500</v>
      </c>
      <c r="T1681" s="20">
        <f t="shared" si="3460"/>
        <v>13500</v>
      </c>
      <c r="U1681" s="20">
        <f t="shared" si="3460"/>
        <v>20</v>
      </c>
      <c r="V1681" s="20">
        <f t="shared" si="3460"/>
        <v>450</v>
      </c>
      <c r="W1681" s="20">
        <f t="shared" si="3460"/>
        <v>1000</v>
      </c>
      <c r="X1681" s="20">
        <f t="shared" si="3460"/>
        <v>8</v>
      </c>
      <c r="Y1681" s="20">
        <v>0</v>
      </c>
      <c r="Z1681" s="20">
        <v>0</v>
      </c>
      <c r="AA1681" s="20">
        <v>0</v>
      </c>
      <c r="AB1681" s="20">
        <v>0</v>
      </c>
      <c r="AC1681" s="20">
        <v>0</v>
      </c>
      <c r="AD1681" s="23">
        <f t="shared" ref="AD1681:AE1681" si="3461">AD1651</f>
        <v>58</v>
      </c>
      <c r="AE1681" s="23">
        <f t="shared" si="3461"/>
        <v>62</v>
      </c>
    </row>
    <row r="1682" spans="1:31">
      <c r="A1682" s="4">
        <v>15101</v>
      </c>
      <c r="B1682" s="4">
        <v>1</v>
      </c>
      <c r="C1682" s="29" t="s">
        <v>66</v>
      </c>
      <c r="D1682" s="46">
        <v>0</v>
      </c>
      <c r="E1682" s="28">
        <v>0</v>
      </c>
      <c r="F1682" s="28">
        <f>F1652*2</f>
        <v>76</v>
      </c>
      <c r="G1682" s="28">
        <f t="shared" ref="G1682:H1682" si="3462">G1652*2</f>
        <v>0</v>
      </c>
      <c r="H1682" s="28">
        <f t="shared" si="3462"/>
        <v>432</v>
      </c>
      <c r="I1682" s="21">
        <f t="shared" si="3358"/>
        <v>55</v>
      </c>
      <c r="J1682" s="21">
        <f t="shared" si="3447"/>
        <v>0</v>
      </c>
      <c r="K1682" s="21">
        <v>0</v>
      </c>
      <c r="L1682" s="20">
        <v>45</v>
      </c>
      <c r="M1682" s="20">
        <v>0</v>
      </c>
      <c r="N1682" s="20">
        <f t="shared" si="3359"/>
        <v>10</v>
      </c>
      <c r="O1682" s="19" t="s">
        <v>66</v>
      </c>
      <c r="P1682" s="20">
        <v>9400</v>
      </c>
      <c r="Q1682" s="20">
        <f t="shared" ref="Q1682:X1682" si="3463">Q1652</f>
        <v>1</v>
      </c>
      <c r="R1682" s="20">
        <f t="shared" si="3463"/>
        <v>4</v>
      </c>
      <c r="S1682" s="20">
        <f t="shared" si="3463"/>
        <v>7</v>
      </c>
      <c r="T1682" s="20">
        <f t="shared" si="3463"/>
        <v>9</v>
      </c>
      <c r="U1682" s="20">
        <f t="shared" si="3463"/>
        <v>9400</v>
      </c>
      <c r="V1682" s="20">
        <f t="shared" si="3463"/>
        <v>9400</v>
      </c>
      <c r="W1682" s="20">
        <f t="shared" si="3463"/>
        <v>9400</v>
      </c>
      <c r="X1682" s="20">
        <f t="shared" si="3463"/>
        <v>1</v>
      </c>
      <c r="Y1682" s="20">
        <v>0</v>
      </c>
      <c r="Z1682" s="20">
        <v>0</v>
      </c>
      <c r="AA1682" s="20">
        <v>0</v>
      </c>
      <c r="AB1682" s="20">
        <v>0</v>
      </c>
      <c r="AC1682" s="20">
        <f>INT(AC1772*0.7)</f>
        <v>0</v>
      </c>
      <c r="AD1682" s="23">
        <f t="shared" ref="AD1682:AE1682" si="3464">AD1652</f>
        <v>1</v>
      </c>
      <c r="AE1682" s="23">
        <f t="shared" si="3464"/>
        <v>3</v>
      </c>
    </row>
    <row r="1683" spans="1:31">
      <c r="A1683" s="4">
        <v>15101</v>
      </c>
      <c r="B1683" s="4">
        <v>2</v>
      </c>
      <c r="C1683" s="29" t="s">
        <v>67</v>
      </c>
      <c r="D1683" s="46">
        <v>0</v>
      </c>
      <c r="E1683" s="28">
        <v>0</v>
      </c>
      <c r="F1683" s="28">
        <f t="shared" ref="F1683:H1683" si="3465">F1653*2</f>
        <v>82</v>
      </c>
      <c r="G1683" s="28">
        <f t="shared" si="3465"/>
        <v>0</v>
      </c>
      <c r="H1683" s="28">
        <f t="shared" si="3465"/>
        <v>468</v>
      </c>
      <c r="I1683" s="21">
        <f t="shared" si="3358"/>
        <v>55</v>
      </c>
      <c r="J1683" s="21">
        <f t="shared" si="3447"/>
        <v>1</v>
      </c>
      <c r="K1683" s="21">
        <v>0</v>
      </c>
      <c r="L1683" s="20">
        <v>40</v>
      </c>
      <c r="M1683" s="20">
        <v>0</v>
      </c>
      <c r="N1683" s="20">
        <f t="shared" si="3359"/>
        <v>20</v>
      </c>
      <c r="O1683" s="19" t="s">
        <v>67</v>
      </c>
      <c r="P1683" s="20">
        <v>9100</v>
      </c>
      <c r="Q1683" s="20">
        <f t="shared" ref="Q1683:X1683" si="3466">Q1653</f>
        <v>2</v>
      </c>
      <c r="R1683" s="20">
        <f t="shared" si="3466"/>
        <v>8</v>
      </c>
      <c r="S1683" s="20">
        <f t="shared" si="3466"/>
        <v>14</v>
      </c>
      <c r="T1683" s="20">
        <f t="shared" si="3466"/>
        <v>18</v>
      </c>
      <c r="U1683" s="20">
        <f t="shared" si="3466"/>
        <v>4000</v>
      </c>
      <c r="V1683" s="20">
        <f t="shared" si="3466"/>
        <v>8000</v>
      </c>
      <c r="W1683" s="20">
        <f t="shared" si="3466"/>
        <v>8000</v>
      </c>
      <c r="X1683" s="20">
        <f t="shared" si="3466"/>
        <v>1</v>
      </c>
      <c r="Y1683" s="20">
        <v>0</v>
      </c>
      <c r="Z1683" s="20">
        <v>0</v>
      </c>
      <c r="AA1683" s="20">
        <v>0</v>
      </c>
      <c r="AB1683" s="20">
        <v>0</v>
      </c>
      <c r="AC1683" s="20">
        <f t="shared" ref="AC1683:AC1709" si="3467">INT(AC1773*0.7)</f>
        <v>0</v>
      </c>
      <c r="AD1683" s="23">
        <f t="shared" ref="AD1683:AE1683" si="3468">AD1653</f>
        <v>2</v>
      </c>
      <c r="AE1683" s="23">
        <f t="shared" si="3468"/>
        <v>5</v>
      </c>
    </row>
    <row r="1684" spans="1:31">
      <c r="A1684" s="8">
        <v>15101</v>
      </c>
      <c r="B1684" s="8">
        <v>3</v>
      </c>
      <c r="C1684" s="29" t="s">
        <v>68</v>
      </c>
      <c r="D1684" s="46">
        <v>0</v>
      </c>
      <c r="E1684" s="28">
        <v>0</v>
      </c>
      <c r="F1684" s="28">
        <f t="shared" ref="F1684:H1684" si="3469">F1654*2</f>
        <v>90</v>
      </c>
      <c r="G1684" s="28">
        <f t="shared" si="3469"/>
        <v>0</v>
      </c>
      <c r="H1684" s="28">
        <f t="shared" si="3469"/>
        <v>506</v>
      </c>
      <c r="I1684" s="21">
        <f t="shared" si="3358"/>
        <v>55</v>
      </c>
      <c r="J1684" s="21">
        <f t="shared" si="3447"/>
        <v>2</v>
      </c>
      <c r="K1684" s="21">
        <v>0</v>
      </c>
      <c r="L1684" s="20">
        <v>35</v>
      </c>
      <c r="M1684" s="20">
        <v>0</v>
      </c>
      <c r="N1684" s="20">
        <f t="shared" si="3359"/>
        <v>40</v>
      </c>
      <c r="O1684" s="19" t="s">
        <v>68</v>
      </c>
      <c r="P1684" s="20">
        <v>8600</v>
      </c>
      <c r="Q1684" s="20">
        <f t="shared" ref="Q1684:X1684" si="3470">Q1654</f>
        <v>4</v>
      </c>
      <c r="R1684" s="20">
        <f t="shared" si="3470"/>
        <v>16</v>
      </c>
      <c r="S1684" s="20">
        <f t="shared" si="3470"/>
        <v>28</v>
      </c>
      <c r="T1684" s="20">
        <f t="shared" si="3470"/>
        <v>36</v>
      </c>
      <c r="U1684" s="20">
        <f t="shared" si="3470"/>
        <v>1600</v>
      </c>
      <c r="V1684" s="20">
        <f t="shared" si="3470"/>
        <v>5000</v>
      </c>
      <c r="W1684" s="20">
        <f t="shared" si="3470"/>
        <v>6000</v>
      </c>
      <c r="X1684" s="20">
        <f t="shared" si="3470"/>
        <v>1</v>
      </c>
      <c r="Y1684" s="20">
        <v>0</v>
      </c>
      <c r="Z1684" s="20">
        <v>0</v>
      </c>
      <c r="AA1684" s="20">
        <v>0</v>
      </c>
      <c r="AB1684" s="20">
        <v>0</v>
      </c>
      <c r="AC1684" s="20">
        <f t="shared" si="3467"/>
        <v>0</v>
      </c>
      <c r="AD1684" s="23">
        <f t="shared" ref="AD1684:AE1684" si="3471">AD1654</f>
        <v>4</v>
      </c>
      <c r="AE1684" s="23">
        <f t="shared" si="3471"/>
        <v>8</v>
      </c>
    </row>
    <row r="1685" spans="1:31">
      <c r="A1685" s="4">
        <v>15101</v>
      </c>
      <c r="B1685" s="4">
        <v>4</v>
      </c>
      <c r="C1685" s="29" t="s">
        <v>69</v>
      </c>
      <c r="D1685" s="46">
        <v>0</v>
      </c>
      <c r="E1685" s="28">
        <v>0</v>
      </c>
      <c r="F1685" s="28">
        <f t="shared" ref="F1685:H1685" si="3472">F1655*2</f>
        <v>96</v>
      </c>
      <c r="G1685" s="28">
        <f t="shared" si="3472"/>
        <v>0</v>
      </c>
      <c r="H1685" s="28">
        <f t="shared" si="3472"/>
        <v>548</v>
      </c>
      <c r="I1685" s="21">
        <f t="shared" si="3358"/>
        <v>55</v>
      </c>
      <c r="J1685" s="21">
        <f t="shared" si="3447"/>
        <v>3</v>
      </c>
      <c r="K1685" s="21">
        <v>0</v>
      </c>
      <c r="L1685" s="20">
        <v>30</v>
      </c>
      <c r="M1685" s="20">
        <v>0</v>
      </c>
      <c r="N1685" s="20">
        <f t="shared" si="3359"/>
        <v>100</v>
      </c>
      <c r="O1685" s="19" t="s">
        <v>69</v>
      </c>
      <c r="P1685" s="20">
        <v>6400</v>
      </c>
      <c r="Q1685" s="20">
        <f t="shared" ref="Q1685:X1685" si="3473">Q1655</f>
        <v>10</v>
      </c>
      <c r="R1685" s="20">
        <f t="shared" si="3473"/>
        <v>40</v>
      </c>
      <c r="S1685" s="20">
        <f t="shared" si="3473"/>
        <v>70</v>
      </c>
      <c r="T1685" s="20">
        <f t="shared" si="3473"/>
        <v>90</v>
      </c>
      <c r="U1685" s="20">
        <f t="shared" si="3473"/>
        <v>900</v>
      </c>
      <c r="V1685" s="20">
        <f t="shared" si="3473"/>
        <v>2000</v>
      </c>
      <c r="W1685" s="20">
        <f t="shared" si="3473"/>
        <v>8000</v>
      </c>
      <c r="X1685" s="20">
        <f t="shared" si="3473"/>
        <v>1</v>
      </c>
      <c r="Y1685" s="20">
        <v>0</v>
      </c>
      <c r="Z1685" s="20">
        <v>0</v>
      </c>
      <c r="AA1685" s="20">
        <v>0</v>
      </c>
      <c r="AB1685" s="20">
        <v>0</v>
      </c>
      <c r="AC1685" s="20">
        <f t="shared" si="3467"/>
        <v>0</v>
      </c>
      <c r="AD1685" s="23">
        <f t="shared" ref="AD1685:AE1685" si="3474">AD1655</f>
        <v>6</v>
      </c>
      <c r="AE1685" s="23">
        <f t="shared" si="3474"/>
        <v>10</v>
      </c>
    </row>
    <row r="1686" spans="1:31">
      <c r="A1686" s="4">
        <v>15101</v>
      </c>
      <c r="B1686" s="4">
        <v>5</v>
      </c>
      <c r="C1686" s="29" t="s">
        <v>70</v>
      </c>
      <c r="D1686" s="46">
        <v>0</v>
      </c>
      <c r="E1686" s="28">
        <v>0</v>
      </c>
      <c r="F1686" s="28">
        <f t="shared" ref="F1686:H1686" si="3475">F1656*2</f>
        <v>104</v>
      </c>
      <c r="G1686" s="28">
        <f t="shared" si="3475"/>
        <v>0</v>
      </c>
      <c r="H1686" s="28">
        <f t="shared" si="3475"/>
        <v>594</v>
      </c>
      <c r="I1686" s="21">
        <f t="shared" si="3358"/>
        <v>110</v>
      </c>
      <c r="J1686" s="21">
        <f t="shared" si="3447"/>
        <v>4</v>
      </c>
      <c r="K1686" s="21">
        <v>0</v>
      </c>
      <c r="L1686" s="20">
        <v>25</v>
      </c>
      <c r="M1686" s="20">
        <v>0</v>
      </c>
      <c r="N1686" s="20">
        <f t="shared" si="3359"/>
        <v>200</v>
      </c>
      <c r="O1686" s="19" t="s">
        <v>70</v>
      </c>
      <c r="P1686" s="20">
        <v>3100</v>
      </c>
      <c r="Q1686" s="20">
        <f t="shared" ref="Q1686:X1686" si="3476">Q1656</f>
        <v>20</v>
      </c>
      <c r="R1686" s="20">
        <f t="shared" si="3476"/>
        <v>80</v>
      </c>
      <c r="S1686" s="20">
        <f t="shared" si="3476"/>
        <v>140</v>
      </c>
      <c r="T1686" s="20">
        <f t="shared" si="3476"/>
        <v>180</v>
      </c>
      <c r="U1686" s="20">
        <f t="shared" si="3476"/>
        <v>1000</v>
      </c>
      <c r="V1686" s="20">
        <f t="shared" si="3476"/>
        <v>2000</v>
      </c>
      <c r="W1686" s="20">
        <f t="shared" si="3476"/>
        <v>2000</v>
      </c>
      <c r="X1686" s="20">
        <f t="shared" si="3476"/>
        <v>2</v>
      </c>
      <c r="Y1686" s="20">
        <v>0</v>
      </c>
      <c r="Z1686" s="20">
        <v>0</v>
      </c>
      <c r="AA1686" s="20">
        <v>0</v>
      </c>
      <c r="AB1686" s="20">
        <v>0</v>
      </c>
      <c r="AC1686" s="20">
        <f t="shared" si="3467"/>
        <v>0</v>
      </c>
      <c r="AD1686" s="23">
        <f t="shared" ref="AD1686:AE1686" si="3477">AD1656</f>
        <v>8</v>
      </c>
      <c r="AE1686" s="23">
        <f t="shared" si="3477"/>
        <v>12</v>
      </c>
    </row>
    <row r="1687" spans="1:31">
      <c r="A1687" s="4">
        <v>15101</v>
      </c>
      <c r="B1687" s="4">
        <v>6</v>
      </c>
      <c r="C1687" s="29" t="s">
        <v>71</v>
      </c>
      <c r="D1687" s="46">
        <v>0</v>
      </c>
      <c r="E1687" s="28">
        <v>0</v>
      </c>
      <c r="F1687" s="28">
        <f t="shared" ref="F1687:H1687" si="3478">F1657*2</f>
        <v>112</v>
      </c>
      <c r="G1687" s="28">
        <f t="shared" si="3478"/>
        <v>0</v>
      </c>
      <c r="H1687" s="28">
        <f t="shared" si="3478"/>
        <v>642</v>
      </c>
      <c r="I1687" s="21">
        <f t="shared" si="3358"/>
        <v>110</v>
      </c>
      <c r="J1687" s="21">
        <f t="shared" si="3447"/>
        <v>5</v>
      </c>
      <c r="K1687" s="21">
        <v>0</v>
      </c>
      <c r="L1687" s="20">
        <v>20</v>
      </c>
      <c r="M1687" s="20">
        <v>0</v>
      </c>
      <c r="N1687" s="20">
        <f t="shared" si="3359"/>
        <v>500</v>
      </c>
      <c r="O1687" s="19" t="s">
        <v>71</v>
      </c>
      <c r="P1687" s="20">
        <v>1777</v>
      </c>
      <c r="Q1687" s="20">
        <f t="shared" ref="Q1687:X1687" si="3479">Q1657</f>
        <v>50</v>
      </c>
      <c r="R1687" s="20">
        <f t="shared" si="3479"/>
        <v>200</v>
      </c>
      <c r="S1687" s="20">
        <f t="shared" si="3479"/>
        <v>350</v>
      </c>
      <c r="T1687" s="20">
        <f t="shared" si="3479"/>
        <v>450</v>
      </c>
      <c r="U1687" s="20">
        <f t="shared" si="3479"/>
        <v>800</v>
      </c>
      <c r="V1687" s="20">
        <f t="shared" si="3479"/>
        <v>800</v>
      </c>
      <c r="W1687" s="20">
        <f t="shared" si="3479"/>
        <v>600</v>
      </c>
      <c r="X1687" s="20">
        <f t="shared" si="3479"/>
        <v>2</v>
      </c>
      <c r="Y1687" s="20">
        <v>0</v>
      </c>
      <c r="Z1687" s="20">
        <v>0</v>
      </c>
      <c r="AA1687" s="20">
        <v>0</v>
      </c>
      <c r="AB1687" s="20">
        <v>0</v>
      </c>
      <c r="AC1687" s="20">
        <f t="shared" si="3467"/>
        <v>0</v>
      </c>
      <c r="AD1687" s="23">
        <f t="shared" ref="AD1687:AE1687" si="3480">AD1657</f>
        <v>10</v>
      </c>
      <c r="AE1687" s="23">
        <f t="shared" si="3480"/>
        <v>14</v>
      </c>
    </row>
    <row r="1688" spans="1:31">
      <c r="A1688" s="4">
        <v>15101</v>
      </c>
      <c r="B1688" s="4">
        <v>7</v>
      </c>
      <c r="C1688" s="29" t="s">
        <v>72</v>
      </c>
      <c r="D1688" s="46">
        <v>0</v>
      </c>
      <c r="E1688" s="28">
        <v>0</v>
      </c>
      <c r="F1688" s="28">
        <f t="shared" ref="F1688:H1688" si="3481">F1658*2</f>
        <v>122</v>
      </c>
      <c r="G1688" s="28">
        <f t="shared" si="3481"/>
        <v>0</v>
      </c>
      <c r="H1688" s="28">
        <f t="shared" si="3481"/>
        <v>696</v>
      </c>
      <c r="I1688" s="21">
        <f t="shared" si="3358"/>
        <v>110</v>
      </c>
      <c r="J1688" s="21">
        <f t="shared" si="3447"/>
        <v>6</v>
      </c>
      <c r="K1688" s="21">
        <v>0</v>
      </c>
      <c r="L1688" s="20">
        <v>16</v>
      </c>
      <c r="M1688" s="20">
        <v>0</v>
      </c>
      <c r="N1688" s="20">
        <f t="shared" si="3359"/>
        <v>700</v>
      </c>
      <c r="O1688" s="19" t="s">
        <v>72</v>
      </c>
      <c r="P1688" s="20">
        <v>2332</v>
      </c>
      <c r="Q1688" s="20">
        <f t="shared" ref="Q1688:X1688" si="3482">Q1658</f>
        <v>70</v>
      </c>
      <c r="R1688" s="20">
        <f t="shared" si="3482"/>
        <v>280</v>
      </c>
      <c r="S1688" s="20">
        <f t="shared" si="3482"/>
        <v>489.99999999999994</v>
      </c>
      <c r="T1688" s="20">
        <f t="shared" si="3482"/>
        <v>630</v>
      </c>
      <c r="U1688" s="20">
        <f t="shared" si="3482"/>
        <v>650</v>
      </c>
      <c r="V1688" s="20">
        <f t="shared" si="3482"/>
        <v>800</v>
      </c>
      <c r="W1688" s="20">
        <f t="shared" si="3482"/>
        <v>300</v>
      </c>
      <c r="X1688" s="20">
        <f t="shared" si="3482"/>
        <v>2</v>
      </c>
      <c r="Y1688" s="20">
        <v>0</v>
      </c>
      <c r="Z1688" s="20">
        <v>0</v>
      </c>
      <c r="AA1688" s="20">
        <v>0</v>
      </c>
      <c r="AB1688" s="20">
        <v>0</v>
      </c>
      <c r="AC1688" s="20">
        <f t="shared" si="3467"/>
        <v>0</v>
      </c>
      <c r="AD1688" s="23">
        <f t="shared" ref="AD1688:AE1688" si="3483">AD1658</f>
        <v>12</v>
      </c>
      <c r="AE1688" s="23">
        <f t="shared" si="3483"/>
        <v>16</v>
      </c>
    </row>
    <row r="1689" spans="1:31">
      <c r="A1689" s="4">
        <v>15101</v>
      </c>
      <c r="B1689" s="4">
        <v>8</v>
      </c>
      <c r="C1689" s="29" t="s">
        <v>73</v>
      </c>
      <c r="D1689" s="46">
        <v>0</v>
      </c>
      <c r="E1689" s="28">
        <v>0</v>
      </c>
      <c r="F1689" s="28">
        <f t="shared" ref="F1689:H1689" si="3484">F1659*2</f>
        <v>132</v>
      </c>
      <c r="G1689" s="28">
        <f t="shared" si="3484"/>
        <v>0</v>
      </c>
      <c r="H1689" s="28">
        <f t="shared" si="3484"/>
        <v>754</v>
      </c>
      <c r="I1689" s="21">
        <f t="shared" si="3358"/>
        <v>110</v>
      </c>
      <c r="J1689" s="21">
        <f t="shared" si="3447"/>
        <v>7</v>
      </c>
      <c r="K1689" s="21">
        <v>0</v>
      </c>
      <c r="L1689" s="20">
        <v>12</v>
      </c>
      <c r="M1689" s="20">
        <v>0</v>
      </c>
      <c r="N1689" s="20">
        <f t="shared" si="3359"/>
        <v>800</v>
      </c>
      <c r="O1689" s="19" t="s">
        <v>73</v>
      </c>
      <c r="P1689" s="20">
        <v>1487</v>
      </c>
      <c r="Q1689" s="20">
        <f t="shared" ref="Q1689:X1689" si="3485">Q1659</f>
        <v>80</v>
      </c>
      <c r="R1689" s="20">
        <f t="shared" si="3485"/>
        <v>320</v>
      </c>
      <c r="S1689" s="20">
        <f t="shared" si="3485"/>
        <v>560</v>
      </c>
      <c r="T1689" s="20">
        <f t="shared" si="3485"/>
        <v>720</v>
      </c>
      <c r="U1689" s="20">
        <f t="shared" si="3485"/>
        <v>200</v>
      </c>
      <c r="V1689" s="20">
        <f t="shared" si="3485"/>
        <v>2000</v>
      </c>
      <c r="W1689" s="20">
        <f t="shared" si="3485"/>
        <v>1000</v>
      </c>
      <c r="X1689" s="20">
        <f t="shared" si="3485"/>
        <v>2</v>
      </c>
      <c r="Y1689" s="20">
        <f>ROUND(D1689*0.25,-1)</f>
        <v>0</v>
      </c>
      <c r="Z1689" s="20">
        <f>ROUND(E1689*0.25,-1)</f>
        <v>0</v>
      </c>
      <c r="AA1689" s="20">
        <v>0</v>
      </c>
      <c r="AB1689" s="20">
        <f>ROUND(G1689*0.25,-1)</f>
        <v>0</v>
      </c>
      <c r="AC1689" s="20">
        <f t="shared" si="3467"/>
        <v>226</v>
      </c>
      <c r="AD1689" s="23">
        <f t="shared" ref="AD1689:AE1689" si="3486">AD1659</f>
        <v>14</v>
      </c>
      <c r="AE1689" s="23">
        <f t="shared" si="3486"/>
        <v>18</v>
      </c>
    </row>
    <row r="1690" spans="1:31">
      <c r="A1690" s="4">
        <v>15101</v>
      </c>
      <c r="B1690" s="4">
        <v>9</v>
      </c>
      <c r="C1690" s="29" t="s">
        <v>74</v>
      </c>
      <c r="D1690" s="46">
        <v>0</v>
      </c>
      <c r="E1690" s="28">
        <v>0</v>
      </c>
      <c r="F1690" s="28">
        <f t="shared" ref="F1690:H1690" si="3487">F1660*2</f>
        <v>144</v>
      </c>
      <c r="G1690" s="28">
        <f t="shared" si="3487"/>
        <v>0</v>
      </c>
      <c r="H1690" s="28">
        <f t="shared" si="3487"/>
        <v>816</v>
      </c>
      <c r="I1690" s="21">
        <f t="shared" si="3358"/>
        <v>165</v>
      </c>
      <c r="J1690" s="21">
        <f t="shared" si="3447"/>
        <v>8</v>
      </c>
      <c r="K1690" s="21">
        <v>0</v>
      </c>
      <c r="L1690" s="20">
        <v>8</v>
      </c>
      <c r="M1690" s="20">
        <v>0</v>
      </c>
      <c r="N1690" s="20">
        <f t="shared" si="3359"/>
        <v>900</v>
      </c>
      <c r="O1690" s="19" t="s">
        <v>74</v>
      </c>
      <c r="P1690" s="20">
        <v>1518</v>
      </c>
      <c r="Q1690" s="20">
        <f t="shared" ref="Q1690:X1690" si="3488">Q1660</f>
        <v>90</v>
      </c>
      <c r="R1690" s="20">
        <f t="shared" si="3488"/>
        <v>360</v>
      </c>
      <c r="S1690" s="20">
        <f t="shared" si="3488"/>
        <v>630</v>
      </c>
      <c r="T1690" s="20">
        <f t="shared" si="3488"/>
        <v>810</v>
      </c>
      <c r="U1690" s="20">
        <f t="shared" si="3488"/>
        <v>120</v>
      </c>
      <c r="V1690" s="20">
        <f t="shared" si="3488"/>
        <v>1500</v>
      </c>
      <c r="W1690" s="20">
        <f t="shared" si="3488"/>
        <v>1000</v>
      </c>
      <c r="X1690" s="20">
        <f t="shared" si="3488"/>
        <v>3</v>
      </c>
      <c r="Y1690" s="20">
        <v>0</v>
      </c>
      <c r="Z1690" s="20">
        <v>0</v>
      </c>
      <c r="AA1690" s="20">
        <v>0</v>
      </c>
      <c r="AB1690" s="20">
        <v>0</v>
      </c>
      <c r="AC1690" s="20">
        <v>0</v>
      </c>
      <c r="AD1690" s="23">
        <f t="shared" ref="AD1690:AE1690" si="3489">AD1660</f>
        <v>16</v>
      </c>
      <c r="AE1690" s="23">
        <f t="shared" si="3489"/>
        <v>20</v>
      </c>
    </row>
    <row r="1691" spans="1:31">
      <c r="A1691" s="4">
        <v>15101</v>
      </c>
      <c r="B1691" s="4">
        <v>10</v>
      </c>
      <c r="C1691" s="29" t="s">
        <v>75</v>
      </c>
      <c r="D1691" s="46">
        <v>0</v>
      </c>
      <c r="E1691" s="28">
        <v>0</v>
      </c>
      <c r="F1691" s="28">
        <f t="shared" ref="F1691:H1691" si="3490">F1661*2</f>
        <v>156</v>
      </c>
      <c r="G1691" s="28">
        <f t="shared" si="3490"/>
        <v>0</v>
      </c>
      <c r="H1691" s="28">
        <f t="shared" si="3490"/>
        <v>882</v>
      </c>
      <c r="I1691" s="21">
        <f t="shared" si="3358"/>
        <v>165</v>
      </c>
      <c r="J1691" s="21">
        <f t="shared" si="3447"/>
        <v>9</v>
      </c>
      <c r="K1691" s="21">
        <v>0</v>
      </c>
      <c r="L1691" s="20">
        <v>6</v>
      </c>
      <c r="M1691" s="20">
        <v>0</v>
      </c>
      <c r="N1691" s="20">
        <f t="shared" si="3359"/>
        <v>2000</v>
      </c>
      <c r="O1691" s="19" t="s">
        <v>75</v>
      </c>
      <c r="P1691" s="20">
        <v>861</v>
      </c>
      <c r="Q1691" s="20">
        <f t="shared" ref="Q1691:X1691" si="3491">Q1661</f>
        <v>200</v>
      </c>
      <c r="R1691" s="20">
        <f t="shared" si="3491"/>
        <v>800</v>
      </c>
      <c r="S1691" s="20">
        <f t="shared" si="3491"/>
        <v>1400</v>
      </c>
      <c r="T1691" s="20">
        <f t="shared" si="3491"/>
        <v>1800</v>
      </c>
      <c r="U1691" s="20">
        <f t="shared" si="3491"/>
        <v>150</v>
      </c>
      <c r="V1691" s="20">
        <f t="shared" si="3491"/>
        <v>5000</v>
      </c>
      <c r="W1691" s="20">
        <f t="shared" si="3491"/>
        <v>800</v>
      </c>
      <c r="X1691" s="20">
        <f t="shared" si="3491"/>
        <v>3</v>
      </c>
      <c r="Y1691" s="20">
        <v>0</v>
      </c>
      <c r="Z1691" s="20">
        <v>0</v>
      </c>
      <c r="AA1691" s="20">
        <v>0</v>
      </c>
      <c r="AB1691" s="20">
        <v>0</v>
      </c>
      <c r="AC1691" s="20">
        <v>0</v>
      </c>
      <c r="AD1691" s="23">
        <f t="shared" ref="AD1691:AE1691" si="3492">AD1661</f>
        <v>18</v>
      </c>
      <c r="AE1691" s="23">
        <f t="shared" si="3492"/>
        <v>22</v>
      </c>
    </row>
    <row r="1692" spans="1:31">
      <c r="A1692" s="4">
        <v>15101</v>
      </c>
      <c r="B1692" s="4">
        <v>11</v>
      </c>
      <c r="C1692" s="29" t="s">
        <v>66</v>
      </c>
      <c r="D1692" s="46">
        <v>0</v>
      </c>
      <c r="E1692" s="28">
        <v>0</v>
      </c>
      <c r="F1692" s="28">
        <f t="shared" ref="F1692:H1692" si="3493">F1662*2</f>
        <v>168</v>
      </c>
      <c r="G1692" s="28">
        <f t="shared" si="3493"/>
        <v>0</v>
      </c>
      <c r="H1692" s="28">
        <f t="shared" si="3493"/>
        <v>956</v>
      </c>
      <c r="I1692" s="21">
        <f t="shared" si="3358"/>
        <v>165</v>
      </c>
      <c r="J1692" s="21">
        <f t="shared" si="3447"/>
        <v>10</v>
      </c>
      <c r="K1692" s="21">
        <v>0</v>
      </c>
      <c r="L1692" s="20">
        <v>6</v>
      </c>
      <c r="M1692" s="20">
        <v>0</v>
      </c>
      <c r="N1692" s="20">
        <f t="shared" si="3359"/>
        <v>2200</v>
      </c>
      <c r="O1692" s="19" t="s">
        <v>66</v>
      </c>
      <c r="P1692" s="20">
        <v>9400</v>
      </c>
      <c r="Q1692" s="20">
        <f t="shared" ref="Q1692:X1692" si="3494">Q1662</f>
        <v>220</v>
      </c>
      <c r="R1692" s="20">
        <f t="shared" si="3494"/>
        <v>880</v>
      </c>
      <c r="S1692" s="20">
        <f t="shared" si="3494"/>
        <v>1540</v>
      </c>
      <c r="T1692" s="20">
        <f t="shared" si="3494"/>
        <v>1980</v>
      </c>
      <c r="U1692" s="20">
        <f t="shared" si="3494"/>
        <v>100</v>
      </c>
      <c r="V1692" s="20">
        <f t="shared" si="3494"/>
        <v>800</v>
      </c>
      <c r="W1692" s="20">
        <f t="shared" si="3494"/>
        <v>600</v>
      </c>
      <c r="X1692" s="20">
        <f t="shared" si="3494"/>
        <v>3</v>
      </c>
      <c r="Y1692" s="20">
        <v>0</v>
      </c>
      <c r="Z1692" s="20">
        <v>0</v>
      </c>
      <c r="AA1692" s="20">
        <v>0</v>
      </c>
      <c r="AB1692" s="20">
        <v>0</v>
      </c>
      <c r="AC1692" s="20">
        <v>0</v>
      </c>
      <c r="AD1692" s="23">
        <f t="shared" ref="AD1692:AE1692" si="3495">AD1662</f>
        <v>20</v>
      </c>
      <c r="AE1692" s="23">
        <f t="shared" si="3495"/>
        <v>24</v>
      </c>
    </row>
    <row r="1693" spans="1:31">
      <c r="A1693" s="4">
        <v>15101</v>
      </c>
      <c r="B1693" s="4">
        <v>12</v>
      </c>
      <c r="C1693" s="29" t="s">
        <v>67</v>
      </c>
      <c r="D1693" s="46">
        <v>0</v>
      </c>
      <c r="E1693" s="28">
        <v>0</v>
      </c>
      <c r="F1693" s="28">
        <f t="shared" ref="F1693:H1693" si="3496">F1663*2</f>
        <v>182</v>
      </c>
      <c r="G1693" s="28">
        <f t="shared" si="3496"/>
        <v>0</v>
      </c>
      <c r="H1693" s="28">
        <f t="shared" si="3496"/>
        <v>1034</v>
      </c>
      <c r="I1693" s="21">
        <f t="shared" si="3358"/>
        <v>165</v>
      </c>
      <c r="J1693" s="21">
        <f t="shared" si="3447"/>
        <v>11</v>
      </c>
      <c r="K1693" s="21">
        <v>0</v>
      </c>
      <c r="L1693" s="20">
        <v>6</v>
      </c>
      <c r="M1693" s="20">
        <v>0</v>
      </c>
      <c r="N1693" s="20">
        <f t="shared" si="3359"/>
        <v>2400</v>
      </c>
      <c r="O1693" s="19" t="s">
        <v>67</v>
      </c>
      <c r="P1693" s="20">
        <v>9100</v>
      </c>
      <c r="Q1693" s="20">
        <f t="shared" ref="Q1693:X1693" si="3497">Q1663</f>
        <v>240</v>
      </c>
      <c r="R1693" s="20">
        <f t="shared" si="3497"/>
        <v>960</v>
      </c>
      <c r="S1693" s="20">
        <f t="shared" si="3497"/>
        <v>1680</v>
      </c>
      <c r="T1693" s="20">
        <f t="shared" si="3497"/>
        <v>2160</v>
      </c>
      <c r="U1693" s="20">
        <f t="shared" si="3497"/>
        <v>150</v>
      </c>
      <c r="V1693" s="20">
        <f t="shared" si="3497"/>
        <v>700</v>
      </c>
      <c r="W1693" s="20">
        <f t="shared" si="3497"/>
        <v>900</v>
      </c>
      <c r="X1693" s="20">
        <f t="shared" si="3497"/>
        <v>3</v>
      </c>
      <c r="Y1693" s="20">
        <v>0</v>
      </c>
      <c r="Z1693" s="20">
        <v>0</v>
      </c>
      <c r="AA1693" s="20">
        <v>0</v>
      </c>
      <c r="AB1693" s="20">
        <v>0</v>
      </c>
      <c r="AC1693" s="20">
        <v>0</v>
      </c>
      <c r="AD1693" s="23">
        <f t="shared" ref="AD1693:AE1693" si="3498">AD1663</f>
        <v>22</v>
      </c>
      <c r="AE1693" s="23">
        <f t="shared" si="3498"/>
        <v>26</v>
      </c>
    </row>
    <row r="1694" spans="1:31">
      <c r="A1694" s="4">
        <v>15101</v>
      </c>
      <c r="B1694" s="4">
        <v>13</v>
      </c>
      <c r="C1694" s="29" t="s">
        <v>68</v>
      </c>
      <c r="D1694" s="46">
        <v>0</v>
      </c>
      <c r="E1694" s="28">
        <v>0</v>
      </c>
      <c r="F1694" s="28">
        <f t="shared" ref="F1694:H1694" si="3499">F1664*2</f>
        <v>196</v>
      </c>
      <c r="G1694" s="28">
        <f t="shared" si="3499"/>
        <v>0</v>
      </c>
      <c r="H1694" s="28">
        <f t="shared" si="3499"/>
        <v>1120</v>
      </c>
      <c r="I1694" s="21">
        <f t="shared" si="3358"/>
        <v>220</v>
      </c>
      <c r="J1694" s="21">
        <f t="shared" si="3447"/>
        <v>12</v>
      </c>
      <c r="K1694" s="21">
        <v>0</v>
      </c>
      <c r="L1694" s="20">
        <v>6</v>
      </c>
      <c r="M1694" s="20">
        <v>0</v>
      </c>
      <c r="N1694" s="20">
        <f t="shared" si="3359"/>
        <v>2600</v>
      </c>
      <c r="O1694" s="19" t="s">
        <v>68</v>
      </c>
      <c r="P1694" s="20">
        <v>8600</v>
      </c>
      <c r="Q1694" s="20">
        <f t="shared" ref="Q1694:X1694" si="3500">Q1664</f>
        <v>260</v>
      </c>
      <c r="R1694" s="20">
        <f t="shared" si="3500"/>
        <v>1040</v>
      </c>
      <c r="S1694" s="20">
        <f t="shared" si="3500"/>
        <v>1819.9999999999998</v>
      </c>
      <c r="T1694" s="20">
        <f t="shared" si="3500"/>
        <v>2340</v>
      </c>
      <c r="U1694" s="20">
        <f t="shared" si="3500"/>
        <v>100</v>
      </c>
      <c r="V1694" s="20">
        <f t="shared" si="3500"/>
        <v>700</v>
      </c>
      <c r="W1694" s="20">
        <f t="shared" si="3500"/>
        <v>1000</v>
      </c>
      <c r="X1694" s="20">
        <f t="shared" si="3500"/>
        <v>4</v>
      </c>
      <c r="Y1694" s="20">
        <f>ROUND(D1694*0.25,-1)</f>
        <v>0</v>
      </c>
      <c r="Z1694" s="20">
        <f>ROUND(E1694*0.25,-1)</f>
        <v>0</v>
      </c>
      <c r="AA1694" s="20">
        <v>0</v>
      </c>
      <c r="AB1694" s="20">
        <f>ROUND(G1694*0.25,-1)</f>
        <v>0</v>
      </c>
      <c r="AC1694" s="20">
        <f t="shared" si="3467"/>
        <v>453</v>
      </c>
      <c r="AD1694" s="23">
        <f t="shared" ref="AD1694:AE1694" si="3501">AD1664</f>
        <v>24</v>
      </c>
      <c r="AE1694" s="23">
        <f t="shared" si="3501"/>
        <v>28</v>
      </c>
    </row>
    <row r="1695" spans="1:31">
      <c r="A1695" s="4">
        <v>15101</v>
      </c>
      <c r="B1695" s="4">
        <v>14</v>
      </c>
      <c r="C1695" s="29" t="s">
        <v>69</v>
      </c>
      <c r="D1695" s="46">
        <v>0</v>
      </c>
      <c r="E1695" s="28">
        <v>0</v>
      </c>
      <c r="F1695" s="28">
        <f t="shared" ref="F1695:H1695" si="3502">F1665*2</f>
        <v>212</v>
      </c>
      <c r="G1695" s="28">
        <f t="shared" si="3502"/>
        <v>0</v>
      </c>
      <c r="H1695" s="28">
        <f t="shared" si="3502"/>
        <v>1212</v>
      </c>
      <c r="I1695" s="21">
        <f t="shared" si="3358"/>
        <v>220</v>
      </c>
      <c r="J1695" s="21">
        <f t="shared" si="3447"/>
        <v>13</v>
      </c>
      <c r="K1695" s="21">
        <v>0</v>
      </c>
      <c r="L1695" s="20">
        <v>6</v>
      </c>
      <c r="M1695" s="20">
        <v>0</v>
      </c>
      <c r="N1695" s="20">
        <f t="shared" si="3359"/>
        <v>2800</v>
      </c>
      <c r="O1695" s="19" t="s">
        <v>69</v>
      </c>
      <c r="P1695" s="20">
        <v>6400</v>
      </c>
      <c r="Q1695" s="20">
        <f t="shared" ref="Q1695:X1695" si="3503">Q1665</f>
        <v>280</v>
      </c>
      <c r="R1695" s="20">
        <f t="shared" si="3503"/>
        <v>1120</v>
      </c>
      <c r="S1695" s="20">
        <f t="shared" si="3503"/>
        <v>1959.9999999999998</v>
      </c>
      <c r="T1695" s="20">
        <f t="shared" si="3503"/>
        <v>2520</v>
      </c>
      <c r="U1695" s="20">
        <f t="shared" si="3503"/>
        <v>100</v>
      </c>
      <c r="V1695" s="20">
        <f t="shared" si="3503"/>
        <v>400</v>
      </c>
      <c r="W1695" s="20">
        <f t="shared" si="3503"/>
        <v>1200</v>
      </c>
      <c r="X1695" s="20">
        <f t="shared" si="3503"/>
        <v>4</v>
      </c>
      <c r="Y1695" s="20">
        <v>0</v>
      </c>
      <c r="Z1695" s="20">
        <v>0</v>
      </c>
      <c r="AA1695" s="20">
        <v>0</v>
      </c>
      <c r="AB1695" s="20">
        <v>0</v>
      </c>
      <c r="AC1695" s="20">
        <v>0</v>
      </c>
      <c r="AD1695" s="23">
        <f t="shared" ref="AD1695:AE1695" si="3504">AD1665</f>
        <v>26</v>
      </c>
      <c r="AE1695" s="23">
        <f t="shared" si="3504"/>
        <v>30</v>
      </c>
    </row>
    <row r="1696" spans="1:31">
      <c r="A1696" s="8">
        <v>15101</v>
      </c>
      <c r="B1696" s="8">
        <v>15</v>
      </c>
      <c r="C1696" s="29" t="s">
        <v>70</v>
      </c>
      <c r="D1696" s="46">
        <v>0</v>
      </c>
      <c r="E1696" s="28">
        <v>0</v>
      </c>
      <c r="F1696" s="28">
        <f t="shared" ref="F1696:H1696" si="3505">F1666*2</f>
        <v>230</v>
      </c>
      <c r="G1696" s="28">
        <f t="shared" si="3505"/>
        <v>0</v>
      </c>
      <c r="H1696" s="28">
        <f t="shared" si="3505"/>
        <v>1312</v>
      </c>
      <c r="I1696" s="21">
        <f t="shared" si="3358"/>
        <v>220</v>
      </c>
      <c r="J1696" s="21">
        <f t="shared" si="3447"/>
        <v>14</v>
      </c>
      <c r="K1696" s="21">
        <v>0</v>
      </c>
      <c r="L1696" s="20">
        <v>6</v>
      </c>
      <c r="M1696" s="20">
        <v>0</v>
      </c>
      <c r="N1696" s="20">
        <f t="shared" si="3359"/>
        <v>4500</v>
      </c>
      <c r="O1696" s="19" t="s">
        <v>70</v>
      </c>
      <c r="P1696" s="20">
        <v>3100</v>
      </c>
      <c r="Q1696" s="20">
        <f t="shared" ref="Q1696:X1696" si="3506">Q1666</f>
        <v>450</v>
      </c>
      <c r="R1696" s="20">
        <f t="shared" si="3506"/>
        <v>1800</v>
      </c>
      <c r="S1696" s="20">
        <f t="shared" si="3506"/>
        <v>3150</v>
      </c>
      <c r="T1696" s="20">
        <f t="shared" si="3506"/>
        <v>4050</v>
      </c>
      <c r="U1696" s="20">
        <f t="shared" si="3506"/>
        <v>100</v>
      </c>
      <c r="V1696" s="20">
        <f t="shared" si="3506"/>
        <v>1000</v>
      </c>
      <c r="W1696" s="20">
        <f t="shared" si="3506"/>
        <v>600</v>
      </c>
      <c r="X1696" s="20">
        <f t="shared" si="3506"/>
        <v>4</v>
      </c>
      <c r="Y1696" s="20">
        <v>0</v>
      </c>
      <c r="Z1696" s="20">
        <v>0</v>
      </c>
      <c r="AA1696" s="20">
        <v>0</v>
      </c>
      <c r="AB1696" s="20">
        <v>0</v>
      </c>
      <c r="AC1696" s="20">
        <v>0</v>
      </c>
      <c r="AD1696" s="23">
        <f t="shared" ref="AD1696:AE1696" si="3507">AD1666</f>
        <v>28</v>
      </c>
      <c r="AE1696" s="23">
        <f t="shared" si="3507"/>
        <v>32</v>
      </c>
    </row>
    <row r="1697" spans="1:31">
      <c r="A1697" s="4">
        <v>15101</v>
      </c>
      <c r="B1697" s="4">
        <v>16</v>
      </c>
      <c r="C1697" s="29" t="s">
        <v>71</v>
      </c>
      <c r="D1697" s="46">
        <v>0</v>
      </c>
      <c r="E1697" s="28">
        <v>0</v>
      </c>
      <c r="F1697" s="28">
        <f t="shared" ref="F1697:H1697" si="3508">F1667*2</f>
        <v>250</v>
      </c>
      <c r="G1697" s="28">
        <f t="shared" si="3508"/>
        <v>0</v>
      </c>
      <c r="H1697" s="28">
        <f t="shared" si="3508"/>
        <v>1422</v>
      </c>
      <c r="I1697" s="21">
        <f t="shared" ref="I1697:I1760" si="3509">I1667</f>
        <v>220</v>
      </c>
      <c r="J1697" s="21">
        <f t="shared" si="3447"/>
        <v>15</v>
      </c>
      <c r="K1697" s="21">
        <v>0</v>
      </c>
      <c r="L1697" s="20">
        <v>6</v>
      </c>
      <c r="M1697" s="20">
        <v>0</v>
      </c>
      <c r="N1697" s="20">
        <f t="shared" ref="N1697:N1760" si="3510">N1667</f>
        <v>4800</v>
      </c>
      <c r="O1697" s="19" t="s">
        <v>71</v>
      </c>
      <c r="P1697" s="20">
        <v>1777</v>
      </c>
      <c r="Q1697" s="20">
        <f t="shared" ref="Q1697:X1697" si="3511">Q1667</f>
        <v>480</v>
      </c>
      <c r="R1697" s="20">
        <f t="shared" si="3511"/>
        <v>1920</v>
      </c>
      <c r="S1697" s="20">
        <f t="shared" si="3511"/>
        <v>3360</v>
      </c>
      <c r="T1697" s="20">
        <f t="shared" si="3511"/>
        <v>4320</v>
      </c>
      <c r="U1697" s="20">
        <f t="shared" si="3511"/>
        <v>100</v>
      </c>
      <c r="V1697" s="20">
        <f t="shared" si="3511"/>
        <v>800</v>
      </c>
      <c r="W1697" s="20">
        <f t="shared" si="3511"/>
        <v>800</v>
      </c>
      <c r="X1697" s="20">
        <f t="shared" si="3511"/>
        <v>4</v>
      </c>
      <c r="Y1697" s="20">
        <v>0</v>
      </c>
      <c r="Z1697" s="20">
        <v>0</v>
      </c>
      <c r="AA1697" s="20">
        <v>0</v>
      </c>
      <c r="AB1697" s="20">
        <v>0</v>
      </c>
      <c r="AC1697" s="20">
        <v>0</v>
      </c>
      <c r="AD1697" s="23">
        <f t="shared" ref="AD1697:AE1697" si="3512">AD1667</f>
        <v>30</v>
      </c>
      <c r="AE1697" s="23">
        <f t="shared" si="3512"/>
        <v>34</v>
      </c>
    </row>
    <row r="1698" spans="1:31">
      <c r="A1698" s="4">
        <v>15101</v>
      </c>
      <c r="B1698" s="4">
        <v>17</v>
      </c>
      <c r="C1698" s="29" t="s">
        <v>72</v>
      </c>
      <c r="D1698" s="46">
        <v>0</v>
      </c>
      <c r="E1698" s="28">
        <v>0</v>
      </c>
      <c r="F1698" s="28">
        <f t="shared" ref="F1698:H1698" si="3513">F1668*2</f>
        <v>270</v>
      </c>
      <c r="G1698" s="28">
        <f t="shared" si="3513"/>
        <v>0</v>
      </c>
      <c r="H1698" s="28">
        <f t="shared" si="3513"/>
        <v>1538</v>
      </c>
      <c r="I1698" s="21">
        <f t="shared" si="3509"/>
        <v>275</v>
      </c>
      <c r="J1698" s="21">
        <f t="shared" si="3447"/>
        <v>16</v>
      </c>
      <c r="K1698" s="21">
        <v>0</v>
      </c>
      <c r="L1698" s="20">
        <v>6</v>
      </c>
      <c r="M1698" s="20">
        <v>0</v>
      </c>
      <c r="N1698" s="20">
        <f t="shared" si="3510"/>
        <v>5100</v>
      </c>
      <c r="O1698" s="19" t="s">
        <v>72</v>
      </c>
      <c r="P1698" s="20">
        <v>2332</v>
      </c>
      <c r="Q1698" s="20">
        <f t="shared" ref="Q1698:X1698" si="3514">Q1668</f>
        <v>510</v>
      </c>
      <c r="R1698" s="20">
        <f t="shared" si="3514"/>
        <v>2040</v>
      </c>
      <c r="S1698" s="20">
        <f t="shared" si="3514"/>
        <v>3570</v>
      </c>
      <c r="T1698" s="20">
        <f t="shared" si="3514"/>
        <v>4590</v>
      </c>
      <c r="U1698" s="20">
        <f t="shared" si="3514"/>
        <v>80</v>
      </c>
      <c r="V1698" s="20">
        <f t="shared" si="3514"/>
        <v>800</v>
      </c>
      <c r="W1698" s="20">
        <f t="shared" si="3514"/>
        <v>600</v>
      </c>
      <c r="X1698" s="20">
        <f t="shared" si="3514"/>
        <v>5</v>
      </c>
      <c r="Y1698" s="20">
        <v>0</v>
      </c>
      <c r="Z1698" s="20">
        <v>0</v>
      </c>
      <c r="AA1698" s="20">
        <v>0</v>
      </c>
      <c r="AB1698" s="20">
        <v>0</v>
      </c>
      <c r="AC1698" s="20">
        <v>0</v>
      </c>
      <c r="AD1698" s="23">
        <f t="shared" ref="AD1698:AE1698" si="3515">AD1668</f>
        <v>32</v>
      </c>
      <c r="AE1698" s="23">
        <f t="shared" si="3515"/>
        <v>36</v>
      </c>
    </row>
    <row r="1699" spans="1:31">
      <c r="A1699" s="4">
        <v>15101</v>
      </c>
      <c r="B1699" s="4">
        <v>18</v>
      </c>
      <c r="C1699" s="29" t="s">
        <v>73</v>
      </c>
      <c r="D1699" s="46">
        <v>0</v>
      </c>
      <c r="E1699" s="28">
        <v>0</v>
      </c>
      <c r="F1699" s="28">
        <f t="shared" ref="F1699:H1699" si="3516">F1669*2</f>
        <v>292</v>
      </c>
      <c r="G1699" s="28">
        <f t="shared" si="3516"/>
        <v>0</v>
      </c>
      <c r="H1699" s="28">
        <f t="shared" si="3516"/>
        <v>1666</v>
      </c>
      <c r="I1699" s="21">
        <f t="shared" si="3509"/>
        <v>275</v>
      </c>
      <c r="J1699" s="21">
        <f t="shared" si="3447"/>
        <v>17</v>
      </c>
      <c r="K1699" s="21">
        <v>0</v>
      </c>
      <c r="L1699" s="20">
        <v>6</v>
      </c>
      <c r="M1699" s="20">
        <v>0</v>
      </c>
      <c r="N1699" s="20">
        <f t="shared" si="3510"/>
        <v>5400</v>
      </c>
      <c r="O1699" s="19" t="s">
        <v>73</v>
      </c>
      <c r="P1699" s="20">
        <v>1487</v>
      </c>
      <c r="Q1699" s="20">
        <f t="shared" ref="Q1699:X1699" si="3517">Q1669</f>
        <v>540</v>
      </c>
      <c r="R1699" s="20">
        <f t="shared" si="3517"/>
        <v>2160</v>
      </c>
      <c r="S1699" s="20">
        <f t="shared" si="3517"/>
        <v>3779.9999999999995</v>
      </c>
      <c r="T1699" s="20">
        <f t="shared" si="3517"/>
        <v>4860</v>
      </c>
      <c r="U1699" s="20">
        <f t="shared" si="3517"/>
        <v>100</v>
      </c>
      <c r="V1699" s="20">
        <f t="shared" si="3517"/>
        <v>600</v>
      </c>
      <c r="W1699" s="20">
        <f t="shared" si="3517"/>
        <v>300</v>
      </c>
      <c r="X1699" s="20">
        <f t="shared" si="3517"/>
        <v>5</v>
      </c>
      <c r="Y1699" s="20">
        <f>ROUND(D1699*0.25,-1)</f>
        <v>0</v>
      </c>
      <c r="Z1699" s="20">
        <f>ROUND(E1699*0.25,-1)</f>
        <v>0</v>
      </c>
      <c r="AA1699" s="20">
        <v>0</v>
      </c>
      <c r="AB1699" s="20">
        <f>ROUND(G1699*0.25,-1)</f>
        <v>0</v>
      </c>
      <c r="AC1699" s="20">
        <f t="shared" si="3467"/>
        <v>680</v>
      </c>
      <c r="AD1699" s="23">
        <f t="shared" ref="AD1699:AE1699" si="3518">AD1669</f>
        <v>34</v>
      </c>
      <c r="AE1699" s="23">
        <f t="shared" si="3518"/>
        <v>38</v>
      </c>
    </row>
    <row r="1700" spans="1:31">
      <c r="A1700" s="4">
        <v>15101</v>
      </c>
      <c r="B1700" s="4">
        <v>19</v>
      </c>
      <c r="C1700" s="29" t="s">
        <v>74</v>
      </c>
      <c r="D1700" s="46">
        <v>0</v>
      </c>
      <c r="E1700" s="28">
        <v>0</v>
      </c>
      <c r="F1700" s="28">
        <f t="shared" ref="F1700:H1700" si="3519">F1670*2</f>
        <v>316</v>
      </c>
      <c r="G1700" s="28">
        <f t="shared" si="3519"/>
        <v>0</v>
      </c>
      <c r="H1700" s="28">
        <f t="shared" si="3519"/>
        <v>1804</v>
      </c>
      <c r="I1700" s="21">
        <f t="shared" si="3509"/>
        <v>275</v>
      </c>
      <c r="J1700" s="21">
        <f t="shared" si="3447"/>
        <v>18</v>
      </c>
      <c r="K1700" s="21">
        <v>0</v>
      </c>
      <c r="L1700" s="20">
        <v>6</v>
      </c>
      <c r="M1700" s="20">
        <v>0</v>
      </c>
      <c r="N1700" s="20">
        <f t="shared" si="3510"/>
        <v>5700</v>
      </c>
      <c r="O1700" s="19" t="s">
        <v>74</v>
      </c>
      <c r="P1700" s="20">
        <v>1518</v>
      </c>
      <c r="Q1700" s="20">
        <f t="shared" ref="Q1700:X1700" si="3520">Q1670</f>
        <v>570</v>
      </c>
      <c r="R1700" s="20">
        <f t="shared" si="3520"/>
        <v>2280</v>
      </c>
      <c r="S1700" s="20">
        <f t="shared" si="3520"/>
        <v>3989.9999999999995</v>
      </c>
      <c r="T1700" s="20">
        <f t="shared" si="3520"/>
        <v>5130</v>
      </c>
      <c r="U1700" s="20">
        <f t="shared" si="3520"/>
        <v>100</v>
      </c>
      <c r="V1700" s="20">
        <f t="shared" si="3520"/>
        <v>500</v>
      </c>
      <c r="W1700" s="20">
        <f t="shared" si="3520"/>
        <v>400</v>
      </c>
      <c r="X1700" s="20">
        <f t="shared" si="3520"/>
        <v>5</v>
      </c>
      <c r="Y1700" s="20">
        <v>0</v>
      </c>
      <c r="Z1700" s="20">
        <v>0</v>
      </c>
      <c r="AA1700" s="20">
        <v>0</v>
      </c>
      <c r="AB1700" s="20">
        <v>0</v>
      </c>
      <c r="AC1700" s="20">
        <v>0</v>
      </c>
      <c r="AD1700" s="23">
        <f t="shared" ref="AD1700:AE1700" si="3521">AD1670</f>
        <v>36</v>
      </c>
      <c r="AE1700" s="23">
        <f t="shared" si="3521"/>
        <v>40</v>
      </c>
    </row>
    <row r="1701" spans="1:31">
      <c r="A1701" s="4">
        <v>15101</v>
      </c>
      <c r="B1701" s="4">
        <v>20</v>
      </c>
      <c r="C1701" s="29" t="s">
        <v>75</v>
      </c>
      <c r="D1701" s="46">
        <v>0</v>
      </c>
      <c r="E1701" s="28">
        <v>0</v>
      </c>
      <c r="F1701" s="28">
        <f t="shared" ref="F1701:H1701" si="3522">F1671*2</f>
        <v>342</v>
      </c>
      <c r="G1701" s="28">
        <f t="shared" si="3522"/>
        <v>0</v>
      </c>
      <c r="H1701" s="28">
        <f t="shared" si="3522"/>
        <v>1952</v>
      </c>
      <c r="I1701" s="21">
        <f t="shared" si="3509"/>
        <v>275</v>
      </c>
      <c r="J1701" s="21">
        <f t="shared" si="3447"/>
        <v>19</v>
      </c>
      <c r="K1701" s="21">
        <v>0</v>
      </c>
      <c r="L1701" s="20">
        <v>6</v>
      </c>
      <c r="M1701" s="20">
        <v>0</v>
      </c>
      <c r="N1701" s="20">
        <f t="shared" si="3510"/>
        <v>8000</v>
      </c>
      <c r="O1701" s="19" t="s">
        <v>75</v>
      </c>
      <c r="P1701" s="20">
        <v>861</v>
      </c>
      <c r="Q1701" s="20">
        <f t="shared" ref="Q1701:X1701" si="3523">Q1671</f>
        <v>800</v>
      </c>
      <c r="R1701" s="20">
        <f t="shared" si="3523"/>
        <v>3200</v>
      </c>
      <c r="S1701" s="20">
        <f t="shared" si="3523"/>
        <v>5600</v>
      </c>
      <c r="T1701" s="20">
        <f t="shared" si="3523"/>
        <v>7200</v>
      </c>
      <c r="U1701" s="20">
        <f t="shared" si="3523"/>
        <v>100</v>
      </c>
      <c r="V1701" s="20">
        <f t="shared" si="3523"/>
        <v>800</v>
      </c>
      <c r="W1701" s="20">
        <f t="shared" si="3523"/>
        <v>8000</v>
      </c>
      <c r="X1701" s="20">
        <f t="shared" si="3523"/>
        <v>5</v>
      </c>
      <c r="Y1701" s="20">
        <v>0</v>
      </c>
      <c r="Z1701" s="20">
        <v>0</v>
      </c>
      <c r="AA1701" s="20">
        <v>0</v>
      </c>
      <c r="AB1701" s="20">
        <v>0</v>
      </c>
      <c r="AC1701" s="20">
        <v>0</v>
      </c>
      <c r="AD1701" s="23">
        <f t="shared" ref="AD1701:AE1701" si="3524">AD1671</f>
        <v>38</v>
      </c>
      <c r="AE1701" s="23">
        <f t="shared" si="3524"/>
        <v>42</v>
      </c>
    </row>
    <row r="1702" spans="1:31">
      <c r="A1702" s="4">
        <v>15101</v>
      </c>
      <c r="B1702" s="4">
        <v>21</v>
      </c>
      <c r="C1702" s="29" t="s">
        <v>66</v>
      </c>
      <c r="D1702" s="46">
        <v>0</v>
      </c>
      <c r="E1702" s="28">
        <v>0</v>
      </c>
      <c r="F1702" s="28">
        <f t="shared" ref="F1702:H1702" si="3525">F1672*2</f>
        <v>370</v>
      </c>
      <c r="G1702" s="28">
        <f t="shared" si="3525"/>
        <v>0</v>
      </c>
      <c r="H1702" s="28">
        <f t="shared" si="3525"/>
        <v>2114</v>
      </c>
      <c r="I1702" s="21">
        <f t="shared" si="3509"/>
        <v>330</v>
      </c>
      <c r="J1702" s="21">
        <f t="shared" si="3447"/>
        <v>20</v>
      </c>
      <c r="K1702" s="21">
        <v>0</v>
      </c>
      <c r="L1702" s="20">
        <v>6</v>
      </c>
      <c r="M1702" s="20">
        <v>0</v>
      </c>
      <c r="N1702" s="20">
        <f t="shared" si="3510"/>
        <v>8400</v>
      </c>
      <c r="O1702" s="19" t="s">
        <v>66</v>
      </c>
      <c r="P1702" s="20">
        <v>9400</v>
      </c>
      <c r="Q1702" s="20">
        <f t="shared" ref="Q1702:X1702" si="3526">Q1672</f>
        <v>840</v>
      </c>
      <c r="R1702" s="20">
        <f t="shared" si="3526"/>
        <v>3360</v>
      </c>
      <c r="S1702" s="20">
        <f t="shared" si="3526"/>
        <v>5880</v>
      </c>
      <c r="T1702" s="20">
        <f t="shared" si="3526"/>
        <v>7560</v>
      </c>
      <c r="U1702" s="20">
        <f t="shared" si="3526"/>
        <v>50</v>
      </c>
      <c r="V1702" s="20">
        <f t="shared" si="3526"/>
        <v>1000</v>
      </c>
      <c r="W1702" s="20">
        <f t="shared" si="3526"/>
        <v>600</v>
      </c>
      <c r="X1702" s="20">
        <f t="shared" si="3526"/>
        <v>6</v>
      </c>
      <c r="Y1702" s="20">
        <v>0</v>
      </c>
      <c r="Z1702" s="20">
        <v>0</v>
      </c>
      <c r="AA1702" s="20">
        <v>0</v>
      </c>
      <c r="AB1702" s="20">
        <v>0</v>
      </c>
      <c r="AC1702" s="20">
        <v>0</v>
      </c>
      <c r="AD1702" s="23">
        <f t="shared" ref="AD1702:AE1702" si="3527">AD1672</f>
        <v>40</v>
      </c>
      <c r="AE1702" s="23">
        <f t="shared" si="3527"/>
        <v>44</v>
      </c>
    </row>
    <row r="1703" spans="1:31">
      <c r="A1703" s="4">
        <v>15101</v>
      </c>
      <c r="B1703" s="4">
        <v>22</v>
      </c>
      <c r="C1703" s="29" t="s">
        <v>67</v>
      </c>
      <c r="D1703" s="46">
        <v>0</v>
      </c>
      <c r="E1703" s="28">
        <v>0</v>
      </c>
      <c r="F1703" s="28">
        <f t="shared" ref="F1703:H1703" si="3528">F1673*2</f>
        <v>402</v>
      </c>
      <c r="G1703" s="28">
        <f t="shared" si="3528"/>
        <v>0</v>
      </c>
      <c r="H1703" s="28">
        <f t="shared" si="3528"/>
        <v>2288</v>
      </c>
      <c r="I1703" s="21">
        <f t="shared" si="3509"/>
        <v>330</v>
      </c>
      <c r="J1703" s="21">
        <f t="shared" si="3447"/>
        <v>21</v>
      </c>
      <c r="K1703" s="21">
        <v>0</v>
      </c>
      <c r="L1703" s="20">
        <v>6</v>
      </c>
      <c r="M1703" s="20">
        <v>0</v>
      </c>
      <c r="N1703" s="20">
        <f t="shared" si="3510"/>
        <v>8800</v>
      </c>
      <c r="O1703" s="19" t="s">
        <v>67</v>
      </c>
      <c r="P1703" s="20">
        <v>9100</v>
      </c>
      <c r="Q1703" s="20">
        <f t="shared" ref="Q1703:X1703" si="3529">Q1673</f>
        <v>880</v>
      </c>
      <c r="R1703" s="20">
        <f t="shared" si="3529"/>
        <v>3520</v>
      </c>
      <c r="S1703" s="20">
        <f t="shared" si="3529"/>
        <v>6160</v>
      </c>
      <c r="T1703" s="20">
        <f t="shared" si="3529"/>
        <v>7920</v>
      </c>
      <c r="U1703" s="20">
        <f t="shared" si="3529"/>
        <v>100</v>
      </c>
      <c r="V1703" s="20">
        <f t="shared" si="3529"/>
        <v>600</v>
      </c>
      <c r="W1703" s="20">
        <f t="shared" si="3529"/>
        <v>700</v>
      </c>
      <c r="X1703" s="20">
        <f t="shared" si="3529"/>
        <v>6</v>
      </c>
      <c r="Y1703" s="20">
        <v>0</v>
      </c>
      <c r="Z1703" s="20">
        <v>0</v>
      </c>
      <c r="AA1703" s="20">
        <v>0</v>
      </c>
      <c r="AB1703" s="20">
        <v>0</v>
      </c>
      <c r="AC1703" s="20">
        <v>0</v>
      </c>
      <c r="AD1703" s="23">
        <f t="shared" ref="AD1703:AE1703" si="3530">AD1673</f>
        <v>42</v>
      </c>
      <c r="AE1703" s="23">
        <f t="shared" si="3530"/>
        <v>46</v>
      </c>
    </row>
    <row r="1704" spans="1:31">
      <c r="A1704" s="4">
        <v>15101</v>
      </c>
      <c r="B1704" s="4">
        <v>23</v>
      </c>
      <c r="C1704" s="29" t="s">
        <v>68</v>
      </c>
      <c r="D1704" s="46">
        <v>0</v>
      </c>
      <c r="E1704" s="28">
        <v>0</v>
      </c>
      <c r="F1704" s="28">
        <f t="shared" ref="F1704:H1704" si="3531">F1674*2</f>
        <v>434</v>
      </c>
      <c r="G1704" s="28">
        <f t="shared" si="3531"/>
        <v>0</v>
      </c>
      <c r="H1704" s="28">
        <f t="shared" si="3531"/>
        <v>2478</v>
      </c>
      <c r="I1704" s="21">
        <f t="shared" si="3509"/>
        <v>330</v>
      </c>
      <c r="J1704" s="21">
        <f t="shared" si="3447"/>
        <v>22</v>
      </c>
      <c r="K1704" s="21">
        <v>0</v>
      </c>
      <c r="L1704" s="20">
        <v>6</v>
      </c>
      <c r="M1704" s="20">
        <v>0</v>
      </c>
      <c r="N1704" s="20">
        <f t="shared" si="3510"/>
        <v>9200</v>
      </c>
      <c r="O1704" s="19" t="s">
        <v>68</v>
      </c>
      <c r="P1704" s="20">
        <v>8600</v>
      </c>
      <c r="Q1704" s="20">
        <f t="shared" ref="Q1704:X1704" si="3532">Q1674</f>
        <v>920</v>
      </c>
      <c r="R1704" s="20">
        <f t="shared" si="3532"/>
        <v>3680</v>
      </c>
      <c r="S1704" s="20">
        <f t="shared" si="3532"/>
        <v>6440</v>
      </c>
      <c r="T1704" s="20">
        <f t="shared" si="3532"/>
        <v>8280</v>
      </c>
      <c r="U1704" s="20">
        <f t="shared" si="3532"/>
        <v>100</v>
      </c>
      <c r="V1704" s="20">
        <f t="shared" si="3532"/>
        <v>550</v>
      </c>
      <c r="W1704" s="20">
        <f t="shared" si="3532"/>
        <v>500</v>
      </c>
      <c r="X1704" s="20">
        <f t="shared" si="3532"/>
        <v>6</v>
      </c>
      <c r="Y1704" s="20">
        <f>ROUND(D1704*0.25,-1)</f>
        <v>0</v>
      </c>
      <c r="Z1704" s="20">
        <f>ROUND(E1704*0.25,-1)</f>
        <v>0</v>
      </c>
      <c r="AA1704" s="20">
        <v>0</v>
      </c>
      <c r="AB1704" s="20">
        <f>ROUND(G1704*0.25,-1)</f>
        <v>0</v>
      </c>
      <c r="AC1704" s="20">
        <f t="shared" si="3467"/>
        <v>907</v>
      </c>
      <c r="AD1704" s="23">
        <f t="shared" ref="AD1704:AE1704" si="3533">AD1674</f>
        <v>44</v>
      </c>
      <c r="AE1704" s="23">
        <f t="shared" si="3533"/>
        <v>48</v>
      </c>
    </row>
    <row r="1705" spans="1:31">
      <c r="A1705" s="4">
        <v>15101</v>
      </c>
      <c r="B1705" s="4">
        <v>24</v>
      </c>
      <c r="C1705" s="29" t="s">
        <v>69</v>
      </c>
      <c r="D1705" s="46">
        <v>0</v>
      </c>
      <c r="E1705" s="28">
        <v>0</v>
      </c>
      <c r="F1705" s="28">
        <f t="shared" ref="F1705:H1705" si="3534">F1675*2</f>
        <v>470</v>
      </c>
      <c r="G1705" s="28">
        <f t="shared" si="3534"/>
        <v>0</v>
      </c>
      <c r="H1705" s="28">
        <f t="shared" si="3534"/>
        <v>2682</v>
      </c>
      <c r="I1705" s="21">
        <f t="shared" si="3509"/>
        <v>330</v>
      </c>
      <c r="J1705" s="21">
        <f t="shared" si="3447"/>
        <v>23</v>
      </c>
      <c r="K1705" s="21">
        <v>0</v>
      </c>
      <c r="L1705" s="20">
        <v>6</v>
      </c>
      <c r="M1705" s="20">
        <v>0</v>
      </c>
      <c r="N1705" s="20">
        <f t="shared" si="3510"/>
        <v>9600</v>
      </c>
      <c r="O1705" s="19" t="s">
        <v>69</v>
      </c>
      <c r="P1705" s="20">
        <v>6400</v>
      </c>
      <c r="Q1705" s="20">
        <f t="shared" ref="Q1705:X1705" si="3535">Q1675</f>
        <v>960</v>
      </c>
      <c r="R1705" s="20">
        <f t="shared" si="3535"/>
        <v>3840</v>
      </c>
      <c r="S1705" s="20">
        <f t="shared" si="3535"/>
        <v>6720</v>
      </c>
      <c r="T1705" s="20">
        <f t="shared" si="3535"/>
        <v>8640</v>
      </c>
      <c r="U1705" s="20">
        <f t="shared" si="3535"/>
        <v>100</v>
      </c>
      <c r="V1705" s="20">
        <f t="shared" si="3535"/>
        <v>500</v>
      </c>
      <c r="W1705" s="20">
        <f t="shared" si="3535"/>
        <v>900</v>
      </c>
      <c r="X1705" s="20">
        <f t="shared" si="3535"/>
        <v>6</v>
      </c>
      <c r="Y1705" s="20">
        <v>0</v>
      </c>
      <c r="Z1705" s="20">
        <v>0</v>
      </c>
      <c r="AA1705" s="20">
        <v>0</v>
      </c>
      <c r="AB1705" s="20">
        <v>0</v>
      </c>
      <c r="AC1705" s="20">
        <v>0</v>
      </c>
      <c r="AD1705" s="23">
        <f t="shared" ref="AD1705:AE1705" si="3536">AD1675</f>
        <v>46</v>
      </c>
      <c r="AE1705" s="23">
        <f t="shared" si="3536"/>
        <v>50</v>
      </c>
    </row>
    <row r="1706" spans="1:31">
      <c r="A1706" s="4">
        <v>15101</v>
      </c>
      <c r="B1706" s="4">
        <v>25</v>
      </c>
      <c r="C1706" s="29" t="s">
        <v>70</v>
      </c>
      <c r="D1706" s="46">
        <v>0</v>
      </c>
      <c r="E1706" s="28">
        <v>0</v>
      </c>
      <c r="F1706" s="28">
        <f t="shared" ref="F1706:H1706" si="3537">F1676*2</f>
        <v>508</v>
      </c>
      <c r="G1706" s="28">
        <f t="shared" si="3537"/>
        <v>0</v>
      </c>
      <c r="H1706" s="28">
        <f t="shared" si="3537"/>
        <v>2904</v>
      </c>
      <c r="I1706" s="21">
        <f t="shared" si="3509"/>
        <v>385</v>
      </c>
      <c r="J1706" s="21">
        <f t="shared" si="3447"/>
        <v>24</v>
      </c>
      <c r="K1706" s="21">
        <v>0</v>
      </c>
      <c r="L1706" s="20">
        <v>6</v>
      </c>
      <c r="M1706" s="20">
        <v>0</v>
      </c>
      <c r="N1706" s="20">
        <f t="shared" si="3510"/>
        <v>12500</v>
      </c>
      <c r="O1706" s="19" t="s">
        <v>70</v>
      </c>
      <c r="P1706" s="20">
        <v>3100</v>
      </c>
      <c r="Q1706" s="20">
        <f t="shared" ref="Q1706:X1706" si="3538">Q1676</f>
        <v>1250</v>
      </c>
      <c r="R1706" s="20">
        <f t="shared" si="3538"/>
        <v>5000</v>
      </c>
      <c r="S1706" s="20">
        <f t="shared" si="3538"/>
        <v>8750</v>
      </c>
      <c r="T1706" s="20">
        <f t="shared" si="3538"/>
        <v>11250</v>
      </c>
      <c r="U1706" s="20">
        <f t="shared" si="3538"/>
        <v>10</v>
      </c>
      <c r="V1706" s="20">
        <f t="shared" si="3538"/>
        <v>1300</v>
      </c>
      <c r="W1706" s="20">
        <f t="shared" si="3538"/>
        <v>1000</v>
      </c>
      <c r="X1706" s="20">
        <f t="shared" si="3538"/>
        <v>7</v>
      </c>
      <c r="Y1706" s="20">
        <v>0</v>
      </c>
      <c r="Z1706" s="20">
        <v>0</v>
      </c>
      <c r="AA1706" s="20">
        <v>0</v>
      </c>
      <c r="AB1706" s="20">
        <v>0</v>
      </c>
      <c r="AC1706" s="20">
        <v>0</v>
      </c>
      <c r="AD1706" s="23">
        <f t="shared" ref="AD1706:AE1706" si="3539">AD1676</f>
        <v>48</v>
      </c>
      <c r="AE1706" s="23">
        <f t="shared" si="3539"/>
        <v>52</v>
      </c>
    </row>
    <row r="1707" spans="1:31">
      <c r="A1707" s="4">
        <v>15101</v>
      </c>
      <c r="B1707" s="4">
        <v>26</v>
      </c>
      <c r="C1707" s="29" t="s">
        <v>71</v>
      </c>
      <c r="D1707" s="46">
        <v>0</v>
      </c>
      <c r="E1707" s="28">
        <v>0</v>
      </c>
      <c r="F1707" s="28">
        <f t="shared" ref="F1707:H1707" si="3540">F1677*2</f>
        <v>550</v>
      </c>
      <c r="G1707" s="28">
        <f t="shared" si="3540"/>
        <v>0</v>
      </c>
      <c r="H1707" s="28">
        <f t="shared" si="3540"/>
        <v>3144</v>
      </c>
      <c r="I1707" s="21">
        <f t="shared" si="3509"/>
        <v>385</v>
      </c>
      <c r="J1707" s="21">
        <f t="shared" si="3447"/>
        <v>25</v>
      </c>
      <c r="K1707" s="21">
        <v>0</v>
      </c>
      <c r="L1707" s="20">
        <v>6</v>
      </c>
      <c r="M1707" s="20">
        <v>0</v>
      </c>
      <c r="N1707" s="20">
        <f t="shared" si="3510"/>
        <v>13000</v>
      </c>
      <c r="O1707" s="19" t="s">
        <v>71</v>
      </c>
      <c r="P1707" s="20">
        <v>1777</v>
      </c>
      <c r="Q1707" s="20">
        <f t="shared" ref="Q1707:X1707" si="3541">Q1677</f>
        <v>1300</v>
      </c>
      <c r="R1707" s="20">
        <f t="shared" si="3541"/>
        <v>5200</v>
      </c>
      <c r="S1707" s="20">
        <f t="shared" si="3541"/>
        <v>9100</v>
      </c>
      <c r="T1707" s="20">
        <f t="shared" si="3541"/>
        <v>11700</v>
      </c>
      <c r="U1707" s="20">
        <f t="shared" si="3541"/>
        <v>90</v>
      </c>
      <c r="V1707" s="20">
        <f t="shared" si="3541"/>
        <v>800</v>
      </c>
      <c r="W1707" s="20">
        <f t="shared" si="3541"/>
        <v>2000</v>
      </c>
      <c r="X1707" s="20">
        <f t="shared" si="3541"/>
        <v>7</v>
      </c>
      <c r="Y1707" s="20">
        <v>0</v>
      </c>
      <c r="Z1707" s="20">
        <v>0</v>
      </c>
      <c r="AA1707" s="20">
        <v>0</v>
      </c>
      <c r="AB1707" s="20">
        <v>0</v>
      </c>
      <c r="AC1707" s="20">
        <v>0</v>
      </c>
      <c r="AD1707" s="23">
        <f t="shared" ref="AD1707:AE1707" si="3542">AD1677</f>
        <v>50</v>
      </c>
      <c r="AE1707" s="23">
        <f t="shared" si="3542"/>
        <v>54</v>
      </c>
    </row>
    <row r="1708" spans="1:31">
      <c r="A1708" s="4">
        <v>15101</v>
      </c>
      <c r="B1708" s="4">
        <v>27</v>
      </c>
      <c r="C1708" s="29" t="s">
        <v>72</v>
      </c>
      <c r="D1708" s="46">
        <v>0</v>
      </c>
      <c r="E1708" s="28">
        <v>0</v>
      </c>
      <c r="F1708" s="28">
        <f t="shared" ref="F1708:H1708" si="3543">F1678*2</f>
        <v>596</v>
      </c>
      <c r="G1708" s="28">
        <f t="shared" si="3543"/>
        <v>0</v>
      </c>
      <c r="H1708" s="28">
        <f t="shared" si="3543"/>
        <v>3404</v>
      </c>
      <c r="I1708" s="21">
        <f t="shared" si="3509"/>
        <v>385</v>
      </c>
      <c r="J1708" s="21">
        <f t="shared" si="3447"/>
        <v>26</v>
      </c>
      <c r="K1708" s="21">
        <v>0</v>
      </c>
      <c r="L1708" s="20">
        <v>6</v>
      </c>
      <c r="M1708" s="20">
        <v>0</v>
      </c>
      <c r="N1708" s="20">
        <f t="shared" si="3510"/>
        <v>13500</v>
      </c>
      <c r="O1708" s="19" t="s">
        <v>72</v>
      </c>
      <c r="P1708" s="20">
        <v>2332</v>
      </c>
      <c r="Q1708" s="20">
        <f t="shared" ref="Q1708:X1708" si="3544">Q1678</f>
        <v>1350</v>
      </c>
      <c r="R1708" s="20">
        <f t="shared" si="3544"/>
        <v>5400</v>
      </c>
      <c r="S1708" s="20">
        <f t="shared" si="3544"/>
        <v>9450</v>
      </c>
      <c r="T1708" s="20">
        <f t="shared" si="3544"/>
        <v>12150</v>
      </c>
      <c r="U1708" s="20">
        <f t="shared" si="3544"/>
        <v>80</v>
      </c>
      <c r="V1708" s="20">
        <f t="shared" si="3544"/>
        <v>700</v>
      </c>
      <c r="W1708" s="20">
        <f t="shared" si="3544"/>
        <v>800</v>
      </c>
      <c r="X1708" s="20">
        <f t="shared" si="3544"/>
        <v>7</v>
      </c>
      <c r="Y1708" s="20">
        <v>0</v>
      </c>
      <c r="Z1708" s="20">
        <v>0</v>
      </c>
      <c r="AA1708" s="20">
        <v>0</v>
      </c>
      <c r="AB1708" s="20">
        <v>0</v>
      </c>
      <c r="AC1708" s="20">
        <v>0</v>
      </c>
      <c r="AD1708" s="23">
        <f t="shared" ref="AD1708:AE1708" si="3545">AD1678</f>
        <v>52</v>
      </c>
      <c r="AE1708" s="23">
        <f t="shared" si="3545"/>
        <v>56</v>
      </c>
    </row>
    <row r="1709" spans="1:31">
      <c r="A1709" s="4">
        <v>15101</v>
      </c>
      <c r="B1709" s="4">
        <v>28</v>
      </c>
      <c r="C1709" s="29" t="s">
        <v>73</v>
      </c>
      <c r="D1709" s="46">
        <v>0</v>
      </c>
      <c r="E1709" s="28">
        <v>0</v>
      </c>
      <c r="F1709" s="28">
        <f t="shared" ref="F1709:H1709" si="3546">F1679*2</f>
        <v>646</v>
      </c>
      <c r="G1709" s="28">
        <f t="shared" si="3546"/>
        <v>0</v>
      </c>
      <c r="H1709" s="28">
        <f t="shared" si="3546"/>
        <v>3686</v>
      </c>
      <c r="I1709" s="21">
        <f t="shared" si="3509"/>
        <v>385</v>
      </c>
      <c r="J1709" s="21">
        <f t="shared" si="3447"/>
        <v>27</v>
      </c>
      <c r="K1709" s="21">
        <v>0</v>
      </c>
      <c r="L1709" s="20">
        <v>6</v>
      </c>
      <c r="M1709" s="20">
        <v>0</v>
      </c>
      <c r="N1709" s="20">
        <f t="shared" si="3510"/>
        <v>14000</v>
      </c>
      <c r="O1709" s="19" t="s">
        <v>73</v>
      </c>
      <c r="P1709" s="20">
        <v>1487</v>
      </c>
      <c r="Q1709" s="20">
        <f t="shared" ref="Q1709:X1709" si="3547">Q1679</f>
        <v>1400</v>
      </c>
      <c r="R1709" s="20">
        <f t="shared" si="3547"/>
        <v>5600</v>
      </c>
      <c r="S1709" s="20">
        <f t="shared" si="3547"/>
        <v>9800</v>
      </c>
      <c r="T1709" s="20">
        <f t="shared" si="3547"/>
        <v>12600</v>
      </c>
      <c r="U1709" s="20">
        <f t="shared" si="3547"/>
        <v>80</v>
      </c>
      <c r="V1709" s="20">
        <f t="shared" si="3547"/>
        <v>500</v>
      </c>
      <c r="W1709" s="20">
        <f t="shared" si="3547"/>
        <v>600</v>
      </c>
      <c r="X1709" s="20">
        <f t="shared" si="3547"/>
        <v>7</v>
      </c>
      <c r="Y1709" s="20">
        <f>ROUND(D1709*0.25,-1)</f>
        <v>0</v>
      </c>
      <c r="Z1709" s="20">
        <f>ROUND(E1709*0.25,-1)</f>
        <v>0</v>
      </c>
      <c r="AA1709" s="20">
        <v>0</v>
      </c>
      <c r="AB1709" s="20">
        <f>ROUND(G1709*0.25,-1)</f>
        <v>0</v>
      </c>
      <c r="AC1709" s="20">
        <f t="shared" si="3467"/>
        <v>1134</v>
      </c>
      <c r="AD1709" s="23">
        <f t="shared" ref="AD1709:AE1709" si="3548">AD1679</f>
        <v>54</v>
      </c>
      <c r="AE1709" s="23">
        <f t="shared" si="3548"/>
        <v>58</v>
      </c>
    </row>
    <row r="1710" spans="1:31">
      <c r="A1710" s="4">
        <v>15101</v>
      </c>
      <c r="B1710" s="4">
        <v>29</v>
      </c>
      <c r="C1710" s="29" t="s">
        <v>74</v>
      </c>
      <c r="D1710" s="46">
        <v>0</v>
      </c>
      <c r="E1710" s="28">
        <v>0</v>
      </c>
      <c r="F1710" s="28">
        <f t="shared" ref="F1710:H1710" si="3549">F1680*2</f>
        <v>698</v>
      </c>
      <c r="G1710" s="28">
        <f t="shared" si="3549"/>
        <v>0</v>
      </c>
      <c r="H1710" s="28">
        <f t="shared" si="3549"/>
        <v>3990</v>
      </c>
      <c r="I1710" s="21">
        <f t="shared" si="3509"/>
        <v>440</v>
      </c>
      <c r="J1710" s="21">
        <f t="shared" si="3447"/>
        <v>28</v>
      </c>
      <c r="K1710" s="21">
        <v>0</v>
      </c>
      <c r="L1710" s="20">
        <v>6</v>
      </c>
      <c r="M1710" s="20">
        <v>0</v>
      </c>
      <c r="N1710" s="20">
        <f t="shared" si="3510"/>
        <v>14500</v>
      </c>
      <c r="O1710" s="19" t="s">
        <v>74</v>
      </c>
      <c r="P1710" s="20">
        <v>1518</v>
      </c>
      <c r="Q1710" s="20">
        <f t="shared" ref="Q1710:X1710" si="3550">Q1680</f>
        <v>1450</v>
      </c>
      <c r="R1710" s="20">
        <f t="shared" si="3550"/>
        <v>5800</v>
      </c>
      <c r="S1710" s="20">
        <f t="shared" si="3550"/>
        <v>10150</v>
      </c>
      <c r="T1710" s="20">
        <f t="shared" si="3550"/>
        <v>13050</v>
      </c>
      <c r="U1710" s="20">
        <f t="shared" si="3550"/>
        <v>80</v>
      </c>
      <c r="V1710" s="20">
        <f t="shared" si="3550"/>
        <v>600</v>
      </c>
      <c r="W1710" s="20">
        <f t="shared" si="3550"/>
        <v>700</v>
      </c>
      <c r="X1710" s="20">
        <f t="shared" si="3550"/>
        <v>8</v>
      </c>
      <c r="Y1710" s="20">
        <v>0</v>
      </c>
      <c r="Z1710" s="20">
        <v>0</v>
      </c>
      <c r="AA1710" s="20">
        <v>0</v>
      </c>
      <c r="AB1710" s="20">
        <v>0</v>
      </c>
      <c r="AC1710" s="20">
        <v>0</v>
      </c>
      <c r="AD1710" s="23">
        <f t="shared" ref="AD1710:AE1710" si="3551">AD1680</f>
        <v>56</v>
      </c>
      <c r="AE1710" s="23">
        <f t="shared" si="3551"/>
        <v>60</v>
      </c>
    </row>
    <row r="1711" spans="1:31">
      <c r="A1711" s="4">
        <v>15101</v>
      </c>
      <c r="B1711" s="4">
        <v>30</v>
      </c>
      <c r="C1711" s="29" t="s">
        <v>75</v>
      </c>
      <c r="D1711" s="46">
        <v>0</v>
      </c>
      <c r="E1711" s="28">
        <v>0</v>
      </c>
      <c r="F1711" s="28">
        <f t="shared" ref="F1711:H1711" si="3552">F1681*2</f>
        <v>756</v>
      </c>
      <c r="G1711" s="28">
        <f t="shared" si="3552"/>
        <v>0</v>
      </c>
      <c r="H1711" s="28">
        <f t="shared" si="3552"/>
        <v>4320</v>
      </c>
      <c r="I1711" s="21">
        <f t="shared" si="3509"/>
        <v>440</v>
      </c>
      <c r="J1711" s="21">
        <f t="shared" si="3447"/>
        <v>29</v>
      </c>
      <c r="K1711" s="21">
        <v>0</v>
      </c>
      <c r="L1711" s="20">
        <v>6</v>
      </c>
      <c r="M1711" s="20">
        <v>0</v>
      </c>
      <c r="N1711" s="20">
        <f t="shared" si="3510"/>
        <v>15000</v>
      </c>
      <c r="O1711" s="19" t="s">
        <v>75</v>
      </c>
      <c r="P1711" s="20">
        <v>861</v>
      </c>
      <c r="Q1711" s="20">
        <f t="shared" ref="Q1711:X1711" si="3553">Q1681</f>
        <v>1500</v>
      </c>
      <c r="R1711" s="20">
        <f t="shared" si="3553"/>
        <v>6000</v>
      </c>
      <c r="S1711" s="20">
        <f t="shared" si="3553"/>
        <v>10500</v>
      </c>
      <c r="T1711" s="20">
        <f t="shared" si="3553"/>
        <v>13500</v>
      </c>
      <c r="U1711" s="20">
        <f t="shared" si="3553"/>
        <v>20</v>
      </c>
      <c r="V1711" s="20">
        <f t="shared" si="3553"/>
        <v>450</v>
      </c>
      <c r="W1711" s="20">
        <f t="shared" si="3553"/>
        <v>1000</v>
      </c>
      <c r="X1711" s="20">
        <f t="shared" si="3553"/>
        <v>8</v>
      </c>
      <c r="Y1711" s="20">
        <v>0</v>
      </c>
      <c r="Z1711" s="20">
        <v>0</v>
      </c>
      <c r="AA1711" s="20">
        <v>0</v>
      </c>
      <c r="AB1711" s="20">
        <v>0</v>
      </c>
      <c r="AC1711" s="20">
        <v>0</v>
      </c>
      <c r="AD1711" s="23">
        <f t="shared" ref="AD1711:AE1711" si="3554">AD1681</f>
        <v>58</v>
      </c>
      <c r="AE1711" s="23">
        <f t="shared" si="3554"/>
        <v>62</v>
      </c>
    </row>
    <row r="1712" spans="1:31">
      <c r="A1712" s="4">
        <v>15102</v>
      </c>
      <c r="B1712" s="4">
        <v>1</v>
      </c>
      <c r="C1712" s="19" t="s">
        <v>66</v>
      </c>
      <c r="D1712" s="44">
        <v>0</v>
      </c>
      <c r="E1712" s="18">
        <v>0</v>
      </c>
      <c r="F1712" s="18">
        <f>F1652*3</f>
        <v>114</v>
      </c>
      <c r="G1712" s="18">
        <f t="shared" ref="G1712:H1712" si="3555">G1652*3</f>
        <v>0</v>
      </c>
      <c r="H1712" s="18">
        <f t="shared" si="3555"/>
        <v>648</v>
      </c>
      <c r="I1712" s="21">
        <f t="shared" si="3509"/>
        <v>55</v>
      </c>
      <c r="J1712" s="21">
        <f t="shared" si="3447"/>
        <v>0</v>
      </c>
      <c r="K1712" s="21">
        <v>0</v>
      </c>
      <c r="L1712" s="20">
        <v>45</v>
      </c>
      <c r="M1712" s="20">
        <v>0</v>
      </c>
      <c r="N1712" s="20">
        <f t="shared" si="3510"/>
        <v>10</v>
      </c>
      <c r="O1712" s="19" t="s">
        <v>66</v>
      </c>
      <c r="P1712" s="20">
        <v>9400</v>
      </c>
      <c r="Q1712" s="20">
        <f t="shared" ref="Q1712:X1712" si="3556">Q1682</f>
        <v>1</v>
      </c>
      <c r="R1712" s="20">
        <f t="shared" si="3556"/>
        <v>4</v>
      </c>
      <c r="S1712" s="20">
        <f t="shared" si="3556"/>
        <v>7</v>
      </c>
      <c r="T1712" s="20">
        <f t="shared" si="3556"/>
        <v>9</v>
      </c>
      <c r="U1712" s="20">
        <f t="shared" si="3556"/>
        <v>9400</v>
      </c>
      <c r="V1712" s="20">
        <f t="shared" si="3556"/>
        <v>9400</v>
      </c>
      <c r="W1712" s="20">
        <f t="shared" si="3556"/>
        <v>9400</v>
      </c>
      <c r="X1712" s="20">
        <f t="shared" si="3556"/>
        <v>1</v>
      </c>
      <c r="Y1712" s="20">
        <v>0</v>
      </c>
      <c r="Z1712" s="20">
        <v>0</v>
      </c>
      <c r="AA1712" s="20">
        <v>0</v>
      </c>
      <c r="AB1712" s="20">
        <v>0</v>
      </c>
      <c r="AC1712" s="20">
        <f>INT(AC1772*0.8)</f>
        <v>0</v>
      </c>
      <c r="AD1712" s="23">
        <f t="shared" ref="AD1712:AE1712" si="3557">AD1682</f>
        <v>1</v>
      </c>
      <c r="AE1712" s="23">
        <f t="shared" si="3557"/>
        <v>3</v>
      </c>
    </row>
    <row r="1713" spans="1:31">
      <c r="A1713" s="4">
        <v>15102</v>
      </c>
      <c r="B1713" s="4">
        <v>2</v>
      </c>
      <c r="C1713" s="19" t="s">
        <v>67</v>
      </c>
      <c r="D1713" s="44">
        <v>0</v>
      </c>
      <c r="E1713" s="18">
        <v>0</v>
      </c>
      <c r="F1713" s="18">
        <f t="shared" ref="F1713:H1713" si="3558">F1653*3</f>
        <v>123</v>
      </c>
      <c r="G1713" s="18">
        <f t="shared" si="3558"/>
        <v>0</v>
      </c>
      <c r="H1713" s="18">
        <f t="shared" si="3558"/>
        <v>702</v>
      </c>
      <c r="I1713" s="21">
        <f t="shared" si="3509"/>
        <v>55</v>
      </c>
      <c r="J1713" s="21">
        <f t="shared" si="3447"/>
        <v>1</v>
      </c>
      <c r="K1713" s="21">
        <v>0</v>
      </c>
      <c r="L1713" s="20">
        <v>40</v>
      </c>
      <c r="M1713" s="20">
        <v>0</v>
      </c>
      <c r="N1713" s="20">
        <f t="shared" si="3510"/>
        <v>20</v>
      </c>
      <c r="O1713" s="19" t="s">
        <v>67</v>
      </c>
      <c r="P1713" s="20">
        <v>9100</v>
      </c>
      <c r="Q1713" s="20">
        <f t="shared" ref="Q1713:X1713" si="3559">Q1683</f>
        <v>2</v>
      </c>
      <c r="R1713" s="20">
        <f t="shared" si="3559"/>
        <v>8</v>
      </c>
      <c r="S1713" s="20">
        <f t="shared" si="3559"/>
        <v>14</v>
      </c>
      <c r="T1713" s="20">
        <f t="shared" si="3559"/>
        <v>18</v>
      </c>
      <c r="U1713" s="20">
        <f t="shared" si="3559"/>
        <v>4000</v>
      </c>
      <c r="V1713" s="20">
        <f t="shared" si="3559"/>
        <v>8000</v>
      </c>
      <c r="W1713" s="20">
        <f t="shared" si="3559"/>
        <v>8000</v>
      </c>
      <c r="X1713" s="20">
        <f t="shared" si="3559"/>
        <v>1</v>
      </c>
      <c r="Y1713" s="20">
        <v>0</v>
      </c>
      <c r="Z1713" s="20">
        <v>0</v>
      </c>
      <c r="AA1713" s="20">
        <v>0</v>
      </c>
      <c r="AB1713" s="20">
        <v>0</v>
      </c>
      <c r="AC1713" s="20">
        <f t="shared" ref="AC1713:AC1739" si="3560">INT(AC1773*0.8)</f>
        <v>0</v>
      </c>
      <c r="AD1713" s="23">
        <f t="shared" ref="AD1713:AE1713" si="3561">AD1683</f>
        <v>2</v>
      </c>
      <c r="AE1713" s="23">
        <f t="shared" si="3561"/>
        <v>5</v>
      </c>
    </row>
    <row r="1714" spans="1:31">
      <c r="A1714" s="4">
        <v>15102</v>
      </c>
      <c r="B1714" s="4">
        <v>3</v>
      </c>
      <c r="C1714" s="19" t="s">
        <v>68</v>
      </c>
      <c r="D1714" s="44">
        <v>0</v>
      </c>
      <c r="E1714" s="18">
        <v>0</v>
      </c>
      <c r="F1714" s="18">
        <f t="shared" ref="F1714:H1714" si="3562">F1654*3</f>
        <v>135</v>
      </c>
      <c r="G1714" s="18">
        <f t="shared" si="3562"/>
        <v>0</v>
      </c>
      <c r="H1714" s="18">
        <f t="shared" si="3562"/>
        <v>759</v>
      </c>
      <c r="I1714" s="21">
        <f t="shared" si="3509"/>
        <v>55</v>
      </c>
      <c r="J1714" s="21">
        <f t="shared" si="3447"/>
        <v>2</v>
      </c>
      <c r="K1714" s="21">
        <v>0</v>
      </c>
      <c r="L1714" s="20">
        <v>35</v>
      </c>
      <c r="M1714" s="20">
        <v>0</v>
      </c>
      <c r="N1714" s="20">
        <f t="shared" si="3510"/>
        <v>40</v>
      </c>
      <c r="O1714" s="19" t="s">
        <v>68</v>
      </c>
      <c r="P1714" s="20">
        <v>8600</v>
      </c>
      <c r="Q1714" s="20">
        <f t="shared" ref="Q1714:X1714" si="3563">Q1684</f>
        <v>4</v>
      </c>
      <c r="R1714" s="20">
        <f t="shared" si="3563"/>
        <v>16</v>
      </c>
      <c r="S1714" s="20">
        <f t="shared" si="3563"/>
        <v>28</v>
      </c>
      <c r="T1714" s="20">
        <f t="shared" si="3563"/>
        <v>36</v>
      </c>
      <c r="U1714" s="20">
        <f t="shared" si="3563"/>
        <v>1600</v>
      </c>
      <c r="V1714" s="20">
        <f t="shared" si="3563"/>
        <v>5000</v>
      </c>
      <c r="W1714" s="20">
        <f t="shared" si="3563"/>
        <v>6000</v>
      </c>
      <c r="X1714" s="20">
        <f t="shared" si="3563"/>
        <v>1</v>
      </c>
      <c r="Y1714" s="20">
        <v>0</v>
      </c>
      <c r="Z1714" s="20">
        <v>0</v>
      </c>
      <c r="AA1714" s="20">
        <v>0</v>
      </c>
      <c r="AB1714" s="20">
        <v>0</v>
      </c>
      <c r="AC1714" s="20">
        <f t="shared" si="3560"/>
        <v>0</v>
      </c>
      <c r="AD1714" s="23">
        <f t="shared" ref="AD1714:AE1714" si="3564">AD1684</f>
        <v>4</v>
      </c>
      <c r="AE1714" s="23">
        <f t="shared" si="3564"/>
        <v>8</v>
      </c>
    </row>
    <row r="1715" spans="1:31">
      <c r="A1715" s="4">
        <v>15102</v>
      </c>
      <c r="B1715" s="4">
        <v>4</v>
      </c>
      <c r="C1715" s="19" t="s">
        <v>69</v>
      </c>
      <c r="D1715" s="44">
        <v>0</v>
      </c>
      <c r="E1715" s="18">
        <v>0</v>
      </c>
      <c r="F1715" s="18">
        <f t="shared" ref="F1715:H1715" si="3565">F1655*3</f>
        <v>144</v>
      </c>
      <c r="G1715" s="18">
        <f t="shared" si="3565"/>
        <v>0</v>
      </c>
      <c r="H1715" s="18">
        <f t="shared" si="3565"/>
        <v>822</v>
      </c>
      <c r="I1715" s="21">
        <f t="shared" si="3509"/>
        <v>55</v>
      </c>
      <c r="J1715" s="21">
        <f t="shared" si="3447"/>
        <v>3</v>
      </c>
      <c r="K1715" s="21">
        <v>0</v>
      </c>
      <c r="L1715" s="20">
        <v>30</v>
      </c>
      <c r="M1715" s="20">
        <v>0</v>
      </c>
      <c r="N1715" s="20">
        <f t="shared" si="3510"/>
        <v>100</v>
      </c>
      <c r="O1715" s="19" t="s">
        <v>69</v>
      </c>
      <c r="P1715" s="20">
        <v>6400</v>
      </c>
      <c r="Q1715" s="20">
        <f t="shared" ref="Q1715:X1715" si="3566">Q1685</f>
        <v>10</v>
      </c>
      <c r="R1715" s="20">
        <f t="shared" si="3566"/>
        <v>40</v>
      </c>
      <c r="S1715" s="20">
        <f t="shared" si="3566"/>
        <v>70</v>
      </c>
      <c r="T1715" s="20">
        <f t="shared" si="3566"/>
        <v>90</v>
      </c>
      <c r="U1715" s="20">
        <f t="shared" si="3566"/>
        <v>900</v>
      </c>
      <c r="V1715" s="20">
        <f t="shared" si="3566"/>
        <v>2000</v>
      </c>
      <c r="W1715" s="20">
        <f t="shared" si="3566"/>
        <v>8000</v>
      </c>
      <c r="X1715" s="20">
        <f t="shared" si="3566"/>
        <v>1</v>
      </c>
      <c r="Y1715" s="20">
        <v>0</v>
      </c>
      <c r="Z1715" s="20">
        <v>0</v>
      </c>
      <c r="AA1715" s="20">
        <v>0</v>
      </c>
      <c r="AB1715" s="20">
        <v>0</v>
      </c>
      <c r="AC1715" s="20">
        <f t="shared" si="3560"/>
        <v>0</v>
      </c>
      <c r="AD1715" s="23">
        <f t="shared" ref="AD1715:AE1715" si="3567">AD1685</f>
        <v>6</v>
      </c>
      <c r="AE1715" s="23">
        <f t="shared" si="3567"/>
        <v>10</v>
      </c>
    </row>
    <row r="1716" spans="1:31">
      <c r="A1716" s="4">
        <v>15102</v>
      </c>
      <c r="B1716" s="4">
        <v>5</v>
      </c>
      <c r="C1716" s="19" t="s">
        <v>70</v>
      </c>
      <c r="D1716" s="44">
        <v>0</v>
      </c>
      <c r="E1716" s="18">
        <v>0</v>
      </c>
      <c r="F1716" s="18">
        <f t="shared" ref="F1716:H1716" si="3568">F1656*3</f>
        <v>156</v>
      </c>
      <c r="G1716" s="18">
        <f t="shared" si="3568"/>
        <v>0</v>
      </c>
      <c r="H1716" s="18">
        <f t="shared" si="3568"/>
        <v>891</v>
      </c>
      <c r="I1716" s="21">
        <f t="shared" si="3509"/>
        <v>110</v>
      </c>
      <c r="J1716" s="21">
        <f t="shared" si="3447"/>
        <v>4</v>
      </c>
      <c r="K1716" s="21">
        <v>0</v>
      </c>
      <c r="L1716" s="20">
        <v>25</v>
      </c>
      <c r="M1716" s="20">
        <v>0</v>
      </c>
      <c r="N1716" s="20">
        <f t="shared" si="3510"/>
        <v>200</v>
      </c>
      <c r="O1716" s="19" t="s">
        <v>70</v>
      </c>
      <c r="P1716" s="20">
        <v>3100</v>
      </c>
      <c r="Q1716" s="20">
        <f t="shared" ref="Q1716:X1716" si="3569">Q1686</f>
        <v>20</v>
      </c>
      <c r="R1716" s="20">
        <f t="shared" si="3569"/>
        <v>80</v>
      </c>
      <c r="S1716" s="20">
        <f t="shared" si="3569"/>
        <v>140</v>
      </c>
      <c r="T1716" s="20">
        <f t="shared" si="3569"/>
        <v>180</v>
      </c>
      <c r="U1716" s="20">
        <f t="shared" si="3569"/>
        <v>1000</v>
      </c>
      <c r="V1716" s="20">
        <f t="shared" si="3569"/>
        <v>2000</v>
      </c>
      <c r="W1716" s="20">
        <f t="shared" si="3569"/>
        <v>2000</v>
      </c>
      <c r="X1716" s="20">
        <f t="shared" si="3569"/>
        <v>2</v>
      </c>
      <c r="Y1716" s="20">
        <v>0</v>
      </c>
      <c r="Z1716" s="20">
        <v>0</v>
      </c>
      <c r="AA1716" s="20">
        <v>0</v>
      </c>
      <c r="AB1716" s="20">
        <v>0</v>
      </c>
      <c r="AC1716" s="20">
        <f t="shared" si="3560"/>
        <v>0</v>
      </c>
      <c r="AD1716" s="23">
        <f t="shared" ref="AD1716:AE1716" si="3570">AD1686</f>
        <v>8</v>
      </c>
      <c r="AE1716" s="23">
        <f t="shared" si="3570"/>
        <v>12</v>
      </c>
    </row>
    <row r="1717" spans="1:31">
      <c r="A1717" s="4">
        <v>15102</v>
      </c>
      <c r="B1717" s="4">
        <v>6</v>
      </c>
      <c r="C1717" s="19" t="s">
        <v>71</v>
      </c>
      <c r="D1717" s="44">
        <v>0</v>
      </c>
      <c r="E1717" s="18">
        <v>0</v>
      </c>
      <c r="F1717" s="18">
        <f t="shared" ref="F1717:H1717" si="3571">F1657*3</f>
        <v>168</v>
      </c>
      <c r="G1717" s="18">
        <f t="shared" si="3571"/>
        <v>0</v>
      </c>
      <c r="H1717" s="18">
        <f t="shared" si="3571"/>
        <v>963</v>
      </c>
      <c r="I1717" s="21">
        <f t="shared" si="3509"/>
        <v>110</v>
      </c>
      <c r="J1717" s="21">
        <f t="shared" si="3447"/>
        <v>5</v>
      </c>
      <c r="K1717" s="21">
        <v>0</v>
      </c>
      <c r="L1717" s="20">
        <v>20</v>
      </c>
      <c r="M1717" s="20">
        <v>0</v>
      </c>
      <c r="N1717" s="20">
        <f t="shared" si="3510"/>
        <v>500</v>
      </c>
      <c r="O1717" s="19" t="s">
        <v>71</v>
      </c>
      <c r="P1717" s="20">
        <v>1777</v>
      </c>
      <c r="Q1717" s="20">
        <f t="shared" ref="Q1717:X1717" si="3572">Q1687</f>
        <v>50</v>
      </c>
      <c r="R1717" s="20">
        <f t="shared" si="3572"/>
        <v>200</v>
      </c>
      <c r="S1717" s="20">
        <f t="shared" si="3572"/>
        <v>350</v>
      </c>
      <c r="T1717" s="20">
        <f t="shared" si="3572"/>
        <v>450</v>
      </c>
      <c r="U1717" s="20">
        <f t="shared" si="3572"/>
        <v>800</v>
      </c>
      <c r="V1717" s="20">
        <f t="shared" si="3572"/>
        <v>800</v>
      </c>
      <c r="W1717" s="20">
        <f t="shared" si="3572"/>
        <v>600</v>
      </c>
      <c r="X1717" s="20">
        <f t="shared" si="3572"/>
        <v>2</v>
      </c>
      <c r="Y1717" s="20">
        <v>0</v>
      </c>
      <c r="Z1717" s="20">
        <v>0</v>
      </c>
      <c r="AA1717" s="20">
        <v>0</v>
      </c>
      <c r="AB1717" s="20">
        <v>0</v>
      </c>
      <c r="AC1717" s="20">
        <f t="shared" si="3560"/>
        <v>0</v>
      </c>
      <c r="AD1717" s="23">
        <f t="shared" ref="AD1717:AE1717" si="3573">AD1687</f>
        <v>10</v>
      </c>
      <c r="AE1717" s="23">
        <f t="shared" si="3573"/>
        <v>14</v>
      </c>
    </row>
    <row r="1718" spans="1:31">
      <c r="A1718" s="8">
        <v>15102</v>
      </c>
      <c r="B1718" s="8">
        <v>7</v>
      </c>
      <c r="C1718" s="19" t="s">
        <v>72</v>
      </c>
      <c r="D1718" s="44">
        <v>0</v>
      </c>
      <c r="E1718" s="18">
        <v>0</v>
      </c>
      <c r="F1718" s="18">
        <f t="shared" ref="F1718:H1718" si="3574">F1658*3</f>
        <v>183</v>
      </c>
      <c r="G1718" s="18">
        <f t="shared" si="3574"/>
        <v>0</v>
      </c>
      <c r="H1718" s="18">
        <f t="shared" si="3574"/>
        <v>1044</v>
      </c>
      <c r="I1718" s="21">
        <f t="shared" si="3509"/>
        <v>110</v>
      </c>
      <c r="J1718" s="21">
        <f t="shared" si="3447"/>
        <v>6</v>
      </c>
      <c r="K1718" s="21">
        <v>0</v>
      </c>
      <c r="L1718" s="20">
        <v>16</v>
      </c>
      <c r="M1718" s="20">
        <v>0</v>
      </c>
      <c r="N1718" s="20">
        <f t="shared" si="3510"/>
        <v>700</v>
      </c>
      <c r="O1718" s="19" t="s">
        <v>72</v>
      </c>
      <c r="P1718" s="20">
        <v>2332</v>
      </c>
      <c r="Q1718" s="20">
        <f t="shared" ref="Q1718:X1718" si="3575">Q1688</f>
        <v>70</v>
      </c>
      <c r="R1718" s="20">
        <f t="shared" si="3575"/>
        <v>280</v>
      </c>
      <c r="S1718" s="20">
        <f t="shared" si="3575"/>
        <v>489.99999999999994</v>
      </c>
      <c r="T1718" s="20">
        <f t="shared" si="3575"/>
        <v>630</v>
      </c>
      <c r="U1718" s="20">
        <f t="shared" si="3575"/>
        <v>650</v>
      </c>
      <c r="V1718" s="20">
        <f t="shared" si="3575"/>
        <v>800</v>
      </c>
      <c r="W1718" s="20">
        <f t="shared" si="3575"/>
        <v>300</v>
      </c>
      <c r="X1718" s="20">
        <f t="shared" si="3575"/>
        <v>2</v>
      </c>
      <c r="Y1718" s="20">
        <v>0</v>
      </c>
      <c r="Z1718" s="20">
        <v>0</v>
      </c>
      <c r="AA1718" s="20">
        <v>0</v>
      </c>
      <c r="AB1718" s="20">
        <v>0</v>
      </c>
      <c r="AC1718" s="20">
        <f t="shared" si="3560"/>
        <v>0</v>
      </c>
      <c r="AD1718" s="23">
        <f t="shared" ref="AD1718:AE1718" si="3576">AD1688</f>
        <v>12</v>
      </c>
      <c r="AE1718" s="23">
        <f t="shared" si="3576"/>
        <v>16</v>
      </c>
    </row>
    <row r="1719" spans="1:31">
      <c r="A1719" s="4">
        <v>15102</v>
      </c>
      <c r="B1719" s="4">
        <v>8</v>
      </c>
      <c r="C1719" s="19" t="s">
        <v>73</v>
      </c>
      <c r="D1719" s="44">
        <v>0</v>
      </c>
      <c r="E1719" s="18">
        <v>0</v>
      </c>
      <c r="F1719" s="18">
        <f t="shared" ref="F1719:H1719" si="3577">F1659*3</f>
        <v>198</v>
      </c>
      <c r="G1719" s="18">
        <f t="shared" si="3577"/>
        <v>0</v>
      </c>
      <c r="H1719" s="18">
        <f t="shared" si="3577"/>
        <v>1131</v>
      </c>
      <c r="I1719" s="21">
        <f t="shared" si="3509"/>
        <v>110</v>
      </c>
      <c r="J1719" s="21">
        <f t="shared" si="3447"/>
        <v>7</v>
      </c>
      <c r="K1719" s="21">
        <v>0</v>
      </c>
      <c r="L1719" s="20">
        <v>12</v>
      </c>
      <c r="M1719" s="20">
        <v>0</v>
      </c>
      <c r="N1719" s="20">
        <f t="shared" si="3510"/>
        <v>800</v>
      </c>
      <c r="O1719" s="19" t="s">
        <v>73</v>
      </c>
      <c r="P1719" s="20">
        <v>1487</v>
      </c>
      <c r="Q1719" s="20">
        <f t="shared" ref="Q1719:X1719" si="3578">Q1689</f>
        <v>80</v>
      </c>
      <c r="R1719" s="20">
        <f t="shared" si="3578"/>
        <v>320</v>
      </c>
      <c r="S1719" s="20">
        <f t="shared" si="3578"/>
        <v>560</v>
      </c>
      <c r="T1719" s="20">
        <f t="shared" si="3578"/>
        <v>720</v>
      </c>
      <c r="U1719" s="20">
        <f t="shared" si="3578"/>
        <v>200</v>
      </c>
      <c r="V1719" s="20">
        <f t="shared" si="3578"/>
        <v>2000</v>
      </c>
      <c r="W1719" s="20">
        <f t="shared" si="3578"/>
        <v>1000</v>
      </c>
      <c r="X1719" s="20">
        <f t="shared" si="3578"/>
        <v>2</v>
      </c>
      <c r="Y1719" s="20">
        <f>ROUND(D1719*0.25,-1)</f>
        <v>0</v>
      </c>
      <c r="Z1719" s="20">
        <f>ROUND(E1719*0.25,-1)</f>
        <v>0</v>
      </c>
      <c r="AA1719" s="20">
        <v>0</v>
      </c>
      <c r="AB1719" s="20">
        <f>ROUND(G1719*0.25,-1)</f>
        <v>0</v>
      </c>
      <c r="AC1719" s="20">
        <f t="shared" si="3560"/>
        <v>259</v>
      </c>
      <c r="AD1719" s="23">
        <f t="shared" ref="AD1719:AE1719" si="3579">AD1689</f>
        <v>14</v>
      </c>
      <c r="AE1719" s="23">
        <f t="shared" si="3579"/>
        <v>18</v>
      </c>
    </row>
    <row r="1720" spans="1:31">
      <c r="A1720" s="4">
        <v>15102</v>
      </c>
      <c r="B1720" s="4">
        <v>9</v>
      </c>
      <c r="C1720" s="19" t="s">
        <v>74</v>
      </c>
      <c r="D1720" s="44">
        <v>0</v>
      </c>
      <c r="E1720" s="18">
        <v>0</v>
      </c>
      <c r="F1720" s="18">
        <f t="shared" ref="F1720:H1720" si="3580">F1660*3</f>
        <v>216</v>
      </c>
      <c r="G1720" s="18">
        <f t="shared" si="3580"/>
        <v>0</v>
      </c>
      <c r="H1720" s="18">
        <f t="shared" si="3580"/>
        <v>1224</v>
      </c>
      <c r="I1720" s="21">
        <f t="shared" si="3509"/>
        <v>165</v>
      </c>
      <c r="J1720" s="21">
        <f t="shared" si="3447"/>
        <v>8</v>
      </c>
      <c r="K1720" s="21">
        <v>0</v>
      </c>
      <c r="L1720" s="20">
        <v>8</v>
      </c>
      <c r="M1720" s="20">
        <v>0</v>
      </c>
      <c r="N1720" s="20">
        <f t="shared" si="3510"/>
        <v>900</v>
      </c>
      <c r="O1720" s="19" t="s">
        <v>74</v>
      </c>
      <c r="P1720" s="20">
        <v>1518</v>
      </c>
      <c r="Q1720" s="20">
        <f t="shared" ref="Q1720:X1720" si="3581">Q1690</f>
        <v>90</v>
      </c>
      <c r="R1720" s="20">
        <f t="shared" si="3581"/>
        <v>360</v>
      </c>
      <c r="S1720" s="20">
        <f t="shared" si="3581"/>
        <v>630</v>
      </c>
      <c r="T1720" s="20">
        <f t="shared" si="3581"/>
        <v>810</v>
      </c>
      <c r="U1720" s="20">
        <f t="shared" si="3581"/>
        <v>120</v>
      </c>
      <c r="V1720" s="20">
        <f t="shared" si="3581"/>
        <v>1500</v>
      </c>
      <c r="W1720" s="20">
        <f t="shared" si="3581"/>
        <v>1000</v>
      </c>
      <c r="X1720" s="20">
        <f t="shared" si="3581"/>
        <v>3</v>
      </c>
      <c r="Y1720" s="20">
        <v>0</v>
      </c>
      <c r="Z1720" s="20">
        <v>0</v>
      </c>
      <c r="AA1720" s="20">
        <v>0</v>
      </c>
      <c r="AB1720" s="20">
        <v>0</v>
      </c>
      <c r="AC1720" s="20">
        <v>0</v>
      </c>
      <c r="AD1720" s="23">
        <f t="shared" ref="AD1720:AE1720" si="3582">AD1690</f>
        <v>16</v>
      </c>
      <c r="AE1720" s="23">
        <f t="shared" si="3582"/>
        <v>20</v>
      </c>
    </row>
    <row r="1721" spans="1:31">
      <c r="A1721" s="4">
        <v>15102</v>
      </c>
      <c r="B1721" s="4">
        <v>10</v>
      </c>
      <c r="C1721" s="19" t="s">
        <v>75</v>
      </c>
      <c r="D1721" s="44">
        <v>0</v>
      </c>
      <c r="E1721" s="18">
        <v>0</v>
      </c>
      <c r="F1721" s="18">
        <f t="shared" ref="F1721:H1721" si="3583">F1661*3</f>
        <v>234</v>
      </c>
      <c r="G1721" s="18">
        <f t="shared" si="3583"/>
        <v>0</v>
      </c>
      <c r="H1721" s="18">
        <f t="shared" si="3583"/>
        <v>1323</v>
      </c>
      <c r="I1721" s="21">
        <f t="shared" si="3509"/>
        <v>165</v>
      </c>
      <c r="J1721" s="21">
        <f t="shared" si="3447"/>
        <v>9</v>
      </c>
      <c r="K1721" s="21">
        <v>0</v>
      </c>
      <c r="L1721" s="20">
        <v>6</v>
      </c>
      <c r="M1721" s="20">
        <v>0</v>
      </c>
      <c r="N1721" s="20">
        <f t="shared" si="3510"/>
        <v>2000</v>
      </c>
      <c r="O1721" s="19" t="s">
        <v>75</v>
      </c>
      <c r="P1721" s="20">
        <v>861</v>
      </c>
      <c r="Q1721" s="20">
        <f t="shared" ref="Q1721:X1721" si="3584">Q1691</f>
        <v>200</v>
      </c>
      <c r="R1721" s="20">
        <f t="shared" si="3584"/>
        <v>800</v>
      </c>
      <c r="S1721" s="20">
        <f t="shared" si="3584"/>
        <v>1400</v>
      </c>
      <c r="T1721" s="20">
        <f t="shared" si="3584"/>
        <v>1800</v>
      </c>
      <c r="U1721" s="20">
        <f t="shared" si="3584"/>
        <v>150</v>
      </c>
      <c r="V1721" s="20">
        <f t="shared" si="3584"/>
        <v>5000</v>
      </c>
      <c r="W1721" s="20">
        <f t="shared" si="3584"/>
        <v>800</v>
      </c>
      <c r="X1721" s="20">
        <f t="shared" si="3584"/>
        <v>3</v>
      </c>
      <c r="Y1721" s="20">
        <v>0</v>
      </c>
      <c r="Z1721" s="20">
        <v>0</v>
      </c>
      <c r="AA1721" s="20">
        <v>0</v>
      </c>
      <c r="AB1721" s="20">
        <v>0</v>
      </c>
      <c r="AC1721" s="20">
        <v>0</v>
      </c>
      <c r="AD1721" s="23">
        <f t="shared" ref="AD1721:AE1721" si="3585">AD1691</f>
        <v>18</v>
      </c>
      <c r="AE1721" s="23">
        <f t="shared" si="3585"/>
        <v>22</v>
      </c>
    </row>
    <row r="1722" spans="1:31">
      <c r="A1722" s="4">
        <v>15102</v>
      </c>
      <c r="B1722" s="4">
        <v>11</v>
      </c>
      <c r="C1722" s="19" t="s">
        <v>66</v>
      </c>
      <c r="D1722" s="44">
        <v>0</v>
      </c>
      <c r="E1722" s="18">
        <v>0</v>
      </c>
      <c r="F1722" s="18">
        <f t="shared" ref="F1722:H1722" si="3586">F1662*3</f>
        <v>252</v>
      </c>
      <c r="G1722" s="18">
        <f t="shared" si="3586"/>
        <v>0</v>
      </c>
      <c r="H1722" s="18">
        <f t="shared" si="3586"/>
        <v>1434</v>
      </c>
      <c r="I1722" s="21">
        <f t="shared" si="3509"/>
        <v>165</v>
      </c>
      <c r="J1722" s="21">
        <f t="shared" si="3447"/>
        <v>10</v>
      </c>
      <c r="K1722" s="21">
        <v>0</v>
      </c>
      <c r="L1722" s="20">
        <v>6</v>
      </c>
      <c r="M1722" s="20">
        <v>0</v>
      </c>
      <c r="N1722" s="20">
        <f t="shared" si="3510"/>
        <v>2200</v>
      </c>
      <c r="O1722" s="19" t="s">
        <v>66</v>
      </c>
      <c r="P1722" s="20">
        <v>9400</v>
      </c>
      <c r="Q1722" s="20">
        <f t="shared" ref="Q1722:X1722" si="3587">Q1692</f>
        <v>220</v>
      </c>
      <c r="R1722" s="20">
        <f t="shared" si="3587"/>
        <v>880</v>
      </c>
      <c r="S1722" s="20">
        <f t="shared" si="3587"/>
        <v>1540</v>
      </c>
      <c r="T1722" s="20">
        <f t="shared" si="3587"/>
        <v>1980</v>
      </c>
      <c r="U1722" s="20">
        <f t="shared" si="3587"/>
        <v>100</v>
      </c>
      <c r="V1722" s="20">
        <f t="shared" si="3587"/>
        <v>800</v>
      </c>
      <c r="W1722" s="20">
        <f t="shared" si="3587"/>
        <v>600</v>
      </c>
      <c r="X1722" s="20">
        <f t="shared" si="3587"/>
        <v>3</v>
      </c>
      <c r="Y1722" s="20">
        <v>0</v>
      </c>
      <c r="Z1722" s="20">
        <v>0</v>
      </c>
      <c r="AA1722" s="20">
        <v>0</v>
      </c>
      <c r="AB1722" s="20">
        <v>0</v>
      </c>
      <c r="AC1722" s="20">
        <v>0</v>
      </c>
      <c r="AD1722" s="23">
        <f t="shared" ref="AD1722:AE1722" si="3588">AD1692</f>
        <v>20</v>
      </c>
      <c r="AE1722" s="23">
        <f t="shared" si="3588"/>
        <v>24</v>
      </c>
    </row>
    <row r="1723" spans="1:31">
      <c r="A1723" s="4">
        <v>15102</v>
      </c>
      <c r="B1723" s="4">
        <v>12</v>
      </c>
      <c r="C1723" s="19" t="s">
        <v>67</v>
      </c>
      <c r="D1723" s="44">
        <v>0</v>
      </c>
      <c r="E1723" s="18">
        <v>0</v>
      </c>
      <c r="F1723" s="18">
        <f t="shared" ref="F1723:H1723" si="3589">F1663*3</f>
        <v>273</v>
      </c>
      <c r="G1723" s="18">
        <f t="shared" si="3589"/>
        <v>0</v>
      </c>
      <c r="H1723" s="18">
        <f t="shared" si="3589"/>
        <v>1551</v>
      </c>
      <c r="I1723" s="21">
        <f t="shared" si="3509"/>
        <v>165</v>
      </c>
      <c r="J1723" s="21">
        <f t="shared" si="3447"/>
        <v>11</v>
      </c>
      <c r="K1723" s="21">
        <v>0</v>
      </c>
      <c r="L1723" s="20">
        <v>6</v>
      </c>
      <c r="M1723" s="20">
        <v>0</v>
      </c>
      <c r="N1723" s="20">
        <f t="shared" si="3510"/>
        <v>2400</v>
      </c>
      <c r="O1723" s="19" t="s">
        <v>67</v>
      </c>
      <c r="P1723" s="20">
        <v>9100</v>
      </c>
      <c r="Q1723" s="20">
        <f t="shared" ref="Q1723:X1723" si="3590">Q1693</f>
        <v>240</v>
      </c>
      <c r="R1723" s="20">
        <f t="shared" si="3590"/>
        <v>960</v>
      </c>
      <c r="S1723" s="20">
        <f t="shared" si="3590"/>
        <v>1680</v>
      </c>
      <c r="T1723" s="20">
        <f t="shared" si="3590"/>
        <v>2160</v>
      </c>
      <c r="U1723" s="20">
        <f t="shared" si="3590"/>
        <v>150</v>
      </c>
      <c r="V1723" s="20">
        <f t="shared" si="3590"/>
        <v>700</v>
      </c>
      <c r="W1723" s="20">
        <f t="shared" si="3590"/>
        <v>900</v>
      </c>
      <c r="X1723" s="20">
        <f t="shared" si="3590"/>
        <v>3</v>
      </c>
      <c r="Y1723" s="20">
        <v>0</v>
      </c>
      <c r="Z1723" s="20">
        <v>0</v>
      </c>
      <c r="AA1723" s="20">
        <v>0</v>
      </c>
      <c r="AB1723" s="20">
        <v>0</v>
      </c>
      <c r="AC1723" s="20">
        <v>0</v>
      </c>
      <c r="AD1723" s="23">
        <f t="shared" ref="AD1723:AE1723" si="3591">AD1693</f>
        <v>22</v>
      </c>
      <c r="AE1723" s="23">
        <f t="shared" si="3591"/>
        <v>26</v>
      </c>
    </row>
    <row r="1724" spans="1:31">
      <c r="A1724" s="4">
        <v>15102</v>
      </c>
      <c r="B1724" s="4">
        <v>13</v>
      </c>
      <c r="C1724" s="19" t="s">
        <v>68</v>
      </c>
      <c r="D1724" s="44">
        <v>0</v>
      </c>
      <c r="E1724" s="18">
        <v>0</v>
      </c>
      <c r="F1724" s="18">
        <f t="shared" ref="F1724:H1724" si="3592">F1664*3</f>
        <v>294</v>
      </c>
      <c r="G1724" s="18">
        <f t="shared" si="3592"/>
        <v>0</v>
      </c>
      <c r="H1724" s="18">
        <f t="shared" si="3592"/>
        <v>1680</v>
      </c>
      <c r="I1724" s="21">
        <f t="shared" si="3509"/>
        <v>220</v>
      </c>
      <c r="J1724" s="21">
        <f t="shared" si="3447"/>
        <v>12</v>
      </c>
      <c r="K1724" s="21">
        <v>0</v>
      </c>
      <c r="L1724" s="20">
        <v>6</v>
      </c>
      <c r="M1724" s="20">
        <v>0</v>
      </c>
      <c r="N1724" s="20">
        <f t="shared" si="3510"/>
        <v>2600</v>
      </c>
      <c r="O1724" s="19" t="s">
        <v>68</v>
      </c>
      <c r="P1724" s="20">
        <v>8600</v>
      </c>
      <c r="Q1724" s="20">
        <f t="shared" ref="Q1724:X1724" si="3593">Q1694</f>
        <v>260</v>
      </c>
      <c r="R1724" s="20">
        <f t="shared" si="3593"/>
        <v>1040</v>
      </c>
      <c r="S1724" s="20">
        <f t="shared" si="3593"/>
        <v>1819.9999999999998</v>
      </c>
      <c r="T1724" s="20">
        <f t="shared" si="3593"/>
        <v>2340</v>
      </c>
      <c r="U1724" s="20">
        <f t="shared" si="3593"/>
        <v>100</v>
      </c>
      <c r="V1724" s="20">
        <f t="shared" si="3593"/>
        <v>700</v>
      </c>
      <c r="W1724" s="20">
        <f t="shared" si="3593"/>
        <v>1000</v>
      </c>
      <c r="X1724" s="20">
        <f t="shared" si="3593"/>
        <v>4</v>
      </c>
      <c r="Y1724" s="20">
        <f>ROUND(D1724*0.25,-1)</f>
        <v>0</v>
      </c>
      <c r="Z1724" s="20">
        <f>ROUND(E1724*0.25,-1)</f>
        <v>0</v>
      </c>
      <c r="AA1724" s="20">
        <v>0</v>
      </c>
      <c r="AB1724" s="20">
        <f>ROUND(G1724*0.25,-1)</f>
        <v>0</v>
      </c>
      <c r="AC1724" s="20">
        <f t="shared" si="3560"/>
        <v>518</v>
      </c>
      <c r="AD1724" s="23">
        <f t="shared" ref="AD1724:AE1724" si="3594">AD1694</f>
        <v>24</v>
      </c>
      <c r="AE1724" s="23">
        <f t="shared" si="3594"/>
        <v>28</v>
      </c>
    </row>
    <row r="1725" spans="1:31">
      <c r="A1725" s="4">
        <v>15102</v>
      </c>
      <c r="B1725" s="4">
        <v>14</v>
      </c>
      <c r="C1725" s="19" t="s">
        <v>69</v>
      </c>
      <c r="D1725" s="44">
        <v>0</v>
      </c>
      <c r="E1725" s="18">
        <v>0</v>
      </c>
      <c r="F1725" s="18">
        <f t="shared" ref="F1725:H1725" si="3595">F1665*3</f>
        <v>318</v>
      </c>
      <c r="G1725" s="18">
        <f t="shared" si="3595"/>
        <v>0</v>
      </c>
      <c r="H1725" s="18">
        <f t="shared" si="3595"/>
        <v>1818</v>
      </c>
      <c r="I1725" s="21">
        <f t="shared" si="3509"/>
        <v>220</v>
      </c>
      <c r="J1725" s="21">
        <f t="shared" si="3447"/>
        <v>13</v>
      </c>
      <c r="K1725" s="21">
        <v>0</v>
      </c>
      <c r="L1725" s="20">
        <v>6</v>
      </c>
      <c r="M1725" s="20">
        <v>0</v>
      </c>
      <c r="N1725" s="20">
        <f t="shared" si="3510"/>
        <v>2800</v>
      </c>
      <c r="O1725" s="19" t="s">
        <v>69</v>
      </c>
      <c r="P1725" s="20">
        <v>6400</v>
      </c>
      <c r="Q1725" s="20">
        <f t="shared" ref="Q1725:X1725" si="3596">Q1695</f>
        <v>280</v>
      </c>
      <c r="R1725" s="20">
        <f t="shared" si="3596"/>
        <v>1120</v>
      </c>
      <c r="S1725" s="20">
        <f t="shared" si="3596"/>
        <v>1959.9999999999998</v>
      </c>
      <c r="T1725" s="20">
        <f t="shared" si="3596"/>
        <v>2520</v>
      </c>
      <c r="U1725" s="20">
        <f t="shared" si="3596"/>
        <v>100</v>
      </c>
      <c r="V1725" s="20">
        <f t="shared" si="3596"/>
        <v>400</v>
      </c>
      <c r="W1725" s="20">
        <f t="shared" si="3596"/>
        <v>1200</v>
      </c>
      <c r="X1725" s="20">
        <f t="shared" si="3596"/>
        <v>4</v>
      </c>
      <c r="Y1725" s="20">
        <v>0</v>
      </c>
      <c r="Z1725" s="20">
        <v>0</v>
      </c>
      <c r="AA1725" s="20">
        <v>0</v>
      </c>
      <c r="AB1725" s="20">
        <v>0</v>
      </c>
      <c r="AC1725" s="20">
        <v>0</v>
      </c>
      <c r="AD1725" s="23">
        <f t="shared" ref="AD1725:AE1725" si="3597">AD1695</f>
        <v>26</v>
      </c>
      <c r="AE1725" s="23">
        <f t="shared" si="3597"/>
        <v>30</v>
      </c>
    </row>
    <row r="1726" spans="1:31">
      <c r="A1726" s="4">
        <v>15102</v>
      </c>
      <c r="B1726" s="4">
        <v>15</v>
      </c>
      <c r="C1726" s="19" t="s">
        <v>70</v>
      </c>
      <c r="D1726" s="44">
        <v>0</v>
      </c>
      <c r="E1726" s="18">
        <v>0</v>
      </c>
      <c r="F1726" s="18">
        <f t="shared" ref="F1726:H1726" si="3598">F1666*3</f>
        <v>345</v>
      </c>
      <c r="G1726" s="18">
        <f t="shared" si="3598"/>
        <v>0</v>
      </c>
      <c r="H1726" s="18">
        <f t="shared" si="3598"/>
        <v>1968</v>
      </c>
      <c r="I1726" s="21">
        <f t="shared" si="3509"/>
        <v>220</v>
      </c>
      <c r="J1726" s="21">
        <f t="shared" si="3447"/>
        <v>14</v>
      </c>
      <c r="K1726" s="21">
        <v>0</v>
      </c>
      <c r="L1726" s="20">
        <v>6</v>
      </c>
      <c r="M1726" s="20">
        <v>0</v>
      </c>
      <c r="N1726" s="20">
        <f t="shared" si="3510"/>
        <v>4500</v>
      </c>
      <c r="O1726" s="19" t="s">
        <v>70</v>
      </c>
      <c r="P1726" s="20">
        <v>3100</v>
      </c>
      <c r="Q1726" s="20">
        <f t="shared" ref="Q1726:X1726" si="3599">Q1696</f>
        <v>450</v>
      </c>
      <c r="R1726" s="20">
        <f t="shared" si="3599"/>
        <v>1800</v>
      </c>
      <c r="S1726" s="20">
        <f t="shared" si="3599"/>
        <v>3150</v>
      </c>
      <c r="T1726" s="20">
        <f t="shared" si="3599"/>
        <v>4050</v>
      </c>
      <c r="U1726" s="20">
        <f t="shared" si="3599"/>
        <v>100</v>
      </c>
      <c r="V1726" s="20">
        <f t="shared" si="3599"/>
        <v>1000</v>
      </c>
      <c r="W1726" s="20">
        <f t="shared" si="3599"/>
        <v>600</v>
      </c>
      <c r="X1726" s="20">
        <f t="shared" si="3599"/>
        <v>4</v>
      </c>
      <c r="Y1726" s="20">
        <v>0</v>
      </c>
      <c r="Z1726" s="20">
        <v>0</v>
      </c>
      <c r="AA1726" s="20">
        <v>0</v>
      </c>
      <c r="AB1726" s="20">
        <v>0</v>
      </c>
      <c r="AC1726" s="20">
        <v>0</v>
      </c>
      <c r="AD1726" s="23">
        <f t="shared" ref="AD1726:AE1726" si="3600">AD1696</f>
        <v>28</v>
      </c>
      <c r="AE1726" s="23">
        <f t="shared" si="3600"/>
        <v>32</v>
      </c>
    </row>
    <row r="1727" spans="1:31">
      <c r="A1727" s="4">
        <v>15102</v>
      </c>
      <c r="B1727" s="4">
        <v>16</v>
      </c>
      <c r="C1727" s="19" t="s">
        <v>71</v>
      </c>
      <c r="D1727" s="44">
        <v>0</v>
      </c>
      <c r="E1727" s="18">
        <v>0</v>
      </c>
      <c r="F1727" s="18">
        <f t="shared" ref="F1727:H1727" si="3601">F1667*3</f>
        <v>375</v>
      </c>
      <c r="G1727" s="18">
        <f t="shared" si="3601"/>
        <v>0</v>
      </c>
      <c r="H1727" s="18">
        <f t="shared" si="3601"/>
        <v>2133</v>
      </c>
      <c r="I1727" s="21">
        <f t="shared" si="3509"/>
        <v>220</v>
      </c>
      <c r="J1727" s="21">
        <f t="shared" si="3447"/>
        <v>15</v>
      </c>
      <c r="K1727" s="21">
        <v>0</v>
      </c>
      <c r="L1727" s="20">
        <v>6</v>
      </c>
      <c r="M1727" s="20">
        <v>0</v>
      </c>
      <c r="N1727" s="20">
        <f t="shared" si="3510"/>
        <v>4800</v>
      </c>
      <c r="O1727" s="19" t="s">
        <v>71</v>
      </c>
      <c r="P1727" s="20">
        <v>1777</v>
      </c>
      <c r="Q1727" s="20">
        <f t="shared" ref="Q1727:X1727" si="3602">Q1697</f>
        <v>480</v>
      </c>
      <c r="R1727" s="20">
        <f t="shared" si="3602"/>
        <v>1920</v>
      </c>
      <c r="S1727" s="20">
        <f t="shared" si="3602"/>
        <v>3360</v>
      </c>
      <c r="T1727" s="20">
        <f t="shared" si="3602"/>
        <v>4320</v>
      </c>
      <c r="U1727" s="20">
        <f t="shared" si="3602"/>
        <v>100</v>
      </c>
      <c r="V1727" s="20">
        <f t="shared" si="3602"/>
        <v>800</v>
      </c>
      <c r="W1727" s="20">
        <f t="shared" si="3602"/>
        <v>800</v>
      </c>
      <c r="X1727" s="20">
        <f t="shared" si="3602"/>
        <v>4</v>
      </c>
      <c r="Y1727" s="20">
        <v>0</v>
      </c>
      <c r="Z1727" s="20">
        <v>0</v>
      </c>
      <c r="AA1727" s="20">
        <v>0</v>
      </c>
      <c r="AB1727" s="20">
        <v>0</v>
      </c>
      <c r="AC1727" s="20">
        <v>0</v>
      </c>
      <c r="AD1727" s="23">
        <f t="shared" ref="AD1727:AE1727" si="3603">AD1697</f>
        <v>30</v>
      </c>
      <c r="AE1727" s="23">
        <f t="shared" si="3603"/>
        <v>34</v>
      </c>
    </row>
    <row r="1728" spans="1:31">
      <c r="A1728" s="4">
        <v>15102</v>
      </c>
      <c r="B1728" s="4">
        <v>17</v>
      </c>
      <c r="C1728" s="19" t="s">
        <v>72</v>
      </c>
      <c r="D1728" s="44">
        <v>0</v>
      </c>
      <c r="E1728" s="18">
        <v>0</v>
      </c>
      <c r="F1728" s="18">
        <f t="shared" ref="F1728:H1728" si="3604">F1668*3</f>
        <v>405</v>
      </c>
      <c r="G1728" s="18">
        <f t="shared" si="3604"/>
        <v>0</v>
      </c>
      <c r="H1728" s="18">
        <f t="shared" si="3604"/>
        <v>2307</v>
      </c>
      <c r="I1728" s="21">
        <f t="shared" si="3509"/>
        <v>275</v>
      </c>
      <c r="J1728" s="21">
        <f t="shared" si="3447"/>
        <v>16</v>
      </c>
      <c r="K1728" s="21">
        <v>0</v>
      </c>
      <c r="L1728" s="20">
        <v>6</v>
      </c>
      <c r="M1728" s="20">
        <v>0</v>
      </c>
      <c r="N1728" s="20">
        <f t="shared" si="3510"/>
        <v>5100</v>
      </c>
      <c r="O1728" s="19" t="s">
        <v>72</v>
      </c>
      <c r="P1728" s="20">
        <v>2332</v>
      </c>
      <c r="Q1728" s="20">
        <f t="shared" ref="Q1728:X1728" si="3605">Q1698</f>
        <v>510</v>
      </c>
      <c r="R1728" s="20">
        <f t="shared" si="3605"/>
        <v>2040</v>
      </c>
      <c r="S1728" s="20">
        <f t="shared" si="3605"/>
        <v>3570</v>
      </c>
      <c r="T1728" s="20">
        <f t="shared" si="3605"/>
        <v>4590</v>
      </c>
      <c r="U1728" s="20">
        <f t="shared" si="3605"/>
        <v>80</v>
      </c>
      <c r="V1728" s="20">
        <f t="shared" si="3605"/>
        <v>800</v>
      </c>
      <c r="W1728" s="20">
        <f t="shared" si="3605"/>
        <v>600</v>
      </c>
      <c r="X1728" s="20">
        <f t="shared" si="3605"/>
        <v>5</v>
      </c>
      <c r="Y1728" s="20">
        <v>0</v>
      </c>
      <c r="Z1728" s="20">
        <v>0</v>
      </c>
      <c r="AA1728" s="20">
        <v>0</v>
      </c>
      <c r="AB1728" s="20">
        <v>0</v>
      </c>
      <c r="AC1728" s="20">
        <v>0</v>
      </c>
      <c r="AD1728" s="23">
        <f t="shared" ref="AD1728:AE1728" si="3606">AD1698</f>
        <v>32</v>
      </c>
      <c r="AE1728" s="23">
        <f t="shared" si="3606"/>
        <v>36</v>
      </c>
    </row>
    <row r="1729" spans="1:31">
      <c r="A1729" s="4">
        <v>15102</v>
      </c>
      <c r="B1729" s="4">
        <v>18</v>
      </c>
      <c r="C1729" s="19" t="s">
        <v>73</v>
      </c>
      <c r="D1729" s="44">
        <v>0</v>
      </c>
      <c r="E1729" s="18">
        <v>0</v>
      </c>
      <c r="F1729" s="18">
        <f t="shared" ref="F1729:H1729" si="3607">F1669*3</f>
        <v>438</v>
      </c>
      <c r="G1729" s="18">
        <f t="shared" si="3607"/>
        <v>0</v>
      </c>
      <c r="H1729" s="18">
        <f t="shared" si="3607"/>
        <v>2499</v>
      </c>
      <c r="I1729" s="21">
        <f t="shared" si="3509"/>
        <v>275</v>
      </c>
      <c r="J1729" s="21">
        <f t="shared" si="3447"/>
        <v>17</v>
      </c>
      <c r="K1729" s="21">
        <v>0</v>
      </c>
      <c r="L1729" s="20">
        <v>6</v>
      </c>
      <c r="M1729" s="20">
        <v>0</v>
      </c>
      <c r="N1729" s="20">
        <f t="shared" si="3510"/>
        <v>5400</v>
      </c>
      <c r="O1729" s="19" t="s">
        <v>73</v>
      </c>
      <c r="P1729" s="20">
        <v>1487</v>
      </c>
      <c r="Q1729" s="20">
        <f t="shared" ref="Q1729:X1729" si="3608">Q1699</f>
        <v>540</v>
      </c>
      <c r="R1729" s="20">
        <f t="shared" si="3608"/>
        <v>2160</v>
      </c>
      <c r="S1729" s="20">
        <f t="shared" si="3608"/>
        <v>3779.9999999999995</v>
      </c>
      <c r="T1729" s="20">
        <f t="shared" si="3608"/>
        <v>4860</v>
      </c>
      <c r="U1729" s="20">
        <f t="shared" si="3608"/>
        <v>100</v>
      </c>
      <c r="V1729" s="20">
        <f t="shared" si="3608"/>
        <v>600</v>
      </c>
      <c r="W1729" s="20">
        <f t="shared" si="3608"/>
        <v>300</v>
      </c>
      <c r="X1729" s="20">
        <f t="shared" si="3608"/>
        <v>5</v>
      </c>
      <c r="Y1729" s="20">
        <f>ROUND(D1729*0.25,-1)</f>
        <v>0</v>
      </c>
      <c r="Z1729" s="20">
        <f>ROUND(E1729*0.25,-1)</f>
        <v>0</v>
      </c>
      <c r="AA1729" s="20">
        <v>0</v>
      </c>
      <c r="AB1729" s="20">
        <f>ROUND(G1729*0.25,-1)</f>
        <v>0</v>
      </c>
      <c r="AC1729" s="20">
        <f t="shared" si="3560"/>
        <v>777</v>
      </c>
      <c r="AD1729" s="23">
        <f t="shared" ref="AD1729:AE1729" si="3609">AD1699</f>
        <v>34</v>
      </c>
      <c r="AE1729" s="23">
        <f t="shared" si="3609"/>
        <v>38</v>
      </c>
    </row>
    <row r="1730" spans="1:31">
      <c r="A1730" s="8">
        <v>15102</v>
      </c>
      <c r="B1730" s="8">
        <v>19</v>
      </c>
      <c r="C1730" s="19" t="s">
        <v>74</v>
      </c>
      <c r="D1730" s="44">
        <v>0</v>
      </c>
      <c r="E1730" s="18">
        <v>0</v>
      </c>
      <c r="F1730" s="18">
        <f t="shared" ref="F1730:H1730" si="3610">F1670*3</f>
        <v>474</v>
      </c>
      <c r="G1730" s="18">
        <f t="shared" si="3610"/>
        <v>0</v>
      </c>
      <c r="H1730" s="18">
        <f t="shared" si="3610"/>
        <v>2706</v>
      </c>
      <c r="I1730" s="21">
        <f t="shared" si="3509"/>
        <v>275</v>
      </c>
      <c r="J1730" s="21">
        <f t="shared" si="3447"/>
        <v>18</v>
      </c>
      <c r="K1730" s="21">
        <v>0</v>
      </c>
      <c r="L1730" s="20">
        <v>6</v>
      </c>
      <c r="M1730" s="20">
        <v>0</v>
      </c>
      <c r="N1730" s="20">
        <f t="shared" si="3510"/>
        <v>5700</v>
      </c>
      <c r="O1730" s="19" t="s">
        <v>74</v>
      </c>
      <c r="P1730" s="20">
        <v>1518</v>
      </c>
      <c r="Q1730" s="20">
        <f t="shared" ref="Q1730:X1730" si="3611">Q1700</f>
        <v>570</v>
      </c>
      <c r="R1730" s="20">
        <f t="shared" si="3611"/>
        <v>2280</v>
      </c>
      <c r="S1730" s="20">
        <f t="shared" si="3611"/>
        <v>3989.9999999999995</v>
      </c>
      <c r="T1730" s="20">
        <f t="shared" si="3611"/>
        <v>5130</v>
      </c>
      <c r="U1730" s="20">
        <f t="shared" si="3611"/>
        <v>100</v>
      </c>
      <c r="V1730" s="20">
        <f t="shared" si="3611"/>
        <v>500</v>
      </c>
      <c r="W1730" s="20">
        <f t="shared" si="3611"/>
        <v>400</v>
      </c>
      <c r="X1730" s="20">
        <f t="shared" si="3611"/>
        <v>5</v>
      </c>
      <c r="Y1730" s="20">
        <v>0</v>
      </c>
      <c r="Z1730" s="20">
        <v>0</v>
      </c>
      <c r="AA1730" s="20">
        <v>0</v>
      </c>
      <c r="AB1730" s="20">
        <v>0</v>
      </c>
      <c r="AC1730" s="20">
        <v>0</v>
      </c>
      <c r="AD1730" s="23">
        <f t="shared" ref="AD1730:AE1730" si="3612">AD1700</f>
        <v>36</v>
      </c>
      <c r="AE1730" s="23">
        <f t="shared" si="3612"/>
        <v>40</v>
      </c>
    </row>
    <row r="1731" spans="1:31">
      <c r="A1731" s="4">
        <v>15102</v>
      </c>
      <c r="B1731" s="4">
        <v>20</v>
      </c>
      <c r="C1731" s="19" t="s">
        <v>75</v>
      </c>
      <c r="D1731" s="44">
        <v>0</v>
      </c>
      <c r="E1731" s="18">
        <v>0</v>
      </c>
      <c r="F1731" s="18">
        <f t="shared" ref="F1731:H1731" si="3613">F1671*3</f>
        <v>513</v>
      </c>
      <c r="G1731" s="18">
        <f t="shared" si="3613"/>
        <v>0</v>
      </c>
      <c r="H1731" s="18">
        <f t="shared" si="3613"/>
        <v>2928</v>
      </c>
      <c r="I1731" s="21">
        <f t="shared" si="3509"/>
        <v>275</v>
      </c>
      <c r="J1731" s="21">
        <f t="shared" si="3447"/>
        <v>19</v>
      </c>
      <c r="K1731" s="21">
        <v>0</v>
      </c>
      <c r="L1731" s="20">
        <v>6</v>
      </c>
      <c r="M1731" s="20">
        <v>0</v>
      </c>
      <c r="N1731" s="20">
        <f t="shared" si="3510"/>
        <v>8000</v>
      </c>
      <c r="O1731" s="19" t="s">
        <v>75</v>
      </c>
      <c r="P1731" s="20">
        <v>861</v>
      </c>
      <c r="Q1731" s="20">
        <f t="shared" ref="Q1731:X1731" si="3614">Q1701</f>
        <v>800</v>
      </c>
      <c r="R1731" s="20">
        <f t="shared" si="3614"/>
        <v>3200</v>
      </c>
      <c r="S1731" s="20">
        <f t="shared" si="3614"/>
        <v>5600</v>
      </c>
      <c r="T1731" s="20">
        <f t="shared" si="3614"/>
        <v>7200</v>
      </c>
      <c r="U1731" s="20">
        <f t="shared" si="3614"/>
        <v>100</v>
      </c>
      <c r="V1731" s="20">
        <f t="shared" si="3614"/>
        <v>800</v>
      </c>
      <c r="W1731" s="20">
        <f t="shared" si="3614"/>
        <v>8000</v>
      </c>
      <c r="X1731" s="20">
        <f t="shared" si="3614"/>
        <v>5</v>
      </c>
      <c r="Y1731" s="20">
        <v>0</v>
      </c>
      <c r="Z1731" s="20">
        <v>0</v>
      </c>
      <c r="AA1731" s="20">
        <v>0</v>
      </c>
      <c r="AB1731" s="20">
        <v>0</v>
      </c>
      <c r="AC1731" s="20">
        <v>0</v>
      </c>
      <c r="AD1731" s="23">
        <f t="shared" ref="AD1731:AE1731" si="3615">AD1701</f>
        <v>38</v>
      </c>
      <c r="AE1731" s="23">
        <f t="shared" si="3615"/>
        <v>42</v>
      </c>
    </row>
    <row r="1732" spans="1:31">
      <c r="A1732" s="4">
        <v>15102</v>
      </c>
      <c r="B1732" s="4">
        <v>21</v>
      </c>
      <c r="C1732" s="19" t="s">
        <v>66</v>
      </c>
      <c r="D1732" s="44">
        <v>0</v>
      </c>
      <c r="E1732" s="18">
        <v>0</v>
      </c>
      <c r="F1732" s="18">
        <f t="shared" ref="F1732:H1732" si="3616">F1672*3</f>
        <v>555</v>
      </c>
      <c r="G1732" s="18">
        <f t="shared" si="3616"/>
        <v>0</v>
      </c>
      <c r="H1732" s="18">
        <f t="shared" si="3616"/>
        <v>3171</v>
      </c>
      <c r="I1732" s="21">
        <f t="shared" si="3509"/>
        <v>330</v>
      </c>
      <c r="J1732" s="21">
        <f t="shared" si="3447"/>
        <v>20</v>
      </c>
      <c r="K1732" s="21">
        <v>0</v>
      </c>
      <c r="L1732" s="20">
        <v>6</v>
      </c>
      <c r="M1732" s="20">
        <v>0</v>
      </c>
      <c r="N1732" s="20">
        <f t="shared" si="3510"/>
        <v>8400</v>
      </c>
      <c r="O1732" s="19" t="s">
        <v>66</v>
      </c>
      <c r="P1732" s="20">
        <v>9400</v>
      </c>
      <c r="Q1732" s="20">
        <f t="shared" ref="Q1732:X1732" si="3617">Q1702</f>
        <v>840</v>
      </c>
      <c r="R1732" s="20">
        <f t="shared" si="3617"/>
        <v>3360</v>
      </c>
      <c r="S1732" s="20">
        <f t="shared" si="3617"/>
        <v>5880</v>
      </c>
      <c r="T1732" s="20">
        <f t="shared" si="3617"/>
        <v>7560</v>
      </c>
      <c r="U1732" s="20">
        <f t="shared" si="3617"/>
        <v>50</v>
      </c>
      <c r="V1732" s="20">
        <f t="shared" si="3617"/>
        <v>1000</v>
      </c>
      <c r="W1732" s="20">
        <f t="shared" si="3617"/>
        <v>600</v>
      </c>
      <c r="X1732" s="20">
        <f t="shared" si="3617"/>
        <v>6</v>
      </c>
      <c r="Y1732" s="20">
        <v>0</v>
      </c>
      <c r="Z1732" s="20">
        <v>0</v>
      </c>
      <c r="AA1732" s="20">
        <v>0</v>
      </c>
      <c r="AB1732" s="20">
        <v>0</v>
      </c>
      <c r="AC1732" s="20">
        <v>0</v>
      </c>
      <c r="AD1732" s="23">
        <f t="shared" ref="AD1732:AE1732" si="3618">AD1702</f>
        <v>40</v>
      </c>
      <c r="AE1732" s="23">
        <f t="shared" si="3618"/>
        <v>44</v>
      </c>
    </row>
    <row r="1733" spans="1:31">
      <c r="A1733" s="4">
        <v>15102</v>
      </c>
      <c r="B1733" s="4">
        <v>22</v>
      </c>
      <c r="C1733" s="19" t="s">
        <v>67</v>
      </c>
      <c r="D1733" s="44">
        <v>0</v>
      </c>
      <c r="E1733" s="18">
        <v>0</v>
      </c>
      <c r="F1733" s="18">
        <f t="shared" ref="F1733:H1733" si="3619">F1673*3</f>
        <v>603</v>
      </c>
      <c r="G1733" s="18">
        <f t="shared" si="3619"/>
        <v>0</v>
      </c>
      <c r="H1733" s="18">
        <f t="shared" si="3619"/>
        <v>3432</v>
      </c>
      <c r="I1733" s="21">
        <f t="shared" si="3509"/>
        <v>330</v>
      </c>
      <c r="J1733" s="21">
        <f t="shared" si="3447"/>
        <v>21</v>
      </c>
      <c r="K1733" s="21">
        <v>0</v>
      </c>
      <c r="L1733" s="20">
        <v>6</v>
      </c>
      <c r="M1733" s="20">
        <v>0</v>
      </c>
      <c r="N1733" s="20">
        <f t="shared" si="3510"/>
        <v>8800</v>
      </c>
      <c r="O1733" s="19" t="s">
        <v>67</v>
      </c>
      <c r="P1733" s="20">
        <v>9100</v>
      </c>
      <c r="Q1733" s="20">
        <f t="shared" ref="Q1733:X1733" si="3620">Q1703</f>
        <v>880</v>
      </c>
      <c r="R1733" s="20">
        <f t="shared" si="3620"/>
        <v>3520</v>
      </c>
      <c r="S1733" s="20">
        <f t="shared" si="3620"/>
        <v>6160</v>
      </c>
      <c r="T1733" s="20">
        <f t="shared" si="3620"/>
        <v>7920</v>
      </c>
      <c r="U1733" s="20">
        <f t="shared" si="3620"/>
        <v>100</v>
      </c>
      <c r="V1733" s="20">
        <f t="shared" si="3620"/>
        <v>600</v>
      </c>
      <c r="W1733" s="20">
        <f t="shared" si="3620"/>
        <v>700</v>
      </c>
      <c r="X1733" s="20">
        <f t="shared" si="3620"/>
        <v>6</v>
      </c>
      <c r="Y1733" s="20">
        <v>0</v>
      </c>
      <c r="Z1733" s="20">
        <v>0</v>
      </c>
      <c r="AA1733" s="20">
        <v>0</v>
      </c>
      <c r="AB1733" s="20">
        <v>0</v>
      </c>
      <c r="AC1733" s="20">
        <v>0</v>
      </c>
      <c r="AD1733" s="23">
        <f t="shared" ref="AD1733:AE1733" si="3621">AD1703</f>
        <v>42</v>
      </c>
      <c r="AE1733" s="23">
        <f t="shared" si="3621"/>
        <v>46</v>
      </c>
    </row>
    <row r="1734" spans="1:31">
      <c r="A1734" s="4">
        <v>15102</v>
      </c>
      <c r="B1734" s="4">
        <v>23</v>
      </c>
      <c r="C1734" s="19" t="s">
        <v>68</v>
      </c>
      <c r="D1734" s="44">
        <v>0</v>
      </c>
      <c r="E1734" s="18">
        <v>0</v>
      </c>
      <c r="F1734" s="18">
        <f t="shared" ref="F1734:H1734" si="3622">F1674*3</f>
        <v>651</v>
      </c>
      <c r="G1734" s="18">
        <f t="shared" si="3622"/>
        <v>0</v>
      </c>
      <c r="H1734" s="18">
        <f t="shared" si="3622"/>
        <v>3717</v>
      </c>
      <c r="I1734" s="21">
        <f t="shared" si="3509"/>
        <v>330</v>
      </c>
      <c r="J1734" s="21">
        <f t="shared" si="3447"/>
        <v>22</v>
      </c>
      <c r="K1734" s="21">
        <v>0</v>
      </c>
      <c r="L1734" s="20">
        <v>6</v>
      </c>
      <c r="M1734" s="20">
        <v>0</v>
      </c>
      <c r="N1734" s="20">
        <f t="shared" si="3510"/>
        <v>9200</v>
      </c>
      <c r="O1734" s="19" t="s">
        <v>68</v>
      </c>
      <c r="P1734" s="20">
        <v>8600</v>
      </c>
      <c r="Q1734" s="20">
        <f t="shared" ref="Q1734:X1734" si="3623">Q1704</f>
        <v>920</v>
      </c>
      <c r="R1734" s="20">
        <f t="shared" si="3623"/>
        <v>3680</v>
      </c>
      <c r="S1734" s="20">
        <f t="shared" si="3623"/>
        <v>6440</v>
      </c>
      <c r="T1734" s="20">
        <f t="shared" si="3623"/>
        <v>8280</v>
      </c>
      <c r="U1734" s="20">
        <f t="shared" si="3623"/>
        <v>100</v>
      </c>
      <c r="V1734" s="20">
        <f t="shared" si="3623"/>
        <v>550</v>
      </c>
      <c r="W1734" s="20">
        <f t="shared" si="3623"/>
        <v>500</v>
      </c>
      <c r="X1734" s="20">
        <f t="shared" si="3623"/>
        <v>6</v>
      </c>
      <c r="Y1734" s="20">
        <f>ROUND(D1734*0.25,-1)</f>
        <v>0</v>
      </c>
      <c r="Z1734" s="20">
        <f>ROUND(E1734*0.25,-1)</f>
        <v>0</v>
      </c>
      <c r="AA1734" s="20">
        <v>0</v>
      </c>
      <c r="AB1734" s="20">
        <f>ROUND(G1734*0.25,-1)</f>
        <v>0</v>
      </c>
      <c r="AC1734" s="20">
        <f t="shared" si="3560"/>
        <v>1036</v>
      </c>
      <c r="AD1734" s="23">
        <f t="shared" ref="AD1734:AE1734" si="3624">AD1704</f>
        <v>44</v>
      </c>
      <c r="AE1734" s="23">
        <f t="shared" si="3624"/>
        <v>48</v>
      </c>
    </row>
    <row r="1735" spans="1:31">
      <c r="A1735" s="4">
        <v>15102</v>
      </c>
      <c r="B1735" s="4">
        <v>24</v>
      </c>
      <c r="C1735" s="19" t="s">
        <v>69</v>
      </c>
      <c r="D1735" s="44">
        <v>0</v>
      </c>
      <c r="E1735" s="18">
        <v>0</v>
      </c>
      <c r="F1735" s="18">
        <f t="shared" ref="F1735:H1735" si="3625">F1675*3</f>
        <v>705</v>
      </c>
      <c r="G1735" s="18">
        <f t="shared" si="3625"/>
        <v>0</v>
      </c>
      <c r="H1735" s="18">
        <f t="shared" si="3625"/>
        <v>4023</v>
      </c>
      <c r="I1735" s="21">
        <f t="shared" si="3509"/>
        <v>330</v>
      </c>
      <c r="J1735" s="21">
        <f t="shared" si="3447"/>
        <v>23</v>
      </c>
      <c r="K1735" s="21">
        <v>0</v>
      </c>
      <c r="L1735" s="20">
        <v>6</v>
      </c>
      <c r="M1735" s="20">
        <v>0</v>
      </c>
      <c r="N1735" s="20">
        <f t="shared" si="3510"/>
        <v>9600</v>
      </c>
      <c r="O1735" s="19" t="s">
        <v>69</v>
      </c>
      <c r="P1735" s="20">
        <v>6400</v>
      </c>
      <c r="Q1735" s="20">
        <f t="shared" ref="Q1735:X1735" si="3626">Q1705</f>
        <v>960</v>
      </c>
      <c r="R1735" s="20">
        <f t="shared" si="3626"/>
        <v>3840</v>
      </c>
      <c r="S1735" s="20">
        <f t="shared" si="3626"/>
        <v>6720</v>
      </c>
      <c r="T1735" s="20">
        <f t="shared" si="3626"/>
        <v>8640</v>
      </c>
      <c r="U1735" s="20">
        <f t="shared" si="3626"/>
        <v>100</v>
      </c>
      <c r="V1735" s="20">
        <f t="shared" si="3626"/>
        <v>500</v>
      </c>
      <c r="W1735" s="20">
        <f t="shared" si="3626"/>
        <v>900</v>
      </c>
      <c r="X1735" s="20">
        <f t="shared" si="3626"/>
        <v>6</v>
      </c>
      <c r="Y1735" s="20">
        <v>0</v>
      </c>
      <c r="Z1735" s="20">
        <v>0</v>
      </c>
      <c r="AA1735" s="20">
        <v>0</v>
      </c>
      <c r="AB1735" s="20">
        <v>0</v>
      </c>
      <c r="AC1735" s="20">
        <v>0</v>
      </c>
      <c r="AD1735" s="23">
        <f t="shared" ref="AD1735:AE1735" si="3627">AD1705</f>
        <v>46</v>
      </c>
      <c r="AE1735" s="23">
        <f t="shared" si="3627"/>
        <v>50</v>
      </c>
    </row>
    <row r="1736" spans="1:31">
      <c r="A1736" s="4">
        <v>15102</v>
      </c>
      <c r="B1736" s="4">
        <v>25</v>
      </c>
      <c r="C1736" s="19" t="s">
        <v>70</v>
      </c>
      <c r="D1736" s="44">
        <v>0</v>
      </c>
      <c r="E1736" s="18">
        <v>0</v>
      </c>
      <c r="F1736" s="18">
        <f t="shared" ref="F1736:H1736" si="3628">F1676*3</f>
        <v>762</v>
      </c>
      <c r="G1736" s="18">
        <f t="shared" si="3628"/>
        <v>0</v>
      </c>
      <c r="H1736" s="18">
        <f t="shared" si="3628"/>
        <v>4356</v>
      </c>
      <c r="I1736" s="21">
        <f t="shared" si="3509"/>
        <v>385</v>
      </c>
      <c r="J1736" s="21">
        <f t="shared" si="3447"/>
        <v>24</v>
      </c>
      <c r="K1736" s="21">
        <v>0</v>
      </c>
      <c r="L1736" s="20">
        <v>6</v>
      </c>
      <c r="M1736" s="20">
        <v>0</v>
      </c>
      <c r="N1736" s="20">
        <f t="shared" si="3510"/>
        <v>12500</v>
      </c>
      <c r="O1736" s="19" t="s">
        <v>70</v>
      </c>
      <c r="P1736" s="20">
        <v>3100</v>
      </c>
      <c r="Q1736" s="20">
        <f t="shared" ref="Q1736:X1736" si="3629">Q1706</f>
        <v>1250</v>
      </c>
      <c r="R1736" s="20">
        <f t="shared" si="3629"/>
        <v>5000</v>
      </c>
      <c r="S1736" s="20">
        <f t="shared" si="3629"/>
        <v>8750</v>
      </c>
      <c r="T1736" s="20">
        <f t="shared" si="3629"/>
        <v>11250</v>
      </c>
      <c r="U1736" s="20">
        <f t="shared" si="3629"/>
        <v>10</v>
      </c>
      <c r="V1736" s="20">
        <f t="shared" si="3629"/>
        <v>1300</v>
      </c>
      <c r="W1736" s="20">
        <f t="shared" si="3629"/>
        <v>1000</v>
      </c>
      <c r="X1736" s="20">
        <f t="shared" si="3629"/>
        <v>7</v>
      </c>
      <c r="Y1736" s="20">
        <v>0</v>
      </c>
      <c r="Z1736" s="20">
        <v>0</v>
      </c>
      <c r="AA1736" s="20">
        <v>0</v>
      </c>
      <c r="AB1736" s="20">
        <v>0</v>
      </c>
      <c r="AC1736" s="20">
        <v>0</v>
      </c>
      <c r="AD1736" s="23">
        <f t="shared" ref="AD1736:AE1736" si="3630">AD1706</f>
        <v>48</v>
      </c>
      <c r="AE1736" s="23">
        <f t="shared" si="3630"/>
        <v>52</v>
      </c>
    </row>
    <row r="1737" spans="1:31">
      <c r="A1737" s="4">
        <v>15102</v>
      </c>
      <c r="B1737" s="4">
        <v>26</v>
      </c>
      <c r="C1737" s="19" t="s">
        <v>71</v>
      </c>
      <c r="D1737" s="44">
        <v>0</v>
      </c>
      <c r="E1737" s="18">
        <v>0</v>
      </c>
      <c r="F1737" s="18">
        <f t="shared" ref="F1737:H1737" si="3631">F1677*3</f>
        <v>825</v>
      </c>
      <c r="G1737" s="18">
        <f t="shared" si="3631"/>
        <v>0</v>
      </c>
      <c r="H1737" s="18">
        <f t="shared" si="3631"/>
        <v>4716</v>
      </c>
      <c r="I1737" s="21">
        <f t="shared" si="3509"/>
        <v>385</v>
      </c>
      <c r="J1737" s="21">
        <f t="shared" si="3447"/>
        <v>25</v>
      </c>
      <c r="K1737" s="21">
        <v>0</v>
      </c>
      <c r="L1737" s="20">
        <v>6</v>
      </c>
      <c r="M1737" s="20">
        <v>0</v>
      </c>
      <c r="N1737" s="20">
        <f t="shared" si="3510"/>
        <v>13000</v>
      </c>
      <c r="O1737" s="19" t="s">
        <v>71</v>
      </c>
      <c r="P1737" s="20">
        <v>1777</v>
      </c>
      <c r="Q1737" s="20">
        <f t="shared" ref="Q1737:X1737" si="3632">Q1707</f>
        <v>1300</v>
      </c>
      <c r="R1737" s="20">
        <f t="shared" si="3632"/>
        <v>5200</v>
      </c>
      <c r="S1737" s="20">
        <f t="shared" si="3632"/>
        <v>9100</v>
      </c>
      <c r="T1737" s="20">
        <f t="shared" si="3632"/>
        <v>11700</v>
      </c>
      <c r="U1737" s="20">
        <f t="shared" si="3632"/>
        <v>90</v>
      </c>
      <c r="V1737" s="20">
        <f t="shared" si="3632"/>
        <v>800</v>
      </c>
      <c r="W1737" s="20">
        <f t="shared" si="3632"/>
        <v>2000</v>
      </c>
      <c r="X1737" s="20">
        <f t="shared" si="3632"/>
        <v>7</v>
      </c>
      <c r="Y1737" s="20">
        <v>0</v>
      </c>
      <c r="Z1737" s="20">
        <v>0</v>
      </c>
      <c r="AA1737" s="20">
        <v>0</v>
      </c>
      <c r="AB1737" s="20">
        <v>0</v>
      </c>
      <c r="AC1737" s="20">
        <v>0</v>
      </c>
      <c r="AD1737" s="23">
        <f t="shared" ref="AD1737:AE1737" si="3633">AD1707</f>
        <v>50</v>
      </c>
      <c r="AE1737" s="23">
        <f t="shared" si="3633"/>
        <v>54</v>
      </c>
    </row>
    <row r="1738" spans="1:31">
      <c r="A1738" s="4">
        <v>15102</v>
      </c>
      <c r="B1738" s="4">
        <v>27</v>
      </c>
      <c r="C1738" s="19" t="s">
        <v>72</v>
      </c>
      <c r="D1738" s="44">
        <v>0</v>
      </c>
      <c r="E1738" s="18">
        <v>0</v>
      </c>
      <c r="F1738" s="18">
        <f t="shared" ref="F1738:H1738" si="3634">F1678*3</f>
        <v>894</v>
      </c>
      <c r="G1738" s="18">
        <f t="shared" si="3634"/>
        <v>0</v>
      </c>
      <c r="H1738" s="18">
        <f t="shared" si="3634"/>
        <v>5106</v>
      </c>
      <c r="I1738" s="21">
        <f t="shared" si="3509"/>
        <v>385</v>
      </c>
      <c r="J1738" s="21">
        <f t="shared" si="3447"/>
        <v>26</v>
      </c>
      <c r="K1738" s="21">
        <v>0</v>
      </c>
      <c r="L1738" s="20">
        <v>6</v>
      </c>
      <c r="M1738" s="20">
        <v>0</v>
      </c>
      <c r="N1738" s="20">
        <f t="shared" si="3510"/>
        <v>13500</v>
      </c>
      <c r="O1738" s="19" t="s">
        <v>72</v>
      </c>
      <c r="P1738" s="20">
        <v>2332</v>
      </c>
      <c r="Q1738" s="20">
        <f t="shared" ref="Q1738:X1738" si="3635">Q1708</f>
        <v>1350</v>
      </c>
      <c r="R1738" s="20">
        <f t="shared" si="3635"/>
        <v>5400</v>
      </c>
      <c r="S1738" s="20">
        <f t="shared" si="3635"/>
        <v>9450</v>
      </c>
      <c r="T1738" s="20">
        <f t="shared" si="3635"/>
        <v>12150</v>
      </c>
      <c r="U1738" s="20">
        <f t="shared" si="3635"/>
        <v>80</v>
      </c>
      <c r="V1738" s="20">
        <f t="shared" si="3635"/>
        <v>700</v>
      </c>
      <c r="W1738" s="20">
        <f t="shared" si="3635"/>
        <v>800</v>
      </c>
      <c r="X1738" s="20">
        <f t="shared" si="3635"/>
        <v>7</v>
      </c>
      <c r="Y1738" s="20">
        <v>0</v>
      </c>
      <c r="Z1738" s="20">
        <v>0</v>
      </c>
      <c r="AA1738" s="20">
        <v>0</v>
      </c>
      <c r="AB1738" s="20">
        <v>0</v>
      </c>
      <c r="AC1738" s="20">
        <v>0</v>
      </c>
      <c r="AD1738" s="23">
        <f t="shared" ref="AD1738:AE1738" si="3636">AD1708</f>
        <v>52</v>
      </c>
      <c r="AE1738" s="23">
        <f t="shared" si="3636"/>
        <v>56</v>
      </c>
    </row>
    <row r="1739" spans="1:31">
      <c r="A1739" s="4">
        <v>15102</v>
      </c>
      <c r="B1739" s="4">
        <v>28</v>
      </c>
      <c r="C1739" s="19" t="s">
        <v>73</v>
      </c>
      <c r="D1739" s="44">
        <v>0</v>
      </c>
      <c r="E1739" s="18">
        <v>0</v>
      </c>
      <c r="F1739" s="18">
        <f t="shared" ref="F1739:H1739" si="3637">F1679*3</f>
        <v>969</v>
      </c>
      <c r="G1739" s="18">
        <f t="shared" si="3637"/>
        <v>0</v>
      </c>
      <c r="H1739" s="18">
        <f t="shared" si="3637"/>
        <v>5529</v>
      </c>
      <c r="I1739" s="21">
        <f t="shared" si="3509"/>
        <v>385</v>
      </c>
      <c r="J1739" s="21">
        <f t="shared" ref="J1739:J1801" si="3638">B1739-1</f>
        <v>27</v>
      </c>
      <c r="K1739" s="21">
        <v>0</v>
      </c>
      <c r="L1739" s="20">
        <v>6</v>
      </c>
      <c r="M1739" s="20">
        <v>0</v>
      </c>
      <c r="N1739" s="20">
        <f t="shared" si="3510"/>
        <v>14000</v>
      </c>
      <c r="O1739" s="19" t="s">
        <v>73</v>
      </c>
      <c r="P1739" s="20">
        <v>1487</v>
      </c>
      <c r="Q1739" s="20">
        <f t="shared" ref="Q1739:X1739" si="3639">Q1709</f>
        <v>1400</v>
      </c>
      <c r="R1739" s="20">
        <f t="shared" si="3639"/>
        <v>5600</v>
      </c>
      <c r="S1739" s="20">
        <f t="shared" si="3639"/>
        <v>9800</v>
      </c>
      <c r="T1739" s="20">
        <f t="shared" si="3639"/>
        <v>12600</v>
      </c>
      <c r="U1739" s="20">
        <f t="shared" si="3639"/>
        <v>80</v>
      </c>
      <c r="V1739" s="20">
        <f t="shared" si="3639"/>
        <v>500</v>
      </c>
      <c r="W1739" s="20">
        <f t="shared" si="3639"/>
        <v>600</v>
      </c>
      <c r="X1739" s="20">
        <f t="shared" si="3639"/>
        <v>7</v>
      </c>
      <c r="Y1739" s="20">
        <f>ROUND(D1739*0.25,-1)</f>
        <v>0</v>
      </c>
      <c r="Z1739" s="20">
        <f>ROUND(E1739*0.25,-1)</f>
        <v>0</v>
      </c>
      <c r="AA1739" s="20">
        <v>0</v>
      </c>
      <c r="AB1739" s="20">
        <f>ROUND(G1739*0.25,-1)</f>
        <v>0</v>
      </c>
      <c r="AC1739" s="20">
        <f t="shared" si="3560"/>
        <v>1296</v>
      </c>
      <c r="AD1739" s="23">
        <f t="shared" ref="AD1739:AE1739" si="3640">AD1709</f>
        <v>54</v>
      </c>
      <c r="AE1739" s="23">
        <f t="shared" si="3640"/>
        <v>58</v>
      </c>
    </row>
    <row r="1740" spans="1:31">
      <c r="A1740" s="4">
        <v>15102</v>
      </c>
      <c r="B1740" s="4">
        <v>29</v>
      </c>
      <c r="C1740" s="19" t="s">
        <v>74</v>
      </c>
      <c r="D1740" s="44">
        <v>0</v>
      </c>
      <c r="E1740" s="18">
        <v>0</v>
      </c>
      <c r="F1740" s="18">
        <f t="shared" ref="F1740:H1741" si="3641">F1680*3</f>
        <v>1047</v>
      </c>
      <c r="G1740" s="18">
        <f t="shared" si="3641"/>
        <v>0</v>
      </c>
      <c r="H1740" s="18">
        <f t="shared" si="3641"/>
        <v>5985</v>
      </c>
      <c r="I1740" s="21">
        <f t="shared" si="3509"/>
        <v>440</v>
      </c>
      <c r="J1740" s="21">
        <f t="shared" si="3638"/>
        <v>28</v>
      </c>
      <c r="K1740" s="21">
        <v>0</v>
      </c>
      <c r="L1740" s="20">
        <v>6</v>
      </c>
      <c r="M1740" s="20">
        <v>0</v>
      </c>
      <c r="N1740" s="20">
        <f t="shared" si="3510"/>
        <v>14500</v>
      </c>
      <c r="O1740" s="19" t="s">
        <v>74</v>
      </c>
      <c r="P1740" s="20">
        <v>1518</v>
      </c>
      <c r="Q1740" s="20">
        <f t="shared" ref="Q1740:X1740" si="3642">Q1710</f>
        <v>1450</v>
      </c>
      <c r="R1740" s="20">
        <f t="shared" si="3642"/>
        <v>5800</v>
      </c>
      <c r="S1740" s="20">
        <f t="shared" si="3642"/>
        <v>10150</v>
      </c>
      <c r="T1740" s="20">
        <f t="shared" si="3642"/>
        <v>13050</v>
      </c>
      <c r="U1740" s="20">
        <f t="shared" si="3642"/>
        <v>80</v>
      </c>
      <c r="V1740" s="20">
        <f t="shared" si="3642"/>
        <v>600</v>
      </c>
      <c r="W1740" s="20">
        <f t="shared" si="3642"/>
        <v>700</v>
      </c>
      <c r="X1740" s="20">
        <f t="shared" si="3642"/>
        <v>8</v>
      </c>
      <c r="Y1740" s="20">
        <v>0</v>
      </c>
      <c r="Z1740" s="20">
        <v>0</v>
      </c>
      <c r="AA1740" s="20">
        <v>0</v>
      </c>
      <c r="AB1740" s="20">
        <v>0</v>
      </c>
      <c r="AC1740" s="20">
        <v>0</v>
      </c>
      <c r="AD1740" s="23">
        <f t="shared" ref="AD1740:AE1740" si="3643">AD1710</f>
        <v>56</v>
      </c>
      <c r="AE1740" s="23">
        <f t="shared" si="3643"/>
        <v>60</v>
      </c>
    </row>
    <row r="1741" spans="1:31">
      <c r="A1741" s="4">
        <v>15102</v>
      </c>
      <c r="B1741" s="4">
        <v>30</v>
      </c>
      <c r="C1741" s="19" t="s">
        <v>75</v>
      </c>
      <c r="D1741" s="44">
        <v>0</v>
      </c>
      <c r="E1741" s="18">
        <v>0</v>
      </c>
      <c r="F1741" s="18">
        <f>F1681*3</f>
        <v>1134</v>
      </c>
      <c r="G1741" s="18">
        <f t="shared" si="3641"/>
        <v>0</v>
      </c>
      <c r="H1741" s="18">
        <f t="shared" si="3641"/>
        <v>6480</v>
      </c>
      <c r="I1741" s="21">
        <f t="shared" si="3509"/>
        <v>440</v>
      </c>
      <c r="J1741" s="21">
        <f t="shared" si="3638"/>
        <v>29</v>
      </c>
      <c r="K1741" s="21">
        <v>0</v>
      </c>
      <c r="L1741" s="20">
        <v>6</v>
      </c>
      <c r="M1741" s="20">
        <v>0</v>
      </c>
      <c r="N1741" s="20">
        <f t="shared" si="3510"/>
        <v>15000</v>
      </c>
      <c r="O1741" s="19" t="s">
        <v>75</v>
      </c>
      <c r="P1741" s="20">
        <v>861</v>
      </c>
      <c r="Q1741" s="20">
        <f t="shared" ref="Q1741:X1741" si="3644">Q1711</f>
        <v>1500</v>
      </c>
      <c r="R1741" s="20">
        <f t="shared" si="3644"/>
        <v>6000</v>
      </c>
      <c r="S1741" s="20">
        <f t="shared" si="3644"/>
        <v>10500</v>
      </c>
      <c r="T1741" s="20">
        <f t="shared" si="3644"/>
        <v>13500</v>
      </c>
      <c r="U1741" s="20">
        <f t="shared" si="3644"/>
        <v>20</v>
      </c>
      <c r="V1741" s="20">
        <f t="shared" si="3644"/>
        <v>450</v>
      </c>
      <c r="W1741" s="20">
        <f t="shared" si="3644"/>
        <v>1000</v>
      </c>
      <c r="X1741" s="20">
        <f t="shared" si="3644"/>
        <v>8</v>
      </c>
      <c r="Y1741" s="20">
        <v>0</v>
      </c>
      <c r="Z1741" s="20">
        <v>0</v>
      </c>
      <c r="AA1741" s="20">
        <v>0</v>
      </c>
      <c r="AB1741" s="20">
        <v>0</v>
      </c>
      <c r="AC1741" s="20">
        <v>0</v>
      </c>
      <c r="AD1741" s="23">
        <f t="shared" ref="AD1741:AE1741" si="3645">AD1711</f>
        <v>58</v>
      </c>
      <c r="AE1741" s="23">
        <f t="shared" si="3645"/>
        <v>62</v>
      </c>
    </row>
    <row r="1742" spans="1:31">
      <c r="A1742" s="8">
        <v>15103</v>
      </c>
      <c r="B1742" s="8">
        <v>1</v>
      </c>
      <c r="C1742" s="29" t="s">
        <v>66</v>
      </c>
      <c r="D1742" s="46">
        <v>0</v>
      </c>
      <c r="E1742" s="28">
        <v>0</v>
      </c>
      <c r="F1742" s="28">
        <f>F1652*4</f>
        <v>152</v>
      </c>
      <c r="G1742" s="28">
        <f t="shared" ref="G1742:H1742" si="3646">G1652*4</f>
        <v>0</v>
      </c>
      <c r="H1742" s="28">
        <f t="shared" si="3646"/>
        <v>864</v>
      </c>
      <c r="I1742" s="21">
        <f t="shared" si="3509"/>
        <v>55</v>
      </c>
      <c r="J1742" s="21">
        <f t="shared" si="3638"/>
        <v>0</v>
      </c>
      <c r="K1742" s="21">
        <v>0</v>
      </c>
      <c r="L1742" s="20">
        <v>45</v>
      </c>
      <c r="M1742" s="20">
        <v>0</v>
      </c>
      <c r="N1742" s="20">
        <f t="shared" si="3510"/>
        <v>10</v>
      </c>
      <c r="O1742" s="19" t="s">
        <v>66</v>
      </c>
      <c r="P1742" s="20">
        <v>9400</v>
      </c>
      <c r="Q1742" s="20">
        <f t="shared" ref="Q1742:X1742" si="3647">Q1712</f>
        <v>1</v>
      </c>
      <c r="R1742" s="20">
        <f t="shared" si="3647"/>
        <v>4</v>
      </c>
      <c r="S1742" s="20">
        <f t="shared" si="3647"/>
        <v>7</v>
      </c>
      <c r="T1742" s="20">
        <f t="shared" si="3647"/>
        <v>9</v>
      </c>
      <c r="U1742" s="20">
        <f t="shared" si="3647"/>
        <v>9400</v>
      </c>
      <c r="V1742" s="20">
        <f t="shared" si="3647"/>
        <v>9400</v>
      </c>
      <c r="W1742" s="20">
        <f t="shared" si="3647"/>
        <v>9400</v>
      </c>
      <c r="X1742" s="20">
        <f t="shared" si="3647"/>
        <v>1</v>
      </c>
      <c r="Y1742" s="20">
        <v>0</v>
      </c>
      <c r="Z1742" s="20">
        <v>0</v>
      </c>
      <c r="AA1742" s="20">
        <v>0</v>
      </c>
      <c r="AB1742" s="20">
        <v>0</v>
      </c>
      <c r="AC1742" s="20">
        <f>INT(AC1772*0.9)</f>
        <v>0</v>
      </c>
      <c r="AD1742" s="23">
        <f t="shared" ref="AD1742:AE1742" si="3648">AD1712</f>
        <v>1</v>
      </c>
      <c r="AE1742" s="23">
        <f t="shared" si="3648"/>
        <v>3</v>
      </c>
    </row>
    <row r="1743" spans="1:31">
      <c r="A1743" s="4">
        <v>15103</v>
      </c>
      <c r="B1743" s="4">
        <v>2</v>
      </c>
      <c r="C1743" s="29" t="s">
        <v>67</v>
      </c>
      <c r="D1743" s="46">
        <v>0</v>
      </c>
      <c r="E1743" s="28">
        <v>0</v>
      </c>
      <c r="F1743" s="28">
        <f t="shared" ref="F1743:H1743" si="3649">F1653*4</f>
        <v>164</v>
      </c>
      <c r="G1743" s="28">
        <f t="shared" si="3649"/>
        <v>0</v>
      </c>
      <c r="H1743" s="28">
        <f t="shared" si="3649"/>
        <v>936</v>
      </c>
      <c r="I1743" s="21">
        <f t="shared" si="3509"/>
        <v>55</v>
      </c>
      <c r="J1743" s="21">
        <f t="shared" si="3638"/>
        <v>1</v>
      </c>
      <c r="K1743" s="21">
        <v>0</v>
      </c>
      <c r="L1743" s="20">
        <v>40</v>
      </c>
      <c r="M1743" s="20">
        <v>0</v>
      </c>
      <c r="N1743" s="20">
        <f t="shared" si="3510"/>
        <v>20</v>
      </c>
      <c r="O1743" s="19" t="s">
        <v>67</v>
      </c>
      <c r="P1743" s="20">
        <v>9100</v>
      </c>
      <c r="Q1743" s="20">
        <f t="shared" ref="Q1743:X1743" si="3650">Q1713</f>
        <v>2</v>
      </c>
      <c r="R1743" s="20">
        <f t="shared" si="3650"/>
        <v>8</v>
      </c>
      <c r="S1743" s="20">
        <f t="shared" si="3650"/>
        <v>14</v>
      </c>
      <c r="T1743" s="20">
        <f t="shared" si="3650"/>
        <v>18</v>
      </c>
      <c r="U1743" s="20">
        <f t="shared" si="3650"/>
        <v>4000</v>
      </c>
      <c r="V1743" s="20">
        <f t="shared" si="3650"/>
        <v>8000</v>
      </c>
      <c r="W1743" s="20">
        <f t="shared" si="3650"/>
        <v>8000</v>
      </c>
      <c r="X1743" s="20">
        <f t="shared" si="3650"/>
        <v>1</v>
      </c>
      <c r="Y1743" s="20">
        <v>0</v>
      </c>
      <c r="Z1743" s="20">
        <v>0</v>
      </c>
      <c r="AA1743" s="20">
        <v>0</v>
      </c>
      <c r="AB1743" s="20">
        <v>0</v>
      </c>
      <c r="AC1743" s="20">
        <f t="shared" ref="AC1743:AC1769" si="3651">INT(AC1773*0.9)</f>
        <v>0</v>
      </c>
      <c r="AD1743" s="23">
        <f t="shared" ref="AD1743:AE1743" si="3652">AD1713</f>
        <v>2</v>
      </c>
      <c r="AE1743" s="23">
        <f t="shared" si="3652"/>
        <v>5</v>
      </c>
    </row>
    <row r="1744" spans="1:31">
      <c r="A1744" s="4">
        <v>15103</v>
      </c>
      <c r="B1744" s="4">
        <v>3</v>
      </c>
      <c r="C1744" s="29" t="s">
        <v>68</v>
      </c>
      <c r="D1744" s="46">
        <v>0</v>
      </c>
      <c r="E1744" s="28">
        <v>0</v>
      </c>
      <c r="F1744" s="28">
        <f t="shared" ref="F1744:H1744" si="3653">F1654*4</f>
        <v>180</v>
      </c>
      <c r="G1744" s="28">
        <f t="shared" si="3653"/>
        <v>0</v>
      </c>
      <c r="H1744" s="28">
        <f t="shared" si="3653"/>
        <v>1012</v>
      </c>
      <c r="I1744" s="21">
        <f t="shared" si="3509"/>
        <v>55</v>
      </c>
      <c r="J1744" s="21">
        <f t="shared" si="3638"/>
        <v>2</v>
      </c>
      <c r="K1744" s="21">
        <v>0</v>
      </c>
      <c r="L1744" s="20">
        <v>35</v>
      </c>
      <c r="M1744" s="20">
        <v>0</v>
      </c>
      <c r="N1744" s="20">
        <f t="shared" si="3510"/>
        <v>40</v>
      </c>
      <c r="O1744" s="19" t="s">
        <v>68</v>
      </c>
      <c r="P1744" s="20">
        <v>8600</v>
      </c>
      <c r="Q1744" s="20">
        <f t="shared" ref="Q1744:X1744" si="3654">Q1714</f>
        <v>4</v>
      </c>
      <c r="R1744" s="20">
        <f t="shared" si="3654"/>
        <v>16</v>
      </c>
      <c r="S1744" s="20">
        <f t="shared" si="3654"/>
        <v>28</v>
      </c>
      <c r="T1744" s="20">
        <f t="shared" si="3654"/>
        <v>36</v>
      </c>
      <c r="U1744" s="20">
        <f t="shared" si="3654"/>
        <v>1600</v>
      </c>
      <c r="V1744" s="20">
        <f t="shared" si="3654"/>
        <v>5000</v>
      </c>
      <c r="W1744" s="20">
        <f t="shared" si="3654"/>
        <v>6000</v>
      </c>
      <c r="X1744" s="20">
        <f t="shared" si="3654"/>
        <v>1</v>
      </c>
      <c r="Y1744" s="20">
        <v>0</v>
      </c>
      <c r="Z1744" s="20">
        <v>0</v>
      </c>
      <c r="AA1744" s="20">
        <v>0</v>
      </c>
      <c r="AB1744" s="20">
        <v>0</v>
      </c>
      <c r="AC1744" s="20">
        <f t="shared" si="3651"/>
        <v>0</v>
      </c>
      <c r="AD1744" s="23">
        <f t="shared" ref="AD1744:AE1744" si="3655">AD1714</f>
        <v>4</v>
      </c>
      <c r="AE1744" s="23">
        <f t="shared" si="3655"/>
        <v>8</v>
      </c>
    </row>
    <row r="1745" spans="1:31">
      <c r="A1745" s="4">
        <v>15103</v>
      </c>
      <c r="B1745" s="4">
        <v>4</v>
      </c>
      <c r="C1745" s="29" t="s">
        <v>69</v>
      </c>
      <c r="D1745" s="46">
        <v>0</v>
      </c>
      <c r="E1745" s="28">
        <v>0</v>
      </c>
      <c r="F1745" s="28">
        <f t="shared" ref="F1745:H1745" si="3656">F1655*4</f>
        <v>192</v>
      </c>
      <c r="G1745" s="28">
        <f t="shared" si="3656"/>
        <v>0</v>
      </c>
      <c r="H1745" s="28">
        <f t="shared" si="3656"/>
        <v>1096</v>
      </c>
      <c r="I1745" s="21">
        <f t="shared" si="3509"/>
        <v>55</v>
      </c>
      <c r="J1745" s="21">
        <f t="shared" si="3638"/>
        <v>3</v>
      </c>
      <c r="K1745" s="21">
        <v>0</v>
      </c>
      <c r="L1745" s="20">
        <v>30</v>
      </c>
      <c r="M1745" s="20">
        <v>0</v>
      </c>
      <c r="N1745" s="20">
        <f t="shared" si="3510"/>
        <v>100</v>
      </c>
      <c r="O1745" s="19" t="s">
        <v>69</v>
      </c>
      <c r="P1745" s="20">
        <v>6400</v>
      </c>
      <c r="Q1745" s="20">
        <f t="shared" ref="Q1745:X1745" si="3657">Q1715</f>
        <v>10</v>
      </c>
      <c r="R1745" s="20">
        <f t="shared" si="3657"/>
        <v>40</v>
      </c>
      <c r="S1745" s="20">
        <f t="shared" si="3657"/>
        <v>70</v>
      </c>
      <c r="T1745" s="20">
        <f t="shared" si="3657"/>
        <v>90</v>
      </c>
      <c r="U1745" s="20">
        <f t="shared" si="3657"/>
        <v>900</v>
      </c>
      <c r="V1745" s="20">
        <f t="shared" si="3657"/>
        <v>2000</v>
      </c>
      <c r="W1745" s="20">
        <f t="shared" si="3657"/>
        <v>8000</v>
      </c>
      <c r="X1745" s="20">
        <f t="shared" si="3657"/>
        <v>1</v>
      </c>
      <c r="Y1745" s="20">
        <v>0</v>
      </c>
      <c r="Z1745" s="20">
        <v>0</v>
      </c>
      <c r="AA1745" s="20">
        <v>0</v>
      </c>
      <c r="AB1745" s="20">
        <v>0</v>
      </c>
      <c r="AC1745" s="20">
        <f t="shared" si="3651"/>
        <v>0</v>
      </c>
      <c r="AD1745" s="23">
        <f t="shared" ref="AD1745:AE1745" si="3658">AD1715</f>
        <v>6</v>
      </c>
      <c r="AE1745" s="23">
        <f t="shared" si="3658"/>
        <v>10</v>
      </c>
    </row>
    <row r="1746" spans="1:31">
      <c r="A1746" s="4">
        <v>15103</v>
      </c>
      <c r="B1746" s="4">
        <v>5</v>
      </c>
      <c r="C1746" s="29" t="s">
        <v>70</v>
      </c>
      <c r="D1746" s="46">
        <v>0</v>
      </c>
      <c r="E1746" s="28">
        <v>0</v>
      </c>
      <c r="F1746" s="28">
        <f t="shared" ref="F1746:H1746" si="3659">F1656*4</f>
        <v>208</v>
      </c>
      <c r="G1746" s="28">
        <f t="shared" si="3659"/>
        <v>0</v>
      </c>
      <c r="H1746" s="28">
        <f t="shared" si="3659"/>
        <v>1188</v>
      </c>
      <c r="I1746" s="21">
        <f t="shared" si="3509"/>
        <v>110</v>
      </c>
      <c r="J1746" s="21">
        <f t="shared" si="3638"/>
        <v>4</v>
      </c>
      <c r="K1746" s="21">
        <v>0</v>
      </c>
      <c r="L1746" s="20">
        <v>25</v>
      </c>
      <c r="M1746" s="20">
        <v>0</v>
      </c>
      <c r="N1746" s="20">
        <f t="shared" si="3510"/>
        <v>200</v>
      </c>
      <c r="O1746" s="19" t="s">
        <v>70</v>
      </c>
      <c r="P1746" s="20">
        <v>3100</v>
      </c>
      <c r="Q1746" s="20">
        <f t="shared" ref="Q1746:X1746" si="3660">Q1716</f>
        <v>20</v>
      </c>
      <c r="R1746" s="20">
        <f t="shared" si="3660"/>
        <v>80</v>
      </c>
      <c r="S1746" s="20">
        <f t="shared" si="3660"/>
        <v>140</v>
      </c>
      <c r="T1746" s="20">
        <f t="shared" si="3660"/>
        <v>180</v>
      </c>
      <c r="U1746" s="20">
        <f t="shared" si="3660"/>
        <v>1000</v>
      </c>
      <c r="V1746" s="20">
        <f t="shared" si="3660"/>
        <v>2000</v>
      </c>
      <c r="W1746" s="20">
        <f t="shared" si="3660"/>
        <v>2000</v>
      </c>
      <c r="X1746" s="20">
        <f t="shared" si="3660"/>
        <v>2</v>
      </c>
      <c r="Y1746" s="20">
        <v>0</v>
      </c>
      <c r="Z1746" s="20">
        <v>0</v>
      </c>
      <c r="AA1746" s="20">
        <v>0</v>
      </c>
      <c r="AB1746" s="20">
        <v>0</v>
      </c>
      <c r="AC1746" s="20">
        <f t="shared" si="3651"/>
        <v>0</v>
      </c>
      <c r="AD1746" s="23">
        <f t="shared" ref="AD1746:AE1746" si="3661">AD1716</f>
        <v>8</v>
      </c>
      <c r="AE1746" s="23">
        <f t="shared" si="3661"/>
        <v>12</v>
      </c>
    </row>
    <row r="1747" spans="1:31">
      <c r="A1747" s="4">
        <v>15103</v>
      </c>
      <c r="B1747" s="4">
        <v>6</v>
      </c>
      <c r="C1747" s="29" t="s">
        <v>71</v>
      </c>
      <c r="D1747" s="46">
        <v>0</v>
      </c>
      <c r="E1747" s="28">
        <v>0</v>
      </c>
      <c r="F1747" s="28">
        <f t="shared" ref="F1747:H1747" si="3662">F1657*4</f>
        <v>224</v>
      </c>
      <c r="G1747" s="28">
        <f t="shared" si="3662"/>
        <v>0</v>
      </c>
      <c r="H1747" s="28">
        <f t="shared" si="3662"/>
        <v>1284</v>
      </c>
      <c r="I1747" s="21">
        <f t="shared" si="3509"/>
        <v>110</v>
      </c>
      <c r="J1747" s="21">
        <f t="shared" si="3638"/>
        <v>5</v>
      </c>
      <c r="K1747" s="21">
        <v>0</v>
      </c>
      <c r="L1747" s="20">
        <v>20</v>
      </c>
      <c r="M1747" s="20">
        <v>0</v>
      </c>
      <c r="N1747" s="20">
        <f t="shared" si="3510"/>
        <v>500</v>
      </c>
      <c r="O1747" s="19" t="s">
        <v>71</v>
      </c>
      <c r="P1747" s="20">
        <v>1777</v>
      </c>
      <c r="Q1747" s="20">
        <f t="shared" ref="Q1747:X1747" si="3663">Q1717</f>
        <v>50</v>
      </c>
      <c r="R1747" s="20">
        <f t="shared" si="3663"/>
        <v>200</v>
      </c>
      <c r="S1747" s="20">
        <f t="shared" si="3663"/>
        <v>350</v>
      </c>
      <c r="T1747" s="20">
        <f t="shared" si="3663"/>
        <v>450</v>
      </c>
      <c r="U1747" s="20">
        <f t="shared" si="3663"/>
        <v>800</v>
      </c>
      <c r="V1747" s="20">
        <f t="shared" si="3663"/>
        <v>800</v>
      </c>
      <c r="W1747" s="20">
        <f t="shared" si="3663"/>
        <v>600</v>
      </c>
      <c r="X1747" s="20">
        <f t="shared" si="3663"/>
        <v>2</v>
      </c>
      <c r="Y1747" s="20">
        <v>0</v>
      </c>
      <c r="Z1747" s="20">
        <v>0</v>
      </c>
      <c r="AA1747" s="20">
        <v>0</v>
      </c>
      <c r="AB1747" s="20">
        <v>0</v>
      </c>
      <c r="AC1747" s="20">
        <f t="shared" si="3651"/>
        <v>0</v>
      </c>
      <c r="AD1747" s="23">
        <f t="shared" ref="AD1747:AE1747" si="3664">AD1717</f>
        <v>10</v>
      </c>
      <c r="AE1747" s="23">
        <f t="shared" si="3664"/>
        <v>14</v>
      </c>
    </row>
    <row r="1748" spans="1:31">
      <c r="A1748" s="4">
        <v>15103</v>
      </c>
      <c r="B1748" s="4">
        <v>7</v>
      </c>
      <c r="C1748" s="29" t="s">
        <v>72</v>
      </c>
      <c r="D1748" s="46">
        <v>0</v>
      </c>
      <c r="E1748" s="28">
        <v>0</v>
      </c>
      <c r="F1748" s="28">
        <f t="shared" ref="F1748:H1748" si="3665">F1658*4</f>
        <v>244</v>
      </c>
      <c r="G1748" s="28">
        <f t="shared" si="3665"/>
        <v>0</v>
      </c>
      <c r="H1748" s="28">
        <f t="shared" si="3665"/>
        <v>1392</v>
      </c>
      <c r="I1748" s="21">
        <f t="shared" si="3509"/>
        <v>110</v>
      </c>
      <c r="J1748" s="21">
        <f t="shared" si="3638"/>
        <v>6</v>
      </c>
      <c r="K1748" s="21">
        <v>0</v>
      </c>
      <c r="L1748" s="20">
        <v>16</v>
      </c>
      <c r="M1748" s="20">
        <v>0</v>
      </c>
      <c r="N1748" s="20">
        <f t="shared" si="3510"/>
        <v>700</v>
      </c>
      <c r="O1748" s="19" t="s">
        <v>72</v>
      </c>
      <c r="P1748" s="20">
        <v>2332</v>
      </c>
      <c r="Q1748" s="20">
        <f t="shared" ref="Q1748:X1748" si="3666">Q1718</f>
        <v>70</v>
      </c>
      <c r="R1748" s="20">
        <f t="shared" si="3666"/>
        <v>280</v>
      </c>
      <c r="S1748" s="20">
        <f t="shared" si="3666"/>
        <v>489.99999999999994</v>
      </c>
      <c r="T1748" s="20">
        <f t="shared" si="3666"/>
        <v>630</v>
      </c>
      <c r="U1748" s="20">
        <f t="shared" si="3666"/>
        <v>650</v>
      </c>
      <c r="V1748" s="20">
        <f t="shared" si="3666"/>
        <v>800</v>
      </c>
      <c r="W1748" s="20">
        <f t="shared" si="3666"/>
        <v>300</v>
      </c>
      <c r="X1748" s="20">
        <f t="shared" si="3666"/>
        <v>2</v>
      </c>
      <c r="Y1748" s="20">
        <v>0</v>
      </c>
      <c r="Z1748" s="20">
        <v>0</v>
      </c>
      <c r="AA1748" s="20">
        <v>0</v>
      </c>
      <c r="AB1748" s="20">
        <v>0</v>
      </c>
      <c r="AC1748" s="20">
        <f t="shared" si="3651"/>
        <v>0</v>
      </c>
      <c r="AD1748" s="23">
        <f t="shared" ref="AD1748:AE1748" si="3667">AD1718</f>
        <v>12</v>
      </c>
      <c r="AE1748" s="23">
        <f t="shared" si="3667"/>
        <v>16</v>
      </c>
    </row>
    <row r="1749" spans="1:31">
      <c r="A1749" s="4">
        <v>15103</v>
      </c>
      <c r="B1749" s="4">
        <v>8</v>
      </c>
      <c r="C1749" s="29" t="s">
        <v>73</v>
      </c>
      <c r="D1749" s="46">
        <v>0</v>
      </c>
      <c r="E1749" s="28">
        <v>0</v>
      </c>
      <c r="F1749" s="28">
        <f t="shared" ref="F1749:H1749" si="3668">F1659*4</f>
        <v>264</v>
      </c>
      <c r="G1749" s="28">
        <f t="shared" si="3668"/>
        <v>0</v>
      </c>
      <c r="H1749" s="28">
        <f t="shared" si="3668"/>
        <v>1508</v>
      </c>
      <c r="I1749" s="21">
        <f t="shared" si="3509"/>
        <v>110</v>
      </c>
      <c r="J1749" s="21">
        <f t="shared" si="3638"/>
        <v>7</v>
      </c>
      <c r="K1749" s="21">
        <v>0</v>
      </c>
      <c r="L1749" s="20">
        <v>12</v>
      </c>
      <c r="M1749" s="20">
        <v>0</v>
      </c>
      <c r="N1749" s="20">
        <f t="shared" si="3510"/>
        <v>800</v>
      </c>
      <c r="O1749" s="19" t="s">
        <v>73</v>
      </c>
      <c r="P1749" s="20">
        <v>1487</v>
      </c>
      <c r="Q1749" s="20">
        <f t="shared" ref="Q1749:X1749" si="3669">Q1719</f>
        <v>80</v>
      </c>
      <c r="R1749" s="20">
        <f t="shared" si="3669"/>
        <v>320</v>
      </c>
      <c r="S1749" s="20">
        <f t="shared" si="3669"/>
        <v>560</v>
      </c>
      <c r="T1749" s="20">
        <f t="shared" si="3669"/>
        <v>720</v>
      </c>
      <c r="U1749" s="20">
        <f t="shared" si="3669"/>
        <v>200</v>
      </c>
      <c r="V1749" s="20">
        <f t="shared" si="3669"/>
        <v>2000</v>
      </c>
      <c r="W1749" s="20">
        <f t="shared" si="3669"/>
        <v>1000</v>
      </c>
      <c r="X1749" s="20">
        <f t="shared" si="3669"/>
        <v>2</v>
      </c>
      <c r="Y1749" s="20">
        <f>ROUND(D1749*0.25,-1)</f>
        <v>0</v>
      </c>
      <c r="Z1749" s="20">
        <f>ROUND(E1749*0.25,-1)</f>
        <v>0</v>
      </c>
      <c r="AA1749" s="20">
        <v>0</v>
      </c>
      <c r="AB1749" s="20">
        <f>ROUND(G1749*0.25,-1)</f>
        <v>0</v>
      </c>
      <c r="AC1749" s="20">
        <f t="shared" si="3651"/>
        <v>291</v>
      </c>
      <c r="AD1749" s="23">
        <f t="shared" ref="AD1749:AE1749" si="3670">AD1719</f>
        <v>14</v>
      </c>
      <c r="AE1749" s="23">
        <f t="shared" si="3670"/>
        <v>18</v>
      </c>
    </row>
    <row r="1750" spans="1:31">
      <c r="A1750" s="4">
        <v>15103</v>
      </c>
      <c r="B1750" s="4">
        <v>9</v>
      </c>
      <c r="C1750" s="29" t="s">
        <v>74</v>
      </c>
      <c r="D1750" s="46">
        <v>0</v>
      </c>
      <c r="E1750" s="28">
        <v>0</v>
      </c>
      <c r="F1750" s="28">
        <f t="shared" ref="F1750:H1750" si="3671">F1660*4</f>
        <v>288</v>
      </c>
      <c r="G1750" s="28">
        <f t="shared" si="3671"/>
        <v>0</v>
      </c>
      <c r="H1750" s="28">
        <f t="shared" si="3671"/>
        <v>1632</v>
      </c>
      <c r="I1750" s="21">
        <f t="shared" si="3509"/>
        <v>165</v>
      </c>
      <c r="J1750" s="21">
        <f t="shared" si="3638"/>
        <v>8</v>
      </c>
      <c r="K1750" s="21">
        <v>0</v>
      </c>
      <c r="L1750" s="20">
        <v>8</v>
      </c>
      <c r="M1750" s="20">
        <v>0</v>
      </c>
      <c r="N1750" s="20">
        <f t="shared" si="3510"/>
        <v>900</v>
      </c>
      <c r="O1750" s="19" t="s">
        <v>74</v>
      </c>
      <c r="P1750" s="20">
        <v>1518</v>
      </c>
      <c r="Q1750" s="20">
        <f t="shared" ref="Q1750:X1750" si="3672">Q1720</f>
        <v>90</v>
      </c>
      <c r="R1750" s="20">
        <f t="shared" si="3672"/>
        <v>360</v>
      </c>
      <c r="S1750" s="20">
        <f t="shared" si="3672"/>
        <v>630</v>
      </c>
      <c r="T1750" s="20">
        <f t="shared" si="3672"/>
        <v>810</v>
      </c>
      <c r="U1750" s="20">
        <f t="shared" si="3672"/>
        <v>120</v>
      </c>
      <c r="V1750" s="20">
        <f t="shared" si="3672"/>
        <v>1500</v>
      </c>
      <c r="W1750" s="20">
        <f t="shared" si="3672"/>
        <v>1000</v>
      </c>
      <c r="X1750" s="20">
        <f t="shared" si="3672"/>
        <v>3</v>
      </c>
      <c r="Y1750" s="20">
        <v>0</v>
      </c>
      <c r="Z1750" s="20">
        <v>0</v>
      </c>
      <c r="AA1750" s="20">
        <v>0</v>
      </c>
      <c r="AB1750" s="20">
        <v>0</v>
      </c>
      <c r="AC1750" s="20">
        <v>0</v>
      </c>
      <c r="AD1750" s="23">
        <f t="shared" ref="AD1750:AE1750" si="3673">AD1720</f>
        <v>16</v>
      </c>
      <c r="AE1750" s="23">
        <f t="shared" si="3673"/>
        <v>20</v>
      </c>
    </row>
    <row r="1751" spans="1:31">
      <c r="A1751" s="4">
        <v>15103</v>
      </c>
      <c r="B1751" s="4">
        <v>10</v>
      </c>
      <c r="C1751" s="29" t="s">
        <v>75</v>
      </c>
      <c r="D1751" s="46">
        <v>0</v>
      </c>
      <c r="E1751" s="28">
        <v>0</v>
      </c>
      <c r="F1751" s="28">
        <f t="shared" ref="F1751:H1751" si="3674">F1661*4</f>
        <v>312</v>
      </c>
      <c r="G1751" s="28">
        <f t="shared" si="3674"/>
        <v>0</v>
      </c>
      <c r="H1751" s="28">
        <f t="shared" si="3674"/>
        <v>1764</v>
      </c>
      <c r="I1751" s="21">
        <f t="shared" si="3509"/>
        <v>165</v>
      </c>
      <c r="J1751" s="21">
        <f t="shared" si="3638"/>
        <v>9</v>
      </c>
      <c r="K1751" s="21">
        <v>0</v>
      </c>
      <c r="L1751" s="20">
        <v>6</v>
      </c>
      <c r="M1751" s="20">
        <v>0</v>
      </c>
      <c r="N1751" s="20">
        <f t="shared" si="3510"/>
        <v>2000</v>
      </c>
      <c r="O1751" s="19" t="s">
        <v>75</v>
      </c>
      <c r="P1751" s="20">
        <v>861</v>
      </c>
      <c r="Q1751" s="20">
        <f t="shared" ref="Q1751:X1751" si="3675">Q1721</f>
        <v>200</v>
      </c>
      <c r="R1751" s="20">
        <f t="shared" si="3675"/>
        <v>800</v>
      </c>
      <c r="S1751" s="20">
        <f t="shared" si="3675"/>
        <v>1400</v>
      </c>
      <c r="T1751" s="20">
        <f t="shared" si="3675"/>
        <v>1800</v>
      </c>
      <c r="U1751" s="20">
        <f t="shared" si="3675"/>
        <v>150</v>
      </c>
      <c r="V1751" s="20">
        <f t="shared" si="3675"/>
        <v>5000</v>
      </c>
      <c r="W1751" s="20">
        <f t="shared" si="3675"/>
        <v>800</v>
      </c>
      <c r="X1751" s="20">
        <f t="shared" si="3675"/>
        <v>3</v>
      </c>
      <c r="Y1751" s="20">
        <v>0</v>
      </c>
      <c r="Z1751" s="20">
        <v>0</v>
      </c>
      <c r="AA1751" s="20">
        <v>0</v>
      </c>
      <c r="AB1751" s="20">
        <v>0</v>
      </c>
      <c r="AC1751" s="20">
        <v>0</v>
      </c>
      <c r="AD1751" s="23">
        <f t="shared" ref="AD1751:AE1751" si="3676">AD1721</f>
        <v>18</v>
      </c>
      <c r="AE1751" s="23">
        <f t="shared" si="3676"/>
        <v>22</v>
      </c>
    </row>
    <row r="1752" spans="1:31">
      <c r="A1752" s="4">
        <v>15103</v>
      </c>
      <c r="B1752" s="4">
        <v>11</v>
      </c>
      <c r="C1752" s="29" t="s">
        <v>66</v>
      </c>
      <c r="D1752" s="46">
        <v>0</v>
      </c>
      <c r="E1752" s="28">
        <v>0</v>
      </c>
      <c r="F1752" s="28">
        <f t="shared" ref="F1752:H1752" si="3677">F1662*4</f>
        <v>336</v>
      </c>
      <c r="G1752" s="28">
        <f t="shared" si="3677"/>
        <v>0</v>
      </c>
      <c r="H1752" s="28">
        <f t="shared" si="3677"/>
        <v>1912</v>
      </c>
      <c r="I1752" s="21">
        <f t="shared" si="3509"/>
        <v>165</v>
      </c>
      <c r="J1752" s="21">
        <f t="shared" si="3638"/>
        <v>10</v>
      </c>
      <c r="K1752" s="21">
        <v>0</v>
      </c>
      <c r="L1752" s="20">
        <v>6</v>
      </c>
      <c r="M1752" s="20">
        <v>0</v>
      </c>
      <c r="N1752" s="20">
        <f t="shared" si="3510"/>
        <v>2200</v>
      </c>
      <c r="O1752" s="19" t="s">
        <v>66</v>
      </c>
      <c r="P1752" s="20">
        <v>9400</v>
      </c>
      <c r="Q1752" s="20">
        <f t="shared" ref="Q1752:X1752" si="3678">Q1722</f>
        <v>220</v>
      </c>
      <c r="R1752" s="20">
        <f t="shared" si="3678"/>
        <v>880</v>
      </c>
      <c r="S1752" s="20">
        <f t="shared" si="3678"/>
        <v>1540</v>
      </c>
      <c r="T1752" s="20">
        <f t="shared" si="3678"/>
        <v>1980</v>
      </c>
      <c r="U1752" s="20">
        <f t="shared" si="3678"/>
        <v>100</v>
      </c>
      <c r="V1752" s="20">
        <f t="shared" si="3678"/>
        <v>800</v>
      </c>
      <c r="W1752" s="20">
        <f t="shared" si="3678"/>
        <v>600</v>
      </c>
      <c r="X1752" s="20">
        <f t="shared" si="3678"/>
        <v>3</v>
      </c>
      <c r="Y1752" s="20">
        <v>0</v>
      </c>
      <c r="Z1752" s="20">
        <v>0</v>
      </c>
      <c r="AA1752" s="20">
        <v>0</v>
      </c>
      <c r="AB1752" s="20">
        <v>0</v>
      </c>
      <c r="AC1752" s="20">
        <v>0</v>
      </c>
      <c r="AD1752" s="23">
        <f t="shared" ref="AD1752:AE1752" si="3679">AD1722</f>
        <v>20</v>
      </c>
      <c r="AE1752" s="23">
        <f t="shared" si="3679"/>
        <v>24</v>
      </c>
    </row>
    <row r="1753" spans="1:31">
      <c r="A1753" s="4">
        <v>15103</v>
      </c>
      <c r="B1753" s="4">
        <v>12</v>
      </c>
      <c r="C1753" s="29" t="s">
        <v>67</v>
      </c>
      <c r="D1753" s="46">
        <v>0</v>
      </c>
      <c r="E1753" s="28">
        <v>0</v>
      </c>
      <c r="F1753" s="28">
        <f t="shared" ref="F1753:H1753" si="3680">F1663*4</f>
        <v>364</v>
      </c>
      <c r="G1753" s="28">
        <f t="shared" si="3680"/>
        <v>0</v>
      </c>
      <c r="H1753" s="28">
        <f t="shared" si="3680"/>
        <v>2068</v>
      </c>
      <c r="I1753" s="21">
        <f t="shared" si="3509"/>
        <v>165</v>
      </c>
      <c r="J1753" s="21">
        <f t="shared" si="3638"/>
        <v>11</v>
      </c>
      <c r="K1753" s="21">
        <v>0</v>
      </c>
      <c r="L1753" s="20">
        <v>6</v>
      </c>
      <c r="M1753" s="20">
        <v>0</v>
      </c>
      <c r="N1753" s="20">
        <f t="shared" si="3510"/>
        <v>2400</v>
      </c>
      <c r="O1753" s="19" t="s">
        <v>67</v>
      </c>
      <c r="P1753" s="20">
        <v>9100</v>
      </c>
      <c r="Q1753" s="20">
        <f t="shared" ref="Q1753:X1753" si="3681">Q1723</f>
        <v>240</v>
      </c>
      <c r="R1753" s="20">
        <f t="shared" si="3681"/>
        <v>960</v>
      </c>
      <c r="S1753" s="20">
        <f t="shared" si="3681"/>
        <v>1680</v>
      </c>
      <c r="T1753" s="20">
        <f t="shared" si="3681"/>
        <v>2160</v>
      </c>
      <c r="U1753" s="20">
        <f t="shared" si="3681"/>
        <v>150</v>
      </c>
      <c r="V1753" s="20">
        <f t="shared" si="3681"/>
        <v>700</v>
      </c>
      <c r="W1753" s="20">
        <f t="shared" si="3681"/>
        <v>900</v>
      </c>
      <c r="X1753" s="20">
        <f t="shared" si="3681"/>
        <v>3</v>
      </c>
      <c r="Y1753" s="20">
        <v>0</v>
      </c>
      <c r="Z1753" s="20">
        <v>0</v>
      </c>
      <c r="AA1753" s="20">
        <v>0</v>
      </c>
      <c r="AB1753" s="20">
        <v>0</v>
      </c>
      <c r="AC1753" s="20">
        <v>0</v>
      </c>
      <c r="AD1753" s="23">
        <f t="shared" ref="AD1753:AE1753" si="3682">AD1723</f>
        <v>22</v>
      </c>
      <c r="AE1753" s="23">
        <f t="shared" si="3682"/>
        <v>26</v>
      </c>
    </row>
    <row r="1754" spans="1:31">
      <c r="A1754" s="8">
        <v>15103</v>
      </c>
      <c r="B1754" s="8">
        <v>13</v>
      </c>
      <c r="C1754" s="29" t="s">
        <v>68</v>
      </c>
      <c r="D1754" s="46">
        <v>0</v>
      </c>
      <c r="E1754" s="28">
        <v>0</v>
      </c>
      <c r="F1754" s="28">
        <f t="shared" ref="F1754:H1754" si="3683">F1664*4</f>
        <v>392</v>
      </c>
      <c r="G1754" s="28">
        <f t="shared" si="3683"/>
        <v>0</v>
      </c>
      <c r="H1754" s="28">
        <f t="shared" si="3683"/>
        <v>2240</v>
      </c>
      <c r="I1754" s="21">
        <f t="shared" si="3509"/>
        <v>220</v>
      </c>
      <c r="J1754" s="21">
        <f t="shared" si="3638"/>
        <v>12</v>
      </c>
      <c r="K1754" s="21">
        <v>0</v>
      </c>
      <c r="L1754" s="20">
        <v>6</v>
      </c>
      <c r="M1754" s="20">
        <v>0</v>
      </c>
      <c r="N1754" s="20">
        <f t="shared" si="3510"/>
        <v>2600</v>
      </c>
      <c r="O1754" s="19" t="s">
        <v>68</v>
      </c>
      <c r="P1754" s="20">
        <v>8600</v>
      </c>
      <c r="Q1754" s="20">
        <f t="shared" ref="Q1754:X1754" si="3684">Q1724</f>
        <v>260</v>
      </c>
      <c r="R1754" s="20">
        <f t="shared" si="3684"/>
        <v>1040</v>
      </c>
      <c r="S1754" s="20">
        <f t="shared" si="3684"/>
        <v>1819.9999999999998</v>
      </c>
      <c r="T1754" s="20">
        <f t="shared" si="3684"/>
        <v>2340</v>
      </c>
      <c r="U1754" s="20">
        <f t="shared" si="3684"/>
        <v>100</v>
      </c>
      <c r="V1754" s="20">
        <f t="shared" si="3684"/>
        <v>700</v>
      </c>
      <c r="W1754" s="20">
        <f t="shared" si="3684"/>
        <v>1000</v>
      </c>
      <c r="X1754" s="20">
        <f t="shared" si="3684"/>
        <v>4</v>
      </c>
      <c r="Y1754" s="20">
        <f>ROUND(D1754*0.25,-1)</f>
        <v>0</v>
      </c>
      <c r="Z1754" s="20">
        <f>ROUND(E1754*0.25,-1)</f>
        <v>0</v>
      </c>
      <c r="AA1754" s="20">
        <v>0</v>
      </c>
      <c r="AB1754" s="20">
        <f>ROUND(G1754*0.25,-1)</f>
        <v>0</v>
      </c>
      <c r="AC1754" s="20">
        <f t="shared" si="3651"/>
        <v>583</v>
      </c>
      <c r="AD1754" s="23">
        <f t="shared" ref="AD1754:AE1754" si="3685">AD1724</f>
        <v>24</v>
      </c>
      <c r="AE1754" s="23">
        <f t="shared" si="3685"/>
        <v>28</v>
      </c>
    </row>
    <row r="1755" spans="1:31">
      <c r="A1755" s="4">
        <v>15103</v>
      </c>
      <c r="B1755" s="4">
        <v>14</v>
      </c>
      <c r="C1755" s="29" t="s">
        <v>69</v>
      </c>
      <c r="D1755" s="46">
        <v>0</v>
      </c>
      <c r="E1755" s="28">
        <v>0</v>
      </c>
      <c r="F1755" s="28">
        <f t="shared" ref="F1755:H1755" si="3686">F1665*4</f>
        <v>424</v>
      </c>
      <c r="G1755" s="28">
        <f t="shared" si="3686"/>
        <v>0</v>
      </c>
      <c r="H1755" s="28">
        <f t="shared" si="3686"/>
        <v>2424</v>
      </c>
      <c r="I1755" s="21">
        <f t="shared" si="3509"/>
        <v>220</v>
      </c>
      <c r="J1755" s="21">
        <f t="shared" si="3638"/>
        <v>13</v>
      </c>
      <c r="K1755" s="21">
        <v>0</v>
      </c>
      <c r="L1755" s="20">
        <v>6</v>
      </c>
      <c r="M1755" s="20">
        <v>0</v>
      </c>
      <c r="N1755" s="20">
        <f t="shared" si="3510"/>
        <v>2800</v>
      </c>
      <c r="O1755" s="19" t="s">
        <v>69</v>
      </c>
      <c r="P1755" s="20">
        <v>6400</v>
      </c>
      <c r="Q1755" s="20">
        <f t="shared" ref="Q1755:X1755" si="3687">Q1725</f>
        <v>280</v>
      </c>
      <c r="R1755" s="20">
        <f t="shared" si="3687"/>
        <v>1120</v>
      </c>
      <c r="S1755" s="20">
        <f t="shared" si="3687"/>
        <v>1959.9999999999998</v>
      </c>
      <c r="T1755" s="20">
        <f t="shared" si="3687"/>
        <v>2520</v>
      </c>
      <c r="U1755" s="20">
        <f t="shared" si="3687"/>
        <v>100</v>
      </c>
      <c r="V1755" s="20">
        <f t="shared" si="3687"/>
        <v>400</v>
      </c>
      <c r="W1755" s="20">
        <f t="shared" si="3687"/>
        <v>1200</v>
      </c>
      <c r="X1755" s="20">
        <f t="shared" si="3687"/>
        <v>4</v>
      </c>
      <c r="Y1755" s="20">
        <v>0</v>
      </c>
      <c r="Z1755" s="20">
        <v>0</v>
      </c>
      <c r="AA1755" s="20">
        <v>0</v>
      </c>
      <c r="AB1755" s="20">
        <v>0</v>
      </c>
      <c r="AC1755" s="20">
        <v>0</v>
      </c>
      <c r="AD1755" s="23">
        <f t="shared" ref="AD1755:AE1755" si="3688">AD1725</f>
        <v>26</v>
      </c>
      <c r="AE1755" s="23">
        <f t="shared" si="3688"/>
        <v>30</v>
      </c>
    </row>
    <row r="1756" spans="1:31">
      <c r="A1756" s="4">
        <v>15103</v>
      </c>
      <c r="B1756" s="4">
        <v>15</v>
      </c>
      <c r="C1756" s="29" t="s">
        <v>70</v>
      </c>
      <c r="D1756" s="46">
        <v>0</v>
      </c>
      <c r="E1756" s="28">
        <v>0</v>
      </c>
      <c r="F1756" s="28">
        <f t="shared" ref="F1756:H1756" si="3689">F1666*4</f>
        <v>460</v>
      </c>
      <c r="G1756" s="28">
        <f t="shared" si="3689"/>
        <v>0</v>
      </c>
      <c r="H1756" s="28">
        <f t="shared" si="3689"/>
        <v>2624</v>
      </c>
      <c r="I1756" s="21">
        <f t="shared" si="3509"/>
        <v>220</v>
      </c>
      <c r="J1756" s="21">
        <f t="shared" si="3638"/>
        <v>14</v>
      </c>
      <c r="K1756" s="21">
        <v>0</v>
      </c>
      <c r="L1756" s="20">
        <v>6</v>
      </c>
      <c r="M1756" s="20">
        <v>0</v>
      </c>
      <c r="N1756" s="20">
        <f t="shared" si="3510"/>
        <v>4500</v>
      </c>
      <c r="O1756" s="19" t="s">
        <v>70</v>
      </c>
      <c r="P1756" s="20">
        <v>3100</v>
      </c>
      <c r="Q1756" s="20">
        <f t="shared" ref="Q1756:X1756" si="3690">Q1726</f>
        <v>450</v>
      </c>
      <c r="R1756" s="20">
        <f t="shared" si="3690"/>
        <v>1800</v>
      </c>
      <c r="S1756" s="20">
        <f t="shared" si="3690"/>
        <v>3150</v>
      </c>
      <c r="T1756" s="20">
        <f t="shared" si="3690"/>
        <v>4050</v>
      </c>
      <c r="U1756" s="20">
        <f t="shared" si="3690"/>
        <v>100</v>
      </c>
      <c r="V1756" s="20">
        <f t="shared" si="3690"/>
        <v>1000</v>
      </c>
      <c r="W1756" s="20">
        <f t="shared" si="3690"/>
        <v>600</v>
      </c>
      <c r="X1756" s="20">
        <f t="shared" si="3690"/>
        <v>4</v>
      </c>
      <c r="Y1756" s="20">
        <v>0</v>
      </c>
      <c r="Z1756" s="20">
        <v>0</v>
      </c>
      <c r="AA1756" s="20">
        <v>0</v>
      </c>
      <c r="AB1756" s="20">
        <v>0</v>
      </c>
      <c r="AC1756" s="20">
        <v>0</v>
      </c>
      <c r="AD1756" s="23">
        <f t="shared" ref="AD1756:AE1756" si="3691">AD1726</f>
        <v>28</v>
      </c>
      <c r="AE1756" s="23">
        <f t="shared" si="3691"/>
        <v>32</v>
      </c>
    </row>
    <row r="1757" spans="1:31">
      <c r="A1757" s="4">
        <v>15103</v>
      </c>
      <c r="B1757" s="4">
        <v>16</v>
      </c>
      <c r="C1757" s="29" t="s">
        <v>71</v>
      </c>
      <c r="D1757" s="46">
        <v>0</v>
      </c>
      <c r="E1757" s="28">
        <v>0</v>
      </c>
      <c r="F1757" s="28">
        <f t="shared" ref="F1757:H1757" si="3692">F1667*4</f>
        <v>500</v>
      </c>
      <c r="G1757" s="28">
        <f t="shared" si="3692"/>
        <v>0</v>
      </c>
      <c r="H1757" s="28">
        <f t="shared" si="3692"/>
        <v>2844</v>
      </c>
      <c r="I1757" s="21">
        <f t="shared" si="3509"/>
        <v>220</v>
      </c>
      <c r="J1757" s="21">
        <f t="shared" si="3638"/>
        <v>15</v>
      </c>
      <c r="K1757" s="21">
        <v>0</v>
      </c>
      <c r="L1757" s="20">
        <v>6</v>
      </c>
      <c r="M1757" s="20">
        <v>0</v>
      </c>
      <c r="N1757" s="20">
        <f t="shared" si="3510"/>
        <v>4800</v>
      </c>
      <c r="O1757" s="19" t="s">
        <v>71</v>
      </c>
      <c r="P1757" s="20">
        <v>1777</v>
      </c>
      <c r="Q1757" s="20">
        <f t="shared" ref="Q1757:X1757" si="3693">Q1727</f>
        <v>480</v>
      </c>
      <c r="R1757" s="20">
        <f t="shared" si="3693"/>
        <v>1920</v>
      </c>
      <c r="S1757" s="20">
        <f t="shared" si="3693"/>
        <v>3360</v>
      </c>
      <c r="T1757" s="20">
        <f t="shared" si="3693"/>
        <v>4320</v>
      </c>
      <c r="U1757" s="20">
        <f t="shared" si="3693"/>
        <v>100</v>
      </c>
      <c r="V1757" s="20">
        <f t="shared" si="3693"/>
        <v>800</v>
      </c>
      <c r="W1757" s="20">
        <f t="shared" si="3693"/>
        <v>800</v>
      </c>
      <c r="X1757" s="20">
        <f t="shared" si="3693"/>
        <v>4</v>
      </c>
      <c r="Y1757" s="20">
        <v>0</v>
      </c>
      <c r="Z1757" s="20">
        <v>0</v>
      </c>
      <c r="AA1757" s="20">
        <v>0</v>
      </c>
      <c r="AB1757" s="20">
        <v>0</v>
      </c>
      <c r="AC1757" s="20">
        <v>0</v>
      </c>
      <c r="AD1757" s="23">
        <f t="shared" ref="AD1757:AE1757" si="3694">AD1727</f>
        <v>30</v>
      </c>
      <c r="AE1757" s="23">
        <f t="shared" si="3694"/>
        <v>34</v>
      </c>
    </row>
    <row r="1758" spans="1:31">
      <c r="A1758" s="4">
        <v>15103</v>
      </c>
      <c r="B1758" s="4">
        <v>17</v>
      </c>
      <c r="C1758" s="29" t="s">
        <v>72</v>
      </c>
      <c r="D1758" s="46">
        <v>0</v>
      </c>
      <c r="E1758" s="28">
        <v>0</v>
      </c>
      <c r="F1758" s="28">
        <f t="shared" ref="F1758:H1758" si="3695">F1668*4</f>
        <v>540</v>
      </c>
      <c r="G1758" s="28">
        <f t="shared" si="3695"/>
        <v>0</v>
      </c>
      <c r="H1758" s="28">
        <f t="shared" si="3695"/>
        <v>3076</v>
      </c>
      <c r="I1758" s="21">
        <f t="shared" si="3509"/>
        <v>275</v>
      </c>
      <c r="J1758" s="21">
        <f t="shared" si="3638"/>
        <v>16</v>
      </c>
      <c r="K1758" s="21">
        <v>0</v>
      </c>
      <c r="L1758" s="20">
        <v>6</v>
      </c>
      <c r="M1758" s="20">
        <v>0</v>
      </c>
      <c r="N1758" s="20">
        <f t="shared" si="3510"/>
        <v>5100</v>
      </c>
      <c r="O1758" s="19" t="s">
        <v>72</v>
      </c>
      <c r="P1758" s="20">
        <v>2332</v>
      </c>
      <c r="Q1758" s="20">
        <f t="shared" ref="Q1758:X1758" si="3696">Q1728</f>
        <v>510</v>
      </c>
      <c r="R1758" s="20">
        <f t="shared" si="3696"/>
        <v>2040</v>
      </c>
      <c r="S1758" s="20">
        <f t="shared" si="3696"/>
        <v>3570</v>
      </c>
      <c r="T1758" s="20">
        <f t="shared" si="3696"/>
        <v>4590</v>
      </c>
      <c r="U1758" s="20">
        <f t="shared" si="3696"/>
        <v>80</v>
      </c>
      <c r="V1758" s="20">
        <f t="shared" si="3696"/>
        <v>800</v>
      </c>
      <c r="W1758" s="20">
        <f t="shared" si="3696"/>
        <v>600</v>
      </c>
      <c r="X1758" s="20">
        <f t="shared" si="3696"/>
        <v>5</v>
      </c>
      <c r="Y1758" s="20">
        <v>0</v>
      </c>
      <c r="Z1758" s="20">
        <v>0</v>
      </c>
      <c r="AA1758" s="20">
        <v>0</v>
      </c>
      <c r="AB1758" s="20">
        <v>0</v>
      </c>
      <c r="AC1758" s="20">
        <v>0</v>
      </c>
      <c r="AD1758" s="23">
        <f t="shared" ref="AD1758:AE1758" si="3697">AD1728</f>
        <v>32</v>
      </c>
      <c r="AE1758" s="23">
        <f t="shared" si="3697"/>
        <v>36</v>
      </c>
    </row>
    <row r="1759" spans="1:31">
      <c r="A1759" s="4">
        <v>15103</v>
      </c>
      <c r="B1759" s="4">
        <v>18</v>
      </c>
      <c r="C1759" s="29" t="s">
        <v>73</v>
      </c>
      <c r="D1759" s="46">
        <v>0</v>
      </c>
      <c r="E1759" s="28">
        <v>0</v>
      </c>
      <c r="F1759" s="28">
        <f t="shared" ref="F1759:H1759" si="3698">F1669*4</f>
        <v>584</v>
      </c>
      <c r="G1759" s="28">
        <f t="shared" si="3698"/>
        <v>0</v>
      </c>
      <c r="H1759" s="28">
        <f t="shared" si="3698"/>
        <v>3332</v>
      </c>
      <c r="I1759" s="21">
        <f t="shared" si="3509"/>
        <v>275</v>
      </c>
      <c r="J1759" s="21">
        <f t="shared" si="3638"/>
        <v>17</v>
      </c>
      <c r="K1759" s="21">
        <v>0</v>
      </c>
      <c r="L1759" s="20">
        <v>6</v>
      </c>
      <c r="M1759" s="20">
        <v>0</v>
      </c>
      <c r="N1759" s="20">
        <f t="shared" si="3510"/>
        <v>5400</v>
      </c>
      <c r="O1759" s="19" t="s">
        <v>73</v>
      </c>
      <c r="P1759" s="20">
        <v>1487</v>
      </c>
      <c r="Q1759" s="20">
        <f t="shared" ref="Q1759:X1759" si="3699">Q1729</f>
        <v>540</v>
      </c>
      <c r="R1759" s="20">
        <f t="shared" si="3699"/>
        <v>2160</v>
      </c>
      <c r="S1759" s="20">
        <f t="shared" si="3699"/>
        <v>3779.9999999999995</v>
      </c>
      <c r="T1759" s="20">
        <f t="shared" si="3699"/>
        <v>4860</v>
      </c>
      <c r="U1759" s="20">
        <f t="shared" si="3699"/>
        <v>100</v>
      </c>
      <c r="V1759" s="20">
        <f t="shared" si="3699"/>
        <v>600</v>
      </c>
      <c r="W1759" s="20">
        <f t="shared" si="3699"/>
        <v>300</v>
      </c>
      <c r="X1759" s="20">
        <f t="shared" si="3699"/>
        <v>5</v>
      </c>
      <c r="Y1759" s="20">
        <f>ROUND(D1759*0.25,-1)</f>
        <v>0</v>
      </c>
      <c r="Z1759" s="20">
        <f>ROUND(E1759*0.25,-1)</f>
        <v>0</v>
      </c>
      <c r="AA1759" s="20">
        <v>0</v>
      </c>
      <c r="AB1759" s="20">
        <f>ROUND(G1759*0.25,-1)</f>
        <v>0</v>
      </c>
      <c r="AC1759" s="20">
        <f t="shared" si="3651"/>
        <v>874</v>
      </c>
      <c r="AD1759" s="23">
        <f t="shared" ref="AD1759:AE1759" si="3700">AD1729</f>
        <v>34</v>
      </c>
      <c r="AE1759" s="23">
        <f t="shared" si="3700"/>
        <v>38</v>
      </c>
    </row>
    <row r="1760" spans="1:31">
      <c r="A1760" s="4">
        <v>15103</v>
      </c>
      <c r="B1760" s="4">
        <v>19</v>
      </c>
      <c r="C1760" s="29" t="s">
        <v>74</v>
      </c>
      <c r="D1760" s="46">
        <v>0</v>
      </c>
      <c r="E1760" s="28">
        <v>0</v>
      </c>
      <c r="F1760" s="28">
        <f t="shared" ref="F1760:H1760" si="3701">F1670*4</f>
        <v>632</v>
      </c>
      <c r="G1760" s="28">
        <f t="shared" si="3701"/>
        <v>0</v>
      </c>
      <c r="H1760" s="28">
        <f t="shared" si="3701"/>
        <v>3608</v>
      </c>
      <c r="I1760" s="21">
        <f t="shared" si="3509"/>
        <v>275</v>
      </c>
      <c r="J1760" s="21">
        <f t="shared" si="3638"/>
        <v>18</v>
      </c>
      <c r="K1760" s="21">
        <v>0</v>
      </c>
      <c r="L1760" s="20">
        <v>6</v>
      </c>
      <c r="M1760" s="20">
        <v>0</v>
      </c>
      <c r="N1760" s="20">
        <f t="shared" si="3510"/>
        <v>5700</v>
      </c>
      <c r="O1760" s="19" t="s">
        <v>74</v>
      </c>
      <c r="P1760" s="20">
        <v>1518</v>
      </c>
      <c r="Q1760" s="20">
        <f t="shared" ref="Q1760:X1760" si="3702">Q1730</f>
        <v>570</v>
      </c>
      <c r="R1760" s="20">
        <f t="shared" si="3702"/>
        <v>2280</v>
      </c>
      <c r="S1760" s="20">
        <f t="shared" si="3702"/>
        <v>3989.9999999999995</v>
      </c>
      <c r="T1760" s="20">
        <f t="shared" si="3702"/>
        <v>5130</v>
      </c>
      <c r="U1760" s="20">
        <f t="shared" si="3702"/>
        <v>100</v>
      </c>
      <c r="V1760" s="20">
        <f t="shared" si="3702"/>
        <v>500</v>
      </c>
      <c r="W1760" s="20">
        <f t="shared" si="3702"/>
        <v>400</v>
      </c>
      <c r="X1760" s="20">
        <f t="shared" si="3702"/>
        <v>5</v>
      </c>
      <c r="Y1760" s="20">
        <v>0</v>
      </c>
      <c r="Z1760" s="20">
        <v>0</v>
      </c>
      <c r="AA1760" s="20">
        <v>0</v>
      </c>
      <c r="AB1760" s="20">
        <v>0</v>
      </c>
      <c r="AC1760" s="20">
        <v>0</v>
      </c>
      <c r="AD1760" s="23">
        <f t="shared" ref="AD1760:AE1760" si="3703">AD1730</f>
        <v>36</v>
      </c>
      <c r="AE1760" s="23">
        <f t="shared" si="3703"/>
        <v>40</v>
      </c>
    </row>
    <row r="1761" spans="1:31">
      <c r="A1761" s="4">
        <v>15103</v>
      </c>
      <c r="B1761" s="4">
        <v>20</v>
      </c>
      <c r="C1761" s="29" t="s">
        <v>75</v>
      </c>
      <c r="D1761" s="46">
        <v>0</v>
      </c>
      <c r="E1761" s="28">
        <v>0</v>
      </c>
      <c r="F1761" s="28">
        <f t="shared" ref="F1761:H1761" si="3704">F1671*4</f>
        <v>684</v>
      </c>
      <c r="G1761" s="28">
        <f t="shared" si="3704"/>
        <v>0</v>
      </c>
      <c r="H1761" s="28">
        <f t="shared" si="3704"/>
        <v>3904</v>
      </c>
      <c r="I1761" s="21">
        <f t="shared" ref="I1761:I1824" si="3705">I1731</f>
        <v>275</v>
      </c>
      <c r="J1761" s="21">
        <f t="shared" si="3638"/>
        <v>19</v>
      </c>
      <c r="K1761" s="21">
        <v>0</v>
      </c>
      <c r="L1761" s="20">
        <v>6</v>
      </c>
      <c r="M1761" s="20">
        <v>0</v>
      </c>
      <c r="N1761" s="20">
        <f t="shared" ref="N1761:N1824" si="3706">N1731</f>
        <v>8000</v>
      </c>
      <c r="O1761" s="19" t="s">
        <v>75</v>
      </c>
      <c r="P1761" s="20">
        <v>861</v>
      </c>
      <c r="Q1761" s="20">
        <f t="shared" ref="Q1761:X1761" si="3707">Q1731</f>
        <v>800</v>
      </c>
      <c r="R1761" s="20">
        <f t="shared" si="3707"/>
        <v>3200</v>
      </c>
      <c r="S1761" s="20">
        <f t="shared" si="3707"/>
        <v>5600</v>
      </c>
      <c r="T1761" s="20">
        <f t="shared" si="3707"/>
        <v>7200</v>
      </c>
      <c r="U1761" s="20">
        <f t="shared" si="3707"/>
        <v>100</v>
      </c>
      <c r="V1761" s="20">
        <f t="shared" si="3707"/>
        <v>800</v>
      </c>
      <c r="W1761" s="20">
        <f t="shared" si="3707"/>
        <v>8000</v>
      </c>
      <c r="X1761" s="20">
        <f t="shared" si="3707"/>
        <v>5</v>
      </c>
      <c r="Y1761" s="20">
        <v>0</v>
      </c>
      <c r="Z1761" s="20">
        <v>0</v>
      </c>
      <c r="AA1761" s="20">
        <v>0</v>
      </c>
      <c r="AB1761" s="20">
        <v>0</v>
      </c>
      <c r="AC1761" s="20">
        <v>0</v>
      </c>
      <c r="AD1761" s="23">
        <f t="shared" ref="AD1761:AE1761" si="3708">AD1731</f>
        <v>38</v>
      </c>
      <c r="AE1761" s="23">
        <f t="shared" si="3708"/>
        <v>42</v>
      </c>
    </row>
    <row r="1762" spans="1:31">
      <c r="A1762" s="4">
        <v>15103</v>
      </c>
      <c r="B1762" s="4">
        <v>21</v>
      </c>
      <c r="C1762" s="29" t="s">
        <v>66</v>
      </c>
      <c r="D1762" s="46">
        <v>0</v>
      </c>
      <c r="E1762" s="28">
        <v>0</v>
      </c>
      <c r="F1762" s="28">
        <f t="shared" ref="F1762:H1762" si="3709">F1672*4</f>
        <v>740</v>
      </c>
      <c r="G1762" s="28">
        <f t="shared" si="3709"/>
        <v>0</v>
      </c>
      <c r="H1762" s="28">
        <f t="shared" si="3709"/>
        <v>4228</v>
      </c>
      <c r="I1762" s="21">
        <f t="shared" si="3705"/>
        <v>330</v>
      </c>
      <c r="J1762" s="21">
        <f t="shared" si="3638"/>
        <v>20</v>
      </c>
      <c r="K1762" s="21">
        <v>0</v>
      </c>
      <c r="L1762" s="20">
        <v>6</v>
      </c>
      <c r="M1762" s="20">
        <v>0</v>
      </c>
      <c r="N1762" s="20">
        <f t="shared" si="3706"/>
        <v>8400</v>
      </c>
      <c r="O1762" s="19" t="s">
        <v>66</v>
      </c>
      <c r="P1762" s="20">
        <v>9400</v>
      </c>
      <c r="Q1762" s="20">
        <f t="shared" ref="Q1762:X1762" si="3710">Q1732</f>
        <v>840</v>
      </c>
      <c r="R1762" s="20">
        <f t="shared" si="3710"/>
        <v>3360</v>
      </c>
      <c r="S1762" s="20">
        <f t="shared" si="3710"/>
        <v>5880</v>
      </c>
      <c r="T1762" s="20">
        <f t="shared" si="3710"/>
        <v>7560</v>
      </c>
      <c r="U1762" s="20">
        <f t="shared" si="3710"/>
        <v>50</v>
      </c>
      <c r="V1762" s="20">
        <f t="shared" si="3710"/>
        <v>1000</v>
      </c>
      <c r="W1762" s="20">
        <f t="shared" si="3710"/>
        <v>600</v>
      </c>
      <c r="X1762" s="20">
        <f t="shared" si="3710"/>
        <v>6</v>
      </c>
      <c r="Y1762" s="20">
        <v>0</v>
      </c>
      <c r="Z1762" s="20">
        <v>0</v>
      </c>
      <c r="AA1762" s="20">
        <v>0</v>
      </c>
      <c r="AB1762" s="20">
        <v>0</v>
      </c>
      <c r="AC1762" s="20">
        <v>0</v>
      </c>
      <c r="AD1762" s="23">
        <f t="shared" ref="AD1762:AE1762" si="3711">AD1732</f>
        <v>40</v>
      </c>
      <c r="AE1762" s="23">
        <f t="shared" si="3711"/>
        <v>44</v>
      </c>
    </row>
    <row r="1763" spans="1:31">
      <c r="A1763" s="4">
        <v>15103</v>
      </c>
      <c r="B1763" s="4">
        <v>22</v>
      </c>
      <c r="C1763" s="29" t="s">
        <v>67</v>
      </c>
      <c r="D1763" s="46">
        <v>0</v>
      </c>
      <c r="E1763" s="28">
        <v>0</v>
      </c>
      <c r="F1763" s="28">
        <f t="shared" ref="F1763:H1763" si="3712">F1673*4</f>
        <v>804</v>
      </c>
      <c r="G1763" s="28">
        <f t="shared" si="3712"/>
        <v>0</v>
      </c>
      <c r="H1763" s="28">
        <f t="shared" si="3712"/>
        <v>4576</v>
      </c>
      <c r="I1763" s="21">
        <f t="shared" si="3705"/>
        <v>330</v>
      </c>
      <c r="J1763" s="21">
        <f t="shared" si="3638"/>
        <v>21</v>
      </c>
      <c r="K1763" s="21">
        <v>0</v>
      </c>
      <c r="L1763" s="20">
        <v>6</v>
      </c>
      <c r="M1763" s="20">
        <v>0</v>
      </c>
      <c r="N1763" s="20">
        <f t="shared" si="3706"/>
        <v>8800</v>
      </c>
      <c r="O1763" s="19" t="s">
        <v>67</v>
      </c>
      <c r="P1763" s="20">
        <v>9100</v>
      </c>
      <c r="Q1763" s="20">
        <f t="shared" ref="Q1763:X1763" si="3713">Q1733</f>
        <v>880</v>
      </c>
      <c r="R1763" s="20">
        <f t="shared" si="3713"/>
        <v>3520</v>
      </c>
      <c r="S1763" s="20">
        <f t="shared" si="3713"/>
        <v>6160</v>
      </c>
      <c r="T1763" s="20">
        <f t="shared" si="3713"/>
        <v>7920</v>
      </c>
      <c r="U1763" s="20">
        <f t="shared" si="3713"/>
        <v>100</v>
      </c>
      <c r="V1763" s="20">
        <f t="shared" si="3713"/>
        <v>600</v>
      </c>
      <c r="W1763" s="20">
        <f t="shared" si="3713"/>
        <v>700</v>
      </c>
      <c r="X1763" s="20">
        <f t="shared" si="3713"/>
        <v>6</v>
      </c>
      <c r="Y1763" s="20">
        <v>0</v>
      </c>
      <c r="Z1763" s="20">
        <v>0</v>
      </c>
      <c r="AA1763" s="20">
        <v>0</v>
      </c>
      <c r="AB1763" s="20">
        <v>0</v>
      </c>
      <c r="AC1763" s="20">
        <v>0</v>
      </c>
      <c r="AD1763" s="23">
        <f t="shared" ref="AD1763:AE1763" si="3714">AD1733</f>
        <v>42</v>
      </c>
      <c r="AE1763" s="23">
        <f t="shared" si="3714"/>
        <v>46</v>
      </c>
    </row>
    <row r="1764" spans="1:31">
      <c r="A1764" s="4">
        <v>15103</v>
      </c>
      <c r="B1764" s="4">
        <v>23</v>
      </c>
      <c r="C1764" s="29" t="s">
        <v>68</v>
      </c>
      <c r="D1764" s="46">
        <v>0</v>
      </c>
      <c r="E1764" s="28">
        <v>0</v>
      </c>
      <c r="F1764" s="28">
        <f t="shared" ref="F1764:H1764" si="3715">F1674*4</f>
        <v>868</v>
      </c>
      <c r="G1764" s="28">
        <f t="shared" si="3715"/>
        <v>0</v>
      </c>
      <c r="H1764" s="28">
        <f t="shared" si="3715"/>
        <v>4956</v>
      </c>
      <c r="I1764" s="21">
        <f t="shared" si="3705"/>
        <v>330</v>
      </c>
      <c r="J1764" s="21">
        <f t="shared" si="3638"/>
        <v>22</v>
      </c>
      <c r="K1764" s="21">
        <v>0</v>
      </c>
      <c r="L1764" s="20">
        <v>6</v>
      </c>
      <c r="M1764" s="20">
        <v>0</v>
      </c>
      <c r="N1764" s="20">
        <f t="shared" si="3706"/>
        <v>9200</v>
      </c>
      <c r="O1764" s="19" t="s">
        <v>68</v>
      </c>
      <c r="P1764" s="20">
        <v>8600</v>
      </c>
      <c r="Q1764" s="20">
        <f t="shared" ref="Q1764:X1764" si="3716">Q1734</f>
        <v>920</v>
      </c>
      <c r="R1764" s="20">
        <f t="shared" si="3716"/>
        <v>3680</v>
      </c>
      <c r="S1764" s="20">
        <f t="shared" si="3716"/>
        <v>6440</v>
      </c>
      <c r="T1764" s="20">
        <f t="shared" si="3716"/>
        <v>8280</v>
      </c>
      <c r="U1764" s="20">
        <f t="shared" si="3716"/>
        <v>100</v>
      </c>
      <c r="V1764" s="20">
        <f t="shared" si="3716"/>
        <v>550</v>
      </c>
      <c r="W1764" s="20">
        <f t="shared" si="3716"/>
        <v>500</v>
      </c>
      <c r="X1764" s="20">
        <f t="shared" si="3716"/>
        <v>6</v>
      </c>
      <c r="Y1764" s="20">
        <f>ROUND(D1764*0.25,-1)</f>
        <v>0</v>
      </c>
      <c r="Z1764" s="20">
        <f>ROUND(E1764*0.25,-1)</f>
        <v>0</v>
      </c>
      <c r="AA1764" s="20">
        <v>0</v>
      </c>
      <c r="AB1764" s="20">
        <f>ROUND(G1764*0.25,-1)</f>
        <v>0</v>
      </c>
      <c r="AC1764" s="20">
        <f t="shared" si="3651"/>
        <v>1166</v>
      </c>
      <c r="AD1764" s="23">
        <f t="shared" ref="AD1764:AE1764" si="3717">AD1734</f>
        <v>44</v>
      </c>
      <c r="AE1764" s="23">
        <f t="shared" si="3717"/>
        <v>48</v>
      </c>
    </row>
    <row r="1765" spans="1:31">
      <c r="A1765" s="4">
        <v>15103</v>
      </c>
      <c r="B1765" s="4">
        <v>24</v>
      </c>
      <c r="C1765" s="29" t="s">
        <v>69</v>
      </c>
      <c r="D1765" s="46">
        <v>0</v>
      </c>
      <c r="E1765" s="28">
        <v>0</v>
      </c>
      <c r="F1765" s="28">
        <f t="shared" ref="F1765:H1765" si="3718">F1675*4</f>
        <v>940</v>
      </c>
      <c r="G1765" s="28">
        <f t="shared" si="3718"/>
        <v>0</v>
      </c>
      <c r="H1765" s="28">
        <f t="shared" si="3718"/>
        <v>5364</v>
      </c>
      <c r="I1765" s="21">
        <f t="shared" si="3705"/>
        <v>330</v>
      </c>
      <c r="J1765" s="21">
        <f t="shared" si="3638"/>
        <v>23</v>
      </c>
      <c r="K1765" s="21">
        <v>0</v>
      </c>
      <c r="L1765" s="20">
        <v>6</v>
      </c>
      <c r="M1765" s="20">
        <v>0</v>
      </c>
      <c r="N1765" s="20">
        <f t="shared" si="3706"/>
        <v>9600</v>
      </c>
      <c r="O1765" s="19" t="s">
        <v>69</v>
      </c>
      <c r="P1765" s="20">
        <v>6400</v>
      </c>
      <c r="Q1765" s="20">
        <f t="shared" ref="Q1765:X1765" si="3719">Q1735</f>
        <v>960</v>
      </c>
      <c r="R1765" s="20">
        <f t="shared" si="3719"/>
        <v>3840</v>
      </c>
      <c r="S1765" s="20">
        <f t="shared" si="3719"/>
        <v>6720</v>
      </c>
      <c r="T1765" s="20">
        <f t="shared" si="3719"/>
        <v>8640</v>
      </c>
      <c r="U1765" s="20">
        <f t="shared" si="3719"/>
        <v>100</v>
      </c>
      <c r="V1765" s="20">
        <f t="shared" si="3719"/>
        <v>500</v>
      </c>
      <c r="W1765" s="20">
        <f t="shared" si="3719"/>
        <v>900</v>
      </c>
      <c r="X1765" s="20">
        <f t="shared" si="3719"/>
        <v>6</v>
      </c>
      <c r="Y1765" s="20">
        <v>0</v>
      </c>
      <c r="Z1765" s="20">
        <v>0</v>
      </c>
      <c r="AA1765" s="20">
        <v>0</v>
      </c>
      <c r="AB1765" s="20">
        <v>0</v>
      </c>
      <c r="AC1765" s="20">
        <v>0</v>
      </c>
      <c r="AD1765" s="23">
        <f t="shared" ref="AD1765:AE1765" si="3720">AD1735</f>
        <v>46</v>
      </c>
      <c r="AE1765" s="23">
        <f t="shared" si="3720"/>
        <v>50</v>
      </c>
    </row>
    <row r="1766" spans="1:31">
      <c r="A1766" s="8">
        <v>15103</v>
      </c>
      <c r="B1766" s="8">
        <v>25</v>
      </c>
      <c r="C1766" s="29" t="s">
        <v>70</v>
      </c>
      <c r="D1766" s="46">
        <v>0</v>
      </c>
      <c r="E1766" s="28">
        <v>0</v>
      </c>
      <c r="F1766" s="28">
        <f t="shared" ref="F1766:H1766" si="3721">F1676*4</f>
        <v>1016</v>
      </c>
      <c r="G1766" s="28">
        <f t="shared" si="3721"/>
        <v>0</v>
      </c>
      <c r="H1766" s="28">
        <f t="shared" si="3721"/>
        <v>5808</v>
      </c>
      <c r="I1766" s="21">
        <f t="shared" si="3705"/>
        <v>385</v>
      </c>
      <c r="J1766" s="21">
        <f t="shared" si="3638"/>
        <v>24</v>
      </c>
      <c r="K1766" s="21">
        <v>0</v>
      </c>
      <c r="L1766" s="20">
        <v>6</v>
      </c>
      <c r="M1766" s="20">
        <v>0</v>
      </c>
      <c r="N1766" s="20">
        <f t="shared" si="3706"/>
        <v>12500</v>
      </c>
      <c r="O1766" s="19" t="s">
        <v>70</v>
      </c>
      <c r="P1766" s="20">
        <v>3100</v>
      </c>
      <c r="Q1766" s="20">
        <f t="shared" ref="Q1766:X1766" si="3722">Q1736</f>
        <v>1250</v>
      </c>
      <c r="R1766" s="20">
        <f t="shared" si="3722"/>
        <v>5000</v>
      </c>
      <c r="S1766" s="20">
        <f t="shared" si="3722"/>
        <v>8750</v>
      </c>
      <c r="T1766" s="20">
        <f t="shared" si="3722"/>
        <v>11250</v>
      </c>
      <c r="U1766" s="20">
        <f t="shared" si="3722"/>
        <v>10</v>
      </c>
      <c r="V1766" s="20">
        <f t="shared" si="3722"/>
        <v>1300</v>
      </c>
      <c r="W1766" s="20">
        <f t="shared" si="3722"/>
        <v>1000</v>
      </c>
      <c r="X1766" s="20">
        <f t="shared" si="3722"/>
        <v>7</v>
      </c>
      <c r="Y1766" s="20">
        <v>0</v>
      </c>
      <c r="Z1766" s="20">
        <v>0</v>
      </c>
      <c r="AA1766" s="20">
        <v>0</v>
      </c>
      <c r="AB1766" s="20">
        <v>0</v>
      </c>
      <c r="AC1766" s="20">
        <v>0</v>
      </c>
      <c r="AD1766" s="23">
        <f t="shared" ref="AD1766:AE1766" si="3723">AD1736</f>
        <v>48</v>
      </c>
      <c r="AE1766" s="23">
        <f t="shared" si="3723"/>
        <v>52</v>
      </c>
    </row>
    <row r="1767" spans="1:31">
      <c r="A1767" s="4">
        <v>15103</v>
      </c>
      <c r="B1767" s="4">
        <v>26</v>
      </c>
      <c r="C1767" s="29" t="s">
        <v>71</v>
      </c>
      <c r="D1767" s="46">
        <v>0</v>
      </c>
      <c r="E1767" s="28">
        <v>0</v>
      </c>
      <c r="F1767" s="28">
        <f t="shared" ref="F1767:H1767" si="3724">F1677*4</f>
        <v>1100</v>
      </c>
      <c r="G1767" s="28">
        <f t="shared" si="3724"/>
        <v>0</v>
      </c>
      <c r="H1767" s="28">
        <f t="shared" si="3724"/>
        <v>6288</v>
      </c>
      <c r="I1767" s="21">
        <f t="shared" si="3705"/>
        <v>385</v>
      </c>
      <c r="J1767" s="21">
        <f t="shared" si="3638"/>
        <v>25</v>
      </c>
      <c r="K1767" s="21">
        <v>0</v>
      </c>
      <c r="L1767" s="20">
        <v>6</v>
      </c>
      <c r="M1767" s="20">
        <v>0</v>
      </c>
      <c r="N1767" s="20">
        <f t="shared" si="3706"/>
        <v>13000</v>
      </c>
      <c r="O1767" s="19" t="s">
        <v>71</v>
      </c>
      <c r="P1767" s="20">
        <v>1777</v>
      </c>
      <c r="Q1767" s="20">
        <f t="shared" ref="Q1767:X1767" si="3725">Q1737</f>
        <v>1300</v>
      </c>
      <c r="R1767" s="20">
        <f t="shared" si="3725"/>
        <v>5200</v>
      </c>
      <c r="S1767" s="20">
        <f t="shared" si="3725"/>
        <v>9100</v>
      </c>
      <c r="T1767" s="20">
        <f t="shared" si="3725"/>
        <v>11700</v>
      </c>
      <c r="U1767" s="20">
        <f t="shared" si="3725"/>
        <v>90</v>
      </c>
      <c r="V1767" s="20">
        <f t="shared" si="3725"/>
        <v>800</v>
      </c>
      <c r="W1767" s="20">
        <f t="shared" si="3725"/>
        <v>2000</v>
      </c>
      <c r="X1767" s="20">
        <f t="shared" si="3725"/>
        <v>7</v>
      </c>
      <c r="Y1767" s="20">
        <v>0</v>
      </c>
      <c r="Z1767" s="20">
        <v>0</v>
      </c>
      <c r="AA1767" s="20">
        <v>0</v>
      </c>
      <c r="AB1767" s="20">
        <v>0</v>
      </c>
      <c r="AC1767" s="20">
        <v>0</v>
      </c>
      <c r="AD1767" s="23">
        <f t="shared" ref="AD1767:AE1767" si="3726">AD1737</f>
        <v>50</v>
      </c>
      <c r="AE1767" s="23">
        <f t="shared" si="3726"/>
        <v>54</v>
      </c>
    </row>
    <row r="1768" spans="1:31">
      <c r="A1768" s="4">
        <v>15103</v>
      </c>
      <c r="B1768" s="4">
        <v>27</v>
      </c>
      <c r="C1768" s="29" t="s">
        <v>72</v>
      </c>
      <c r="D1768" s="46">
        <v>0</v>
      </c>
      <c r="E1768" s="28">
        <v>0</v>
      </c>
      <c r="F1768" s="28">
        <f t="shared" ref="F1768:H1768" si="3727">F1678*4</f>
        <v>1192</v>
      </c>
      <c r="G1768" s="28">
        <f t="shared" si="3727"/>
        <v>0</v>
      </c>
      <c r="H1768" s="28">
        <f t="shared" si="3727"/>
        <v>6808</v>
      </c>
      <c r="I1768" s="21">
        <f t="shared" si="3705"/>
        <v>385</v>
      </c>
      <c r="J1768" s="21">
        <f t="shared" si="3638"/>
        <v>26</v>
      </c>
      <c r="K1768" s="21">
        <v>0</v>
      </c>
      <c r="L1768" s="20">
        <v>6</v>
      </c>
      <c r="M1768" s="20">
        <v>0</v>
      </c>
      <c r="N1768" s="20">
        <f t="shared" si="3706"/>
        <v>13500</v>
      </c>
      <c r="O1768" s="19" t="s">
        <v>72</v>
      </c>
      <c r="P1768" s="20">
        <v>2332</v>
      </c>
      <c r="Q1768" s="20">
        <f t="shared" ref="Q1768:X1768" si="3728">Q1738</f>
        <v>1350</v>
      </c>
      <c r="R1768" s="20">
        <f t="shared" si="3728"/>
        <v>5400</v>
      </c>
      <c r="S1768" s="20">
        <f t="shared" si="3728"/>
        <v>9450</v>
      </c>
      <c r="T1768" s="20">
        <f t="shared" si="3728"/>
        <v>12150</v>
      </c>
      <c r="U1768" s="20">
        <f t="shared" si="3728"/>
        <v>80</v>
      </c>
      <c r="V1768" s="20">
        <f t="shared" si="3728"/>
        <v>700</v>
      </c>
      <c r="W1768" s="20">
        <f t="shared" si="3728"/>
        <v>800</v>
      </c>
      <c r="X1768" s="20">
        <f t="shared" si="3728"/>
        <v>7</v>
      </c>
      <c r="Y1768" s="20">
        <v>0</v>
      </c>
      <c r="Z1768" s="20">
        <v>0</v>
      </c>
      <c r="AA1768" s="20">
        <v>0</v>
      </c>
      <c r="AB1768" s="20">
        <v>0</v>
      </c>
      <c r="AC1768" s="20">
        <v>0</v>
      </c>
      <c r="AD1768" s="23">
        <f t="shared" ref="AD1768:AE1768" si="3729">AD1738</f>
        <v>52</v>
      </c>
      <c r="AE1768" s="23">
        <f t="shared" si="3729"/>
        <v>56</v>
      </c>
    </row>
    <row r="1769" spans="1:31">
      <c r="A1769" s="4">
        <v>15103</v>
      </c>
      <c r="B1769" s="4">
        <v>28</v>
      </c>
      <c r="C1769" s="29" t="s">
        <v>73</v>
      </c>
      <c r="D1769" s="46">
        <v>0</v>
      </c>
      <c r="E1769" s="28">
        <v>0</v>
      </c>
      <c r="F1769" s="28">
        <f t="shared" ref="F1769:H1769" si="3730">F1679*4</f>
        <v>1292</v>
      </c>
      <c r="G1769" s="28">
        <f t="shared" si="3730"/>
        <v>0</v>
      </c>
      <c r="H1769" s="28">
        <f t="shared" si="3730"/>
        <v>7372</v>
      </c>
      <c r="I1769" s="21">
        <f t="shared" si="3705"/>
        <v>385</v>
      </c>
      <c r="J1769" s="21">
        <f t="shared" si="3638"/>
        <v>27</v>
      </c>
      <c r="K1769" s="21">
        <v>0</v>
      </c>
      <c r="L1769" s="20">
        <v>6</v>
      </c>
      <c r="M1769" s="20">
        <v>0</v>
      </c>
      <c r="N1769" s="20">
        <f t="shared" si="3706"/>
        <v>14000</v>
      </c>
      <c r="O1769" s="19" t="s">
        <v>73</v>
      </c>
      <c r="P1769" s="20">
        <v>1487</v>
      </c>
      <c r="Q1769" s="20">
        <f t="shared" ref="Q1769:X1769" si="3731">Q1739</f>
        <v>1400</v>
      </c>
      <c r="R1769" s="20">
        <f t="shared" si="3731"/>
        <v>5600</v>
      </c>
      <c r="S1769" s="20">
        <f t="shared" si="3731"/>
        <v>9800</v>
      </c>
      <c r="T1769" s="20">
        <f t="shared" si="3731"/>
        <v>12600</v>
      </c>
      <c r="U1769" s="20">
        <f t="shared" si="3731"/>
        <v>80</v>
      </c>
      <c r="V1769" s="20">
        <f t="shared" si="3731"/>
        <v>500</v>
      </c>
      <c r="W1769" s="20">
        <f t="shared" si="3731"/>
        <v>600</v>
      </c>
      <c r="X1769" s="20">
        <f t="shared" si="3731"/>
        <v>7</v>
      </c>
      <c r="Y1769" s="20">
        <f>ROUND(D1769*0.25,-1)</f>
        <v>0</v>
      </c>
      <c r="Z1769" s="20">
        <f>ROUND(E1769*0.25,-1)</f>
        <v>0</v>
      </c>
      <c r="AA1769" s="20">
        <v>0</v>
      </c>
      <c r="AB1769" s="20">
        <f>ROUND(G1769*0.25,-1)</f>
        <v>0</v>
      </c>
      <c r="AC1769" s="20">
        <f t="shared" si="3651"/>
        <v>1458</v>
      </c>
      <c r="AD1769" s="23">
        <f t="shared" ref="AD1769:AE1769" si="3732">AD1739</f>
        <v>54</v>
      </c>
      <c r="AE1769" s="23">
        <f t="shared" si="3732"/>
        <v>58</v>
      </c>
    </row>
    <row r="1770" spans="1:31">
      <c r="A1770" s="4">
        <v>15103</v>
      </c>
      <c r="B1770" s="4">
        <v>29</v>
      </c>
      <c r="C1770" s="29" t="s">
        <v>74</v>
      </c>
      <c r="D1770" s="46">
        <v>0</v>
      </c>
      <c r="E1770" s="28">
        <v>0</v>
      </c>
      <c r="F1770" s="28">
        <f t="shared" ref="F1770:H1770" si="3733">F1680*4</f>
        <v>1396</v>
      </c>
      <c r="G1770" s="28">
        <f t="shared" si="3733"/>
        <v>0</v>
      </c>
      <c r="H1770" s="28">
        <f t="shared" si="3733"/>
        <v>7980</v>
      </c>
      <c r="I1770" s="21">
        <f t="shared" si="3705"/>
        <v>440</v>
      </c>
      <c r="J1770" s="21">
        <f t="shared" si="3638"/>
        <v>28</v>
      </c>
      <c r="K1770" s="21">
        <v>0</v>
      </c>
      <c r="L1770" s="20">
        <v>6</v>
      </c>
      <c r="M1770" s="20">
        <v>0</v>
      </c>
      <c r="N1770" s="20">
        <f t="shared" si="3706"/>
        <v>14500</v>
      </c>
      <c r="O1770" s="19" t="s">
        <v>74</v>
      </c>
      <c r="P1770" s="20">
        <v>1518</v>
      </c>
      <c r="Q1770" s="20">
        <f t="shared" ref="Q1770:X1770" si="3734">Q1740</f>
        <v>1450</v>
      </c>
      <c r="R1770" s="20">
        <f t="shared" si="3734"/>
        <v>5800</v>
      </c>
      <c r="S1770" s="20">
        <f t="shared" si="3734"/>
        <v>10150</v>
      </c>
      <c r="T1770" s="20">
        <f t="shared" si="3734"/>
        <v>13050</v>
      </c>
      <c r="U1770" s="20">
        <f t="shared" si="3734"/>
        <v>80</v>
      </c>
      <c r="V1770" s="20">
        <f t="shared" si="3734"/>
        <v>600</v>
      </c>
      <c r="W1770" s="20">
        <f t="shared" si="3734"/>
        <v>700</v>
      </c>
      <c r="X1770" s="20">
        <f t="shared" si="3734"/>
        <v>8</v>
      </c>
      <c r="Y1770" s="20">
        <v>0</v>
      </c>
      <c r="Z1770" s="20">
        <v>0</v>
      </c>
      <c r="AA1770" s="20">
        <v>0</v>
      </c>
      <c r="AB1770" s="20">
        <v>0</v>
      </c>
      <c r="AC1770" s="20">
        <v>0</v>
      </c>
      <c r="AD1770" s="23">
        <f t="shared" ref="AD1770:AE1770" si="3735">AD1740</f>
        <v>56</v>
      </c>
      <c r="AE1770" s="23">
        <f t="shared" si="3735"/>
        <v>60</v>
      </c>
    </row>
    <row r="1771" spans="1:31">
      <c r="A1771" s="4">
        <v>15103</v>
      </c>
      <c r="B1771" s="4">
        <v>30</v>
      </c>
      <c r="C1771" s="29" t="s">
        <v>75</v>
      </c>
      <c r="D1771" s="46">
        <v>0</v>
      </c>
      <c r="E1771" s="28">
        <v>0</v>
      </c>
      <c r="F1771" s="28">
        <f t="shared" ref="F1771:H1771" si="3736">F1681*4</f>
        <v>1512</v>
      </c>
      <c r="G1771" s="28">
        <f t="shared" si="3736"/>
        <v>0</v>
      </c>
      <c r="H1771" s="28">
        <f t="shared" si="3736"/>
        <v>8640</v>
      </c>
      <c r="I1771" s="21">
        <f t="shared" si="3705"/>
        <v>440</v>
      </c>
      <c r="J1771" s="21">
        <f t="shared" si="3638"/>
        <v>29</v>
      </c>
      <c r="K1771" s="21">
        <v>0</v>
      </c>
      <c r="L1771" s="20">
        <v>6</v>
      </c>
      <c r="M1771" s="20">
        <v>0</v>
      </c>
      <c r="N1771" s="20">
        <f t="shared" si="3706"/>
        <v>15000</v>
      </c>
      <c r="O1771" s="19" t="s">
        <v>75</v>
      </c>
      <c r="P1771" s="20">
        <v>861</v>
      </c>
      <c r="Q1771" s="20">
        <f t="shared" ref="Q1771:X1771" si="3737">Q1741</f>
        <v>1500</v>
      </c>
      <c r="R1771" s="20">
        <f t="shared" si="3737"/>
        <v>6000</v>
      </c>
      <c r="S1771" s="20">
        <f t="shared" si="3737"/>
        <v>10500</v>
      </c>
      <c r="T1771" s="20">
        <f t="shared" si="3737"/>
        <v>13500</v>
      </c>
      <c r="U1771" s="20">
        <f t="shared" si="3737"/>
        <v>20</v>
      </c>
      <c r="V1771" s="20">
        <f t="shared" si="3737"/>
        <v>450</v>
      </c>
      <c r="W1771" s="20">
        <f t="shared" si="3737"/>
        <v>1000</v>
      </c>
      <c r="X1771" s="20">
        <f t="shared" si="3737"/>
        <v>8</v>
      </c>
      <c r="Y1771" s="20">
        <v>0</v>
      </c>
      <c r="Z1771" s="20">
        <v>0</v>
      </c>
      <c r="AA1771" s="20">
        <v>0</v>
      </c>
      <c r="AB1771" s="20">
        <v>0</v>
      </c>
      <c r="AC1771" s="20">
        <v>0</v>
      </c>
      <c r="AD1771" s="23">
        <f t="shared" ref="AD1771:AE1771" si="3738">AD1741</f>
        <v>58</v>
      </c>
      <c r="AE1771" s="23">
        <f t="shared" si="3738"/>
        <v>62</v>
      </c>
    </row>
    <row r="1772" spans="1:31">
      <c r="A1772" s="4">
        <v>15104</v>
      </c>
      <c r="B1772" s="4">
        <v>1</v>
      </c>
      <c r="C1772" s="19" t="s">
        <v>66</v>
      </c>
      <c r="D1772" s="44">
        <v>0</v>
      </c>
      <c r="E1772" s="18">
        <v>0</v>
      </c>
      <c r="F1772" s="18">
        <f>ROUND(F1652*4.5,0)</f>
        <v>171</v>
      </c>
      <c r="G1772" s="18">
        <f t="shared" ref="G1772:H1772" si="3739">ROUND(G1652*4.5,0)</f>
        <v>0</v>
      </c>
      <c r="H1772" s="18">
        <f t="shared" si="3739"/>
        <v>972</v>
      </c>
      <c r="I1772" s="21">
        <f t="shared" si="3705"/>
        <v>55</v>
      </c>
      <c r="J1772" s="21">
        <f t="shared" si="3638"/>
        <v>0</v>
      </c>
      <c r="K1772" s="21">
        <v>0</v>
      </c>
      <c r="L1772" s="20">
        <v>45</v>
      </c>
      <c r="M1772" s="20">
        <v>0</v>
      </c>
      <c r="N1772" s="20">
        <f t="shared" si="3706"/>
        <v>10</v>
      </c>
      <c r="O1772" s="19" t="s">
        <v>66</v>
      </c>
      <c r="P1772" s="20">
        <v>9400</v>
      </c>
      <c r="Q1772" s="20">
        <f t="shared" ref="Q1772:X1772" si="3740">Q1742</f>
        <v>1</v>
      </c>
      <c r="R1772" s="20">
        <f t="shared" si="3740"/>
        <v>4</v>
      </c>
      <c r="S1772" s="20">
        <f t="shared" si="3740"/>
        <v>7</v>
      </c>
      <c r="T1772" s="20">
        <f t="shared" si="3740"/>
        <v>9</v>
      </c>
      <c r="U1772" s="20">
        <f t="shared" si="3740"/>
        <v>9400</v>
      </c>
      <c r="V1772" s="20">
        <f t="shared" si="3740"/>
        <v>9400</v>
      </c>
      <c r="W1772" s="20">
        <f t="shared" si="3740"/>
        <v>9400</v>
      </c>
      <c r="X1772" s="20">
        <f t="shared" si="3740"/>
        <v>1</v>
      </c>
      <c r="Y1772" s="20">
        <v>0</v>
      </c>
      <c r="Z1772" s="20">
        <v>0</v>
      </c>
      <c r="AA1772" s="20">
        <v>0</v>
      </c>
      <c r="AB1772" s="20">
        <v>0</v>
      </c>
      <c r="AC1772" s="20">
        <v>0</v>
      </c>
      <c r="AD1772" s="23">
        <f t="shared" ref="AD1772:AE1772" si="3741">AD1742</f>
        <v>1</v>
      </c>
      <c r="AE1772" s="23">
        <f t="shared" si="3741"/>
        <v>3</v>
      </c>
    </row>
    <row r="1773" spans="1:31">
      <c r="A1773" s="4">
        <v>15104</v>
      </c>
      <c r="B1773" s="4">
        <v>2</v>
      </c>
      <c r="C1773" s="19" t="s">
        <v>67</v>
      </c>
      <c r="D1773" s="44">
        <v>0</v>
      </c>
      <c r="E1773" s="18">
        <v>0</v>
      </c>
      <c r="F1773" s="18">
        <f t="shared" ref="F1773:H1773" si="3742">ROUND(F1653*4.5,0)</f>
        <v>185</v>
      </c>
      <c r="G1773" s="18">
        <f t="shared" si="3742"/>
        <v>0</v>
      </c>
      <c r="H1773" s="18">
        <f t="shared" si="3742"/>
        <v>1053</v>
      </c>
      <c r="I1773" s="21">
        <f t="shared" si="3705"/>
        <v>55</v>
      </c>
      <c r="J1773" s="21">
        <f t="shared" si="3638"/>
        <v>1</v>
      </c>
      <c r="K1773" s="21">
        <v>0</v>
      </c>
      <c r="L1773" s="20">
        <v>40</v>
      </c>
      <c r="M1773" s="20">
        <v>0</v>
      </c>
      <c r="N1773" s="20">
        <f t="shared" si="3706"/>
        <v>20</v>
      </c>
      <c r="O1773" s="19" t="s">
        <v>67</v>
      </c>
      <c r="P1773" s="20">
        <v>9100</v>
      </c>
      <c r="Q1773" s="20">
        <f t="shared" ref="Q1773:X1773" si="3743">Q1743</f>
        <v>2</v>
      </c>
      <c r="R1773" s="20">
        <f t="shared" si="3743"/>
        <v>8</v>
      </c>
      <c r="S1773" s="20">
        <f t="shared" si="3743"/>
        <v>14</v>
      </c>
      <c r="T1773" s="20">
        <f t="shared" si="3743"/>
        <v>18</v>
      </c>
      <c r="U1773" s="20">
        <f t="shared" si="3743"/>
        <v>4000</v>
      </c>
      <c r="V1773" s="20">
        <f t="shared" si="3743"/>
        <v>8000</v>
      </c>
      <c r="W1773" s="20">
        <f t="shared" si="3743"/>
        <v>8000</v>
      </c>
      <c r="X1773" s="20">
        <f t="shared" si="3743"/>
        <v>1</v>
      </c>
      <c r="Y1773" s="20">
        <v>0</v>
      </c>
      <c r="Z1773" s="20">
        <v>0</v>
      </c>
      <c r="AA1773" s="20">
        <v>0</v>
      </c>
      <c r="AB1773" s="20">
        <v>0</v>
      </c>
      <c r="AC1773" s="20">
        <v>0</v>
      </c>
      <c r="AD1773" s="23">
        <f t="shared" ref="AD1773:AE1773" si="3744">AD1743</f>
        <v>2</v>
      </c>
      <c r="AE1773" s="23">
        <f t="shared" si="3744"/>
        <v>5</v>
      </c>
    </row>
    <row r="1774" spans="1:31">
      <c r="A1774" s="4">
        <v>15104</v>
      </c>
      <c r="B1774" s="4">
        <v>3</v>
      </c>
      <c r="C1774" s="19" t="s">
        <v>68</v>
      </c>
      <c r="D1774" s="44">
        <v>0</v>
      </c>
      <c r="E1774" s="18">
        <v>0</v>
      </c>
      <c r="F1774" s="18">
        <f t="shared" ref="F1774:H1774" si="3745">ROUND(F1654*4.5,0)</f>
        <v>203</v>
      </c>
      <c r="G1774" s="18">
        <f t="shared" si="3745"/>
        <v>0</v>
      </c>
      <c r="H1774" s="18">
        <f t="shared" si="3745"/>
        <v>1139</v>
      </c>
      <c r="I1774" s="21">
        <f t="shared" si="3705"/>
        <v>55</v>
      </c>
      <c r="J1774" s="21">
        <f t="shared" si="3638"/>
        <v>2</v>
      </c>
      <c r="K1774" s="21">
        <v>0</v>
      </c>
      <c r="L1774" s="20">
        <v>35</v>
      </c>
      <c r="M1774" s="20">
        <v>0</v>
      </c>
      <c r="N1774" s="20">
        <f t="shared" si="3706"/>
        <v>40</v>
      </c>
      <c r="O1774" s="19" t="s">
        <v>68</v>
      </c>
      <c r="P1774" s="20">
        <v>8600</v>
      </c>
      <c r="Q1774" s="20">
        <f t="shared" ref="Q1774:X1774" si="3746">Q1744</f>
        <v>4</v>
      </c>
      <c r="R1774" s="20">
        <f t="shared" si="3746"/>
        <v>16</v>
      </c>
      <c r="S1774" s="20">
        <f t="shared" si="3746"/>
        <v>28</v>
      </c>
      <c r="T1774" s="20">
        <f t="shared" si="3746"/>
        <v>36</v>
      </c>
      <c r="U1774" s="20">
        <f t="shared" si="3746"/>
        <v>1600</v>
      </c>
      <c r="V1774" s="20">
        <f t="shared" si="3746"/>
        <v>5000</v>
      </c>
      <c r="W1774" s="20">
        <f t="shared" si="3746"/>
        <v>6000</v>
      </c>
      <c r="X1774" s="20">
        <f t="shared" si="3746"/>
        <v>1</v>
      </c>
      <c r="Y1774" s="20">
        <v>0</v>
      </c>
      <c r="Z1774" s="20">
        <v>0</v>
      </c>
      <c r="AA1774" s="20">
        <v>0</v>
      </c>
      <c r="AB1774" s="20">
        <v>0</v>
      </c>
      <c r="AC1774" s="20">
        <v>0</v>
      </c>
      <c r="AD1774" s="23">
        <f t="shared" ref="AD1774:AE1774" si="3747">AD1744</f>
        <v>4</v>
      </c>
      <c r="AE1774" s="23">
        <f t="shared" si="3747"/>
        <v>8</v>
      </c>
    </row>
    <row r="1775" spans="1:31">
      <c r="A1775" s="4">
        <v>15104</v>
      </c>
      <c r="B1775" s="4">
        <v>4</v>
      </c>
      <c r="C1775" s="19" t="s">
        <v>69</v>
      </c>
      <c r="D1775" s="44">
        <v>0</v>
      </c>
      <c r="E1775" s="18">
        <v>0</v>
      </c>
      <c r="F1775" s="18">
        <f t="shared" ref="F1775:H1775" si="3748">ROUND(F1655*4.5,0)</f>
        <v>216</v>
      </c>
      <c r="G1775" s="18">
        <f t="shared" si="3748"/>
        <v>0</v>
      </c>
      <c r="H1775" s="18">
        <f t="shared" si="3748"/>
        <v>1233</v>
      </c>
      <c r="I1775" s="21">
        <f t="shared" si="3705"/>
        <v>55</v>
      </c>
      <c r="J1775" s="21">
        <f t="shared" si="3638"/>
        <v>3</v>
      </c>
      <c r="K1775" s="21">
        <v>0</v>
      </c>
      <c r="L1775" s="20">
        <v>30</v>
      </c>
      <c r="M1775" s="20">
        <v>0</v>
      </c>
      <c r="N1775" s="20">
        <f t="shared" si="3706"/>
        <v>100</v>
      </c>
      <c r="O1775" s="19" t="s">
        <v>69</v>
      </c>
      <c r="P1775" s="20">
        <v>6400</v>
      </c>
      <c r="Q1775" s="20">
        <f t="shared" ref="Q1775:X1775" si="3749">Q1745</f>
        <v>10</v>
      </c>
      <c r="R1775" s="20">
        <f t="shared" si="3749"/>
        <v>40</v>
      </c>
      <c r="S1775" s="20">
        <f t="shared" si="3749"/>
        <v>70</v>
      </c>
      <c r="T1775" s="20">
        <f t="shared" si="3749"/>
        <v>90</v>
      </c>
      <c r="U1775" s="20">
        <f t="shared" si="3749"/>
        <v>900</v>
      </c>
      <c r="V1775" s="20">
        <f t="shared" si="3749"/>
        <v>2000</v>
      </c>
      <c r="W1775" s="20">
        <f t="shared" si="3749"/>
        <v>8000</v>
      </c>
      <c r="X1775" s="20">
        <f t="shared" si="3749"/>
        <v>1</v>
      </c>
      <c r="Y1775" s="20">
        <v>0</v>
      </c>
      <c r="Z1775" s="20">
        <v>0</v>
      </c>
      <c r="AA1775" s="20">
        <v>0</v>
      </c>
      <c r="AB1775" s="20">
        <v>0</v>
      </c>
      <c r="AC1775" s="20">
        <v>0</v>
      </c>
      <c r="AD1775" s="23">
        <f t="shared" ref="AD1775:AE1775" si="3750">AD1745</f>
        <v>6</v>
      </c>
      <c r="AE1775" s="23">
        <f t="shared" si="3750"/>
        <v>10</v>
      </c>
    </row>
    <row r="1776" spans="1:31">
      <c r="A1776" s="4">
        <v>15104</v>
      </c>
      <c r="B1776" s="4">
        <v>5</v>
      </c>
      <c r="C1776" s="19" t="s">
        <v>70</v>
      </c>
      <c r="D1776" s="44">
        <v>0</v>
      </c>
      <c r="E1776" s="18">
        <v>0</v>
      </c>
      <c r="F1776" s="18">
        <f t="shared" ref="F1776:H1776" si="3751">ROUND(F1656*4.5,0)</f>
        <v>234</v>
      </c>
      <c r="G1776" s="18">
        <f t="shared" si="3751"/>
        <v>0</v>
      </c>
      <c r="H1776" s="18">
        <f t="shared" si="3751"/>
        <v>1337</v>
      </c>
      <c r="I1776" s="21">
        <f t="shared" si="3705"/>
        <v>110</v>
      </c>
      <c r="J1776" s="21">
        <f t="shared" si="3638"/>
        <v>4</v>
      </c>
      <c r="K1776" s="21">
        <v>0</v>
      </c>
      <c r="L1776" s="20">
        <v>25</v>
      </c>
      <c r="M1776" s="20">
        <v>0</v>
      </c>
      <c r="N1776" s="20">
        <f t="shared" si="3706"/>
        <v>200</v>
      </c>
      <c r="O1776" s="19" t="s">
        <v>70</v>
      </c>
      <c r="P1776" s="20">
        <v>3100</v>
      </c>
      <c r="Q1776" s="20">
        <f t="shared" ref="Q1776:X1776" si="3752">Q1746</f>
        <v>20</v>
      </c>
      <c r="R1776" s="20">
        <f t="shared" si="3752"/>
        <v>80</v>
      </c>
      <c r="S1776" s="20">
        <f t="shared" si="3752"/>
        <v>140</v>
      </c>
      <c r="T1776" s="20">
        <f t="shared" si="3752"/>
        <v>180</v>
      </c>
      <c r="U1776" s="20">
        <f t="shared" si="3752"/>
        <v>1000</v>
      </c>
      <c r="V1776" s="20">
        <f t="shared" si="3752"/>
        <v>2000</v>
      </c>
      <c r="W1776" s="20">
        <f t="shared" si="3752"/>
        <v>2000</v>
      </c>
      <c r="X1776" s="20">
        <f t="shared" si="3752"/>
        <v>2</v>
      </c>
      <c r="Y1776" s="20">
        <v>0</v>
      </c>
      <c r="Z1776" s="20">
        <v>0</v>
      </c>
      <c r="AA1776" s="20">
        <v>0</v>
      </c>
      <c r="AB1776" s="20">
        <v>0</v>
      </c>
      <c r="AC1776" s="20">
        <v>0</v>
      </c>
      <c r="AD1776" s="23">
        <f t="shared" ref="AD1776:AE1776" si="3753">AD1746</f>
        <v>8</v>
      </c>
      <c r="AE1776" s="23">
        <f t="shared" si="3753"/>
        <v>12</v>
      </c>
    </row>
    <row r="1777" spans="1:31">
      <c r="A1777" s="4">
        <v>15104</v>
      </c>
      <c r="B1777" s="4">
        <v>6</v>
      </c>
      <c r="C1777" s="19" t="s">
        <v>71</v>
      </c>
      <c r="D1777" s="44">
        <v>0</v>
      </c>
      <c r="E1777" s="18">
        <v>0</v>
      </c>
      <c r="F1777" s="18">
        <f t="shared" ref="F1777:H1777" si="3754">ROUND(F1657*4.5,0)</f>
        <v>252</v>
      </c>
      <c r="G1777" s="18">
        <f t="shared" si="3754"/>
        <v>0</v>
      </c>
      <c r="H1777" s="18">
        <f t="shared" si="3754"/>
        <v>1445</v>
      </c>
      <c r="I1777" s="21">
        <f t="shared" si="3705"/>
        <v>110</v>
      </c>
      <c r="J1777" s="21">
        <f t="shared" si="3638"/>
        <v>5</v>
      </c>
      <c r="K1777" s="21">
        <v>0</v>
      </c>
      <c r="L1777" s="20">
        <v>20</v>
      </c>
      <c r="M1777" s="20">
        <v>0</v>
      </c>
      <c r="N1777" s="20">
        <f t="shared" si="3706"/>
        <v>500</v>
      </c>
      <c r="O1777" s="19" t="s">
        <v>71</v>
      </c>
      <c r="P1777" s="20">
        <v>1777</v>
      </c>
      <c r="Q1777" s="20">
        <f t="shared" ref="Q1777:X1777" si="3755">Q1747</f>
        <v>50</v>
      </c>
      <c r="R1777" s="20">
        <f t="shared" si="3755"/>
        <v>200</v>
      </c>
      <c r="S1777" s="20">
        <f t="shared" si="3755"/>
        <v>350</v>
      </c>
      <c r="T1777" s="20">
        <f t="shared" si="3755"/>
        <v>450</v>
      </c>
      <c r="U1777" s="20">
        <f t="shared" si="3755"/>
        <v>800</v>
      </c>
      <c r="V1777" s="20">
        <f t="shared" si="3755"/>
        <v>800</v>
      </c>
      <c r="W1777" s="20">
        <f t="shared" si="3755"/>
        <v>600</v>
      </c>
      <c r="X1777" s="20">
        <f t="shared" si="3755"/>
        <v>2</v>
      </c>
      <c r="Y1777" s="20">
        <v>0</v>
      </c>
      <c r="Z1777" s="20">
        <v>0</v>
      </c>
      <c r="AA1777" s="20">
        <v>0</v>
      </c>
      <c r="AB1777" s="20">
        <v>0</v>
      </c>
      <c r="AC1777" s="20">
        <v>0</v>
      </c>
      <c r="AD1777" s="23">
        <f t="shared" ref="AD1777:AE1777" si="3756">AD1747</f>
        <v>10</v>
      </c>
      <c r="AE1777" s="23">
        <f t="shared" si="3756"/>
        <v>14</v>
      </c>
    </row>
    <row r="1778" spans="1:31">
      <c r="A1778" s="8">
        <v>15104</v>
      </c>
      <c r="B1778" s="8">
        <v>7</v>
      </c>
      <c r="C1778" s="19" t="s">
        <v>72</v>
      </c>
      <c r="D1778" s="44">
        <v>0</v>
      </c>
      <c r="E1778" s="18">
        <v>0</v>
      </c>
      <c r="F1778" s="18">
        <f t="shared" ref="F1778:H1778" si="3757">ROUND(F1658*4.5,0)</f>
        <v>275</v>
      </c>
      <c r="G1778" s="18">
        <f t="shared" si="3757"/>
        <v>0</v>
      </c>
      <c r="H1778" s="18">
        <f t="shared" si="3757"/>
        <v>1566</v>
      </c>
      <c r="I1778" s="21">
        <f t="shared" si="3705"/>
        <v>110</v>
      </c>
      <c r="J1778" s="21">
        <f t="shared" si="3638"/>
        <v>6</v>
      </c>
      <c r="K1778" s="21">
        <v>0</v>
      </c>
      <c r="L1778" s="20">
        <v>16</v>
      </c>
      <c r="M1778" s="20">
        <v>0</v>
      </c>
      <c r="N1778" s="20">
        <f t="shared" si="3706"/>
        <v>700</v>
      </c>
      <c r="O1778" s="19" t="s">
        <v>72</v>
      </c>
      <c r="P1778" s="20">
        <v>2332</v>
      </c>
      <c r="Q1778" s="20">
        <f t="shared" ref="Q1778:X1778" si="3758">Q1748</f>
        <v>70</v>
      </c>
      <c r="R1778" s="20">
        <f t="shared" si="3758"/>
        <v>280</v>
      </c>
      <c r="S1778" s="20">
        <f t="shared" si="3758"/>
        <v>489.99999999999994</v>
      </c>
      <c r="T1778" s="20">
        <f t="shared" si="3758"/>
        <v>630</v>
      </c>
      <c r="U1778" s="20">
        <f t="shared" si="3758"/>
        <v>650</v>
      </c>
      <c r="V1778" s="20">
        <f t="shared" si="3758"/>
        <v>800</v>
      </c>
      <c r="W1778" s="20">
        <f t="shared" si="3758"/>
        <v>300</v>
      </c>
      <c r="X1778" s="20">
        <f t="shared" si="3758"/>
        <v>2</v>
      </c>
      <c r="Y1778" s="20">
        <v>0</v>
      </c>
      <c r="Z1778" s="20">
        <v>0</v>
      </c>
      <c r="AA1778" s="20">
        <v>0</v>
      </c>
      <c r="AB1778" s="20">
        <v>0</v>
      </c>
      <c r="AC1778" s="20">
        <v>0</v>
      </c>
      <c r="AD1778" s="23">
        <f t="shared" ref="AD1778:AE1778" si="3759">AD1748</f>
        <v>12</v>
      </c>
      <c r="AE1778" s="23">
        <f t="shared" si="3759"/>
        <v>16</v>
      </c>
    </row>
    <row r="1779" spans="1:31">
      <c r="A1779" s="4">
        <v>15104</v>
      </c>
      <c r="B1779" s="4">
        <v>8</v>
      </c>
      <c r="C1779" s="19" t="s">
        <v>73</v>
      </c>
      <c r="D1779" s="44">
        <v>0</v>
      </c>
      <c r="E1779" s="18">
        <v>0</v>
      </c>
      <c r="F1779" s="18">
        <f t="shared" ref="F1779:H1779" si="3760">ROUND(F1659*4.5,0)</f>
        <v>297</v>
      </c>
      <c r="G1779" s="18">
        <f t="shared" si="3760"/>
        <v>0</v>
      </c>
      <c r="H1779" s="18">
        <f t="shared" si="3760"/>
        <v>1697</v>
      </c>
      <c r="I1779" s="21">
        <f t="shared" si="3705"/>
        <v>110</v>
      </c>
      <c r="J1779" s="21">
        <f t="shared" si="3638"/>
        <v>7</v>
      </c>
      <c r="K1779" s="21">
        <v>0</v>
      </c>
      <c r="L1779" s="20">
        <v>12</v>
      </c>
      <c r="M1779" s="20">
        <v>0</v>
      </c>
      <c r="N1779" s="20">
        <f t="shared" si="3706"/>
        <v>800</v>
      </c>
      <c r="O1779" s="19" t="s">
        <v>73</v>
      </c>
      <c r="P1779" s="20">
        <v>1487</v>
      </c>
      <c r="Q1779" s="20">
        <f t="shared" ref="Q1779:X1779" si="3761">Q1749</f>
        <v>80</v>
      </c>
      <c r="R1779" s="20">
        <f t="shared" si="3761"/>
        <v>320</v>
      </c>
      <c r="S1779" s="20">
        <f t="shared" si="3761"/>
        <v>560</v>
      </c>
      <c r="T1779" s="20">
        <f t="shared" si="3761"/>
        <v>720</v>
      </c>
      <c r="U1779" s="20">
        <f t="shared" si="3761"/>
        <v>200</v>
      </c>
      <c r="V1779" s="20">
        <f t="shared" si="3761"/>
        <v>2000</v>
      </c>
      <c r="W1779" s="20">
        <f t="shared" si="3761"/>
        <v>1000</v>
      </c>
      <c r="X1779" s="20">
        <f t="shared" si="3761"/>
        <v>2</v>
      </c>
      <c r="Y1779" s="20">
        <f>ROUND(D1779*0.25,-1)</f>
        <v>0</v>
      </c>
      <c r="Z1779" s="20">
        <f>ROUND(E1779*0.25,-1)</f>
        <v>0</v>
      </c>
      <c r="AA1779" s="20">
        <v>0</v>
      </c>
      <c r="AB1779" s="20">
        <f>ROUND(G1779*0.25,-1)</f>
        <v>0</v>
      </c>
      <c r="AC1779" s="20">
        <f>AC1799*0.2</f>
        <v>324</v>
      </c>
      <c r="AD1779" s="23">
        <f t="shared" ref="AD1779:AE1779" si="3762">AD1749</f>
        <v>14</v>
      </c>
      <c r="AE1779" s="23">
        <f t="shared" si="3762"/>
        <v>18</v>
      </c>
    </row>
    <row r="1780" spans="1:31">
      <c r="A1780" s="4">
        <v>15104</v>
      </c>
      <c r="B1780" s="4">
        <v>9</v>
      </c>
      <c r="C1780" s="19" t="s">
        <v>74</v>
      </c>
      <c r="D1780" s="44">
        <v>0</v>
      </c>
      <c r="E1780" s="18">
        <v>0</v>
      </c>
      <c r="F1780" s="18">
        <f t="shared" ref="F1780:H1780" si="3763">ROUND(F1660*4.5,0)</f>
        <v>324</v>
      </c>
      <c r="G1780" s="18">
        <f t="shared" si="3763"/>
        <v>0</v>
      </c>
      <c r="H1780" s="18">
        <f t="shared" si="3763"/>
        <v>1836</v>
      </c>
      <c r="I1780" s="21">
        <f t="shared" si="3705"/>
        <v>165</v>
      </c>
      <c r="J1780" s="21">
        <f t="shared" si="3638"/>
        <v>8</v>
      </c>
      <c r="K1780" s="21">
        <v>0</v>
      </c>
      <c r="L1780" s="20">
        <v>8</v>
      </c>
      <c r="M1780" s="20">
        <v>0</v>
      </c>
      <c r="N1780" s="20">
        <f t="shared" si="3706"/>
        <v>900</v>
      </c>
      <c r="O1780" s="19" t="s">
        <v>74</v>
      </c>
      <c r="P1780" s="20">
        <v>1518</v>
      </c>
      <c r="Q1780" s="20">
        <f t="shared" ref="Q1780:X1780" si="3764">Q1750</f>
        <v>90</v>
      </c>
      <c r="R1780" s="20">
        <f t="shared" si="3764"/>
        <v>360</v>
      </c>
      <c r="S1780" s="20">
        <f t="shared" si="3764"/>
        <v>630</v>
      </c>
      <c r="T1780" s="20">
        <f t="shared" si="3764"/>
        <v>810</v>
      </c>
      <c r="U1780" s="20">
        <f t="shared" si="3764"/>
        <v>120</v>
      </c>
      <c r="V1780" s="20">
        <f t="shared" si="3764"/>
        <v>1500</v>
      </c>
      <c r="W1780" s="20">
        <f t="shared" si="3764"/>
        <v>1000</v>
      </c>
      <c r="X1780" s="20">
        <f t="shared" si="3764"/>
        <v>3</v>
      </c>
      <c r="Y1780" s="20">
        <v>0</v>
      </c>
      <c r="Z1780" s="20">
        <v>0</v>
      </c>
      <c r="AA1780" s="20">
        <v>0</v>
      </c>
      <c r="AB1780" s="20">
        <v>0</v>
      </c>
      <c r="AC1780" s="20">
        <v>0</v>
      </c>
      <c r="AD1780" s="23">
        <f t="shared" ref="AD1780:AE1780" si="3765">AD1750</f>
        <v>16</v>
      </c>
      <c r="AE1780" s="23">
        <f t="shared" si="3765"/>
        <v>20</v>
      </c>
    </row>
    <row r="1781" spans="1:31">
      <c r="A1781" s="4">
        <v>15104</v>
      </c>
      <c r="B1781" s="4">
        <v>10</v>
      </c>
      <c r="C1781" s="19" t="s">
        <v>75</v>
      </c>
      <c r="D1781" s="44">
        <v>0</v>
      </c>
      <c r="E1781" s="18">
        <v>0</v>
      </c>
      <c r="F1781" s="18">
        <f t="shared" ref="F1781:H1781" si="3766">ROUND(F1661*4.5,0)</f>
        <v>351</v>
      </c>
      <c r="G1781" s="18">
        <f t="shared" si="3766"/>
        <v>0</v>
      </c>
      <c r="H1781" s="18">
        <f t="shared" si="3766"/>
        <v>1985</v>
      </c>
      <c r="I1781" s="21">
        <f t="shared" si="3705"/>
        <v>165</v>
      </c>
      <c r="J1781" s="21">
        <f t="shared" si="3638"/>
        <v>9</v>
      </c>
      <c r="K1781" s="21">
        <v>0</v>
      </c>
      <c r="L1781" s="20">
        <v>6</v>
      </c>
      <c r="M1781" s="20">
        <v>0</v>
      </c>
      <c r="N1781" s="20">
        <f t="shared" si="3706"/>
        <v>2000</v>
      </c>
      <c r="O1781" s="19" t="s">
        <v>75</v>
      </c>
      <c r="P1781" s="20">
        <v>861</v>
      </c>
      <c r="Q1781" s="20">
        <f t="shared" ref="Q1781:X1781" si="3767">Q1751</f>
        <v>200</v>
      </c>
      <c r="R1781" s="20">
        <f t="shared" si="3767"/>
        <v>800</v>
      </c>
      <c r="S1781" s="20">
        <f t="shared" si="3767"/>
        <v>1400</v>
      </c>
      <c r="T1781" s="20">
        <f t="shared" si="3767"/>
        <v>1800</v>
      </c>
      <c r="U1781" s="20">
        <f t="shared" si="3767"/>
        <v>150</v>
      </c>
      <c r="V1781" s="20">
        <f t="shared" si="3767"/>
        <v>5000</v>
      </c>
      <c r="W1781" s="20">
        <f t="shared" si="3767"/>
        <v>800</v>
      </c>
      <c r="X1781" s="20">
        <f t="shared" si="3767"/>
        <v>3</v>
      </c>
      <c r="Y1781" s="20">
        <v>0</v>
      </c>
      <c r="Z1781" s="20">
        <v>0</v>
      </c>
      <c r="AA1781" s="20">
        <v>0</v>
      </c>
      <c r="AB1781" s="20">
        <v>0</v>
      </c>
      <c r="AC1781" s="20">
        <v>0</v>
      </c>
      <c r="AD1781" s="23">
        <f t="shared" ref="AD1781:AE1781" si="3768">AD1751</f>
        <v>18</v>
      </c>
      <c r="AE1781" s="23">
        <f t="shared" si="3768"/>
        <v>22</v>
      </c>
    </row>
    <row r="1782" spans="1:31">
      <c r="A1782" s="4">
        <v>15104</v>
      </c>
      <c r="B1782" s="4">
        <v>11</v>
      </c>
      <c r="C1782" s="19" t="s">
        <v>66</v>
      </c>
      <c r="D1782" s="44">
        <v>0</v>
      </c>
      <c r="E1782" s="18">
        <v>0</v>
      </c>
      <c r="F1782" s="18">
        <f t="shared" ref="F1782:H1782" si="3769">ROUND(F1662*4.5,0)</f>
        <v>378</v>
      </c>
      <c r="G1782" s="18">
        <f t="shared" si="3769"/>
        <v>0</v>
      </c>
      <c r="H1782" s="18">
        <f t="shared" si="3769"/>
        <v>2151</v>
      </c>
      <c r="I1782" s="21">
        <f t="shared" si="3705"/>
        <v>165</v>
      </c>
      <c r="J1782" s="21">
        <f t="shared" si="3638"/>
        <v>10</v>
      </c>
      <c r="K1782" s="21">
        <v>0</v>
      </c>
      <c r="L1782" s="20">
        <v>6</v>
      </c>
      <c r="M1782" s="20">
        <v>0</v>
      </c>
      <c r="N1782" s="20">
        <f t="shared" si="3706"/>
        <v>2200</v>
      </c>
      <c r="O1782" s="19" t="s">
        <v>66</v>
      </c>
      <c r="P1782" s="20">
        <v>9400</v>
      </c>
      <c r="Q1782" s="20">
        <f t="shared" ref="Q1782:X1782" si="3770">Q1752</f>
        <v>220</v>
      </c>
      <c r="R1782" s="20">
        <f t="shared" si="3770"/>
        <v>880</v>
      </c>
      <c r="S1782" s="20">
        <f t="shared" si="3770"/>
        <v>1540</v>
      </c>
      <c r="T1782" s="20">
        <f t="shared" si="3770"/>
        <v>1980</v>
      </c>
      <c r="U1782" s="20">
        <f t="shared" si="3770"/>
        <v>100</v>
      </c>
      <c r="V1782" s="20">
        <f t="shared" si="3770"/>
        <v>800</v>
      </c>
      <c r="W1782" s="20">
        <f t="shared" si="3770"/>
        <v>600</v>
      </c>
      <c r="X1782" s="20">
        <f t="shared" si="3770"/>
        <v>3</v>
      </c>
      <c r="Y1782" s="20">
        <v>0</v>
      </c>
      <c r="Z1782" s="20">
        <v>0</v>
      </c>
      <c r="AA1782" s="20">
        <v>0</v>
      </c>
      <c r="AB1782" s="20">
        <v>0</v>
      </c>
      <c r="AC1782" s="20">
        <v>0</v>
      </c>
      <c r="AD1782" s="23">
        <f t="shared" ref="AD1782:AE1782" si="3771">AD1752</f>
        <v>20</v>
      </c>
      <c r="AE1782" s="23">
        <f t="shared" si="3771"/>
        <v>24</v>
      </c>
    </row>
    <row r="1783" spans="1:31">
      <c r="A1783" s="4">
        <v>15104</v>
      </c>
      <c r="B1783" s="4">
        <v>12</v>
      </c>
      <c r="C1783" s="19" t="s">
        <v>67</v>
      </c>
      <c r="D1783" s="44">
        <v>0</v>
      </c>
      <c r="E1783" s="18">
        <v>0</v>
      </c>
      <c r="F1783" s="18">
        <f t="shared" ref="F1783:H1783" si="3772">ROUND(F1663*4.5,0)</f>
        <v>410</v>
      </c>
      <c r="G1783" s="18">
        <f t="shared" si="3772"/>
        <v>0</v>
      </c>
      <c r="H1783" s="18">
        <f t="shared" si="3772"/>
        <v>2327</v>
      </c>
      <c r="I1783" s="21">
        <f t="shared" si="3705"/>
        <v>165</v>
      </c>
      <c r="J1783" s="21">
        <f t="shared" si="3638"/>
        <v>11</v>
      </c>
      <c r="K1783" s="21">
        <v>0</v>
      </c>
      <c r="L1783" s="20">
        <v>6</v>
      </c>
      <c r="M1783" s="20">
        <v>0</v>
      </c>
      <c r="N1783" s="20">
        <f t="shared" si="3706"/>
        <v>2400</v>
      </c>
      <c r="O1783" s="19" t="s">
        <v>67</v>
      </c>
      <c r="P1783" s="20">
        <v>9100</v>
      </c>
      <c r="Q1783" s="20">
        <f t="shared" ref="Q1783:X1783" si="3773">Q1753</f>
        <v>240</v>
      </c>
      <c r="R1783" s="20">
        <f t="shared" si="3773"/>
        <v>960</v>
      </c>
      <c r="S1783" s="20">
        <f t="shared" si="3773"/>
        <v>1680</v>
      </c>
      <c r="T1783" s="20">
        <f t="shared" si="3773"/>
        <v>2160</v>
      </c>
      <c r="U1783" s="20">
        <f t="shared" si="3773"/>
        <v>150</v>
      </c>
      <c r="V1783" s="20">
        <f t="shared" si="3773"/>
        <v>700</v>
      </c>
      <c r="W1783" s="20">
        <f t="shared" si="3773"/>
        <v>900</v>
      </c>
      <c r="X1783" s="20">
        <f t="shared" si="3773"/>
        <v>3</v>
      </c>
      <c r="Y1783" s="20">
        <v>0</v>
      </c>
      <c r="Z1783" s="20">
        <v>0</v>
      </c>
      <c r="AA1783" s="20">
        <v>0</v>
      </c>
      <c r="AB1783" s="20">
        <v>0</v>
      </c>
      <c r="AC1783" s="20">
        <v>0</v>
      </c>
      <c r="AD1783" s="23">
        <f t="shared" ref="AD1783:AE1783" si="3774">AD1753</f>
        <v>22</v>
      </c>
      <c r="AE1783" s="23">
        <f t="shared" si="3774"/>
        <v>26</v>
      </c>
    </row>
    <row r="1784" spans="1:31">
      <c r="A1784" s="4">
        <v>15104</v>
      </c>
      <c r="B1784" s="4">
        <v>13</v>
      </c>
      <c r="C1784" s="19" t="s">
        <v>68</v>
      </c>
      <c r="D1784" s="44">
        <v>0</v>
      </c>
      <c r="E1784" s="18">
        <v>0</v>
      </c>
      <c r="F1784" s="18">
        <f t="shared" ref="F1784:H1784" si="3775">ROUND(F1664*4.5,0)</f>
        <v>441</v>
      </c>
      <c r="G1784" s="18">
        <f t="shared" si="3775"/>
        <v>0</v>
      </c>
      <c r="H1784" s="18">
        <f t="shared" si="3775"/>
        <v>2520</v>
      </c>
      <c r="I1784" s="21">
        <f t="shared" si="3705"/>
        <v>220</v>
      </c>
      <c r="J1784" s="21">
        <f t="shared" si="3638"/>
        <v>12</v>
      </c>
      <c r="K1784" s="21">
        <v>0</v>
      </c>
      <c r="L1784" s="20">
        <v>6</v>
      </c>
      <c r="M1784" s="20">
        <v>0</v>
      </c>
      <c r="N1784" s="20">
        <f t="shared" si="3706"/>
        <v>2600</v>
      </c>
      <c r="O1784" s="19" t="s">
        <v>68</v>
      </c>
      <c r="P1784" s="20">
        <v>8600</v>
      </c>
      <c r="Q1784" s="20">
        <f t="shared" ref="Q1784:X1784" si="3776">Q1754</f>
        <v>260</v>
      </c>
      <c r="R1784" s="20">
        <f t="shared" si="3776"/>
        <v>1040</v>
      </c>
      <c r="S1784" s="20">
        <f t="shared" si="3776"/>
        <v>1819.9999999999998</v>
      </c>
      <c r="T1784" s="20">
        <f t="shared" si="3776"/>
        <v>2340</v>
      </c>
      <c r="U1784" s="20">
        <f t="shared" si="3776"/>
        <v>100</v>
      </c>
      <c r="V1784" s="20">
        <f t="shared" si="3776"/>
        <v>700</v>
      </c>
      <c r="W1784" s="20">
        <f t="shared" si="3776"/>
        <v>1000</v>
      </c>
      <c r="X1784" s="20">
        <f t="shared" si="3776"/>
        <v>4</v>
      </c>
      <c r="Y1784" s="20">
        <f>ROUND(D1784*0.25,-1)</f>
        <v>0</v>
      </c>
      <c r="Z1784" s="20">
        <f>ROUND(E1784*0.25,-1)</f>
        <v>0</v>
      </c>
      <c r="AA1784" s="20">
        <v>0</v>
      </c>
      <c r="AB1784" s="20">
        <f>ROUND(G1784*0.25,-1)</f>
        <v>0</v>
      </c>
      <c r="AC1784" s="20">
        <f>AC1799*0.4</f>
        <v>648</v>
      </c>
      <c r="AD1784" s="23">
        <f t="shared" ref="AD1784:AE1784" si="3777">AD1754</f>
        <v>24</v>
      </c>
      <c r="AE1784" s="23">
        <f t="shared" si="3777"/>
        <v>28</v>
      </c>
    </row>
    <row r="1785" spans="1:31">
      <c r="A1785" s="4">
        <v>15104</v>
      </c>
      <c r="B1785" s="4">
        <v>14</v>
      </c>
      <c r="C1785" s="19" t="s">
        <v>69</v>
      </c>
      <c r="D1785" s="44">
        <v>0</v>
      </c>
      <c r="E1785" s="18">
        <v>0</v>
      </c>
      <c r="F1785" s="18">
        <f t="shared" ref="F1785:H1785" si="3778">ROUND(F1665*4.5,0)</f>
        <v>477</v>
      </c>
      <c r="G1785" s="18">
        <f t="shared" si="3778"/>
        <v>0</v>
      </c>
      <c r="H1785" s="18">
        <f t="shared" si="3778"/>
        <v>2727</v>
      </c>
      <c r="I1785" s="21">
        <f t="shared" si="3705"/>
        <v>220</v>
      </c>
      <c r="J1785" s="21">
        <f t="shared" si="3638"/>
        <v>13</v>
      </c>
      <c r="K1785" s="21">
        <v>0</v>
      </c>
      <c r="L1785" s="20">
        <v>6</v>
      </c>
      <c r="M1785" s="20">
        <v>0</v>
      </c>
      <c r="N1785" s="20">
        <f t="shared" si="3706"/>
        <v>2800</v>
      </c>
      <c r="O1785" s="19" t="s">
        <v>69</v>
      </c>
      <c r="P1785" s="20">
        <v>6400</v>
      </c>
      <c r="Q1785" s="20">
        <f t="shared" ref="Q1785:X1785" si="3779">Q1755</f>
        <v>280</v>
      </c>
      <c r="R1785" s="20">
        <f t="shared" si="3779"/>
        <v>1120</v>
      </c>
      <c r="S1785" s="20">
        <f t="shared" si="3779"/>
        <v>1959.9999999999998</v>
      </c>
      <c r="T1785" s="20">
        <f t="shared" si="3779"/>
        <v>2520</v>
      </c>
      <c r="U1785" s="20">
        <f t="shared" si="3779"/>
        <v>100</v>
      </c>
      <c r="V1785" s="20">
        <f t="shared" si="3779"/>
        <v>400</v>
      </c>
      <c r="W1785" s="20">
        <f t="shared" si="3779"/>
        <v>1200</v>
      </c>
      <c r="X1785" s="20">
        <f t="shared" si="3779"/>
        <v>4</v>
      </c>
      <c r="Y1785" s="20">
        <v>0</v>
      </c>
      <c r="Z1785" s="20">
        <v>0</v>
      </c>
      <c r="AA1785" s="20">
        <v>0</v>
      </c>
      <c r="AB1785" s="20">
        <v>0</v>
      </c>
      <c r="AC1785" s="20">
        <v>0</v>
      </c>
      <c r="AD1785" s="23">
        <f t="shared" ref="AD1785:AE1785" si="3780">AD1755</f>
        <v>26</v>
      </c>
      <c r="AE1785" s="23">
        <f t="shared" si="3780"/>
        <v>30</v>
      </c>
    </row>
    <row r="1786" spans="1:31">
      <c r="A1786" s="4">
        <v>15104</v>
      </c>
      <c r="B1786" s="4">
        <v>15</v>
      </c>
      <c r="C1786" s="19" t="s">
        <v>70</v>
      </c>
      <c r="D1786" s="44">
        <v>0</v>
      </c>
      <c r="E1786" s="18">
        <v>0</v>
      </c>
      <c r="F1786" s="18">
        <f t="shared" ref="F1786:H1786" si="3781">ROUND(F1666*4.5,0)</f>
        <v>518</v>
      </c>
      <c r="G1786" s="18">
        <f t="shared" si="3781"/>
        <v>0</v>
      </c>
      <c r="H1786" s="18">
        <f t="shared" si="3781"/>
        <v>2952</v>
      </c>
      <c r="I1786" s="21">
        <f t="shared" si="3705"/>
        <v>220</v>
      </c>
      <c r="J1786" s="21">
        <f t="shared" si="3638"/>
        <v>14</v>
      </c>
      <c r="K1786" s="21">
        <v>0</v>
      </c>
      <c r="L1786" s="20">
        <v>6</v>
      </c>
      <c r="M1786" s="20">
        <v>0</v>
      </c>
      <c r="N1786" s="20">
        <f t="shared" si="3706"/>
        <v>4500</v>
      </c>
      <c r="O1786" s="19" t="s">
        <v>70</v>
      </c>
      <c r="P1786" s="20">
        <v>3100</v>
      </c>
      <c r="Q1786" s="20">
        <f t="shared" ref="Q1786:X1786" si="3782">Q1756</f>
        <v>450</v>
      </c>
      <c r="R1786" s="20">
        <f t="shared" si="3782"/>
        <v>1800</v>
      </c>
      <c r="S1786" s="20">
        <f t="shared" si="3782"/>
        <v>3150</v>
      </c>
      <c r="T1786" s="20">
        <f t="shared" si="3782"/>
        <v>4050</v>
      </c>
      <c r="U1786" s="20">
        <f t="shared" si="3782"/>
        <v>100</v>
      </c>
      <c r="V1786" s="20">
        <f t="shared" si="3782"/>
        <v>1000</v>
      </c>
      <c r="W1786" s="20">
        <f t="shared" si="3782"/>
        <v>600</v>
      </c>
      <c r="X1786" s="20">
        <f t="shared" si="3782"/>
        <v>4</v>
      </c>
      <c r="Y1786" s="20">
        <v>0</v>
      </c>
      <c r="Z1786" s="20">
        <v>0</v>
      </c>
      <c r="AA1786" s="20">
        <v>0</v>
      </c>
      <c r="AB1786" s="20">
        <v>0</v>
      </c>
      <c r="AC1786" s="20">
        <v>0</v>
      </c>
      <c r="AD1786" s="23">
        <f t="shared" ref="AD1786:AE1786" si="3783">AD1756</f>
        <v>28</v>
      </c>
      <c r="AE1786" s="23">
        <f t="shared" si="3783"/>
        <v>32</v>
      </c>
    </row>
    <row r="1787" spans="1:31">
      <c r="A1787" s="4">
        <v>15104</v>
      </c>
      <c r="B1787" s="4">
        <v>16</v>
      </c>
      <c r="C1787" s="19" t="s">
        <v>71</v>
      </c>
      <c r="D1787" s="44">
        <v>0</v>
      </c>
      <c r="E1787" s="18">
        <v>0</v>
      </c>
      <c r="F1787" s="18">
        <f t="shared" ref="F1787:H1787" si="3784">ROUND(F1667*4.5,0)</f>
        <v>563</v>
      </c>
      <c r="G1787" s="18">
        <f t="shared" si="3784"/>
        <v>0</v>
      </c>
      <c r="H1787" s="18">
        <f t="shared" si="3784"/>
        <v>3200</v>
      </c>
      <c r="I1787" s="21">
        <f t="shared" si="3705"/>
        <v>220</v>
      </c>
      <c r="J1787" s="21">
        <f t="shared" si="3638"/>
        <v>15</v>
      </c>
      <c r="K1787" s="21">
        <v>0</v>
      </c>
      <c r="L1787" s="20">
        <v>6</v>
      </c>
      <c r="M1787" s="20">
        <v>0</v>
      </c>
      <c r="N1787" s="20">
        <f t="shared" si="3706"/>
        <v>4800</v>
      </c>
      <c r="O1787" s="19" t="s">
        <v>71</v>
      </c>
      <c r="P1787" s="20">
        <v>1777</v>
      </c>
      <c r="Q1787" s="20">
        <f t="shared" ref="Q1787:X1787" si="3785">Q1757</f>
        <v>480</v>
      </c>
      <c r="R1787" s="20">
        <f t="shared" si="3785"/>
        <v>1920</v>
      </c>
      <c r="S1787" s="20">
        <f t="shared" si="3785"/>
        <v>3360</v>
      </c>
      <c r="T1787" s="20">
        <f t="shared" si="3785"/>
        <v>4320</v>
      </c>
      <c r="U1787" s="20">
        <f t="shared" si="3785"/>
        <v>100</v>
      </c>
      <c r="V1787" s="20">
        <f t="shared" si="3785"/>
        <v>800</v>
      </c>
      <c r="W1787" s="20">
        <f t="shared" si="3785"/>
        <v>800</v>
      </c>
      <c r="X1787" s="20">
        <f t="shared" si="3785"/>
        <v>4</v>
      </c>
      <c r="Y1787" s="20">
        <v>0</v>
      </c>
      <c r="Z1787" s="20">
        <v>0</v>
      </c>
      <c r="AA1787" s="20">
        <v>0</v>
      </c>
      <c r="AB1787" s="20">
        <v>0</v>
      </c>
      <c r="AC1787" s="20">
        <v>0</v>
      </c>
      <c r="AD1787" s="23">
        <f t="shared" ref="AD1787:AE1787" si="3786">AD1757</f>
        <v>30</v>
      </c>
      <c r="AE1787" s="23">
        <f t="shared" si="3786"/>
        <v>34</v>
      </c>
    </row>
    <row r="1788" spans="1:31">
      <c r="A1788" s="4">
        <v>15104</v>
      </c>
      <c r="B1788" s="4">
        <v>17</v>
      </c>
      <c r="C1788" s="19" t="s">
        <v>72</v>
      </c>
      <c r="D1788" s="44">
        <v>0</v>
      </c>
      <c r="E1788" s="18">
        <v>0</v>
      </c>
      <c r="F1788" s="18">
        <f t="shared" ref="F1788:H1788" si="3787">ROUND(F1668*4.5,0)</f>
        <v>608</v>
      </c>
      <c r="G1788" s="18">
        <f t="shared" si="3787"/>
        <v>0</v>
      </c>
      <c r="H1788" s="18">
        <f t="shared" si="3787"/>
        <v>3461</v>
      </c>
      <c r="I1788" s="21">
        <f t="shared" si="3705"/>
        <v>275</v>
      </c>
      <c r="J1788" s="21">
        <f t="shared" si="3638"/>
        <v>16</v>
      </c>
      <c r="K1788" s="21">
        <v>0</v>
      </c>
      <c r="L1788" s="20">
        <v>6</v>
      </c>
      <c r="M1788" s="20">
        <v>0</v>
      </c>
      <c r="N1788" s="20">
        <f t="shared" si="3706"/>
        <v>5100</v>
      </c>
      <c r="O1788" s="19" t="s">
        <v>72</v>
      </c>
      <c r="P1788" s="20">
        <v>2332</v>
      </c>
      <c r="Q1788" s="20">
        <f t="shared" ref="Q1788:X1788" si="3788">Q1758</f>
        <v>510</v>
      </c>
      <c r="R1788" s="20">
        <f t="shared" si="3788"/>
        <v>2040</v>
      </c>
      <c r="S1788" s="20">
        <f t="shared" si="3788"/>
        <v>3570</v>
      </c>
      <c r="T1788" s="20">
        <f t="shared" si="3788"/>
        <v>4590</v>
      </c>
      <c r="U1788" s="20">
        <f t="shared" si="3788"/>
        <v>80</v>
      </c>
      <c r="V1788" s="20">
        <f t="shared" si="3788"/>
        <v>800</v>
      </c>
      <c r="W1788" s="20">
        <f t="shared" si="3788"/>
        <v>600</v>
      </c>
      <c r="X1788" s="20">
        <f t="shared" si="3788"/>
        <v>5</v>
      </c>
      <c r="Y1788" s="20">
        <v>0</v>
      </c>
      <c r="Z1788" s="20">
        <v>0</v>
      </c>
      <c r="AA1788" s="20">
        <v>0</v>
      </c>
      <c r="AB1788" s="20">
        <v>0</v>
      </c>
      <c r="AC1788" s="20">
        <v>0</v>
      </c>
      <c r="AD1788" s="23">
        <f t="shared" ref="AD1788:AE1788" si="3789">AD1758</f>
        <v>32</v>
      </c>
      <c r="AE1788" s="23">
        <f t="shared" si="3789"/>
        <v>36</v>
      </c>
    </row>
    <row r="1789" spans="1:31">
      <c r="A1789" s="4">
        <v>15104</v>
      </c>
      <c r="B1789" s="4">
        <v>18</v>
      </c>
      <c r="C1789" s="19" t="s">
        <v>73</v>
      </c>
      <c r="D1789" s="44">
        <v>0</v>
      </c>
      <c r="E1789" s="18">
        <v>0</v>
      </c>
      <c r="F1789" s="18">
        <f t="shared" ref="F1789:H1789" si="3790">ROUND(F1669*4.5,0)</f>
        <v>657</v>
      </c>
      <c r="G1789" s="18">
        <f t="shared" si="3790"/>
        <v>0</v>
      </c>
      <c r="H1789" s="18">
        <f t="shared" si="3790"/>
        <v>3749</v>
      </c>
      <c r="I1789" s="21">
        <f t="shared" si="3705"/>
        <v>275</v>
      </c>
      <c r="J1789" s="21">
        <f t="shared" si="3638"/>
        <v>17</v>
      </c>
      <c r="K1789" s="21">
        <v>0</v>
      </c>
      <c r="L1789" s="20">
        <v>6</v>
      </c>
      <c r="M1789" s="20">
        <v>0</v>
      </c>
      <c r="N1789" s="20">
        <f t="shared" si="3706"/>
        <v>5400</v>
      </c>
      <c r="O1789" s="19" t="s">
        <v>73</v>
      </c>
      <c r="P1789" s="20">
        <v>1487</v>
      </c>
      <c r="Q1789" s="20">
        <f t="shared" ref="Q1789:X1789" si="3791">Q1759</f>
        <v>540</v>
      </c>
      <c r="R1789" s="20">
        <f t="shared" si="3791"/>
        <v>2160</v>
      </c>
      <c r="S1789" s="20">
        <f t="shared" si="3791"/>
        <v>3779.9999999999995</v>
      </c>
      <c r="T1789" s="20">
        <f t="shared" si="3791"/>
        <v>4860</v>
      </c>
      <c r="U1789" s="20">
        <f t="shared" si="3791"/>
        <v>100</v>
      </c>
      <c r="V1789" s="20">
        <f t="shared" si="3791"/>
        <v>600</v>
      </c>
      <c r="W1789" s="20">
        <f t="shared" si="3791"/>
        <v>300</v>
      </c>
      <c r="X1789" s="20">
        <f t="shared" si="3791"/>
        <v>5</v>
      </c>
      <c r="Y1789" s="20">
        <f>ROUND(D1789*0.25,-1)</f>
        <v>0</v>
      </c>
      <c r="Z1789" s="20">
        <f>ROUND(E1789*0.25,-1)</f>
        <v>0</v>
      </c>
      <c r="AA1789" s="20">
        <v>0</v>
      </c>
      <c r="AB1789" s="20">
        <f>ROUND(G1789*0.25,-1)</f>
        <v>0</v>
      </c>
      <c r="AC1789" s="20">
        <f>AC1799*0.6</f>
        <v>972</v>
      </c>
      <c r="AD1789" s="23">
        <f t="shared" ref="AD1789:AE1789" si="3792">AD1759</f>
        <v>34</v>
      </c>
      <c r="AE1789" s="23">
        <f t="shared" si="3792"/>
        <v>38</v>
      </c>
    </row>
    <row r="1790" spans="1:31">
      <c r="A1790" s="8">
        <v>15104</v>
      </c>
      <c r="B1790" s="8">
        <v>19</v>
      </c>
      <c r="C1790" s="19" t="s">
        <v>74</v>
      </c>
      <c r="D1790" s="44">
        <v>0</v>
      </c>
      <c r="E1790" s="18">
        <v>0</v>
      </c>
      <c r="F1790" s="18">
        <f t="shared" ref="F1790:H1790" si="3793">ROUND(F1670*4.5,0)</f>
        <v>711</v>
      </c>
      <c r="G1790" s="18">
        <f t="shared" si="3793"/>
        <v>0</v>
      </c>
      <c r="H1790" s="18">
        <f t="shared" si="3793"/>
        <v>4059</v>
      </c>
      <c r="I1790" s="21">
        <f t="shared" si="3705"/>
        <v>275</v>
      </c>
      <c r="J1790" s="21">
        <f t="shared" si="3638"/>
        <v>18</v>
      </c>
      <c r="K1790" s="21">
        <v>0</v>
      </c>
      <c r="L1790" s="20">
        <v>6</v>
      </c>
      <c r="M1790" s="20">
        <v>0</v>
      </c>
      <c r="N1790" s="20">
        <f t="shared" si="3706"/>
        <v>5700</v>
      </c>
      <c r="O1790" s="19" t="s">
        <v>74</v>
      </c>
      <c r="P1790" s="20">
        <v>1518</v>
      </c>
      <c r="Q1790" s="20">
        <f t="shared" ref="Q1790:X1790" si="3794">Q1760</f>
        <v>570</v>
      </c>
      <c r="R1790" s="20">
        <f t="shared" si="3794"/>
        <v>2280</v>
      </c>
      <c r="S1790" s="20">
        <f t="shared" si="3794"/>
        <v>3989.9999999999995</v>
      </c>
      <c r="T1790" s="20">
        <f t="shared" si="3794"/>
        <v>5130</v>
      </c>
      <c r="U1790" s="20">
        <f t="shared" si="3794"/>
        <v>100</v>
      </c>
      <c r="V1790" s="20">
        <f t="shared" si="3794"/>
        <v>500</v>
      </c>
      <c r="W1790" s="20">
        <f t="shared" si="3794"/>
        <v>400</v>
      </c>
      <c r="X1790" s="20">
        <f t="shared" si="3794"/>
        <v>5</v>
      </c>
      <c r="Y1790" s="20">
        <v>0</v>
      </c>
      <c r="Z1790" s="20">
        <v>0</v>
      </c>
      <c r="AA1790" s="20">
        <v>0</v>
      </c>
      <c r="AB1790" s="20">
        <v>0</v>
      </c>
      <c r="AC1790" s="20">
        <v>0</v>
      </c>
      <c r="AD1790" s="23">
        <f t="shared" ref="AD1790:AE1790" si="3795">AD1760</f>
        <v>36</v>
      </c>
      <c r="AE1790" s="23">
        <f t="shared" si="3795"/>
        <v>40</v>
      </c>
    </row>
    <row r="1791" spans="1:31">
      <c r="A1791" s="4">
        <v>15104</v>
      </c>
      <c r="B1791" s="4">
        <v>20</v>
      </c>
      <c r="C1791" s="19" t="s">
        <v>75</v>
      </c>
      <c r="D1791" s="44">
        <v>0</v>
      </c>
      <c r="E1791" s="18">
        <v>0</v>
      </c>
      <c r="F1791" s="18">
        <f t="shared" ref="F1791:H1791" si="3796">ROUND(F1671*4.5,0)</f>
        <v>770</v>
      </c>
      <c r="G1791" s="18">
        <f t="shared" si="3796"/>
        <v>0</v>
      </c>
      <c r="H1791" s="18">
        <f t="shared" si="3796"/>
        <v>4392</v>
      </c>
      <c r="I1791" s="21">
        <f t="shared" si="3705"/>
        <v>275</v>
      </c>
      <c r="J1791" s="21">
        <f t="shared" si="3638"/>
        <v>19</v>
      </c>
      <c r="K1791" s="21">
        <v>0</v>
      </c>
      <c r="L1791" s="20">
        <v>6</v>
      </c>
      <c r="M1791" s="20">
        <v>0</v>
      </c>
      <c r="N1791" s="20">
        <f t="shared" si="3706"/>
        <v>8000</v>
      </c>
      <c r="O1791" s="19" t="s">
        <v>75</v>
      </c>
      <c r="P1791" s="20">
        <v>861</v>
      </c>
      <c r="Q1791" s="20">
        <f t="shared" ref="Q1791:X1791" si="3797">Q1761</f>
        <v>800</v>
      </c>
      <c r="R1791" s="20">
        <f t="shared" si="3797"/>
        <v>3200</v>
      </c>
      <c r="S1791" s="20">
        <f t="shared" si="3797"/>
        <v>5600</v>
      </c>
      <c r="T1791" s="20">
        <f t="shared" si="3797"/>
        <v>7200</v>
      </c>
      <c r="U1791" s="20">
        <f t="shared" si="3797"/>
        <v>100</v>
      </c>
      <c r="V1791" s="20">
        <f t="shared" si="3797"/>
        <v>800</v>
      </c>
      <c r="W1791" s="20">
        <f t="shared" si="3797"/>
        <v>8000</v>
      </c>
      <c r="X1791" s="20">
        <f t="shared" si="3797"/>
        <v>5</v>
      </c>
      <c r="Y1791" s="20">
        <v>0</v>
      </c>
      <c r="Z1791" s="20">
        <v>0</v>
      </c>
      <c r="AA1791" s="20">
        <v>0</v>
      </c>
      <c r="AB1791" s="20">
        <v>0</v>
      </c>
      <c r="AC1791" s="20">
        <v>0</v>
      </c>
      <c r="AD1791" s="23">
        <f t="shared" ref="AD1791:AE1791" si="3798">AD1761</f>
        <v>38</v>
      </c>
      <c r="AE1791" s="23">
        <f t="shared" si="3798"/>
        <v>42</v>
      </c>
    </row>
    <row r="1792" spans="1:31">
      <c r="A1792" s="4">
        <v>15104</v>
      </c>
      <c r="B1792" s="4">
        <v>21</v>
      </c>
      <c r="C1792" s="19" t="s">
        <v>66</v>
      </c>
      <c r="D1792" s="44">
        <v>0</v>
      </c>
      <c r="E1792" s="18">
        <v>0</v>
      </c>
      <c r="F1792" s="18">
        <f t="shared" ref="F1792:H1792" si="3799">ROUND(F1672*4.5,0)</f>
        <v>833</v>
      </c>
      <c r="G1792" s="18">
        <f t="shared" si="3799"/>
        <v>0</v>
      </c>
      <c r="H1792" s="18">
        <f t="shared" si="3799"/>
        <v>4757</v>
      </c>
      <c r="I1792" s="21">
        <f t="shared" si="3705"/>
        <v>330</v>
      </c>
      <c r="J1792" s="21">
        <f t="shared" si="3638"/>
        <v>20</v>
      </c>
      <c r="K1792" s="21">
        <v>0</v>
      </c>
      <c r="L1792" s="20">
        <v>6</v>
      </c>
      <c r="M1792" s="20">
        <v>0</v>
      </c>
      <c r="N1792" s="20">
        <f t="shared" si="3706"/>
        <v>8400</v>
      </c>
      <c r="O1792" s="19" t="s">
        <v>66</v>
      </c>
      <c r="P1792" s="20">
        <v>9400</v>
      </c>
      <c r="Q1792" s="20">
        <f t="shared" ref="Q1792:X1792" si="3800">Q1762</f>
        <v>840</v>
      </c>
      <c r="R1792" s="20">
        <f t="shared" si="3800"/>
        <v>3360</v>
      </c>
      <c r="S1792" s="20">
        <f t="shared" si="3800"/>
        <v>5880</v>
      </c>
      <c r="T1792" s="20">
        <f t="shared" si="3800"/>
        <v>7560</v>
      </c>
      <c r="U1792" s="20">
        <f t="shared" si="3800"/>
        <v>50</v>
      </c>
      <c r="V1792" s="20">
        <f t="shared" si="3800"/>
        <v>1000</v>
      </c>
      <c r="W1792" s="20">
        <f t="shared" si="3800"/>
        <v>600</v>
      </c>
      <c r="X1792" s="20">
        <f t="shared" si="3800"/>
        <v>6</v>
      </c>
      <c r="Y1792" s="20">
        <v>0</v>
      </c>
      <c r="Z1792" s="20">
        <v>0</v>
      </c>
      <c r="AA1792" s="20">
        <v>0</v>
      </c>
      <c r="AB1792" s="20">
        <v>0</v>
      </c>
      <c r="AC1792" s="20">
        <v>0</v>
      </c>
      <c r="AD1792" s="23">
        <f t="shared" ref="AD1792:AE1792" si="3801">AD1762</f>
        <v>40</v>
      </c>
      <c r="AE1792" s="23">
        <f t="shared" si="3801"/>
        <v>44</v>
      </c>
    </row>
    <row r="1793" spans="1:31">
      <c r="A1793" s="4">
        <v>15104</v>
      </c>
      <c r="B1793" s="4">
        <v>22</v>
      </c>
      <c r="C1793" s="19" t="s">
        <v>67</v>
      </c>
      <c r="D1793" s="44">
        <v>0</v>
      </c>
      <c r="E1793" s="18">
        <v>0</v>
      </c>
      <c r="F1793" s="18">
        <f t="shared" ref="F1793:H1793" si="3802">ROUND(F1673*4.5,0)</f>
        <v>905</v>
      </c>
      <c r="G1793" s="18">
        <f t="shared" si="3802"/>
        <v>0</v>
      </c>
      <c r="H1793" s="18">
        <f t="shared" si="3802"/>
        <v>5148</v>
      </c>
      <c r="I1793" s="21">
        <f t="shared" si="3705"/>
        <v>330</v>
      </c>
      <c r="J1793" s="21">
        <f t="shared" si="3638"/>
        <v>21</v>
      </c>
      <c r="K1793" s="21">
        <v>0</v>
      </c>
      <c r="L1793" s="20">
        <v>6</v>
      </c>
      <c r="M1793" s="20">
        <v>0</v>
      </c>
      <c r="N1793" s="20">
        <f t="shared" si="3706"/>
        <v>8800</v>
      </c>
      <c r="O1793" s="19" t="s">
        <v>67</v>
      </c>
      <c r="P1793" s="20">
        <v>9100</v>
      </c>
      <c r="Q1793" s="20">
        <f t="shared" ref="Q1793:X1793" si="3803">Q1763</f>
        <v>880</v>
      </c>
      <c r="R1793" s="20">
        <f t="shared" si="3803"/>
        <v>3520</v>
      </c>
      <c r="S1793" s="20">
        <f t="shared" si="3803"/>
        <v>6160</v>
      </c>
      <c r="T1793" s="20">
        <f t="shared" si="3803"/>
        <v>7920</v>
      </c>
      <c r="U1793" s="20">
        <f t="shared" si="3803"/>
        <v>100</v>
      </c>
      <c r="V1793" s="20">
        <f t="shared" si="3803"/>
        <v>600</v>
      </c>
      <c r="W1793" s="20">
        <f t="shared" si="3803"/>
        <v>700</v>
      </c>
      <c r="X1793" s="20">
        <f t="shared" si="3803"/>
        <v>6</v>
      </c>
      <c r="Y1793" s="20">
        <v>0</v>
      </c>
      <c r="Z1793" s="20">
        <v>0</v>
      </c>
      <c r="AA1793" s="20">
        <v>0</v>
      </c>
      <c r="AB1793" s="20">
        <v>0</v>
      </c>
      <c r="AC1793" s="20">
        <v>0</v>
      </c>
      <c r="AD1793" s="23">
        <f t="shared" ref="AD1793:AE1793" si="3804">AD1763</f>
        <v>42</v>
      </c>
      <c r="AE1793" s="23">
        <f t="shared" si="3804"/>
        <v>46</v>
      </c>
    </row>
    <row r="1794" spans="1:31">
      <c r="A1794" s="4">
        <v>15104</v>
      </c>
      <c r="B1794" s="4">
        <v>23</v>
      </c>
      <c r="C1794" s="19" t="s">
        <v>68</v>
      </c>
      <c r="D1794" s="44">
        <v>0</v>
      </c>
      <c r="E1794" s="18">
        <v>0</v>
      </c>
      <c r="F1794" s="18">
        <f t="shared" ref="F1794:H1794" si="3805">ROUND(F1674*4.5,0)</f>
        <v>977</v>
      </c>
      <c r="G1794" s="18">
        <f t="shared" si="3805"/>
        <v>0</v>
      </c>
      <c r="H1794" s="18">
        <f t="shared" si="3805"/>
        <v>5576</v>
      </c>
      <c r="I1794" s="21">
        <f t="shared" si="3705"/>
        <v>330</v>
      </c>
      <c r="J1794" s="21">
        <f t="shared" si="3638"/>
        <v>22</v>
      </c>
      <c r="K1794" s="21">
        <v>0</v>
      </c>
      <c r="L1794" s="20">
        <v>6</v>
      </c>
      <c r="M1794" s="20">
        <v>0</v>
      </c>
      <c r="N1794" s="20">
        <f t="shared" si="3706"/>
        <v>9200</v>
      </c>
      <c r="O1794" s="19" t="s">
        <v>68</v>
      </c>
      <c r="P1794" s="20">
        <v>8600</v>
      </c>
      <c r="Q1794" s="20">
        <f t="shared" ref="Q1794:X1794" si="3806">Q1764</f>
        <v>920</v>
      </c>
      <c r="R1794" s="20">
        <f t="shared" si="3806"/>
        <v>3680</v>
      </c>
      <c r="S1794" s="20">
        <f t="shared" si="3806"/>
        <v>6440</v>
      </c>
      <c r="T1794" s="20">
        <f t="shared" si="3806"/>
        <v>8280</v>
      </c>
      <c r="U1794" s="20">
        <f t="shared" si="3806"/>
        <v>100</v>
      </c>
      <c r="V1794" s="20">
        <f t="shared" si="3806"/>
        <v>550</v>
      </c>
      <c r="W1794" s="20">
        <f t="shared" si="3806"/>
        <v>500</v>
      </c>
      <c r="X1794" s="20">
        <f t="shared" si="3806"/>
        <v>6</v>
      </c>
      <c r="Y1794" s="20">
        <f>ROUND(D1794*0.25,-1)</f>
        <v>0</v>
      </c>
      <c r="Z1794" s="20">
        <f>ROUND(E1794*0.25,-1)</f>
        <v>0</v>
      </c>
      <c r="AA1794" s="20">
        <v>0</v>
      </c>
      <c r="AB1794" s="20">
        <f>ROUND(G1794*0.25,-1)</f>
        <v>0</v>
      </c>
      <c r="AC1794" s="20">
        <f>AC1799*0.8</f>
        <v>1296</v>
      </c>
      <c r="AD1794" s="23">
        <f t="shared" ref="AD1794:AE1794" si="3807">AD1764</f>
        <v>44</v>
      </c>
      <c r="AE1794" s="23">
        <f t="shared" si="3807"/>
        <v>48</v>
      </c>
    </row>
    <row r="1795" spans="1:31">
      <c r="A1795" s="4">
        <v>15104</v>
      </c>
      <c r="B1795" s="4">
        <v>24</v>
      </c>
      <c r="C1795" s="19" t="s">
        <v>69</v>
      </c>
      <c r="D1795" s="44">
        <v>0</v>
      </c>
      <c r="E1795" s="18">
        <v>0</v>
      </c>
      <c r="F1795" s="18">
        <f t="shared" ref="F1795:H1795" si="3808">ROUND(F1675*4.5,0)</f>
        <v>1058</v>
      </c>
      <c r="G1795" s="18">
        <f t="shared" si="3808"/>
        <v>0</v>
      </c>
      <c r="H1795" s="18">
        <f t="shared" si="3808"/>
        <v>6035</v>
      </c>
      <c r="I1795" s="21">
        <f t="shared" si="3705"/>
        <v>330</v>
      </c>
      <c r="J1795" s="21">
        <f t="shared" si="3638"/>
        <v>23</v>
      </c>
      <c r="K1795" s="21">
        <v>0</v>
      </c>
      <c r="L1795" s="20">
        <v>6</v>
      </c>
      <c r="M1795" s="20">
        <v>0</v>
      </c>
      <c r="N1795" s="20">
        <f t="shared" si="3706"/>
        <v>9600</v>
      </c>
      <c r="O1795" s="19" t="s">
        <v>69</v>
      </c>
      <c r="P1795" s="20">
        <v>6400</v>
      </c>
      <c r="Q1795" s="20">
        <f t="shared" ref="Q1795:X1795" si="3809">Q1765</f>
        <v>960</v>
      </c>
      <c r="R1795" s="20">
        <f t="shared" si="3809"/>
        <v>3840</v>
      </c>
      <c r="S1795" s="20">
        <f t="shared" si="3809"/>
        <v>6720</v>
      </c>
      <c r="T1795" s="20">
        <f t="shared" si="3809"/>
        <v>8640</v>
      </c>
      <c r="U1795" s="20">
        <f t="shared" si="3809"/>
        <v>100</v>
      </c>
      <c r="V1795" s="20">
        <f t="shared" si="3809"/>
        <v>500</v>
      </c>
      <c r="W1795" s="20">
        <f t="shared" si="3809"/>
        <v>900</v>
      </c>
      <c r="X1795" s="20">
        <f t="shared" si="3809"/>
        <v>6</v>
      </c>
      <c r="Y1795" s="20">
        <v>0</v>
      </c>
      <c r="Z1795" s="20">
        <v>0</v>
      </c>
      <c r="AA1795" s="20">
        <v>0</v>
      </c>
      <c r="AB1795" s="20">
        <v>0</v>
      </c>
      <c r="AC1795" s="20">
        <v>0</v>
      </c>
      <c r="AD1795" s="23">
        <f t="shared" ref="AD1795:AE1795" si="3810">AD1765</f>
        <v>46</v>
      </c>
      <c r="AE1795" s="23">
        <f t="shared" si="3810"/>
        <v>50</v>
      </c>
    </row>
    <row r="1796" spans="1:31">
      <c r="A1796" s="4">
        <v>15104</v>
      </c>
      <c r="B1796" s="4">
        <v>25</v>
      </c>
      <c r="C1796" s="19" t="s">
        <v>70</v>
      </c>
      <c r="D1796" s="44">
        <v>0</v>
      </c>
      <c r="E1796" s="18">
        <v>0</v>
      </c>
      <c r="F1796" s="18">
        <f t="shared" ref="F1796:H1796" si="3811">ROUND(F1676*4.5,0)</f>
        <v>1143</v>
      </c>
      <c r="G1796" s="18">
        <f t="shared" si="3811"/>
        <v>0</v>
      </c>
      <c r="H1796" s="18">
        <f t="shared" si="3811"/>
        <v>6534</v>
      </c>
      <c r="I1796" s="21">
        <f t="shared" si="3705"/>
        <v>385</v>
      </c>
      <c r="J1796" s="21">
        <f t="shared" si="3638"/>
        <v>24</v>
      </c>
      <c r="K1796" s="21">
        <v>0</v>
      </c>
      <c r="L1796" s="20">
        <v>6</v>
      </c>
      <c r="M1796" s="20">
        <v>0</v>
      </c>
      <c r="N1796" s="20">
        <f t="shared" si="3706"/>
        <v>12500</v>
      </c>
      <c r="O1796" s="19" t="s">
        <v>70</v>
      </c>
      <c r="P1796" s="20">
        <v>3100</v>
      </c>
      <c r="Q1796" s="20">
        <f t="shared" ref="Q1796:X1796" si="3812">Q1766</f>
        <v>1250</v>
      </c>
      <c r="R1796" s="20">
        <f t="shared" si="3812"/>
        <v>5000</v>
      </c>
      <c r="S1796" s="20">
        <f t="shared" si="3812"/>
        <v>8750</v>
      </c>
      <c r="T1796" s="20">
        <f t="shared" si="3812"/>
        <v>11250</v>
      </c>
      <c r="U1796" s="20">
        <f t="shared" si="3812"/>
        <v>10</v>
      </c>
      <c r="V1796" s="20">
        <f t="shared" si="3812"/>
        <v>1300</v>
      </c>
      <c r="W1796" s="20">
        <f t="shared" si="3812"/>
        <v>1000</v>
      </c>
      <c r="X1796" s="20">
        <f t="shared" si="3812"/>
        <v>7</v>
      </c>
      <c r="Y1796" s="20">
        <v>0</v>
      </c>
      <c r="Z1796" s="20">
        <v>0</v>
      </c>
      <c r="AA1796" s="20">
        <v>0</v>
      </c>
      <c r="AB1796" s="20">
        <v>0</v>
      </c>
      <c r="AC1796" s="20">
        <v>0</v>
      </c>
      <c r="AD1796" s="23">
        <f t="shared" ref="AD1796:AE1796" si="3813">AD1766</f>
        <v>48</v>
      </c>
      <c r="AE1796" s="23">
        <f t="shared" si="3813"/>
        <v>52</v>
      </c>
    </row>
    <row r="1797" spans="1:31">
      <c r="A1797" s="4">
        <v>15104</v>
      </c>
      <c r="B1797" s="4">
        <v>26</v>
      </c>
      <c r="C1797" s="19" t="s">
        <v>71</v>
      </c>
      <c r="D1797" s="44">
        <v>0</v>
      </c>
      <c r="E1797" s="18">
        <v>0</v>
      </c>
      <c r="F1797" s="18">
        <f t="shared" ref="F1797:H1797" si="3814">ROUND(F1677*4.5,0)</f>
        <v>1238</v>
      </c>
      <c r="G1797" s="18">
        <f t="shared" si="3814"/>
        <v>0</v>
      </c>
      <c r="H1797" s="18">
        <f t="shared" si="3814"/>
        <v>7074</v>
      </c>
      <c r="I1797" s="21">
        <f t="shared" si="3705"/>
        <v>385</v>
      </c>
      <c r="J1797" s="21">
        <f t="shared" si="3638"/>
        <v>25</v>
      </c>
      <c r="K1797" s="21">
        <v>0</v>
      </c>
      <c r="L1797" s="20">
        <v>6</v>
      </c>
      <c r="M1797" s="20">
        <v>0</v>
      </c>
      <c r="N1797" s="20">
        <f t="shared" si="3706"/>
        <v>13000</v>
      </c>
      <c r="O1797" s="19" t="s">
        <v>71</v>
      </c>
      <c r="P1797" s="20">
        <v>1777</v>
      </c>
      <c r="Q1797" s="20">
        <f t="shared" ref="Q1797:X1797" si="3815">Q1767</f>
        <v>1300</v>
      </c>
      <c r="R1797" s="20">
        <f t="shared" si="3815"/>
        <v>5200</v>
      </c>
      <c r="S1797" s="20">
        <f t="shared" si="3815"/>
        <v>9100</v>
      </c>
      <c r="T1797" s="20">
        <f t="shared" si="3815"/>
        <v>11700</v>
      </c>
      <c r="U1797" s="20">
        <f t="shared" si="3815"/>
        <v>90</v>
      </c>
      <c r="V1797" s="20">
        <f t="shared" si="3815"/>
        <v>800</v>
      </c>
      <c r="W1797" s="20">
        <f t="shared" si="3815"/>
        <v>2000</v>
      </c>
      <c r="X1797" s="20">
        <f t="shared" si="3815"/>
        <v>7</v>
      </c>
      <c r="Y1797" s="20">
        <v>0</v>
      </c>
      <c r="Z1797" s="20">
        <v>0</v>
      </c>
      <c r="AA1797" s="20">
        <v>0</v>
      </c>
      <c r="AB1797" s="20">
        <v>0</v>
      </c>
      <c r="AC1797" s="20">
        <v>0</v>
      </c>
      <c r="AD1797" s="23">
        <f t="shared" ref="AD1797:AE1797" si="3816">AD1767</f>
        <v>50</v>
      </c>
      <c r="AE1797" s="23">
        <f t="shared" si="3816"/>
        <v>54</v>
      </c>
    </row>
    <row r="1798" spans="1:31">
      <c r="A1798" s="4">
        <v>15104</v>
      </c>
      <c r="B1798" s="4">
        <v>27</v>
      </c>
      <c r="C1798" s="19" t="s">
        <v>72</v>
      </c>
      <c r="D1798" s="44">
        <v>0</v>
      </c>
      <c r="E1798" s="18">
        <v>0</v>
      </c>
      <c r="F1798" s="18">
        <f t="shared" ref="F1798:H1798" si="3817">ROUND(F1678*4.5,0)</f>
        <v>1341</v>
      </c>
      <c r="G1798" s="18">
        <f t="shared" si="3817"/>
        <v>0</v>
      </c>
      <c r="H1798" s="18">
        <f t="shared" si="3817"/>
        <v>7659</v>
      </c>
      <c r="I1798" s="21">
        <f t="shared" si="3705"/>
        <v>385</v>
      </c>
      <c r="J1798" s="21">
        <f t="shared" si="3638"/>
        <v>26</v>
      </c>
      <c r="K1798" s="21">
        <v>0</v>
      </c>
      <c r="L1798" s="20">
        <v>6</v>
      </c>
      <c r="M1798" s="20">
        <v>0</v>
      </c>
      <c r="N1798" s="20">
        <f t="shared" si="3706"/>
        <v>13500</v>
      </c>
      <c r="O1798" s="19" t="s">
        <v>72</v>
      </c>
      <c r="P1798" s="20">
        <v>2332</v>
      </c>
      <c r="Q1798" s="20">
        <f t="shared" ref="Q1798:X1798" si="3818">Q1768</f>
        <v>1350</v>
      </c>
      <c r="R1798" s="20">
        <f t="shared" si="3818"/>
        <v>5400</v>
      </c>
      <c r="S1798" s="20">
        <f t="shared" si="3818"/>
        <v>9450</v>
      </c>
      <c r="T1798" s="20">
        <f t="shared" si="3818"/>
        <v>12150</v>
      </c>
      <c r="U1798" s="20">
        <f t="shared" si="3818"/>
        <v>80</v>
      </c>
      <c r="V1798" s="20">
        <f t="shared" si="3818"/>
        <v>700</v>
      </c>
      <c r="W1798" s="20">
        <f t="shared" si="3818"/>
        <v>800</v>
      </c>
      <c r="X1798" s="20">
        <f t="shared" si="3818"/>
        <v>7</v>
      </c>
      <c r="Y1798" s="20">
        <v>0</v>
      </c>
      <c r="Z1798" s="20">
        <v>0</v>
      </c>
      <c r="AA1798" s="20">
        <v>0</v>
      </c>
      <c r="AB1798" s="20">
        <v>0</v>
      </c>
      <c r="AC1798" s="20">
        <v>0</v>
      </c>
      <c r="AD1798" s="23">
        <f t="shared" ref="AD1798:AE1798" si="3819">AD1768</f>
        <v>52</v>
      </c>
      <c r="AE1798" s="23">
        <f t="shared" si="3819"/>
        <v>56</v>
      </c>
    </row>
    <row r="1799" spans="1:31">
      <c r="A1799" s="4">
        <v>15104</v>
      </c>
      <c r="B1799" s="4">
        <v>28</v>
      </c>
      <c r="C1799" s="19" t="s">
        <v>73</v>
      </c>
      <c r="D1799" s="44">
        <v>0</v>
      </c>
      <c r="E1799" s="18">
        <v>0</v>
      </c>
      <c r="F1799" s="18">
        <f t="shared" ref="F1799:H1799" si="3820">ROUND(F1679*4.5,0)</f>
        <v>1454</v>
      </c>
      <c r="G1799" s="18">
        <f t="shared" si="3820"/>
        <v>0</v>
      </c>
      <c r="H1799" s="18">
        <f t="shared" si="3820"/>
        <v>8294</v>
      </c>
      <c r="I1799" s="21">
        <f t="shared" si="3705"/>
        <v>385</v>
      </c>
      <c r="J1799" s="21">
        <f t="shared" si="3638"/>
        <v>27</v>
      </c>
      <c r="K1799" s="21">
        <v>0</v>
      </c>
      <c r="L1799" s="20">
        <v>6</v>
      </c>
      <c r="M1799" s="20">
        <v>0</v>
      </c>
      <c r="N1799" s="20">
        <f t="shared" si="3706"/>
        <v>14000</v>
      </c>
      <c r="O1799" s="19" t="s">
        <v>73</v>
      </c>
      <c r="P1799" s="20">
        <v>1487</v>
      </c>
      <c r="Q1799" s="20">
        <f t="shared" ref="Q1799:X1799" si="3821">Q1769</f>
        <v>1400</v>
      </c>
      <c r="R1799" s="20">
        <f t="shared" si="3821"/>
        <v>5600</v>
      </c>
      <c r="S1799" s="20">
        <f t="shared" si="3821"/>
        <v>9800</v>
      </c>
      <c r="T1799" s="20">
        <f t="shared" si="3821"/>
        <v>12600</v>
      </c>
      <c r="U1799" s="20">
        <f t="shared" si="3821"/>
        <v>80</v>
      </c>
      <c r="V1799" s="20">
        <f t="shared" si="3821"/>
        <v>500</v>
      </c>
      <c r="W1799" s="20">
        <f t="shared" si="3821"/>
        <v>600</v>
      </c>
      <c r="X1799" s="20">
        <f t="shared" si="3821"/>
        <v>7</v>
      </c>
      <c r="Y1799" s="20">
        <f>ROUND(D1799*0.25,-1)</f>
        <v>0</v>
      </c>
      <c r="Z1799" s="20">
        <f>ROUND(E1799*0.25,-1)</f>
        <v>0</v>
      </c>
      <c r="AA1799" s="20">
        <v>0</v>
      </c>
      <c r="AB1799" s="20">
        <f>ROUND(G1799*0.25,-1)</f>
        <v>0</v>
      </c>
      <c r="AC1799" s="20">
        <v>1620</v>
      </c>
      <c r="AD1799" s="23">
        <f t="shared" ref="AD1799:AE1799" si="3822">AD1769</f>
        <v>54</v>
      </c>
      <c r="AE1799" s="23">
        <f t="shared" si="3822"/>
        <v>58</v>
      </c>
    </row>
    <row r="1800" spans="1:31">
      <c r="A1800" s="4">
        <v>15104</v>
      </c>
      <c r="B1800" s="4">
        <v>29</v>
      </c>
      <c r="C1800" s="19" t="s">
        <v>74</v>
      </c>
      <c r="D1800" s="44">
        <v>0</v>
      </c>
      <c r="E1800" s="18">
        <v>0</v>
      </c>
      <c r="F1800" s="18">
        <f t="shared" ref="F1800:H1800" si="3823">ROUND(F1680*4.5,0)</f>
        <v>1571</v>
      </c>
      <c r="G1800" s="18">
        <f t="shared" si="3823"/>
        <v>0</v>
      </c>
      <c r="H1800" s="18">
        <f t="shared" si="3823"/>
        <v>8978</v>
      </c>
      <c r="I1800" s="21">
        <f t="shared" si="3705"/>
        <v>440</v>
      </c>
      <c r="J1800" s="21">
        <f t="shared" si="3638"/>
        <v>28</v>
      </c>
      <c r="K1800" s="21">
        <v>0</v>
      </c>
      <c r="L1800" s="20">
        <v>6</v>
      </c>
      <c r="M1800" s="20">
        <v>0</v>
      </c>
      <c r="N1800" s="20">
        <f t="shared" si="3706"/>
        <v>14500</v>
      </c>
      <c r="O1800" s="19" t="s">
        <v>74</v>
      </c>
      <c r="P1800" s="20">
        <v>1518</v>
      </c>
      <c r="Q1800" s="20">
        <f t="shared" ref="Q1800:X1800" si="3824">Q1770</f>
        <v>1450</v>
      </c>
      <c r="R1800" s="20">
        <f t="shared" si="3824"/>
        <v>5800</v>
      </c>
      <c r="S1800" s="20">
        <f t="shared" si="3824"/>
        <v>10150</v>
      </c>
      <c r="T1800" s="20">
        <f t="shared" si="3824"/>
        <v>13050</v>
      </c>
      <c r="U1800" s="20">
        <f t="shared" si="3824"/>
        <v>80</v>
      </c>
      <c r="V1800" s="20">
        <f t="shared" si="3824"/>
        <v>600</v>
      </c>
      <c r="W1800" s="20">
        <f t="shared" si="3824"/>
        <v>700</v>
      </c>
      <c r="X1800" s="20">
        <f t="shared" si="3824"/>
        <v>8</v>
      </c>
      <c r="Y1800" s="20">
        <v>0</v>
      </c>
      <c r="Z1800" s="20">
        <v>0</v>
      </c>
      <c r="AA1800" s="20">
        <v>0</v>
      </c>
      <c r="AB1800" s="20">
        <v>0</v>
      </c>
      <c r="AC1800" s="20">
        <v>0</v>
      </c>
      <c r="AD1800" s="23">
        <f t="shared" ref="AD1800:AE1800" si="3825">AD1770</f>
        <v>56</v>
      </c>
      <c r="AE1800" s="23">
        <f t="shared" si="3825"/>
        <v>60</v>
      </c>
    </row>
    <row r="1801" spans="1:31">
      <c r="A1801" s="4">
        <v>15104</v>
      </c>
      <c r="B1801" s="4">
        <v>30</v>
      </c>
      <c r="C1801" s="19" t="s">
        <v>75</v>
      </c>
      <c r="D1801" s="44">
        <v>0</v>
      </c>
      <c r="E1801" s="18">
        <v>0</v>
      </c>
      <c r="F1801" s="18">
        <f t="shared" ref="F1801:H1801" si="3826">ROUND(F1681*4.5,0)</f>
        <v>1701</v>
      </c>
      <c r="G1801" s="18">
        <f t="shared" si="3826"/>
        <v>0</v>
      </c>
      <c r="H1801" s="18">
        <f t="shared" si="3826"/>
        <v>9720</v>
      </c>
      <c r="I1801" s="21">
        <f t="shared" si="3705"/>
        <v>440</v>
      </c>
      <c r="J1801" s="21">
        <f t="shared" si="3638"/>
        <v>29</v>
      </c>
      <c r="K1801" s="21">
        <v>0</v>
      </c>
      <c r="L1801" s="20">
        <v>6</v>
      </c>
      <c r="M1801" s="20">
        <v>0</v>
      </c>
      <c r="N1801" s="20">
        <f t="shared" si="3706"/>
        <v>15000</v>
      </c>
      <c r="O1801" s="19" t="s">
        <v>75</v>
      </c>
      <c r="P1801" s="20">
        <v>861</v>
      </c>
      <c r="Q1801" s="20">
        <f t="shared" ref="Q1801:X1801" si="3827">Q1771</f>
        <v>1500</v>
      </c>
      <c r="R1801" s="20">
        <f t="shared" si="3827"/>
        <v>6000</v>
      </c>
      <c r="S1801" s="20">
        <f t="shared" si="3827"/>
        <v>10500</v>
      </c>
      <c r="T1801" s="20">
        <f t="shared" si="3827"/>
        <v>13500</v>
      </c>
      <c r="U1801" s="20">
        <f t="shared" si="3827"/>
        <v>20</v>
      </c>
      <c r="V1801" s="20">
        <f t="shared" si="3827"/>
        <v>450</v>
      </c>
      <c r="W1801" s="20">
        <f t="shared" si="3827"/>
        <v>1000</v>
      </c>
      <c r="X1801" s="20">
        <f t="shared" si="3827"/>
        <v>8</v>
      </c>
      <c r="Y1801" s="20">
        <v>0</v>
      </c>
      <c r="Z1801" s="20">
        <v>0</v>
      </c>
      <c r="AA1801" s="20">
        <v>0</v>
      </c>
      <c r="AB1801" s="20">
        <v>0</v>
      </c>
      <c r="AC1801" s="20">
        <v>0</v>
      </c>
      <c r="AD1801" s="23">
        <f t="shared" ref="AD1801:AE1801" si="3828">AD1771</f>
        <v>58</v>
      </c>
      <c r="AE1801" s="23">
        <f t="shared" si="3828"/>
        <v>62</v>
      </c>
    </row>
    <row r="1802" spans="1:31">
      <c r="A1802" s="8">
        <v>16100</v>
      </c>
      <c r="B1802" s="8">
        <v>1</v>
      </c>
      <c r="C1802" s="19" t="s">
        <v>66</v>
      </c>
      <c r="D1802" s="44">
        <v>0</v>
      </c>
      <c r="E1802" s="18">
        <v>0</v>
      </c>
      <c r="F1802" s="18">
        <v>0</v>
      </c>
      <c r="G1802" s="18">
        <f>ROUND(G1831/10,0)</f>
        <v>38</v>
      </c>
      <c r="H1802" s="18">
        <f>ROUND(H1831/10,0)</f>
        <v>324</v>
      </c>
      <c r="I1802" s="21">
        <f t="shared" si="3705"/>
        <v>55</v>
      </c>
      <c r="J1802" s="21">
        <f t="shared" ref="J1802:J1810" si="3829">B1802-1</f>
        <v>0</v>
      </c>
      <c r="K1802" s="21">
        <v>0</v>
      </c>
      <c r="L1802" s="20">
        <v>45</v>
      </c>
      <c r="M1802" s="20">
        <v>0</v>
      </c>
      <c r="N1802" s="20">
        <f t="shared" si="3706"/>
        <v>10</v>
      </c>
      <c r="O1802" s="19" t="s">
        <v>66</v>
      </c>
      <c r="P1802" s="20">
        <v>9400</v>
      </c>
      <c r="Q1802" s="20">
        <f t="shared" ref="Q1802:X1802" si="3830">Q1772</f>
        <v>1</v>
      </c>
      <c r="R1802" s="20">
        <f t="shared" si="3830"/>
        <v>4</v>
      </c>
      <c r="S1802" s="20">
        <f t="shared" si="3830"/>
        <v>7</v>
      </c>
      <c r="T1802" s="20">
        <f t="shared" si="3830"/>
        <v>9</v>
      </c>
      <c r="U1802" s="20">
        <f t="shared" si="3830"/>
        <v>9400</v>
      </c>
      <c r="V1802" s="20">
        <f t="shared" si="3830"/>
        <v>9400</v>
      </c>
      <c r="W1802" s="20">
        <f t="shared" si="3830"/>
        <v>9400</v>
      </c>
      <c r="X1802" s="20">
        <f t="shared" si="3830"/>
        <v>1</v>
      </c>
      <c r="Y1802" s="20">
        <v>0</v>
      </c>
      <c r="Z1802" s="20">
        <v>0</v>
      </c>
      <c r="AA1802" s="20">
        <v>0</v>
      </c>
      <c r="AB1802" s="20">
        <f>INT(AB1922*0.6)</f>
        <v>0</v>
      </c>
      <c r="AC1802" s="20">
        <v>0</v>
      </c>
      <c r="AD1802" s="23">
        <f t="shared" ref="AD1802:AE1802" si="3831">AD1772</f>
        <v>1</v>
      </c>
      <c r="AE1802" s="23">
        <f t="shared" si="3831"/>
        <v>3</v>
      </c>
    </row>
    <row r="1803" spans="1:31">
      <c r="A1803" s="4">
        <v>16100</v>
      </c>
      <c r="B1803" s="4">
        <v>2</v>
      </c>
      <c r="C1803" s="19" t="s">
        <v>67</v>
      </c>
      <c r="D1803" s="44">
        <v>0</v>
      </c>
      <c r="E1803" s="18">
        <v>0</v>
      </c>
      <c r="F1803" s="18">
        <v>0</v>
      </c>
      <c r="G1803" s="18">
        <f>ROUND(POWER(POWER(G$1831/G$1802,$B1803-1),1/29)*G$1802,0)</f>
        <v>41</v>
      </c>
      <c r="H1803" s="18">
        <f>ROUND(POWER(POWER(H$1831/H$1802,$B1803-1),1/29)*H$1802,0)</f>
        <v>351</v>
      </c>
      <c r="I1803" s="21">
        <f t="shared" si="3705"/>
        <v>55</v>
      </c>
      <c r="J1803" s="21">
        <f t="shared" si="3829"/>
        <v>1</v>
      </c>
      <c r="K1803" s="21">
        <v>0</v>
      </c>
      <c r="L1803" s="20">
        <v>40</v>
      </c>
      <c r="M1803" s="20">
        <v>0</v>
      </c>
      <c r="N1803" s="20">
        <f t="shared" si="3706"/>
        <v>20</v>
      </c>
      <c r="O1803" s="19" t="s">
        <v>67</v>
      </c>
      <c r="P1803" s="20">
        <v>9100</v>
      </c>
      <c r="Q1803" s="20">
        <f t="shared" ref="Q1803:X1803" si="3832">Q1773</f>
        <v>2</v>
      </c>
      <c r="R1803" s="20">
        <f t="shared" si="3832"/>
        <v>8</v>
      </c>
      <c r="S1803" s="20">
        <f t="shared" si="3832"/>
        <v>14</v>
      </c>
      <c r="T1803" s="20">
        <f t="shared" si="3832"/>
        <v>18</v>
      </c>
      <c r="U1803" s="20">
        <f t="shared" si="3832"/>
        <v>4000</v>
      </c>
      <c r="V1803" s="20">
        <f t="shared" si="3832"/>
        <v>8000</v>
      </c>
      <c r="W1803" s="20">
        <f t="shared" si="3832"/>
        <v>8000</v>
      </c>
      <c r="X1803" s="20">
        <f t="shared" si="3832"/>
        <v>1</v>
      </c>
      <c r="Y1803" s="20">
        <v>0</v>
      </c>
      <c r="Z1803" s="20">
        <v>0</v>
      </c>
      <c r="AA1803" s="20">
        <v>0</v>
      </c>
      <c r="AB1803" s="20">
        <f t="shared" ref="AB1803:AB1829" si="3833">INT(AB1923*0.6)</f>
        <v>0</v>
      </c>
      <c r="AC1803" s="20">
        <v>0</v>
      </c>
      <c r="AD1803" s="23">
        <f t="shared" ref="AD1803:AE1803" si="3834">AD1773</f>
        <v>2</v>
      </c>
      <c r="AE1803" s="23">
        <f t="shared" si="3834"/>
        <v>5</v>
      </c>
    </row>
    <row r="1804" spans="1:31">
      <c r="A1804" s="4">
        <v>16100</v>
      </c>
      <c r="B1804" s="4">
        <v>3</v>
      </c>
      <c r="C1804" s="19" t="s">
        <v>68</v>
      </c>
      <c r="D1804" s="44">
        <v>0</v>
      </c>
      <c r="E1804" s="18">
        <v>0</v>
      </c>
      <c r="F1804" s="18">
        <v>0</v>
      </c>
      <c r="G1804" s="18">
        <f t="shared" ref="G1804:H1830" si="3835">ROUND(POWER(POWER(G$1831/G$1802,$B1804-1),1/29)*G$1802,0)</f>
        <v>45</v>
      </c>
      <c r="H1804" s="18">
        <f t="shared" si="3835"/>
        <v>380</v>
      </c>
      <c r="I1804" s="21">
        <f t="shared" si="3705"/>
        <v>55</v>
      </c>
      <c r="J1804" s="21">
        <f t="shared" si="3829"/>
        <v>2</v>
      </c>
      <c r="K1804" s="21">
        <v>0</v>
      </c>
      <c r="L1804" s="20">
        <v>35</v>
      </c>
      <c r="M1804" s="20">
        <v>0</v>
      </c>
      <c r="N1804" s="20">
        <f t="shared" si="3706"/>
        <v>40</v>
      </c>
      <c r="O1804" s="19" t="s">
        <v>68</v>
      </c>
      <c r="P1804" s="20">
        <v>8600</v>
      </c>
      <c r="Q1804" s="20">
        <f t="shared" ref="Q1804:X1804" si="3836">Q1774</f>
        <v>4</v>
      </c>
      <c r="R1804" s="20">
        <f t="shared" si="3836"/>
        <v>16</v>
      </c>
      <c r="S1804" s="20">
        <f t="shared" si="3836"/>
        <v>28</v>
      </c>
      <c r="T1804" s="20">
        <f t="shared" si="3836"/>
        <v>36</v>
      </c>
      <c r="U1804" s="20">
        <f t="shared" si="3836"/>
        <v>1600</v>
      </c>
      <c r="V1804" s="20">
        <f t="shared" si="3836"/>
        <v>5000</v>
      </c>
      <c r="W1804" s="20">
        <f t="shared" si="3836"/>
        <v>6000</v>
      </c>
      <c r="X1804" s="20">
        <f t="shared" si="3836"/>
        <v>1</v>
      </c>
      <c r="Y1804" s="20">
        <v>0</v>
      </c>
      <c r="Z1804" s="20">
        <v>0</v>
      </c>
      <c r="AA1804" s="20">
        <v>0</v>
      </c>
      <c r="AB1804" s="20">
        <f t="shared" si="3833"/>
        <v>0</v>
      </c>
      <c r="AC1804" s="20">
        <v>0</v>
      </c>
      <c r="AD1804" s="23">
        <f t="shared" ref="AD1804:AE1804" si="3837">AD1774</f>
        <v>4</v>
      </c>
      <c r="AE1804" s="23">
        <f t="shared" si="3837"/>
        <v>8</v>
      </c>
    </row>
    <row r="1805" spans="1:31">
      <c r="A1805" s="4">
        <v>16100</v>
      </c>
      <c r="B1805" s="4">
        <v>4</v>
      </c>
      <c r="C1805" s="19" t="s">
        <v>69</v>
      </c>
      <c r="D1805" s="44">
        <v>0</v>
      </c>
      <c r="E1805" s="18">
        <v>0</v>
      </c>
      <c r="F1805" s="18">
        <v>0</v>
      </c>
      <c r="G1805" s="18">
        <f t="shared" si="3835"/>
        <v>48</v>
      </c>
      <c r="H1805" s="18">
        <f t="shared" si="3835"/>
        <v>411</v>
      </c>
      <c r="I1805" s="21">
        <f t="shared" si="3705"/>
        <v>55</v>
      </c>
      <c r="J1805" s="21">
        <f t="shared" si="3829"/>
        <v>3</v>
      </c>
      <c r="K1805" s="21">
        <v>0</v>
      </c>
      <c r="L1805" s="20">
        <v>30</v>
      </c>
      <c r="M1805" s="20">
        <v>0</v>
      </c>
      <c r="N1805" s="20">
        <f t="shared" si="3706"/>
        <v>100</v>
      </c>
      <c r="O1805" s="19" t="s">
        <v>69</v>
      </c>
      <c r="P1805" s="20">
        <v>6400</v>
      </c>
      <c r="Q1805" s="20">
        <f t="shared" ref="Q1805:X1805" si="3838">Q1775</f>
        <v>10</v>
      </c>
      <c r="R1805" s="20">
        <f t="shared" si="3838"/>
        <v>40</v>
      </c>
      <c r="S1805" s="20">
        <f t="shared" si="3838"/>
        <v>70</v>
      </c>
      <c r="T1805" s="20">
        <f t="shared" si="3838"/>
        <v>90</v>
      </c>
      <c r="U1805" s="20">
        <f t="shared" si="3838"/>
        <v>900</v>
      </c>
      <c r="V1805" s="20">
        <f t="shared" si="3838"/>
        <v>2000</v>
      </c>
      <c r="W1805" s="20">
        <f t="shared" si="3838"/>
        <v>8000</v>
      </c>
      <c r="X1805" s="20">
        <f t="shared" si="3838"/>
        <v>1</v>
      </c>
      <c r="Y1805" s="20">
        <v>0</v>
      </c>
      <c r="Z1805" s="20">
        <v>0</v>
      </c>
      <c r="AA1805" s="20">
        <v>0</v>
      </c>
      <c r="AB1805" s="20">
        <f t="shared" si="3833"/>
        <v>0</v>
      </c>
      <c r="AC1805" s="20">
        <v>0</v>
      </c>
      <c r="AD1805" s="23">
        <f t="shared" ref="AD1805:AE1805" si="3839">AD1775</f>
        <v>6</v>
      </c>
      <c r="AE1805" s="23">
        <f t="shared" si="3839"/>
        <v>10</v>
      </c>
    </row>
    <row r="1806" spans="1:31">
      <c r="A1806" s="4">
        <v>16100</v>
      </c>
      <c r="B1806" s="4">
        <v>5</v>
      </c>
      <c r="C1806" s="19" t="s">
        <v>70</v>
      </c>
      <c r="D1806" s="44">
        <v>0</v>
      </c>
      <c r="E1806" s="18">
        <v>0</v>
      </c>
      <c r="F1806" s="18">
        <v>0</v>
      </c>
      <c r="G1806" s="18">
        <f t="shared" si="3835"/>
        <v>52</v>
      </c>
      <c r="H1806" s="18">
        <f t="shared" si="3835"/>
        <v>445</v>
      </c>
      <c r="I1806" s="21">
        <f t="shared" si="3705"/>
        <v>110</v>
      </c>
      <c r="J1806" s="21">
        <f t="shared" si="3829"/>
        <v>4</v>
      </c>
      <c r="K1806" s="21">
        <v>0</v>
      </c>
      <c r="L1806" s="20">
        <v>25</v>
      </c>
      <c r="M1806" s="20">
        <v>0</v>
      </c>
      <c r="N1806" s="20">
        <f t="shared" si="3706"/>
        <v>200</v>
      </c>
      <c r="O1806" s="19" t="s">
        <v>70</v>
      </c>
      <c r="P1806" s="20">
        <v>3100</v>
      </c>
      <c r="Q1806" s="20">
        <f t="shared" ref="Q1806:X1806" si="3840">Q1776</f>
        <v>20</v>
      </c>
      <c r="R1806" s="20">
        <f t="shared" si="3840"/>
        <v>80</v>
      </c>
      <c r="S1806" s="20">
        <f t="shared" si="3840"/>
        <v>140</v>
      </c>
      <c r="T1806" s="20">
        <f t="shared" si="3840"/>
        <v>180</v>
      </c>
      <c r="U1806" s="20">
        <f t="shared" si="3840"/>
        <v>1000</v>
      </c>
      <c r="V1806" s="20">
        <f t="shared" si="3840"/>
        <v>2000</v>
      </c>
      <c r="W1806" s="20">
        <f t="shared" si="3840"/>
        <v>2000</v>
      </c>
      <c r="X1806" s="20">
        <f t="shared" si="3840"/>
        <v>2</v>
      </c>
      <c r="Y1806" s="20">
        <v>0</v>
      </c>
      <c r="Z1806" s="20">
        <v>0</v>
      </c>
      <c r="AA1806" s="20">
        <v>0</v>
      </c>
      <c r="AB1806" s="20">
        <f t="shared" si="3833"/>
        <v>0</v>
      </c>
      <c r="AC1806" s="20">
        <v>0</v>
      </c>
      <c r="AD1806" s="23">
        <f t="shared" ref="AD1806:AE1806" si="3841">AD1776</f>
        <v>8</v>
      </c>
      <c r="AE1806" s="23">
        <f t="shared" si="3841"/>
        <v>12</v>
      </c>
    </row>
    <row r="1807" spans="1:31">
      <c r="A1807" s="4">
        <v>16100</v>
      </c>
      <c r="B1807" s="4">
        <v>6</v>
      </c>
      <c r="C1807" s="19" t="s">
        <v>71</v>
      </c>
      <c r="D1807" s="44">
        <v>0</v>
      </c>
      <c r="E1807" s="18">
        <v>0</v>
      </c>
      <c r="F1807" s="18">
        <v>0</v>
      </c>
      <c r="G1807" s="18">
        <f t="shared" si="3835"/>
        <v>56</v>
      </c>
      <c r="H1807" s="18">
        <f t="shared" si="3835"/>
        <v>482</v>
      </c>
      <c r="I1807" s="21">
        <f t="shared" si="3705"/>
        <v>110</v>
      </c>
      <c r="J1807" s="21">
        <f t="shared" si="3829"/>
        <v>5</v>
      </c>
      <c r="K1807" s="21">
        <v>0</v>
      </c>
      <c r="L1807" s="20">
        <v>20</v>
      </c>
      <c r="M1807" s="20">
        <v>0</v>
      </c>
      <c r="N1807" s="20">
        <f t="shared" si="3706"/>
        <v>500</v>
      </c>
      <c r="O1807" s="19" t="s">
        <v>71</v>
      </c>
      <c r="P1807" s="20">
        <v>1777</v>
      </c>
      <c r="Q1807" s="20">
        <f t="shared" ref="Q1807:X1807" si="3842">Q1777</f>
        <v>50</v>
      </c>
      <c r="R1807" s="20">
        <f t="shared" si="3842"/>
        <v>200</v>
      </c>
      <c r="S1807" s="20">
        <f t="shared" si="3842"/>
        <v>350</v>
      </c>
      <c r="T1807" s="20">
        <f t="shared" si="3842"/>
        <v>450</v>
      </c>
      <c r="U1807" s="20">
        <f t="shared" si="3842"/>
        <v>800</v>
      </c>
      <c r="V1807" s="20">
        <f t="shared" si="3842"/>
        <v>800</v>
      </c>
      <c r="W1807" s="20">
        <f t="shared" si="3842"/>
        <v>600</v>
      </c>
      <c r="X1807" s="20">
        <f t="shared" si="3842"/>
        <v>2</v>
      </c>
      <c r="Y1807" s="20">
        <v>0</v>
      </c>
      <c r="Z1807" s="20">
        <v>0</v>
      </c>
      <c r="AA1807" s="20">
        <v>0</v>
      </c>
      <c r="AB1807" s="20">
        <f t="shared" si="3833"/>
        <v>0</v>
      </c>
      <c r="AC1807" s="20">
        <v>0</v>
      </c>
      <c r="AD1807" s="23">
        <f t="shared" ref="AD1807:AE1807" si="3843">AD1777</f>
        <v>10</v>
      </c>
      <c r="AE1807" s="23">
        <f t="shared" si="3843"/>
        <v>14</v>
      </c>
    </row>
    <row r="1808" spans="1:31">
      <c r="A1808" s="4">
        <v>16100</v>
      </c>
      <c r="B1808" s="4">
        <v>7</v>
      </c>
      <c r="C1808" s="19" t="s">
        <v>72</v>
      </c>
      <c r="D1808" s="44">
        <v>0</v>
      </c>
      <c r="E1808" s="18">
        <v>0</v>
      </c>
      <c r="F1808" s="18">
        <v>0</v>
      </c>
      <c r="G1808" s="18">
        <f t="shared" si="3835"/>
        <v>61</v>
      </c>
      <c r="H1808" s="18">
        <f t="shared" si="3835"/>
        <v>522</v>
      </c>
      <c r="I1808" s="21">
        <f t="shared" si="3705"/>
        <v>110</v>
      </c>
      <c r="J1808" s="21">
        <f t="shared" si="3829"/>
        <v>6</v>
      </c>
      <c r="K1808" s="21">
        <v>0</v>
      </c>
      <c r="L1808" s="20">
        <v>16</v>
      </c>
      <c r="M1808" s="20">
        <v>0</v>
      </c>
      <c r="N1808" s="20">
        <f t="shared" si="3706"/>
        <v>700</v>
      </c>
      <c r="O1808" s="19" t="s">
        <v>72</v>
      </c>
      <c r="P1808" s="20">
        <v>2332</v>
      </c>
      <c r="Q1808" s="20">
        <f t="shared" ref="Q1808:X1808" si="3844">Q1778</f>
        <v>70</v>
      </c>
      <c r="R1808" s="20">
        <f t="shared" si="3844"/>
        <v>280</v>
      </c>
      <c r="S1808" s="20">
        <f t="shared" si="3844"/>
        <v>489.99999999999994</v>
      </c>
      <c r="T1808" s="20">
        <f t="shared" si="3844"/>
        <v>630</v>
      </c>
      <c r="U1808" s="20">
        <f t="shared" si="3844"/>
        <v>650</v>
      </c>
      <c r="V1808" s="20">
        <f t="shared" si="3844"/>
        <v>800</v>
      </c>
      <c r="W1808" s="20">
        <f t="shared" si="3844"/>
        <v>300</v>
      </c>
      <c r="X1808" s="20">
        <f t="shared" si="3844"/>
        <v>2</v>
      </c>
      <c r="Y1808" s="20">
        <v>0</v>
      </c>
      <c r="Z1808" s="20">
        <v>0</v>
      </c>
      <c r="AA1808" s="20">
        <v>0</v>
      </c>
      <c r="AB1808" s="20">
        <f t="shared" si="3833"/>
        <v>0</v>
      </c>
      <c r="AC1808" s="20">
        <v>0</v>
      </c>
      <c r="AD1808" s="23">
        <f t="shared" ref="AD1808:AE1808" si="3845">AD1778</f>
        <v>12</v>
      </c>
      <c r="AE1808" s="23">
        <f t="shared" si="3845"/>
        <v>16</v>
      </c>
    </row>
    <row r="1809" spans="1:31">
      <c r="A1809" s="4">
        <v>16100</v>
      </c>
      <c r="B1809" s="4">
        <v>8</v>
      </c>
      <c r="C1809" s="19" t="s">
        <v>73</v>
      </c>
      <c r="D1809" s="44">
        <v>0</v>
      </c>
      <c r="E1809" s="18">
        <v>0</v>
      </c>
      <c r="F1809" s="18">
        <v>0</v>
      </c>
      <c r="G1809" s="18">
        <f t="shared" si="3835"/>
        <v>66</v>
      </c>
      <c r="H1809" s="18">
        <f t="shared" si="3835"/>
        <v>565</v>
      </c>
      <c r="I1809" s="21">
        <f t="shared" si="3705"/>
        <v>110</v>
      </c>
      <c r="J1809" s="21">
        <f t="shared" si="3829"/>
        <v>7</v>
      </c>
      <c r="K1809" s="21">
        <v>0</v>
      </c>
      <c r="L1809" s="20">
        <v>12</v>
      </c>
      <c r="M1809" s="20">
        <v>0</v>
      </c>
      <c r="N1809" s="20">
        <f t="shared" si="3706"/>
        <v>800</v>
      </c>
      <c r="O1809" s="19" t="s">
        <v>73</v>
      </c>
      <c r="P1809" s="20">
        <v>1487</v>
      </c>
      <c r="Q1809" s="20">
        <f t="shared" ref="Q1809:X1809" si="3846">Q1779</f>
        <v>80</v>
      </c>
      <c r="R1809" s="20">
        <f t="shared" si="3846"/>
        <v>320</v>
      </c>
      <c r="S1809" s="20">
        <f t="shared" si="3846"/>
        <v>560</v>
      </c>
      <c r="T1809" s="20">
        <f t="shared" si="3846"/>
        <v>720</v>
      </c>
      <c r="U1809" s="20">
        <f t="shared" si="3846"/>
        <v>200</v>
      </c>
      <c r="V1809" s="20">
        <f t="shared" si="3846"/>
        <v>2000</v>
      </c>
      <c r="W1809" s="20">
        <f t="shared" si="3846"/>
        <v>1000</v>
      </c>
      <c r="X1809" s="20">
        <f t="shared" si="3846"/>
        <v>2</v>
      </c>
      <c r="Y1809" s="20">
        <f>ROUND(D1809*0.25,-1)</f>
        <v>0</v>
      </c>
      <c r="Z1809" s="20">
        <f>ROUND(E1809*0.25,-1)</f>
        <v>0</v>
      </c>
      <c r="AA1809" s="20">
        <f>ROUND(F1809*0.25,-1)</f>
        <v>0</v>
      </c>
      <c r="AB1809" s="20">
        <f t="shared" si="3833"/>
        <v>37</v>
      </c>
      <c r="AC1809" s="20">
        <v>0</v>
      </c>
      <c r="AD1809" s="23">
        <f t="shared" ref="AD1809:AE1809" si="3847">AD1779</f>
        <v>14</v>
      </c>
      <c r="AE1809" s="23">
        <f t="shared" si="3847"/>
        <v>18</v>
      </c>
    </row>
    <row r="1810" spans="1:31">
      <c r="A1810" s="4">
        <v>16100</v>
      </c>
      <c r="B1810" s="4">
        <v>9</v>
      </c>
      <c r="C1810" s="19" t="s">
        <v>74</v>
      </c>
      <c r="D1810" s="44">
        <v>0</v>
      </c>
      <c r="E1810" s="18">
        <v>0</v>
      </c>
      <c r="F1810" s="18">
        <v>0</v>
      </c>
      <c r="G1810" s="18">
        <f t="shared" si="3835"/>
        <v>72</v>
      </c>
      <c r="H1810" s="18">
        <f t="shared" si="3835"/>
        <v>612</v>
      </c>
      <c r="I1810" s="21">
        <f t="shared" si="3705"/>
        <v>165</v>
      </c>
      <c r="J1810" s="21">
        <f t="shared" si="3829"/>
        <v>8</v>
      </c>
      <c r="K1810" s="21">
        <v>0</v>
      </c>
      <c r="L1810" s="20">
        <v>8</v>
      </c>
      <c r="M1810" s="20">
        <v>0</v>
      </c>
      <c r="N1810" s="20">
        <f t="shared" si="3706"/>
        <v>900</v>
      </c>
      <c r="O1810" s="19" t="s">
        <v>74</v>
      </c>
      <c r="P1810" s="20">
        <v>1518</v>
      </c>
      <c r="Q1810" s="20">
        <f t="shared" ref="Q1810:X1810" si="3848">Q1780</f>
        <v>90</v>
      </c>
      <c r="R1810" s="20">
        <f t="shared" si="3848"/>
        <v>360</v>
      </c>
      <c r="S1810" s="20">
        <f t="shared" si="3848"/>
        <v>630</v>
      </c>
      <c r="T1810" s="20">
        <f t="shared" si="3848"/>
        <v>810</v>
      </c>
      <c r="U1810" s="20">
        <f t="shared" si="3848"/>
        <v>120</v>
      </c>
      <c r="V1810" s="20">
        <f t="shared" si="3848"/>
        <v>1500</v>
      </c>
      <c r="W1810" s="20">
        <f t="shared" si="3848"/>
        <v>1000</v>
      </c>
      <c r="X1810" s="20">
        <f t="shared" si="3848"/>
        <v>3</v>
      </c>
      <c r="Y1810" s="20">
        <v>0</v>
      </c>
      <c r="Z1810" s="20">
        <v>0</v>
      </c>
      <c r="AA1810" s="20">
        <v>0</v>
      </c>
      <c r="AB1810" s="20">
        <v>0</v>
      </c>
      <c r="AC1810" s="20">
        <v>0</v>
      </c>
      <c r="AD1810" s="23">
        <f t="shared" ref="AD1810:AE1810" si="3849">AD1780</f>
        <v>16</v>
      </c>
      <c r="AE1810" s="23">
        <f t="shared" si="3849"/>
        <v>20</v>
      </c>
    </row>
    <row r="1811" spans="1:31">
      <c r="A1811" s="4">
        <v>16100</v>
      </c>
      <c r="B1811" s="4">
        <v>10</v>
      </c>
      <c r="C1811" s="19" t="s">
        <v>75</v>
      </c>
      <c r="D1811" s="44">
        <v>0</v>
      </c>
      <c r="E1811" s="18">
        <v>0</v>
      </c>
      <c r="F1811" s="18">
        <v>0</v>
      </c>
      <c r="G1811" s="18">
        <f t="shared" si="3835"/>
        <v>78</v>
      </c>
      <c r="H1811" s="18">
        <f t="shared" si="3835"/>
        <v>662</v>
      </c>
      <c r="I1811" s="21">
        <f t="shared" si="3705"/>
        <v>165</v>
      </c>
      <c r="J1811" s="21">
        <f t="shared" ref="J1811:J1874" si="3850">B1811-1</f>
        <v>9</v>
      </c>
      <c r="K1811" s="21">
        <v>0</v>
      </c>
      <c r="L1811" s="20">
        <v>6</v>
      </c>
      <c r="M1811" s="20">
        <v>0</v>
      </c>
      <c r="N1811" s="20">
        <f t="shared" si="3706"/>
        <v>2000</v>
      </c>
      <c r="O1811" s="19" t="s">
        <v>75</v>
      </c>
      <c r="P1811" s="20">
        <v>861</v>
      </c>
      <c r="Q1811" s="20">
        <f t="shared" ref="Q1811:X1811" si="3851">Q1781</f>
        <v>200</v>
      </c>
      <c r="R1811" s="20">
        <f t="shared" si="3851"/>
        <v>800</v>
      </c>
      <c r="S1811" s="20">
        <f t="shared" si="3851"/>
        <v>1400</v>
      </c>
      <c r="T1811" s="20">
        <f t="shared" si="3851"/>
        <v>1800</v>
      </c>
      <c r="U1811" s="20">
        <f t="shared" si="3851"/>
        <v>150</v>
      </c>
      <c r="V1811" s="20">
        <f t="shared" si="3851"/>
        <v>5000</v>
      </c>
      <c r="W1811" s="20">
        <f t="shared" si="3851"/>
        <v>800</v>
      </c>
      <c r="X1811" s="20">
        <f t="shared" si="3851"/>
        <v>3</v>
      </c>
      <c r="Y1811" s="20">
        <v>0</v>
      </c>
      <c r="Z1811" s="20">
        <v>0</v>
      </c>
      <c r="AA1811" s="20">
        <v>0</v>
      </c>
      <c r="AB1811" s="20">
        <v>0</v>
      </c>
      <c r="AC1811" s="20">
        <v>0</v>
      </c>
      <c r="AD1811" s="23">
        <f t="shared" ref="AD1811:AE1811" si="3852">AD1781</f>
        <v>18</v>
      </c>
      <c r="AE1811" s="23">
        <f t="shared" si="3852"/>
        <v>22</v>
      </c>
    </row>
    <row r="1812" spans="1:31">
      <c r="A1812" s="4">
        <v>16100</v>
      </c>
      <c r="B1812" s="4">
        <v>11</v>
      </c>
      <c r="C1812" s="19" t="s">
        <v>66</v>
      </c>
      <c r="D1812" s="44">
        <v>0</v>
      </c>
      <c r="E1812" s="18">
        <v>0</v>
      </c>
      <c r="F1812" s="18">
        <v>0</v>
      </c>
      <c r="G1812" s="18">
        <f t="shared" si="3835"/>
        <v>84</v>
      </c>
      <c r="H1812" s="18">
        <f t="shared" si="3835"/>
        <v>717</v>
      </c>
      <c r="I1812" s="21">
        <f t="shared" si="3705"/>
        <v>165</v>
      </c>
      <c r="J1812" s="21">
        <f t="shared" si="3850"/>
        <v>10</v>
      </c>
      <c r="K1812" s="21">
        <v>0</v>
      </c>
      <c r="L1812" s="20">
        <v>6</v>
      </c>
      <c r="M1812" s="20">
        <v>0</v>
      </c>
      <c r="N1812" s="20">
        <f t="shared" si="3706"/>
        <v>2200</v>
      </c>
      <c r="O1812" s="19" t="s">
        <v>66</v>
      </c>
      <c r="P1812" s="20">
        <v>9400</v>
      </c>
      <c r="Q1812" s="20">
        <f t="shared" ref="Q1812:X1812" si="3853">Q1782</f>
        <v>220</v>
      </c>
      <c r="R1812" s="20">
        <f t="shared" si="3853"/>
        <v>880</v>
      </c>
      <c r="S1812" s="20">
        <f t="shared" si="3853"/>
        <v>1540</v>
      </c>
      <c r="T1812" s="20">
        <f t="shared" si="3853"/>
        <v>1980</v>
      </c>
      <c r="U1812" s="20">
        <f t="shared" si="3853"/>
        <v>100</v>
      </c>
      <c r="V1812" s="20">
        <f t="shared" si="3853"/>
        <v>800</v>
      </c>
      <c r="W1812" s="20">
        <f t="shared" si="3853"/>
        <v>600</v>
      </c>
      <c r="X1812" s="20">
        <f t="shared" si="3853"/>
        <v>3</v>
      </c>
      <c r="Y1812" s="20">
        <v>0</v>
      </c>
      <c r="Z1812" s="20">
        <v>0</v>
      </c>
      <c r="AA1812" s="20">
        <v>0</v>
      </c>
      <c r="AB1812" s="20">
        <v>0</v>
      </c>
      <c r="AC1812" s="20">
        <v>0</v>
      </c>
      <c r="AD1812" s="23">
        <f t="shared" ref="AD1812:AE1812" si="3854">AD1782</f>
        <v>20</v>
      </c>
      <c r="AE1812" s="23">
        <f t="shared" si="3854"/>
        <v>24</v>
      </c>
    </row>
    <row r="1813" spans="1:31">
      <c r="A1813" s="4">
        <v>16100</v>
      </c>
      <c r="B1813" s="4">
        <v>12</v>
      </c>
      <c r="C1813" s="19" t="s">
        <v>67</v>
      </c>
      <c r="D1813" s="44">
        <v>0</v>
      </c>
      <c r="E1813" s="18">
        <v>0</v>
      </c>
      <c r="F1813" s="18">
        <v>0</v>
      </c>
      <c r="G1813" s="18">
        <f t="shared" si="3835"/>
        <v>91</v>
      </c>
      <c r="H1813" s="18">
        <f t="shared" si="3835"/>
        <v>776</v>
      </c>
      <c r="I1813" s="21">
        <f t="shared" si="3705"/>
        <v>165</v>
      </c>
      <c r="J1813" s="21">
        <f t="shared" si="3850"/>
        <v>11</v>
      </c>
      <c r="K1813" s="21">
        <v>0</v>
      </c>
      <c r="L1813" s="20">
        <v>6</v>
      </c>
      <c r="M1813" s="20">
        <v>0</v>
      </c>
      <c r="N1813" s="20">
        <f t="shared" si="3706"/>
        <v>2400</v>
      </c>
      <c r="O1813" s="19" t="s">
        <v>67</v>
      </c>
      <c r="P1813" s="20">
        <v>9100</v>
      </c>
      <c r="Q1813" s="20">
        <f t="shared" ref="Q1813:X1813" si="3855">Q1783</f>
        <v>240</v>
      </c>
      <c r="R1813" s="20">
        <f t="shared" si="3855"/>
        <v>960</v>
      </c>
      <c r="S1813" s="20">
        <f t="shared" si="3855"/>
        <v>1680</v>
      </c>
      <c r="T1813" s="20">
        <f t="shared" si="3855"/>
        <v>2160</v>
      </c>
      <c r="U1813" s="20">
        <f t="shared" si="3855"/>
        <v>150</v>
      </c>
      <c r="V1813" s="20">
        <f t="shared" si="3855"/>
        <v>700</v>
      </c>
      <c r="W1813" s="20">
        <f t="shared" si="3855"/>
        <v>900</v>
      </c>
      <c r="X1813" s="20">
        <f t="shared" si="3855"/>
        <v>3</v>
      </c>
      <c r="Y1813" s="20">
        <v>0</v>
      </c>
      <c r="Z1813" s="20">
        <v>0</v>
      </c>
      <c r="AA1813" s="20">
        <v>0</v>
      </c>
      <c r="AB1813" s="20">
        <v>0</v>
      </c>
      <c r="AC1813" s="20">
        <v>0</v>
      </c>
      <c r="AD1813" s="23">
        <f t="shared" ref="AD1813:AE1813" si="3856">AD1783</f>
        <v>22</v>
      </c>
      <c r="AE1813" s="23">
        <f t="shared" si="3856"/>
        <v>26</v>
      </c>
    </row>
    <row r="1814" spans="1:31">
      <c r="A1814" s="4">
        <v>16100</v>
      </c>
      <c r="B1814" s="4">
        <v>13</v>
      </c>
      <c r="C1814" s="19" t="s">
        <v>68</v>
      </c>
      <c r="D1814" s="44">
        <v>0</v>
      </c>
      <c r="E1814" s="18">
        <v>0</v>
      </c>
      <c r="F1814" s="18">
        <v>0</v>
      </c>
      <c r="G1814" s="18">
        <f t="shared" si="3835"/>
        <v>98</v>
      </c>
      <c r="H1814" s="18">
        <f t="shared" si="3835"/>
        <v>840</v>
      </c>
      <c r="I1814" s="21">
        <f t="shared" si="3705"/>
        <v>220</v>
      </c>
      <c r="J1814" s="21">
        <f t="shared" si="3850"/>
        <v>12</v>
      </c>
      <c r="K1814" s="21">
        <v>0</v>
      </c>
      <c r="L1814" s="20">
        <v>6</v>
      </c>
      <c r="M1814" s="20">
        <v>0</v>
      </c>
      <c r="N1814" s="20">
        <f t="shared" si="3706"/>
        <v>2600</v>
      </c>
      <c r="O1814" s="19" t="s">
        <v>68</v>
      </c>
      <c r="P1814" s="20">
        <v>8600</v>
      </c>
      <c r="Q1814" s="20">
        <f t="shared" ref="Q1814:X1814" si="3857">Q1784</f>
        <v>260</v>
      </c>
      <c r="R1814" s="20">
        <f t="shared" si="3857"/>
        <v>1040</v>
      </c>
      <c r="S1814" s="20">
        <f t="shared" si="3857"/>
        <v>1819.9999999999998</v>
      </c>
      <c r="T1814" s="20">
        <f t="shared" si="3857"/>
        <v>2340</v>
      </c>
      <c r="U1814" s="20">
        <f t="shared" si="3857"/>
        <v>100</v>
      </c>
      <c r="V1814" s="20">
        <f t="shared" si="3857"/>
        <v>700</v>
      </c>
      <c r="W1814" s="20">
        <f t="shared" si="3857"/>
        <v>1000</v>
      </c>
      <c r="X1814" s="20">
        <f t="shared" si="3857"/>
        <v>4</v>
      </c>
      <c r="Y1814" s="20">
        <f>ROUND(D1814*0.25,-1)</f>
        <v>0</v>
      </c>
      <c r="Z1814" s="20">
        <f>ROUND(E1814*0.25,-1)</f>
        <v>0</v>
      </c>
      <c r="AA1814" s="20">
        <f>ROUND(F1814*0.25,-1)</f>
        <v>0</v>
      </c>
      <c r="AB1814" s="20">
        <f t="shared" si="3833"/>
        <v>75</v>
      </c>
      <c r="AC1814" s="20">
        <v>0</v>
      </c>
      <c r="AD1814" s="23">
        <f t="shared" ref="AD1814:AE1814" si="3858">AD1784</f>
        <v>24</v>
      </c>
      <c r="AE1814" s="23">
        <f t="shared" si="3858"/>
        <v>28</v>
      </c>
    </row>
    <row r="1815" spans="1:31">
      <c r="A1815" s="4">
        <v>16100</v>
      </c>
      <c r="B1815" s="4">
        <v>14</v>
      </c>
      <c r="C1815" s="19" t="s">
        <v>69</v>
      </c>
      <c r="D1815" s="44">
        <v>0</v>
      </c>
      <c r="E1815" s="18">
        <v>0</v>
      </c>
      <c r="F1815" s="18">
        <v>0</v>
      </c>
      <c r="G1815" s="18">
        <f t="shared" si="3835"/>
        <v>106</v>
      </c>
      <c r="H1815" s="18">
        <f t="shared" si="3835"/>
        <v>910</v>
      </c>
      <c r="I1815" s="21">
        <f t="shared" si="3705"/>
        <v>220</v>
      </c>
      <c r="J1815" s="21">
        <f t="shared" si="3850"/>
        <v>13</v>
      </c>
      <c r="K1815" s="21">
        <v>0</v>
      </c>
      <c r="L1815" s="20">
        <v>6</v>
      </c>
      <c r="M1815" s="20">
        <v>0</v>
      </c>
      <c r="N1815" s="20">
        <f t="shared" si="3706"/>
        <v>2800</v>
      </c>
      <c r="O1815" s="19" t="s">
        <v>69</v>
      </c>
      <c r="P1815" s="20">
        <v>6400</v>
      </c>
      <c r="Q1815" s="20">
        <f t="shared" ref="Q1815:X1815" si="3859">Q1785</f>
        <v>280</v>
      </c>
      <c r="R1815" s="20">
        <f t="shared" si="3859"/>
        <v>1120</v>
      </c>
      <c r="S1815" s="20">
        <f t="shared" si="3859"/>
        <v>1959.9999999999998</v>
      </c>
      <c r="T1815" s="20">
        <f t="shared" si="3859"/>
        <v>2520</v>
      </c>
      <c r="U1815" s="20">
        <f t="shared" si="3859"/>
        <v>100</v>
      </c>
      <c r="V1815" s="20">
        <f t="shared" si="3859"/>
        <v>400</v>
      </c>
      <c r="W1815" s="20">
        <f t="shared" si="3859"/>
        <v>1200</v>
      </c>
      <c r="X1815" s="20">
        <f t="shared" si="3859"/>
        <v>4</v>
      </c>
      <c r="Y1815" s="20">
        <v>0</v>
      </c>
      <c r="Z1815" s="20">
        <v>0</v>
      </c>
      <c r="AA1815" s="20">
        <v>0</v>
      </c>
      <c r="AB1815" s="20">
        <v>0</v>
      </c>
      <c r="AC1815" s="20">
        <v>0</v>
      </c>
      <c r="AD1815" s="23">
        <f t="shared" ref="AD1815:AE1815" si="3860">AD1785</f>
        <v>26</v>
      </c>
      <c r="AE1815" s="23">
        <f t="shared" si="3860"/>
        <v>30</v>
      </c>
    </row>
    <row r="1816" spans="1:31">
      <c r="A1816" s="4">
        <v>16100</v>
      </c>
      <c r="B1816" s="4">
        <v>15</v>
      </c>
      <c r="C1816" s="19" t="s">
        <v>70</v>
      </c>
      <c r="D1816" s="44">
        <v>0</v>
      </c>
      <c r="E1816" s="18">
        <v>0</v>
      </c>
      <c r="F1816" s="18">
        <v>0</v>
      </c>
      <c r="G1816" s="18">
        <f t="shared" si="3835"/>
        <v>115</v>
      </c>
      <c r="H1816" s="18">
        <f t="shared" si="3835"/>
        <v>985</v>
      </c>
      <c r="I1816" s="21">
        <f t="shared" si="3705"/>
        <v>220</v>
      </c>
      <c r="J1816" s="21">
        <f t="shared" si="3850"/>
        <v>14</v>
      </c>
      <c r="K1816" s="21">
        <v>0</v>
      </c>
      <c r="L1816" s="20">
        <v>6</v>
      </c>
      <c r="M1816" s="20">
        <v>0</v>
      </c>
      <c r="N1816" s="20">
        <f t="shared" si="3706"/>
        <v>4500</v>
      </c>
      <c r="O1816" s="19" t="s">
        <v>70</v>
      </c>
      <c r="P1816" s="20">
        <v>3100</v>
      </c>
      <c r="Q1816" s="20">
        <f t="shared" ref="Q1816:X1816" si="3861">Q1786</f>
        <v>450</v>
      </c>
      <c r="R1816" s="20">
        <f t="shared" si="3861"/>
        <v>1800</v>
      </c>
      <c r="S1816" s="20">
        <f t="shared" si="3861"/>
        <v>3150</v>
      </c>
      <c r="T1816" s="20">
        <f t="shared" si="3861"/>
        <v>4050</v>
      </c>
      <c r="U1816" s="20">
        <f t="shared" si="3861"/>
        <v>100</v>
      </c>
      <c r="V1816" s="20">
        <f t="shared" si="3861"/>
        <v>1000</v>
      </c>
      <c r="W1816" s="20">
        <f t="shared" si="3861"/>
        <v>600</v>
      </c>
      <c r="X1816" s="20">
        <f t="shared" si="3861"/>
        <v>4</v>
      </c>
      <c r="Y1816" s="20">
        <v>0</v>
      </c>
      <c r="Z1816" s="20">
        <v>0</v>
      </c>
      <c r="AA1816" s="20">
        <v>0</v>
      </c>
      <c r="AB1816" s="20">
        <v>0</v>
      </c>
      <c r="AC1816" s="20">
        <v>0</v>
      </c>
      <c r="AD1816" s="23">
        <f t="shared" ref="AD1816:AE1816" si="3862">AD1786</f>
        <v>28</v>
      </c>
      <c r="AE1816" s="23">
        <f t="shared" si="3862"/>
        <v>32</v>
      </c>
    </row>
    <row r="1817" spans="1:31">
      <c r="A1817" s="4">
        <v>16100</v>
      </c>
      <c r="B1817" s="4">
        <v>16</v>
      </c>
      <c r="C1817" s="19" t="s">
        <v>71</v>
      </c>
      <c r="D1817" s="44">
        <v>0</v>
      </c>
      <c r="E1817" s="18">
        <v>0</v>
      </c>
      <c r="F1817" s="18">
        <v>0</v>
      </c>
      <c r="G1817" s="18">
        <f t="shared" si="3835"/>
        <v>125</v>
      </c>
      <c r="H1817" s="18">
        <f t="shared" si="3835"/>
        <v>1066</v>
      </c>
      <c r="I1817" s="21">
        <f t="shared" si="3705"/>
        <v>220</v>
      </c>
      <c r="J1817" s="21">
        <f t="shared" si="3850"/>
        <v>15</v>
      </c>
      <c r="K1817" s="21">
        <v>0</v>
      </c>
      <c r="L1817" s="20">
        <v>6</v>
      </c>
      <c r="M1817" s="20">
        <v>0</v>
      </c>
      <c r="N1817" s="20">
        <f t="shared" si="3706"/>
        <v>4800</v>
      </c>
      <c r="O1817" s="19" t="s">
        <v>71</v>
      </c>
      <c r="P1817" s="20">
        <v>1777</v>
      </c>
      <c r="Q1817" s="20">
        <f t="shared" ref="Q1817:X1817" si="3863">Q1787</f>
        <v>480</v>
      </c>
      <c r="R1817" s="20">
        <f t="shared" si="3863"/>
        <v>1920</v>
      </c>
      <c r="S1817" s="20">
        <f t="shared" si="3863"/>
        <v>3360</v>
      </c>
      <c r="T1817" s="20">
        <f t="shared" si="3863"/>
        <v>4320</v>
      </c>
      <c r="U1817" s="20">
        <f t="shared" si="3863"/>
        <v>100</v>
      </c>
      <c r="V1817" s="20">
        <f t="shared" si="3863"/>
        <v>800</v>
      </c>
      <c r="W1817" s="20">
        <f t="shared" si="3863"/>
        <v>800</v>
      </c>
      <c r="X1817" s="20">
        <f t="shared" si="3863"/>
        <v>4</v>
      </c>
      <c r="Y1817" s="20">
        <v>0</v>
      </c>
      <c r="Z1817" s="20">
        <v>0</v>
      </c>
      <c r="AA1817" s="20">
        <v>0</v>
      </c>
      <c r="AB1817" s="20">
        <v>0</v>
      </c>
      <c r="AC1817" s="20">
        <v>0</v>
      </c>
      <c r="AD1817" s="23">
        <f t="shared" ref="AD1817:AE1817" si="3864">AD1787</f>
        <v>30</v>
      </c>
      <c r="AE1817" s="23">
        <f t="shared" si="3864"/>
        <v>34</v>
      </c>
    </row>
    <row r="1818" spans="1:31">
      <c r="A1818" s="4">
        <v>16100</v>
      </c>
      <c r="B1818" s="4">
        <v>17</v>
      </c>
      <c r="C1818" s="19" t="s">
        <v>72</v>
      </c>
      <c r="D1818" s="44">
        <v>0</v>
      </c>
      <c r="E1818" s="18">
        <v>0</v>
      </c>
      <c r="F1818" s="18">
        <v>0</v>
      </c>
      <c r="G1818" s="18">
        <f t="shared" si="3835"/>
        <v>135</v>
      </c>
      <c r="H1818" s="18">
        <f t="shared" si="3835"/>
        <v>1154</v>
      </c>
      <c r="I1818" s="21">
        <f t="shared" si="3705"/>
        <v>275</v>
      </c>
      <c r="J1818" s="21">
        <f t="shared" si="3850"/>
        <v>16</v>
      </c>
      <c r="K1818" s="21">
        <v>0</v>
      </c>
      <c r="L1818" s="20">
        <v>6</v>
      </c>
      <c r="M1818" s="20">
        <v>0</v>
      </c>
      <c r="N1818" s="20">
        <f t="shared" si="3706"/>
        <v>5100</v>
      </c>
      <c r="O1818" s="19" t="s">
        <v>72</v>
      </c>
      <c r="P1818" s="20">
        <v>2332</v>
      </c>
      <c r="Q1818" s="20">
        <f t="shared" ref="Q1818:X1818" si="3865">Q1788</f>
        <v>510</v>
      </c>
      <c r="R1818" s="20">
        <f t="shared" si="3865"/>
        <v>2040</v>
      </c>
      <c r="S1818" s="20">
        <f t="shared" si="3865"/>
        <v>3570</v>
      </c>
      <c r="T1818" s="20">
        <f t="shared" si="3865"/>
        <v>4590</v>
      </c>
      <c r="U1818" s="20">
        <f t="shared" si="3865"/>
        <v>80</v>
      </c>
      <c r="V1818" s="20">
        <f t="shared" si="3865"/>
        <v>800</v>
      </c>
      <c r="W1818" s="20">
        <f t="shared" si="3865"/>
        <v>600</v>
      </c>
      <c r="X1818" s="20">
        <f t="shared" si="3865"/>
        <v>5</v>
      </c>
      <c r="Y1818" s="20">
        <v>0</v>
      </c>
      <c r="Z1818" s="20">
        <v>0</v>
      </c>
      <c r="AA1818" s="20">
        <v>0</v>
      </c>
      <c r="AB1818" s="20">
        <v>0</v>
      </c>
      <c r="AC1818" s="20">
        <v>0</v>
      </c>
      <c r="AD1818" s="23">
        <f t="shared" ref="AD1818:AE1818" si="3866">AD1788</f>
        <v>32</v>
      </c>
      <c r="AE1818" s="23">
        <f t="shared" si="3866"/>
        <v>36</v>
      </c>
    </row>
    <row r="1819" spans="1:31">
      <c r="A1819" s="4">
        <v>16100</v>
      </c>
      <c r="B1819" s="4">
        <v>18</v>
      </c>
      <c r="C1819" s="19" t="s">
        <v>73</v>
      </c>
      <c r="D1819" s="44">
        <v>0</v>
      </c>
      <c r="E1819" s="18">
        <v>0</v>
      </c>
      <c r="F1819" s="18">
        <v>0</v>
      </c>
      <c r="G1819" s="18">
        <f t="shared" si="3835"/>
        <v>146</v>
      </c>
      <c r="H1819" s="18">
        <f t="shared" si="3835"/>
        <v>1250</v>
      </c>
      <c r="I1819" s="21">
        <f t="shared" si="3705"/>
        <v>275</v>
      </c>
      <c r="J1819" s="21">
        <f t="shared" si="3850"/>
        <v>17</v>
      </c>
      <c r="K1819" s="21">
        <v>0</v>
      </c>
      <c r="L1819" s="20">
        <v>6</v>
      </c>
      <c r="M1819" s="20">
        <v>0</v>
      </c>
      <c r="N1819" s="20">
        <f t="shared" si="3706"/>
        <v>5400</v>
      </c>
      <c r="O1819" s="19" t="s">
        <v>73</v>
      </c>
      <c r="P1819" s="20">
        <v>1487</v>
      </c>
      <c r="Q1819" s="20">
        <f t="shared" ref="Q1819:X1819" si="3867">Q1789</f>
        <v>540</v>
      </c>
      <c r="R1819" s="20">
        <f t="shared" si="3867"/>
        <v>2160</v>
      </c>
      <c r="S1819" s="20">
        <f t="shared" si="3867"/>
        <v>3779.9999999999995</v>
      </c>
      <c r="T1819" s="20">
        <f t="shared" si="3867"/>
        <v>4860</v>
      </c>
      <c r="U1819" s="20">
        <f t="shared" si="3867"/>
        <v>100</v>
      </c>
      <c r="V1819" s="20">
        <f t="shared" si="3867"/>
        <v>600</v>
      </c>
      <c r="W1819" s="20">
        <f t="shared" si="3867"/>
        <v>300</v>
      </c>
      <c r="X1819" s="20">
        <f t="shared" si="3867"/>
        <v>5</v>
      </c>
      <c r="Y1819" s="20">
        <f>ROUND(D1819*0.25,-1)</f>
        <v>0</v>
      </c>
      <c r="Z1819" s="20">
        <f>ROUND(E1819*0.25,-1)</f>
        <v>0</v>
      </c>
      <c r="AA1819" s="20">
        <f>ROUND(F1819*0.25,-1)</f>
        <v>0</v>
      </c>
      <c r="AB1819" s="20">
        <f t="shared" si="3833"/>
        <v>113</v>
      </c>
      <c r="AC1819" s="20">
        <v>0</v>
      </c>
      <c r="AD1819" s="23">
        <f t="shared" ref="AD1819:AE1819" si="3868">AD1789</f>
        <v>34</v>
      </c>
      <c r="AE1819" s="23">
        <f t="shared" si="3868"/>
        <v>38</v>
      </c>
    </row>
    <row r="1820" spans="1:31">
      <c r="A1820" s="4">
        <v>16100</v>
      </c>
      <c r="B1820" s="4">
        <v>19</v>
      </c>
      <c r="C1820" s="19" t="s">
        <v>74</v>
      </c>
      <c r="D1820" s="44">
        <v>0</v>
      </c>
      <c r="E1820" s="18">
        <v>0</v>
      </c>
      <c r="F1820" s="18">
        <v>0</v>
      </c>
      <c r="G1820" s="18">
        <f t="shared" si="3835"/>
        <v>158</v>
      </c>
      <c r="H1820" s="18">
        <f t="shared" si="3835"/>
        <v>1353</v>
      </c>
      <c r="I1820" s="21">
        <f t="shared" si="3705"/>
        <v>275</v>
      </c>
      <c r="J1820" s="21">
        <f t="shared" si="3850"/>
        <v>18</v>
      </c>
      <c r="K1820" s="21">
        <v>0</v>
      </c>
      <c r="L1820" s="20">
        <v>6</v>
      </c>
      <c r="M1820" s="20">
        <v>0</v>
      </c>
      <c r="N1820" s="20">
        <f t="shared" si="3706"/>
        <v>5700</v>
      </c>
      <c r="O1820" s="19" t="s">
        <v>74</v>
      </c>
      <c r="P1820" s="20">
        <v>1518</v>
      </c>
      <c r="Q1820" s="20">
        <f t="shared" ref="Q1820:X1820" si="3869">Q1790</f>
        <v>570</v>
      </c>
      <c r="R1820" s="20">
        <f t="shared" si="3869"/>
        <v>2280</v>
      </c>
      <c r="S1820" s="20">
        <f t="shared" si="3869"/>
        <v>3989.9999999999995</v>
      </c>
      <c r="T1820" s="20">
        <f t="shared" si="3869"/>
        <v>5130</v>
      </c>
      <c r="U1820" s="20">
        <f t="shared" si="3869"/>
        <v>100</v>
      </c>
      <c r="V1820" s="20">
        <f t="shared" si="3869"/>
        <v>500</v>
      </c>
      <c r="W1820" s="20">
        <f t="shared" si="3869"/>
        <v>400</v>
      </c>
      <c r="X1820" s="20">
        <f t="shared" si="3869"/>
        <v>5</v>
      </c>
      <c r="Y1820" s="20">
        <v>0</v>
      </c>
      <c r="Z1820" s="20">
        <v>0</v>
      </c>
      <c r="AA1820" s="20">
        <v>0</v>
      </c>
      <c r="AB1820" s="20">
        <v>0</v>
      </c>
      <c r="AC1820" s="20">
        <v>0</v>
      </c>
      <c r="AD1820" s="23">
        <f t="shared" ref="AD1820:AE1820" si="3870">AD1790</f>
        <v>36</v>
      </c>
      <c r="AE1820" s="23">
        <f t="shared" si="3870"/>
        <v>40</v>
      </c>
    </row>
    <row r="1821" spans="1:31">
      <c r="A1821" s="4">
        <v>16100</v>
      </c>
      <c r="B1821" s="4">
        <v>20</v>
      </c>
      <c r="C1821" s="19" t="s">
        <v>75</v>
      </c>
      <c r="D1821" s="44">
        <v>0</v>
      </c>
      <c r="E1821" s="18">
        <v>0</v>
      </c>
      <c r="F1821" s="18">
        <v>0</v>
      </c>
      <c r="G1821" s="18">
        <f t="shared" si="3835"/>
        <v>171</v>
      </c>
      <c r="H1821" s="18">
        <f t="shared" si="3835"/>
        <v>1465</v>
      </c>
      <c r="I1821" s="21">
        <f t="shared" si="3705"/>
        <v>275</v>
      </c>
      <c r="J1821" s="21">
        <f t="shared" si="3850"/>
        <v>19</v>
      </c>
      <c r="K1821" s="21">
        <v>0</v>
      </c>
      <c r="L1821" s="20">
        <v>6</v>
      </c>
      <c r="M1821" s="20">
        <v>0</v>
      </c>
      <c r="N1821" s="20">
        <f t="shared" si="3706"/>
        <v>8000</v>
      </c>
      <c r="O1821" s="19" t="s">
        <v>75</v>
      </c>
      <c r="P1821" s="20">
        <v>861</v>
      </c>
      <c r="Q1821" s="20">
        <f t="shared" ref="Q1821:X1821" si="3871">Q1791</f>
        <v>800</v>
      </c>
      <c r="R1821" s="20">
        <f t="shared" si="3871"/>
        <v>3200</v>
      </c>
      <c r="S1821" s="20">
        <f t="shared" si="3871"/>
        <v>5600</v>
      </c>
      <c r="T1821" s="20">
        <f t="shared" si="3871"/>
        <v>7200</v>
      </c>
      <c r="U1821" s="20">
        <f t="shared" si="3871"/>
        <v>100</v>
      </c>
      <c r="V1821" s="20">
        <f t="shared" si="3871"/>
        <v>800</v>
      </c>
      <c r="W1821" s="20">
        <f t="shared" si="3871"/>
        <v>8000</v>
      </c>
      <c r="X1821" s="20">
        <f t="shared" si="3871"/>
        <v>5</v>
      </c>
      <c r="Y1821" s="20">
        <v>0</v>
      </c>
      <c r="Z1821" s="20">
        <v>0</v>
      </c>
      <c r="AA1821" s="20">
        <v>0</v>
      </c>
      <c r="AB1821" s="20">
        <v>0</v>
      </c>
      <c r="AC1821" s="20">
        <v>0</v>
      </c>
      <c r="AD1821" s="23">
        <f t="shared" ref="AD1821:AE1821" si="3872">AD1791</f>
        <v>38</v>
      </c>
      <c r="AE1821" s="23">
        <f t="shared" si="3872"/>
        <v>42</v>
      </c>
    </row>
    <row r="1822" spans="1:31">
      <c r="A1822" s="4">
        <v>16100</v>
      </c>
      <c r="B1822" s="4">
        <v>21</v>
      </c>
      <c r="C1822" s="19" t="s">
        <v>66</v>
      </c>
      <c r="D1822" s="44">
        <v>0</v>
      </c>
      <c r="E1822" s="18">
        <v>0</v>
      </c>
      <c r="F1822" s="18">
        <v>0</v>
      </c>
      <c r="G1822" s="18">
        <f t="shared" si="3835"/>
        <v>185</v>
      </c>
      <c r="H1822" s="18">
        <f t="shared" si="3835"/>
        <v>1586</v>
      </c>
      <c r="I1822" s="21">
        <f t="shared" si="3705"/>
        <v>330</v>
      </c>
      <c r="J1822" s="21">
        <f t="shared" si="3850"/>
        <v>20</v>
      </c>
      <c r="K1822" s="21">
        <v>0</v>
      </c>
      <c r="L1822" s="20">
        <v>6</v>
      </c>
      <c r="M1822" s="20">
        <v>0</v>
      </c>
      <c r="N1822" s="20">
        <f t="shared" si="3706"/>
        <v>8400</v>
      </c>
      <c r="O1822" s="19" t="s">
        <v>66</v>
      </c>
      <c r="P1822" s="20">
        <v>9400</v>
      </c>
      <c r="Q1822" s="20">
        <f t="shared" ref="Q1822:X1822" si="3873">Q1792</f>
        <v>840</v>
      </c>
      <c r="R1822" s="20">
        <f t="shared" si="3873"/>
        <v>3360</v>
      </c>
      <c r="S1822" s="20">
        <f t="shared" si="3873"/>
        <v>5880</v>
      </c>
      <c r="T1822" s="20">
        <f t="shared" si="3873"/>
        <v>7560</v>
      </c>
      <c r="U1822" s="20">
        <f t="shared" si="3873"/>
        <v>50</v>
      </c>
      <c r="V1822" s="20">
        <f t="shared" si="3873"/>
        <v>1000</v>
      </c>
      <c r="W1822" s="20">
        <f t="shared" si="3873"/>
        <v>600</v>
      </c>
      <c r="X1822" s="20">
        <f t="shared" si="3873"/>
        <v>6</v>
      </c>
      <c r="Y1822" s="20">
        <v>0</v>
      </c>
      <c r="Z1822" s="20">
        <v>0</v>
      </c>
      <c r="AA1822" s="20">
        <v>0</v>
      </c>
      <c r="AB1822" s="20">
        <v>0</v>
      </c>
      <c r="AC1822" s="20">
        <v>0</v>
      </c>
      <c r="AD1822" s="23">
        <f t="shared" ref="AD1822:AE1822" si="3874">AD1792</f>
        <v>40</v>
      </c>
      <c r="AE1822" s="23">
        <f t="shared" si="3874"/>
        <v>44</v>
      </c>
    </row>
    <row r="1823" spans="1:31">
      <c r="A1823" s="4">
        <v>16100</v>
      </c>
      <c r="B1823" s="4">
        <v>22</v>
      </c>
      <c r="C1823" s="19" t="s">
        <v>67</v>
      </c>
      <c r="D1823" s="44">
        <v>0</v>
      </c>
      <c r="E1823" s="18">
        <v>0</v>
      </c>
      <c r="F1823" s="18">
        <v>0</v>
      </c>
      <c r="G1823" s="18">
        <f t="shared" si="3835"/>
        <v>201</v>
      </c>
      <c r="H1823" s="18">
        <f t="shared" si="3835"/>
        <v>1717</v>
      </c>
      <c r="I1823" s="21">
        <f t="shared" si="3705"/>
        <v>330</v>
      </c>
      <c r="J1823" s="21">
        <f t="shared" si="3850"/>
        <v>21</v>
      </c>
      <c r="K1823" s="21">
        <v>0</v>
      </c>
      <c r="L1823" s="20">
        <v>6</v>
      </c>
      <c r="M1823" s="20">
        <v>0</v>
      </c>
      <c r="N1823" s="20">
        <f t="shared" si="3706"/>
        <v>8800</v>
      </c>
      <c r="O1823" s="19" t="s">
        <v>67</v>
      </c>
      <c r="P1823" s="20">
        <v>9100</v>
      </c>
      <c r="Q1823" s="20">
        <f t="shared" ref="Q1823:X1823" si="3875">Q1793</f>
        <v>880</v>
      </c>
      <c r="R1823" s="20">
        <f t="shared" si="3875"/>
        <v>3520</v>
      </c>
      <c r="S1823" s="20">
        <f t="shared" si="3875"/>
        <v>6160</v>
      </c>
      <c r="T1823" s="20">
        <f t="shared" si="3875"/>
        <v>7920</v>
      </c>
      <c r="U1823" s="20">
        <f t="shared" si="3875"/>
        <v>100</v>
      </c>
      <c r="V1823" s="20">
        <f t="shared" si="3875"/>
        <v>600</v>
      </c>
      <c r="W1823" s="20">
        <f t="shared" si="3875"/>
        <v>700</v>
      </c>
      <c r="X1823" s="20">
        <f t="shared" si="3875"/>
        <v>6</v>
      </c>
      <c r="Y1823" s="20">
        <v>0</v>
      </c>
      <c r="Z1823" s="20">
        <v>0</v>
      </c>
      <c r="AA1823" s="20">
        <v>0</v>
      </c>
      <c r="AB1823" s="20">
        <v>0</v>
      </c>
      <c r="AC1823" s="20">
        <v>0</v>
      </c>
      <c r="AD1823" s="23">
        <f t="shared" ref="AD1823:AE1823" si="3876">AD1793</f>
        <v>42</v>
      </c>
      <c r="AE1823" s="23">
        <f t="shared" si="3876"/>
        <v>46</v>
      </c>
    </row>
    <row r="1824" spans="1:31">
      <c r="A1824" s="4">
        <v>16100</v>
      </c>
      <c r="B1824" s="4">
        <v>23</v>
      </c>
      <c r="C1824" s="19" t="s">
        <v>68</v>
      </c>
      <c r="D1824" s="44">
        <v>0</v>
      </c>
      <c r="E1824" s="18">
        <v>0</v>
      </c>
      <c r="F1824" s="18">
        <v>0</v>
      </c>
      <c r="G1824" s="18">
        <f t="shared" si="3835"/>
        <v>217</v>
      </c>
      <c r="H1824" s="18">
        <f t="shared" si="3835"/>
        <v>1859</v>
      </c>
      <c r="I1824" s="21">
        <f t="shared" si="3705"/>
        <v>330</v>
      </c>
      <c r="J1824" s="21">
        <f t="shared" si="3850"/>
        <v>22</v>
      </c>
      <c r="K1824" s="21">
        <v>0</v>
      </c>
      <c r="L1824" s="20">
        <v>6</v>
      </c>
      <c r="M1824" s="20">
        <v>0</v>
      </c>
      <c r="N1824" s="20">
        <f t="shared" si="3706"/>
        <v>9200</v>
      </c>
      <c r="O1824" s="19" t="s">
        <v>68</v>
      </c>
      <c r="P1824" s="20">
        <v>8600</v>
      </c>
      <c r="Q1824" s="20">
        <f t="shared" ref="Q1824:X1824" si="3877">Q1794</f>
        <v>920</v>
      </c>
      <c r="R1824" s="20">
        <f t="shared" si="3877"/>
        <v>3680</v>
      </c>
      <c r="S1824" s="20">
        <f t="shared" si="3877"/>
        <v>6440</v>
      </c>
      <c r="T1824" s="20">
        <f t="shared" si="3877"/>
        <v>8280</v>
      </c>
      <c r="U1824" s="20">
        <f t="shared" si="3877"/>
        <v>100</v>
      </c>
      <c r="V1824" s="20">
        <f t="shared" si="3877"/>
        <v>550</v>
      </c>
      <c r="W1824" s="20">
        <f t="shared" si="3877"/>
        <v>500</v>
      </c>
      <c r="X1824" s="20">
        <f t="shared" si="3877"/>
        <v>6</v>
      </c>
      <c r="Y1824" s="20">
        <f>ROUND(D1824*0.25,-1)</f>
        <v>0</v>
      </c>
      <c r="Z1824" s="20">
        <f>ROUND(E1824*0.25,-1)</f>
        <v>0</v>
      </c>
      <c r="AA1824" s="20">
        <f>ROUND(F1824*0.25,-1)</f>
        <v>0</v>
      </c>
      <c r="AB1824" s="20">
        <f t="shared" si="3833"/>
        <v>151</v>
      </c>
      <c r="AC1824" s="20">
        <v>0</v>
      </c>
      <c r="AD1824" s="23">
        <f t="shared" ref="AD1824:AE1824" si="3878">AD1794</f>
        <v>44</v>
      </c>
      <c r="AE1824" s="23">
        <f t="shared" si="3878"/>
        <v>48</v>
      </c>
    </row>
    <row r="1825" spans="1:31">
      <c r="A1825" s="4">
        <v>16100</v>
      </c>
      <c r="B1825" s="4">
        <v>24</v>
      </c>
      <c r="C1825" s="19" t="s">
        <v>69</v>
      </c>
      <c r="D1825" s="44">
        <v>0</v>
      </c>
      <c r="E1825" s="18">
        <v>0</v>
      </c>
      <c r="F1825" s="18">
        <v>0</v>
      </c>
      <c r="G1825" s="18">
        <f t="shared" si="3835"/>
        <v>235</v>
      </c>
      <c r="H1825" s="18">
        <f t="shared" si="3835"/>
        <v>2012</v>
      </c>
      <c r="I1825" s="21">
        <f t="shared" ref="I1825:I1888" si="3879">I1795</f>
        <v>330</v>
      </c>
      <c r="J1825" s="21">
        <f t="shared" si="3850"/>
        <v>23</v>
      </c>
      <c r="K1825" s="21">
        <v>0</v>
      </c>
      <c r="L1825" s="20">
        <v>6</v>
      </c>
      <c r="M1825" s="20">
        <v>0</v>
      </c>
      <c r="N1825" s="20">
        <f t="shared" ref="N1825:N1888" si="3880">N1795</f>
        <v>9600</v>
      </c>
      <c r="O1825" s="19" t="s">
        <v>69</v>
      </c>
      <c r="P1825" s="20">
        <v>6400</v>
      </c>
      <c r="Q1825" s="20">
        <f t="shared" ref="Q1825:X1825" si="3881">Q1795</f>
        <v>960</v>
      </c>
      <c r="R1825" s="20">
        <f t="shared" si="3881"/>
        <v>3840</v>
      </c>
      <c r="S1825" s="20">
        <f t="shared" si="3881"/>
        <v>6720</v>
      </c>
      <c r="T1825" s="20">
        <f t="shared" si="3881"/>
        <v>8640</v>
      </c>
      <c r="U1825" s="20">
        <f t="shared" si="3881"/>
        <v>100</v>
      </c>
      <c r="V1825" s="20">
        <f t="shared" si="3881"/>
        <v>500</v>
      </c>
      <c r="W1825" s="20">
        <f t="shared" si="3881"/>
        <v>900</v>
      </c>
      <c r="X1825" s="20">
        <f t="shared" si="3881"/>
        <v>6</v>
      </c>
      <c r="Y1825" s="20">
        <v>0</v>
      </c>
      <c r="Z1825" s="20">
        <v>0</v>
      </c>
      <c r="AA1825" s="20">
        <v>0</v>
      </c>
      <c r="AB1825" s="20">
        <v>0</v>
      </c>
      <c r="AC1825" s="20">
        <v>0</v>
      </c>
      <c r="AD1825" s="23">
        <f t="shared" ref="AD1825:AE1825" si="3882">AD1795</f>
        <v>46</v>
      </c>
      <c r="AE1825" s="23">
        <f t="shared" si="3882"/>
        <v>50</v>
      </c>
    </row>
    <row r="1826" spans="1:31">
      <c r="A1826" s="4">
        <v>16100</v>
      </c>
      <c r="B1826" s="4">
        <v>25</v>
      </c>
      <c r="C1826" s="19" t="s">
        <v>70</v>
      </c>
      <c r="D1826" s="44">
        <v>0</v>
      </c>
      <c r="E1826" s="18">
        <v>0</v>
      </c>
      <c r="F1826" s="18">
        <v>0</v>
      </c>
      <c r="G1826" s="18">
        <f t="shared" si="3835"/>
        <v>254</v>
      </c>
      <c r="H1826" s="18">
        <f t="shared" si="3835"/>
        <v>2178</v>
      </c>
      <c r="I1826" s="21">
        <f t="shared" si="3879"/>
        <v>385</v>
      </c>
      <c r="J1826" s="21">
        <f t="shared" si="3850"/>
        <v>24</v>
      </c>
      <c r="K1826" s="21">
        <v>0</v>
      </c>
      <c r="L1826" s="20">
        <v>6</v>
      </c>
      <c r="M1826" s="20">
        <v>0</v>
      </c>
      <c r="N1826" s="20">
        <f t="shared" si="3880"/>
        <v>12500</v>
      </c>
      <c r="O1826" s="19" t="s">
        <v>70</v>
      </c>
      <c r="P1826" s="20">
        <v>3100</v>
      </c>
      <c r="Q1826" s="20">
        <f t="shared" ref="Q1826:X1826" si="3883">Q1796</f>
        <v>1250</v>
      </c>
      <c r="R1826" s="20">
        <f t="shared" si="3883"/>
        <v>5000</v>
      </c>
      <c r="S1826" s="20">
        <f t="shared" si="3883"/>
        <v>8750</v>
      </c>
      <c r="T1826" s="20">
        <f t="shared" si="3883"/>
        <v>11250</v>
      </c>
      <c r="U1826" s="20">
        <f t="shared" si="3883"/>
        <v>10</v>
      </c>
      <c r="V1826" s="20">
        <f t="shared" si="3883"/>
        <v>1300</v>
      </c>
      <c r="W1826" s="20">
        <f t="shared" si="3883"/>
        <v>1000</v>
      </c>
      <c r="X1826" s="20">
        <f t="shared" si="3883"/>
        <v>7</v>
      </c>
      <c r="Y1826" s="20">
        <v>0</v>
      </c>
      <c r="Z1826" s="20">
        <v>0</v>
      </c>
      <c r="AA1826" s="20">
        <v>0</v>
      </c>
      <c r="AB1826" s="20">
        <v>0</v>
      </c>
      <c r="AC1826" s="20">
        <v>0</v>
      </c>
      <c r="AD1826" s="23">
        <f t="shared" ref="AD1826:AE1826" si="3884">AD1796</f>
        <v>48</v>
      </c>
      <c r="AE1826" s="23">
        <f t="shared" si="3884"/>
        <v>52</v>
      </c>
    </row>
    <row r="1827" spans="1:31">
      <c r="A1827" s="4">
        <v>16100</v>
      </c>
      <c r="B1827" s="4">
        <v>26</v>
      </c>
      <c r="C1827" s="19" t="s">
        <v>71</v>
      </c>
      <c r="D1827" s="44">
        <v>0</v>
      </c>
      <c r="E1827" s="18">
        <v>0</v>
      </c>
      <c r="F1827" s="18">
        <v>0</v>
      </c>
      <c r="G1827" s="18">
        <f t="shared" si="3835"/>
        <v>275</v>
      </c>
      <c r="H1827" s="18">
        <f t="shared" si="3835"/>
        <v>2358</v>
      </c>
      <c r="I1827" s="21">
        <f t="shared" si="3879"/>
        <v>385</v>
      </c>
      <c r="J1827" s="21">
        <f t="shared" si="3850"/>
        <v>25</v>
      </c>
      <c r="K1827" s="21">
        <v>0</v>
      </c>
      <c r="L1827" s="20">
        <v>6</v>
      </c>
      <c r="M1827" s="20">
        <v>0</v>
      </c>
      <c r="N1827" s="20">
        <f t="shared" si="3880"/>
        <v>13000</v>
      </c>
      <c r="O1827" s="19" t="s">
        <v>71</v>
      </c>
      <c r="P1827" s="20">
        <v>1777</v>
      </c>
      <c r="Q1827" s="20">
        <f t="shared" ref="Q1827:X1827" si="3885">Q1797</f>
        <v>1300</v>
      </c>
      <c r="R1827" s="20">
        <f t="shared" si="3885"/>
        <v>5200</v>
      </c>
      <c r="S1827" s="20">
        <f t="shared" si="3885"/>
        <v>9100</v>
      </c>
      <c r="T1827" s="20">
        <f t="shared" si="3885"/>
        <v>11700</v>
      </c>
      <c r="U1827" s="20">
        <f t="shared" si="3885"/>
        <v>90</v>
      </c>
      <c r="V1827" s="20">
        <f t="shared" si="3885"/>
        <v>800</v>
      </c>
      <c r="W1827" s="20">
        <f t="shared" si="3885"/>
        <v>2000</v>
      </c>
      <c r="X1827" s="20">
        <f t="shared" si="3885"/>
        <v>7</v>
      </c>
      <c r="Y1827" s="20">
        <v>0</v>
      </c>
      <c r="Z1827" s="20">
        <v>0</v>
      </c>
      <c r="AA1827" s="20">
        <v>0</v>
      </c>
      <c r="AB1827" s="20">
        <v>0</v>
      </c>
      <c r="AC1827" s="20">
        <v>0</v>
      </c>
      <c r="AD1827" s="23">
        <f t="shared" ref="AD1827:AE1827" si="3886">AD1797</f>
        <v>50</v>
      </c>
      <c r="AE1827" s="23">
        <f t="shared" si="3886"/>
        <v>54</v>
      </c>
    </row>
    <row r="1828" spans="1:31">
      <c r="A1828" s="4">
        <v>16100</v>
      </c>
      <c r="B1828" s="4">
        <v>27</v>
      </c>
      <c r="C1828" s="19" t="s">
        <v>72</v>
      </c>
      <c r="D1828" s="44">
        <v>0</v>
      </c>
      <c r="E1828" s="18">
        <v>0</v>
      </c>
      <c r="F1828" s="18">
        <v>0</v>
      </c>
      <c r="G1828" s="18">
        <f t="shared" si="3835"/>
        <v>298</v>
      </c>
      <c r="H1828" s="18">
        <f t="shared" si="3835"/>
        <v>2553</v>
      </c>
      <c r="I1828" s="21">
        <f t="shared" si="3879"/>
        <v>385</v>
      </c>
      <c r="J1828" s="21">
        <f t="shared" si="3850"/>
        <v>26</v>
      </c>
      <c r="K1828" s="21">
        <v>0</v>
      </c>
      <c r="L1828" s="20">
        <v>6</v>
      </c>
      <c r="M1828" s="20">
        <v>0</v>
      </c>
      <c r="N1828" s="20">
        <f t="shared" si="3880"/>
        <v>13500</v>
      </c>
      <c r="O1828" s="19" t="s">
        <v>72</v>
      </c>
      <c r="P1828" s="20">
        <v>2332</v>
      </c>
      <c r="Q1828" s="20">
        <f t="shared" ref="Q1828:X1828" si="3887">Q1798</f>
        <v>1350</v>
      </c>
      <c r="R1828" s="20">
        <f t="shared" si="3887"/>
        <v>5400</v>
      </c>
      <c r="S1828" s="20">
        <f t="shared" si="3887"/>
        <v>9450</v>
      </c>
      <c r="T1828" s="20">
        <f t="shared" si="3887"/>
        <v>12150</v>
      </c>
      <c r="U1828" s="20">
        <f t="shared" si="3887"/>
        <v>80</v>
      </c>
      <c r="V1828" s="20">
        <f t="shared" si="3887"/>
        <v>700</v>
      </c>
      <c r="W1828" s="20">
        <f t="shared" si="3887"/>
        <v>800</v>
      </c>
      <c r="X1828" s="20">
        <f t="shared" si="3887"/>
        <v>7</v>
      </c>
      <c r="Y1828" s="20">
        <v>0</v>
      </c>
      <c r="Z1828" s="20">
        <v>0</v>
      </c>
      <c r="AA1828" s="20">
        <v>0</v>
      </c>
      <c r="AB1828" s="20">
        <v>0</v>
      </c>
      <c r="AC1828" s="20">
        <v>0</v>
      </c>
      <c r="AD1828" s="23">
        <f t="shared" ref="AD1828:AE1828" si="3888">AD1798</f>
        <v>52</v>
      </c>
      <c r="AE1828" s="23">
        <f t="shared" si="3888"/>
        <v>56</v>
      </c>
    </row>
    <row r="1829" spans="1:31">
      <c r="A1829" s="4">
        <v>16100</v>
      </c>
      <c r="B1829" s="4">
        <v>28</v>
      </c>
      <c r="C1829" s="19" t="s">
        <v>73</v>
      </c>
      <c r="D1829" s="44">
        <v>0</v>
      </c>
      <c r="E1829" s="18">
        <v>0</v>
      </c>
      <c r="F1829" s="18">
        <v>0</v>
      </c>
      <c r="G1829" s="18">
        <f t="shared" si="3835"/>
        <v>323</v>
      </c>
      <c r="H1829" s="18">
        <f t="shared" si="3835"/>
        <v>2764</v>
      </c>
      <c r="I1829" s="21">
        <f t="shared" si="3879"/>
        <v>385</v>
      </c>
      <c r="J1829" s="21">
        <f t="shared" si="3850"/>
        <v>27</v>
      </c>
      <c r="K1829" s="21">
        <v>0</v>
      </c>
      <c r="L1829" s="20">
        <v>6</v>
      </c>
      <c r="M1829" s="20">
        <v>0</v>
      </c>
      <c r="N1829" s="20">
        <f t="shared" si="3880"/>
        <v>14000</v>
      </c>
      <c r="O1829" s="19" t="s">
        <v>73</v>
      </c>
      <c r="P1829" s="20">
        <v>1487</v>
      </c>
      <c r="Q1829" s="20">
        <f t="shared" ref="Q1829:X1829" si="3889">Q1799</f>
        <v>1400</v>
      </c>
      <c r="R1829" s="20">
        <f t="shared" si="3889"/>
        <v>5600</v>
      </c>
      <c r="S1829" s="20">
        <f t="shared" si="3889"/>
        <v>9800</v>
      </c>
      <c r="T1829" s="20">
        <f t="shared" si="3889"/>
        <v>12600</v>
      </c>
      <c r="U1829" s="20">
        <f t="shared" si="3889"/>
        <v>80</v>
      </c>
      <c r="V1829" s="20">
        <f t="shared" si="3889"/>
        <v>500</v>
      </c>
      <c r="W1829" s="20">
        <f t="shared" si="3889"/>
        <v>600</v>
      </c>
      <c r="X1829" s="20">
        <f t="shared" si="3889"/>
        <v>7</v>
      </c>
      <c r="Y1829" s="20">
        <f>ROUND(D1829*0.25,-1)</f>
        <v>0</v>
      </c>
      <c r="Z1829" s="20">
        <f>ROUND(E1829*0.25,-1)</f>
        <v>0</v>
      </c>
      <c r="AA1829" s="20">
        <f>ROUND(F1829*0.25,-1)</f>
        <v>0</v>
      </c>
      <c r="AB1829" s="20">
        <f t="shared" si="3833"/>
        <v>189</v>
      </c>
      <c r="AC1829" s="20">
        <v>0</v>
      </c>
      <c r="AD1829" s="23">
        <f t="shared" ref="AD1829:AE1829" si="3890">AD1799</f>
        <v>54</v>
      </c>
      <c r="AE1829" s="23">
        <f t="shared" si="3890"/>
        <v>58</v>
      </c>
    </row>
    <row r="1830" spans="1:31">
      <c r="A1830" s="4">
        <v>16100</v>
      </c>
      <c r="B1830" s="4">
        <v>29</v>
      </c>
      <c r="C1830" s="19" t="s">
        <v>74</v>
      </c>
      <c r="D1830" s="44">
        <v>0</v>
      </c>
      <c r="E1830" s="18">
        <v>0</v>
      </c>
      <c r="F1830" s="18">
        <v>0</v>
      </c>
      <c r="G1830" s="18">
        <f t="shared" si="3835"/>
        <v>349</v>
      </c>
      <c r="H1830" s="18">
        <f t="shared" si="3835"/>
        <v>2993</v>
      </c>
      <c r="I1830" s="21">
        <f t="shared" si="3879"/>
        <v>440</v>
      </c>
      <c r="J1830" s="21">
        <f t="shared" si="3850"/>
        <v>28</v>
      </c>
      <c r="K1830" s="21">
        <v>0</v>
      </c>
      <c r="L1830" s="20">
        <v>6</v>
      </c>
      <c r="M1830" s="20">
        <v>0</v>
      </c>
      <c r="N1830" s="20">
        <f t="shared" si="3880"/>
        <v>14500</v>
      </c>
      <c r="O1830" s="19" t="s">
        <v>74</v>
      </c>
      <c r="P1830" s="20">
        <v>1518</v>
      </c>
      <c r="Q1830" s="20">
        <f t="shared" ref="Q1830:X1830" si="3891">Q1800</f>
        <v>1450</v>
      </c>
      <c r="R1830" s="20">
        <f t="shared" si="3891"/>
        <v>5800</v>
      </c>
      <c r="S1830" s="20">
        <f t="shared" si="3891"/>
        <v>10150</v>
      </c>
      <c r="T1830" s="20">
        <f t="shared" si="3891"/>
        <v>13050</v>
      </c>
      <c r="U1830" s="20">
        <f t="shared" si="3891"/>
        <v>80</v>
      </c>
      <c r="V1830" s="20">
        <f t="shared" si="3891"/>
        <v>600</v>
      </c>
      <c r="W1830" s="20">
        <f t="shared" si="3891"/>
        <v>700</v>
      </c>
      <c r="X1830" s="20">
        <f t="shared" si="3891"/>
        <v>8</v>
      </c>
      <c r="Y1830" s="20">
        <v>0</v>
      </c>
      <c r="Z1830" s="20">
        <v>0</v>
      </c>
      <c r="AA1830" s="20">
        <v>0</v>
      </c>
      <c r="AB1830" s="20">
        <v>0</v>
      </c>
      <c r="AC1830" s="20">
        <v>0</v>
      </c>
      <c r="AD1830" s="23">
        <f t="shared" ref="AD1830:AE1830" si="3892">AD1800</f>
        <v>56</v>
      </c>
      <c r="AE1830" s="23">
        <f t="shared" si="3892"/>
        <v>60</v>
      </c>
    </row>
    <row r="1831" spans="1:31">
      <c r="A1831" s="4">
        <v>16100</v>
      </c>
      <c r="B1831" s="4">
        <v>30</v>
      </c>
      <c r="C1831" s="19" t="s">
        <v>75</v>
      </c>
      <c r="D1831" s="44">
        <v>0</v>
      </c>
      <c r="E1831" s="18">
        <v>0</v>
      </c>
      <c r="F1831" s="18">
        <v>0</v>
      </c>
      <c r="G1831" s="18">
        <v>378</v>
      </c>
      <c r="H1831" s="45">
        <v>3240</v>
      </c>
      <c r="I1831" s="21">
        <f t="shared" si="3879"/>
        <v>440</v>
      </c>
      <c r="J1831" s="21">
        <f t="shared" si="3850"/>
        <v>29</v>
      </c>
      <c r="K1831" s="21">
        <v>0</v>
      </c>
      <c r="L1831" s="20">
        <v>6</v>
      </c>
      <c r="M1831" s="20">
        <v>0</v>
      </c>
      <c r="N1831" s="20">
        <f t="shared" si="3880"/>
        <v>15000</v>
      </c>
      <c r="O1831" s="19" t="s">
        <v>75</v>
      </c>
      <c r="P1831" s="20">
        <v>861</v>
      </c>
      <c r="Q1831" s="20">
        <f t="shared" ref="Q1831:X1831" si="3893">Q1801</f>
        <v>1500</v>
      </c>
      <c r="R1831" s="20">
        <f t="shared" si="3893"/>
        <v>6000</v>
      </c>
      <c r="S1831" s="20">
        <f t="shared" si="3893"/>
        <v>10500</v>
      </c>
      <c r="T1831" s="20">
        <f t="shared" si="3893"/>
        <v>13500</v>
      </c>
      <c r="U1831" s="20">
        <f t="shared" si="3893"/>
        <v>20</v>
      </c>
      <c r="V1831" s="20">
        <f t="shared" si="3893"/>
        <v>450</v>
      </c>
      <c r="W1831" s="20">
        <f t="shared" si="3893"/>
        <v>1000</v>
      </c>
      <c r="X1831" s="20">
        <f t="shared" si="3893"/>
        <v>8</v>
      </c>
      <c r="Y1831" s="20">
        <v>0</v>
      </c>
      <c r="Z1831" s="20">
        <v>0</v>
      </c>
      <c r="AA1831" s="20">
        <v>0</v>
      </c>
      <c r="AB1831" s="20">
        <v>0</v>
      </c>
      <c r="AC1831" s="20">
        <v>0</v>
      </c>
      <c r="AD1831" s="23">
        <f t="shared" ref="AD1831:AE1831" si="3894">AD1801</f>
        <v>58</v>
      </c>
      <c r="AE1831" s="23">
        <f t="shared" si="3894"/>
        <v>62</v>
      </c>
    </row>
    <row r="1832" spans="1:31">
      <c r="A1832" s="4">
        <v>16101</v>
      </c>
      <c r="B1832" s="4">
        <v>1</v>
      </c>
      <c r="C1832" s="29" t="s">
        <v>66</v>
      </c>
      <c r="D1832" s="46">
        <v>0</v>
      </c>
      <c r="E1832" s="28">
        <v>0</v>
      </c>
      <c r="F1832" s="28">
        <v>0</v>
      </c>
      <c r="G1832" s="28">
        <f>G1802*2</f>
        <v>76</v>
      </c>
      <c r="H1832" s="28">
        <f>H1802*2</f>
        <v>648</v>
      </c>
      <c r="I1832" s="21">
        <f t="shared" si="3879"/>
        <v>55</v>
      </c>
      <c r="J1832" s="21">
        <f t="shared" si="3850"/>
        <v>0</v>
      </c>
      <c r="K1832" s="21">
        <v>0</v>
      </c>
      <c r="L1832" s="20">
        <v>45</v>
      </c>
      <c r="M1832" s="20">
        <v>0</v>
      </c>
      <c r="N1832" s="20">
        <f t="shared" si="3880"/>
        <v>10</v>
      </c>
      <c r="O1832" s="19" t="s">
        <v>66</v>
      </c>
      <c r="P1832" s="20">
        <v>9400</v>
      </c>
      <c r="Q1832" s="20">
        <f t="shared" ref="Q1832:X1832" si="3895">Q1802</f>
        <v>1</v>
      </c>
      <c r="R1832" s="20">
        <f t="shared" si="3895"/>
        <v>4</v>
      </c>
      <c r="S1832" s="20">
        <f t="shared" si="3895"/>
        <v>7</v>
      </c>
      <c r="T1832" s="20">
        <f t="shared" si="3895"/>
        <v>9</v>
      </c>
      <c r="U1832" s="20">
        <f t="shared" si="3895"/>
        <v>9400</v>
      </c>
      <c r="V1832" s="20">
        <f t="shared" si="3895"/>
        <v>9400</v>
      </c>
      <c r="W1832" s="20">
        <f t="shared" si="3895"/>
        <v>9400</v>
      </c>
      <c r="X1832" s="20">
        <f t="shared" si="3895"/>
        <v>1</v>
      </c>
      <c r="Y1832" s="20">
        <v>0</v>
      </c>
      <c r="Z1832" s="20">
        <v>0</v>
      </c>
      <c r="AA1832" s="20">
        <v>0</v>
      </c>
      <c r="AB1832" s="20">
        <f>INT(AB1922*0.7)</f>
        <v>0</v>
      </c>
      <c r="AC1832" s="20">
        <v>0</v>
      </c>
      <c r="AD1832" s="23">
        <f t="shared" ref="AD1832:AE1832" si="3896">AD1802</f>
        <v>1</v>
      </c>
      <c r="AE1832" s="23">
        <f t="shared" si="3896"/>
        <v>3</v>
      </c>
    </row>
    <row r="1833" spans="1:31">
      <c r="A1833" s="4">
        <v>16101</v>
      </c>
      <c r="B1833" s="4">
        <v>2</v>
      </c>
      <c r="C1833" s="29" t="s">
        <v>67</v>
      </c>
      <c r="D1833" s="46">
        <v>0</v>
      </c>
      <c r="E1833" s="28">
        <v>0</v>
      </c>
      <c r="F1833" s="28">
        <v>0</v>
      </c>
      <c r="G1833" s="28">
        <f t="shared" ref="G1833:H1833" si="3897">G1803*2</f>
        <v>82</v>
      </c>
      <c r="H1833" s="28">
        <f t="shared" si="3897"/>
        <v>702</v>
      </c>
      <c r="I1833" s="21">
        <f t="shared" si="3879"/>
        <v>55</v>
      </c>
      <c r="J1833" s="21">
        <f t="shared" si="3850"/>
        <v>1</v>
      </c>
      <c r="K1833" s="21">
        <v>0</v>
      </c>
      <c r="L1833" s="20">
        <v>40</v>
      </c>
      <c r="M1833" s="20">
        <v>0</v>
      </c>
      <c r="N1833" s="20">
        <f t="shared" si="3880"/>
        <v>20</v>
      </c>
      <c r="O1833" s="19" t="s">
        <v>67</v>
      </c>
      <c r="P1833" s="20">
        <v>9100</v>
      </c>
      <c r="Q1833" s="20">
        <f t="shared" ref="Q1833:X1833" si="3898">Q1803</f>
        <v>2</v>
      </c>
      <c r="R1833" s="20">
        <f t="shared" si="3898"/>
        <v>8</v>
      </c>
      <c r="S1833" s="20">
        <f t="shared" si="3898"/>
        <v>14</v>
      </c>
      <c r="T1833" s="20">
        <f t="shared" si="3898"/>
        <v>18</v>
      </c>
      <c r="U1833" s="20">
        <f t="shared" si="3898"/>
        <v>4000</v>
      </c>
      <c r="V1833" s="20">
        <f t="shared" si="3898"/>
        <v>8000</v>
      </c>
      <c r="W1833" s="20">
        <f t="shared" si="3898"/>
        <v>8000</v>
      </c>
      <c r="X1833" s="20">
        <f t="shared" si="3898"/>
        <v>1</v>
      </c>
      <c r="Y1833" s="20">
        <v>0</v>
      </c>
      <c r="Z1833" s="20">
        <v>0</v>
      </c>
      <c r="AA1833" s="20">
        <v>0</v>
      </c>
      <c r="AB1833" s="20">
        <f t="shared" ref="AB1833:AB1859" si="3899">INT(AB1923*0.7)</f>
        <v>0</v>
      </c>
      <c r="AC1833" s="20">
        <v>0</v>
      </c>
      <c r="AD1833" s="23">
        <f t="shared" ref="AD1833:AE1833" si="3900">AD1803</f>
        <v>2</v>
      </c>
      <c r="AE1833" s="23">
        <f t="shared" si="3900"/>
        <v>5</v>
      </c>
    </row>
    <row r="1834" spans="1:31">
      <c r="A1834" s="8">
        <v>16101</v>
      </c>
      <c r="B1834" s="8">
        <v>3</v>
      </c>
      <c r="C1834" s="29" t="s">
        <v>68</v>
      </c>
      <c r="D1834" s="46">
        <v>0</v>
      </c>
      <c r="E1834" s="28">
        <v>0</v>
      </c>
      <c r="F1834" s="28">
        <v>0</v>
      </c>
      <c r="G1834" s="28">
        <f t="shared" ref="G1834:H1834" si="3901">G1804*2</f>
        <v>90</v>
      </c>
      <c r="H1834" s="28">
        <f t="shared" si="3901"/>
        <v>760</v>
      </c>
      <c r="I1834" s="21">
        <f t="shared" si="3879"/>
        <v>55</v>
      </c>
      <c r="J1834" s="21">
        <f t="shared" si="3850"/>
        <v>2</v>
      </c>
      <c r="K1834" s="21">
        <v>0</v>
      </c>
      <c r="L1834" s="20">
        <v>35</v>
      </c>
      <c r="M1834" s="20">
        <v>0</v>
      </c>
      <c r="N1834" s="20">
        <f t="shared" si="3880"/>
        <v>40</v>
      </c>
      <c r="O1834" s="19" t="s">
        <v>68</v>
      </c>
      <c r="P1834" s="20">
        <v>8600</v>
      </c>
      <c r="Q1834" s="20">
        <f t="shared" ref="Q1834:X1834" si="3902">Q1804</f>
        <v>4</v>
      </c>
      <c r="R1834" s="20">
        <f t="shared" si="3902"/>
        <v>16</v>
      </c>
      <c r="S1834" s="20">
        <f t="shared" si="3902"/>
        <v>28</v>
      </c>
      <c r="T1834" s="20">
        <f t="shared" si="3902"/>
        <v>36</v>
      </c>
      <c r="U1834" s="20">
        <f t="shared" si="3902"/>
        <v>1600</v>
      </c>
      <c r="V1834" s="20">
        <f t="shared" si="3902"/>
        <v>5000</v>
      </c>
      <c r="W1834" s="20">
        <f t="shared" si="3902"/>
        <v>6000</v>
      </c>
      <c r="X1834" s="20">
        <f t="shared" si="3902"/>
        <v>1</v>
      </c>
      <c r="Y1834" s="20">
        <v>0</v>
      </c>
      <c r="Z1834" s="20">
        <v>0</v>
      </c>
      <c r="AA1834" s="20">
        <v>0</v>
      </c>
      <c r="AB1834" s="20">
        <f t="shared" si="3899"/>
        <v>0</v>
      </c>
      <c r="AC1834" s="20">
        <v>0</v>
      </c>
      <c r="AD1834" s="23">
        <f t="shared" ref="AD1834:AE1834" si="3903">AD1804</f>
        <v>4</v>
      </c>
      <c r="AE1834" s="23">
        <f t="shared" si="3903"/>
        <v>8</v>
      </c>
    </row>
    <row r="1835" spans="1:31">
      <c r="A1835" s="4">
        <v>16101</v>
      </c>
      <c r="B1835" s="4">
        <v>4</v>
      </c>
      <c r="C1835" s="29" t="s">
        <v>69</v>
      </c>
      <c r="D1835" s="46">
        <v>0</v>
      </c>
      <c r="E1835" s="28">
        <v>0</v>
      </c>
      <c r="F1835" s="28">
        <v>0</v>
      </c>
      <c r="G1835" s="28">
        <f t="shared" ref="G1835:H1835" si="3904">G1805*2</f>
        <v>96</v>
      </c>
      <c r="H1835" s="28">
        <f t="shared" si="3904"/>
        <v>822</v>
      </c>
      <c r="I1835" s="21">
        <f t="shared" si="3879"/>
        <v>55</v>
      </c>
      <c r="J1835" s="21">
        <f t="shared" si="3850"/>
        <v>3</v>
      </c>
      <c r="K1835" s="21">
        <v>0</v>
      </c>
      <c r="L1835" s="20">
        <v>30</v>
      </c>
      <c r="M1835" s="20">
        <v>0</v>
      </c>
      <c r="N1835" s="20">
        <f t="shared" si="3880"/>
        <v>100</v>
      </c>
      <c r="O1835" s="19" t="s">
        <v>69</v>
      </c>
      <c r="P1835" s="20">
        <v>6400</v>
      </c>
      <c r="Q1835" s="20">
        <f t="shared" ref="Q1835:X1835" si="3905">Q1805</f>
        <v>10</v>
      </c>
      <c r="R1835" s="20">
        <f t="shared" si="3905"/>
        <v>40</v>
      </c>
      <c r="S1835" s="20">
        <f t="shared" si="3905"/>
        <v>70</v>
      </c>
      <c r="T1835" s="20">
        <f t="shared" si="3905"/>
        <v>90</v>
      </c>
      <c r="U1835" s="20">
        <f t="shared" si="3905"/>
        <v>900</v>
      </c>
      <c r="V1835" s="20">
        <f t="shared" si="3905"/>
        <v>2000</v>
      </c>
      <c r="W1835" s="20">
        <f t="shared" si="3905"/>
        <v>8000</v>
      </c>
      <c r="X1835" s="20">
        <f t="shared" si="3905"/>
        <v>1</v>
      </c>
      <c r="Y1835" s="20">
        <v>0</v>
      </c>
      <c r="Z1835" s="20">
        <v>0</v>
      </c>
      <c r="AA1835" s="20">
        <v>0</v>
      </c>
      <c r="AB1835" s="20">
        <f t="shared" si="3899"/>
        <v>0</v>
      </c>
      <c r="AC1835" s="20">
        <v>0</v>
      </c>
      <c r="AD1835" s="23">
        <f t="shared" ref="AD1835:AE1835" si="3906">AD1805</f>
        <v>6</v>
      </c>
      <c r="AE1835" s="23">
        <f t="shared" si="3906"/>
        <v>10</v>
      </c>
    </row>
    <row r="1836" spans="1:31">
      <c r="A1836" s="4">
        <v>16101</v>
      </c>
      <c r="B1836" s="4">
        <v>5</v>
      </c>
      <c r="C1836" s="29" t="s">
        <v>70</v>
      </c>
      <c r="D1836" s="46">
        <v>0</v>
      </c>
      <c r="E1836" s="28">
        <v>0</v>
      </c>
      <c r="F1836" s="28">
        <v>0</v>
      </c>
      <c r="G1836" s="28">
        <f t="shared" ref="G1836:H1836" si="3907">G1806*2</f>
        <v>104</v>
      </c>
      <c r="H1836" s="28">
        <f t="shared" si="3907"/>
        <v>890</v>
      </c>
      <c r="I1836" s="21">
        <f t="shared" si="3879"/>
        <v>110</v>
      </c>
      <c r="J1836" s="21">
        <f t="shared" si="3850"/>
        <v>4</v>
      </c>
      <c r="K1836" s="21">
        <v>0</v>
      </c>
      <c r="L1836" s="20">
        <v>25</v>
      </c>
      <c r="M1836" s="20">
        <v>0</v>
      </c>
      <c r="N1836" s="20">
        <f t="shared" si="3880"/>
        <v>200</v>
      </c>
      <c r="O1836" s="19" t="s">
        <v>70</v>
      </c>
      <c r="P1836" s="20">
        <v>3100</v>
      </c>
      <c r="Q1836" s="20">
        <f t="shared" ref="Q1836:X1836" si="3908">Q1806</f>
        <v>20</v>
      </c>
      <c r="R1836" s="20">
        <f t="shared" si="3908"/>
        <v>80</v>
      </c>
      <c r="S1836" s="20">
        <f t="shared" si="3908"/>
        <v>140</v>
      </c>
      <c r="T1836" s="20">
        <f t="shared" si="3908"/>
        <v>180</v>
      </c>
      <c r="U1836" s="20">
        <f t="shared" si="3908"/>
        <v>1000</v>
      </c>
      <c r="V1836" s="20">
        <f t="shared" si="3908"/>
        <v>2000</v>
      </c>
      <c r="W1836" s="20">
        <f t="shared" si="3908"/>
        <v>2000</v>
      </c>
      <c r="X1836" s="20">
        <f t="shared" si="3908"/>
        <v>2</v>
      </c>
      <c r="Y1836" s="20">
        <v>0</v>
      </c>
      <c r="Z1836" s="20">
        <v>0</v>
      </c>
      <c r="AA1836" s="20">
        <v>0</v>
      </c>
      <c r="AB1836" s="20">
        <f t="shared" si="3899"/>
        <v>0</v>
      </c>
      <c r="AC1836" s="20">
        <v>0</v>
      </c>
      <c r="AD1836" s="23">
        <f t="shared" ref="AD1836:AE1836" si="3909">AD1806</f>
        <v>8</v>
      </c>
      <c r="AE1836" s="23">
        <f t="shared" si="3909"/>
        <v>12</v>
      </c>
    </row>
    <row r="1837" spans="1:31">
      <c r="A1837" s="4">
        <v>16101</v>
      </c>
      <c r="B1837" s="4">
        <v>6</v>
      </c>
      <c r="C1837" s="29" t="s">
        <v>71</v>
      </c>
      <c r="D1837" s="46">
        <v>0</v>
      </c>
      <c r="E1837" s="28">
        <v>0</v>
      </c>
      <c r="F1837" s="28">
        <v>0</v>
      </c>
      <c r="G1837" s="28">
        <f t="shared" ref="G1837:H1837" si="3910">G1807*2</f>
        <v>112</v>
      </c>
      <c r="H1837" s="28">
        <f t="shared" si="3910"/>
        <v>964</v>
      </c>
      <c r="I1837" s="21">
        <f t="shared" si="3879"/>
        <v>110</v>
      </c>
      <c r="J1837" s="21">
        <f t="shared" si="3850"/>
        <v>5</v>
      </c>
      <c r="K1837" s="21">
        <v>0</v>
      </c>
      <c r="L1837" s="20">
        <v>20</v>
      </c>
      <c r="M1837" s="20">
        <v>0</v>
      </c>
      <c r="N1837" s="20">
        <f t="shared" si="3880"/>
        <v>500</v>
      </c>
      <c r="O1837" s="19" t="s">
        <v>71</v>
      </c>
      <c r="P1837" s="20">
        <v>1777</v>
      </c>
      <c r="Q1837" s="20">
        <f t="shared" ref="Q1837:X1837" si="3911">Q1807</f>
        <v>50</v>
      </c>
      <c r="R1837" s="20">
        <f t="shared" si="3911"/>
        <v>200</v>
      </c>
      <c r="S1837" s="20">
        <f t="shared" si="3911"/>
        <v>350</v>
      </c>
      <c r="T1837" s="20">
        <f t="shared" si="3911"/>
        <v>450</v>
      </c>
      <c r="U1837" s="20">
        <f t="shared" si="3911"/>
        <v>800</v>
      </c>
      <c r="V1837" s="20">
        <f t="shared" si="3911"/>
        <v>800</v>
      </c>
      <c r="W1837" s="20">
        <f t="shared" si="3911"/>
        <v>600</v>
      </c>
      <c r="X1837" s="20">
        <f t="shared" si="3911"/>
        <v>2</v>
      </c>
      <c r="Y1837" s="20">
        <v>0</v>
      </c>
      <c r="Z1837" s="20">
        <v>0</v>
      </c>
      <c r="AA1837" s="20">
        <v>0</v>
      </c>
      <c r="AB1837" s="20">
        <f t="shared" si="3899"/>
        <v>0</v>
      </c>
      <c r="AC1837" s="20">
        <v>0</v>
      </c>
      <c r="AD1837" s="23">
        <f t="shared" ref="AD1837:AE1837" si="3912">AD1807</f>
        <v>10</v>
      </c>
      <c r="AE1837" s="23">
        <f t="shared" si="3912"/>
        <v>14</v>
      </c>
    </row>
    <row r="1838" spans="1:31">
      <c r="A1838" s="4">
        <v>16101</v>
      </c>
      <c r="B1838" s="4">
        <v>7</v>
      </c>
      <c r="C1838" s="29" t="s">
        <v>72</v>
      </c>
      <c r="D1838" s="46">
        <v>0</v>
      </c>
      <c r="E1838" s="28">
        <v>0</v>
      </c>
      <c r="F1838" s="28">
        <v>0</v>
      </c>
      <c r="G1838" s="28">
        <f t="shared" ref="G1838:H1838" si="3913">G1808*2</f>
        <v>122</v>
      </c>
      <c r="H1838" s="28">
        <f t="shared" si="3913"/>
        <v>1044</v>
      </c>
      <c r="I1838" s="21">
        <f t="shared" si="3879"/>
        <v>110</v>
      </c>
      <c r="J1838" s="21">
        <f t="shared" si="3850"/>
        <v>6</v>
      </c>
      <c r="K1838" s="21">
        <v>0</v>
      </c>
      <c r="L1838" s="20">
        <v>16</v>
      </c>
      <c r="M1838" s="20">
        <v>0</v>
      </c>
      <c r="N1838" s="20">
        <f t="shared" si="3880"/>
        <v>700</v>
      </c>
      <c r="O1838" s="19" t="s">
        <v>72</v>
      </c>
      <c r="P1838" s="20">
        <v>2332</v>
      </c>
      <c r="Q1838" s="20">
        <f t="shared" ref="Q1838:X1838" si="3914">Q1808</f>
        <v>70</v>
      </c>
      <c r="R1838" s="20">
        <f t="shared" si="3914"/>
        <v>280</v>
      </c>
      <c r="S1838" s="20">
        <f t="shared" si="3914"/>
        <v>489.99999999999994</v>
      </c>
      <c r="T1838" s="20">
        <f t="shared" si="3914"/>
        <v>630</v>
      </c>
      <c r="U1838" s="20">
        <f t="shared" si="3914"/>
        <v>650</v>
      </c>
      <c r="V1838" s="20">
        <f t="shared" si="3914"/>
        <v>800</v>
      </c>
      <c r="W1838" s="20">
        <f t="shared" si="3914"/>
        <v>300</v>
      </c>
      <c r="X1838" s="20">
        <f t="shared" si="3914"/>
        <v>2</v>
      </c>
      <c r="Y1838" s="20">
        <v>0</v>
      </c>
      <c r="Z1838" s="20">
        <v>0</v>
      </c>
      <c r="AA1838" s="20">
        <v>0</v>
      </c>
      <c r="AB1838" s="20">
        <f t="shared" si="3899"/>
        <v>0</v>
      </c>
      <c r="AC1838" s="20">
        <v>0</v>
      </c>
      <c r="AD1838" s="23">
        <f t="shared" ref="AD1838:AE1838" si="3915">AD1808</f>
        <v>12</v>
      </c>
      <c r="AE1838" s="23">
        <f t="shared" si="3915"/>
        <v>16</v>
      </c>
    </row>
    <row r="1839" spans="1:31">
      <c r="A1839" s="4">
        <v>16101</v>
      </c>
      <c r="B1839" s="4">
        <v>8</v>
      </c>
      <c r="C1839" s="29" t="s">
        <v>73</v>
      </c>
      <c r="D1839" s="46">
        <v>0</v>
      </c>
      <c r="E1839" s="28">
        <v>0</v>
      </c>
      <c r="F1839" s="28">
        <v>0</v>
      </c>
      <c r="G1839" s="28">
        <f t="shared" ref="G1839:H1839" si="3916">G1809*2</f>
        <v>132</v>
      </c>
      <c r="H1839" s="28">
        <f t="shared" si="3916"/>
        <v>1130</v>
      </c>
      <c r="I1839" s="21">
        <f t="shared" si="3879"/>
        <v>110</v>
      </c>
      <c r="J1839" s="21">
        <f t="shared" si="3850"/>
        <v>7</v>
      </c>
      <c r="K1839" s="21">
        <v>0</v>
      </c>
      <c r="L1839" s="20">
        <v>12</v>
      </c>
      <c r="M1839" s="20">
        <v>0</v>
      </c>
      <c r="N1839" s="20">
        <f t="shared" si="3880"/>
        <v>800</v>
      </c>
      <c r="O1839" s="19" t="s">
        <v>73</v>
      </c>
      <c r="P1839" s="20">
        <v>1487</v>
      </c>
      <c r="Q1839" s="20">
        <f t="shared" ref="Q1839:X1839" si="3917">Q1809</f>
        <v>80</v>
      </c>
      <c r="R1839" s="20">
        <f t="shared" si="3917"/>
        <v>320</v>
      </c>
      <c r="S1839" s="20">
        <f t="shared" si="3917"/>
        <v>560</v>
      </c>
      <c r="T1839" s="20">
        <f t="shared" si="3917"/>
        <v>720</v>
      </c>
      <c r="U1839" s="20">
        <f t="shared" si="3917"/>
        <v>200</v>
      </c>
      <c r="V1839" s="20">
        <f t="shared" si="3917"/>
        <v>2000</v>
      </c>
      <c r="W1839" s="20">
        <f t="shared" si="3917"/>
        <v>1000</v>
      </c>
      <c r="X1839" s="20">
        <f t="shared" si="3917"/>
        <v>2</v>
      </c>
      <c r="Y1839" s="20">
        <f>ROUND(D1839*0.25,-1)</f>
        <v>0</v>
      </c>
      <c r="Z1839" s="20">
        <f>ROUND(E1839*0.25,-1)</f>
        <v>0</v>
      </c>
      <c r="AA1839" s="20">
        <f>ROUND(F1839*0.25,-1)</f>
        <v>0</v>
      </c>
      <c r="AB1839" s="20">
        <f t="shared" si="3899"/>
        <v>44</v>
      </c>
      <c r="AC1839" s="20">
        <v>0</v>
      </c>
      <c r="AD1839" s="23">
        <f t="shared" ref="AD1839:AE1839" si="3918">AD1809</f>
        <v>14</v>
      </c>
      <c r="AE1839" s="23">
        <f t="shared" si="3918"/>
        <v>18</v>
      </c>
    </row>
    <row r="1840" spans="1:31">
      <c r="A1840" s="4">
        <v>16101</v>
      </c>
      <c r="B1840" s="4">
        <v>9</v>
      </c>
      <c r="C1840" s="29" t="s">
        <v>74</v>
      </c>
      <c r="D1840" s="46">
        <v>0</v>
      </c>
      <c r="E1840" s="28">
        <v>0</v>
      </c>
      <c r="F1840" s="28">
        <v>0</v>
      </c>
      <c r="G1840" s="28">
        <f t="shared" ref="G1840:H1840" si="3919">G1810*2</f>
        <v>144</v>
      </c>
      <c r="H1840" s="28">
        <f t="shared" si="3919"/>
        <v>1224</v>
      </c>
      <c r="I1840" s="21">
        <f t="shared" si="3879"/>
        <v>165</v>
      </c>
      <c r="J1840" s="21">
        <f t="shared" si="3850"/>
        <v>8</v>
      </c>
      <c r="K1840" s="21">
        <v>0</v>
      </c>
      <c r="L1840" s="20">
        <v>8</v>
      </c>
      <c r="M1840" s="20">
        <v>0</v>
      </c>
      <c r="N1840" s="20">
        <f t="shared" si="3880"/>
        <v>900</v>
      </c>
      <c r="O1840" s="19" t="s">
        <v>74</v>
      </c>
      <c r="P1840" s="20">
        <v>1518</v>
      </c>
      <c r="Q1840" s="20">
        <f t="shared" ref="Q1840:X1840" si="3920">Q1810</f>
        <v>90</v>
      </c>
      <c r="R1840" s="20">
        <f t="shared" si="3920"/>
        <v>360</v>
      </c>
      <c r="S1840" s="20">
        <f t="shared" si="3920"/>
        <v>630</v>
      </c>
      <c r="T1840" s="20">
        <f t="shared" si="3920"/>
        <v>810</v>
      </c>
      <c r="U1840" s="20">
        <f t="shared" si="3920"/>
        <v>120</v>
      </c>
      <c r="V1840" s="20">
        <f t="shared" si="3920"/>
        <v>1500</v>
      </c>
      <c r="W1840" s="20">
        <f t="shared" si="3920"/>
        <v>1000</v>
      </c>
      <c r="X1840" s="20">
        <f t="shared" si="3920"/>
        <v>3</v>
      </c>
      <c r="Y1840" s="20">
        <v>0</v>
      </c>
      <c r="Z1840" s="20">
        <v>0</v>
      </c>
      <c r="AA1840" s="20">
        <v>0</v>
      </c>
      <c r="AB1840" s="20">
        <v>0</v>
      </c>
      <c r="AC1840" s="20">
        <v>0</v>
      </c>
      <c r="AD1840" s="23">
        <f t="shared" ref="AD1840:AE1840" si="3921">AD1810</f>
        <v>16</v>
      </c>
      <c r="AE1840" s="23">
        <f t="shared" si="3921"/>
        <v>20</v>
      </c>
    </row>
    <row r="1841" spans="1:31">
      <c r="A1841" s="4">
        <v>16101</v>
      </c>
      <c r="B1841" s="4">
        <v>10</v>
      </c>
      <c r="C1841" s="29" t="s">
        <v>75</v>
      </c>
      <c r="D1841" s="46">
        <v>0</v>
      </c>
      <c r="E1841" s="28">
        <v>0</v>
      </c>
      <c r="F1841" s="28">
        <v>0</v>
      </c>
      <c r="G1841" s="28">
        <f t="shared" ref="G1841:H1841" si="3922">G1811*2</f>
        <v>156</v>
      </c>
      <c r="H1841" s="28">
        <f t="shared" si="3922"/>
        <v>1324</v>
      </c>
      <c r="I1841" s="21">
        <f t="shared" si="3879"/>
        <v>165</v>
      </c>
      <c r="J1841" s="21">
        <f t="shared" si="3850"/>
        <v>9</v>
      </c>
      <c r="K1841" s="21">
        <v>0</v>
      </c>
      <c r="L1841" s="20">
        <v>6</v>
      </c>
      <c r="M1841" s="20">
        <v>0</v>
      </c>
      <c r="N1841" s="20">
        <f t="shared" si="3880"/>
        <v>2000</v>
      </c>
      <c r="O1841" s="19" t="s">
        <v>75</v>
      </c>
      <c r="P1841" s="20">
        <v>861</v>
      </c>
      <c r="Q1841" s="20">
        <f t="shared" ref="Q1841:X1841" si="3923">Q1811</f>
        <v>200</v>
      </c>
      <c r="R1841" s="20">
        <f t="shared" si="3923"/>
        <v>800</v>
      </c>
      <c r="S1841" s="20">
        <f t="shared" si="3923"/>
        <v>1400</v>
      </c>
      <c r="T1841" s="20">
        <f t="shared" si="3923"/>
        <v>1800</v>
      </c>
      <c r="U1841" s="20">
        <f t="shared" si="3923"/>
        <v>150</v>
      </c>
      <c r="V1841" s="20">
        <f t="shared" si="3923"/>
        <v>5000</v>
      </c>
      <c r="W1841" s="20">
        <f t="shared" si="3923"/>
        <v>800</v>
      </c>
      <c r="X1841" s="20">
        <f t="shared" si="3923"/>
        <v>3</v>
      </c>
      <c r="Y1841" s="20">
        <v>0</v>
      </c>
      <c r="Z1841" s="20">
        <v>0</v>
      </c>
      <c r="AA1841" s="20">
        <v>0</v>
      </c>
      <c r="AB1841" s="20">
        <v>0</v>
      </c>
      <c r="AC1841" s="20">
        <v>0</v>
      </c>
      <c r="AD1841" s="23">
        <f t="shared" ref="AD1841:AE1841" si="3924">AD1811</f>
        <v>18</v>
      </c>
      <c r="AE1841" s="23">
        <f t="shared" si="3924"/>
        <v>22</v>
      </c>
    </row>
    <row r="1842" spans="1:31">
      <c r="A1842" s="4">
        <v>16101</v>
      </c>
      <c r="B1842" s="4">
        <v>11</v>
      </c>
      <c r="C1842" s="29" t="s">
        <v>66</v>
      </c>
      <c r="D1842" s="46">
        <v>0</v>
      </c>
      <c r="E1842" s="28">
        <v>0</v>
      </c>
      <c r="F1842" s="28">
        <v>0</v>
      </c>
      <c r="G1842" s="28">
        <f t="shared" ref="G1842:H1842" si="3925">G1812*2</f>
        <v>168</v>
      </c>
      <c r="H1842" s="28">
        <f t="shared" si="3925"/>
        <v>1434</v>
      </c>
      <c r="I1842" s="21">
        <f t="shared" si="3879"/>
        <v>165</v>
      </c>
      <c r="J1842" s="21">
        <f t="shared" si="3850"/>
        <v>10</v>
      </c>
      <c r="K1842" s="21">
        <v>0</v>
      </c>
      <c r="L1842" s="20">
        <v>6</v>
      </c>
      <c r="M1842" s="20">
        <v>0</v>
      </c>
      <c r="N1842" s="20">
        <f t="shared" si="3880"/>
        <v>2200</v>
      </c>
      <c r="O1842" s="19" t="s">
        <v>66</v>
      </c>
      <c r="P1842" s="20">
        <v>9400</v>
      </c>
      <c r="Q1842" s="20">
        <f t="shared" ref="Q1842:X1842" si="3926">Q1812</f>
        <v>220</v>
      </c>
      <c r="R1842" s="20">
        <f t="shared" si="3926"/>
        <v>880</v>
      </c>
      <c r="S1842" s="20">
        <f t="shared" si="3926"/>
        <v>1540</v>
      </c>
      <c r="T1842" s="20">
        <f t="shared" si="3926"/>
        <v>1980</v>
      </c>
      <c r="U1842" s="20">
        <f t="shared" si="3926"/>
        <v>100</v>
      </c>
      <c r="V1842" s="20">
        <f t="shared" si="3926"/>
        <v>800</v>
      </c>
      <c r="W1842" s="20">
        <f t="shared" si="3926"/>
        <v>600</v>
      </c>
      <c r="X1842" s="20">
        <f t="shared" si="3926"/>
        <v>3</v>
      </c>
      <c r="Y1842" s="20">
        <v>0</v>
      </c>
      <c r="Z1842" s="20">
        <v>0</v>
      </c>
      <c r="AA1842" s="20">
        <v>0</v>
      </c>
      <c r="AB1842" s="20">
        <v>0</v>
      </c>
      <c r="AC1842" s="20">
        <v>0</v>
      </c>
      <c r="AD1842" s="23">
        <f t="shared" ref="AD1842:AE1842" si="3927">AD1812</f>
        <v>20</v>
      </c>
      <c r="AE1842" s="23">
        <f t="shared" si="3927"/>
        <v>24</v>
      </c>
    </row>
    <row r="1843" spans="1:31">
      <c r="A1843" s="4">
        <v>16101</v>
      </c>
      <c r="B1843" s="4">
        <v>12</v>
      </c>
      <c r="C1843" s="29" t="s">
        <v>67</v>
      </c>
      <c r="D1843" s="46">
        <v>0</v>
      </c>
      <c r="E1843" s="28">
        <v>0</v>
      </c>
      <c r="F1843" s="28">
        <v>0</v>
      </c>
      <c r="G1843" s="28">
        <f t="shared" ref="G1843:H1843" si="3928">G1813*2</f>
        <v>182</v>
      </c>
      <c r="H1843" s="28">
        <f t="shared" si="3928"/>
        <v>1552</v>
      </c>
      <c r="I1843" s="21">
        <f t="shared" si="3879"/>
        <v>165</v>
      </c>
      <c r="J1843" s="21">
        <f t="shared" si="3850"/>
        <v>11</v>
      </c>
      <c r="K1843" s="21">
        <v>0</v>
      </c>
      <c r="L1843" s="20">
        <v>6</v>
      </c>
      <c r="M1843" s="20">
        <v>0</v>
      </c>
      <c r="N1843" s="20">
        <f t="shared" si="3880"/>
        <v>2400</v>
      </c>
      <c r="O1843" s="19" t="s">
        <v>67</v>
      </c>
      <c r="P1843" s="20">
        <v>9100</v>
      </c>
      <c r="Q1843" s="20">
        <f t="shared" ref="Q1843:X1843" si="3929">Q1813</f>
        <v>240</v>
      </c>
      <c r="R1843" s="20">
        <f t="shared" si="3929"/>
        <v>960</v>
      </c>
      <c r="S1843" s="20">
        <f t="shared" si="3929"/>
        <v>1680</v>
      </c>
      <c r="T1843" s="20">
        <f t="shared" si="3929"/>
        <v>2160</v>
      </c>
      <c r="U1843" s="20">
        <f t="shared" si="3929"/>
        <v>150</v>
      </c>
      <c r="V1843" s="20">
        <f t="shared" si="3929"/>
        <v>700</v>
      </c>
      <c r="W1843" s="20">
        <f t="shared" si="3929"/>
        <v>900</v>
      </c>
      <c r="X1843" s="20">
        <f t="shared" si="3929"/>
        <v>3</v>
      </c>
      <c r="Y1843" s="20">
        <v>0</v>
      </c>
      <c r="Z1843" s="20">
        <v>0</v>
      </c>
      <c r="AA1843" s="20">
        <v>0</v>
      </c>
      <c r="AB1843" s="20">
        <v>0</v>
      </c>
      <c r="AC1843" s="20">
        <v>0</v>
      </c>
      <c r="AD1843" s="23">
        <f t="shared" ref="AD1843:AE1843" si="3930">AD1813</f>
        <v>22</v>
      </c>
      <c r="AE1843" s="23">
        <f t="shared" si="3930"/>
        <v>26</v>
      </c>
    </row>
    <row r="1844" spans="1:31">
      <c r="A1844" s="4">
        <v>16101</v>
      </c>
      <c r="B1844" s="4">
        <v>13</v>
      </c>
      <c r="C1844" s="29" t="s">
        <v>68</v>
      </c>
      <c r="D1844" s="46">
        <v>0</v>
      </c>
      <c r="E1844" s="28">
        <v>0</v>
      </c>
      <c r="F1844" s="28">
        <v>0</v>
      </c>
      <c r="G1844" s="28">
        <f t="shared" ref="G1844:H1844" si="3931">G1814*2</f>
        <v>196</v>
      </c>
      <c r="H1844" s="28">
        <f t="shared" si="3931"/>
        <v>1680</v>
      </c>
      <c r="I1844" s="21">
        <f t="shared" si="3879"/>
        <v>220</v>
      </c>
      <c r="J1844" s="21">
        <f t="shared" si="3850"/>
        <v>12</v>
      </c>
      <c r="K1844" s="21">
        <v>0</v>
      </c>
      <c r="L1844" s="20">
        <v>6</v>
      </c>
      <c r="M1844" s="20">
        <v>0</v>
      </c>
      <c r="N1844" s="20">
        <f t="shared" si="3880"/>
        <v>2600</v>
      </c>
      <c r="O1844" s="19" t="s">
        <v>68</v>
      </c>
      <c r="P1844" s="20">
        <v>8600</v>
      </c>
      <c r="Q1844" s="20">
        <f t="shared" ref="Q1844:X1844" si="3932">Q1814</f>
        <v>260</v>
      </c>
      <c r="R1844" s="20">
        <f t="shared" si="3932"/>
        <v>1040</v>
      </c>
      <c r="S1844" s="20">
        <f t="shared" si="3932"/>
        <v>1819.9999999999998</v>
      </c>
      <c r="T1844" s="20">
        <f t="shared" si="3932"/>
        <v>2340</v>
      </c>
      <c r="U1844" s="20">
        <f t="shared" si="3932"/>
        <v>100</v>
      </c>
      <c r="V1844" s="20">
        <f t="shared" si="3932"/>
        <v>700</v>
      </c>
      <c r="W1844" s="20">
        <f t="shared" si="3932"/>
        <v>1000</v>
      </c>
      <c r="X1844" s="20">
        <f t="shared" si="3932"/>
        <v>4</v>
      </c>
      <c r="Y1844" s="20">
        <f>ROUND(D1844*0.25,-1)</f>
        <v>0</v>
      </c>
      <c r="Z1844" s="20">
        <f>ROUND(E1844*0.25,-1)</f>
        <v>0</v>
      </c>
      <c r="AA1844" s="20">
        <f>ROUND(F1844*0.25,-1)</f>
        <v>0</v>
      </c>
      <c r="AB1844" s="20">
        <f t="shared" si="3899"/>
        <v>88</v>
      </c>
      <c r="AC1844" s="20">
        <v>0</v>
      </c>
      <c r="AD1844" s="23">
        <f t="shared" ref="AD1844:AE1844" si="3933">AD1814</f>
        <v>24</v>
      </c>
      <c r="AE1844" s="23">
        <f t="shared" si="3933"/>
        <v>28</v>
      </c>
    </row>
    <row r="1845" spans="1:31">
      <c r="A1845" s="4">
        <v>16101</v>
      </c>
      <c r="B1845" s="4">
        <v>14</v>
      </c>
      <c r="C1845" s="29" t="s">
        <v>69</v>
      </c>
      <c r="D1845" s="46">
        <v>0</v>
      </c>
      <c r="E1845" s="28">
        <v>0</v>
      </c>
      <c r="F1845" s="28">
        <v>0</v>
      </c>
      <c r="G1845" s="28">
        <f t="shared" ref="G1845:H1845" si="3934">G1815*2</f>
        <v>212</v>
      </c>
      <c r="H1845" s="28">
        <f t="shared" si="3934"/>
        <v>1820</v>
      </c>
      <c r="I1845" s="21">
        <f t="shared" si="3879"/>
        <v>220</v>
      </c>
      <c r="J1845" s="21">
        <f t="shared" si="3850"/>
        <v>13</v>
      </c>
      <c r="K1845" s="21">
        <v>0</v>
      </c>
      <c r="L1845" s="20">
        <v>6</v>
      </c>
      <c r="M1845" s="20">
        <v>0</v>
      </c>
      <c r="N1845" s="20">
        <f t="shared" si="3880"/>
        <v>2800</v>
      </c>
      <c r="O1845" s="19" t="s">
        <v>69</v>
      </c>
      <c r="P1845" s="20">
        <v>6400</v>
      </c>
      <c r="Q1845" s="20">
        <f t="shared" ref="Q1845:X1845" si="3935">Q1815</f>
        <v>280</v>
      </c>
      <c r="R1845" s="20">
        <f t="shared" si="3935"/>
        <v>1120</v>
      </c>
      <c r="S1845" s="20">
        <f t="shared" si="3935"/>
        <v>1959.9999999999998</v>
      </c>
      <c r="T1845" s="20">
        <f t="shared" si="3935"/>
        <v>2520</v>
      </c>
      <c r="U1845" s="20">
        <f t="shared" si="3935"/>
        <v>100</v>
      </c>
      <c r="V1845" s="20">
        <f t="shared" si="3935"/>
        <v>400</v>
      </c>
      <c r="W1845" s="20">
        <f t="shared" si="3935"/>
        <v>1200</v>
      </c>
      <c r="X1845" s="20">
        <f t="shared" si="3935"/>
        <v>4</v>
      </c>
      <c r="Y1845" s="20">
        <v>0</v>
      </c>
      <c r="Z1845" s="20">
        <v>0</v>
      </c>
      <c r="AA1845" s="20">
        <v>0</v>
      </c>
      <c r="AB1845" s="20">
        <v>0</v>
      </c>
      <c r="AC1845" s="20">
        <v>0</v>
      </c>
      <c r="AD1845" s="23">
        <f t="shared" ref="AD1845:AE1845" si="3936">AD1815</f>
        <v>26</v>
      </c>
      <c r="AE1845" s="23">
        <f t="shared" si="3936"/>
        <v>30</v>
      </c>
    </row>
    <row r="1846" spans="1:31">
      <c r="A1846" s="8">
        <v>16101</v>
      </c>
      <c r="B1846" s="8">
        <v>15</v>
      </c>
      <c r="C1846" s="29" t="s">
        <v>70</v>
      </c>
      <c r="D1846" s="46">
        <v>0</v>
      </c>
      <c r="E1846" s="28">
        <v>0</v>
      </c>
      <c r="F1846" s="28">
        <v>0</v>
      </c>
      <c r="G1846" s="28">
        <f t="shared" ref="G1846:H1846" si="3937">G1816*2</f>
        <v>230</v>
      </c>
      <c r="H1846" s="28">
        <f t="shared" si="3937"/>
        <v>1970</v>
      </c>
      <c r="I1846" s="21">
        <f t="shared" si="3879"/>
        <v>220</v>
      </c>
      <c r="J1846" s="21">
        <f t="shared" si="3850"/>
        <v>14</v>
      </c>
      <c r="K1846" s="21">
        <v>0</v>
      </c>
      <c r="L1846" s="20">
        <v>6</v>
      </c>
      <c r="M1846" s="20">
        <v>0</v>
      </c>
      <c r="N1846" s="20">
        <f t="shared" si="3880"/>
        <v>4500</v>
      </c>
      <c r="O1846" s="19" t="s">
        <v>70</v>
      </c>
      <c r="P1846" s="20">
        <v>3100</v>
      </c>
      <c r="Q1846" s="20">
        <f t="shared" ref="Q1846:X1846" si="3938">Q1816</f>
        <v>450</v>
      </c>
      <c r="R1846" s="20">
        <f t="shared" si="3938"/>
        <v>1800</v>
      </c>
      <c r="S1846" s="20">
        <f t="shared" si="3938"/>
        <v>3150</v>
      </c>
      <c r="T1846" s="20">
        <f t="shared" si="3938"/>
        <v>4050</v>
      </c>
      <c r="U1846" s="20">
        <f t="shared" si="3938"/>
        <v>100</v>
      </c>
      <c r="V1846" s="20">
        <f t="shared" si="3938"/>
        <v>1000</v>
      </c>
      <c r="W1846" s="20">
        <f t="shared" si="3938"/>
        <v>600</v>
      </c>
      <c r="X1846" s="20">
        <f t="shared" si="3938"/>
        <v>4</v>
      </c>
      <c r="Y1846" s="20">
        <v>0</v>
      </c>
      <c r="Z1846" s="20">
        <v>0</v>
      </c>
      <c r="AA1846" s="20">
        <v>0</v>
      </c>
      <c r="AB1846" s="20">
        <v>0</v>
      </c>
      <c r="AC1846" s="20">
        <v>0</v>
      </c>
      <c r="AD1846" s="23">
        <f t="shared" ref="AD1846:AE1846" si="3939">AD1816</f>
        <v>28</v>
      </c>
      <c r="AE1846" s="23">
        <f t="shared" si="3939"/>
        <v>32</v>
      </c>
    </row>
    <row r="1847" spans="1:31">
      <c r="A1847" s="4">
        <v>16101</v>
      </c>
      <c r="B1847" s="4">
        <v>16</v>
      </c>
      <c r="C1847" s="29" t="s">
        <v>71</v>
      </c>
      <c r="D1847" s="46">
        <v>0</v>
      </c>
      <c r="E1847" s="28">
        <v>0</v>
      </c>
      <c r="F1847" s="28">
        <v>0</v>
      </c>
      <c r="G1847" s="28">
        <f t="shared" ref="G1847:H1847" si="3940">G1817*2</f>
        <v>250</v>
      </c>
      <c r="H1847" s="28">
        <f t="shared" si="3940"/>
        <v>2132</v>
      </c>
      <c r="I1847" s="21">
        <f t="shared" si="3879"/>
        <v>220</v>
      </c>
      <c r="J1847" s="21">
        <f t="shared" si="3850"/>
        <v>15</v>
      </c>
      <c r="K1847" s="21">
        <v>0</v>
      </c>
      <c r="L1847" s="20">
        <v>6</v>
      </c>
      <c r="M1847" s="20">
        <v>0</v>
      </c>
      <c r="N1847" s="20">
        <f t="shared" si="3880"/>
        <v>4800</v>
      </c>
      <c r="O1847" s="19" t="s">
        <v>71</v>
      </c>
      <c r="P1847" s="20">
        <v>1777</v>
      </c>
      <c r="Q1847" s="20">
        <f t="shared" ref="Q1847:X1847" si="3941">Q1817</f>
        <v>480</v>
      </c>
      <c r="R1847" s="20">
        <f t="shared" si="3941"/>
        <v>1920</v>
      </c>
      <c r="S1847" s="20">
        <f t="shared" si="3941"/>
        <v>3360</v>
      </c>
      <c r="T1847" s="20">
        <f t="shared" si="3941"/>
        <v>4320</v>
      </c>
      <c r="U1847" s="20">
        <f t="shared" si="3941"/>
        <v>100</v>
      </c>
      <c r="V1847" s="20">
        <f t="shared" si="3941"/>
        <v>800</v>
      </c>
      <c r="W1847" s="20">
        <f t="shared" si="3941"/>
        <v>800</v>
      </c>
      <c r="X1847" s="20">
        <f t="shared" si="3941"/>
        <v>4</v>
      </c>
      <c r="Y1847" s="20">
        <v>0</v>
      </c>
      <c r="Z1847" s="20">
        <v>0</v>
      </c>
      <c r="AA1847" s="20">
        <v>0</v>
      </c>
      <c r="AB1847" s="20">
        <v>0</v>
      </c>
      <c r="AC1847" s="20">
        <v>0</v>
      </c>
      <c r="AD1847" s="23">
        <f t="shared" ref="AD1847:AE1847" si="3942">AD1817</f>
        <v>30</v>
      </c>
      <c r="AE1847" s="23">
        <f t="shared" si="3942"/>
        <v>34</v>
      </c>
    </row>
    <row r="1848" spans="1:31">
      <c r="A1848" s="4">
        <v>16101</v>
      </c>
      <c r="B1848" s="4">
        <v>17</v>
      </c>
      <c r="C1848" s="29" t="s">
        <v>72</v>
      </c>
      <c r="D1848" s="46">
        <v>0</v>
      </c>
      <c r="E1848" s="28">
        <v>0</v>
      </c>
      <c r="F1848" s="28">
        <v>0</v>
      </c>
      <c r="G1848" s="28">
        <f t="shared" ref="G1848:H1848" si="3943">G1818*2</f>
        <v>270</v>
      </c>
      <c r="H1848" s="28">
        <f t="shared" si="3943"/>
        <v>2308</v>
      </c>
      <c r="I1848" s="21">
        <f t="shared" si="3879"/>
        <v>275</v>
      </c>
      <c r="J1848" s="21">
        <f t="shared" si="3850"/>
        <v>16</v>
      </c>
      <c r="K1848" s="21">
        <v>0</v>
      </c>
      <c r="L1848" s="20">
        <v>6</v>
      </c>
      <c r="M1848" s="20">
        <v>0</v>
      </c>
      <c r="N1848" s="20">
        <f t="shared" si="3880"/>
        <v>5100</v>
      </c>
      <c r="O1848" s="19" t="s">
        <v>72</v>
      </c>
      <c r="P1848" s="20">
        <v>2332</v>
      </c>
      <c r="Q1848" s="20">
        <f t="shared" ref="Q1848:X1848" si="3944">Q1818</f>
        <v>510</v>
      </c>
      <c r="R1848" s="20">
        <f t="shared" si="3944"/>
        <v>2040</v>
      </c>
      <c r="S1848" s="20">
        <f t="shared" si="3944"/>
        <v>3570</v>
      </c>
      <c r="T1848" s="20">
        <f t="shared" si="3944"/>
        <v>4590</v>
      </c>
      <c r="U1848" s="20">
        <f t="shared" si="3944"/>
        <v>80</v>
      </c>
      <c r="V1848" s="20">
        <f t="shared" si="3944"/>
        <v>800</v>
      </c>
      <c r="W1848" s="20">
        <f t="shared" si="3944"/>
        <v>600</v>
      </c>
      <c r="X1848" s="20">
        <f t="shared" si="3944"/>
        <v>5</v>
      </c>
      <c r="Y1848" s="20">
        <v>0</v>
      </c>
      <c r="Z1848" s="20">
        <v>0</v>
      </c>
      <c r="AA1848" s="20">
        <v>0</v>
      </c>
      <c r="AB1848" s="20">
        <v>0</v>
      </c>
      <c r="AC1848" s="20">
        <v>0</v>
      </c>
      <c r="AD1848" s="23">
        <f t="shared" ref="AD1848:AE1848" si="3945">AD1818</f>
        <v>32</v>
      </c>
      <c r="AE1848" s="23">
        <f t="shared" si="3945"/>
        <v>36</v>
      </c>
    </row>
    <row r="1849" spans="1:31">
      <c r="A1849" s="4">
        <v>16101</v>
      </c>
      <c r="B1849" s="4">
        <v>18</v>
      </c>
      <c r="C1849" s="29" t="s">
        <v>73</v>
      </c>
      <c r="D1849" s="46">
        <v>0</v>
      </c>
      <c r="E1849" s="28">
        <v>0</v>
      </c>
      <c r="F1849" s="28">
        <v>0</v>
      </c>
      <c r="G1849" s="28">
        <f t="shared" ref="G1849:H1849" si="3946">G1819*2</f>
        <v>292</v>
      </c>
      <c r="H1849" s="28">
        <f t="shared" si="3946"/>
        <v>2500</v>
      </c>
      <c r="I1849" s="21">
        <f t="shared" si="3879"/>
        <v>275</v>
      </c>
      <c r="J1849" s="21">
        <f t="shared" si="3850"/>
        <v>17</v>
      </c>
      <c r="K1849" s="21">
        <v>0</v>
      </c>
      <c r="L1849" s="20">
        <v>6</v>
      </c>
      <c r="M1849" s="20">
        <v>0</v>
      </c>
      <c r="N1849" s="20">
        <f t="shared" si="3880"/>
        <v>5400</v>
      </c>
      <c r="O1849" s="19" t="s">
        <v>73</v>
      </c>
      <c r="P1849" s="20">
        <v>1487</v>
      </c>
      <c r="Q1849" s="20">
        <f t="shared" ref="Q1849:X1849" si="3947">Q1819</f>
        <v>540</v>
      </c>
      <c r="R1849" s="20">
        <f t="shared" si="3947"/>
        <v>2160</v>
      </c>
      <c r="S1849" s="20">
        <f t="shared" si="3947"/>
        <v>3779.9999999999995</v>
      </c>
      <c r="T1849" s="20">
        <f t="shared" si="3947"/>
        <v>4860</v>
      </c>
      <c r="U1849" s="20">
        <f t="shared" si="3947"/>
        <v>100</v>
      </c>
      <c r="V1849" s="20">
        <f t="shared" si="3947"/>
        <v>600</v>
      </c>
      <c r="W1849" s="20">
        <f t="shared" si="3947"/>
        <v>300</v>
      </c>
      <c r="X1849" s="20">
        <f t="shared" si="3947"/>
        <v>5</v>
      </c>
      <c r="Y1849" s="20">
        <f>ROUND(D1849*0.25,-1)</f>
        <v>0</v>
      </c>
      <c r="Z1849" s="20">
        <f>ROUND(E1849*0.25,-1)</f>
        <v>0</v>
      </c>
      <c r="AA1849" s="20">
        <f>ROUND(F1849*0.25,-1)</f>
        <v>0</v>
      </c>
      <c r="AB1849" s="20">
        <f t="shared" si="3899"/>
        <v>132</v>
      </c>
      <c r="AC1849" s="20">
        <v>0</v>
      </c>
      <c r="AD1849" s="23">
        <f t="shared" ref="AD1849:AE1849" si="3948">AD1819</f>
        <v>34</v>
      </c>
      <c r="AE1849" s="23">
        <f t="shared" si="3948"/>
        <v>38</v>
      </c>
    </row>
    <row r="1850" spans="1:31">
      <c r="A1850" s="4">
        <v>16101</v>
      </c>
      <c r="B1850" s="4">
        <v>19</v>
      </c>
      <c r="C1850" s="29" t="s">
        <v>74</v>
      </c>
      <c r="D1850" s="46">
        <v>0</v>
      </c>
      <c r="E1850" s="28">
        <v>0</v>
      </c>
      <c r="F1850" s="28">
        <v>0</v>
      </c>
      <c r="G1850" s="28">
        <f t="shared" ref="G1850:H1850" si="3949">G1820*2</f>
        <v>316</v>
      </c>
      <c r="H1850" s="28">
        <f t="shared" si="3949"/>
        <v>2706</v>
      </c>
      <c r="I1850" s="21">
        <f t="shared" si="3879"/>
        <v>275</v>
      </c>
      <c r="J1850" s="21">
        <f t="shared" si="3850"/>
        <v>18</v>
      </c>
      <c r="K1850" s="21">
        <v>0</v>
      </c>
      <c r="L1850" s="20">
        <v>6</v>
      </c>
      <c r="M1850" s="20">
        <v>0</v>
      </c>
      <c r="N1850" s="20">
        <f t="shared" si="3880"/>
        <v>5700</v>
      </c>
      <c r="O1850" s="19" t="s">
        <v>74</v>
      </c>
      <c r="P1850" s="20">
        <v>1518</v>
      </c>
      <c r="Q1850" s="20">
        <f t="shared" ref="Q1850:X1850" si="3950">Q1820</f>
        <v>570</v>
      </c>
      <c r="R1850" s="20">
        <f t="shared" si="3950"/>
        <v>2280</v>
      </c>
      <c r="S1850" s="20">
        <f t="shared" si="3950"/>
        <v>3989.9999999999995</v>
      </c>
      <c r="T1850" s="20">
        <f t="shared" si="3950"/>
        <v>5130</v>
      </c>
      <c r="U1850" s="20">
        <f t="shared" si="3950"/>
        <v>100</v>
      </c>
      <c r="V1850" s="20">
        <f t="shared" si="3950"/>
        <v>500</v>
      </c>
      <c r="W1850" s="20">
        <f t="shared" si="3950"/>
        <v>400</v>
      </c>
      <c r="X1850" s="20">
        <f t="shared" si="3950"/>
        <v>5</v>
      </c>
      <c r="Y1850" s="20">
        <v>0</v>
      </c>
      <c r="Z1850" s="20">
        <v>0</v>
      </c>
      <c r="AA1850" s="20">
        <v>0</v>
      </c>
      <c r="AB1850" s="20">
        <v>0</v>
      </c>
      <c r="AC1850" s="20">
        <v>0</v>
      </c>
      <c r="AD1850" s="23">
        <f t="shared" ref="AD1850:AE1850" si="3951">AD1820</f>
        <v>36</v>
      </c>
      <c r="AE1850" s="23">
        <f t="shared" si="3951"/>
        <v>40</v>
      </c>
    </row>
    <row r="1851" spans="1:31">
      <c r="A1851" s="4">
        <v>16101</v>
      </c>
      <c r="B1851" s="4">
        <v>20</v>
      </c>
      <c r="C1851" s="29" t="s">
        <v>75</v>
      </c>
      <c r="D1851" s="46">
        <v>0</v>
      </c>
      <c r="E1851" s="28">
        <v>0</v>
      </c>
      <c r="F1851" s="28">
        <v>0</v>
      </c>
      <c r="G1851" s="28">
        <f t="shared" ref="G1851:H1851" si="3952">G1821*2</f>
        <v>342</v>
      </c>
      <c r="H1851" s="28">
        <f t="shared" si="3952"/>
        <v>2930</v>
      </c>
      <c r="I1851" s="21">
        <f t="shared" si="3879"/>
        <v>275</v>
      </c>
      <c r="J1851" s="21">
        <f t="shared" si="3850"/>
        <v>19</v>
      </c>
      <c r="K1851" s="21">
        <v>0</v>
      </c>
      <c r="L1851" s="20">
        <v>6</v>
      </c>
      <c r="M1851" s="20">
        <v>0</v>
      </c>
      <c r="N1851" s="20">
        <f t="shared" si="3880"/>
        <v>8000</v>
      </c>
      <c r="O1851" s="19" t="s">
        <v>75</v>
      </c>
      <c r="P1851" s="20">
        <v>861</v>
      </c>
      <c r="Q1851" s="20">
        <f t="shared" ref="Q1851:X1851" si="3953">Q1821</f>
        <v>800</v>
      </c>
      <c r="R1851" s="20">
        <f t="shared" si="3953"/>
        <v>3200</v>
      </c>
      <c r="S1851" s="20">
        <f t="shared" si="3953"/>
        <v>5600</v>
      </c>
      <c r="T1851" s="20">
        <f t="shared" si="3953"/>
        <v>7200</v>
      </c>
      <c r="U1851" s="20">
        <f t="shared" si="3953"/>
        <v>100</v>
      </c>
      <c r="V1851" s="20">
        <f t="shared" si="3953"/>
        <v>800</v>
      </c>
      <c r="W1851" s="20">
        <f t="shared" si="3953"/>
        <v>8000</v>
      </c>
      <c r="X1851" s="20">
        <f t="shared" si="3953"/>
        <v>5</v>
      </c>
      <c r="Y1851" s="20">
        <v>0</v>
      </c>
      <c r="Z1851" s="20">
        <v>0</v>
      </c>
      <c r="AA1851" s="20">
        <v>0</v>
      </c>
      <c r="AB1851" s="20">
        <v>0</v>
      </c>
      <c r="AC1851" s="20">
        <v>0</v>
      </c>
      <c r="AD1851" s="23">
        <f t="shared" ref="AD1851:AE1851" si="3954">AD1821</f>
        <v>38</v>
      </c>
      <c r="AE1851" s="23">
        <f t="shared" si="3954"/>
        <v>42</v>
      </c>
    </row>
    <row r="1852" spans="1:31">
      <c r="A1852" s="4">
        <v>16101</v>
      </c>
      <c r="B1852" s="4">
        <v>21</v>
      </c>
      <c r="C1852" s="29" t="s">
        <v>66</v>
      </c>
      <c r="D1852" s="46">
        <v>0</v>
      </c>
      <c r="E1852" s="28">
        <v>0</v>
      </c>
      <c r="F1852" s="28">
        <v>0</v>
      </c>
      <c r="G1852" s="28">
        <f t="shared" ref="G1852:H1852" si="3955">G1822*2</f>
        <v>370</v>
      </c>
      <c r="H1852" s="28">
        <f t="shared" si="3955"/>
        <v>3172</v>
      </c>
      <c r="I1852" s="21">
        <f t="shared" si="3879"/>
        <v>330</v>
      </c>
      <c r="J1852" s="21">
        <f t="shared" si="3850"/>
        <v>20</v>
      </c>
      <c r="K1852" s="21">
        <v>0</v>
      </c>
      <c r="L1852" s="20">
        <v>6</v>
      </c>
      <c r="M1852" s="20">
        <v>0</v>
      </c>
      <c r="N1852" s="20">
        <f t="shared" si="3880"/>
        <v>8400</v>
      </c>
      <c r="O1852" s="19" t="s">
        <v>66</v>
      </c>
      <c r="P1852" s="20">
        <v>9400</v>
      </c>
      <c r="Q1852" s="20">
        <f t="shared" ref="Q1852:X1852" si="3956">Q1822</f>
        <v>840</v>
      </c>
      <c r="R1852" s="20">
        <f t="shared" si="3956"/>
        <v>3360</v>
      </c>
      <c r="S1852" s="20">
        <f t="shared" si="3956"/>
        <v>5880</v>
      </c>
      <c r="T1852" s="20">
        <f t="shared" si="3956"/>
        <v>7560</v>
      </c>
      <c r="U1852" s="20">
        <f t="shared" si="3956"/>
        <v>50</v>
      </c>
      <c r="V1852" s="20">
        <f t="shared" si="3956"/>
        <v>1000</v>
      </c>
      <c r="W1852" s="20">
        <f t="shared" si="3956"/>
        <v>600</v>
      </c>
      <c r="X1852" s="20">
        <f t="shared" si="3956"/>
        <v>6</v>
      </c>
      <c r="Y1852" s="20">
        <v>0</v>
      </c>
      <c r="Z1852" s="20">
        <v>0</v>
      </c>
      <c r="AA1852" s="20">
        <v>0</v>
      </c>
      <c r="AB1852" s="20">
        <v>0</v>
      </c>
      <c r="AC1852" s="20">
        <v>0</v>
      </c>
      <c r="AD1852" s="23">
        <f t="shared" ref="AD1852:AE1852" si="3957">AD1822</f>
        <v>40</v>
      </c>
      <c r="AE1852" s="23">
        <f t="shared" si="3957"/>
        <v>44</v>
      </c>
    </row>
    <row r="1853" spans="1:31">
      <c r="A1853" s="4">
        <v>16101</v>
      </c>
      <c r="B1853" s="4">
        <v>22</v>
      </c>
      <c r="C1853" s="29" t="s">
        <v>67</v>
      </c>
      <c r="D1853" s="46">
        <v>0</v>
      </c>
      <c r="E1853" s="28">
        <v>0</v>
      </c>
      <c r="F1853" s="28">
        <v>0</v>
      </c>
      <c r="G1853" s="28">
        <f t="shared" ref="G1853:H1853" si="3958">G1823*2</f>
        <v>402</v>
      </c>
      <c r="H1853" s="28">
        <f t="shared" si="3958"/>
        <v>3434</v>
      </c>
      <c r="I1853" s="21">
        <f t="shared" si="3879"/>
        <v>330</v>
      </c>
      <c r="J1853" s="21">
        <f t="shared" si="3850"/>
        <v>21</v>
      </c>
      <c r="K1853" s="21">
        <v>0</v>
      </c>
      <c r="L1853" s="20">
        <v>6</v>
      </c>
      <c r="M1853" s="20">
        <v>0</v>
      </c>
      <c r="N1853" s="20">
        <f t="shared" si="3880"/>
        <v>8800</v>
      </c>
      <c r="O1853" s="19" t="s">
        <v>67</v>
      </c>
      <c r="P1853" s="20">
        <v>9100</v>
      </c>
      <c r="Q1853" s="20">
        <f t="shared" ref="Q1853:X1853" si="3959">Q1823</f>
        <v>880</v>
      </c>
      <c r="R1853" s="20">
        <f t="shared" si="3959"/>
        <v>3520</v>
      </c>
      <c r="S1853" s="20">
        <f t="shared" si="3959"/>
        <v>6160</v>
      </c>
      <c r="T1853" s="20">
        <f t="shared" si="3959"/>
        <v>7920</v>
      </c>
      <c r="U1853" s="20">
        <f t="shared" si="3959"/>
        <v>100</v>
      </c>
      <c r="V1853" s="20">
        <f t="shared" si="3959"/>
        <v>600</v>
      </c>
      <c r="W1853" s="20">
        <f t="shared" si="3959"/>
        <v>700</v>
      </c>
      <c r="X1853" s="20">
        <f t="shared" si="3959"/>
        <v>6</v>
      </c>
      <c r="Y1853" s="20">
        <v>0</v>
      </c>
      <c r="Z1853" s="20">
        <v>0</v>
      </c>
      <c r="AA1853" s="20">
        <v>0</v>
      </c>
      <c r="AB1853" s="20">
        <v>0</v>
      </c>
      <c r="AC1853" s="20">
        <v>0</v>
      </c>
      <c r="AD1853" s="23">
        <f t="shared" ref="AD1853:AE1853" si="3960">AD1823</f>
        <v>42</v>
      </c>
      <c r="AE1853" s="23">
        <f t="shared" si="3960"/>
        <v>46</v>
      </c>
    </row>
    <row r="1854" spans="1:31">
      <c r="A1854" s="4">
        <v>16101</v>
      </c>
      <c r="B1854" s="4">
        <v>23</v>
      </c>
      <c r="C1854" s="29" t="s">
        <v>68</v>
      </c>
      <c r="D1854" s="46">
        <v>0</v>
      </c>
      <c r="E1854" s="28">
        <v>0</v>
      </c>
      <c r="F1854" s="28">
        <v>0</v>
      </c>
      <c r="G1854" s="28">
        <f t="shared" ref="G1854:H1854" si="3961">G1824*2</f>
        <v>434</v>
      </c>
      <c r="H1854" s="28">
        <f t="shared" si="3961"/>
        <v>3718</v>
      </c>
      <c r="I1854" s="21">
        <f t="shared" si="3879"/>
        <v>330</v>
      </c>
      <c r="J1854" s="21">
        <f t="shared" si="3850"/>
        <v>22</v>
      </c>
      <c r="K1854" s="21">
        <v>0</v>
      </c>
      <c r="L1854" s="20">
        <v>6</v>
      </c>
      <c r="M1854" s="20">
        <v>0</v>
      </c>
      <c r="N1854" s="20">
        <f t="shared" si="3880"/>
        <v>9200</v>
      </c>
      <c r="O1854" s="19" t="s">
        <v>68</v>
      </c>
      <c r="P1854" s="20">
        <v>8600</v>
      </c>
      <c r="Q1854" s="20">
        <f t="shared" ref="Q1854:X1854" si="3962">Q1824</f>
        <v>920</v>
      </c>
      <c r="R1854" s="20">
        <f t="shared" si="3962"/>
        <v>3680</v>
      </c>
      <c r="S1854" s="20">
        <f t="shared" si="3962"/>
        <v>6440</v>
      </c>
      <c r="T1854" s="20">
        <f t="shared" si="3962"/>
        <v>8280</v>
      </c>
      <c r="U1854" s="20">
        <f t="shared" si="3962"/>
        <v>100</v>
      </c>
      <c r="V1854" s="20">
        <f t="shared" si="3962"/>
        <v>550</v>
      </c>
      <c r="W1854" s="20">
        <f t="shared" si="3962"/>
        <v>500</v>
      </c>
      <c r="X1854" s="20">
        <f t="shared" si="3962"/>
        <v>6</v>
      </c>
      <c r="Y1854" s="20">
        <f>ROUND(D1854*0.25,-1)</f>
        <v>0</v>
      </c>
      <c r="Z1854" s="20">
        <f>ROUND(E1854*0.25,-1)</f>
        <v>0</v>
      </c>
      <c r="AA1854" s="20">
        <f>ROUND(F1854*0.25,-1)</f>
        <v>0</v>
      </c>
      <c r="AB1854" s="20">
        <f t="shared" si="3899"/>
        <v>176</v>
      </c>
      <c r="AC1854" s="20">
        <v>0</v>
      </c>
      <c r="AD1854" s="23">
        <f t="shared" ref="AD1854:AE1854" si="3963">AD1824</f>
        <v>44</v>
      </c>
      <c r="AE1854" s="23">
        <f t="shared" si="3963"/>
        <v>48</v>
      </c>
    </row>
    <row r="1855" spans="1:31">
      <c r="A1855" s="4">
        <v>16101</v>
      </c>
      <c r="B1855" s="4">
        <v>24</v>
      </c>
      <c r="C1855" s="29" t="s">
        <v>69</v>
      </c>
      <c r="D1855" s="46">
        <v>0</v>
      </c>
      <c r="E1855" s="28">
        <v>0</v>
      </c>
      <c r="F1855" s="28">
        <v>0</v>
      </c>
      <c r="G1855" s="28">
        <f t="shared" ref="G1855:H1855" si="3964">G1825*2</f>
        <v>470</v>
      </c>
      <c r="H1855" s="28">
        <f t="shared" si="3964"/>
        <v>4024</v>
      </c>
      <c r="I1855" s="21">
        <f t="shared" si="3879"/>
        <v>330</v>
      </c>
      <c r="J1855" s="21">
        <f t="shared" si="3850"/>
        <v>23</v>
      </c>
      <c r="K1855" s="21">
        <v>0</v>
      </c>
      <c r="L1855" s="20">
        <v>6</v>
      </c>
      <c r="M1855" s="20">
        <v>0</v>
      </c>
      <c r="N1855" s="20">
        <f t="shared" si="3880"/>
        <v>9600</v>
      </c>
      <c r="O1855" s="19" t="s">
        <v>69</v>
      </c>
      <c r="P1855" s="20">
        <v>6400</v>
      </c>
      <c r="Q1855" s="20">
        <f t="shared" ref="Q1855:X1855" si="3965">Q1825</f>
        <v>960</v>
      </c>
      <c r="R1855" s="20">
        <f t="shared" si="3965"/>
        <v>3840</v>
      </c>
      <c r="S1855" s="20">
        <f t="shared" si="3965"/>
        <v>6720</v>
      </c>
      <c r="T1855" s="20">
        <f t="shared" si="3965"/>
        <v>8640</v>
      </c>
      <c r="U1855" s="20">
        <f t="shared" si="3965"/>
        <v>100</v>
      </c>
      <c r="V1855" s="20">
        <f t="shared" si="3965"/>
        <v>500</v>
      </c>
      <c r="W1855" s="20">
        <f t="shared" si="3965"/>
        <v>900</v>
      </c>
      <c r="X1855" s="20">
        <f t="shared" si="3965"/>
        <v>6</v>
      </c>
      <c r="Y1855" s="20">
        <v>0</v>
      </c>
      <c r="Z1855" s="20">
        <v>0</v>
      </c>
      <c r="AA1855" s="20">
        <v>0</v>
      </c>
      <c r="AB1855" s="20">
        <v>0</v>
      </c>
      <c r="AC1855" s="20">
        <v>0</v>
      </c>
      <c r="AD1855" s="23">
        <f t="shared" ref="AD1855:AE1855" si="3966">AD1825</f>
        <v>46</v>
      </c>
      <c r="AE1855" s="23">
        <f t="shared" si="3966"/>
        <v>50</v>
      </c>
    </row>
    <row r="1856" spans="1:31">
      <c r="A1856" s="4">
        <v>16101</v>
      </c>
      <c r="B1856" s="4">
        <v>25</v>
      </c>
      <c r="C1856" s="29" t="s">
        <v>70</v>
      </c>
      <c r="D1856" s="46">
        <v>0</v>
      </c>
      <c r="E1856" s="28">
        <v>0</v>
      </c>
      <c r="F1856" s="28">
        <v>0</v>
      </c>
      <c r="G1856" s="28">
        <f t="shared" ref="G1856:H1856" si="3967">G1826*2</f>
        <v>508</v>
      </c>
      <c r="H1856" s="28">
        <f t="shared" si="3967"/>
        <v>4356</v>
      </c>
      <c r="I1856" s="21">
        <f t="shared" si="3879"/>
        <v>385</v>
      </c>
      <c r="J1856" s="21">
        <f t="shared" si="3850"/>
        <v>24</v>
      </c>
      <c r="K1856" s="21">
        <v>0</v>
      </c>
      <c r="L1856" s="20">
        <v>6</v>
      </c>
      <c r="M1856" s="20">
        <v>0</v>
      </c>
      <c r="N1856" s="20">
        <f t="shared" si="3880"/>
        <v>12500</v>
      </c>
      <c r="O1856" s="19" t="s">
        <v>70</v>
      </c>
      <c r="P1856" s="20">
        <v>3100</v>
      </c>
      <c r="Q1856" s="20">
        <f t="shared" ref="Q1856:X1856" si="3968">Q1826</f>
        <v>1250</v>
      </c>
      <c r="R1856" s="20">
        <f t="shared" si="3968"/>
        <v>5000</v>
      </c>
      <c r="S1856" s="20">
        <f t="shared" si="3968"/>
        <v>8750</v>
      </c>
      <c r="T1856" s="20">
        <f t="shared" si="3968"/>
        <v>11250</v>
      </c>
      <c r="U1856" s="20">
        <f t="shared" si="3968"/>
        <v>10</v>
      </c>
      <c r="V1856" s="20">
        <f t="shared" si="3968"/>
        <v>1300</v>
      </c>
      <c r="W1856" s="20">
        <f t="shared" si="3968"/>
        <v>1000</v>
      </c>
      <c r="X1856" s="20">
        <f t="shared" si="3968"/>
        <v>7</v>
      </c>
      <c r="Y1856" s="20">
        <v>0</v>
      </c>
      <c r="Z1856" s="20">
        <v>0</v>
      </c>
      <c r="AA1856" s="20">
        <v>0</v>
      </c>
      <c r="AB1856" s="20">
        <v>0</v>
      </c>
      <c r="AC1856" s="20">
        <v>0</v>
      </c>
      <c r="AD1856" s="23">
        <f t="shared" ref="AD1856:AE1856" si="3969">AD1826</f>
        <v>48</v>
      </c>
      <c r="AE1856" s="23">
        <f t="shared" si="3969"/>
        <v>52</v>
      </c>
    </row>
    <row r="1857" spans="1:31">
      <c r="A1857" s="4">
        <v>16101</v>
      </c>
      <c r="B1857" s="4">
        <v>26</v>
      </c>
      <c r="C1857" s="29" t="s">
        <v>71</v>
      </c>
      <c r="D1857" s="46">
        <v>0</v>
      </c>
      <c r="E1857" s="28">
        <v>0</v>
      </c>
      <c r="F1857" s="28">
        <v>0</v>
      </c>
      <c r="G1857" s="28">
        <f t="shared" ref="G1857:H1857" si="3970">G1827*2</f>
        <v>550</v>
      </c>
      <c r="H1857" s="28">
        <f t="shared" si="3970"/>
        <v>4716</v>
      </c>
      <c r="I1857" s="21">
        <f t="shared" si="3879"/>
        <v>385</v>
      </c>
      <c r="J1857" s="21">
        <f t="shared" si="3850"/>
        <v>25</v>
      </c>
      <c r="K1857" s="21">
        <v>0</v>
      </c>
      <c r="L1857" s="20">
        <v>6</v>
      </c>
      <c r="M1857" s="20">
        <v>0</v>
      </c>
      <c r="N1857" s="20">
        <f t="shared" si="3880"/>
        <v>13000</v>
      </c>
      <c r="O1857" s="19" t="s">
        <v>71</v>
      </c>
      <c r="P1857" s="20">
        <v>1777</v>
      </c>
      <c r="Q1857" s="20">
        <f t="shared" ref="Q1857:X1857" si="3971">Q1827</f>
        <v>1300</v>
      </c>
      <c r="R1857" s="20">
        <f t="shared" si="3971"/>
        <v>5200</v>
      </c>
      <c r="S1857" s="20">
        <f t="shared" si="3971"/>
        <v>9100</v>
      </c>
      <c r="T1857" s="20">
        <f t="shared" si="3971"/>
        <v>11700</v>
      </c>
      <c r="U1857" s="20">
        <f t="shared" si="3971"/>
        <v>90</v>
      </c>
      <c r="V1857" s="20">
        <f t="shared" si="3971"/>
        <v>800</v>
      </c>
      <c r="W1857" s="20">
        <f t="shared" si="3971"/>
        <v>2000</v>
      </c>
      <c r="X1857" s="20">
        <f t="shared" si="3971"/>
        <v>7</v>
      </c>
      <c r="Y1857" s="20">
        <v>0</v>
      </c>
      <c r="Z1857" s="20">
        <v>0</v>
      </c>
      <c r="AA1857" s="20">
        <v>0</v>
      </c>
      <c r="AB1857" s="20">
        <v>0</v>
      </c>
      <c r="AC1857" s="20">
        <v>0</v>
      </c>
      <c r="AD1857" s="23">
        <f t="shared" ref="AD1857:AE1857" si="3972">AD1827</f>
        <v>50</v>
      </c>
      <c r="AE1857" s="23">
        <f t="shared" si="3972"/>
        <v>54</v>
      </c>
    </row>
    <row r="1858" spans="1:31">
      <c r="A1858" s="4">
        <v>16101</v>
      </c>
      <c r="B1858" s="4">
        <v>27</v>
      </c>
      <c r="C1858" s="29" t="s">
        <v>72</v>
      </c>
      <c r="D1858" s="46">
        <v>0</v>
      </c>
      <c r="E1858" s="28">
        <v>0</v>
      </c>
      <c r="F1858" s="28">
        <v>0</v>
      </c>
      <c r="G1858" s="28">
        <f t="shared" ref="G1858:H1858" si="3973">G1828*2</f>
        <v>596</v>
      </c>
      <c r="H1858" s="28">
        <f t="shared" si="3973"/>
        <v>5106</v>
      </c>
      <c r="I1858" s="21">
        <f t="shared" si="3879"/>
        <v>385</v>
      </c>
      <c r="J1858" s="21">
        <f t="shared" si="3850"/>
        <v>26</v>
      </c>
      <c r="K1858" s="21">
        <v>0</v>
      </c>
      <c r="L1858" s="20">
        <v>6</v>
      </c>
      <c r="M1858" s="20">
        <v>0</v>
      </c>
      <c r="N1858" s="20">
        <f t="shared" si="3880"/>
        <v>13500</v>
      </c>
      <c r="O1858" s="19" t="s">
        <v>72</v>
      </c>
      <c r="P1858" s="20">
        <v>2332</v>
      </c>
      <c r="Q1858" s="20">
        <f t="shared" ref="Q1858:X1858" si="3974">Q1828</f>
        <v>1350</v>
      </c>
      <c r="R1858" s="20">
        <f t="shared" si="3974"/>
        <v>5400</v>
      </c>
      <c r="S1858" s="20">
        <f t="shared" si="3974"/>
        <v>9450</v>
      </c>
      <c r="T1858" s="20">
        <f t="shared" si="3974"/>
        <v>12150</v>
      </c>
      <c r="U1858" s="20">
        <f t="shared" si="3974"/>
        <v>80</v>
      </c>
      <c r="V1858" s="20">
        <f t="shared" si="3974"/>
        <v>700</v>
      </c>
      <c r="W1858" s="20">
        <f t="shared" si="3974"/>
        <v>800</v>
      </c>
      <c r="X1858" s="20">
        <f t="shared" si="3974"/>
        <v>7</v>
      </c>
      <c r="Y1858" s="20">
        <v>0</v>
      </c>
      <c r="Z1858" s="20">
        <v>0</v>
      </c>
      <c r="AA1858" s="20">
        <v>0</v>
      </c>
      <c r="AB1858" s="20">
        <v>0</v>
      </c>
      <c r="AC1858" s="20">
        <v>0</v>
      </c>
      <c r="AD1858" s="23">
        <f t="shared" ref="AD1858:AE1858" si="3975">AD1828</f>
        <v>52</v>
      </c>
      <c r="AE1858" s="23">
        <f t="shared" si="3975"/>
        <v>56</v>
      </c>
    </row>
    <row r="1859" spans="1:31">
      <c r="A1859" s="4">
        <v>16101</v>
      </c>
      <c r="B1859" s="4">
        <v>28</v>
      </c>
      <c r="C1859" s="29" t="s">
        <v>73</v>
      </c>
      <c r="D1859" s="46">
        <v>0</v>
      </c>
      <c r="E1859" s="28">
        <v>0</v>
      </c>
      <c r="F1859" s="28">
        <v>0</v>
      </c>
      <c r="G1859" s="28">
        <f t="shared" ref="G1859:H1859" si="3976">G1829*2</f>
        <v>646</v>
      </c>
      <c r="H1859" s="28">
        <f t="shared" si="3976"/>
        <v>5528</v>
      </c>
      <c r="I1859" s="21">
        <f t="shared" si="3879"/>
        <v>385</v>
      </c>
      <c r="J1859" s="21">
        <f t="shared" si="3850"/>
        <v>27</v>
      </c>
      <c r="K1859" s="21">
        <v>0</v>
      </c>
      <c r="L1859" s="20">
        <v>6</v>
      </c>
      <c r="M1859" s="20">
        <v>0</v>
      </c>
      <c r="N1859" s="20">
        <f t="shared" si="3880"/>
        <v>14000</v>
      </c>
      <c r="O1859" s="19" t="s">
        <v>73</v>
      </c>
      <c r="P1859" s="20">
        <v>1487</v>
      </c>
      <c r="Q1859" s="20">
        <f t="shared" ref="Q1859:X1859" si="3977">Q1829</f>
        <v>1400</v>
      </c>
      <c r="R1859" s="20">
        <f t="shared" si="3977"/>
        <v>5600</v>
      </c>
      <c r="S1859" s="20">
        <f t="shared" si="3977"/>
        <v>9800</v>
      </c>
      <c r="T1859" s="20">
        <f t="shared" si="3977"/>
        <v>12600</v>
      </c>
      <c r="U1859" s="20">
        <f t="shared" si="3977"/>
        <v>80</v>
      </c>
      <c r="V1859" s="20">
        <f t="shared" si="3977"/>
        <v>500</v>
      </c>
      <c r="W1859" s="20">
        <f t="shared" si="3977"/>
        <v>600</v>
      </c>
      <c r="X1859" s="20">
        <f t="shared" si="3977"/>
        <v>7</v>
      </c>
      <c r="Y1859" s="20">
        <f>ROUND(D1859*0.25,-1)</f>
        <v>0</v>
      </c>
      <c r="Z1859" s="20">
        <f>ROUND(E1859*0.25,-1)</f>
        <v>0</v>
      </c>
      <c r="AA1859" s="20">
        <f>ROUND(F1859*0.25,-1)</f>
        <v>0</v>
      </c>
      <c r="AB1859" s="20">
        <f t="shared" si="3899"/>
        <v>220</v>
      </c>
      <c r="AC1859" s="20">
        <v>0</v>
      </c>
      <c r="AD1859" s="23">
        <f t="shared" ref="AD1859:AE1859" si="3978">AD1829</f>
        <v>54</v>
      </c>
      <c r="AE1859" s="23">
        <f t="shared" si="3978"/>
        <v>58</v>
      </c>
    </row>
    <row r="1860" spans="1:31">
      <c r="A1860" s="4">
        <v>16101</v>
      </c>
      <c r="B1860" s="4">
        <v>29</v>
      </c>
      <c r="C1860" s="29" t="s">
        <v>74</v>
      </c>
      <c r="D1860" s="46">
        <v>0</v>
      </c>
      <c r="E1860" s="28">
        <v>0</v>
      </c>
      <c r="F1860" s="28">
        <v>0</v>
      </c>
      <c r="G1860" s="28">
        <f t="shared" ref="G1860:H1860" si="3979">G1830*2</f>
        <v>698</v>
      </c>
      <c r="H1860" s="28">
        <f t="shared" si="3979"/>
        <v>5986</v>
      </c>
      <c r="I1860" s="21">
        <f t="shared" si="3879"/>
        <v>440</v>
      </c>
      <c r="J1860" s="21">
        <f t="shared" si="3850"/>
        <v>28</v>
      </c>
      <c r="K1860" s="21">
        <v>0</v>
      </c>
      <c r="L1860" s="20">
        <v>6</v>
      </c>
      <c r="M1860" s="20">
        <v>0</v>
      </c>
      <c r="N1860" s="20">
        <f t="shared" si="3880"/>
        <v>14500</v>
      </c>
      <c r="O1860" s="19" t="s">
        <v>74</v>
      </c>
      <c r="P1860" s="20">
        <v>1518</v>
      </c>
      <c r="Q1860" s="20">
        <f t="shared" ref="Q1860:X1860" si="3980">Q1830</f>
        <v>1450</v>
      </c>
      <c r="R1860" s="20">
        <f t="shared" si="3980"/>
        <v>5800</v>
      </c>
      <c r="S1860" s="20">
        <f t="shared" si="3980"/>
        <v>10150</v>
      </c>
      <c r="T1860" s="20">
        <f t="shared" si="3980"/>
        <v>13050</v>
      </c>
      <c r="U1860" s="20">
        <f t="shared" si="3980"/>
        <v>80</v>
      </c>
      <c r="V1860" s="20">
        <f t="shared" si="3980"/>
        <v>600</v>
      </c>
      <c r="W1860" s="20">
        <f t="shared" si="3980"/>
        <v>700</v>
      </c>
      <c r="X1860" s="20">
        <f t="shared" si="3980"/>
        <v>8</v>
      </c>
      <c r="Y1860" s="20">
        <v>0</v>
      </c>
      <c r="Z1860" s="20">
        <v>0</v>
      </c>
      <c r="AA1860" s="20">
        <v>0</v>
      </c>
      <c r="AB1860" s="20">
        <v>0</v>
      </c>
      <c r="AC1860" s="20">
        <v>0</v>
      </c>
      <c r="AD1860" s="23">
        <f t="shared" ref="AD1860:AE1860" si="3981">AD1830</f>
        <v>56</v>
      </c>
      <c r="AE1860" s="23">
        <f t="shared" si="3981"/>
        <v>60</v>
      </c>
    </row>
    <row r="1861" spans="1:31">
      <c r="A1861" s="4">
        <v>16101</v>
      </c>
      <c r="B1861" s="4">
        <v>30</v>
      </c>
      <c r="C1861" s="29" t="s">
        <v>75</v>
      </c>
      <c r="D1861" s="46">
        <v>0</v>
      </c>
      <c r="E1861" s="28">
        <v>0</v>
      </c>
      <c r="F1861" s="28">
        <v>0</v>
      </c>
      <c r="G1861" s="28">
        <f t="shared" ref="G1861:H1861" si="3982">G1831*2</f>
        <v>756</v>
      </c>
      <c r="H1861" s="28">
        <f t="shared" si="3982"/>
        <v>6480</v>
      </c>
      <c r="I1861" s="21">
        <f t="shared" si="3879"/>
        <v>440</v>
      </c>
      <c r="J1861" s="21">
        <f t="shared" si="3850"/>
        <v>29</v>
      </c>
      <c r="K1861" s="21">
        <v>0</v>
      </c>
      <c r="L1861" s="20">
        <v>6</v>
      </c>
      <c r="M1861" s="20">
        <v>0</v>
      </c>
      <c r="N1861" s="20">
        <f t="shared" si="3880"/>
        <v>15000</v>
      </c>
      <c r="O1861" s="19" t="s">
        <v>75</v>
      </c>
      <c r="P1861" s="20">
        <v>861</v>
      </c>
      <c r="Q1861" s="20">
        <f t="shared" ref="Q1861:X1861" si="3983">Q1831</f>
        <v>1500</v>
      </c>
      <c r="R1861" s="20">
        <f t="shared" si="3983"/>
        <v>6000</v>
      </c>
      <c r="S1861" s="20">
        <f t="shared" si="3983"/>
        <v>10500</v>
      </c>
      <c r="T1861" s="20">
        <f t="shared" si="3983"/>
        <v>13500</v>
      </c>
      <c r="U1861" s="20">
        <f t="shared" si="3983"/>
        <v>20</v>
      </c>
      <c r="V1861" s="20">
        <f t="shared" si="3983"/>
        <v>450</v>
      </c>
      <c r="W1861" s="20">
        <f t="shared" si="3983"/>
        <v>1000</v>
      </c>
      <c r="X1861" s="20">
        <f t="shared" si="3983"/>
        <v>8</v>
      </c>
      <c r="Y1861" s="20">
        <v>0</v>
      </c>
      <c r="Z1861" s="20">
        <v>0</v>
      </c>
      <c r="AA1861" s="20">
        <v>0</v>
      </c>
      <c r="AB1861" s="20">
        <v>0</v>
      </c>
      <c r="AC1861" s="20">
        <v>0</v>
      </c>
      <c r="AD1861" s="23">
        <f t="shared" ref="AD1861:AE1861" si="3984">AD1831</f>
        <v>58</v>
      </c>
      <c r="AE1861" s="23">
        <f t="shared" si="3984"/>
        <v>62</v>
      </c>
    </row>
    <row r="1862" spans="1:31">
      <c r="A1862" s="4">
        <v>16102</v>
      </c>
      <c r="B1862" s="4">
        <v>1</v>
      </c>
      <c r="C1862" s="19" t="s">
        <v>66</v>
      </c>
      <c r="D1862" s="44">
        <v>0</v>
      </c>
      <c r="E1862" s="18">
        <v>0</v>
      </c>
      <c r="F1862" s="18">
        <v>0</v>
      </c>
      <c r="G1862" s="18">
        <f>G1802*3</f>
        <v>114</v>
      </c>
      <c r="H1862" s="18">
        <f>H1802*3</f>
        <v>972</v>
      </c>
      <c r="I1862" s="21">
        <f t="shared" si="3879"/>
        <v>55</v>
      </c>
      <c r="J1862" s="21">
        <f t="shared" si="3850"/>
        <v>0</v>
      </c>
      <c r="K1862" s="21">
        <v>0</v>
      </c>
      <c r="L1862" s="20">
        <v>45</v>
      </c>
      <c r="M1862" s="20">
        <v>0</v>
      </c>
      <c r="N1862" s="20">
        <f t="shared" si="3880"/>
        <v>10</v>
      </c>
      <c r="O1862" s="19" t="s">
        <v>66</v>
      </c>
      <c r="P1862" s="20">
        <v>9400</v>
      </c>
      <c r="Q1862" s="20">
        <f t="shared" ref="Q1862:X1862" si="3985">Q1832</f>
        <v>1</v>
      </c>
      <c r="R1862" s="20">
        <f t="shared" si="3985"/>
        <v>4</v>
      </c>
      <c r="S1862" s="20">
        <f t="shared" si="3985"/>
        <v>7</v>
      </c>
      <c r="T1862" s="20">
        <f t="shared" si="3985"/>
        <v>9</v>
      </c>
      <c r="U1862" s="20">
        <f t="shared" si="3985"/>
        <v>9400</v>
      </c>
      <c r="V1862" s="20">
        <f t="shared" si="3985"/>
        <v>9400</v>
      </c>
      <c r="W1862" s="20">
        <f t="shared" si="3985"/>
        <v>9400</v>
      </c>
      <c r="X1862" s="20">
        <f t="shared" si="3985"/>
        <v>1</v>
      </c>
      <c r="Y1862" s="20">
        <v>0</v>
      </c>
      <c r="Z1862" s="20">
        <v>0</v>
      </c>
      <c r="AA1862" s="20">
        <v>0</v>
      </c>
      <c r="AB1862" s="20">
        <f>INT(AB1922*0.8)</f>
        <v>0</v>
      </c>
      <c r="AC1862" s="20">
        <v>0</v>
      </c>
      <c r="AD1862" s="23">
        <f t="shared" ref="AD1862:AE1862" si="3986">AD1832</f>
        <v>1</v>
      </c>
      <c r="AE1862" s="23">
        <f t="shared" si="3986"/>
        <v>3</v>
      </c>
    </row>
    <row r="1863" spans="1:31">
      <c r="A1863" s="4">
        <v>16102</v>
      </c>
      <c r="B1863" s="4">
        <v>2</v>
      </c>
      <c r="C1863" s="19" t="s">
        <v>67</v>
      </c>
      <c r="D1863" s="44">
        <v>0</v>
      </c>
      <c r="E1863" s="18">
        <v>0</v>
      </c>
      <c r="F1863" s="18">
        <v>0</v>
      </c>
      <c r="G1863" s="18">
        <f t="shared" ref="G1863:H1863" si="3987">G1803*3</f>
        <v>123</v>
      </c>
      <c r="H1863" s="18">
        <f t="shared" si="3987"/>
        <v>1053</v>
      </c>
      <c r="I1863" s="21">
        <f t="shared" si="3879"/>
        <v>55</v>
      </c>
      <c r="J1863" s="21">
        <f t="shared" si="3850"/>
        <v>1</v>
      </c>
      <c r="K1863" s="21">
        <v>0</v>
      </c>
      <c r="L1863" s="20">
        <v>40</v>
      </c>
      <c r="M1863" s="20">
        <v>0</v>
      </c>
      <c r="N1863" s="20">
        <f t="shared" si="3880"/>
        <v>20</v>
      </c>
      <c r="O1863" s="19" t="s">
        <v>67</v>
      </c>
      <c r="P1863" s="20">
        <v>9100</v>
      </c>
      <c r="Q1863" s="20">
        <f t="shared" ref="Q1863:X1863" si="3988">Q1833</f>
        <v>2</v>
      </c>
      <c r="R1863" s="20">
        <f t="shared" si="3988"/>
        <v>8</v>
      </c>
      <c r="S1863" s="20">
        <f t="shared" si="3988"/>
        <v>14</v>
      </c>
      <c r="T1863" s="20">
        <f t="shared" si="3988"/>
        <v>18</v>
      </c>
      <c r="U1863" s="20">
        <f t="shared" si="3988"/>
        <v>4000</v>
      </c>
      <c r="V1863" s="20">
        <f t="shared" si="3988"/>
        <v>8000</v>
      </c>
      <c r="W1863" s="20">
        <f t="shared" si="3988"/>
        <v>8000</v>
      </c>
      <c r="X1863" s="20">
        <f t="shared" si="3988"/>
        <v>1</v>
      </c>
      <c r="Y1863" s="20">
        <v>0</v>
      </c>
      <c r="Z1863" s="20">
        <v>0</v>
      </c>
      <c r="AA1863" s="20">
        <v>0</v>
      </c>
      <c r="AB1863" s="20">
        <f t="shared" ref="AB1863:AB1889" si="3989">INT(AB1923*0.8)</f>
        <v>0</v>
      </c>
      <c r="AC1863" s="20">
        <v>0</v>
      </c>
      <c r="AD1863" s="23">
        <f t="shared" ref="AD1863:AE1863" si="3990">AD1833</f>
        <v>2</v>
      </c>
      <c r="AE1863" s="23">
        <f t="shared" si="3990"/>
        <v>5</v>
      </c>
    </row>
    <row r="1864" spans="1:31">
      <c r="A1864" s="4">
        <v>16102</v>
      </c>
      <c r="B1864" s="4">
        <v>3</v>
      </c>
      <c r="C1864" s="19" t="s">
        <v>68</v>
      </c>
      <c r="D1864" s="44">
        <v>0</v>
      </c>
      <c r="E1864" s="18">
        <v>0</v>
      </c>
      <c r="F1864" s="18">
        <v>0</v>
      </c>
      <c r="G1864" s="18">
        <f t="shared" ref="G1864:H1864" si="3991">G1804*3</f>
        <v>135</v>
      </c>
      <c r="H1864" s="18">
        <f t="shared" si="3991"/>
        <v>1140</v>
      </c>
      <c r="I1864" s="21">
        <f t="shared" si="3879"/>
        <v>55</v>
      </c>
      <c r="J1864" s="21">
        <f t="shared" si="3850"/>
        <v>2</v>
      </c>
      <c r="K1864" s="21">
        <v>0</v>
      </c>
      <c r="L1864" s="20">
        <v>35</v>
      </c>
      <c r="M1864" s="20">
        <v>0</v>
      </c>
      <c r="N1864" s="20">
        <f t="shared" si="3880"/>
        <v>40</v>
      </c>
      <c r="O1864" s="19" t="s">
        <v>68</v>
      </c>
      <c r="P1864" s="20">
        <v>8600</v>
      </c>
      <c r="Q1864" s="20">
        <f t="shared" ref="Q1864:X1864" si="3992">Q1834</f>
        <v>4</v>
      </c>
      <c r="R1864" s="20">
        <f t="shared" si="3992"/>
        <v>16</v>
      </c>
      <c r="S1864" s="20">
        <f t="shared" si="3992"/>
        <v>28</v>
      </c>
      <c r="T1864" s="20">
        <f t="shared" si="3992"/>
        <v>36</v>
      </c>
      <c r="U1864" s="20">
        <f t="shared" si="3992"/>
        <v>1600</v>
      </c>
      <c r="V1864" s="20">
        <f t="shared" si="3992"/>
        <v>5000</v>
      </c>
      <c r="W1864" s="20">
        <f t="shared" si="3992"/>
        <v>6000</v>
      </c>
      <c r="X1864" s="20">
        <f t="shared" si="3992"/>
        <v>1</v>
      </c>
      <c r="Y1864" s="20">
        <v>0</v>
      </c>
      <c r="Z1864" s="20">
        <v>0</v>
      </c>
      <c r="AA1864" s="20">
        <v>0</v>
      </c>
      <c r="AB1864" s="20">
        <f t="shared" si="3989"/>
        <v>0</v>
      </c>
      <c r="AC1864" s="20">
        <v>0</v>
      </c>
      <c r="AD1864" s="23">
        <f t="shared" ref="AD1864:AE1864" si="3993">AD1834</f>
        <v>4</v>
      </c>
      <c r="AE1864" s="23">
        <f t="shared" si="3993"/>
        <v>8</v>
      </c>
    </row>
    <row r="1865" spans="1:31">
      <c r="A1865" s="4">
        <v>16102</v>
      </c>
      <c r="B1865" s="4">
        <v>4</v>
      </c>
      <c r="C1865" s="19" t="s">
        <v>69</v>
      </c>
      <c r="D1865" s="44">
        <v>0</v>
      </c>
      <c r="E1865" s="18">
        <v>0</v>
      </c>
      <c r="F1865" s="18">
        <v>0</v>
      </c>
      <c r="G1865" s="18">
        <f t="shared" ref="G1865:H1865" si="3994">G1805*3</f>
        <v>144</v>
      </c>
      <c r="H1865" s="18">
        <f t="shared" si="3994"/>
        <v>1233</v>
      </c>
      <c r="I1865" s="21">
        <f t="shared" si="3879"/>
        <v>55</v>
      </c>
      <c r="J1865" s="21">
        <f t="shared" si="3850"/>
        <v>3</v>
      </c>
      <c r="K1865" s="21">
        <v>0</v>
      </c>
      <c r="L1865" s="20">
        <v>30</v>
      </c>
      <c r="M1865" s="20">
        <v>0</v>
      </c>
      <c r="N1865" s="20">
        <f t="shared" si="3880"/>
        <v>100</v>
      </c>
      <c r="O1865" s="19" t="s">
        <v>69</v>
      </c>
      <c r="P1865" s="20">
        <v>6400</v>
      </c>
      <c r="Q1865" s="20">
        <f t="shared" ref="Q1865:X1865" si="3995">Q1835</f>
        <v>10</v>
      </c>
      <c r="R1865" s="20">
        <f t="shared" si="3995"/>
        <v>40</v>
      </c>
      <c r="S1865" s="20">
        <f t="shared" si="3995"/>
        <v>70</v>
      </c>
      <c r="T1865" s="20">
        <f t="shared" si="3995"/>
        <v>90</v>
      </c>
      <c r="U1865" s="20">
        <f t="shared" si="3995"/>
        <v>900</v>
      </c>
      <c r="V1865" s="20">
        <f t="shared" si="3995"/>
        <v>2000</v>
      </c>
      <c r="W1865" s="20">
        <f t="shared" si="3995"/>
        <v>8000</v>
      </c>
      <c r="X1865" s="20">
        <f t="shared" si="3995"/>
        <v>1</v>
      </c>
      <c r="Y1865" s="20">
        <v>0</v>
      </c>
      <c r="Z1865" s="20">
        <v>0</v>
      </c>
      <c r="AA1865" s="20">
        <v>0</v>
      </c>
      <c r="AB1865" s="20">
        <f t="shared" si="3989"/>
        <v>0</v>
      </c>
      <c r="AC1865" s="20">
        <v>0</v>
      </c>
      <c r="AD1865" s="23">
        <f t="shared" ref="AD1865:AE1865" si="3996">AD1835</f>
        <v>6</v>
      </c>
      <c r="AE1865" s="23">
        <f t="shared" si="3996"/>
        <v>10</v>
      </c>
    </row>
    <row r="1866" spans="1:31">
      <c r="A1866" s="4">
        <v>16102</v>
      </c>
      <c r="B1866" s="4">
        <v>5</v>
      </c>
      <c r="C1866" s="19" t="s">
        <v>70</v>
      </c>
      <c r="D1866" s="44">
        <v>0</v>
      </c>
      <c r="E1866" s="18">
        <v>0</v>
      </c>
      <c r="F1866" s="18">
        <v>0</v>
      </c>
      <c r="G1866" s="18">
        <f t="shared" ref="G1866:H1866" si="3997">G1806*3</f>
        <v>156</v>
      </c>
      <c r="H1866" s="18">
        <f t="shared" si="3997"/>
        <v>1335</v>
      </c>
      <c r="I1866" s="21">
        <f t="shared" si="3879"/>
        <v>110</v>
      </c>
      <c r="J1866" s="21">
        <f t="shared" si="3850"/>
        <v>4</v>
      </c>
      <c r="K1866" s="21">
        <v>0</v>
      </c>
      <c r="L1866" s="20">
        <v>25</v>
      </c>
      <c r="M1866" s="20">
        <v>0</v>
      </c>
      <c r="N1866" s="20">
        <f t="shared" si="3880"/>
        <v>200</v>
      </c>
      <c r="O1866" s="19" t="s">
        <v>70</v>
      </c>
      <c r="P1866" s="20">
        <v>3100</v>
      </c>
      <c r="Q1866" s="20">
        <f t="shared" ref="Q1866:X1866" si="3998">Q1836</f>
        <v>20</v>
      </c>
      <c r="R1866" s="20">
        <f t="shared" si="3998"/>
        <v>80</v>
      </c>
      <c r="S1866" s="20">
        <f t="shared" si="3998"/>
        <v>140</v>
      </c>
      <c r="T1866" s="20">
        <f t="shared" si="3998"/>
        <v>180</v>
      </c>
      <c r="U1866" s="20">
        <f t="shared" si="3998"/>
        <v>1000</v>
      </c>
      <c r="V1866" s="20">
        <f t="shared" si="3998"/>
        <v>2000</v>
      </c>
      <c r="W1866" s="20">
        <f t="shared" si="3998"/>
        <v>2000</v>
      </c>
      <c r="X1866" s="20">
        <f t="shared" si="3998"/>
        <v>2</v>
      </c>
      <c r="Y1866" s="20">
        <v>0</v>
      </c>
      <c r="Z1866" s="20">
        <v>0</v>
      </c>
      <c r="AA1866" s="20">
        <v>0</v>
      </c>
      <c r="AB1866" s="20">
        <f t="shared" si="3989"/>
        <v>0</v>
      </c>
      <c r="AC1866" s="20">
        <v>0</v>
      </c>
      <c r="AD1866" s="23">
        <f t="shared" ref="AD1866:AE1866" si="3999">AD1836</f>
        <v>8</v>
      </c>
      <c r="AE1866" s="23">
        <f t="shared" si="3999"/>
        <v>12</v>
      </c>
    </row>
    <row r="1867" spans="1:31">
      <c r="A1867" s="4">
        <v>16102</v>
      </c>
      <c r="B1867" s="4">
        <v>6</v>
      </c>
      <c r="C1867" s="19" t="s">
        <v>71</v>
      </c>
      <c r="D1867" s="44">
        <v>0</v>
      </c>
      <c r="E1867" s="18">
        <v>0</v>
      </c>
      <c r="F1867" s="18">
        <v>0</v>
      </c>
      <c r="G1867" s="18">
        <f t="shared" ref="G1867:H1867" si="4000">G1807*3</f>
        <v>168</v>
      </c>
      <c r="H1867" s="18">
        <f t="shared" si="4000"/>
        <v>1446</v>
      </c>
      <c r="I1867" s="21">
        <f t="shared" si="3879"/>
        <v>110</v>
      </c>
      <c r="J1867" s="21">
        <f t="shared" si="3850"/>
        <v>5</v>
      </c>
      <c r="K1867" s="21">
        <v>0</v>
      </c>
      <c r="L1867" s="20">
        <v>20</v>
      </c>
      <c r="M1867" s="20">
        <v>0</v>
      </c>
      <c r="N1867" s="20">
        <f t="shared" si="3880"/>
        <v>500</v>
      </c>
      <c r="O1867" s="19" t="s">
        <v>71</v>
      </c>
      <c r="P1867" s="20">
        <v>1777</v>
      </c>
      <c r="Q1867" s="20">
        <f t="shared" ref="Q1867:X1867" si="4001">Q1837</f>
        <v>50</v>
      </c>
      <c r="R1867" s="20">
        <f t="shared" si="4001"/>
        <v>200</v>
      </c>
      <c r="S1867" s="20">
        <f t="shared" si="4001"/>
        <v>350</v>
      </c>
      <c r="T1867" s="20">
        <f t="shared" si="4001"/>
        <v>450</v>
      </c>
      <c r="U1867" s="20">
        <f t="shared" si="4001"/>
        <v>800</v>
      </c>
      <c r="V1867" s="20">
        <f t="shared" si="4001"/>
        <v>800</v>
      </c>
      <c r="W1867" s="20">
        <f t="shared" si="4001"/>
        <v>600</v>
      </c>
      <c r="X1867" s="20">
        <f t="shared" si="4001"/>
        <v>2</v>
      </c>
      <c r="Y1867" s="20">
        <v>0</v>
      </c>
      <c r="Z1867" s="20">
        <v>0</v>
      </c>
      <c r="AA1867" s="20">
        <v>0</v>
      </c>
      <c r="AB1867" s="20">
        <f t="shared" si="3989"/>
        <v>0</v>
      </c>
      <c r="AC1867" s="20">
        <v>0</v>
      </c>
      <c r="AD1867" s="23">
        <f t="shared" ref="AD1867:AE1867" si="4002">AD1837</f>
        <v>10</v>
      </c>
      <c r="AE1867" s="23">
        <f t="shared" si="4002"/>
        <v>14</v>
      </c>
    </row>
    <row r="1868" spans="1:31">
      <c r="A1868" s="8">
        <v>16102</v>
      </c>
      <c r="B1868" s="8">
        <v>7</v>
      </c>
      <c r="C1868" s="19" t="s">
        <v>72</v>
      </c>
      <c r="D1868" s="44">
        <v>0</v>
      </c>
      <c r="E1868" s="18">
        <v>0</v>
      </c>
      <c r="F1868" s="18">
        <v>0</v>
      </c>
      <c r="G1868" s="18">
        <f t="shared" ref="G1868:H1868" si="4003">G1808*3</f>
        <v>183</v>
      </c>
      <c r="H1868" s="18">
        <f t="shared" si="4003"/>
        <v>1566</v>
      </c>
      <c r="I1868" s="21">
        <f t="shared" si="3879"/>
        <v>110</v>
      </c>
      <c r="J1868" s="21">
        <f t="shared" si="3850"/>
        <v>6</v>
      </c>
      <c r="K1868" s="21">
        <v>0</v>
      </c>
      <c r="L1868" s="20">
        <v>16</v>
      </c>
      <c r="M1868" s="20">
        <v>0</v>
      </c>
      <c r="N1868" s="20">
        <f t="shared" si="3880"/>
        <v>700</v>
      </c>
      <c r="O1868" s="19" t="s">
        <v>72</v>
      </c>
      <c r="P1868" s="20">
        <v>2332</v>
      </c>
      <c r="Q1868" s="20">
        <f t="shared" ref="Q1868:X1868" si="4004">Q1838</f>
        <v>70</v>
      </c>
      <c r="R1868" s="20">
        <f t="shared" si="4004"/>
        <v>280</v>
      </c>
      <c r="S1868" s="20">
        <f t="shared" si="4004"/>
        <v>489.99999999999994</v>
      </c>
      <c r="T1868" s="20">
        <f t="shared" si="4004"/>
        <v>630</v>
      </c>
      <c r="U1868" s="20">
        <f t="shared" si="4004"/>
        <v>650</v>
      </c>
      <c r="V1868" s="20">
        <f t="shared" si="4004"/>
        <v>800</v>
      </c>
      <c r="W1868" s="20">
        <f t="shared" si="4004"/>
        <v>300</v>
      </c>
      <c r="X1868" s="20">
        <f t="shared" si="4004"/>
        <v>2</v>
      </c>
      <c r="Y1868" s="20">
        <v>0</v>
      </c>
      <c r="Z1868" s="20">
        <v>0</v>
      </c>
      <c r="AA1868" s="20">
        <v>0</v>
      </c>
      <c r="AB1868" s="20">
        <f t="shared" si="3989"/>
        <v>0</v>
      </c>
      <c r="AC1868" s="20">
        <v>0</v>
      </c>
      <c r="AD1868" s="23">
        <f t="shared" ref="AD1868:AE1868" si="4005">AD1838</f>
        <v>12</v>
      </c>
      <c r="AE1868" s="23">
        <f t="shared" si="4005"/>
        <v>16</v>
      </c>
    </row>
    <row r="1869" spans="1:31">
      <c r="A1869" s="4">
        <v>16102</v>
      </c>
      <c r="B1869" s="4">
        <v>8</v>
      </c>
      <c r="C1869" s="19" t="s">
        <v>73</v>
      </c>
      <c r="D1869" s="44">
        <v>0</v>
      </c>
      <c r="E1869" s="18">
        <v>0</v>
      </c>
      <c r="F1869" s="18">
        <v>0</v>
      </c>
      <c r="G1869" s="18">
        <f t="shared" ref="G1869:H1869" si="4006">G1809*3</f>
        <v>198</v>
      </c>
      <c r="H1869" s="18">
        <f t="shared" si="4006"/>
        <v>1695</v>
      </c>
      <c r="I1869" s="21">
        <f t="shared" si="3879"/>
        <v>110</v>
      </c>
      <c r="J1869" s="21">
        <f t="shared" si="3850"/>
        <v>7</v>
      </c>
      <c r="K1869" s="21">
        <v>0</v>
      </c>
      <c r="L1869" s="20">
        <v>12</v>
      </c>
      <c r="M1869" s="20">
        <v>0</v>
      </c>
      <c r="N1869" s="20">
        <f t="shared" si="3880"/>
        <v>800</v>
      </c>
      <c r="O1869" s="19" t="s">
        <v>73</v>
      </c>
      <c r="P1869" s="20">
        <v>1487</v>
      </c>
      <c r="Q1869" s="20">
        <f t="shared" ref="Q1869:X1869" si="4007">Q1839</f>
        <v>80</v>
      </c>
      <c r="R1869" s="20">
        <f t="shared" si="4007"/>
        <v>320</v>
      </c>
      <c r="S1869" s="20">
        <f t="shared" si="4007"/>
        <v>560</v>
      </c>
      <c r="T1869" s="20">
        <f t="shared" si="4007"/>
        <v>720</v>
      </c>
      <c r="U1869" s="20">
        <f t="shared" si="4007"/>
        <v>200</v>
      </c>
      <c r="V1869" s="20">
        <f t="shared" si="4007"/>
        <v>2000</v>
      </c>
      <c r="W1869" s="20">
        <f t="shared" si="4007"/>
        <v>1000</v>
      </c>
      <c r="X1869" s="20">
        <f t="shared" si="4007"/>
        <v>2</v>
      </c>
      <c r="Y1869" s="20">
        <f>ROUND(D1869*0.25,-1)</f>
        <v>0</v>
      </c>
      <c r="Z1869" s="20">
        <f>ROUND(E1869*0.25,-1)</f>
        <v>0</v>
      </c>
      <c r="AA1869" s="20">
        <f>ROUND(F1869*0.25,-1)</f>
        <v>0</v>
      </c>
      <c r="AB1869" s="20">
        <f t="shared" si="3989"/>
        <v>50</v>
      </c>
      <c r="AC1869" s="20">
        <v>0</v>
      </c>
      <c r="AD1869" s="23">
        <f t="shared" ref="AD1869:AE1869" si="4008">AD1839</f>
        <v>14</v>
      </c>
      <c r="AE1869" s="23">
        <f t="shared" si="4008"/>
        <v>18</v>
      </c>
    </row>
    <row r="1870" spans="1:31">
      <c r="A1870" s="4">
        <v>16102</v>
      </c>
      <c r="B1870" s="4">
        <v>9</v>
      </c>
      <c r="C1870" s="19" t="s">
        <v>74</v>
      </c>
      <c r="D1870" s="44">
        <v>0</v>
      </c>
      <c r="E1870" s="18">
        <v>0</v>
      </c>
      <c r="F1870" s="18">
        <v>0</v>
      </c>
      <c r="G1870" s="18">
        <f t="shared" ref="G1870:H1870" si="4009">G1810*3</f>
        <v>216</v>
      </c>
      <c r="H1870" s="18">
        <f t="shared" si="4009"/>
        <v>1836</v>
      </c>
      <c r="I1870" s="21">
        <f t="shared" si="3879"/>
        <v>165</v>
      </c>
      <c r="J1870" s="21">
        <f t="shared" si="3850"/>
        <v>8</v>
      </c>
      <c r="K1870" s="21">
        <v>0</v>
      </c>
      <c r="L1870" s="20">
        <v>8</v>
      </c>
      <c r="M1870" s="20">
        <v>0</v>
      </c>
      <c r="N1870" s="20">
        <f t="shared" si="3880"/>
        <v>900</v>
      </c>
      <c r="O1870" s="19" t="s">
        <v>74</v>
      </c>
      <c r="P1870" s="20">
        <v>1518</v>
      </c>
      <c r="Q1870" s="20">
        <f t="shared" ref="Q1870:X1870" si="4010">Q1840</f>
        <v>90</v>
      </c>
      <c r="R1870" s="20">
        <f t="shared" si="4010"/>
        <v>360</v>
      </c>
      <c r="S1870" s="20">
        <f t="shared" si="4010"/>
        <v>630</v>
      </c>
      <c r="T1870" s="20">
        <f t="shared" si="4010"/>
        <v>810</v>
      </c>
      <c r="U1870" s="20">
        <f t="shared" si="4010"/>
        <v>120</v>
      </c>
      <c r="V1870" s="20">
        <f t="shared" si="4010"/>
        <v>1500</v>
      </c>
      <c r="W1870" s="20">
        <f t="shared" si="4010"/>
        <v>1000</v>
      </c>
      <c r="X1870" s="20">
        <f t="shared" si="4010"/>
        <v>3</v>
      </c>
      <c r="Y1870" s="20">
        <v>0</v>
      </c>
      <c r="Z1870" s="20">
        <v>0</v>
      </c>
      <c r="AA1870" s="20">
        <v>0</v>
      </c>
      <c r="AB1870" s="20">
        <v>0</v>
      </c>
      <c r="AC1870" s="20">
        <v>0</v>
      </c>
      <c r="AD1870" s="23">
        <f t="shared" ref="AD1870:AE1870" si="4011">AD1840</f>
        <v>16</v>
      </c>
      <c r="AE1870" s="23">
        <f t="shared" si="4011"/>
        <v>20</v>
      </c>
    </row>
    <row r="1871" spans="1:31">
      <c r="A1871" s="4">
        <v>16102</v>
      </c>
      <c r="B1871" s="4">
        <v>10</v>
      </c>
      <c r="C1871" s="19" t="s">
        <v>75</v>
      </c>
      <c r="D1871" s="44">
        <v>0</v>
      </c>
      <c r="E1871" s="18">
        <v>0</v>
      </c>
      <c r="F1871" s="18">
        <v>0</v>
      </c>
      <c r="G1871" s="18">
        <f t="shared" ref="G1871:H1871" si="4012">G1811*3</f>
        <v>234</v>
      </c>
      <c r="H1871" s="18">
        <f t="shared" si="4012"/>
        <v>1986</v>
      </c>
      <c r="I1871" s="21">
        <f t="shared" si="3879"/>
        <v>165</v>
      </c>
      <c r="J1871" s="21">
        <f t="shared" si="3850"/>
        <v>9</v>
      </c>
      <c r="K1871" s="21">
        <v>0</v>
      </c>
      <c r="L1871" s="20">
        <v>6</v>
      </c>
      <c r="M1871" s="20">
        <v>0</v>
      </c>
      <c r="N1871" s="20">
        <f t="shared" si="3880"/>
        <v>2000</v>
      </c>
      <c r="O1871" s="19" t="s">
        <v>75</v>
      </c>
      <c r="P1871" s="20">
        <v>861</v>
      </c>
      <c r="Q1871" s="20">
        <f t="shared" ref="Q1871:X1871" si="4013">Q1841</f>
        <v>200</v>
      </c>
      <c r="R1871" s="20">
        <f t="shared" si="4013"/>
        <v>800</v>
      </c>
      <c r="S1871" s="20">
        <f t="shared" si="4013"/>
        <v>1400</v>
      </c>
      <c r="T1871" s="20">
        <f t="shared" si="4013"/>
        <v>1800</v>
      </c>
      <c r="U1871" s="20">
        <f t="shared" si="4013"/>
        <v>150</v>
      </c>
      <c r="V1871" s="20">
        <f t="shared" si="4013"/>
        <v>5000</v>
      </c>
      <c r="W1871" s="20">
        <f t="shared" si="4013"/>
        <v>800</v>
      </c>
      <c r="X1871" s="20">
        <f t="shared" si="4013"/>
        <v>3</v>
      </c>
      <c r="Y1871" s="20">
        <v>0</v>
      </c>
      <c r="Z1871" s="20">
        <v>0</v>
      </c>
      <c r="AA1871" s="20">
        <v>0</v>
      </c>
      <c r="AB1871" s="20">
        <v>0</v>
      </c>
      <c r="AC1871" s="20">
        <v>0</v>
      </c>
      <c r="AD1871" s="23">
        <f t="shared" ref="AD1871:AE1871" si="4014">AD1841</f>
        <v>18</v>
      </c>
      <c r="AE1871" s="23">
        <f t="shared" si="4014"/>
        <v>22</v>
      </c>
    </row>
    <row r="1872" spans="1:31">
      <c r="A1872" s="4">
        <v>16102</v>
      </c>
      <c r="B1872" s="4">
        <v>11</v>
      </c>
      <c r="C1872" s="19" t="s">
        <v>66</v>
      </c>
      <c r="D1872" s="44">
        <v>0</v>
      </c>
      <c r="E1872" s="18">
        <v>0</v>
      </c>
      <c r="F1872" s="18">
        <v>0</v>
      </c>
      <c r="G1872" s="18">
        <f t="shared" ref="G1872:H1872" si="4015">G1812*3</f>
        <v>252</v>
      </c>
      <c r="H1872" s="18">
        <f t="shared" si="4015"/>
        <v>2151</v>
      </c>
      <c r="I1872" s="21">
        <f t="shared" si="3879"/>
        <v>165</v>
      </c>
      <c r="J1872" s="21">
        <f t="shared" si="3850"/>
        <v>10</v>
      </c>
      <c r="K1872" s="21">
        <v>0</v>
      </c>
      <c r="L1872" s="20">
        <v>6</v>
      </c>
      <c r="M1872" s="20">
        <v>0</v>
      </c>
      <c r="N1872" s="20">
        <f t="shared" si="3880"/>
        <v>2200</v>
      </c>
      <c r="O1872" s="19" t="s">
        <v>66</v>
      </c>
      <c r="P1872" s="20">
        <v>9400</v>
      </c>
      <c r="Q1872" s="20">
        <f t="shared" ref="Q1872:X1872" si="4016">Q1842</f>
        <v>220</v>
      </c>
      <c r="R1872" s="20">
        <f t="shared" si="4016"/>
        <v>880</v>
      </c>
      <c r="S1872" s="20">
        <f t="shared" si="4016"/>
        <v>1540</v>
      </c>
      <c r="T1872" s="20">
        <f t="shared" si="4016"/>
        <v>1980</v>
      </c>
      <c r="U1872" s="20">
        <f t="shared" si="4016"/>
        <v>100</v>
      </c>
      <c r="V1872" s="20">
        <f t="shared" si="4016"/>
        <v>800</v>
      </c>
      <c r="W1872" s="20">
        <f t="shared" si="4016"/>
        <v>600</v>
      </c>
      <c r="X1872" s="20">
        <f t="shared" si="4016"/>
        <v>3</v>
      </c>
      <c r="Y1872" s="20">
        <v>0</v>
      </c>
      <c r="Z1872" s="20">
        <v>0</v>
      </c>
      <c r="AA1872" s="20">
        <v>0</v>
      </c>
      <c r="AB1872" s="20">
        <v>0</v>
      </c>
      <c r="AC1872" s="20">
        <v>0</v>
      </c>
      <c r="AD1872" s="23">
        <f t="shared" ref="AD1872:AE1872" si="4017">AD1842</f>
        <v>20</v>
      </c>
      <c r="AE1872" s="23">
        <f t="shared" si="4017"/>
        <v>24</v>
      </c>
    </row>
    <row r="1873" spans="1:31">
      <c r="A1873" s="4">
        <v>16102</v>
      </c>
      <c r="B1873" s="4">
        <v>12</v>
      </c>
      <c r="C1873" s="19" t="s">
        <v>67</v>
      </c>
      <c r="D1873" s="44">
        <v>0</v>
      </c>
      <c r="E1873" s="18">
        <v>0</v>
      </c>
      <c r="F1873" s="18">
        <v>0</v>
      </c>
      <c r="G1873" s="18">
        <f t="shared" ref="G1873:H1873" si="4018">G1813*3</f>
        <v>273</v>
      </c>
      <c r="H1873" s="18">
        <f t="shared" si="4018"/>
        <v>2328</v>
      </c>
      <c r="I1873" s="21">
        <f t="shared" si="3879"/>
        <v>165</v>
      </c>
      <c r="J1873" s="21">
        <f t="shared" si="3850"/>
        <v>11</v>
      </c>
      <c r="K1873" s="21">
        <v>0</v>
      </c>
      <c r="L1873" s="20">
        <v>6</v>
      </c>
      <c r="M1873" s="20">
        <v>0</v>
      </c>
      <c r="N1873" s="20">
        <f t="shared" si="3880"/>
        <v>2400</v>
      </c>
      <c r="O1873" s="19" t="s">
        <v>67</v>
      </c>
      <c r="P1873" s="20">
        <v>9100</v>
      </c>
      <c r="Q1873" s="20">
        <f t="shared" ref="Q1873:X1873" si="4019">Q1843</f>
        <v>240</v>
      </c>
      <c r="R1873" s="20">
        <f t="shared" si="4019"/>
        <v>960</v>
      </c>
      <c r="S1873" s="20">
        <f t="shared" si="4019"/>
        <v>1680</v>
      </c>
      <c r="T1873" s="20">
        <f t="shared" si="4019"/>
        <v>2160</v>
      </c>
      <c r="U1873" s="20">
        <f t="shared" si="4019"/>
        <v>150</v>
      </c>
      <c r="V1873" s="20">
        <f t="shared" si="4019"/>
        <v>700</v>
      </c>
      <c r="W1873" s="20">
        <f t="shared" si="4019"/>
        <v>900</v>
      </c>
      <c r="X1873" s="20">
        <f t="shared" si="4019"/>
        <v>3</v>
      </c>
      <c r="Y1873" s="20">
        <v>0</v>
      </c>
      <c r="Z1873" s="20">
        <v>0</v>
      </c>
      <c r="AA1873" s="20">
        <v>0</v>
      </c>
      <c r="AB1873" s="20">
        <v>0</v>
      </c>
      <c r="AC1873" s="20">
        <v>0</v>
      </c>
      <c r="AD1873" s="23">
        <f t="shared" ref="AD1873:AE1873" si="4020">AD1843</f>
        <v>22</v>
      </c>
      <c r="AE1873" s="23">
        <f t="shared" si="4020"/>
        <v>26</v>
      </c>
    </row>
    <row r="1874" spans="1:31">
      <c r="A1874" s="4">
        <v>16102</v>
      </c>
      <c r="B1874" s="4">
        <v>13</v>
      </c>
      <c r="C1874" s="19" t="s">
        <v>68</v>
      </c>
      <c r="D1874" s="44">
        <v>0</v>
      </c>
      <c r="E1874" s="18">
        <v>0</v>
      </c>
      <c r="F1874" s="18">
        <v>0</v>
      </c>
      <c r="G1874" s="18">
        <f t="shared" ref="G1874:H1874" si="4021">G1814*3</f>
        <v>294</v>
      </c>
      <c r="H1874" s="18">
        <f t="shared" si="4021"/>
        <v>2520</v>
      </c>
      <c r="I1874" s="21">
        <f t="shared" si="3879"/>
        <v>220</v>
      </c>
      <c r="J1874" s="21">
        <f t="shared" si="3850"/>
        <v>12</v>
      </c>
      <c r="K1874" s="21">
        <v>0</v>
      </c>
      <c r="L1874" s="20">
        <v>6</v>
      </c>
      <c r="M1874" s="20">
        <v>0</v>
      </c>
      <c r="N1874" s="20">
        <f t="shared" si="3880"/>
        <v>2600</v>
      </c>
      <c r="O1874" s="19" t="s">
        <v>68</v>
      </c>
      <c r="P1874" s="20">
        <v>8600</v>
      </c>
      <c r="Q1874" s="20">
        <f t="shared" ref="Q1874:X1874" si="4022">Q1844</f>
        <v>260</v>
      </c>
      <c r="R1874" s="20">
        <f t="shared" si="4022"/>
        <v>1040</v>
      </c>
      <c r="S1874" s="20">
        <f t="shared" si="4022"/>
        <v>1819.9999999999998</v>
      </c>
      <c r="T1874" s="20">
        <f t="shared" si="4022"/>
        <v>2340</v>
      </c>
      <c r="U1874" s="20">
        <f t="shared" si="4022"/>
        <v>100</v>
      </c>
      <c r="V1874" s="20">
        <f t="shared" si="4022"/>
        <v>700</v>
      </c>
      <c r="W1874" s="20">
        <f t="shared" si="4022"/>
        <v>1000</v>
      </c>
      <c r="X1874" s="20">
        <f t="shared" si="4022"/>
        <v>4</v>
      </c>
      <c r="Y1874" s="20">
        <f>ROUND(D1874*0.25,-1)</f>
        <v>0</v>
      </c>
      <c r="Z1874" s="20">
        <f>ROUND(E1874*0.25,-1)</f>
        <v>0</v>
      </c>
      <c r="AA1874" s="20">
        <f>ROUND(F1874*0.25,-1)</f>
        <v>0</v>
      </c>
      <c r="AB1874" s="20">
        <f t="shared" si="3989"/>
        <v>100</v>
      </c>
      <c r="AC1874" s="20">
        <v>0</v>
      </c>
      <c r="AD1874" s="23">
        <f t="shared" ref="AD1874:AE1874" si="4023">AD1844</f>
        <v>24</v>
      </c>
      <c r="AE1874" s="23">
        <f t="shared" si="4023"/>
        <v>28</v>
      </c>
    </row>
    <row r="1875" spans="1:31">
      <c r="A1875" s="4">
        <v>16102</v>
      </c>
      <c r="B1875" s="4">
        <v>14</v>
      </c>
      <c r="C1875" s="19" t="s">
        <v>69</v>
      </c>
      <c r="D1875" s="44">
        <v>0</v>
      </c>
      <c r="E1875" s="18">
        <v>0</v>
      </c>
      <c r="F1875" s="18">
        <v>0</v>
      </c>
      <c r="G1875" s="18">
        <f t="shared" ref="G1875:H1875" si="4024">G1815*3</f>
        <v>318</v>
      </c>
      <c r="H1875" s="18">
        <f t="shared" si="4024"/>
        <v>2730</v>
      </c>
      <c r="I1875" s="21">
        <f t="shared" si="3879"/>
        <v>220</v>
      </c>
      <c r="J1875" s="21">
        <f t="shared" ref="J1875:J1938" si="4025">B1875-1</f>
        <v>13</v>
      </c>
      <c r="K1875" s="21">
        <v>0</v>
      </c>
      <c r="L1875" s="20">
        <v>6</v>
      </c>
      <c r="M1875" s="20">
        <v>0</v>
      </c>
      <c r="N1875" s="20">
        <f t="shared" si="3880"/>
        <v>2800</v>
      </c>
      <c r="O1875" s="19" t="s">
        <v>69</v>
      </c>
      <c r="P1875" s="20">
        <v>6400</v>
      </c>
      <c r="Q1875" s="20">
        <f t="shared" ref="Q1875:X1875" si="4026">Q1845</f>
        <v>280</v>
      </c>
      <c r="R1875" s="20">
        <f t="shared" si="4026"/>
        <v>1120</v>
      </c>
      <c r="S1875" s="20">
        <f t="shared" si="4026"/>
        <v>1959.9999999999998</v>
      </c>
      <c r="T1875" s="20">
        <f t="shared" si="4026"/>
        <v>2520</v>
      </c>
      <c r="U1875" s="20">
        <f t="shared" si="4026"/>
        <v>100</v>
      </c>
      <c r="V1875" s="20">
        <f t="shared" si="4026"/>
        <v>400</v>
      </c>
      <c r="W1875" s="20">
        <f t="shared" si="4026"/>
        <v>1200</v>
      </c>
      <c r="X1875" s="20">
        <f t="shared" si="4026"/>
        <v>4</v>
      </c>
      <c r="Y1875" s="20">
        <v>0</v>
      </c>
      <c r="Z1875" s="20">
        <v>0</v>
      </c>
      <c r="AA1875" s="20">
        <v>0</v>
      </c>
      <c r="AB1875" s="20">
        <v>0</v>
      </c>
      <c r="AC1875" s="20">
        <v>0</v>
      </c>
      <c r="AD1875" s="23">
        <f t="shared" ref="AD1875:AE1875" si="4027">AD1845</f>
        <v>26</v>
      </c>
      <c r="AE1875" s="23">
        <f t="shared" si="4027"/>
        <v>30</v>
      </c>
    </row>
    <row r="1876" spans="1:31">
      <c r="A1876" s="4">
        <v>16102</v>
      </c>
      <c r="B1876" s="4">
        <v>15</v>
      </c>
      <c r="C1876" s="19" t="s">
        <v>70</v>
      </c>
      <c r="D1876" s="44">
        <v>0</v>
      </c>
      <c r="E1876" s="18">
        <v>0</v>
      </c>
      <c r="F1876" s="18">
        <v>0</v>
      </c>
      <c r="G1876" s="18">
        <f t="shared" ref="G1876:H1876" si="4028">G1816*3</f>
        <v>345</v>
      </c>
      <c r="H1876" s="18">
        <f t="shared" si="4028"/>
        <v>2955</v>
      </c>
      <c r="I1876" s="21">
        <f t="shared" si="3879"/>
        <v>220</v>
      </c>
      <c r="J1876" s="21">
        <f t="shared" si="4025"/>
        <v>14</v>
      </c>
      <c r="K1876" s="21">
        <v>0</v>
      </c>
      <c r="L1876" s="20">
        <v>6</v>
      </c>
      <c r="M1876" s="20">
        <v>0</v>
      </c>
      <c r="N1876" s="20">
        <f t="shared" si="3880"/>
        <v>4500</v>
      </c>
      <c r="O1876" s="19" t="s">
        <v>70</v>
      </c>
      <c r="P1876" s="20">
        <v>3100</v>
      </c>
      <c r="Q1876" s="20">
        <f t="shared" ref="Q1876:X1876" si="4029">Q1846</f>
        <v>450</v>
      </c>
      <c r="R1876" s="20">
        <f t="shared" si="4029"/>
        <v>1800</v>
      </c>
      <c r="S1876" s="20">
        <f t="shared" si="4029"/>
        <v>3150</v>
      </c>
      <c r="T1876" s="20">
        <f t="shared" si="4029"/>
        <v>4050</v>
      </c>
      <c r="U1876" s="20">
        <f t="shared" si="4029"/>
        <v>100</v>
      </c>
      <c r="V1876" s="20">
        <f t="shared" si="4029"/>
        <v>1000</v>
      </c>
      <c r="W1876" s="20">
        <f t="shared" si="4029"/>
        <v>600</v>
      </c>
      <c r="X1876" s="20">
        <f t="shared" si="4029"/>
        <v>4</v>
      </c>
      <c r="Y1876" s="20">
        <v>0</v>
      </c>
      <c r="Z1876" s="20">
        <v>0</v>
      </c>
      <c r="AA1876" s="20">
        <v>0</v>
      </c>
      <c r="AB1876" s="20">
        <v>0</v>
      </c>
      <c r="AC1876" s="20">
        <v>0</v>
      </c>
      <c r="AD1876" s="23">
        <f t="shared" ref="AD1876:AE1876" si="4030">AD1846</f>
        <v>28</v>
      </c>
      <c r="AE1876" s="23">
        <f t="shared" si="4030"/>
        <v>32</v>
      </c>
    </row>
    <row r="1877" spans="1:31">
      <c r="A1877" s="4">
        <v>16102</v>
      </c>
      <c r="B1877" s="4">
        <v>16</v>
      </c>
      <c r="C1877" s="19" t="s">
        <v>71</v>
      </c>
      <c r="D1877" s="44">
        <v>0</v>
      </c>
      <c r="E1877" s="18">
        <v>0</v>
      </c>
      <c r="F1877" s="18">
        <v>0</v>
      </c>
      <c r="G1877" s="18">
        <f t="shared" ref="G1877:H1877" si="4031">G1817*3</f>
        <v>375</v>
      </c>
      <c r="H1877" s="18">
        <f t="shared" si="4031"/>
        <v>3198</v>
      </c>
      <c r="I1877" s="21">
        <f t="shared" si="3879"/>
        <v>220</v>
      </c>
      <c r="J1877" s="21">
        <f t="shared" si="4025"/>
        <v>15</v>
      </c>
      <c r="K1877" s="21">
        <v>0</v>
      </c>
      <c r="L1877" s="20">
        <v>6</v>
      </c>
      <c r="M1877" s="20">
        <v>0</v>
      </c>
      <c r="N1877" s="20">
        <f t="shared" si="3880"/>
        <v>4800</v>
      </c>
      <c r="O1877" s="19" t="s">
        <v>71</v>
      </c>
      <c r="P1877" s="20">
        <v>1777</v>
      </c>
      <c r="Q1877" s="20">
        <f t="shared" ref="Q1877:X1877" si="4032">Q1847</f>
        <v>480</v>
      </c>
      <c r="R1877" s="20">
        <f t="shared" si="4032"/>
        <v>1920</v>
      </c>
      <c r="S1877" s="20">
        <f t="shared" si="4032"/>
        <v>3360</v>
      </c>
      <c r="T1877" s="20">
        <f t="shared" si="4032"/>
        <v>4320</v>
      </c>
      <c r="U1877" s="20">
        <f t="shared" si="4032"/>
        <v>100</v>
      </c>
      <c r="V1877" s="20">
        <f t="shared" si="4032"/>
        <v>800</v>
      </c>
      <c r="W1877" s="20">
        <f t="shared" si="4032"/>
        <v>800</v>
      </c>
      <c r="X1877" s="20">
        <f t="shared" si="4032"/>
        <v>4</v>
      </c>
      <c r="Y1877" s="20">
        <v>0</v>
      </c>
      <c r="Z1877" s="20">
        <v>0</v>
      </c>
      <c r="AA1877" s="20">
        <v>0</v>
      </c>
      <c r="AB1877" s="20">
        <v>0</v>
      </c>
      <c r="AC1877" s="20">
        <v>0</v>
      </c>
      <c r="AD1877" s="23">
        <f t="shared" ref="AD1877:AE1877" si="4033">AD1847</f>
        <v>30</v>
      </c>
      <c r="AE1877" s="23">
        <f t="shared" si="4033"/>
        <v>34</v>
      </c>
    </row>
    <row r="1878" spans="1:31">
      <c r="A1878" s="4">
        <v>16102</v>
      </c>
      <c r="B1878" s="4">
        <v>17</v>
      </c>
      <c r="C1878" s="19" t="s">
        <v>72</v>
      </c>
      <c r="D1878" s="44">
        <v>0</v>
      </c>
      <c r="E1878" s="18">
        <v>0</v>
      </c>
      <c r="F1878" s="18">
        <v>0</v>
      </c>
      <c r="G1878" s="18">
        <f t="shared" ref="G1878:H1878" si="4034">G1818*3</f>
        <v>405</v>
      </c>
      <c r="H1878" s="18">
        <f t="shared" si="4034"/>
        <v>3462</v>
      </c>
      <c r="I1878" s="21">
        <f t="shared" si="3879"/>
        <v>275</v>
      </c>
      <c r="J1878" s="21">
        <f t="shared" si="4025"/>
        <v>16</v>
      </c>
      <c r="K1878" s="21">
        <v>0</v>
      </c>
      <c r="L1878" s="20">
        <v>6</v>
      </c>
      <c r="M1878" s="20">
        <v>0</v>
      </c>
      <c r="N1878" s="20">
        <f t="shared" si="3880"/>
        <v>5100</v>
      </c>
      <c r="O1878" s="19" t="s">
        <v>72</v>
      </c>
      <c r="P1878" s="20">
        <v>2332</v>
      </c>
      <c r="Q1878" s="20">
        <f t="shared" ref="Q1878:X1878" si="4035">Q1848</f>
        <v>510</v>
      </c>
      <c r="R1878" s="20">
        <f t="shared" si="4035"/>
        <v>2040</v>
      </c>
      <c r="S1878" s="20">
        <f t="shared" si="4035"/>
        <v>3570</v>
      </c>
      <c r="T1878" s="20">
        <f t="shared" si="4035"/>
        <v>4590</v>
      </c>
      <c r="U1878" s="20">
        <f t="shared" si="4035"/>
        <v>80</v>
      </c>
      <c r="V1878" s="20">
        <f t="shared" si="4035"/>
        <v>800</v>
      </c>
      <c r="W1878" s="20">
        <f t="shared" si="4035"/>
        <v>600</v>
      </c>
      <c r="X1878" s="20">
        <f t="shared" si="4035"/>
        <v>5</v>
      </c>
      <c r="Y1878" s="20">
        <v>0</v>
      </c>
      <c r="Z1878" s="20">
        <v>0</v>
      </c>
      <c r="AA1878" s="20">
        <v>0</v>
      </c>
      <c r="AB1878" s="20">
        <v>0</v>
      </c>
      <c r="AC1878" s="20">
        <v>0</v>
      </c>
      <c r="AD1878" s="23">
        <f t="shared" ref="AD1878:AE1878" si="4036">AD1848</f>
        <v>32</v>
      </c>
      <c r="AE1878" s="23">
        <f t="shared" si="4036"/>
        <v>36</v>
      </c>
    </row>
    <row r="1879" spans="1:31">
      <c r="A1879" s="4">
        <v>16102</v>
      </c>
      <c r="B1879" s="4">
        <v>18</v>
      </c>
      <c r="C1879" s="19" t="s">
        <v>73</v>
      </c>
      <c r="D1879" s="44">
        <v>0</v>
      </c>
      <c r="E1879" s="18">
        <v>0</v>
      </c>
      <c r="F1879" s="18">
        <v>0</v>
      </c>
      <c r="G1879" s="18">
        <f t="shared" ref="G1879:H1879" si="4037">G1819*3</f>
        <v>438</v>
      </c>
      <c r="H1879" s="18">
        <f t="shared" si="4037"/>
        <v>3750</v>
      </c>
      <c r="I1879" s="21">
        <f t="shared" si="3879"/>
        <v>275</v>
      </c>
      <c r="J1879" s="21">
        <f t="shared" si="4025"/>
        <v>17</v>
      </c>
      <c r="K1879" s="21">
        <v>0</v>
      </c>
      <c r="L1879" s="20">
        <v>6</v>
      </c>
      <c r="M1879" s="20">
        <v>0</v>
      </c>
      <c r="N1879" s="20">
        <f t="shared" si="3880"/>
        <v>5400</v>
      </c>
      <c r="O1879" s="19" t="s">
        <v>73</v>
      </c>
      <c r="P1879" s="20">
        <v>1487</v>
      </c>
      <c r="Q1879" s="20">
        <f t="shared" ref="Q1879:X1879" si="4038">Q1849</f>
        <v>540</v>
      </c>
      <c r="R1879" s="20">
        <f t="shared" si="4038"/>
        <v>2160</v>
      </c>
      <c r="S1879" s="20">
        <f t="shared" si="4038"/>
        <v>3779.9999999999995</v>
      </c>
      <c r="T1879" s="20">
        <f t="shared" si="4038"/>
        <v>4860</v>
      </c>
      <c r="U1879" s="20">
        <f t="shared" si="4038"/>
        <v>100</v>
      </c>
      <c r="V1879" s="20">
        <f t="shared" si="4038"/>
        <v>600</v>
      </c>
      <c r="W1879" s="20">
        <f t="shared" si="4038"/>
        <v>300</v>
      </c>
      <c r="X1879" s="20">
        <f t="shared" si="4038"/>
        <v>5</v>
      </c>
      <c r="Y1879" s="20">
        <f>ROUND(D1879*0.25,-1)</f>
        <v>0</v>
      </c>
      <c r="Z1879" s="20">
        <f>ROUND(E1879*0.25,-1)</f>
        <v>0</v>
      </c>
      <c r="AA1879" s="20">
        <f>ROUND(F1879*0.25,-1)</f>
        <v>0</v>
      </c>
      <c r="AB1879" s="20">
        <f t="shared" si="3989"/>
        <v>151</v>
      </c>
      <c r="AC1879" s="20">
        <v>0</v>
      </c>
      <c r="AD1879" s="23">
        <f t="shared" ref="AD1879:AE1879" si="4039">AD1849</f>
        <v>34</v>
      </c>
      <c r="AE1879" s="23">
        <f t="shared" si="4039"/>
        <v>38</v>
      </c>
    </row>
    <row r="1880" spans="1:31">
      <c r="A1880" s="8">
        <v>16102</v>
      </c>
      <c r="B1880" s="8">
        <v>19</v>
      </c>
      <c r="C1880" s="19" t="s">
        <v>74</v>
      </c>
      <c r="D1880" s="44">
        <v>0</v>
      </c>
      <c r="E1880" s="18">
        <v>0</v>
      </c>
      <c r="F1880" s="18">
        <v>0</v>
      </c>
      <c r="G1880" s="18">
        <f t="shared" ref="G1880:H1880" si="4040">G1820*3</f>
        <v>474</v>
      </c>
      <c r="H1880" s="18">
        <f t="shared" si="4040"/>
        <v>4059</v>
      </c>
      <c r="I1880" s="21">
        <f t="shared" si="3879"/>
        <v>275</v>
      </c>
      <c r="J1880" s="21">
        <f t="shared" si="4025"/>
        <v>18</v>
      </c>
      <c r="K1880" s="21">
        <v>0</v>
      </c>
      <c r="L1880" s="20">
        <v>6</v>
      </c>
      <c r="M1880" s="20">
        <v>0</v>
      </c>
      <c r="N1880" s="20">
        <f t="shared" si="3880"/>
        <v>5700</v>
      </c>
      <c r="O1880" s="19" t="s">
        <v>74</v>
      </c>
      <c r="P1880" s="20">
        <v>1518</v>
      </c>
      <c r="Q1880" s="20">
        <f t="shared" ref="Q1880:X1880" si="4041">Q1850</f>
        <v>570</v>
      </c>
      <c r="R1880" s="20">
        <f t="shared" si="4041"/>
        <v>2280</v>
      </c>
      <c r="S1880" s="20">
        <f t="shared" si="4041"/>
        <v>3989.9999999999995</v>
      </c>
      <c r="T1880" s="20">
        <f t="shared" si="4041"/>
        <v>5130</v>
      </c>
      <c r="U1880" s="20">
        <f t="shared" si="4041"/>
        <v>100</v>
      </c>
      <c r="V1880" s="20">
        <f t="shared" si="4041"/>
        <v>500</v>
      </c>
      <c r="W1880" s="20">
        <f t="shared" si="4041"/>
        <v>400</v>
      </c>
      <c r="X1880" s="20">
        <f t="shared" si="4041"/>
        <v>5</v>
      </c>
      <c r="Y1880" s="20">
        <v>0</v>
      </c>
      <c r="Z1880" s="20">
        <v>0</v>
      </c>
      <c r="AA1880" s="20">
        <v>0</v>
      </c>
      <c r="AB1880" s="20">
        <v>0</v>
      </c>
      <c r="AC1880" s="20">
        <v>0</v>
      </c>
      <c r="AD1880" s="23">
        <f t="shared" ref="AD1880:AE1880" si="4042">AD1850</f>
        <v>36</v>
      </c>
      <c r="AE1880" s="23">
        <f t="shared" si="4042"/>
        <v>40</v>
      </c>
    </row>
    <row r="1881" spans="1:31">
      <c r="A1881" s="4">
        <v>16102</v>
      </c>
      <c r="B1881" s="4">
        <v>20</v>
      </c>
      <c r="C1881" s="19" t="s">
        <v>75</v>
      </c>
      <c r="D1881" s="44">
        <v>0</v>
      </c>
      <c r="E1881" s="18">
        <v>0</v>
      </c>
      <c r="F1881" s="18">
        <v>0</v>
      </c>
      <c r="G1881" s="18">
        <f t="shared" ref="G1881:H1881" si="4043">G1821*3</f>
        <v>513</v>
      </c>
      <c r="H1881" s="18">
        <f t="shared" si="4043"/>
        <v>4395</v>
      </c>
      <c r="I1881" s="21">
        <f t="shared" si="3879"/>
        <v>275</v>
      </c>
      <c r="J1881" s="21">
        <f t="shared" si="4025"/>
        <v>19</v>
      </c>
      <c r="K1881" s="21">
        <v>0</v>
      </c>
      <c r="L1881" s="20">
        <v>6</v>
      </c>
      <c r="M1881" s="20">
        <v>0</v>
      </c>
      <c r="N1881" s="20">
        <f t="shared" si="3880"/>
        <v>8000</v>
      </c>
      <c r="O1881" s="19" t="s">
        <v>75</v>
      </c>
      <c r="P1881" s="20">
        <v>861</v>
      </c>
      <c r="Q1881" s="20">
        <f t="shared" ref="Q1881:X1881" si="4044">Q1851</f>
        <v>800</v>
      </c>
      <c r="R1881" s="20">
        <f t="shared" si="4044"/>
        <v>3200</v>
      </c>
      <c r="S1881" s="20">
        <f t="shared" si="4044"/>
        <v>5600</v>
      </c>
      <c r="T1881" s="20">
        <f t="shared" si="4044"/>
        <v>7200</v>
      </c>
      <c r="U1881" s="20">
        <f t="shared" si="4044"/>
        <v>100</v>
      </c>
      <c r="V1881" s="20">
        <f t="shared" si="4044"/>
        <v>800</v>
      </c>
      <c r="W1881" s="20">
        <f t="shared" si="4044"/>
        <v>8000</v>
      </c>
      <c r="X1881" s="20">
        <f t="shared" si="4044"/>
        <v>5</v>
      </c>
      <c r="Y1881" s="20">
        <v>0</v>
      </c>
      <c r="Z1881" s="20">
        <v>0</v>
      </c>
      <c r="AA1881" s="20">
        <v>0</v>
      </c>
      <c r="AB1881" s="20">
        <v>0</v>
      </c>
      <c r="AC1881" s="20">
        <v>0</v>
      </c>
      <c r="AD1881" s="23">
        <f t="shared" ref="AD1881:AE1881" si="4045">AD1851</f>
        <v>38</v>
      </c>
      <c r="AE1881" s="23">
        <f t="shared" si="4045"/>
        <v>42</v>
      </c>
    </row>
    <row r="1882" spans="1:31">
      <c r="A1882" s="4">
        <v>16102</v>
      </c>
      <c r="B1882" s="4">
        <v>21</v>
      </c>
      <c r="C1882" s="19" t="s">
        <v>66</v>
      </c>
      <c r="D1882" s="44">
        <v>0</v>
      </c>
      <c r="E1882" s="18">
        <v>0</v>
      </c>
      <c r="F1882" s="18">
        <v>0</v>
      </c>
      <c r="G1882" s="18">
        <f t="shared" ref="G1882:H1882" si="4046">G1822*3</f>
        <v>555</v>
      </c>
      <c r="H1882" s="18">
        <f t="shared" si="4046"/>
        <v>4758</v>
      </c>
      <c r="I1882" s="21">
        <f t="shared" si="3879"/>
        <v>330</v>
      </c>
      <c r="J1882" s="21">
        <f t="shared" si="4025"/>
        <v>20</v>
      </c>
      <c r="K1882" s="21">
        <v>0</v>
      </c>
      <c r="L1882" s="20">
        <v>6</v>
      </c>
      <c r="M1882" s="20">
        <v>0</v>
      </c>
      <c r="N1882" s="20">
        <f t="shared" si="3880"/>
        <v>8400</v>
      </c>
      <c r="O1882" s="19" t="s">
        <v>66</v>
      </c>
      <c r="P1882" s="20">
        <v>9400</v>
      </c>
      <c r="Q1882" s="20">
        <f t="shared" ref="Q1882:X1882" si="4047">Q1852</f>
        <v>840</v>
      </c>
      <c r="R1882" s="20">
        <f t="shared" si="4047"/>
        <v>3360</v>
      </c>
      <c r="S1882" s="20">
        <f t="shared" si="4047"/>
        <v>5880</v>
      </c>
      <c r="T1882" s="20">
        <f t="shared" si="4047"/>
        <v>7560</v>
      </c>
      <c r="U1882" s="20">
        <f t="shared" si="4047"/>
        <v>50</v>
      </c>
      <c r="V1882" s="20">
        <f t="shared" si="4047"/>
        <v>1000</v>
      </c>
      <c r="W1882" s="20">
        <f t="shared" si="4047"/>
        <v>600</v>
      </c>
      <c r="X1882" s="20">
        <f t="shared" si="4047"/>
        <v>6</v>
      </c>
      <c r="Y1882" s="20">
        <v>0</v>
      </c>
      <c r="Z1882" s="20">
        <v>0</v>
      </c>
      <c r="AA1882" s="20">
        <v>0</v>
      </c>
      <c r="AB1882" s="20">
        <v>0</v>
      </c>
      <c r="AC1882" s="20">
        <v>0</v>
      </c>
      <c r="AD1882" s="23">
        <f t="shared" ref="AD1882:AE1882" si="4048">AD1852</f>
        <v>40</v>
      </c>
      <c r="AE1882" s="23">
        <f t="shared" si="4048"/>
        <v>44</v>
      </c>
    </row>
    <row r="1883" spans="1:31">
      <c r="A1883" s="4">
        <v>16102</v>
      </c>
      <c r="B1883" s="4">
        <v>22</v>
      </c>
      <c r="C1883" s="19" t="s">
        <v>67</v>
      </c>
      <c r="D1883" s="44">
        <v>0</v>
      </c>
      <c r="E1883" s="18">
        <v>0</v>
      </c>
      <c r="F1883" s="18">
        <v>0</v>
      </c>
      <c r="G1883" s="18">
        <f t="shared" ref="G1883:H1883" si="4049">G1823*3</f>
        <v>603</v>
      </c>
      <c r="H1883" s="18">
        <f t="shared" si="4049"/>
        <v>5151</v>
      </c>
      <c r="I1883" s="21">
        <f t="shared" si="3879"/>
        <v>330</v>
      </c>
      <c r="J1883" s="21">
        <f t="shared" si="4025"/>
        <v>21</v>
      </c>
      <c r="K1883" s="21">
        <v>0</v>
      </c>
      <c r="L1883" s="20">
        <v>6</v>
      </c>
      <c r="M1883" s="20">
        <v>0</v>
      </c>
      <c r="N1883" s="20">
        <f t="shared" si="3880"/>
        <v>8800</v>
      </c>
      <c r="O1883" s="19" t="s">
        <v>67</v>
      </c>
      <c r="P1883" s="20">
        <v>9100</v>
      </c>
      <c r="Q1883" s="20">
        <f t="shared" ref="Q1883:X1883" si="4050">Q1853</f>
        <v>880</v>
      </c>
      <c r="R1883" s="20">
        <f t="shared" si="4050"/>
        <v>3520</v>
      </c>
      <c r="S1883" s="20">
        <f t="shared" si="4050"/>
        <v>6160</v>
      </c>
      <c r="T1883" s="20">
        <f t="shared" si="4050"/>
        <v>7920</v>
      </c>
      <c r="U1883" s="20">
        <f t="shared" si="4050"/>
        <v>100</v>
      </c>
      <c r="V1883" s="20">
        <f t="shared" si="4050"/>
        <v>600</v>
      </c>
      <c r="W1883" s="20">
        <f t="shared" si="4050"/>
        <v>700</v>
      </c>
      <c r="X1883" s="20">
        <f t="shared" si="4050"/>
        <v>6</v>
      </c>
      <c r="Y1883" s="20">
        <v>0</v>
      </c>
      <c r="Z1883" s="20">
        <v>0</v>
      </c>
      <c r="AA1883" s="20">
        <v>0</v>
      </c>
      <c r="AB1883" s="20">
        <v>0</v>
      </c>
      <c r="AC1883" s="20">
        <v>0</v>
      </c>
      <c r="AD1883" s="23">
        <f t="shared" ref="AD1883:AE1883" si="4051">AD1853</f>
        <v>42</v>
      </c>
      <c r="AE1883" s="23">
        <f t="shared" si="4051"/>
        <v>46</v>
      </c>
    </row>
    <row r="1884" spans="1:31">
      <c r="A1884" s="4">
        <v>16102</v>
      </c>
      <c r="B1884" s="4">
        <v>23</v>
      </c>
      <c r="C1884" s="19" t="s">
        <v>68</v>
      </c>
      <c r="D1884" s="44">
        <v>0</v>
      </c>
      <c r="E1884" s="18">
        <v>0</v>
      </c>
      <c r="F1884" s="18">
        <v>0</v>
      </c>
      <c r="G1884" s="18">
        <f t="shared" ref="G1884:H1884" si="4052">G1824*3</f>
        <v>651</v>
      </c>
      <c r="H1884" s="18">
        <f t="shared" si="4052"/>
        <v>5577</v>
      </c>
      <c r="I1884" s="21">
        <f t="shared" si="3879"/>
        <v>330</v>
      </c>
      <c r="J1884" s="21">
        <f t="shared" si="4025"/>
        <v>22</v>
      </c>
      <c r="K1884" s="21">
        <v>0</v>
      </c>
      <c r="L1884" s="20">
        <v>6</v>
      </c>
      <c r="M1884" s="20">
        <v>0</v>
      </c>
      <c r="N1884" s="20">
        <f t="shared" si="3880"/>
        <v>9200</v>
      </c>
      <c r="O1884" s="19" t="s">
        <v>68</v>
      </c>
      <c r="P1884" s="20">
        <v>8600</v>
      </c>
      <c r="Q1884" s="20">
        <f t="shared" ref="Q1884:X1884" si="4053">Q1854</f>
        <v>920</v>
      </c>
      <c r="R1884" s="20">
        <f t="shared" si="4053"/>
        <v>3680</v>
      </c>
      <c r="S1884" s="20">
        <f t="shared" si="4053"/>
        <v>6440</v>
      </c>
      <c r="T1884" s="20">
        <f t="shared" si="4053"/>
        <v>8280</v>
      </c>
      <c r="U1884" s="20">
        <f t="shared" si="4053"/>
        <v>100</v>
      </c>
      <c r="V1884" s="20">
        <f t="shared" si="4053"/>
        <v>550</v>
      </c>
      <c r="W1884" s="20">
        <f t="shared" si="4053"/>
        <v>500</v>
      </c>
      <c r="X1884" s="20">
        <f t="shared" si="4053"/>
        <v>6</v>
      </c>
      <c r="Y1884" s="20">
        <f>ROUND(D1884*0.25,-1)</f>
        <v>0</v>
      </c>
      <c r="Z1884" s="20">
        <f>ROUND(E1884*0.25,-1)</f>
        <v>0</v>
      </c>
      <c r="AA1884" s="20">
        <f>ROUND(F1884*0.25,-1)</f>
        <v>0</v>
      </c>
      <c r="AB1884" s="20">
        <f t="shared" si="3989"/>
        <v>201</v>
      </c>
      <c r="AC1884" s="20">
        <v>0</v>
      </c>
      <c r="AD1884" s="23">
        <f t="shared" ref="AD1884:AE1884" si="4054">AD1854</f>
        <v>44</v>
      </c>
      <c r="AE1884" s="23">
        <f t="shared" si="4054"/>
        <v>48</v>
      </c>
    </row>
    <row r="1885" spans="1:31">
      <c r="A1885" s="4">
        <v>16102</v>
      </c>
      <c r="B1885" s="4">
        <v>24</v>
      </c>
      <c r="C1885" s="19" t="s">
        <v>69</v>
      </c>
      <c r="D1885" s="44">
        <v>0</v>
      </c>
      <c r="E1885" s="18">
        <v>0</v>
      </c>
      <c r="F1885" s="18">
        <v>0</v>
      </c>
      <c r="G1885" s="18">
        <f t="shared" ref="G1885:H1885" si="4055">G1825*3</f>
        <v>705</v>
      </c>
      <c r="H1885" s="18">
        <f t="shared" si="4055"/>
        <v>6036</v>
      </c>
      <c r="I1885" s="21">
        <f t="shared" si="3879"/>
        <v>330</v>
      </c>
      <c r="J1885" s="21">
        <f t="shared" si="4025"/>
        <v>23</v>
      </c>
      <c r="K1885" s="21">
        <v>0</v>
      </c>
      <c r="L1885" s="20">
        <v>6</v>
      </c>
      <c r="M1885" s="20">
        <v>0</v>
      </c>
      <c r="N1885" s="20">
        <f t="shared" si="3880"/>
        <v>9600</v>
      </c>
      <c r="O1885" s="19" t="s">
        <v>69</v>
      </c>
      <c r="P1885" s="20">
        <v>6400</v>
      </c>
      <c r="Q1885" s="20">
        <f t="shared" ref="Q1885:X1885" si="4056">Q1855</f>
        <v>960</v>
      </c>
      <c r="R1885" s="20">
        <f t="shared" si="4056"/>
        <v>3840</v>
      </c>
      <c r="S1885" s="20">
        <f t="shared" si="4056"/>
        <v>6720</v>
      </c>
      <c r="T1885" s="20">
        <f t="shared" si="4056"/>
        <v>8640</v>
      </c>
      <c r="U1885" s="20">
        <f t="shared" si="4056"/>
        <v>100</v>
      </c>
      <c r="V1885" s="20">
        <f t="shared" si="4056"/>
        <v>500</v>
      </c>
      <c r="W1885" s="20">
        <f t="shared" si="4056"/>
        <v>900</v>
      </c>
      <c r="X1885" s="20">
        <f t="shared" si="4056"/>
        <v>6</v>
      </c>
      <c r="Y1885" s="20">
        <v>0</v>
      </c>
      <c r="Z1885" s="20">
        <v>0</v>
      </c>
      <c r="AA1885" s="20">
        <v>0</v>
      </c>
      <c r="AB1885" s="20">
        <v>0</v>
      </c>
      <c r="AC1885" s="20">
        <v>0</v>
      </c>
      <c r="AD1885" s="23">
        <f t="shared" ref="AD1885:AE1885" si="4057">AD1855</f>
        <v>46</v>
      </c>
      <c r="AE1885" s="23">
        <f t="shared" si="4057"/>
        <v>50</v>
      </c>
    </row>
    <row r="1886" spans="1:31">
      <c r="A1886" s="4">
        <v>16102</v>
      </c>
      <c r="B1886" s="4">
        <v>25</v>
      </c>
      <c r="C1886" s="19" t="s">
        <v>70</v>
      </c>
      <c r="D1886" s="44">
        <v>0</v>
      </c>
      <c r="E1886" s="18">
        <v>0</v>
      </c>
      <c r="F1886" s="18">
        <v>0</v>
      </c>
      <c r="G1886" s="18">
        <f t="shared" ref="G1886:H1886" si="4058">G1826*3</f>
        <v>762</v>
      </c>
      <c r="H1886" s="18">
        <f t="shared" si="4058"/>
        <v>6534</v>
      </c>
      <c r="I1886" s="21">
        <f t="shared" si="3879"/>
        <v>385</v>
      </c>
      <c r="J1886" s="21">
        <f t="shared" si="4025"/>
        <v>24</v>
      </c>
      <c r="K1886" s="21">
        <v>0</v>
      </c>
      <c r="L1886" s="20">
        <v>6</v>
      </c>
      <c r="M1886" s="20">
        <v>0</v>
      </c>
      <c r="N1886" s="20">
        <f t="shared" si="3880"/>
        <v>12500</v>
      </c>
      <c r="O1886" s="19" t="s">
        <v>70</v>
      </c>
      <c r="P1886" s="20">
        <v>3100</v>
      </c>
      <c r="Q1886" s="20">
        <f t="shared" ref="Q1886:X1886" si="4059">Q1856</f>
        <v>1250</v>
      </c>
      <c r="R1886" s="20">
        <f t="shared" si="4059"/>
        <v>5000</v>
      </c>
      <c r="S1886" s="20">
        <f t="shared" si="4059"/>
        <v>8750</v>
      </c>
      <c r="T1886" s="20">
        <f t="shared" si="4059"/>
        <v>11250</v>
      </c>
      <c r="U1886" s="20">
        <f t="shared" si="4059"/>
        <v>10</v>
      </c>
      <c r="V1886" s="20">
        <f t="shared" si="4059"/>
        <v>1300</v>
      </c>
      <c r="W1886" s="20">
        <f t="shared" si="4059"/>
        <v>1000</v>
      </c>
      <c r="X1886" s="20">
        <f t="shared" si="4059"/>
        <v>7</v>
      </c>
      <c r="Y1886" s="20">
        <v>0</v>
      </c>
      <c r="Z1886" s="20">
        <v>0</v>
      </c>
      <c r="AA1886" s="20">
        <v>0</v>
      </c>
      <c r="AB1886" s="20">
        <v>0</v>
      </c>
      <c r="AC1886" s="20">
        <v>0</v>
      </c>
      <c r="AD1886" s="23">
        <f t="shared" ref="AD1886:AE1886" si="4060">AD1856</f>
        <v>48</v>
      </c>
      <c r="AE1886" s="23">
        <f t="shared" si="4060"/>
        <v>52</v>
      </c>
    </row>
    <row r="1887" spans="1:31">
      <c r="A1887" s="4">
        <v>16102</v>
      </c>
      <c r="B1887" s="4">
        <v>26</v>
      </c>
      <c r="C1887" s="19" t="s">
        <v>71</v>
      </c>
      <c r="D1887" s="44">
        <v>0</v>
      </c>
      <c r="E1887" s="18">
        <v>0</v>
      </c>
      <c r="F1887" s="18">
        <v>0</v>
      </c>
      <c r="G1887" s="18">
        <f t="shared" ref="G1887:H1887" si="4061">G1827*3</f>
        <v>825</v>
      </c>
      <c r="H1887" s="18">
        <f t="shared" si="4061"/>
        <v>7074</v>
      </c>
      <c r="I1887" s="21">
        <f t="shared" si="3879"/>
        <v>385</v>
      </c>
      <c r="J1887" s="21">
        <f t="shared" si="4025"/>
        <v>25</v>
      </c>
      <c r="K1887" s="21">
        <v>0</v>
      </c>
      <c r="L1887" s="20">
        <v>6</v>
      </c>
      <c r="M1887" s="20">
        <v>0</v>
      </c>
      <c r="N1887" s="20">
        <f t="shared" si="3880"/>
        <v>13000</v>
      </c>
      <c r="O1887" s="19" t="s">
        <v>71</v>
      </c>
      <c r="P1887" s="20">
        <v>1777</v>
      </c>
      <c r="Q1887" s="20">
        <f t="shared" ref="Q1887:X1887" si="4062">Q1857</f>
        <v>1300</v>
      </c>
      <c r="R1887" s="20">
        <f t="shared" si="4062"/>
        <v>5200</v>
      </c>
      <c r="S1887" s="20">
        <f t="shared" si="4062"/>
        <v>9100</v>
      </c>
      <c r="T1887" s="20">
        <f t="shared" si="4062"/>
        <v>11700</v>
      </c>
      <c r="U1887" s="20">
        <f t="shared" si="4062"/>
        <v>90</v>
      </c>
      <c r="V1887" s="20">
        <f t="shared" si="4062"/>
        <v>800</v>
      </c>
      <c r="W1887" s="20">
        <f t="shared" si="4062"/>
        <v>2000</v>
      </c>
      <c r="X1887" s="20">
        <f t="shared" si="4062"/>
        <v>7</v>
      </c>
      <c r="Y1887" s="20">
        <v>0</v>
      </c>
      <c r="Z1887" s="20">
        <v>0</v>
      </c>
      <c r="AA1887" s="20">
        <v>0</v>
      </c>
      <c r="AB1887" s="20">
        <v>0</v>
      </c>
      <c r="AC1887" s="20">
        <v>0</v>
      </c>
      <c r="AD1887" s="23">
        <f t="shared" ref="AD1887:AE1887" si="4063">AD1857</f>
        <v>50</v>
      </c>
      <c r="AE1887" s="23">
        <f t="shared" si="4063"/>
        <v>54</v>
      </c>
    </row>
    <row r="1888" spans="1:31">
      <c r="A1888" s="4">
        <v>16102</v>
      </c>
      <c r="B1888" s="4">
        <v>27</v>
      </c>
      <c r="C1888" s="19" t="s">
        <v>72</v>
      </c>
      <c r="D1888" s="44">
        <v>0</v>
      </c>
      <c r="E1888" s="18">
        <v>0</v>
      </c>
      <c r="F1888" s="18">
        <v>0</v>
      </c>
      <c r="G1888" s="18">
        <f t="shared" ref="G1888:H1888" si="4064">G1828*3</f>
        <v>894</v>
      </c>
      <c r="H1888" s="18">
        <f t="shared" si="4064"/>
        <v>7659</v>
      </c>
      <c r="I1888" s="21">
        <f t="shared" si="3879"/>
        <v>385</v>
      </c>
      <c r="J1888" s="21">
        <f t="shared" si="4025"/>
        <v>26</v>
      </c>
      <c r="K1888" s="21">
        <v>0</v>
      </c>
      <c r="L1888" s="20">
        <v>6</v>
      </c>
      <c r="M1888" s="20">
        <v>0</v>
      </c>
      <c r="N1888" s="20">
        <f t="shared" si="3880"/>
        <v>13500</v>
      </c>
      <c r="O1888" s="19" t="s">
        <v>72</v>
      </c>
      <c r="P1888" s="20">
        <v>2332</v>
      </c>
      <c r="Q1888" s="20">
        <f t="shared" ref="Q1888:X1888" si="4065">Q1858</f>
        <v>1350</v>
      </c>
      <c r="R1888" s="20">
        <f t="shared" si="4065"/>
        <v>5400</v>
      </c>
      <c r="S1888" s="20">
        <f t="shared" si="4065"/>
        <v>9450</v>
      </c>
      <c r="T1888" s="20">
        <f t="shared" si="4065"/>
        <v>12150</v>
      </c>
      <c r="U1888" s="20">
        <f t="shared" si="4065"/>
        <v>80</v>
      </c>
      <c r="V1888" s="20">
        <f t="shared" si="4065"/>
        <v>700</v>
      </c>
      <c r="W1888" s="20">
        <f t="shared" si="4065"/>
        <v>800</v>
      </c>
      <c r="X1888" s="20">
        <f t="shared" si="4065"/>
        <v>7</v>
      </c>
      <c r="Y1888" s="20">
        <v>0</v>
      </c>
      <c r="Z1888" s="20">
        <v>0</v>
      </c>
      <c r="AA1888" s="20">
        <v>0</v>
      </c>
      <c r="AB1888" s="20">
        <v>0</v>
      </c>
      <c r="AC1888" s="20">
        <v>0</v>
      </c>
      <c r="AD1888" s="23">
        <f t="shared" ref="AD1888:AE1888" si="4066">AD1858</f>
        <v>52</v>
      </c>
      <c r="AE1888" s="23">
        <f t="shared" si="4066"/>
        <v>56</v>
      </c>
    </row>
    <row r="1889" spans="1:31">
      <c r="A1889" s="4">
        <v>16102</v>
      </c>
      <c r="B1889" s="4">
        <v>28</v>
      </c>
      <c r="C1889" s="19" t="s">
        <v>73</v>
      </c>
      <c r="D1889" s="44">
        <v>0</v>
      </c>
      <c r="E1889" s="18">
        <v>0</v>
      </c>
      <c r="F1889" s="18">
        <v>0</v>
      </c>
      <c r="G1889" s="18">
        <f t="shared" ref="G1889:H1889" si="4067">G1829*3</f>
        <v>969</v>
      </c>
      <c r="H1889" s="18">
        <f t="shared" si="4067"/>
        <v>8292</v>
      </c>
      <c r="I1889" s="21">
        <f t="shared" ref="I1889:I1952" si="4068">I1859</f>
        <v>385</v>
      </c>
      <c r="J1889" s="21">
        <f t="shared" si="4025"/>
        <v>27</v>
      </c>
      <c r="K1889" s="21">
        <v>0</v>
      </c>
      <c r="L1889" s="20">
        <v>6</v>
      </c>
      <c r="M1889" s="20">
        <v>0</v>
      </c>
      <c r="N1889" s="20">
        <f t="shared" ref="N1889:N1952" si="4069">N1859</f>
        <v>14000</v>
      </c>
      <c r="O1889" s="19" t="s">
        <v>73</v>
      </c>
      <c r="P1889" s="20">
        <v>1487</v>
      </c>
      <c r="Q1889" s="20">
        <f t="shared" ref="Q1889:X1889" si="4070">Q1859</f>
        <v>1400</v>
      </c>
      <c r="R1889" s="20">
        <f t="shared" si="4070"/>
        <v>5600</v>
      </c>
      <c r="S1889" s="20">
        <f t="shared" si="4070"/>
        <v>9800</v>
      </c>
      <c r="T1889" s="20">
        <f t="shared" si="4070"/>
        <v>12600</v>
      </c>
      <c r="U1889" s="20">
        <f t="shared" si="4070"/>
        <v>80</v>
      </c>
      <c r="V1889" s="20">
        <f t="shared" si="4070"/>
        <v>500</v>
      </c>
      <c r="W1889" s="20">
        <f t="shared" si="4070"/>
        <v>600</v>
      </c>
      <c r="X1889" s="20">
        <f t="shared" si="4070"/>
        <v>7</v>
      </c>
      <c r="Y1889" s="20">
        <f>ROUND(D1889*0.25,-1)</f>
        <v>0</v>
      </c>
      <c r="Z1889" s="20">
        <f>ROUND(E1889*0.25,-1)</f>
        <v>0</v>
      </c>
      <c r="AA1889" s="20">
        <f>ROUND(F1889*0.25,-1)</f>
        <v>0</v>
      </c>
      <c r="AB1889" s="20">
        <f t="shared" si="3989"/>
        <v>252</v>
      </c>
      <c r="AC1889" s="20">
        <v>0</v>
      </c>
      <c r="AD1889" s="23">
        <f t="shared" ref="AD1889:AE1889" si="4071">AD1859</f>
        <v>54</v>
      </c>
      <c r="AE1889" s="23">
        <f t="shared" si="4071"/>
        <v>58</v>
      </c>
    </row>
    <row r="1890" spans="1:31">
      <c r="A1890" s="4">
        <v>16102</v>
      </c>
      <c r="B1890" s="4">
        <v>29</v>
      </c>
      <c r="C1890" s="19" t="s">
        <v>74</v>
      </c>
      <c r="D1890" s="44">
        <v>0</v>
      </c>
      <c r="E1890" s="18">
        <v>0</v>
      </c>
      <c r="F1890" s="18">
        <v>0</v>
      </c>
      <c r="G1890" s="18">
        <f t="shared" ref="G1890:H1890" si="4072">G1830*3</f>
        <v>1047</v>
      </c>
      <c r="H1890" s="18">
        <f t="shared" si="4072"/>
        <v>8979</v>
      </c>
      <c r="I1890" s="21">
        <f t="shared" si="4068"/>
        <v>440</v>
      </c>
      <c r="J1890" s="21">
        <f t="shared" si="4025"/>
        <v>28</v>
      </c>
      <c r="K1890" s="21">
        <v>0</v>
      </c>
      <c r="L1890" s="20">
        <v>6</v>
      </c>
      <c r="M1890" s="20">
        <v>0</v>
      </c>
      <c r="N1890" s="20">
        <f t="shared" si="4069"/>
        <v>14500</v>
      </c>
      <c r="O1890" s="19" t="s">
        <v>74</v>
      </c>
      <c r="P1890" s="20">
        <v>1518</v>
      </c>
      <c r="Q1890" s="20">
        <f t="shared" ref="Q1890:X1890" si="4073">Q1860</f>
        <v>1450</v>
      </c>
      <c r="R1890" s="20">
        <f t="shared" si="4073"/>
        <v>5800</v>
      </c>
      <c r="S1890" s="20">
        <f t="shared" si="4073"/>
        <v>10150</v>
      </c>
      <c r="T1890" s="20">
        <f t="shared" si="4073"/>
        <v>13050</v>
      </c>
      <c r="U1890" s="20">
        <f t="shared" si="4073"/>
        <v>80</v>
      </c>
      <c r="V1890" s="20">
        <f t="shared" si="4073"/>
        <v>600</v>
      </c>
      <c r="W1890" s="20">
        <f t="shared" si="4073"/>
        <v>700</v>
      </c>
      <c r="X1890" s="20">
        <f t="shared" si="4073"/>
        <v>8</v>
      </c>
      <c r="Y1890" s="20">
        <v>0</v>
      </c>
      <c r="Z1890" s="20">
        <v>0</v>
      </c>
      <c r="AA1890" s="20">
        <v>0</v>
      </c>
      <c r="AB1890" s="20">
        <v>0</v>
      </c>
      <c r="AC1890" s="20">
        <v>0</v>
      </c>
      <c r="AD1890" s="23">
        <f t="shared" ref="AD1890:AE1890" si="4074">AD1860</f>
        <v>56</v>
      </c>
      <c r="AE1890" s="23">
        <f t="shared" si="4074"/>
        <v>60</v>
      </c>
    </row>
    <row r="1891" spans="1:31">
      <c r="A1891" s="4">
        <v>16102</v>
      </c>
      <c r="B1891" s="4">
        <v>30</v>
      </c>
      <c r="C1891" s="19" t="s">
        <v>75</v>
      </c>
      <c r="D1891" s="44">
        <v>0</v>
      </c>
      <c r="E1891" s="18">
        <v>0</v>
      </c>
      <c r="F1891" s="18">
        <v>0</v>
      </c>
      <c r="G1891" s="18">
        <f>G1831*3</f>
        <v>1134</v>
      </c>
      <c r="H1891" s="18">
        <f>H1831*3</f>
        <v>9720</v>
      </c>
      <c r="I1891" s="21">
        <f t="shared" si="4068"/>
        <v>440</v>
      </c>
      <c r="J1891" s="21">
        <f t="shared" si="4025"/>
        <v>29</v>
      </c>
      <c r="K1891" s="21">
        <v>0</v>
      </c>
      <c r="L1891" s="20">
        <v>6</v>
      </c>
      <c r="M1891" s="20">
        <v>0</v>
      </c>
      <c r="N1891" s="20">
        <f t="shared" si="4069"/>
        <v>15000</v>
      </c>
      <c r="O1891" s="19" t="s">
        <v>75</v>
      </c>
      <c r="P1891" s="20">
        <v>861</v>
      </c>
      <c r="Q1891" s="20">
        <f t="shared" ref="Q1891:X1891" si="4075">Q1861</f>
        <v>1500</v>
      </c>
      <c r="R1891" s="20">
        <f t="shared" si="4075"/>
        <v>6000</v>
      </c>
      <c r="S1891" s="20">
        <f t="shared" si="4075"/>
        <v>10500</v>
      </c>
      <c r="T1891" s="20">
        <f t="shared" si="4075"/>
        <v>13500</v>
      </c>
      <c r="U1891" s="20">
        <f t="shared" si="4075"/>
        <v>20</v>
      </c>
      <c r="V1891" s="20">
        <f t="shared" si="4075"/>
        <v>450</v>
      </c>
      <c r="W1891" s="20">
        <f t="shared" si="4075"/>
        <v>1000</v>
      </c>
      <c r="X1891" s="20">
        <f t="shared" si="4075"/>
        <v>8</v>
      </c>
      <c r="Y1891" s="20">
        <v>0</v>
      </c>
      <c r="Z1891" s="20">
        <v>0</v>
      </c>
      <c r="AA1891" s="20">
        <v>0</v>
      </c>
      <c r="AB1891" s="20">
        <v>0</v>
      </c>
      <c r="AC1891" s="20">
        <v>0</v>
      </c>
      <c r="AD1891" s="23">
        <f t="shared" ref="AD1891:AE1891" si="4076">AD1861</f>
        <v>58</v>
      </c>
      <c r="AE1891" s="23">
        <f t="shared" si="4076"/>
        <v>62</v>
      </c>
    </row>
    <row r="1892" spans="1:31">
      <c r="A1892" s="8">
        <v>16103</v>
      </c>
      <c r="B1892" s="8">
        <v>1</v>
      </c>
      <c r="C1892" s="29" t="s">
        <v>66</v>
      </c>
      <c r="D1892" s="46">
        <v>0</v>
      </c>
      <c r="E1892" s="28">
        <v>0</v>
      </c>
      <c r="F1892" s="28">
        <v>0</v>
      </c>
      <c r="G1892" s="28">
        <f>G1802*4</f>
        <v>152</v>
      </c>
      <c r="H1892" s="28">
        <f>H1802*4</f>
        <v>1296</v>
      </c>
      <c r="I1892" s="21">
        <f t="shared" si="4068"/>
        <v>55</v>
      </c>
      <c r="J1892" s="21">
        <f t="shared" si="4025"/>
        <v>0</v>
      </c>
      <c r="K1892" s="21">
        <v>0</v>
      </c>
      <c r="L1892" s="20">
        <v>45</v>
      </c>
      <c r="M1892" s="20">
        <v>0</v>
      </c>
      <c r="N1892" s="20">
        <f t="shared" si="4069"/>
        <v>10</v>
      </c>
      <c r="O1892" s="19" t="s">
        <v>66</v>
      </c>
      <c r="P1892" s="20">
        <v>9400</v>
      </c>
      <c r="Q1892" s="20">
        <f t="shared" ref="Q1892:X1892" si="4077">Q1862</f>
        <v>1</v>
      </c>
      <c r="R1892" s="20">
        <f t="shared" si="4077"/>
        <v>4</v>
      </c>
      <c r="S1892" s="20">
        <f t="shared" si="4077"/>
        <v>7</v>
      </c>
      <c r="T1892" s="20">
        <f t="shared" si="4077"/>
        <v>9</v>
      </c>
      <c r="U1892" s="20">
        <f t="shared" si="4077"/>
        <v>9400</v>
      </c>
      <c r="V1892" s="20">
        <f t="shared" si="4077"/>
        <v>9400</v>
      </c>
      <c r="W1892" s="20">
        <f t="shared" si="4077"/>
        <v>9400</v>
      </c>
      <c r="X1892" s="20">
        <f t="shared" si="4077"/>
        <v>1</v>
      </c>
      <c r="Y1892" s="20">
        <v>0</v>
      </c>
      <c r="Z1892" s="20">
        <v>0</v>
      </c>
      <c r="AA1892" s="20">
        <v>0</v>
      </c>
      <c r="AB1892" s="20">
        <f>INT(AB1922*0.9)</f>
        <v>0</v>
      </c>
      <c r="AC1892" s="20">
        <v>0</v>
      </c>
      <c r="AD1892" s="23">
        <f t="shared" ref="AD1892:AE1892" si="4078">AD1862</f>
        <v>1</v>
      </c>
      <c r="AE1892" s="23">
        <f t="shared" si="4078"/>
        <v>3</v>
      </c>
    </row>
    <row r="1893" spans="1:31">
      <c r="A1893" s="4">
        <v>16103</v>
      </c>
      <c r="B1893" s="4">
        <v>2</v>
      </c>
      <c r="C1893" s="29" t="s">
        <v>67</v>
      </c>
      <c r="D1893" s="46">
        <v>0</v>
      </c>
      <c r="E1893" s="28">
        <v>0</v>
      </c>
      <c r="F1893" s="28">
        <v>0</v>
      </c>
      <c r="G1893" s="28">
        <f t="shared" ref="G1893:H1893" si="4079">G1803*4</f>
        <v>164</v>
      </c>
      <c r="H1893" s="28">
        <f t="shared" si="4079"/>
        <v>1404</v>
      </c>
      <c r="I1893" s="21">
        <f t="shared" si="4068"/>
        <v>55</v>
      </c>
      <c r="J1893" s="21">
        <f t="shared" si="4025"/>
        <v>1</v>
      </c>
      <c r="K1893" s="21">
        <v>0</v>
      </c>
      <c r="L1893" s="20">
        <v>40</v>
      </c>
      <c r="M1893" s="20">
        <v>0</v>
      </c>
      <c r="N1893" s="20">
        <f t="shared" si="4069"/>
        <v>20</v>
      </c>
      <c r="O1893" s="19" t="s">
        <v>67</v>
      </c>
      <c r="P1893" s="20">
        <v>9100</v>
      </c>
      <c r="Q1893" s="20">
        <f t="shared" ref="Q1893:X1893" si="4080">Q1863</f>
        <v>2</v>
      </c>
      <c r="R1893" s="20">
        <f t="shared" si="4080"/>
        <v>8</v>
      </c>
      <c r="S1893" s="20">
        <f t="shared" si="4080"/>
        <v>14</v>
      </c>
      <c r="T1893" s="20">
        <f t="shared" si="4080"/>
        <v>18</v>
      </c>
      <c r="U1893" s="20">
        <f t="shared" si="4080"/>
        <v>4000</v>
      </c>
      <c r="V1893" s="20">
        <f t="shared" si="4080"/>
        <v>8000</v>
      </c>
      <c r="W1893" s="20">
        <f t="shared" si="4080"/>
        <v>8000</v>
      </c>
      <c r="X1893" s="20">
        <f t="shared" si="4080"/>
        <v>1</v>
      </c>
      <c r="Y1893" s="20">
        <v>0</v>
      </c>
      <c r="Z1893" s="20">
        <v>0</v>
      </c>
      <c r="AA1893" s="20">
        <v>0</v>
      </c>
      <c r="AB1893" s="20">
        <f t="shared" ref="AB1893:AB1919" si="4081">INT(AB1923*0.9)</f>
        <v>0</v>
      </c>
      <c r="AC1893" s="20">
        <v>0</v>
      </c>
      <c r="AD1893" s="23">
        <f t="shared" ref="AD1893:AE1893" si="4082">AD1863</f>
        <v>2</v>
      </c>
      <c r="AE1893" s="23">
        <f t="shared" si="4082"/>
        <v>5</v>
      </c>
    </row>
    <row r="1894" spans="1:31">
      <c r="A1894" s="4">
        <v>16103</v>
      </c>
      <c r="B1894" s="4">
        <v>3</v>
      </c>
      <c r="C1894" s="29" t="s">
        <v>68</v>
      </c>
      <c r="D1894" s="46">
        <v>0</v>
      </c>
      <c r="E1894" s="28">
        <v>0</v>
      </c>
      <c r="F1894" s="28">
        <v>0</v>
      </c>
      <c r="G1894" s="28">
        <f t="shared" ref="G1894:H1894" si="4083">G1804*4</f>
        <v>180</v>
      </c>
      <c r="H1894" s="28">
        <f t="shared" si="4083"/>
        <v>1520</v>
      </c>
      <c r="I1894" s="21">
        <f t="shared" si="4068"/>
        <v>55</v>
      </c>
      <c r="J1894" s="21">
        <f t="shared" si="4025"/>
        <v>2</v>
      </c>
      <c r="K1894" s="21">
        <v>0</v>
      </c>
      <c r="L1894" s="20">
        <v>35</v>
      </c>
      <c r="M1894" s="20">
        <v>0</v>
      </c>
      <c r="N1894" s="20">
        <f t="shared" si="4069"/>
        <v>40</v>
      </c>
      <c r="O1894" s="19" t="s">
        <v>68</v>
      </c>
      <c r="P1894" s="20">
        <v>8600</v>
      </c>
      <c r="Q1894" s="20">
        <f t="shared" ref="Q1894:X1894" si="4084">Q1864</f>
        <v>4</v>
      </c>
      <c r="R1894" s="20">
        <f t="shared" si="4084"/>
        <v>16</v>
      </c>
      <c r="S1894" s="20">
        <f t="shared" si="4084"/>
        <v>28</v>
      </c>
      <c r="T1894" s="20">
        <f t="shared" si="4084"/>
        <v>36</v>
      </c>
      <c r="U1894" s="20">
        <f t="shared" si="4084"/>
        <v>1600</v>
      </c>
      <c r="V1894" s="20">
        <f t="shared" si="4084"/>
        <v>5000</v>
      </c>
      <c r="W1894" s="20">
        <f t="shared" si="4084"/>
        <v>6000</v>
      </c>
      <c r="X1894" s="20">
        <f t="shared" si="4084"/>
        <v>1</v>
      </c>
      <c r="Y1894" s="20">
        <v>0</v>
      </c>
      <c r="Z1894" s="20">
        <v>0</v>
      </c>
      <c r="AA1894" s="20">
        <v>0</v>
      </c>
      <c r="AB1894" s="20">
        <f t="shared" si="4081"/>
        <v>0</v>
      </c>
      <c r="AC1894" s="20">
        <v>0</v>
      </c>
      <c r="AD1894" s="23">
        <f t="shared" ref="AD1894:AE1894" si="4085">AD1864</f>
        <v>4</v>
      </c>
      <c r="AE1894" s="23">
        <f t="shared" si="4085"/>
        <v>8</v>
      </c>
    </row>
    <row r="1895" spans="1:31">
      <c r="A1895" s="4">
        <v>16103</v>
      </c>
      <c r="B1895" s="4">
        <v>4</v>
      </c>
      <c r="C1895" s="29" t="s">
        <v>69</v>
      </c>
      <c r="D1895" s="46">
        <v>0</v>
      </c>
      <c r="E1895" s="28">
        <v>0</v>
      </c>
      <c r="F1895" s="28">
        <v>0</v>
      </c>
      <c r="G1895" s="28">
        <f t="shared" ref="G1895:H1895" si="4086">G1805*4</f>
        <v>192</v>
      </c>
      <c r="H1895" s="28">
        <f t="shared" si="4086"/>
        <v>1644</v>
      </c>
      <c r="I1895" s="21">
        <f t="shared" si="4068"/>
        <v>55</v>
      </c>
      <c r="J1895" s="21">
        <f t="shared" si="4025"/>
        <v>3</v>
      </c>
      <c r="K1895" s="21">
        <v>0</v>
      </c>
      <c r="L1895" s="20">
        <v>30</v>
      </c>
      <c r="M1895" s="20">
        <v>0</v>
      </c>
      <c r="N1895" s="20">
        <f t="shared" si="4069"/>
        <v>100</v>
      </c>
      <c r="O1895" s="19" t="s">
        <v>69</v>
      </c>
      <c r="P1895" s="20">
        <v>6400</v>
      </c>
      <c r="Q1895" s="20">
        <f t="shared" ref="Q1895:X1895" si="4087">Q1865</f>
        <v>10</v>
      </c>
      <c r="R1895" s="20">
        <f t="shared" si="4087"/>
        <v>40</v>
      </c>
      <c r="S1895" s="20">
        <f t="shared" si="4087"/>
        <v>70</v>
      </c>
      <c r="T1895" s="20">
        <f t="shared" si="4087"/>
        <v>90</v>
      </c>
      <c r="U1895" s="20">
        <f t="shared" si="4087"/>
        <v>900</v>
      </c>
      <c r="V1895" s="20">
        <f t="shared" si="4087"/>
        <v>2000</v>
      </c>
      <c r="W1895" s="20">
        <f t="shared" si="4087"/>
        <v>8000</v>
      </c>
      <c r="X1895" s="20">
        <f t="shared" si="4087"/>
        <v>1</v>
      </c>
      <c r="Y1895" s="20">
        <v>0</v>
      </c>
      <c r="Z1895" s="20">
        <v>0</v>
      </c>
      <c r="AA1895" s="20">
        <v>0</v>
      </c>
      <c r="AB1895" s="20">
        <f t="shared" si="4081"/>
        <v>0</v>
      </c>
      <c r="AC1895" s="20">
        <v>0</v>
      </c>
      <c r="AD1895" s="23">
        <f t="shared" ref="AD1895:AE1895" si="4088">AD1865</f>
        <v>6</v>
      </c>
      <c r="AE1895" s="23">
        <f t="shared" si="4088"/>
        <v>10</v>
      </c>
    </row>
    <row r="1896" spans="1:31">
      <c r="A1896" s="4">
        <v>16103</v>
      </c>
      <c r="B1896" s="4">
        <v>5</v>
      </c>
      <c r="C1896" s="29" t="s">
        <v>70</v>
      </c>
      <c r="D1896" s="46">
        <v>0</v>
      </c>
      <c r="E1896" s="28">
        <v>0</v>
      </c>
      <c r="F1896" s="28">
        <v>0</v>
      </c>
      <c r="G1896" s="28">
        <f t="shared" ref="G1896:H1896" si="4089">G1806*4</f>
        <v>208</v>
      </c>
      <c r="H1896" s="28">
        <f t="shared" si="4089"/>
        <v>1780</v>
      </c>
      <c r="I1896" s="21">
        <f t="shared" si="4068"/>
        <v>110</v>
      </c>
      <c r="J1896" s="21">
        <f t="shared" si="4025"/>
        <v>4</v>
      </c>
      <c r="K1896" s="21">
        <v>0</v>
      </c>
      <c r="L1896" s="20">
        <v>25</v>
      </c>
      <c r="M1896" s="20">
        <v>0</v>
      </c>
      <c r="N1896" s="20">
        <f t="shared" si="4069"/>
        <v>200</v>
      </c>
      <c r="O1896" s="19" t="s">
        <v>70</v>
      </c>
      <c r="P1896" s="20">
        <v>3100</v>
      </c>
      <c r="Q1896" s="20">
        <f t="shared" ref="Q1896:X1896" si="4090">Q1866</f>
        <v>20</v>
      </c>
      <c r="R1896" s="20">
        <f t="shared" si="4090"/>
        <v>80</v>
      </c>
      <c r="S1896" s="20">
        <f t="shared" si="4090"/>
        <v>140</v>
      </c>
      <c r="T1896" s="20">
        <f t="shared" si="4090"/>
        <v>180</v>
      </c>
      <c r="U1896" s="20">
        <f t="shared" si="4090"/>
        <v>1000</v>
      </c>
      <c r="V1896" s="20">
        <f t="shared" si="4090"/>
        <v>2000</v>
      </c>
      <c r="W1896" s="20">
        <f t="shared" si="4090"/>
        <v>2000</v>
      </c>
      <c r="X1896" s="20">
        <f t="shared" si="4090"/>
        <v>2</v>
      </c>
      <c r="Y1896" s="20">
        <v>0</v>
      </c>
      <c r="Z1896" s="20">
        <v>0</v>
      </c>
      <c r="AA1896" s="20">
        <v>0</v>
      </c>
      <c r="AB1896" s="20">
        <f t="shared" si="4081"/>
        <v>0</v>
      </c>
      <c r="AC1896" s="20">
        <v>0</v>
      </c>
      <c r="AD1896" s="23">
        <f t="shared" ref="AD1896:AE1896" si="4091">AD1866</f>
        <v>8</v>
      </c>
      <c r="AE1896" s="23">
        <f t="shared" si="4091"/>
        <v>12</v>
      </c>
    </row>
    <row r="1897" spans="1:31">
      <c r="A1897" s="4">
        <v>16103</v>
      </c>
      <c r="B1897" s="4">
        <v>6</v>
      </c>
      <c r="C1897" s="29" t="s">
        <v>71</v>
      </c>
      <c r="D1897" s="46">
        <v>0</v>
      </c>
      <c r="E1897" s="28">
        <v>0</v>
      </c>
      <c r="F1897" s="28">
        <v>0</v>
      </c>
      <c r="G1897" s="28">
        <f t="shared" ref="G1897:H1897" si="4092">G1807*4</f>
        <v>224</v>
      </c>
      <c r="H1897" s="28">
        <f t="shared" si="4092"/>
        <v>1928</v>
      </c>
      <c r="I1897" s="21">
        <f t="shared" si="4068"/>
        <v>110</v>
      </c>
      <c r="J1897" s="21">
        <f t="shared" si="4025"/>
        <v>5</v>
      </c>
      <c r="K1897" s="21">
        <v>0</v>
      </c>
      <c r="L1897" s="20">
        <v>20</v>
      </c>
      <c r="M1897" s="20">
        <v>0</v>
      </c>
      <c r="N1897" s="20">
        <f t="shared" si="4069"/>
        <v>500</v>
      </c>
      <c r="O1897" s="19" t="s">
        <v>71</v>
      </c>
      <c r="P1897" s="20">
        <v>1777</v>
      </c>
      <c r="Q1897" s="20">
        <f t="shared" ref="Q1897:X1897" si="4093">Q1867</f>
        <v>50</v>
      </c>
      <c r="R1897" s="20">
        <f t="shared" si="4093"/>
        <v>200</v>
      </c>
      <c r="S1897" s="20">
        <f t="shared" si="4093"/>
        <v>350</v>
      </c>
      <c r="T1897" s="20">
        <f t="shared" si="4093"/>
        <v>450</v>
      </c>
      <c r="U1897" s="20">
        <f t="shared" si="4093"/>
        <v>800</v>
      </c>
      <c r="V1897" s="20">
        <f t="shared" si="4093"/>
        <v>800</v>
      </c>
      <c r="W1897" s="20">
        <f t="shared" si="4093"/>
        <v>600</v>
      </c>
      <c r="X1897" s="20">
        <f t="shared" si="4093"/>
        <v>2</v>
      </c>
      <c r="Y1897" s="20">
        <v>0</v>
      </c>
      <c r="Z1897" s="20">
        <v>0</v>
      </c>
      <c r="AA1897" s="20">
        <v>0</v>
      </c>
      <c r="AB1897" s="20">
        <f t="shared" si="4081"/>
        <v>0</v>
      </c>
      <c r="AC1897" s="20">
        <v>0</v>
      </c>
      <c r="AD1897" s="23">
        <f t="shared" ref="AD1897:AE1897" si="4094">AD1867</f>
        <v>10</v>
      </c>
      <c r="AE1897" s="23">
        <f t="shared" si="4094"/>
        <v>14</v>
      </c>
    </row>
    <row r="1898" spans="1:31">
      <c r="A1898" s="4">
        <v>16103</v>
      </c>
      <c r="B1898" s="4">
        <v>7</v>
      </c>
      <c r="C1898" s="29" t="s">
        <v>72</v>
      </c>
      <c r="D1898" s="46">
        <v>0</v>
      </c>
      <c r="E1898" s="28">
        <v>0</v>
      </c>
      <c r="F1898" s="28">
        <v>0</v>
      </c>
      <c r="G1898" s="28">
        <f t="shared" ref="G1898:H1898" si="4095">G1808*4</f>
        <v>244</v>
      </c>
      <c r="H1898" s="28">
        <f t="shared" si="4095"/>
        <v>2088</v>
      </c>
      <c r="I1898" s="21">
        <f t="shared" si="4068"/>
        <v>110</v>
      </c>
      <c r="J1898" s="21">
        <f t="shared" si="4025"/>
        <v>6</v>
      </c>
      <c r="K1898" s="21">
        <v>0</v>
      </c>
      <c r="L1898" s="20">
        <v>16</v>
      </c>
      <c r="M1898" s="20">
        <v>0</v>
      </c>
      <c r="N1898" s="20">
        <f t="shared" si="4069"/>
        <v>700</v>
      </c>
      <c r="O1898" s="19" t="s">
        <v>72</v>
      </c>
      <c r="P1898" s="20">
        <v>2332</v>
      </c>
      <c r="Q1898" s="20">
        <f t="shared" ref="Q1898:X1898" si="4096">Q1868</f>
        <v>70</v>
      </c>
      <c r="R1898" s="20">
        <f t="shared" si="4096"/>
        <v>280</v>
      </c>
      <c r="S1898" s="20">
        <f t="shared" si="4096"/>
        <v>489.99999999999994</v>
      </c>
      <c r="T1898" s="20">
        <f t="shared" si="4096"/>
        <v>630</v>
      </c>
      <c r="U1898" s="20">
        <f t="shared" si="4096"/>
        <v>650</v>
      </c>
      <c r="V1898" s="20">
        <f t="shared" si="4096"/>
        <v>800</v>
      </c>
      <c r="W1898" s="20">
        <f t="shared" si="4096"/>
        <v>300</v>
      </c>
      <c r="X1898" s="20">
        <f t="shared" si="4096"/>
        <v>2</v>
      </c>
      <c r="Y1898" s="20">
        <v>0</v>
      </c>
      <c r="Z1898" s="20">
        <v>0</v>
      </c>
      <c r="AA1898" s="20">
        <v>0</v>
      </c>
      <c r="AB1898" s="20">
        <f t="shared" si="4081"/>
        <v>0</v>
      </c>
      <c r="AC1898" s="20">
        <v>0</v>
      </c>
      <c r="AD1898" s="23">
        <f t="shared" ref="AD1898:AE1898" si="4097">AD1868</f>
        <v>12</v>
      </c>
      <c r="AE1898" s="23">
        <f t="shared" si="4097"/>
        <v>16</v>
      </c>
    </row>
    <row r="1899" spans="1:31">
      <c r="A1899" s="4">
        <v>16103</v>
      </c>
      <c r="B1899" s="4">
        <v>8</v>
      </c>
      <c r="C1899" s="29" t="s">
        <v>73</v>
      </c>
      <c r="D1899" s="46">
        <v>0</v>
      </c>
      <c r="E1899" s="28">
        <v>0</v>
      </c>
      <c r="F1899" s="28">
        <v>0</v>
      </c>
      <c r="G1899" s="28">
        <f t="shared" ref="G1899:H1899" si="4098">G1809*4</f>
        <v>264</v>
      </c>
      <c r="H1899" s="28">
        <f t="shared" si="4098"/>
        <v>2260</v>
      </c>
      <c r="I1899" s="21">
        <f t="shared" si="4068"/>
        <v>110</v>
      </c>
      <c r="J1899" s="21">
        <f t="shared" si="4025"/>
        <v>7</v>
      </c>
      <c r="K1899" s="21">
        <v>0</v>
      </c>
      <c r="L1899" s="20">
        <v>12</v>
      </c>
      <c r="M1899" s="20">
        <v>0</v>
      </c>
      <c r="N1899" s="20">
        <f t="shared" si="4069"/>
        <v>800</v>
      </c>
      <c r="O1899" s="19" t="s">
        <v>73</v>
      </c>
      <c r="P1899" s="20">
        <v>1487</v>
      </c>
      <c r="Q1899" s="20">
        <f t="shared" ref="Q1899:X1899" si="4099">Q1869</f>
        <v>80</v>
      </c>
      <c r="R1899" s="20">
        <f t="shared" si="4099"/>
        <v>320</v>
      </c>
      <c r="S1899" s="20">
        <f t="shared" si="4099"/>
        <v>560</v>
      </c>
      <c r="T1899" s="20">
        <f t="shared" si="4099"/>
        <v>720</v>
      </c>
      <c r="U1899" s="20">
        <f t="shared" si="4099"/>
        <v>200</v>
      </c>
      <c r="V1899" s="20">
        <f t="shared" si="4099"/>
        <v>2000</v>
      </c>
      <c r="W1899" s="20">
        <f t="shared" si="4099"/>
        <v>1000</v>
      </c>
      <c r="X1899" s="20">
        <f t="shared" si="4099"/>
        <v>2</v>
      </c>
      <c r="Y1899" s="20">
        <f>ROUND(D1899*0.25,-1)</f>
        <v>0</v>
      </c>
      <c r="Z1899" s="20">
        <f>ROUND(E1899*0.25,-1)</f>
        <v>0</v>
      </c>
      <c r="AA1899" s="20">
        <f>ROUND(F1899*0.25,-1)</f>
        <v>0</v>
      </c>
      <c r="AB1899" s="20">
        <f t="shared" si="4081"/>
        <v>56</v>
      </c>
      <c r="AC1899" s="20">
        <v>0</v>
      </c>
      <c r="AD1899" s="23">
        <f t="shared" ref="AD1899:AE1899" si="4100">AD1869</f>
        <v>14</v>
      </c>
      <c r="AE1899" s="23">
        <f t="shared" si="4100"/>
        <v>18</v>
      </c>
    </row>
    <row r="1900" spans="1:31">
      <c r="A1900" s="4">
        <v>16103</v>
      </c>
      <c r="B1900" s="4">
        <v>9</v>
      </c>
      <c r="C1900" s="29" t="s">
        <v>74</v>
      </c>
      <c r="D1900" s="46">
        <v>0</v>
      </c>
      <c r="E1900" s="28">
        <v>0</v>
      </c>
      <c r="F1900" s="28">
        <v>0</v>
      </c>
      <c r="G1900" s="28">
        <f t="shared" ref="G1900:H1900" si="4101">G1810*4</f>
        <v>288</v>
      </c>
      <c r="H1900" s="28">
        <f t="shared" si="4101"/>
        <v>2448</v>
      </c>
      <c r="I1900" s="21">
        <f t="shared" si="4068"/>
        <v>165</v>
      </c>
      <c r="J1900" s="21">
        <f t="shared" si="4025"/>
        <v>8</v>
      </c>
      <c r="K1900" s="21">
        <v>0</v>
      </c>
      <c r="L1900" s="20">
        <v>8</v>
      </c>
      <c r="M1900" s="20">
        <v>0</v>
      </c>
      <c r="N1900" s="20">
        <f t="shared" si="4069"/>
        <v>900</v>
      </c>
      <c r="O1900" s="19" t="s">
        <v>74</v>
      </c>
      <c r="P1900" s="20">
        <v>1518</v>
      </c>
      <c r="Q1900" s="20">
        <f t="shared" ref="Q1900:X1900" si="4102">Q1870</f>
        <v>90</v>
      </c>
      <c r="R1900" s="20">
        <f t="shared" si="4102"/>
        <v>360</v>
      </c>
      <c r="S1900" s="20">
        <f t="shared" si="4102"/>
        <v>630</v>
      </c>
      <c r="T1900" s="20">
        <f t="shared" si="4102"/>
        <v>810</v>
      </c>
      <c r="U1900" s="20">
        <f t="shared" si="4102"/>
        <v>120</v>
      </c>
      <c r="V1900" s="20">
        <f t="shared" si="4102"/>
        <v>1500</v>
      </c>
      <c r="W1900" s="20">
        <f t="shared" si="4102"/>
        <v>1000</v>
      </c>
      <c r="X1900" s="20">
        <f t="shared" si="4102"/>
        <v>3</v>
      </c>
      <c r="Y1900" s="20">
        <v>0</v>
      </c>
      <c r="Z1900" s="20">
        <v>0</v>
      </c>
      <c r="AA1900" s="20">
        <v>0</v>
      </c>
      <c r="AB1900" s="20">
        <v>0</v>
      </c>
      <c r="AC1900" s="20">
        <v>0</v>
      </c>
      <c r="AD1900" s="23">
        <f t="shared" ref="AD1900:AE1900" si="4103">AD1870</f>
        <v>16</v>
      </c>
      <c r="AE1900" s="23">
        <f t="shared" si="4103"/>
        <v>20</v>
      </c>
    </row>
    <row r="1901" spans="1:31">
      <c r="A1901" s="4">
        <v>16103</v>
      </c>
      <c r="B1901" s="4">
        <v>10</v>
      </c>
      <c r="C1901" s="29" t="s">
        <v>75</v>
      </c>
      <c r="D1901" s="46">
        <v>0</v>
      </c>
      <c r="E1901" s="28">
        <v>0</v>
      </c>
      <c r="F1901" s="28">
        <v>0</v>
      </c>
      <c r="G1901" s="28">
        <f t="shared" ref="G1901:H1901" si="4104">G1811*4</f>
        <v>312</v>
      </c>
      <c r="H1901" s="28">
        <f t="shared" si="4104"/>
        <v>2648</v>
      </c>
      <c r="I1901" s="21">
        <f t="shared" si="4068"/>
        <v>165</v>
      </c>
      <c r="J1901" s="21">
        <f t="shared" si="4025"/>
        <v>9</v>
      </c>
      <c r="K1901" s="21">
        <v>0</v>
      </c>
      <c r="L1901" s="20">
        <v>6</v>
      </c>
      <c r="M1901" s="20">
        <v>0</v>
      </c>
      <c r="N1901" s="20">
        <f t="shared" si="4069"/>
        <v>2000</v>
      </c>
      <c r="O1901" s="19" t="s">
        <v>75</v>
      </c>
      <c r="P1901" s="20">
        <v>861</v>
      </c>
      <c r="Q1901" s="20">
        <f t="shared" ref="Q1901:X1901" si="4105">Q1871</f>
        <v>200</v>
      </c>
      <c r="R1901" s="20">
        <f t="shared" si="4105"/>
        <v>800</v>
      </c>
      <c r="S1901" s="20">
        <f t="shared" si="4105"/>
        <v>1400</v>
      </c>
      <c r="T1901" s="20">
        <f t="shared" si="4105"/>
        <v>1800</v>
      </c>
      <c r="U1901" s="20">
        <f t="shared" si="4105"/>
        <v>150</v>
      </c>
      <c r="V1901" s="20">
        <f t="shared" si="4105"/>
        <v>5000</v>
      </c>
      <c r="W1901" s="20">
        <f t="shared" si="4105"/>
        <v>800</v>
      </c>
      <c r="X1901" s="20">
        <f t="shared" si="4105"/>
        <v>3</v>
      </c>
      <c r="Y1901" s="20">
        <v>0</v>
      </c>
      <c r="Z1901" s="20">
        <v>0</v>
      </c>
      <c r="AA1901" s="20">
        <v>0</v>
      </c>
      <c r="AB1901" s="20">
        <v>0</v>
      </c>
      <c r="AC1901" s="20">
        <v>0</v>
      </c>
      <c r="AD1901" s="23">
        <f t="shared" ref="AD1901:AE1901" si="4106">AD1871</f>
        <v>18</v>
      </c>
      <c r="AE1901" s="23">
        <f t="shared" si="4106"/>
        <v>22</v>
      </c>
    </row>
    <row r="1902" spans="1:31">
      <c r="A1902" s="4">
        <v>16103</v>
      </c>
      <c r="B1902" s="4">
        <v>11</v>
      </c>
      <c r="C1902" s="29" t="s">
        <v>66</v>
      </c>
      <c r="D1902" s="46">
        <v>0</v>
      </c>
      <c r="E1902" s="28">
        <v>0</v>
      </c>
      <c r="F1902" s="28">
        <v>0</v>
      </c>
      <c r="G1902" s="28">
        <f t="shared" ref="G1902:H1902" si="4107">G1812*4</f>
        <v>336</v>
      </c>
      <c r="H1902" s="28">
        <f t="shared" si="4107"/>
        <v>2868</v>
      </c>
      <c r="I1902" s="21">
        <f t="shared" si="4068"/>
        <v>165</v>
      </c>
      <c r="J1902" s="21">
        <f t="shared" si="4025"/>
        <v>10</v>
      </c>
      <c r="K1902" s="21">
        <v>0</v>
      </c>
      <c r="L1902" s="20">
        <v>6</v>
      </c>
      <c r="M1902" s="20">
        <v>0</v>
      </c>
      <c r="N1902" s="20">
        <f t="shared" si="4069"/>
        <v>2200</v>
      </c>
      <c r="O1902" s="19" t="s">
        <v>66</v>
      </c>
      <c r="P1902" s="20">
        <v>9400</v>
      </c>
      <c r="Q1902" s="20">
        <f t="shared" ref="Q1902:X1902" si="4108">Q1872</f>
        <v>220</v>
      </c>
      <c r="R1902" s="20">
        <f t="shared" si="4108"/>
        <v>880</v>
      </c>
      <c r="S1902" s="20">
        <f t="shared" si="4108"/>
        <v>1540</v>
      </c>
      <c r="T1902" s="20">
        <f t="shared" si="4108"/>
        <v>1980</v>
      </c>
      <c r="U1902" s="20">
        <f t="shared" si="4108"/>
        <v>100</v>
      </c>
      <c r="V1902" s="20">
        <f t="shared" si="4108"/>
        <v>800</v>
      </c>
      <c r="W1902" s="20">
        <f t="shared" si="4108"/>
        <v>600</v>
      </c>
      <c r="X1902" s="20">
        <f t="shared" si="4108"/>
        <v>3</v>
      </c>
      <c r="Y1902" s="20">
        <v>0</v>
      </c>
      <c r="Z1902" s="20">
        <v>0</v>
      </c>
      <c r="AA1902" s="20">
        <v>0</v>
      </c>
      <c r="AB1902" s="20">
        <v>0</v>
      </c>
      <c r="AC1902" s="20">
        <v>0</v>
      </c>
      <c r="AD1902" s="23">
        <f t="shared" ref="AD1902:AE1902" si="4109">AD1872</f>
        <v>20</v>
      </c>
      <c r="AE1902" s="23">
        <f t="shared" si="4109"/>
        <v>24</v>
      </c>
    </row>
    <row r="1903" spans="1:31">
      <c r="A1903" s="4">
        <v>16103</v>
      </c>
      <c r="B1903" s="4">
        <v>12</v>
      </c>
      <c r="C1903" s="29" t="s">
        <v>67</v>
      </c>
      <c r="D1903" s="46">
        <v>0</v>
      </c>
      <c r="E1903" s="28">
        <v>0</v>
      </c>
      <c r="F1903" s="28">
        <v>0</v>
      </c>
      <c r="G1903" s="28">
        <f t="shared" ref="G1903:H1903" si="4110">G1813*4</f>
        <v>364</v>
      </c>
      <c r="H1903" s="28">
        <f t="shared" si="4110"/>
        <v>3104</v>
      </c>
      <c r="I1903" s="21">
        <f t="shared" si="4068"/>
        <v>165</v>
      </c>
      <c r="J1903" s="21">
        <f t="shared" si="4025"/>
        <v>11</v>
      </c>
      <c r="K1903" s="21">
        <v>0</v>
      </c>
      <c r="L1903" s="20">
        <v>6</v>
      </c>
      <c r="M1903" s="20">
        <v>0</v>
      </c>
      <c r="N1903" s="20">
        <f t="shared" si="4069"/>
        <v>2400</v>
      </c>
      <c r="O1903" s="19" t="s">
        <v>67</v>
      </c>
      <c r="P1903" s="20">
        <v>9100</v>
      </c>
      <c r="Q1903" s="20">
        <f t="shared" ref="Q1903:X1903" si="4111">Q1873</f>
        <v>240</v>
      </c>
      <c r="R1903" s="20">
        <f t="shared" si="4111"/>
        <v>960</v>
      </c>
      <c r="S1903" s="20">
        <f t="shared" si="4111"/>
        <v>1680</v>
      </c>
      <c r="T1903" s="20">
        <f t="shared" si="4111"/>
        <v>2160</v>
      </c>
      <c r="U1903" s="20">
        <f t="shared" si="4111"/>
        <v>150</v>
      </c>
      <c r="V1903" s="20">
        <f t="shared" si="4111"/>
        <v>700</v>
      </c>
      <c r="W1903" s="20">
        <f t="shared" si="4111"/>
        <v>900</v>
      </c>
      <c r="X1903" s="20">
        <f t="shared" si="4111"/>
        <v>3</v>
      </c>
      <c r="Y1903" s="20">
        <v>0</v>
      </c>
      <c r="Z1903" s="20">
        <v>0</v>
      </c>
      <c r="AA1903" s="20">
        <v>0</v>
      </c>
      <c r="AB1903" s="20">
        <v>0</v>
      </c>
      <c r="AC1903" s="20">
        <v>0</v>
      </c>
      <c r="AD1903" s="23">
        <f t="shared" ref="AD1903:AE1903" si="4112">AD1873</f>
        <v>22</v>
      </c>
      <c r="AE1903" s="23">
        <f t="shared" si="4112"/>
        <v>26</v>
      </c>
    </row>
    <row r="1904" spans="1:31">
      <c r="A1904" s="8">
        <v>16103</v>
      </c>
      <c r="B1904" s="8">
        <v>13</v>
      </c>
      <c r="C1904" s="29" t="s">
        <v>68</v>
      </c>
      <c r="D1904" s="46">
        <v>0</v>
      </c>
      <c r="E1904" s="28">
        <v>0</v>
      </c>
      <c r="F1904" s="28">
        <v>0</v>
      </c>
      <c r="G1904" s="28">
        <f t="shared" ref="G1904:H1904" si="4113">G1814*4</f>
        <v>392</v>
      </c>
      <c r="H1904" s="28">
        <f t="shared" si="4113"/>
        <v>3360</v>
      </c>
      <c r="I1904" s="21">
        <f t="shared" si="4068"/>
        <v>220</v>
      </c>
      <c r="J1904" s="21">
        <f t="shared" si="4025"/>
        <v>12</v>
      </c>
      <c r="K1904" s="21">
        <v>0</v>
      </c>
      <c r="L1904" s="20">
        <v>6</v>
      </c>
      <c r="M1904" s="20">
        <v>0</v>
      </c>
      <c r="N1904" s="20">
        <f t="shared" si="4069"/>
        <v>2600</v>
      </c>
      <c r="O1904" s="19" t="s">
        <v>68</v>
      </c>
      <c r="P1904" s="20">
        <v>8600</v>
      </c>
      <c r="Q1904" s="20">
        <f t="shared" ref="Q1904:X1904" si="4114">Q1874</f>
        <v>260</v>
      </c>
      <c r="R1904" s="20">
        <f t="shared" si="4114"/>
        <v>1040</v>
      </c>
      <c r="S1904" s="20">
        <f t="shared" si="4114"/>
        <v>1819.9999999999998</v>
      </c>
      <c r="T1904" s="20">
        <f t="shared" si="4114"/>
        <v>2340</v>
      </c>
      <c r="U1904" s="20">
        <f t="shared" si="4114"/>
        <v>100</v>
      </c>
      <c r="V1904" s="20">
        <f t="shared" si="4114"/>
        <v>700</v>
      </c>
      <c r="W1904" s="20">
        <f t="shared" si="4114"/>
        <v>1000</v>
      </c>
      <c r="X1904" s="20">
        <f t="shared" si="4114"/>
        <v>4</v>
      </c>
      <c r="Y1904" s="20">
        <f>ROUND(D1904*0.25,-1)</f>
        <v>0</v>
      </c>
      <c r="Z1904" s="20">
        <f>ROUND(E1904*0.25,-1)</f>
        <v>0</v>
      </c>
      <c r="AA1904" s="20">
        <f>ROUND(F1904*0.25,-1)</f>
        <v>0</v>
      </c>
      <c r="AB1904" s="20">
        <f t="shared" si="4081"/>
        <v>113</v>
      </c>
      <c r="AC1904" s="20">
        <v>0</v>
      </c>
      <c r="AD1904" s="23">
        <f t="shared" ref="AD1904:AE1904" si="4115">AD1874</f>
        <v>24</v>
      </c>
      <c r="AE1904" s="23">
        <f t="shared" si="4115"/>
        <v>28</v>
      </c>
    </row>
    <row r="1905" spans="1:31">
      <c r="A1905" s="4">
        <v>16103</v>
      </c>
      <c r="B1905" s="4">
        <v>14</v>
      </c>
      <c r="C1905" s="29" t="s">
        <v>69</v>
      </c>
      <c r="D1905" s="46">
        <v>0</v>
      </c>
      <c r="E1905" s="28">
        <v>0</v>
      </c>
      <c r="F1905" s="28">
        <v>0</v>
      </c>
      <c r="G1905" s="28">
        <f t="shared" ref="G1905:H1905" si="4116">G1815*4</f>
        <v>424</v>
      </c>
      <c r="H1905" s="28">
        <f t="shared" si="4116"/>
        <v>3640</v>
      </c>
      <c r="I1905" s="21">
        <f t="shared" si="4068"/>
        <v>220</v>
      </c>
      <c r="J1905" s="21">
        <f t="shared" si="4025"/>
        <v>13</v>
      </c>
      <c r="K1905" s="21">
        <v>0</v>
      </c>
      <c r="L1905" s="20">
        <v>6</v>
      </c>
      <c r="M1905" s="20">
        <v>0</v>
      </c>
      <c r="N1905" s="20">
        <f t="shared" si="4069"/>
        <v>2800</v>
      </c>
      <c r="O1905" s="19" t="s">
        <v>69</v>
      </c>
      <c r="P1905" s="20">
        <v>6400</v>
      </c>
      <c r="Q1905" s="20">
        <f t="shared" ref="Q1905:X1905" si="4117">Q1875</f>
        <v>280</v>
      </c>
      <c r="R1905" s="20">
        <f t="shared" si="4117"/>
        <v>1120</v>
      </c>
      <c r="S1905" s="20">
        <f t="shared" si="4117"/>
        <v>1959.9999999999998</v>
      </c>
      <c r="T1905" s="20">
        <f t="shared" si="4117"/>
        <v>2520</v>
      </c>
      <c r="U1905" s="20">
        <f t="shared" si="4117"/>
        <v>100</v>
      </c>
      <c r="V1905" s="20">
        <f t="shared" si="4117"/>
        <v>400</v>
      </c>
      <c r="W1905" s="20">
        <f t="shared" si="4117"/>
        <v>1200</v>
      </c>
      <c r="X1905" s="20">
        <f t="shared" si="4117"/>
        <v>4</v>
      </c>
      <c r="Y1905" s="20">
        <v>0</v>
      </c>
      <c r="Z1905" s="20">
        <v>0</v>
      </c>
      <c r="AA1905" s="20">
        <v>0</v>
      </c>
      <c r="AB1905" s="20">
        <v>0</v>
      </c>
      <c r="AC1905" s="20">
        <v>0</v>
      </c>
      <c r="AD1905" s="23">
        <f t="shared" ref="AD1905:AE1905" si="4118">AD1875</f>
        <v>26</v>
      </c>
      <c r="AE1905" s="23">
        <f t="shared" si="4118"/>
        <v>30</v>
      </c>
    </row>
    <row r="1906" spans="1:31">
      <c r="A1906" s="4">
        <v>16103</v>
      </c>
      <c r="B1906" s="4">
        <v>15</v>
      </c>
      <c r="C1906" s="29" t="s">
        <v>70</v>
      </c>
      <c r="D1906" s="46">
        <v>0</v>
      </c>
      <c r="E1906" s="28">
        <v>0</v>
      </c>
      <c r="F1906" s="28">
        <v>0</v>
      </c>
      <c r="G1906" s="28">
        <f t="shared" ref="G1906:H1906" si="4119">G1816*4</f>
        <v>460</v>
      </c>
      <c r="H1906" s="28">
        <f t="shared" si="4119"/>
        <v>3940</v>
      </c>
      <c r="I1906" s="21">
        <f t="shared" si="4068"/>
        <v>220</v>
      </c>
      <c r="J1906" s="21">
        <f t="shared" si="4025"/>
        <v>14</v>
      </c>
      <c r="K1906" s="21">
        <v>0</v>
      </c>
      <c r="L1906" s="20">
        <v>6</v>
      </c>
      <c r="M1906" s="20">
        <v>0</v>
      </c>
      <c r="N1906" s="20">
        <f t="shared" si="4069"/>
        <v>4500</v>
      </c>
      <c r="O1906" s="19" t="s">
        <v>70</v>
      </c>
      <c r="P1906" s="20">
        <v>3100</v>
      </c>
      <c r="Q1906" s="20">
        <f t="shared" ref="Q1906:X1906" si="4120">Q1876</f>
        <v>450</v>
      </c>
      <c r="R1906" s="20">
        <f t="shared" si="4120"/>
        <v>1800</v>
      </c>
      <c r="S1906" s="20">
        <f t="shared" si="4120"/>
        <v>3150</v>
      </c>
      <c r="T1906" s="20">
        <f t="shared" si="4120"/>
        <v>4050</v>
      </c>
      <c r="U1906" s="20">
        <f t="shared" si="4120"/>
        <v>100</v>
      </c>
      <c r="V1906" s="20">
        <f t="shared" si="4120"/>
        <v>1000</v>
      </c>
      <c r="W1906" s="20">
        <f t="shared" si="4120"/>
        <v>600</v>
      </c>
      <c r="X1906" s="20">
        <f t="shared" si="4120"/>
        <v>4</v>
      </c>
      <c r="Y1906" s="20">
        <v>0</v>
      </c>
      <c r="Z1906" s="20">
        <v>0</v>
      </c>
      <c r="AA1906" s="20">
        <v>0</v>
      </c>
      <c r="AB1906" s="20">
        <v>0</v>
      </c>
      <c r="AC1906" s="20">
        <v>0</v>
      </c>
      <c r="AD1906" s="23">
        <f t="shared" ref="AD1906:AE1906" si="4121">AD1876</f>
        <v>28</v>
      </c>
      <c r="AE1906" s="23">
        <f t="shared" si="4121"/>
        <v>32</v>
      </c>
    </row>
    <row r="1907" spans="1:31">
      <c r="A1907" s="4">
        <v>16103</v>
      </c>
      <c r="B1907" s="4">
        <v>16</v>
      </c>
      <c r="C1907" s="29" t="s">
        <v>71</v>
      </c>
      <c r="D1907" s="46">
        <v>0</v>
      </c>
      <c r="E1907" s="28">
        <v>0</v>
      </c>
      <c r="F1907" s="28">
        <v>0</v>
      </c>
      <c r="G1907" s="28">
        <f t="shared" ref="G1907:H1907" si="4122">G1817*4</f>
        <v>500</v>
      </c>
      <c r="H1907" s="28">
        <f t="shared" si="4122"/>
        <v>4264</v>
      </c>
      <c r="I1907" s="21">
        <f t="shared" si="4068"/>
        <v>220</v>
      </c>
      <c r="J1907" s="21">
        <f t="shared" si="4025"/>
        <v>15</v>
      </c>
      <c r="K1907" s="21">
        <v>0</v>
      </c>
      <c r="L1907" s="20">
        <v>6</v>
      </c>
      <c r="M1907" s="20">
        <v>0</v>
      </c>
      <c r="N1907" s="20">
        <f t="shared" si="4069"/>
        <v>4800</v>
      </c>
      <c r="O1907" s="19" t="s">
        <v>71</v>
      </c>
      <c r="P1907" s="20">
        <v>1777</v>
      </c>
      <c r="Q1907" s="20">
        <f t="shared" ref="Q1907:X1907" si="4123">Q1877</f>
        <v>480</v>
      </c>
      <c r="R1907" s="20">
        <f t="shared" si="4123"/>
        <v>1920</v>
      </c>
      <c r="S1907" s="20">
        <f t="shared" si="4123"/>
        <v>3360</v>
      </c>
      <c r="T1907" s="20">
        <f t="shared" si="4123"/>
        <v>4320</v>
      </c>
      <c r="U1907" s="20">
        <f t="shared" si="4123"/>
        <v>100</v>
      </c>
      <c r="V1907" s="20">
        <f t="shared" si="4123"/>
        <v>800</v>
      </c>
      <c r="W1907" s="20">
        <f t="shared" si="4123"/>
        <v>800</v>
      </c>
      <c r="X1907" s="20">
        <f t="shared" si="4123"/>
        <v>4</v>
      </c>
      <c r="Y1907" s="20">
        <v>0</v>
      </c>
      <c r="Z1907" s="20">
        <v>0</v>
      </c>
      <c r="AA1907" s="20">
        <v>0</v>
      </c>
      <c r="AB1907" s="20">
        <v>0</v>
      </c>
      <c r="AC1907" s="20">
        <v>0</v>
      </c>
      <c r="AD1907" s="23">
        <f t="shared" ref="AD1907:AE1907" si="4124">AD1877</f>
        <v>30</v>
      </c>
      <c r="AE1907" s="23">
        <f t="shared" si="4124"/>
        <v>34</v>
      </c>
    </row>
    <row r="1908" spans="1:31">
      <c r="A1908" s="4">
        <v>16103</v>
      </c>
      <c r="B1908" s="4">
        <v>17</v>
      </c>
      <c r="C1908" s="29" t="s">
        <v>72</v>
      </c>
      <c r="D1908" s="46">
        <v>0</v>
      </c>
      <c r="E1908" s="28">
        <v>0</v>
      </c>
      <c r="F1908" s="28">
        <v>0</v>
      </c>
      <c r="G1908" s="28">
        <f t="shared" ref="G1908:H1908" si="4125">G1818*4</f>
        <v>540</v>
      </c>
      <c r="H1908" s="28">
        <f t="shared" si="4125"/>
        <v>4616</v>
      </c>
      <c r="I1908" s="21">
        <f t="shared" si="4068"/>
        <v>275</v>
      </c>
      <c r="J1908" s="21">
        <f t="shared" si="4025"/>
        <v>16</v>
      </c>
      <c r="K1908" s="21">
        <v>0</v>
      </c>
      <c r="L1908" s="20">
        <v>6</v>
      </c>
      <c r="M1908" s="20">
        <v>0</v>
      </c>
      <c r="N1908" s="20">
        <f t="shared" si="4069"/>
        <v>5100</v>
      </c>
      <c r="O1908" s="19" t="s">
        <v>72</v>
      </c>
      <c r="P1908" s="20">
        <v>2332</v>
      </c>
      <c r="Q1908" s="20">
        <f t="shared" ref="Q1908:X1908" si="4126">Q1878</f>
        <v>510</v>
      </c>
      <c r="R1908" s="20">
        <f t="shared" si="4126"/>
        <v>2040</v>
      </c>
      <c r="S1908" s="20">
        <f t="shared" si="4126"/>
        <v>3570</v>
      </c>
      <c r="T1908" s="20">
        <f t="shared" si="4126"/>
        <v>4590</v>
      </c>
      <c r="U1908" s="20">
        <f t="shared" si="4126"/>
        <v>80</v>
      </c>
      <c r="V1908" s="20">
        <f t="shared" si="4126"/>
        <v>800</v>
      </c>
      <c r="W1908" s="20">
        <f t="shared" si="4126"/>
        <v>600</v>
      </c>
      <c r="X1908" s="20">
        <f t="shared" si="4126"/>
        <v>5</v>
      </c>
      <c r="Y1908" s="20">
        <v>0</v>
      </c>
      <c r="Z1908" s="20">
        <v>0</v>
      </c>
      <c r="AA1908" s="20">
        <v>0</v>
      </c>
      <c r="AB1908" s="20">
        <v>0</v>
      </c>
      <c r="AC1908" s="20">
        <v>0</v>
      </c>
      <c r="AD1908" s="23">
        <f t="shared" ref="AD1908:AE1908" si="4127">AD1878</f>
        <v>32</v>
      </c>
      <c r="AE1908" s="23">
        <f t="shared" si="4127"/>
        <v>36</v>
      </c>
    </row>
    <row r="1909" spans="1:31">
      <c r="A1909" s="4">
        <v>16103</v>
      </c>
      <c r="B1909" s="4">
        <v>18</v>
      </c>
      <c r="C1909" s="29" t="s">
        <v>73</v>
      </c>
      <c r="D1909" s="46">
        <v>0</v>
      </c>
      <c r="E1909" s="28">
        <v>0</v>
      </c>
      <c r="F1909" s="28">
        <v>0</v>
      </c>
      <c r="G1909" s="28">
        <f t="shared" ref="G1909:H1909" si="4128">G1819*4</f>
        <v>584</v>
      </c>
      <c r="H1909" s="28">
        <f t="shared" si="4128"/>
        <v>5000</v>
      </c>
      <c r="I1909" s="21">
        <f t="shared" si="4068"/>
        <v>275</v>
      </c>
      <c r="J1909" s="21">
        <f t="shared" si="4025"/>
        <v>17</v>
      </c>
      <c r="K1909" s="21">
        <v>0</v>
      </c>
      <c r="L1909" s="20">
        <v>6</v>
      </c>
      <c r="M1909" s="20">
        <v>0</v>
      </c>
      <c r="N1909" s="20">
        <f t="shared" si="4069"/>
        <v>5400</v>
      </c>
      <c r="O1909" s="19" t="s">
        <v>73</v>
      </c>
      <c r="P1909" s="20">
        <v>1487</v>
      </c>
      <c r="Q1909" s="20">
        <f t="shared" ref="Q1909:X1909" si="4129">Q1879</f>
        <v>540</v>
      </c>
      <c r="R1909" s="20">
        <f t="shared" si="4129"/>
        <v>2160</v>
      </c>
      <c r="S1909" s="20">
        <f t="shared" si="4129"/>
        <v>3779.9999999999995</v>
      </c>
      <c r="T1909" s="20">
        <f t="shared" si="4129"/>
        <v>4860</v>
      </c>
      <c r="U1909" s="20">
        <f t="shared" si="4129"/>
        <v>100</v>
      </c>
      <c r="V1909" s="20">
        <f t="shared" si="4129"/>
        <v>600</v>
      </c>
      <c r="W1909" s="20">
        <f t="shared" si="4129"/>
        <v>300</v>
      </c>
      <c r="X1909" s="20">
        <f t="shared" si="4129"/>
        <v>5</v>
      </c>
      <c r="Y1909" s="20">
        <f>ROUND(D1909*0.25,-1)</f>
        <v>0</v>
      </c>
      <c r="Z1909" s="20">
        <f>ROUND(E1909*0.25,-1)</f>
        <v>0</v>
      </c>
      <c r="AA1909" s="20">
        <f>ROUND(F1909*0.25,-1)</f>
        <v>0</v>
      </c>
      <c r="AB1909" s="20">
        <f t="shared" si="4081"/>
        <v>170</v>
      </c>
      <c r="AC1909" s="20">
        <v>0</v>
      </c>
      <c r="AD1909" s="23">
        <f t="shared" ref="AD1909:AE1909" si="4130">AD1879</f>
        <v>34</v>
      </c>
      <c r="AE1909" s="23">
        <f t="shared" si="4130"/>
        <v>38</v>
      </c>
    </row>
    <row r="1910" spans="1:31">
      <c r="A1910" s="4">
        <v>16103</v>
      </c>
      <c r="B1910" s="4">
        <v>19</v>
      </c>
      <c r="C1910" s="29" t="s">
        <v>74</v>
      </c>
      <c r="D1910" s="46">
        <v>0</v>
      </c>
      <c r="E1910" s="28">
        <v>0</v>
      </c>
      <c r="F1910" s="28">
        <v>0</v>
      </c>
      <c r="G1910" s="28">
        <f t="shared" ref="G1910:H1910" si="4131">G1820*4</f>
        <v>632</v>
      </c>
      <c r="H1910" s="28">
        <f t="shared" si="4131"/>
        <v>5412</v>
      </c>
      <c r="I1910" s="21">
        <f t="shared" si="4068"/>
        <v>275</v>
      </c>
      <c r="J1910" s="21">
        <f t="shared" si="4025"/>
        <v>18</v>
      </c>
      <c r="K1910" s="21">
        <v>0</v>
      </c>
      <c r="L1910" s="20">
        <v>6</v>
      </c>
      <c r="M1910" s="20">
        <v>0</v>
      </c>
      <c r="N1910" s="20">
        <f t="shared" si="4069"/>
        <v>5700</v>
      </c>
      <c r="O1910" s="19" t="s">
        <v>74</v>
      </c>
      <c r="P1910" s="20">
        <v>1518</v>
      </c>
      <c r="Q1910" s="20">
        <f t="shared" ref="Q1910:X1910" si="4132">Q1880</f>
        <v>570</v>
      </c>
      <c r="R1910" s="20">
        <f t="shared" si="4132"/>
        <v>2280</v>
      </c>
      <c r="S1910" s="20">
        <f t="shared" si="4132"/>
        <v>3989.9999999999995</v>
      </c>
      <c r="T1910" s="20">
        <f t="shared" si="4132"/>
        <v>5130</v>
      </c>
      <c r="U1910" s="20">
        <f t="shared" si="4132"/>
        <v>100</v>
      </c>
      <c r="V1910" s="20">
        <f t="shared" si="4132"/>
        <v>500</v>
      </c>
      <c r="W1910" s="20">
        <f t="shared" si="4132"/>
        <v>400</v>
      </c>
      <c r="X1910" s="20">
        <f t="shared" si="4132"/>
        <v>5</v>
      </c>
      <c r="Y1910" s="20">
        <v>0</v>
      </c>
      <c r="Z1910" s="20">
        <v>0</v>
      </c>
      <c r="AA1910" s="20">
        <v>0</v>
      </c>
      <c r="AB1910" s="20">
        <v>0</v>
      </c>
      <c r="AC1910" s="20">
        <v>0</v>
      </c>
      <c r="AD1910" s="23">
        <f t="shared" ref="AD1910:AE1910" si="4133">AD1880</f>
        <v>36</v>
      </c>
      <c r="AE1910" s="23">
        <f t="shared" si="4133"/>
        <v>40</v>
      </c>
    </row>
    <row r="1911" spans="1:31">
      <c r="A1911" s="4">
        <v>16103</v>
      </c>
      <c r="B1911" s="4">
        <v>20</v>
      </c>
      <c r="C1911" s="29" t="s">
        <v>75</v>
      </c>
      <c r="D1911" s="46">
        <v>0</v>
      </c>
      <c r="E1911" s="28">
        <v>0</v>
      </c>
      <c r="F1911" s="28">
        <v>0</v>
      </c>
      <c r="G1911" s="28">
        <f t="shared" ref="G1911:H1911" si="4134">G1821*4</f>
        <v>684</v>
      </c>
      <c r="H1911" s="28">
        <f t="shared" si="4134"/>
        <v>5860</v>
      </c>
      <c r="I1911" s="21">
        <f t="shared" si="4068"/>
        <v>275</v>
      </c>
      <c r="J1911" s="21">
        <f t="shared" si="4025"/>
        <v>19</v>
      </c>
      <c r="K1911" s="21">
        <v>0</v>
      </c>
      <c r="L1911" s="20">
        <v>6</v>
      </c>
      <c r="M1911" s="20">
        <v>0</v>
      </c>
      <c r="N1911" s="20">
        <f t="shared" si="4069"/>
        <v>8000</v>
      </c>
      <c r="O1911" s="19" t="s">
        <v>75</v>
      </c>
      <c r="P1911" s="20">
        <v>861</v>
      </c>
      <c r="Q1911" s="20">
        <f t="shared" ref="Q1911:X1911" si="4135">Q1881</f>
        <v>800</v>
      </c>
      <c r="R1911" s="20">
        <f t="shared" si="4135"/>
        <v>3200</v>
      </c>
      <c r="S1911" s="20">
        <f t="shared" si="4135"/>
        <v>5600</v>
      </c>
      <c r="T1911" s="20">
        <f t="shared" si="4135"/>
        <v>7200</v>
      </c>
      <c r="U1911" s="20">
        <f t="shared" si="4135"/>
        <v>100</v>
      </c>
      <c r="V1911" s="20">
        <f t="shared" si="4135"/>
        <v>800</v>
      </c>
      <c r="W1911" s="20">
        <f t="shared" si="4135"/>
        <v>8000</v>
      </c>
      <c r="X1911" s="20">
        <f t="shared" si="4135"/>
        <v>5</v>
      </c>
      <c r="Y1911" s="20">
        <v>0</v>
      </c>
      <c r="Z1911" s="20">
        <v>0</v>
      </c>
      <c r="AA1911" s="20">
        <v>0</v>
      </c>
      <c r="AB1911" s="20">
        <v>0</v>
      </c>
      <c r="AC1911" s="20">
        <v>0</v>
      </c>
      <c r="AD1911" s="23">
        <f t="shared" ref="AD1911:AE1911" si="4136">AD1881</f>
        <v>38</v>
      </c>
      <c r="AE1911" s="23">
        <f t="shared" si="4136"/>
        <v>42</v>
      </c>
    </row>
    <row r="1912" spans="1:31">
      <c r="A1912" s="4">
        <v>16103</v>
      </c>
      <c r="B1912" s="4">
        <v>21</v>
      </c>
      <c r="C1912" s="29" t="s">
        <v>66</v>
      </c>
      <c r="D1912" s="46">
        <v>0</v>
      </c>
      <c r="E1912" s="28">
        <v>0</v>
      </c>
      <c r="F1912" s="28">
        <v>0</v>
      </c>
      <c r="G1912" s="28">
        <f t="shared" ref="G1912:H1912" si="4137">G1822*4</f>
        <v>740</v>
      </c>
      <c r="H1912" s="28">
        <f t="shared" si="4137"/>
        <v>6344</v>
      </c>
      <c r="I1912" s="21">
        <f t="shared" si="4068"/>
        <v>330</v>
      </c>
      <c r="J1912" s="21">
        <f t="shared" si="4025"/>
        <v>20</v>
      </c>
      <c r="K1912" s="21">
        <v>0</v>
      </c>
      <c r="L1912" s="20">
        <v>6</v>
      </c>
      <c r="M1912" s="20">
        <v>0</v>
      </c>
      <c r="N1912" s="20">
        <f t="shared" si="4069"/>
        <v>8400</v>
      </c>
      <c r="O1912" s="19" t="s">
        <v>66</v>
      </c>
      <c r="P1912" s="20">
        <v>9400</v>
      </c>
      <c r="Q1912" s="20">
        <f t="shared" ref="Q1912:X1912" si="4138">Q1882</f>
        <v>840</v>
      </c>
      <c r="R1912" s="20">
        <f t="shared" si="4138"/>
        <v>3360</v>
      </c>
      <c r="S1912" s="20">
        <f t="shared" si="4138"/>
        <v>5880</v>
      </c>
      <c r="T1912" s="20">
        <f t="shared" si="4138"/>
        <v>7560</v>
      </c>
      <c r="U1912" s="20">
        <f t="shared" si="4138"/>
        <v>50</v>
      </c>
      <c r="V1912" s="20">
        <f t="shared" si="4138"/>
        <v>1000</v>
      </c>
      <c r="W1912" s="20">
        <f t="shared" si="4138"/>
        <v>600</v>
      </c>
      <c r="X1912" s="20">
        <f t="shared" si="4138"/>
        <v>6</v>
      </c>
      <c r="Y1912" s="20">
        <v>0</v>
      </c>
      <c r="Z1912" s="20">
        <v>0</v>
      </c>
      <c r="AA1912" s="20">
        <v>0</v>
      </c>
      <c r="AB1912" s="20">
        <v>0</v>
      </c>
      <c r="AC1912" s="20">
        <v>0</v>
      </c>
      <c r="AD1912" s="23">
        <f t="shared" ref="AD1912:AE1912" si="4139">AD1882</f>
        <v>40</v>
      </c>
      <c r="AE1912" s="23">
        <f t="shared" si="4139"/>
        <v>44</v>
      </c>
    </row>
    <row r="1913" spans="1:31">
      <c r="A1913" s="4">
        <v>16103</v>
      </c>
      <c r="B1913" s="4">
        <v>22</v>
      </c>
      <c r="C1913" s="29" t="s">
        <v>67</v>
      </c>
      <c r="D1913" s="46">
        <v>0</v>
      </c>
      <c r="E1913" s="28">
        <v>0</v>
      </c>
      <c r="F1913" s="28">
        <v>0</v>
      </c>
      <c r="G1913" s="28">
        <f t="shared" ref="G1913:H1913" si="4140">G1823*4</f>
        <v>804</v>
      </c>
      <c r="H1913" s="28">
        <f t="shared" si="4140"/>
        <v>6868</v>
      </c>
      <c r="I1913" s="21">
        <f t="shared" si="4068"/>
        <v>330</v>
      </c>
      <c r="J1913" s="21">
        <f t="shared" si="4025"/>
        <v>21</v>
      </c>
      <c r="K1913" s="21">
        <v>0</v>
      </c>
      <c r="L1913" s="20">
        <v>6</v>
      </c>
      <c r="M1913" s="20">
        <v>0</v>
      </c>
      <c r="N1913" s="20">
        <f t="shared" si="4069"/>
        <v>8800</v>
      </c>
      <c r="O1913" s="19" t="s">
        <v>67</v>
      </c>
      <c r="P1913" s="20">
        <v>9100</v>
      </c>
      <c r="Q1913" s="20">
        <f t="shared" ref="Q1913:X1913" si="4141">Q1883</f>
        <v>880</v>
      </c>
      <c r="R1913" s="20">
        <f t="shared" si="4141"/>
        <v>3520</v>
      </c>
      <c r="S1913" s="20">
        <f t="shared" si="4141"/>
        <v>6160</v>
      </c>
      <c r="T1913" s="20">
        <f t="shared" si="4141"/>
        <v>7920</v>
      </c>
      <c r="U1913" s="20">
        <f t="shared" si="4141"/>
        <v>100</v>
      </c>
      <c r="V1913" s="20">
        <f t="shared" si="4141"/>
        <v>600</v>
      </c>
      <c r="W1913" s="20">
        <f t="shared" si="4141"/>
        <v>700</v>
      </c>
      <c r="X1913" s="20">
        <f t="shared" si="4141"/>
        <v>6</v>
      </c>
      <c r="Y1913" s="20">
        <v>0</v>
      </c>
      <c r="Z1913" s="20">
        <v>0</v>
      </c>
      <c r="AA1913" s="20">
        <v>0</v>
      </c>
      <c r="AB1913" s="20">
        <v>0</v>
      </c>
      <c r="AC1913" s="20">
        <v>0</v>
      </c>
      <c r="AD1913" s="23">
        <f t="shared" ref="AD1913:AE1913" si="4142">AD1883</f>
        <v>42</v>
      </c>
      <c r="AE1913" s="23">
        <f t="shared" si="4142"/>
        <v>46</v>
      </c>
    </row>
    <row r="1914" spans="1:31">
      <c r="A1914" s="4">
        <v>16103</v>
      </c>
      <c r="B1914" s="4">
        <v>23</v>
      </c>
      <c r="C1914" s="29" t="s">
        <v>68</v>
      </c>
      <c r="D1914" s="46">
        <v>0</v>
      </c>
      <c r="E1914" s="28">
        <v>0</v>
      </c>
      <c r="F1914" s="28">
        <v>0</v>
      </c>
      <c r="G1914" s="28">
        <f t="shared" ref="G1914:H1914" si="4143">G1824*4</f>
        <v>868</v>
      </c>
      <c r="H1914" s="28">
        <f t="shared" si="4143"/>
        <v>7436</v>
      </c>
      <c r="I1914" s="21">
        <f t="shared" si="4068"/>
        <v>330</v>
      </c>
      <c r="J1914" s="21">
        <f t="shared" si="4025"/>
        <v>22</v>
      </c>
      <c r="K1914" s="21">
        <v>0</v>
      </c>
      <c r="L1914" s="20">
        <v>6</v>
      </c>
      <c r="M1914" s="20">
        <v>0</v>
      </c>
      <c r="N1914" s="20">
        <f t="shared" si="4069"/>
        <v>9200</v>
      </c>
      <c r="O1914" s="19" t="s">
        <v>68</v>
      </c>
      <c r="P1914" s="20">
        <v>8600</v>
      </c>
      <c r="Q1914" s="20">
        <f t="shared" ref="Q1914:X1914" si="4144">Q1884</f>
        <v>920</v>
      </c>
      <c r="R1914" s="20">
        <f t="shared" si="4144"/>
        <v>3680</v>
      </c>
      <c r="S1914" s="20">
        <f t="shared" si="4144"/>
        <v>6440</v>
      </c>
      <c r="T1914" s="20">
        <f t="shared" si="4144"/>
        <v>8280</v>
      </c>
      <c r="U1914" s="20">
        <f t="shared" si="4144"/>
        <v>100</v>
      </c>
      <c r="V1914" s="20">
        <f t="shared" si="4144"/>
        <v>550</v>
      </c>
      <c r="W1914" s="20">
        <f t="shared" si="4144"/>
        <v>500</v>
      </c>
      <c r="X1914" s="20">
        <f t="shared" si="4144"/>
        <v>6</v>
      </c>
      <c r="Y1914" s="20">
        <f>ROUND(D1914*0.25,-1)</f>
        <v>0</v>
      </c>
      <c r="Z1914" s="20">
        <f>ROUND(E1914*0.25,-1)</f>
        <v>0</v>
      </c>
      <c r="AA1914" s="20">
        <f>ROUND(F1914*0.25,-1)</f>
        <v>0</v>
      </c>
      <c r="AB1914" s="20">
        <f t="shared" si="4081"/>
        <v>226</v>
      </c>
      <c r="AC1914" s="20">
        <v>0</v>
      </c>
      <c r="AD1914" s="23">
        <f t="shared" ref="AD1914:AE1914" si="4145">AD1884</f>
        <v>44</v>
      </c>
      <c r="AE1914" s="23">
        <f t="shared" si="4145"/>
        <v>48</v>
      </c>
    </row>
    <row r="1915" spans="1:31">
      <c r="A1915" s="4">
        <v>16103</v>
      </c>
      <c r="B1915" s="4">
        <v>24</v>
      </c>
      <c r="C1915" s="29" t="s">
        <v>69</v>
      </c>
      <c r="D1915" s="46">
        <v>0</v>
      </c>
      <c r="E1915" s="28">
        <v>0</v>
      </c>
      <c r="F1915" s="28">
        <v>0</v>
      </c>
      <c r="G1915" s="28">
        <f t="shared" ref="G1915:H1915" si="4146">G1825*4</f>
        <v>940</v>
      </c>
      <c r="H1915" s="28">
        <f t="shared" si="4146"/>
        <v>8048</v>
      </c>
      <c r="I1915" s="21">
        <f t="shared" si="4068"/>
        <v>330</v>
      </c>
      <c r="J1915" s="21">
        <f t="shared" si="4025"/>
        <v>23</v>
      </c>
      <c r="K1915" s="21">
        <v>0</v>
      </c>
      <c r="L1915" s="20">
        <v>6</v>
      </c>
      <c r="M1915" s="20">
        <v>0</v>
      </c>
      <c r="N1915" s="20">
        <f t="shared" si="4069"/>
        <v>9600</v>
      </c>
      <c r="O1915" s="19" t="s">
        <v>69</v>
      </c>
      <c r="P1915" s="20">
        <v>6400</v>
      </c>
      <c r="Q1915" s="20">
        <f t="shared" ref="Q1915:X1915" si="4147">Q1885</f>
        <v>960</v>
      </c>
      <c r="R1915" s="20">
        <f t="shared" si="4147"/>
        <v>3840</v>
      </c>
      <c r="S1915" s="20">
        <f t="shared" si="4147"/>
        <v>6720</v>
      </c>
      <c r="T1915" s="20">
        <f t="shared" si="4147"/>
        <v>8640</v>
      </c>
      <c r="U1915" s="20">
        <f t="shared" si="4147"/>
        <v>100</v>
      </c>
      <c r="V1915" s="20">
        <f t="shared" si="4147"/>
        <v>500</v>
      </c>
      <c r="W1915" s="20">
        <f t="shared" si="4147"/>
        <v>900</v>
      </c>
      <c r="X1915" s="20">
        <f t="shared" si="4147"/>
        <v>6</v>
      </c>
      <c r="Y1915" s="20">
        <v>0</v>
      </c>
      <c r="Z1915" s="20">
        <v>0</v>
      </c>
      <c r="AA1915" s="20">
        <v>0</v>
      </c>
      <c r="AB1915" s="20">
        <v>0</v>
      </c>
      <c r="AC1915" s="20">
        <v>0</v>
      </c>
      <c r="AD1915" s="23">
        <f t="shared" ref="AD1915:AE1915" si="4148">AD1885</f>
        <v>46</v>
      </c>
      <c r="AE1915" s="23">
        <f t="shared" si="4148"/>
        <v>50</v>
      </c>
    </row>
    <row r="1916" spans="1:31">
      <c r="A1916" s="8">
        <v>16103</v>
      </c>
      <c r="B1916" s="8">
        <v>25</v>
      </c>
      <c r="C1916" s="29" t="s">
        <v>70</v>
      </c>
      <c r="D1916" s="46">
        <v>0</v>
      </c>
      <c r="E1916" s="28">
        <v>0</v>
      </c>
      <c r="F1916" s="28">
        <v>0</v>
      </c>
      <c r="G1916" s="28">
        <f t="shared" ref="G1916:H1916" si="4149">G1826*4</f>
        <v>1016</v>
      </c>
      <c r="H1916" s="28">
        <f t="shared" si="4149"/>
        <v>8712</v>
      </c>
      <c r="I1916" s="21">
        <f t="shared" si="4068"/>
        <v>385</v>
      </c>
      <c r="J1916" s="21">
        <f t="shared" si="4025"/>
        <v>24</v>
      </c>
      <c r="K1916" s="21">
        <v>0</v>
      </c>
      <c r="L1916" s="20">
        <v>6</v>
      </c>
      <c r="M1916" s="20">
        <v>0</v>
      </c>
      <c r="N1916" s="20">
        <f t="shared" si="4069"/>
        <v>12500</v>
      </c>
      <c r="O1916" s="19" t="s">
        <v>70</v>
      </c>
      <c r="P1916" s="20">
        <v>3100</v>
      </c>
      <c r="Q1916" s="20">
        <f t="shared" ref="Q1916:X1916" si="4150">Q1886</f>
        <v>1250</v>
      </c>
      <c r="R1916" s="20">
        <f t="shared" si="4150"/>
        <v>5000</v>
      </c>
      <c r="S1916" s="20">
        <f t="shared" si="4150"/>
        <v>8750</v>
      </c>
      <c r="T1916" s="20">
        <f t="shared" si="4150"/>
        <v>11250</v>
      </c>
      <c r="U1916" s="20">
        <f t="shared" si="4150"/>
        <v>10</v>
      </c>
      <c r="V1916" s="20">
        <f t="shared" si="4150"/>
        <v>1300</v>
      </c>
      <c r="W1916" s="20">
        <f t="shared" si="4150"/>
        <v>1000</v>
      </c>
      <c r="X1916" s="20">
        <f t="shared" si="4150"/>
        <v>7</v>
      </c>
      <c r="Y1916" s="20">
        <v>0</v>
      </c>
      <c r="Z1916" s="20">
        <v>0</v>
      </c>
      <c r="AA1916" s="20">
        <v>0</v>
      </c>
      <c r="AB1916" s="20">
        <v>0</v>
      </c>
      <c r="AC1916" s="20">
        <v>0</v>
      </c>
      <c r="AD1916" s="23">
        <f t="shared" ref="AD1916:AE1916" si="4151">AD1886</f>
        <v>48</v>
      </c>
      <c r="AE1916" s="23">
        <f t="shared" si="4151"/>
        <v>52</v>
      </c>
    </row>
    <row r="1917" spans="1:31">
      <c r="A1917" s="4">
        <v>16103</v>
      </c>
      <c r="B1917" s="4">
        <v>26</v>
      </c>
      <c r="C1917" s="29" t="s">
        <v>71</v>
      </c>
      <c r="D1917" s="46">
        <v>0</v>
      </c>
      <c r="E1917" s="28">
        <v>0</v>
      </c>
      <c r="F1917" s="28">
        <v>0</v>
      </c>
      <c r="G1917" s="28">
        <f t="shared" ref="G1917:H1917" si="4152">G1827*4</f>
        <v>1100</v>
      </c>
      <c r="H1917" s="28">
        <f t="shared" si="4152"/>
        <v>9432</v>
      </c>
      <c r="I1917" s="21">
        <f t="shared" si="4068"/>
        <v>385</v>
      </c>
      <c r="J1917" s="21">
        <f t="shared" si="4025"/>
        <v>25</v>
      </c>
      <c r="K1917" s="21">
        <v>0</v>
      </c>
      <c r="L1917" s="20">
        <v>6</v>
      </c>
      <c r="M1917" s="20">
        <v>0</v>
      </c>
      <c r="N1917" s="20">
        <f t="shared" si="4069"/>
        <v>13000</v>
      </c>
      <c r="O1917" s="19" t="s">
        <v>71</v>
      </c>
      <c r="P1917" s="20">
        <v>1777</v>
      </c>
      <c r="Q1917" s="20">
        <f t="shared" ref="Q1917:X1917" si="4153">Q1887</f>
        <v>1300</v>
      </c>
      <c r="R1917" s="20">
        <f t="shared" si="4153"/>
        <v>5200</v>
      </c>
      <c r="S1917" s="20">
        <f t="shared" si="4153"/>
        <v>9100</v>
      </c>
      <c r="T1917" s="20">
        <f t="shared" si="4153"/>
        <v>11700</v>
      </c>
      <c r="U1917" s="20">
        <f t="shared" si="4153"/>
        <v>90</v>
      </c>
      <c r="V1917" s="20">
        <f t="shared" si="4153"/>
        <v>800</v>
      </c>
      <c r="W1917" s="20">
        <f t="shared" si="4153"/>
        <v>2000</v>
      </c>
      <c r="X1917" s="20">
        <f t="shared" si="4153"/>
        <v>7</v>
      </c>
      <c r="Y1917" s="20">
        <v>0</v>
      </c>
      <c r="Z1917" s="20">
        <v>0</v>
      </c>
      <c r="AA1917" s="20">
        <v>0</v>
      </c>
      <c r="AB1917" s="20">
        <v>0</v>
      </c>
      <c r="AC1917" s="20">
        <v>0</v>
      </c>
      <c r="AD1917" s="23">
        <f t="shared" ref="AD1917:AE1917" si="4154">AD1887</f>
        <v>50</v>
      </c>
      <c r="AE1917" s="23">
        <f t="shared" si="4154"/>
        <v>54</v>
      </c>
    </row>
    <row r="1918" spans="1:31">
      <c r="A1918" s="4">
        <v>16103</v>
      </c>
      <c r="B1918" s="4">
        <v>27</v>
      </c>
      <c r="C1918" s="29" t="s">
        <v>72</v>
      </c>
      <c r="D1918" s="46">
        <v>0</v>
      </c>
      <c r="E1918" s="28">
        <v>0</v>
      </c>
      <c r="F1918" s="28">
        <v>0</v>
      </c>
      <c r="G1918" s="28">
        <f t="shared" ref="G1918:H1918" si="4155">G1828*4</f>
        <v>1192</v>
      </c>
      <c r="H1918" s="28">
        <f t="shared" si="4155"/>
        <v>10212</v>
      </c>
      <c r="I1918" s="21">
        <f t="shared" si="4068"/>
        <v>385</v>
      </c>
      <c r="J1918" s="21">
        <f t="shared" si="4025"/>
        <v>26</v>
      </c>
      <c r="K1918" s="21">
        <v>0</v>
      </c>
      <c r="L1918" s="20">
        <v>6</v>
      </c>
      <c r="M1918" s="20">
        <v>0</v>
      </c>
      <c r="N1918" s="20">
        <f t="shared" si="4069"/>
        <v>13500</v>
      </c>
      <c r="O1918" s="19" t="s">
        <v>72</v>
      </c>
      <c r="P1918" s="20">
        <v>2332</v>
      </c>
      <c r="Q1918" s="20">
        <f t="shared" ref="Q1918:X1918" si="4156">Q1888</f>
        <v>1350</v>
      </c>
      <c r="R1918" s="20">
        <f t="shared" si="4156"/>
        <v>5400</v>
      </c>
      <c r="S1918" s="20">
        <f t="shared" si="4156"/>
        <v>9450</v>
      </c>
      <c r="T1918" s="20">
        <f t="shared" si="4156"/>
        <v>12150</v>
      </c>
      <c r="U1918" s="20">
        <f t="shared" si="4156"/>
        <v>80</v>
      </c>
      <c r="V1918" s="20">
        <f t="shared" si="4156"/>
        <v>700</v>
      </c>
      <c r="W1918" s="20">
        <f t="shared" si="4156"/>
        <v>800</v>
      </c>
      <c r="X1918" s="20">
        <f t="shared" si="4156"/>
        <v>7</v>
      </c>
      <c r="Y1918" s="20">
        <v>0</v>
      </c>
      <c r="Z1918" s="20">
        <v>0</v>
      </c>
      <c r="AA1918" s="20">
        <v>0</v>
      </c>
      <c r="AB1918" s="20">
        <v>0</v>
      </c>
      <c r="AC1918" s="20">
        <v>0</v>
      </c>
      <c r="AD1918" s="23">
        <f t="shared" ref="AD1918:AE1918" si="4157">AD1888</f>
        <v>52</v>
      </c>
      <c r="AE1918" s="23">
        <f t="shared" si="4157"/>
        <v>56</v>
      </c>
    </row>
    <row r="1919" spans="1:31">
      <c r="A1919" s="4">
        <v>16103</v>
      </c>
      <c r="B1919" s="4">
        <v>28</v>
      </c>
      <c r="C1919" s="29" t="s">
        <v>73</v>
      </c>
      <c r="D1919" s="46">
        <v>0</v>
      </c>
      <c r="E1919" s="28">
        <v>0</v>
      </c>
      <c r="F1919" s="28">
        <v>0</v>
      </c>
      <c r="G1919" s="28">
        <f t="shared" ref="G1919:H1919" si="4158">G1829*4</f>
        <v>1292</v>
      </c>
      <c r="H1919" s="28">
        <f t="shared" si="4158"/>
        <v>11056</v>
      </c>
      <c r="I1919" s="21">
        <f t="shared" si="4068"/>
        <v>385</v>
      </c>
      <c r="J1919" s="21">
        <f t="shared" si="4025"/>
        <v>27</v>
      </c>
      <c r="K1919" s="21">
        <v>0</v>
      </c>
      <c r="L1919" s="20">
        <v>6</v>
      </c>
      <c r="M1919" s="20">
        <v>0</v>
      </c>
      <c r="N1919" s="20">
        <f t="shared" si="4069"/>
        <v>14000</v>
      </c>
      <c r="O1919" s="19" t="s">
        <v>73</v>
      </c>
      <c r="P1919" s="20">
        <v>1487</v>
      </c>
      <c r="Q1919" s="20">
        <f t="shared" ref="Q1919:X1919" si="4159">Q1889</f>
        <v>1400</v>
      </c>
      <c r="R1919" s="20">
        <f t="shared" si="4159"/>
        <v>5600</v>
      </c>
      <c r="S1919" s="20">
        <f t="shared" si="4159"/>
        <v>9800</v>
      </c>
      <c r="T1919" s="20">
        <f t="shared" si="4159"/>
        <v>12600</v>
      </c>
      <c r="U1919" s="20">
        <f t="shared" si="4159"/>
        <v>80</v>
      </c>
      <c r="V1919" s="20">
        <f t="shared" si="4159"/>
        <v>500</v>
      </c>
      <c r="W1919" s="20">
        <f t="shared" si="4159"/>
        <v>600</v>
      </c>
      <c r="X1919" s="20">
        <f t="shared" si="4159"/>
        <v>7</v>
      </c>
      <c r="Y1919" s="20">
        <f>ROUND(D1919*0.25,-1)</f>
        <v>0</v>
      </c>
      <c r="Z1919" s="20">
        <f>ROUND(E1919*0.25,-1)</f>
        <v>0</v>
      </c>
      <c r="AA1919" s="20">
        <f>ROUND(F1919*0.25,-1)</f>
        <v>0</v>
      </c>
      <c r="AB1919" s="20">
        <f t="shared" si="4081"/>
        <v>283</v>
      </c>
      <c r="AC1919" s="20">
        <v>0</v>
      </c>
      <c r="AD1919" s="23">
        <f t="shared" ref="AD1919:AE1919" si="4160">AD1889</f>
        <v>54</v>
      </c>
      <c r="AE1919" s="23">
        <f t="shared" si="4160"/>
        <v>58</v>
      </c>
    </row>
    <row r="1920" spans="1:31">
      <c r="A1920" s="4">
        <v>16103</v>
      </c>
      <c r="B1920" s="4">
        <v>29</v>
      </c>
      <c r="C1920" s="29" t="s">
        <v>74</v>
      </c>
      <c r="D1920" s="46">
        <v>0</v>
      </c>
      <c r="E1920" s="28">
        <v>0</v>
      </c>
      <c r="F1920" s="28">
        <v>0</v>
      </c>
      <c r="G1920" s="28">
        <f t="shared" ref="G1920:H1920" si="4161">G1830*4</f>
        <v>1396</v>
      </c>
      <c r="H1920" s="28">
        <f t="shared" si="4161"/>
        <v>11972</v>
      </c>
      <c r="I1920" s="21">
        <f t="shared" si="4068"/>
        <v>440</v>
      </c>
      <c r="J1920" s="21">
        <f t="shared" si="4025"/>
        <v>28</v>
      </c>
      <c r="K1920" s="21">
        <v>0</v>
      </c>
      <c r="L1920" s="20">
        <v>6</v>
      </c>
      <c r="M1920" s="20">
        <v>0</v>
      </c>
      <c r="N1920" s="20">
        <f t="shared" si="4069"/>
        <v>14500</v>
      </c>
      <c r="O1920" s="19" t="s">
        <v>74</v>
      </c>
      <c r="P1920" s="20">
        <v>1518</v>
      </c>
      <c r="Q1920" s="20">
        <f t="shared" ref="Q1920:X1920" si="4162">Q1890</f>
        <v>1450</v>
      </c>
      <c r="R1920" s="20">
        <f t="shared" si="4162"/>
        <v>5800</v>
      </c>
      <c r="S1920" s="20">
        <f t="shared" si="4162"/>
        <v>10150</v>
      </c>
      <c r="T1920" s="20">
        <f t="shared" si="4162"/>
        <v>13050</v>
      </c>
      <c r="U1920" s="20">
        <f t="shared" si="4162"/>
        <v>80</v>
      </c>
      <c r="V1920" s="20">
        <f t="shared" si="4162"/>
        <v>600</v>
      </c>
      <c r="W1920" s="20">
        <f t="shared" si="4162"/>
        <v>700</v>
      </c>
      <c r="X1920" s="20">
        <f t="shared" si="4162"/>
        <v>8</v>
      </c>
      <c r="Y1920" s="20">
        <v>0</v>
      </c>
      <c r="Z1920" s="20">
        <v>0</v>
      </c>
      <c r="AA1920" s="20">
        <v>0</v>
      </c>
      <c r="AB1920" s="20">
        <v>0</v>
      </c>
      <c r="AC1920" s="20">
        <v>0</v>
      </c>
      <c r="AD1920" s="23">
        <f t="shared" ref="AD1920:AE1920" si="4163">AD1890</f>
        <v>56</v>
      </c>
      <c r="AE1920" s="23">
        <f t="shared" si="4163"/>
        <v>60</v>
      </c>
    </row>
    <row r="1921" spans="1:31">
      <c r="A1921" s="4">
        <v>16103</v>
      </c>
      <c r="B1921" s="4">
        <v>30</v>
      </c>
      <c r="C1921" s="29" t="s">
        <v>75</v>
      </c>
      <c r="D1921" s="46">
        <v>0</v>
      </c>
      <c r="E1921" s="28">
        <v>0</v>
      </c>
      <c r="F1921" s="28">
        <v>0</v>
      </c>
      <c r="G1921" s="28">
        <f t="shared" ref="G1921:H1921" si="4164">G1831*4</f>
        <v>1512</v>
      </c>
      <c r="H1921" s="28">
        <f t="shared" si="4164"/>
        <v>12960</v>
      </c>
      <c r="I1921" s="21">
        <f t="shared" si="4068"/>
        <v>440</v>
      </c>
      <c r="J1921" s="21">
        <f t="shared" si="4025"/>
        <v>29</v>
      </c>
      <c r="K1921" s="21">
        <v>0</v>
      </c>
      <c r="L1921" s="20">
        <v>6</v>
      </c>
      <c r="M1921" s="20">
        <v>0</v>
      </c>
      <c r="N1921" s="20">
        <f t="shared" si="4069"/>
        <v>15000</v>
      </c>
      <c r="O1921" s="19" t="s">
        <v>75</v>
      </c>
      <c r="P1921" s="20">
        <v>861</v>
      </c>
      <c r="Q1921" s="20">
        <f t="shared" ref="Q1921:X1921" si="4165">Q1891</f>
        <v>1500</v>
      </c>
      <c r="R1921" s="20">
        <f t="shared" si="4165"/>
        <v>6000</v>
      </c>
      <c r="S1921" s="20">
        <f t="shared" si="4165"/>
        <v>10500</v>
      </c>
      <c r="T1921" s="20">
        <f t="shared" si="4165"/>
        <v>13500</v>
      </c>
      <c r="U1921" s="20">
        <f t="shared" si="4165"/>
        <v>20</v>
      </c>
      <c r="V1921" s="20">
        <f t="shared" si="4165"/>
        <v>450</v>
      </c>
      <c r="W1921" s="20">
        <f t="shared" si="4165"/>
        <v>1000</v>
      </c>
      <c r="X1921" s="20">
        <f t="shared" si="4165"/>
        <v>8</v>
      </c>
      <c r="Y1921" s="20">
        <v>0</v>
      </c>
      <c r="Z1921" s="20">
        <v>0</v>
      </c>
      <c r="AA1921" s="20">
        <v>0</v>
      </c>
      <c r="AB1921" s="20">
        <v>0</v>
      </c>
      <c r="AC1921" s="20">
        <v>0</v>
      </c>
      <c r="AD1921" s="23">
        <f t="shared" ref="AD1921:AE1921" si="4166">AD1891</f>
        <v>58</v>
      </c>
      <c r="AE1921" s="23">
        <f t="shared" si="4166"/>
        <v>62</v>
      </c>
    </row>
    <row r="1922" spans="1:31">
      <c r="A1922" s="4">
        <v>16104</v>
      </c>
      <c r="B1922" s="4">
        <v>1</v>
      </c>
      <c r="C1922" s="19" t="s">
        <v>66</v>
      </c>
      <c r="D1922" s="44">
        <v>0</v>
      </c>
      <c r="E1922" s="18">
        <v>0</v>
      </c>
      <c r="F1922" s="18">
        <v>0</v>
      </c>
      <c r="G1922" s="18">
        <f>ROUND(G1802*4.5,0)</f>
        <v>171</v>
      </c>
      <c r="H1922" s="18">
        <f>ROUND(H1802*4.5,0)</f>
        <v>1458</v>
      </c>
      <c r="I1922" s="21">
        <f t="shared" si="4068"/>
        <v>55</v>
      </c>
      <c r="J1922" s="21">
        <f t="shared" si="4025"/>
        <v>0</v>
      </c>
      <c r="K1922" s="21">
        <v>0</v>
      </c>
      <c r="L1922" s="20">
        <v>45</v>
      </c>
      <c r="M1922" s="20">
        <v>0</v>
      </c>
      <c r="N1922" s="20">
        <f t="shared" si="4069"/>
        <v>10</v>
      </c>
      <c r="O1922" s="19" t="s">
        <v>66</v>
      </c>
      <c r="P1922" s="20">
        <v>9400</v>
      </c>
      <c r="Q1922" s="20">
        <f t="shared" ref="Q1922:X1922" si="4167">Q1892</f>
        <v>1</v>
      </c>
      <c r="R1922" s="20">
        <f t="shared" si="4167"/>
        <v>4</v>
      </c>
      <c r="S1922" s="20">
        <f t="shared" si="4167"/>
        <v>7</v>
      </c>
      <c r="T1922" s="20">
        <f t="shared" si="4167"/>
        <v>9</v>
      </c>
      <c r="U1922" s="20">
        <f t="shared" si="4167"/>
        <v>9400</v>
      </c>
      <c r="V1922" s="20">
        <f t="shared" si="4167"/>
        <v>9400</v>
      </c>
      <c r="W1922" s="20">
        <f t="shared" si="4167"/>
        <v>9400</v>
      </c>
      <c r="X1922" s="20">
        <f t="shared" si="4167"/>
        <v>1</v>
      </c>
      <c r="Y1922" s="20">
        <v>0</v>
      </c>
      <c r="Z1922" s="20">
        <v>0</v>
      </c>
      <c r="AA1922" s="20">
        <v>0</v>
      </c>
      <c r="AB1922" s="20">
        <v>0</v>
      </c>
      <c r="AC1922" s="20">
        <v>0</v>
      </c>
      <c r="AD1922" s="23">
        <f t="shared" ref="AD1922:AE1922" si="4168">AD1892</f>
        <v>1</v>
      </c>
      <c r="AE1922" s="23">
        <f t="shared" si="4168"/>
        <v>3</v>
      </c>
    </row>
    <row r="1923" spans="1:31">
      <c r="A1923" s="4">
        <v>16104</v>
      </c>
      <c r="B1923" s="4">
        <v>2</v>
      </c>
      <c r="C1923" s="19" t="s">
        <v>67</v>
      </c>
      <c r="D1923" s="44">
        <v>0</v>
      </c>
      <c r="E1923" s="18">
        <v>0</v>
      </c>
      <c r="F1923" s="18">
        <v>0</v>
      </c>
      <c r="G1923" s="18">
        <f t="shared" ref="G1923:H1923" si="4169">ROUND(G1803*4.5,0)</f>
        <v>185</v>
      </c>
      <c r="H1923" s="18">
        <f t="shared" si="4169"/>
        <v>1580</v>
      </c>
      <c r="I1923" s="21">
        <f t="shared" si="4068"/>
        <v>55</v>
      </c>
      <c r="J1923" s="21">
        <f t="shared" si="4025"/>
        <v>1</v>
      </c>
      <c r="K1923" s="21">
        <v>0</v>
      </c>
      <c r="L1923" s="20">
        <v>40</v>
      </c>
      <c r="M1923" s="20">
        <v>0</v>
      </c>
      <c r="N1923" s="20">
        <f t="shared" si="4069"/>
        <v>20</v>
      </c>
      <c r="O1923" s="19" t="s">
        <v>67</v>
      </c>
      <c r="P1923" s="20">
        <v>9100</v>
      </c>
      <c r="Q1923" s="20">
        <f t="shared" ref="Q1923:X1923" si="4170">Q1893</f>
        <v>2</v>
      </c>
      <c r="R1923" s="20">
        <f t="shared" si="4170"/>
        <v>8</v>
      </c>
      <c r="S1923" s="20">
        <f t="shared" si="4170"/>
        <v>14</v>
      </c>
      <c r="T1923" s="20">
        <f t="shared" si="4170"/>
        <v>18</v>
      </c>
      <c r="U1923" s="20">
        <f t="shared" si="4170"/>
        <v>4000</v>
      </c>
      <c r="V1923" s="20">
        <f t="shared" si="4170"/>
        <v>8000</v>
      </c>
      <c r="W1923" s="20">
        <f t="shared" si="4170"/>
        <v>8000</v>
      </c>
      <c r="X1923" s="20">
        <f t="shared" si="4170"/>
        <v>1</v>
      </c>
      <c r="Y1923" s="20">
        <v>0</v>
      </c>
      <c r="Z1923" s="20">
        <v>0</v>
      </c>
      <c r="AA1923" s="20">
        <v>0</v>
      </c>
      <c r="AB1923" s="20">
        <v>0</v>
      </c>
      <c r="AC1923" s="20">
        <v>0</v>
      </c>
      <c r="AD1923" s="23">
        <f t="shared" ref="AD1923:AE1923" si="4171">AD1893</f>
        <v>2</v>
      </c>
      <c r="AE1923" s="23">
        <f t="shared" si="4171"/>
        <v>5</v>
      </c>
    </row>
    <row r="1924" spans="1:31">
      <c r="A1924" s="4">
        <v>16104</v>
      </c>
      <c r="B1924" s="4">
        <v>3</v>
      </c>
      <c r="C1924" s="19" t="s">
        <v>68</v>
      </c>
      <c r="D1924" s="44">
        <v>0</v>
      </c>
      <c r="E1924" s="18">
        <v>0</v>
      </c>
      <c r="F1924" s="18">
        <v>0</v>
      </c>
      <c r="G1924" s="18">
        <f t="shared" ref="G1924:H1924" si="4172">ROUND(G1804*4.5,0)</f>
        <v>203</v>
      </c>
      <c r="H1924" s="18">
        <f t="shared" si="4172"/>
        <v>1710</v>
      </c>
      <c r="I1924" s="21">
        <f t="shared" si="4068"/>
        <v>55</v>
      </c>
      <c r="J1924" s="21">
        <f t="shared" si="4025"/>
        <v>2</v>
      </c>
      <c r="K1924" s="21">
        <v>0</v>
      </c>
      <c r="L1924" s="20">
        <v>35</v>
      </c>
      <c r="M1924" s="20">
        <v>0</v>
      </c>
      <c r="N1924" s="20">
        <f t="shared" si="4069"/>
        <v>40</v>
      </c>
      <c r="O1924" s="19" t="s">
        <v>68</v>
      </c>
      <c r="P1924" s="20">
        <v>8600</v>
      </c>
      <c r="Q1924" s="20">
        <f t="shared" ref="Q1924:X1924" si="4173">Q1894</f>
        <v>4</v>
      </c>
      <c r="R1924" s="20">
        <f t="shared" si="4173"/>
        <v>16</v>
      </c>
      <c r="S1924" s="20">
        <f t="shared" si="4173"/>
        <v>28</v>
      </c>
      <c r="T1924" s="20">
        <f t="shared" si="4173"/>
        <v>36</v>
      </c>
      <c r="U1924" s="20">
        <f t="shared" si="4173"/>
        <v>1600</v>
      </c>
      <c r="V1924" s="20">
        <f t="shared" si="4173"/>
        <v>5000</v>
      </c>
      <c r="W1924" s="20">
        <f t="shared" si="4173"/>
        <v>6000</v>
      </c>
      <c r="X1924" s="20">
        <f t="shared" si="4173"/>
        <v>1</v>
      </c>
      <c r="Y1924" s="20">
        <v>0</v>
      </c>
      <c r="Z1924" s="20">
        <v>0</v>
      </c>
      <c r="AA1924" s="20">
        <v>0</v>
      </c>
      <c r="AB1924" s="20">
        <v>0</v>
      </c>
      <c r="AC1924" s="20">
        <v>0</v>
      </c>
      <c r="AD1924" s="23">
        <f t="shared" ref="AD1924:AE1924" si="4174">AD1894</f>
        <v>4</v>
      </c>
      <c r="AE1924" s="23">
        <f t="shared" si="4174"/>
        <v>8</v>
      </c>
    </row>
    <row r="1925" spans="1:31">
      <c r="A1925" s="4">
        <v>16104</v>
      </c>
      <c r="B1925" s="4">
        <v>4</v>
      </c>
      <c r="C1925" s="19" t="s">
        <v>69</v>
      </c>
      <c r="D1925" s="44">
        <v>0</v>
      </c>
      <c r="E1925" s="18">
        <v>0</v>
      </c>
      <c r="F1925" s="18">
        <v>0</v>
      </c>
      <c r="G1925" s="18">
        <f t="shared" ref="G1925:H1925" si="4175">ROUND(G1805*4.5,0)</f>
        <v>216</v>
      </c>
      <c r="H1925" s="18">
        <f t="shared" si="4175"/>
        <v>1850</v>
      </c>
      <c r="I1925" s="21">
        <f t="shared" si="4068"/>
        <v>55</v>
      </c>
      <c r="J1925" s="21">
        <f t="shared" si="4025"/>
        <v>3</v>
      </c>
      <c r="K1925" s="21">
        <v>0</v>
      </c>
      <c r="L1925" s="20">
        <v>30</v>
      </c>
      <c r="M1925" s="20">
        <v>0</v>
      </c>
      <c r="N1925" s="20">
        <f t="shared" si="4069"/>
        <v>100</v>
      </c>
      <c r="O1925" s="19" t="s">
        <v>69</v>
      </c>
      <c r="P1925" s="20">
        <v>6400</v>
      </c>
      <c r="Q1925" s="20">
        <f t="shared" ref="Q1925:X1925" si="4176">Q1895</f>
        <v>10</v>
      </c>
      <c r="R1925" s="20">
        <f t="shared" si="4176"/>
        <v>40</v>
      </c>
      <c r="S1925" s="20">
        <f t="shared" si="4176"/>
        <v>70</v>
      </c>
      <c r="T1925" s="20">
        <f t="shared" si="4176"/>
        <v>90</v>
      </c>
      <c r="U1925" s="20">
        <f t="shared" si="4176"/>
        <v>900</v>
      </c>
      <c r="V1925" s="20">
        <f t="shared" si="4176"/>
        <v>2000</v>
      </c>
      <c r="W1925" s="20">
        <f t="shared" si="4176"/>
        <v>8000</v>
      </c>
      <c r="X1925" s="20">
        <f t="shared" si="4176"/>
        <v>1</v>
      </c>
      <c r="Y1925" s="20">
        <v>0</v>
      </c>
      <c r="Z1925" s="20">
        <v>0</v>
      </c>
      <c r="AA1925" s="20">
        <v>0</v>
      </c>
      <c r="AB1925" s="20">
        <v>0</v>
      </c>
      <c r="AC1925" s="20">
        <v>0</v>
      </c>
      <c r="AD1925" s="23">
        <f t="shared" ref="AD1925:AE1925" si="4177">AD1895</f>
        <v>6</v>
      </c>
      <c r="AE1925" s="23">
        <f t="shared" si="4177"/>
        <v>10</v>
      </c>
    </row>
    <row r="1926" spans="1:31">
      <c r="A1926" s="4">
        <v>16104</v>
      </c>
      <c r="B1926" s="4">
        <v>5</v>
      </c>
      <c r="C1926" s="19" t="s">
        <v>70</v>
      </c>
      <c r="D1926" s="44">
        <v>0</v>
      </c>
      <c r="E1926" s="18">
        <v>0</v>
      </c>
      <c r="F1926" s="18">
        <v>0</v>
      </c>
      <c r="G1926" s="18">
        <f t="shared" ref="G1926:H1926" si="4178">ROUND(G1806*4.5,0)</f>
        <v>234</v>
      </c>
      <c r="H1926" s="18">
        <f t="shared" si="4178"/>
        <v>2003</v>
      </c>
      <c r="I1926" s="21">
        <f t="shared" si="4068"/>
        <v>110</v>
      </c>
      <c r="J1926" s="21">
        <f t="shared" si="4025"/>
        <v>4</v>
      </c>
      <c r="K1926" s="21">
        <v>0</v>
      </c>
      <c r="L1926" s="20">
        <v>25</v>
      </c>
      <c r="M1926" s="20">
        <v>0</v>
      </c>
      <c r="N1926" s="20">
        <f t="shared" si="4069"/>
        <v>200</v>
      </c>
      <c r="O1926" s="19" t="s">
        <v>70</v>
      </c>
      <c r="P1926" s="20">
        <v>3100</v>
      </c>
      <c r="Q1926" s="20">
        <f t="shared" ref="Q1926:X1926" si="4179">Q1896</f>
        <v>20</v>
      </c>
      <c r="R1926" s="20">
        <f t="shared" si="4179"/>
        <v>80</v>
      </c>
      <c r="S1926" s="20">
        <f t="shared" si="4179"/>
        <v>140</v>
      </c>
      <c r="T1926" s="20">
        <f t="shared" si="4179"/>
        <v>180</v>
      </c>
      <c r="U1926" s="20">
        <f t="shared" si="4179"/>
        <v>1000</v>
      </c>
      <c r="V1926" s="20">
        <f t="shared" si="4179"/>
        <v>2000</v>
      </c>
      <c r="W1926" s="20">
        <f t="shared" si="4179"/>
        <v>2000</v>
      </c>
      <c r="X1926" s="20">
        <f t="shared" si="4179"/>
        <v>2</v>
      </c>
      <c r="Y1926" s="20">
        <v>0</v>
      </c>
      <c r="Z1926" s="20">
        <v>0</v>
      </c>
      <c r="AA1926" s="20">
        <v>0</v>
      </c>
      <c r="AB1926" s="20">
        <v>0</v>
      </c>
      <c r="AC1926" s="20">
        <v>0</v>
      </c>
      <c r="AD1926" s="23">
        <f t="shared" ref="AD1926:AE1926" si="4180">AD1896</f>
        <v>8</v>
      </c>
      <c r="AE1926" s="23">
        <f t="shared" si="4180"/>
        <v>12</v>
      </c>
    </row>
    <row r="1927" spans="1:31">
      <c r="A1927" s="4">
        <v>16104</v>
      </c>
      <c r="B1927" s="4">
        <v>6</v>
      </c>
      <c r="C1927" s="19" t="s">
        <v>71</v>
      </c>
      <c r="D1927" s="44">
        <v>0</v>
      </c>
      <c r="E1927" s="18">
        <v>0</v>
      </c>
      <c r="F1927" s="18">
        <v>0</v>
      </c>
      <c r="G1927" s="18">
        <f t="shared" ref="G1927:H1927" si="4181">ROUND(G1807*4.5,0)</f>
        <v>252</v>
      </c>
      <c r="H1927" s="18">
        <f t="shared" si="4181"/>
        <v>2169</v>
      </c>
      <c r="I1927" s="21">
        <f t="shared" si="4068"/>
        <v>110</v>
      </c>
      <c r="J1927" s="21">
        <f t="shared" si="4025"/>
        <v>5</v>
      </c>
      <c r="K1927" s="21">
        <v>0</v>
      </c>
      <c r="L1927" s="20">
        <v>20</v>
      </c>
      <c r="M1927" s="20">
        <v>0</v>
      </c>
      <c r="N1927" s="20">
        <f t="shared" si="4069"/>
        <v>500</v>
      </c>
      <c r="O1927" s="19" t="s">
        <v>71</v>
      </c>
      <c r="P1927" s="20">
        <v>1777</v>
      </c>
      <c r="Q1927" s="20">
        <f t="shared" ref="Q1927:X1927" si="4182">Q1897</f>
        <v>50</v>
      </c>
      <c r="R1927" s="20">
        <f t="shared" si="4182"/>
        <v>200</v>
      </c>
      <c r="S1927" s="20">
        <f t="shared" si="4182"/>
        <v>350</v>
      </c>
      <c r="T1927" s="20">
        <f t="shared" si="4182"/>
        <v>450</v>
      </c>
      <c r="U1927" s="20">
        <f t="shared" si="4182"/>
        <v>800</v>
      </c>
      <c r="V1927" s="20">
        <f t="shared" si="4182"/>
        <v>800</v>
      </c>
      <c r="W1927" s="20">
        <f t="shared" si="4182"/>
        <v>600</v>
      </c>
      <c r="X1927" s="20">
        <f t="shared" si="4182"/>
        <v>2</v>
      </c>
      <c r="Y1927" s="20">
        <v>0</v>
      </c>
      <c r="Z1927" s="20">
        <v>0</v>
      </c>
      <c r="AA1927" s="20">
        <v>0</v>
      </c>
      <c r="AB1927" s="20">
        <v>0</v>
      </c>
      <c r="AC1927" s="20">
        <v>0</v>
      </c>
      <c r="AD1927" s="23">
        <f t="shared" ref="AD1927:AE1927" si="4183">AD1897</f>
        <v>10</v>
      </c>
      <c r="AE1927" s="23">
        <f t="shared" si="4183"/>
        <v>14</v>
      </c>
    </row>
    <row r="1928" spans="1:31">
      <c r="A1928" s="8">
        <v>16104</v>
      </c>
      <c r="B1928" s="8">
        <v>7</v>
      </c>
      <c r="C1928" s="19" t="s">
        <v>72</v>
      </c>
      <c r="D1928" s="44">
        <v>0</v>
      </c>
      <c r="E1928" s="18">
        <v>0</v>
      </c>
      <c r="F1928" s="18">
        <v>0</v>
      </c>
      <c r="G1928" s="18">
        <f t="shared" ref="G1928:H1928" si="4184">ROUND(G1808*4.5,0)</f>
        <v>275</v>
      </c>
      <c r="H1928" s="18">
        <f t="shared" si="4184"/>
        <v>2349</v>
      </c>
      <c r="I1928" s="21">
        <f t="shared" si="4068"/>
        <v>110</v>
      </c>
      <c r="J1928" s="21">
        <f t="shared" si="4025"/>
        <v>6</v>
      </c>
      <c r="K1928" s="21">
        <v>0</v>
      </c>
      <c r="L1928" s="20">
        <v>16</v>
      </c>
      <c r="M1928" s="20">
        <v>0</v>
      </c>
      <c r="N1928" s="20">
        <f t="shared" si="4069"/>
        <v>700</v>
      </c>
      <c r="O1928" s="19" t="s">
        <v>72</v>
      </c>
      <c r="P1928" s="20">
        <v>2332</v>
      </c>
      <c r="Q1928" s="20">
        <f t="shared" ref="Q1928:X1928" si="4185">Q1898</f>
        <v>70</v>
      </c>
      <c r="R1928" s="20">
        <f t="shared" si="4185"/>
        <v>280</v>
      </c>
      <c r="S1928" s="20">
        <f t="shared" si="4185"/>
        <v>489.99999999999994</v>
      </c>
      <c r="T1928" s="20">
        <f t="shared" si="4185"/>
        <v>630</v>
      </c>
      <c r="U1928" s="20">
        <f t="shared" si="4185"/>
        <v>650</v>
      </c>
      <c r="V1928" s="20">
        <f t="shared" si="4185"/>
        <v>800</v>
      </c>
      <c r="W1928" s="20">
        <f t="shared" si="4185"/>
        <v>300</v>
      </c>
      <c r="X1928" s="20">
        <f t="shared" si="4185"/>
        <v>2</v>
      </c>
      <c r="Y1928" s="20">
        <v>0</v>
      </c>
      <c r="Z1928" s="20">
        <v>0</v>
      </c>
      <c r="AA1928" s="20">
        <v>0</v>
      </c>
      <c r="AB1928" s="20">
        <v>0</v>
      </c>
      <c r="AC1928" s="20">
        <v>0</v>
      </c>
      <c r="AD1928" s="23">
        <f t="shared" ref="AD1928:AE1928" si="4186">AD1898</f>
        <v>12</v>
      </c>
      <c r="AE1928" s="23">
        <f t="shared" si="4186"/>
        <v>16</v>
      </c>
    </row>
    <row r="1929" spans="1:31">
      <c r="A1929" s="4">
        <v>16104</v>
      </c>
      <c r="B1929" s="4">
        <v>8</v>
      </c>
      <c r="C1929" s="19" t="s">
        <v>73</v>
      </c>
      <c r="D1929" s="44">
        <v>0</v>
      </c>
      <c r="E1929" s="18">
        <v>0</v>
      </c>
      <c r="F1929" s="18">
        <v>0</v>
      </c>
      <c r="G1929" s="18">
        <f t="shared" ref="G1929:H1929" si="4187">ROUND(G1809*4.5,0)</f>
        <v>297</v>
      </c>
      <c r="H1929" s="18">
        <f t="shared" si="4187"/>
        <v>2543</v>
      </c>
      <c r="I1929" s="21">
        <f t="shared" si="4068"/>
        <v>110</v>
      </c>
      <c r="J1929" s="21">
        <f t="shared" si="4025"/>
        <v>7</v>
      </c>
      <c r="K1929" s="21">
        <v>0</v>
      </c>
      <c r="L1929" s="20">
        <v>12</v>
      </c>
      <c r="M1929" s="20">
        <v>0</v>
      </c>
      <c r="N1929" s="20">
        <f t="shared" si="4069"/>
        <v>800</v>
      </c>
      <c r="O1929" s="19" t="s">
        <v>73</v>
      </c>
      <c r="P1929" s="20">
        <v>1487</v>
      </c>
      <c r="Q1929" s="20">
        <f t="shared" ref="Q1929:X1929" si="4188">Q1899</f>
        <v>80</v>
      </c>
      <c r="R1929" s="20">
        <f t="shared" si="4188"/>
        <v>320</v>
      </c>
      <c r="S1929" s="20">
        <f t="shared" si="4188"/>
        <v>560</v>
      </c>
      <c r="T1929" s="20">
        <f t="shared" si="4188"/>
        <v>720</v>
      </c>
      <c r="U1929" s="20">
        <f t="shared" si="4188"/>
        <v>200</v>
      </c>
      <c r="V1929" s="20">
        <f t="shared" si="4188"/>
        <v>2000</v>
      </c>
      <c r="W1929" s="20">
        <f t="shared" si="4188"/>
        <v>1000</v>
      </c>
      <c r="X1929" s="20">
        <f t="shared" si="4188"/>
        <v>2</v>
      </c>
      <c r="Y1929" s="20">
        <f>ROUND(D1929*0.25,-1)</f>
        <v>0</v>
      </c>
      <c r="Z1929" s="20">
        <f>ROUND(E1929*0.25,-1)</f>
        <v>0</v>
      </c>
      <c r="AA1929" s="20">
        <f>ROUND(F1929*0.25,-1)</f>
        <v>0</v>
      </c>
      <c r="AB1929" s="20">
        <f>INT(AB1949*0.2)</f>
        <v>63</v>
      </c>
      <c r="AC1929" s="20">
        <v>0</v>
      </c>
      <c r="AD1929" s="23">
        <f t="shared" ref="AD1929:AE1929" si="4189">AD1899</f>
        <v>14</v>
      </c>
      <c r="AE1929" s="23">
        <f t="shared" si="4189"/>
        <v>18</v>
      </c>
    </row>
    <row r="1930" spans="1:31">
      <c r="A1930" s="4">
        <v>16104</v>
      </c>
      <c r="B1930" s="4">
        <v>9</v>
      </c>
      <c r="C1930" s="19" t="s">
        <v>74</v>
      </c>
      <c r="D1930" s="44">
        <v>0</v>
      </c>
      <c r="E1930" s="18">
        <v>0</v>
      </c>
      <c r="F1930" s="18">
        <v>0</v>
      </c>
      <c r="G1930" s="18">
        <f t="shared" ref="G1930:H1930" si="4190">ROUND(G1810*4.5,0)</f>
        <v>324</v>
      </c>
      <c r="H1930" s="18">
        <f t="shared" si="4190"/>
        <v>2754</v>
      </c>
      <c r="I1930" s="21">
        <f t="shared" si="4068"/>
        <v>165</v>
      </c>
      <c r="J1930" s="21">
        <f t="shared" si="4025"/>
        <v>8</v>
      </c>
      <c r="K1930" s="21">
        <v>0</v>
      </c>
      <c r="L1930" s="20">
        <v>8</v>
      </c>
      <c r="M1930" s="20">
        <v>0</v>
      </c>
      <c r="N1930" s="20">
        <f t="shared" si="4069"/>
        <v>900</v>
      </c>
      <c r="O1930" s="19" t="s">
        <v>74</v>
      </c>
      <c r="P1930" s="20">
        <v>1518</v>
      </c>
      <c r="Q1930" s="20">
        <f t="shared" ref="Q1930:X1930" si="4191">Q1900</f>
        <v>90</v>
      </c>
      <c r="R1930" s="20">
        <f t="shared" si="4191"/>
        <v>360</v>
      </c>
      <c r="S1930" s="20">
        <f t="shared" si="4191"/>
        <v>630</v>
      </c>
      <c r="T1930" s="20">
        <f t="shared" si="4191"/>
        <v>810</v>
      </c>
      <c r="U1930" s="20">
        <f t="shared" si="4191"/>
        <v>120</v>
      </c>
      <c r="V1930" s="20">
        <f t="shared" si="4191"/>
        <v>1500</v>
      </c>
      <c r="W1930" s="20">
        <f t="shared" si="4191"/>
        <v>1000</v>
      </c>
      <c r="X1930" s="20">
        <f t="shared" si="4191"/>
        <v>3</v>
      </c>
      <c r="Y1930" s="20">
        <v>0</v>
      </c>
      <c r="Z1930" s="20">
        <v>0</v>
      </c>
      <c r="AA1930" s="20">
        <v>0</v>
      </c>
      <c r="AB1930" s="20">
        <v>0</v>
      </c>
      <c r="AC1930" s="20">
        <v>0</v>
      </c>
      <c r="AD1930" s="23">
        <f t="shared" ref="AD1930:AE1930" si="4192">AD1900</f>
        <v>16</v>
      </c>
      <c r="AE1930" s="23">
        <f t="shared" si="4192"/>
        <v>20</v>
      </c>
    </row>
    <row r="1931" spans="1:31">
      <c r="A1931" s="4">
        <v>16104</v>
      </c>
      <c r="B1931" s="4">
        <v>10</v>
      </c>
      <c r="C1931" s="19" t="s">
        <v>75</v>
      </c>
      <c r="D1931" s="44">
        <v>0</v>
      </c>
      <c r="E1931" s="18">
        <v>0</v>
      </c>
      <c r="F1931" s="18">
        <v>0</v>
      </c>
      <c r="G1931" s="18">
        <f t="shared" ref="G1931:H1931" si="4193">ROUND(G1811*4.5,0)</f>
        <v>351</v>
      </c>
      <c r="H1931" s="18">
        <f t="shared" si="4193"/>
        <v>2979</v>
      </c>
      <c r="I1931" s="21">
        <f t="shared" si="4068"/>
        <v>165</v>
      </c>
      <c r="J1931" s="21">
        <f t="shared" si="4025"/>
        <v>9</v>
      </c>
      <c r="K1931" s="21">
        <v>0</v>
      </c>
      <c r="L1931" s="20">
        <v>6</v>
      </c>
      <c r="M1931" s="20">
        <v>0</v>
      </c>
      <c r="N1931" s="20">
        <f t="shared" si="4069"/>
        <v>2000</v>
      </c>
      <c r="O1931" s="19" t="s">
        <v>75</v>
      </c>
      <c r="P1931" s="20">
        <v>861</v>
      </c>
      <c r="Q1931" s="20">
        <f t="shared" ref="Q1931:X1931" si="4194">Q1901</f>
        <v>200</v>
      </c>
      <c r="R1931" s="20">
        <f t="shared" si="4194"/>
        <v>800</v>
      </c>
      <c r="S1931" s="20">
        <f t="shared" si="4194"/>
        <v>1400</v>
      </c>
      <c r="T1931" s="20">
        <f t="shared" si="4194"/>
        <v>1800</v>
      </c>
      <c r="U1931" s="20">
        <f t="shared" si="4194"/>
        <v>150</v>
      </c>
      <c r="V1931" s="20">
        <f t="shared" si="4194"/>
        <v>5000</v>
      </c>
      <c r="W1931" s="20">
        <f t="shared" si="4194"/>
        <v>800</v>
      </c>
      <c r="X1931" s="20">
        <f t="shared" si="4194"/>
        <v>3</v>
      </c>
      <c r="Y1931" s="20">
        <v>0</v>
      </c>
      <c r="Z1931" s="20">
        <v>0</v>
      </c>
      <c r="AA1931" s="20">
        <v>0</v>
      </c>
      <c r="AB1931" s="20">
        <v>0</v>
      </c>
      <c r="AC1931" s="20">
        <v>0</v>
      </c>
      <c r="AD1931" s="23">
        <f t="shared" ref="AD1931:AE1931" si="4195">AD1901</f>
        <v>18</v>
      </c>
      <c r="AE1931" s="23">
        <f t="shared" si="4195"/>
        <v>22</v>
      </c>
    </row>
    <row r="1932" spans="1:31">
      <c r="A1932" s="4">
        <v>16104</v>
      </c>
      <c r="B1932" s="4">
        <v>11</v>
      </c>
      <c r="C1932" s="19" t="s">
        <v>66</v>
      </c>
      <c r="D1932" s="44">
        <v>0</v>
      </c>
      <c r="E1932" s="18">
        <v>0</v>
      </c>
      <c r="F1932" s="18">
        <v>0</v>
      </c>
      <c r="G1932" s="18">
        <f t="shared" ref="G1932:H1932" si="4196">ROUND(G1812*4.5,0)</f>
        <v>378</v>
      </c>
      <c r="H1932" s="18">
        <f t="shared" si="4196"/>
        <v>3227</v>
      </c>
      <c r="I1932" s="21">
        <f t="shared" si="4068"/>
        <v>165</v>
      </c>
      <c r="J1932" s="21">
        <f t="shared" si="4025"/>
        <v>10</v>
      </c>
      <c r="K1932" s="21">
        <v>0</v>
      </c>
      <c r="L1932" s="20">
        <v>6</v>
      </c>
      <c r="M1932" s="20">
        <v>0</v>
      </c>
      <c r="N1932" s="20">
        <f t="shared" si="4069"/>
        <v>2200</v>
      </c>
      <c r="O1932" s="19" t="s">
        <v>66</v>
      </c>
      <c r="P1932" s="20">
        <v>9400</v>
      </c>
      <c r="Q1932" s="20">
        <f t="shared" ref="Q1932:X1932" si="4197">Q1902</f>
        <v>220</v>
      </c>
      <c r="R1932" s="20">
        <f t="shared" si="4197"/>
        <v>880</v>
      </c>
      <c r="S1932" s="20">
        <f t="shared" si="4197"/>
        <v>1540</v>
      </c>
      <c r="T1932" s="20">
        <f t="shared" si="4197"/>
        <v>1980</v>
      </c>
      <c r="U1932" s="20">
        <f t="shared" si="4197"/>
        <v>100</v>
      </c>
      <c r="V1932" s="20">
        <f t="shared" si="4197"/>
        <v>800</v>
      </c>
      <c r="W1932" s="20">
        <f t="shared" si="4197"/>
        <v>600</v>
      </c>
      <c r="X1932" s="20">
        <f t="shared" si="4197"/>
        <v>3</v>
      </c>
      <c r="Y1932" s="20">
        <v>0</v>
      </c>
      <c r="Z1932" s="20">
        <v>0</v>
      </c>
      <c r="AA1932" s="20">
        <v>0</v>
      </c>
      <c r="AB1932" s="20">
        <v>0</v>
      </c>
      <c r="AC1932" s="20">
        <v>0</v>
      </c>
      <c r="AD1932" s="23">
        <f t="shared" ref="AD1932:AE1932" si="4198">AD1902</f>
        <v>20</v>
      </c>
      <c r="AE1932" s="23">
        <f t="shared" si="4198"/>
        <v>24</v>
      </c>
    </row>
    <row r="1933" spans="1:31">
      <c r="A1933" s="4">
        <v>16104</v>
      </c>
      <c r="B1933" s="4">
        <v>12</v>
      </c>
      <c r="C1933" s="19" t="s">
        <v>67</v>
      </c>
      <c r="D1933" s="44">
        <v>0</v>
      </c>
      <c r="E1933" s="18">
        <v>0</v>
      </c>
      <c r="F1933" s="18">
        <v>0</v>
      </c>
      <c r="G1933" s="18">
        <f t="shared" ref="G1933:H1933" si="4199">ROUND(G1813*4.5,0)</f>
        <v>410</v>
      </c>
      <c r="H1933" s="18">
        <f t="shared" si="4199"/>
        <v>3492</v>
      </c>
      <c r="I1933" s="21">
        <f t="shared" si="4068"/>
        <v>165</v>
      </c>
      <c r="J1933" s="21">
        <f t="shared" si="4025"/>
        <v>11</v>
      </c>
      <c r="K1933" s="21">
        <v>0</v>
      </c>
      <c r="L1933" s="20">
        <v>6</v>
      </c>
      <c r="M1933" s="20">
        <v>0</v>
      </c>
      <c r="N1933" s="20">
        <f t="shared" si="4069"/>
        <v>2400</v>
      </c>
      <c r="O1933" s="19" t="s">
        <v>67</v>
      </c>
      <c r="P1933" s="20">
        <v>9100</v>
      </c>
      <c r="Q1933" s="20">
        <f t="shared" ref="Q1933:X1933" si="4200">Q1903</f>
        <v>240</v>
      </c>
      <c r="R1933" s="20">
        <f t="shared" si="4200"/>
        <v>960</v>
      </c>
      <c r="S1933" s="20">
        <f t="shared" si="4200"/>
        <v>1680</v>
      </c>
      <c r="T1933" s="20">
        <f t="shared" si="4200"/>
        <v>2160</v>
      </c>
      <c r="U1933" s="20">
        <f t="shared" si="4200"/>
        <v>150</v>
      </c>
      <c r="V1933" s="20">
        <f t="shared" si="4200"/>
        <v>700</v>
      </c>
      <c r="W1933" s="20">
        <f t="shared" si="4200"/>
        <v>900</v>
      </c>
      <c r="X1933" s="20">
        <f t="shared" si="4200"/>
        <v>3</v>
      </c>
      <c r="Y1933" s="20">
        <v>0</v>
      </c>
      <c r="Z1933" s="20">
        <v>0</v>
      </c>
      <c r="AA1933" s="20">
        <v>0</v>
      </c>
      <c r="AB1933" s="20">
        <v>0</v>
      </c>
      <c r="AC1933" s="20">
        <v>0</v>
      </c>
      <c r="AD1933" s="23">
        <f t="shared" ref="AD1933:AE1933" si="4201">AD1903</f>
        <v>22</v>
      </c>
      <c r="AE1933" s="23">
        <f t="shared" si="4201"/>
        <v>26</v>
      </c>
    </row>
    <row r="1934" spans="1:31">
      <c r="A1934" s="4">
        <v>16104</v>
      </c>
      <c r="B1934" s="4">
        <v>13</v>
      </c>
      <c r="C1934" s="19" t="s">
        <v>68</v>
      </c>
      <c r="D1934" s="44">
        <v>0</v>
      </c>
      <c r="E1934" s="18">
        <v>0</v>
      </c>
      <c r="F1934" s="18">
        <v>0</v>
      </c>
      <c r="G1934" s="18">
        <f t="shared" ref="G1934:H1934" si="4202">ROUND(G1814*4.5,0)</f>
        <v>441</v>
      </c>
      <c r="H1934" s="18">
        <f t="shared" si="4202"/>
        <v>3780</v>
      </c>
      <c r="I1934" s="21">
        <f t="shared" si="4068"/>
        <v>220</v>
      </c>
      <c r="J1934" s="21">
        <f t="shared" si="4025"/>
        <v>12</v>
      </c>
      <c r="K1934" s="21">
        <v>0</v>
      </c>
      <c r="L1934" s="20">
        <v>6</v>
      </c>
      <c r="M1934" s="20">
        <v>0</v>
      </c>
      <c r="N1934" s="20">
        <f t="shared" si="4069"/>
        <v>2600</v>
      </c>
      <c r="O1934" s="19" t="s">
        <v>68</v>
      </c>
      <c r="P1934" s="20">
        <v>8600</v>
      </c>
      <c r="Q1934" s="20">
        <f t="shared" ref="Q1934:X1934" si="4203">Q1904</f>
        <v>260</v>
      </c>
      <c r="R1934" s="20">
        <f t="shared" si="4203"/>
        <v>1040</v>
      </c>
      <c r="S1934" s="20">
        <f t="shared" si="4203"/>
        <v>1819.9999999999998</v>
      </c>
      <c r="T1934" s="20">
        <f t="shared" si="4203"/>
        <v>2340</v>
      </c>
      <c r="U1934" s="20">
        <f t="shared" si="4203"/>
        <v>100</v>
      </c>
      <c r="V1934" s="20">
        <f t="shared" si="4203"/>
        <v>700</v>
      </c>
      <c r="W1934" s="20">
        <f t="shared" si="4203"/>
        <v>1000</v>
      </c>
      <c r="X1934" s="20">
        <f t="shared" si="4203"/>
        <v>4</v>
      </c>
      <c r="Y1934" s="20">
        <f>ROUND(D1934*0.25,-1)</f>
        <v>0</v>
      </c>
      <c r="Z1934" s="20">
        <f>ROUND(E1934*0.25,-1)</f>
        <v>0</v>
      </c>
      <c r="AA1934" s="20">
        <f>ROUND(F1934*0.25,-1)</f>
        <v>0</v>
      </c>
      <c r="AB1934" s="20">
        <f>INT(AB1949*0.4)</f>
        <v>126</v>
      </c>
      <c r="AC1934" s="20">
        <v>0</v>
      </c>
      <c r="AD1934" s="23">
        <f t="shared" ref="AD1934:AE1934" si="4204">AD1904</f>
        <v>24</v>
      </c>
      <c r="AE1934" s="23">
        <f t="shared" si="4204"/>
        <v>28</v>
      </c>
    </row>
    <row r="1935" spans="1:31">
      <c r="A1935" s="4">
        <v>16104</v>
      </c>
      <c r="B1935" s="4">
        <v>14</v>
      </c>
      <c r="C1935" s="19" t="s">
        <v>69</v>
      </c>
      <c r="D1935" s="44">
        <v>0</v>
      </c>
      <c r="E1935" s="18">
        <v>0</v>
      </c>
      <c r="F1935" s="18">
        <v>0</v>
      </c>
      <c r="G1935" s="18">
        <f t="shared" ref="G1935:H1935" si="4205">ROUND(G1815*4.5,0)</f>
        <v>477</v>
      </c>
      <c r="H1935" s="18">
        <f t="shared" si="4205"/>
        <v>4095</v>
      </c>
      <c r="I1935" s="21">
        <f t="shared" si="4068"/>
        <v>220</v>
      </c>
      <c r="J1935" s="21">
        <f t="shared" si="4025"/>
        <v>13</v>
      </c>
      <c r="K1935" s="21">
        <v>0</v>
      </c>
      <c r="L1935" s="20">
        <v>6</v>
      </c>
      <c r="M1935" s="20">
        <v>0</v>
      </c>
      <c r="N1935" s="20">
        <f t="shared" si="4069"/>
        <v>2800</v>
      </c>
      <c r="O1935" s="19" t="s">
        <v>69</v>
      </c>
      <c r="P1935" s="20">
        <v>6400</v>
      </c>
      <c r="Q1935" s="20">
        <f t="shared" ref="Q1935:X1935" si="4206">Q1905</f>
        <v>280</v>
      </c>
      <c r="R1935" s="20">
        <f t="shared" si="4206"/>
        <v>1120</v>
      </c>
      <c r="S1935" s="20">
        <f t="shared" si="4206"/>
        <v>1959.9999999999998</v>
      </c>
      <c r="T1935" s="20">
        <f t="shared" si="4206"/>
        <v>2520</v>
      </c>
      <c r="U1935" s="20">
        <f t="shared" si="4206"/>
        <v>100</v>
      </c>
      <c r="V1935" s="20">
        <f t="shared" si="4206"/>
        <v>400</v>
      </c>
      <c r="W1935" s="20">
        <f t="shared" si="4206"/>
        <v>1200</v>
      </c>
      <c r="X1935" s="20">
        <f t="shared" si="4206"/>
        <v>4</v>
      </c>
      <c r="Y1935" s="20">
        <v>0</v>
      </c>
      <c r="Z1935" s="20">
        <v>0</v>
      </c>
      <c r="AA1935" s="20">
        <v>0</v>
      </c>
      <c r="AB1935" s="20">
        <v>0</v>
      </c>
      <c r="AC1935" s="20">
        <v>0</v>
      </c>
      <c r="AD1935" s="23">
        <f t="shared" ref="AD1935:AE1935" si="4207">AD1905</f>
        <v>26</v>
      </c>
      <c r="AE1935" s="23">
        <f t="shared" si="4207"/>
        <v>30</v>
      </c>
    </row>
    <row r="1936" spans="1:31">
      <c r="A1936" s="4">
        <v>16104</v>
      </c>
      <c r="B1936" s="4">
        <v>15</v>
      </c>
      <c r="C1936" s="19" t="s">
        <v>70</v>
      </c>
      <c r="D1936" s="44">
        <v>0</v>
      </c>
      <c r="E1936" s="18">
        <v>0</v>
      </c>
      <c r="F1936" s="18">
        <v>0</v>
      </c>
      <c r="G1936" s="18">
        <f t="shared" ref="G1936:H1936" si="4208">ROUND(G1816*4.5,0)</f>
        <v>518</v>
      </c>
      <c r="H1936" s="18">
        <f t="shared" si="4208"/>
        <v>4433</v>
      </c>
      <c r="I1936" s="21">
        <f t="shared" si="4068"/>
        <v>220</v>
      </c>
      <c r="J1936" s="21">
        <f t="shared" si="4025"/>
        <v>14</v>
      </c>
      <c r="K1936" s="21">
        <v>0</v>
      </c>
      <c r="L1936" s="20">
        <v>6</v>
      </c>
      <c r="M1936" s="20">
        <v>0</v>
      </c>
      <c r="N1936" s="20">
        <f t="shared" si="4069"/>
        <v>4500</v>
      </c>
      <c r="O1936" s="19" t="s">
        <v>70</v>
      </c>
      <c r="P1936" s="20">
        <v>3100</v>
      </c>
      <c r="Q1936" s="20">
        <f t="shared" ref="Q1936:X1936" si="4209">Q1906</f>
        <v>450</v>
      </c>
      <c r="R1936" s="20">
        <f t="shared" si="4209"/>
        <v>1800</v>
      </c>
      <c r="S1936" s="20">
        <f t="shared" si="4209"/>
        <v>3150</v>
      </c>
      <c r="T1936" s="20">
        <f t="shared" si="4209"/>
        <v>4050</v>
      </c>
      <c r="U1936" s="20">
        <f t="shared" si="4209"/>
        <v>100</v>
      </c>
      <c r="V1936" s="20">
        <f t="shared" si="4209"/>
        <v>1000</v>
      </c>
      <c r="W1936" s="20">
        <f t="shared" si="4209"/>
        <v>600</v>
      </c>
      <c r="X1936" s="20">
        <f t="shared" si="4209"/>
        <v>4</v>
      </c>
      <c r="Y1936" s="20">
        <v>0</v>
      </c>
      <c r="Z1936" s="20">
        <v>0</v>
      </c>
      <c r="AA1936" s="20">
        <v>0</v>
      </c>
      <c r="AB1936" s="20">
        <v>0</v>
      </c>
      <c r="AC1936" s="20">
        <v>0</v>
      </c>
      <c r="AD1936" s="23">
        <f t="shared" ref="AD1936:AE1936" si="4210">AD1906</f>
        <v>28</v>
      </c>
      <c r="AE1936" s="23">
        <f t="shared" si="4210"/>
        <v>32</v>
      </c>
    </row>
    <row r="1937" spans="1:31">
      <c r="A1937" s="4">
        <v>16104</v>
      </c>
      <c r="B1937" s="4">
        <v>16</v>
      </c>
      <c r="C1937" s="19" t="s">
        <v>71</v>
      </c>
      <c r="D1937" s="44">
        <v>0</v>
      </c>
      <c r="E1937" s="18">
        <v>0</v>
      </c>
      <c r="F1937" s="18">
        <v>0</v>
      </c>
      <c r="G1937" s="18">
        <f t="shared" ref="G1937:H1937" si="4211">ROUND(G1817*4.5,0)</f>
        <v>563</v>
      </c>
      <c r="H1937" s="18">
        <f t="shared" si="4211"/>
        <v>4797</v>
      </c>
      <c r="I1937" s="21">
        <f t="shared" si="4068"/>
        <v>220</v>
      </c>
      <c r="J1937" s="21">
        <f t="shared" si="4025"/>
        <v>15</v>
      </c>
      <c r="K1937" s="21">
        <v>0</v>
      </c>
      <c r="L1937" s="20">
        <v>6</v>
      </c>
      <c r="M1937" s="20">
        <v>0</v>
      </c>
      <c r="N1937" s="20">
        <f t="shared" si="4069"/>
        <v>4800</v>
      </c>
      <c r="O1937" s="19" t="s">
        <v>71</v>
      </c>
      <c r="P1937" s="20">
        <v>1777</v>
      </c>
      <c r="Q1937" s="20">
        <f t="shared" ref="Q1937:X1937" si="4212">Q1907</f>
        <v>480</v>
      </c>
      <c r="R1937" s="20">
        <f t="shared" si="4212"/>
        <v>1920</v>
      </c>
      <c r="S1937" s="20">
        <f t="shared" si="4212"/>
        <v>3360</v>
      </c>
      <c r="T1937" s="20">
        <f t="shared" si="4212"/>
        <v>4320</v>
      </c>
      <c r="U1937" s="20">
        <f t="shared" si="4212"/>
        <v>100</v>
      </c>
      <c r="V1937" s="20">
        <f t="shared" si="4212"/>
        <v>800</v>
      </c>
      <c r="W1937" s="20">
        <f t="shared" si="4212"/>
        <v>800</v>
      </c>
      <c r="X1937" s="20">
        <f t="shared" si="4212"/>
        <v>4</v>
      </c>
      <c r="Y1937" s="20">
        <v>0</v>
      </c>
      <c r="Z1937" s="20">
        <v>0</v>
      </c>
      <c r="AA1937" s="20">
        <v>0</v>
      </c>
      <c r="AB1937" s="20">
        <f>AB1935</f>
        <v>0</v>
      </c>
      <c r="AC1937" s="20">
        <v>0</v>
      </c>
      <c r="AD1937" s="23">
        <f t="shared" ref="AD1937:AE1937" si="4213">AD1907</f>
        <v>30</v>
      </c>
      <c r="AE1937" s="23">
        <f t="shared" si="4213"/>
        <v>34</v>
      </c>
    </row>
    <row r="1938" spans="1:31">
      <c r="A1938" s="4">
        <v>16104</v>
      </c>
      <c r="B1938" s="4">
        <v>17</v>
      </c>
      <c r="C1938" s="19" t="s">
        <v>72</v>
      </c>
      <c r="D1938" s="44">
        <v>0</v>
      </c>
      <c r="E1938" s="18">
        <v>0</v>
      </c>
      <c r="F1938" s="18">
        <v>0</v>
      </c>
      <c r="G1938" s="18">
        <f t="shared" ref="G1938:H1938" si="4214">ROUND(G1818*4.5,0)</f>
        <v>608</v>
      </c>
      <c r="H1938" s="18">
        <f t="shared" si="4214"/>
        <v>5193</v>
      </c>
      <c r="I1938" s="21">
        <f t="shared" si="4068"/>
        <v>275</v>
      </c>
      <c r="J1938" s="21">
        <f t="shared" si="4025"/>
        <v>16</v>
      </c>
      <c r="K1938" s="21">
        <v>0</v>
      </c>
      <c r="L1938" s="20">
        <v>6</v>
      </c>
      <c r="M1938" s="20">
        <v>0</v>
      </c>
      <c r="N1938" s="20">
        <f t="shared" si="4069"/>
        <v>5100</v>
      </c>
      <c r="O1938" s="19" t="s">
        <v>72</v>
      </c>
      <c r="P1938" s="20">
        <v>2332</v>
      </c>
      <c r="Q1938" s="20">
        <f t="shared" ref="Q1938:X1938" si="4215">Q1908</f>
        <v>510</v>
      </c>
      <c r="R1938" s="20">
        <f t="shared" si="4215"/>
        <v>2040</v>
      </c>
      <c r="S1938" s="20">
        <f t="shared" si="4215"/>
        <v>3570</v>
      </c>
      <c r="T1938" s="20">
        <f t="shared" si="4215"/>
        <v>4590</v>
      </c>
      <c r="U1938" s="20">
        <f t="shared" si="4215"/>
        <v>80</v>
      </c>
      <c r="V1938" s="20">
        <f t="shared" si="4215"/>
        <v>800</v>
      </c>
      <c r="W1938" s="20">
        <f t="shared" si="4215"/>
        <v>600</v>
      </c>
      <c r="X1938" s="20">
        <f t="shared" si="4215"/>
        <v>5</v>
      </c>
      <c r="Y1938" s="20">
        <v>0</v>
      </c>
      <c r="Z1938" s="20">
        <v>0</v>
      </c>
      <c r="AA1938" s="20">
        <v>0</v>
      </c>
      <c r="AB1938" s="20">
        <f>AB1936</f>
        <v>0</v>
      </c>
      <c r="AC1938" s="20">
        <v>0</v>
      </c>
      <c r="AD1938" s="23">
        <f t="shared" ref="AD1938:AE1938" si="4216">AD1908</f>
        <v>32</v>
      </c>
      <c r="AE1938" s="23">
        <f t="shared" si="4216"/>
        <v>36</v>
      </c>
    </row>
    <row r="1939" spans="1:31">
      <c r="A1939" s="4">
        <v>16104</v>
      </c>
      <c r="B1939" s="4">
        <v>18</v>
      </c>
      <c r="C1939" s="19" t="s">
        <v>73</v>
      </c>
      <c r="D1939" s="44">
        <v>0</v>
      </c>
      <c r="E1939" s="18">
        <v>0</v>
      </c>
      <c r="F1939" s="18">
        <v>0</v>
      </c>
      <c r="G1939" s="18">
        <f t="shared" ref="G1939:H1939" si="4217">ROUND(G1819*4.5,0)</f>
        <v>657</v>
      </c>
      <c r="H1939" s="18">
        <f t="shared" si="4217"/>
        <v>5625</v>
      </c>
      <c r="I1939" s="21">
        <f t="shared" si="4068"/>
        <v>275</v>
      </c>
      <c r="J1939" s="21">
        <f t="shared" ref="J1939:J1951" si="4218">B1939-1</f>
        <v>17</v>
      </c>
      <c r="K1939" s="21">
        <v>0</v>
      </c>
      <c r="L1939" s="20">
        <v>6</v>
      </c>
      <c r="M1939" s="20">
        <v>0</v>
      </c>
      <c r="N1939" s="20">
        <f t="shared" si="4069"/>
        <v>5400</v>
      </c>
      <c r="O1939" s="19" t="s">
        <v>73</v>
      </c>
      <c r="P1939" s="20">
        <v>1487</v>
      </c>
      <c r="Q1939" s="20">
        <f t="shared" ref="Q1939:X1939" si="4219">Q1909</f>
        <v>540</v>
      </c>
      <c r="R1939" s="20">
        <f t="shared" si="4219"/>
        <v>2160</v>
      </c>
      <c r="S1939" s="20">
        <f t="shared" si="4219"/>
        <v>3779.9999999999995</v>
      </c>
      <c r="T1939" s="20">
        <f t="shared" si="4219"/>
        <v>4860</v>
      </c>
      <c r="U1939" s="20">
        <f t="shared" si="4219"/>
        <v>100</v>
      </c>
      <c r="V1939" s="20">
        <f t="shared" si="4219"/>
        <v>600</v>
      </c>
      <c r="W1939" s="20">
        <f t="shared" si="4219"/>
        <v>300</v>
      </c>
      <c r="X1939" s="20">
        <f t="shared" si="4219"/>
        <v>5</v>
      </c>
      <c r="Y1939" s="20">
        <f>ROUND(D1939*0.25,-1)</f>
        <v>0</v>
      </c>
      <c r="Z1939" s="20">
        <f>ROUND(E1939*0.25,-1)</f>
        <v>0</v>
      </c>
      <c r="AA1939" s="20">
        <f>ROUND(F1939*0.25,-1)</f>
        <v>0</v>
      </c>
      <c r="AB1939" s="20">
        <f>INT(AB1949*0.6)</f>
        <v>189</v>
      </c>
      <c r="AC1939" s="20">
        <v>0</v>
      </c>
      <c r="AD1939" s="23">
        <f t="shared" ref="AD1939:AE1939" si="4220">AD1909</f>
        <v>34</v>
      </c>
      <c r="AE1939" s="23">
        <f t="shared" si="4220"/>
        <v>38</v>
      </c>
    </row>
    <row r="1940" spans="1:31">
      <c r="A1940" s="8">
        <v>16104</v>
      </c>
      <c r="B1940" s="8">
        <v>19</v>
      </c>
      <c r="C1940" s="19" t="s">
        <v>74</v>
      </c>
      <c r="D1940" s="44">
        <v>0</v>
      </c>
      <c r="E1940" s="18">
        <v>0</v>
      </c>
      <c r="F1940" s="18">
        <v>0</v>
      </c>
      <c r="G1940" s="18">
        <f t="shared" ref="G1940:H1940" si="4221">ROUND(G1820*4.5,0)</f>
        <v>711</v>
      </c>
      <c r="H1940" s="18">
        <f t="shared" si="4221"/>
        <v>6089</v>
      </c>
      <c r="I1940" s="21">
        <f t="shared" si="4068"/>
        <v>275</v>
      </c>
      <c r="J1940" s="21">
        <f t="shared" si="4218"/>
        <v>18</v>
      </c>
      <c r="K1940" s="21">
        <v>0</v>
      </c>
      <c r="L1940" s="20">
        <v>6</v>
      </c>
      <c r="M1940" s="20">
        <v>0</v>
      </c>
      <c r="N1940" s="20">
        <f t="shared" si="4069"/>
        <v>5700</v>
      </c>
      <c r="O1940" s="19" t="s">
        <v>74</v>
      </c>
      <c r="P1940" s="20">
        <v>1518</v>
      </c>
      <c r="Q1940" s="20">
        <f t="shared" ref="Q1940:X1940" si="4222">Q1910</f>
        <v>570</v>
      </c>
      <c r="R1940" s="20">
        <f t="shared" si="4222"/>
        <v>2280</v>
      </c>
      <c r="S1940" s="20">
        <f t="shared" si="4222"/>
        <v>3989.9999999999995</v>
      </c>
      <c r="T1940" s="20">
        <f t="shared" si="4222"/>
        <v>5130</v>
      </c>
      <c r="U1940" s="20">
        <f t="shared" si="4222"/>
        <v>100</v>
      </c>
      <c r="V1940" s="20">
        <f t="shared" si="4222"/>
        <v>500</v>
      </c>
      <c r="W1940" s="20">
        <f t="shared" si="4222"/>
        <v>400</v>
      </c>
      <c r="X1940" s="20">
        <f t="shared" si="4222"/>
        <v>5</v>
      </c>
      <c r="Y1940" s="20">
        <v>0</v>
      </c>
      <c r="Z1940" s="20">
        <v>0</v>
      </c>
      <c r="AA1940" s="20">
        <v>0</v>
      </c>
      <c r="AB1940" s="20">
        <v>0</v>
      </c>
      <c r="AC1940" s="20">
        <v>0</v>
      </c>
      <c r="AD1940" s="23">
        <f t="shared" ref="AD1940:AE1940" si="4223">AD1910</f>
        <v>36</v>
      </c>
      <c r="AE1940" s="23">
        <f t="shared" si="4223"/>
        <v>40</v>
      </c>
    </row>
    <row r="1941" spans="1:31">
      <c r="A1941" s="4">
        <v>16104</v>
      </c>
      <c r="B1941" s="4">
        <v>20</v>
      </c>
      <c r="C1941" s="19" t="s">
        <v>75</v>
      </c>
      <c r="D1941" s="44">
        <v>0</v>
      </c>
      <c r="E1941" s="18">
        <v>0</v>
      </c>
      <c r="F1941" s="18">
        <v>0</v>
      </c>
      <c r="G1941" s="18">
        <f t="shared" ref="G1941:H1941" si="4224">ROUND(G1821*4.5,0)</f>
        <v>770</v>
      </c>
      <c r="H1941" s="18">
        <f t="shared" si="4224"/>
        <v>6593</v>
      </c>
      <c r="I1941" s="21">
        <f t="shared" si="4068"/>
        <v>275</v>
      </c>
      <c r="J1941" s="21">
        <f t="shared" si="4218"/>
        <v>19</v>
      </c>
      <c r="K1941" s="21">
        <v>0</v>
      </c>
      <c r="L1941" s="20">
        <v>6</v>
      </c>
      <c r="M1941" s="20">
        <v>0</v>
      </c>
      <c r="N1941" s="20">
        <f t="shared" si="4069"/>
        <v>8000</v>
      </c>
      <c r="O1941" s="19" t="s">
        <v>75</v>
      </c>
      <c r="P1941" s="20">
        <v>861</v>
      </c>
      <c r="Q1941" s="20">
        <f t="shared" ref="Q1941:X1941" si="4225">Q1911</f>
        <v>800</v>
      </c>
      <c r="R1941" s="20">
        <f t="shared" si="4225"/>
        <v>3200</v>
      </c>
      <c r="S1941" s="20">
        <f t="shared" si="4225"/>
        <v>5600</v>
      </c>
      <c r="T1941" s="20">
        <f t="shared" si="4225"/>
        <v>7200</v>
      </c>
      <c r="U1941" s="20">
        <f t="shared" si="4225"/>
        <v>100</v>
      </c>
      <c r="V1941" s="20">
        <f t="shared" si="4225"/>
        <v>800</v>
      </c>
      <c r="W1941" s="20">
        <f t="shared" si="4225"/>
        <v>8000</v>
      </c>
      <c r="X1941" s="20">
        <f t="shared" si="4225"/>
        <v>5</v>
      </c>
      <c r="Y1941" s="20">
        <v>0</v>
      </c>
      <c r="Z1941" s="20">
        <v>0</v>
      </c>
      <c r="AA1941" s="20">
        <v>0</v>
      </c>
      <c r="AB1941" s="20">
        <v>0</v>
      </c>
      <c r="AC1941" s="20">
        <v>0</v>
      </c>
      <c r="AD1941" s="23">
        <f t="shared" ref="AD1941:AE1941" si="4226">AD1911</f>
        <v>38</v>
      </c>
      <c r="AE1941" s="23">
        <f t="shared" si="4226"/>
        <v>42</v>
      </c>
    </row>
    <row r="1942" spans="1:31">
      <c r="A1942" s="4">
        <v>16104</v>
      </c>
      <c r="B1942" s="4">
        <v>21</v>
      </c>
      <c r="C1942" s="19" t="s">
        <v>66</v>
      </c>
      <c r="D1942" s="44">
        <v>0</v>
      </c>
      <c r="E1942" s="18">
        <v>0</v>
      </c>
      <c r="F1942" s="18">
        <v>0</v>
      </c>
      <c r="G1942" s="18">
        <f t="shared" ref="G1942:H1942" si="4227">ROUND(G1822*4.5,0)</f>
        <v>833</v>
      </c>
      <c r="H1942" s="18">
        <f t="shared" si="4227"/>
        <v>7137</v>
      </c>
      <c r="I1942" s="21">
        <f t="shared" si="4068"/>
        <v>330</v>
      </c>
      <c r="J1942" s="21">
        <f t="shared" si="4218"/>
        <v>20</v>
      </c>
      <c r="K1942" s="21">
        <v>0</v>
      </c>
      <c r="L1942" s="20">
        <v>6</v>
      </c>
      <c r="M1942" s="20">
        <v>0</v>
      </c>
      <c r="N1942" s="20">
        <f t="shared" si="4069"/>
        <v>8400</v>
      </c>
      <c r="O1942" s="19" t="s">
        <v>66</v>
      </c>
      <c r="P1942" s="20">
        <v>9400</v>
      </c>
      <c r="Q1942" s="20">
        <f t="shared" ref="Q1942:X1942" si="4228">Q1912</f>
        <v>840</v>
      </c>
      <c r="R1942" s="20">
        <f t="shared" si="4228"/>
        <v>3360</v>
      </c>
      <c r="S1942" s="20">
        <f t="shared" si="4228"/>
        <v>5880</v>
      </c>
      <c r="T1942" s="20">
        <f t="shared" si="4228"/>
        <v>7560</v>
      </c>
      <c r="U1942" s="20">
        <f t="shared" si="4228"/>
        <v>50</v>
      </c>
      <c r="V1942" s="20">
        <f t="shared" si="4228"/>
        <v>1000</v>
      </c>
      <c r="W1942" s="20">
        <f t="shared" si="4228"/>
        <v>600</v>
      </c>
      <c r="X1942" s="20">
        <f t="shared" si="4228"/>
        <v>6</v>
      </c>
      <c r="Y1942" s="20">
        <v>0</v>
      </c>
      <c r="Z1942" s="20">
        <v>0</v>
      </c>
      <c r="AA1942" s="20">
        <v>0</v>
      </c>
      <c r="AB1942" s="20">
        <f>AB1940</f>
        <v>0</v>
      </c>
      <c r="AC1942" s="20">
        <v>0</v>
      </c>
      <c r="AD1942" s="23">
        <f t="shared" ref="AD1942:AE1942" si="4229">AD1912</f>
        <v>40</v>
      </c>
      <c r="AE1942" s="23">
        <f t="shared" si="4229"/>
        <v>44</v>
      </c>
    </row>
    <row r="1943" spans="1:31">
      <c r="A1943" s="4">
        <v>16104</v>
      </c>
      <c r="B1943" s="4">
        <v>22</v>
      </c>
      <c r="C1943" s="19" t="s">
        <v>67</v>
      </c>
      <c r="D1943" s="44">
        <v>0</v>
      </c>
      <c r="E1943" s="18">
        <v>0</v>
      </c>
      <c r="F1943" s="18">
        <v>0</v>
      </c>
      <c r="G1943" s="18">
        <f t="shared" ref="G1943:H1943" si="4230">ROUND(G1823*4.5,0)</f>
        <v>905</v>
      </c>
      <c r="H1943" s="18">
        <f t="shared" si="4230"/>
        <v>7727</v>
      </c>
      <c r="I1943" s="21">
        <f t="shared" si="4068"/>
        <v>330</v>
      </c>
      <c r="J1943" s="21">
        <f t="shared" si="4218"/>
        <v>21</v>
      </c>
      <c r="K1943" s="21">
        <v>0</v>
      </c>
      <c r="L1943" s="20">
        <v>6</v>
      </c>
      <c r="M1943" s="20">
        <v>0</v>
      </c>
      <c r="N1943" s="20">
        <f t="shared" si="4069"/>
        <v>8800</v>
      </c>
      <c r="O1943" s="19" t="s">
        <v>67</v>
      </c>
      <c r="P1943" s="20">
        <v>9100</v>
      </c>
      <c r="Q1943" s="20">
        <f t="shared" ref="Q1943:X1943" si="4231">Q1913</f>
        <v>880</v>
      </c>
      <c r="R1943" s="20">
        <f t="shared" si="4231"/>
        <v>3520</v>
      </c>
      <c r="S1943" s="20">
        <f t="shared" si="4231"/>
        <v>6160</v>
      </c>
      <c r="T1943" s="20">
        <f t="shared" si="4231"/>
        <v>7920</v>
      </c>
      <c r="U1943" s="20">
        <f t="shared" si="4231"/>
        <v>100</v>
      </c>
      <c r="V1943" s="20">
        <f t="shared" si="4231"/>
        <v>600</v>
      </c>
      <c r="W1943" s="20">
        <f t="shared" si="4231"/>
        <v>700</v>
      </c>
      <c r="X1943" s="20">
        <f t="shared" si="4231"/>
        <v>6</v>
      </c>
      <c r="Y1943" s="20">
        <v>0</v>
      </c>
      <c r="Z1943" s="20">
        <v>0</v>
      </c>
      <c r="AA1943" s="20">
        <v>0</v>
      </c>
      <c r="AB1943" s="20">
        <f>AB1941</f>
        <v>0</v>
      </c>
      <c r="AC1943" s="20">
        <v>0</v>
      </c>
      <c r="AD1943" s="23">
        <f t="shared" ref="AD1943:AE1943" si="4232">AD1913</f>
        <v>42</v>
      </c>
      <c r="AE1943" s="23">
        <f t="shared" si="4232"/>
        <v>46</v>
      </c>
    </row>
    <row r="1944" spans="1:31">
      <c r="A1944" s="4">
        <v>16104</v>
      </c>
      <c r="B1944" s="4">
        <v>23</v>
      </c>
      <c r="C1944" s="19" t="s">
        <v>68</v>
      </c>
      <c r="D1944" s="44">
        <v>0</v>
      </c>
      <c r="E1944" s="18">
        <v>0</v>
      </c>
      <c r="F1944" s="18">
        <v>0</v>
      </c>
      <c r="G1944" s="18">
        <f t="shared" ref="G1944:H1944" si="4233">ROUND(G1824*4.5,0)</f>
        <v>977</v>
      </c>
      <c r="H1944" s="18">
        <f t="shared" si="4233"/>
        <v>8366</v>
      </c>
      <c r="I1944" s="21">
        <f t="shared" si="4068"/>
        <v>330</v>
      </c>
      <c r="J1944" s="21">
        <f t="shared" si="4218"/>
        <v>22</v>
      </c>
      <c r="K1944" s="21">
        <v>0</v>
      </c>
      <c r="L1944" s="20">
        <v>6</v>
      </c>
      <c r="M1944" s="20">
        <v>0</v>
      </c>
      <c r="N1944" s="20">
        <f t="shared" si="4069"/>
        <v>9200</v>
      </c>
      <c r="O1944" s="19" t="s">
        <v>68</v>
      </c>
      <c r="P1944" s="20">
        <v>8600</v>
      </c>
      <c r="Q1944" s="20">
        <f t="shared" ref="Q1944:X1944" si="4234">Q1914</f>
        <v>920</v>
      </c>
      <c r="R1944" s="20">
        <f t="shared" si="4234"/>
        <v>3680</v>
      </c>
      <c r="S1944" s="20">
        <f t="shared" si="4234"/>
        <v>6440</v>
      </c>
      <c r="T1944" s="20">
        <f t="shared" si="4234"/>
        <v>8280</v>
      </c>
      <c r="U1944" s="20">
        <f t="shared" si="4234"/>
        <v>100</v>
      </c>
      <c r="V1944" s="20">
        <f t="shared" si="4234"/>
        <v>550</v>
      </c>
      <c r="W1944" s="20">
        <f t="shared" si="4234"/>
        <v>500</v>
      </c>
      <c r="X1944" s="20">
        <f t="shared" si="4234"/>
        <v>6</v>
      </c>
      <c r="Y1944" s="20">
        <f>ROUND(D1944*0.25,-1)</f>
        <v>0</v>
      </c>
      <c r="Z1944" s="20">
        <f>ROUND(E1944*0.25,-1)</f>
        <v>0</v>
      </c>
      <c r="AA1944" s="20">
        <f>ROUND(F1944*0.25,-1)</f>
        <v>0</v>
      </c>
      <c r="AB1944" s="20">
        <f>INT(AB1949*0.8)</f>
        <v>252</v>
      </c>
      <c r="AC1944" s="20">
        <v>0</v>
      </c>
      <c r="AD1944" s="23">
        <f t="shared" ref="AD1944:AE1944" si="4235">AD1914</f>
        <v>44</v>
      </c>
      <c r="AE1944" s="23">
        <f t="shared" si="4235"/>
        <v>48</v>
      </c>
    </row>
    <row r="1945" spans="1:31">
      <c r="A1945" s="4">
        <v>16104</v>
      </c>
      <c r="B1945" s="4">
        <v>24</v>
      </c>
      <c r="C1945" s="19" t="s">
        <v>69</v>
      </c>
      <c r="D1945" s="44">
        <v>0</v>
      </c>
      <c r="E1945" s="18">
        <v>0</v>
      </c>
      <c r="F1945" s="18">
        <v>0</v>
      </c>
      <c r="G1945" s="18">
        <f t="shared" ref="G1945:H1945" si="4236">ROUND(G1825*4.5,0)</f>
        <v>1058</v>
      </c>
      <c r="H1945" s="18">
        <f t="shared" si="4236"/>
        <v>9054</v>
      </c>
      <c r="I1945" s="21">
        <f t="shared" si="4068"/>
        <v>330</v>
      </c>
      <c r="J1945" s="21">
        <f t="shared" si="4218"/>
        <v>23</v>
      </c>
      <c r="K1945" s="21">
        <v>0</v>
      </c>
      <c r="L1945" s="20">
        <v>6</v>
      </c>
      <c r="M1945" s="20">
        <v>0</v>
      </c>
      <c r="N1945" s="20">
        <f t="shared" si="4069"/>
        <v>9600</v>
      </c>
      <c r="O1945" s="19" t="s">
        <v>69</v>
      </c>
      <c r="P1945" s="20">
        <v>6400</v>
      </c>
      <c r="Q1945" s="20">
        <f t="shared" ref="Q1945:X1945" si="4237">Q1915</f>
        <v>960</v>
      </c>
      <c r="R1945" s="20">
        <f t="shared" si="4237"/>
        <v>3840</v>
      </c>
      <c r="S1945" s="20">
        <f t="shared" si="4237"/>
        <v>6720</v>
      </c>
      <c r="T1945" s="20">
        <f t="shared" si="4237"/>
        <v>8640</v>
      </c>
      <c r="U1945" s="20">
        <f t="shared" si="4237"/>
        <v>100</v>
      </c>
      <c r="V1945" s="20">
        <f t="shared" si="4237"/>
        <v>500</v>
      </c>
      <c r="W1945" s="20">
        <f t="shared" si="4237"/>
        <v>900</v>
      </c>
      <c r="X1945" s="20">
        <f t="shared" si="4237"/>
        <v>6</v>
      </c>
      <c r="Y1945" s="20">
        <v>0</v>
      </c>
      <c r="Z1945" s="20">
        <v>0</v>
      </c>
      <c r="AA1945" s="20">
        <v>0</v>
      </c>
      <c r="AB1945" s="20">
        <v>0</v>
      </c>
      <c r="AC1945" s="20">
        <v>0</v>
      </c>
      <c r="AD1945" s="23">
        <f t="shared" ref="AD1945:AE1945" si="4238">AD1915</f>
        <v>46</v>
      </c>
      <c r="AE1945" s="23">
        <f t="shared" si="4238"/>
        <v>50</v>
      </c>
    </row>
    <row r="1946" spans="1:31">
      <c r="A1946" s="4">
        <v>16104</v>
      </c>
      <c r="B1946" s="4">
        <v>25</v>
      </c>
      <c r="C1946" s="19" t="s">
        <v>70</v>
      </c>
      <c r="D1946" s="44">
        <v>0</v>
      </c>
      <c r="E1946" s="18">
        <v>0</v>
      </c>
      <c r="F1946" s="18">
        <v>0</v>
      </c>
      <c r="G1946" s="18">
        <f t="shared" ref="G1946:H1946" si="4239">ROUND(G1826*4.5,0)</f>
        <v>1143</v>
      </c>
      <c r="H1946" s="18">
        <f t="shared" si="4239"/>
        <v>9801</v>
      </c>
      <c r="I1946" s="21">
        <f t="shared" si="4068"/>
        <v>385</v>
      </c>
      <c r="J1946" s="21">
        <f t="shared" si="4218"/>
        <v>24</v>
      </c>
      <c r="K1946" s="21">
        <v>0</v>
      </c>
      <c r="L1946" s="20">
        <v>6</v>
      </c>
      <c r="M1946" s="20">
        <v>0</v>
      </c>
      <c r="N1946" s="20">
        <f t="shared" si="4069"/>
        <v>12500</v>
      </c>
      <c r="O1946" s="19" t="s">
        <v>70</v>
      </c>
      <c r="P1946" s="20">
        <v>3100</v>
      </c>
      <c r="Q1946" s="20">
        <f t="shared" ref="Q1946:X1946" si="4240">Q1916</f>
        <v>1250</v>
      </c>
      <c r="R1946" s="20">
        <f t="shared" si="4240"/>
        <v>5000</v>
      </c>
      <c r="S1946" s="20">
        <f t="shared" si="4240"/>
        <v>8750</v>
      </c>
      <c r="T1946" s="20">
        <f t="shared" si="4240"/>
        <v>11250</v>
      </c>
      <c r="U1946" s="20">
        <f t="shared" si="4240"/>
        <v>10</v>
      </c>
      <c r="V1946" s="20">
        <f t="shared" si="4240"/>
        <v>1300</v>
      </c>
      <c r="W1946" s="20">
        <f t="shared" si="4240"/>
        <v>1000</v>
      </c>
      <c r="X1946" s="20">
        <f t="shared" si="4240"/>
        <v>7</v>
      </c>
      <c r="Y1946" s="20">
        <v>0</v>
      </c>
      <c r="Z1946" s="20">
        <v>0</v>
      </c>
      <c r="AA1946" s="20">
        <v>0</v>
      </c>
      <c r="AB1946" s="20">
        <v>0</v>
      </c>
      <c r="AC1946" s="20">
        <v>0</v>
      </c>
      <c r="AD1946" s="23">
        <f t="shared" ref="AD1946:AE1946" si="4241">AD1916</f>
        <v>48</v>
      </c>
      <c r="AE1946" s="23">
        <f t="shared" si="4241"/>
        <v>52</v>
      </c>
    </row>
    <row r="1947" spans="1:31">
      <c r="A1947" s="4">
        <v>16104</v>
      </c>
      <c r="B1947" s="4">
        <v>26</v>
      </c>
      <c r="C1947" s="19" t="s">
        <v>71</v>
      </c>
      <c r="D1947" s="44">
        <v>0</v>
      </c>
      <c r="E1947" s="18">
        <v>0</v>
      </c>
      <c r="F1947" s="18">
        <v>0</v>
      </c>
      <c r="G1947" s="18">
        <f t="shared" ref="G1947:H1947" si="4242">ROUND(G1827*4.5,0)</f>
        <v>1238</v>
      </c>
      <c r="H1947" s="18">
        <f t="shared" si="4242"/>
        <v>10611</v>
      </c>
      <c r="I1947" s="21">
        <f t="shared" si="4068"/>
        <v>385</v>
      </c>
      <c r="J1947" s="21">
        <f t="shared" si="4218"/>
        <v>25</v>
      </c>
      <c r="K1947" s="21">
        <v>0</v>
      </c>
      <c r="L1947" s="20">
        <v>6</v>
      </c>
      <c r="M1947" s="20">
        <v>0</v>
      </c>
      <c r="N1947" s="20">
        <f t="shared" si="4069"/>
        <v>13000</v>
      </c>
      <c r="O1947" s="19" t="s">
        <v>71</v>
      </c>
      <c r="P1947" s="20">
        <v>1777</v>
      </c>
      <c r="Q1947" s="20">
        <f t="shared" ref="Q1947:X1947" si="4243">Q1917</f>
        <v>1300</v>
      </c>
      <c r="R1947" s="20">
        <f t="shared" si="4243"/>
        <v>5200</v>
      </c>
      <c r="S1947" s="20">
        <f t="shared" si="4243"/>
        <v>9100</v>
      </c>
      <c r="T1947" s="20">
        <f t="shared" si="4243"/>
        <v>11700</v>
      </c>
      <c r="U1947" s="20">
        <f t="shared" si="4243"/>
        <v>90</v>
      </c>
      <c r="V1947" s="20">
        <f t="shared" si="4243"/>
        <v>800</v>
      </c>
      <c r="W1947" s="20">
        <f t="shared" si="4243"/>
        <v>2000</v>
      </c>
      <c r="X1947" s="20">
        <f t="shared" si="4243"/>
        <v>7</v>
      </c>
      <c r="Y1947" s="20">
        <v>0</v>
      </c>
      <c r="Z1947" s="20">
        <v>0</v>
      </c>
      <c r="AA1947" s="20">
        <v>0</v>
      </c>
      <c r="AB1947" s="20">
        <f>AB1945</f>
        <v>0</v>
      </c>
      <c r="AC1947" s="20">
        <v>0</v>
      </c>
      <c r="AD1947" s="23">
        <f t="shared" ref="AD1947:AE1947" si="4244">AD1917</f>
        <v>50</v>
      </c>
      <c r="AE1947" s="23">
        <f t="shared" si="4244"/>
        <v>54</v>
      </c>
    </row>
    <row r="1948" spans="1:31">
      <c r="A1948" s="4">
        <v>16104</v>
      </c>
      <c r="B1948" s="4">
        <v>27</v>
      </c>
      <c r="C1948" s="19" t="s">
        <v>72</v>
      </c>
      <c r="D1948" s="44">
        <v>0</v>
      </c>
      <c r="E1948" s="18">
        <v>0</v>
      </c>
      <c r="F1948" s="18">
        <v>0</v>
      </c>
      <c r="G1948" s="18">
        <f t="shared" ref="G1948:H1948" si="4245">ROUND(G1828*4.5,0)</f>
        <v>1341</v>
      </c>
      <c r="H1948" s="18">
        <f t="shared" si="4245"/>
        <v>11489</v>
      </c>
      <c r="I1948" s="21">
        <f t="shared" si="4068"/>
        <v>385</v>
      </c>
      <c r="J1948" s="21">
        <f t="shared" si="4218"/>
        <v>26</v>
      </c>
      <c r="K1948" s="21">
        <v>0</v>
      </c>
      <c r="L1948" s="20">
        <v>6</v>
      </c>
      <c r="M1948" s="20">
        <v>0</v>
      </c>
      <c r="N1948" s="20">
        <f t="shared" si="4069"/>
        <v>13500</v>
      </c>
      <c r="O1948" s="19" t="s">
        <v>72</v>
      </c>
      <c r="P1948" s="20">
        <v>2332</v>
      </c>
      <c r="Q1948" s="20">
        <f t="shared" ref="Q1948:X1948" si="4246">Q1918</f>
        <v>1350</v>
      </c>
      <c r="R1948" s="20">
        <f t="shared" si="4246"/>
        <v>5400</v>
      </c>
      <c r="S1948" s="20">
        <f t="shared" si="4246"/>
        <v>9450</v>
      </c>
      <c r="T1948" s="20">
        <f t="shared" si="4246"/>
        <v>12150</v>
      </c>
      <c r="U1948" s="20">
        <f t="shared" si="4246"/>
        <v>80</v>
      </c>
      <c r="V1948" s="20">
        <f t="shared" si="4246"/>
        <v>700</v>
      </c>
      <c r="W1948" s="20">
        <f t="shared" si="4246"/>
        <v>800</v>
      </c>
      <c r="X1948" s="20">
        <f t="shared" si="4246"/>
        <v>7</v>
      </c>
      <c r="Y1948" s="20">
        <v>0</v>
      </c>
      <c r="Z1948" s="20">
        <v>0</v>
      </c>
      <c r="AA1948" s="20">
        <v>0</v>
      </c>
      <c r="AB1948" s="20">
        <f>AB1946</f>
        <v>0</v>
      </c>
      <c r="AC1948" s="20">
        <v>0</v>
      </c>
      <c r="AD1948" s="23">
        <f t="shared" ref="AD1948:AE1948" si="4247">AD1918</f>
        <v>52</v>
      </c>
      <c r="AE1948" s="23">
        <f t="shared" si="4247"/>
        <v>56</v>
      </c>
    </row>
    <row r="1949" spans="1:31">
      <c r="A1949" s="4">
        <v>16104</v>
      </c>
      <c r="B1949" s="4">
        <v>28</v>
      </c>
      <c r="C1949" s="19" t="s">
        <v>73</v>
      </c>
      <c r="D1949" s="44">
        <v>0</v>
      </c>
      <c r="E1949" s="18">
        <v>0</v>
      </c>
      <c r="F1949" s="18">
        <v>0</v>
      </c>
      <c r="G1949" s="18">
        <f t="shared" ref="G1949:H1949" si="4248">ROUND(G1829*4.5,0)</f>
        <v>1454</v>
      </c>
      <c r="H1949" s="18">
        <f t="shared" si="4248"/>
        <v>12438</v>
      </c>
      <c r="I1949" s="21">
        <f t="shared" si="4068"/>
        <v>385</v>
      </c>
      <c r="J1949" s="21">
        <f t="shared" si="4218"/>
        <v>27</v>
      </c>
      <c r="K1949" s="21">
        <v>0</v>
      </c>
      <c r="L1949" s="20">
        <v>6</v>
      </c>
      <c r="M1949" s="20">
        <v>0</v>
      </c>
      <c r="N1949" s="20">
        <f t="shared" si="4069"/>
        <v>14000</v>
      </c>
      <c r="O1949" s="19" t="s">
        <v>73</v>
      </c>
      <c r="P1949" s="20">
        <v>1487</v>
      </c>
      <c r="Q1949" s="20">
        <f t="shared" ref="Q1949:X1949" si="4249">Q1919</f>
        <v>1400</v>
      </c>
      <c r="R1949" s="20">
        <f t="shared" si="4249"/>
        <v>5600</v>
      </c>
      <c r="S1949" s="20">
        <f t="shared" si="4249"/>
        <v>9800</v>
      </c>
      <c r="T1949" s="20">
        <f t="shared" si="4249"/>
        <v>12600</v>
      </c>
      <c r="U1949" s="20">
        <f t="shared" si="4249"/>
        <v>80</v>
      </c>
      <c r="V1949" s="20">
        <f t="shared" si="4249"/>
        <v>500</v>
      </c>
      <c r="W1949" s="20">
        <f t="shared" si="4249"/>
        <v>600</v>
      </c>
      <c r="X1949" s="20">
        <f t="shared" si="4249"/>
        <v>7</v>
      </c>
      <c r="Y1949" s="20">
        <f>ROUND(D1949*0.25,-1)</f>
        <v>0</v>
      </c>
      <c r="Z1949" s="20">
        <f>ROUND(E1949*0.25,-1)</f>
        <v>0</v>
      </c>
      <c r="AA1949" s="20">
        <f>ROUND(F1949*0.25,-1)</f>
        <v>0</v>
      </c>
      <c r="AB1949" s="20">
        <v>315</v>
      </c>
      <c r="AC1949" s="20">
        <v>0</v>
      </c>
      <c r="AD1949" s="23">
        <f t="shared" ref="AD1949:AE1949" si="4250">AD1919</f>
        <v>54</v>
      </c>
      <c r="AE1949" s="23">
        <f t="shared" si="4250"/>
        <v>58</v>
      </c>
    </row>
    <row r="1950" spans="1:31">
      <c r="A1950" s="4">
        <v>16104</v>
      </c>
      <c r="B1950" s="4">
        <v>29</v>
      </c>
      <c r="C1950" s="19" t="s">
        <v>74</v>
      </c>
      <c r="D1950" s="44">
        <v>0</v>
      </c>
      <c r="E1950" s="18">
        <v>0</v>
      </c>
      <c r="F1950" s="18">
        <v>0</v>
      </c>
      <c r="G1950" s="18">
        <f t="shared" ref="G1950:H1950" si="4251">ROUND(G1830*4.5,0)</f>
        <v>1571</v>
      </c>
      <c r="H1950" s="18">
        <f t="shared" si="4251"/>
        <v>13469</v>
      </c>
      <c r="I1950" s="21">
        <f t="shared" si="4068"/>
        <v>440</v>
      </c>
      <c r="J1950" s="21">
        <f t="shared" si="4218"/>
        <v>28</v>
      </c>
      <c r="K1950" s="21">
        <v>0</v>
      </c>
      <c r="L1950" s="20">
        <v>6</v>
      </c>
      <c r="M1950" s="20">
        <v>0</v>
      </c>
      <c r="N1950" s="20">
        <f t="shared" si="4069"/>
        <v>14500</v>
      </c>
      <c r="O1950" s="19" t="s">
        <v>74</v>
      </c>
      <c r="P1950" s="20">
        <v>1518</v>
      </c>
      <c r="Q1950" s="20">
        <f t="shared" ref="Q1950:X1950" si="4252">Q1920</f>
        <v>1450</v>
      </c>
      <c r="R1950" s="20">
        <f t="shared" si="4252"/>
        <v>5800</v>
      </c>
      <c r="S1950" s="20">
        <f t="shared" si="4252"/>
        <v>10150</v>
      </c>
      <c r="T1950" s="20">
        <f t="shared" si="4252"/>
        <v>13050</v>
      </c>
      <c r="U1950" s="20">
        <f t="shared" si="4252"/>
        <v>80</v>
      </c>
      <c r="V1950" s="20">
        <f t="shared" si="4252"/>
        <v>600</v>
      </c>
      <c r="W1950" s="20">
        <f t="shared" si="4252"/>
        <v>700</v>
      </c>
      <c r="X1950" s="20">
        <f t="shared" si="4252"/>
        <v>8</v>
      </c>
      <c r="Y1950" s="20">
        <v>0</v>
      </c>
      <c r="Z1950" s="20">
        <v>0</v>
      </c>
      <c r="AA1950" s="20">
        <v>0</v>
      </c>
      <c r="AB1950" s="20">
        <v>0</v>
      </c>
      <c r="AC1950" s="20">
        <v>0</v>
      </c>
      <c r="AD1950" s="23">
        <f t="shared" ref="AD1950:AE1950" si="4253">AD1920</f>
        <v>56</v>
      </c>
      <c r="AE1950" s="23">
        <f t="shared" si="4253"/>
        <v>60</v>
      </c>
    </row>
    <row r="1951" spans="1:31">
      <c r="A1951" s="4">
        <v>16104</v>
      </c>
      <c r="B1951" s="4">
        <v>30</v>
      </c>
      <c r="C1951" s="19" t="s">
        <v>75</v>
      </c>
      <c r="D1951" s="44">
        <v>0</v>
      </c>
      <c r="E1951" s="18">
        <v>0</v>
      </c>
      <c r="F1951" s="18">
        <v>0</v>
      </c>
      <c r="G1951" s="18">
        <f t="shared" ref="G1951:H1951" si="4254">ROUND(G1831*4.5,0)</f>
        <v>1701</v>
      </c>
      <c r="H1951" s="18">
        <f t="shared" si="4254"/>
        <v>14580</v>
      </c>
      <c r="I1951" s="21">
        <f t="shared" si="4068"/>
        <v>440</v>
      </c>
      <c r="J1951" s="21">
        <f t="shared" si="4218"/>
        <v>29</v>
      </c>
      <c r="K1951" s="21">
        <v>0</v>
      </c>
      <c r="L1951" s="20">
        <v>6</v>
      </c>
      <c r="M1951" s="20">
        <v>0</v>
      </c>
      <c r="N1951" s="20">
        <f t="shared" si="4069"/>
        <v>15000</v>
      </c>
      <c r="O1951" s="19" t="s">
        <v>75</v>
      </c>
      <c r="P1951" s="20">
        <v>861</v>
      </c>
      <c r="Q1951" s="20">
        <f t="shared" ref="Q1951:X1951" si="4255">Q1921</f>
        <v>1500</v>
      </c>
      <c r="R1951" s="20">
        <f t="shared" si="4255"/>
        <v>6000</v>
      </c>
      <c r="S1951" s="20">
        <f t="shared" si="4255"/>
        <v>10500</v>
      </c>
      <c r="T1951" s="20">
        <f t="shared" si="4255"/>
        <v>13500</v>
      </c>
      <c r="U1951" s="20">
        <f t="shared" si="4255"/>
        <v>20</v>
      </c>
      <c r="V1951" s="20">
        <f t="shared" si="4255"/>
        <v>450</v>
      </c>
      <c r="W1951" s="20">
        <f t="shared" si="4255"/>
        <v>1000</v>
      </c>
      <c r="X1951" s="20">
        <f t="shared" si="4255"/>
        <v>8</v>
      </c>
      <c r="Y1951" s="20">
        <v>0</v>
      </c>
      <c r="Z1951" s="20">
        <v>0</v>
      </c>
      <c r="AA1951" s="20">
        <v>0</v>
      </c>
      <c r="AB1951" s="20">
        <v>0</v>
      </c>
      <c r="AC1951" s="20">
        <v>0</v>
      </c>
      <c r="AD1951" s="23">
        <f t="shared" ref="AD1951:AE1951" si="4256">AD1921</f>
        <v>58</v>
      </c>
      <c r="AE1951" s="23">
        <f t="shared" si="4256"/>
        <v>62</v>
      </c>
    </row>
    <row r="1952" spans="1:31">
      <c r="A1952" s="8">
        <v>17100</v>
      </c>
      <c r="B1952" s="8">
        <v>1</v>
      </c>
      <c r="C1952" s="19" t="s">
        <v>66</v>
      </c>
      <c r="D1952" s="44">
        <v>0</v>
      </c>
      <c r="E1952" s="18">
        <v>0</v>
      </c>
      <c r="F1952" s="18">
        <v>0</v>
      </c>
      <c r="G1952" s="18">
        <f>G1981/10</f>
        <v>63</v>
      </c>
      <c r="H1952" s="45">
        <v>0</v>
      </c>
      <c r="I1952" s="21">
        <f t="shared" si="4068"/>
        <v>55</v>
      </c>
      <c r="J1952" s="21">
        <f t="shared" ref="J1952:J2010" si="4257">B1952-1</f>
        <v>0</v>
      </c>
      <c r="K1952" s="21">
        <v>0</v>
      </c>
      <c r="L1952" s="20">
        <v>45</v>
      </c>
      <c r="M1952" s="20">
        <v>0</v>
      </c>
      <c r="N1952" s="20">
        <f t="shared" si="4069"/>
        <v>10</v>
      </c>
      <c r="O1952" s="19" t="s">
        <v>66</v>
      </c>
      <c r="P1952" s="20">
        <v>9400</v>
      </c>
      <c r="Q1952" s="20">
        <f t="shared" ref="Q1952:X1952" si="4258">Q1922</f>
        <v>1</v>
      </c>
      <c r="R1952" s="20">
        <f t="shared" si="4258"/>
        <v>4</v>
      </c>
      <c r="S1952" s="20">
        <f t="shared" si="4258"/>
        <v>7</v>
      </c>
      <c r="T1952" s="20">
        <f t="shared" si="4258"/>
        <v>9</v>
      </c>
      <c r="U1952" s="20">
        <f t="shared" si="4258"/>
        <v>9400</v>
      </c>
      <c r="V1952" s="20">
        <f t="shared" si="4258"/>
        <v>9400</v>
      </c>
      <c r="W1952" s="20">
        <f t="shared" si="4258"/>
        <v>9400</v>
      </c>
      <c r="X1952" s="20">
        <f t="shared" si="4258"/>
        <v>1</v>
      </c>
      <c r="Y1952" s="20">
        <v>0</v>
      </c>
      <c r="Z1952" s="20">
        <v>0</v>
      </c>
      <c r="AA1952" s="20">
        <v>0</v>
      </c>
      <c r="AB1952" s="20">
        <f>AB1802</f>
        <v>0</v>
      </c>
      <c r="AC1952" s="20">
        <v>0</v>
      </c>
      <c r="AD1952" s="23">
        <f t="shared" ref="AD1952:AE1952" si="4259">AD1922</f>
        <v>1</v>
      </c>
      <c r="AE1952" s="23">
        <f t="shared" si="4259"/>
        <v>3</v>
      </c>
    </row>
    <row r="1953" spans="1:31">
      <c r="A1953" s="4">
        <v>17100</v>
      </c>
      <c r="B1953" s="4">
        <v>2</v>
      </c>
      <c r="C1953" s="19" t="s">
        <v>67</v>
      </c>
      <c r="D1953" s="44">
        <v>0</v>
      </c>
      <c r="E1953" s="18">
        <v>0</v>
      </c>
      <c r="F1953" s="18">
        <v>0</v>
      </c>
      <c r="G1953" s="18">
        <f>ROUND(POWER(POWER(G$1981/G$1952,$B1953-1),1/29)*G$1952,0)</f>
        <v>68</v>
      </c>
      <c r="H1953" s="45">
        <v>0</v>
      </c>
      <c r="I1953" s="21">
        <f t="shared" ref="I1953:I2016" si="4260">I1923</f>
        <v>55</v>
      </c>
      <c r="J1953" s="21">
        <f t="shared" si="4257"/>
        <v>1</v>
      </c>
      <c r="K1953" s="21">
        <v>0</v>
      </c>
      <c r="L1953" s="20">
        <v>40</v>
      </c>
      <c r="M1953" s="20">
        <v>0</v>
      </c>
      <c r="N1953" s="20">
        <f t="shared" ref="N1953:N2016" si="4261">N1923</f>
        <v>20</v>
      </c>
      <c r="O1953" s="19" t="s">
        <v>67</v>
      </c>
      <c r="P1953" s="20">
        <v>9100</v>
      </c>
      <c r="Q1953" s="20">
        <f t="shared" ref="Q1953:X1953" si="4262">Q1923</f>
        <v>2</v>
      </c>
      <c r="R1953" s="20">
        <f t="shared" si="4262"/>
        <v>8</v>
      </c>
      <c r="S1953" s="20">
        <f t="shared" si="4262"/>
        <v>14</v>
      </c>
      <c r="T1953" s="20">
        <f t="shared" si="4262"/>
        <v>18</v>
      </c>
      <c r="U1953" s="20">
        <f t="shared" si="4262"/>
        <v>4000</v>
      </c>
      <c r="V1953" s="20">
        <f t="shared" si="4262"/>
        <v>8000</v>
      </c>
      <c r="W1953" s="20">
        <f t="shared" si="4262"/>
        <v>8000</v>
      </c>
      <c r="X1953" s="20">
        <f t="shared" si="4262"/>
        <v>1</v>
      </c>
      <c r="Y1953" s="20">
        <v>0</v>
      </c>
      <c r="Z1953" s="20">
        <v>0</v>
      </c>
      <c r="AA1953" s="20">
        <v>0</v>
      </c>
      <c r="AB1953" s="20">
        <f t="shared" ref="AB1953:AB2016" si="4263">AB1803</f>
        <v>0</v>
      </c>
      <c r="AC1953" s="20">
        <v>0</v>
      </c>
      <c r="AD1953" s="23">
        <f t="shared" ref="AD1953:AE1953" si="4264">AD1923</f>
        <v>2</v>
      </c>
      <c r="AE1953" s="23">
        <f t="shared" si="4264"/>
        <v>5</v>
      </c>
    </row>
    <row r="1954" spans="1:31">
      <c r="A1954" s="4">
        <v>17100</v>
      </c>
      <c r="B1954" s="4">
        <v>3</v>
      </c>
      <c r="C1954" s="19" t="s">
        <v>68</v>
      </c>
      <c r="D1954" s="44">
        <v>0</v>
      </c>
      <c r="E1954" s="18">
        <v>0</v>
      </c>
      <c r="F1954" s="18">
        <v>0</v>
      </c>
      <c r="G1954" s="18">
        <f t="shared" ref="G1954:G1980" si="4265">ROUND(POWER(POWER(G$1981/G$1952,$B1954-1),1/29)*G$1952,0)</f>
        <v>74</v>
      </c>
      <c r="H1954" s="45">
        <v>0</v>
      </c>
      <c r="I1954" s="21">
        <f t="shared" si="4260"/>
        <v>55</v>
      </c>
      <c r="J1954" s="21">
        <f t="shared" si="4257"/>
        <v>2</v>
      </c>
      <c r="K1954" s="21">
        <v>0</v>
      </c>
      <c r="L1954" s="20">
        <v>35</v>
      </c>
      <c r="M1954" s="20">
        <v>0</v>
      </c>
      <c r="N1954" s="20">
        <f t="shared" si="4261"/>
        <v>40</v>
      </c>
      <c r="O1954" s="19" t="s">
        <v>68</v>
      </c>
      <c r="P1954" s="20">
        <v>8600</v>
      </c>
      <c r="Q1954" s="20">
        <f t="shared" ref="Q1954:X1954" si="4266">Q1924</f>
        <v>4</v>
      </c>
      <c r="R1954" s="20">
        <f t="shared" si="4266"/>
        <v>16</v>
      </c>
      <c r="S1954" s="20">
        <f t="shared" si="4266"/>
        <v>28</v>
      </c>
      <c r="T1954" s="20">
        <f t="shared" si="4266"/>
        <v>36</v>
      </c>
      <c r="U1954" s="20">
        <f t="shared" si="4266"/>
        <v>1600</v>
      </c>
      <c r="V1954" s="20">
        <f t="shared" si="4266"/>
        <v>5000</v>
      </c>
      <c r="W1954" s="20">
        <f t="shared" si="4266"/>
        <v>6000</v>
      </c>
      <c r="X1954" s="20">
        <f t="shared" si="4266"/>
        <v>1</v>
      </c>
      <c r="Y1954" s="20">
        <v>0</v>
      </c>
      <c r="Z1954" s="20">
        <v>0</v>
      </c>
      <c r="AA1954" s="20">
        <v>0</v>
      </c>
      <c r="AB1954" s="20">
        <f t="shared" si="4263"/>
        <v>0</v>
      </c>
      <c r="AC1954" s="20">
        <v>0</v>
      </c>
      <c r="AD1954" s="23">
        <f t="shared" ref="AD1954:AE1954" si="4267">AD1924</f>
        <v>4</v>
      </c>
      <c r="AE1954" s="23">
        <f t="shared" si="4267"/>
        <v>8</v>
      </c>
    </row>
    <row r="1955" spans="1:31">
      <c r="A1955" s="4">
        <v>17100</v>
      </c>
      <c r="B1955" s="4">
        <v>4</v>
      </c>
      <c r="C1955" s="19" t="s">
        <v>69</v>
      </c>
      <c r="D1955" s="44">
        <v>0</v>
      </c>
      <c r="E1955" s="18">
        <v>0</v>
      </c>
      <c r="F1955" s="18">
        <v>0</v>
      </c>
      <c r="G1955" s="18">
        <f t="shared" si="4265"/>
        <v>80</v>
      </c>
      <c r="H1955" s="45">
        <v>0</v>
      </c>
      <c r="I1955" s="21">
        <f t="shared" si="4260"/>
        <v>55</v>
      </c>
      <c r="J1955" s="21">
        <f t="shared" si="4257"/>
        <v>3</v>
      </c>
      <c r="K1955" s="21">
        <v>0</v>
      </c>
      <c r="L1955" s="20">
        <v>30</v>
      </c>
      <c r="M1955" s="20">
        <v>0</v>
      </c>
      <c r="N1955" s="20">
        <f t="shared" si="4261"/>
        <v>100</v>
      </c>
      <c r="O1955" s="19" t="s">
        <v>69</v>
      </c>
      <c r="P1955" s="20">
        <v>6400</v>
      </c>
      <c r="Q1955" s="20">
        <f t="shared" ref="Q1955:X1955" si="4268">Q1925</f>
        <v>10</v>
      </c>
      <c r="R1955" s="20">
        <f t="shared" si="4268"/>
        <v>40</v>
      </c>
      <c r="S1955" s="20">
        <f t="shared" si="4268"/>
        <v>70</v>
      </c>
      <c r="T1955" s="20">
        <f t="shared" si="4268"/>
        <v>90</v>
      </c>
      <c r="U1955" s="20">
        <f t="shared" si="4268"/>
        <v>900</v>
      </c>
      <c r="V1955" s="20">
        <f t="shared" si="4268"/>
        <v>2000</v>
      </c>
      <c r="W1955" s="20">
        <f t="shared" si="4268"/>
        <v>8000</v>
      </c>
      <c r="X1955" s="20">
        <f t="shared" si="4268"/>
        <v>1</v>
      </c>
      <c r="Y1955" s="20">
        <v>0</v>
      </c>
      <c r="Z1955" s="20">
        <v>0</v>
      </c>
      <c r="AA1955" s="20">
        <v>0</v>
      </c>
      <c r="AB1955" s="20">
        <f t="shared" si="4263"/>
        <v>0</v>
      </c>
      <c r="AC1955" s="20">
        <v>0</v>
      </c>
      <c r="AD1955" s="23">
        <f t="shared" ref="AD1955:AE1955" si="4269">AD1925</f>
        <v>6</v>
      </c>
      <c r="AE1955" s="23">
        <f t="shared" si="4269"/>
        <v>10</v>
      </c>
    </row>
    <row r="1956" spans="1:31">
      <c r="A1956" s="4">
        <v>17100</v>
      </c>
      <c r="B1956" s="4">
        <v>5</v>
      </c>
      <c r="C1956" s="19" t="s">
        <v>70</v>
      </c>
      <c r="D1956" s="44">
        <v>0</v>
      </c>
      <c r="E1956" s="18">
        <v>0</v>
      </c>
      <c r="F1956" s="18">
        <v>0</v>
      </c>
      <c r="G1956" s="18">
        <f t="shared" si="4265"/>
        <v>87</v>
      </c>
      <c r="H1956" s="45">
        <v>0</v>
      </c>
      <c r="I1956" s="21">
        <f t="shared" si="4260"/>
        <v>110</v>
      </c>
      <c r="J1956" s="21">
        <f t="shared" si="4257"/>
        <v>4</v>
      </c>
      <c r="K1956" s="21">
        <v>0</v>
      </c>
      <c r="L1956" s="20">
        <v>25</v>
      </c>
      <c r="M1956" s="20">
        <v>0</v>
      </c>
      <c r="N1956" s="20">
        <f t="shared" si="4261"/>
        <v>200</v>
      </c>
      <c r="O1956" s="19" t="s">
        <v>70</v>
      </c>
      <c r="P1956" s="20">
        <v>3100</v>
      </c>
      <c r="Q1956" s="20">
        <f t="shared" ref="Q1956:X1956" si="4270">Q1926</f>
        <v>20</v>
      </c>
      <c r="R1956" s="20">
        <f t="shared" si="4270"/>
        <v>80</v>
      </c>
      <c r="S1956" s="20">
        <f t="shared" si="4270"/>
        <v>140</v>
      </c>
      <c r="T1956" s="20">
        <f t="shared" si="4270"/>
        <v>180</v>
      </c>
      <c r="U1956" s="20">
        <f t="shared" si="4270"/>
        <v>1000</v>
      </c>
      <c r="V1956" s="20">
        <f t="shared" si="4270"/>
        <v>2000</v>
      </c>
      <c r="W1956" s="20">
        <f t="shared" si="4270"/>
        <v>2000</v>
      </c>
      <c r="X1956" s="20">
        <f t="shared" si="4270"/>
        <v>2</v>
      </c>
      <c r="Y1956" s="20">
        <v>0</v>
      </c>
      <c r="Z1956" s="20">
        <v>0</v>
      </c>
      <c r="AA1956" s="20">
        <v>0</v>
      </c>
      <c r="AB1956" s="20">
        <f t="shared" si="4263"/>
        <v>0</v>
      </c>
      <c r="AC1956" s="20">
        <v>0</v>
      </c>
      <c r="AD1956" s="23">
        <f t="shared" ref="AD1956:AE1956" si="4271">AD1926</f>
        <v>8</v>
      </c>
      <c r="AE1956" s="23">
        <f t="shared" si="4271"/>
        <v>12</v>
      </c>
    </row>
    <row r="1957" spans="1:31">
      <c r="A1957" s="4">
        <v>17100</v>
      </c>
      <c r="B1957" s="4">
        <v>6</v>
      </c>
      <c r="C1957" s="19" t="s">
        <v>71</v>
      </c>
      <c r="D1957" s="44">
        <v>0</v>
      </c>
      <c r="E1957" s="18">
        <v>0</v>
      </c>
      <c r="F1957" s="18">
        <v>0</v>
      </c>
      <c r="G1957" s="18">
        <f t="shared" si="4265"/>
        <v>94</v>
      </c>
      <c r="H1957" s="45">
        <v>0</v>
      </c>
      <c r="I1957" s="21">
        <f t="shared" si="4260"/>
        <v>110</v>
      </c>
      <c r="J1957" s="21">
        <f t="shared" si="4257"/>
        <v>5</v>
      </c>
      <c r="K1957" s="21">
        <v>0</v>
      </c>
      <c r="L1957" s="20">
        <v>20</v>
      </c>
      <c r="M1957" s="20">
        <v>0</v>
      </c>
      <c r="N1957" s="20">
        <f t="shared" si="4261"/>
        <v>500</v>
      </c>
      <c r="O1957" s="19" t="s">
        <v>71</v>
      </c>
      <c r="P1957" s="20">
        <v>1777</v>
      </c>
      <c r="Q1957" s="20">
        <f t="shared" ref="Q1957:X1957" si="4272">Q1927</f>
        <v>50</v>
      </c>
      <c r="R1957" s="20">
        <f t="shared" si="4272"/>
        <v>200</v>
      </c>
      <c r="S1957" s="20">
        <f t="shared" si="4272"/>
        <v>350</v>
      </c>
      <c r="T1957" s="20">
        <f t="shared" si="4272"/>
        <v>450</v>
      </c>
      <c r="U1957" s="20">
        <f t="shared" si="4272"/>
        <v>800</v>
      </c>
      <c r="V1957" s="20">
        <f t="shared" si="4272"/>
        <v>800</v>
      </c>
      <c r="W1957" s="20">
        <f t="shared" si="4272"/>
        <v>600</v>
      </c>
      <c r="X1957" s="20">
        <f t="shared" si="4272"/>
        <v>2</v>
      </c>
      <c r="Y1957" s="20">
        <v>0</v>
      </c>
      <c r="Z1957" s="20">
        <v>0</v>
      </c>
      <c r="AA1957" s="20">
        <v>0</v>
      </c>
      <c r="AB1957" s="20">
        <f t="shared" si="4263"/>
        <v>0</v>
      </c>
      <c r="AC1957" s="20">
        <v>0</v>
      </c>
      <c r="AD1957" s="23">
        <f t="shared" ref="AD1957:AE1957" si="4273">AD1927</f>
        <v>10</v>
      </c>
      <c r="AE1957" s="23">
        <f t="shared" si="4273"/>
        <v>14</v>
      </c>
    </row>
    <row r="1958" spans="1:31">
      <c r="A1958" s="4">
        <v>17100</v>
      </c>
      <c r="B1958" s="4">
        <v>7</v>
      </c>
      <c r="C1958" s="19" t="s">
        <v>72</v>
      </c>
      <c r="D1958" s="44">
        <v>0</v>
      </c>
      <c r="E1958" s="18">
        <v>0</v>
      </c>
      <c r="F1958" s="18">
        <v>0</v>
      </c>
      <c r="G1958" s="18">
        <f t="shared" si="4265"/>
        <v>101</v>
      </c>
      <c r="H1958" s="45">
        <v>0</v>
      </c>
      <c r="I1958" s="21">
        <f t="shared" si="4260"/>
        <v>110</v>
      </c>
      <c r="J1958" s="21">
        <f t="shared" si="4257"/>
        <v>6</v>
      </c>
      <c r="K1958" s="21">
        <v>0</v>
      </c>
      <c r="L1958" s="20">
        <v>16</v>
      </c>
      <c r="M1958" s="20">
        <v>0</v>
      </c>
      <c r="N1958" s="20">
        <f t="shared" si="4261"/>
        <v>700</v>
      </c>
      <c r="O1958" s="19" t="s">
        <v>72</v>
      </c>
      <c r="P1958" s="20">
        <v>2332</v>
      </c>
      <c r="Q1958" s="20">
        <f t="shared" ref="Q1958:X1958" si="4274">Q1928</f>
        <v>70</v>
      </c>
      <c r="R1958" s="20">
        <f t="shared" si="4274"/>
        <v>280</v>
      </c>
      <c r="S1958" s="20">
        <f t="shared" si="4274"/>
        <v>489.99999999999994</v>
      </c>
      <c r="T1958" s="20">
        <f t="shared" si="4274"/>
        <v>630</v>
      </c>
      <c r="U1958" s="20">
        <f t="shared" si="4274"/>
        <v>650</v>
      </c>
      <c r="V1958" s="20">
        <f t="shared" si="4274"/>
        <v>800</v>
      </c>
      <c r="W1958" s="20">
        <f t="shared" si="4274"/>
        <v>300</v>
      </c>
      <c r="X1958" s="20">
        <f t="shared" si="4274"/>
        <v>2</v>
      </c>
      <c r="Y1958" s="20">
        <v>0</v>
      </c>
      <c r="Z1958" s="20">
        <v>0</v>
      </c>
      <c r="AA1958" s="20">
        <v>0</v>
      </c>
      <c r="AB1958" s="20">
        <f t="shared" si="4263"/>
        <v>0</v>
      </c>
      <c r="AC1958" s="20">
        <v>0</v>
      </c>
      <c r="AD1958" s="23">
        <f t="shared" ref="AD1958:AE1958" si="4275">AD1928</f>
        <v>12</v>
      </c>
      <c r="AE1958" s="23">
        <f t="shared" si="4275"/>
        <v>16</v>
      </c>
    </row>
    <row r="1959" spans="1:31">
      <c r="A1959" s="4">
        <v>17100</v>
      </c>
      <c r="B1959" s="4">
        <v>8</v>
      </c>
      <c r="C1959" s="19" t="s">
        <v>73</v>
      </c>
      <c r="D1959" s="44">
        <v>0</v>
      </c>
      <c r="E1959" s="18">
        <v>0</v>
      </c>
      <c r="F1959" s="18">
        <v>0</v>
      </c>
      <c r="G1959" s="18">
        <f t="shared" si="4265"/>
        <v>110</v>
      </c>
      <c r="H1959" s="45">
        <v>0</v>
      </c>
      <c r="I1959" s="21">
        <f t="shared" si="4260"/>
        <v>110</v>
      </c>
      <c r="J1959" s="21">
        <f t="shared" si="4257"/>
        <v>7</v>
      </c>
      <c r="K1959" s="21">
        <v>0</v>
      </c>
      <c r="L1959" s="20">
        <v>12</v>
      </c>
      <c r="M1959" s="20">
        <v>0</v>
      </c>
      <c r="N1959" s="20">
        <f t="shared" si="4261"/>
        <v>800</v>
      </c>
      <c r="O1959" s="19" t="s">
        <v>73</v>
      </c>
      <c r="P1959" s="20">
        <v>1487</v>
      </c>
      <c r="Q1959" s="20">
        <f t="shared" ref="Q1959:X1959" si="4276">Q1929</f>
        <v>80</v>
      </c>
      <c r="R1959" s="20">
        <f t="shared" si="4276"/>
        <v>320</v>
      </c>
      <c r="S1959" s="20">
        <f t="shared" si="4276"/>
        <v>560</v>
      </c>
      <c r="T1959" s="20">
        <f t="shared" si="4276"/>
        <v>720</v>
      </c>
      <c r="U1959" s="20">
        <f t="shared" si="4276"/>
        <v>200</v>
      </c>
      <c r="V1959" s="20">
        <f t="shared" si="4276"/>
        <v>2000</v>
      </c>
      <c r="W1959" s="20">
        <f t="shared" si="4276"/>
        <v>1000</v>
      </c>
      <c r="X1959" s="20">
        <f t="shared" si="4276"/>
        <v>2</v>
      </c>
      <c r="Y1959" s="20">
        <f>ROUND(D1959*0.25,-1)</f>
        <v>0</v>
      </c>
      <c r="Z1959" s="20">
        <f>ROUND(E1959*0.25,-1)</f>
        <v>0</v>
      </c>
      <c r="AA1959" s="20">
        <f>ROUND(F1959*0.25,-1)</f>
        <v>0</v>
      </c>
      <c r="AB1959" s="20">
        <f t="shared" si="4263"/>
        <v>37</v>
      </c>
      <c r="AC1959" s="20">
        <f>ROUND(H1959*0.25,-1)</f>
        <v>0</v>
      </c>
      <c r="AD1959" s="23">
        <f t="shared" ref="AD1959:AE1959" si="4277">AD1929</f>
        <v>14</v>
      </c>
      <c r="AE1959" s="23">
        <f t="shared" si="4277"/>
        <v>18</v>
      </c>
    </row>
    <row r="1960" spans="1:31">
      <c r="A1960" s="4">
        <v>17100</v>
      </c>
      <c r="B1960" s="4">
        <v>9</v>
      </c>
      <c r="C1960" s="19" t="s">
        <v>74</v>
      </c>
      <c r="D1960" s="44">
        <v>0</v>
      </c>
      <c r="E1960" s="18">
        <v>0</v>
      </c>
      <c r="F1960" s="18">
        <v>0</v>
      </c>
      <c r="G1960" s="18">
        <f t="shared" si="4265"/>
        <v>119</v>
      </c>
      <c r="H1960" s="45">
        <v>0</v>
      </c>
      <c r="I1960" s="21">
        <f t="shared" si="4260"/>
        <v>165</v>
      </c>
      <c r="J1960" s="21">
        <f t="shared" si="4257"/>
        <v>8</v>
      </c>
      <c r="K1960" s="21">
        <v>0</v>
      </c>
      <c r="L1960" s="20">
        <v>8</v>
      </c>
      <c r="M1960" s="20">
        <v>0</v>
      </c>
      <c r="N1960" s="20">
        <f t="shared" si="4261"/>
        <v>900</v>
      </c>
      <c r="O1960" s="19" t="s">
        <v>74</v>
      </c>
      <c r="P1960" s="20">
        <v>1518</v>
      </c>
      <c r="Q1960" s="20">
        <f t="shared" ref="Q1960:X1960" si="4278">Q1930</f>
        <v>90</v>
      </c>
      <c r="R1960" s="20">
        <f t="shared" si="4278"/>
        <v>360</v>
      </c>
      <c r="S1960" s="20">
        <f t="shared" si="4278"/>
        <v>630</v>
      </c>
      <c r="T1960" s="20">
        <f t="shared" si="4278"/>
        <v>810</v>
      </c>
      <c r="U1960" s="20">
        <f t="shared" si="4278"/>
        <v>120</v>
      </c>
      <c r="V1960" s="20">
        <f t="shared" si="4278"/>
        <v>1500</v>
      </c>
      <c r="W1960" s="20">
        <f t="shared" si="4278"/>
        <v>1000</v>
      </c>
      <c r="X1960" s="20">
        <f t="shared" si="4278"/>
        <v>3</v>
      </c>
      <c r="Y1960" s="20">
        <v>0</v>
      </c>
      <c r="Z1960" s="20">
        <v>0</v>
      </c>
      <c r="AA1960" s="20">
        <v>0</v>
      </c>
      <c r="AB1960" s="20">
        <f t="shared" si="4263"/>
        <v>0</v>
      </c>
      <c r="AC1960" s="20">
        <v>0</v>
      </c>
      <c r="AD1960" s="23">
        <f t="shared" ref="AD1960:AE1960" si="4279">AD1930</f>
        <v>16</v>
      </c>
      <c r="AE1960" s="23">
        <f t="shared" si="4279"/>
        <v>20</v>
      </c>
    </row>
    <row r="1961" spans="1:31">
      <c r="A1961" s="4">
        <v>17100</v>
      </c>
      <c r="B1961" s="4">
        <v>10</v>
      </c>
      <c r="C1961" s="19" t="s">
        <v>75</v>
      </c>
      <c r="D1961" s="44">
        <v>0</v>
      </c>
      <c r="E1961" s="18">
        <v>0</v>
      </c>
      <c r="F1961" s="18">
        <v>0</v>
      </c>
      <c r="G1961" s="18">
        <f t="shared" si="4265"/>
        <v>129</v>
      </c>
      <c r="H1961" s="45">
        <v>0</v>
      </c>
      <c r="I1961" s="21">
        <f t="shared" si="4260"/>
        <v>165</v>
      </c>
      <c r="J1961" s="21">
        <f t="shared" si="4257"/>
        <v>9</v>
      </c>
      <c r="K1961" s="21">
        <v>0</v>
      </c>
      <c r="L1961" s="20">
        <v>6</v>
      </c>
      <c r="M1961" s="20">
        <v>0</v>
      </c>
      <c r="N1961" s="20">
        <f t="shared" si="4261"/>
        <v>2000</v>
      </c>
      <c r="O1961" s="19" t="s">
        <v>75</v>
      </c>
      <c r="P1961" s="20">
        <v>861</v>
      </c>
      <c r="Q1961" s="20">
        <f t="shared" ref="Q1961:X1961" si="4280">Q1931</f>
        <v>200</v>
      </c>
      <c r="R1961" s="20">
        <f t="shared" si="4280"/>
        <v>800</v>
      </c>
      <c r="S1961" s="20">
        <f t="shared" si="4280"/>
        <v>1400</v>
      </c>
      <c r="T1961" s="20">
        <f t="shared" si="4280"/>
        <v>1800</v>
      </c>
      <c r="U1961" s="20">
        <f t="shared" si="4280"/>
        <v>150</v>
      </c>
      <c r="V1961" s="20">
        <f t="shared" si="4280"/>
        <v>5000</v>
      </c>
      <c r="W1961" s="20">
        <f t="shared" si="4280"/>
        <v>800</v>
      </c>
      <c r="X1961" s="20">
        <f t="shared" si="4280"/>
        <v>3</v>
      </c>
      <c r="Y1961" s="20">
        <v>0</v>
      </c>
      <c r="Z1961" s="20">
        <v>0</v>
      </c>
      <c r="AA1961" s="20">
        <v>0</v>
      </c>
      <c r="AB1961" s="20">
        <f t="shared" si="4263"/>
        <v>0</v>
      </c>
      <c r="AC1961" s="20">
        <v>0</v>
      </c>
      <c r="AD1961" s="23">
        <f t="shared" ref="AD1961:AE1961" si="4281">AD1931</f>
        <v>18</v>
      </c>
      <c r="AE1961" s="23">
        <f t="shared" si="4281"/>
        <v>22</v>
      </c>
    </row>
    <row r="1962" spans="1:31">
      <c r="A1962" s="4">
        <v>17100</v>
      </c>
      <c r="B1962" s="4">
        <v>11</v>
      </c>
      <c r="C1962" s="19" t="s">
        <v>66</v>
      </c>
      <c r="D1962" s="44">
        <v>0</v>
      </c>
      <c r="E1962" s="18">
        <v>0</v>
      </c>
      <c r="F1962" s="18">
        <v>0</v>
      </c>
      <c r="G1962" s="18">
        <f t="shared" si="4265"/>
        <v>139</v>
      </c>
      <c r="H1962" s="45">
        <v>0</v>
      </c>
      <c r="I1962" s="21">
        <f t="shared" si="4260"/>
        <v>165</v>
      </c>
      <c r="J1962" s="21">
        <f t="shared" si="4257"/>
        <v>10</v>
      </c>
      <c r="K1962" s="21">
        <v>0</v>
      </c>
      <c r="L1962" s="20">
        <v>6</v>
      </c>
      <c r="M1962" s="20">
        <v>0</v>
      </c>
      <c r="N1962" s="20">
        <f t="shared" si="4261"/>
        <v>2200</v>
      </c>
      <c r="O1962" s="19" t="s">
        <v>66</v>
      </c>
      <c r="P1962" s="20">
        <v>9400</v>
      </c>
      <c r="Q1962" s="20">
        <f t="shared" ref="Q1962:X1962" si="4282">Q1932</f>
        <v>220</v>
      </c>
      <c r="R1962" s="20">
        <f t="shared" si="4282"/>
        <v>880</v>
      </c>
      <c r="S1962" s="20">
        <f t="shared" si="4282"/>
        <v>1540</v>
      </c>
      <c r="T1962" s="20">
        <f t="shared" si="4282"/>
        <v>1980</v>
      </c>
      <c r="U1962" s="20">
        <f t="shared" si="4282"/>
        <v>100</v>
      </c>
      <c r="V1962" s="20">
        <f t="shared" si="4282"/>
        <v>800</v>
      </c>
      <c r="W1962" s="20">
        <f t="shared" si="4282"/>
        <v>600</v>
      </c>
      <c r="X1962" s="20">
        <f t="shared" si="4282"/>
        <v>3</v>
      </c>
      <c r="Y1962" s="20">
        <v>0</v>
      </c>
      <c r="Z1962" s="20">
        <v>0</v>
      </c>
      <c r="AA1962" s="20">
        <v>0</v>
      </c>
      <c r="AB1962" s="20">
        <f t="shared" si="4263"/>
        <v>0</v>
      </c>
      <c r="AC1962" s="20">
        <v>0</v>
      </c>
      <c r="AD1962" s="23">
        <f t="shared" ref="AD1962:AE1962" si="4283">AD1932</f>
        <v>20</v>
      </c>
      <c r="AE1962" s="23">
        <f t="shared" si="4283"/>
        <v>24</v>
      </c>
    </row>
    <row r="1963" spans="1:31">
      <c r="A1963" s="4">
        <v>17100</v>
      </c>
      <c r="B1963" s="4">
        <v>12</v>
      </c>
      <c r="C1963" s="19" t="s">
        <v>67</v>
      </c>
      <c r="D1963" s="44">
        <v>0</v>
      </c>
      <c r="E1963" s="18">
        <v>0</v>
      </c>
      <c r="F1963" s="18">
        <v>0</v>
      </c>
      <c r="G1963" s="18">
        <f t="shared" si="4265"/>
        <v>151</v>
      </c>
      <c r="H1963" s="45">
        <v>0</v>
      </c>
      <c r="I1963" s="21">
        <f t="shared" si="4260"/>
        <v>165</v>
      </c>
      <c r="J1963" s="21">
        <f t="shared" si="4257"/>
        <v>11</v>
      </c>
      <c r="K1963" s="21">
        <v>0</v>
      </c>
      <c r="L1963" s="20">
        <v>6</v>
      </c>
      <c r="M1963" s="20">
        <v>0</v>
      </c>
      <c r="N1963" s="20">
        <f t="shared" si="4261"/>
        <v>2400</v>
      </c>
      <c r="O1963" s="19" t="s">
        <v>67</v>
      </c>
      <c r="P1963" s="20">
        <v>9100</v>
      </c>
      <c r="Q1963" s="20">
        <f t="shared" ref="Q1963:X1963" si="4284">Q1933</f>
        <v>240</v>
      </c>
      <c r="R1963" s="20">
        <f t="shared" si="4284"/>
        <v>960</v>
      </c>
      <c r="S1963" s="20">
        <f t="shared" si="4284"/>
        <v>1680</v>
      </c>
      <c r="T1963" s="20">
        <f t="shared" si="4284"/>
        <v>2160</v>
      </c>
      <c r="U1963" s="20">
        <f t="shared" si="4284"/>
        <v>150</v>
      </c>
      <c r="V1963" s="20">
        <f t="shared" si="4284"/>
        <v>700</v>
      </c>
      <c r="W1963" s="20">
        <f t="shared" si="4284"/>
        <v>900</v>
      </c>
      <c r="X1963" s="20">
        <f t="shared" si="4284"/>
        <v>3</v>
      </c>
      <c r="Y1963" s="20">
        <v>0</v>
      </c>
      <c r="Z1963" s="20">
        <v>0</v>
      </c>
      <c r="AA1963" s="20">
        <v>0</v>
      </c>
      <c r="AB1963" s="20">
        <f t="shared" si="4263"/>
        <v>0</v>
      </c>
      <c r="AC1963" s="20">
        <v>0</v>
      </c>
      <c r="AD1963" s="23">
        <f t="shared" ref="AD1963:AE1963" si="4285">AD1933</f>
        <v>22</v>
      </c>
      <c r="AE1963" s="23">
        <f t="shared" si="4285"/>
        <v>26</v>
      </c>
    </row>
    <row r="1964" spans="1:31">
      <c r="A1964" s="4">
        <v>17100</v>
      </c>
      <c r="B1964" s="4">
        <v>13</v>
      </c>
      <c r="C1964" s="19" t="s">
        <v>68</v>
      </c>
      <c r="D1964" s="44">
        <v>0</v>
      </c>
      <c r="E1964" s="18">
        <v>0</v>
      </c>
      <c r="F1964" s="18">
        <v>0</v>
      </c>
      <c r="G1964" s="18">
        <f t="shared" si="4265"/>
        <v>163</v>
      </c>
      <c r="H1964" s="45">
        <v>0</v>
      </c>
      <c r="I1964" s="21">
        <f t="shared" si="4260"/>
        <v>220</v>
      </c>
      <c r="J1964" s="21">
        <f t="shared" si="4257"/>
        <v>12</v>
      </c>
      <c r="K1964" s="21">
        <v>0</v>
      </c>
      <c r="L1964" s="20">
        <v>6</v>
      </c>
      <c r="M1964" s="20">
        <v>0</v>
      </c>
      <c r="N1964" s="20">
        <f t="shared" si="4261"/>
        <v>2600</v>
      </c>
      <c r="O1964" s="19" t="s">
        <v>68</v>
      </c>
      <c r="P1964" s="20">
        <v>8600</v>
      </c>
      <c r="Q1964" s="20">
        <f t="shared" ref="Q1964:X1964" si="4286">Q1934</f>
        <v>260</v>
      </c>
      <c r="R1964" s="20">
        <f t="shared" si="4286"/>
        <v>1040</v>
      </c>
      <c r="S1964" s="20">
        <f t="shared" si="4286"/>
        <v>1819.9999999999998</v>
      </c>
      <c r="T1964" s="20">
        <f t="shared" si="4286"/>
        <v>2340</v>
      </c>
      <c r="U1964" s="20">
        <f t="shared" si="4286"/>
        <v>100</v>
      </c>
      <c r="V1964" s="20">
        <f t="shared" si="4286"/>
        <v>700</v>
      </c>
      <c r="W1964" s="20">
        <f t="shared" si="4286"/>
        <v>1000</v>
      </c>
      <c r="X1964" s="20">
        <f t="shared" si="4286"/>
        <v>4</v>
      </c>
      <c r="Y1964" s="20">
        <f>ROUND(D1964*0.25,-1)</f>
        <v>0</v>
      </c>
      <c r="Z1964" s="20">
        <f>ROUND(E1964*0.25,-1)</f>
        <v>0</v>
      </c>
      <c r="AA1964" s="20">
        <f>ROUND(F1964*0.25,-1)</f>
        <v>0</v>
      </c>
      <c r="AB1964" s="20">
        <f t="shared" si="4263"/>
        <v>75</v>
      </c>
      <c r="AC1964" s="20">
        <f>ROUND(H1964*0.25,-1)</f>
        <v>0</v>
      </c>
      <c r="AD1964" s="23">
        <f t="shared" ref="AD1964:AE1964" si="4287">AD1934</f>
        <v>24</v>
      </c>
      <c r="AE1964" s="23">
        <f t="shared" si="4287"/>
        <v>28</v>
      </c>
    </row>
    <row r="1965" spans="1:31">
      <c r="A1965" s="4">
        <v>17100</v>
      </c>
      <c r="B1965" s="4">
        <v>14</v>
      </c>
      <c r="C1965" s="19" t="s">
        <v>69</v>
      </c>
      <c r="D1965" s="44">
        <v>0</v>
      </c>
      <c r="E1965" s="18">
        <v>0</v>
      </c>
      <c r="F1965" s="18">
        <v>0</v>
      </c>
      <c r="G1965" s="18">
        <f t="shared" si="4265"/>
        <v>177</v>
      </c>
      <c r="H1965" s="45">
        <v>0</v>
      </c>
      <c r="I1965" s="21">
        <f t="shared" si="4260"/>
        <v>220</v>
      </c>
      <c r="J1965" s="21">
        <f t="shared" si="4257"/>
        <v>13</v>
      </c>
      <c r="K1965" s="21">
        <v>0</v>
      </c>
      <c r="L1965" s="20">
        <v>6</v>
      </c>
      <c r="M1965" s="20">
        <v>0</v>
      </c>
      <c r="N1965" s="20">
        <f t="shared" si="4261"/>
        <v>2800</v>
      </c>
      <c r="O1965" s="19" t="s">
        <v>69</v>
      </c>
      <c r="P1965" s="20">
        <v>6400</v>
      </c>
      <c r="Q1965" s="20">
        <f t="shared" ref="Q1965:X1965" si="4288">Q1935</f>
        <v>280</v>
      </c>
      <c r="R1965" s="20">
        <f t="shared" si="4288"/>
        <v>1120</v>
      </c>
      <c r="S1965" s="20">
        <f t="shared" si="4288"/>
        <v>1959.9999999999998</v>
      </c>
      <c r="T1965" s="20">
        <f t="shared" si="4288"/>
        <v>2520</v>
      </c>
      <c r="U1965" s="20">
        <f t="shared" si="4288"/>
        <v>100</v>
      </c>
      <c r="V1965" s="20">
        <f t="shared" si="4288"/>
        <v>400</v>
      </c>
      <c r="W1965" s="20">
        <f t="shared" si="4288"/>
        <v>1200</v>
      </c>
      <c r="X1965" s="20">
        <f t="shared" si="4288"/>
        <v>4</v>
      </c>
      <c r="Y1965" s="20">
        <v>0</v>
      </c>
      <c r="Z1965" s="20">
        <v>0</v>
      </c>
      <c r="AA1965" s="20">
        <v>0</v>
      </c>
      <c r="AB1965" s="20">
        <f t="shared" si="4263"/>
        <v>0</v>
      </c>
      <c r="AC1965" s="20">
        <v>0</v>
      </c>
      <c r="AD1965" s="23">
        <f t="shared" ref="AD1965:AE1965" si="4289">AD1935</f>
        <v>26</v>
      </c>
      <c r="AE1965" s="23">
        <f t="shared" si="4289"/>
        <v>30</v>
      </c>
    </row>
    <row r="1966" spans="1:31">
      <c r="A1966" s="4">
        <v>17100</v>
      </c>
      <c r="B1966" s="4">
        <v>15</v>
      </c>
      <c r="C1966" s="19" t="s">
        <v>70</v>
      </c>
      <c r="D1966" s="44">
        <v>0</v>
      </c>
      <c r="E1966" s="18">
        <v>0</v>
      </c>
      <c r="F1966" s="18">
        <v>0</v>
      </c>
      <c r="G1966" s="18">
        <f t="shared" si="4265"/>
        <v>191</v>
      </c>
      <c r="H1966" s="45">
        <v>0</v>
      </c>
      <c r="I1966" s="21">
        <f t="shared" si="4260"/>
        <v>220</v>
      </c>
      <c r="J1966" s="21">
        <f t="shared" si="4257"/>
        <v>14</v>
      </c>
      <c r="K1966" s="21">
        <v>0</v>
      </c>
      <c r="L1966" s="20">
        <v>6</v>
      </c>
      <c r="M1966" s="20">
        <v>0</v>
      </c>
      <c r="N1966" s="20">
        <f t="shared" si="4261"/>
        <v>4500</v>
      </c>
      <c r="O1966" s="19" t="s">
        <v>70</v>
      </c>
      <c r="P1966" s="20">
        <v>3100</v>
      </c>
      <c r="Q1966" s="20">
        <f t="shared" ref="Q1966:X1966" si="4290">Q1936</f>
        <v>450</v>
      </c>
      <c r="R1966" s="20">
        <f t="shared" si="4290"/>
        <v>1800</v>
      </c>
      <c r="S1966" s="20">
        <f t="shared" si="4290"/>
        <v>3150</v>
      </c>
      <c r="T1966" s="20">
        <f t="shared" si="4290"/>
        <v>4050</v>
      </c>
      <c r="U1966" s="20">
        <f t="shared" si="4290"/>
        <v>100</v>
      </c>
      <c r="V1966" s="20">
        <f t="shared" si="4290"/>
        <v>1000</v>
      </c>
      <c r="W1966" s="20">
        <f t="shared" si="4290"/>
        <v>600</v>
      </c>
      <c r="X1966" s="20">
        <f t="shared" si="4290"/>
        <v>4</v>
      </c>
      <c r="Y1966" s="20">
        <v>0</v>
      </c>
      <c r="Z1966" s="20">
        <v>0</v>
      </c>
      <c r="AA1966" s="20">
        <v>0</v>
      </c>
      <c r="AB1966" s="20">
        <f t="shared" si="4263"/>
        <v>0</v>
      </c>
      <c r="AC1966" s="20">
        <v>0</v>
      </c>
      <c r="AD1966" s="23">
        <f t="shared" ref="AD1966:AE1966" si="4291">AD1936</f>
        <v>28</v>
      </c>
      <c r="AE1966" s="23">
        <f t="shared" si="4291"/>
        <v>32</v>
      </c>
    </row>
    <row r="1967" spans="1:31">
      <c r="A1967" s="4">
        <v>17100</v>
      </c>
      <c r="B1967" s="4">
        <v>16</v>
      </c>
      <c r="C1967" s="19" t="s">
        <v>71</v>
      </c>
      <c r="D1967" s="44">
        <v>0</v>
      </c>
      <c r="E1967" s="18">
        <v>0</v>
      </c>
      <c r="F1967" s="18">
        <v>0</v>
      </c>
      <c r="G1967" s="18">
        <f t="shared" si="4265"/>
        <v>207</v>
      </c>
      <c r="H1967" s="45">
        <v>0</v>
      </c>
      <c r="I1967" s="21">
        <f t="shared" si="4260"/>
        <v>220</v>
      </c>
      <c r="J1967" s="21">
        <f t="shared" si="4257"/>
        <v>15</v>
      </c>
      <c r="K1967" s="21">
        <v>0</v>
      </c>
      <c r="L1967" s="20">
        <v>6</v>
      </c>
      <c r="M1967" s="20">
        <v>0</v>
      </c>
      <c r="N1967" s="20">
        <f t="shared" si="4261"/>
        <v>4800</v>
      </c>
      <c r="O1967" s="19" t="s">
        <v>71</v>
      </c>
      <c r="P1967" s="20">
        <v>1777</v>
      </c>
      <c r="Q1967" s="20">
        <f t="shared" ref="Q1967:X1967" si="4292">Q1937</f>
        <v>480</v>
      </c>
      <c r="R1967" s="20">
        <f t="shared" si="4292"/>
        <v>1920</v>
      </c>
      <c r="S1967" s="20">
        <f t="shared" si="4292"/>
        <v>3360</v>
      </c>
      <c r="T1967" s="20">
        <f t="shared" si="4292"/>
        <v>4320</v>
      </c>
      <c r="U1967" s="20">
        <f t="shared" si="4292"/>
        <v>100</v>
      </c>
      <c r="V1967" s="20">
        <f t="shared" si="4292"/>
        <v>800</v>
      </c>
      <c r="W1967" s="20">
        <f t="shared" si="4292"/>
        <v>800</v>
      </c>
      <c r="X1967" s="20">
        <f t="shared" si="4292"/>
        <v>4</v>
      </c>
      <c r="Y1967" s="20">
        <v>0</v>
      </c>
      <c r="Z1967" s="20">
        <v>0</v>
      </c>
      <c r="AA1967" s="20">
        <v>0</v>
      </c>
      <c r="AB1967" s="20">
        <f t="shared" si="4263"/>
        <v>0</v>
      </c>
      <c r="AC1967" s="20">
        <v>0</v>
      </c>
      <c r="AD1967" s="23">
        <f t="shared" ref="AD1967:AE1967" si="4293">AD1937</f>
        <v>30</v>
      </c>
      <c r="AE1967" s="23">
        <f t="shared" si="4293"/>
        <v>34</v>
      </c>
    </row>
    <row r="1968" spans="1:31">
      <c r="A1968" s="4">
        <v>17100</v>
      </c>
      <c r="B1968" s="4">
        <v>17</v>
      </c>
      <c r="C1968" s="19" t="s">
        <v>72</v>
      </c>
      <c r="D1968" s="44">
        <v>0</v>
      </c>
      <c r="E1968" s="18">
        <v>0</v>
      </c>
      <c r="F1968" s="18">
        <v>0</v>
      </c>
      <c r="G1968" s="18">
        <f t="shared" si="4265"/>
        <v>224</v>
      </c>
      <c r="H1968" s="45">
        <v>0</v>
      </c>
      <c r="I1968" s="21">
        <f t="shared" si="4260"/>
        <v>275</v>
      </c>
      <c r="J1968" s="21">
        <f t="shared" si="4257"/>
        <v>16</v>
      </c>
      <c r="K1968" s="21">
        <v>0</v>
      </c>
      <c r="L1968" s="20">
        <v>6</v>
      </c>
      <c r="M1968" s="20">
        <v>0</v>
      </c>
      <c r="N1968" s="20">
        <f t="shared" si="4261"/>
        <v>5100</v>
      </c>
      <c r="O1968" s="19" t="s">
        <v>72</v>
      </c>
      <c r="P1968" s="20">
        <v>2332</v>
      </c>
      <c r="Q1968" s="20">
        <f t="shared" ref="Q1968:X1968" si="4294">Q1938</f>
        <v>510</v>
      </c>
      <c r="R1968" s="20">
        <f t="shared" si="4294"/>
        <v>2040</v>
      </c>
      <c r="S1968" s="20">
        <f t="shared" si="4294"/>
        <v>3570</v>
      </c>
      <c r="T1968" s="20">
        <f t="shared" si="4294"/>
        <v>4590</v>
      </c>
      <c r="U1968" s="20">
        <f t="shared" si="4294"/>
        <v>80</v>
      </c>
      <c r="V1968" s="20">
        <f t="shared" si="4294"/>
        <v>800</v>
      </c>
      <c r="W1968" s="20">
        <f t="shared" si="4294"/>
        <v>600</v>
      </c>
      <c r="X1968" s="20">
        <f t="shared" si="4294"/>
        <v>5</v>
      </c>
      <c r="Y1968" s="20">
        <v>0</v>
      </c>
      <c r="Z1968" s="20">
        <v>0</v>
      </c>
      <c r="AA1968" s="20">
        <v>0</v>
      </c>
      <c r="AB1968" s="20">
        <f t="shared" si="4263"/>
        <v>0</v>
      </c>
      <c r="AC1968" s="20">
        <v>0</v>
      </c>
      <c r="AD1968" s="23">
        <f t="shared" ref="AD1968:AE1968" si="4295">AD1938</f>
        <v>32</v>
      </c>
      <c r="AE1968" s="23">
        <f t="shared" si="4295"/>
        <v>36</v>
      </c>
    </row>
    <row r="1969" spans="1:31">
      <c r="A1969" s="4">
        <v>17100</v>
      </c>
      <c r="B1969" s="4">
        <v>18</v>
      </c>
      <c r="C1969" s="19" t="s">
        <v>73</v>
      </c>
      <c r="D1969" s="44">
        <v>0</v>
      </c>
      <c r="E1969" s="18">
        <v>0</v>
      </c>
      <c r="F1969" s="18">
        <v>0</v>
      </c>
      <c r="G1969" s="18">
        <f t="shared" si="4265"/>
        <v>243</v>
      </c>
      <c r="H1969" s="45">
        <v>0</v>
      </c>
      <c r="I1969" s="21">
        <f t="shared" si="4260"/>
        <v>275</v>
      </c>
      <c r="J1969" s="21">
        <f t="shared" si="4257"/>
        <v>17</v>
      </c>
      <c r="K1969" s="21">
        <v>0</v>
      </c>
      <c r="L1969" s="20">
        <v>6</v>
      </c>
      <c r="M1969" s="20">
        <v>0</v>
      </c>
      <c r="N1969" s="20">
        <f t="shared" si="4261"/>
        <v>5400</v>
      </c>
      <c r="O1969" s="19" t="s">
        <v>73</v>
      </c>
      <c r="P1969" s="20">
        <v>1487</v>
      </c>
      <c r="Q1969" s="20">
        <f t="shared" ref="Q1969:X1969" si="4296">Q1939</f>
        <v>540</v>
      </c>
      <c r="R1969" s="20">
        <f t="shared" si="4296"/>
        <v>2160</v>
      </c>
      <c r="S1969" s="20">
        <f t="shared" si="4296"/>
        <v>3779.9999999999995</v>
      </c>
      <c r="T1969" s="20">
        <f t="shared" si="4296"/>
        <v>4860</v>
      </c>
      <c r="U1969" s="20">
        <f t="shared" si="4296"/>
        <v>100</v>
      </c>
      <c r="V1969" s="20">
        <f t="shared" si="4296"/>
        <v>600</v>
      </c>
      <c r="W1969" s="20">
        <f t="shared" si="4296"/>
        <v>300</v>
      </c>
      <c r="X1969" s="20">
        <f t="shared" si="4296"/>
        <v>5</v>
      </c>
      <c r="Y1969" s="20">
        <f>ROUND(D1969*0.25,-1)</f>
        <v>0</v>
      </c>
      <c r="Z1969" s="20">
        <f>ROUND(E1969*0.25,-1)</f>
        <v>0</v>
      </c>
      <c r="AA1969" s="20">
        <f>ROUND(F1969*0.25,-1)</f>
        <v>0</v>
      </c>
      <c r="AB1969" s="20">
        <f t="shared" si="4263"/>
        <v>113</v>
      </c>
      <c r="AC1969" s="20">
        <f>ROUND(H1969*0.25,-1)</f>
        <v>0</v>
      </c>
      <c r="AD1969" s="23">
        <f t="shared" ref="AD1969:AE1969" si="4297">AD1939</f>
        <v>34</v>
      </c>
      <c r="AE1969" s="23">
        <f t="shared" si="4297"/>
        <v>38</v>
      </c>
    </row>
    <row r="1970" spans="1:31">
      <c r="A1970" s="4">
        <v>17100</v>
      </c>
      <c r="B1970" s="4">
        <v>19</v>
      </c>
      <c r="C1970" s="19" t="s">
        <v>74</v>
      </c>
      <c r="D1970" s="44">
        <v>0</v>
      </c>
      <c r="E1970" s="18">
        <v>0</v>
      </c>
      <c r="F1970" s="18">
        <v>0</v>
      </c>
      <c r="G1970" s="18">
        <f t="shared" si="4265"/>
        <v>263</v>
      </c>
      <c r="H1970" s="45">
        <v>0</v>
      </c>
      <c r="I1970" s="21">
        <f t="shared" si="4260"/>
        <v>275</v>
      </c>
      <c r="J1970" s="21">
        <f t="shared" si="4257"/>
        <v>18</v>
      </c>
      <c r="K1970" s="21">
        <v>0</v>
      </c>
      <c r="L1970" s="20">
        <v>6</v>
      </c>
      <c r="M1970" s="20">
        <v>0</v>
      </c>
      <c r="N1970" s="20">
        <f t="shared" si="4261"/>
        <v>5700</v>
      </c>
      <c r="O1970" s="19" t="s">
        <v>74</v>
      </c>
      <c r="P1970" s="20">
        <v>1518</v>
      </c>
      <c r="Q1970" s="20">
        <f t="shared" ref="Q1970:X1970" si="4298">Q1940</f>
        <v>570</v>
      </c>
      <c r="R1970" s="20">
        <f t="shared" si="4298"/>
        <v>2280</v>
      </c>
      <c r="S1970" s="20">
        <f t="shared" si="4298"/>
        <v>3989.9999999999995</v>
      </c>
      <c r="T1970" s="20">
        <f t="shared" si="4298"/>
        <v>5130</v>
      </c>
      <c r="U1970" s="20">
        <f t="shared" si="4298"/>
        <v>100</v>
      </c>
      <c r="V1970" s="20">
        <f t="shared" si="4298"/>
        <v>500</v>
      </c>
      <c r="W1970" s="20">
        <f t="shared" si="4298"/>
        <v>400</v>
      </c>
      <c r="X1970" s="20">
        <f t="shared" si="4298"/>
        <v>5</v>
      </c>
      <c r="Y1970" s="20">
        <v>0</v>
      </c>
      <c r="Z1970" s="20">
        <v>0</v>
      </c>
      <c r="AA1970" s="20">
        <v>0</v>
      </c>
      <c r="AB1970" s="20">
        <f t="shared" si="4263"/>
        <v>0</v>
      </c>
      <c r="AC1970" s="20">
        <v>0</v>
      </c>
      <c r="AD1970" s="23">
        <f t="shared" ref="AD1970:AE1970" si="4299">AD1940</f>
        <v>36</v>
      </c>
      <c r="AE1970" s="23">
        <f t="shared" si="4299"/>
        <v>40</v>
      </c>
    </row>
    <row r="1971" spans="1:31">
      <c r="A1971" s="4">
        <v>17100</v>
      </c>
      <c r="B1971" s="4">
        <v>20</v>
      </c>
      <c r="C1971" s="19" t="s">
        <v>75</v>
      </c>
      <c r="D1971" s="44">
        <v>0</v>
      </c>
      <c r="E1971" s="18">
        <v>0</v>
      </c>
      <c r="F1971" s="18">
        <v>0</v>
      </c>
      <c r="G1971" s="18">
        <f t="shared" si="4265"/>
        <v>285</v>
      </c>
      <c r="H1971" s="45">
        <v>0</v>
      </c>
      <c r="I1971" s="21">
        <f t="shared" si="4260"/>
        <v>275</v>
      </c>
      <c r="J1971" s="21">
        <f t="shared" si="4257"/>
        <v>19</v>
      </c>
      <c r="K1971" s="21">
        <v>0</v>
      </c>
      <c r="L1971" s="20">
        <v>6</v>
      </c>
      <c r="M1971" s="20">
        <v>0</v>
      </c>
      <c r="N1971" s="20">
        <f t="shared" si="4261"/>
        <v>8000</v>
      </c>
      <c r="O1971" s="19" t="s">
        <v>75</v>
      </c>
      <c r="P1971" s="20">
        <v>861</v>
      </c>
      <c r="Q1971" s="20">
        <f t="shared" ref="Q1971:X1971" si="4300">Q1941</f>
        <v>800</v>
      </c>
      <c r="R1971" s="20">
        <f t="shared" si="4300"/>
        <v>3200</v>
      </c>
      <c r="S1971" s="20">
        <f t="shared" si="4300"/>
        <v>5600</v>
      </c>
      <c r="T1971" s="20">
        <f t="shared" si="4300"/>
        <v>7200</v>
      </c>
      <c r="U1971" s="20">
        <f t="shared" si="4300"/>
        <v>100</v>
      </c>
      <c r="V1971" s="20">
        <f t="shared" si="4300"/>
        <v>800</v>
      </c>
      <c r="W1971" s="20">
        <f t="shared" si="4300"/>
        <v>8000</v>
      </c>
      <c r="X1971" s="20">
        <f t="shared" si="4300"/>
        <v>5</v>
      </c>
      <c r="Y1971" s="20">
        <v>0</v>
      </c>
      <c r="Z1971" s="20">
        <v>0</v>
      </c>
      <c r="AA1971" s="20">
        <v>0</v>
      </c>
      <c r="AB1971" s="20">
        <f t="shared" si="4263"/>
        <v>0</v>
      </c>
      <c r="AC1971" s="20">
        <v>0</v>
      </c>
      <c r="AD1971" s="23">
        <f t="shared" ref="AD1971:AE1971" si="4301">AD1941</f>
        <v>38</v>
      </c>
      <c r="AE1971" s="23">
        <f t="shared" si="4301"/>
        <v>42</v>
      </c>
    </row>
    <row r="1972" spans="1:31">
      <c r="A1972" s="4">
        <v>17100</v>
      </c>
      <c r="B1972" s="4">
        <v>21</v>
      </c>
      <c r="C1972" s="19" t="s">
        <v>66</v>
      </c>
      <c r="D1972" s="44">
        <v>0</v>
      </c>
      <c r="E1972" s="18">
        <v>0</v>
      </c>
      <c r="F1972" s="18">
        <v>0</v>
      </c>
      <c r="G1972" s="18">
        <f t="shared" si="4265"/>
        <v>308</v>
      </c>
      <c r="H1972" s="45">
        <v>0</v>
      </c>
      <c r="I1972" s="21">
        <f t="shared" si="4260"/>
        <v>330</v>
      </c>
      <c r="J1972" s="21">
        <f t="shared" si="4257"/>
        <v>20</v>
      </c>
      <c r="K1972" s="21">
        <v>0</v>
      </c>
      <c r="L1972" s="20">
        <v>6</v>
      </c>
      <c r="M1972" s="20">
        <v>0</v>
      </c>
      <c r="N1972" s="20">
        <f t="shared" si="4261"/>
        <v>8400</v>
      </c>
      <c r="O1972" s="19" t="s">
        <v>66</v>
      </c>
      <c r="P1972" s="20">
        <v>9400</v>
      </c>
      <c r="Q1972" s="20">
        <f t="shared" ref="Q1972:X1972" si="4302">Q1942</f>
        <v>840</v>
      </c>
      <c r="R1972" s="20">
        <f t="shared" si="4302"/>
        <v>3360</v>
      </c>
      <c r="S1972" s="20">
        <f t="shared" si="4302"/>
        <v>5880</v>
      </c>
      <c r="T1972" s="20">
        <f t="shared" si="4302"/>
        <v>7560</v>
      </c>
      <c r="U1972" s="20">
        <f t="shared" si="4302"/>
        <v>50</v>
      </c>
      <c r="V1972" s="20">
        <f t="shared" si="4302"/>
        <v>1000</v>
      </c>
      <c r="W1972" s="20">
        <f t="shared" si="4302"/>
        <v>600</v>
      </c>
      <c r="X1972" s="20">
        <f t="shared" si="4302"/>
        <v>6</v>
      </c>
      <c r="Y1972" s="20">
        <v>0</v>
      </c>
      <c r="Z1972" s="20">
        <v>0</v>
      </c>
      <c r="AA1972" s="20">
        <v>0</v>
      </c>
      <c r="AB1972" s="20">
        <f t="shared" si="4263"/>
        <v>0</v>
      </c>
      <c r="AC1972" s="20">
        <v>0</v>
      </c>
      <c r="AD1972" s="23">
        <f t="shared" ref="AD1972:AE1972" si="4303">AD1942</f>
        <v>40</v>
      </c>
      <c r="AE1972" s="23">
        <f t="shared" si="4303"/>
        <v>44</v>
      </c>
    </row>
    <row r="1973" spans="1:31">
      <c r="A1973" s="4">
        <v>17100</v>
      </c>
      <c r="B1973" s="4">
        <v>22</v>
      </c>
      <c r="C1973" s="19" t="s">
        <v>67</v>
      </c>
      <c r="D1973" s="44">
        <v>0</v>
      </c>
      <c r="E1973" s="18">
        <v>0</v>
      </c>
      <c r="F1973" s="18">
        <v>0</v>
      </c>
      <c r="G1973" s="18">
        <f t="shared" si="4265"/>
        <v>334</v>
      </c>
      <c r="H1973" s="45">
        <v>0</v>
      </c>
      <c r="I1973" s="21">
        <f t="shared" si="4260"/>
        <v>330</v>
      </c>
      <c r="J1973" s="21">
        <f t="shared" si="4257"/>
        <v>21</v>
      </c>
      <c r="K1973" s="21">
        <v>0</v>
      </c>
      <c r="L1973" s="20">
        <v>6</v>
      </c>
      <c r="M1973" s="20">
        <v>0</v>
      </c>
      <c r="N1973" s="20">
        <f t="shared" si="4261"/>
        <v>8800</v>
      </c>
      <c r="O1973" s="19" t="s">
        <v>67</v>
      </c>
      <c r="P1973" s="20">
        <v>9100</v>
      </c>
      <c r="Q1973" s="20">
        <f t="shared" ref="Q1973:X1973" si="4304">Q1943</f>
        <v>880</v>
      </c>
      <c r="R1973" s="20">
        <f t="shared" si="4304"/>
        <v>3520</v>
      </c>
      <c r="S1973" s="20">
        <f t="shared" si="4304"/>
        <v>6160</v>
      </c>
      <c r="T1973" s="20">
        <f t="shared" si="4304"/>
        <v>7920</v>
      </c>
      <c r="U1973" s="20">
        <f t="shared" si="4304"/>
        <v>100</v>
      </c>
      <c r="V1973" s="20">
        <f t="shared" si="4304"/>
        <v>600</v>
      </c>
      <c r="W1973" s="20">
        <f t="shared" si="4304"/>
        <v>700</v>
      </c>
      <c r="X1973" s="20">
        <f t="shared" si="4304"/>
        <v>6</v>
      </c>
      <c r="Y1973" s="20">
        <v>0</v>
      </c>
      <c r="Z1973" s="20">
        <v>0</v>
      </c>
      <c r="AA1973" s="20">
        <v>0</v>
      </c>
      <c r="AB1973" s="20">
        <f t="shared" si="4263"/>
        <v>0</v>
      </c>
      <c r="AC1973" s="20">
        <v>0</v>
      </c>
      <c r="AD1973" s="23">
        <f t="shared" ref="AD1973:AE1973" si="4305">AD1943</f>
        <v>42</v>
      </c>
      <c r="AE1973" s="23">
        <f t="shared" si="4305"/>
        <v>46</v>
      </c>
    </row>
    <row r="1974" spans="1:31">
      <c r="A1974" s="4">
        <v>17100</v>
      </c>
      <c r="B1974" s="4">
        <v>23</v>
      </c>
      <c r="C1974" s="19" t="s">
        <v>68</v>
      </c>
      <c r="D1974" s="44">
        <v>0</v>
      </c>
      <c r="E1974" s="18">
        <v>0</v>
      </c>
      <c r="F1974" s="18">
        <v>0</v>
      </c>
      <c r="G1974" s="18">
        <f t="shared" si="4265"/>
        <v>361</v>
      </c>
      <c r="H1974" s="45">
        <v>0</v>
      </c>
      <c r="I1974" s="21">
        <f t="shared" si="4260"/>
        <v>330</v>
      </c>
      <c r="J1974" s="21">
        <f t="shared" si="4257"/>
        <v>22</v>
      </c>
      <c r="K1974" s="21">
        <v>0</v>
      </c>
      <c r="L1974" s="20">
        <v>6</v>
      </c>
      <c r="M1974" s="20">
        <v>0</v>
      </c>
      <c r="N1974" s="20">
        <f t="shared" si="4261"/>
        <v>9200</v>
      </c>
      <c r="O1974" s="19" t="s">
        <v>68</v>
      </c>
      <c r="P1974" s="20">
        <v>8600</v>
      </c>
      <c r="Q1974" s="20">
        <f t="shared" ref="Q1974:X1974" si="4306">Q1944</f>
        <v>920</v>
      </c>
      <c r="R1974" s="20">
        <f t="shared" si="4306"/>
        <v>3680</v>
      </c>
      <c r="S1974" s="20">
        <f t="shared" si="4306"/>
        <v>6440</v>
      </c>
      <c r="T1974" s="20">
        <f t="shared" si="4306"/>
        <v>8280</v>
      </c>
      <c r="U1974" s="20">
        <f t="shared" si="4306"/>
        <v>100</v>
      </c>
      <c r="V1974" s="20">
        <f t="shared" si="4306"/>
        <v>550</v>
      </c>
      <c r="W1974" s="20">
        <f t="shared" si="4306"/>
        <v>500</v>
      </c>
      <c r="X1974" s="20">
        <f t="shared" si="4306"/>
        <v>6</v>
      </c>
      <c r="Y1974" s="20">
        <f>ROUND(D1974*0.25,-1)</f>
        <v>0</v>
      </c>
      <c r="Z1974" s="20">
        <f>ROUND(E1974*0.25,-1)</f>
        <v>0</v>
      </c>
      <c r="AA1974" s="20">
        <f>ROUND(F1974*0.25,-1)</f>
        <v>0</v>
      </c>
      <c r="AB1974" s="20">
        <f t="shared" si="4263"/>
        <v>151</v>
      </c>
      <c r="AC1974" s="20">
        <f>ROUND(H1974*0.25,-1)</f>
        <v>0</v>
      </c>
      <c r="AD1974" s="23">
        <f t="shared" ref="AD1974:AE1974" si="4307">AD1944</f>
        <v>44</v>
      </c>
      <c r="AE1974" s="23">
        <f t="shared" si="4307"/>
        <v>48</v>
      </c>
    </row>
    <row r="1975" spans="1:31">
      <c r="A1975" s="4">
        <v>17100</v>
      </c>
      <c r="B1975" s="4">
        <v>24</v>
      </c>
      <c r="C1975" s="19" t="s">
        <v>69</v>
      </c>
      <c r="D1975" s="44">
        <v>0</v>
      </c>
      <c r="E1975" s="18">
        <v>0</v>
      </c>
      <c r="F1975" s="18">
        <v>0</v>
      </c>
      <c r="G1975" s="18">
        <f t="shared" si="4265"/>
        <v>391</v>
      </c>
      <c r="H1975" s="45">
        <v>0</v>
      </c>
      <c r="I1975" s="21">
        <f t="shared" si="4260"/>
        <v>330</v>
      </c>
      <c r="J1975" s="21">
        <f t="shared" si="4257"/>
        <v>23</v>
      </c>
      <c r="K1975" s="21">
        <v>0</v>
      </c>
      <c r="L1975" s="20">
        <v>6</v>
      </c>
      <c r="M1975" s="20">
        <v>0</v>
      </c>
      <c r="N1975" s="20">
        <f t="shared" si="4261"/>
        <v>9600</v>
      </c>
      <c r="O1975" s="19" t="s">
        <v>69</v>
      </c>
      <c r="P1975" s="20">
        <v>6400</v>
      </c>
      <c r="Q1975" s="20">
        <f t="shared" ref="Q1975:X1975" si="4308">Q1945</f>
        <v>960</v>
      </c>
      <c r="R1975" s="20">
        <f t="shared" si="4308"/>
        <v>3840</v>
      </c>
      <c r="S1975" s="20">
        <f t="shared" si="4308"/>
        <v>6720</v>
      </c>
      <c r="T1975" s="20">
        <f t="shared" si="4308"/>
        <v>8640</v>
      </c>
      <c r="U1975" s="20">
        <f t="shared" si="4308"/>
        <v>100</v>
      </c>
      <c r="V1975" s="20">
        <f t="shared" si="4308"/>
        <v>500</v>
      </c>
      <c r="W1975" s="20">
        <f t="shared" si="4308"/>
        <v>900</v>
      </c>
      <c r="X1975" s="20">
        <f t="shared" si="4308"/>
        <v>6</v>
      </c>
      <c r="Y1975" s="20">
        <v>0</v>
      </c>
      <c r="Z1975" s="20">
        <v>0</v>
      </c>
      <c r="AA1975" s="20">
        <v>0</v>
      </c>
      <c r="AB1975" s="20">
        <f t="shared" si="4263"/>
        <v>0</v>
      </c>
      <c r="AC1975" s="20">
        <v>0</v>
      </c>
      <c r="AD1975" s="23">
        <f t="shared" ref="AD1975:AE1975" si="4309">AD1945</f>
        <v>46</v>
      </c>
      <c r="AE1975" s="23">
        <f t="shared" si="4309"/>
        <v>50</v>
      </c>
    </row>
    <row r="1976" spans="1:31">
      <c r="A1976" s="4">
        <v>17100</v>
      </c>
      <c r="B1976" s="4">
        <v>25</v>
      </c>
      <c r="C1976" s="19" t="s">
        <v>70</v>
      </c>
      <c r="D1976" s="44">
        <v>0</v>
      </c>
      <c r="E1976" s="18">
        <v>0</v>
      </c>
      <c r="F1976" s="18">
        <v>0</v>
      </c>
      <c r="G1976" s="18">
        <f t="shared" si="4265"/>
        <v>424</v>
      </c>
      <c r="H1976" s="45">
        <v>0</v>
      </c>
      <c r="I1976" s="21">
        <f t="shared" si="4260"/>
        <v>385</v>
      </c>
      <c r="J1976" s="21">
        <f t="shared" si="4257"/>
        <v>24</v>
      </c>
      <c r="K1976" s="21">
        <v>0</v>
      </c>
      <c r="L1976" s="20">
        <v>6</v>
      </c>
      <c r="M1976" s="20">
        <v>0</v>
      </c>
      <c r="N1976" s="20">
        <f t="shared" si="4261"/>
        <v>12500</v>
      </c>
      <c r="O1976" s="19" t="s">
        <v>70</v>
      </c>
      <c r="P1976" s="20">
        <v>3100</v>
      </c>
      <c r="Q1976" s="20">
        <f t="shared" ref="Q1976:X1976" si="4310">Q1946</f>
        <v>1250</v>
      </c>
      <c r="R1976" s="20">
        <f t="shared" si="4310"/>
        <v>5000</v>
      </c>
      <c r="S1976" s="20">
        <f t="shared" si="4310"/>
        <v>8750</v>
      </c>
      <c r="T1976" s="20">
        <f t="shared" si="4310"/>
        <v>11250</v>
      </c>
      <c r="U1976" s="20">
        <f t="shared" si="4310"/>
        <v>10</v>
      </c>
      <c r="V1976" s="20">
        <f t="shared" si="4310"/>
        <v>1300</v>
      </c>
      <c r="W1976" s="20">
        <f t="shared" si="4310"/>
        <v>1000</v>
      </c>
      <c r="X1976" s="20">
        <f t="shared" si="4310"/>
        <v>7</v>
      </c>
      <c r="Y1976" s="20">
        <v>0</v>
      </c>
      <c r="Z1976" s="20">
        <v>0</v>
      </c>
      <c r="AA1976" s="20">
        <v>0</v>
      </c>
      <c r="AB1976" s="20">
        <f t="shared" si="4263"/>
        <v>0</v>
      </c>
      <c r="AC1976" s="20">
        <v>0</v>
      </c>
      <c r="AD1976" s="23">
        <f t="shared" ref="AD1976:AE1976" si="4311">AD1946</f>
        <v>48</v>
      </c>
      <c r="AE1976" s="23">
        <f t="shared" si="4311"/>
        <v>52</v>
      </c>
    </row>
    <row r="1977" spans="1:31">
      <c r="A1977" s="4">
        <v>17100</v>
      </c>
      <c r="B1977" s="4">
        <v>26</v>
      </c>
      <c r="C1977" s="19" t="s">
        <v>71</v>
      </c>
      <c r="D1977" s="44">
        <v>0</v>
      </c>
      <c r="E1977" s="18">
        <v>0</v>
      </c>
      <c r="F1977" s="18">
        <v>0</v>
      </c>
      <c r="G1977" s="18">
        <f t="shared" si="4265"/>
        <v>459</v>
      </c>
      <c r="H1977" s="45">
        <v>0</v>
      </c>
      <c r="I1977" s="21">
        <f t="shared" si="4260"/>
        <v>385</v>
      </c>
      <c r="J1977" s="21">
        <f t="shared" si="4257"/>
        <v>25</v>
      </c>
      <c r="K1977" s="21">
        <v>0</v>
      </c>
      <c r="L1977" s="20">
        <v>6</v>
      </c>
      <c r="M1977" s="20">
        <v>0</v>
      </c>
      <c r="N1977" s="20">
        <f t="shared" si="4261"/>
        <v>13000</v>
      </c>
      <c r="O1977" s="19" t="s">
        <v>71</v>
      </c>
      <c r="P1977" s="20">
        <v>1777</v>
      </c>
      <c r="Q1977" s="20">
        <f t="shared" ref="Q1977:X1977" si="4312">Q1947</f>
        <v>1300</v>
      </c>
      <c r="R1977" s="20">
        <f t="shared" si="4312"/>
        <v>5200</v>
      </c>
      <c r="S1977" s="20">
        <f t="shared" si="4312"/>
        <v>9100</v>
      </c>
      <c r="T1977" s="20">
        <f t="shared" si="4312"/>
        <v>11700</v>
      </c>
      <c r="U1977" s="20">
        <f t="shared" si="4312"/>
        <v>90</v>
      </c>
      <c r="V1977" s="20">
        <f t="shared" si="4312"/>
        <v>800</v>
      </c>
      <c r="W1977" s="20">
        <f t="shared" si="4312"/>
        <v>2000</v>
      </c>
      <c r="X1977" s="20">
        <f t="shared" si="4312"/>
        <v>7</v>
      </c>
      <c r="Y1977" s="20">
        <v>0</v>
      </c>
      <c r="Z1977" s="20">
        <v>0</v>
      </c>
      <c r="AA1977" s="20">
        <v>0</v>
      </c>
      <c r="AB1977" s="20">
        <f t="shared" si="4263"/>
        <v>0</v>
      </c>
      <c r="AC1977" s="20">
        <v>0</v>
      </c>
      <c r="AD1977" s="23">
        <f t="shared" ref="AD1977:AE1977" si="4313">AD1947</f>
        <v>50</v>
      </c>
      <c r="AE1977" s="23">
        <f t="shared" si="4313"/>
        <v>54</v>
      </c>
    </row>
    <row r="1978" spans="1:31">
      <c r="A1978" s="4">
        <v>17100</v>
      </c>
      <c r="B1978" s="4">
        <v>27</v>
      </c>
      <c r="C1978" s="19" t="s">
        <v>72</v>
      </c>
      <c r="D1978" s="44">
        <v>0</v>
      </c>
      <c r="E1978" s="18">
        <v>0</v>
      </c>
      <c r="F1978" s="18">
        <v>0</v>
      </c>
      <c r="G1978" s="18">
        <f t="shared" si="4265"/>
        <v>496</v>
      </c>
      <c r="H1978" s="45">
        <v>0</v>
      </c>
      <c r="I1978" s="21">
        <f t="shared" si="4260"/>
        <v>385</v>
      </c>
      <c r="J1978" s="21">
        <f t="shared" si="4257"/>
        <v>26</v>
      </c>
      <c r="K1978" s="21">
        <v>0</v>
      </c>
      <c r="L1978" s="20">
        <v>6</v>
      </c>
      <c r="M1978" s="20">
        <v>0</v>
      </c>
      <c r="N1978" s="20">
        <f t="shared" si="4261"/>
        <v>13500</v>
      </c>
      <c r="O1978" s="19" t="s">
        <v>72</v>
      </c>
      <c r="P1978" s="20">
        <v>2332</v>
      </c>
      <c r="Q1978" s="20">
        <f t="shared" ref="Q1978:X1978" si="4314">Q1948</f>
        <v>1350</v>
      </c>
      <c r="R1978" s="20">
        <f t="shared" si="4314"/>
        <v>5400</v>
      </c>
      <c r="S1978" s="20">
        <f t="shared" si="4314"/>
        <v>9450</v>
      </c>
      <c r="T1978" s="20">
        <f t="shared" si="4314"/>
        <v>12150</v>
      </c>
      <c r="U1978" s="20">
        <f t="shared" si="4314"/>
        <v>80</v>
      </c>
      <c r="V1978" s="20">
        <f t="shared" si="4314"/>
        <v>700</v>
      </c>
      <c r="W1978" s="20">
        <f t="shared" si="4314"/>
        <v>800</v>
      </c>
      <c r="X1978" s="20">
        <f t="shared" si="4314"/>
        <v>7</v>
      </c>
      <c r="Y1978" s="20">
        <v>0</v>
      </c>
      <c r="Z1978" s="20">
        <v>0</v>
      </c>
      <c r="AA1978" s="20">
        <v>0</v>
      </c>
      <c r="AB1978" s="20">
        <f t="shared" si="4263"/>
        <v>0</v>
      </c>
      <c r="AC1978" s="20">
        <v>0</v>
      </c>
      <c r="AD1978" s="23">
        <f t="shared" ref="AD1978:AE1978" si="4315">AD1948</f>
        <v>52</v>
      </c>
      <c r="AE1978" s="23">
        <f t="shared" si="4315"/>
        <v>56</v>
      </c>
    </row>
    <row r="1979" spans="1:31">
      <c r="A1979" s="4">
        <v>17100</v>
      </c>
      <c r="B1979" s="4">
        <v>28</v>
      </c>
      <c r="C1979" s="19" t="s">
        <v>73</v>
      </c>
      <c r="D1979" s="44">
        <v>0</v>
      </c>
      <c r="E1979" s="18">
        <v>0</v>
      </c>
      <c r="F1979" s="18">
        <v>0</v>
      </c>
      <c r="G1979" s="18">
        <f t="shared" si="4265"/>
        <v>537</v>
      </c>
      <c r="H1979" s="45">
        <v>0</v>
      </c>
      <c r="I1979" s="21">
        <f t="shared" si="4260"/>
        <v>385</v>
      </c>
      <c r="J1979" s="21">
        <f t="shared" si="4257"/>
        <v>27</v>
      </c>
      <c r="K1979" s="21">
        <v>0</v>
      </c>
      <c r="L1979" s="20">
        <v>6</v>
      </c>
      <c r="M1979" s="20">
        <v>0</v>
      </c>
      <c r="N1979" s="20">
        <f t="shared" si="4261"/>
        <v>14000</v>
      </c>
      <c r="O1979" s="19" t="s">
        <v>73</v>
      </c>
      <c r="P1979" s="20">
        <v>1487</v>
      </c>
      <c r="Q1979" s="20">
        <f t="shared" ref="Q1979:X1979" si="4316">Q1949</f>
        <v>1400</v>
      </c>
      <c r="R1979" s="20">
        <f t="shared" si="4316"/>
        <v>5600</v>
      </c>
      <c r="S1979" s="20">
        <f t="shared" si="4316"/>
        <v>9800</v>
      </c>
      <c r="T1979" s="20">
        <f t="shared" si="4316"/>
        <v>12600</v>
      </c>
      <c r="U1979" s="20">
        <f t="shared" si="4316"/>
        <v>80</v>
      </c>
      <c r="V1979" s="20">
        <f t="shared" si="4316"/>
        <v>500</v>
      </c>
      <c r="W1979" s="20">
        <f t="shared" si="4316"/>
        <v>600</v>
      </c>
      <c r="X1979" s="20">
        <f t="shared" si="4316"/>
        <v>7</v>
      </c>
      <c r="Y1979" s="20">
        <f>ROUND(D1979*0.25,-1)</f>
        <v>0</v>
      </c>
      <c r="Z1979" s="20">
        <f>ROUND(E1979*0.25,-1)</f>
        <v>0</v>
      </c>
      <c r="AA1979" s="20">
        <f>ROUND(F1979*0.25,-1)</f>
        <v>0</v>
      </c>
      <c r="AB1979" s="20">
        <f t="shared" si="4263"/>
        <v>189</v>
      </c>
      <c r="AC1979" s="20">
        <f>ROUND(H1979*0.25,-1)</f>
        <v>0</v>
      </c>
      <c r="AD1979" s="23">
        <f t="shared" ref="AD1979:AE1979" si="4317">AD1949</f>
        <v>54</v>
      </c>
      <c r="AE1979" s="23">
        <f t="shared" si="4317"/>
        <v>58</v>
      </c>
    </row>
    <row r="1980" spans="1:31">
      <c r="A1980" s="4">
        <v>17100</v>
      </c>
      <c r="B1980" s="4">
        <v>29</v>
      </c>
      <c r="C1980" s="19" t="s">
        <v>74</v>
      </c>
      <c r="D1980" s="44">
        <v>0</v>
      </c>
      <c r="E1980" s="18">
        <v>0</v>
      </c>
      <c r="F1980" s="18">
        <v>0</v>
      </c>
      <c r="G1980" s="18">
        <f t="shared" si="4265"/>
        <v>582</v>
      </c>
      <c r="H1980" s="45">
        <v>0</v>
      </c>
      <c r="I1980" s="21">
        <f t="shared" si="4260"/>
        <v>440</v>
      </c>
      <c r="J1980" s="21">
        <f t="shared" si="4257"/>
        <v>28</v>
      </c>
      <c r="K1980" s="21">
        <v>0</v>
      </c>
      <c r="L1980" s="20">
        <v>6</v>
      </c>
      <c r="M1980" s="20">
        <v>0</v>
      </c>
      <c r="N1980" s="20">
        <f t="shared" si="4261"/>
        <v>14500</v>
      </c>
      <c r="O1980" s="19" t="s">
        <v>74</v>
      </c>
      <c r="P1980" s="20">
        <v>1518</v>
      </c>
      <c r="Q1980" s="20">
        <f t="shared" ref="Q1980:X1980" si="4318">Q1950</f>
        <v>1450</v>
      </c>
      <c r="R1980" s="20">
        <f t="shared" si="4318"/>
        <v>5800</v>
      </c>
      <c r="S1980" s="20">
        <f t="shared" si="4318"/>
        <v>10150</v>
      </c>
      <c r="T1980" s="20">
        <f t="shared" si="4318"/>
        <v>13050</v>
      </c>
      <c r="U1980" s="20">
        <f t="shared" si="4318"/>
        <v>80</v>
      </c>
      <c r="V1980" s="20">
        <f t="shared" si="4318"/>
        <v>600</v>
      </c>
      <c r="W1980" s="20">
        <f t="shared" si="4318"/>
        <v>700</v>
      </c>
      <c r="X1980" s="20">
        <f t="shared" si="4318"/>
        <v>8</v>
      </c>
      <c r="Y1980" s="20">
        <v>0</v>
      </c>
      <c r="Z1980" s="20">
        <v>0</v>
      </c>
      <c r="AA1980" s="20">
        <v>0</v>
      </c>
      <c r="AB1980" s="20">
        <f t="shared" si="4263"/>
        <v>0</v>
      </c>
      <c r="AC1980" s="20">
        <v>0</v>
      </c>
      <c r="AD1980" s="23">
        <f t="shared" ref="AD1980:AE1980" si="4319">AD1950</f>
        <v>56</v>
      </c>
      <c r="AE1980" s="23">
        <f t="shared" si="4319"/>
        <v>60</v>
      </c>
    </row>
    <row r="1981" spans="1:31">
      <c r="A1981" s="4">
        <v>17100</v>
      </c>
      <c r="B1981" s="4">
        <v>30</v>
      </c>
      <c r="C1981" s="19" t="s">
        <v>75</v>
      </c>
      <c r="D1981" s="44">
        <v>0</v>
      </c>
      <c r="E1981" s="18">
        <v>0</v>
      </c>
      <c r="F1981" s="18">
        <v>0</v>
      </c>
      <c r="G1981" s="18">
        <v>630</v>
      </c>
      <c r="H1981" s="45">
        <v>0</v>
      </c>
      <c r="I1981" s="21">
        <f t="shared" si="4260"/>
        <v>440</v>
      </c>
      <c r="J1981" s="21">
        <f t="shared" si="4257"/>
        <v>29</v>
      </c>
      <c r="K1981" s="21">
        <v>0</v>
      </c>
      <c r="L1981" s="20">
        <v>6</v>
      </c>
      <c r="M1981" s="20">
        <v>0</v>
      </c>
      <c r="N1981" s="20">
        <f t="shared" si="4261"/>
        <v>15000</v>
      </c>
      <c r="O1981" s="19" t="s">
        <v>75</v>
      </c>
      <c r="P1981" s="20">
        <v>861</v>
      </c>
      <c r="Q1981" s="20">
        <f t="shared" ref="Q1981:X1981" si="4320">Q1951</f>
        <v>1500</v>
      </c>
      <c r="R1981" s="20">
        <f t="shared" si="4320"/>
        <v>6000</v>
      </c>
      <c r="S1981" s="20">
        <f t="shared" si="4320"/>
        <v>10500</v>
      </c>
      <c r="T1981" s="20">
        <f t="shared" si="4320"/>
        <v>13500</v>
      </c>
      <c r="U1981" s="20">
        <f t="shared" si="4320"/>
        <v>20</v>
      </c>
      <c r="V1981" s="20">
        <f t="shared" si="4320"/>
        <v>450</v>
      </c>
      <c r="W1981" s="20">
        <f t="shared" si="4320"/>
        <v>1000</v>
      </c>
      <c r="X1981" s="20">
        <f t="shared" si="4320"/>
        <v>8</v>
      </c>
      <c r="Y1981" s="20">
        <v>0</v>
      </c>
      <c r="Z1981" s="20">
        <v>0</v>
      </c>
      <c r="AA1981" s="20">
        <v>0</v>
      </c>
      <c r="AB1981" s="20">
        <f t="shared" si="4263"/>
        <v>0</v>
      </c>
      <c r="AC1981" s="20">
        <v>0</v>
      </c>
      <c r="AD1981" s="23">
        <f t="shared" ref="AD1981:AE1981" si="4321">AD1951</f>
        <v>58</v>
      </c>
      <c r="AE1981" s="23">
        <f t="shared" si="4321"/>
        <v>62</v>
      </c>
    </row>
    <row r="1982" spans="1:31">
      <c r="A1982" s="4">
        <v>17101</v>
      </c>
      <c r="B1982" s="4">
        <v>1</v>
      </c>
      <c r="C1982" s="29" t="s">
        <v>66</v>
      </c>
      <c r="D1982" s="46">
        <v>0</v>
      </c>
      <c r="E1982" s="28">
        <v>0</v>
      </c>
      <c r="F1982" s="28">
        <v>0</v>
      </c>
      <c r="G1982" s="28">
        <f>G1952*2</f>
        <v>126</v>
      </c>
      <c r="H1982" s="47">
        <v>0</v>
      </c>
      <c r="I1982" s="21">
        <f t="shared" si="4260"/>
        <v>55</v>
      </c>
      <c r="J1982" s="21">
        <f t="shared" si="4257"/>
        <v>0</v>
      </c>
      <c r="K1982" s="21">
        <v>0</v>
      </c>
      <c r="L1982" s="20">
        <v>45</v>
      </c>
      <c r="M1982" s="20">
        <v>0</v>
      </c>
      <c r="N1982" s="20">
        <f t="shared" si="4261"/>
        <v>10</v>
      </c>
      <c r="O1982" s="19" t="s">
        <v>66</v>
      </c>
      <c r="P1982" s="20">
        <v>9400</v>
      </c>
      <c r="Q1982" s="20">
        <f t="shared" ref="Q1982:X1982" si="4322">Q1952</f>
        <v>1</v>
      </c>
      <c r="R1982" s="20">
        <f t="shared" si="4322"/>
        <v>4</v>
      </c>
      <c r="S1982" s="20">
        <f t="shared" si="4322"/>
        <v>7</v>
      </c>
      <c r="T1982" s="20">
        <f t="shared" si="4322"/>
        <v>9</v>
      </c>
      <c r="U1982" s="20">
        <f t="shared" si="4322"/>
        <v>9400</v>
      </c>
      <c r="V1982" s="20">
        <f t="shared" si="4322"/>
        <v>9400</v>
      </c>
      <c r="W1982" s="20">
        <f t="shared" si="4322"/>
        <v>9400</v>
      </c>
      <c r="X1982" s="20">
        <f t="shared" si="4322"/>
        <v>1</v>
      </c>
      <c r="Y1982" s="20">
        <v>0</v>
      </c>
      <c r="Z1982" s="20">
        <v>0</v>
      </c>
      <c r="AA1982" s="20">
        <v>0</v>
      </c>
      <c r="AB1982" s="20">
        <f t="shared" si="4263"/>
        <v>0</v>
      </c>
      <c r="AC1982" s="20">
        <v>0</v>
      </c>
      <c r="AD1982" s="23">
        <f t="shared" ref="AD1982:AE1982" si="4323">AD1952</f>
        <v>1</v>
      </c>
      <c r="AE1982" s="23">
        <f t="shared" si="4323"/>
        <v>3</v>
      </c>
    </row>
    <row r="1983" spans="1:31">
      <c r="A1983" s="4">
        <v>17101</v>
      </c>
      <c r="B1983" s="4">
        <v>2</v>
      </c>
      <c r="C1983" s="29" t="s">
        <v>67</v>
      </c>
      <c r="D1983" s="46">
        <v>0</v>
      </c>
      <c r="E1983" s="28">
        <v>0</v>
      </c>
      <c r="F1983" s="28">
        <v>0</v>
      </c>
      <c r="G1983" s="28">
        <f t="shared" ref="G1983:G2011" si="4324">G1953*2</f>
        <v>136</v>
      </c>
      <c r="H1983" s="47">
        <v>0</v>
      </c>
      <c r="I1983" s="21">
        <f t="shared" si="4260"/>
        <v>55</v>
      </c>
      <c r="J1983" s="21">
        <f t="shared" si="4257"/>
        <v>1</v>
      </c>
      <c r="K1983" s="21">
        <v>0</v>
      </c>
      <c r="L1983" s="20">
        <v>40</v>
      </c>
      <c r="M1983" s="20">
        <v>0</v>
      </c>
      <c r="N1983" s="20">
        <f t="shared" si="4261"/>
        <v>20</v>
      </c>
      <c r="O1983" s="19" t="s">
        <v>67</v>
      </c>
      <c r="P1983" s="20">
        <v>9100</v>
      </c>
      <c r="Q1983" s="20">
        <f t="shared" ref="Q1983:X1983" si="4325">Q1953</f>
        <v>2</v>
      </c>
      <c r="R1983" s="20">
        <f t="shared" si="4325"/>
        <v>8</v>
      </c>
      <c r="S1983" s="20">
        <f t="shared" si="4325"/>
        <v>14</v>
      </c>
      <c r="T1983" s="20">
        <f t="shared" si="4325"/>
        <v>18</v>
      </c>
      <c r="U1983" s="20">
        <f t="shared" si="4325"/>
        <v>4000</v>
      </c>
      <c r="V1983" s="20">
        <f t="shared" si="4325"/>
        <v>8000</v>
      </c>
      <c r="W1983" s="20">
        <f t="shared" si="4325"/>
        <v>8000</v>
      </c>
      <c r="X1983" s="20">
        <f t="shared" si="4325"/>
        <v>1</v>
      </c>
      <c r="Y1983" s="20">
        <v>0</v>
      </c>
      <c r="Z1983" s="20">
        <v>0</v>
      </c>
      <c r="AA1983" s="20">
        <v>0</v>
      </c>
      <c r="AB1983" s="20">
        <f t="shared" si="4263"/>
        <v>0</v>
      </c>
      <c r="AC1983" s="20">
        <v>0</v>
      </c>
      <c r="AD1983" s="23">
        <f t="shared" ref="AD1983:AE1983" si="4326">AD1953</f>
        <v>2</v>
      </c>
      <c r="AE1983" s="23">
        <f t="shared" si="4326"/>
        <v>5</v>
      </c>
    </row>
    <row r="1984" spans="1:31">
      <c r="A1984" s="8">
        <v>17101</v>
      </c>
      <c r="B1984" s="8">
        <v>3</v>
      </c>
      <c r="C1984" s="29" t="s">
        <v>68</v>
      </c>
      <c r="D1984" s="46">
        <v>0</v>
      </c>
      <c r="E1984" s="28">
        <v>0</v>
      </c>
      <c r="F1984" s="28">
        <v>0</v>
      </c>
      <c r="G1984" s="28">
        <f t="shared" si="4324"/>
        <v>148</v>
      </c>
      <c r="H1984" s="47">
        <v>0</v>
      </c>
      <c r="I1984" s="21">
        <f t="shared" si="4260"/>
        <v>55</v>
      </c>
      <c r="J1984" s="21">
        <f t="shared" si="4257"/>
        <v>2</v>
      </c>
      <c r="K1984" s="21">
        <v>0</v>
      </c>
      <c r="L1984" s="20">
        <v>35</v>
      </c>
      <c r="M1984" s="20">
        <v>0</v>
      </c>
      <c r="N1984" s="20">
        <f t="shared" si="4261"/>
        <v>40</v>
      </c>
      <c r="O1984" s="19" t="s">
        <v>68</v>
      </c>
      <c r="P1984" s="20">
        <v>8600</v>
      </c>
      <c r="Q1984" s="20">
        <f t="shared" ref="Q1984:X1984" si="4327">Q1954</f>
        <v>4</v>
      </c>
      <c r="R1984" s="20">
        <f t="shared" si="4327"/>
        <v>16</v>
      </c>
      <c r="S1984" s="20">
        <f t="shared" si="4327"/>
        <v>28</v>
      </c>
      <c r="T1984" s="20">
        <f t="shared" si="4327"/>
        <v>36</v>
      </c>
      <c r="U1984" s="20">
        <f t="shared" si="4327"/>
        <v>1600</v>
      </c>
      <c r="V1984" s="20">
        <f t="shared" si="4327"/>
        <v>5000</v>
      </c>
      <c r="W1984" s="20">
        <f t="shared" si="4327"/>
        <v>6000</v>
      </c>
      <c r="X1984" s="20">
        <f t="shared" si="4327"/>
        <v>1</v>
      </c>
      <c r="Y1984" s="20">
        <v>0</v>
      </c>
      <c r="Z1984" s="20">
        <v>0</v>
      </c>
      <c r="AA1984" s="20">
        <v>0</v>
      </c>
      <c r="AB1984" s="20">
        <f t="shared" si="4263"/>
        <v>0</v>
      </c>
      <c r="AC1984" s="20">
        <v>0</v>
      </c>
      <c r="AD1984" s="23">
        <f t="shared" ref="AD1984:AE1984" si="4328">AD1954</f>
        <v>4</v>
      </c>
      <c r="AE1984" s="23">
        <f t="shared" si="4328"/>
        <v>8</v>
      </c>
    </row>
    <row r="1985" spans="1:31">
      <c r="A1985" s="4">
        <v>17101</v>
      </c>
      <c r="B1985" s="4">
        <v>4</v>
      </c>
      <c r="C1985" s="29" t="s">
        <v>69</v>
      </c>
      <c r="D1985" s="46">
        <v>0</v>
      </c>
      <c r="E1985" s="28">
        <v>0</v>
      </c>
      <c r="F1985" s="28">
        <v>0</v>
      </c>
      <c r="G1985" s="28">
        <f t="shared" si="4324"/>
        <v>160</v>
      </c>
      <c r="H1985" s="47">
        <v>0</v>
      </c>
      <c r="I1985" s="21">
        <f t="shared" si="4260"/>
        <v>55</v>
      </c>
      <c r="J1985" s="21">
        <f t="shared" si="4257"/>
        <v>3</v>
      </c>
      <c r="K1985" s="21">
        <v>0</v>
      </c>
      <c r="L1985" s="20">
        <v>30</v>
      </c>
      <c r="M1985" s="20">
        <v>0</v>
      </c>
      <c r="N1985" s="20">
        <f t="shared" si="4261"/>
        <v>100</v>
      </c>
      <c r="O1985" s="19" t="s">
        <v>69</v>
      </c>
      <c r="P1985" s="20">
        <v>6400</v>
      </c>
      <c r="Q1985" s="20">
        <f t="shared" ref="Q1985:X1985" si="4329">Q1955</f>
        <v>10</v>
      </c>
      <c r="R1985" s="20">
        <f t="shared" si="4329"/>
        <v>40</v>
      </c>
      <c r="S1985" s="20">
        <f t="shared" si="4329"/>
        <v>70</v>
      </c>
      <c r="T1985" s="20">
        <f t="shared" si="4329"/>
        <v>90</v>
      </c>
      <c r="U1985" s="20">
        <f t="shared" si="4329"/>
        <v>900</v>
      </c>
      <c r="V1985" s="20">
        <f t="shared" si="4329"/>
        <v>2000</v>
      </c>
      <c r="W1985" s="20">
        <f t="shared" si="4329"/>
        <v>8000</v>
      </c>
      <c r="X1985" s="20">
        <f t="shared" si="4329"/>
        <v>1</v>
      </c>
      <c r="Y1985" s="20">
        <v>0</v>
      </c>
      <c r="Z1985" s="20">
        <v>0</v>
      </c>
      <c r="AA1985" s="20">
        <v>0</v>
      </c>
      <c r="AB1985" s="20">
        <f t="shared" si="4263"/>
        <v>0</v>
      </c>
      <c r="AC1985" s="20">
        <v>0</v>
      </c>
      <c r="AD1985" s="23">
        <f t="shared" ref="AD1985:AE1985" si="4330">AD1955</f>
        <v>6</v>
      </c>
      <c r="AE1985" s="23">
        <f t="shared" si="4330"/>
        <v>10</v>
      </c>
    </row>
    <row r="1986" spans="1:31">
      <c r="A1986" s="4">
        <v>17101</v>
      </c>
      <c r="B1986" s="4">
        <v>5</v>
      </c>
      <c r="C1986" s="29" t="s">
        <v>70</v>
      </c>
      <c r="D1986" s="46">
        <v>0</v>
      </c>
      <c r="E1986" s="28">
        <v>0</v>
      </c>
      <c r="F1986" s="28">
        <v>0</v>
      </c>
      <c r="G1986" s="28">
        <f t="shared" si="4324"/>
        <v>174</v>
      </c>
      <c r="H1986" s="47">
        <v>0</v>
      </c>
      <c r="I1986" s="21">
        <f t="shared" si="4260"/>
        <v>110</v>
      </c>
      <c r="J1986" s="21">
        <f t="shared" si="4257"/>
        <v>4</v>
      </c>
      <c r="K1986" s="21">
        <v>0</v>
      </c>
      <c r="L1986" s="20">
        <v>25</v>
      </c>
      <c r="M1986" s="20">
        <v>0</v>
      </c>
      <c r="N1986" s="20">
        <f t="shared" si="4261"/>
        <v>200</v>
      </c>
      <c r="O1986" s="19" t="s">
        <v>70</v>
      </c>
      <c r="P1986" s="20">
        <v>3100</v>
      </c>
      <c r="Q1986" s="20">
        <f t="shared" ref="Q1986:X1986" si="4331">Q1956</f>
        <v>20</v>
      </c>
      <c r="R1986" s="20">
        <f t="shared" si="4331"/>
        <v>80</v>
      </c>
      <c r="S1986" s="20">
        <f t="shared" si="4331"/>
        <v>140</v>
      </c>
      <c r="T1986" s="20">
        <f t="shared" si="4331"/>
        <v>180</v>
      </c>
      <c r="U1986" s="20">
        <f t="shared" si="4331"/>
        <v>1000</v>
      </c>
      <c r="V1986" s="20">
        <f t="shared" si="4331"/>
        <v>2000</v>
      </c>
      <c r="W1986" s="20">
        <f t="shared" si="4331"/>
        <v>2000</v>
      </c>
      <c r="X1986" s="20">
        <f t="shared" si="4331"/>
        <v>2</v>
      </c>
      <c r="Y1986" s="20">
        <v>0</v>
      </c>
      <c r="Z1986" s="20">
        <v>0</v>
      </c>
      <c r="AA1986" s="20">
        <v>0</v>
      </c>
      <c r="AB1986" s="20">
        <f t="shared" si="4263"/>
        <v>0</v>
      </c>
      <c r="AC1986" s="20">
        <v>0</v>
      </c>
      <c r="AD1986" s="23">
        <f t="shared" ref="AD1986:AE1986" si="4332">AD1956</f>
        <v>8</v>
      </c>
      <c r="AE1986" s="23">
        <f t="shared" si="4332"/>
        <v>12</v>
      </c>
    </row>
    <row r="1987" spans="1:31">
      <c r="A1987" s="4">
        <v>17101</v>
      </c>
      <c r="B1987" s="4">
        <v>6</v>
      </c>
      <c r="C1987" s="29" t="s">
        <v>71</v>
      </c>
      <c r="D1987" s="46">
        <v>0</v>
      </c>
      <c r="E1987" s="28">
        <v>0</v>
      </c>
      <c r="F1987" s="28">
        <v>0</v>
      </c>
      <c r="G1987" s="28">
        <f t="shared" si="4324"/>
        <v>188</v>
      </c>
      <c r="H1987" s="47">
        <v>0</v>
      </c>
      <c r="I1987" s="21">
        <f t="shared" si="4260"/>
        <v>110</v>
      </c>
      <c r="J1987" s="21">
        <f t="shared" si="4257"/>
        <v>5</v>
      </c>
      <c r="K1987" s="21">
        <v>0</v>
      </c>
      <c r="L1987" s="20">
        <v>20</v>
      </c>
      <c r="M1987" s="20">
        <v>0</v>
      </c>
      <c r="N1987" s="20">
        <f t="shared" si="4261"/>
        <v>500</v>
      </c>
      <c r="O1987" s="19" t="s">
        <v>71</v>
      </c>
      <c r="P1987" s="20">
        <v>1777</v>
      </c>
      <c r="Q1987" s="20">
        <f t="shared" ref="Q1987:X1987" si="4333">Q1957</f>
        <v>50</v>
      </c>
      <c r="R1987" s="20">
        <f t="shared" si="4333"/>
        <v>200</v>
      </c>
      <c r="S1987" s="20">
        <f t="shared" si="4333"/>
        <v>350</v>
      </c>
      <c r="T1987" s="20">
        <f t="shared" si="4333"/>
        <v>450</v>
      </c>
      <c r="U1987" s="20">
        <f t="shared" si="4333"/>
        <v>800</v>
      </c>
      <c r="V1987" s="20">
        <f t="shared" si="4333"/>
        <v>800</v>
      </c>
      <c r="W1987" s="20">
        <f t="shared" si="4333"/>
        <v>600</v>
      </c>
      <c r="X1987" s="20">
        <f t="shared" si="4333"/>
        <v>2</v>
      </c>
      <c r="Y1987" s="20">
        <v>0</v>
      </c>
      <c r="Z1987" s="20">
        <v>0</v>
      </c>
      <c r="AA1987" s="20">
        <v>0</v>
      </c>
      <c r="AB1987" s="20">
        <f t="shared" si="4263"/>
        <v>0</v>
      </c>
      <c r="AC1987" s="20">
        <v>0</v>
      </c>
      <c r="AD1987" s="23">
        <f t="shared" ref="AD1987:AE1987" si="4334">AD1957</f>
        <v>10</v>
      </c>
      <c r="AE1987" s="23">
        <f t="shared" si="4334"/>
        <v>14</v>
      </c>
    </row>
    <row r="1988" spans="1:31">
      <c r="A1988" s="4">
        <v>17101</v>
      </c>
      <c r="B1988" s="4">
        <v>7</v>
      </c>
      <c r="C1988" s="29" t="s">
        <v>72</v>
      </c>
      <c r="D1988" s="46">
        <v>0</v>
      </c>
      <c r="E1988" s="28">
        <v>0</v>
      </c>
      <c r="F1988" s="28">
        <v>0</v>
      </c>
      <c r="G1988" s="28">
        <f t="shared" si="4324"/>
        <v>202</v>
      </c>
      <c r="H1988" s="47">
        <v>0</v>
      </c>
      <c r="I1988" s="21">
        <f t="shared" si="4260"/>
        <v>110</v>
      </c>
      <c r="J1988" s="21">
        <f t="shared" si="4257"/>
        <v>6</v>
      </c>
      <c r="K1988" s="21">
        <v>0</v>
      </c>
      <c r="L1988" s="20">
        <v>16</v>
      </c>
      <c r="M1988" s="20">
        <v>0</v>
      </c>
      <c r="N1988" s="20">
        <f t="shared" si="4261"/>
        <v>700</v>
      </c>
      <c r="O1988" s="19" t="s">
        <v>72</v>
      </c>
      <c r="P1988" s="20">
        <v>2332</v>
      </c>
      <c r="Q1988" s="20">
        <f t="shared" ref="Q1988:X1988" si="4335">Q1958</f>
        <v>70</v>
      </c>
      <c r="R1988" s="20">
        <f t="shared" si="4335"/>
        <v>280</v>
      </c>
      <c r="S1988" s="20">
        <f t="shared" si="4335"/>
        <v>489.99999999999994</v>
      </c>
      <c r="T1988" s="20">
        <f t="shared" si="4335"/>
        <v>630</v>
      </c>
      <c r="U1988" s="20">
        <f t="shared" si="4335"/>
        <v>650</v>
      </c>
      <c r="V1988" s="20">
        <f t="shared" si="4335"/>
        <v>800</v>
      </c>
      <c r="W1988" s="20">
        <f t="shared" si="4335"/>
        <v>300</v>
      </c>
      <c r="X1988" s="20">
        <f t="shared" si="4335"/>
        <v>2</v>
      </c>
      <c r="Y1988" s="20">
        <v>0</v>
      </c>
      <c r="Z1988" s="20">
        <v>0</v>
      </c>
      <c r="AA1988" s="20">
        <v>0</v>
      </c>
      <c r="AB1988" s="20">
        <f t="shared" si="4263"/>
        <v>0</v>
      </c>
      <c r="AC1988" s="20">
        <v>0</v>
      </c>
      <c r="AD1988" s="23">
        <f t="shared" ref="AD1988:AE1988" si="4336">AD1958</f>
        <v>12</v>
      </c>
      <c r="AE1988" s="23">
        <f t="shared" si="4336"/>
        <v>16</v>
      </c>
    </row>
    <row r="1989" spans="1:31">
      <c r="A1989" s="4">
        <v>17101</v>
      </c>
      <c r="B1989" s="4">
        <v>8</v>
      </c>
      <c r="C1989" s="29" t="s">
        <v>73</v>
      </c>
      <c r="D1989" s="46">
        <v>0</v>
      </c>
      <c r="E1989" s="28">
        <v>0</v>
      </c>
      <c r="F1989" s="28">
        <v>0</v>
      </c>
      <c r="G1989" s="28">
        <f t="shared" si="4324"/>
        <v>220</v>
      </c>
      <c r="H1989" s="47">
        <v>0</v>
      </c>
      <c r="I1989" s="21">
        <f t="shared" si="4260"/>
        <v>110</v>
      </c>
      <c r="J1989" s="21">
        <f t="shared" si="4257"/>
        <v>7</v>
      </c>
      <c r="K1989" s="21">
        <v>0</v>
      </c>
      <c r="L1989" s="20">
        <v>12</v>
      </c>
      <c r="M1989" s="20">
        <v>0</v>
      </c>
      <c r="N1989" s="20">
        <f t="shared" si="4261"/>
        <v>800</v>
      </c>
      <c r="O1989" s="19" t="s">
        <v>73</v>
      </c>
      <c r="P1989" s="20">
        <v>1487</v>
      </c>
      <c r="Q1989" s="20">
        <f t="shared" ref="Q1989:X1989" si="4337">Q1959</f>
        <v>80</v>
      </c>
      <c r="R1989" s="20">
        <f t="shared" si="4337"/>
        <v>320</v>
      </c>
      <c r="S1989" s="20">
        <f t="shared" si="4337"/>
        <v>560</v>
      </c>
      <c r="T1989" s="20">
        <f t="shared" si="4337"/>
        <v>720</v>
      </c>
      <c r="U1989" s="20">
        <f t="shared" si="4337"/>
        <v>200</v>
      </c>
      <c r="V1989" s="20">
        <f t="shared" si="4337"/>
        <v>2000</v>
      </c>
      <c r="W1989" s="20">
        <f t="shared" si="4337"/>
        <v>1000</v>
      </c>
      <c r="X1989" s="20">
        <f t="shared" si="4337"/>
        <v>2</v>
      </c>
      <c r="Y1989" s="20">
        <f>ROUND(D1989*0.25,-1)</f>
        <v>0</v>
      </c>
      <c r="Z1989" s="20">
        <f>ROUND(E1989*0.25,-1)</f>
        <v>0</v>
      </c>
      <c r="AA1989" s="20">
        <f>ROUND(F1989*0.25,-1)</f>
        <v>0</v>
      </c>
      <c r="AB1989" s="20">
        <f t="shared" si="4263"/>
        <v>44</v>
      </c>
      <c r="AC1989" s="20">
        <f>ROUND(H1989*0.25,-1)</f>
        <v>0</v>
      </c>
      <c r="AD1989" s="23">
        <f t="shared" ref="AD1989:AE1989" si="4338">AD1959</f>
        <v>14</v>
      </c>
      <c r="AE1989" s="23">
        <f t="shared" si="4338"/>
        <v>18</v>
      </c>
    </row>
    <row r="1990" spans="1:31">
      <c r="A1990" s="4">
        <v>17101</v>
      </c>
      <c r="B1990" s="4">
        <v>9</v>
      </c>
      <c r="C1990" s="29" t="s">
        <v>74</v>
      </c>
      <c r="D1990" s="46">
        <v>0</v>
      </c>
      <c r="E1990" s="28">
        <v>0</v>
      </c>
      <c r="F1990" s="28">
        <v>0</v>
      </c>
      <c r="G1990" s="28">
        <f t="shared" si="4324"/>
        <v>238</v>
      </c>
      <c r="H1990" s="47">
        <v>0</v>
      </c>
      <c r="I1990" s="21">
        <f t="shared" si="4260"/>
        <v>165</v>
      </c>
      <c r="J1990" s="21">
        <f t="shared" si="4257"/>
        <v>8</v>
      </c>
      <c r="K1990" s="21">
        <v>0</v>
      </c>
      <c r="L1990" s="20">
        <v>8</v>
      </c>
      <c r="M1990" s="20">
        <v>0</v>
      </c>
      <c r="N1990" s="20">
        <f t="shared" si="4261"/>
        <v>900</v>
      </c>
      <c r="O1990" s="19" t="s">
        <v>74</v>
      </c>
      <c r="P1990" s="20">
        <v>1518</v>
      </c>
      <c r="Q1990" s="20">
        <f t="shared" ref="Q1990:X1990" si="4339">Q1960</f>
        <v>90</v>
      </c>
      <c r="R1990" s="20">
        <f t="shared" si="4339"/>
        <v>360</v>
      </c>
      <c r="S1990" s="20">
        <f t="shared" si="4339"/>
        <v>630</v>
      </c>
      <c r="T1990" s="20">
        <f t="shared" si="4339"/>
        <v>810</v>
      </c>
      <c r="U1990" s="20">
        <f t="shared" si="4339"/>
        <v>120</v>
      </c>
      <c r="V1990" s="20">
        <f t="shared" si="4339"/>
        <v>1500</v>
      </c>
      <c r="W1990" s="20">
        <f t="shared" si="4339"/>
        <v>1000</v>
      </c>
      <c r="X1990" s="20">
        <f t="shared" si="4339"/>
        <v>3</v>
      </c>
      <c r="Y1990" s="20">
        <v>0</v>
      </c>
      <c r="Z1990" s="20">
        <v>0</v>
      </c>
      <c r="AA1990" s="20">
        <v>0</v>
      </c>
      <c r="AB1990" s="20">
        <f t="shared" si="4263"/>
        <v>0</v>
      </c>
      <c r="AC1990" s="20">
        <v>0</v>
      </c>
      <c r="AD1990" s="23">
        <f t="shared" ref="AD1990:AE1990" si="4340">AD1960</f>
        <v>16</v>
      </c>
      <c r="AE1990" s="23">
        <f t="shared" si="4340"/>
        <v>20</v>
      </c>
    </row>
    <row r="1991" spans="1:31">
      <c r="A1991" s="4">
        <v>17101</v>
      </c>
      <c r="B1991" s="4">
        <v>10</v>
      </c>
      <c r="C1991" s="29" t="s">
        <v>75</v>
      </c>
      <c r="D1991" s="46">
        <v>0</v>
      </c>
      <c r="E1991" s="28">
        <v>0</v>
      </c>
      <c r="F1991" s="28">
        <v>0</v>
      </c>
      <c r="G1991" s="28">
        <f t="shared" si="4324"/>
        <v>258</v>
      </c>
      <c r="H1991" s="47">
        <v>0</v>
      </c>
      <c r="I1991" s="21">
        <f t="shared" si="4260"/>
        <v>165</v>
      </c>
      <c r="J1991" s="21">
        <f t="shared" si="4257"/>
        <v>9</v>
      </c>
      <c r="K1991" s="21">
        <v>0</v>
      </c>
      <c r="L1991" s="20">
        <v>6</v>
      </c>
      <c r="M1991" s="20">
        <v>0</v>
      </c>
      <c r="N1991" s="20">
        <f t="shared" si="4261"/>
        <v>2000</v>
      </c>
      <c r="O1991" s="19" t="s">
        <v>75</v>
      </c>
      <c r="P1991" s="20">
        <v>861</v>
      </c>
      <c r="Q1991" s="20">
        <f t="shared" ref="Q1991:X1991" si="4341">Q1961</f>
        <v>200</v>
      </c>
      <c r="R1991" s="20">
        <f t="shared" si="4341"/>
        <v>800</v>
      </c>
      <c r="S1991" s="20">
        <f t="shared" si="4341"/>
        <v>1400</v>
      </c>
      <c r="T1991" s="20">
        <f t="shared" si="4341"/>
        <v>1800</v>
      </c>
      <c r="U1991" s="20">
        <f t="shared" si="4341"/>
        <v>150</v>
      </c>
      <c r="V1991" s="20">
        <f t="shared" si="4341"/>
        <v>5000</v>
      </c>
      <c r="W1991" s="20">
        <f t="shared" si="4341"/>
        <v>800</v>
      </c>
      <c r="X1991" s="20">
        <f t="shared" si="4341"/>
        <v>3</v>
      </c>
      <c r="Y1991" s="20">
        <v>0</v>
      </c>
      <c r="Z1991" s="20">
        <v>0</v>
      </c>
      <c r="AA1991" s="20">
        <v>0</v>
      </c>
      <c r="AB1991" s="20">
        <f t="shared" si="4263"/>
        <v>0</v>
      </c>
      <c r="AC1991" s="20">
        <v>0</v>
      </c>
      <c r="AD1991" s="23">
        <f t="shared" ref="AD1991:AE1991" si="4342">AD1961</f>
        <v>18</v>
      </c>
      <c r="AE1991" s="23">
        <f t="shared" si="4342"/>
        <v>22</v>
      </c>
    </row>
    <row r="1992" spans="1:31">
      <c r="A1992" s="4">
        <v>17101</v>
      </c>
      <c r="B1992" s="4">
        <v>11</v>
      </c>
      <c r="C1992" s="29" t="s">
        <v>66</v>
      </c>
      <c r="D1992" s="46">
        <v>0</v>
      </c>
      <c r="E1992" s="28">
        <v>0</v>
      </c>
      <c r="F1992" s="28">
        <v>0</v>
      </c>
      <c r="G1992" s="28">
        <f t="shared" si="4324"/>
        <v>278</v>
      </c>
      <c r="H1992" s="47">
        <v>0</v>
      </c>
      <c r="I1992" s="21">
        <f t="shared" si="4260"/>
        <v>165</v>
      </c>
      <c r="J1992" s="21">
        <f t="shared" si="4257"/>
        <v>10</v>
      </c>
      <c r="K1992" s="21">
        <v>0</v>
      </c>
      <c r="L1992" s="20">
        <v>6</v>
      </c>
      <c r="M1992" s="20">
        <v>0</v>
      </c>
      <c r="N1992" s="20">
        <f t="shared" si="4261"/>
        <v>2200</v>
      </c>
      <c r="O1992" s="19" t="s">
        <v>66</v>
      </c>
      <c r="P1992" s="20">
        <v>9400</v>
      </c>
      <c r="Q1992" s="20">
        <f t="shared" ref="Q1992:X1992" si="4343">Q1962</f>
        <v>220</v>
      </c>
      <c r="R1992" s="20">
        <f t="shared" si="4343"/>
        <v>880</v>
      </c>
      <c r="S1992" s="20">
        <f t="shared" si="4343"/>
        <v>1540</v>
      </c>
      <c r="T1992" s="20">
        <f t="shared" si="4343"/>
        <v>1980</v>
      </c>
      <c r="U1992" s="20">
        <f t="shared" si="4343"/>
        <v>100</v>
      </c>
      <c r="V1992" s="20">
        <f t="shared" si="4343"/>
        <v>800</v>
      </c>
      <c r="W1992" s="20">
        <f t="shared" si="4343"/>
        <v>600</v>
      </c>
      <c r="X1992" s="20">
        <f t="shared" si="4343"/>
        <v>3</v>
      </c>
      <c r="Y1992" s="20">
        <v>0</v>
      </c>
      <c r="Z1992" s="20">
        <v>0</v>
      </c>
      <c r="AA1992" s="20">
        <v>0</v>
      </c>
      <c r="AB1992" s="20">
        <f t="shared" si="4263"/>
        <v>0</v>
      </c>
      <c r="AC1992" s="20">
        <v>0</v>
      </c>
      <c r="AD1992" s="23">
        <f t="shared" ref="AD1992:AE1992" si="4344">AD1962</f>
        <v>20</v>
      </c>
      <c r="AE1992" s="23">
        <f t="shared" si="4344"/>
        <v>24</v>
      </c>
    </row>
    <row r="1993" spans="1:31">
      <c r="A1993" s="4">
        <v>17101</v>
      </c>
      <c r="B1993" s="4">
        <v>12</v>
      </c>
      <c r="C1993" s="29" t="s">
        <v>67</v>
      </c>
      <c r="D1993" s="46">
        <v>0</v>
      </c>
      <c r="E1993" s="28">
        <v>0</v>
      </c>
      <c r="F1993" s="28">
        <v>0</v>
      </c>
      <c r="G1993" s="28">
        <f t="shared" si="4324"/>
        <v>302</v>
      </c>
      <c r="H1993" s="47">
        <v>0</v>
      </c>
      <c r="I1993" s="21">
        <f t="shared" si="4260"/>
        <v>165</v>
      </c>
      <c r="J1993" s="21">
        <f t="shared" si="4257"/>
        <v>11</v>
      </c>
      <c r="K1993" s="21">
        <v>0</v>
      </c>
      <c r="L1993" s="20">
        <v>6</v>
      </c>
      <c r="M1993" s="20">
        <v>0</v>
      </c>
      <c r="N1993" s="20">
        <f t="shared" si="4261"/>
        <v>2400</v>
      </c>
      <c r="O1993" s="19" t="s">
        <v>67</v>
      </c>
      <c r="P1993" s="20">
        <v>9100</v>
      </c>
      <c r="Q1993" s="20">
        <f t="shared" ref="Q1993:X1993" si="4345">Q1963</f>
        <v>240</v>
      </c>
      <c r="R1993" s="20">
        <f t="shared" si="4345"/>
        <v>960</v>
      </c>
      <c r="S1993" s="20">
        <f t="shared" si="4345"/>
        <v>1680</v>
      </c>
      <c r="T1993" s="20">
        <f t="shared" si="4345"/>
        <v>2160</v>
      </c>
      <c r="U1993" s="20">
        <f t="shared" si="4345"/>
        <v>150</v>
      </c>
      <c r="V1993" s="20">
        <f t="shared" si="4345"/>
        <v>700</v>
      </c>
      <c r="W1993" s="20">
        <f t="shared" si="4345"/>
        <v>900</v>
      </c>
      <c r="X1993" s="20">
        <f t="shared" si="4345"/>
        <v>3</v>
      </c>
      <c r="Y1993" s="20">
        <v>0</v>
      </c>
      <c r="Z1993" s="20">
        <v>0</v>
      </c>
      <c r="AA1993" s="20">
        <v>0</v>
      </c>
      <c r="AB1993" s="20">
        <f t="shared" si="4263"/>
        <v>0</v>
      </c>
      <c r="AC1993" s="20">
        <v>0</v>
      </c>
      <c r="AD1993" s="23">
        <f t="shared" ref="AD1993:AE1993" si="4346">AD1963</f>
        <v>22</v>
      </c>
      <c r="AE1993" s="23">
        <f t="shared" si="4346"/>
        <v>26</v>
      </c>
    </row>
    <row r="1994" spans="1:31">
      <c r="A1994" s="4">
        <v>17101</v>
      </c>
      <c r="B1994" s="4">
        <v>13</v>
      </c>
      <c r="C1994" s="29" t="s">
        <v>68</v>
      </c>
      <c r="D1994" s="46">
        <v>0</v>
      </c>
      <c r="E1994" s="28">
        <v>0</v>
      </c>
      <c r="F1994" s="28">
        <v>0</v>
      </c>
      <c r="G1994" s="28">
        <f t="shared" si="4324"/>
        <v>326</v>
      </c>
      <c r="H1994" s="47">
        <v>0</v>
      </c>
      <c r="I1994" s="21">
        <f t="shared" si="4260"/>
        <v>220</v>
      </c>
      <c r="J1994" s="21">
        <f t="shared" si="4257"/>
        <v>12</v>
      </c>
      <c r="K1994" s="21">
        <v>0</v>
      </c>
      <c r="L1994" s="20">
        <v>6</v>
      </c>
      <c r="M1994" s="20">
        <v>0</v>
      </c>
      <c r="N1994" s="20">
        <f t="shared" si="4261"/>
        <v>2600</v>
      </c>
      <c r="O1994" s="19" t="s">
        <v>68</v>
      </c>
      <c r="P1994" s="20">
        <v>8600</v>
      </c>
      <c r="Q1994" s="20">
        <f t="shared" ref="Q1994:X1994" si="4347">Q1964</f>
        <v>260</v>
      </c>
      <c r="R1994" s="20">
        <f t="shared" si="4347"/>
        <v>1040</v>
      </c>
      <c r="S1994" s="20">
        <f t="shared" si="4347"/>
        <v>1819.9999999999998</v>
      </c>
      <c r="T1994" s="20">
        <f t="shared" si="4347"/>
        <v>2340</v>
      </c>
      <c r="U1994" s="20">
        <f t="shared" si="4347"/>
        <v>100</v>
      </c>
      <c r="V1994" s="20">
        <f t="shared" si="4347"/>
        <v>700</v>
      </c>
      <c r="W1994" s="20">
        <f t="shared" si="4347"/>
        <v>1000</v>
      </c>
      <c r="X1994" s="20">
        <f t="shared" si="4347"/>
        <v>4</v>
      </c>
      <c r="Y1994" s="20">
        <f>ROUND(D1994*0.25,-1)</f>
        <v>0</v>
      </c>
      <c r="Z1994" s="20">
        <f>ROUND(E1994*0.25,-1)</f>
        <v>0</v>
      </c>
      <c r="AA1994" s="20">
        <f>ROUND(F1994*0.25,-1)</f>
        <v>0</v>
      </c>
      <c r="AB1994" s="20">
        <f t="shared" si="4263"/>
        <v>88</v>
      </c>
      <c r="AC1994" s="20">
        <f>ROUND(H1994*0.25,-1)</f>
        <v>0</v>
      </c>
      <c r="AD1994" s="23">
        <f t="shared" ref="AD1994:AE1994" si="4348">AD1964</f>
        <v>24</v>
      </c>
      <c r="AE1994" s="23">
        <f t="shared" si="4348"/>
        <v>28</v>
      </c>
    </row>
    <row r="1995" spans="1:31">
      <c r="A1995" s="4">
        <v>17101</v>
      </c>
      <c r="B1995" s="4">
        <v>14</v>
      </c>
      <c r="C1995" s="29" t="s">
        <v>69</v>
      </c>
      <c r="D1995" s="46">
        <v>0</v>
      </c>
      <c r="E1995" s="28">
        <v>0</v>
      </c>
      <c r="F1995" s="28">
        <v>0</v>
      </c>
      <c r="G1995" s="28">
        <f t="shared" si="4324"/>
        <v>354</v>
      </c>
      <c r="H1995" s="47">
        <v>0</v>
      </c>
      <c r="I1995" s="21">
        <f t="shared" si="4260"/>
        <v>220</v>
      </c>
      <c r="J1995" s="21">
        <f t="shared" si="4257"/>
        <v>13</v>
      </c>
      <c r="K1995" s="21">
        <v>0</v>
      </c>
      <c r="L1995" s="20">
        <v>6</v>
      </c>
      <c r="M1995" s="20">
        <v>0</v>
      </c>
      <c r="N1995" s="20">
        <f t="shared" si="4261"/>
        <v>2800</v>
      </c>
      <c r="O1995" s="19" t="s">
        <v>69</v>
      </c>
      <c r="P1995" s="20">
        <v>6400</v>
      </c>
      <c r="Q1995" s="20">
        <f t="shared" ref="Q1995:X1995" si="4349">Q1965</f>
        <v>280</v>
      </c>
      <c r="R1995" s="20">
        <f t="shared" si="4349"/>
        <v>1120</v>
      </c>
      <c r="S1995" s="20">
        <f t="shared" si="4349"/>
        <v>1959.9999999999998</v>
      </c>
      <c r="T1995" s="20">
        <f t="shared" si="4349"/>
        <v>2520</v>
      </c>
      <c r="U1995" s="20">
        <f t="shared" si="4349"/>
        <v>100</v>
      </c>
      <c r="V1995" s="20">
        <f t="shared" si="4349"/>
        <v>400</v>
      </c>
      <c r="W1995" s="20">
        <f t="shared" si="4349"/>
        <v>1200</v>
      </c>
      <c r="X1995" s="20">
        <f t="shared" si="4349"/>
        <v>4</v>
      </c>
      <c r="Y1995" s="20">
        <v>0</v>
      </c>
      <c r="Z1995" s="20">
        <v>0</v>
      </c>
      <c r="AA1995" s="20">
        <v>0</v>
      </c>
      <c r="AB1995" s="20">
        <f t="shared" si="4263"/>
        <v>0</v>
      </c>
      <c r="AC1995" s="20">
        <v>0</v>
      </c>
      <c r="AD1995" s="23">
        <f t="shared" ref="AD1995:AE1995" si="4350">AD1965</f>
        <v>26</v>
      </c>
      <c r="AE1995" s="23">
        <f t="shared" si="4350"/>
        <v>30</v>
      </c>
    </row>
    <row r="1996" spans="1:31">
      <c r="A1996" s="8">
        <v>17101</v>
      </c>
      <c r="B1996" s="8">
        <v>15</v>
      </c>
      <c r="C1996" s="29" t="s">
        <v>70</v>
      </c>
      <c r="D1996" s="46">
        <v>0</v>
      </c>
      <c r="E1996" s="28">
        <v>0</v>
      </c>
      <c r="F1996" s="28">
        <v>0</v>
      </c>
      <c r="G1996" s="28">
        <f t="shared" si="4324"/>
        <v>382</v>
      </c>
      <c r="H1996" s="47">
        <v>0</v>
      </c>
      <c r="I1996" s="21">
        <f t="shared" si="4260"/>
        <v>220</v>
      </c>
      <c r="J1996" s="21">
        <f t="shared" si="4257"/>
        <v>14</v>
      </c>
      <c r="K1996" s="21">
        <v>0</v>
      </c>
      <c r="L1996" s="20">
        <v>6</v>
      </c>
      <c r="M1996" s="20">
        <v>0</v>
      </c>
      <c r="N1996" s="20">
        <f t="shared" si="4261"/>
        <v>4500</v>
      </c>
      <c r="O1996" s="19" t="s">
        <v>70</v>
      </c>
      <c r="P1996" s="20">
        <v>3100</v>
      </c>
      <c r="Q1996" s="20">
        <f t="shared" ref="Q1996:X1996" si="4351">Q1966</f>
        <v>450</v>
      </c>
      <c r="R1996" s="20">
        <f t="shared" si="4351"/>
        <v>1800</v>
      </c>
      <c r="S1996" s="20">
        <f t="shared" si="4351"/>
        <v>3150</v>
      </c>
      <c r="T1996" s="20">
        <f t="shared" si="4351"/>
        <v>4050</v>
      </c>
      <c r="U1996" s="20">
        <f t="shared" si="4351"/>
        <v>100</v>
      </c>
      <c r="V1996" s="20">
        <f t="shared" si="4351"/>
        <v>1000</v>
      </c>
      <c r="W1996" s="20">
        <f t="shared" si="4351"/>
        <v>600</v>
      </c>
      <c r="X1996" s="20">
        <f t="shared" si="4351"/>
        <v>4</v>
      </c>
      <c r="Y1996" s="20">
        <v>0</v>
      </c>
      <c r="Z1996" s="20">
        <v>0</v>
      </c>
      <c r="AA1996" s="20">
        <v>0</v>
      </c>
      <c r="AB1996" s="20">
        <f t="shared" si="4263"/>
        <v>0</v>
      </c>
      <c r="AC1996" s="20">
        <v>0</v>
      </c>
      <c r="AD1996" s="23">
        <f t="shared" ref="AD1996:AE1996" si="4352">AD1966</f>
        <v>28</v>
      </c>
      <c r="AE1996" s="23">
        <f t="shared" si="4352"/>
        <v>32</v>
      </c>
    </row>
    <row r="1997" spans="1:31">
      <c r="A1997" s="4">
        <v>17101</v>
      </c>
      <c r="B1997" s="4">
        <v>16</v>
      </c>
      <c r="C1997" s="29" t="s">
        <v>71</v>
      </c>
      <c r="D1997" s="46">
        <v>0</v>
      </c>
      <c r="E1997" s="28">
        <v>0</v>
      </c>
      <c r="F1997" s="28">
        <v>0</v>
      </c>
      <c r="G1997" s="28">
        <f t="shared" si="4324"/>
        <v>414</v>
      </c>
      <c r="H1997" s="47">
        <v>0</v>
      </c>
      <c r="I1997" s="21">
        <f t="shared" si="4260"/>
        <v>220</v>
      </c>
      <c r="J1997" s="21">
        <f t="shared" si="4257"/>
        <v>15</v>
      </c>
      <c r="K1997" s="21">
        <v>0</v>
      </c>
      <c r="L1997" s="20">
        <v>6</v>
      </c>
      <c r="M1997" s="20">
        <v>0</v>
      </c>
      <c r="N1997" s="20">
        <f t="shared" si="4261"/>
        <v>4800</v>
      </c>
      <c r="O1997" s="19" t="s">
        <v>71</v>
      </c>
      <c r="P1997" s="20">
        <v>1777</v>
      </c>
      <c r="Q1997" s="20">
        <f t="shared" ref="Q1997:X1997" si="4353">Q1967</f>
        <v>480</v>
      </c>
      <c r="R1997" s="20">
        <f t="shared" si="4353"/>
        <v>1920</v>
      </c>
      <c r="S1997" s="20">
        <f t="shared" si="4353"/>
        <v>3360</v>
      </c>
      <c r="T1997" s="20">
        <f t="shared" si="4353"/>
        <v>4320</v>
      </c>
      <c r="U1997" s="20">
        <f t="shared" si="4353"/>
        <v>100</v>
      </c>
      <c r="V1997" s="20">
        <f t="shared" si="4353"/>
        <v>800</v>
      </c>
      <c r="W1997" s="20">
        <f t="shared" si="4353"/>
        <v>800</v>
      </c>
      <c r="X1997" s="20">
        <f t="shared" si="4353"/>
        <v>4</v>
      </c>
      <c r="Y1997" s="20">
        <v>0</v>
      </c>
      <c r="Z1997" s="20">
        <v>0</v>
      </c>
      <c r="AA1997" s="20">
        <v>0</v>
      </c>
      <c r="AB1997" s="20">
        <f t="shared" si="4263"/>
        <v>0</v>
      </c>
      <c r="AC1997" s="20">
        <v>0</v>
      </c>
      <c r="AD1997" s="23">
        <f t="shared" ref="AD1997:AE1997" si="4354">AD1967</f>
        <v>30</v>
      </c>
      <c r="AE1997" s="23">
        <f t="shared" si="4354"/>
        <v>34</v>
      </c>
    </row>
    <row r="1998" spans="1:31">
      <c r="A1998" s="4">
        <v>17101</v>
      </c>
      <c r="B1998" s="4">
        <v>17</v>
      </c>
      <c r="C1998" s="29" t="s">
        <v>72</v>
      </c>
      <c r="D1998" s="46">
        <v>0</v>
      </c>
      <c r="E1998" s="28">
        <v>0</v>
      </c>
      <c r="F1998" s="28">
        <v>0</v>
      </c>
      <c r="G1998" s="28">
        <f t="shared" si="4324"/>
        <v>448</v>
      </c>
      <c r="H1998" s="47">
        <v>0</v>
      </c>
      <c r="I1998" s="21">
        <f t="shared" si="4260"/>
        <v>275</v>
      </c>
      <c r="J1998" s="21">
        <f t="shared" si="4257"/>
        <v>16</v>
      </c>
      <c r="K1998" s="21">
        <v>0</v>
      </c>
      <c r="L1998" s="20">
        <v>6</v>
      </c>
      <c r="M1998" s="20">
        <v>0</v>
      </c>
      <c r="N1998" s="20">
        <f t="shared" si="4261"/>
        <v>5100</v>
      </c>
      <c r="O1998" s="19" t="s">
        <v>72</v>
      </c>
      <c r="P1998" s="20">
        <v>2332</v>
      </c>
      <c r="Q1998" s="20">
        <f t="shared" ref="Q1998:X1998" si="4355">Q1968</f>
        <v>510</v>
      </c>
      <c r="R1998" s="20">
        <f t="shared" si="4355"/>
        <v>2040</v>
      </c>
      <c r="S1998" s="20">
        <f t="shared" si="4355"/>
        <v>3570</v>
      </c>
      <c r="T1998" s="20">
        <f t="shared" si="4355"/>
        <v>4590</v>
      </c>
      <c r="U1998" s="20">
        <f t="shared" si="4355"/>
        <v>80</v>
      </c>
      <c r="V1998" s="20">
        <f t="shared" si="4355"/>
        <v>800</v>
      </c>
      <c r="W1998" s="20">
        <f t="shared" si="4355"/>
        <v>600</v>
      </c>
      <c r="X1998" s="20">
        <f t="shared" si="4355"/>
        <v>5</v>
      </c>
      <c r="Y1998" s="20">
        <v>0</v>
      </c>
      <c r="Z1998" s="20">
        <v>0</v>
      </c>
      <c r="AA1998" s="20">
        <v>0</v>
      </c>
      <c r="AB1998" s="20">
        <f t="shared" si="4263"/>
        <v>0</v>
      </c>
      <c r="AC1998" s="20">
        <v>0</v>
      </c>
      <c r="AD1998" s="23">
        <f t="shared" ref="AD1998:AE1998" si="4356">AD1968</f>
        <v>32</v>
      </c>
      <c r="AE1998" s="23">
        <f t="shared" si="4356"/>
        <v>36</v>
      </c>
    </row>
    <row r="1999" spans="1:31">
      <c r="A1999" s="4">
        <v>17101</v>
      </c>
      <c r="B1999" s="4">
        <v>18</v>
      </c>
      <c r="C1999" s="29" t="s">
        <v>73</v>
      </c>
      <c r="D1999" s="46">
        <v>0</v>
      </c>
      <c r="E1999" s="28">
        <v>0</v>
      </c>
      <c r="F1999" s="28">
        <v>0</v>
      </c>
      <c r="G1999" s="28">
        <f t="shared" si="4324"/>
        <v>486</v>
      </c>
      <c r="H1999" s="47">
        <v>0</v>
      </c>
      <c r="I1999" s="21">
        <f t="shared" si="4260"/>
        <v>275</v>
      </c>
      <c r="J1999" s="21">
        <f t="shared" si="4257"/>
        <v>17</v>
      </c>
      <c r="K1999" s="21">
        <v>0</v>
      </c>
      <c r="L1999" s="20">
        <v>6</v>
      </c>
      <c r="M1999" s="20">
        <v>0</v>
      </c>
      <c r="N1999" s="20">
        <f t="shared" si="4261"/>
        <v>5400</v>
      </c>
      <c r="O1999" s="19" t="s">
        <v>73</v>
      </c>
      <c r="P1999" s="20">
        <v>1487</v>
      </c>
      <c r="Q1999" s="20">
        <f t="shared" ref="Q1999:X1999" si="4357">Q1969</f>
        <v>540</v>
      </c>
      <c r="R1999" s="20">
        <f t="shared" si="4357"/>
        <v>2160</v>
      </c>
      <c r="S1999" s="20">
        <f t="shared" si="4357"/>
        <v>3779.9999999999995</v>
      </c>
      <c r="T1999" s="20">
        <f t="shared" si="4357"/>
        <v>4860</v>
      </c>
      <c r="U1999" s="20">
        <f t="shared" si="4357"/>
        <v>100</v>
      </c>
      <c r="V1999" s="20">
        <f t="shared" si="4357"/>
        <v>600</v>
      </c>
      <c r="W1999" s="20">
        <f t="shared" si="4357"/>
        <v>300</v>
      </c>
      <c r="X1999" s="20">
        <f t="shared" si="4357"/>
        <v>5</v>
      </c>
      <c r="Y1999" s="20">
        <f>ROUND(D1999*0.25,-1)</f>
        <v>0</v>
      </c>
      <c r="Z1999" s="20">
        <f>ROUND(E1999*0.25,-1)</f>
        <v>0</v>
      </c>
      <c r="AA1999" s="20">
        <f>ROUND(F1999*0.25,-1)</f>
        <v>0</v>
      </c>
      <c r="AB1999" s="20">
        <f t="shared" si="4263"/>
        <v>132</v>
      </c>
      <c r="AC1999" s="20">
        <f>ROUND(H1999*0.25,-1)</f>
        <v>0</v>
      </c>
      <c r="AD1999" s="23">
        <f t="shared" ref="AD1999:AE1999" si="4358">AD1969</f>
        <v>34</v>
      </c>
      <c r="AE1999" s="23">
        <f t="shared" si="4358"/>
        <v>38</v>
      </c>
    </row>
    <row r="2000" spans="1:31">
      <c r="A2000" s="4">
        <v>17101</v>
      </c>
      <c r="B2000" s="4">
        <v>19</v>
      </c>
      <c r="C2000" s="29" t="s">
        <v>74</v>
      </c>
      <c r="D2000" s="46">
        <v>0</v>
      </c>
      <c r="E2000" s="28">
        <v>0</v>
      </c>
      <c r="F2000" s="28">
        <v>0</v>
      </c>
      <c r="G2000" s="28">
        <f t="shared" si="4324"/>
        <v>526</v>
      </c>
      <c r="H2000" s="47">
        <v>0</v>
      </c>
      <c r="I2000" s="21">
        <f t="shared" si="4260"/>
        <v>275</v>
      </c>
      <c r="J2000" s="21">
        <f t="shared" si="4257"/>
        <v>18</v>
      </c>
      <c r="K2000" s="21">
        <v>0</v>
      </c>
      <c r="L2000" s="20">
        <v>6</v>
      </c>
      <c r="M2000" s="20">
        <v>0</v>
      </c>
      <c r="N2000" s="20">
        <f t="shared" si="4261"/>
        <v>5700</v>
      </c>
      <c r="O2000" s="19" t="s">
        <v>74</v>
      </c>
      <c r="P2000" s="20">
        <v>1518</v>
      </c>
      <c r="Q2000" s="20">
        <f t="shared" ref="Q2000:X2000" si="4359">Q1970</f>
        <v>570</v>
      </c>
      <c r="R2000" s="20">
        <f t="shared" si="4359"/>
        <v>2280</v>
      </c>
      <c r="S2000" s="20">
        <f t="shared" si="4359"/>
        <v>3989.9999999999995</v>
      </c>
      <c r="T2000" s="20">
        <f t="shared" si="4359"/>
        <v>5130</v>
      </c>
      <c r="U2000" s="20">
        <f t="shared" si="4359"/>
        <v>100</v>
      </c>
      <c r="V2000" s="20">
        <f t="shared" si="4359"/>
        <v>500</v>
      </c>
      <c r="W2000" s="20">
        <f t="shared" si="4359"/>
        <v>400</v>
      </c>
      <c r="X2000" s="20">
        <f t="shared" si="4359"/>
        <v>5</v>
      </c>
      <c r="Y2000" s="20">
        <v>0</v>
      </c>
      <c r="Z2000" s="20">
        <v>0</v>
      </c>
      <c r="AA2000" s="20">
        <v>0</v>
      </c>
      <c r="AB2000" s="20">
        <f t="shared" si="4263"/>
        <v>0</v>
      </c>
      <c r="AC2000" s="20">
        <v>0</v>
      </c>
      <c r="AD2000" s="23">
        <f t="shared" ref="AD2000:AE2000" si="4360">AD1970</f>
        <v>36</v>
      </c>
      <c r="AE2000" s="23">
        <f t="shared" si="4360"/>
        <v>40</v>
      </c>
    </row>
    <row r="2001" spans="1:31">
      <c r="A2001" s="4">
        <v>17101</v>
      </c>
      <c r="B2001" s="4">
        <v>20</v>
      </c>
      <c r="C2001" s="29" t="s">
        <v>75</v>
      </c>
      <c r="D2001" s="46">
        <v>0</v>
      </c>
      <c r="E2001" s="28">
        <v>0</v>
      </c>
      <c r="F2001" s="28">
        <v>0</v>
      </c>
      <c r="G2001" s="28">
        <f t="shared" si="4324"/>
        <v>570</v>
      </c>
      <c r="H2001" s="47">
        <v>0</v>
      </c>
      <c r="I2001" s="21">
        <f t="shared" si="4260"/>
        <v>275</v>
      </c>
      <c r="J2001" s="21">
        <f t="shared" si="4257"/>
        <v>19</v>
      </c>
      <c r="K2001" s="21">
        <v>0</v>
      </c>
      <c r="L2001" s="20">
        <v>6</v>
      </c>
      <c r="M2001" s="20">
        <v>0</v>
      </c>
      <c r="N2001" s="20">
        <f t="shared" si="4261"/>
        <v>8000</v>
      </c>
      <c r="O2001" s="19" t="s">
        <v>75</v>
      </c>
      <c r="P2001" s="20">
        <v>861</v>
      </c>
      <c r="Q2001" s="20">
        <f t="shared" ref="Q2001:X2001" si="4361">Q1971</f>
        <v>800</v>
      </c>
      <c r="R2001" s="20">
        <f t="shared" si="4361"/>
        <v>3200</v>
      </c>
      <c r="S2001" s="20">
        <f t="shared" si="4361"/>
        <v>5600</v>
      </c>
      <c r="T2001" s="20">
        <f t="shared" si="4361"/>
        <v>7200</v>
      </c>
      <c r="U2001" s="20">
        <f t="shared" si="4361"/>
        <v>100</v>
      </c>
      <c r="V2001" s="20">
        <f t="shared" si="4361"/>
        <v>800</v>
      </c>
      <c r="W2001" s="20">
        <f t="shared" si="4361"/>
        <v>8000</v>
      </c>
      <c r="X2001" s="20">
        <f t="shared" si="4361"/>
        <v>5</v>
      </c>
      <c r="Y2001" s="20">
        <v>0</v>
      </c>
      <c r="Z2001" s="20">
        <v>0</v>
      </c>
      <c r="AA2001" s="20">
        <v>0</v>
      </c>
      <c r="AB2001" s="20">
        <f t="shared" si="4263"/>
        <v>0</v>
      </c>
      <c r="AC2001" s="20">
        <v>0</v>
      </c>
      <c r="AD2001" s="23">
        <f t="shared" ref="AD2001:AE2001" si="4362">AD1971</f>
        <v>38</v>
      </c>
      <c r="AE2001" s="23">
        <f t="shared" si="4362"/>
        <v>42</v>
      </c>
    </row>
    <row r="2002" spans="1:31">
      <c r="A2002" s="4">
        <v>17101</v>
      </c>
      <c r="B2002" s="4">
        <v>21</v>
      </c>
      <c r="C2002" s="29" t="s">
        <v>66</v>
      </c>
      <c r="D2002" s="46">
        <v>0</v>
      </c>
      <c r="E2002" s="28">
        <v>0</v>
      </c>
      <c r="F2002" s="28">
        <v>0</v>
      </c>
      <c r="G2002" s="28">
        <f t="shared" si="4324"/>
        <v>616</v>
      </c>
      <c r="H2002" s="47">
        <v>0</v>
      </c>
      <c r="I2002" s="21">
        <f t="shared" si="4260"/>
        <v>330</v>
      </c>
      <c r="J2002" s="21">
        <f t="shared" si="4257"/>
        <v>20</v>
      </c>
      <c r="K2002" s="21">
        <v>0</v>
      </c>
      <c r="L2002" s="20">
        <v>6</v>
      </c>
      <c r="M2002" s="20">
        <v>0</v>
      </c>
      <c r="N2002" s="20">
        <f t="shared" si="4261"/>
        <v>8400</v>
      </c>
      <c r="O2002" s="19" t="s">
        <v>66</v>
      </c>
      <c r="P2002" s="20">
        <v>9400</v>
      </c>
      <c r="Q2002" s="20">
        <f t="shared" ref="Q2002:X2002" si="4363">Q1972</f>
        <v>840</v>
      </c>
      <c r="R2002" s="20">
        <f t="shared" si="4363"/>
        <v>3360</v>
      </c>
      <c r="S2002" s="20">
        <f t="shared" si="4363"/>
        <v>5880</v>
      </c>
      <c r="T2002" s="20">
        <f t="shared" si="4363"/>
        <v>7560</v>
      </c>
      <c r="U2002" s="20">
        <f t="shared" si="4363"/>
        <v>50</v>
      </c>
      <c r="V2002" s="20">
        <f t="shared" si="4363"/>
        <v>1000</v>
      </c>
      <c r="W2002" s="20">
        <f t="shared" si="4363"/>
        <v>600</v>
      </c>
      <c r="X2002" s="20">
        <f t="shared" si="4363"/>
        <v>6</v>
      </c>
      <c r="Y2002" s="20">
        <v>0</v>
      </c>
      <c r="Z2002" s="20">
        <v>0</v>
      </c>
      <c r="AA2002" s="20">
        <v>0</v>
      </c>
      <c r="AB2002" s="20">
        <f t="shared" si="4263"/>
        <v>0</v>
      </c>
      <c r="AC2002" s="20">
        <v>0</v>
      </c>
      <c r="AD2002" s="23">
        <f t="shared" ref="AD2002:AE2002" si="4364">AD1972</f>
        <v>40</v>
      </c>
      <c r="AE2002" s="23">
        <f t="shared" si="4364"/>
        <v>44</v>
      </c>
    </row>
    <row r="2003" spans="1:31">
      <c r="A2003" s="4">
        <v>17101</v>
      </c>
      <c r="B2003" s="4">
        <v>22</v>
      </c>
      <c r="C2003" s="29" t="s">
        <v>67</v>
      </c>
      <c r="D2003" s="46">
        <v>0</v>
      </c>
      <c r="E2003" s="28">
        <v>0</v>
      </c>
      <c r="F2003" s="28">
        <v>0</v>
      </c>
      <c r="G2003" s="28">
        <f t="shared" si="4324"/>
        <v>668</v>
      </c>
      <c r="H2003" s="47">
        <v>0</v>
      </c>
      <c r="I2003" s="21">
        <f t="shared" si="4260"/>
        <v>330</v>
      </c>
      <c r="J2003" s="21">
        <f t="shared" si="4257"/>
        <v>21</v>
      </c>
      <c r="K2003" s="21">
        <v>0</v>
      </c>
      <c r="L2003" s="20">
        <v>6</v>
      </c>
      <c r="M2003" s="20">
        <v>0</v>
      </c>
      <c r="N2003" s="20">
        <f t="shared" si="4261"/>
        <v>8800</v>
      </c>
      <c r="O2003" s="19" t="s">
        <v>67</v>
      </c>
      <c r="P2003" s="20">
        <v>9100</v>
      </c>
      <c r="Q2003" s="20">
        <f t="shared" ref="Q2003:X2003" si="4365">Q1973</f>
        <v>880</v>
      </c>
      <c r="R2003" s="20">
        <f t="shared" si="4365"/>
        <v>3520</v>
      </c>
      <c r="S2003" s="20">
        <f t="shared" si="4365"/>
        <v>6160</v>
      </c>
      <c r="T2003" s="20">
        <f t="shared" si="4365"/>
        <v>7920</v>
      </c>
      <c r="U2003" s="20">
        <f t="shared" si="4365"/>
        <v>100</v>
      </c>
      <c r="V2003" s="20">
        <f t="shared" si="4365"/>
        <v>600</v>
      </c>
      <c r="W2003" s="20">
        <f t="shared" si="4365"/>
        <v>700</v>
      </c>
      <c r="X2003" s="20">
        <f t="shared" si="4365"/>
        <v>6</v>
      </c>
      <c r="Y2003" s="20">
        <v>0</v>
      </c>
      <c r="Z2003" s="20">
        <v>0</v>
      </c>
      <c r="AA2003" s="20">
        <v>0</v>
      </c>
      <c r="AB2003" s="20">
        <f t="shared" si="4263"/>
        <v>0</v>
      </c>
      <c r="AC2003" s="20">
        <v>0</v>
      </c>
      <c r="AD2003" s="23">
        <f t="shared" ref="AD2003:AE2003" si="4366">AD1973</f>
        <v>42</v>
      </c>
      <c r="AE2003" s="23">
        <f t="shared" si="4366"/>
        <v>46</v>
      </c>
    </row>
    <row r="2004" spans="1:31">
      <c r="A2004" s="4">
        <v>17101</v>
      </c>
      <c r="B2004" s="4">
        <v>23</v>
      </c>
      <c r="C2004" s="29" t="s">
        <v>68</v>
      </c>
      <c r="D2004" s="46">
        <v>0</v>
      </c>
      <c r="E2004" s="28">
        <v>0</v>
      </c>
      <c r="F2004" s="28">
        <v>0</v>
      </c>
      <c r="G2004" s="28">
        <f t="shared" si="4324"/>
        <v>722</v>
      </c>
      <c r="H2004" s="47">
        <v>0</v>
      </c>
      <c r="I2004" s="21">
        <f t="shared" si="4260"/>
        <v>330</v>
      </c>
      <c r="J2004" s="21">
        <f t="shared" si="4257"/>
        <v>22</v>
      </c>
      <c r="K2004" s="21">
        <v>0</v>
      </c>
      <c r="L2004" s="20">
        <v>6</v>
      </c>
      <c r="M2004" s="20">
        <v>0</v>
      </c>
      <c r="N2004" s="20">
        <f t="shared" si="4261"/>
        <v>9200</v>
      </c>
      <c r="O2004" s="19" t="s">
        <v>68</v>
      </c>
      <c r="P2004" s="20">
        <v>8600</v>
      </c>
      <c r="Q2004" s="20">
        <f t="shared" ref="Q2004:X2004" si="4367">Q1974</f>
        <v>920</v>
      </c>
      <c r="R2004" s="20">
        <f t="shared" si="4367"/>
        <v>3680</v>
      </c>
      <c r="S2004" s="20">
        <f t="shared" si="4367"/>
        <v>6440</v>
      </c>
      <c r="T2004" s="20">
        <f t="shared" si="4367"/>
        <v>8280</v>
      </c>
      <c r="U2004" s="20">
        <f t="shared" si="4367"/>
        <v>100</v>
      </c>
      <c r="V2004" s="20">
        <f t="shared" si="4367"/>
        <v>550</v>
      </c>
      <c r="W2004" s="20">
        <f t="shared" si="4367"/>
        <v>500</v>
      </c>
      <c r="X2004" s="20">
        <f t="shared" si="4367"/>
        <v>6</v>
      </c>
      <c r="Y2004" s="20">
        <f>ROUND(D2004*0.25,-1)</f>
        <v>0</v>
      </c>
      <c r="Z2004" s="20">
        <f>ROUND(E2004*0.25,-1)</f>
        <v>0</v>
      </c>
      <c r="AA2004" s="20">
        <f>ROUND(F2004*0.25,-1)</f>
        <v>0</v>
      </c>
      <c r="AB2004" s="20">
        <f t="shared" si="4263"/>
        <v>176</v>
      </c>
      <c r="AC2004" s="20">
        <f>ROUND(H2004*0.25,-1)</f>
        <v>0</v>
      </c>
      <c r="AD2004" s="23">
        <f t="shared" ref="AD2004:AE2004" si="4368">AD1974</f>
        <v>44</v>
      </c>
      <c r="AE2004" s="23">
        <f t="shared" si="4368"/>
        <v>48</v>
      </c>
    </row>
    <row r="2005" spans="1:31">
      <c r="A2005" s="4">
        <v>17101</v>
      </c>
      <c r="B2005" s="4">
        <v>24</v>
      </c>
      <c r="C2005" s="29" t="s">
        <v>69</v>
      </c>
      <c r="D2005" s="46">
        <v>0</v>
      </c>
      <c r="E2005" s="28">
        <v>0</v>
      </c>
      <c r="F2005" s="28">
        <v>0</v>
      </c>
      <c r="G2005" s="28">
        <f t="shared" si="4324"/>
        <v>782</v>
      </c>
      <c r="H2005" s="47">
        <v>0</v>
      </c>
      <c r="I2005" s="21">
        <f t="shared" si="4260"/>
        <v>330</v>
      </c>
      <c r="J2005" s="21">
        <f t="shared" si="4257"/>
        <v>23</v>
      </c>
      <c r="K2005" s="21">
        <v>0</v>
      </c>
      <c r="L2005" s="20">
        <v>6</v>
      </c>
      <c r="M2005" s="20">
        <v>0</v>
      </c>
      <c r="N2005" s="20">
        <f t="shared" si="4261"/>
        <v>9600</v>
      </c>
      <c r="O2005" s="19" t="s">
        <v>69</v>
      </c>
      <c r="P2005" s="20">
        <v>6400</v>
      </c>
      <c r="Q2005" s="20">
        <f t="shared" ref="Q2005:X2005" si="4369">Q1975</f>
        <v>960</v>
      </c>
      <c r="R2005" s="20">
        <f t="shared" si="4369"/>
        <v>3840</v>
      </c>
      <c r="S2005" s="20">
        <f t="shared" si="4369"/>
        <v>6720</v>
      </c>
      <c r="T2005" s="20">
        <f t="shared" si="4369"/>
        <v>8640</v>
      </c>
      <c r="U2005" s="20">
        <f t="shared" si="4369"/>
        <v>100</v>
      </c>
      <c r="V2005" s="20">
        <f t="shared" si="4369"/>
        <v>500</v>
      </c>
      <c r="W2005" s="20">
        <f t="shared" si="4369"/>
        <v>900</v>
      </c>
      <c r="X2005" s="20">
        <f t="shared" si="4369"/>
        <v>6</v>
      </c>
      <c r="Y2005" s="20">
        <v>0</v>
      </c>
      <c r="Z2005" s="20">
        <v>0</v>
      </c>
      <c r="AA2005" s="20">
        <v>0</v>
      </c>
      <c r="AB2005" s="20">
        <f t="shared" si="4263"/>
        <v>0</v>
      </c>
      <c r="AC2005" s="20">
        <v>0</v>
      </c>
      <c r="AD2005" s="23">
        <f t="shared" ref="AD2005:AE2005" si="4370">AD1975</f>
        <v>46</v>
      </c>
      <c r="AE2005" s="23">
        <f t="shared" si="4370"/>
        <v>50</v>
      </c>
    </row>
    <row r="2006" spans="1:31">
      <c r="A2006" s="4">
        <v>17101</v>
      </c>
      <c r="B2006" s="4">
        <v>25</v>
      </c>
      <c r="C2006" s="29" t="s">
        <v>70</v>
      </c>
      <c r="D2006" s="46">
        <v>0</v>
      </c>
      <c r="E2006" s="28">
        <v>0</v>
      </c>
      <c r="F2006" s="28">
        <v>0</v>
      </c>
      <c r="G2006" s="28">
        <f t="shared" si="4324"/>
        <v>848</v>
      </c>
      <c r="H2006" s="47">
        <v>0</v>
      </c>
      <c r="I2006" s="21">
        <f t="shared" si="4260"/>
        <v>385</v>
      </c>
      <c r="J2006" s="21">
        <f t="shared" si="4257"/>
        <v>24</v>
      </c>
      <c r="K2006" s="21">
        <v>0</v>
      </c>
      <c r="L2006" s="20">
        <v>6</v>
      </c>
      <c r="M2006" s="20">
        <v>0</v>
      </c>
      <c r="N2006" s="20">
        <f t="shared" si="4261"/>
        <v>12500</v>
      </c>
      <c r="O2006" s="19" t="s">
        <v>70</v>
      </c>
      <c r="P2006" s="20">
        <v>3100</v>
      </c>
      <c r="Q2006" s="20">
        <f t="shared" ref="Q2006:X2006" si="4371">Q1976</f>
        <v>1250</v>
      </c>
      <c r="R2006" s="20">
        <f t="shared" si="4371"/>
        <v>5000</v>
      </c>
      <c r="S2006" s="20">
        <f t="shared" si="4371"/>
        <v>8750</v>
      </c>
      <c r="T2006" s="20">
        <f t="shared" si="4371"/>
        <v>11250</v>
      </c>
      <c r="U2006" s="20">
        <f t="shared" si="4371"/>
        <v>10</v>
      </c>
      <c r="V2006" s="20">
        <f t="shared" si="4371"/>
        <v>1300</v>
      </c>
      <c r="W2006" s="20">
        <f t="shared" si="4371"/>
        <v>1000</v>
      </c>
      <c r="X2006" s="20">
        <f t="shared" si="4371"/>
        <v>7</v>
      </c>
      <c r="Y2006" s="20">
        <v>0</v>
      </c>
      <c r="Z2006" s="20">
        <v>0</v>
      </c>
      <c r="AA2006" s="20">
        <v>0</v>
      </c>
      <c r="AB2006" s="20">
        <f t="shared" si="4263"/>
        <v>0</v>
      </c>
      <c r="AC2006" s="20">
        <v>0</v>
      </c>
      <c r="AD2006" s="23">
        <f t="shared" ref="AD2006:AE2006" si="4372">AD1976</f>
        <v>48</v>
      </c>
      <c r="AE2006" s="23">
        <f t="shared" si="4372"/>
        <v>52</v>
      </c>
    </row>
    <row r="2007" spans="1:31">
      <c r="A2007" s="4">
        <v>17101</v>
      </c>
      <c r="B2007" s="4">
        <v>26</v>
      </c>
      <c r="C2007" s="29" t="s">
        <v>71</v>
      </c>
      <c r="D2007" s="46">
        <v>0</v>
      </c>
      <c r="E2007" s="28">
        <v>0</v>
      </c>
      <c r="F2007" s="28">
        <v>0</v>
      </c>
      <c r="G2007" s="28">
        <f t="shared" si="4324"/>
        <v>918</v>
      </c>
      <c r="H2007" s="47">
        <v>0</v>
      </c>
      <c r="I2007" s="21">
        <f t="shared" si="4260"/>
        <v>385</v>
      </c>
      <c r="J2007" s="21">
        <f t="shared" si="4257"/>
        <v>25</v>
      </c>
      <c r="K2007" s="21">
        <v>0</v>
      </c>
      <c r="L2007" s="20">
        <v>6</v>
      </c>
      <c r="M2007" s="20">
        <v>0</v>
      </c>
      <c r="N2007" s="20">
        <f t="shared" si="4261"/>
        <v>13000</v>
      </c>
      <c r="O2007" s="19" t="s">
        <v>71</v>
      </c>
      <c r="P2007" s="20">
        <v>1777</v>
      </c>
      <c r="Q2007" s="20">
        <f t="shared" ref="Q2007:X2007" si="4373">Q1977</f>
        <v>1300</v>
      </c>
      <c r="R2007" s="20">
        <f t="shared" si="4373"/>
        <v>5200</v>
      </c>
      <c r="S2007" s="20">
        <f t="shared" si="4373"/>
        <v>9100</v>
      </c>
      <c r="T2007" s="20">
        <f t="shared" si="4373"/>
        <v>11700</v>
      </c>
      <c r="U2007" s="20">
        <f t="shared" si="4373"/>
        <v>90</v>
      </c>
      <c r="V2007" s="20">
        <f t="shared" si="4373"/>
        <v>800</v>
      </c>
      <c r="W2007" s="20">
        <f t="shared" si="4373"/>
        <v>2000</v>
      </c>
      <c r="X2007" s="20">
        <f t="shared" si="4373"/>
        <v>7</v>
      </c>
      <c r="Y2007" s="20">
        <v>0</v>
      </c>
      <c r="Z2007" s="20">
        <v>0</v>
      </c>
      <c r="AA2007" s="20">
        <v>0</v>
      </c>
      <c r="AB2007" s="20">
        <f t="shared" si="4263"/>
        <v>0</v>
      </c>
      <c r="AC2007" s="20">
        <v>0</v>
      </c>
      <c r="AD2007" s="23">
        <f t="shared" ref="AD2007:AE2007" si="4374">AD1977</f>
        <v>50</v>
      </c>
      <c r="AE2007" s="23">
        <f t="shared" si="4374"/>
        <v>54</v>
      </c>
    </row>
    <row r="2008" spans="1:31">
      <c r="A2008" s="4">
        <v>17101</v>
      </c>
      <c r="B2008" s="4">
        <v>27</v>
      </c>
      <c r="C2008" s="29" t="s">
        <v>72</v>
      </c>
      <c r="D2008" s="46">
        <v>0</v>
      </c>
      <c r="E2008" s="28">
        <v>0</v>
      </c>
      <c r="F2008" s="28">
        <v>0</v>
      </c>
      <c r="G2008" s="28">
        <f t="shared" si="4324"/>
        <v>992</v>
      </c>
      <c r="H2008" s="47">
        <v>0</v>
      </c>
      <c r="I2008" s="21">
        <f t="shared" si="4260"/>
        <v>385</v>
      </c>
      <c r="J2008" s="21">
        <f t="shared" si="4257"/>
        <v>26</v>
      </c>
      <c r="K2008" s="21">
        <v>0</v>
      </c>
      <c r="L2008" s="20">
        <v>6</v>
      </c>
      <c r="M2008" s="20">
        <v>0</v>
      </c>
      <c r="N2008" s="20">
        <f t="shared" si="4261"/>
        <v>13500</v>
      </c>
      <c r="O2008" s="19" t="s">
        <v>72</v>
      </c>
      <c r="P2008" s="20">
        <v>2332</v>
      </c>
      <c r="Q2008" s="20">
        <f t="shared" ref="Q2008:X2008" si="4375">Q1978</f>
        <v>1350</v>
      </c>
      <c r="R2008" s="20">
        <f t="shared" si="4375"/>
        <v>5400</v>
      </c>
      <c r="S2008" s="20">
        <f t="shared" si="4375"/>
        <v>9450</v>
      </c>
      <c r="T2008" s="20">
        <f t="shared" si="4375"/>
        <v>12150</v>
      </c>
      <c r="U2008" s="20">
        <f t="shared" si="4375"/>
        <v>80</v>
      </c>
      <c r="V2008" s="20">
        <f t="shared" si="4375"/>
        <v>700</v>
      </c>
      <c r="W2008" s="20">
        <f t="shared" si="4375"/>
        <v>800</v>
      </c>
      <c r="X2008" s="20">
        <f t="shared" si="4375"/>
        <v>7</v>
      </c>
      <c r="Y2008" s="20">
        <v>0</v>
      </c>
      <c r="Z2008" s="20">
        <v>0</v>
      </c>
      <c r="AA2008" s="20">
        <v>0</v>
      </c>
      <c r="AB2008" s="20">
        <f t="shared" si="4263"/>
        <v>0</v>
      </c>
      <c r="AC2008" s="20">
        <v>0</v>
      </c>
      <c r="AD2008" s="23">
        <f t="shared" ref="AD2008:AE2008" si="4376">AD1978</f>
        <v>52</v>
      </c>
      <c r="AE2008" s="23">
        <f t="shared" si="4376"/>
        <v>56</v>
      </c>
    </row>
    <row r="2009" spans="1:31">
      <c r="A2009" s="4">
        <v>17101</v>
      </c>
      <c r="B2009" s="4">
        <v>28</v>
      </c>
      <c r="C2009" s="29" t="s">
        <v>73</v>
      </c>
      <c r="D2009" s="46">
        <v>0</v>
      </c>
      <c r="E2009" s="28">
        <v>0</v>
      </c>
      <c r="F2009" s="28">
        <v>0</v>
      </c>
      <c r="G2009" s="28">
        <f t="shared" si="4324"/>
        <v>1074</v>
      </c>
      <c r="H2009" s="47">
        <v>0</v>
      </c>
      <c r="I2009" s="21">
        <f t="shared" si="4260"/>
        <v>385</v>
      </c>
      <c r="J2009" s="21">
        <f t="shared" si="4257"/>
        <v>27</v>
      </c>
      <c r="K2009" s="21">
        <v>0</v>
      </c>
      <c r="L2009" s="20">
        <v>6</v>
      </c>
      <c r="M2009" s="20">
        <v>0</v>
      </c>
      <c r="N2009" s="20">
        <f t="shared" si="4261"/>
        <v>14000</v>
      </c>
      <c r="O2009" s="19" t="s">
        <v>73</v>
      </c>
      <c r="P2009" s="20">
        <v>1487</v>
      </c>
      <c r="Q2009" s="20">
        <f t="shared" ref="Q2009:X2009" si="4377">Q1979</f>
        <v>1400</v>
      </c>
      <c r="R2009" s="20">
        <f t="shared" si="4377"/>
        <v>5600</v>
      </c>
      <c r="S2009" s="20">
        <f t="shared" si="4377"/>
        <v>9800</v>
      </c>
      <c r="T2009" s="20">
        <f t="shared" si="4377"/>
        <v>12600</v>
      </c>
      <c r="U2009" s="20">
        <f t="shared" si="4377"/>
        <v>80</v>
      </c>
      <c r="V2009" s="20">
        <f t="shared" si="4377"/>
        <v>500</v>
      </c>
      <c r="W2009" s="20">
        <f t="shared" si="4377"/>
        <v>600</v>
      </c>
      <c r="X2009" s="20">
        <f t="shared" si="4377"/>
        <v>7</v>
      </c>
      <c r="Y2009" s="20">
        <f>ROUND(D2009*0.25,-1)</f>
        <v>0</v>
      </c>
      <c r="Z2009" s="20">
        <f>ROUND(E2009*0.25,-1)</f>
        <v>0</v>
      </c>
      <c r="AA2009" s="20">
        <f>ROUND(F2009*0.25,-1)</f>
        <v>0</v>
      </c>
      <c r="AB2009" s="20">
        <f t="shared" si="4263"/>
        <v>220</v>
      </c>
      <c r="AC2009" s="20">
        <f>ROUND(H2009*0.25,-1)</f>
        <v>0</v>
      </c>
      <c r="AD2009" s="23">
        <f t="shared" ref="AD2009:AE2009" si="4378">AD1979</f>
        <v>54</v>
      </c>
      <c r="AE2009" s="23">
        <f t="shared" si="4378"/>
        <v>58</v>
      </c>
    </row>
    <row r="2010" spans="1:31">
      <c r="A2010" s="4">
        <v>17101</v>
      </c>
      <c r="B2010" s="4">
        <v>29</v>
      </c>
      <c r="C2010" s="29" t="s">
        <v>74</v>
      </c>
      <c r="D2010" s="46">
        <v>0</v>
      </c>
      <c r="E2010" s="28">
        <v>0</v>
      </c>
      <c r="F2010" s="28">
        <v>0</v>
      </c>
      <c r="G2010" s="28">
        <f t="shared" si="4324"/>
        <v>1164</v>
      </c>
      <c r="H2010" s="47">
        <v>0</v>
      </c>
      <c r="I2010" s="21">
        <f t="shared" si="4260"/>
        <v>440</v>
      </c>
      <c r="J2010" s="21">
        <f t="shared" si="4257"/>
        <v>28</v>
      </c>
      <c r="K2010" s="21">
        <v>0</v>
      </c>
      <c r="L2010" s="20">
        <v>6</v>
      </c>
      <c r="M2010" s="20">
        <v>0</v>
      </c>
      <c r="N2010" s="20">
        <f t="shared" si="4261"/>
        <v>14500</v>
      </c>
      <c r="O2010" s="19" t="s">
        <v>74</v>
      </c>
      <c r="P2010" s="20">
        <v>1518</v>
      </c>
      <c r="Q2010" s="20">
        <f t="shared" ref="Q2010:X2010" si="4379">Q1980</f>
        <v>1450</v>
      </c>
      <c r="R2010" s="20">
        <f t="shared" si="4379"/>
        <v>5800</v>
      </c>
      <c r="S2010" s="20">
        <f t="shared" si="4379"/>
        <v>10150</v>
      </c>
      <c r="T2010" s="20">
        <f t="shared" si="4379"/>
        <v>13050</v>
      </c>
      <c r="U2010" s="20">
        <f t="shared" si="4379"/>
        <v>80</v>
      </c>
      <c r="V2010" s="20">
        <f t="shared" si="4379"/>
        <v>600</v>
      </c>
      <c r="W2010" s="20">
        <f t="shared" si="4379"/>
        <v>700</v>
      </c>
      <c r="X2010" s="20">
        <f t="shared" si="4379"/>
        <v>8</v>
      </c>
      <c r="Y2010" s="20">
        <v>0</v>
      </c>
      <c r="Z2010" s="20">
        <v>0</v>
      </c>
      <c r="AA2010" s="20">
        <v>0</v>
      </c>
      <c r="AB2010" s="20">
        <f t="shared" si="4263"/>
        <v>0</v>
      </c>
      <c r="AC2010" s="20">
        <v>0</v>
      </c>
      <c r="AD2010" s="23">
        <f t="shared" ref="AD2010:AE2010" si="4380">AD1980</f>
        <v>56</v>
      </c>
      <c r="AE2010" s="23">
        <f t="shared" si="4380"/>
        <v>60</v>
      </c>
    </row>
    <row r="2011" spans="1:31">
      <c r="A2011" s="4">
        <v>17101</v>
      </c>
      <c r="B2011" s="4">
        <v>30</v>
      </c>
      <c r="C2011" s="29" t="s">
        <v>75</v>
      </c>
      <c r="D2011" s="46">
        <v>0</v>
      </c>
      <c r="E2011" s="28">
        <v>0</v>
      </c>
      <c r="F2011" s="28">
        <v>0</v>
      </c>
      <c r="G2011" s="28">
        <f t="shared" si="4324"/>
        <v>1260</v>
      </c>
      <c r="H2011" s="47">
        <v>0</v>
      </c>
      <c r="I2011" s="21">
        <f t="shared" si="4260"/>
        <v>440</v>
      </c>
      <c r="J2011" s="21">
        <f t="shared" ref="J2011:J2074" si="4381">B2011-1</f>
        <v>29</v>
      </c>
      <c r="K2011" s="21">
        <v>0</v>
      </c>
      <c r="L2011" s="20">
        <v>6</v>
      </c>
      <c r="M2011" s="20">
        <v>0</v>
      </c>
      <c r="N2011" s="20">
        <f t="shared" si="4261"/>
        <v>15000</v>
      </c>
      <c r="O2011" s="19" t="s">
        <v>75</v>
      </c>
      <c r="P2011" s="20">
        <v>861</v>
      </c>
      <c r="Q2011" s="20">
        <f t="shared" ref="Q2011:X2011" si="4382">Q1981</f>
        <v>1500</v>
      </c>
      <c r="R2011" s="20">
        <f t="shared" si="4382"/>
        <v>6000</v>
      </c>
      <c r="S2011" s="20">
        <f t="shared" si="4382"/>
        <v>10500</v>
      </c>
      <c r="T2011" s="20">
        <f t="shared" si="4382"/>
        <v>13500</v>
      </c>
      <c r="U2011" s="20">
        <f t="shared" si="4382"/>
        <v>20</v>
      </c>
      <c r="V2011" s="20">
        <f t="shared" si="4382"/>
        <v>450</v>
      </c>
      <c r="W2011" s="20">
        <f t="shared" si="4382"/>
        <v>1000</v>
      </c>
      <c r="X2011" s="20">
        <f t="shared" si="4382"/>
        <v>8</v>
      </c>
      <c r="Y2011" s="20">
        <v>0</v>
      </c>
      <c r="Z2011" s="20">
        <v>0</v>
      </c>
      <c r="AA2011" s="20">
        <v>0</v>
      </c>
      <c r="AB2011" s="20">
        <f t="shared" si="4263"/>
        <v>0</v>
      </c>
      <c r="AC2011" s="20">
        <v>0</v>
      </c>
      <c r="AD2011" s="23">
        <f t="shared" ref="AD2011:AE2011" si="4383">AD1981</f>
        <v>58</v>
      </c>
      <c r="AE2011" s="23">
        <f t="shared" si="4383"/>
        <v>62</v>
      </c>
    </row>
    <row r="2012" spans="1:31">
      <c r="A2012" s="4">
        <v>17102</v>
      </c>
      <c r="B2012" s="4">
        <v>1</v>
      </c>
      <c r="C2012" s="19" t="s">
        <v>66</v>
      </c>
      <c r="D2012" s="44">
        <v>0</v>
      </c>
      <c r="E2012" s="18">
        <v>0</v>
      </c>
      <c r="F2012" s="18">
        <v>0</v>
      </c>
      <c r="G2012" s="18">
        <f>G1952*3</f>
        <v>189</v>
      </c>
      <c r="H2012" s="45">
        <v>0</v>
      </c>
      <c r="I2012" s="21">
        <f t="shared" si="4260"/>
        <v>55</v>
      </c>
      <c r="J2012" s="21">
        <f t="shared" si="4381"/>
        <v>0</v>
      </c>
      <c r="K2012" s="21">
        <v>0</v>
      </c>
      <c r="L2012" s="20">
        <v>45</v>
      </c>
      <c r="M2012" s="20">
        <v>0</v>
      </c>
      <c r="N2012" s="20">
        <f t="shared" si="4261"/>
        <v>10</v>
      </c>
      <c r="O2012" s="19" t="s">
        <v>66</v>
      </c>
      <c r="P2012" s="20">
        <v>9400</v>
      </c>
      <c r="Q2012" s="20">
        <f t="shared" ref="Q2012:X2012" si="4384">Q1982</f>
        <v>1</v>
      </c>
      <c r="R2012" s="20">
        <f t="shared" si="4384"/>
        <v>4</v>
      </c>
      <c r="S2012" s="20">
        <f t="shared" si="4384"/>
        <v>7</v>
      </c>
      <c r="T2012" s="20">
        <f t="shared" si="4384"/>
        <v>9</v>
      </c>
      <c r="U2012" s="20">
        <f t="shared" si="4384"/>
        <v>9400</v>
      </c>
      <c r="V2012" s="20">
        <f t="shared" si="4384"/>
        <v>9400</v>
      </c>
      <c r="W2012" s="20">
        <f t="shared" si="4384"/>
        <v>9400</v>
      </c>
      <c r="X2012" s="20">
        <f t="shared" si="4384"/>
        <v>1</v>
      </c>
      <c r="Y2012" s="20">
        <v>0</v>
      </c>
      <c r="Z2012" s="20">
        <v>0</v>
      </c>
      <c r="AA2012" s="20">
        <v>0</v>
      </c>
      <c r="AB2012" s="20">
        <f t="shared" si="4263"/>
        <v>0</v>
      </c>
      <c r="AC2012" s="20">
        <v>0</v>
      </c>
      <c r="AD2012" s="23">
        <f t="shared" ref="AD2012:AE2012" si="4385">AD1982</f>
        <v>1</v>
      </c>
      <c r="AE2012" s="23">
        <f t="shared" si="4385"/>
        <v>3</v>
      </c>
    </row>
    <row r="2013" spans="1:31">
      <c r="A2013" s="4">
        <v>17102</v>
      </c>
      <c r="B2013" s="4">
        <v>2</v>
      </c>
      <c r="C2013" s="19" t="s">
        <v>67</v>
      </c>
      <c r="D2013" s="44">
        <v>0</v>
      </c>
      <c r="E2013" s="18">
        <v>0</v>
      </c>
      <c r="F2013" s="18">
        <v>0</v>
      </c>
      <c r="G2013" s="18">
        <f t="shared" ref="G2013:G2041" si="4386">G1953*3</f>
        <v>204</v>
      </c>
      <c r="H2013" s="45">
        <v>0</v>
      </c>
      <c r="I2013" s="21">
        <f t="shared" si="4260"/>
        <v>55</v>
      </c>
      <c r="J2013" s="21">
        <f t="shared" si="4381"/>
        <v>1</v>
      </c>
      <c r="K2013" s="21">
        <v>0</v>
      </c>
      <c r="L2013" s="20">
        <v>40</v>
      </c>
      <c r="M2013" s="20">
        <v>0</v>
      </c>
      <c r="N2013" s="20">
        <f t="shared" si="4261"/>
        <v>20</v>
      </c>
      <c r="O2013" s="19" t="s">
        <v>67</v>
      </c>
      <c r="P2013" s="20">
        <v>9100</v>
      </c>
      <c r="Q2013" s="20">
        <f t="shared" ref="Q2013:X2013" si="4387">Q1983</f>
        <v>2</v>
      </c>
      <c r="R2013" s="20">
        <f t="shared" si="4387"/>
        <v>8</v>
      </c>
      <c r="S2013" s="20">
        <f t="shared" si="4387"/>
        <v>14</v>
      </c>
      <c r="T2013" s="20">
        <f t="shared" si="4387"/>
        <v>18</v>
      </c>
      <c r="U2013" s="20">
        <f t="shared" si="4387"/>
        <v>4000</v>
      </c>
      <c r="V2013" s="20">
        <f t="shared" si="4387"/>
        <v>8000</v>
      </c>
      <c r="W2013" s="20">
        <f t="shared" si="4387"/>
        <v>8000</v>
      </c>
      <c r="X2013" s="20">
        <f t="shared" si="4387"/>
        <v>1</v>
      </c>
      <c r="Y2013" s="20">
        <v>0</v>
      </c>
      <c r="Z2013" s="20">
        <v>0</v>
      </c>
      <c r="AA2013" s="20">
        <v>0</v>
      </c>
      <c r="AB2013" s="20">
        <f t="shared" si="4263"/>
        <v>0</v>
      </c>
      <c r="AC2013" s="20">
        <v>0</v>
      </c>
      <c r="AD2013" s="23">
        <f t="shared" ref="AD2013:AE2013" si="4388">AD1983</f>
        <v>2</v>
      </c>
      <c r="AE2013" s="23">
        <f t="shared" si="4388"/>
        <v>5</v>
      </c>
    </row>
    <row r="2014" spans="1:31">
      <c r="A2014" s="4">
        <v>17102</v>
      </c>
      <c r="B2014" s="4">
        <v>3</v>
      </c>
      <c r="C2014" s="19" t="s">
        <v>68</v>
      </c>
      <c r="D2014" s="44">
        <v>0</v>
      </c>
      <c r="E2014" s="18">
        <v>0</v>
      </c>
      <c r="F2014" s="18">
        <v>0</v>
      </c>
      <c r="G2014" s="18">
        <f t="shared" si="4386"/>
        <v>222</v>
      </c>
      <c r="H2014" s="45">
        <v>0</v>
      </c>
      <c r="I2014" s="21">
        <f t="shared" si="4260"/>
        <v>55</v>
      </c>
      <c r="J2014" s="21">
        <f t="shared" si="4381"/>
        <v>2</v>
      </c>
      <c r="K2014" s="21">
        <v>0</v>
      </c>
      <c r="L2014" s="20">
        <v>35</v>
      </c>
      <c r="M2014" s="20">
        <v>0</v>
      </c>
      <c r="N2014" s="20">
        <f t="shared" si="4261"/>
        <v>40</v>
      </c>
      <c r="O2014" s="19" t="s">
        <v>68</v>
      </c>
      <c r="P2014" s="20">
        <v>8600</v>
      </c>
      <c r="Q2014" s="20">
        <f t="shared" ref="Q2014:X2014" si="4389">Q1984</f>
        <v>4</v>
      </c>
      <c r="R2014" s="20">
        <f t="shared" si="4389"/>
        <v>16</v>
      </c>
      <c r="S2014" s="20">
        <f t="shared" si="4389"/>
        <v>28</v>
      </c>
      <c r="T2014" s="20">
        <f t="shared" si="4389"/>
        <v>36</v>
      </c>
      <c r="U2014" s="20">
        <f t="shared" si="4389"/>
        <v>1600</v>
      </c>
      <c r="V2014" s="20">
        <f t="shared" si="4389"/>
        <v>5000</v>
      </c>
      <c r="W2014" s="20">
        <f t="shared" si="4389"/>
        <v>6000</v>
      </c>
      <c r="X2014" s="20">
        <f t="shared" si="4389"/>
        <v>1</v>
      </c>
      <c r="Y2014" s="20">
        <v>0</v>
      </c>
      <c r="Z2014" s="20">
        <v>0</v>
      </c>
      <c r="AA2014" s="20">
        <v>0</v>
      </c>
      <c r="AB2014" s="20">
        <f t="shared" si="4263"/>
        <v>0</v>
      </c>
      <c r="AC2014" s="20">
        <v>0</v>
      </c>
      <c r="AD2014" s="23">
        <f t="shared" ref="AD2014:AE2014" si="4390">AD1984</f>
        <v>4</v>
      </c>
      <c r="AE2014" s="23">
        <f t="shared" si="4390"/>
        <v>8</v>
      </c>
    </row>
    <row r="2015" spans="1:31">
      <c r="A2015" s="4">
        <v>17102</v>
      </c>
      <c r="B2015" s="4">
        <v>4</v>
      </c>
      <c r="C2015" s="19" t="s">
        <v>69</v>
      </c>
      <c r="D2015" s="44">
        <v>0</v>
      </c>
      <c r="E2015" s="18">
        <v>0</v>
      </c>
      <c r="F2015" s="18">
        <v>0</v>
      </c>
      <c r="G2015" s="18">
        <f t="shared" si="4386"/>
        <v>240</v>
      </c>
      <c r="H2015" s="45">
        <v>0</v>
      </c>
      <c r="I2015" s="21">
        <f t="shared" si="4260"/>
        <v>55</v>
      </c>
      <c r="J2015" s="21">
        <f t="shared" si="4381"/>
        <v>3</v>
      </c>
      <c r="K2015" s="21">
        <v>0</v>
      </c>
      <c r="L2015" s="20">
        <v>30</v>
      </c>
      <c r="M2015" s="20">
        <v>0</v>
      </c>
      <c r="N2015" s="20">
        <f t="shared" si="4261"/>
        <v>100</v>
      </c>
      <c r="O2015" s="19" t="s">
        <v>69</v>
      </c>
      <c r="P2015" s="20">
        <v>6400</v>
      </c>
      <c r="Q2015" s="20">
        <f t="shared" ref="Q2015:X2015" si="4391">Q1985</f>
        <v>10</v>
      </c>
      <c r="R2015" s="20">
        <f t="shared" si="4391"/>
        <v>40</v>
      </c>
      <c r="S2015" s="20">
        <f t="shared" si="4391"/>
        <v>70</v>
      </c>
      <c r="T2015" s="20">
        <f t="shared" si="4391"/>
        <v>90</v>
      </c>
      <c r="U2015" s="20">
        <f t="shared" si="4391"/>
        <v>900</v>
      </c>
      <c r="V2015" s="20">
        <f t="shared" si="4391"/>
        <v>2000</v>
      </c>
      <c r="W2015" s="20">
        <f t="shared" si="4391"/>
        <v>8000</v>
      </c>
      <c r="X2015" s="20">
        <f t="shared" si="4391"/>
        <v>1</v>
      </c>
      <c r="Y2015" s="20">
        <v>0</v>
      </c>
      <c r="Z2015" s="20">
        <v>0</v>
      </c>
      <c r="AA2015" s="20">
        <v>0</v>
      </c>
      <c r="AB2015" s="20">
        <f t="shared" si="4263"/>
        <v>0</v>
      </c>
      <c r="AC2015" s="20">
        <v>0</v>
      </c>
      <c r="AD2015" s="23">
        <f t="shared" ref="AD2015:AE2015" si="4392">AD1985</f>
        <v>6</v>
      </c>
      <c r="AE2015" s="23">
        <f t="shared" si="4392"/>
        <v>10</v>
      </c>
    </row>
    <row r="2016" spans="1:31">
      <c r="A2016" s="4">
        <v>17102</v>
      </c>
      <c r="B2016" s="4">
        <v>5</v>
      </c>
      <c r="C2016" s="19" t="s">
        <v>70</v>
      </c>
      <c r="D2016" s="44">
        <v>0</v>
      </c>
      <c r="E2016" s="18">
        <v>0</v>
      </c>
      <c r="F2016" s="18">
        <v>0</v>
      </c>
      <c r="G2016" s="18">
        <f t="shared" si="4386"/>
        <v>261</v>
      </c>
      <c r="H2016" s="45">
        <v>0</v>
      </c>
      <c r="I2016" s="21">
        <f t="shared" si="4260"/>
        <v>110</v>
      </c>
      <c r="J2016" s="21">
        <f t="shared" si="4381"/>
        <v>4</v>
      </c>
      <c r="K2016" s="21">
        <v>0</v>
      </c>
      <c r="L2016" s="20">
        <v>25</v>
      </c>
      <c r="M2016" s="20">
        <v>0</v>
      </c>
      <c r="N2016" s="20">
        <f t="shared" si="4261"/>
        <v>200</v>
      </c>
      <c r="O2016" s="19" t="s">
        <v>70</v>
      </c>
      <c r="P2016" s="20">
        <v>3100</v>
      </c>
      <c r="Q2016" s="20">
        <f t="shared" ref="Q2016:X2016" si="4393">Q1986</f>
        <v>20</v>
      </c>
      <c r="R2016" s="20">
        <f t="shared" si="4393"/>
        <v>80</v>
      </c>
      <c r="S2016" s="20">
        <f t="shared" si="4393"/>
        <v>140</v>
      </c>
      <c r="T2016" s="20">
        <f t="shared" si="4393"/>
        <v>180</v>
      </c>
      <c r="U2016" s="20">
        <f t="shared" si="4393"/>
        <v>1000</v>
      </c>
      <c r="V2016" s="20">
        <f t="shared" si="4393"/>
        <v>2000</v>
      </c>
      <c r="W2016" s="20">
        <f t="shared" si="4393"/>
        <v>2000</v>
      </c>
      <c r="X2016" s="20">
        <f t="shared" si="4393"/>
        <v>2</v>
      </c>
      <c r="Y2016" s="20">
        <v>0</v>
      </c>
      <c r="Z2016" s="20">
        <v>0</v>
      </c>
      <c r="AA2016" s="20">
        <v>0</v>
      </c>
      <c r="AB2016" s="20">
        <f t="shared" si="4263"/>
        <v>0</v>
      </c>
      <c r="AC2016" s="20">
        <v>0</v>
      </c>
      <c r="AD2016" s="23">
        <f t="shared" ref="AD2016:AE2016" si="4394">AD1986</f>
        <v>8</v>
      </c>
      <c r="AE2016" s="23">
        <f t="shared" si="4394"/>
        <v>12</v>
      </c>
    </row>
    <row r="2017" spans="1:31">
      <c r="A2017" s="4">
        <v>17102</v>
      </c>
      <c r="B2017" s="4">
        <v>6</v>
      </c>
      <c r="C2017" s="19" t="s">
        <v>71</v>
      </c>
      <c r="D2017" s="44">
        <v>0</v>
      </c>
      <c r="E2017" s="18">
        <v>0</v>
      </c>
      <c r="F2017" s="18">
        <v>0</v>
      </c>
      <c r="G2017" s="18">
        <f t="shared" si="4386"/>
        <v>282</v>
      </c>
      <c r="H2017" s="45">
        <v>0</v>
      </c>
      <c r="I2017" s="21">
        <f t="shared" ref="I2017:I2080" si="4395">I1987</f>
        <v>110</v>
      </c>
      <c r="J2017" s="21">
        <f t="shared" si="4381"/>
        <v>5</v>
      </c>
      <c r="K2017" s="21">
        <v>0</v>
      </c>
      <c r="L2017" s="20">
        <v>20</v>
      </c>
      <c r="M2017" s="20">
        <v>0</v>
      </c>
      <c r="N2017" s="20">
        <f t="shared" ref="N2017:N2080" si="4396">N1987</f>
        <v>500</v>
      </c>
      <c r="O2017" s="19" t="s">
        <v>71</v>
      </c>
      <c r="P2017" s="20">
        <v>1777</v>
      </c>
      <c r="Q2017" s="20">
        <f t="shared" ref="Q2017:X2017" si="4397">Q1987</f>
        <v>50</v>
      </c>
      <c r="R2017" s="20">
        <f t="shared" si="4397"/>
        <v>200</v>
      </c>
      <c r="S2017" s="20">
        <f t="shared" si="4397"/>
        <v>350</v>
      </c>
      <c r="T2017" s="20">
        <f t="shared" si="4397"/>
        <v>450</v>
      </c>
      <c r="U2017" s="20">
        <f t="shared" si="4397"/>
        <v>800</v>
      </c>
      <c r="V2017" s="20">
        <f t="shared" si="4397"/>
        <v>800</v>
      </c>
      <c r="W2017" s="20">
        <f t="shared" si="4397"/>
        <v>600</v>
      </c>
      <c r="X2017" s="20">
        <f t="shared" si="4397"/>
        <v>2</v>
      </c>
      <c r="Y2017" s="20">
        <v>0</v>
      </c>
      <c r="Z2017" s="20">
        <v>0</v>
      </c>
      <c r="AA2017" s="20">
        <v>0</v>
      </c>
      <c r="AB2017" s="20">
        <f t="shared" ref="AB2017:AB2080" si="4398">AB1867</f>
        <v>0</v>
      </c>
      <c r="AC2017" s="20">
        <v>0</v>
      </c>
      <c r="AD2017" s="23">
        <f t="shared" ref="AD2017:AE2017" si="4399">AD1987</f>
        <v>10</v>
      </c>
      <c r="AE2017" s="23">
        <f t="shared" si="4399"/>
        <v>14</v>
      </c>
    </row>
    <row r="2018" spans="1:31">
      <c r="A2018" s="8">
        <v>17102</v>
      </c>
      <c r="B2018" s="8">
        <v>7</v>
      </c>
      <c r="C2018" s="19" t="s">
        <v>72</v>
      </c>
      <c r="D2018" s="44">
        <v>0</v>
      </c>
      <c r="E2018" s="18">
        <v>0</v>
      </c>
      <c r="F2018" s="18">
        <v>0</v>
      </c>
      <c r="G2018" s="18">
        <f t="shared" si="4386"/>
        <v>303</v>
      </c>
      <c r="H2018" s="45">
        <v>0</v>
      </c>
      <c r="I2018" s="21">
        <f t="shared" si="4395"/>
        <v>110</v>
      </c>
      <c r="J2018" s="21">
        <f t="shared" si="4381"/>
        <v>6</v>
      </c>
      <c r="K2018" s="21">
        <v>0</v>
      </c>
      <c r="L2018" s="20">
        <v>16</v>
      </c>
      <c r="M2018" s="20">
        <v>0</v>
      </c>
      <c r="N2018" s="20">
        <f t="shared" si="4396"/>
        <v>700</v>
      </c>
      <c r="O2018" s="19" t="s">
        <v>72</v>
      </c>
      <c r="P2018" s="20">
        <v>2332</v>
      </c>
      <c r="Q2018" s="20">
        <f t="shared" ref="Q2018:X2018" si="4400">Q1988</f>
        <v>70</v>
      </c>
      <c r="R2018" s="20">
        <f t="shared" si="4400"/>
        <v>280</v>
      </c>
      <c r="S2018" s="20">
        <f t="shared" si="4400"/>
        <v>489.99999999999994</v>
      </c>
      <c r="T2018" s="20">
        <f t="shared" si="4400"/>
        <v>630</v>
      </c>
      <c r="U2018" s="20">
        <f t="shared" si="4400"/>
        <v>650</v>
      </c>
      <c r="V2018" s="20">
        <f t="shared" si="4400"/>
        <v>800</v>
      </c>
      <c r="W2018" s="20">
        <f t="shared" si="4400"/>
        <v>300</v>
      </c>
      <c r="X2018" s="20">
        <f t="shared" si="4400"/>
        <v>2</v>
      </c>
      <c r="Y2018" s="20">
        <v>0</v>
      </c>
      <c r="Z2018" s="20">
        <v>0</v>
      </c>
      <c r="AA2018" s="20">
        <v>0</v>
      </c>
      <c r="AB2018" s="20">
        <f t="shared" si="4398"/>
        <v>0</v>
      </c>
      <c r="AC2018" s="20">
        <v>0</v>
      </c>
      <c r="AD2018" s="23">
        <f t="shared" ref="AD2018:AE2018" si="4401">AD1988</f>
        <v>12</v>
      </c>
      <c r="AE2018" s="23">
        <f t="shared" si="4401"/>
        <v>16</v>
      </c>
    </row>
    <row r="2019" spans="1:31">
      <c r="A2019" s="4">
        <v>17102</v>
      </c>
      <c r="B2019" s="4">
        <v>8</v>
      </c>
      <c r="C2019" s="19" t="s">
        <v>73</v>
      </c>
      <c r="D2019" s="44">
        <v>0</v>
      </c>
      <c r="E2019" s="18">
        <v>0</v>
      </c>
      <c r="F2019" s="18">
        <v>0</v>
      </c>
      <c r="G2019" s="18">
        <f t="shared" si="4386"/>
        <v>330</v>
      </c>
      <c r="H2019" s="45">
        <v>0</v>
      </c>
      <c r="I2019" s="21">
        <f t="shared" si="4395"/>
        <v>110</v>
      </c>
      <c r="J2019" s="21">
        <f t="shared" si="4381"/>
        <v>7</v>
      </c>
      <c r="K2019" s="21">
        <v>0</v>
      </c>
      <c r="L2019" s="20">
        <v>12</v>
      </c>
      <c r="M2019" s="20">
        <v>0</v>
      </c>
      <c r="N2019" s="20">
        <f t="shared" si="4396"/>
        <v>800</v>
      </c>
      <c r="O2019" s="19" t="s">
        <v>73</v>
      </c>
      <c r="P2019" s="20">
        <v>1487</v>
      </c>
      <c r="Q2019" s="20">
        <f t="shared" ref="Q2019:X2019" si="4402">Q1989</f>
        <v>80</v>
      </c>
      <c r="R2019" s="20">
        <f t="shared" si="4402"/>
        <v>320</v>
      </c>
      <c r="S2019" s="20">
        <f t="shared" si="4402"/>
        <v>560</v>
      </c>
      <c r="T2019" s="20">
        <f t="shared" si="4402"/>
        <v>720</v>
      </c>
      <c r="U2019" s="20">
        <f t="shared" si="4402"/>
        <v>200</v>
      </c>
      <c r="V2019" s="20">
        <f t="shared" si="4402"/>
        <v>2000</v>
      </c>
      <c r="W2019" s="20">
        <f t="shared" si="4402"/>
        <v>1000</v>
      </c>
      <c r="X2019" s="20">
        <f t="shared" si="4402"/>
        <v>2</v>
      </c>
      <c r="Y2019" s="20">
        <f>ROUND(D2019*0.25,-1)</f>
        <v>0</v>
      </c>
      <c r="Z2019" s="20">
        <f>ROUND(E2019*0.25,-1)</f>
        <v>0</v>
      </c>
      <c r="AA2019" s="20">
        <f>ROUND(F2019*0.25,-1)</f>
        <v>0</v>
      </c>
      <c r="AB2019" s="20">
        <f t="shared" si="4398"/>
        <v>50</v>
      </c>
      <c r="AC2019" s="20">
        <f>ROUND(H2019*0.25,-1)</f>
        <v>0</v>
      </c>
      <c r="AD2019" s="23">
        <f t="shared" ref="AD2019:AE2019" si="4403">AD1989</f>
        <v>14</v>
      </c>
      <c r="AE2019" s="23">
        <f t="shared" si="4403"/>
        <v>18</v>
      </c>
    </row>
    <row r="2020" spans="1:31">
      <c r="A2020" s="4">
        <v>17102</v>
      </c>
      <c r="B2020" s="4">
        <v>9</v>
      </c>
      <c r="C2020" s="19" t="s">
        <v>74</v>
      </c>
      <c r="D2020" s="44">
        <v>0</v>
      </c>
      <c r="E2020" s="18">
        <v>0</v>
      </c>
      <c r="F2020" s="18">
        <v>0</v>
      </c>
      <c r="G2020" s="18">
        <f t="shared" si="4386"/>
        <v>357</v>
      </c>
      <c r="H2020" s="45">
        <v>0</v>
      </c>
      <c r="I2020" s="21">
        <f t="shared" si="4395"/>
        <v>165</v>
      </c>
      <c r="J2020" s="21">
        <f t="shared" si="4381"/>
        <v>8</v>
      </c>
      <c r="K2020" s="21">
        <v>0</v>
      </c>
      <c r="L2020" s="20">
        <v>8</v>
      </c>
      <c r="M2020" s="20">
        <v>0</v>
      </c>
      <c r="N2020" s="20">
        <f t="shared" si="4396"/>
        <v>900</v>
      </c>
      <c r="O2020" s="19" t="s">
        <v>74</v>
      </c>
      <c r="P2020" s="20">
        <v>1518</v>
      </c>
      <c r="Q2020" s="20">
        <f t="shared" ref="Q2020:X2020" si="4404">Q1990</f>
        <v>90</v>
      </c>
      <c r="R2020" s="20">
        <f t="shared" si="4404"/>
        <v>360</v>
      </c>
      <c r="S2020" s="20">
        <f t="shared" si="4404"/>
        <v>630</v>
      </c>
      <c r="T2020" s="20">
        <f t="shared" si="4404"/>
        <v>810</v>
      </c>
      <c r="U2020" s="20">
        <f t="shared" si="4404"/>
        <v>120</v>
      </c>
      <c r="V2020" s="20">
        <f t="shared" si="4404"/>
        <v>1500</v>
      </c>
      <c r="W2020" s="20">
        <f t="shared" si="4404"/>
        <v>1000</v>
      </c>
      <c r="X2020" s="20">
        <f t="shared" si="4404"/>
        <v>3</v>
      </c>
      <c r="Y2020" s="20">
        <v>0</v>
      </c>
      <c r="Z2020" s="20">
        <v>0</v>
      </c>
      <c r="AA2020" s="20">
        <v>0</v>
      </c>
      <c r="AB2020" s="20">
        <f t="shared" si="4398"/>
        <v>0</v>
      </c>
      <c r="AC2020" s="20">
        <v>0</v>
      </c>
      <c r="AD2020" s="23">
        <f t="shared" ref="AD2020:AE2020" si="4405">AD1990</f>
        <v>16</v>
      </c>
      <c r="AE2020" s="23">
        <f t="shared" si="4405"/>
        <v>20</v>
      </c>
    </row>
    <row r="2021" spans="1:31">
      <c r="A2021" s="4">
        <v>17102</v>
      </c>
      <c r="B2021" s="4">
        <v>10</v>
      </c>
      <c r="C2021" s="19" t="s">
        <v>75</v>
      </c>
      <c r="D2021" s="44">
        <v>0</v>
      </c>
      <c r="E2021" s="18">
        <v>0</v>
      </c>
      <c r="F2021" s="18">
        <v>0</v>
      </c>
      <c r="G2021" s="18">
        <f t="shared" si="4386"/>
        <v>387</v>
      </c>
      <c r="H2021" s="45">
        <v>0</v>
      </c>
      <c r="I2021" s="21">
        <f t="shared" si="4395"/>
        <v>165</v>
      </c>
      <c r="J2021" s="21">
        <f t="shared" si="4381"/>
        <v>9</v>
      </c>
      <c r="K2021" s="21">
        <v>0</v>
      </c>
      <c r="L2021" s="20">
        <v>6</v>
      </c>
      <c r="M2021" s="20">
        <v>0</v>
      </c>
      <c r="N2021" s="20">
        <f t="shared" si="4396"/>
        <v>2000</v>
      </c>
      <c r="O2021" s="19" t="s">
        <v>75</v>
      </c>
      <c r="P2021" s="20">
        <v>861</v>
      </c>
      <c r="Q2021" s="20">
        <f t="shared" ref="Q2021:X2021" si="4406">Q1991</f>
        <v>200</v>
      </c>
      <c r="R2021" s="20">
        <f t="shared" si="4406"/>
        <v>800</v>
      </c>
      <c r="S2021" s="20">
        <f t="shared" si="4406"/>
        <v>1400</v>
      </c>
      <c r="T2021" s="20">
        <f t="shared" si="4406"/>
        <v>1800</v>
      </c>
      <c r="U2021" s="20">
        <f t="shared" si="4406"/>
        <v>150</v>
      </c>
      <c r="V2021" s="20">
        <f t="shared" si="4406"/>
        <v>5000</v>
      </c>
      <c r="W2021" s="20">
        <f t="shared" si="4406"/>
        <v>800</v>
      </c>
      <c r="X2021" s="20">
        <f t="shared" si="4406"/>
        <v>3</v>
      </c>
      <c r="Y2021" s="20">
        <v>0</v>
      </c>
      <c r="Z2021" s="20">
        <v>0</v>
      </c>
      <c r="AA2021" s="20">
        <v>0</v>
      </c>
      <c r="AB2021" s="20">
        <f t="shared" si="4398"/>
        <v>0</v>
      </c>
      <c r="AC2021" s="20">
        <v>0</v>
      </c>
      <c r="AD2021" s="23">
        <f t="shared" ref="AD2021:AE2021" si="4407">AD1991</f>
        <v>18</v>
      </c>
      <c r="AE2021" s="23">
        <f t="shared" si="4407"/>
        <v>22</v>
      </c>
    </row>
    <row r="2022" spans="1:31">
      <c r="A2022" s="4">
        <v>17102</v>
      </c>
      <c r="B2022" s="4">
        <v>11</v>
      </c>
      <c r="C2022" s="19" t="s">
        <v>66</v>
      </c>
      <c r="D2022" s="44">
        <v>0</v>
      </c>
      <c r="E2022" s="18">
        <v>0</v>
      </c>
      <c r="F2022" s="18">
        <v>0</v>
      </c>
      <c r="G2022" s="18">
        <f t="shared" si="4386"/>
        <v>417</v>
      </c>
      <c r="H2022" s="45">
        <v>0</v>
      </c>
      <c r="I2022" s="21">
        <f t="shared" si="4395"/>
        <v>165</v>
      </c>
      <c r="J2022" s="21">
        <f t="shared" si="4381"/>
        <v>10</v>
      </c>
      <c r="K2022" s="21">
        <v>0</v>
      </c>
      <c r="L2022" s="20">
        <v>6</v>
      </c>
      <c r="M2022" s="20">
        <v>0</v>
      </c>
      <c r="N2022" s="20">
        <f t="shared" si="4396"/>
        <v>2200</v>
      </c>
      <c r="O2022" s="19" t="s">
        <v>66</v>
      </c>
      <c r="P2022" s="20">
        <v>9400</v>
      </c>
      <c r="Q2022" s="20">
        <f t="shared" ref="Q2022:X2022" si="4408">Q1992</f>
        <v>220</v>
      </c>
      <c r="R2022" s="20">
        <f t="shared" si="4408"/>
        <v>880</v>
      </c>
      <c r="S2022" s="20">
        <f t="shared" si="4408"/>
        <v>1540</v>
      </c>
      <c r="T2022" s="20">
        <f t="shared" si="4408"/>
        <v>1980</v>
      </c>
      <c r="U2022" s="20">
        <f t="shared" si="4408"/>
        <v>100</v>
      </c>
      <c r="V2022" s="20">
        <f t="shared" si="4408"/>
        <v>800</v>
      </c>
      <c r="W2022" s="20">
        <f t="shared" si="4408"/>
        <v>600</v>
      </c>
      <c r="X2022" s="20">
        <f t="shared" si="4408"/>
        <v>3</v>
      </c>
      <c r="Y2022" s="20">
        <v>0</v>
      </c>
      <c r="Z2022" s="20">
        <v>0</v>
      </c>
      <c r="AA2022" s="20">
        <v>0</v>
      </c>
      <c r="AB2022" s="20">
        <f t="shared" si="4398"/>
        <v>0</v>
      </c>
      <c r="AC2022" s="20">
        <v>0</v>
      </c>
      <c r="AD2022" s="23">
        <f t="shared" ref="AD2022:AE2022" si="4409">AD1992</f>
        <v>20</v>
      </c>
      <c r="AE2022" s="23">
        <f t="shared" si="4409"/>
        <v>24</v>
      </c>
    </row>
    <row r="2023" spans="1:31">
      <c r="A2023" s="4">
        <v>17102</v>
      </c>
      <c r="B2023" s="4">
        <v>12</v>
      </c>
      <c r="C2023" s="19" t="s">
        <v>67</v>
      </c>
      <c r="D2023" s="44">
        <v>0</v>
      </c>
      <c r="E2023" s="18">
        <v>0</v>
      </c>
      <c r="F2023" s="18">
        <v>0</v>
      </c>
      <c r="G2023" s="18">
        <f t="shared" si="4386"/>
        <v>453</v>
      </c>
      <c r="H2023" s="45">
        <v>0</v>
      </c>
      <c r="I2023" s="21">
        <f t="shared" si="4395"/>
        <v>165</v>
      </c>
      <c r="J2023" s="21">
        <f t="shared" si="4381"/>
        <v>11</v>
      </c>
      <c r="K2023" s="21">
        <v>0</v>
      </c>
      <c r="L2023" s="20">
        <v>6</v>
      </c>
      <c r="M2023" s="20">
        <v>0</v>
      </c>
      <c r="N2023" s="20">
        <f t="shared" si="4396"/>
        <v>2400</v>
      </c>
      <c r="O2023" s="19" t="s">
        <v>67</v>
      </c>
      <c r="P2023" s="20">
        <v>9100</v>
      </c>
      <c r="Q2023" s="20">
        <f t="shared" ref="Q2023:X2023" si="4410">Q1993</f>
        <v>240</v>
      </c>
      <c r="R2023" s="20">
        <f t="shared" si="4410"/>
        <v>960</v>
      </c>
      <c r="S2023" s="20">
        <f t="shared" si="4410"/>
        <v>1680</v>
      </c>
      <c r="T2023" s="20">
        <f t="shared" si="4410"/>
        <v>2160</v>
      </c>
      <c r="U2023" s="20">
        <f t="shared" si="4410"/>
        <v>150</v>
      </c>
      <c r="V2023" s="20">
        <f t="shared" si="4410"/>
        <v>700</v>
      </c>
      <c r="W2023" s="20">
        <f t="shared" si="4410"/>
        <v>900</v>
      </c>
      <c r="X2023" s="20">
        <f t="shared" si="4410"/>
        <v>3</v>
      </c>
      <c r="Y2023" s="20">
        <v>0</v>
      </c>
      <c r="Z2023" s="20">
        <v>0</v>
      </c>
      <c r="AA2023" s="20">
        <v>0</v>
      </c>
      <c r="AB2023" s="20">
        <f t="shared" si="4398"/>
        <v>0</v>
      </c>
      <c r="AC2023" s="20">
        <v>0</v>
      </c>
      <c r="AD2023" s="23">
        <f t="shared" ref="AD2023:AE2023" si="4411">AD1993</f>
        <v>22</v>
      </c>
      <c r="AE2023" s="23">
        <f t="shared" si="4411"/>
        <v>26</v>
      </c>
    </row>
    <row r="2024" spans="1:31">
      <c r="A2024" s="4">
        <v>17102</v>
      </c>
      <c r="B2024" s="4">
        <v>13</v>
      </c>
      <c r="C2024" s="19" t="s">
        <v>68</v>
      </c>
      <c r="D2024" s="44">
        <v>0</v>
      </c>
      <c r="E2024" s="18">
        <v>0</v>
      </c>
      <c r="F2024" s="18">
        <v>0</v>
      </c>
      <c r="G2024" s="18">
        <f t="shared" si="4386"/>
        <v>489</v>
      </c>
      <c r="H2024" s="45">
        <v>0</v>
      </c>
      <c r="I2024" s="21">
        <f t="shared" si="4395"/>
        <v>220</v>
      </c>
      <c r="J2024" s="21">
        <f t="shared" si="4381"/>
        <v>12</v>
      </c>
      <c r="K2024" s="21">
        <v>0</v>
      </c>
      <c r="L2024" s="20">
        <v>6</v>
      </c>
      <c r="M2024" s="20">
        <v>0</v>
      </c>
      <c r="N2024" s="20">
        <f t="shared" si="4396"/>
        <v>2600</v>
      </c>
      <c r="O2024" s="19" t="s">
        <v>68</v>
      </c>
      <c r="P2024" s="20">
        <v>8600</v>
      </c>
      <c r="Q2024" s="20">
        <f t="shared" ref="Q2024:X2024" si="4412">Q1994</f>
        <v>260</v>
      </c>
      <c r="R2024" s="20">
        <f t="shared" si="4412"/>
        <v>1040</v>
      </c>
      <c r="S2024" s="20">
        <f t="shared" si="4412"/>
        <v>1819.9999999999998</v>
      </c>
      <c r="T2024" s="20">
        <f t="shared" si="4412"/>
        <v>2340</v>
      </c>
      <c r="U2024" s="20">
        <f t="shared" si="4412"/>
        <v>100</v>
      </c>
      <c r="V2024" s="20">
        <f t="shared" si="4412"/>
        <v>700</v>
      </c>
      <c r="W2024" s="20">
        <f t="shared" si="4412"/>
        <v>1000</v>
      </c>
      <c r="X2024" s="20">
        <f t="shared" si="4412"/>
        <v>4</v>
      </c>
      <c r="Y2024" s="20">
        <f>ROUND(D2024*0.25,-1)</f>
        <v>0</v>
      </c>
      <c r="Z2024" s="20">
        <f>ROUND(E2024*0.25,-1)</f>
        <v>0</v>
      </c>
      <c r="AA2024" s="20">
        <f>ROUND(F2024*0.25,-1)</f>
        <v>0</v>
      </c>
      <c r="AB2024" s="20">
        <f t="shared" si="4398"/>
        <v>100</v>
      </c>
      <c r="AC2024" s="20">
        <f>ROUND(H2024*0.25,-1)</f>
        <v>0</v>
      </c>
      <c r="AD2024" s="23">
        <f t="shared" ref="AD2024:AE2024" si="4413">AD1994</f>
        <v>24</v>
      </c>
      <c r="AE2024" s="23">
        <f t="shared" si="4413"/>
        <v>28</v>
      </c>
    </row>
    <row r="2025" spans="1:31">
      <c r="A2025" s="4">
        <v>17102</v>
      </c>
      <c r="B2025" s="4">
        <v>14</v>
      </c>
      <c r="C2025" s="19" t="s">
        <v>69</v>
      </c>
      <c r="D2025" s="44">
        <v>0</v>
      </c>
      <c r="E2025" s="18">
        <v>0</v>
      </c>
      <c r="F2025" s="18">
        <v>0</v>
      </c>
      <c r="G2025" s="18">
        <f t="shared" si="4386"/>
        <v>531</v>
      </c>
      <c r="H2025" s="45">
        <v>0</v>
      </c>
      <c r="I2025" s="21">
        <f t="shared" si="4395"/>
        <v>220</v>
      </c>
      <c r="J2025" s="21">
        <f t="shared" si="4381"/>
        <v>13</v>
      </c>
      <c r="K2025" s="21">
        <v>0</v>
      </c>
      <c r="L2025" s="20">
        <v>6</v>
      </c>
      <c r="M2025" s="20">
        <v>0</v>
      </c>
      <c r="N2025" s="20">
        <f t="shared" si="4396"/>
        <v>2800</v>
      </c>
      <c r="O2025" s="19" t="s">
        <v>69</v>
      </c>
      <c r="P2025" s="20">
        <v>6400</v>
      </c>
      <c r="Q2025" s="20">
        <f t="shared" ref="Q2025:X2025" si="4414">Q1995</f>
        <v>280</v>
      </c>
      <c r="R2025" s="20">
        <f t="shared" si="4414"/>
        <v>1120</v>
      </c>
      <c r="S2025" s="20">
        <f t="shared" si="4414"/>
        <v>1959.9999999999998</v>
      </c>
      <c r="T2025" s="20">
        <f t="shared" si="4414"/>
        <v>2520</v>
      </c>
      <c r="U2025" s="20">
        <f t="shared" si="4414"/>
        <v>100</v>
      </c>
      <c r="V2025" s="20">
        <f t="shared" si="4414"/>
        <v>400</v>
      </c>
      <c r="W2025" s="20">
        <f t="shared" si="4414"/>
        <v>1200</v>
      </c>
      <c r="X2025" s="20">
        <f t="shared" si="4414"/>
        <v>4</v>
      </c>
      <c r="Y2025" s="20">
        <v>0</v>
      </c>
      <c r="Z2025" s="20">
        <v>0</v>
      </c>
      <c r="AA2025" s="20">
        <v>0</v>
      </c>
      <c r="AB2025" s="20">
        <f t="shared" si="4398"/>
        <v>0</v>
      </c>
      <c r="AC2025" s="20">
        <v>0</v>
      </c>
      <c r="AD2025" s="23">
        <f t="shared" ref="AD2025:AE2025" si="4415">AD1995</f>
        <v>26</v>
      </c>
      <c r="AE2025" s="23">
        <f t="shared" si="4415"/>
        <v>30</v>
      </c>
    </row>
    <row r="2026" spans="1:31">
      <c r="A2026" s="4">
        <v>17102</v>
      </c>
      <c r="B2026" s="4">
        <v>15</v>
      </c>
      <c r="C2026" s="19" t="s">
        <v>70</v>
      </c>
      <c r="D2026" s="44">
        <v>0</v>
      </c>
      <c r="E2026" s="18">
        <v>0</v>
      </c>
      <c r="F2026" s="18">
        <v>0</v>
      </c>
      <c r="G2026" s="18">
        <f t="shared" si="4386"/>
        <v>573</v>
      </c>
      <c r="H2026" s="45">
        <v>0</v>
      </c>
      <c r="I2026" s="21">
        <f t="shared" si="4395"/>
        <v>220</v>
      </c>
      <c r="J2026" s="21">
        <f t="shared" si="4381"/>
        <v>14</v>
      </c>
      <c r="K2026" s="21">
        <v>0</v>
      </c>
      <c r="L2026" s="20">
        <v>6</v>
      </c>
      <c r="M2026" s="20">
        <v>0</v>
      </c>
      <c r="N2026" s="20">
        <f t="shared" si="4396"/>
        <v>4500</v>
      </c>
      <c r="O2026" s="19" t="s">
        <v>70</v>
      </c>
      <c r="P2026" s="20">
        <v>3100</v>
      </c>
      <c r="Q2026" s="20">
        <f t="shared" ref="Q2026:X2026" si="4416">Q1996</f>
        <v>450</v>
      </c>
      <c r="R2026" s="20">
        <f t="shared" si="4416"/>
        <v>1800</v>
      </c>
      <c r="S2026" s="20">
        <f t="shared" si="4416"/>
        <v>3150</v>
      </c>
      <c r="T2026" s="20">
        <f t="shared" si="4416"/>
        <v>4050</v>
      </c>
      <c r="U2026" s="20">
        <f t="shared" si="4416"/>
        <v>100</v>
      </c>
      <c r="V2026" s="20">
        <f t="shared" si="4416"/>
        <v>1000</v>
      </c>
      <c r="W2026" s="20">
        <f t="shared" si="4416"/>
        <v>600</v>
      </c>
      <c r="X2026" s="20">
        <f t="shared" si="4416"/>
        <v>4</v>
      </c>
      <c r="Y2026" s="20">
        <v>0</v>
      </c>
      <c r="Z2026" s="20">
        <v>0</v>
      </c>
      <c r="AA2026" s="20">
        <v>0</v>
      </c>
      <c r="AB2026" s="20">
        <f t="shared" si="4398"/>
        <v>0</v>
      </c>
      <c r="AC2026" s="20">
        <v>0</v>
      </c>
      <c r="AD2026" s="23">
        <f t="shared" ref="AD2026:AE2026" si="4417">AD1996</f>
        <v>28</v>
      </c>
      <c r="AE2026" s="23">
        <f t="shared" si="4417"/>
        <v>32</v>
      </c>
    </row>
    <row r="2027" spans="1:31">
      <c r="A2027" s="4">
        <v>17102</v>
      </c>
      <c r="B2027" s="4">
        <v>16</v>
      </c>
      <c r="C2027" s="19" t="s">
        <v>71</v>
      </c>
      <c r="D2027" s="44">
        <v>0</v>
      </c>
      <c r="E2027" s="18">
        <v>0</v>
      </c>
      <c r="F2027" s="18">
        <v>0</v>
      </c>
      <c r="G2027" s="18">
        <f t="shared" si="4386"/>
        <v>621</v>
      </c>
      <c r="H2027" s="45">
        <v>0</v>
      </c>
      <c r="I2027" s="21">
        <f t="shared" si="4395"/>
        <v>220</v>
      </c>
      <c r="J2027" s="21">
        <f t="shared" si="4381"/>
        <v>15</v>
      </c>
      <c r="K2027" s="21">
        <v>0</v>
      </c>
      <c r="L2027" s="20">
        <v>6</v>
      </c>
      <c r="M2027" s="20">
        <v>0</v>
      </c>
      <c r="N2027" s="20">
        <f t="shared" si="4396"/>
        <v>4800</v>
      </c>
      <c r="O2027" s="19" t="s">
        <v>71</v>
      </c>
      <c r="P2027" s="20">
        <v>1777</v>
      </c>
      <c r="Q2027" s="20">
        <f t="shared" ref="Q2027:X2027" si="4418">Q1997</f>
        <v>480</v>
      </c>
      <c r="R2027" s="20">
        <f t="shared" si="4418"/>
        <v>1920</v>
      </c>
      <c r="S2027" s="20">
        <f t="shared" si="4418"/>
        <v>3360</v>
      </c>
      <c r="T2027" s="20">
        <f t="shared" si="4418"/>
        <v>4320</v>
      </c>
      <c r="U2027" s="20">
        <f t="shared" si="4418"/>
        <v>100</v>
      </c>
      <c r="V2027" s="20">
        <f t="shared" si="4418"/>
        <v>800</v>
      </c>
      <c r="W2027" s="20">
        <f t="shared" si="4418"/>
        <v>800</v>
      </c>
      <c r="X2027" s="20">
        <f t="shared" si="4418"/>
        <v>4</v>
      </c>
      <c r="Y2027" s="20">
        <v>0</v>
      </c>
      <c r="Z2027" s="20">
        <v>0</v>
      </c>
      <c r="AA2027" s="20">
        <v>0</v>
      </c>
      <c r="AB2027" s="20">
        <f t="shared" si="4398"/>
        <v>0</v>
      </c>
      <c r="AC2027" s="20">
        <v>0</v>
      </c>
      <c r="AD2027" s="23">
        <f t="shared" ref="AD2027:AE2027" si="4419">AD1997</f>
        <v>30</v>
      </c>
      <c r="AE2027" s="23">
        <f t="shared" si="4419"/>
        <v>34</v>
      </c>
    </row>
    <row r="2028" spans="1:31">
      <c r="A2028" s="4">
        <v>17102</v>
      </c>
      <c r="B2028" s="4">
        <v>17</v>
      </c>
      <c r="C2028" s="19" t="s">
        <v>72</v>
      </c>
      <c r="D2028" s="44">
        <v>0</v>
      </c>
      <c r="E2028" s="18">
        <v>0</v>
      </c>
      <c r="F2028" s="18">
        <v>0</v>
      </c>
      <c r="G2028" s="18">
        <f t="shared" si="4386"/>
        <v>672</v>
      </c>
      <c r="H2028" s="45">
        <v>0</v>
      </c>
      <c r="I2028" s="21">
        <f t="shared" si="4395"/>
        <v>275</v>
      </c>
      <c r="J2028" s="21">
        <f t="shared" si="4381"/>
        <v>16</v>
      </c>
      <c r="K2028" s="21">
        <v>0</v>
      </c>
      <c r="L2028" s="20">
        <v>6</v>
      </c>
      <c r="M2028" s="20">
        <v>0</v>
      </c>
      <c r="N2028" s="20">
        <f t="shared" si="4396"/>
        <v>5100</v>
      </c>
      <c r="O2028" s="19" t="s">
        <v>72</v>
      </c>
      <c r="P2028" s="20">
        <v>2332</v>
      </c>
      <c r="Q2028" s="20">
        <f t="shared" ref="Q2028:X2028" si="4420">Q1998</f>
        <v>510</v>
      </c>
      <c r="R2028" s="20">
        <f t="shared" si="4420"/>
        <v>2040</v>
      </c>
      <c r="S2028" s="20">
        <f t="shared" si="4420"/>
        <v>3570</v>
      </c>
      <c r="T2028" s="20">
        <f t="shared" si="4420"/>
        <v>4590</v>
      </c>
      <c r="U2028" s="20">
        <f t="shared" si="4420"/>
        <v>80</v>
      </c>
      <c r="V2028" s="20">
        <f t="shared" si="4420"/>
        <v>800</v>
      </c>
      <c r="W2028" s="20">
        <f t="shared" si="4420"/>
        <v>600</v>
      </c>
      <c r="X2028" s="20">
        <f t="shared" si="4420"/>
        <v>5</v>
      </c>
      <c r="Y2028" s="20">
        <v>0</v>
      </c>
      <c r="Z2028" s="20">
        <v>0</v>
      </c>
      <c r="AA2028" s="20">
        <v>0</v>
      </c>
      <c r="AB2028" s="20">
        <f t="shared" si="4398"/>
        <v>0</v>
      </c>
      <c r="AC2028" s="20">
        <v>0</v>
      </c>
      <c r="AD2028" s="23">
        <f t="shared" ref="AD2028:AE2028" si="4421">AD1998</f>
        <v>32</v>
      </c>
      <c r="AE2028" s="23">
        <f t="shared" si="4421"/>
        <v>36</v>
      </c>
    </row>
    <row r="2029" spans="1:31">
      <c r="A2029" s="4">
        <v>17102</v>
      </c>
      <c r="B2029" s="4">
        <v>18</v>
      </c>
      <c r="C2029" s="19" t="s">
        <v>73</v>
      </c>
      <c r="D2029" s="44">
        <v>0</v>
      </c>
      <c r="E2029" s="18">
        <v>0</v>
      </c>
      <c r="F2029" s="18">
        <v>0</v>
      </c>
      <c r="G2029" s="18">
        <f t="shared" si="4386"/>
        <v>729</v>
      </c>
      <c r="H2029" s="45">
        <v>0</v>
      </c>
      <c r="I2029" s="21">
        <f t="shared" si="4395"/>
        <v>275</v>
      </c>
      <c r="J2029" s="21">
        <f t="shared" si="4381"/>
        <v>17</v>
      </c>
      <c r="K2029" s="21">
        <v>0</v>
      </c>
      <c r="L2029" s="20">
        <v>6</v>
      </c>
      <c r="M2029" s="20">
        <v>0</v>
      </c>
      <c r="N2029" s="20">
        <f t="shared" si="4396"/>
        <v>5400</v>
      </c>
      <c r="O2029" s="19" t="s">
        <v>73</v>
      </c>
      <c r="P2029" s="20">
        <v>1487</v>
      </c>
      <c r="Q2029" s="20">
        <f t="shared" ref="Q2029:X2029" si="4422">Q1999</f>
        <v>540</v>
      </c>
      <c r="R2029" s="20">
        <f t="shared" si="4422"/>
        <v>2160</v>
      </c>
      <c r="S2029" s="20">
        <f t="shared" si="4422"/>
        <v>3779.9999999999995</v>
      </c>
      <c r="T2029" s="20">
        <f t="shared" si="4422"/>
        <v>4860</v>
      </c>
      <c r="U2029" s="20">
        <f t="shared" si="4422"/>
        <v>100</v>
      </c>
      <c r="V2029" s="20">
        <f t="shared" si="4422"/>
        <v>600</v>
      </c>
      <c r="W2029" s="20">
        <f t="shared" si="4422"/>
        <v>300</v>
      </c>
      <c r="X2029" s="20">
        <f t="shared" si="4422"/>
        <v>5</v>
      </c>
      <c r="Y2029" s="20">
        <f>ROUND(D2029*0.25,-1)</f>
        <v>0</v>
      </c>
      <c r="Z2029" s="20">
        <f>ROUND(E2029*0.25,-1)</f>
        <v>0</v>
      </c>
      <c r="AA2029" s="20">
        <f>ROUND(F2029*0.25,-1)</f>
        <v>0</v>
      </c>
      <c r="AB2029" s="20">
        <f t="shared" si="4398"/>
        <v>151</v>
      </c>
      <c r="AC2029" s="20">
        <f>ROUND(H2029*0.25,-1)</f>
        <v>0</v>
      </c>
      <c r="AD2029" s="23">
        <f t="shared" ref="AD2029:AE2029" si="4423">AD1999</f>
        <v>34</v>
      </c>
      <c r="AE2029" s="23">
        <f t="shared" si="4423"/>
        <v>38</v>
      </c>
    </row>
    <row r="2030" spans="1:31">
      <c r="A2030" s="8">
        <v>17102</v>
      </c>
      <c r="B2030" s="8">
        <v>19</v>
      </c>
      <c r="C2030" s="19" t="s">
        <v>74</v>
      </c>
      <c r="D2030" s="44">
        <v>0</v>
      </c>
      <c r="E2030" s="18">
        <v>0</v>
      </c>
      <c r="F2030" s="18">
        <v>0</v>
      </c>
      <c r="G2030" s="18">
        <f t="shared" si="4386"/>
        <v>789</v>
      </c>
      <c r="H2030" s="45">
        <v>0</v>
      </c>
      <c r="I2030" s="21">
        <f t="shared" si="4395"/>
        <v>275</v>
      </c>
      <c r="J2030" s="21">
        <f t="shared" si="4381"/>
        <v>18</v>
      </c>
      <c r="K2030" s="21">
        <v>0</v>
      </c>
      <c r="L2030" s="20">
        <v>6</v>
      </c>
      <c r="M2030" s="20">
        <v>0</v>
      </c>
      <c r="N2030" s="20">
        <f t="shared" si="4396"/>
        <v>5700</v>
      </c>
      <c r="O2030" s="19" t="s">
        <v>74</v>
      </c>
      <c r="P2030" s="20">
        <v>1518</v>
      </c>
      <c r="Q2030" s="20">
        <f t="shared" ref="Q2030:X2030" si="4424">Q2000</f>
        <v>570</v>
      </c>
      <c r="R2030" s="20">
        <f t="shared" si="4424"/>
        <v>2280</v>
      </c>
      <c r="S2030" s="20">
        <f t="shared" si="4424"/>
        <v>3989.9999999999995</v>
      </c>
      <c r="T2030" s="20">
        <f t="shared" si="4424"/>
        <v>5130</v>
      </c>
      <c r="U2030" s="20">
        <f t="shared" si="4424"/>
        <v>100</v>
      </c>
      <c r="V2030" s="20">
        <f t="shared" si="4424"/>
        <v>500</v>
      </c>
      <c r="W2030" s="20">
        <f t="shared" si="4424"/>
        <v>400</v>
      </c>
      <c r="X2030" s="20">
        <f t="shared" si="4424"/>
        <v>5</v>
      </c>
      <c r="Y2030" s="20">
        <v>0</v>
      </c>
      <c r="Z2030" s="20">
        <v>0</v>
      </c>
      <c r="AA2030" s="20">
        <v>0</v>
      </c>
      <c r="AB2030" s="20">
        <f t="shared" si="4398"/>
        <v>0</v>
      </c>
      <c r="AC2030" s="20">
        <v>0</v>
      </c>
      <c r="AD2030" s="23">
        <f t="shared" ref="AD2030:AE2030" si="4425">AD2000</f>
        <v>36</v>
      </c>
      <c r="AE2030" s="23">
        <f t="shared" si="4425"/>
        <v>40</v>
      </c>
    </row>
    <row r="2031" spans="1:31">
      <c r="A2031" s="4">
        <v>17102</v>
      </c>
      <c r="B2031" s="4">
        <v>20</v>
      </c>
      <c r="C2031" s="19" t="s">
        <v>75</v>
      </c>
      <c r="D2031" s="44">
        <v>0</v>
      </c>
      <c r="E2031" s="18">
        <v>0</v>
      </c>
      <c r="F2031" s="18">
        <v>0</v>
      </c>
      <c r="G2031" s="18">
        <f t="shared" si="4386"/>
        <v>855</v>
      </c>
      <c r="H2031" s="45">
        <v>0</v>
      </c>
      <c r="I2031" s="21">
        <f t="shared" si="4395"/>
        <v>275</v>
      </c>
      <c r="J2031" s="21">
        <f t="shared" si="4381"/>
        <v>19</v>
      </c>
      <c r="K2031" s="21">
        <v>0</v>
      </c>
      <c r="L2031" s="20">
        <v>6</v>
      </c>
      <c r="M2031" s="20">
        <v>0</v>
      </c>
      <c r="N2031" s="20">
        <f t="shared" si="4396"/>
        <v>8000</v>
      </c>
      <c r="O2031" s="19" t="s">
        <v>75</v>
      </c>
      <c r="P2031" s="20">
        <v>861</v>
      </c>
      <c r="Q2031" s="20">
        <f t="shared" ref="Q2031:X2031" si="4426">Q2001</f>
        <v>800</v>
      </c>
      <c r="R2031" s="20">
        <f t="shared" si="4426"/>
        <v>3200</v>
      </c>
      <c r="S2031" s="20">
        <f t="shared" si="4426"/>
        <v>5600</v>
      </c>
      <c r="T2031" s="20">
        <f t="shared" si="4426"/>
        <v>7200</v>
      </c>
      <c r="U2031" s="20">
        <f t="shared" si="4426"/>
        <v>100</v>
      </c>
      <c r="V2031" s="20">
        <f t="shared" si="4426"/>
        <v>800</v>
      </c>
      <c r="W2031" s="20">
        <f t="shared" si="4426"/>
        <v>8000</v>
      </c>
      <c r="X2031" s="20">
        <f t="shared" si="4426"/>
        <v>5</v>
      </c>
      <c r="Y2031" s="20">
        <v>0</v>
      </c>
      <c r="Z2031" s="20">
        <v>0</v>
      </c>
      <c r="AA2031" s="20">
        <v>0</v>
      </c>
      <c r="AB2031" s="20">
        <f t="shared" si="4398"/>
        <v>0</v>
      </c>
      <c r="AC2031" s="20">
        <v>0</v>
      </c>
      <c r="AD2031" s="23">
        <f t="shared" ref="AD2031:AE2031" si="4427">AD2001</f>
        <v>38</v>
      </c>
      <c r="AE2031" s="23">
        <f t="shared" si="4427"/>
        <v>42</v>
      </c>
    </row>
    <row r="2032" spans="1:31">
      <c r="A2032" s="4">
        <v>17102</v>
      </c>
      <c r="B2032" s="4">
        <v>21</v>
      </c>
      <c r="C2032" s="19" t="s">
        <v>66</v>
      </c>
      <c r="D2032" s="44">
        <v>0</v>
      </c>
      <c r="E2032" s="18">
        <v>0</v>
      </c>
      <c r="F2032" s="18">
        <v>0</v>
      </c>
      <c r="G2032" s="18">
        <f t="shared" si="4386"/>
        <v>924</v>
      </c>
      <c r="H2032" s="45">
        <v>0</v>
      </c>
      <c r="I2032" s="21">
        <f t="shared" si="4395"/>
        <v>330</v>
      </c>
      <c r="J2032" s="21">
        <f t="shared" si="4381"/>
        <v>20</v>
      </c>
      <c r="K2032" s="21">
        <v>0</v>
      </c>
      <c r="L2032" s="20">
        <v>6</v>
      </c>
      <c r="M2032" s="20">
        <v>0</v>
      </c>
      <c r="N2032" s="20">
        <f t="shared" si="4396"/>
        <v>8400</v>
      </c>
      <c r="O2032" s="19" t="s">
        <v>66</v>
      </c>
      <c r="P2032" s="20">
        <v>9400</v>
      </c>
      <c r="Q2032" s="20">
        <f t="shared" ref="Q2032:X2032" si="4428">Q2002</f>
        <v>840</v>
      </c>
      <c r="R2032" s="20">
        <f t="shared" si="4428"/>
        <v>3360</v>
      </c>
      <c r="S2032" s="20">
        <f t="shared" si="4428"/>
        <v>5880</v>
      </c>
      <c r="T2032" s="20">
        <f t="shared" si="4428"/>
        <v>7560</v>
      </c>
      <c r="U2032" s="20">
        <f t="shared" si="4428"/>
        <v>50</v>
      </c>
      <c r="V2032" s="20">
        <f t="shared" si="4428"/>
        <v>1000</v>
      </c>
      <c r="W2032" s="20">
        <f t="shared" si="4428"/>
        <v>600</v>
      </c>
      <c r="X2032" s="20">
        <f t="shared" si="4428"/>
        <v>6</v>
      </c>
      <c r="Y2032" s="20">
        <v>0</v>
      </c>
      <c r="Z2032" s="20">
        <v>0</v>
      </c>
      <c r="AA2032" s="20">
        <v>0</v>
      </c>
      <c r="AB2032" s="20">
        <f t="shared" si="4398"/>
        <v>0</v>
      </c>
      <c r="AC2032" s="20">
        <v>0</v>
      </c>
      <c r="AD2032" s="23">
        <f t="shared" ref="AD2032:AE2032" si="4429">AD2002</f>
        <v>40</v>
      </c>
      <c r="AE2032" s="23">
        <f t="shared" si="4429"/>
        <v>44</v>
      </c>
    </row>
    <row r="2033" spans="1:31">
      <c r="A2033" s="4">
        <v>17102</v>
      </c>
      <c r="B2033" s="4">
        <v>22</v>
      </c>
      <c r="C2033" s="19" t="s">
        <v>67</v>
      </c>
      <c r="D2033" s="44">
        <v>0</v>
      </c>
      <c r="E2033" s="18">
        <v>0</v>
      </c>
      <c r="F2033" s="18">
        <v>0</v>
      </c>
      <c r="G2033" s="18">
        <f t="shared" si="4386"/>
        <v>1002</v>
      </c>
      <c r="H2033" s="45">
        <v>0</v>
      </c>
      <c r="I2033" s="21">
        <f t="shared" si="4395"/>
        <v>330</v>
      </c>
      <c r="J2033" s="21">
        <f t="shared" si="4381"/>
        <v>21</v>
      </c>
      <c r="K2033" s="21">
        <v>0</v>
      </c>
      <c r="L2033" s="20">
        <v>6</v>
      </c>
      <c r="M2033" s="20">
        <v>0</v>
      </c>
      <c r="N2033" s="20">
        <f t="shared" si="4396"/>
        <v>8800</v>
      </c>
      <c r="O2033" s="19" t="s">
        <v>67</v>
      </c>
      <c r="P2033" s="20">
        <v>9100</v>
      </c>
      <c r="Q2033" s="20">
        <f t="shared" ref="Q2033:X2033" si="4430">Q2003</f>
        <v>880</v>
      </c>
      <c r="R2033" s="20">
        <f t="shared" si="4430"/>
        <v>3520</v>
      </c>
      <c r="S2033" s="20">
        <f t="shared" si="4430"/>
        <v>6160</v>
      </c>
      <c r="T2033" s="20">
        <f t="shared" si="4430"/>
        <v>7920</v>
      </c>
      <c r="U2033" s="20">
        <f t="shared" si="4430"/>
        <v>100</v>
      </c>
      <c r="V2033" s="20">
        <f t="shared" si="4430"/>
        <v>600</v>
      </c>
      <c r="W2033" s="20">
        <f t="shared" si="4430"/>
        <v>700</v>
      </c>
      <c r="X2033" s="20">
        <f t="shared" si="4430"/>
        <v>6</v>
      </c>
      <c r="Y2033" s="20">
        <v>0</v>
      </c>
      <c r="Z2033" s="20">
        <v>0</v>
      </c>
      <c r="AA2033" s="20">
        <v>0</v>
      </c>
      <c r="AB2033" s="20">
        <f t="shared" si="4398"/>
        <v>0</v>
      </c>
      <c r="AC2033" s="20">
        <v>0</v>
      </c>
      <c r="AD2033" s="23">
        <f t="shared" ref="AD2033:AE2033" si="4431">AD2003</f>
        <v>42</v>
      </c>
      <c r="AE2033" s="23">
        <f t="shared" si="4431"/>
        <v>46</v>
      </c>
    </row>
    <row r="2034" spans="1:31">
      <c r="A2034" s="4">
        <v>17102</v>
      </c>
      <c r="B2034" s="4">
        <v>23</v>
      </c>
      <c r="C2034" s="19" t="s">
        <v>68</v>
      </c>
      <c r="D2034" s="44">
        <v>0</v>
      </c>
      <c r="E2034" s="18">
        <v>0</v>
      </c>
      <c r="F2034" s="18">
        <v>0</v>
      </c>
      <c r="G2034" s="18">
        <f t="shared" si="4386"/>
        <v>1083</v>
      </c>
      <c r="H2034" s="45">
        <v>0</v>
      </c>
      <c r="I2034" s="21">
        <f t="shared" si="4395"/>
        <v>330</v>
      </c>
      <c r="J2034" s="21">
        <f t="shared" si="4381"/>
        <v>22</v>
      </c>
      <c r="K2034" s="21">
        <v>0</v>
      </c>
      <c r="L2034" s="20">
        <v>6</v>
      </c>
      <c r="M2034" s="20">
        <v>0</v>
      </c>
      <c r="N2034" s="20">
        <f t="shared" si="4396"/>
        <v>9200</v>
      </c>
      <c r="O2034" s="19" t="s">
        <v>68</v>
      </c>
      <c r="P2034" s="20">
        <v>8600</v>
      </c>
      <c r="Q2034" s="20">
        <f t="shared" ref="Q2034:X2034" si="4432">Q2004</f>
        <v>920</v>
      </c>
      <c r="R2034" s="20">
        <f t="shared" si="4432"/>
        <v>3680</v>
      </c>
      <c r="S2034" s="20">
        <f t="shared" si="4432"/>
        <v>6440</v>
      </c>
      <c r="T2034" s="20">
        <f t="shared" si="4432"/>
        <v>8280</v>
      </c>
      <c r="U2034" s="20">
        <f t="shared" si="4432"/>
        <v>100</v>
      </c>
      <c r="V2034" s="20">
        <f t="shared" si="4432"/>
        <v>550</v>
      </c>
      <c r="W2034" s="20">
        <f t="shared" si="4432"/>
        <v>500</v>
      </c>
      <c r="X2034" s="20">
        <f t="shared" si="4432"/>
        <v>6</v>
      </c>
      <c r="Y2034" s="20">
        <f>ROUND(D2034*0.25,-1)</f>
        <v>0</v>
      </c>
      <c r="Z2034" s="20">
        <f>ROUND(E2034*0.25,-1)</f>
        <v>0</v>
      </c>
      <c r="AA2034" s="20">
        <f>ROUND(F2034*0.25,-1)</f>
        <v>0</v>
      </c>
      <c r="AB2034" s="20">
        <f t="shared" si="4398"/>
        <v>201</v>
      </c>
      <c r="AC2034" s="20">
        <f>ROUND(H2034*0.25,-1)</f>
        <v>0</v>
      </c>
      <c r="AD2034" s="23">
        <f t="shared" ref="AD2034:AE2034" si="4433">AD2004</f>
        <v>44</v>
      </c>
      <c r="AE2034" s="23">
        <f t="shared" si="4433"/>
        <v>48</v>
      </c>
    </row>
    <row r="2035" spans="1:31">
      <c r="A2035" s="4">
        <v>17102</v>
      </c>
      <c r="B2035" s="4">
        <v>24</v>
      </c>
      <c r="C2035" s="19" t="s">
        <v>69</v>
      </c>
      <c r="D2035" s="44">
        <v>0</v>
      </c>
      <c r="E2035" s="18">
        <v>0</v>
      </c>
      <c r="F2035" s="18">
        <v>0</v>
      </c>
      <c r="G2035" s="18">
        <f t="shared" si="4386"/>
        <v>1173</v>
      </c>
      <c r="H2035" s="45">
        <v>0</v>
      </c>
      <c r="I2035" s="21">
        <f t="shared" si="4395"/>
        <v>330</v>
      </c>
      <c r="J2035" s="21">
        <f t="shared" si="4381"/>
        <v>23</v>
      </c>
      <c r="K2035" s="21">
        <v>0</v>
      </c>
      <c r="L2035" s="20">
        <v>6</v>
      </c>
      <c r="M2035" s="20">
        <v>0</v>
      </c>
      <c r="N2035" s="20">
        <f t="shared" si="4396"/>
        <v>9600</v>
      </c>
      <c r="O2035" s="19" t="s">
        <v>69</v>
      </c>
      <c r="P2035" s="20">
        <v>6400</v>
      </c>
      <c r="Q2035" s="20">
        <f t="shared" ref="Q2035:X2035" si="4434">Q2005</f>
        <v>960</v>
      </c>
      <c r="R2035" s="20">
        <f t="shared" si="4434"/>
        <v>3840</v>
      </c>
      <c r="S2035" s="20">
        <f t="shared" si="4434"/>
        <v>6720</v>
      </c>
      <c r="T2035" s="20">
        <f t="shared" si="4434"/>
        <v>8640</v>
      </c>
      <c r="U2035" s="20">
        <f t="shared" si="4434"/>
        <v>100</v>
      </c>
      <c r="V2035" s="20">
        <f t="shared" si="4434"/>
        <v>500</v>
      </c>
      <c r="W2035" s="20">
        <f t="shared" si="4434"/>
        <v>900</v>
      </c>
      <c r="X2035" s="20">
        <f t="shared" si="4434"/>
        <v>6</v>
      </c>
      <c r="Y2035" s="20">
        <v>0</v>
      </c>
      <c r="Z2035" s="20">
        <v>0</v>
      </c>
      <c r="AA2035" s="20">
        <v>0</v>
      </c>
      <c r="AB2035" s="20">
        <f t="shared" si="4398"/>
        <v>0</v>
      </c>
      <c r="AC2035" s="20">
        <v>0</v>
      </c>
      <c r="AD2035" s="23">
        <f t="shared" ref="AD2035:AE2035" si="4435">AD2005</f>
        <v>46</v>
      </c>
      <c r="AE2035" s="23">
        <f t="shared" si="4435"/>
        <v>50</v>
      </c>
    </row>
    <row r="2036" spans="1:31">
      <c r="A2036" s="4">
        <v>17102</v>
      </c>
      <c r="B2036" s="4">
        <v>25</v>
      </c>
      <c r="C2036" s="19" t="s">
        <v>70</v>
      </c>
      <c r="D2036" s="44">
        <v>0</v>
      </c>
      <c r="E2036" s="18">
        <v>0</v>
      </c>
      <c r="F2036" s="18">
        <v>0</v>
      </c>
      <c r="G2036" s="18">
        <f t="shared" si="4386"/>
        <v>1272</v>
      </c>
      <c r="H2036" s="45">
        <v>0</v>
      </c>
      <c r="I2036" s="21">
        <f t="shared" si="4395"/>
        <v>385</v>
      </c>
      <c r="J2036" s="21">
        <f t="shared" si="4381"/>
        <v>24</v>
      </c>
      <c r="K2036" s="21">
        <v>0</v>
      </c>
      <c r="L2036" s="20">
        <v>6</v>
      </c>
      <c r="M2036" s="20">
        <v>0</v>
      </c>
      <c r="N2036" s="20">
        <f t="shared" si="4396"/>
        <v>12500</v>
      </c>
      <c r="O2036" s="19" t="s">
        <v>70</v>
      </c>
      <c r="P2036" s="20">
        <v>3100</v>
      </c>
      <c r="Q2036" s="20">
        <f t="shared" ref="Q2036:X2036" si="4436">Q2006</f>
        <v>1250</v>
      </c>
      <c r="R2036" s="20">
        <f t="shared" si="4436"/>
        <v>5000</v>
      </c>
      <c r="S2036" s="20">
        <f t="shared" si="4436"/>
        <v>8750</v>
      </c>
      <c r="T2036" s="20">
        <f t="shared" si="4436"/>
        <v>11250</v>
      </c>
      <c r="U2036" s="20">
        <f t="shared" si="4436"/>
        <v>10</v>
      </c>
      <c r="V2036" s="20">
        <f t="shared" si="4436"/>
        <v>1300</v>
      </c>
      <c r="W2036" s="20">
        <f t="shared" si="4436"/>
        <v>1000</v>
      </c>
      <c r="X2036" s="20">
        <f t="shared" si="4436"/>
        <v>7</v>
      </c>
      <c r="Y2036" s="20">
        <v>0</v>
      </c>
      <c r="Z2036" s="20">
        <v>0</v>
      </c>
      <c r="AA2036" s="20">
        <v>0</v>
      </c>
      <c r="AB2036" s="20">
        <f t="shared" si="4398"/>
        <v>0</v>
      </c>
      <c r="AC2036" s="20">
        <v>0</v>
      </c>
      <c r="AD2036" s="23">
        <f t="shared" ref="AD2036:AE2036" si="4437">AD2006</f>
        <v>48</v>
      </c>
      <c r="AE2036" s="23">
        <f t="shared" si="4437"/>
        <v>52</v>
      </c>
    </row>
    <row r="2037" spans="1:31">
      <c r="A2037" s="4">
        <v>17102</v>
      </c>
      <c r="B2037" s="4">
        <v>26</v>
      </c>
      <c r="C2037" s="19" t="s">
        <v>71</v>
      </c>
      <c r="D2037" s="44">
        <v>0</v>
      </c>
      <c r="E2037" s="18">
        <v>0</v>
      </c>
      <c r="F2037" s="18">
        <v>0</v>
      </c>
      <c r="G2037" s="18">
        <f t="shared" si="4386"/>
        <v>1377</v>
      </c>
      <c r="H2037" s="45">
        <v>0</v>
      </c>
      <c r="I2037" s="21">
        <f t="shared" si="4395"/>
        <v>385</v>
      </c>
      <c r="J2037" s="21">
        <f t="shared" si="4381"/>
        <v>25</v>
      </c>
      <c r="K2037" s="21">
        <v>0</v>
      </c>
      <c r="L2037" s="20">
        <v>6</v>
      </c>
      <c r="M2037" s="20">
        <v>0</v>
      </c>
      <c r="N2037" s="20">
        <f t="shared" si="4396"/>
        <v>13000</v>
      </c>
      <c r="O2037" s="19" t="s">
        <v>71</v>
      </c>
      <c r="P2037" s="20">
        <v>1777</v>
      </c>
      <c r="Q2037" s="20">
        <f t="shared" ref="Q2037:X2037" si="4438">Q2007</f>
        <v>1300</v>
      </c>
      <c r="R2037" s="20">
        <f t="shared" si="4438"/>
        <v>5200</v>
      </c>
      <c r="S2037" s="20">
        <f t="shared" si="4438"/>
        <v>9100</v>
      </c>
      <c r="T2037" s="20">
        <f t="shared" si="4438"/>
        <v>11700</v>
      </c>
      <c r="U2037" s="20">
        <f t="shared" si="4438"/>
        <v>90</v>
      </c>
      <c r="V2037" s="20">
        <f t="shared" si="4438"/>
        <v>800</v>
      </c>
      <c r="W2037" s="20">
        <f t="shared" si="4438"/>
        <v>2000</v>
      </c>
      <c r="X2037" s="20">
        <f t="shared" si="4438"/>
        <v>7</v>
      </c>
      <c r="Y2037" s="20">
        <v>0</v>
      </c>
      <c r="Z2037" s="20">
        <v>0</v>
      </c>
      <c r="AA2037" s="20">
        <v>0</v>
      </c>
      <c r="AB2037" s="20">
        <f t="shared" si="4398"/>
        <v>0</v>
      </c>
      <c r="AC2037" s="20">
        <v>0</v>
      </c>
      <c r="AD2037" s="23">
        <f t="shared" ref="AD2037:AE2037" si="4439">AD2007</f>
        <v>50</v>
      </c>
      <c r="AE2037" s="23">
        <f t="shared" si="4439"/>
        <v>54</v>
      </c>
    </row>
    <row r="2038" spans="1:31">
      <c r="A2038" s="4">
        <v>17102</v>
      </c>
      <c r="B2038" s="4">
        <v>27</v>
      </c>
      <c r="C2038" s="19" t="s">
        <v>72</v>
      </c>
      <c r="D2038" s="44">
        <v>0</v>
      </c>
      <c r="E2038" s="18">
        <v>0</v>
      </c>
      <c r="F2038" s="18">
        <v>0</v>
      </c>
      <c r="G2038" s="18">
        <f t="shared" si="4386"/>
        <v>1488</v>
      </c>
      <c r="H2038" s="45">
        <v>0</v>
      </c>
      <c r="I2038" s="21">
        <f t="shared" si="4395"/>
        <v>385</v>
      </c>
      <c r="J2038" s="21">
        <f t="shared" si="4381"/>
        <v>26</v>
      </c>
      <c r="K2038" s="21">
        <v>0</v>
      </c>
      <c r="L2038" s="20">
        <v>6</v>
      </c>
      <c r="M2038" s="20">
        <v>0</v>
      </c>
      <c r="N2038" s="20">
        <f t="shared" si="4396"/>
        <v>13500</v>
      </c>
      <c r="O2038" s="19" t="s">
        <v>72</v>
      </c>
      <c r="P2038" s="20">
        <v>2332</v>
      </c>
      <c r="Q2038" s="20">
        <f t="shared" ref="Q2038:X2038" si="4440">Q2008</f>
        <v>1350</v>
      </c>
      <c r="R2038" s="20">
        <f t="shared" si="4440"/>
        <v>5400</v>
      </c>
      <c r="S2038" s="20">
        <f t="shared" si="4440"/>
        <v>9450</v>
      </c>
      <c r="T2038" s="20">
        <f t="shared" si="4440"/>
        <v>12150</v>
      </c>
      <c r="U2038" s="20">
        <f t="shared" si="4440"/>
        <v>80</v>
      </c>
      <c r="V2038" s="20">
        <f t="shared" si="4440"/>
        <v>700</v>
      </c>
      <c r="W2038" s="20">
        <f t="shared" si="4440"/>
        <v>800</v>
      </c>
      <c r="X2038" s="20">
        <f t="shared" si="4440"/>
        <v>7</v>
      </c>
      <c r="Y2038" s="20">
        <v>0</v>
      </c>
      <c r="Z2038" s="20">
        <v>0</v>
      </c>
      <c r="AA2038" s="20">
        <v>0</v>
      </c>
      <c r="AB2038" s="20">
        <f t="shared" si="4398"/>
        <v>0</v>
      </c>
      <c r="AC2038" s="20">
        <v>0</v>
      </c>
      <c r="AD2038" s="23">
        <f t="shared" ref="AD2038:AE2038" si="4441">AD2008</f>
        <v>52</v>
      </c>
      <c r="AE2038" s="23">
        <f t="shared" si="4441"/>
        <v>56</v>
      </c>
    </row>
    <row r="2039" spans="1:31">
      <c r="A2039" s="4">
        <v>17102</v>
      </c>
      <c r="B2039" s="4">
        <v>28</v>
      </c>
      <c r="C2039" s="19" t="s">
        <v>73</v>
      </c>
      <c r="D2039" s="44">
        <v>0</v>
      </c>
      <c r="E2039" s="18">
        <v>0</v>
      </c>
      <c r="F2039" s="18">
        <v>0</v>
      </c>
      <c r="G2039" s="18">
        <f t="shared" si="4386"/>
        <v>1611</v>
      </c>
      <c r="H2039" s="45">
        <v>0</v>
      </c>
      <c r="I2039" s="21">
        <f t="shared" si="4395"/>
        <v>385</v>
      </c>
      <c r="J2039" s="21">
        <f t="shared" si="4381"/>
        <v>27</v>
      </c>
      <c r="K2039" s="21">
        <v>0</v>
      </c>
      <c r="L2039" s="20">
        <v>6</v>
      </c>
      <c r="M2039" s="20">
        <v>0</v>
      </c>
      <c r="N2039" s="20">
        <f t="shared" si="4396"/>
        <v>14000</v>
      </c>
      <c r="O2039" s="19" t="s">
        <v>73</v>
      </c>
      <c r="P2039" s="20">
        <v>1487</v>
      </c>
      <c r="Q2039" s="20">
        <f t="shared" ref="Q2039:X2039" si="4442">Q2009</f>
        <v>1400</v>
      </c>
      <c r="R2039" s="20">
        <f t="shared" si="4442"/>
        <v>5600</v>
      </c>
      <c r="S2039" s="20">
        <f t="shared" si="4442"/>
        <v>9800</v>
      </c>
      <c r="T2039" s="20">
        <f t="shared" si="4442"/>
        <v>12600</v>
      </c>
      <c r="U2039" s="20">
        <f t="shared" si="4442"/>
        <v>80</v>
      </c>
      <c r="V2039" s="20">
        <f t="shared" si="4442"/>
        <v>500</v>
      </c>
      <c r="W2039" s="20">
        <f t="shared" si="4442"/>
        <v>600</v>
      </c>
      <c r="X2039" s="20">
        <f t="shared" si="4442"/>
        <v>7</v>
      </c>
      <c r="Y2039" s="20">
        <f>ROUND(D2039*0.25,-1)</f>
        <v>0</v>
      </c>
      <c r="Z2039" s="20">
        <f>ROUND(E2039*0.25,-1)</f>
        <v>0</v>
      </c>
      <c r="AA2039" s="20">
        <f>ROUND(F2039*0.25,-1)</f>
        <v>0</v>
      </c>
      <c r="AB2039" s="20">
        <f t="shared" si="4398"/>
        <v>252</v>
      </c>
      <c r="AC2039" s="20">
        <f>ROUND(H2039*0.25,-1)</f>
        <v>0</v>
      </c>
      <c r="AD2039" s="23">
        <f t="shared" ref="AD2039:AE2039" si="4443">AD2009</f>
        <v>54</v>
      </c>
      <c r="AE2039" s="23">
        <f t="shared" si="4443"/>
        <v>58</v>
      </c>
    </row>
    <row r="2040" spans="1:31">
      <c r="A2040" s="4">
        <v>17102</v>
      </c>
      <c r="B2040" s="4">
        <v>29</v>
      </c>
      <c r="C2040" s="19" t="s">
        <v>74</v>
      </c>
      <c r="D2040" s="44">
        <v>0</v>
      </c>
      <c r="E2040" s="18">
        <v>0</v>
      </c>
      <c r="F2040" s="18">
        <v>0</v>
      </c>
      <c r="G2040" s="18">
        <f t="shared" si="4386"/>
        <v>1746</v>
      </c>
      <c r="H2040" s="45">
        <v>0</v>
      </c>
      <c r="I2040" s="21">
        <f t="shared" si="4395"/>
        <v>440</v>
      </c>
      <c r="J2040" s="21">
        <f t="shared" si="4381"/>
        <v>28</v>
      </c>
      <c r="K2040" s="21">
        <v>0</v>
      </c>
      <c r="L2040" s="20">
        <v>6</v>
      </c>
      <c r="M2040" s="20">
        <v>0</v>
      </c>
      <c r="N2040" s="20">
        <f t="shared" si="4396"/>
        <v>14500</v>
      </c>
      <c r="O2040" s="19" t="s">
        <v>74</v>
      </c>
      <c r="P2040" s="20">
        <v>1518</v>
      </c>
      <c r="Q2040" s="20">
        <f t="shared" ref="Q2040:X2040" si="4444">Q2010</f>
        <v>1450</v>
      </c>
      <c r="R2040" s="20">
        <f t="shared" si="4444"/>
        <v>5800</v>
      </c>
      <c r="S2040" s="20">
        <f t="shared" si="4444"/>
        <v>10150</v>
      </c>
      <c r="T2040" s="20">
        <f t="shared" si="4444"/>
        <v>13050</v>
      </c>
      <c r="U2040" s="20">
        <f t="shared" si="4444"/>
        <v>80</v>
      </c>
      <c r="V2040" s="20">
        <f t="shared" si="4444"/>
        <v>600</v>
      </c>
      <c r="W2040" s="20">
        <f t="shared" si="4444"/>
        <v>700</v>
      </c>
      <c r="X2040" s="20">
        <f t="shared" si="4444"/>
        <v>8</v>
      </c>
      <c r="Y2040" s="20">
        <v>0</v>
      </c>
      <c r="Z2040" s="20">
        <v>0</v>
      </c>
      <c r="AA2040" s="20">
        <v>0</v>
      </c>
      <c r="AB2040" s="20">
        <f t="shared" si="4398"/>
        <v>0</v>
      </c>
      <c r="AC2040" s="20">
        <v>0</v>
      </c>
      <c r="AD2040" s="23">
        <f t="shared" ref="AD2040:AE2040" si="4445">AD2010</f>
        <v>56</v>
      </c>
      <c r="AE2040" s="23">
        <f t="shared" si="4445"/>
        <v>60</v>
      </c>
    </row>
    <row r="2041" spans="1:31">
      <c r="A2041" s="4">
        <v>17102</v>
      </c>
      <c r="B2041" s="4">
        <v>30</v>
      </c>
      <c r="C2041" s="19" t="s">
        <v>75</v>
      </c>
      <c r="D2041" s="44">
        <v>0</v>
      </c>
      <c r="E2041" s="18">
        <v>0</v>
      </c>
      <c r="F2041" s="18">
        <v>0</v>
      </c>
      <c r="G2041" s="18">
        <f t="shared" si="4386"/>
        <v>1890</v>
      </c>
      <c r="H2041" s="45">
        <v>0</v>
      </c>
      <c r="I2041" s="21">
        <f t="shared" si="4395"/>
        <v>440</v>
      </c>
      <c r="J2041" s="21">
        <f t="shared" si="4381"/>
        <v>29</v>
      </c>
      <c r="K2041" s="21">
        <v>0</v>
      </c>
      <c r="L2041" s="20">
        <v>6</v>
      </c>
      <c r="M2041" s="20">
        <v>0</v>
      </c>
      <c r="N2041" s="20">
        <f t="shared" si="4396"/>
        <v>15000</v>
      </c>
      <c r="O2041" s="19" t="s">
        <v>75</v>
      </c>
      <c r="P2041" s="20">
        <v>861</v>
      </c>
      <c r="Q2041" s="20">
        <f t="shared" ref="Q2041:X2041" si="4446">Q2011</f>
        <v>1500</v>
      </c>
      <c r="R2041" s="20">
        <f t="shared" si="4446"/>
        <v>6000</v>
      </c>
      <c r="S2041" s="20">
        <f t="shared" si="4446"/>
        <v>10500</v>
      </c>
      <c r="T2041" s="20">
        <f t="shared" si="4446"/>
        <v>13500</v>
      </c>
      <c r="U2041" s="20">
        <f t="shared" si="4446"/>
        <v>20</v>
      </c>
      <c r="V2041" s="20">
        <f t="shared" si="4446"/>
        <v>450</v>
      </c>
      <c r="W2041" s="20">
        <f t="shared" si="4446"/>
        <v>1000</v>
      </c>
      <c r="X2041" s="20">
        <f t="shared" si="4446"/>
        <v>8</v>
      </c>
      <c r="Y2041" s="20">
        <v>0</v>
      </c>
      <c r="Z2041" s="20">
        <v>0</v>
      </c>
      <c r="AA2041" s="20">
        <v>0</v>
      </c>
      <c r="AB2041" s="20">
        <f t="shared" si="4398"/>
        <v>0</v>
      </c>
      <c r="AC2041" s="20">
        <v>0</v>
      </c>
      <c r="AD2041" s="23">
        <f t="shared" ref="AD2041:AE2041" si="4447">AD2011</f>
        <v>58</v>
      </c>
      <c r="AE2041" s="23">
        <f t="shared" si="4447"/>
        <v>62</v>
      </c>
    </row>
    <row r="2042" spans="1:31">
      <c r="A2042" s="8">
        <v>17103</v>
      </c>
      <c r="B2042" s="8">
        <v>1</v>
      </c>
      <c r="C2042" s="29" t="s">
        <v>66</v>
      </c>
      <c r="D2042" s="46">
        <v>0</v>
      </c>
      <c r="E2042" s="28">
        <v>0</v>
      </c>
      <c r="F2042" s="28">
        <v>0</v>
      </c>
      <c r="G2042" s="28">
        <f>G1952*4</f>
        <v>252</v>
      </c>
      <c r="H2042" s="47">
        <v>0</v>
      </c>
      <c r="I2042" s="21">
        <f t="shared" si="4395"/>
        <v>55</v>
      </c>
      <c r="J2042" s="21">
        <f t="shared" si="4381"/>
        <v>0</v>
      </c>
      <c r="K2042" s="21">
        <v>0</v>
      </c>
      <c r="L2042" s="20">
        <v>45</v>
      </c>
      <c r="M2042" s="20">
        <v>0</v>
      </c>
      <c r="N2042" s="20">
        <f t="shared" si="4396"/>
        <v>10</v>
      </c>
      <c r="O2042" s="19" t="s">
        <v>66</v>
      </c>
      <c r="P2042" s="20">
        <v>9400</v>
      </c>
      <c r="Q2042" s="20">
        <f t="shared" ref="Q2042:X2042" si="4448">Q2012</f>
        <v>1</v>
      </c>
      <c r="R2042" s="20">
        <f t="shared" si="4448"/>
        <v>4</v>
      </c>
      <c r="S2042" s="20">
        <f t="shared" si="4448"/>
        <v>7</v>
      </c>
      <c r="T2042" s="20">
        <f t="shared" si="4448"/>
        <v>9</v>
      </c>
      <c r="U2042" s="20">
        <f t="shared" si="4448"/>
        <v>9400</v>
      </c>
      <c r="V2042" s="20">
        <f t="shared" si="4448"/>
        <v>9400</v>
      </c>
      <c r="W2042" s="20">
        <f t="shared" si="4448"/>
        <v>9400</v>
      </c>
      <c r="X2042" s="20">
        <f t="shared" si="4448"/>
        <v>1</v>
      </c>
      <c r="Y2042" s="20">
        <v>0</v>
      </c>
      <c r="Z2042" s="20">
        <v>0</v>
      </c>
      <c r="AA2042" s="20">
        <v>0</v>
      </c>
      <c r="AB2042" s="20">
        <f t="shared" si="4398"/>
        <v>0</v>
      </c>
      <c r="AC2042" s="20">
        <v>0</v>
      </c>
      <c r="AD2042" s="23">
        <f t="shared" ref="AD2042:AE2042" si="4449">AD2012</f>
        <v>1</v>
      </c>
      <c r="AE2042" s="23">
        <f t="shared" si="4449"/>
        <v>3</v>
      </c>
    </row>
    <row r="2043" spans="1:31">
      <c r="A2043" s="4">
        <v>17103</v>
      </c>
      <c r="B2043" s="4">
        <v>2</v>
      </c>
      <c r="C2043" s="29" t="s">
        <v>67</v>
      </c>
      <c r="D2043" s="46">
        <v>0</v>
      </c>
      <c r="E2043" s="28">
        <v>0</v>
      </c>
      <c r="F2043" s="28">
        <v>0</v>
      </c>
      <c r="G2043" s="28">
        <f t="shared" ref="G2043:G2071" si="4450">G1953*4</f>
        <v>272</v>
      </c>
      <c r="H2043" s="47">
        <v>0</v>
      </c>
      <c r="I2043" s="21">
        <f t="shared" si="4395"/>
        <v>55</v>
      </c>
      <c r="J2043" s="21">
        <f t="shared" si="4381"/>
        <v>1</v>
      </c>
      <c r="K2043" s="21">
        <v>0</v>
      </c>
      <c r="L2043" s="20">
        <v>40</v>
      </c>
      <c r="M2043" s="20">
        <v>0</v>
      </c>
      <c r="N2043" s="20">
        <f t="shared" si="4396"/>
        <v>20</v>
      </c>
      <c r="O2043" s="19" t="s">
        <v>67</v>
      </c>
      <c r="P2043" s="20">
        <v>9100</v>
      </c>
      <c r="Q2043" s="20">
        <f t="shared" ref="Q2043:X2043" si="4451">Q2013</f>
        <v>2</v>
      </c>
      <c r="R2043" s="20">
        <f t="shared" si="4451"/>
        <v>8</v>
      </c>
      <c r="S2043" s="20">
        <f t="shared" si="4451"/>
        <v>14</v>
      </c>
      <c r="T2043" s="20">
        <f t="shared" si="4451"/>
        <v>18</v>
      </c>
      <c r="U2043" s="20">
        <f t="shared" si="4451"/>
        <v>4000</v>
      </c>
      <c r="V2043" s="20">
        <f t="shared" si="4451"/>
        <v>8000</v>
      </c>
      <c r="W2043" s="20">
        <f t="shared" si="4451"/>
        <v>8000</v>
      </c>
      <c r="X2043" s="20">
        <f t="shared" si="4451"/>
        <v>1</v>
      </c>
      <c r="Y2043" s="20">
        <v>0</v>
      </c>
      <c r="Z2043" s="20">
        <v>0</v>
      </c>
      <c r="AA2043" s="20">
        <v>0</v>
      </c>
      <c r="AB2043" s="20">
        <f t="shared" si="4398"/>
        <v>0</v>
      </c>
      <c r="AC2043" s="20">
        <v>0</v>
      </c>
      <c r="AD2043" s="23">
        <f t="shared" ref="AD2043:AE2043" si="4452">AD2013</f>
        <v>2</v>
      </c>
      <c r="AE2043" s="23">
        <f t="shared" si="4452"/>
        <v>5</v>
      </c>
    </row>
    <row r="2044" spans="1:31">
      <c r="A2044" s="4">
        <v>17103</v>
      </c>
      <c r="B2044" s="4">
        <v>3</v>
      </c>
      <c r="C2044" s="29" t="s">
        <v>68</v>
      </c>
      <c r="D2044" s="46">
        <v>0</v>
      </c>
      <c r="E2044" s="28">
        <v>0</v>
      </c>
      <c r="F2044" s="28">
        <v>0</v>
      </c>
      <c r="G2044" s="28">
        <f t="shared" si="4450"/>
        <v>296</v>
      </c>
      <c r="H2044" s="47">
        <v>0</v>
      </c>
      <c r="I2044" s="21">
        <f t="shared" si="4395"/>
        <v>55</v>
      </c>
      <c r="J2044" s="21">
        <f t="shared" si="4381"/>
        <v>2</v>
      </c>
      <c r="K2044" s="21">
        <v>0</v>
      </c>
      <c r="L2044" s="20">
        <v>35</v>
      </c>
      <c r="M2044" s="20">
        <v>0</v>
      </c>
      <c r="N2044" s="20">
        <f t="shared" si="4396"/>
        <v>40</v>
      </c>
      <c r="O2044" s="19" t="s">
        <v>68</v>
      </c>
      <c r="P2044" s="20">
        <v>8600</v>
      </c>
      <c r="Q2044" s="20">
        <f t="shared" ref="Q2044:X2044" si="4453">Q2014</f>
        <v>4</v>
      </c>
      <c r="R2044" s="20">
        <f t="shared" si="4453"/>
        <v>16</v>
      </c>
      <c r="S2044" s="20">
        <f t="shared" si="4453"/>
        <v>28</v>
      </c>
      <c r="T2044" s="20">
        <f t="shared" si="4453"/>
        <v>36</v>
      </c>
      <c r="U2044" s="20">
        <f t="shared" si="4453"/>
        <v>1600</v>
      </c>
      <c r="V2044" s="20">
        <f t="shared" si="4453"/>
        <v>5000</v>
      </c>
      <c r="W2044" s="20">
        <f t="shared" si="4453"/>
        <v>6000</v>
      </c>
      <c r="X2044" s="20">
        <f t="shared" si="4453"/>
        <v>1</v>
      </c>
      <c r="Y2044" s="20">
        <v>0</v>
      </c>
      <c r="Z2044" s="20">
        <v>0</v>
      </c>
      <c r="AA2044" s="20">
        <v>0</v>
      </c>
      <c r="AB2044" s="20">
        <f t="shared" si="4398"/>
        <v>0</v>
      </c>
      <c r="AC2044" s="20">
        <v>0</v>
      </c>
      <c r="AD2044" s="23">
        <f t="shared" ref="AD2044:AE2044" si="4454">AD2014</f>
        <v>4</v>
      </c>
      <c r="AE2044" s="23">
        <f t="shared" si="4454"/>
        <v>8</v>
      </c>
    </row>
    <row r="2045" spans="1:31">
      <c r="A2045" s="4">
        <v>17103</v>
      </c>
      <c r="B2045" s="4">
        <v>4</v>
      </c>
      <c r="C2045" s="29" t="s">
        <v>69</v>
      </c>
      <c r="D2045" s="46">
        <v>0</v>
      </c>
      <c r="E2045" s="28">
        <v>0</v>
      </c>
      <c r="F2045" s="28">
        <v>0</v>
      </c>
      <c r="G2045" s="28">
        <f t="shared" si="4450"/>
        <v>320</v>
      </c>
      <c r="H2045" s="47">
        <v>0</v>
      </c>
      <c r="I2045" s="21">
        <f t="shared" si="4395"/>
        <v>55</v>
      </c>
      <c r="J2045" s="21">
        <f t="shared" si="4381"/>
        <v>3</v>
      </c>
      <c r="K2045" s="21">
        <v>0</v>
      </c>
      <c r="L2045" s="20">
        <v>30</v>
      </c>
      <c r="M2045" s="20">
        <v>0</v>
      </c>
      <c r="N2045" s="20">
        <f t="shared" si="4396"/>
        <v>100</v>
      </c>
      <c r="O2045" s="19" t="s">
        <v>69</v>
      </c>
      <c r="P2045" s="20">
        <v>6400</v>
      </c>
      <c r="Q2045" s="20">
        <f t="shared" ref="Q2045:X2045" si="4455">Q2015</f>
        <v>10</v>
      </c>
      <c r="R2045" s="20">
        <f t="shared" si="4455"/>
        <v>40</v>
      </c>
      <c r="S2045" s="20">
        <f t="shared" si="4455"/>
        <v>70</v>
      </c>
      <c r="T2045" s="20">
        <f t="shared" si="4455"/>
        <v>90</v>
      </c>
      <c r="U2045" s="20">
        <f t="shared" si="4455"/>
        <v>900</v>
      </c>
      <c r="V2045" s="20">
        <f t="shared" si="4455"/>
        <v>2000</v>
      </c>
      <c r="W2045" s="20">
        <f t="shared" si="4455"/>
        <v>8000</v>
      </c>
      <c r="X2045" s="20">
        <f t="shared" si="4455"/>
        <v>1</v>
      </c>
      <c r="Y2045" s="20">
        <v>0</v>
      </c>
      <c r="Z2045" s="20">
        <v>0</v>
      </c>
      <c r="AA2045" s="20">
        <v>0</v>
      </c>
      <c r="AB2045" s="20">
        <f t="shared" si="4398"/>
        <v>0</v>
      </c>
      <c r="AC2045" s="20">
        <v>0</v>
      </c>
      <c r="AD2045" s="23">
        <f t="shared" ref="AD2045:AE2045" si="4456">AD2015</f>
        <v>6</v>
      </c>
      <c r="AE2045" s="23">
        <f t="shared" si="4456"/>
        <v>10</v>
      </c>
    </row>
    <row r="2046" spans="1:31">
      <c r="A2046" s="4">
        <v>17103</v>
      </c>
      <c r="B2046" s="4">
        <v>5</v>
      </c>
      <c r="C2046" s="29" t="s">
        <v>70</v>
      </c>
      <c r="D2046" s="46">
        <v>0</v>
      </c>
      <c r="E2046" s="28">
        <v>0</v>
      </c>
      <c r="F2046" s="28">
        <v>0</v>
      </c>
      <c r="G2046" s="28">
        <f t="shared" si="4450"/>
        <v>348</v>
      </c>
      <c r="H2046" s="47">
        <v>0</v>
      </c>
      <c r="I2046" s="21">
        <f t="shared" si="4395"/>
        <v>110</v>
      </c>
      <c r="J2046" s="21">
        <f t="shared" si="4381"/>
        <v>4</v>
      </c>
      <c r="K2046" s="21">
        <v>0</v>
      </c>
      <c r="L2046" s="20">
        <v>25</v>
      </c>
      <c r="M2046" s="20">
        <v>0</v>
      </c>
      <c r="N2046" s="20">
        <f t="shared" si="4396"/>
        <v>200</v>
      </c>
      <c r="O2046" s="19" t="s">
        <v>70</v>
      </c>
      <c r="P2046" s="20">
        <v>3100</v>
      </c>
      <c r="Q2046" s="20">
        <f t="shared" ref="Q2046:X2046" si="4457">Q2016</f>
        <v>20</v>
      </c>
      <c r="R2046" s="20">
        <f t="shared" si="4457"/>
        <v>80</v>
      </c>
      <c r="S2046" s="20">
        <f t="shared" si="4457"/>
        <v>140</v>
      </c>
      <c r="T2046" s="20">
        <f t="shared" si="4457"/>
        <v>180</v>
      </c>
      <c r="U2046" s="20">
        <f t="shared" si="4457"/>
        <v>1000</v>
      </c>
      <c r="V2046" s="20">
        <f t="shared" si="4457"/>
        <v>2000</v>
      </c>
      <c r="W2046" s="20">
        <f t="shared" si="4457"/>
        <v>2000</v>
      </c>
      <c r="X2046" s="20">
        <f t="shared" si="4457"/>
        <v>2</v>
      </c>
      <c r="Y2046" s="20">
        <v>0</v>
      </c>
      <c r="Z2046" s="20">
        <v>0</v>
      </c>
      <c r="AA2046" s="20">
        <v>0</v>
      </c>
      <c r="AB2046" s="20">
        <f t="shared" si="4398"/>
        <v>0</v>
      </c>
      <c r="AC2046" s="20">
        <v>0</v>
      </c>
      <c r="AD2046" s="23">
        <f t="shared" ref="AD2046:AE2046" si="4458">AD2016</f>
        <v>8</v>
      </c>
      <c r="AE2046" s="23">
        <f t="shared" si="4458"/>
        <v>12</v>
      </c>
    </row>
    <row r="2047" spans="1:31">
      <c r="A2047" s="4">
        <v>17103</v>
      </c>
      <c r="B2047" s="4">
        <v>6</v>
      </c>
      <c r="C2047" s="29" t="s">
        <v>71</v>
      </c>
      <c r="D2047" s="46">
        <v>0</v>
      </c>
      <c r="E2047" s="28">
        <v>0</v>
      </c>
      <c r="F2047" s="28">
        <v>0</v>
      </c>
      <c r="G2047" s="28">
        <f t="shared" si="4450"/>
        <v>376</v>
      </c>
      <c r="H2047" s="47">
        <v>0</v>
      </c>
      <c r="I2047" s="21">
        <f t="shared" si="4395"/>
        <v>110</v>
      </c>
      <c r="J2047" s="21">
        <f t="shared" si="4381"/>
        <v>5</v>
      </c>
      <c r="K2047" s="21">
        <v>0</v>
      </c>
      <c r="L2047" s="20">
        <v>20</v>
      </c>
      <c r="M2047" s="20">
        <v>0</v>
      </c>
      <c r="N2047" s="20">
        <f t="shared" si="4396"/>
        <v>500</v>
      </c>
      <c r="O2047" s="19" t="s">
        <v>71</v>
      </c>
      <c r="P2047" s="20">
        <v>1777</v>
      </c>
      <c r="Q2047" s="20">
        <f t="shared" ref="Q2047:X2047" si="4459">Q2017</f>
        <v>50</v>
      </c>
      <c r="R2047" s="20">
        <f t="shared" si="4459"/>
        <v>200</v>
      </c>
      <c r="S2047" s="20">
        <f t="shared" si="4459"/>
        <v>350</v>
      </c>
      <c r="T2047" s="20">
        <f t="shared" si="4459"/>
        <v>450</v>
      </c>
      <c r="U2047" s="20">
        <f t="shared" si="4459"/>
        <v>800</v>
      </c>
      <c r="V2047" s="20">
        <f t="shared" si="4459"/>
        <v>800</v>
      </c>
      <c r="W2047" s="20">
        <f t="shared" si="4459"/>
        <v>600</v>
      </c>
      <c r="X2047" s="20">
        <f t="shared" si="4459"/>
        <v>2</v>
      </c>
      <c r="Y2047" s="20">
        <v>0</v>
      </c>
      <c r="Z2047" s="20">
        <v>0</v>
      </c>
      <c r="AA2047" s="20">
        <v>0</v>
      </c>
      <c r="AB2047" s="20">
        <f t="shared" si="4398"/>
        <v>0</v>
      </c>
      <c r="AC2047" s="20">
        <v>0</v>
      </c>
      <c r="AD2047" s="23">
        <f t="shared" ref="AD2047:AE2047" si="4460">AD2017</f>
        <v>10</v>
      </c>
      <c r="AE2047" s="23">
        <f t="shared" si="4460"/>
        <v>14</v>
      </c>
    </row>
    <row r="2048" spans="1:31">
      <c r="A2048" s="4">
        <v>17103</v>
      </c>
      <c r="B2048" s="4">
        <v>7</v>
      </c>
      <c r="C2048" s="29" t="s">
        <v>72</v>
      </c>
      <c r="D2048" s="46">
        <v>0</v>
      </c>
      <c r="E2048" s="28">
        <v>0</v>
      </c>
      <c r="F2048" s="28">
        <v>0</v>
      </c>
      <c r="G2048" s="28">
        <f t="shared" si="4450"/>
        <v>404</v>
      </c>
      <c r="H2048" s="47">
        <v>0</v>
      </c>
      <c r="I2048" s="21">
        <f t="shared" si="4395"/>
        <v>110</v>
      </c>
      <c r="J2048" s="21">
        <f t="shared" si="4381"/>
        <v>6</v>
      </c>
      <c r="K2048" s="21">
        <v>0</v>
      </c>
      <c r="L2048" s="20">
        <v>16</v>
      </c>
      <c r="M2048" s="20">
        <v>0</v>
      </c>
      <c r="N2048" s="20">
        <f t="shared" si="4396"/>
        <v>700</v>
      </c>
      <c r="O2048" s="19" t="s">
        <v>72</v>
      </c>
      <c r="P2048" s="20">
        <v>2332</v>
      </c>
      <c r="Q2048" s="20">
        <f t="shared" ref="Q2048:X2048" si="4461">Q2018</f>
        <v>70</v>
      </c>
      <c r="R2048" s="20">
        <f t="shared" si="4461"/>
        <v>280</v>
      </c>
      <c r="S2048" s="20">
        <f t="shared" si="4461"/>
        <v>489.99999999999994</v>
      </c>
      <c r="T2048" s="20">
        <f t="shared" si="4461"/>
        <v>630</v>
      </c>
      <c r="U2048" s="20">
        <f t="shared" si="4461"/>
        <v>650</v>
      </c>
      <c r="V2048" s="20">
        <f t="shared" si="4461"/>
        <v>800</v>
      </c>
      <c r="W2048" s="20">
        <f t="shared" si="4461"/>
        <v>300</v>
      </c>
      <c r="X2048" s="20">
        <f t="shared" si="4461"/>
        <v>2</v>
      </c>
      <c r="Y2048" s="20">
        <v>0</v>
      </c>
      <c r="Z2048" s="20">
        <v>0</v>
      </c>
      <c r="AA2048" s="20">
        <v>0</v>
      </c>
      <c r="AB2048" s="20">
        <f t="shared" si="4398"/>
        <v>0</v>
      </c>
      <c r="AC2048" s="20">
        <v>0</v>
      </c>
      <c r="AD2048" s="23">
        <f t="shared" ref="AD2048:AE2048" si="4462">AD2018</f>
        <v>12</v>
      </c>
      <c r="AE2048" s="23">
        <f t="shared" si="4462"/>
        <v>16</v>
      </c>
    </row>
    <row r="2049" spans="1:31">
      <c r="A2049" s="4">
        <v>17103</v>
      </c>
      <c r="B2049" s="4">
        <v>8</v>
      </c>
      <c r="C2049" s="29" t="s">
        <v>73</v>
      </c>
      <c r="D2049" s="46">
        <v>0</v>
      </c>
      <c r="E2049" s="28">
        <v>0</v>
      </c>
      <c r="F2049" s="28">
        <v>0</v>
      </c>
      <c r="G2049" s="28">
        <f t="shared" si="4450"/>
        <v>440</v>
      </c>
      <c r="H2049" s="47">
        <v>0</v>
      </c>
      <c r="I2049" s="21">
        <f t="shared" si="4395"/>
        <v>110</v>
      </c>
      <c r="J2049" s="21">
        <f t="shared" si="4381"/>
        <v>7</v>
      </c>
      <c r="K2049" s="21">
        <v>0</v>
      </c>
      <c r="L2049" s="20">
        <v>12</v>
      </c>
      <c r="M2049" s="20">
        <v>0</v>
      </c>
      <c r="N2049" s="20">
        <f t="shared" si="4396"/>
        <v>800</v>
      </c>
      <c r="O2049" s="19" t="s">
        <v>73</v>
      </c>
      <c r="P2049" s="20">
        <v>1487</v>
      </c>
      <c r="Q2049" s="20">
        <f t="shared" ref="Q2049:X2049" si="4463">Q2019</f>
        <v>80</v>
      </c>
      <c r="R2049" s="20">
        <f t="shared" si="4463"/>
        <v>320</v>
      </c>
      <c r="S2049" s="20">
        <f t="shared" si="4463"/>
        <v>560</v>
      </c>
      <c r="T2049" s="20">
        <f t="shared" si="4463"/>
        <v>720</v>
      </c>
      <c r="U2049" s="20">
        <f t="shared" si="4463"/>
        <v>200</v>
      </c>
      <c r="V2049" s="20">
        <f t="shared" si="4463"/>
        <v>2000</v>
      </c>
      <c r="W2049" s="20">
        <f t="shared" si="4463"/>
        <v>1000</v>
      </c>
      <c r="X2049" s="20">
        <f t="shared" si="4463"/>
        <v>2</v>
      </c>
      <c r="Y2049" s="20">
        <f>ROUND(D2049*0.25,-1)</f>
        <v>0</v>
      </c>
      <c r="Z2049" s="20">
        <f>ROUND(E2049*0.25,-1)</f>
        <v>0</v>
      </c>
      <c r="AA2049" s="20">
        <f>ROUND(F2049*0.25,-1)</f>
        <v>0</v>
      </c>
      <c r="AB2049" s="20">
        <f t="shared" si="4398"/>
        <v>56</v>
      </c>
      <c r="AC2049" s="20">
        <f>ROUND(H2049*0.25,-1)</f>
        <v>0</v>
      </c>
      <c r="AD2049" s="23">
        <f t="shared" ref="AD2049:AE2049" si="4464">AD2019</f>
        <v>14</v>
      </c>
      <c r="AE2049" s="23">
        <f t="shared" si="4464"/>
        <v>18</v>
      </c>
    </row>
    <row r="2050" spans="1:31">
      <c r="A2050" s="4">
        <v>17103</v>
      </c>
      <c r="B2050" s="4">
        <v>9</v>
      </c>
      <c r="C2050" s="29" t="s">
        <v>74</v>
      </c>
      <c r="D2050" s="46">
        <v>0</v>
      </c>
      <c r="E2050" s="28">
        <v>0</v>
      </c>
      <c r="F2050" s="28">
        <v>0</v>
      </c>
      <c r="G2050" s="28">
        <f t="shared" si="4450"/>
        <v>476</v>
      </c>
      <c r="H2050" s="47">
        <v>0</v>
      </c>
      <c r="I2050" s="21">
        <f t="shared" si="4395"/>
        <v>165</v>
      </c>
      <c r="J2050" s="21">
        <f t="shared" si="4381"/>
        <v>8</v>
      </c>
      <c r="K2050" s="21">
        <v>0</v>
      </c>
      <c r="L2050" s="20">
        <v>8</v>
      </c>
      <c r="M2050" s="20">
        <v>0</v>
      </c>
      <c r="N2050" s="20">
        <f t="shared" si="4396"/>
        <v>900</v>
      </c>
      <c r="O2050" s="19" t="s">
        <v>74</v>
      </c>
      <c r="P2050" s="20">
        <v>1518</v>
      </c>
      <c r="Q2050" s="20">
        <f t="shared" ref="Q2050:X2050" si="4465">Q2020</f>
        <v>90</v>
      </c>
      <c r="R2050" s="20">
        <f t="shared" si="4465"/>
        <v>360</v>
      </c>
      <c r="S2050" s="20">
        <f t="shared" si="4465"/>
        <v>630</v>
      </c>
      <c r="T2050" s="20">
        <f t="shared" si="4465"/>
        <v>810</v>
      </c>
      <c r="U2050" s="20">
        <f t="shared" si="4465"/>
        <v>120</v>
      </c>
      <c r="V2050" s="20">
        <f t="shared" si="4465"/>
        <v>1500</v>
      </c>
      <c r="W2050" s="20">
        <f t="shared" si="4465"/>
        <v>1000</v>
      </c>
      <c r="X2050" s="20">
        <f t="shared" si="4465"/>
        <v>3</v>
      </c>
      <c r="Y2050" s="20">
        <v>0</v>
      </c>
      <c r="Z2050" s="20">
        <v>0</v>
      </c>
      <c r="AA2050" s="20">
        <v>0</v>
      </c>
      <c r="AB2050" s="20">
        <f t="shared" si="4398"/>
        <v>0</v>
      </c>
      <c r="AC2050" s="20">
        <v>0</v>
      </c>
      <c r="AD2050" s="23">
        <f t="shared" ref="AD2050:AE2050" si="4466">AD2020</f>
        <v>16</v>
      </c>
      <c r="AE2050" s="23">
        <f t="shared" si="4466"/>
        <v>20</v>
      </c>
    </row>
    <row r="2051" spans="1:31">
      <c r="A2051" s="4">
        <v>17103</v>
      </c>
      <c r="B2051" s="4">
        <v>10</v>
      </c>
      <c r="C2051" s="29" t="s">
        <v>75</v>
      </c>
      <c r="D2051" s="46">
        <v>0</v>
      </c>
      <c r="E2051" s="28">
        <v>0</v>
      </c>
      <c r="F2051" s="28">
        <v>0</v>
      </c>
      <c r="G2051" s="28">
        <f t="shared" si="4450"/>
        <v>516</v>
      </c>
      <c r="H2051" s="47">
        <v>0</v>
      </c>
      <c r="I2051" s="21">
        <f t="shared" si="4395"/>
        <v>165</v>
      </c>
      <c r="J2051" s="21">
        <f t="shared" si="4381"/>
        <v>9</v>
      </c>
      <c r="K2051" s="21">
        <v>0</v>
      </c>
      <c r="L2051" s="20">
        <v>6</v>
      </c>
      <c r="M2051" s="20">
        <v>0</v>
      </c>
      <c r="N2051" s="20">
        <f t="shared" si="4396"/>
        <v>2000</v>
      </c>
      <c r="O2051" s="19" t="s">
        <v>75</v>
      </c>
      <c r="P2051" s="20">
        <v>861</v>
      </c>
      <c r="Q2051" s="20">
        <f t="shared" ref="Q2051:X2051" si="4467">Q2021</f>
        <v>200</v>
      </c>
      <c r="R2051" s="20">
        <f t="shared" si="4467"/>
        <v>800</v>
      </c>
      <c r="S2051" s="20">
        <f t="shared" si="4467"/>
        <v>1400</v>
      </c>
      <c r="T2051" s="20">
        <f t="shared" si="4467"/>
        <v>1800</v>
      </c>
      <c r="U2051" s="20">
        <f t="shared" si="4467"/>
        <v>150</v>
      </c>
      <c r="V2051" s="20">
        <f t="shared" si="4467"/>
        <v>5000</v>
      </c>
      <c r="W2051" s="20">
        <f t="shared" si="4467"/>
        <v>800</v>
      </c>
      <c r="X2051" s="20">
        <f t="shared" si="4467"/>
        <v>3</v>
      </c>
      <c r="Y2051" s="20">
        <v>0</v>
      </c>
      <c r="Z2051" s="20">
        <v>0</v>
      </c>
      <c r="AA2051" s="20">
        <v>0</v>
      </c>
      <c r="AB2051" s="20">
        <f t="shared" si="4398"/>
        <v>0</v>
      </c>
      <c r="AC2051" s="20">
        <v>0</v>
      </c>
      <c r="AD2051" s="23">
        <f t="shared" ref="AD2051:AE2051" si="4468">AD2021</f>
        <v>18</v>
      </c>
      <c r="AE2051" s="23">
        <f t="shared" si="4468"/>
        <v>22</v>
      </c>
    </row>
    <row r="2052" spans="1:31">
      <c r="A2052" s="4">
        <v>17103</v>
      </c>
      <c r="B2052" s="4">
        <v>11</v>
      </c>
      <c r="C2052" s="29" t="s">
        <v>66</v>
      </c>
      <c r="D2052" s="46">
        <v>0</v>
      </c>
      <c r="E2052" s="28">
        <v>0</v>
      </c>
      <c r="F2052" s="28">
        <v>0</v>
      </c>
      <c r="G2052" s="28">
        <f t="shared" si="4450"/>
        <v>556</v>
      </c>
      <c r="H2052" s="47">
        <v>0</v>
      </c>
      <c r="I2052" s="21">
        <f t="shared" si="4395"/>
        <v>165</v>
      </c>
      <c r="J2052" s="21">
        <f t="shared" si="4381"/>
        <v>10</v>
      </c>
      <c r="K2052" s="21">
        <v>0</v>
      </c>
      <c r="L2052" s="20">
        <v>6</v>
      </c>
      <c r="M2052" s="20">
        <v>0</v>
      </c>
      <c r="N2052" s="20">
        <f t="shared" si="4396"/>
        <v>2200</v>
      </c>
      <c r="O2052" s="19" t="s">
        <v>66</v>
      </c>
      <c r="P2052" s="20">
        <v>9400</v>
      </c>
      <c r="Q2052" s="20">
        <f t="shared" ref="Q2052:X2052" si="4469">Q2022</f>
        <v>220</v>
      </c>
      <c r="R2052" s="20">
        <f t="shared" si="4469"/>
        <v>880</v>
      </c>
      <c r="S2052" s="20">
        <f t="shared" si="4469"/>
        <v>1540</v>
      </c>
      <c r="T2052" s="20">
        <f t="shared" si="4469"/>
        <v>1980</v>
      </c>
      <c r="U2052" s="20">
        <f t="shared" si="4469"/>
        <v>100</v>
      </c>
      <c r="V2052" s="20">
        <f t="shared" si="4469"/>
        <v>800</v>
      </c>
      <c r="W2052" s="20">
        <f t="shared" si="4469"/>
        <v>600</v>
      </c>
      <c r="X2052" s="20">
        <f t="shared" si="4469"/>
        <v>3</v>
      </c>
      <c r="Y2052" s="20">
        <v>0</v>
      </c>
      <c r="Z2052" s="20">
        <v>0</v>
      </c>
      <c r="AA2052" s="20">
        <v>0</v>
      </c>
      <c r="AB2052" s="20">
        <f t="shared" si="4398"/>
        <v>0</v>
      </c>
      <c r="AC2052" s="20">
        <v>0</v>
      </c>
      <c r="AD2052" s="23">
        <f t="shared" ref="AD2052:AE2052" si="4470">AD2022</f>
        <v>20</v>
      </c>
      <c r="AE2052" s="23">
        <f t="shared" si="4470"/>
        <v>24</v>
      </c>
    </row>
    <row r="2053" spans="1:31">
      <c r="A2053" s="4">
        <v>17103</v>
      </c>
      <c r="B2053" s="4">
        <v>12</v>
      </c>
      <c r="C2053" s="29" t="s">
        <v>67</v>
      </c>
      <c r="D2053" s="46">
        <v>0</v>
      </c>
      <c r="E2053" s="28">
        <v>0</v>
      </c>
      <c r="F2053" s="28">
        <v>0</v>
      </c>
      <c r="G2053" s="28">
        <f t="shared" si="4450"/>
        <v>604</v>
      </c>
      <c r="H2053" s="47">
        <v>0</v>
      </c>
      <c r="I2053" s="21">
        <f t="shared" si="4395"/>
        <v>165</v>
      </c>
      <c r="J2053" s="21">
        <f t="shared" si="4381"/>
        <v>11</v>
      </c>
      <c r="K2053" s="21">
        <v>0</v>
      </c>
      <c r="L2053" s="20">
        <v>6</v>
      </c>
      <c r="M2053" s="20">
        <v>0</v>
      </c>
      <c r="N2053" s="20">
        <f t="shared" si="4396"/>
        <v>2400</v>
      </c>
      <c r="O2053" s="19" t="s">
        <v>67</v>
      </c>
      <c r="P2053" s="20">
        <v>9100</v>
      </c>
      <c r="Q2053" s="20">
        <f t="shared" ref="Q2053:X2053" si="4471">Q2023</f>
        <v>240</v>
      </c>
      <c r="R2053" s="20">
        <f t="shared" si="4471"/>
        <v>960</v>
      </c>
      <c r="S2053" s="20">
        <f t="shared" si="4471"/>
        <v>1680</v>
      </c>
      <c r="T2053" s="20">
        <f t="shared" si="4471"/>
        <v>2160</v>
      </c>
      <c r="U2053" s="20">
        <f t="shared" si="4471"/>
        <v>150</v>
      </c>
      <c r="V2053" s="20">
        <f t="shared" si="4471"/>
        <v>700</v>
      </c>
      <c r="W2053" s="20">
        <f t="shared" si="4471"/>
        <v>900</v>
      </c>
      <c r="X2053" s="20">
        <f t="shared" si="4471"/>
        <v>3</v>
      </c>
      <c r="Y2053" s="20">
        <v>0</v>
      </c>
      <c r="Z2053" s="20">
        <v>0</v>
      </c>
      <c r="AA2053" s="20">
        <v>0</v>
      </c>
      <c r="AB2053" s="20">
        <f t="shared" si="4398"/>
        <v>0</v>
      </c>
      <c r="AC2053" s="20">
        <v>0</v>
      </c>
      <c r="AD2053" s="23">
        <f t="shared" ref="AD2053:AE2053" si="4472">AD2023</f>
        <v>22</v>
      </c>
      <c r="AE2053" s="23">
        <f t="shared" si="4472"/>
        <v>26</v>
      </c>
    </row>
    <row r="2054" spans="1:31">
      <c r="A2054" s="8">
        <v>17103</v>
      </c>
      <c r="B2054" s="8">
        <v>13</v>
      </c>
      <c r="C2054" s="29" t="s">
        <v>68</v>
      </c>
      <c r="D2054" s="46">
        <v>0</v>
      </c>
      <c r="E2054" s="28">
        <v>0</v>
      </c>
      <c r="F2054" s="28">
        <v>0</v>
      </c>
      <c r="G2054" s="28">
        <f t="shared" si="4450"/>
        <v>652</v>
      </c>
      <c r="H2054" s="47">
        <v>0</v>
      </c>
      <c r="I2054" s="21">
        <f t="shared" si="4395"/>
        <v>220</v>
      </c>
      <c r="J2054" s="21">
        <f t="shared" si="4381"/>
        <v>12</v>
      </c>
      <c r="K2054" s="21">
        <v>0</v>
      </c>
      <c r="L2054" s="20">
        <v>6</v>
      </c>
      <c r="M2054" s="20">
        <v>0</v>
      </c>
      <c r="N2054" s="20">
        <f t="shared" si="4396"/>
        <v>2600</v>
      </c>
      <c r="O2054" s="19" t="s">
        <v>68</v>
      </c>
      <c r="P2054" s="20">
        <v>8600</v>
      </c>
      <c r="Q2054" s="20">
        <f t="shared" ref="Q2054:X2054" si="4473">Q2024</f>
        <v>260</v>
      </c>
      <c r="R2054" s="20">
        <f t="shared" si="4473"/>
        <v>1040</v>
      </c>
      <c r="S2054" s="20">
        <f t="shared" si="4473"/>
        <v>1819.9999999999998</v>
      </c>
      <c r="T2054" s="20">
        <f t="shared" si="4473"/>
        <v>2340</v>
      </c>
      <c r="U2054" s="20">
        <f t="shared" si="4473"/>
        <v>100</v>
      </c>
      <c r="V2054" s="20">
        <f t="shared" si="4473"/>
        <v>700</v>
      </c>
      <c r="W2054" s="20">
        <f t="shared" si="4473"/>
        <v>1000</v>
      </c>
      <c r="X2054" s="20">
        <f t="shared" si="4473"/>
        <v>4</v>
      </c>
      <c r="Y2054" s="20">
        <f>ROUND(D2054*0.25,-1)</f>
        <v>0</v>
      </c>
      <c r="Z2054" s="20">
        <f>ROUND(E2054*0.25,-1)</f>
        <v>0</v>
      </c>
      <c r="AA2054" s="20">
        <f>ROUND(F2054*0.25,-1)</f>
        <v>0</v>
      </c>
      <c r="AB2054" s="20">
        <f t="shared" si="4398"/>
        <v>113</v>
      </c>
      <c r="AC2054" s="20">
        <f>ROUND(H2054*0.25,-1)</f>
        <v>0</v>
      </c>
      <c r="AD2054" s="23">
        <f t="shared" ref="AD2054:AE2054" si="4474">AD2024</f>
        <v>24</v>
      </c>
      <c r="AE2054" s="23">
        <f t="shared" si="4474"/>
        <v>28</v>
      </c>
    </row>
    <row r="2055" spans="1:31">
      <c r="A2055" s="4">
        <v>17103</v>
      </c>
      <c r="B2055" s="4">
        <v>14</v>
      </c>
      <c r="C2055" s="29" t="s">
        <v>69</v>
      </c>
      <c r="D2055" s="46">
        <v>0</v>
      </c>
      <c r="E2055" s="28">
        <v>0</v>
      </c>
      <c r="F2055" s="28">
        <v>0</v>
      </c>
      <c r="G2055" s="28">
        <f t="shared" si="4450"/>
        <v>708</v>
      </c>
      <c r="H2055" s="47">
        <v>0</v>
      </c>
      <c r="I2055" s="21">
        <f t="shared" si="4395"/>
        <v>220</v>
      </c>
      <c r="J2055" s="21">
        <f t="shared" si="4381"/>
        <v>13</v>
      </c>
      <c r="K2055" s="21">
        <v>0</v>
      </c>
      <c r="L2055" s="20">
        <v>6</v>
      </c>
      <c r="M2055" s="20">
        <v>0</v>
      </c>
      <c r="N2055" s="20">
        <f t="shared" si="4396"/>
        <v>2800</v>
      </c>
      <c r="O2055" s="19" t="s">
        <v>69</v>
      </c>
      <c r="P2055" s="20">
        <v>6400</v>
      </c>
      <c r="Q2055" s="20">
        <f t="shared" ref="Q2055:X2055" si="4475">Q2025</f>
        <v>280</v>
      </c>
      <c r="R2055" s="20">
        <f t="shared" si="4475"/>
        <v>1120</v>
      </c>
      <c r="S2055" s="20">
        <f t="shared" si="4475"/>
        <v>1959.9999999999998</v>
      </c>
      <c r="T2055" s="20">
        <f t="shared" si="4475"/>
        <v>2520</v>
      </c>
      <c r="U2055" s="20">
        <f t="shared" si="4475"/>
        <v>100</v>
      </c>
      <c r="V2055" s="20">
        <f t="shared" si="4475"/>
        <v>400</v>
      </c>
      <c r="W2055" s="20">
        <f t="shared" si="4475"/>
        <v>1200</v>
      </c>
      <c r="X2055" s="20">
        <f t="shared" si="4475"/>
        <v>4</v>
      </c>
      <c r="Y2055" s="20">
        <v>0</v>
      </c>
      <c r="Z2055" s="20">
        <v>0</v>
      </c>
      <c r="AA2055" s="20">
        <v>0</v>
      </c>
      <c r="AB2055" s="20">
        <f t="shared" si="4398"/>
        <v>0</v>
      </c>
      <c r="AC2055" s="20">
        <v>0</v>
      </c>
      <c r="AD2055" s="23">
        <f t="shared" ref="AD2055:AE2055" si="4476">AD2025</f>
        <v>26</v>
      </c>
      <c r="AE2055" s="23">
        <f t="shared" si="4476"/>
        <v>30</v>
      </c>
    </row>
    <row r="2056" spans="1:31">
      <c r="A2056" s="4">
        <v>17103</v>
      </c>
      <c r="B2056" s="4">
        <v>15</v>
      </c>
      <c r="C2056" s="29" t="s">
        <v>70</v>
      </c>
      <c r="D2056" s="46">
        <v>0</v>
      </c>
      <c r="E2056" s="28">
        <v>0</v>
      </c>
      <c r="F2056" s="28">
        <v>0</v>
      </c>
      <c r="G2056" s="28">
        <f t="shared" si="4450"/>
        <v>764</v>
      </c>
      <c r="H2056" s="47">
        <v>0</v>
      </c>
      <c r="I2056" s="21">
        <f t="shared" si="4395"/>
        <v>220</v>
      </c>
      <c r="J2056" s="21">
        <f t="shared" si="4381"/>
        <v>14</v>
      </c>
      <c r="K2056" s="21">
        <v>0</v>
      </c>
      <c r="L2056" s="20">
        <v>6</v>
      </c>
      <c r="M2056" s="20">
        <v>0</v>
      </c>
      <c r="N2056" s="20">
        <f t="shared" si="4396"/>
        <v>4500</v>
      </c>
      <c r="O2056" s="19" t="s">
        <v>70</v>
      </c>
      <c r="P2056" s="20">
        <v>3100</v>
      </c>
      <c r="Q2056" s="20">
        <f t="shared" ref="Q2056:X2056" si="4477">Q2026</f>
        <v>450</v>
      </c>
      <c r="R2056" s="20">
        <f t="shared" si="4477"/>
        <v>1800</v>
      </c>
      <c r="S2056" s="20">
        <f t="shared" si="4477"/>
        <v>3150</v>
      </c>
      <c r="T2056" s="20">
        <f t="shared" si="4477"/>
        <v>4050</v>
      </c>
      <c r="U2056" s="20">
        <f t="shared" si="4477"/>
        <v>100</v>
      </c>
      <c r="V2056" s="20">
        <f t="shared" si="4477"/>
        <v>1000</v>
      </c>
      <c r="W2056" s="20">
        <f t="shared" si="4477"/>
        <v>600</v>
      </c>
      <c r="X2056" s="20">
        <f t="shared" si="4477"/>
        <v>4</v>
      </c>
      <c r="Y2056" s="20">
        <v>0</v>
      </c>
      <c r="Z2056" s="20">
        <v>0</v>
      </c>
      <c r="AA2056" s="20">
        <v>0</v>
      </c>
      <c r="AB2056" s="20">
        <f t="shared" si="4398"/>
        <v>0</v>
      </c>
      <c r="AC2056" s="20">
        <v>0</v>
      </c>
      <c r="AD2056" s="23">
        <f t="shared" ref="AD2056:AE2056" si="4478">AD2026</f>
        <v>28</v>
      </c>
      <c r="AE2056" s="23">
        <f t="shared" si="4478"/>
        <v>32</v>
      </c>
    </row>
    <row r="2057" spans="1:31">
      <c r="A2057" s="4">
        <v>17103</v>
      </c>
      <c r="B2057" s="4">
        <v>16</v>
      </c>
      <c r="C2057" s="29" t="s">
        <v>71</v>
      </c>
      <c r="D2057" s="46">
        <v>0</v>
      </c>
      <c r="E2057" s="28">
        <v>0</v>
      </c>
      <c r="F2057" s="28">
        <v>0</v>
      </c>
      <c r="G2057" s="28">
        <f t="shared" si="4450"/>
        <v>828</v>
      </c>
      <c r="H2057" s="47">
        <v>0</v>
      </c>
      <c r="I2057" s="21">
        <f t="shared" si="4395"/>
        <v>220</v>
      </c>
      <c r="J2057" s="21">
        <f t="shared" si="4381"/>
        <v>15</v>
      </c>
      <c r="K2057" s="21">
        <v>0</v>
      </c>
      <c r="L2057" s="20">
        <v>6</v>
      </c>
      <c r="M2057" s="20">
        <v>0</v>
      </c>
      <c r="N2057" s="20">
        <f t="shared" si="4396"/>
        <v>4800</v>
      </c>
      <c r="O2057" s="19" t="s">
        <v>71</v>
      </c>
      <c r="P2057" s="20">
        <v>1777</v>
      </c>
      <c r="Q2057" s="20">
        <f t="shared" ref="Q2057:X2057" si="4479">Q2027</f>
        <v>480</v>
      </c>
      <c r="R2057" s="20">
        <f t="shared" si="4479"/>
        <v>1920</v>
      </c>
      <c r="S2057" s="20">
        <f t="shared" si="4479"/>
        <v>3360</v>
      </c>
      <c r="T2057" s="20">
        <f t="shared" si="4479"/>
        <v>4320</v>
      </c>
      <c r="U2057" s="20">
        <f t="shared" si="4479"/>
        <v>100</v>
      </c>
      <c r="V2057" s="20">
        <f t="shared" si="4479"/>
        <v>800</v>
      </c>
      <c r="W2057" s="20">
        <f t="shared" si="4479"/>
        <v>800</v>
      </c>
      <c r="X2057" s="20">
        <f t="shared" si="4479"/>
        <v>4</v>
      </c>
      <c r="Y2057" s="20">
        <v>0</v>
      </c>
      <c r="Z2057" s="20">
        <v>0</v>
      </c>
      <c r="AA2057" s="20">
        <v>0</v>
      </c>
      <c r="AB2057" s="20">
        <f t="shared" si="4398"/>
        <v>0</v>
      </c>
      <c r="AC2057" s="20">
        <v>0</v>
      </c>
      <c r="AD2057" s="23">
        <f t="shared" ref="AD2057:AE2057" si="4480">AD2027</f>
        <v>30</v>
      </c>
      <c r="AE2057" s="23">
        <f t="shared" si="4480"/>
        <v>34</v>
      </c>
    </row>
    <row r="2058" spans="1:31">
      <c r="A2058" s="4">
        <v>17103</v>
      </c>
      <c r="B2058" s="4">
        <v>17</v>
      </c>
      <c r="C2058" s="29" t="s">
        <v>72</v>
      </c>
      <c r="D2058" s="46">
        <v>0</v>
      </c>
      <c r="E2058" s="28">
        <v>0</v>
      </c>
      <c r="F2058" s="28">
        <v>0</v>
      </c>
      <c r="G2058" s="28">
        <f t="shared" si="4450"/>
        <v>896</v>
      </c>
      <c r="H2058" s="47">
        <v>0</v>
      </c>
      <c r="I2058" s="21">
        <f t="shared" si="4395"/>
        <v>275</v>
      </c>
      <c r="J2058" s="21">
        <f t="shared" si="4381"/>
        <v>16</v>
      </c>
      <c r="K2058" s="21">
        <v>0</v>
      </c>
      <c r="L2058" s="20">
        <v>6</v>
      </c>
      <c r="M2058" s="20">
        <v>0</v>
      </c>
      <c r="N2058" s="20">
        <f t="shared" si="4396"/>
        <v>5100</v>
      </c>
      <c r="O2058" s="19" t="s">
        <v>72</v>
      </c>
      <c r="P2058" s="20">
        <v>2332</v>
      </c>
      <c r="Q2058" s="20">
        <f t="shared" ref="Q2058:X2058" si="4481">Q2028</f>
        <v>510</v>
      </c>
      <c r="R2058" s="20">
        <f t="shared" si="4481"/>
        <v>2040</v>
      </c>
      <c r="S2058" s="20">
        <f t="shared" si="4481"/>
        <v>3570</v>
      </c>
      <c r="T2058" s="20">
        <f t="shared" si="4481"/>
        <v>4590</v>
      </c>
      <c r="U2058" s="20">
        <f t="shared" si="4481"/>
        <v>80</v>
      </c>
      <c r="V2058" s="20">
        <f t="shared" si="4481"/>
        <v>800</v>
      </c>
      <c r="W2058" s="20">
        <f t="shared" si="4481"/>
        <v>600</v>
      </c>
      <c r="X2058" s="20">
        <f t="shared" si="4481"/>
        <v>5</v>
      </c>
      <c r="Y2058" s="20">
        <v>0</v>
      </c>
      <c r="Z2058" s="20">
        <v>0</v>
      </c>
      <c r="AA2058" s="20">
        <v>0</v>
      </c>
      <c r="AB2058" s="20">
        <f t="shared" si="4398"/>
        <v>0</v>
      </c>
      <c r="AC2058" s="20">
        <v>0</v>
      </c>
      <c r="AD2058" s="23">
        <f t="shared" ref="AD2058:AE2058" si="4482">AD2028</f>
        <v>32</v>
      </c>
      <c r="AE2058" s="23">
        <f t="shared" si="4482"/>
        <v>36</v>
      </c>
    </row>
    <row r="2059" spans="1:31">
      <c r="A2059" s="4">
        <v>17103</v>
      </c>
      <c r="B2059" s="4">
        <v>18</v>
      </c>
      <c r="C2059" s="29" t="s">
        <v>73</v>
      </c>
      <c r="D2059" s="46">
        <v>0</v>
      </c>
      <c r="E2059" s="28">
        <v>0</v>
      </c>
      <c r="F2059" s="28">
        <v>0</v>
      </c>
      <c r="G2059" s="28">
        <f t="shared" si="4450"/>
        <v>972</v>
      </c>
      <c r="H2059" s="47">
        <v>0</v>
      </c>
      <c r="I2059" s="21">
        <f t="shared" si="4395"/>
        <v>275</v>
      </c>
      <c r="J2059" s="21">
        <f t="shared" si="4381"/>
        <v>17</v>
      </c>
      <c r="K2059" s="21">
        <v>0</v>
      </c>
      <c r="L2059" s="20">
        <v>6</v>
      </c>
      <c r="M2059" s="20">
        <v>0</v>
      </c>
      <c r="N2059" s="20">
        <f t="shared" si="4396"/>
        <v>5400</v>
      </c>
      <c r="O2059" s="19" t="s">
        <v>73</v>
      </c>
      <c r="P2059" s="20">
        <v>1487</v>
      </c>
      <c r="Q2059" s="20">
        <f t="shared" ref="Q2059:X2059" si="4483">Q2029</f>
        <v>540</v>
      </c>
      <c r="R2059" s="20">
        <f t="shared" si="4483"/>
        <v>2160</v>
      </c>
      <c r="S2059" s="20">
        <f t="shared" si="4483"/>
        <v>3779.9999999999995</v>
      </c>
      <c r="T2059" s="20">
        <f t="shared" si="4483"/>
        <v>4860</v>
      </c>
      <c r="U2059" s="20">
        <f t="shared" si="4483"/>
        <v>100</v>
      </c>
      <c r="V2059" s="20">
        <f t="shared" si="4483"/>
        <v>600</v>
      </c>
      <c r="W2059" s="20">
        <f t="shared" si="4483"/>
        <v>300</v>
      </c>
      <c r="X2059" s="20">
        <f t="shared" si="4483"/>
        <v>5</v>
      </c>
      <c r="Y2059" s="20">
        <f>ROUND(D2059*0.25,-1)</f>
        <v>0</v>
      </c>
      <c r="Z2059" s="20">
        <f>ROUND(E2059*0.25,-1)</f>
        <v>0</v>
      </c>
      <c r="AA2059" s="20">
        <f>ROUND(F2059*0.25,-1)</f>
        <v>0</v>
      </c>
      <c r="AB2059" s="20">
        <f t="shared" si="4398"/>
        <v>170</v>
      </c>
      <c r="AC2059" s="20">
        <f>ROUND(H2059*0.25,-1)</f>
        <v>0</v>
      </c>
      <c r="AD2059" s="23">
        <f t="shared" ref="AD2059:AE2059" si="4484">AD2029</f>
        <v>34</v>
      </c>
      <c r="AE2059" s="23">
        <f t="shared" si="4484"/>
        <v>38</v>
      </c>
    </row>
    <row r="2060" spans="1:31">
      <c r="A2060" s="4">
        <v>17103</v>
      </c>
      <c r="B2060" s="4">
        <v>19</v>
      </c>
      <c r="C2060" s="29" t="s">
        <v>74</v>
      </c>
      <c r="D2060" s="46">
        <v>0</v>
      </c>
      <c r="E2060" s="28">
        <v>0</v>
      </c>
      <c r="F2060" s="28">
        <v>0</v>
      </c>
      <c r="G2060" s="28">
        <f t="shared" si="4450"/>
        <v>1052</v>
      </c>
      <c r="H2060" s="47">
        <v>0</v>
      </c>
      <c r="I2060" s="21">
        <f t="shared" si="4395"/>
        <v>275</v>
      </c>
      <c r="J2060" s="21">
        <f t="shared" si="4381"/>
        <v>18</v>
      </c>
      <c r="K2060" s="21">
        <v>0</v>
      </c>
      <c r="L2060" s="20">
        <v>6</v>
      </c>
      <c r="M2060" s="20">
        <v>0</v>
      </c>
      <c r="N2060" s="20">
        <f t="shared" si="4396"/>
        <v>5700</v>
      </c>
      <c r="O2060" s="19" t="s">
        <v>74</v>
      </c>
      <c r="P2060" s="20">
        <v>1518</v>
      </c>
      <c r="Q2060" s="20">
        <f t="shared" ref="Q2060:X2060" si="4485">Q2030</f>
        <v>570</v>
      </c>
      <c r="R2060" s="20">
        <f t="shared" si="4485"/>
        <v>2280</v>
      </c>
      <c r="S2060" s="20">
        <f t="shared" si="4485"/>
        <v>3989.9999999999995</v>
      </c>
      <c r="T2060" s="20">
        <f t="shared" si="4485"/>
        <v>5130</v>
      </c>
      <c r="U2060" s="20">
        <f t="shared" si="4485"/>
        <v>100</v>
      </c>
      <c r="V2060" s="20">
        <f t="shared" si="4485"/>
        <v>500</v>
      </c>
      <c r="W2060" s="20">
        <f t="shared" si="4485"/>
        <v>400</v>
      </c>
      <c r="X2060" s="20">
        <f t="shared" si="4485"/>
        <v>5</v>
      </c>
      <c r="Y2060" s="20">
        <v>0</v>
      </c>
      <c r="Z2060" s="20">
        <v>0</v>
      </c>
      <c r="AA2060" s="20">
        <v>0</v>
      </c>
      <c r="AB2060" s="20">
        <f t="shared" si="4398"/>
        <v>0</v>
      </c>
      <c r="AC2060" s="20">
        <v>0</v>
      </c>
      <c r="AD2060" s="23">
        <f t="shared" ref="AD2060:AE2060" si="4486">AD2030</f>
        <v>36</v>
      </c>
      <c r="AE2060" s="23">
        <f t="shared" si="4486"/>
        <v>40</v>
      </c>
    </row>
    <row r="2061" spans="1:31">
      <c r="A2061" s="4">
        <v>17103</v>
      </c>
      <c r="B2061" s="4">
        <v>20</v>
      </c>
      <c r="C2061" s="29" t="s">
        <v>75</v>
      </c>
      <c r="D2061" s="46">
        <v>0</v>
      </c>
      <c r="E2061" s="28">
        <v>0</v>
      </c>
      <c r="F2061" s="28">
        <v>0</v>
      </c>
      <c r="G2061" s="28">
        <f t="shared" si="4450"/>
        <v>1140</v>
      </c>
      <c r="H2061" s="47">
        <v>0</v>
      </c>
      <c r="I2061" s="21">
        <f t="shared" si="4395"/>
        <v>275</v>
      </c>
      <c r="J2061" s="21">
        <f t="shared" si="4381"/>
        <v>19</v>
      </c>
      <c r="K2061" s="21">
        <v>0</v>
      </c>
      <c r="L2061" s="20">
        <v>6</v>
      </c>
      <c r="M2061" s="20">
        <v>0</v>
      </c>
      <c r="N2061" s="20">
        <f t="shared" si="4396"/>
        <v>8000</v>
      </c>
      <c r="O2061" s="19" t="s">
        <v>75</v>
      </c>
      <c r="P2061" s="20">
        <v>861</v>
      </c>
      <c r="Q2061" s="20">
        <f t="shared" ref="Q2061:X2061" si="4487">Q2031</f>
        <v>800</v>
      </c>
      <c r="R2061" s="20">
        <f t="shared" si="4487"/>
        <v>3200</v>
      </c>
      <c r="S2061" s="20">
        <f t="shared" si="4487"/>
        <v>5600</v>
      </c>
      <c r="T2061" s="20">
        <f t="shared" si="4487"/>
        <v>7200</v>
      </c>
      <c r="U2061" s="20">
        <f t="shared" si="4487"/>
        <v>100</v>
      </c>
      <c r="V2061" s="20">
        <f t="shared" si="4487"/>
        <v>800</v>
      </c>
      <c r="W2061" s="20">
        <f t="shared" si="4487"/>
        <v>8000</v>
      </c>
      <c r="X2061" s="20">
        <f t="shared" si="4487"/>
        <v>5</v>
      </c>
      <c r="Y2061" s="20">
        <v>0</v>
      </c>
      <c r="Z2061" s="20">
        <v>0</v>
      </c>
      <c r="AA2061" s="20">
        <v>0</v>
      </c>
      <c r="AB2061" s="20">
        <f t="shared" si="4398"/>
        <v>0</v>
      </c>
      <c r="AC2061" s="20">
        <v>0</v>
      </c>
      <c r="AD2061" s="23">
        <f t="shared" ref="AD2061:AE2061" si="4488">AD2031</f>
        <v>38</v>
      </c>
      <c r="AE2061" s="23">
        <f t="shared" si="4488"/>
        <v>42</v>
      </c>
    </row>
    <row r="2062" spans="1:31">
      <c r="A2062" s="4">
        <v>17103</v>
      </c>
      <c r="B2062" s="4">
        <v>21</v>
      </c>
      <c r="C2062" s="29" t="s">
        <v>66</v>
      </c>
      <c r="D2062" s="46">
        <v>0</v>
      </c>
      <c r="E2062" s="28">
        <v>0</v>
      </c>
      <c r="F2062" s="28">
        <v>0</v>
      </c>
      <c r="G2062" s="28">
        <f t="shared" si="4450"/>
        <v>1232</v>
      </c>
      <c r="H2062" s="47">
        <v>0</v>
      </c>
      <c r="I2062" s="21">
        <f t="shared" si="4395"/>
        <v>330</v>
      </c>
      <c r="J2062" s="21">
        <f t="shared" si="4381"/>
        <v>20</v>
      </c>
      <c r="K2062" s="21">
        <v>0</v>
      </c>
      <c r="L2062" s="20">
        <v>6</v>
      </c>
      <c r="M2062" s="20">
        <v>0</v>
      </c>
      <c r="N2062" s="20">
        <f t="shared" si="4396"/>
        <v>8400</v>
      </c>
      <c r="O2062" s="19" t="s">
        <v>66</v>
      </c>
      <c r="P2062" s="20">
        <v>9400</v>
      </c>
      <c r="Q2062" s="20">
        <f t="shared" ref="Q2062:X2062" si="4489">Q2032</f>
        <v>840</v>
      </c>
      <c r="R2062" s="20">
        <f t="shared" si="4489"/>
        <v>3360</v>
      </c>
      <c r="S2062" s="20">
        <f t="shared" si="4489"/>
        <v>5880</v>
      </c>
      <c r="T2062" s="20">
        <f t="shared" si="4489"/>
        <v>7560</v>
      </c>
      <c r="U2062" s="20">
        <f t="shared" si="4489"/>
        <v>50</v>
      </c>
      <c r="V2062" s="20">
        <f t="shared" si="4489"/>
        <v>1000</v>
      </c>
      <c r="W2062" s="20">
        <f t="shared" si="4489"/>
        <v>600</v>
      </c>
      <c r="X2062" s="20">
        <f t="shared" si="4489"/>
        <v>6</v>
      </c>
      <c r="Y2062" s="20">
        <v>0</v>
      </c>
      <c r="Z2062" s="20">
        <v>0</v>
      </c>
      <c r="AA2062" s="20">
        <v>0</v>
      </c>
      <c r="AB2062" s="20">
        <f t="shared" si="4398"/>
        <v>0</v>
      </c>
      <c r="AC2062" s="20">
        <v>0</v>
      </c>
      <c r="AD2062" s="23">
        <f t="shared" ref="AD2062:AE2062" si="4490">AD2032</f>
        <v>40</v>
      </c>
      <c r="AE2062" s="23">
        <f t="shared" si="4490"/>
        <v>44</v>
      </c>
    </row>
    <row r="2063" spans="1:31">
      <c r="A2063" s="4">
        <v>17103</v>
      </c>
      <c r="B2063" s="4">
        <v>22</v>
      </c>
      <c r="C2063" s="29" t="s">
        <v>67</v>
      </c>
      <c r="D2063" s="46">
        <v>0</v>
      </c>
      <c r="E2063" s="28">
        <v>0</v>
      </c>
      <c r="F2063" s="28">
        <v>0</v>
      </c>
      <c r="G2063" s="28">
        <f t="shared" si="4450"/>
        <v>1336</v>
      </c>
      <c r="H2063" s="47">
        <v>0</v>
      </c>
      <c r="I2063" s="21">
        <f t="shared" si="4395"/>
        <v>330</v>
      </c>
      <c r="J2063" s="21">
        <f t="shared" si="4381"/>
        <v>21</v>
      </c>
      <c r="K2063" s="21">
        <v>0</v>
      </c>
      <c r="L2063" s="20">
        <v>6</v>
      </c>
      <c r="M2063" s="20">
        <v>0</v>
      </c>
      <c r="N2063" s="20">
        <f t="shared" si="4396"/>
        <v>8800</v>
      </c>
      <c r="O2063" s="19" t="s">
        <v>67</v>
      </c>
      <c r="P2063" s="20">
        <v>9100</v>
      </c>
      <c r="Q2063" s="20">
        <f t="shared" ref="Q2063:X2063" si="4491">Q2033</f>
        <v>880</v>
      </c>
      <c r="R2063" s="20">
        <f t="shared" si="4491"/>
        <v>3520</v>
      </c>
      <c r="S2063" s="20">
        <f t="shared" si="4491"/>
        <v>6160</v>
      </c>
      <c r="T2063" s="20">
        <f t="shared" si="4491"/>
        <v>7920</v>
      </c>
      <c r="U2063" s="20">
        <f t="shared" si="4491"/>
        <v>100</v>
      </c>
      <c r="V2063" s="20">
        <f t="shared" si="4491"/>
        <v>600</v>
      </c>
      <c r="W2063" s="20">
        <f t="shared" si="4491"/>
        <v>700</v>
      </c>
      <c r="X2063" s="20">
        <f t="shared" si="4491"/>
        <v>6</v>
      </c>
      <c r="Y2063" s="20">
        <v>0</v>
      </c>
      <c r="Z2063" s="20">
        <v>0</v>
      </c>
      <c r="AA2063" s="20">
        <v>0</v>
      </c>
      <c r="AB2063" s="20">
        <f t="shared" si="4398"/>
        <v>0</v>
      </c>
      <c r="AC2063" s="20">
        <v>0</v>
      </c>
      <c r="AD2063" s="23">
        <f t="shared" ref="AD2063:AE2063" si="4492">AD2033</f>
        <v>42</v>
      </c>
      <c r="AE2063" s="23">
        <f t="shared" si="4492"/>
        <v>46</v>
      </c>
    </row>
    <row r="2064" spans="1:31">
      <c r="A2064" s="4">
        <v>17103</v>
      </c>
      <c r="B2064" s="4">
        <v>23</v>
      </c>
      <c r="C2064" s="29" t="s">
        <v>68</v>
      </c>
      <c r="D2064" s="46">
        <v>0</v>
      </c>
      <c r="E2064" s="28">
        <v>0</v>
      </c>
      <c r="F2064" s="28">
        <v>0</v>
      </c>
      <c r="G2064" s="28">
        <f t="shared" si="4450"/>
        <v>1444</v>
      </c>
      <c r="H2064" s="47">
        <v>0</v>
      </c>
      <c r="I2064" s="21">
        <f t="shared" si="4395"/>
        <v>330</v>
      </c>
      <c r="J2064" s="21">
        <f t="shared" si="4381"/>
        <v>22</v>
      </c>
      <c r="K2064" s="21">
        <v>0</v>
      </c>
      <c r="L2064" s="20">
        <v>6</v>
      </c>
      <c r="M2064" s="20">
        <v>0</v>
      </c>
      <c r="N2064" s="20">
        <f t="shared" si="4396"/>
        <v>9200</v>
      </c>
      <c r="O2064" s="19" t="s">
        <v>68</v>
      </c>
      <c r="P2064" s="20">
        <v>8600</v>
      </c>
      <c r="Q2064" s="20">
        <f t="shared" ref="Q2064:X2064" si="4493">Q2034</f>
        <v>920</v>
      </c>
      <c r="R2064" s="20">
        <f t="shared" si="4493"/>
        <v>3680</v>
      </c>
      <c r="S2064" s="20">
        <f t="shared" si="4493"/>
        <v>6440</v>
      </c>
      <c r="T2064" s="20">
        <f t="shared" si="4493"/>
        <v>8280</v>
      </c>
      <c r="U2064" s="20">
        <f t="shared" si="4493"/>
        <v>100</v>
      </c>
      <c r="V2064" s="20">
        <f t="shared" si="4493"/>
        <v>550</v>
      </c>
      <c r="W2064" s="20">
        <f t="shared" si="4493"/>
        <v>500</v>
      </c>
      <c r="X2064" s="20">
        <f t="shared" si="4493"/>
        <v>6</v>
      </c>
      <c r="Y2064" s="20">
        <f>ROUND(D2064*0.25,-1)</f>
        <v>0</v>
      </c>
      <c r="Z2064" s="20">
        <f>ROUND(E2064*0.25,-1)</f>
        <v>0</v>
      </c>
      <c r="AA2064" s="20">
        <f>ROUND(F2064*0.25,-1)</f>
        <v>0</v>
      </c>
      <c r="AB2064" s="20">
        <f t="shared" si="4398"/>
        <v>226</v>
      </c>
      <c r="AC2064" s="20">
        <f>ROUND(H2064*0.25,-1)</f>
        <v>0</v>
      </c>
      <c r="AD2064" s="23">
        <f t="shared" ref="AD2064:AE2064" si="4494">AD2034</f>
        <v>44</v>
      </c>
      <c r="AE2064" s="23">
        <f t="shared" si="4494"/>
        <v>48</v>
      </c>
    </row>
    <row r="2065" spans="1:31">
      <c r="A2065" s="4">
        <v>17103</v>
      </c>
      <c r="B2065" s="4">
        <v>24</v>
      </c>
      <c r="C2065" s="29" t="s">
        <v>69</v>
      </c>
      <c r="D2065" s="46">
        <v>0</v>
      </c>
      <c r="E2065" s="28">
        <v>0</v>
      </c>
      <c r="F2065" s="28">
        <v>0</v>
      </c>
      <c r="G2065" s="28">
        <f t="shared" si="4450"/>
        <v>1564</v>
      </c>
      <c r="H2065" s="47">
        <v>0</v>
      </c>
      <c r="I2065" s="21">
        <f t="shared" si="4395"/>
        <v>330</v>
      </c>
      <c r="J2065" s="21">
        <f t="shared" si="4381"/>
        <v>23</v>
      </c>
      <c r="K2065" s="21">
        <v>0</v>
      </c>
      <c r="L2065" s="20">
        <v>6</v>
      </c>
      <c r="M2065" s="20">
        <v>0</v>
      </c>
      <c r="N2065" s="20">
        <f t="shared" si="4396"/>
        <v>9600</v>
      </c>
      <c r="O2065" s="19" t="s">
        <v>69</v>
      </c>
      <c r="P2065" s="20">
        <v>6400</v>
      </c>
      <c r="Q2065" s="20">
        <f t="shared" ref="Q2065:X2065" si="4495">Q2035</f>
        <v>960</v>
      </c>
      <c r="R2065" s="20">
        <f t="shared" si="4495"/>
        <v>3840</v>
      </c>
      <c r="S2065" s="20">
        <f t="shared" si="4495"/>
        <v>6720</v>
      </c>
      <c r="T2065" s="20">
        <f t="shared" si="4495"/>
        <v>8640</v>
      </c>
      <c r="U2065" s="20">
        <f t="shared" si="4495"/>
        <v>100</v>
      </c>
      <c r="V2065" s="20">
        <f t="shared" si="4495"/>
        <v>500</v>
      </c>
      <c r="W2065" s="20">
        <f t="shared" si="4495"/>
        <v>900</v>
      </c>
      <c r="X2065" s="20">
        <f t="shared" si="4495"/>
        <v>6</v>
      </c>
      <c r="Y2065" s="20">
        <v>0</v>
      </c>
      <c r="Z2065" s="20">
        <v>0</v>
      </c>
      <c r="AA2065" s="20">
        <v>0</v>
      </c>
      <c r="AB2065" s="20">
        <f t="shared" si="4398"/>
        <v>0</v>
      </c>
      <c r="AC2065" s="20">
        <v>0</v>
      </c>
      <c r="AD2065" s="23">
        <f t="shared" ref="AD2065:AE2065" si="4496">AD2035</f>
        <v>46</v>
      </c>
      <c r="AE2065" s="23">
        <f t="shared" si="4496"/>
        <v>50</v>
      </c>
    </row>
    <row r="2066" spans="1:31">
      <c r="A2066" s="8">
        <v>17103</v>
      </c>
      <c r="B2066" s="8">
        <v>25</v>
      </c>
      <c r="C2066" s="29" t="s">
        <v>70</v>
      </c>
      <c r="D2066" s="46">
        <v>0</v>
      </c>
      <c r="E2066" s="28">
        <v>0</v>
      </c>
      <c r="F2066" s="28">
        <v>0</v>
      </c>
      <c r="G2066" s="28">
        <f t="shared" si="4450"/>
        <v>1696</v>
      </c>
      <c r="H2066" s="47">
        <v>0</v>
      </c>
      <c r="I2066" s="21">
        <f t="shared" si="4395"/>
        <v>385</v>
      </c>
      <c r="J2066" s="21">
        <f t="shared" si="4381"/>
        <v>24</v>
      </c>
      <c r="K2066" s="21">
        <v>0</v>
      </c>
      <c r="L2066" s="20">
        <v>6</v>
      </c>
      <c r="M2066" s="20">
        <v>0</v>
      </c>
      <c r="N2066" s="20">
        <f t="shared" si="4396"/>
        <v>12500</v>
      </c>
      <c r="O2066" s="19" t="s">
        <v>70</v>
      </c>
      <c r="P2066" s="20">
        <v>3100</v>
      </c>
      <c r="Q2066" s="20">
        <f t="shared" ref="Q2066:X2066" si="4497">Q2036</f>
        <v>1250</v>
      </c>
      <c r="R2066" s="20">
        <f t="shared" si="4497"/>
        <v>5000</v>
      </c>
      <c r="S2066" s="20">
        <f t="shared" si="4497"/>
        <v>8750</v>
      </c>
      <c r="T2066" s="20">
        <f t="shared" si="4497"/>
        <v>11250</v>
      </c>
      <c r="U2066" s="20">
        <f t="shared" si="4497"/>
        <v>10</v>
      </c>
      <c r="V2066" s="20">
        <f t="shared" si="4497"/>
        <v>1300</v>
      </c>
      <c r="W2066" s="20">
        <f t="shared" si="4497"/>
        <v>1000</v>
      </c>
      <c r="X2066" s="20">
        <f t="shared" si="4497"/>
        <v>7</v>
      </c>
      <c r="Y2066" s="20">
        <v>0</v>
      </c>
      <c r="Z2066" s="20">
        <v>0</v>
      </c>
      <c r="AA2066" s="20">
        <v>0</v>
      </c>
      <c r="AB2066" s="20">
        <f t="shared" si="4398"/>
        <v>0</v>
      </c>
      <c r="AC2066" s="20">
        <v>0</v>
      </c>
      <c r="AD2066" s="23">
        <f t="shared" ref="AD2066:AE2066" si="4498">AD2036</f>
        <v>48</v>
      </c>
      <c r="AE2066" s="23">
        <f t="shared" si="4498"/>
        <v>52</v>
      </c>
    </row>
    <row r="2067" spans="1:31">
      <c r="A2067" s="4">
        <v>17103</v>
      </c>
      <c r="B2067" s="4">
        <v>26</v>
      </c>
      <c r="C2067" s="29" t="s">
        <v>71</v>
      </c>
      <c r="D2067" s="46">
        <v>0</v>
      </c>
      <c r="E2067" s="28">
        <v>0</v>
      </c>
      <c r="F2067" s="28">
        <v>0</v>
      </c>
      <c r="G2067" s="28">
        <f t="shared" si="4450"/>
        <v>1836</v>
      </c>
      <c r="H2067" s="47">
        <v>0</v>
      </c>
      <c r="I2067" s="21">
        <f t="shared" si="4395"/>
        <v>385</v>
      </c>
      <c r="J2067" s="21">
        <f t="shared" si="4381"/>
        <v>25</v>
      </c>
      <c r="K2067" s="21">
        <v>0</v>
      </c>
      <c r="L2067" s="20">
        <v>6</v>
      </c>
      <c r="M2067" s="20">
        <v>0</v>
      </c>
      <c r="N2067" s="20">
        <f t="shared" si="4396"/>
        <v>13000</v>
      </c>
      <c r="O2067" s="19" t="s">
        <v>71</v>
      </c>
      <c r="P2067" s="20">
        <v>1777</v>
      </c>
      <c r="Q2067" s="20">
        <f t="shared" ref="Q2067:X2067" si="4499">Q2037</f>
        <v>1300</v>
      </c>
      <c r="R2067" s="20">
        <f t="shared" si="4499"/>
        <v>5200</v>
      </c>
      <c r="S2067" s="20">
        <f t="shared" si="4499"/>
        <v>9100</v>
      </c>
      <c r="T2067" s="20">
        <f t="shared" si="4499"/>
        <v>11700</v>
      </c>
      <c r="U2067" s="20">
        <f t="shared" si="4499"/>
        <v>90</v>
      </c>
      <c r="V2067" s="20">
        <f t="shared" si="4499"/>
        <v>800</v>
      </c>
      <c r="W2067" s="20">
        <f t="shared" si="4499"/>
        <v>2000</v>
      </c>
      <c r="X2067" s="20">
        <f t="shared" si="4499"/>
        <v>7</v>
      </c>
      <c r="Y2067" s="20">
        <v>0</v>
      </c>
      <c r="Z2067" s="20">
        <v>0</v>
      </c>
      <c r="AA2067" s="20">
        <v>0</v>
      </c>
      <c r="AB2067" s="20">
        <f t="shared" si="4398"/>
        <v>0</v>
      </c>
      <c r="AC2067" s="20">
        <v>0</v>
      </c>
      <c r="AD2067" s="23">
        <f t="shared" ref="AD2067:AE2067" si="4500">AD2037</f>
        <v>50</v>
      </c>
      <c r="AE2067" s="23">
        <f t="shared" si="4500"/>
        <v>54</v>
      </c>
    </row>
    <row r="2068" spans="1:31">
      <c r="A2068" s="4">
        <v>17103</v>
      </c>
      <c r="B2068" s="4">
        <v>27</v>
      </c>
      <c r="C2068" s="29" t="s">
        <v>72</v>
      </c>
      <c r="D2068" s="46">
        <v>0</v>
      </c>
      <c r="E2068" s="28">
        <v>0</v>
      </c>
      <c r="F2068" s="28">
        <v>0</v>
      </c>
      <c r="G2068" s="28">
        <f t="shared" si="4450"/>
        <v>1984</v>
      </c>
      <c r="H2068" s="47">
        <v>0</v>
      </c>
      <c r="I2068" s="21">
        <f t="shared" si="4395"/>
        <v>385</v>
      </c>
      <c r="J2068" s="21">
        <f t="shared" si="4381"/>
        <v>26</v>
      </c>
      <c r="K2068" s="21">
        <v>0</v>
      </c>
      <c r="L2068" s="20">
        <v>6</v>
      </c>
      <c r="M2068" s="20">
        <v>0</v>
      </c>
      <c r="N2068" s="20">
        <f t="shared" si="4396"/>
        <v>13500</v>
      </c>
      <c r="O2068" s="19" t="s">
        <v>72</v>
      </c>
      <c r="P2068" s="20">
        <v>2332</v>
      </c>
      <c r="Q2068" s="20">
        <f t="shared" ref="Q2068:X2068" si="4501">Q2038</f>
        <v>1350</v>
      </c>
      <c r="R2068" s="20">
        <f t="shared" si="4501"/>
        <v>5400</v>
      </c>
      <c r="S2068" s="20">
        <f t="shared" si="4501"/>
        <v>9450</v>
      </c>
      <c r="T2068" s="20">
        <f t="shared" si="4501"/>
        <v>12150</v>
      </c>
      <c r="U2068" s="20">
        <f t="shared" si="4501"/>
        <v>80</v>
      </c>
      <c r="V2068" s="20">
        <f t="shared" si="4501"/>
        <v>700</v>
      </c>
      <c r="W2068" s="20">
        <f t="shared" si="4501"/>
        <v>800</v>
      </c>
      <c r="X2068" s="20">
        <f t="shared" si="4501"/>
        <v>7</v>
      </c>
      <c r="Y2068" s="20">
        <v>0</v>
      </c>
      <c r="Z2068" s="20">
        <v>0</v>
      </c>
      <c r="AA2068" s="20">
        <v>0</v>
      </c>
      <c r="AB2068" s="20">
        <f t="shared" si="4398"/>
        <v>0</v>
      </c>
      <c r="AC2068" s="20">
        <v>0</v>
      </c>
      <c r="AD2068" s="23">
        <f t="shared" ref="AD2068:AE2068" si="4502">AD2038</f>
        <v>52</v>
      </c>
      <c r="AE2068" s="23">
        <f t="shared" si="4502"/>
        <v>56</v>
      </c>
    </row>
    <row r="2069" spans="1:31">
      <c r="A2069" s="4">
        <v>17103</v>
      </c>
      <c r="B2069" s="4">
        <v>28</v>
      </c>
      <c r="C2069" s="29" t="s">
        <v>73</v>
      </c>
      <c r="D2069" s="46">
        <v>0</v>
      </c>
      <c r="E2069" s="28">
        <v>0</v>
      </c>
      <c r="F2069" s="28">
        <v>0</v>
      </c>
      <c r="G2069" s="28">
        <f t="shared" si="4450"/>
        <v>2148</v>
      </c>
      <c r="H2069" s="47">
        <v>0</v>
      </c>
      <c r="I2069" s="21">
        <f t="shared" si="4395"/>
        <v>385</v>
      </c>
      <c r="J2069" s="21">
        <f t="shared" si="4381"/>
        <v>27</v>
      </c>
      <c r="K2069" s="21">
        <v>0</v>
      </c>
      <c r="L2069" s="20">
        <v>6</v>
      </c>
      <c r="M2069" s="20">
        <v>0</v>
      </c>
      <c r="N2069" s="20">
        <f t="shared" si="4396"/>
        <v>14000</v>
      </c>
      <c r="O2069" s="19" t="s">
        <v>73</v>
      </c>
      <c r="P2069" s="20">
        <v>1487</v>
      </c>
      <c r="Q2069" s="20">
        <f t="shared" ref="Q2069:X2069" si="4503">Q2039</f>
        <v>1400</v>
      </c>
      <c r="R2069" s="20">
        <f t="shared" si="4503"/>
        <v>5600</v>
      </c>
      <c r="S2069" s="20">
        <f t="shared" si="4503"/>
        <v>9800</v>
      </c>
      <c r="T2069" s="20">
        <f t="shared" si="4503"/>
        <v>12600</v>
      </c>
      <c r="U2069" s="20">
        <f t="shared" si="4503"/>
        <v>80</v>
      </c>
      <c r="V2069" s="20">
        <f t="shared" si="4503"/>
        <v>500</v>
      </c>
      <c r="W2069" s="20">
        <f t="shared" si="4503"/>
        <v>600</v>
      </c>
      <c r="X2069" s="20">
        <f t="shared" si="4503"/>
        <v>7</v>
      </c>
      <c r="Y2069" s="20">
        <f>ROUND(D2069*0.25,-1)</f>
        <v>0</v>
      </c>
      <c r="Z2069" s="20">
        <f>ROUND(E2069*0.25,-1)</f>
        <v>0</v>
      </c>
      <c r="AA2069" s="20">
        <f>ROUND(F2069*0.25,-1)</f>
        <v>0</v>
      </c>
      <c r="AB2069" s="20">
        <f t="shared" si="4398"/>
        <v>283</v>
      </c>
      <c r="AC2069" s="20">
        <f>ROUND(H2069*0.25,-1)</f>
        <v>0</v>
      </c>
      <c r="AD2069" s="23">
        <f t="shared" ref="AD2069:AE2069" si="4504">AD2039</f>
        <v>54</v>
      </c>
      <c r="AE2069" s="23">
        <f t="shared" si="4504"/>
        <v>58</v>
      </c>
    </row>
    <row r="2070" spans="1:31">
      <c r="A2070" s="4">
        <v>17103</v>
      </c>
      <c r="B2070" s="4">
        <v>29</v>
      </c>
      <c r="C2070" s="29" t="s">
        <v>74</v>
      </c>
      <c r="D2070" s="46">
        <v>0</v>
      </c>
      <c r="E2070" s="28">
        <v>0</v>
      </c>
      <c r="F2070" s="28">
        <v>0</v>
      </c>
      <c r="G2070" s="28">
        <f t="shared" si="4450"/>
        <v>2328</v>
      </c>
      <c r="H2070" s="47">
        <v>0</v>
      </c>
      <c r="I2070" s="21">
        <f t="shared" si="4395"/>
        <v>440</v>
      </c>
      <c r="J2070" s="21">
        <f t="shared" si="4381"/>
        <v>28</v>
      </c>
      <c r="K2070" s="21">
        <v>0</v>
      </c>
      <c r="L2070" s="20">
        <v>6</v>
      </c>
      <c r="M2070" s="20">
        <v>0</v>
      </c>
      <c r="N2070" s="20">
        <f t="shared" si="4396"/>
        <v>14500</v>
      </c>
      <c r="O2070" s="19" t="s">
        <v>74</v>
      </c>
      <c r="P2070" s="20">
        <v>1518</v>
      </c>
      <c r="Q2070" s="20">
        <f t="shared" ref="Q2070:X2070" si="4505">Q2040</f>
        <v>1450</v>
      </c>
      <c r="R2070" s="20">
        <f t="shared" si="4505"/>
        <v>5800</v>
      </c>
      <c r="S2070" s="20">
        <f t="shared" si="4505"/>
        <v>10150</v>
      </c>
      <c r="T2070" s="20">
        <f t="shared" si="4505"/>
        <v>13050</v>
      </c>
      <c r="U2070" s="20">
        <f t="shared" si="4505"/>
        <v>80</v>
      </c>
      <c r="V2070" s="20">
        <f t="shared" si="4505"/>
        <v>600</v>
      </c>
      <c r="W2070" s="20">
        <f t="shared" si="4505"/>
        <v>700</v>
      </c>
      <c r="X2070" s="20">
        <f t="shared" si="4505"/>
        <v>8</v>
      </c>
      <c r="Y2070" s="20">
        <v>0</v>
      </c>
      <c r="Z2070" s="20">
        <v>0</v>
      </c>
      <c r="AA2070" s="20">
        <v>0</v>
      </c>
      <c r="AB2070" s="20">
        <f t="shared" si="4398"/>
        <v>0</v>
      </c>
      <c r="AC2070" s="20">
        <v>0</v>
      </c>
      <c r="AD2070" s="23">
        <f t="shared" ref="AD2070:AE2070" si="4506">AD2040</f>
        <v>56</v>
      </c>
      <c r="AE2070" s="23">
        <f t="shared" si="4506"/>
        <v>60</v>
      </c>
    </row>
    <row r="2071" spans="1:31">
      <c r="A2071" s="4">
        <v>17103</v>
      </c>
      <c r="B2071" s="4">
        <v>30</v>
      </c>
      <c r="C2071" s="29" t="s">
        <v>75</v>
      </c>
      <c r="D2071" s="46">
        <v>0</v>
      </c>
      <c r="E2071" s="28">
        <v>0</v>
      </c>
      <c r="F2071" s="28">
        <v>0</v>
      </c>
      <c r="G2071" s="28">
        <f t="shared" si="4450"/>
        <v>2520</v>
      </c>
      <c r="H2071" s="47">
        <v>0</v>
      </c>
      <c r="I2071" s="21">
        <f t="shared" si="4395"/>
        <v>440</v>
      </c>
      <c r="J2071" s="21">
        <f t="shared" si="4381"/>
        <v>29</v>
      </c>
      <c r="K2071" s="21">
        <v>0</v>
      </c>
      <c r="L2071" s="20">
        <v>6</v>
      </c>
      <c r="M2071" s="20">
        <v>0</v>
      </c>
      <c r="N2071" s="20">
        <f t="shared" si="4396"/>
        <v>15000</v>
      </c>
      <c r="O2071" s="19" t="s">
        <v>75</v>
      </c>
      <c r="P2071" s="20">
        <v>861</v>
      </c>
      <c r="Q2071" s="20">
        <f t="shared" ref="Q2071:X2071" si="4507">Q2041</f>
        <v>1500</v>
      </c>
      <c r="R2071" s="20">
        <f t="shared" si="4507"/>
        <v>6000</v>
      </c>
      <c r="S2071" s="20">
        <f t="shared" si="4507"/>
        <v>10500</v>
      </c>
      <c r="T2071" s="20">
        <f t="shared" si="4507"/>
        <v>13500</v>
      </c>
      <c r="U2071" s="20">
        <f t="shared" si="4507"/>
        <v>20</v>
      </c>
      <c r="V2071" s="20">
        <f t="shared" si="4507"/>
        <v>450</v>
      </c>
      <c r="W2071" s="20">
        <f t="shared" si="4507"/>
        <v>1000</v>
      </c>
      <c r="X2071" s="20">
        <f t="shared" si="4507"/>
        <v>8</v>
      </c>
      <c r="Y2071" s="20">
        <v>0</v>
      </c>
      <c r="Z2071" s="20">
        <v>0</v>
      </c>
      <c r="AA2071" s="20">
        <v>0</v>
      </c>
      <c r="AB2071" s="20">
        <f t="shared" si="4398"/>
        <v>0</v>
      </c>
      <c r="AC2071" s="20">
        <v>0</v>
      </c>
      <c r="AD2071" s="23">
        <f t="shared" ref="AD2071:AE2071" si="4508">AD2041</f>
        <v>58</v>
      </c>
      <c r="AE2071" s="23">
        <f t="shared" si="4508"/>
        <v>62</v>
      </c>
    </row>
    <row r="2072" spans="1:31">
      <c r="A2072" s="4">
        <v>17104</v>
      </c>
      <c r="B2072" s="4">
        <v>1</v>
      </c>
      <c r="C2072" s="19" t="s">
        <v>66</v>
      </c>
      <c r="D2072" s="44">
        <v>0</v>
      </c>
      <c r="E2072" s="18">
        <v>0</v>
      </c>
      <c r="F2072" s="18">
        <v>0</v>
      </c>
      <c r="G2072" s="18">
        <f>ROUND(G1952*4.5,0)</f>
        <v>284</v>
      </c>
      <c r="H2072" s="45">
        <v>0</v>
      </c>
      <c r="I2072" s="21">
        <f t="shared" si="4395"/>
        <v>55</v>
      </c>
      <c r="J2072" s="21">
        <f t="shared" si="4381"/>
        <v>0</v>
      </c>
      <c r="K2072" s="21">
        <v>0</v>
      </c>
      <c r="L2072" s="20">
        <v>45</v>
      </c>
      <c r="M2072" s="20">
        <v>0</v>
      </c>
      <c r="N2072" s="20">
        <f t="shared" si="4396"/>
        <v>10</v>
      </c>
      <c r="O2072" s="19" t="s">
        <v>66</v>
      </c>
      <c r="P2072" s="20">
        <v>9400</v>
      </c>
      <c r="Q2072" s="20">
        <f t="shared" ref="Q2072:X2072" si="4509">Q2042</f>
        <v>1</v>
      </c>
      <c r="R2072" s="20">
        <f t="shared" si="4509"/>
        <v>4</v>
      </c>
      <c r="S2072" s="20">
        <f t="shared" si="4509"/>
        <v>7</v>
      </c>
      <c r="T2072" s="20">
        <f t="shared" si="4509"/>
        <v>9</v>
      </c>
      <c r="U2072" s="20">
        <f t="shared" si="4509"/>
        <v>9400</v>
      </c>
      <c r="V2072" s="20">
        <f t="shared" si="4509"/>
        <v>9400</v>
      </c>
      <c r="W2072" s="20">
        <f t="shared" si="4509"/>
        <v>9400</v>
      </c>
      <c r="X2072" s="20">
        <f t="shared" si="4509"/>
        <v>1</v>
      </c>
      <c r="Y2072" s="20">
        <v>0</v>
      </c>
      <c r="Z2072" s="20">
        <v>0</v>
      </c>
      <c r="AA2072" s="20">
        <v>0</v>
      </c>
      <c r="AB2072" s="20">
        <f t="shared" si="4398"/>
        <v>0</v>
      </c>
      <c r="AC2072" s="20">
        <v>0</v>
      </c>
      <c r="AD2072" s="23">
        <f t="shared" ref="AD2072:AE2072" si="4510">AD2042</f>
        <v>1</v>
      </c>
      <c r="AE2072" s="23">
        <f t="shared" si="4510"/>
        <v>3</v>
      </c>
    </row>
    <row r="2073" spans="1:31">
      <c r="A2073" s="4">
        <v>17104</v>
      </c>
      <c r="B2073" s="4">
        <v>2</v>
      </c>
      <c r="C2073" s="19" t="s">
        <v>67</v>
      </c>
      <c r="D2073" s="44">
        <v>0</v>
      </c>
      <c r="E2073" s="18">
        <v>0</v>
      </c>
      <c r="F2073" s="18">
        <v>0</v>
      </c>
      <c r="G2073" s="18">
        <f t="shared" ref="G2073:G2101" si="4511">ROUND(G1953*4.5,0)</f>
        <v>306</v>
      </c>
      <c r="H2073" s="45">
        <v>0</v>
      </c>
      <c r="I2073" s="21">
        <f t="shared" si="4395"/>
        <v>55</v>
      </c>
      <c r="J2073" s="21">
        <f t="shared" si="4381"/>
        <v>1</v>
      </c>
      <c r="K2073" s="21">
        <v>0</v>
      </c>
      <c r="L2073" s="20">
        <v>40</v>
      </c>
      <c r="M2073" s="20">
        <v>0</v>
      </c>
      <c r="N2073" s="20">
        <f t="shared" si="4396"/>
        <v>20</v>
      </c>
      <c r="O2073" s="19" t="s">
        <v>67</v>
      </c>
      <c r="P2073" s="20">
        <v>9100</v>
      </c>
      <c r="Q2073" s="20">
        <f t="shared" ref="Q2073:X2073" si="4512">Q2043</f>
        <v>2</v>
      </c>
      <c r="R2073" s="20">
        <f t="shared" si="4512"/>
        <v>8</v>
      </c>
      <c r="S2073" s="20">
        <f t="shared" si="4512"/>
        <v>14</v>
      </c>
      <c r="T2073" s="20">
        <f t="shared" si="4512"/>
        <v>18</v>
      </c>
      <c r="U2073" s="20">
        <f t="shared" si="4512"/>
        <v>4000</v>
      </c>
      <c r="V2073" s="20">
        <f t="shared" si="4512"/>
        <v>8000</v>
      </c>
      <c r="W2073" s="20">
        <f t="shared" si="4512"/>
        <v>8000</v>
      </c>
      <c r="X2073" s="20">
        <f t="shared" si="4512"/>
        <v>1</v>
      </c>
      <c r="Y2073" s="20">
        <v>0</v>
      </c>
      <c r="Z2073" s="20">
        <v>0</v>
      </c>
      <c r="AA2073" s="20">
        <v>0</v>
      </c>
      <c r="AB2073" s="20">
        <f t="shared" si="4398"/>
        <v>0</v>
      </c>
      <c r="AC2073" s="20">
        <v>0</v>
      </c>
      <c r="AD2073" s="23">
        <f t="shared" ref="AD2073:AE2073" si="4513">AD2043</f>
        <v>2</v>
      </c>
      <c r="AE2073" s="23">
        <f t="shared" si="4513"/>
        <v>5</v>
      </c>
    </row>
    <row r="2074" spans="1:31">
      <c r="A2074" s="4">
        <v>17104</v>
      </c>
      <c r="B2074" s="4">
        <v>3</v>
      </c>
      <c r="C2074" s="19" t="s">
        <v>68</v>
      </c>
      <c r="D2074" s="44">
        <v>0</v>
      </c>
      <c r="E2074" s="18">
        <v>0</v>
      </c>
      <c r="F2074" s="18">
        <v>0</v>
      </c>
      <c r="G2074" s="18">
        <f t="shared" si="4511"/>
        <v>333</v>
      </c>
      <c r="H2074" s="45">
        <v>0</v>
      </c>
      <c r="I2074" s="21">
        <f t="shared" si="4395"/>
        <v>55</v>
      </c>
      <c r="J2074" s="21">
        <f t="shared" si="4381"/>
        <v>2</v>
      </c>
      <c r="K2074" s="21">
        <v>0</v>
      </c>
      <c r="L2074" s="20">
        <v>35</v>
      </c>
      <c r="M2074" s="20">
        <v>0</v>
      </c>
      <c r="N2074" s="20">
        <f t="shared" si="4396"/>
        <v>40</v>
      </c>
      <c r="O2074" s="19" t="s">
        <v>68</v>
      </c>
      <c r="P2074" s="20">
        <v>8600</v>
      </c>
      <c r="Q2074" s="20">
        <f t="shared" ref="Q2074:X2074" si="4514">Q2044</f>
        <v>4</v>
      </c>
      <c r="R2074" s="20">
        <f t="shared" si="4514"/>
        <v>16</v>
      </c>
      <c r="S2074" s="20">
        <f t="shared" si="4514"/>
        <v>28</v>
      </c>
      <c r="T2074" s="20">
        <f t="shared" si="4514"/>
        <v>36</v>
      </c>
      <c r="U2074" s="20">
        <f t="shared" si="4514"/>
        <v>1600</v>
      </c>
      <c r="V2074" s="20">
        <f t="shared" si="4514"/>
        <v>5000</v>
      </c>
      <c r="W2074" s="20">
        <f t="shared" si="4514"/>
        <v>6000</v>
      </c>
      <c r="X2074" s="20">
        <f t="shared" si="4514"/>
        <v>1</v>
      </c>
      <c r="Y2074" s="20">
        <v>0</v>
      </c>
      <c r="Z2074" s="20">
        <v>0</v>
      </c>
      <c r="AA2074" s="20">
        <v>0</v>
      </c>
      <c r="AB2074" s="20">
        <f t="shared" si="4398"/>
        <v>0</v>
      </c>
      <c r="AC2074" s="20">
        <v>0</v>
      </c>
      <c r="AD2074" s="23">
        <f t="shared" ref="AD2074:AE2074" si="4515">AD2044</f>
        <v>4</v>
      </c>
      <c r="AE2074" s="23">
        <f t="shared" si="4515"/>
        <v>8</v>
      </c>
    </row>
    <row r="2075" spans="1:31">
      <c r="A2075" s="4">
        <v>17104</v>
      </c>
      <c r="B2075" s="4">
        <v>4</v>
      </c>
      <c r="C2075" s="19" t="s">
        <v>69</v>
      </c>
      <c r="D2075" s="44">
        <v>0</v>
      </c>
      <c r="E2075" s="18">
        <v>0</v>
      </c>
      <c r="F2075" s="18">
        <v>0</v>
      </c>
      <c r="G2075" s="18">
        <f t="shared" si="4511"/>
        <v>360</v>
      </c>
      <c r="H2075" s="45">
        <v>0</v>
      </c>
      <c r="I2075" s="21">
        <f t="shared" si="4395"/>
        <v>55</v>
      </c>
      <c r="J2075" s="21">
        <f t="shared" ref="J2075:J2101" si="4516">B2075-1</f>
        <v>3</v>
      </c>
      <c r="K2075" s="21">
        <v>0</v>
      </c>
      <c r="L2075" s="20">
        <v>30</v>
      </c>
      <c r="M2075" s="20">
        <v>0</v>
      </c>
      <c r="N2075" s="20">
        <f t="shared" si="4396"/>
        <v>100</v>
      </c>
      <c r="O2075" s="19" t="s">
        <v>69</v>
      </c>
      <c r="P2075" s="20">
        <v>6400</v>
      </c>
      <c r="Q2075" s="20">
        <f t="shared" ref="Q2075:X2075" si="4517">Q2045</f>
        <v>10</v>
      </c>
      <c r="R2075" s="20">
        <f t="shared" si="4517"/>
        <v>40</v>
      </c>
      <c r="S2075" s="20">
        <f t="shared" si="4517"/>
        <v>70</v>
      </c>
      <c r="T2075" s="20">
        <f t="shared" si="4517"/>
        <v>90</v>
      </c>
      <c r="U2075" s="20">
        <f t="shared" si="4517"/>
        <v>900</v>
      </c>
      <c r="V2075" s="20">
        <f t="shared" si="4517"/>
        <v>2000</v>
      </c>
      <c r="W2075" s="20">
        <f t="shared" si="4517"/>
        <v>8000</v>
      </c>
      <c r="X2075" s="20">
        <f t="shared" si="4517"/>
        <v>1</v>
      </c>
      <c r="Y2075" s="20">
        <v>0</v>
      </c>
      <c r="Z2075" s="20">
        <v>0</v>
      </c>
      <c r="AA2075" s="20">
        <v>0</v>
      </c>
      <c r="AB2075" s="20">
        <f t="shared" si="4398"/>
        <v>0</v>
      </c>
      <c r="AC2075" s="20">
        <v>0</v>
      </c>
      <c r="AD2075" s="23">
        <f t="shared" ref="AD2075:AE2075" si="4518">AD2045</f>
        <v>6</v>
      </c>
      <c r="AE2075" s="23">
        <f t="shared" si="4518"/>
        <v>10</v>
      </c>
    </row>
    <row r="2076" spans="1:31">
      <c r="A2076" s="4">
        <v>17104</v>
      </c>
      <c r="B2076" s="4">
        <v>5</v>
      </c>
      <c r="C2076" s="19" t="s">
        <v>70</v>
      </c>
      <c r="D2076" s="44">
        <v>0</v>
      </c>
      <c r="E2076" s="18">
        <v>0</v>
      </c>
      <c r="F2076" s="18">
        <v>0</v>
      </c>
      <c r="G2076" s="18">
        <f t="shared" si="4511"/>
        <v>392</v>
      </c>
      <c r="H2076" s="45">
        <v>0</v>
      </c>
      <c r="I2076" s="21">
        <f t="shared" si="4395"/>
        <v>110</v>
      </c>
      <c r="J2076" s="21">
        <f t="shared" si="4516"/>
        <v>4</v>
      </c>
      <c r="K2076" s="21">
        <v>0</v>
      </c>
      <c r="L2076" s="20">
        <v>25</v>
      </c>
      <c r="M2076" s="20">
        <v>0</v>
      </c>
      <c r="N2076" s="20">
        <f t="shared" si="4396"/>
        <v>200</v>
      </c>
      <c r="O2076" s="19" t="s">
        <v>70</v>
      </c>
      <c r="P2076" s="20">
        <v>3100</v>
      </c>
      <c r="Q2076" s="20">
        <f t="shared" ref="Q2076:X2076" si="4519">Q2046</f>
        <v>20</v>
      </c>
      <c r="R2076" s="20">
        <f t="shared" si="4519"/>
        <v>80</v>
      </c>
      <c r="S2076" s="20">
        <f t="shared" si="4519"/>
        <v>140</v>
      </c>
      <c r="T2076" s="20">
        <f t="shared" si="4519"/>
        <v>180</v>
      </c>
      <c r="U2076" s="20">
        <f t="shared" si="4519"/>
        <v>1000</v>
      </c>
      <c r="V2076" s="20">
        <f t="shared" si="4519"/>
        <v>2000</v>
      </c>
      <c r="W2076" s="20">
        <f t="shared" si="4519"/>
        <v>2000</v>
      </c>
      <c r="X2076" s="20">
        <f t="shared" si="4519"/>
        <v>2</v>
      </c>
      <c r="Y2076" s="20">
        <v>0</v>
      </c>
      <c r="Z2076" s="20">
        <v>0</v>
      </c>
      <c r="AA2076" s="20">
        <v>0</v>
      </c>
      <c r="AB2076" s="20">
        <f t="shared" si="4398"/>
        <v>0</v>
      </c>
      <c r="AC2076" s="20">
        <v>0</v>
      </c>
      <c r="AD2076" s="23">
        <f t="shared" ref="AD2076:AE2076" si="4520">AD2046</f>
        <v>8</v>
      </c>
      <c r="AE2076" s="23">
        <f t="shared" si="4520"/>
        <v>12</v>
      </c>
    </row>
    <row r="2077" spans="1:31">
      <c r="A2077" s="4">
        <v>17104</v>
      </c>
      <c r="B2077" s="4">
        <v>6</v>
      </c>
      <c r="C2077" s="19" t="s">
        <v>71</v>
      </c>
      <c r="D2077" s="44">
        <v>0</v>
      </c>
      <c r="E2077" s="18">
        <v>0</v>
      </c>
      <c r="F2077" s="18">
        <v>0</v>
      </c>
      <c r="G2077" s="18">
        <f t="shared" si="4511"/>
        <v>423</v>
      </c>
      <c r="H2077" s="45">
        <v>0</v>
      </c>
      <c r="I2077" s="21">
        <f t="shared" si="4395"/>
        <v>110</v>
      </c>
      <c r="J2077" s="21">
        <f t="shared" si="4516"/>
        <v>5</v>
      </c>
      <c r="K2077" s="21">
        <v>0</v>
      </c>
      <c r="L2077" s="20">
        <v>20</v>
      </c>
      <c r="M2077" s="20">
        <v>0</v>
      </c>
      <c r="N2077" s="20">
        <f t="shared" si="4396"/>
        <v>500</v>
      </c>
      <c r="O2077" s="19" t="s">
        <v>71</v>
      </c>
      <c r="P2077" s="20">
        <v>1777</v>
      </c>
      <c r="Q2077" s="20">
        <f t="shared" ref="Q2077:X2077" si="4521">Q2047</f>
        <v>50</v>
      </c>
      <c r="R2077" s="20">
        <f t="shared" si="4521"/>
        <v>200</v>
      </c>
      <c r="S2077" s="20">
        <f t="shared" si="4521"/>
        <v>350</v>
      </c>
      <c r="T2077" s="20">
        <f t="shared" si="4521"/>
        <v>450</v>
      </c>
      <c r="U2077" s="20">
        <f t="shared" si="4521"/>
        <v>800</v>
      </c>
      <c r="V2077" s="20">
        <f t="shared" si="4521"/>
        <v>800</v>
      </c>
      <c r="W2077" s="20">
        <f t="shared" si="4521"/>
        <v>600</v>
      </c>
      <c r="X2077" s="20">
        <f t="shared" si="4521"/>
        <v>2</v>
      </c>
      <c r="Y2077" s="20">
        <v>0</v>
      </c>
      <c r="Z2077" s="20">
        <v>0</v>
      </c>
      <c r="AA2077" s="20">
        <v>0</v>
      </c>
      <c r="AB2077" s="20">
        <f t="shared" si="4398"/>
        <v>0</v>
      </c>
      <c r="AC2077" s="20">
        <v>0</v>
      </c>
      <c r="AD2077" s="23">
        <f t="shared" ref="AD2077:AE2077" si="4522">AD2047</f>
        <v>10</v>
      </c>
      <c r="AE2077" s="23">
        <f t="shared" si="4522"/>
        <v>14</v>
      </c>
    </row>
    <row r="2078" spans="1:31">
      <c r="A2078" s="8">
        <v>17104</v>
      </c>
      <c r="B2078" s="8">
        <v>7</v>
      </c>
      <c r="C2078" s="19" t="s">
        <v>72</v>
      </c>
      <c r="D2078" s="44">
        <v>0</v>
      </c>
      <c r="E2078" s="18">
        <v>0</v>
      </c>
      <c r="F2078" s="18">
        <v>0</v>
      </c>
      <c r="G2078" s="18">
        <f t="shared" si="4511"/>
        <v>455</v>
      </c>
      <c r="H2078" s="45">
        <v>0</v>
      </c>
      <c r="I2078" s="21">
        <f t="shared" si="4395"/>
        <v>110</v>
      </c>
      <c r="J2078" s="21">
        <f t="shared" si="4516"/>
        <v>6</v>
      </c>
      <c r="K2078" s="21">
        <v>0</v>
      </c>
      <c r="L2078" s="20">
        <v>16</v>
      </c>
      <c r="M2078" s="20">
        <v>0</v>
      </c>
      <c r="N2078" s="20">
        <f t="shared" si="4396"/>
        <v>700</v>
      </c>
      <c r="O2078" s="19" t="s">
        <v>72</v>
      </c>
      <c r="P2078" s="20">
        <v>2332</v>
      </c>
      <c r="Q2078" s="20">
        <f t="shared" ref="Q2078:X2078" si="4523">Q2048</f>
        <v>70</v>
      </c>
      <c r="R2078" s="20">
        <f t="shared" si="4523"/>
        <v>280</v>
      </c>
      <c r="S2078" s="20">
        <f t="shared" si="4523"/>
        <v>489.99999999999994</v>
      </c>
      <c r="T2078" s="20">
        <f t="shared" si="4523"/>
        <v>630</v>
      </c>
      <c r="U2078" s="20">
        <f t="shared" si="4523"/>
        <v>650</v>
      </c>
      <c r="V2078" s="20">
        <f t="shared" si="4523"/>
        <v>800</v>
      </c>
      <c r="W2078" s="20">
        <f t="shared" si="4523"/>
        <v>300</v>
      </c>
      <c r="X2078" s="20">
        <f t="shared" si="4523"/>
        <v>2</v>
      </c>
      <c r="Y2078" s="20">
        <v>0</v>
      </c>
      <c r="Z2078" s="20">
        <v>0</v>
      </c>
      <c r="AA2078" s="20">
        <v>0</v>
      </c>
      <c r="AB2078" s="20">
        <f t="shared" si="4398"/>
        <v>0</v>
      </c>
      <c r="AC2078" s="20">
        <v>0</v>
      </c>
      <c r="AD2078" s="23">
        <f t="shared" ref="AD2078:AE2078" si="4524">AD2048</f>
        <v>12</v>
      </c>
      <c r="AE2078" s="23">
        <f t="shared" si="4524"/>
        <v>16</v>
      </c>
    </row>
    <row r="2079" spans="1:31">
      <c r="A2079" s="4">
        <v>17104</v>
      </c>
      <c r="B2079" s="4">
        <v>8</v>
      </c>
      <c r="C2079" s="19" t="s">
        <v>73</v>
      </c>
      <c r="D2079" s="44">
        <v>0</v>
      </c>
      <c r="E2079" s="18">
        <v>0</v>
      </c>
      <c r="F2079" s="18">
        <v>0</v>
      </c>
      <c r="G2079" s="18">
        <f t="shared" si="4511"/>
        <v>495</v>
      </c>
      <c r="H2079" s="45">
        <v>0</v>
      </c>
      <c r="I2079" s="21">
        <f t="shared" si="4395"/>
        <v>110</v>
      </c>
      <c r="J2079" s="21">
        <f t="shared" si="4516"/>
        <v>7</v>
      </c>
      <c r="K2079" s="21">
        <v>0</v>
      </c>
      <c r="L2079" s="20">
        <v>12</v>
      </c>
      <c r="M2079" s="20">
        <v>0</v>
      </c>
      <c r="N2079" s="20">
        <f t="shared" si="4396"/>
        <v>800</v>
      </c>
      <c r="O2079" s="19" t="s">
        <v>73</v>
      </c>
      <c r="P2079" s="20">
        <v>1487</v>
      </c>
      <c r="Q2079" s="20">
        <f t="shared" ref="Q2079:X2079" si="4525">Q2049</f>
        <v>80</v>
      </c>
      <c r="R2079" s="20">
        <f t="shared" si="4525"/>
        <v>320</v>
      </c>
      <c r="S2079" s="20">
        <f t="shared" si="4525"/>
        <v>560</v>
      </c>
      <c r="T2079" s="20">
        <f t="shared" si="4525"/>
        <v>720</v>
      </c>
      <c r="U2079" s="20">
        <f t="shared" si="4525"/>
        <v>200</v>
      </c>
      <c r="V2079" s="20">
        <f t="shared" si="4525"/>
        <v>2000</v>
      </c>
      <c r="W2079" s="20">
        <f t="shared" si="4525"/>
        <v>1000</v>
      </c>
      <c r="X2079" s="20">
        <f t="shared" si="4525"/>
        <v>2</v>
      </c>
      <c r="Y2079" s="20">
        <f>ROUND(D2079*0.25,-1)</f>
        <v>0</v>
      </c>
      <c r="Z2079" s="20">
        <f>ROUND(E2079*0.25,-1)</f>
        <v>0</v>
      </c>
      <c r="AA2079" s="20">
        <f>ROUND(F2079*0.25,-1)</f>
        <v>0</v>
      </c>
      <c r="AB2079" s="20">
        <f t="shared" si="4398"/>
        <v>63</v>
      </c>
      <c r="AC2079" s="20">
        <f>ROUND(H2079*0.25,-1)</f>
        <v>0</v>
      </c>
      <c r="AD2079" s="23">
        <f t="shared" ref="AD2079:AE2079" si="4526">AD2049</f>
        <v>14</v>
      </c>
      <c r="AE2079" s="23">
        <f t="shared" si="4526"/>
        <v>18</v>
      </c>
    </row>
    <row r="2080" spans="1:31">
      <c r="A2080" s="4">
        <v>17104</v>
      </c>
      <c r="B2080" s="4">
        <v>9</v>
      </c>
      <c r="C2080" s="19" t="s">
        <v>74</v>
      </c>
      <c r="D2080" s="44">
        <v>0</v>
      </c>
      <c r="E2080" s="18">
        <v>0</v>
      </c>
      <c r="F2080" s="18">
        <v>0</v>
      </c>
      <c r="G2080" s="18">
        <f t="shared" si="4511"/>
        <v>536</v>
      </c>
      <c r="H2080" s="45">
        <v>0</v>
      </c>
      <c r="I2080" s="21">
        <f t="shared" si="4395"/>
        <v>165</v>
      </c>
      <c r="J2080" s="21">
        <f t="shared" si="4516"/>
        <v>8</v>
      </c>
      <c r="K2080" s="21">
        <v>0</v>
      </c>
      <c r="L2080" s="20">
        <v>8</v>
      </c>
      <c r="M2080" s="20">
        <v>0</v>
      </c>
      <c r="N2080" s="20">
        <f t="shared" si="4396"/>
        <v>900</v>
      </c>
      <c r="O2080" s="19" t="s">
        <v>74</v>
      </c>
      <c r="P2080" s="20">
        <v>1518</v>
      </c>
      <c r="Q2080" s="20">
        <f t="shared" ref="Q2080:X2080" si="4527">Q2050</f>
        <v>90</v>
      </c>
      <c r="R2080" s="20">
        <f t="shared" si="4527"/>
        <v>360</v>
      </c>
      <c r="S2080" s="20">
        <f t="shared" si="4527"/>
        <v>630</v>
      </c>
      <c r="T2080" s="20">
        <f t="shared" si="4527"/>
        <v>810</v>
      </c>
      <c r="U2080" s="20">
        <f t="shared" si="4527"/>
        <v>120</v>
      </c>
      <c r="V2080" s="20">
        <f t="shared" si="4527"/>
        <v>1500</v>
      </c>
      <c r="W2080" s="20">
        <f t="shared" si="4527"/>
        <v>1000</v>
      </c>
      <c r="X2080" s="20">
        <f t="shared" si="4527"/>
        <v>3</v>
      </c>
      <c r="Y2080" s="20">
        <v>0</v>
      </c>
      <c r="Z2080" s="20">
        <v>0</v>
      </c>
      <c r="AA2080" s="20">
        <v>0</v>
      </c>
      <c r="AB2080" s="20">
        <f t="shared" si="4398"/>
        <v>0</v>
      </c>
      <c r="AC2080" s="20">
        <v>0</v>
      </c>
      <c r="AD2080" s="23">
        <f t="shared" ref="AD2080:AE2080" si="4528">AD2050</f>
        <v>16</v>
      </c>
      <c r="AE2080" s="23">
        <f t="shared" si="4528"/>
        <v>20</v>
      </c>
    </row>
    <row r="2081" spans="1:31">
      <c r="A2081" s="4">
        <v>17104</v>
      </c>
      <c r="B2081" s="4">
        <v>10</v>
      </c>
      <c r="C2081" s="19" t="s">
        <v>75</v>
      </c>
      <c r="D2081" s="44">
        <v>0</v>
      </c>
      <c r="E2081" s="18">
        <v>0</v>
      </c>
      <c r="F2081" s="18">
        <v>0</v>
      </c>
      <c r="G2081" s="18">
        <f t="shared" si="4511"/>
        <v>581</v>
      </c>
      <c r="H2081" s="45">
        <v>0</v>
      </c>
      <c r="I2081" s="21">
        <f t="shared" ref="I2081:I2144" si="4529">I2051</f>
        <v>165</v>
      </c>
      <c r="J2081" s="21">
        <f t="shared" si="4516"/>
        <v>9</v>
      </c>
      <c r="K2081" s="21">
        <v>0</v>
      </c>
      <c r="L2081" s="20">
        <v>6</v>
      </c>
      <c r="M2081" s="20">
        <v>0</v>
      </c>
      <c r="N2081" s="20">
        <f t="shared" ref="N2081:N2144" si="4530">N2051</f>
        <v>2000</v>
      </c>
      <c r="O2081" s="19" t="s">
        <v>75</v>
      </c>
      <c r="P2081" s="20">
        <v>861</v>
      </c>
      <c r="Q2081" s="20">
        <f t="shared" ref="Q2081:X2081" si="4531">Q2051</f>
        <v>200</v>
      </c>
      <c r="R2081" s="20">
        <f t="shared" si="4531"/>
        <v>800</v>
      </c>
      <c r="S2081" s="20">
        <f t="shared" si="4531"/>
        <v>1400</v>
      </c>
      <c r="T2081" s="20">
        <f t="shared" si="4531"/>
        <v>1800</v>
      </c>
      <c r="U2081" s="20">
        <f t="shared" si="4531"/>
        <v>150</v>
      </c>
      <c r="V2081" s="20">
        <f t="shared" si="4531"/>
        <v>5000</v>
      </c>
      <c r="W2081" s="20">
        <f t="shared" si="4531"/>
        <v>800</v>
      </c>
      <c r="X2081" s="20">
        <f t="shared" si="4531"/>
        <v>3</v>
      </c>
      <c r="Y2081" s="20">
        <v>0</v>
      </c>
      <c r="Z2081" s="20">
        <v>0</v>
      </c>
      <c r="AA2081" s="20">
        <v>0</v>
      </c>
      <c r="AB2081" s="20">
        <f t="shared" ref="AB2081:AB2101" si="4532">AB1931</f>
        <v>0</v>
      </c>
      <c r="AC2081" s="20">
        <v>0</v>
      </c>
      <c r="AD2081" s="23">
        <f t="shared" ref="AD2081:AE2081" si="4533">AD2051</f>
        <v>18</v>
      </c>
      <c r="AE2081" s="23">
        <f t="shared" si="4533"/>
        <v>22</v>
      </c>
    </row>
    <row r="2082" spans="1:31">
      <c r="A2082" s="4">
        <v>17104</v>
      </c>
      <c r="B2082" s="4">
        <v>11</v>
      </c>
      <c r="C2082" s="19" t="s">
        <v>66</v>
      </c>
      <c r="D2082" s="44">
        <v>0</v>
      </c>
      <c r="E2082" s="18">
        <v>0</v>
      </c>
      <c r="F2082" s="18">
        <v>0</v>
      </c>
      <c r="G2082" s="18">
        <f t="shared" si="4511"/>
        <v>626</v>
      </c>
      <c r="H2082" s="45">
        <v>0</v>
      </c>
      <c r="I2082" s="21">
        <f t="shared" si="4529"/>
        <v>165</v>
      </c>
      <c r="J2082" s="21">
        <f t="shared" si="4516"/>
        <v>10</v>
      </c>
      <c r="K2082" s="21">
        <v>0</v>
      </c>
      <c r="L2082" s="20">
        <v>6</v>
      </c>
      <c r="M2082" s="20">
        <v>0</v>
      </c>
      <c r="N2082" s="20">
        <f t="shared" si="4530"/>
        <v>2200</v>
      </c>
      <c r="O2082" s="19" t="s">
        <v>66</v>
      </c>
      <c r="P2082" s="20">
        <v>9400</v>
      </c>
      <c r="Q2082" s="20">
        <f t="shared" ref="Q2082:X2082" si="4534">Q2052</f>
        <v>220</v>
      </c>
      <c r="R2082" s="20">
        <f t="shared" si="4534"/>
        <v>880</v>
      </c>
      <c r="S2082" s="20">
        <f t="shared" si="4534"/>
        <v>1540</v>
      </c>
      <c r="T2082" s="20">
        <f t="shared" si="4534"/>
        <v>1980</v>
      </c>
      <c r="U2082" s="20">
        <f t="shared" si="4534"/>
        <v>100</v>
      </c>
      <c r="V2082" s="20">
        <f t="shared" si="4534"/>
        <v>800</v>
      </c>
      <c r="W2082" s="20">
        <f t="shared" si="4534"/>
        <v>600</v>
      </c>
      <c r="X2082" s="20">
        <f t="shared" si="4534"/>
        <v>3</v>
      </c>
      <c r="Y2082" s="20">
        <v>0</v>
      </c>
      <c r="Z2082" s="20">
        <v>0</v>
      </c>
      <c r="AA2082" s="20">
        <v>0</v>
      </c>
      <c r="AB2082" s="20">
        <f t="shared" si="4532"/>
        <v>0</v>
      </c>
      <c r="AC2082" s="20">
        <v>0</v>
      </c>
      <c r="AD2082" s="23">
        <f t="shared" ref="AD2082:AE2082" si="4535">AD2052</f>
        <v>20</v>
      </c>
      <c r="AE2082" s="23">
        <f t="shared" si="4535"/>
        <v>24</v>
      </c>
    </row>
    <row r="2083" spans="1:31">
      <c r="A2083" s="4">
        <v>17104</v>
      </c>
      <c r="B2083" s="4">
        <v>12</v>
      </c>
      <c r="C2083" s="19" t="s">
        <v>67</v>
      </c>
      <c r="D2083" s="44">
        <v>0</v>
      </c>
      <c r="E2083" s="18">
        <v>0</v>
      </c>
      <c r="F2083" s="18">
        <v>0</v>
      </c>
      <c r="G2083" s="18">
        <f t="shared" si="4511"/>
        <v>680</v>
      </c>
      <c r="H2083" s="45">
        <v>0</v>
      </c>
      <c r="I2083" s="21">
        <f t="shared" si="4529"/>
        <v>165</v>
      </c>
      <c r="J2083" s="21">
        <f t="shared" si="4516"/>
        <v>11</v>
      </c>
      <c r="K2083" s="21">
        <v>0</v>
      </c>
      <c r="L2083" s="20">
        <v>6</v>
      </c>
      <c r="M2083" s="20">
        <v>0</v>
      </c>
      <c r="N2083" s="20">
        <f t="shared" si="4530"/>
        <v>2400</v>
      </c>
      <c r="O2083" s="19" t="s">
        <v>67</v>
      </c>
      <c r="P2083" s="20">
        <v>9100</v>
      </c>
      <c r="Q2083" s="20">
        <f t="shared" ref="Q2083:X2083" si="4536">Q2053</f>
        <v>240</v>
      </c>
      <c r="R2083" s="20">
        <f t="shared" si="4536"/>
        <v>960</v>
      </c>
      <c r="S2083" s="20">
        <f t="shared" si="4536"/>
        <v>1680</v>
      </c>
      <c r="T2083" s="20">
        <f t="shared" si="4536"/>
        <v>2160</v>
      </c>
      <c r="U2083" s="20">
        <f t="shared" si="4536"/>
        <v>150</v>
      </c>
      <c r="V2083" s="20">
        <f t="shared" si="4536"/>
        <v>700</v>
      </c>
      <c r="W2083" s="20">
        <f t="shared" si="4536"/>
        <v>900</v>
      </c>
      <c r="X2083" s="20">
        <f t="shared" si="4536"/>
        <v>3</v>
      </c>
      <c r="Y2083" s="20">
        <v>0</v>
      </c>
      <c r="Z2083" s="20">
        <v>0</v>
      </c>
      <c r="AA2083" s="20">
        <v>0</v>
      </c>
      <c r="AB2083" s="20">
        <f t="shared" si="4532"/>
        <v>0</v>
      </c>
      <c r="AC2083" s="20">
        <v>0</v>
      </c>
      <c r="AD2083" s="23">
        <f t="shared" ref="AD2083:AE2083" si="4537">AD2053</f>
        <v>22</v>
      </c>
      <c r="AE2083" s="23">
        <f t="shared" si="4537"/>
        <v>26</v>
      </c>
    </row>
    <row r="2084" spans="1:31">
      <c r="A2084" s="4">
        <v>17104</v>
      </c>
      <c r="B2084" s="4">
        <v>13</v>
      </c>
      <c r="C2084" s="19" t="s">
        <v>68</v>
      </c>
      <c r="D2084" s="44">
        <v>0</v>
      </c>
      <c r="E2084" s="18">
        <v>0</v>
      </c>
      <c r="F2084" s="18">
        <v>0</v>
      </c>
      <c r="G2084" s="18">
        <f t="shared" si="4511"/>
        <v>734</v>
      </c>
      <c r="H2084" s="45">
        <v>0</v>
      </c>
      <c r="I2084" s="21">
        <f t="shared" si="4529"/>
        <v>220</v>
      </c>
      <c r="J2084" s="21">
        <f t="shared" si="4516"/>
        <v>12</v>
      </c>
      <c r="K2084" s="21">
        <v>0</v>
      </c>
      <c r="L2084" s="20">
        <v>6</v>
      </c>
      <c r="M2084" s="20">
        <v>0</v>
      </c>
      <c r="N2084" s="20">
        <f t="shared" si="4530"/>
        <v>2600</v>
      </c>
      <c r="O2084" s="19" t="s">
        <v>68</v>
      </c>
      <c r="P2084" s="20">
        <v>8600</v>
      </c>
      <c r="Q2084" s="20">
        <f t="shared" ref="Q2084:X2084" si="4538">Q2054</f>
        <v>260</v>
      </c>
      <c r="R2084" s="20">
        <f t="shared" si="4538"/>
        <v>1040</v>
      </c>
      <c r="S2084" s="20">
        <f t="shared" si="4538"/>
        <v>1819.9999999999998</v>
      </c>
      <c r="T2084" s="20">
        <f t="shared" si="4538"/>
        <v>2340</v>
      </c>
      <c r="U2084" s="20">
        <f t="shared" si="4538"/>
        <v>100</v>
      </c>
      <c r="V2084" s="20">
        <f t="shared" si="4538"/>
        <v>700</v>
      </c>
      <c r="W2084" s="20">
        <f t="shared" si="4538"/>
        <v>1000</v>
      </c>
      <c r="X2084" s="20">
        <f t="shared" si="4538"/>
        <v>4</v>
      </c>
      <c r="Y2084" s="20">
        <f>ROUND(D2084*0.25,-1)</f>
        <v>0</v>
      </c>
      <c r="Z2084" s="20">
        <f>ROUND(E2084*0.25,-1)</f>
        <v>0</v>
      </c>
      <c r="AA2084" s="20">
        <f>ROUND(F2084*0.25,-1)</f>
        <v>0</v>
      </c>
      <c r="AB2084" s="20">
        <f t="shared" si="4532"/>
        <v>126</v>
      </c>
      <c r="AC2084" s="20">
        <f>ROUND(H2084*0.25,-1)</f>
        <v>0</v>
      </c>
      <c r="AD2084" s="23">
        <f t="shared" ref="AD2084:AE2084" si="4539">AD2054</f>
        <v>24</v>
      </c>
      <c r="AE2084" s="23">
        <f t="shared" si="4539"/>
        <v>28</v>
      </c>
    </row>
    <row r="2085" spans="1:31">
      <c r="A2085" s="4">
        <v>17104</v>
      </c>
      <c r="B2085" s="4">
        <v>14</v>
      </c>
      <c r="C2085" s="19" t="s">
        <v>69</v>
      </c>
      <c r="D2085" s="44">
        <v>0</v>
      </c>
      <c r="E2085" s="18">
        <v>0</v>
      </c>
      <c r="F2085" s="18">
        <v>0</v>
      </c>
      <c r="G2085" s="18">
        <f t="shared" si="4511"/>
        <v>797</v>
      </c>
      <c r="H2085" s="45">
        <v>0</v>
      </c>
      <c r="I2085" s="21">
        <f t="shared" si="4529"/>
        <v>220</v>
      </c>
      <c r="J2085" s="21">
        <f t="shared" si="4516"/>
        <v>13</v>
      </c>
      <c r="K2085" s="21">
        <v>0</v>
      </c>
      <c r="L2085" s="20">
        <v>6</v>
      </c>
      <c r="M2085" s="20">
        <v>0</v>
      </c>
      <c r="N2085" s="20">
        <f t="shared" si="4530"/>
        <v>2800</v>
      </c>
      <c r="O2085" s="19" t="s">
        <v>69</v>
      </c>
      <c r="P2085" s="20">
        <v>6400</v>
      </c>
      <c r="Q2085" s="20">
        <f t="shared" ref="Q2085:X2085" si="4540">Q2055</f>
        <v>280</v>
      </c>
      <c r="R2085" s="20">
        <f t="shared" si="4540"/>
        <v>1120</v>
      </c>
      <c r="S2085" s="20">
        <f t="shared" si="4540"/>
        <v>1959.9999999999998</v>
      </c>
      <c r="T2085" s="20">
        <f t="shared" si="4540"/>
        <v>2520</v>
      </c>
      <c r="U2085" s="20">
        <f t="shared" si="4540"/>
        <v>100</v>
      </c>
      <c r="V2085" s="20">
        <f t="shared" si="4540"/>
        <v>400</v>
      </c>
      <c r="W2085" s="20">
        <f t="shared" si="4540"/>
        <v>1200</v>
      </c>
      <c r="X2085" s="20">
        <f t="shared" si="4540"/>
        <v>4</v>
      </c>
      <c r="Y2085" s="20">
        <v>0</v>
      </c>
      <c r="Z2085" s="20">
        <v>0</v>
      </c>
      <c r="AA2085" s="20">
        <v>0</v>
      </c>
      <c r="AB2085" s="20">
        <f t="shared" si="4532"/>
        <v>0</v>
      </c>
      <c r="AC2085" s="20">
        <v>0</v>
      </c>
      <c r="AD2085" s="23">
        <f t="shared" ref="AD2085:AE2085" si="4541">AD2055</f>
        <v>26</v>
      </c>
      <c r="AE2085" s="23">
        <f t="shared" si="4541"/>
        <v>30</v>
      </c>
    </row>
    <row r="2086" spans="1:31">
      <c r="A2086" s="4">
        <v>17104</v>
      </c>
      <c r="B2086" s="4">
        <v>15</v>
      </c>
      <c r="C2086" s="19" t="s">
        <v>70</v>
      </c>
      <c r="D2086" s="44">
        <v>0</v>
      </c>
      <c r="E2086" s="18">
        <v>0</v>
      </c>
      <c r="F2086" s="18">
        <v>0</v>
      </c>
      <c r="G2086" s="18">
        <f t="shared" si="4511"/>
        <v>860</v>
      </c>
      <c r="H2086" s="45">
        <v>0</v>
      </c>
      <c r="I2086" s="21">
        <f t="shared" si="4529"/>
        <v>220</v>
      </c>
      <c r="J2086" s="21">
        <f t="shared" si="4516"/>
        <v>14</v>
      </c>
      <c r="K2086" s="21">
        <v>0</v>
      </c>
      <c r="L2086" s="20">
        <v>6</v>
      </c>
      <c r="M2086" s="20">
        <v>0</v>
      </c>
      <c r="N2086" s="20">
        <f t="shared" si="4530"/>
        <v>4500</v>
      </c>
      <c r="O2086" s="19" t="s">
        <v>70</v>
      </c>
      <c r="P2086" s="20">
        <v>3100</v>
      </c>
      <c r="Q2086" s="20">
        <f t="shared" ref="Q2086:X2086" si="4542">Q2056</f>
        <v>450</v>
      </c>
      <c r="R2086" s="20">
        <f t="shared" si="4542"/>
        <v>1800</v>
      </c>
      <c r="S2086" s="20">
        <f t="shared" si="4542"/>
        <v>3150</v>
      </c>
      <c r="T2086" s="20">
        <f t="shared" si="4542"/>
        <v>4050</v>
      </c>
      <c r="U2086" s="20">
        <f t="shared" si="4542"/>
        <v>100</v>
      </c>
      <c r="V2086" s="20">
        <f t="shared" si="4542"/>
        <v>1000</v>
      </c>
      <c r="W2086" s="20">
        <f t="shared" si="4542"/>
        <v>600</v>
      </c>
      <c r="X2086" s="20">
        <f t="shared" si="4542"/>
        <v>4</v>
      </c>
      <c r="Y2086" s="20">
        <v>0</v>
      </c>
      <c r="Z2086" s="20">
        <v>0</v>
      </c>
      <c r="AA2086" s="20">
        <v>0</v>
      </c>
      <c r="AB2086" s="20">
        <f t="shared" si="4532"/>
        <v>0</v>
      </c>
      <c r="AC2086" s="20">
        <v>0</v>
      </c>
      <c r="AD2086" s="23">
        <f t="shared" ref="AD2086:AE2086" si="4543">AD2056</f>
        <v>28</v>
      </c>
      <c r="AE2086" s="23">
        <f t="shared" si="4543"/>
        <v>32</v>
      </c>
    </row>
    <row r="2087" spans="1:31">
      <c r="A2087" s="4">
        <v>17104</v>
      </c>
      <c r="B2087" s="4">
        <v>16</v>
      </c>
      <c r="C2087" s="19" t="s">
        <v>71</v>
      </c>
      <c r="D2087" s="44">
        <v>0</v>
      </c>
      <c r="E2087" s="18">
        <v>0</v>
      </c>
      <c r="F2087" s="18">
        <v>0</v>
      </c>
      <c r="G2087" s="18">
        <f t="shared" si="4511"/>
        <v>932</v>
      </c>
      <c r="H2087" s="45">
        <v>0</v>
      </c>
      <c r="I2087" s="21">
        <f t="shared" si="4529"/>
        <v>220</v>
      </c>
      <c r="J2087" s="21">
        <f t="shared" si="4516"/>
        <v>15</v>
      </c>
      <c r="K2087" s="21">
        <v>0</v>
      </c>
      <c r="L2087" s="20">
        <v>6</v>
      </c>
      <c r="M2087" s="20">
        <v>0</v>
      </c>
      <c r="N2087" s="20">
        <f t="shared" si="4530"/>
        <v>4800</v>
      </c>
      <c r="O2087" s="19" t="s">
        <v>71</v>
      </c>
      <c r="P2087" s="20">
        <v>1777</v>
      </c>
      <c r="Q2087" s="20">
        <f t="shared" ref="Q2087:X2087" si="4544">Q2057</f>
        <v>480</v>
      </c>
      <c r="R2087" s="20">
        <f t="shared" si="4544"/>
        <v>1920</v>
      </c>
      <c r="S2087" s="20">
        <f t="shared" si="4544"/>
        <v>3360</v>
      </c>
      <c r="T2087" s="20">
        <f t="shared" si="4544"/>
        <v>4320</v>
      </c>
      <c r="U2087" s="20">
        <f t="shared" si="4544"/>
        <v>100</v>
      </c>
      <c r="V2087" s="20">
        <f t="shared" si="4544"/>
        <v>800</v>
      </c>
      <c r="W2087" s="20">
        <f t="shared" si="4544"/>
        <v>800</v>
      </c>
      <c r="X2087" s="20">
        <f t="shared" si="4544"/>
        <v>4</v>
      </c>
      <c r="Y2087" s="20">
        <v>0</v>
      </c>
      <c r="Z2087" s="20">
        <v>0</v>
      </c>
      <c r="AA2087" s="20">
        <v>0</v>
      </c>
      <c r="AB2087" s="20">
        <f t="shared" si="4532"/>
        <v>0</v>
      </c>
      <c r="AC2087" s="20">
        <v>0</v>
      </c>
      <c r="AD2087" s="23">
        <f t="shared" ref="AD2087:AE2087" si="4545">AD2057</f>
        <v>30</v>
      </c>
      <c r="AE2087" s="23">
        <f t="shared" si="4545"/>
        <v>34</v>
      </c>
    </row>
    <row r="2088" spans="1:31">
      <c r="A2088" s="4">
        <v>17104</v>
      </c>
      <c r="B2088" s="4">
        <v>17</v>
      </c>
      <c r="C2088" s="19" t="s">
        <v>72</v>
      </c>
      <c r="D2088" s="44">
        <v>0</v>
      </c>
      <c r="E2088" s="18">
        <v>0</v>
      </c>
      <c r="F2088" s="18">
        <v>0</v>
      </c>
      <c r="G2088" s="18">
        <f t="shared" si="4511"/>
        <v>1008</v>
      </c>
      <c r="H2088" s="45">
        <v>0</v>
      </c>
      <c r="I2088" s="21">
        <f t="shared" si="4529"/>
        <v>275</v>
      </c>
      <c r="J2088" s="21">
        <f t="shared" si="4516"/>
        <v>16</v>
      </c>
      <c r="K2088" s="21">
        <v>0</v>
      </c>
      <c r="L2088" s="20">
        <v>6</v>
      </c>
      <c r="M2088" s="20">
        <v>0</v>
      </c>
      <c r="N2088" s="20">
        <f t="shared" si="4530"/>
        <v>5100</v>
      </c>
      <c r="O2088" s="19" t="s">
        <v>72</v>
      </c>
      <c r="P2088" s="20">
        <v>2332</v>
      </c>
      <c r="Q2088" s="20">
        <f t="shared" ref="Q2088:X2088" si="4546">Q2058</f>
        <v>510</v>
      </c>
      <c r="R2088" s="20">
        <f t="shared" si="4546"/>
        <v>2040</v>
      </c>
      <c r="S2088" s="20">
        <f t="shared" si="4546"/>
        <v>3570</v>
      </c>
      <c r="T2088" s="20">
        <f t="shared" si="4546"/>
        <v>4590</v>
      </c>
      <c r="U2088" s="20">
        <f t="shared" si="4546"/>
        <v>80</v>
      </c>
      <c r="V2088" s="20">
        <f t="shared" si="4546"/>
        <v>800</v>
      </c>
      <c r="W2088" s="20">
        <f t="shared" si="4546"/>
        <v>600</v>
      </c>
      <c r="X2088" s="20">
        <f t="shared" si="4546"/>
        <v>5</v>
      </c>
      <c r="Y2088" s="20">
        <v>0</v>
      </c>
      <c r="Z2088" s="20">
        <v>0</v>
      </c>
      <c r="AA2088" s="20">
        <v>0</v>
      </c>
      <c r="AB2088" s="20">
        <f t="shared" si="4532"/>
        <v>0</v>
      </c>
      <c r="AC2088" s="20">
        <v>0</v>
      </c>
      <c r="AD2088" s="23">
        <f t="shared" ref="AD2088:AE2088" si="4547">AD2058</f>
        <v>32</v>
      </c>
      <c r="AE2088" s="23">
        <f t="shared" si="4547"/>
        <v>36</v>
      </c>
    </row>
    <row r="2089" spans="1:31">
      <c r="A2089" s="4">
        <v>17104</v>
      </c>
      <c r="B2089" s="4">
        <v>18</v>
      </c>
      <c r="C2089" s="19" t="s">
        <v>73</v>
      </c>
      <c r="D2089" s="44">
        <v>0</v>
      </c>
      <c r="E2089" s="18">
        <v>0</v>
      </c>
      <c r="F2089" s="18">
        <v>0</v>
      </c>
      <c r="G2089" s="18">
        <f t="shared" si="4511"/>
        <v>1094</v>
      </c>
      <c r="H2089" s="45">
        <v>0</v>
      </c>
      <c r="I2089" s="21">
        <f t="shared" si="4529"/>
        <v>275</v>
      </c>
      <c r="J2089" s="21">
        <f t="shared" si="4516"/>
        <v>17</v>
      </c>
      <c r="K2089" s="21">
        <v>0</v>
      </c>
      <c r="L2089" s="20">
        <v>6</v>
      </c>
      <c r="M2089" s="20">
        <v>0</v>
      </c>
      <c r="N2089" s="20">
        <f t="shared" si="4530"/>
        <v>5400</v>
      </c>
      <c r="O2089" s="19" t="s">
        <v>73</v>
      </c>
      <c r="P2089" s="20">
        <v>1487</v>
      </c>
      <c r="Q2089" s="20">
        <f t="shared" ref="Q2089:X2089" si="4548">Q2059</f>
        <v>540</v>
      </c>
      <c r="R2089" s="20">
        <f t="shared" si="4548"/>
        <v>2160</v>
      </c>
      <c r="S2089" s="20">
        <f t="shared" si="4548"/>
        <v>3779.9999999999995</v>
      </c>
      <c r="T2089" s="20">
        <f t="shared" si="4548"/>
        <v>4860</v>
      </c>
      <c r="U2089" s="20">
        <f t="shared" si="4548"/>
        <v>100</v>
      </c>
      <c r="V2089" s="20">
        <f t="shared" si="4548"/>
        <v>600</v>
      </c>
      <c r="W2089" s="20">
        <f t="shared" si="4548"/>
        <v>300</v>
      </c>
      <c r="X2089" s="20">
        <f t="shared" si="4548"/>
        <v>5</v>
      </c>
      <c r="Y2089" s="20">
        <f>ROUND(D2089*0.25,-1)</f>
        <v>0</v>
      </c>
      <c r="Z2089" s="20">
        <f>ROUND(E2089*0.25,-1)</f>
        <v>0</v>
      </c>
      <c r="AA2089" s="20">
        <f>ROUND(F2089*0.25,-1)</f>
        <v>0</v>
      </c>
      <c r="AB2089" s="20">
        <f t="shared" si="4532"/>
        <v>189</v>
      </c>
      <c r="AC2089" s="20">
        <f>ROUND(H2089*0.25,-1)</f>
        <v>0</v>
      </c>
      <c r="AD2089" s="23">
        <f t="shared" ref="AD2089:AE2089" si="4549">AD2059</f>
        <v>34</v>
      </c>
      <c r="AE2089" s="23">
        <f t="shared" si="4549"/>
        <v>38</v>
      </c>
    </row>
    <row r="2090" spans="1:31">
      <c r="A2090" s="8">
        <v>17104</v>
      </c>
      <c r="B2090" s="8">
        <v>19</v>
      </c>
      <c r="C2090" s="19" t="s">
        <v>74</v>
      </c>
      <c r="D2090" s="44">
        <v>0</v>
      </c>
      <c r="E2090" s="18">
        <v>0</v>
      </c>
      <c r="F2090" s="18">
        <v>0</v>
      </c>
      <c r="G2090" s="18">
        <f t="shared" si="4511"/>
        <v>1184</v>
      </c>
      <c r="H2090" s="45">
        <v>0</v>
      </c>
      <c r="I2090" s="21">
        <f t="shared" si="4529"/>
        <v>275</v>
      </c>
      <c r="J2090" s="21">
        <f t="shared" si="4516"/>
        <v>18</v>
      </c>
      <c r="K2090" s="21">
        <v>0</v>
      </c>
      <c r="L2090" s="20">
        <v>6</v>
      </c>
      <c r="M2090" s="20">
        <v>0</v>
      </c>
      <c r="N2090" s="20">
        <f t="shared" si="4530"/>
        <v>5700</v>
      </c>
      <c r="O2090" s="19" t="s">
        <v>74</v>
      </c>
      <c r="P2090" s="20">
        <v>1518</v>
      </c>
      <c r="Q2090" s="20">
        <f t="shared" ref="Q2090:X2090" si="4550">Q2060</f>
        <v>570</v>
      </c>
      <c r="R2090" s="20">
        <f t="shared" si="4550"/>
        <v>2280</v>
      </c>
      <c r="S2090" s="20">
        <f t="shared" si="4550"/>
        <v>3989.9999999999995</v>
      </c>
      <c r="T2090" s="20">
        <f t="shared" si="4550"/>
        <v>5130</v>
      </c>
      <c r="U2090" s="20">
        <f t="shared" si="4550"/>
        <v>100</v>
      </c>
      <c r="V2090" s="20">
        <f t="shared" si="4550"/>
        <v>500</v>
      </c>
      <c r="W2090" s="20">
        <f t="shared" si="4550"/>
        <v>400</v>
      </c>
      <c r="X2090" s="20">
        <f t="shared" si="4550"/>
        <v>5</v>
      </c>
      <c r="Y2090" s="20">
        <v>0</v>
      </c>
      <c r="Z2090" s="20">
        <v>0</v>
      </c>
      <c r="AA2090" s="20">
        <v>0</v>
      </c>
      <c r="AB2090" s="20">
        <f t="shared" si="4532"/>
        <v>0</v>
      </c>
      <c r="AC2090" s="20">
        <v>0</v>
      </c>
      <c r="AD2090" s="23">
        <f t="shared" ref="AD2090:AE2090" si="4551">AD2060</f>
        <v>36</v>
      </c>
      <c r="AE2090" s="23">
        <f t="shared" si="4551"/>
        <v>40</v>
      </c>
    </row>
    <row r="2091" spans="1:31">
      <c r="A2091" s="4">
        <v>17104</v>
      </c>
      <c r="B2091" s="4">
        <v>20</v>
      </c>
      <c r="C2091" s="19" t="s">
        <v>75</v>
      </c>
      <c r="D2091" s="44">
        <v>0</v>
      </c>
      <c r="E2091" s="18">
        <v>0</v>
      </c>
      <c r="F2091" s="18">
        <v>0</v>
      </c>
      <c r="G2091" s="18">
        <f t="shared" si="4511"/>
        <v>1283</v>
      </c>
      <c r="H2091" s="45">
        <v>0</v>
      </c>
      <c r="I2091" s="21">
        <f t="shared" si="4529"/>
        <v>275</v>
      </c>
      <c r="J2091" s="21">
        <f t="shared" si="4516"/>
        <v>19</v>
      </c>
      <c r="K2091" s="21">
        <v>0</v>
      </c>
      <c r="L2091" s="20">
        <v>6</v>
      </c>
      <c r="M2091" s="20">
        <v>0</v>
      </c>
      <c r="N2091" s="20">
        <f t="shared" si="4530"/>
        <v>8000</v>
      </c>
      <c r="O2091" s="19" t="s">
        <v>75</v>
      </c>
      <c r="P2091" s="20">
        <v>861</v>
      </c>
      <c r="Q2091" s="20">
        <f t="shared" ref="Q2091:X2091" si="4552">Q2061</f>
        <v>800</v>
      </c>
      <c r="R2091" s="20">
        <f t="shared" si="4552"/>
        <v>3200</v>
      </c>
      <c r="S2091" s="20">
        <f t="shared" si="4552"/>
        <v>5600</v>
      </c>
      <c r="T2091" s="20">
        <f t="shared" si="4552"/>
        <v>7200</v>
      </c>
      <c r="U2091" s="20">
        <f t="shared" si="4552"/>
        <v>100</v>
      </c>
      <c r="V2091" s="20">
        <f t="shared" si="4552"/>
        <v>800</v>
      </c>
      <c r="W2091" s="20">
        <f t="shared" si="4552"/>
        <v>8000</v>
      </c>
      <c r="X2091" s="20">
        <f t="shared" si="4552"/>
        <v>5</v>
      </c>
      <c r="Y2091" s="20">
        <v>0</v>
      </c>
      <c r="Z2091" s="20">
        <v>0</v>
      </c>
      <c r="AA2091" s="20">
        <v>0</v>
      </c>
      <c r="AB2091" s="20">
        <f t="shared" si="4532"/>
        <v>0</v>
      </c>
      <c r="AC2091" s="20">
        <v>0</v>
      </c>
      <c r="AD2091" s="23">
        <f t="shared" ref="AD2091:AE2091" si="4553">AD2061</f>
        <v>38</v>
      </c>
      <c r="AE2091" s="23">
        <f t="shared" si="4553"/>
        <v>42</v>
      </c>
    </row>
    <row r="2092" spans="1:31">
      <c r="A2092" s="4">
        <v>17104</v>
      </c>
      <c r="B2092" s="4">
        <v>21</v>
      </c>
      <c r="C2092" s="19" t="s">
        <v>66</v>
      </c>
      <c r="D2092" s="44">
        <v>0</v>
      </c>
      <c r="E2092" s="18">
        <v>0</v>
      </c>
      <c r="F2092" s="18">
        <v>0</v>
      </c>
      <c r="G2092" s="18">
        <f t="shared" si="4511"/>
        <v>1386</v>
      </c>
      <c r="H2092" s="45">
        <v>0</v>
      </c>
      <c r="I2092" s="21">
        <f t="shared" si="4529"/>
        <v>330</v>
      </c>
      <c r="J2092" s="21">
        <f t="shared" si="4516"/>
        <v>20</v>
      </c>
      <c r="K2092" s="21">
        <v>0</v>
      </c>
      <c r="L2092" s="20">
        <v>6</v>
      </c>
      <c r="M2092" s="20">
        <v>0</v>
      </c>
      <c r="N2092" s="20">
        <f t="shared" si="4530"/>
        <v>8400</v>
      </c>
      <c r="O2092" s="19" t="s">
        <v>66</v>
      </c>
      <c r="P2092" s="20">
        <v>9400</v>
      </c>
      <c r="Q2092" s="20">
        <f t="shared" ref="Q2092:X2092" si="4554">Q2062</f>
        <v>840</v>
      </c>
      <c r="R2092" s="20">
        <f t="shared" si="4554"/>
        <v>3360</v>
      </c>
      <c r="S2092" s="20">
        <f t="shared" si="4554"/>
        <v>5880</v>
      </c>
      <c r="T2092" s="20">
        <f t="shared" si="4554"/>
        <v>7560</v>
      </c>
      <c r="U2092" s="20">
        <f t="shared" si="4554"/>
        <v>50</v>
      </c>
      <c r="V2092" s="20">
        <f t="shared" si="4554"/>
        <v>1000</v>
      </c>
      <c r="W2092" s="20">
        <f t="shared" si="4554"/>
        <v>600</v>
      </c>
      <c r="X2092" s="20">
        <f t="shared" si="4554"/>
        <v>6</v>
      </c>
      <c r="Y2092" s="20">
        <v>0</v>
      </c>
      <c r="Z2092" s="20">
        <v>0</v>
      </c>
      <c r="AA2092" s="20">
        <v>0</v>
      </c>
      <c r="AB2092" s="20">
        <f t="shared" si="4532"/>
        <v>0</v>
      </c>
      <c r="AC2092" s="20">
        <v>0</v>
      </c>
      <c r="AD2092" s="23">
        <f t="shared" ref="AD2092:AE2092" si="4555">AD2062</f>
        <v>40</v>
      </c>
      <c r="AE2092" s="23">
        <f t="shared" si="4555"/>
        <v>44</v>
      </c>
    </row>
    <row r="2093" spans="1:31">
      <c r="A2093" s="4">
        <v>17104</v>
      </c>
      <c r="B2093" s="4">
        <v>22</v>
      </c>
      <c r="C2093" s="19" t="s">
        <v>67</v>
      </c>
      <c r="D2093" s="44">
        <v>0</v>
      </c>
      <c r="E2093" s="18">
        <v>0</v>
      </c>
      <c r="F2093" s="18">
        <v>0</v>
      </c>
      <c r="G2093" s="18">
        <f t="shared" si="4511"/>
        <v>1503</v>
      </c>
      <c r="H2093" s="45">
        <v>0</v>
      </c>
      <c r="I2093" s="21">
        <f t="shared" si="4529"/>
        <v>330</v>
      </c>
      <c r="J2093" s="21">
        <f t="shared" si="4516"/>
        <v>21</v>
      </c>
      <c r="K2093" s="21">
        <v>0</v>
      </c>
      <c r="L2093" s="20">
        <v>6</v>
      </c>
      <c r="M2093" s="20">
        <v>0</v>
      </c>
      <c r="N2093" s="20">
        <f t="shared" si="4530"/>
        <v>8800</v>
      </c>
      <c r="O2093" s="19" t="s">
        <v>67</v>
      </c>
      <c r="P2093" s="20">
        <v>9100</v>
      </c>
      <c r="Q2093" s="20">
        <f t="shared" ref="Q2093:X2093" si="4556">Q2063</f>
        <v>880</v>
      </c>
      <c r="R2093" s="20">
        <f t="shared" si="4556"/>
        <v>3520</v>
      </c>
      <c r="S2093" s="20">
        <f t="shared" si="4556"/>
        <v>6160</v>
      </c>
      <c r="T2093" s="20">
        <f t="shared" si="4556"/>
        <v>7920</v>
      </c>
      <c r="U2093" s="20">
        <f t="shared" si="4556"/>
        <v>100</v>
      </c>
      <c r="V2093" s="20">
        <f t="shared" si="4556"/>
        <v>600</v>
      </c>
      <c r="W2093" s="20">
        <f t="shared" si="4556"/>
        <v>700</v>
      </c>
      <c r="X2093" s="20">
        <f t="shared" si="4556"/>
        <v>6</v>
      </c>
      <c r="Y2093" s="20">
        <v>0</v>
      </c>
      <c r="Z2093" s="20">
        <v>0</v>
      </c>
      <c r="AA2093" s="20">
        <v>0</v>
      </c>
      <c r="AB2093" s="20">
        <f t="shared" si="4532"/>
        <v>0</v>
      </c>
      <c r="AC2093" s="20">
        <v>0</v>
      </c>
      <c r="AD2093" s="23">
        <f t="shared" ref="AD2093:AE2093" si="4557">AD2063</f>
        <v>42</v>
      </c>
      <c r="AE2093" s="23">
        <f t="shared" si="4557"/>
        <v>46</v>
      </c>
    </row>
    <row r="2094" spans="1:31">
      <c r="A2094" s="4">
        <v>17104</v>
      </c>
      <c r="B2094" s="4">
        <v>23</v>
      </c>
      <c r="C2094" s="19" t="s">
        <v>68</v>
      </c>
      <c r="D2094" s="44">
        <v>0</v>
      </c>
      <c r="E2094" s="18">
        <v>0</v>
      </c>
      <c r="F2094" s="18">
        <v>0</v>
      </c>
      <c r="G2094" s="18">
        <f t="shared" si="4511"/>
        <v>1625</v>
      </c>
      <c r="H2094" s="45">
        <v>0</v>
      </c>
      <c r="I2094" s="21">
        <f t="shared" si="4529"/>
        <v>330</v>
      </c>
      <c r="J2094" s="21">
        <f t="shared" si="4516"/>
        <v>22</v>
      </c>
      <c r="K2094" s="21">
        <v>0</v>
      </c>
      <c r="L2094" s="20">
        <v>6</v>
      </c>
      <c r="M2094" s="20">
        <v>0</v>
      </c>
      <c r="N2094" s="20">
        <f t="shared" si="4530"/>
        <v>9200</v>
      </c>
      <c r="O2094" s="19" t="s">
        <v>68</v>
      </c>
      <c r="P2094" s="20">
        <v>8600</v>
      </c>
      <c r="Q2094" s="20">
        <f t="shared" ref="Q2094:X2094" si="4558">Q2064</f>
        <v>920</v>
      </c>
      <c r="R2094" s="20">
        <f t="shared" si="4558"/>
        <v>3680</v>
      </c>
      <c r="S2094" s="20">
        <f t="shared" si="4558"/>
        <v>6440</v>
      </c>
      <c r="T2094" s="20">
        <f t="shared" si="4558"/>
        <v>8280</v>
      </c>
      <c r="U2094" s="20">
        <f t="shared" si="4558"/>
        <v>100</v>
      </c>
      <c r="V2094" s="20">
        <f t="shared" si="4558"/>
        <v>550</v>
      </c>
      <c r="W2094" s="20">
        <f t="shared" si="4558"/>
        <v>500</v>
      </c>
      <c r="X2094" s="20">
        <f t="shared" si="4558"/>
        <v>6</v>
      </c>
      <c r="Y2094" s="20">
        <f>ROUND(D2094*0.25,-1)</f>
        <v>0</v>
      </c>
      <c r="Z2094" s="20">
        <f>ROUND(E2094*0.25,-1)</f>
        <v>0</v>
      </c>
      <c r="AA2094" s="20">
        <f>ROUND(F2094*0.25,-1)</f>
        <v>0</v>
      </c>
      <c r="AB2094" s="20">
        <f t="shared" si="4532"/>
        <v>252</v>
      </c>
      <c r="AC2094" s="20">
        <f>ROUND(H2094*0.25,-1)</f>
        <v>0</v>
      </c>
      <c r="AD2094" s="23">
        <f t="shared" ref="AD2094:AE2094" si="4559">AD2064</f>
        <v>44</v>
      </c>
      <c r="AE2094" s="23">
        <f t="shared" si="4559"/>
        <v>48</v>
      </c>
    </row>
    <row r="2095" spans="1:31">
      <c r="A2095" s="4">
        <v>17104</v>
      </c>
      <c r="B2095" s="4">
        <v>24</v>
      </c>
      <c r="C2095" s="19" t="s">
        <v>69</v>
      </c>
      <c r="D2095" s="44">
        <v>0</v>
      </c>
      <c r="E2095" s="18">
        <v>0</v>
      </c>
      <c r="F2095" s="18">
        <v>0</v>
      </c>
      <c r="G2095" s="18">
        <f t="shared" si="4511"/>
        <v>1760</v>
      </c>
      <c r="H2095" s="45">
        <v>0</v>
      </c>
      <c r="I2095" s="21">
        <f t="shared" si="4529"/>
        <v>330</v>
      </c>
      <c r="J2095" s="21">
        <f t="shared" si="4516"/>
        <v>23</v>
      </c>
      <c r="K2095" s="21">
        <v>0</v>
      </c>
      <c r="L2095" s="20">
        <v>6</v>
      </c>
      <c r="M2095" s="20">
        <v>0</v>
      </c>
      <c r="N2095" s="20">
        <f t="shared" si="4530"/>
        <v>9600</v>
      </c>
      <c r="O2095" s="19" t="s">
        <v>69</v>
      </c>
      <c r="P2095" s="20">
        <v>6400</v>
      </c>
      <c r="Q2095" s="20">
        <f t="shared" ref="Q2095:X2095" si="4560">Q2065</f>
        <v>960</v>
      </c>
      <c r="R2095" s="20">
        <f t="shared" si="4560"/>
        <v>3840</v>
      </c>
      <c r="S2095" s="20">
        <f t="shared" si="4560"/>
        <v>6720</v>
      </c>
      <c r="T2095" s="20">
        <f t="shared" si="4560"/>
        <v>8640</v>
      </c>
      <c r="U2095" s="20">
        <f t="shared" si="4560"/>
        <v>100</v>
      </c>
      <c r="V2095" s="20">
        <f t="shared" si="4560"/>
        <v>500</v>
      </c>
      <c r="W2095" s="20">
        <f t="shared" si="4560"/>
        <v>900</v>
      </c>
      <c r="X2095" s="20">
        <f t="shared" si="4560"/>
        <v>6</v>
      </c>
      <c r="Y2095" s="20">
        <v>0</v>
      </c>
      <c r="Z2095" s="20">
        <v>0</v>
      </c>
      <c r="AA2095" s="20">
        <v>0</v>
      </c>
      <c r="AB2095" s="20">
        <f t="shared" si="4532"/>
        <v>0</v>
      </c>
      <c r="AC2095" s="20">
        <v>0</v>
      </c>
      <c r="AD2095" s="23">
        <f t="shared" ref="AD2095:AE2095" si="4561">AD2065</f>
        <v>46</v>
      </c>
      <c r="AE2095" s="23">
        <f t="shared" si="4561"/>
        <v>50</v>
      </c>
    </row>
    <row r="2096" spans="1:31">
      <c r="A2096" s="4">
        <v>17104</v>
      </c>
      <c r="B2096" s="4">
        <v>25</v>
      </c>
      <c r="C2096" s="19" t="s">
        <v>70</v>
      </c>
      <c r="D2096" s="44">
        <v>0</v>
      </c>
      <c r="E2096" s="18">
        <v>0</v>
      </c>
      <c r="F2096" s="18">
        <v>0</v>
      </c>
      <c r="G2096" s="18">
        <f t="shared" si="4511"/>
        <v>1908</v>
      </c>
      <c r="H2096" s="45">
        <v>0</v>
      </c>
      <c r="I2096" s="21">
        <f t="shared" si="4529"/>
        <v>385</v>
      </c>
      <c r="J2096" s="21">
        <f t="shared" si="4516"/>
        <v>24</v>
      </c>
      <c r="K2096" s="21">
        <v>0</v>
      </c>
      <c r="L2096" s="20">
        <v>6</v>
      </c>
      <c r="M2096" s="20">
        <v>0</v>
      </c>
      <c r="N2096" s="20">
        <f t="shared" si="4530"/>
        <v>12500</v>
      </c>
      <c r="O2096" s="19" t="s">
        <v>70</v>
      </c>
      <c r="P2096" s="20">
        <v>3100</v>
      </c>
      <c r="Q2096" s="20">
        <f t="shared" ref="Q2096:X2096" si="4562">Q2066</f>
        <v>1250</v>
      </c>
      <c r="R2096" s="20">
        <f t="shared" si="4562"/>
        <v>5000</v>
      </c>
      <c r="S2096" s="20">
        <f t="shared" si="4562"/>
        <v>8750</v>
      </c>
      <c r="T2096" s="20">
        <f t="shared" si="4562"/>
        <v>11250</v>
      </c>
      <c r="U2096" s="20">
        <f t="shared" si="4562"/>
        <v>10</v>
      </c>
      <c r="V2096" s="20">
        <f t="shared" si="4562"/>
        <v>1300</v>
      </c>
      <c r="W2096" s="20">
        <f t="shared" si="4562"/>
        <v>1000</v>
      </c>
      <c r="X2096" s="20">
        <f t="shared" si="4562"/>
        <v>7</v>
      </c>
      <c r="Y2096" s="20">
        <v>0</v>
      </c>
      <c r="Z2096" s="20">
        <v>0</v>
      </c>
      <c r="AA2096" s="20">
        <v>0</v>
      </c>
      <c r="AB2096" s="20">
        <f t="shared" si="4532"/>
        <v>0</v>
      </c>
      <c r="AC2096" s="20">
        <v>0</v>
      </c>
      <c r="AD2096" s="23">
        <f t="shared" ref="AD2096:AE2096" si="4563">AD2066</f>
        <v>48</v>
      </c>
      <c r="AE2096" s="23">
        <f t="shared" si="4563"/>
        <v>52</v>
      </c>
    </row>
    <row r="2097" spans="1:31">
      <c r="A2097" s="4">
        <v>17104</v>
      </c>
      <c r="B2097" s="4">
        <v>26</v>
      </c>
      <c r="C2097" s="19" t="s">
        <v>71</v>
      </c>
      <c r="D2097" s="44">
        <v>0</v>
      </c>
      <c r="E2097" s="18">
        <v>0</v>
      </c>
      <c r="F2097" s="18">
        <v>0</v>
      </c>
      <c r="G2097" s="18">
        <f t="shared" si="4511"/>
        <v>2066</v>
      </c>
      <c r="H2097" s="45">
        <v>0</v>
      </c>
      <c r="I2097" s="21">
        <f t="shared" si="4529"/>
        <v>385</v>
      </c>
      <c r="J2097" s="21">
        <f t="shared" si="4516"/>
        <v>25</v>
      </c>
      <c r="K2097" s="21">
        <v>0</v>
      </c>
      <c r="L2097" s="20">
        <v>6</v>
      </c>
      <c r="M2097" s="20">
        <v>0</v>
      </c>
      <c r="N2097" s="20">
        <f t="shared" si="4530"/>
        <v>13000</v>
      </c>
      <c r="O2097" s="19" t="s">
        <v>71</v>
      </c>
      <c r="P2097" s="20">
        <v>1777</v>
      </c>
      <c r="Q2097" s="20">
        <f t="shared" ref="Q2097:X2097" si="4564">Q2067</f>
        <v>1300</v>
      </c>
      <c r="R2097" s="20">
        <f t="shared" si="4564"/>
        <v>5200</v>
      </c>
      <c r="S2097" s="20">
        <f t="shared" si="4564"/>
        <v>9100</v>
      </c>
      <c r="T2097" s="20">
        <f t="shared" si="4564"/>
        <v>11700</v>
      </c>
      <c r="U2097" s="20">
        <f t="shared" si="4564"/>
        <v>90</v>
      </c>
      <c r="V2097" s="20">
        <f t="shared" si="4564"/>
        <v>800</v>
      </c>
      <c r="W2097" s="20">
        <f t="shared" si="4564"/>
        <v>2000</v>
      </c>
      <c r="X2097" s="20">
        <f t="shared" si="4564"/>
        <v>7</v>
      </c>
      <c r="Y2097" s="20">
        <v>0</v>
      </c>
      <c r="Z2097" s="20">
        <v>0</v>
      </c>
      <c r="AA2097" s="20">
        <v>0</v>
      </c>
      <c r="AB2097" s="20">
        <f t="shared" si="4532"/>
        <v>0</v>
      </c>
      <c r="AC2097" s="20">
        <v>0</v>
      </c>
      <c r="AD2097" s="23">
        <f t="shared" ref="AD2097:AE2097" si="4565">AD2067</f>
        <v>50</v>
      </c>
      <c r="AE2097" s="23">
        <f t="shared" si="4565"/>
        <v>54</v>
      </c>
    </row>
    <row r="2098" spans="1:31">
      <c r="A2098" s="4">
        <v>17104</v>
      </c>
      <c r="B2098" s="4">
        <v>27</v>
      </c>
      <c r="C2098" s="19" t="s">
        <v>72</v>
      </c>
      <c r="D2098" s="44">
        <v>0</v>
      </c>
      <c r="E2098" s="18">
        <v>0</v>
      </c>
      <c r="F2098" s="18">
        <v>0</v>
      </c>
      <c r="G2098" s="18">
        <f t="shared" si="4511"/>
        <v>2232</v>
      </c>
      <c r="H2098" s="45">
        <v>0</v>
      </c>
      <c r="I2098" s="21">
        <f t="shared" si="4529"/>
        <v>385</v>
      </c>
      <c r="J2098" s="21">
        <f t="shared" si="4516"/>
        <v>26</v>
      </c>
      <c r="K2098" s="21">
        <v>0</v>
      </c>
      <c r="L2098" s="20">
        <v>6</v>
      </c>
      <c r="M2098" s="20">
        <v>0</v>
      </c>
      <c r="N2098" s="20">
        <f t="shared" si="4530"/>
        <v>13500</v>
      </c>
      <c r="O2098" s="19" t="s">
        <v>72</v>
      </c>
      <c r="P2098" s="20">
        <v>2332</v>
      </c>
      <c r="Q2098" s="20">
        <f t="shared" ref="Q2098:X2098" si="4566">Q2068</f>
        <v>1350</v>
      </c>
      <c r="R2098" s="20">
        <f t="shared" si="4566"/>
        <v>5400</v>
      </c>
      <c r="S2098" s="20">
        <f t="shared" si="4566"/>
        <v>9450</v>
      </c>
      <c r="T2098" s="20">
        <f t="shared" si="4566"/>
        <v>12150</v>
      </c>
      <c r="U2098" s="20">
        <f t="shared" si="4566"/>
        <v>80</v>
      </c>
      <c r="V2098" s="20">
        <f t="shared" si="4566"/>
        <v>700</v>
      </c>
      <c r="W2098" s="20">
        <f t="shared" si="4566"/>
        <v>800</v>
      </c>
      <c r="X2098" s="20">
        <f t="shared" si="4566"/>
        <v>7</v>
      </c>
      <c r="Y2098" s="20">
        <v>0</v>
      </c>
      <c r="Z2098" s="20">
        <v>0</v>
      </c>
      <c r="AA2098" s="20">
        <v>0</v>
      </c>
      <c r="AB2098" s="20">
        <f t="shared" si="4532"/>
        <v>0</v>
      </c>
      <c r="AC2098" s="20">
        <v>0</v>
      </c>
      <c r="AD2098" s="23">
        <f t="shared" ref="AD2098:AE2098" si="4567">AD2068</f>
        <v>52</v>
      </c>
      <c r="AE2098" s="23">
        <f t="shared" si="4567"/>
        <v>56</v>
      </c>
    </row>
    <row r="2099" spans="1:31">
      <c r="A2099" s="4">
        <v>17104</v>
      </c>
      <c r="B2099" s="4">
        <v>28</v>
      </c>
      <c r="C2099" s="19" t="s">
        <v>73</v>
      </c>
      <c r="D2099" s="44">
        <v>0</v>
      </c>
      <c r="E2099" s="18">
        <v>0</v>
      </c>
      <c r="F2099" s="18">
        <v>0</v>
      </c>
      <c r="G2099" s="18">
        <f t="shared" si="4511"/>
        <v>2417</v>
      </c>
      <c r="H2099" s="45">
        <v>0</v>
      </c>
      <c r="I2099" s="21">
        <f t="shared" si="4529"/>
        <v>385</v>
      </c>
      <c r="J2099" s="21">
        <f t="shared" si="4516"/>
        <v>27</v>
      </c>
      <c r="K2099" s="21">
        <v>0</v>
      </c>
      <c r="L2099" s="20">
        <v>6</v>
      </c>
      <c r="M2099" s="20">
        <v>0</v>
      </c>
      <c r="N2099" s="20">
        <f t="shared" si="4530"/>
        <v>14000</v>
      </c>
      <c r="O2099" s="19" t="s">
        <v>73</v>
      </c>
      <c r="P2099" s="20">
        <v>1487</v>
      </c>
      <c r="Q2099" s="20">
        <f t="shared" ref="Q2099:X2099" si="4568">Q2069</f>
        <v>1400</v>
      </c>
      <c r="R2099" s="20">
        <f t="shared" si="4568"/>
        <v>5600</v>
      </c>
      <c r="S2099" s="20">
        <f t="shared" si="4568"/>
        <v>9800</v>
      </c>
      <c r="T2099" s="20">
        <f t="shared" si="4568"/>
        <v>12600</v>
      </c>
      <c r="U2099" s="20">
        <f t="shared" si="4568"/>
        <v>80</v>
      </c>
      <c r="V2099" s="20">
        <f t="shared" si="4568"/>
        <v>500</v>
      </c>
      <c r="W2099" s="20">
        <f t="shared" si="4568"/>
        <v>600</v>
      </c>
      <c r="X2099" s="20">
        <f t="shared" si="4568"/>
        <v>7</v>
      </c>
      <c r="Y2099" s="20">
        <f>ROUND(D2099*0.25,-1)</f>
        <v>0</v>
      </c>
      <c r="Z2099" s="20">
        <f>ROUND(E2099*0.25,-1)</f>
        <v>0</v>
      </c>
      <c r="AA2099" s="20">
        <f>ROUND(F2099*0.25,-1)</f>
        <v>0</v>
      </c>
      <c r="AB2099" s="20">
        <f t="shared" si="4532"/>
        <v>315</v>
      </c>
      <c r="AC2099" s="20">
        <f>ROUND(H2099*0.25,-1)</f>
        <v>0</v>
      </c>
      <c r="AD2099" s="23">
        <f t="shared" ref="AD2099:AE2099" si="4569">AD2069</f>
        <v>54</v>
      </c>
      <c r="AE2099" s="23">
        <f t="shared" si="4569"/>
        <v>58</v>
      </c>
    </row>
    <row r="2100" spans="1:31">
      <c r="A2100" s="4">
        <v>17104</v>
      </c>
      <c r="B2100" s="4">
        <v>29</v>
      </c>
      <c r="C2100" s="19" t="s">
        <v>74</v>
      </c>
      <c r="D2100" s="44">
        <v>0</v>
      </c>
      <c r="E2100" s="18">
        <v>0</v>
      </c>
      <c r="F2100" s="18">
        <v>0</v>
      </c>
      <c r="G2100" s="18">
        <f t="shared" si="4511"/>
        <v>2619</v>
      </c>
      <c r="H2100" s="45">
        <v>0</v>
      </c>
      <c r="I2100" s="21">
        <f t="shared" si="4529"/>
        <v>440</v>
      </c>
      <c r="J2100" s="21">
        <f t="shared" si="4516"/>
        <v>28</v>
      </c>
      <c r="K2100" s="21">
        <v>0</v>
      </c>
      <c r="L2100" s="20">
        <v>6</v>
      </c>
      <c r="M2100" s="20">
        <v>0</v>
      </c>
      <c r="N2100" s="20">
        <f t="shared" si="4530"/>
        <v>14500</v>
      </c>
      <c r="O2100" s="19" t="s">
        <v>74</v>
      </c>
      <c r="P2100" s="20">
        <v>1518</v>
      </c>
      <c r="Q2100" s="20">
        <f t="shared" ref="Q2100:X2100" si="4570">Q2070</f>
        <v>1450</v>
      </c>
      <c r="R2100" s="20">
        <f t="shared" si="4570"/>
        <v>5800</v>
      </c>
      <c r="S2100" s="20">
        <f t="shared" si="4570"/>
        <v>10150</v>
      </c>
      <c r="T2100" s="20">
        <f t="shared" si="4570"/>
        <v>13050</v>
      </c>
      <c r="U2100" s="20">
        <f t="shared" si="4570"/>
        <v>80</v>
      </c>
      <c r="V2100" s="20">
        <f t="shared" si="4570"/>
        <v>600</v>
      </c>
      <c r="W2100" s="20">
        <f t="shared" si="4570"/>
        <v>700</v>
      </c>
      <c r="X2100" s="20">
        <f t="shared" si="4570"/>
        <v>8</v>
      </c>
      <c r="Y2100" s="20">
        <v>0</v>
      </c>
      <c r="Z2100" s="20">
        <v>0</v>
      </c>
      <c r="AA2100" s="20">
        <v>0</v>
      </c>
      <c r="AB2100" s="20">
        <f t="shared" si="4532"/>
        <v>0</v>
      </c>
      <c r="AC2100" s="20">
        <v>0</v>
      </c>
      <c r="AD2100" s="23">
        <f t="shared" ref="AD2100:AE2100" si="4571">AD2070</f>
        <v>56</v>
      </c>
      <c r="AE2100" s="23">
        <f t="shared" si="4571"/>
        <v>60</v>
      </c>
    </row>
    <row r="2101" spans="1:31">
      <c r="A2101" s="4">
        <v>17104</v>
      </c>
      <c r="B2101" s="4">
        <v>30</v>
      </c>
      <c r="C2101" s="19" t="s">
        <v>75</v>
      </c>
      <c r="D2101" s="44">
        <v>0</v>
      </c>
      <c r="E2101" s="18">
        <v>0</v>
      </c>
      <c r="F2101" s="18">
        <v>0</v>
      </c>
      <c r="G2101" s="18">
        <f t="shared" si="4511"/>
        <v>2835</v>
      </c>
      <c r="H2101" s="45">
        <v>0</v>
      </c>
      <c r="I2101" s="21">
        <f t="shared" si="4529"/>
        <v>440</v>
      </c>
      <c r="J2101" s="21">
        <f t="shared" si="4516"/>
        <v>29</v>
      </c>
      <c r="K2101" s="21">
        <v>0</v>
      </c>
      <c r="L2101" s="20">
        <v>6</v>
      </c>
      <c r="M2101" s="20">
        <v>0</v>
      </c>
      <c r="N2101" s="20">
        <f t="shared" si="4530"/>
        <v>15000</v>
      </c>
      <c r="O2101" s="19" t="s">
        <v>75</v>
      </c>
      <c r="P2101" s="20">
        <v>861</v>
      </c>
      <c r="Q2101" s="20">
        <f t="shared" ref="Q2101:X2101" si="4572">Q2071</f>
        <v>1500</v>
      </c>
      <c r="R2101" s="20">
        <f t="shared" si="4572"/>
        <v>6000</v>
      </c>
      <c r="S2101" s="20">
        <f t="shared" si="4572"/>
        <v>10500</v>
      </c>
      <c r="T2101" s="20">
        <f t="shared" si="4572"/>
        <v>13500</v>
      </c>
      <c r="U2101" s="20">
        <f t="shared" si="4572"/>
        <v>20</v>
      </c>
      <c r="V2101" s="20">
        <f t="shared" si="4572"/>
        <v>450</v>
      </c>
      <c r="W2101" s="20">
        <f t="shared" si="4572"/>
        <v>1000</v>
      </c>
      <c r="X2101" s="20">
        <f t="shared" si="4572"/>
        <v>8</v>
      </c>
      <c r="Y2101" s="20">
        <v>0</v>
      </c>
      <c r="Z2101" s="20">
        <v>0</v>
      </c>
      <c r="AA2101" s="20">
        <v>0</v>
      </c>
      <c r="AB2101" s="20">
        <f t="shared" si="4532"/>
        <v>0</v>
      </c>
      <c r="AC2101" s="20">
        <v>0</v>
      </c>
      <c r="AD2101" s="23">
        <f t="shared" ref="AD2101:AE2101" si="4573">AD2071</f>
        <v>58</v>
      </c>
      <c r="AE2101" s="23">
        <f t="shared" si="4573"/>
        <v>62</v>
      </c>
    </row>
    <row r="2102" spans="1:31">
      <c r="A2102" s="8">
        <v>18100</v>
      </c>
      <c r="B2102" s="8">
        <v>1</v>
      </c>
      <c r="C2102" s="19" t="s">
        <v>66</v>
      </c>
      <c r="D2102" s="44">
        <v>0</v>
      </c>
      <c r="E2102" s="18">
        <v>0</v>
      </c>
      <c r="F2102" s="18">
        <f>ROUND(F2131/10,0)</f>
        <v>25</v>
      </c>
      <c r="G2102" s="18">
        <f>F2102</f>
        <v>25</v>
      </c>
      <c r="H2102" s="45">
        <v>0</v>
      </c>
      <c r="I2102" s="21">
        <f t="shared" si="4529"/>
        <v>55</v>
      </c>
      <c r="J2102" s="21">
        <f t="shared" ref="J2102:J2146" si="4574">B2102-1</f>
        <v>0</v>
      </c>
      <c r="K2102" s="21">
        <v>0</v>
      </c>
      <c r="L2102" s="20">
        <v>45</v>
      </c>
      <c r="M2102" s="20">
        <v>0</v>
      </c>
      <c r="N2102" s="20">
        <f t="shared" si="4530"/>
        <v>10</v>
      </c>
      <c r="O2102" s="19" t="s">
        <v>66</v>
      </c>
      <c r="P2102" s="20">
        <v>9400</v>
      </c>
      <c r="Q2102" s="20">
        <f t="shared" ref="Q2102:X2102" si="4575">Q2072</f>
        <v>1</v>
      </c>
      <c r="R2102" s="20">
        <f t="shared" si="4575"/>
        <v>4</v>
      </c>
      <c r="S2102" s="20">
        <f t="shared" si="4575"/>
        <v>7</v>
      </c>
      <c r="T2102" s="20">
        <f t="shared" si="4575"/>
        <v>9</v>
      </c>
      <c r="U2102" s="20">
        <f t="shared" si="4575"/>
        <v>9400</v>
      </c>
      <c r="V2102" s="20">
        <f t="shared" si="4575"/>
        <v>9400</v>
      </c>
      <c r="W2102" s="20">
        <f t="shared" si="4575"/>
        <v>9400</v>
      </c>
      <c r="X2102" s="20">
        <f t="shared" si="4575"/>
        <v>1</v>
      </c>
      <c r="Y2102" s="20">
        <v>0</v>
      </c>
      <c r="Z2102" s="20">
        <v>0</v>
      </c>
      <c r="AA2102" s="20">
        <f>AA602</f>
        <v>0</v>
      </c>
      <c r="AB2102" s="20">
        <v>0</v>
      </c>
      <c r="AC2102" s="20">
        <v>0</v>
      </c>
      <c r="AD2102" s="23">
        <f t="shared" ref="AD2102:AE2102" si="4576">AD2072</f>
        <v>1</v>
      </c>
      <c r="AE2102" s="23">
        <f t="shared" si="4576"/>
        <v>3</v>
      </c>
    </row>
    <row r="2103" spans="1:31">
      <c r="A2103" s="4">
        <v>18100</v>
      </c>
      <c r="B2103" s="4">
        <v>2</v>
      </c>
      <c r="C2103" s="19" t="s">
        <v>67</v>
      </c>
      <c r="D2103" s="44">
        <v>0</v>
      </c>
      <c r="E2103" s="18">
        <v>0</v>
      </c>
      <c r="F2103" s="18">
        <f>ROUND(POWER(POWER(F$2131/F$2102,$B2103-1),1/29)*F$2102,0)</f>
        <v>27</v>
      </c>
      <c r="G2103" s="18">
        <f t="shared" ref="G2103:G2166" si="4577">F2103</f>
        <v>27</v>
      </c>
      <c r="H2103" s="45">
        <v>0</v>
      </c>
      <c r="I2103" s="21">
        <f t="shared" si="4529"/>
        <v>55</v>
      </c>
      <c r="J2103" s="21">
        <f t="shared" si="4574"/>
        <v>1</v>
      </c>
      <c r="K2103" s="21">
        <v>0</v>
      </c>
      <c r="L2103" s="20">
        <v>40</v>
      </c>
      <c r="M2103" s="20">
        <v>0</v>
      </c>
      <c r="N2103" s="20">
        <f t="shared" si="4530"/>
        <v>20</v>
      </c>
      <c r="O2103" s="19" t="s">
        <v>67</v>
      </c>
      <c r="P2103" s="20">
        <v>9100</v>
      </c>
      <c r="Q2103" s="20">
        <f t="shared" ref="Q2103:X2103" si="4578">Q2073</f>
        <v>2</v>
      </c>
      <c r="R2103" s="20">
        <f t="shared" si="4578"/>
        <v>8</v>
      </c>
      <c r="S2103" s="20">
        <f t="shared" si="4578"/>
        <v>14</v>
      </c>
      <c r="T2103" s="20">
        <f t="shared" si="4578"/>
        <v>18</v>
      </c>
      <c r="U2103" s="20">
        <f t="shared" si="4578"/>
        <v>4000</v>
      </c>
      <c r="V2103" s="20">
        <f t="shared" si="4578"/>
        <v>8000</v>
      </c>
      <c r="W2103" s="20">
        <f t="shared" si="4578"/>
        <v>8000</v>
      </c>
      <c r="X2103" s="20">
        <f t="shared" si="4578"/>
        <v>1</v>
      </c>
      <c r="Y2103" s="20">
        <v>0</v>
      </c>
      <c r="Z2103" s="20">
        <v>0</v>
      </c>
      <c r="AA2103" s="20">
        <f t="shared" ref="AA2103:AA2166" si="4579">AA603</f>
        <v>0</v>
      </c>
      <c r="AB2103" s="20">
        <v>0</v>
      </c>
      <c r="AC2103" s="20">
        <v>0</v>
      </c>
      <c r="AD2103" s="23">
        <f t="shared" ref="AD2103:AE2103" si="4580">AD2073</f>
        <v>2</v>
      </c>
      <c r="AE2103" s="23">
        <f t="shared" si="4580"/>
        <v>5</v>
      </c>
    </row>
    <row r="2104" spans="1:31">
      <c r="A2104" s="4">
        <v>18100</v>
      </c>
      <c r="B2104" s="4">
        <v>3</v>
      </c>
      <c r="C2104" s="19" t="s">
        <v>68</v>
      </c>
      <c r="D2104" s="44">
        <v>0</v>
      </c>
      <c r="E2104" s="18">
        <v>0</v>
      </c>
      <c r="F2104" s="18">
        <f t="shared" ref="F2104:F2130" si="4581">ROUND(POWER(POWER(F$2131/F$2102,$B2104-1),1/29)*F$2102,0)</f>
        <v>29</v>
      </c>
      <c r="G2104" s="18">
        <f t="shared" si="4577"/>
        <v>29</v>
      </c>
      <c r="H2104" s="45">
        <v>0</v>
      </c>
      <c r="I2104" s="21">
        <f t="shared" si="4529"/>
        <v>55</v>
      </c>
      <c r="J2104" s="21">
        <f t="shared" si="4574"/>
        <v>2</v>
      </c>
      <c r="K2104" s="21">
        <v>0</v>
      </c>
      <c r="L2104" s="20">
        <v>35</v>
      </c>
      <c r="M2104" s="20">
        <v>0</v>
      </c>
      <c r="N2104" s="20">
        <f t="shared" si="4530"/>
        <v>40</v>
      </c>
      <c r="O2104" s="19" t="s">
        <v>68</v>
      </c>
      <c r="P2104" s="20">
        <v>8600</v>
      </c>
      <c r="Q2104" s="20">
        <f t="shared" ref="Q2104:X2104" si="4582">Q2074</f>
        <v>4</v>
      </c>
      <c r="R2104" s="20">
        <f t="shared" si="4582"/>
        <v>16</v>
      </c>
      <c r="S2104" s="20">
        <f t="shared" si="4582"/>
        <v>28</v>
      </c>
      <c r="T2104" s="20">
        <f t="shared" si="4582"/>
        <v>36</v>
      </c>
      <c r="U2104" s="20">
        <f t="shared" si="4582"/>
        <v>1600</v>
      </c>
      <c r="V2104" s="20">
        <f t="shared" si="4582"/>
        <v>5000</v>
      </c>
      <c r="W2104" s="20">
        <f t="shared" si="4582"/>
        <v>6000</v>
      </c>
      <c r="X2104" s="20">
        <f t="shared" si="4582"/>
        <v>1</v>
      </c>
      <c r="Y2104" s="20">
        <v>0</v>
      </c>
      <c r="Z2104" s="20">
        <v>0</v>
      </c>
      <c r="AA2104" s="20">
        <f t="shared" si="4579"/>
        <v>0</v>
      </c>
      <c r="AB2104" s="20">
        <v>0</v>
      </c>
      <c r="AC2104" s="20">
        <v>0</v>
      </c>
      <c r="AD2104" s="23">
        <f t="shared" ref="AD2104:AE2104" si="4583">AD2074</f>
        <v>4</v>
      </c>
      <c r="AE2104" s="23">
        <f t="shared" si="4583"/>
        <v>8</v>
      </c>
    </row>
    <row r="2105" spans="1:31">
      <c r="A2105" s="4">
        <v>18100</v>
      </c>
      <c r="B2105" s="4">
        <v>4</v>
      </c>
      <c r="C2105" s="19" t="s">
        <v>69</v>
      </c>
      <c r="D2105" s="44">
        <v>0</v>
      </c>
      <c r="E2105" s="18">
        <v>0</v>
      </c>
      <c r="F2105" s="18">
        <f t="shared" si="4581"/>
        <v>32</v>
      </c>
      <c r="G2105" s="18">
        <f t="shared" si="4577"/>
        <v>32</v>
      </c>
      <c r="H2105" s="45">
        <v>0</v>
      </c>
      <c r="I2105" s="21">
        <f t="shared" si="4529"/>
        <v>55</v>
      </c>
      <c r="J2105" s="21">
        <f t="shared" si="4574"/>
        <v>3</v>
      </c>
      <c r="K2105" s="21">
        <v>0</v>
      </c>
      <c r="L2105" s="20">
        <v>30</v>
      </c>
      <c r="M2105" s="20">
        <v>0</v>
      </c>
      <c r="N2105" s="20">
        <f t="shared" si="4530"/>
        <v>100</v>
      </c>
      <c r="O2105" s="19" t="s">
        <v>69</v>
      </c>
      <c r="P2105" s="20">
        <v>6400</v>
      </c>
      <c r="Q2105" s="20">
        <f t="shared" ref="Q2105:X2105" si="4584">Q2075</f>
        <v>10</v>
      </c>
      <c r="R2105" s="20">
        <f t="shared" si="4584"/>
        <v>40</v>
      </c>
      <c r="S2105" s="20">
        <f t="shared" si="4584"/>
        <v>70</v>
      </c>
      <c r="T2105" s="20">
        <f t="shared" si="4584"/>
        <v>90</v>
      </c>
      <c r="U2105" s="20">
        <f t="shared" si="4584"/>
        <v>900</v>
      </c>
      <c r="V2105" s="20">
        <f t="shared" si="4584"/>
        <v>2000</v>
      </c>
      <c r="W2105" s="20">
        <f t="shared" si="4584"/>
        <v>8000</v>
      </c>
      <c r="X2105" s="20">
        <f t="shared" si="4584"/>
        <v>1</v>
      </c>
      <c r="Y2105" s="20">
        <v>0</v>
      </c>
      <c r="Z2105" s="20">
        <v>0</v>
      </c>
      <c r="AA2105" s="20">
        <f t="shared" si="4579"/>
        <v>0</v>
      </c>
      <c r="AB2105" s="20">
        <v>0</v>
      </c>
      <c r="AC2105" s="20">
        <v>0</v>
      </c>
      <c r="AD2105" s="23">
        <f t="shared" ref="AD2105:AE2105" si="4585">AD2075</f>
        <v>6</v>
      </c>
      <c r="AE2105" s="23">
        <f t="shared" si="4585"/>
        <v>10</v>
      </c>
    </row>
    <row r="2106" spans="1:31">
      <c r="A2106" s="4">
        <v>18100</v>
      </c>
      <c r="B2106" s="4">
        <v>5</v>
      </c>
      <c r="C2106" s="19" t="s">
        <v>70</v>
      </c>
      <c r="D2106" s="44">
        <v>0</v>
      </c>
      <c r="E2106" s="18">
        <v>0</v>
      </c>
      <c r="F2106" s="18">
        <f t="shared" si="4581"/>
        <v>34</v>
      </c>
      <c r="G2106" s="18">
        <f t="shared" si="4577"/>
        <v>34</v>
      </c>
      <c r="H2106" s="45">
        <v>0</v>
      </c>
      <c r="I2106" s="21">
        <f t="shared" si="4529"/>
        <v>110</v>
      </c>
      <c r="J2106" s="21">
        <f t="shared" si="4574"/>
        <v>4</v>
      </c>
      <c r="K2106" s="21">
        <v>0</v>
      </c>
      <c r="L2106" s="20">
        <v>25</v>
      </c>
      <c r="M2106" s="20">
        <v>0</v>
      </c>
      <c r="N2106" s="20">
        <f t="shared" si="4530"/>
        <v>200</v>
      </c>
      <c r="O2106" s="19" t="s">
        <v>70</v>
      </c>
      <c r="P2106" s="20">
        <v>3100</v>
      </c>
      <c r="Q2106" s="20">
        <f t="shared" ref="Q2106:X2106" si="4586">Q2076</f>
        <v>20</v>
      </c>
      <c r="R2106" s="20">
        <f t="shared" si="4586"/>
        <v>80</v>
      </c>
      <c r="S2106" s="20">
        <f t="shared" si="4586"/>
        <v>140</v>
      </c>
      <c r="T2106" s="20">
        <f t="shared" si="4586"/>
        <v>180</v>
      </c>
      <c r="U2106" s="20">
        <f t="shared" si="4586"/>
        <v>1000</v>
      </c>
      <c r="V2106" s="20">
        <f t="shared" si="4586"/>
        <v>2000</v>
      </c>
      <c r="W2106" s="20">
        <f t="shared" si="4586"/>
        <v>2000</v>
      </c>
      <c r="X2106" s="20">
        <f t="shared" si="4586"/>
        <v>2</v>
      </c>
      <c r="Y2106" s="20">
        <v>0</v>
      </c>
      <c r="Z2106" s="20">
        <v>0</v>
      </c>
      <c r="AA2106" s="20">
        <f t="shared" si="4579"/>
        <v>0</v>
      </c>
      <c r="AB2106" s="20">
        <v>0</v>
      </c>
      <c r="AC2106" s="20">
        <v>0</v>
      </c>
      <c r="AD2106" s="23">
        <f t="shared" ref="AD2106:AE2106" si="4587">AD2076</f>
        <v>8</v>
      </c>
      <c r="AE2106" s="23">
        <f t="shared" si="4587"/>
        <v>12</v>
      </c>
    </row>
    <row r="2107" spans="1:31">
      <c r="A2107" s="4">
        <v>18100</v>
      </c>
      <c r="B2107" s="4">
        <v>6</v>
      </c>
      <c r="C2107" s="19" t="s">
        <v>71</v>
      </c>
      <c r="D2107" s="44">
        <v>0</v>
      </c>
      <c r="E2107" s="18">
        <v>0</v>
      </c>
      <c r="F2107" s="18">
        <f t="shared" si="4581"/>
        <v>37</v>
      </c>
      <c r="G2107" s="18">
        <f t="shared" si="4577"/>
        <v>37</v>
      </c>
      <c r="H2107" s="45">
        <v>0</v>
      </c>
      <c r="I2107" s="21">
        <f t="shared" si="4529"/>
        <v>110</v>
      </c>
      <c r="J2107" s="21">
        <f t="shared" si="4574"/>
        <v>5</v>
      </c>
      <c r="K2107" s="21">
        <v>0</v>
      </c>
      <c r="L2107" s="20">
        <v>20</v>
      </c>
      <c r="M2107" s="20">
        <v>0</v>
      </c>
      <c r="N2107" s="20">
        <f t="shared" si="4530"/>
        <v>500</v>
      </c>
      <c r="O2107" s="19" t="s">
        <v>71</v>
      </c>
      <c r="P2107" s="20">
        <v>1777</v>
      </c>
      <c r="Q2107" s="20">
        <f t="shared" ref="Q2107:X2107" si="4588">Q2077</f>
        <v>50</v>
      </c>
      <c r="R2107" s="20">
        <f t="shared" si="4588"/>
        <v>200</v>
      </c>
      <c r="S2107" s="20">
        <f t="shared" si="4588"/>
        <v>350</v>
      </c>
      <c r="T2107" s="20">
        <f t="shared" si="4588"/>
        <v>450</v>
      </c>
      <c r="U2107" s="20">
        <f t="shared" si="4588"/>
        <v>800</v>
      </c>
      <c r="V2107" s="20">
        <f t="shared" si="4588"/>
        <v>800</v>
      </c>
      <c r="W2107" s="20">
        <f t="shared" si="4588"/>
        <v>600</v>
      </c>
      <c r="X2107" s="20">
        <f t="shared" si="4588"/>
        <v>2</v>
      </c>
      <c r="Y2107" s="20">
        <v>0</v>
      </c>
      <c r="Z2107" s="20">
        <v>0</v>
      </c>
      <c r="AA2107" s="20">
        <f t="shared" si="4579"/>
        <v>0</v>
      </c>
      <c r="AB2107" s="20">
        <v>0</v>
      </c>
      <c r="AC2107" s="20">
        <v>0</v>
      </c>
      <c r="AD2107" s="23">
        <f t="shared" ref="AD2107:AE2107" si="4589">AD2077</f>
        <v>10</v>
      </c>
      <c r="AE2107" s="23">
        <f t="shared" si="4589"/>
        <v>14</v>
      </c>
    </row>
    <row r="2108" spans="1:31">
      <c r="A2108" s="4">
        <v>18100</v>
      </c>
      <c r="B2108" s="4">
        <v>7</v>
      </c>
      <c r="C2108" s="19" t="s">
        <v>72</v>
      </c>
      <c r="D2108" s="44">
        <v>0</v>
      </c>
      <c r="E2108" s="18">
        <v>0</v>
      </c>
      <c r="F2108" s="18">
        <f t="shared" si="4581"/>
        <v>40</v>
      </c>
      <c r="G2108" s="18">
        <f t="shared" si="4577"/>
        <v>40</v>
      </c>
      <c r="H2108" s="45">
        <v>0</v>
      </c>
      <c r="I2108" s="21">
        <f t="shared" si="4529"/>
        <v>110</v>
      </c>
      <c r="J2108" s="21">
        <f t="shared" si="4574"/>
        <v>6</v>
      </c>
      <c r="K2108" s="21">
        <v>0</v>
      </c>
      <c r="L2108" s="20">
        <v>16</v>
      </c>
      <c r="M2108" s="20">
        <v>0</v>
      </c>
      <c r="N2108" s="20">
        <f t="shared" si="4530"/>
        <v>700</v>
      </c>
      <c r="O2108" s="19" t="s">
        <v>72</v>
      </c>
      <c r="P2108" s="20">
        <v>2332</v>
      </c>
      <c r="Q2108" s="20">
        <f t="shared" ref="Q2108:X2108" si="4590">Q2078</f>
        <v>70</v>
      </c>
      <c r="R2108" s="20">
        <f t="shared" si="4590"/>
        <v>280</v>
      </c>
      <c r="S2108" s="20">
        <f t="shared" si="4590"/>
        <v>489.99999999999994</v>
      </c>
      <c r="T2108" s="20">
        <f t="shared" si="4590"/>
        <v>630</v>
      </c>
      <c r="U2108" s="20">
        <f t="shared" si="4590"/>
        <v>650</v>
      </c>
      <c r="V2108" s="20">
        <f t="shared" si="4590"/>
        <v>800</v>
      </c>
      <c r="W2108" s="20">
        <f t="shared" si="4590"/>
        <v>300</v>
      </c>
      <c r="X2108" s="20">
        <f t="shared" si="4590"/>
        <v>2</v>
      </c>
      <c r="Y2108" s="20">
        <v>0</v>
      </c>
      <c r="Z2108" s="20">
        <v>0</v>
      </c>
      <c r="AA2108" s="20">
        <f t="shared" si="4579"/>
        <v>0</v>
      </c>
      <c r="AB2108" s="20">
        <v>0</v>
      </c>
      <c r="AC2108" s="20">
        <v>0</v>
      </c>
      <c r="AD2108" s="23">
        <f t="shared" ref="AD2108:AE2108" si="4591">AD2078</f>
        <v>12</v>
      </c>
      <c r="AE2108" s="23">
        <f t="shared" si="4591"/>
        <v>16</v>
      </c>
    </row>
    <row r="2109" spans="1:31">
      <c r="A2109" s="4">
        <v>18100</v>
      </c>
      <c r="B2109" s="4">
        <v>8</v>
      </c>
      <c r="C2109" s="19" t="s">
        <v>73</v>
      </c>
      <c r="D2109" s="44">
        <v>0</v>
      </c>
      <c r="E2109" s="18">
        <v>0</v>
      </c>
      <c r="F2109" s="18">
        <f t="shared" si="4581"/>
        <v>44</v>
      </c>
      <c r="G2109" s="18">
        <f t="shared" si="4577"/>
        <v>44</v>
      </c>
      <c r="H2109" s="45">
        <v>0</v>
      </c>
      <c r="I2109" s="21">
        <f t="shared" si="4529"/>
        <v>110</v>
      </c>
      <c r="J2109" s="21">
        <f t="shared" si="4574"/>
        <v>7</v>
      </c>
      <c r="K2109" s="21">
        <v>0</v>
      </c>
      <c r="L2109" s="20">
        <v>12</v>
      </c>
      <c r="M2109" s="20">
        <v>0</v>
      </c>
      <c r="N2109" s="20">
        <f t="shared" si="4530"/>
        <v>800</v>
      </c>
      <c r="O2109" s="19" t="s">
        <v>73</v>
      </c>
      <c r="P2109" s="20">
        <v>1487</v>
      </c>
      <c r="Q2109" s="20">
        <f t="shared" ref="Q2109:X2109" si="4592">Q2079</f>
        <v>80</v>
      </c>
      <c r="R2109" s="20">
        <f t="shared" si="4592"/>
        <v>320</v>
      </c>
      <c r="S2109" s="20">
        <f t="shared" si="4592"/>
        <v>560</v>
      </c>
      <c r="T2109" s="20">
        <f t="shared" si="4592"/>
        <v>720</v>
      </c>
      <c r="U2109" s="20">
        <f t="shared" si="4592"/>
        <v>200</v>
      </c>
      <c r="V2109" s="20">
        <f t="shared" si="4592"/>
        <v>2000</v>
      </c>
      <c r="W2109" s="20">
        <f t="shared" si="4592"/>
        <v>1000</v>
      </c>
      <c r="X2109" s="20">
        <f t="shared" si="4592"/>
        <v>2</v>
      </c>
      <c r="Y2109" s="20">
        <f>ROUND(D2109*0.25,-1)</f>
        <v>0</v>
      </c>
      <c r="Z2109" s="20">
        <f>ROUND(E2109*0.25,-1)</f>
        <v>0</v>
      </c>
      <c r="AA2109" s="20">
        <f t="shared" si="4579"/>
        <v>22</v>
      </c>
      <c r="AB2109" s="20">
        <v>0</v>
      </c>
      <c r="AC2109" s="20">
        <f>ROUND(H2109*0.25,-1)</f>
        <v>0</v>
      </c>
      <c r="AD2109" s="23">
        <f t="shared" ref="AD2109:AE2109" si="4593">AD2079</f>
        <v>14</v>
      </c>
      <c r="AE2109" s="23">
        <f t="shared" si="4593"/>
        <v>18</v>
      </c>
    </row>
    <row r="2110" spans="1:31">
      <c r="A2110" s="4">
        <v>18100</v>
      </c>
      <c r="B2110" s="4">
        <v>9</v>
      </c>
      <c r="C2110" s="19" t="s">
        <v>74</v>
      </c>
      <c r="D2110" s="44">
        <v>0</v>
      </c>
      <c r="E2110" s="18">
        <v>0</v>
      </c>
      <c r="F2110" s="18">
        <f t="shared" si="4581"/>
        <v>47</v>
      </c>
      <c r="G2110" s="18">
        <f t="shared" si="4577"/>
        <v>47</v>
      </c>
      <c r="H2110" s="45">
        <v>0</v>
      </c>
      <c r="I2110" s="21">
        <f t="shared" si="4529"/>
        <v>165</v>
      </c>
      <c r="J2110" s="21">
        <f t="shared" si="4574"/>
        <v>8</v>
      </c>
      <c r="K2110" s="21">
        <v>0</v>
      </c>
      <c r="L2110" s="20">
        <v>8</v>
      </c>
      <c r="M2110" s="20">
        <v>0</v>
      </c>
      <c r="N2110" s="20">
        <f t="shared" si="4530"/>
        <v>900</v>
      </c>
      <c r="O2110" s="19" t="s">
        <v>74</v>
      </c>
      <c r="P2110" s="20">
        <v>1518</v>
      </c>
      <c r="Q2110" s="20">
        <f t="shared" ref="Q2110:X2110" si="4594">Q2080</f>
        <v>90</v>
      </c>
      <c r="R2110" s="20">
        <f t="shared" si="4594"/>
        <v>360</v>
      </c>
      <c r="S2110" s="20">
        <f t="shared" si="4594"/>
        <v>630</v>
      </c>
      <c r="T2110" s="20">
        <f t="shared" si="4594"/>
        <v>810</v>
      </c>
      <c r="U2110" s="20">
        <f t="shared" si="4594"/>
        <v>120</v>
      </c>
      <c r="V2110" s="20">
        <f t="shared" si="4594"/>
        <v>1500</v>
      </c>
      <c r="W2110" s="20">
        <f t="shared" si="4594"/>
        <v>1000</v>
      </c>
      <c r="X2110" s="20">
        <f t="shared" si="4594"/>
        <v>3</v>
      </c>
      <c r="Y2110" s="20">
        <v>0</v>
      </c>
      <c r="Z2110" s="20">
        <v>0</v>
      </c>
      <c r="AA2110" s="20">
        <f t="shared" si="4579"/>
        <v>0</v>
      </c>
      <c r="AB2110" s="20">
        <v>0</v>
      </c>
      <c r="AC2110" s="20">
        <v>0</v>
      </c>
      <c r="AD2110" s="23">
        <f t="shared" ref="AD2110:AE2110" si="4595">AD2080</f>
        <v>16</v>
      </c>
      <c r="AE2110" s="23">
        <f t="shared" si="4595"/>
        <v>20</v>
      </c>
    </row>
    <row r="2111" spans="1:31">
      <c r="A2111" s="4">
        <v>18100</v>
      </c>
      <c r="B2111" s="4">
        <v>10</v>
      </c>
      <c r="C2111" s="19" t="s">
        <v>75</v>
      </c>
      <c r="D2111" s="44">
        <v>0</v>
      </c>
      <c r="E2111" s="18">
        <v>0</v>
      </c>
      <c r="F2111" s="18">
        <f t="shared" si="4581"/>
        <v>51</v>
      </c>
      <c r="G2111" s="18">
        <f t="shared" si="4577"/>
        <v>51</v>
      </c>
      <c r="H2111" s="45">
        <v>0</v>
      </c>
      <c r="I2111" s="21">
        <f t="shared" si="4529"/>
        <v>165</v>
      </c>
      <c r="J2111" s="21">
        <f t="shared" si="4574"/>
        <v>9</v>
      </c>
      <c r="K2111" s="21">
        <v>0</v>
      </c>
      <c r="L2111" s="20">
        <v>6</v>
      </c>
      <c r="M2111" s="20">
        <v>0</v>
      </c>
      <c r="N2111" s="20">
        <f t="shared" si="4530"/>
        <v>2000</v>
      </c>
      <c r="O2111" s="19" t="s">
        <v>75</v>
      </c>
      <c r="P2111" s="20">
        <v>861</v>
      </c>
      <c r="Q2111" s="20">
        <f t="shared" ref="Q2111:X2111" si="4596">Q2081</f>
        <v>200</v>
      </c>
      <c r="R2111" s="20">
        <f t="shared" si="4596"/>
        <v>800</v>
      </c>
      <c r="S2111" s="20">
        <f t="shared" si="4596"/>
        <v>1400</v>
      </c>
      <c r="T2111" s="20">
        <f t="shared" si="4596"/>
        <v>1800</v>
      </c>
      <c r="U2111" s="20">
        <f t="shared" si="4596"/>
        <v>150</v>
      </c>
      <c r="V2111" s="20">
        <f t="shared" si="4596"/>
        <v>5000</v>
      </c>
      <c r="W2111" s="20">
        <f t="shared" si="4596"/>
        <v>800</v>
      </c>
      <c r="X2111" s="20">
        <f t="shared" si="4596"/>
        <v>3</v>
      </c>
      <c r="Y2111" s="20">
        <v>0</v>
      </c>
      <c r="Z2111" s="20">
        <v>0</v>
      </c>
      <c r="AA2111" s="20">
        <f t="shared" si="4579"/>
        <v>0</v>
      </c>
      <c r="AB2111" s="20">
        <v>0</v>
      </c>
      <c r="AC2111" s="20">
        <v>0</v>
      </c>
      <c r="AD2111" s="23">
        <f t="shared" ref="AD2111:AE2111" si="4597">AD2081</f>
        <v>18</v>
      </c>
      <c r="AE2111" s="23">
        <f t="shared" si="4597"/>
        <v>22</v>
      </c>
    </row>
    <row r="2112" spans="1:31">
      <c r="A2112" s="4">
        <v>18100</v>
      </c>
      <c r="B2112" s="4">
        <v>11</v>
      </c>
      <c r="C2112" s="19" t="s">
        <v>66</v>
      </c>
      <c r="D2112" s="44">
        <v>0</v>
      </c>
      <c r="E2112" s="18">
        <v>0</v>
      </c>
      <c r="F2112" s="18">
        <f t="shared" si="4581"/>
        <v>55</v>
      </c>
      <c r="G2112" s="18">
        <f t="shared" si="4577"/>
        <v>55</v>
      </c>
      <c r="H2112" s="45">
        <v>0</v>
      </c>
      <c r="I2112" s="21">
        <f t="shared" si="4529"/>
        <v>165</v>
      </c>
      <c r="J2112" s="21">
        <f t="shared" si="4574"/>
        <v>10</v>
      </c>
      <c r="K2112" s="21">
        <v>0</v>
      </c>
      <c r="L2112" s="20">
        <v>6</v>
      </c>
      <c r="M2112" s="20">
        <v>0</v>
      </c>
      <c r="N2112" s="20">
        <f t="shared" si="4530"/>
        <v>2200</v>
      </c>
      <c r="O2112" s="19" t="s">
        <v>66</v>
      </c>
      <c r="P2112" s="20">
        <v>9400</v>
      </c>
      <c r="Q2112" s="20">
        <f t="shared" ref="Q2112:X2112" si="4598">Q2082</f>
        <v>220</v>
      </c>
      <c r="R2112" s="20">
        <f t="shared" si="4598"/>
        <v>880</v>
      </c>
      <c r="S2112" s="20">
        <f t="shared" si="4598"/>
        <v>1540</v>
      </c>
      <c r="T2112" s="20">
        <f t="shared" si="4598"/>
        <v>1980</v>
      </c>
      <c r="U2112" s="20">
        <f t="shared" si="4598"/>
        <v>100</v>
      </c>
      <c r="V2112" s="20">
        <f t="shared" si="4598"/>
        <v>800</v>
      </c>
      <c r="W2112" s="20">
        <f t="shared" si="4598"/>
        <v>600</v>
      </c>
      <c r="X2112" s="20">
        <f t="shared" si="4598"/>
        <v>3</v>
      </c>
      <c r="Y2112" s="20">
        <v>0</v>
      </c>
      <c r="Z2112" s="20">
        <v>0</v>
      </c>
      <c r="AA2112" s="20">
        <f t="shared" si="4579"/>
        <v>0</v>
      </c>
      <c r="AB2112" s="20">
        <v>0</v>
      </c>
      <c r="AC2112" s="20">
        <v>0</v>
      </c>
      <c r="AD2112" s="23">
        <f t="shared" ref="AD2112:AE2112" si="4599">AD2082</f>
        <v>20</v>
      </c>
      <c r="AE2112" s="23">
        <f t="shared" si="4599"/>
        <v>24</v>
      </c>
    </row>
    <row r="2113" spans="1:31">
      <c r="A2113" s="4">
        <v>18100</v>
      </c>
      <c r="B2113" s="4">
        <v>12</v>
      </c>
      <c r="C2113" s="19" t="s">
        <v>67</v>
      </c>
      <c r="D2113" s="44">
        <v>0</v>
      </c>
      <c r="E2113" s="18">
        <v>0</v>
      </c>
      <c r="F2113" s="18">
        <f t="shared" si="4581"/>
        <v>60</v>
      </c>
      <c r="G2113" s="18">
        <f t="shared" si="4577"/>
        <v>60</v>
      </c>
      <c r="H2113" s="45">
        <v>0</v>
      </c>
      <c r="I2113" s="21">
        <f t="shared" si="4529"/>
        <v>165</v>
      </c>
      <c r="J2113" s="21">
        <f t="shared" si="4574"/>
        <v>11</v>
      </c>
      <c r="K2113" s="21">
        <v>0</v>
      </c>
      <c r="L2113" s="20">
        <v>6</v>
      </c>
      <c r="M2113" s="20">
        <v>0</v>
      </c>
      <c r="N2113" s="20">
        <f t="shared" si="4530"/>
        <v>2400</v>
      </c>
      <c r="O2113" s="19" t="s">
        <v>67</v>
      </c>
      <c r="P2113" s="20">
        <v>9100</v>
      </c>
      <c r="Q2113" s="20">
        <f t="shared" ref="Q2113:X2113" si="4600">Q2083</f>
        <v>240</v>
      </c>
      <c r="R2113" s="20">
        <f t="shared" si="4600"/>
        <v>960</v>
      </c>
      <c r="S2113" s="20">
        <f t="shared" si="4600"/>
        <v>1680</v>
      </c>
      <c r="T2113" s="20">
        <f t="shared" si="4600"/>
        <v>2160</v>
      </c>
      <c r="U2113" s="20">
        <f t="shared" si="4600"/>
        <v>150</v>
      </c>
      <c r="V2113" s="20">
        <f t="shared" si="4600"/>
        <v>700</v>
      </c>
      <c r="W2113" s="20">
        <f t="shared" si="4600"/>
        <v>900</v>
      </c>
      <c r="X2113" s="20">
        <f t="shared" si="4600"/>
        <v>3</v>
      </c>
      <c r="Y2113" s="20">
        <v>0</v>
      </c>
      <c r="Z2113" s="20">
        <v>0</v>
      </c>
      <c r="AA2113" s="20">
        <f t="shared" si="4579"/>
        <v>0</v>
      </c>
      <c r="AB2113" s="20">
        <v>0</v>
      </c>
      <c r="AC2113" s="20">
        <v>0</v>
      </c>
      <c r="AD2113" s="23">
        <f t="shared" ref="AD2113:AE2113" si="4601">AD2083</f>
        <v>22</v>
      </c>
      <c r="AE2113" s="23">
        <f t="shared" si="4601"/>
        <v>26</v>
      </c>
    </row>
    <row r="2114" spans="1:31">
      <c r="A2114" s="4">
        <v>18100</v>
      </c>
      <c r="B2114" s="4">
        <v>13</v>
      </c>
      <c r="C2114" s="19" t="s">
        <v>68</v>
      </c>
      <c r="D2114" s="44">
        <v>0</v>
      </c>
      <c r="E2114" s="18">
        <v>0</v>
      </c>
      <c r="F2114" s="18">
        <f t="shared" si="4581"/>
        <v>65</v>
      </c>
      <c r="G2114" s="18">
        <f t="shared" si="4577"/>
        <v>65</v>
      </c>
      <c r="H2114" s="45">
        <v>0</v>
      </c>
      <c r="I2114" s="21">
        <f t="shared" si="4529"/>
        <v>220</v>
      </c>
      <c r="J2114" s="21">
        <f t="shared" si="4574"/>
        <v>12</v>
      </c>
      <c r="K2114" s="21">
        <v>0</v>
      </c>
      <c r="L2114" s="20">
        <v>6</v>
      </c>
      <c r="M2114" s="20">
        <v>0</v>
      </c>
      <c r="N2114" s="20">
        <f t="shared" si="4530"/>
        <v>2600</v>
      </c>
      <c r="O2114" s="19" t="s">
        <v>68</v>
      </c>
      <c r="P2114" s="20">
        <v>8600</v>
      </c>
      <c r="Q2114" s="20">
        <f t="shared" ref="Q2114:X2114" si="4602">Q2084</f>
        <v>260</v>
      </c>
      <c r="R2114" s="20">
        <f t="shared" si="4602"/>
        <v>1040</v>
      </c>
      <c r="S2114" s="20">
        <f t="shared" si="4602"/>
        <v>1819.9999999999998</v>
      </c>
      <c r="T2114" s="20">
        <f t="shared" si="4602"/>
        <v>2340</v>
      </c>
      <c r="U2114" s="20">
        <f t="shared" si="4602"/>
        <v>100</v>
      </c>
      <c r="V2114" s="20">
        <f t="shared" si="4602"/>
        <v>700</v>
      </c>
      <c r="W2114" s="20">
        <f t="shared" si="4602"/>
        <v>1000</v>
      </c>
      <c r="X2114" s="20">
        <f t="shared" si="4602"/>
        <v>4</v>
      </c>
      <c r="Y2114" s="20">
        <f>ROUND(D2114*0.25,-1)</f>
        <v>0</v>
      </c>
      <c r="Z2114" s="20">
        <f>ROUND(E2114*0.25,-1)</f>
        <v>0</v>
      </c>
      <c r="AA2114" s="20">
        <f t="shared" si="4579"/>
        <v>45</v>
      </c>
      <c r="AB2114" s="20">
        <v>0</v>
      </c>
      <c r="AC2114" s="20">
        <f>ROUND(H2114*0.25,-1)</f>
        <v>0</v>
      </c>
      <c r="AD2114" s="23">
        <f t="shared" ref="AD2114:AE2114" si="4603">AD2084</f>
        <v>24</v>
      </c>
      <c r="AE2114" s="23">
        <f t="shared" si="4603"/>
        <v>28</v>
      </c>
    </row>
    <row r="2115" spans="1:31">
      <c r="A2115" s="4">
        <v>18100</v>
      </c>
      <c r="B2115" s="4">
        <v>14</v>
      </c>
      <c r="C2115" s="19" t="s">
        <v>69</v>
      </c>
      <c r="D2115" s="44">
        <v>0</v>
      </c>
      <c r="E2115" s="18">
        <v>0</v>
      </c>
      <c r="F2115" s="18">
        <f t="shared" si="4581"/>
        <v>70</v>
      </c>
      <c r="G2115" s="18">
        <f t="shared" si="4577"/>
        <v>70</v>
      </c>
      <c r="H2115" s="45">
        <v>0</v>
      </c>
      <c r="I2115" s="21">
        <f t="shared" si="4529"/>
        <v>220</v>
      </c>
      <c r="J2115" s="21">
        <f t="shared" si="4574"/>
        <v>13</v>
      </c>
      <c r="K2115" s="21">
        <v>0</v>
      </c>
      <c r="L2115" s="20">
        <v>6</v>
      </c>
      <c r="M2115" s="20">
        <v>0</v>
      </c>
      <c r="N2115" s="20">
        <f t="shared" si="4530"/>
        <v>2800</v>
      </c>
      <c r="O2115" s="19" t="s">
        <v>69</v>
      </c>
      <c r="P2115" s="20">
        <v>6400</v>
      </c>
      <c r="Q2115" s="20">
        <f t="shared" ref="Q2115:X2115" si="4604">Q2085</f>
        <v>280</v>
      </c>
      <c r="R2115" s="20">
        <f t="shared" si="4604"/>
        <v>1120</v>
      </c>
      <c r="S2115" s="20">
        <f t="shared" si="4604"/>
        <v>1959.9999999999998</v>
      </c>
      <c r="T2115" s="20">
        <f t="shared" si="4604"/>
        <v>2520</v>
      </c>
      <c r="U2115" s="20">
        <f t="shared" si="4604"/>
        <v>100</v>
      </c>
      <c r="V2115" s="20">
        <f t="shared" si="4604"/>
        <v>400</v>
      </c>
      <c r="W2115" s="20">
        <f t="shared" si="4604"/>
        <v>1200</v>
      </c>
      <c r="X2115" s="20">
        <f t="shared" si="4604"/>
        <v>4</v>
      </c>
      <c r="Y2115" s="20">
        <v>0</v>
      </c>
      <c r="Z2115" s="20">
        <v>0</v>
      </c>
      <c r="AA2115" s="20">
        <f t="shared" si="4579"/>
        <v>0</v>
      </c>
      <c r="AB2115" s="20">
        <v>0</v>
      </c>
      <c r="AC2115" s="20">
        <v>0</v>
      </c>
      <c r="AD2115" s="23">
        <f t="shared" ref="AD2115:AE2115" si="4605">AD2085</f>
        <v>26</v>
      </c>
      <c r="AE2115" s="23">
        <f t="shared" si="4605"/>
        <v>30</v>
      </c>
    </row>
    <row r="2116" spans="1:31">
      <c r="A2116" s="4">
        <v>18100</v>
      </c>
      <c r="B2116" s="4">
        <v>15</v>
      </c>
      <c r="C2116" s="19" t="s">
        <v>70</v>
      </c>
      <c r="D2116" s="44">
        <v>0</v>
      </c>
      <c r="E2116" s="18">
        <v>0</v>
      </c>
      <c r="F2116" s="18">
        <f t="shared" si="4581"/>
        <v>76</v>
      </c>
      <c r="G2116" s="18">
        <f t="shared" si="4577"/>
        <v>76</v>
      </c>
      <c r="H2116" s="45">
        <v>0</v>
      </c>
      <c r="I2116" s="21">
        <f t="shared" si="4529"/>
        <v>220</v>
      </c>
      <c r="J2116" s="21">
        <f t="shared" si="4574"/>
        <v>14</v>
      </c>
      <c r="K2116" s="21">
        <v>0</v>
      </c>
      <c r="L2116" s="20">
        <v>6</v>
      </c>
      <c r="M2116" s="20">
        <v>0</v>
      </c>
      <c r="N2116" s="20">
        <f t="shared" si="4530"/>
        <v>4500</v>
      </c>
      <c r="O2116" s="19" t="s">
        <v>70</v>
      </c>
      <c r="P2116" s="20">
        <v>3100</v>
      </c>
      <c r="Q2116" s="20">
        <f t="shared" ref="Q2116:X2116" si="4606">Q2086</f>
        <v>450</v>
      </c>
      <c r="R2116" s="20">
        <f t="shared" si="4606"/>
        <v>1800</v>
      </c>
      <c r="S2116" s="20">
        <f t="shared" si="4606"/>
        <v>3150</v>
      </c>
      <c r="T2116" s="20">
        <f t="shared" si="4606"/>
        <v>4050</v>
      </c>
      <c r="U2116" s="20">
        <f t="shared" si="4606"/>
        <v>100</v>
      </c>
      <c r="V2116" s="20">
        <f t="shared" si="4606"/>
        <v>1000</v>
      </c>
      <c r="W2116" s="20">
        <f t="shared" si="4606"/>
        <v>600</v>
      </c>
      <c r="X2116" s="20">
        <f t="shared" si="4606"/>
        <v>4</v>
      </c>
      <c r="Y2116" s="20">
        <v>0</v>
      </c>
      <c r="Z2116" s="20">
        <v>0</v>
      </c>
      <c r="AA2116" s="20">
        <f t="shared" si="4579"/>
        <v>0</v>
      </c>
      <c r="AB2116" s="20">
        <v>0</v>
      </c>
      <c r="AC2116" s="20">
        <v>0</v>
      </c>
      <c r="AD2116" s="23">
        <f t="shared" ref="AD2116:AE2116" si="4607">AD2086</f>
        <v>28</v>
      </c>
      <c r="AE2116" s="23">
        <f t="shared" si="4607"/>
        <v>32</v>
      </c>
    </row>
    <row r="2117" spans="1:31">
      <c r="A2117" s="4">
        <v>18100</v>
      </c>
      <c r="B2117" s="4">
        <v>16</v>
      </c>
      <c r="C2117" s="19" t="s">
        <v>71</v>
      </c>
      <c r="D2117" s="44">
        <v>0</v>
      </c>
      <c r="E2117" s="18">
        <v>0</v>
      </c>
      <c r="F2117" s="18">
        <f t="shared" si="4581"/>
        <v>83</v>
      </c>
      <c r="G2117" s="18">
        <f t="shared" si="4577"/>
        <v>83</v>
      </c>
      <c r="H2117" s="45">
        <v>0</v>
      </c>
      <c r="I2117" s="21">
        <f t="shared" si="4529"/>
        <v>220</v>
      </c>
      <c r="J2117" s="21">
        <f t="shared" si="4574"/>
        <v>15</v>
      </c>
      <c r="K2117" s="21">
        <v>0</v>
      </c>
      <c r="L2117" s="20">
        <v>6</v>
      </c>
      <c r="M2117" s="20">
        <v>0</v>
      </c>
      <c r="N2117" s="20">
        <f t="shared" si="4530"/>
        <v>4800</v>
      </c>
      <c r="O2117" s="19" t="s">
        <v>71</v>
      </c>
      <c r="P2117" s="20">
        <v>1777</v>
      </c>
      <c r="Q2117" s="20">
        <f t="shared" ref="Q2117:X2117" si="4608">Q2087</f>
        <v>480</v>
      </c>
      <c r="R2117" s="20">
        <f t="shared" si="4608"/>
        <v>1920</v>
      </c>
      <c r="S2117" s="20">
        <f t="shared" si="4608"/>
        <v>3360</v>
      </c>
      <c r="T2117" s="20">
        <f t="shared" si="4608"/>
        <v>4320</v>
      </c>
      <c r="U2117" s="20">
        <f t="shared" si="4608"/>
        <v>100</v>
      </c>
      <c r="V2117" s="20">
        <f t="shared" si="4608"/>
        <v>800</v>
      </c>
      <c r="W2117" s="20">
        <f t="shared" si="4608"/>
        <v>800</v>
      </c>
      <c r="X2117" s="20">
        <f t="shared" si="4608"/>
        <v>4</v>
      </c>
      <c r="Y2117" s="20">
        <v>0</v>
      </c>
      <c r="Z2117" s="20">
        <v>0</v>
      </c>
      <c r="AA2117" s="20">
        <f t="shared" si="4579"/>
        <v>0</v>
      </c>
      <c r="AB2117" s="20">
        <v>0</v>
      </c>
      <c r="AC2117" s="20">
        <v>0</v>
      </c>
      <c r="AD2117" s="23">
        <f t="shared" ref="AD2117:AE2117" si="4609">AD2087</f>
        <v>30</v>
      </c>
      <c r="AE2117" s="23">
        <f t="shared" si="4609"/>
        <v>34</v>
      </c>
    </row>
    <row r="2118" spans="1:31">
      <c r="A2118" s="4">
        <v>18100</v>
      </c>
      <c r="B2118" s="4">
        <v>17</v>
      </c>
      <c r="C2118" s="19" t="s">
        <v>72</v>
      </c>
      <c r="D2118" s="44">
        <v>0</v>
      </c>
      <c r="E2118" s="18">
        <v>0</v>
      </c>
      <c r="F2118" s="18">
        <f t="shared" si="4581"/>
        <v>89</v>
      </c>
      <c r="G2118" s="18">
        <f t="shared" si="4577"/>
        <v>89</v>
      </c>
      <c r="H2118" s="45">
        <v>0</v>
      </c>
      <c r="I2118" s="21">
        <f t="shared" si="4529"/>
        <v>275</v>
      </c>
      <c r="J2118" s="21">
        <f t="shared" si="4574"/>
        <v>16</v>
      </c>
      <c r="K2118" s="21">
        <v>0</v>
      </c>
      <c r="L2118" s="20">
        <v>6</v>
      </c>
      <c r="M2118" s="20">
        <v>0</v>
      </c>
      <c r="N2118" s="20">
        <f t="shared" si="4530"/>
        <v>5100</v>
      </c>
      <c r="O2118" s="19" t="s">
        <v>72</v>
      </c>
      <c r="P2118" s="20">
        <v>2332</v>
      </c>
      <c r="Q2118" s="20">
        <f t="shared" ref="Q2118:X2118" si="4610">Q2088</f>
        <v>510</v>
      </c>
      <c r="R2118" s="20">
        <f t="shared" si="4610"/>
        <v>2040</v>
      </c>
      <c r="S2118" s="20">
        <f t="shared" si="4610"/>
        <v>3570</v>
      </c>
      <c r="T2118" s="20">
        <f t="shared" si="4610"/>
        <v>4590</v>
      </c>
      <c r="U2118" s="20">
        <f t="shared" si="4610"/>
        <v>80</v>
      </c>
      <c r="V2118" s="20">
        <f t="shared" si="4610"/>
        <v>800</v>
      </c>
      <c r="W2118" s="20">
        <f t="shared" si="4610"/>
        <v>600</v>
      </c>
      <c r="X2118" s="20">
        <f t="shared" si="4610"/>
        <v>5</v>
      </c>
      <c r="Y2118" s="20">
        <v>0</v>
      </c>
      <c r="Z2118" s="20">
        <v>0</v>
      </c>
      <c r="AA2118" s="20">
        <f t="shared" si="4579"/>
        <v>0</v>
      </c>
      <c r="AB2118" s="20">
        <v>0</v>
      </c>
      <c r="AC2118" s="20">
        <v>0</v>
      </c>
      <c r="AD2118" s="23">
        <f t="shared" ref="AD2118:AE2118" si="4611">AD2088</f>
        <v>32</v>
      </c>
      <c r="AE2118" s="23">
        <f t="shared" si="4611"/>
        <v>36</v>
      </c>
    </row>
    <row r="2119" spans="1:31">
      <c r="A2119" s="4">
        <v>18100</v>
      </c>
      <c r="B2119" s="4">
        <v>18</v>
      </c>
      <c r="C2119" s="19" t="s">
        <v>73</v>
      </c>
      <c r="D2119" s="44">
        <v>0</v>
      </c>
      <c r="E2119" s="18">
        <v>0</v>
      </c>
      <c r="F2119" s="18">
        <f t="shared" si="4581"/>
        <v>97</v>
      </c>
      <c r="G2119" s="18">
        <f t="shared" si="4577"/>
        <v>97</v>
      </c>
      <c r="H2119" s="45">
        <v>0</v>
      </c>
      <c r="I2119" s="21">
        <f t="shared" si="4529"/>
        <v>275</v>
      </c>
      <c r="J2119" s="21">
        <f t="shared" si="4574"/>
        <v>17</v>
      </c>
      <c r="K2119" s="21">
        <v>0</v>
      </c>
      <c r="L2119" s="20">
        <v>6</v>
      </c>
      <c r="M2119" s="20">
        <v>0</v>
      </c>
      <c r="N2119" s="20">
        <f t="shared" si="4530"/>
        <v>5400</v>
      </c>
      <c r="O2119" s="19" t="s">
        <v>73</v>
      </c>
      <c r="P2119" s="20">
        <v>1487</v>
      </c>
      <c r="Q2119" s="20">
        <f t="shared" ref="Q2119:X2119" si="4612">Q2089</f>
        <v>540</v>
      </c>
      <c r="R2119" s="20">
        <f t="shared" si="4612"/>
        <v>2160</v>
      </c>
      <c r="S2119" s="20">
        <f t="shared" si="4612"/>
        <v>3779.9999999999995</v>
      </c>
      <c r="T2119" s="20">
        <f t="shared" si="4612"/>
        <v>4860</v>
      </c>
      <c r="U2119" s="20">
        <f t="shared" si="4612"/>
        <v>100</v>
      </c>
      <c r="V2119" s="20">
        <f t="shared" si="4612"/>
        <v>600</v>
      </c>
      <c r="W2119" s="20">
        <f t="shared" si="4612"/>
        <v>300</v>
      </c>
      <c r="X2119" s="20">
        <f t="shared" si="4612"/>
        <v>5</v>
      </c>
      <c r="Y2119" s="20">
        <f>ROUND(D2119*0.25,-1)</f>
        <v>0</v>
      </c>
      <c r="Z2119" s="20">
        <f>ROUND(E2119*0.25,-1)</f>
        <v>0</v>
      </c>
      <c r="AA2119" s="20">
        <f t="shared" si="4579"/>
        <v>67</v>
      </c>
      <c r="AB2119" s="20">
        <v>0</v>
      </c>
      <c r="AC2119" s="20">
        <f>ROUND(H2119*0.25,-1)</f>
        <v>0</v>
      </c>
      <c r="AD2119" s="23">
        <f t="shared" ref="AD2119:AE2119" si="4613">AD2089</f>
        <v>34</v>
      </c>
      <c r="AE2119" s="23">
        <f t="shared" si="4613"/>
        <v>38</v>
      </c>
    </row>
    <row r="2120" spans="1:31">
      <c r="A2120" s="4">
        <v>18100</v>
      </c>
      <c r="B2120" s="4">
        <v>19</v>
      </c>
      <c r="C2120" s="19" t="s">
        <v>74</v>
      </c>
      <c r="D2120" s="44">
        <v>0</v>
      </c>
      <c r="E2120" s="18">
        <v>0</v>
      </c>
      <c r="F2120" s="18">
        <f t="shared" si="4581"/>
        <v>105</v>
      </c>
      <c r="G2120" s="18">
        <f t="shared" si="4577"/>
        <v>105</v>
      </c>
      <c r="H2120" s="45">
        <v>0</v>
      </c>
      <c r="I2120" s="21">
        <f t="shared" si="4529"/>
        <v>275</v>
      </c>
      <c r="J2120" s="21">
        <f t="shared" si="4574"/>
        <v>18</v>
      </c>
      <c r="K2120" s="21">
        <v>0</v>
      </c>
      <c r="L2120" s="20">
        <v>6</v>
      </c>
      <c r="M2120" s="20">
        <v>0</v>
      </c>
      <c r="N2120" s="20">
        <f t="shared" si="4530"/>
        <v>5700</v>
      </c>
      <c r="O2120" s="19" t="s">
        <v>74</v>
      </c>
      <c r="P2120" s="20">
        <v>1518</v>
      </c>
      <c r="Q2120" s="20">
        <f t="shared" ref="Q2120:X2120" si="4614">Q2090</f>
        <v>570</v>
      </c>
      <c r="R2120" s="20">
        <f t="shared" si="4614"/>
        <v>2280</v>
      </c>
      <c r="S2120" s="20">
        <f t="shared" si="4614"/>
        <v>3989.9999999999995</v>
      </c>
      <c r="T2120" s="20">
        <f t="shared" si="4614"/>
        <v>5130</v>
      </c>
      <c r="U2120" s="20">
        <f t="shared" si="4614"/>
        <v>100</v>
      </c>
      <c r="V2120" s="20">
        <f t="shared" si="4614"/>
        <v>500</v>
      </c>
      <c r="W2120" s="20">
        <f t="shared" si="4614"/>
        <v>400</v>
      </c>
      <c r="X2120" s="20">
        <f t="shared" si="4614"/>
        <v>5</v>
      </c>
      <c r="Y2120" s="20">
        <v>0</v>
      </c>
      <c r="Z2120" s="20">
        <v>0</v>
      </c>
      <c r="AA2120" s="20">
        <f t="shared" si="4579"/>
        <v>0</v>
      </c>
      <c r="AB2120" s="20">
        <v>0</v>
      </c>
      <c r="AC2120" s="20">
        <v>0</v>
      </c>
      <c r="AD2120" s="23">
        <f t="shared" ref="AD2120:AE2120" si="4615">AD2090</f>
        <v>36</v>
      </c>
      <c r="AE2120" s="23">
        <f t="shared" si="4615"/>
        <v>40</v>
      </c>
    </row>
    <row r="2121" spans="1:31">
      <c r="A2121" s="4">
        <v>18100</v>
      </c>
      <c r="B2121" s="4">
        <v>20</v>
      </c>
      <c r="C2121" s="19" t="s">
        <v>75</v>
      </c>
      <c r="D2121" s="44">
        <v>0</v>
      </c>
      <c r="E2121" s="18">
        <v>0</v>
      </c>
      <c r="F2121" s="18">
        <f t="shared" si="4581"/>
        <v>114</v>
      </c>
      <c r="G2121" s="18">
        <f t="shared" si="4577"/>
        <v>114</v>
      </c>
      <c r="H2121" s="45">
        <v>0</v>
      </c>
      <c r="I2121" s="21">
        <f t="shared" si="4529"/>
        <v>275</v>
      </c>
      <c r="J2121" s="21">
        <f t="shared" si="4574"/>
        <v>19</v>
      </c>
      <c r="K2121" s="21">
        <v>0</v>
      </c>
      <c r="L2121" s="20">
        <v>6</v>
      </c>
      <c r="M2121" s="20">
        <v>0</v>
      </c>
      <c r="N2121" s="20">
        <f t="shared" si="4530"/>
        <v>8000</v>
      </c>
      <c r="O2121" s="19" t="s">
        <v>75</v>
      </c>
      <c r="P2121" s="20">
        <v>861</v>
      </c>
      <c r="Q2121" s="20">
        <f t="shared" ref="Q2121:X2121" si="4616">Q2091</f>
        <v>800</v>
      </c>
      <c r="R2121" s="20">
        <f t="shared" si="4616"/>
        <v>3200</v>
      </c>
      <c r="S2121" s="20">
        <f t="shared" si="4616"/>
        <v>5600</v>
      </c>
      <c r="T2121" s="20">
        <f t="shared" si="4616"/>
        <v>7200</v>
      </c>
      <c r="U2121" s="20">
        <f t="shared" si="4616"/>
        <v>100</v>
      </c>
      <c r="V2121" s="20">
        <f t="shared" si="4616"/>
        <v>800</v>
      </c>
      <c r="W2121" s="20">
        <f t="shared" si="4616"/>
        <v>8000</v>
      </c>
      <c r="X2121" s="20">
        <f t="shared" si="4616"/>
        <v>5</v>
      </c>
      <c r="Y2121" s="20">
        <v>0</v>
      </c>
      <c r="Z2121" s="20">
        <v>0</v>
      </c>
      <c r="AA2121" s="20">
        <f t="shared" si="4579"/>
        <v>0</v>
      </c>
      <c r="AB2121" s="20">
        <v>0</v>
      </c>
      <c r="AC2121" s="20">
        <v>0</v>
      </c>
      <c r="AD2121" s="23">
        <f t="shared" ref="AD2121:AE2121" si="4617">AD2091</f>
        <v>38</v>
      </c>
      <c r="AE2121" s="23">
        <f t="shared" si="4617"/>
        <v>42</v>
      </c>
    </row>
    <row r="2122" spans="1:31">
      <c r="A2122" s="4">
        <v>18100</v>
      </c>
      <c r="B2122" s="4">
        <v>21</v>
      </c>
      <c r="C2122" s="19" t="s">
        <v>66</v>
      </c>
      <c r="D2122" s="44">
        <v>0</v>
      </c>
      <c r="E2122" s="18">
        <v>0</v>
      </c>
      <c r="F2122" s="18">
        <f t="shared" si="4581"/>
        <v>123</v>
      </c>
      <c r="G2122" s="18">
        <f t="shared" si="4577"/>
        <v>123</v>
      </c>
      <c r="H2122" s="45">
        <v>0</v>
      </c>
      <c r="I2122" s="21">
        <f t="shared" si="4529"/>
        <v>330</v>
      </c>
      <c r="J2122" s="21">
        <f t="shared" si="4574"/>
        <v>20</v>
      </c>
      <c r="K2122" s="21">
        <v>0</v>
      </c>
      <c r="L2122" s="20">
        <v>6</v>
      </c>
      <c r="M2122" s="20">
        <v>0</v>
      </c>
      <c r="N2122" s="20">
        <f t="shared" si="4530"/>
        <v>8400</v>
      </c>
      <c r="O2122" s="19" t="s">
        <v>66</v>
      </c>
      <c r="P2122" s="20">
        <v>9400</v>
      </c>
      <c r="Q2122" s="20">
        <f t="shared" ref="Q2122:X2122" si="4618">Q2092</f>
        <v>840</v>
      </c>
      <c r="R2122" s="20">
        <f t="shared" si="4618"/>
        <v>3360</v>
      </c>
      <c r="S2122" s="20">
        <f t="shared" si="4618"/>
        <v>5880</v>
      </c>
      <c r="T2122" s="20">
        <f t="shared" si="4618"/>
        <v>7560</v>
      </c>
      <c r="U2122" s="20">
        <f t="shared" si="4618"/>
        <v>50</v>
      </c>
      <c r="V2122" s="20">
        <f t="shared" si="4618"/>
        <v>1000</v>
      </c>
      <c r="W2122" s="20">
        <f t="shared" si="4618"/>
        <v>600</v>
      </c>
      <c r="X2122" s="20">
        <f t="shared" si="4618"/>
        <v>6</v>
      </c>
      <c r="Y2122" s="20">
        <v>0</v>
      </c>
      <c r="Z2122" s="20">
        <v>0</v>
      </c>
      <c r="AA2122" s="20">
        <f t="shared" si="4579"/>
        <v>0</v>
      </c>
      <c r="AB2122" s="20">
        <v>0</v>
      </c>
      <c r="AC2122" s="20">
        <v>0</v>
      </c>
      <c r="AD2122" s="23">
        <f t="shared" ref="AD2122:AE2122" si="4619">AD2092</f>
        <v>40</v>
      </c>
      <c r="AE2122" s="23">
        <f t="shared" si="4619"/>
        <v>44</v>
      </c>
    </row>
    <row r="2123" spans="1:31">
      <c r="A2123" s="4">
        <v>18100</v>
      </c>
      <c r="B2123" s="4">
        <v>22</v>
      </c>
      <c r="C2123" s="19" t="s">
        <v>67</v>
      </c>
      <c r="D2123" s="44">
        <v>0</v>
      </c>
      <c r="E2123" s="18">
        <v>0</v>
      </c>
      <c r="F2123" s="18">
        <f t="shared" si="4581"/>
        <v>133</v>
      </c>
      <c r="G2123" s="18">
        <f t="shared" si="4577"/>
        <v>133</v>
      </c>
      <c r="H2123" s="45">
        <v>0</v>
      </c>
      <c r="I2123" s="21">
        <f t="shared" si="4529"/>
        <v>330</v>
      </c>
      <c r="J2123" s="21">
        <f t="shared" si="4574"/>
        <v>21</v>
      </c>
      <c r="K2123" s="21">
        <v>0</v>
      </c>
      <c r="L2123" s="20">
        <v>6</v>
      </c>
      <c r="M2123" s="20">
        <v>0</v>
      </c>
      <c r="N2123" s="20">
        <f t="shared" si="4530"/>
        <v>8800</v>
      </c>
      <c r="O2123" s="19" t="s">
        <v>67</v>
      </c>
      <c r="P2123" s="20">
        <v>9100</v>
      </c>
      <c r="Q2123" s="20">
        <f t="shared" ref="Q2123:X2123" si="4620">Q2093</f>
        <v>880</v>
      </c>
      <c r="R2123" s="20">
        <f t="shared" si="4620"/>
        <v>3520</v>
      </c>
      <c r="S2123" s="20">
        <f t="shared" si="4620"/>
        <v>6160</v>
      </c>
      <c r="T2123" s="20">
        <f t="shared" si="4620"/>
        <v>7920</v>
      </c>
      <c r="U2123" s="20">
        <f t="shared" si="4620"/>
        <v>100</v>
      </c>
      <c r="V2123" s="20">
        <f t="shared" si="4620"/>
        <v>600</v>
      </c>
      <c r="W2123" s="20">
        <f t="shared" si="4620"/>
        <v>700</v>
      </c>
      <c r="X2123" s="20">
        <f t="shared" si="4620"/>
        <v>6</v>
      </c>
      <c r="Y2123" s="20">
        <v>0</v>
      </c>
      <c r="Z2123" s="20">
        <v>0</v>
      </c>
      <c r="AA2123" s="20">
        <f t="shared" si="4579"/>
        <v>0</v>
      </c>
      <c r="AB2123" s="20">
        <v>0</v>
      </c>
      <c r="AC2123" s="20">
        <v>0</v>
      </c>
      <c r="AD2123" s="23">
        <f t="shared" ref="AD2123:AE2123" si="4621">AD2093</f>
        <v>42</v>
      </c>
      <c r="AE2123" s="23">
        <f t="shared" si="4621"/>
        <v>46</v>
      </c>
    </row>
    <row r="2124" spans="1:31">
      <c r="A2124" s="4">
        <v>18100</v>
      </c>
      <c r="B2124" s="4">
        <v>23</v>
      </c>
      <c r="C2124" s="19" t="s">
        <v>68</v>
      </c>
      <c r="D2124" s="44">
        <v>0</v>
      </c>
      <c r="E2124" s="18">
        <v>0</v>
      </c>
      <c r="F2124" s="18">
        <f t="shared" si="4581"/>
        <v>144</v>
      </c>
      <c r="G2124" s="18">
        <f t="shared" si="4577"/>
        <v>144</v>
      </c>
      <c r="H2124" s="45">
        <v>0</v>
      </c>
      <c r="I2124" s="21">
        <f t="shared" si="4529"/>
        <v>330</v>
      </c>
      <c r="J2124" s="21">
        <f t="shared" si="4574"/>
        <v>22</v>
      </c>
      <c r="K2124" s="21">
        <v>0</v>
      </c>
      <c r="L2124" s="20">
        <v>6</v>
      </c>
      <c r="M2124" s="20">
        <v>0</v>
      </c>
      <c r="N2124" s="20">
        <f t="shared" si="4530"/>
        <v>9200</v>
      </c>
      <c r="O2124" s="19" t="s">
        <v>68</v>
      </c>
      <c r="P2124" s="20">
        <v>8600</v>
      </c>
      <c r="Q2124" s="20">
        <f t="shared" ref="Q2124:X2124" si="4622">Q2094</f>
        <v>920</v>
      </c>
      <c r="R2124" s="20">
        <f t="shared" si="4622"/>
        <v>3680</v>
      </c>
      <c r="S2124" s="20">
        <f t="shared" si="4622"/>
        <v>6440</v>
      </c>
      <c r="T2124" s="20">
        <f t="shared" si="4622"/>
        <v>8280</v>
      </c>
      <c r="U2124" s="20">
        <f t="shared" si="4622"/>
        <v>100</v>
      </c>
      <c r="V2124" s="20">
        <f t="shared" si="4622"/>
        <v>550</v>
      </c>
      <c r="W2124" s="20">
        <f t="shared" si="4622"/>
        <v>500</v>
      </c>
      <c r="X2124" s="20">
        <f t="shared" si="4622"/>
        <v>6</v>
      </c>
      <c r="Y2124" s="20">
        <f>ROUND(D2124*0.25,-1)</f>
        <v>0</v>
      </c>
      <c r="Z2124" s="20">
        <f>ROUND(E2124*0.25,-1)</f>
        <v>0</v>
      </c>
      <c r="AA2124" s="20">
        <f t="shared" si="4579"/>
        <v>90</v>
      </c>
      <c r="AB2124" s="20">
        <v>0</v>
      </c>
      <c r="AC2124" s="20">
        <f>ROUND(H2124*0.25,-1)</f>
        <v>0</v>
      </c>
      <c r="AD2124" s="23">
        <f t="shared" ref="AD2124:AE2124" si="4623">AD2094</f>
        <v>44</v>
      </c>
      <c r="AE2124" s="23">
        <f t="shared" si="4623"/>
        <v>48</v>
      </c>
    </row>
    <row r="2125" spans="1:31">
      <c r="A2125" s="4">
        <v>18100</v>
      </c>
      <c r="B2125" s="4">
        <v>24</v>
      </c>
      <c r="C2125" s="19" t="s">
        <v>69</v>
      </c>
      <c r="D2125" s="44">
        <v>0</v>
      </c>
      <c r="E2125" s="18">
        <v>0</v>
      </c>
      <c r="F2125" s="18">
        <f t="shared" si="4581"/>
        <v>156</v>
      </c>
      <c r="G2125" s="18">
        <f t="shared" si="4577"/>
        <v>156</v>
      </c>
      <c r="H2125" s="45">
        <v>0</v>
      </c>
      <c r="I2125" s="21">
        <f t="shared" si="4529"/>
        <v>330</v>
      </c>
      <c r="J2125" s="21">
        <f t="shared" si="4574"/>
        <v>23</v>
      </c>
      <c r="K2125" s="21">
        <v>0</v>
      </c>
      <c r="L2125" s="20">
        <v>6</v>
      </c>
      <c r="M2125" s="20">
        <v>0</v>
      </c>
      <c r="N2125" s="20">
        <f t="shared" si="4530"/>
        <v>9600</v>
      </c>
      <c r="O2125" s="19" t="s">
        <v>69</v>
      </c>
      <c r="P2125" s="20">
        <v>6400</v>
      </c>
      <c r="Q2125" s="20">
        <f t="shared" ref="Q2125:X2125" si="4624">Q2095</f>
        <v>960</v>
      </c>
      <c r="R2125" s="20">
        <f t="shared" si="4624"/>
        <v>3840</v>
      </c>
      <c r="S2125" s="20">
        <f t="shared" si="4624"/>
        <v>6720</v>
      </c>
      <c r="T2125" s="20">
        <f t="shared" si="4624"/>
        <v>8640</v>
      </c>
      <c r="U2125" s="20">
        <f t="shared" si="4624"/>
        <v>100</v>
      </c>
      <c r="V2125" s="20">
        <f t="shared" si="4624"/>
        <v>500</v>
      </c>
      <c r="W2125" s="20">
        <f t="shared" si="4624"/>
        <v>900</v>
      </c>
      <c r="X2125" s="20">
        <f t="shared" si="4624"/>
        <v>6</v>
      </c>
      <c r="Y2125" s="20">
        <v>0</v>
      </c>
      <c r="Z2125" s="20">
        <v>0</v>
      </c>
      <c r="AA2125" s="20">
        <f t="shared" si="4579"/>
        <v>0</v>
      </c>
      <c r="AB2125" s="20">
        <v>0</v>
      </c>
      <c r="AC2125" s="20">
        <v>0</v>
      </c>
      <c r="AD2125" s="23">
        <f t="shared" ref="AD2125:AE2125" si="4625">AD2095</f>
        <v>46</v>
      </c>
      <c r="AE2125" s="23">
        <f t="shared" si="4625"/>
        <v>50</v>
      </c>
    </row>
    <row r="2126" spans="1:31">
      <c r="A2126" s="4">
        <v>18100</v>
      </c>
      <c r="B2126" s="4">
        <v>25</v>
      </c>
      <c r="C2126" s="19" t="s">
        <v>70</v>
      </c>
      <c r="D2126" s="44">
        <v>0</v>
      </c>
      <c r="E2126" s="18">
        <v>0</v>
      </c>
      <c r="F2126" s="18">
        <f t="shared" si="4581"/>
        <v>169</v>
      </c>
      <c r="G2126" s="18">
        <f t="shared" si="4577"/>
        <v>169</v>
      </c>
      <c r="H2126" s="45">
        <v>0</v>
      </c>
      <c r="I2126" s="21">
        <f t="shared" si="4529"/>
        <v>385</v>
      </c>
      <c r="J2126" s="21">
        <f t="shared" si="4574"/>
        <v>24</v>
      </c>
      <c r="K2126" s="21">
        <v>0</v>
      </c>
      <c r="L2126" s="20">
        <v>6</v>
      </c>
      <c r="M2126" s="20">
        <v>0</v>
      </c>
      <c r="N2126" s="20">
        <f t="shared" si="4530"/>
        <v>12500</v>
      </c>
      <c r="O2126" s="19" t="s">
        <v>70</v>
      </c>
      <c r="P2126" s="20">
        <v>3100</v>
      </c>
      <c r="Q2126" s="20">
        <f t="shared" ref="Q2126:X2126" si="4626">Q2096</f>
        <v>1250</v>
      </c>
      <c r="R2126" s="20">
        <f t="shared" si="4626"/>
        <v>5000</v>
      </c>
      <c r="S2126" s="20">
        <f t="shared" si="4626"/>
        <v>8750</v>
      </c>
      <c r="T2126" s="20">
        <f t="shared" si="4626"/>
        <v>11250</v>
      </c>
      <c r="U2126" s="20">
        <f t="shared" si="4626"/>
        <v>10</v>
      </c>
      <c r="V2126" s="20">
        <f t="shared" si="4626"/>
        <v>1300</v>
      </c>
      <c r="W2126" s="20">
        <f t="shared" si="4626"/>
        <v>1000</v>
      </c>
      <c r="X2126" s="20">
        <f t="shared" si="4626"/>
        <v>7</v>
      </c>
      <c r="Y2126" s="20">
        <v>0</v>
      </c>
      <c r="Z2126" s="20">
        <v>0</v>
      </c>
      <c r="AA2126" s="20">
        <f t="shared" si="4579"/>
        <v>0</v>
      </c>
      <c r="AB2126" s="20">
        <v>0</v>
      </c>
      <c r="AC2126" s="20">
        <v>0</v>
      </c>
      <c r="AD2126" s="23">
        <f t="shared" ref="AD2126:AE2126" si="4627">AD2096</f>
        <v>48</v>
      </c>
      <c r="AE2126" s="23">
        <f t="shared" si="4627"/>
        <v>52</v>
      </c>
    </row>
    <row r="2127" spans="1:31">
      <c r="A2127" s="4">
        <v>18100</v>
      </c>
      <c r="B2127" s="4">
        <v>26</v>
      </c>
      <c r="C2127" s="19" t="s">
        <v>71</v>
      </c>
      <c r="D2127" s="44">
        <v>0</v>
      </c>
      <c r="E2127" s="18">
        <v>0</v>
      </c>
      <c r="F2127" s="18">
        <f t="shared" si="4581"/>
        <v>183</v>
      </c>
      <c r="G2127" s="18">
        <f t="shared" si="4577"/>
        <v>183</v>
      </c>
      <c r="H2127" s="45">
        <v>0</v>
      </c>
      <c r="I2127" s="21">
        <f t="shared" si="4529"/>
        <v>385</v>
      </c>
      <c r="J2127" s="21">
        <f t="shared" si="4574"/>
        <v>25</v>
      </c>
      <c r="K2127" s="21">
        <v>0</v>
      </c>
      <c r="L2127" s="20">
        <v>6</v>
      </c>
      <c r="M2127" s="20">
        <v>0</v>
      </c>
      <c r="N2127" s="20">
        <f t="shared" si="4530"/>
        <v>13000</v>
      </c>
      <c r="O2127" s="19" t="s">
        <v>71</v>
      </c>
      <c r="P2127" s="20">
        <v>1777</v>
      </c>
      <c r="Q2127" s="20">
        <f t="shared" ref="Q2127:X2127" si="4628">Q2097</f>
        <v>1300</v>
      </c>
      <c r="R2127" s="20">
        <f t="shared" si="4628"/>
        <v>5200</v>
      </c>
      <c r="S2127" s="20">
        <f t="shared" si="4628"/>
        <v>9100</v>
      </c>
      <c r="T2127" s="20">
        <f t="shared" si="4628"/>
        <v>11700</v>
      </c>
      <c r="U2127" s="20">
        <f t="shared" si="4628"/>
        <v>90</v>
      </c>
      <c r="V2127" s="20">
        <f t="shared" si="4628"/>
        <v>800</v>
      </c>
      <c r="W2127" s="20">
        <f t="shared" si="4628"/>
        <v>2000</v>
      </c>
      <c r="X2127" s="20">
        <f t="shared" si="4628"/>
        <v>7</v>
      </c>
      <c r="Y2127" s="20">
        <v>0</v>
      </c>
      <c r="Z2127" s="20">
        <v>0</v>
      </c>
      <c r="AA2127" s="20">
        <f t="shared" si="4579"/>
        <v>0</v>
      </c>
      <c r="AB2127" s="20">
        <v>0</v>
      </c>
      <c r="AC2127" s="20">
        <v>0</v>
      </c>
      <c r="AD2127" s="23">
        <f t="shared" ref="AD2127:AE2127" si="4629">AD2097</f>
        <v>50</v>
      </c>
      <c r="AE2127" s="23">
        <f t="shared" si="4629"/>
        <v>54</v>
      </c>
    </row>
    <row r="2128" spans="1:31">
      <c r="A2128" s="4">
        <v>18100</v>
      </c>
      <c r="B2128" s="4">
        <v>27</v>
      </c>
      <c r="C2128" s="19" t="s">
        <v>72</v>
      </c>
      <c r="D2128" s="44">
        <v>0</v>
      </c>
      <c r="E2128" s="18">
        <v>0</v>
      </c>
      <c r="F2128" s="18">
        <f t="shared" si="4581"/>
        <v>198</v>
      </c>
      <c r="G2128" s="18">
        <f t="shared" si="4577"/>
        <v>198</v>
      </c>
      <c r="H2128" s="45">
        <v>0</v>
      </c>
      <c r="I2128" s="21">
        <f t="shared" si="4529"/>
        <v>385</v>
      </c>
      <c r="J2128" s="21">
        <f t="shared" si="4574"/>
        <v>26</v>
      </c>
      <c r="K2128" s="21">
        <v>0</v>
      </c>
      <c r="L2128" s="20">
        <v>6</v>
      </c>
      <c r="M2128" s="20">
        <v>0</v>
      </c>
      <c r="N2128" s="20">
        <f t="shared" si="4530"/>
        <v>13500</v>
      </c>
      <c r="O2128" s="19" t="s">
        <v>72</v>
      </c>
      <c r="P2128" s="20">
        <v>2332</v>
      </c>
      <c r="Q2128" s="20">
        <f t="shared" ref="Q2128:X2128" si="4630">Q2098</f>
        <v>1350</v>
      </c>
      <c r="R2128" s="20">
        <f t="shared" si="4630"/>
        <v>5400</v>
      </c>
      <c r="S2128" s="20">
        <f t="shared" si="4630"/>
        <v>9450</v>
      </c>
      <c r="T2128" s="20">
        <f t="shared" si="4630"/>
        <v>12150</v>
      </c>
      <c r="U2128" s="20">
        <f t="shared" si="4630"/>
        <v>80</v>
      </c>
      <c r="V2128" s="20">
        <f t="shared" si="4630"/>
        <v>700</v>
      </c>
      <c r="W2128" s="20">
        <f t="shared" si="4630"/>
        <v>800</v>
      </c>
      <c r="X2128" s="20">
        <f t="shared" si="4630"/>
        <v>7</v>
      </c>
      <c r="Y2128" s="20">
        <v>0</v>
      </c>
      <c r="Z2128" s="20">
        <v>0</v>
      </c>
      <c r="AA2128" s="20">
        <f t="shared" si="4579"/>
        <v>0</v>
      </c>
      <c r="AB2128" s="20">
        <v>0</v>
      </c>
      <c r="AC2128" s="20">
        <v>0</v>
      </c>
      <c r="AD2128" s="23">
        <f t="shared" ref="AD2128:AE2128" si="4631">AD2098</f>
        <v>52</v>
      </c>
      <c r="AE2128" s="23">
        <f t="shared" si="4631"/>
        <v>56</v>
      </c>
    </row>
    <row r="2129" spans="1:31">
      <c r="A2129" s="4">
        <v>18100</v>
      </c>
      <c r="B2129" s="4">
        <v>28</v>
      </c>
      <c r="C2129" s="19" t="s">
        <v>73</v>
      </c>
      <c r="D2129" s="44">
        <v>0</v>
      </c>
      <c r="E2129" s="18">
        <v>0</v>
      </c>
      <c r="F2129" s="18">
        <f t="shared" si="4581"/>
        <v>215</v>
      </c>
      <c r="G2129" s="18">
        <f t="shared" si="4577"/>
        <v>215</v>
      </c>
      <c r="H2129" s="45">
        <v>0</v>
      </c>
      <c r="I2129" s="21">
        <f t="shared" si="4529"/>
        <v>385</v>
      </c>
      <c r="J2129" s="21">
        <f t="shared" si="4574"/>
        <v>27</v>
      </c>
      <c r="K2129" s="21">
        <v>0</v>
      </c>
      <c r="L2129" s="20">
        <v>6</v>
      </c>
      <c r="M2129" s="20">
        <v>0</v>
      </c>
      <c r="N2129" s="20">
        <f t="shared" si="4530"/>
        <v>14000</v>
      </c>
      <c r="O2129" s="19" t="s">
        <v>73</v>
      </c>
      <c r="P2129" s="20">
        <v>1487</v>
      </c>
      <c r="Q2129" s="20">
        <f t="shared" ref="Q2129:X2129" si="4632">Q2099</f>
        <v>1400</v>
      </c>
      <c r="R2129" s="20">
        <f t="shared" si="4632"/>
        <v>5600</v>
      </c>
      <c r="S2129" s="20">
        <f t="shared" si="4632"/>
        <v>9800</v>
      </c>
      <c r="T2129" s="20">
        <f t="shared" si="4632"/>
        <v>12600</v>
      </c>
      <c r="U2129" s="20">
        <f t="shared" si="4632"/>
        <v>80</v>
      </c>
      <c r="V2129" s="20">
        <f t="shared" si="4632"/>
        <v>500</v>
      </c>
      <c r="W2129" s="20">
        <f t="shared" si="4632"/>
        <v>600</v>
      </c>
      <c r="X2129" s="20">
        <f t="shared" si="4632"/>
        <v>7</v>
      </c>
      <c r="Y2129" s="20">
        <f>ROUND(D2129*0.25,-1)</f>
        <v>0</v>
      </c>
      <c r="Z2129" s="20">
        <f>ROUND(E2129*0.25,-1)</f>
        <v>0</v>
      </c>
      <c r="AA2129" s="20">
        <f t="shared" si="4579"/>
        <v>113</v>
      </c>
      <c r="AB2129" s="20">
        <v>0</v>
      </c>
      <c r="AC2129" s="20">
        <f>ROUND(H2129*0.25,-1)</f>
        <v>0</v>
      </c>
      <c r="AD2129" s="23">
        <f t="shared" ref="AD2129:AE2129" si="4633">AD2099</f>
        <v>54</v>
      </c>
      <c r="AE2129" s="23">
        <f t="shared" si="4633"/>
        <v>58</v>
      </c>
    </row>
    <row r="2130" spans="1:31">
      <c r="A2130" s="4">
        <v>18100</v>
      </c>
      <c r="B2130" s="4">
        <v>29</v>
      </c>
      <c r="C2130" s="19" t="s">
        <v>74</v>
      </c>
      <c r="D2130" s="44">
        <v>0</v>
      </c>
      <c r="E2130" s="18">
        <v>0</v>
      </c>
      <c r="F2130" s="18">
        <f t="shared" si="4581"/>
        <v>233</v>
      </c>
      <c r="G2130" s="18">
        <f t="shared" si="4577"/>
        <v>233</v>
      </c>
      <c r="H2130" s="45">
        <v>0</v>
      </c>
      <c r="I2130" s="21">
        <f t="shared" si="4529"/>
        <v>440</v>
      </c>
      <c r="J2130" s="21">
        <f t="shared" si="4574"/>
        <v>28</v>
      </c>
      <c r="K2130" s="21">
        <v>0</v>
      </c>
      <c r="L2130" s="20">
        <v>6</v>
      </c>
      <c r="M2130" s="20">
        <v>0</v>
      </c>
      <c r="N2130" s="20">
        <f t="shared" si="4530"/>
        <v>14500</v>
      </c>
      <c r="O2130" s="19" t="s">
        <v>74</v>
      </c>
      <c r="P2130" s="20">
        <v>1518</v>
      </c>
      <c r="Q2130" s="20">
        <f t="shared" ref="Q2130:X2130" si="4634">Q2100</f>
        <v>1450</v>
      </c>
      <c r="R2130" s="20">
        <f t="shared" si="4634"/>
        <v>5800</v>
      </c>
      <c r="S2130" s="20">
        <f t="shared" si="4634"/>
        <v>10150</v>
      </c>
      <c r="T2130" s="20">
        <f t="shared" si="4634"/>
        <v>13050</v>
      </c>
      <c r="U2130" s="20">
        <f t="shared" si="4634"/>
        <v>80</v>
      </c>
      <c r="V2130" s="20">
        <f t="shared" si="4634"/>
        <v>600</v>
      </c>
      <c r="W2130" s="20">
        <f t="shared" si="4634"/>
        <v>700</v>
      </c>
      <c r="X2130" s="20">
        <f t="shared" si="4634"/>
        <v>8</v>
      </c>
      <c r="Y2130" s="20">
        <v>0</v>
      </c>
      <c r="Z2130" s="20">
        <v>0</v>
      </c>
      <c r="AA2130" s="20">
        <f t="shared" si="4579"/>
        <v>0</v>
      </c>
      <c r="AB2130" s="20">
        <v>0</v>
      </c>
      <c r="AC2130" s="20">
        <v>0</v>
      </c>
      <c r="AD2130" s="23">
        <f t="shared" ref="AD2130:AE2130" si="4635">AD2100</f>
        <v>56</v>
      </c>
      <c r="AE2130" s="23">
        <f t="shared" si="4635"/>
        <v>60</v>
      </c>
    </row>
    <row r="2131" spans="1:31">
      <c r="A2131" s="4">
        <v>18100</v>
      </c>
      <c r="B2131" s="4">
        <v>30</v>
      </c>
      <c r="C2131" s="19" t="s">
        <v>75</v>
      </c>
      <c r="D2131" s="44">
        <v>0</v>
      </c>
      <c r="E2131" s="18">
        <v>0</v>
      </c>
      <c r="F2131" s="18">
        <v>252</v>
      </c>
      <c r="G2131" s="18">
        <f t="shared" si="4577"/>
        <v>252</v>
      </c>
      <c r="H2131" s="45">
        <v>0</v>
      </c>
      <c r="I2131" s="21">
        <f t="shared" si="4529"/>
        <v>440</v>
      </c>
      <c r="J2131" s="21">
        <f t="shared" si="4574"/>
        <v>29</v>
      </c>
      <c r="K2131" s="21">
        <v>0</v>
      </c>
      <c r="L2131" s="20">
        <v>6</v>
      </c>
      <c r="M2131" s="20">
        <v>0</v>
      </c>
      <c r="N2131" s="20">
        <f t="shared" si="4530"/>
        <v>15000</v>
      </c>
      <c r="O2131" s="19" t="s">
        <v>75</v>
      </c>
      <c r="P2131" s="20">
        <v>861</v>
      </c>
      <c r="Q2131" s="20">
        <f t="shared" ref="Q2131:X2131" si="4636">Q2101</f>
        <v>1500</v>
      </c>
      <c r="R2131" s="20">
        <f t="shared" si="4636"/>
        <v>6000</v>
      </c>
      <c r="S2131" s="20">
        <f t="shared" si="4636"/>
        <v>10500</v>
      </c>
      <c r="T2131" s="20">
        <f t="shared" si="4636"/>
        <v>13500</v>
      </c>
      <c r="U2131" s="20">
        <f t="shared" si="4636"/>
        <v>20</v>
      </c>
      <c r="V2131" s="20">
        <f t="shared" si="4636"/>
        <v>450</v>
      </c>
      <c r="W2131" s="20">
        <f t="shared" si="4636"/>
        <v>1000</v>
      </c>
      <c r="X2131" s="20">
        <f t="shared" si="4636"/>
        <v>8</v>
      </c>
      <c r="Y2131" s="20">
        <v>0</v>
      </c>
      <c r="Z2131" s="20">
        <v>0</v>
      </c>
      <c r="AA2131" s="20">
        <f t="shared" si="4579"/>
        <v>0</v>
      </c>
      <c r="AB2131" s="20">
        <v>0</v>
      </c>
      <c r="AC2131" s="20">
        <v>0</v>
      </c>
      <c r="AD2131" s="23">
        <f t="shared" ref="AD2131:AE2131" si="4637">AD2101</f>
        <v>58</v>
      </c>
      <c r="AE2131" s="23">
        <f t="shared" si="4637"/>
        <v>62</v>
      </c>
    </row>
    <row r="2132" spans="1:31">
      <c r="A2132" s="4">
        <v>18101</v>
      </c>
      <c r="B2132" s="4">
        <v>1</v>
      </c>
      <c r="C2132" s="29" t="s">
        <v>66</v>
      </c>
      <c r="D2132" s="46">
        <v>0</v>
      </c>
      <c r="E2132" s="28">
        <v>0</v>
      </c>
      <c r="F2132" s="28">
        <f>F2102*2</f>
        <v>50</v>
      </c>
      <c r="G2132" s="18">
        <f t="shared" si="4577"/>
        <v>50</v>
      </c>
      <c r="H2132" s="47">
        <v>0</v>
      </c>
      <c r="I2132" s="21">
        <f t="shared" si="4529"/>
        <v>55</v>
      </c>
      <c r="J2132" s="21">
        <f t="shared" si="4574"/>
        <v>0</v>
      </c>
      <c r="K2132" s="21">
        <v>0</v>
      </c>
      <c r="L2132" s="20">
        <v>45</v>
      </c>
      <c r="M2132" s="20">
        <v>0</v>
      </c>
      <c r="N2132" s="20">
        <f t="shared" si="4530"/>
        <v>10</v>
      </c>
      <c r="O2132" s="19" t="s">
        <v>66</v>
      </c>
      <c r="P2132" s="20">
        <v>9400</v>
      </c>
      <c r="Q2132" s="20">
        <f t="shared" ref="Q2132:X2132" si="4638">Q2102</f>
        <v>1</v>
      </c>
      <c r="R2132" s="20">
        <f t="shared" si="4638"/>
        <v>4</v>
      </c>
      <c r="S2132" s="20">
        <f t="shared" si="4638"/>
        <v>7</v>
      </c>
      <c r="T2132" s="20">
        <f t="shared" si="4638"/>
        <v>9</v>
      </c>
      <c r="U2132" s="20">
        <f t="shared" si="4638"/>
        <v>9400</v>
      </c>
      <c r="V2132" s="20">
        <f t="shared" si="4638"/>
        <v>9400</v>
      </c>
      <c r="W2132" s="20">
        <f t="shared" si="4638"/>
        <v>9400</v>
      </c>
      <c r="X2132" s="20">
        <f t="shared" si="4638"/>
        <v>1</v>
      </c>
      <c r="Y2132" s="20">
        <v>0</v>
      </c>
      <c r="Z2132" s="20">
        <v>0</v>
      </c>
      <c r="AA2132" s="20">
        <f t="shared" si="4579"/>
        <v>0</v>
      </c>
      <c r="AB2132" s="20">
        <v>0</v>
      </c>
      <c r="AC2132" s="20">
        <v>0</v>
      </c>
      <c r="AD2132" s="23">
        <f t="shared" ref="AD2132:AE2132" si="4639">AD2102</f>
        <v>1</v>
      </c>
      <c r="AE2132" s="23">
        <f t="shared" si="4639"/>
        <v>3</v>
      </c>
    </row>
    <row r="2133" spans="1:31">
      <c r="A2133" s="4">
        <v>18101</v>
      </c>
      <c r="B2133" s="4">
        <v>2</v>
      </c>
      <c r="C2133" s="29" t="s">
        <v>67</v>
      </c>
      <c r="D2133" s="46">
        <v>0</v>
      </c>
      <c r="E2133" s="28">
        <v>0</v>
      </c>
      <c r="F2133" s="28">
        <f t="shared" ref="F2133:F2161" si="4640">F2103*2</f>
        <v>54</v>
      </c>
      <c r="G2133" s="18">
        <f t="shared" si="4577"/>
        <v>54</v>
      </c>
      <c r="H2133" s="47">
        <v>0</v>
      </c>
      <c r="I2133" s="21">
        <f t="shared" si="4529"/>
        <v>55</v>
      </c>
      <c r="J2133" s="21">
        <f t="shared" si="4574"/>
        <v>1</v>
      </c>
      <c r="K2133" s="21">
        <v>0</v>
      </c>
      <c r="L2133" s="20">
        <v>40</v>
      </c>
      <c r="M2133" s="20">
        <v>0</v>
      </c>
      <c r="N2133" s="20">
        <f t="shared" si="4530"/>
        <v>20</v>
      </c>
      <c r="O2133" s="19" t="s">
        <v>67</v>
      </c>
      <c r="P2133" s="20">
        <v>9100</v>
      </c>
      <c r="Q2133" s="20">
        <f t="shared" ref="Q2133:X2133" si="4641">Q2103</f>
        <v>2</v>
      </c>
      <c r="R2133" s="20">
        <f t="shared" si="4641"/>
        <v>8</v>
      </c>
      <c r="S2133" s="20">
        <f t="shared" si="4641"/>
        <v>14</v>
      </c>
      <c r="T2133" s="20">
        <f t="shared" si="4641"/>
        <v>18</v>
      </c>
      <c r="U2133" s="20">
        <f t="shared" si="4641"/>
        <v>4000</v>
      </c>
      <c r="V2133" s="20">
        <f t="shared" si="4641"/>
        <v>8000</v>
      </c>
      <c r="W2133" s="20">
        <f t="shared" si="4641"/>
        <v>8000</v>
      </c>
      <c r="X2133" s="20">
        <f t="shared" si="4641"/>
        <v>1</v>
      </c>
      <c r="Y2133" s="20">
        <v>0</v>
      </c>
      <c r="Z2133" s="20">
        <v>0</v>
      </c>
      <c r="AA2133" s="20">
        <f t="shared" si="4579"/>
        <v>0</v>
      </c>
      <c r="AB2133" s="20">
        <v>0</v>
      </c>
      <c r="AC2133" s="20">
        <v>0</v>
      </c>
      <c r="AD2133" s="23">
        <f t="shared" ref="AD2133:AE2133" si="4642">AD2103</f>
        <v>2</v>
      </c>
      <c r="AE2133" s="23">
        <f t="shared" si="4642"/>
        <v>5</v>
      </c>
    </row>
    <row r="2134" spans="1:31">
      <c r="A2134" s="8">
        <v>18101</v>
      </c>
      <c r="B2134" s="8">
        <v>3</v>
      </c>
      <c r="C2134" s="29" t="s">
        <v>68</v>
      </c>
      <c r="D2134" s="46">
        <v>0</v>
      </c>
      <c r="E2134" s="28">
        <v>0</v>
      </c>
      <c r="F2134" s="28">
        <f t="shared" si="4640"/>
        <v>58</v>
      </c>
      <c r="G2134" s="18">
        <f t="shared" si="4577"/>
        <v>58</v>
      </c>
      <c r="H2134" s="47">
        <v>0</v>
      </c>
      <c r="I2134" s="21">
        <f t="shared" si="4529"/>
        <v>55</v>
      </c>
      <c r="J2134" s="21">
        <f t="shared" si="4574"/>
        <v>2</v>
      </c>
      <c r="K2134" s="21">
        <v>0</v>
      </c>
      <c r="L2134" s="20">
        <v>35</v>
      </c>
      <c r="M2134" s="20">
        <v>0</v>
      </c>
      <c r="N2134" s="20">
        <f t="shared" si="4530"/>
        <v>40</v>
      </c>
      <c r="O2134" s="19" t="s">
        <v>68</v>
      </c>
      <c r="P2134" s="20">
        <v>8600</v>
      </c>
      <c r="Q2134" s="20">
        <f t="shared" ref="Q2134:X2134" si="4643">Q2104</f>
        <v>4</v>
      </c>
      <c r="R2134" s="20">
        <f t="shared" si="4643"/>
        <v>16</v>
      </c>
      <c r="S2134" s="20">
        <f t="shared" si="4643"/>
        <v>28</v>
      </c>
      <c r="T2134" s="20">
        <f t="shared" si="4643"/>
        <v>36</v>
      </c>
      <c r="U2134" s="20">
        <f t="shared" si="4643"/>
        <v>1600</v>
      </c>
      <c r="V2134" s="20">
        <f t="shared" si="4643"/>
        <v>5000</v>
      </c>
      <c r="W2134" s="20">
        <f t="shared" si="4643"/>
        <v>6000</v>
      </c>
      <c r="X2134" s="20">
        <f t="shared" si="4643"/>
        <v>1</v>
      </c>
      <c r="Y2134" s="20">
        <v>0</v>
      </c>
      <c r="Z2134" s="20">
        <v>0</v>
      </c>
      <c r="AA2134" s="20">
        <f t="shared" si="4579"/>
        <v>0</v>
      </c>
      <c r="AB2134" s="20">
        <v>0</v>
      </c>
      <c r="AC2134" s="20">
        <v>0</v>
      </c>
      <c r="AD2134" s="23">
        <f t="shared" ref="AD2134:AE2134" si="4644">AD2104</f>
        <v>4</v>
      </c>
      <c r="AE2134" s="23">
        <f t="shared" si="4644"/>
        <v>8</v>
      </c>
    </row>
    <row r="2135" spans="1:31">
      <c r="A2135" s="4">
        <v>18101</v>
      </c>
      <c r="B2135" s="4">
        <v>4</v>
      </c>
      <c r="C2135" s="29" t="s">
        <v>69</v>
      </c>
      <c r="D2135" s="46">
        <v>0</v>
      </c>
      <c r="E2135" s="28">
        <v>0</v>
      </c>
      <c r="F2135" s="28">
        <f t="shared" si="4640"/>
        <v>64</v>
      </c>
      <c r="G2135" s="18">
        <f t="shared" si="4577"/>
        <v>64</v>
      </c>
      <c r="H2135" s="47">
        <v>0</v>
      </c>
      <c r="I2135" s="21">
        <f t="shared" si="4529"/>
        <v>55</v>
      </c>
      <c r="J2135" s="21">
        <f t="shared" si="4574"/>
        <v>3</v>
      </c>
      <c r="K2135" s="21">
        <v>0</v>
      </c>
      <c r="L2135" s="20">
        <v>30</v>
      </c>
      <c r="M2135" s="20">
        <v>0</v>
      </c>
      <c r="N2135" s="20">
        <f t="shared" si="4530"/>
        <v>100</v>
      </c>
      <c r="O2135" s="19" t="s">
        <v>69</v>
      </c>
      <c r="P2135" s="20">
        <v>6400</v>
      </c>
      <c r="Q2135" s="20">
        <f t="shared" ref="Q2135:X2135" si="4645">Q2105</f>
        <v>10</v>
      </c>
      <c r="R2135" s="20">
        <f t="shared" si="4645"/>
        <v>40</v>
      </c>
      <c r="S2135" s="20">
        <f t="shared" si="4645"/>
        <v>70</v>
      </c>
      <c r="T2135" s="20">
        <f t="shared" si="4645"/>
        <v>90</v>
      </c>
      <c r="U2135" s="20">
        <f t="shared" si="4645"/>
        <v>900</v>
      </c>
      <c r="V2135" s="20">
        <f t="shared" si="4645"/>
        <v>2000</v>
      </c>
      <c r="W2135" s="20">
        <f t="shared" si="4645"/>
        <v>8000</v>
      </c>
      <c r="X2135" s="20">
        <f t="shared" si="4645"/>
        <v>1</v>
      </c>
      <c r="Y2135" s="20">
        <v>0</v>
      </c>
      <c r="Z2135" s="20">
        <v>0</v>
      </c>
      <c r="AA2135" s="20">
        <f t="shared" si="4579"/>
        <v>0</v>
      </c>
      <c r="AB2135" s="20">
        <v>0</v>
      </c>
      <c r="AC2135" s="20">
        <v>0</v>
      </c>
      <c r="AD2135" s="23">
        <f t="shared" ref="AD2135:AE2135" si="4646">AD2105</f>
        <v>6</v>
      </c>
      <c r="AE2135" s="23">
        <f t="shared" si="4646"/>
        <v>10</v>
      </c>
    </row>
    <row r="2136" spans="1:31">
      <c r="A2136" s="4">
        <v>18101</v>
      </c>
      <c r="B2136" s="4">
        <v>5</v>
      </c>
      <c r="C2136" s="29" t="s">
        <v>70</v>
      </c>
      <c r="D2136" s="46">
        <v>0</v>
      </c>
      <c r="E2136" s="28">
        <v>0</v>
      </c>
      <c r="F2136" s="28">
        <f t="shared" si="4640"/>
        <v>68</v>
      </c>
      <c r="G2136" s="18">
        <f t="shared" si="4577"/>
        <v>68</v>
      </c>
      <c r="H2136" s="47">
        <v>0</v>
      </c>
      <c r="I2136" s="21">
        <f t="shared" si="4529"/>
        <v>110</v>
      </c>
      <c r="J2136" s="21">
        <f t="shared" si="4574"/>
        <v>4</v>
      </c>
      <c r="K2136" s="21">
        <v>0</v>
      </c>
      <c r="L2136" s="20">
        <v>25</v>
      </c>
      <c r="M2136" s="20">
        <v>0</v>
      </c>
      <c r="N2136" s="20">
        <f t="shared" si="4530"/>
        <v>200</v>
      </c>
      <c r="O2136" s="19" t="s">
        <v>70</v>
      </c>
      <c r="P2136" s="20">
        <v>3100</v>
      </c>
      <c r="Q2136" s="20">
        <f t="shared" ref="Q2136:X2136" si="4647">Q2106</f>
        <v>20</v>
      </c>
      <c r="R2136" s="20">
        <f t="shared" si="4647"/>
        <v>80</v>
      </c>
      <c r="S2136" s="20">
        <f t="shared" si="4647"/>
        <v>140</v>
      </c>
      <c r="T2136" s="20">
        <f t="shared" si="4647"/>
        <v>180</v>
      </c>
      <c r="U2136" s="20">
        <f t="shared" si="4647"/>
        <v>1000</v>
      </c>
      <c r="V2136" s="20">
        <f t="shared" si="4647"/>
        <v>2000</v>
      </c>
      <c r="W2136" s="20">
        <f t="shared" si="4647"/>
        <v>2000</v>
      </c>
      <c r="X2136" s="20">
        <f t="shared" si="4647"/>
        <v>2</v>
      </c>
      <c r="Y2136" s="20">
        <v>0</v>
      </c>
      <c r="Z2136" s="20">
        <v>0</v>
      </c>
      <c r="AA2136" s="20">
        <f t="shared" si="4579"/>
        <v>0</v>
      </c>
      <c r="AB2136" s="20">
        <v>0</v>
      </c>
      <c r="AC2136" s="20">
        <v>0</v>
      </c>
      <c r="AD2136" s="23">
        <f t="shared" ref="AD2136:AE2136" si="4648">AD2106</f>
        <v>8</v>
      </c>
      <c r="AE2136" s="23">
        <f t="shared" si="4648"/>
        <v>12</v>
      </c>
    </row>
    <row r="2137" spans="1:31">
      <c r="A2137" s="4">
        <v>18101</v>
      </c>
      <c r="B2137" s="4">
        <v>6</v>
      </c>
      <c r="C2137" s="29" t="s">
        <v>71</v>
      </c>
      <c r="D2137" s="46">
        <v>0</v>
      </c>
      <c r="E2137" s="28">
        <v>0</v>
      </c>
      <c r="F2137" s="28">
        <f t="shared" si="4640"/>
        <v>74</v>
      </c>
      <c r="G2137" s="18">
        <f t="shared" si="4577"/>
        <v>74</v>
      </c>
      <c r="H2137" s="47">
        <v>0</v>
      </c>
      <c r="I2137" s="21">
        <f t="shared" si="4529"/>
        <v>110</v>
      </c>
      <c r="J2137" s="21">
        <f t="shared" si="4574"/>
        <v>5</v>
      </c>
      <c r="K2137" s="21">
        <v>0</v>
      </c>
      <c r="L2137" s="20">
        <v>20</v>
      </c>
      <c r="M2137" s="20">
        <v>0</v>
      </c>
      <c r="N2137" s="20">
        <f t="shared" si="4530"/>
        <v>500</v>
      </c>
      <c r="O2137" s="19" t="s">
        <v>71</v>
      </c>
      <c r="P2137" s="20">
        <v>1777</v>
      </c>
      <c r="Q2137" s="20">
        <f t="shared" ref="Q2137:X2137" si="4649">Q2107</f>
        <v>50</v>
      </c>
      <c r="R2137" s="20">
        <f t="shared" si="4649"/>
        <v>200</v>
      </c>
      <c r="S2137" s="20">
        <f t="shared" si="4649"/>
        <v>350</v>
      </c>
      <c r="T2137" s="20">
        <f t="shared" si="4649"/>
        <v>450</v>
      </c>
      <c r="U2137" s="20">
        <f t="shared" si="4649"/>
        <v>800</v>
      </c>
      <c r="V2137" s="20">
        <f t="shared" si="4649"/>
        <v>800</v>
      </c>
      <c r="W2137" s="20">
        <f t="shared" si="4649"/>
        <v>600</v>
      </c>
      <c r="X2137" s="20">
        <f t="shared" si="4649"/>
        <v>2</v>
      </c>
      <c r="Y2137" s="20">
        <v>0</v>
      </c>
      <c r="Z2137" s="20">
        <v>0</v>
      </c>
      <c r="AA2137" s="20">
        <f t="shared" si="4579"/>
        <v>0</v>
      </c>
      <c r="AB2137" s="20">
        <v>0</v>
      </c>
      <c r="AC2137" s="20">
        <v>0</v>
      </c>
      <c r="AD2137" s="23">
        <f t="shared" ref="AD2137:AE2137" si="4650">AD2107</f>
        <v>10</v>
      </c>
      <c r="AE2137" s="23">
        <f t="shared" si="4650"/>
        <v>14</v>
      </c>
    </row>
    <row r="2138" spans="1:31">
      <c r="A2138" s="4">
        <v>18101</v>
      </c>
      <c r="B2138" s="4">
        <v>7</v>
      </c>
      <c r="C2138" s="29" t="s">
        <v>72</v>
      </c>
      <c r="D2138" s="46">
        <v>0</v>
      </c>
      <c r="E2138" s="28">
        <v>0</v>
      </c>
      <c r="F2138" s="28">
        <f t="shared" si="4640"/>
        <v>80</v>
      </c>
      <c r="G2138" s="18">
        <f t="shared" si="4577"/>
        <v>80</v>
      </c>
      <c r="H2138" s="47">
        <v>0</v>
      </c>
      <c r="I2138" s="21">
        <f t="shared" si="4529"/>
        <v>110</v>
      </c>
      <c r="J2138" s="21">
        <f t="shared" si="4574"/>
        <v>6</v>
      </c>
      <c r="K2138" s="21">
        <v>0</v>
      </c>
      <c r="L2138" s="20">
        <v>16</v>
      </c>
      <c r="M2138" s="20">
        <v>0</v>
      </c>
      <c r="N2138" s="20">
        <f t="shared" si="4530"/>
        <v>700</v>
      </c>
      <c r="O2138" s="19" t="s">
        <v>72</v>
      </c>
      <c r="P2138" s="20">
        <v>2332</v>
      </c>
      <c r="Q2138" s="20">
        <f t="shared" ref="Q2138:X2138" si="4651">Q2108</f>
        <v>70</v>
      </c>
      <c r="R2138" s="20">
        <f t="shared" si="4651"/>
        <v>280</v>
      </c>
      <c r="S2138" s="20">
        <f t="shared" si="4651"/>
        <v>489.99999999999994</v>
      </c>
      <c r="T2138" s="20">
        <f t="shared" si="4651"/>
        <v>630</v>
      </c>
      <c r="U2138" s="20">
        <f t="shared" si="4651"/>
        <v>650</v>
      </c>
      <c r="V2138" s="20">
        <f t="shared" si="4651"/>
        <v>800</v>
      </c>
      <c r="W2138" s="20">
        <f t="shared" si="4651"/>
        <v>300</v>
      </c>
      <c r="X2138" s="20">
        <f t="shared" si="4651"/>
        <v>2</v>
      </c>
      <c r="Y2138" s="20">
        <v>0</v>
      </c>
      <c r="Z2138" s="20">
        <v>0</v>
      </c>
      <c r="AA2138" s="20">
        <f t="shared" si="4579"/>
        <v>0</v>
      </c>
      <c r="AB2138" s="20">
        <v>0</v>
      </c>
      <c r="AC2138" s="20">
        <v>0</v>
      </c>
      <c r="AD2138" s="23">
        <f t="shared" ref="AD2138:AE2138" si="4652">AD2108</f>
        <v>12</v>
      </c>
      <c r="AE2138" s="23">
        <f t="shared" si="4652"/>
        <v>16</v>
      </c>
    </row>
    <row r="2139" spans="1:31">
      <c r="A2139" s="4">
        <v>18101</v>
      </c>
      <c r="B2139" s="4">
        <v>8</v>
      </c>
      <c r="C2139" s="29" t="s">
        <v>73</v>
      </c>
      <c r="D2139" s="46">
        <v>0</v>
      </c>
      <c r="E2139" s="28">
        <v>0</v>
      </c>
      <c r="F2139" s="28">
        <f t="shared" si="4640"/>
        <v>88</v>
      </c>
      <c r="G2139" s="18">
        <f t="shared" si="4577"/>
        <v>88</v>
      </c>
      <c r="H2139" s="47">
        <v>0</v>
      </c>
      <c r="I2139" s="21">
        <f t="shared" si="4529"/>
        <v>110</v>
      </c>
      <c r="J2139" s="21">
        <f t="shared" si="4574"/>
        <v>7</v>
      </c>
      <c r="K2139" s="21">
        <v>0</v>
      </c>
      <c r="L2139" s="20">
        <v>12</v>
      </c>
      <c r="M2139" s="20">
        <v>0</v>
      </c>
      <c r="N2139" s="20">
        <f t="shared" si="4530"/>
        <v>800</v>
      </c>
      <c r="O2139" s="19" t="s">
        <v>73</v>
      </c>
      <c r="P2139" s="20">
        <v>1487</v>
      </c>
      <c r="Q2139" s="20">
        <f t="shared" ref="Q2139:X2139" si="4653">Q2109</f>
        <v>80</v>
      </c>
      <c r="R2139" s="20">
        <f t="shared" si="4653"/>
        <v>320</v>
      </c>
      <c r="S2139" s="20">
        <f t="shared" si="4653"/>
        <v>560</v>
      </c>
      <c r="T2139" s="20">
        <f t="shared" si="4653"/>
        <v>720</v>
      </c>
      <c r="U2139" s="20">
        <f t="shared" si="4653"/>
        <v>200</v>
      </c>
      <c r="V2139" s="20">
        <f t="shared" si="4653"/>
        <v>2000</v>
      </c>
      <c r="W2139" s="20">
        <f t="shared" si="4653"/>
        <v>1000</v>
      </c>
      <c r="X2139" s="20">
        <f t="shared" si="4653"/>
        <v>2</v>
      </c>
      <c r="Y2139" s="20">
        <f>ROUND(D2139*0.25,-1)</f>
        <v>0</v>
      </c>
      <c r="Z2139" s="20">
        <f>ROUND(E2139*0.25,-1)</f>
        <v>0</v>
      </c>
      <c r="AA2139" s="20">
        <f t="shared" si="4579"/>
        <v>25</v>
      </c>
      <c r="AB2139" s="20">
        <v>0</v>
      </c>
      <c r="AC2139" s="20">
        <f>ROUND(H2139*0.25,-1)</f>
        <v>0</v>
      </c>
      <c r="AD2139" s="23">
        <f t="shared" ref="AD2139:AE2139" si="4654">AD2109</f>
        <v>14</v>
      </c>
      <c r="AE2139" s="23">
        <f t="shared" si="4654"/>
        <v>18</v>
      </c>
    </row>
    <row r="2140" spans="1:31">
      <c r="A2140" s="4">
        <v>18101</v>
      </c>
      <c r="B2140" s="4">
        <v>9</v>
      </c>
      <c r="C2140" s="29" t="s">
        <v>74</v>
      </c>
      <c r="D2140" s="46">
        <v>0</v>
      </c>
      <c r="E2140" s="28">
        <v>0</v>
      </c>
      <c r="F2140" s="28">
        <f t="shared" si="4640"/>
        <v>94</v>
      </c>
      <c r="G2140" s="18">
        <f t="shared" si="4577"/>
        <v>94</v>
      </c>
      <c r="H2140" s="47">
        <v>0</v>
      </c>
      <c r="I2140" s="21">
        <f t="shared" si="4529"/>
        <v>165</v>
      </c>
      <c r="J2140" s="21">
        <f t="shared" si="4574"/>
        <v>8</v>
      </c>
      <c r="K2140" s="21">
        <v>0</v>
      </c>
      <c r="L2140" s="20">
        <v>8</v>
      </c>
      <c r="M2140" s="20">
        <v>0</v>
      </c>
      <c r="N2140" s="20">
        <f t="shared" si="4530"/>
        <v>900</v>
      </c>
      <c r="O2140" s="19" t="s">
        <v>74</v>
      </c>
      <c r="P2140" s="20">
        <v>1518</v>
      </c>
      <c r="Q2140" s="20">
        <f t="shared" ref="Q2140:X2140" si="4655">Q2110</f>
        <v>90</v>
      </c>
      <c r="R2140" s="20">
        <f t="shared" si="4655"/>
        <v>360</v>
      </c>
      <c r="S2140" s="20">
        <f t="shared" si="4655"/>
        <v>630</v>
      </c>
      <c r="T2140" s="20">
        <f t="shared" si="4655"/>
        <v>810</v>
      </c>
      <c r="U2140" s="20">
        <f t="shared" si="4655"/>
        <v>120</v>
      </c>
      <c r="V2140" s="20">
        <f t="shared" si="4655"/>
        <v>1500</v>
      </c>
      <c r="W2140" s="20">
        <f t="shared" si="4655"/>
        <v>1000</v>
      </c>
      <c r="X2140" s="20">
        <f t="shared" si="4655"/>
        <v>3</v>
      </c>
      <c r="Y2140" s="20">
        <v>0</v>
      </c>
      <c r="Z2140" s="20">
        <v>0</v>
      </c>
      <c r="AA2140" s="20">
        <f t="shared" si="4579"/>
        <v>0</v>
      </c>
      <c r="AB2140" s="20">
        <v>0</v>
      </c>
      <c r="AC2140" s="20">
        <v>0</v>
      </c>
      <c r="AD2140" s="23">
        <f t="shared" ref="AD2140:AE2140" si="4656">AD2110</f>
        <v>16</v>
      </c>
      <c r="AE2140" s="23">
        <f t="shared" si="4656"/>
        <v>20</v>
      </c>
    </row>
    <row r="2141" spans="1:31">
      <c r="A2141" s="4">
        <v>18101</v>
      </c>
      <c r="B2141" s="4">
        <v>10</v>
      </c>
      <c r="C2141" s="29" t="s">
        <v>75</v>
      </c>
      <c r="D2141" s="46">
        <v>0</v>
      </c>
      <c r="E2141" s="28">
        <v>0</v>
      </c>
      <c r="F2141" s="28">
        <f t="shared" si="4640"/>
        <v>102</v>
      </c>
      <c r="G2141" s="18">
        <f t="shared" si="4577"/>
        <v>102</v>
      </c>
      <c r="H2141" s="47">
        <v>0</v>
      </c>
      <c r="I2141" s="21">
        <f t="shared" si="4529"/>
        <v>165</v>
      </c>
      <c r="J2141" s="21">
        <f t="shared" si="4574"/>
        <v>9</v>
      </c>
      <c r="K2141" s="21">
        <v>0</v>
      </c>
      <c r="L2141" s="20">
        <v>6</v>
      </c>
      <c r="M2141" s="20">
        <v>0</v>
      </c>
      <c r="N2141" s="20">
        <f t="shared" si="4530"/>
        <v>2000</v>
      </c>
      <c r="O2141" s="19" t="s">
        <v>75</v>
      </c>
      <c r="P2141" s="20">
        <v>861</v>
      </c>
      <c r="Q2141" s="20">
        <f t="shared" ref="Q2141:X2141" si="4657">Q2111</f>
        <v>200</v>
      </c>
      <c r="R2141" s="20">
        <f t="shared" si="4657"/>
        <v>800</v>
      </c>
      <c r="S2141" s="20">
        <f t="shared" si="4657"/>
        <v>1400</v>
      </c>
      <c r="T2141" s="20">
        <f t="shared" si="4657"/>
        <v>1800</v>
      </c>
      <c r="U2141" s="20">
        <f t="shared" si="4657"/>
        <v>150</v>
      </c>
      <c r="V2141" s="20">
        <f t="shared" si="4657"/>
        <v>5000</v>
      </c>
      <c r="W2141" s="20">
        <f t="shared" si="4657"/>
        <v>800</v>
      </c>
      <c r="X2141" s="20">
        <f t="shared" si="4657"/>
        <v>3</v>
      </c>
      <c r="Y2141" s="20">
        <v>0</v>
      </c>
      <c r="Z2141" s="20">
        <v>0</v>
      </c>
      <c r="AA2141" s="20">
        <f t="shared" si="4579"/>
        <v>0</v>
      </c>
      <c r="AB2141" s="20">
        <v>0</v>
      </c>
      <c r="AC2141" s="20">
        <v>0</v>
      </c>
      <c r="AD2141" s="23">
        <f t="shared" ref="AD2141:AE2141" si="4658">AD2111</f>
        <v>18</v>
      </c>
      <c r="AE2141" s="23">
        <f t="shared" si="4658"/>
        <v>22</v>
      </c>
    </row>
    <row r="2142" spans="1:31">
      <c r="A2142" s="4">
        <v>18101</v>
      </c>
      <c r="B2142" s="4">
        <v>11</v>
      </c>
      <c r="C2142" s="29" t="s">
        <v>66</v>
      </c>
      <c r="D2142" s="46">
        <v>0</v>
      </c>
      <c r="E2142" s="28">
        <v>0</v>
      </c>
      <c r="F2142" s="28">
        <f t="shared" si="4640"/>
        <v>110</v>
      </c>
      <c r="G2142" s="18">
        <f t="shared" si="4577"/>
        <v>110</v>
      </c>
      <c r="H2142" s="47">
        <v>0</v>
      </c>
      <c r="I2142" s="21">
        <f t="shared" si="4529"/>
        <v>165</v>
      </c>
      <c r="J2142" s="21">
        <f t="shared" si="4574"/>
        <v>10</v>
      </c>
      <c r="K2142" s="21">
        <v>0</v>
      </c>
      <c r="L2142" s="20">
        <v>6</v>
      </c>
      <c r="M2142" s="20">
        <v>0</v>
      </c>
      <c r="N2142" s="20">
        <f t="shared" si="4530"/>
        <v>2200</v>
      </c>
      <c r="O2142" s="19" t="s">
        <v>66</v>
      </c>
      <c r="P2142" s="20">
        <v>9400</v>
      </c>
      <c r="Q2142" s="20">
        <f t="shared" ref="Q2142:X2142" si="4659">Q2112</f>
        <v>220</v>
      </c>
      <c r="R2142" s="20">
        <f t="shared" si="4659"/>
        <v>880</v>
      </c>
      <c r="S2142" s="20">
        <f t="shared" si="4659"/>
        <v>1540</v>
      </c>
      <c r="T2142" s="20">
        <f t="shared" si="4659"/>
        <v>1980</v>
      </c>
      <c r="U2142" s="20">
        <f t="shared" si="4659"/>
        <v>100</v>
      </c>
      <c r="V2142" s="20">
        <f t="shared" si="4659"/>
        <v>800</v>
      </c>
      <c r="W2142" s="20">
        <f t="shared" si="4659"/>
        <v>600</v>
      </c>
      <c r="X2142" s="20">
        <f t="shared" si="4659"/>
        <v>3</v>
      </c>
      <c r="Y2142" s="20">
        <v>0</v>
      </c>
      <c r="Z2142" s="20">
        <v>0</v>
      </c>
      <c r="AA2142" s="20">
        <f t="shared" si="4579"/>
        <v>0</v>
      </c>
      <c r="AB2142" s="20">
        <v>0</v>
      </c>
      <c r="AC2142" s="20">
        <v>0</v>
      </c>
      <c r="AD2142" s="23">
        <f t="shared" ref="AD2142:AE2142" si="4660">AD2112</f>
        <v>20</v>
      </c>
      <c r="AE2142" s="23">
        <f t="shared" si="4660"/>
        <v>24</v>
      </c>
    </row>
    <row r="2143" spans="1:31">
      <c r="A2143" s="4">
        <v>18101</v>
      </c>
      <c r="B2143" s="4">
        <v>12</v>
      </c>
      <c r="C2143" s="29" t="s">
        <v>67</v>
      </c>
      <c r="D2143" s="46">
        <v>0</v>
      </c>
      <c r="E2143" s="28">
        <v>0</v>
      </c>
      <c r="F2143" s="28">
        <f t="shared" si="4640"/>
        <v>120</v>
      </c>
      <c r="G2143" s="18">
        <f t="shared" si="4577"/>
        <v>120</v>
      </c>
      <c r="H2143" s="47">
        <v>0</v>
      </c>
      <c r="I2143" s="21">
        <f t="shared" si="4529"/>
        <v>165</v>
      </c>
      <c r="J2143" s="21">
        <f t="shared" si="4574"/>
        <v>11</v>
      </c>
      <c r="K2143" s="21">
        <v>0</v>
      </c>
      <c r="L2143" s="20">
        <v>6</v>
      </c>
      <c r="M2143" s="20">
        <v>0</v>
      </c>
      <c r="N2143" s="20">
        <f t="shared" si="4530"/>
        <v>2400</v>
      </c>
      <c r="O2143" s="19" t="s">
        <v>67</v>
      </c>
      <c r="P2143" s="20">
        <v>9100</v>
      </c>
      <c r="Q2143" s="20">
        <f t="shared" ref="Q2143:X2143" si="4661">Q2113</f>
        <v>240</v>
      </c>
      <c r="R2143" s="20">
        <f t="shared" si="4661"/>
        <v>960</v>
      </c>
      <c r="S2143" s="20">
        <f t="shared" si="4661"/>
        <v>1680</v>
      </c>
      <c r="T2143" s="20">
        <f t="shared" si="4661"/>
        <v>2160</v>
      </c>
      <c r="U2143" s="20">
        <f t="shared" si="4661"/>
        <v>150</v>
      </c>
      <c r="V2143" s="20">
        <f t="shared" si="4661"/>
        <v>700</v>
      </c>
      <c r="W2143" s="20">
        <f t="shared" si="4661"/>
        <v>900</v>
      </c>
      <c r="X2143" s="20">
        <f t="shared" si="4661"/>
        <v>3</v>
      </c>
      <c r="Y2143" s="20">
        <v>0</v>
      </c>
      <c r="Z2143" s="20">
        <v>0</v>
      </c>
      <c r="AA2143" s="20">
        <f t="shared" si="4579"/>
        <v>0</v>
      </c>
      <c r="AB2143" s="20">
        <v>0</v>
      </c>
      <c r="AC2143" s="20">
        <v>0</v>
      </c>
      <c r="AD2143" s="23">
        <f t="shared" ref="AD2143:AE2143" si="4662">AD2113</f>
        <v>22</v>
      </c>
      <c r="AE2143" s="23">
        <f t="shared" si="4662"/>
        <v>26</v>
      </c>
    </row>
    <row r="2144" spans="1:31">
      <c r="A2144" s="4">
        <v>18101</v>
      </c>
      <c r="B2144" s="4">
        <v>13</v>
      </c>
      <c r="C2144" s="29" t="s">
        <v>68</v>
      </c>
      <c r="D2144" s="46">
        <v>0</v>
      </c>
      <c r="E2144" s="28">
        <v>0</v>
      </c>
      <c r="F2144" s="28">
        <f t="shared" si="4640"/>
        <v>130</v>
      </c>
      <c r="G2144" s="18">
        <f t="shared" si="4577"/>
        <v>130</v>
      </c>
      <c r="H2144" s="47">
        <v>0</v>
      </c>
      <c r="I2144" s="21">
        <f t="shared" si="4529"/>
        <v>220</v>
      </c>
      <c r="J2144" s="21">
        <f t="shared" si="4574"/>
        <v>12</v>
      </c>
      <c r="K2144" s="21">
        <v>0</v>
      </c>
      <c r="L2144" s="20">
        <v>6</v>
      </c>
      <c r="M2144" s="20">
        <v>0</v>
      </c>
      <c r="N2144" s="20">
        <f t="shared" si="4530"/>
        <v>2600</v>
      </c>
      <c r="O2144" s="19" t="s">
        <v>68</v>
      </c>
      <c r="P2144" s="20">
        <v>8600</v>
      </c>
      <c r="Q2144" s="20">
        <f t="shared" ref="Q2144:X2144" si="4663">Q2114</f>
        <v>260</v>
      </c>
      <c r="R2144" s="20">
        <f t="shared" si="4663"/>
        <v>1040</v>
      </c>
      <c r="S2144" s="20">
        <f t="shared" si="4663"/>
        <v>1819.9999999999998</v>
      </c>
      <c r="T2144" s="20">
        <f t="shared" si="4663"/>
        <v>2340</v>
      </c>
      <c r="U2144" s="20">
        <f t="shared" si="4663"/>
        <v>100</v>
      </c>
      <c r="V2144" s="20">
        <f t="shared" si="4663"/>
        <v>700</v>
      </c>
      <c r="W2144" s="20">
        <f t="shared" si="4663"/>
        <v>1000</v>
      </c>
      <c r="X2144" s="20">
        <f t="shared" si="4663"/>
        <v>4</v>
      </c>
      <c r="Y2144" s="20">
        <f>ROUND(D2144*0.25,-1)</f>
        <v>0</v>
      </c>
      <c r="Z2144" s="20">
        <f>ROUND(E2144*0.25,-1)</f>
        <v>0</v>
      </c>
      <c r="AA2144" s="20">
        <f t="shared" si="4579"/>
        <v>52</v>
      </c>
      <c r="AB2144" s="20">
        <v>0</v>
      </c>
      <c r="AC2144" s="20">
        <f>ROUND(H2144*0.25,-1)</f>
        <v>0</v>
      </c>
      <c r="AD2144" s="23">
        <f t="shared" ref="AD2144:AE2144" si="4664">AD2114</f>
        <v>24</v>
      </c>
      <c r="AE2144" s="23">
        <f t="shared" si="4664"/>
        <v>28</v>
      </c>
    </row>
    <row r="2145" spans="1:31">
      <c r="A2145" s="4">
        <v>18101</v>
      </c>
      <c r="B2145" s="4">
        <v>14</v>
      </c>
      <c r="C2145" s="29" t="s">
        <v>69</v>
      </c>
      <c r="D2145" s="46">
        <v>0</v>
      </c>
      <c r="E2145" s="28">
        <v>0</v>
      </c>
      <c r="F2145" s="28">
        <f t="shared" si="4640"/>
        <v>140</v>
      </c>
      <c r="G2145" s="18">
        <f t="shared" si="4577"/>
        <v>140</v>
      </c>
      <c r="H2145" s="47">
        <v>0</v>
      </c>
      <c r="I2145" s="21">
        <f t="shared" ref="I2145:I2208" si="4665">I2115</f>
        <v>220</v>
      </c>
      <c r="J2145" s="21">
        <f t="shared" si="4574"/>
        <v>13</v>
      </c>
      <c r="K2145" s="21">
        <v>0</v>
      </c>
      <c r="L2145" s="20">
        <v>6</v>
      </c>
      <c r="M2145" s="20">
        <v>0</v>
      </c>
      <c r="N2145" s="20">
        <f t="shared" ref="N2145:N2208" si="4666">N2115</f>
        <v>2800</v>
      </c>
      <c r="O2145" s="19" t="s">
        <v>69</v>
      </c>
      <c r="P2145" s="20">
        <v>6400</v>
      </c>
      <c r="Q2145" s="20">
        <f t="shared" ref="Q2145:X2145" si="4667">Q2115</f>
        <v>280</v>
      </c>
      <c r="R2145" s="20">
        <f t="shared" si="4667"/>
        <v>1120</v>
      </c>
      <c r="S2145" s="20">
        <f t="shared" si="4667"/>
        <v>1959.9999999999998</v>
      </c>
      <c r="T2145" s="20">
        <f t="shared" si="4667"/>
        <v>2520</v>
      </c>
      <c r="U2145" s="20">
        <f t="shared" si="4667"/>
        <v>100</v>
      </c>
      <c r="V2145" s="20">
        <f t="shared" si="4667"/>
        <v>400</v>
      </c>
      <c r="W2145" s="20">
        <f t="shared" si="4667"/>
        <v>1200</v>
      </c>
      <c r="X2145" s="20">
        <f t="shared" si="4667"/>
        <v>4</v>
      </c>
      <c r="Y2145" s="20">
        <v>0</v>
      </c>
      <c r="Z2145" s="20">
        <v>0</v>
      </c>
      <c r="AA2145" s="20">
        <f t="shared" si="4579"/>
        <v>0</v>
      </c>
      <c r="AB2145" s="20">
        <v>0</v>
      </c>
      <c r="AC2145" s="20">
        <v>0</v>
      </c>
      <c r="AD2145" s="23">
        <f t="shared" ref="AD2145:AE2145" si="4668">AD2115</f>
        <v>26</v>
      </c>
      <c r="AE2145" s="23">
        <f t="shared" si="4668"/>
        <v>30</v>
      </c>
    </row>
    <row r="2146" spans="1:31">
      <c r="A2146" s="8">
        <v>18101</v>
      </c>
      <c r="B2146" s="8">
        <v>15</v>
      </c>
      <c r="C2146" s="29" t="s">
        <v>70</v>
      </c>
      <c r="D2146" s="46">
        <v>0</v>
      </c>
      <c r="E2146" s="28">
        <v>0</v>
      </c>
      <c r="F2146" s="28">
        <f t="shared" si="4640"/>
        <v>152</v>
      </c>
      <c r="G2146" s="18">
        <f t="shared" si="4577"/>
        <v>152</v>
      </c>
      <c r="H2146" s="47">
        <v>0</v>
      </c>
      <c r="I2146" s="21">
        <f t="shared" si="4665"/>
        <v>220</v>
      </c>
      <c r="J2146" s="21">
        <f t="shared" si="4574"/>
        <v>14</v>
      </c>
      <c r="K2146" s="21">
        <v>0</v>
      </c>
      <c r="L2146" s="20">
        <v>6</v>
      </c>
      <c r="M2146" s="20">
        <v>0</v>
      </c>
      <c r="N2146" s="20">
        <f t="shared" si="4666"/>
        <v>4500</v>
      </c>
      <c r="O2146" s="19" t="s">
        <v>70</v>
      </c>
      <c r="P2146" s="20">
        <v>3100</v>
      </c>
      <c r="Q2146" s="20">
        <f t="shared" ref="Q2146:X2146" si="4669">Q2116</f>
        <v>450</v>
      </c>
      <c r="R2146" s="20">
        <f t="shared" si="4669"/>
        <v>1800</v>
      </c>
      <c r="S2146" s="20">
        <f t="shared" si="4669"/>
        <v>3150</v>
      </c>
      <c r="T2146" s="20">
        <f t="shared" si="4669"/>
        <v>4050</v>
      </c>
      <c r="U2146" s="20">
        <f t="shared" si="4669"/>
        <v>100</v>
      </c>
      <c r="V2146" s="20">
        <f t="shared" si="4669"/>
        <v>1000</v>
      </c>
      <c r="W2146" s="20">
        <f t="shared" si="4669"/>
        <v>600</v>
      </c>
      <c r="X2146" s="20">
        <f t="shared" si="4669"/>
        <v>4</v>
      </c>
      <c r="Y2146" s="20">
        <v>0</v>
      </c>
      <c r="Z2146" s="20">
        <v>0</v>
      </c>
      <c r="AA2146" s="20">
        <f t="shared" si="4579"/>
        <v>0</v>
      </c>
      <c r="AB2146" s="20">
        <v>0</v>
      </c>
      <c r="AC2146" s="20">
        <v>0</v>
      </c>
      <c r="AD2146" s="23">
        <f t="shared" ref="AD2146:AE2146" si="4670">AD2116</f>
        <v>28</v>
      </c>
      <c r="AE2146" s="23">
        <f t="shared" si="4670"/>
        <v>32</v>
      </c>
    </row>
    <row r="2147" spans="1:31">
      <c r="A2147" s="4">
        <v>18101</v>
      </c>
      <c r="B2147" s="4">
        <v>16</v>
      </c>
      <c r="C2147" s="29" t="s">
        <v>71</v>
      </c>
      <c r="D2147" s="46">
        <v>0</v>
      </c>
      <c r="E2147" s="28">
        <v>0</v>
      </c>
      <c r="F2147" s="28">
        <f t="shared" si="4640"/>
        <v>166</v>
      </c>
      <c r="G2147" s="18">
        <f t="shared" si="4577"/>
        <v>166</v>
      </c>
      <c r="H2147" s="47">
        <v>0</v>
      </c>
      <c r="I2147" s="21">
        <f t="shared" si="4665"/>
        <v>220</v>
      </c>
      <c r="J2147" s="21">
        <f t="shared" ref="J2147:J2210" si="4671">B2147-1</f>
        <v>15</v>
      </c>
      <c r="K2147" s="21">
        <v>0</v>
      </c>
      <c r="L2147" s="20">
        <v>6</v>
      </c>
      <c r="M2147" s="20">
        <v>0</v>
      </c>
      <c r="N2147" s="20">
        <f t="shared" si="4666"/>
        <v>4800</v>
      </c>
      <c r="O2147" s="19" t="s">
        <v>71</v>
      </c>
      <c r="P2147" s="20">
        <v>1777</v>
      </c>
      <c r="Q2147" s="20">
        <f t="shared" ref="Q2147:X2147" si="4672">Q2117</f>
        <v>480</v>
      </c>
      <c r="R2147" s="20">
        <f t="shared" si="4672"/>
        <v>1920</v>
      </c>
      <c r="S2147" s="20">
        <f t="shared" si="4672"/>
        <v>3360</v>
      </c>
      <c r="T2147" s="20">
        <f t="shared" si="4672"/>
        <v>4320</v>
      </c>
      <c r="U2147" s="20">
        <f t="shared" si="4672"/>
        <v>100</v>
      </c>
      <c r="V2147" s="20">
        <f t="shared" si="4672"/>
        <v>800</v>
      </c>
      <c r="W2147" s="20">
        <f t="shared" si="4672"/>
        <v>800</v>
      </c>
      <c r="X2147" s="20">
        <f t="shared" si="4672"/>
        <v>4</v>
      </c>
      <c r="Y2147" s="20">
        <v>0</v>
      </c>
      <c r="Z2147" s="20">
        <v>0</v>
      </c>
      <c r="AA2147" s="20">
        <f t="shared" si="4579"/>
        <v>0</v>
      </c>
      <c r="AB2147" s="20">
        <v>0</v>
      </c>
      <c r="AC2147" s="20">
        <v>0</v>
      </c>
      <c r="AD2147" s="23">
        <f t="shared" ref="AD2147:AE2147" si="4673">AD2117</f>
        <v>30</v>
      </c>
      <c r="AE2147" s="23">
        <f t="shared" si="4673"/>
        <v>34</v>
      </c>
    </row>
    <row r="2148" spans="1:31">
      <c r="A2148" s="4">
        <v>18101</v>
      </c>
      <c r="B2148" s="4">
        <v>17</v>
      </c>
      <c r="C2148" s="29" t="s">
        <v>72</v>
      </c>
      <c r="D2148" s="46">
        <v>0</v>
      </c>
      <c r="E2148" s="28">
        <v>0</v>
      </c>
      <c r="F2148" s="28">
        <f t="shared" si="4640"/>
        <v>178</v>
      </c>
      <c r="G2148" s="18">
        <f t="shared" si="4577"/>
        <v>178</v>
      </c>
      <c r="H2148" s="47">
        <v>0</v>
      </c>
      <c r="I2148" s="21">
        <f t="shared" si="4665"/>
        <v>275</v>
      </c>
      <c r="J2148" s="21">
        <f t="shared" si="4671"/>
        <v>16</v>
      </c>
      <c r="K2148" s="21">
        <v>0</v>
      </c>
      <c r="L2148" s="20">
        <v>6</v>
      </c>
      <c r="M2148" s="20">
        <v>0</v>
      </c>
      <c r="N2148" s="20">
        <f t="shared" si="4666"/>
        <v>5100</v>
      </c>
      <c r="O2148" s="19" t="s">
        <v>72</v>
      </c>
      <c r="P2148" s="20">
        <v>2332</v>
      </c>
      <c r="Q2148" s="20">
        <f t="shared" ref="Q2148:X2148" si="4674">Q2118</f>
        <v>510</v>
      </c>
      <c r="R2148" s="20">
        <f t="shared" si="4674"/>
        <v>2040</v>
      </c>
      <c r="S2148" s="20">
        <f t="shared" si="4674"/>
        <v>3570</v>
      </c>
      <c r="T2148" s="20">
        <f t="shared" si="4674"/>
        <v>4590</v>
      </c>
      <c r="U2148" s="20">
        <f t="shared" si="4674"/>
        <v>80</v>
      </c>
      <c r="V2148" s="20">
        <f t="shared" si="4674"/>
        <v>800</v>
      </c>
      <c r="W2148" s="20">
        <f t="shared" si="4674"/>
        <v>600</v>
      </c>
      <c r="X2148" s="20">
        <f t="shared" si="4674"/>
        <v>5</v>
      </c>
      <c r="Y2148" s="20">
        <v>0</v>
      </c>
      <c r="Z2148" s="20">
        <v>0</v>
      </c>
      <c r="AA2148" s="20">
        <f t="shared" si="4579"/>
        <v>0</v>
      </c>
      <c r="AB2148" s="20">
        <v>0</v>
      </c>
      <c r="AC2148" s="20">
        <v>0</v>
      </c>
      <c r="AD2148" s="23">
        <f t="shared" ref="AD2148:AE2148" si="4675">AD2118</f>
        <v>32</v>
      </c>
      <c r="AE2148" s="23">
        <f t="shared" si="4675"/>
        <v>36</v>
      </c>
    </row>
    <row r="2149" spans="1:31">
      <c r="A2149" s="4">
        <v>18101</v>
      </c>
      <c r="B2149" s="4">
        <v>18</v>
      </c>
      <c r="C2149" s="29" t="s">
        <v>73</v>
      </c>
      <c r="D2149" s="46">
        <v>0</v>
      </c>
      <c r="E2149" s="28">
        <v>0</v>
      </c>
      <c r="F2149" s="28">
        <f t="shared" si="4640"/>
        <v>194</v>
      </c>
      <c r="G2149" s="18">
        <f t="shared" si="4577"/>
        <v>194</v>
      </c>
      <c r="H2149" s="47">
        <v>0</v>
      </c>
      <c r="I2149" s="21">
        <f t="shared" si="4665"/>
        <v>275</v>
      </c>
      <c r="J2149" s="21">
        <f t="shared" si="4671"/>
        <v>17</v>
      </c>
      <c r="K2149" s="21">
        <v>0</v>
      </c>
      <c r="L2149" s="20">
        <v>6</v>
      </c>
      <c r="M2149" s="20">
        <v>0</v>
      </c>
      <c r="N2149" s="20">
        <f t="shared" si="4666"/>
        <v>5400</v>
      </c>
      <c r="O2149" s="19" t="s">
        <v>73</v>
      </c>
      <c r="P2149" s="20">
        <v>1487</v>
      </c>
      <c r="Q2149" s="20">
        <f t="shared" ref="Q2149:X2149" si="4676">Q2119</f>
        <v>540</v>
      </c>
      <c r="R2149" s="20">
        <f t="shared" si="4676"/>
        <v>2160</v>
      </c>
      <c r="S2149" s="20">
        <f t="shared" si="4676"/>
        <v>3779.9999999999995</v>
      </c>
      <c r="T2149" s="20">
        <f t="shared" si="4676"/>
        <v>4860</v>
      </c>
      <c r="U2149" s="20">
        <f t="shared" si="4676"/>
        <v>100</v>
      </c>
      <c r="V2149" s="20">
        <f t="shared" si="4676"/>
        <v>600</v>
      </c>
      <c r="W2149" s="20">
        <f t="shared" si="4676"/>
        <v>300</v>
      </c>
      <c r="X2149" s="20">
        <f t="shared" si="4676"/>
        <v>5</v>
      </c>
      <c r="Y2149" s="20">
        <f>ROUND(D2149*0.25,-1)</f>
        <v>0</v>
      </c>
      <c r="Z2149" s="20">
        <f>ROUND(E2149*0.25,-1)</f>
        <v>0</v>
      </c>
      <c r="AA2149" s="20">
        <f t="shared" si="4579"/>
        <v>79</v>
      </c>
      <c r="AB2149" s="20">
        <v>0</v>
      </c>
      <c r="AC2149" s="20">
        <f>ROUND(H2149*0.25,-1)</f>
        <v>0</v>
      </c>
      <c r="AD2149" s="23">
        <f t="shared" ref="AD2149:AE2149" si="4677">AD2119</f>
        <v>34</v>
      </c>
      <c r="AE2149" s="23">
        <f t="shared" si="4677"/>
        <v>38</v>
      </c>
    </row>
    <row r="2150" spans="1:31">
      <c r="A2150" s="4">
        <v>18101</v>
      </c>
      <c r="B2150" s="4">
        <v>19</v>
      </c>
      <c r="C2150" s="29" t="s">
        <v>74</v>
      </c>
      <c r="D2150" s="46">
        <v>0</v>
      </c>
      <c r="E2150" s="28">
        <v>0</v>
      </c>
      <c r="F2150" s="28">
        <f t="shared" si="4640"/>
        <v>210</v>
      </c>
      <c r="G2150" s="18">
        <f t="shared" si="4577"/>
        <v>210</v>
      </c>
      <c r="H2150" s="47">
        <v>0</v>
      </c>
      <c r="I2150" s="21">
        <f t="shared" si="4665"/>
        <v>275</v>
      </c>
      <c r="J2150" s="21">
        <f t="shared" si="4671"/>
        <v>18</v>
      </c>
      <c r="K2150" s="21">
        <v>0</v>
      </c>
      <c r="L2150" s="20">
        <v>6</v>
      </c>
      <c r="M2150" s="20">
        <v>0</v>
      </c>
      <c r="N2150" s="20">
        <f t="shared" si="4666"/>
        <v>5700</v>
      </c>
      <c r="O2150" s="19" t="s">
        <v>74</v>
      </c>
      <c r="P2150" s="20">
        <v>1518</v>
      </c>
      <c r="Q2150" s="20">
        <f t="shared" ref="Q2150:X2150" si="4678">Q2120</f>
        <v>570</v>
      </c>
      <c r="R2150" s="20">
        <f t="shared" si="4678"/>
        <v>2280</v>
      </c>
      <c r="S2150" s="20">
        <f t="shared" si="4678"/>
        <v>3989.9999999999995</v>
      </c>
      <c r="T2150" s="20">
        <f t="shared" si="4678"/>
        <v>5130</v>
      </c>
      <c r="U2150" s="20">
        <f t="shared" si="4678"/>
        <v>100</v>
      </c>
      <c r="V2150" s="20">
        <f t="shared" si="4678"/>
        <v>500</v>
      </c>
      <c r="W2150" s="20">
        <f t="shared" si="4678"/>
        <v>400</v>
      </c>
      <c r="X2150" s="20">
        <f t="shared" si="4678"/>
        <v>5</v>
      </c>
      <c r="Y2150" s="20">
        <v>0</v>
      </c>
      <c r="Z2150" s="20">
        <v>0</v>
      </c>
      <c r="AA2150" s="20">
        <f t="shared" si="4579"/>
        <v>0</v>
      </c>
      <c r="AB2150" s="20">
        <v>0</v>
      </c>
      <c r="AC2150" s="20">
        <v>0</v>
      </c>
      <c r="AD2150" s="23">
        <f t="shared" ref="AD2150:AE2150" si="4679">AD2120</f>
        <v>36</v>
      </c>
      <c r="AE2150" s="23">
        <f t="shared" si="4679"/>
        <v>40</v>
      </c>
    </row>
    <row r="2151" spans="1:31">
      <c r="A2151" s="4">
        <v>18101</v>
      </c>
      <c r="B2151" s="4">
        <v>20</v>
      </c>
      <c r="C2151" s="29" t="s">
        <v>75</v>
      </c>
      <c r="D2151" s="46">
        <v>0</v>
      </c>
      <c r="E2151" s="28">
        <v>0</v>
      </c>
      <c r="F2151" s="28">
        <f t="shared" si="4640"/>
        <v>228</v>
      </c>
      <c r="G2151" s="18">
        <f t="shared" si="4577"/>
        <v>228</v>
      </c>
      <c r="H2151" s="47">
        <v>0</v>
      </c>
      <c r="I2151" s="21">
        <f t="shared" si="4665"/>
        <v>275</v>
      </c>
      <c r="J2151" s="21">
        <f t="shared" si="4671"/>
        <v>19</v>
      </c>
      <c r="K2151" s="21">
        <v>0</v>
      </c>
      <c r="L2151" s="20">
        <v>6</v>
      </c>
      <c r="M2151" s="20">
        <v>0</v>
      </c>
      <c r="N2151" s="20">
        <f t="shared" si="4666"/>
        <v>8000</v>
      </c>
      <c r="O2151" s="19" t="s">
        <v>75</v>
      </c>
      <c r="P2151" s="20">
        <v>861</v>
      </c>
      <c r="Q2151" s="20">
        <f t="shared" ref="Q2151:X2151" si="4680">Q2121</f>
        <v>800</v>
      </c>
      <c r="R2151" s="20">
        <f t="shared" si="4680"/>
        <v>3200</v>
      </c>
      <c r="S2151" s="20">
        <f t="shared" si="4680"/>
        <v>5600</v>
      </c>
      <c r="T2151" s="20">
        <f t="shared" si="4680"/>
        <v>7200</v>
      </c>
      <c r="U2151" s="20">
        <f t="shared" si="4680"/>
        <v>100</v>
      </c>
      <c r="V2151" s="20">
        <f t="shared" si="4680"/>
        <v>800</v>
      </c>
      <c r="W2151" s="20">
        <f t="shared" si="4680"/>
        <v>8000</v>
      </c>
      <c r="X2151" s="20">
        <f t="shared" si="4680"/>
        <v>5</v>
      </c>
      <c r="Y2151" s="20">
        <v>0</v>
      </c>
      <c r="Z2151" s="20">
        <v>0</v>
      </c>
      <c r="AA2151" s="20">
        <f t="shared" si="4579"/>
        <v>0</v>
      </c>
      <c r="AB2151" s="20">
        <v>0</v>
      </c>
      <c r="AC2151" s="20">
        <v>0</v>
      </c>
      <c r="AD2151" s="23">
        <f t="shared" ref="AD2151:AE2151" si="4681">AD2121</f>
        <v>38</v>
      </c>
      <c r="AE2151" s="23">
        <f t="shared" si="4681"/>
        <v>42</v>
      </c>
    </row>
    <row r="2152" spans="1:31">
      <c r="A2152" s="4">
        <v>18101</v>
      </c>
      <c r="B2152" s="4">
        <v>21</v>
      </c>
      <c r="C2152" s="29" t="s">
        <v>66</v>
      </c>
      <c r="D2152" s="46">
        <v>0</v>
      </c>
      <c r="E2152" s="28">
        <v>0</v>
      </c>
      <c r="F2152" s="28">
        <f t="shared" si="4640"/>
        <v>246</v>
      </c>
      <c r="G2152" s="18">
        <f t="shared" si="4577"/>
        <v>246</v>
      </c>
      <c r="H2152" s="47">
        <v>0</v>
      </c>
      <c r="I2152" s="21">
        <f t="shared" si="4665"/>
        <v>330</v>
      </c>
      <c r="J2152" s="21">
        <f t="shared" si="4671"/>
        <v>20</v>
      </c>
      <c r="K2152" s="21">
        <v>0</v>
      </c>
      <c r="L2152" s="20">
        <v>6</v>
      </c>
      <c r="M2152" s="20">
        <v>0</v>
      </c>
      <c r="N2152" s="20">
        <f t="shared" si="4666"/>
        <v>8400</v>
      </c>
      <c r="O2152" s="19" t="s">
        <v>66</v>
      </c>
      <c r="P2152" s="20">
        <v>9400</v>
      </c>
      <c r="Q2152" s="20">
        <f t="shared" ref="Q2152:X2152" si="4682">Q2122</f>
        <v>840</v>
      </c>
      <c r="R2152" s="20">
        <f t="shared" si="4682"/>
        <v>3360</v>
      </c>
      <c r="S2152" s="20">
        <f t="shared" si="4682"/>
        <v>5880</v>
      </c>
      <c r="T2152" s="20">
        <f t="shared" si="4682"/>
        <v>7560</v>
      </c>
      <c r="U2152" s="20">
        <f t="shared" si="4682"/>
        <v>50</v>
      </c>
      <c r="V2152" s="20">
        <f t="shared" si="4682"/>
        <v>1000</v>
      </c>
      <c r="W2152" s="20">
        <f t="shared" si="4682"/>
        <v>600</v>
      </c>
      <c r="X2152" s="20">
        <f t="shared" si="4682"/>
        <v>6</v>
      </c>
      <c r="Y2152" s="20">
        <v>0</v>
      </c>
      <c r="Z2152" s="20">
        <v>0</v>
      </c>
      <c r="AA2152" s="20">
        <f t="shared" si="4579"/>
        <v>0</v>
      </c>
      <c r="AB2152" s="20">
        <v>0</v>
      </c>
      <c r="AC2152" s="20">
        <v>0</v>
      </c>
      <c r="AD2152" s="23">
        <f t="shared" ref="AD2152:AE2152" si="4683">AD2122</f>
        <v>40</v>
      </c>
      <c r="AE2152" s="23">
        <f t="shared" si="4683"/>
        <v>44</v>
      </c>
    </row>
    <row r="2153" spans="1:31">
      <c r="A2153" s="4">
        <v>18101</v>
      </c>
      <c r="B2153" s="4">
        <v>22</v>
      </c>
      <c r="C2153" s="29" t="s">
        <v>67</v>
      </c>
      <c r="D2153" s="46">
        <v>0</v>
      </c>
      <c r="E2153" s="28">
        <v>0</v>
      </c>
      <c r="F2153" s="28">
        <f t="shared" si="4640"/>
        <v>266</v>
      </c>
      <c r="G2153" s="18">
        <f t="shared" si="4577"/>
        <v>266</v>
      </c>
      <c r="H2153" s="47">
        <v>0</v>
      </c>
      <c r="I2153" s="21">
        <f t="shared" si="4665"/>
        <v>330</v>
      </c>
      <c r="J2153" s="21">
        <f t="shared" si="4671"/>
        <v>21</v>
      </c>
      <c r="K2153" s="21">
        <v>0</v>
      </c>
      <c r="L2153" s="20">
        <v>6</v>
      </c>
      <c r="M2153" s="20">
        <v>0</v>
      </c>
      <c r="N2153" s="20">
        <f t="shared" si="4666"/>
        <v>8800</v>
      </c>
      <c r="O2153" s="19" t="s">
        <v>67</v>
      </c>
      <c r="P2153" s="20">
        <v>9100</v>
      </c>
      <c r="Q2153" s="20">
        <f t="shared" ref="Q2153:X2153" si="4684">Q2123</f>
        <v>880</v>
      </c>
      <c r="R2153" s="20">
        <f t="shared" si="4684"/>
        <v>3520</v>
      </c>
      <c r="S2153" s="20">
        <f t="shared" si="4684"/>
        <v>6160</v>
      </c>
      <c r="T2153" s="20">
        <f t="shared" si="4684"/>
        <v>7920</v>
      </c>
      <c r="U2153" s="20">
        <f t="shared" si="4684"/>
        <v>100</v>
      </c>
      <c r="V2153" s="20">
        <f t="shared" si="4684"/>
        <v>600</v>
      </c>
      <c r="W2153" s="20">
        <f t="shared" si="4684"/>
        <v>700</v>
      </c>
      <c r="X2153" s="20">
        <f t="shared" si="4684"/>
        <v>6</v>
      </c>
      <c r="Y2153" s="20">
        <v>0</v>
      </c>
      <c r="Z2153" s="20">
        <v>0</v>
      </c>
      <c r="AA2153" s="20">
        <f t="shared" si="4579"/>
        <v>0</v>
      </c>
      <c r="AB2153" s="20">
        <v>0</v>
      </c>
      <c r="AC2153" s="20">
        <v>0</v>
      </c>
      <c r="AD2153" s="23">
        <f t="shared" ref="AD2153:AE2153" si="4685">AD2123</f>
        <v>42</v>
      </c>
      <c r="AE2153" s="23">
        <f t="shared" si="4685"/>
        <v>46</v>
      </c>
    </row>
    <row r="2154" spans="1:31">
      <c r="A2154" s="4">
        <v>18101</v>
      </c>
      <c r="B2154" s="4">
        <v>23</v>
      </c>
      <c r="C2154" s="29" t="s">
        <v>68</v>
      </c>
      <c r="D2154" s="46">
        <v>0</v>
      </c>
      <c r="E2154" s="28">
        <v>0</v>
      </c>
      <c r="F2154" s="28">
        <f t="shared" si="4640"/>
        <v>288</v>
      </c>
      <c r="G2154" s="18">
        <f t="shared" si="4577"/>
        <v>288</v>
      </c>
      <c r="H2154" s="47">
        <v>0</v>
      </c>
      <c r="I2154" s="21">
        <f t="shared" si="4665"/>
        <v>330</v>
      </c>
      <c r="J2154" s="21">
        <f t="shared" si="4671"/>
        <v>22</v>
      </c>
      <c r="K2154" s="21">
        <v>0</v>
      </c>
      <c r="L2154" s="20">
        <v>6</v>
      </c>
      <c r="M2154" s="20">
        <v>0</v>
      </c>
      <c r="N2154" s="20">
        <f t="shared" si="4666"/>
        <v>9200</v>
      </c>
      <c r="O2154" s="19" t="s">
        <v>68</v>
      </c>
      <c r="P2154" s="20">
        <v>8600</v>
      </c>
      <c r="Q2154" s="20">
        <f t="shared" ref="Q2154:X2154" si="4686">Q2124</f>
        <v>920</v>
      </c>
      <c r="R2154" s="20">
        <f t="shared" si="4686"/>
        <v>3680</v>
      </c>
      <c r="S2154" s="20">
        <f t="shared" si="4686"/>
        <v>6440</v>
      </c>
      <c r="T2154" s="20">
        <f t="shared" si="4686"/>
        <v>8280</v>
      </c>
      <c r="U2154" s="20">
        <f t="shared" si="4686"/>
        <v>100</v>
      </c>
      <c r="V2154" s="20">
        <f t="shared" si="4686"/>
        <v>550</v>
      </c>
      <c r="W2154" s="20">
        <f t="shared" si="4686"/>
        <v>500</v>
      </c>
      <c r="X2154" s="20">
        <f t="shared" si="4686"/>
        <v>6</v>
      </c>
      <c r="Y2154" s="20">
        <f>ROUND(D2154*0.25,-1)</f>
        <v>0</v>
      </c>
      <c r="Z2154" s="20">
        <f>ROUND(E2154*0.25,-1)</f>
        <v>0</v>
      </c>
      <c r="AA2154" s="20">
        <f t="shared" si="4579"/>
        <v>105</v>
      </c>
      <c r="AB2154" s="20">
        <v>0</v>
      </c>
      <c r="AC2154" s="20">
        <f>ROUND(H2154*0.25,-1)</f>
        <v>0</v>
      </c>
      <c r="AD2154" s="23">
        <f t="shared" ref="AD2154:AE2154" si="4687">AD2124</f>
        <v>44</v>
      </c>
      <c r="AE2154" s="23">
        <f t="shared" si="4687"/>
        <v>48</v>
      </c>
    </row>
    <row r="2155" spans="1:31">
      <c r="A2155" s="4">
        <v>18101</v>
      </c>
      <c r="B2155" s="4">
        <v>24</v>
      </c>
      <c r="C2155" s="29" t="s">
        <v>69</v>
      </c>
      <c r="D2155" s="46">
        <v>0</v>
      </c>
      <c r="E2155" s="28">
        <v>0</v>
      </c>
      <c r="F2155" s="28">
        <f t="shared" si="4640"/>
        <v>312</v>
      </c>
      <c r="G2155" s="18">
        <f t="shared" si="4577"/>
        <v>312</v>
      </c>
      <c r="H2155" s="47">
        <v>0</v>
      </c>
      <c r="I2155" s="21">
        <f t="shared" si="4665"/>
        <v>330</v>
      </c>
      <c r="J2155" s="21">
        <f t="shared" si="4671"/>
        <v>23</v>
      </c>
      <c r="K2155" s="21">
        <v>0</v>
      </c>
      <c r="L2155" s="20">
        <v>6</v>
      </c>
      <c r="M2155" s="20">
        <v>0</v>
      </c>
      <c r="N2155" s="20">
        <f t="shared" si="4666"/>
        <v>9600</v>
      </c>
      <c r="O2155" s="19" t="s">
        <v>69</v>
      </c>
      <c r="P2155" s="20">
        <v>6400</v>
      </c>
      <c r="Q2155" s="20">
        <f t="shared" ref="Q2155:X2155" si="4688">Q2125</f>
        <v>960</v>
      </c>
      <c r="R2155" s="20">
        <f t="shared" si="4688"/>
        <v>3840</v>
      </c>
      <c r="S2155" s="20">
        <f t="shared" si="4688"/>
        <v>6720</v>
      </c>
      <c r="T2155" s="20">
        <f t="shared" si="4688"/>
        <v>8640</v>
      </c>
      <c r="U2155" s="20">
        <f t="shared" si="4688"/>
        <v>100</v>
      </c>
      <c r="V2155" s="20">
        <f t="shared" si="4688"/>
        <v>500</v>
      </c>
      <c r="W2155" s="20">
        <f t="shared" si="4688"/>
        <v>900</v>
      </c>
      <c r="X2155" s="20">
        <f t="shared" si="4688"/>
        <v>6</v>
      </c>
      <c r="Y2155" s="20">
        <v>0</v>
      </c>
      <c r="Z2155" s="20">
        <v>0</v>
      </c>
      <c r="AA2155" s="20">
        <f t="shared" si="4579"/>
        <v>0</v>
      </c>
      <c r="AB2155" s="20">
        <v>0</v>
      </c>
      <c r="AC2155" s="20">
        <v>0</v>
      </c>
      <c r="AD2155" s="23">
        <f t="shared" ref="AD2155:AE2155" si="4689">AD2125</f>
        <v>46</v>
      </c>
      <c r="AE2155" s="23">
        <f t="shared" si="4689"/>
        <v>50</v>
      </c>
    </row>
    <row r="2156" spans="1:31">
      <c r="A2156" s="4">
        <v>18101</v>
      </c>
      <c r="B2156" s="4">
        <v>25</v>
      </c>
      <c r="C2156" s="29" t="s">
        <v>70</v>
      </c>
      <c r="D2156" s="46">
        <v>0</v>
      </c>
      <c r="E2156" s="28">
        <v>0</v>
      </c>
      <c r="F2156" s="28">
        <f t="shared" si="4640"/>
        <v>338</v>
      </c>
      <c r="G2156" s="18">
        <f t="shared" si="4577"/>
        <v>338</v>
      </c>
      <c r="H2156" s="47">
        <v>0</v>
      </c>
      <c r="I2156" s="21">
        <f t="shared" si="4665"/>
        <v>385</v>
      </c>
      <c r="J2156" s="21">
        <f t="shared" si="4671"/>
        <v>24</v>
      </c>
      <c r="K2156" s="21">
        <v>0</v>
      </c>
      <c r="L2156" s="20">
        <v>6</v>
      </c>
      <c r="M2156" s="20">
        <v>0</v>
      </c>
      <c r="N2156" s="20">
        <f t="shared" si="4666"/>
        <v>12500</v>
      </c>
      <c r="O2156" s="19" t="s">
        <v>70</v>
      </c>
      <c r="P2156" s="20">
        <v>3100</v>
      </c>
      <c r="Q2156" s="20">
        <f t="shared" ref="Q2156:X2156" si="4690">Q2126</f>
        <v>1250</v>
      </c>
      <c r="R2156" s="20">
        <f t="shared" si="4690"/>
        <v>5000</v>
      </c>
      <c r="S2156" s="20">
        <f t="shared" si="4690"/>
        <v>8750</v>
      </c>
      <c r="T2156" s="20">
        <f t="shared" si="4690"/>
        <v>11250</v>
      </c>
      <c r="U2156" s="20">
        <f t="shared" si="4690"/>
        <v>10</v>
      </c>
      <c r="V2156" s="20">
        <f t="shared" si="4690"/>
        <v>1300</v>
      </c>
      <c r="W2156" s="20">
        <f t="shared" si="4690"/>
        <v>1000</v>
      </c>
      <c r="X2156" s="20">
        <f t="shared" si="4690"/>
        <v>7</v>
      </c>
      <c r="Y2156" s="20">
        <v>0</v>
      </c>
      <c r="Z2156" s="20">
        <v>0</v>
      </c>
      <c r="AA2156" s="20">
        <f t="shared" si="4579"/>
        <v>0</v>
      </c>
      <c r="AB2156" s="20">
        <v>0</v>
      </c>
      <c r="AC2156" s="20">
        <v>0</v>
      </c>
      <c r="AD2156" s="23">
        <f t="shared" ref="AD2156:AE2156" si="4691">AD2126</f>
        <v>48</v>
      </c>
      <c r="AE2156" s="23">
        <f t="shared" si="4691"/>
        <v>52</v>
      </c>
    </row>
    <row r="2157" spans="1:31">
      <c r="A2157" s="4">
        <v>18101</v>
      </c>
      <c r="B2157" s="4">
        <v>26</v>
      </c>
      <c r="C2157" s="29" t="s">
        <v>71</v>
      </c>
      <c r="D2157" s="46">
        <v>0</v>
      </c>
      <c r="E2157" s="28">
        <v>0</v>
      </c>
      <c r="F2157" s="28">
        <f t="shared" si="4640"/>
        <v>366</v>
      </c>
      <c r="G2157" s="18">
        <f t="shared" si="4577"/>
        <v>366</v>
      </c>
      <c r="H2157" s="47">
        <v>0</v>
      </c>
      <c r="I2157" s="21">
        <f t="shared" si="4665"/>
        <v>385</v>
      </c>
      <c r="J2157" s="21">
        <f t="shared" si="4671"/>
        <v>25</v>
      </c>
      <c r="K2157" s="21">
        <v>0</v>
      </c>
      <c r="L2157" s="20">
        <v>6</v>
      </c>
      <c r="M2157" s="20">
        <v>0</v>
      </c>
      <c r="N2157" s="20">
        <f t="shared" si="4666"/>
        <v>13000</v>
      </c>
      <c r="O2157" s="19" t="s">
        <v>71</v>
      </c>
      <c r="P2157" s="20">
        <v>1777</v>
      </c>
      <c r="Q2157" s="20">
        <f t="shared" ref="Q2157:X2157" si="4692">Q2127</f>
        <v>1300</v>
      </c>
      <c r="R2157" s="20">
        <f t="shared" si="4692"/>
        <v>5200</v>
      </c>
      <c r="S2157" s="20">
        <f t="shared" si="4692"/>
        <v>9100</v>
      </c>
      <c r="T2157" s="20">
        <f t="shared" si="4692"/>
        <v>11700</v>
      </c>
      <c r="U2157" s="20">
        <f t="shared" si="4692"/>
        <v>90</v>
      </c>
      <c r="V2157" s="20">
        <f t="shared" si="4692"/>
        <v>800</v>
      </c>
      <c r="W2157" s="20">
        <f t="shared" si="4692"/>
        <v>2000</v>
      </c>
      <c r="X2157" s="20">
        <f t="shared" si="4692"/>
        <v>7</v>
      </c>
      <c r="Y2157" s="20">
        <v>0</v>
      </c>
      <c r="Z2157" s="20">
        <v>0</v>
      </c>
      <c r="AA2157" s="20">
        <f t="shared" si="4579"/>
        <v>0</v>
      </c>
      <c r="AB2157" s="20">
        <v>0</v>
      </c>
      <c r="AC2157" s="20">
        <v>0</v>
      </c>
      <c r="AD2157" s="23">
        <f t="shared" ref="AD2157:AE2157" si="4693">AD2127</f>
        <v>50</v>
      </c>
      <c r="AE2157" s="23">
        <f t="shared" si="4693"/>
        <v>54</v>
      </c>
    </row>
    <row r="2158" spans="1:31">
      <c r="A2158" s="4">
        <v>18101</v>
      </c>
      <c r="B2158" s="4">
        <v>27</v>
      </c>
      <c r="C2158" s="29" t="s">
        <v>72</v>
      </c>
      <c r="D2158" s="46">
        <v>0</v>
      </c>
      <c r="E2158" s="28">
        <v>0</v>
      </c>
      <c r="F2158" s="28">
        <f t="shared" si="4640"/>
        <v>396</v>
      </c>
      <c r="G2158" s="18">
        <f t="shared" si="4577"/>
        <v>396</v>
      </c>
      <c r="H2158" s="47">
        <v>0</v>
      </c>
      <c r="I2158" s="21">
        <f t="shared" si="4665"/>
        <v>385</v>
      </c>
      <c r="J2158" s="21">
        <f t="shared" si="4671"/>
        <v>26</v>
      </c>
      <c r="K2158" s="21">
        <v>0</v>
      </c>
      <c r="L2158" s="20">
        <v>6</v>
      </c>
      <c r="M2158" s="20">
        <v>0</v>
      </c>
      <c r="N2158" s="20">
        <f t="shared" si="4666"/>
        <v>13500</v>
      </c>
      <c r="O2158" s="19" t="s">
        <v>72</v>
      </c>
      <c r="P2158" s="20">
        <v>2332</v>
      </c>
      <c r="Q2158" s="20">
        <f t="shared" ref="Q2158:X2158" si="4694">Q2128</f>
        <v>1350</v>
      </c>
      <c r="R2158" s="20">
        <f t="shared" si="4694"/>
        <v>5400</v>
      </c>
      <c r="S2158" s="20">
        <f t="shared" si="4694"/>
        <v>9450</v>
      </c>
      <c r="T2158" s="20">
        <f t="shared" si="4694"/>
        <v>12150</v>
      </c>
      <c r="U2158" s="20">
        <f t="shared" si="4694"/>
        <v>80</v>
      </c>
      <c r="V2158" s="20">
        <f t="shared" si="4694"/>
        <v>700</v>
      </c>
      <c r="W2158" s="20">
        <f t="shared" si="4694"/>
        <v>800</v>
      </c>
      <c r="X2158" s="20">
        <f t="shared" si="4694"/>
        <v>7</v>
      </c>
      <c r="Y2158" s="20">
        <v>0</v>
      </c>
      <c r="Z2158" s="20">
        <v>0</v>
      </c>
      <c r="AA2158" s="20">
        <f t="shared" si="4579"/>
        <v>0</v>
      </c>
      <c r="AB2158" s="20">
        <v>0</v>
      </c>
      <c r="AC2158" s="20">
        <v>0</v>
      </c>
      <c r="AD2158" s="23">
        <f t="shared" ref="AD2158:AE2158" si="4695">AD2128</f>
        <v>52</v>
      </c>
      <c r="AE2158" s="23">
        <f t="shared" si="4695"/>
        <v>56</v>
      </c>
    </row>
    <row r="2159" spans="1:31">
      <c r="A2159" s="4">
        <v>18101</v>
      </c>
      <c r="B2159" s="4">
        <v>28</v>
      </c>
      <c r="C2159" s="29" t="s">
        <v>73</v>
      </c>
      <c r="D2159" s="46">
        <v>0</v>
      </c>
      <c r="E2159" s="28">
        <v>0</v>
      </c>
      <c r="F2159" s="28">
        <f t="shared" si="4640"/>
        <v>430</v>
      </c>
      <c r="G2159" s="18">
        <f t="shared" si="4577"/>
        <v>430</v>
      </c>
      <c r="H2159" s="47">
        <v>0</v>
      </c>
      <c r="I2159" s="21">
        <f t="shared" si="4665"/>
        <v>385</v>
      </c>
      <c r="J2159" s="21">
        <f t="shared" si="4671"/>
        <v>27</v>
      </c>
      <c r="K2159" s="21">
        <v>0</v>
      </c>
      <c r="L2159" s="20">
        <v>6</v>
      </c>
      <c r="M2159" s="20">
        <v>0</v>
      </c>
      <c r="N2159" s="20">
        <f t="shared" si="4666"/>
        <v>14000</v>
      </c>
      <c r="O2159" s="19" t="s">
        <v>73</v>
      </c>
      <c r="P2159" s="20">
        <v>1487</v>
      </c>
      <c r="Q2159" s="20">
        <f t="shared" ref="Q2159:X2159" si="4696">Q2129</f>
        <v>1400</v>
      </c>
      <c r="R2159" s="20">
        <f t="shared" si="4696"/>
        <v>5600</v>
      </c>
      <c r="S2159" s="20">
        <f t="shared" si="4696"/>
        <v>9800</v>
      </c>
      <c r="T2159" s="20">
        <f t="shared" si="4696"/>
        <v>12600</v>
      </c>
      <c r="U2159" s="20">
        <f t="shared" si="4696"/>
        <v>80</v>
      </c>
      <c r="V2159" s="20">
        <f t="shared" si="4696"/>
        <v>500</v>
      </c>
      <c r="W2159" s="20">
        <f t="shared" si="4696"/>
        <v>600</v>
      </c>
      <c r="X2159" s="20">
        <f t="shared" si="4696"/>
        <v>7</v>
      </c>
      <c r="Y2159" s="20">
        <f>ROUND(D2159*0.25,-1)</f>
        <v>0</v>
      </c>
      <c r="Z2159" s="20">
        <f>ROUND(E2159*0.25,-1)</f>
        <v>0</v>
      </c>
      <c r="AA2159" s="20">
        <f t="shared" si="4579"/>
        <v>132</v>
      </c>
      <c r="AB2159" s="20">
        <v>0</v>
      </c>
      <c r="AC2159" s="20">
        <f>ROUND(H2159*0.25,-1)</f>
        <v>0</v>
      </c>
      <c r="AD2159" s="23">
        <f t="shared" ref="AD2159:AE2159" si="4697">AD2129</f>
        <v>54</v>
      </c>
      <c r="AE2159" s="23">
        <f t="shared" si="4697"/>
        <v>58</v>
      </c>
    </row>
    <row r="2160" spans="1:31">
      <c r="A2160" s="4">
        <v>18101</v>
      </c>
      <c r="B2160" s="4">
        <v>29</v>
      </c>
      <c r="C2160" s="29" t="s">
        <v>74</v>
      </c>
      <c r="D2160" s="46">
        <v>0</v>
      </c>
      <c r="E2160" s="28">
        <v>0</v>
      </c>
      <c r="F2160" s="28">
        <f>F2130*2</f>
        <v>466</v>
      </c>
      <c r="G2160" s="18">
        <f t="shared" si="4577"/>
        <v>466</v>
      </c>
      <c r="H2160" s="47">
        <v>0</v>
      </c>
      <c r="I2160" s="21">
        <f t="shared" si="4665"/>
        <v>440</v>
      </c>
      <c r="J2160" s="21">
        <f t="shared" si="4671"/>
        <v>28</v>
      </c>
      <c r="K2160" s="21">
        <v>0</v>
      </c>
      <c r="L2160" s="20">
        <v>6</v>
      </c>
      <c r="M2160" s="20">
        <v>0</v>
      </c>
      <c r="N2160" s="20">
        <f t="shared" si="4666"/>
        <v>14500</v>
      </c>
      <c r="O2160" s="19" t="s">
        <v>74</v>
      </c>
      <c r="P2160" s="20">
        <v>1518</v>
      </c>
      <c r="Q2160" s="20">
        <f t="shared" ref="Q2160:X2160" si="4698">Q2130</f>
        <v>1450</v>
      </c>
      <c r="R2160" s="20">
        <f t="shared" si="4698"/>
        <v>5800</v>
      </c>
      <c r="S2160" s="20">
        <f t="shared" si="4698"/>
        <v>10150</v>
      </c>
      <c r="T2160" s="20">
        <f t="shared" si="4698"/>
        <v>13050</v>
      </c>
      <c r="U2160" s="20">
        <f t="shared" si="4698"/>
        <v>80</v>
      </c>
      <c r="V2160" s="20">
        <f t="shared" si="4698"/>
        <v>600</v>
      </c>
      <c r="W2160" s="20">
        <f t="shared" si="4698"/>
        <v>700</v>
      </c>
      <c r="X2160" s="20">
        <f t="shared" si="4698"/>
        <v>8</v>
      </c>
      <c r="Y2160" s="20">
        <v>0</v>
      </c>
      <c r="Z2160" s="20">
        <v>0</v>
      </c>
      <c r="AA2160" s="20">
        <f t="shared" si="4579"/>
        <v>0</v>
      </c>
      <c r="AB2160" s="20">
        <v>0</v>
      </c>
      <c r="AC2160" s="20">
        <v>0</v>
      </c>
      <c r="AD2160" s="23">
        <f t="shared" ref="AD2160:AE2160" si="4699">AD2130</f>
        <v>56</v>
      </c>
      <c r="AE2160" s="23">
        <f t="shared" si="4699"/>
        <v>60</v>
      </c>
    </row>
    <row r="2161" spans="1:31">
      <c r="A2161" s="4">
        <v>18101</v>
      </c>
      <c r="B2161" s="4">
        <v>30</v>
      </c>
      <c r="C2161" s="29" t="s">
        <v>75</v>
      </c>
      <c r="D2161" s="46">
        <v>0</v>
      </c>
      <c r="E2161" s="28">
        <v>0</v>
      </c>
      <c r="F2161" s="28">
        <f t="shared" si="4640"/>
        <v>504</v>
      </c>
      <c r="G2161" s="18">
        <f t="shared" si="4577"/>
        <v>504</v>
      </c>
      <c r="H2161" s="47">
        <v>0</v>
      </c>
      <c r="I2161" s="21">
        <f t="shared" si="4665"/>
        <v>440</v>
      </c>
      <c r="J2161" s="21">
        <f t="shared" si="4671"/>
        <v>29</v>
      </c>
      <c r="K2161" s="21">
        <v>0</v>
      </c>
      <c r="L2161" s="20">
        <v>6</v>
      </c>
      <c r="M2161" s="20">
        <v>0</v>
      </c>
      <c r="N2161" s="20">
        <f t="shared" si="4666"/>
        <v>15000</v>
      </c>
      <c r="O2161" s="19" t="s">
        <v>75</v>
      </c>
      <c r="P2161" s="20">
        <v>861</v>
      </c>
      <c r="Q2161" s="20">
        <f t="shared" ref="Q2161:X2161" si="4700">Q2131</f>
        <v>1500</v>
      </c>
      <c r="R2161" s="20">
        <f t="shared" si="4700"/>
        <v>6000</v>
      </c>
      <c r="S2161" s="20">
        <f t="shared" si="4700"/>
        <v>10500</v>
      </c>
      <c r="T2161" s="20">
        <f t="shared" si="4700"/>
        <v>13500</v>
      </c>
      <c r="U2161" s="20">
        <f t="shared" si="4700"/>
        <v>20</v>
      </c>
      <c r="V2161" s="20">
        <f t="shared" si="4700"/>
        <v>450</v>
      </c>
      <c r="W2161" s="20">
        <f t="shared" si="4700"/>
        <v>1000</v>
      </c>
      <c r="X2161" s="20">
        <f t="shared" si="4700"/>
        <v>8</v>
      </c>
      <c r="Y2161" s="20">
        <v>0</v>
      </c>
      <c r="Z2161" s="20">
        <v>0</v>
      </c>
      <c r="AA2161" s="20">
        <f t="shared" si="4579"/>
        <v>0</v>
      </c>
      <c r="AB2161" s="20">
        <v>0</v>
      </c>
      <c r="AC2161" s="20">
        <v>0</v>
      </c>
      <c r="AD2161" s="23">
        <f t="shared" ref="AD2161:AE2161" si="4701">AD2131</f>
        <v>58</v>
      </c>
      <c r="AE2161" s="23">
        <f t="shared" si="4701"/>
        <v>62</v>
      </c>
    </row>
    <row r="2162" spans="1:31">
      <c r="A2162" s="4">
        <v>18102</v>
      </c>
      <c r="B2162" s="4">
        <v>1</v>
      </c>
      <c r="C2162" s="19" t="s">
        <v>66</v>
      </c>
      <c r="D2162" s="44">
        <v>0</v>
      </c>
      <c r="E2162" s="18">
        <v>0</v>
      </c>
      <c r="F2162" s="18">
        <f>F2102*3</f>
        <v>75</v>
      </c>
      <c r="G2162" s="18">
        <f t="shared" si="4577"/>
        <v>75</v>
      </c>
      <c r="H2162" s="45">
        <v>0</v>
      </c>
      <c r="I2162" s="21">
        <f t="shared" si="4665"/>
        <v>55</v>
      </c>
      <c r="J2162" s="21">
        <f t="shared" si="4671"/>
        <v>0</v>
      </c>
      <c r="K2162" s="21">
        <v>0</v>
      </c>
      <c r="L2162" s="20">
        <v>45</v>
      </c>
      <c r="M2162" s="20">
        <v>0</v>
      </c>
      <c r="N2162" s="20">
        <f t="shared" si="4666"/>
        <v>10</v>
      </c>
      <c r="O2162" s="19" t="s">
        <v>66</v>
      </c>
      <c r="P2162" s="20">
        <v>9400</v>
      </c>
      <c r="Q2162" s="20">
        <f t="shared" ref="Q2162:X2162" si="4702">Q2132</f>
        <v>1</v>
      </c>
      <c r="R2162" s="20">
        <f t="shared" si="4702"/>
        <v>4</v>
      </c>
      <c r="S2162" s="20">
        <f t="shared" si="4702"/>
        <v>7</v>
      </c>
      <c r="T2162" s="20">
        <f t="shared" si="4702"/>
        <v>9</v>
      </c>
      <c r="U2162" s="20">
        <f t="shared" si="4702"/>
        <v>9400</v>
      </c>
      <c r="V2162" s="20">
        <f t="shared" si="4702"/>
        <v>9400</v>
      </c>
      <c r="W2162" s="20">
        <f t="shared" si="4702"/>
        <v>9400</v>
      </c>
      <c r="X2162" s="20">
        <f t="shared" si="4702"/>
        <v>1</v>
      </c>
      <c r="Y2162" s="20">
        <v>0</v>
      </c>
      <c r="Z2162" s="20">
        <v>0</v>
      </c>
      <c r="AA2162" s="20">
        <f t="shared" si="4579"/>
        <v>0</v>
      </c>
      <c r="AB2162" s="20">
        <v>0</v>
      </c>
      <c r="AC2162" s="20">
        <v>0</v>
      </c>
      <c r="AD2162" s="23">
        <f t="shared" ref="AD2162:AE2162" si="4703">AD2132</f>
        <v>1</v>
      </c>
      <c r="AE2162" s="23">
        <f t="shared" si="4703"/>
        <v>3</v>
      </c>
    </row>
    <row r="2163" spans="1:31">
      <c r="A2163" s="4">
        <v>18102</v>
      </c>
      <c r="B2163" s="4">
        <v>2</v>
      </c>
      <c r="C2163" s="19" t="s">
        <v>67</v>
      </c>
      <c r="D2163" s="44">
        <v>0</v>
      </c>
      <c r="E2163" s="18">
        <v>0</v>
      </c>
      <c r="F2163" s="18">
        <f t="shared" ref="F2163:F2191" si="4704">F2103*3</f>
        <v>81</v>
      </c>
      <c r="G2163" s="18">
        <f t="shared" si="4577"/>
        <v>81</v>
      </c>
      <c r="H2163" s="45">
        <v>0</v>
      </c>
      <c r="I2163" s="21">
        <f t="shared" si="4665"/>
        <v>55</v>
      </c>
      <c r="J2163" s="21">
        <f t="shared" si="4671"/>
        <v>1</v>
      </c>
      <c r="K2163" s="21">
        <v>0</v>
      </c>
      <c r="L2163" s="20">
        <v>40</v>
      </c>
      <c r="M2163" s="20">
        <v>0</v>
      </c>
      <c r="N2163" s="20">
        <f t="shared" si="4666"/>
        <v>20</v>
      </c>
      <c r="O2163" s="19" t="s">
        <v>67</v>
      </c>
      <c r="P2163" s="20">
        <v>9100</v>
      </c>
      <c r="Q2163" s="20">
        <f t="shared" ref="Q2163:X2163" si="4705">Q2133</f>
        <v>2</v>
      </c>
      <c r="R2163" s="20">
        <f t="shared" si="4705"/>
        <v>8</v>
      </c>
      <c r="S2163" s="20">
        <f t="shared" si="4705"/>
        <v>14</v>
      </c>
      <c r="T2163" s="20">
        <f t="shared" si="4705"/>
        <v>18</v>
      </c>
      <c r="U2163" s="20">
        <f t="shared" si="4705"/>
        <v>4000</v>
      </c>
      <c r="V2163" s="20">
        <f t="shared" si="4705"/>
        <v>8000</v>
      </c>
      <c r="W2163" s="20">
        <f t="shared" si="4705"/>
        <v>8000</v>
      </c>
      <c r="X2163" s="20">
        <f t="shared" si="4705"/>
        <v>1</v>
      </c>
      <c r="Y2163" s="20">
        <v>0</v>
      </c>
      <c r="Z2163" s="20">
        <v>0</v>
      </c>
      <c r="AA2163" s="20">
        <f t="shared" si="4579"/>
        <v>0</v>
      </c>
      <c r="AB2163" s="20">
        <v>0</v>
      </c>
      <c r="AC2163" s="20">
        <v>0</v>
      </c>
      <c r="AD2163" s="23">
        <f t="shared" ref="AD2163:AE2163" si="4706">AD2133</f>
        <v>2</v>
      </c>
      <c r="AE2163" s="23">
        <f t="shared" si="4706"/>
        <v>5</v>
      </c>
    </row>
    <row r="2164" spans="1:31">
      <c r="A2164" s="4">
        <v>18102</v>
      </c>
      <c r="B2164" s="4">
        <v>3</v>
      </c>
      <c r="C2164" s="19" t="s">
        <v>68</v>
      </c>
      <c r="D2164" s="44">
        <v>0</v>
      </c>
      <c r="E2164" s="18">
        <v>0</v>
      </c>
      <c r="F2164" s="18">
        <f t="shared" si="4704"/>
        <v>87</v>
      </c>
      <c r="G2164" s="18">
        <f t="shared" si="4577"/>
        <v>87</v>
      </c>
      <c r="H2164" s="45">
        <v>0</v>
      </c>
      <c r="I2164" s="21">
        <f t="shared" si="4665"/>
        <v>55</v>
      </c>
      <c r="J2164" s="21">
        <f t="shared" si="4671"/>
        <v>2</v>
      </c>
      <c r="K2164" s="21">
        <v>0</v>
      </c>
      <c r="L2164" s="20">
        <v>35</v>
      </c>
      <c r="M2164" s="20">
        <v>0</v>
      </c>
      <c r="N2164" s="20">
        <f t="shared" si="4666"/>
        <v>40</v>
      </c>
      <c r="O2164" s="19" t="s">
        <v>68</v>
      </c>
      <c r="P2164" s="20">
        <v>8600</v>
      </c>
      <c r="Q2164" s="20">
        <f t="shared" ref="Q2164:X2164" si="4707">Q2134</f>
        <v>4</v>
      </c>
      <c r="R2164" s="20">
        <f t="shared" si="4707"/>
        <v>16</v>
      </c>
      <c r="S2164" s="20">
        <f t="shared" si="4707"/>
        <v>28</v>
      </c>
      <c r="T2164" s="20">
        <f t="shared" si="4707"/>
        <v>36</v>
      </c>
      <c r="U2164" s="20">
        <f t="shared" si="4707"/>
        <v>1600</v>
      </c>
      <c r="V2164" s="20">
        <f t="shared" si="4707"/>
        <v>5000</v>
      </c>
      <c r="W2164" s="20">
        <f t="shared" si="4707"/>
        <v>6000</v>
      </c>
      <c r="X2164" s="20">
        <f t="shared" si="4707"/>
        <v>1</v>
      </c>
      <c r="Y2164" s="20">
        <v>0</v>
      </c>
      <c r="Z2164" s="20">
        <v>0</v>
      </c>
      <c r="AA2164" s="20">
        <f t="shared" si="4579"/>
        <v>0</v>
      </c>
      <c r="AB2164" s="20">
        <v>0</v>
      </c>
      <c r="AC2164" s="20">
        <v>0</v>
      </c>
      <c r="AD2164" s="23">
        <f t="shared" ref="AD2164:AE2164" si="4708">AD2134</f>
        <v>4</v>
      </c>
      <c r="AE2164" s="23">
        <f t="shared" si="4708"/>
        <v>8</v>
      </c>
    </row>
    <row r="2165" spans="1:31">
      <c r="A2165" s="4">
        <v>18102</v>
      </c>
      <c r="B2165" s="4">
        <v>4</v>
      </c>
      <c r="C2165" s="19" t="s">
        <v>69</v>
      </c>
      <c r="D2165" s="44">
        <v>0</v>
      </c>
      <c r="E2165" s="18">
        <v>0</v>
      </c>
      <c r="F2165" s="18">
        <f t="shared" si="4704"/>
        <v>96</v>
      </c>
      <c r="G2165" s="18">
        <f t="shared" si="4577"/>
        <v>96</v>
      </c>
      <c r="H2165" s="45">
        <v>0</v>
      </c>
      <c r="I2165" s="21">
        <f t="shared" si="4665"/>
        <v>55</v>
      </c>
      <c r="J2165" s="21">
        <f t="shared" si="4671"/>
        <v>3</v>
      </c>
      <c r="K2165" s="21">
        <v>0</v>
      </c>
      <c r="L2165" s="20">
        <v>30</v>
      </c>
      <c r="M2165" s="20">
        <v>0</v>
      </c>
      <c r="N2165" s="20">
        <f t="shared" si="4666"/>
        <v>100</v>
      </c>
      <c r="O2165" s="19" t="s">
        <v>69</v>
      </c>
      <c r="P2165" s="20">
        <v>6400</v>
      </c>
      <c r="Q2165" s="20">
        <f t="shared" ref="Q2165:X2165" si="4709">Q2135</f>
        <v>10</v>
      </c>
      <c r="R2165" s="20">
        <f t="shared" si="4709"/>
        <v>40</v>
      </c>
      <c r="S2165" s="20">
        <f t="shared" si="4709"/>
        <v>70</v>
      </c>
      <c r="T2165" s="20">
        <f t="shared" si="4709"/>
        <v>90</v>
      </c>
      <c r="U2165" s="20">
        <f t="shared" si="4709"/>
        <v>900</v>
      </c>
      <c r="V2165" s="20">
        <f t="shared" si="4709"/>
        <v>2000</v>
      </c>
      <c r="W2165" s="20">
        <f t="shared" si="4709"/>
        <v>8000</v>
      </c>
      <c r="X2165" s="20">
        <f t="shared" si="4709"/>
        <v>1</v>
      </c>
      <c r="Y2165" s="20">
        <v>0</v>
      </c>
      <c r="Z2165" s="20">
        <v>0</v>
      </c>
      <c r="AA2165" s="20">
        <f t="shared" si="4579"/>
        <v>0</v>
      </c>
      <c r="AB2165" s="20">
        <v>0</v>
      </c>
      <c r="AC2165" s="20">
        <v>0</v>
      </c>
      <c r="AD2165" s="23">
        <f t="shared" ref="AD2165:AE2165" si="4710">AD2135</f>
        <v>6</v>
      </c>
      <c r="AE2165" s="23">
        <f t="shared" si="4710"/>
        <v>10</v>
      </c>
    </row>
    <row r="2166" spans="1:31">
      <c r="A2166" s="4">
        <v>18102</v>
      </c>
      <c r="B2166" s="4">
        <v>5</v>
      </c>
      <c r="C2166" s="19" t="s">
        <v>70</v>
      </c>
      <c r="D2166" s="44">
        <v>0</v>
      </c>
      <c r="E2166" s="18">
        <v>0</v>
      </c>
      <c r="F2166" s="18">
        <f t="shared" si="4704"/>
        <v>102</v>
      </c>
      <c r="G2166" s="18">
        <f t="shared" si="4577"/>
        <v>102</v>
      </c>
      <c r="H2166" s="45">
        <v>0</v>
      </c>
      <c r="I2166" s="21">
        <f t="shared" si="4665"/>
        <v>110</v>
      </c>
      <c r="J2166" s="21">
        <f t="shared" si="4671"/>
        <v>4</v>
      </c>
      <c r="K2166" s="21">
        <v>0</v>
      </c>
      <c r="L2166" s="20">
        <v>25</v>
      </c>
      <c r="M2166" s="20">
        <v>0</v>
      </c>
      <c r="N2166" s="20">
        <f t="shared" si="4666"/>
        <v>200</v>
      </c>
      <c r="O2166" s="19" t="s">
        <v>70</v>
      </c>
      <c r="P2166" s="20">
        <v>3100</v>
      </c>
      <c r="Q2166" s="20">
        <f t="shared" ref="Q2166:X2166" si="4711">Q2136</f>
        <v>20</v>
      </c>
      <c r="R2166" s="20">
        <f t="shared" si="4711"/>
        <v>80</v>
      </c>
      <c r="S2166" s="20">
        <f t="shared" si="4711"/>
        <v>140</v>
      </c>
      <c r="T2166" s="20">
        <f t="shared" si="4711"/>
        <v>180</v>
      </c>
      <c r="U2166" s="20">
        <f t="shared" si="4711"/>
        <v>1000</v>
      </c>
      <c r="V2166" s="20">
        <f t="shared" si="4711"/>
        <v>2000</v>
      </c>
      <c r="W2166" s="20">
        <f t="shared" si="4711"/>
        <v>2000</v>
      </c>
      <c r="X2166" s="20">
        <f t="shared" si="4711"/>
        <v>2</v>
      </c>
      <c r="Y2166" s="20">
        <v>0</v>
      </c>
      <c r="Z2166" s="20">
        <v>0</v>
      </c>
      <c r="AA2166" s="20">
        <f t="shared" si="4579"/>
        <v>0</v>
      </c>
      <c r="AB2166" s="20">
        <v>0</v>
      </c>
      <c r="AC2166" s="20">
        <v>0</v>
      </c>
      <c r="AD2166" s="23">
        <f t="shared" ref="AD2166:AE2166" si="4712">AD2136</f>
        <v>8</v>
      </c>
      <c r="AE2166" s="23">
        <f t="shared" si="4712"/>
        <v>12</v>
      </c>
    </row>
    <row r="2167" spans="1:31">
      <c r="A2167" s="4">
        <v>18102</v>
      </c>
      <c r="B2167" s="4">
        <v>6</v>
      </c>
      <c r="C2167" s="19" t="s">
        <v>71</v>
      </c>
      <c r="D2167" s="44">
        <v>0</v>
      </c>
      <c r="E2167" s="18">
        <v>0</v>
      </c>
      <c r="F2167" s="18">
        <f t="shared" si="4704"/>
        <v>111</v>
      </c>
      <c r="G2167" s="18">
        <f t="shared" ref="G2167:G2230" si="4713">F2167</f>
        <v>111</v>
      </c>
      <c r="H2167" s="45">
        <v>0</v>
      </c>
      <c r="I2167" s="21">
        <f t="shared" si="4665"/>
        <v>110</v>
      </c>
      <c r="J2167" s="21">
        <f t="shared" si="4671"/>
        <v>5</v>
      </c>
      <c r="K2167" s="21">
        <v>0</v>
      </c>
      <c r="L2167" s="20">
        <v>20</v>
      </c>
      <c r="M2167" s="20">
        <v>0</v>
      </c>
      <c r="N2167" s="20">
        <f t="shared" si="4666"/>
        <v>500</v>
      </c>
      <c r="O2167" s="19" t="s">
        <v>71</v>
      </c>
      <c r="P2167" s="20">
        <v>1777</v>
      </c>
      <c r="Q2167" s="20">
        <f t="shared" ref="Q2167:X2167" si="4714">Q2137</f>
        <v>50</v>
      </c>
      <c r="R2167" s="20">
        <f t="shared" si="4714"/>
        <v>200</v>
      </c>
      <c r="S2167" s="20">
        <f t="shared" si="4714"/>
        <v>350</v>
      </c>
      <c r="T2167" s="20">
        <f t="shared" si="4714"/>
        <v>450</v>
      </c>
      <c r="U2167" s="20">
        <f t="shared" si="4714"/>
        <v>800</v>
      </c>
      <c r="V2167" s="20">
        <f t="shared" si="4714"/>
        <v>800</v>
      </c>
      <c r="W2167" s="20">
        <f t="shared" si="4714"/>
        <v>600</v>
      </c>
      <c r="X2167" s="20">
        <f t="shared" si="4714"/>
        <v>2</v>
      </c>
      <c r="Y2167" s="20">
        <v>0</v>
      </c>
      <c r="Z2167" s="20">
        <v>0</v>
      </c>
      <c r="AA2167" s="20">
        <f t="shared" ref="AA2167:AA2230" si="4715">AA667</f>
        <v>0</v>
      </c>
      <c r="AB2167" s="20">
        <v>0</v>
      </c>
      <c r="AC2167" s="20">
        <v>0</v>
      </c>
      <c r="AD2167" s="23">
        <f t="shared" ref="AD2167:AE2167" si="4716">AD2137</f>
        <v>10</v>
      </c>
      <c r="AE2167" s="23">
        <f t="shared" si="4716"/>
        <v>14</v>
      </c>
    </row>
    <row r="2168" spans="1:31">
      <c r="A2168" s="8">
        <v>18102</v>
      </c>
      <c r="B2168" s="8">
        <v>7</v>
      </c>
      <c r="C2168" s="19" t="s">
        <v>72</v>
      </c>
      <c r="D2168" s="44">
        <v>0</v>
      </c>
      <c r="E2168" s="18">
        <v>0</v>
      </c>
      <c r="F2168" s="18">
        <f t="shared" si="4704"/>
        <v>120</v>
      </c>
      <c r="G2168" s="18">
        <f t="shared" si="4713"/>
        <v>120</v>
      </c>
      <c r="H2168" s="45">
        <v>0</v>
      </c>
      <c r="I2168" s="21">
        <f t="shared" si="4665"/>
        <v>110</v>
      </c>
      <c r="J2168" s="21">
        <f t="shared" si="4671"/>
        <v>6</v>
      </c>
      <c r="K2168" s="21">
        <v>0</v>
      </c>
      <c r="L2168" s="20">
        <v>16</v>
      </c>
      <c r="M2168" s="20">
        <v>0</v>
      </c>
      <c r="N2168" s="20">
        <f t="shared" si="4666"/>
        <v>700</v>
      </c>
      <c r="O2168" s="19" t="s">
        <v>72</v>
      </c>
      <c r="P2168" s="20">
        <v>2332</v>
      </c>
      <c r="Q2168" s="20">
        <f t="shared" ref="Q2168:X2168" si="4717">Q2138</f>
        <v>70</v>
      </c>
      <c r="R2168" s="20">
        <f t="shared" si="4717"/>
        <v>280</v>
      </c>
      <c r="S2168" s="20">
        <f t="shared" si="4717"/>
        <v>489.99999999999994</v>
      </c>
      <c r="T2168" s="20">
        <f t="shared" si="4717"/>
        <v>630</v>
      </c>
      <c r="U2168" s="20">
        <f t="shared" si="4717"/>
        <v>650</v>
      </c>
      <c r="V2168" s="20">
        <f t="shared" si="4717"/>
        <v>800</v>
      </c>
      <c r="W2168" s="20">
        <f t="shared" si="4717"/>
        <v>300</v>
      </c>
      <c r="X2168" s="20">
        <f t="shared" si="4717"/>
        <v>2</v>
      </c>
      <c r="Y2168" s="20">
        <v>0</v>
      </c>
      <c r="Z2168" s="20">
        <v>0</v>
      </c>
      <c r="AA2168" s="20">
        <f t="shared" si="4715"/>
        <v>0</v>
      </c>
      <c r="AB2168" s="20">
        <v>0</v>
      </c>
      <c r="AC2168" s="20">
        <v>0</v>
      </c>
      <c r="AD2168" s="23">
        <f t="shared" ref="AD2168:AE2168" si="4718">AD2138</f>
        <v>12</v>
      </c>
      <c r="AE2168" s="23">
        <f t="shared" si="4718"/>
        <v>16</v>
      </c>
    </row>
    <row r="2169" spans="1:31">
      <c r="A2169" s="4">
        <v>18102</v>
      </c>
      <c r="B2169" s="4">
        <v>8</v>
      </c>
      <c r="C2169" s="19" t="s">
        <v>73</v>
      </c>
      <c r="D2169" s="44">
        <v>0</v>
      </c>
      <c r="E2169" s="18">
        <v>0</v>
      </c>
      <c r="F2169" s="18">
        <f t="shared" si="4704"/>
        <v>132</v>
      </c>
      <c r="G2169" s="18">
        <f t="shared" si="4713"/>
        <v>132</v>
      </c>
      <c r="H2169" s="45">
        <v>0</v>
      </c>
      <c r="I2169" s="21">
        <f t="shared" si="4665"/>
        <v>110</v>
      </c>
      <c r="J2169" s="21">
        <f t="shared" si="4671"/>
        <v>7</v>
      </c>
      <c r="K2169" s="21">
        <v>0</v>
      </c>
      <c r="L2169" s="20">
        <v>12</v>
      </c>
      <c r="M2169" s="20">
        <v>0</v>
      </c>
      <c r="N2169" s="20">
        <f t="shared" si="4666"/>
        <v>800</v>
      </c>
      <c r="O2169" s="19" t="s">
        <v>73</v>
      </c>
      <c r="P2169" s="20">
        <v>1487</v>
      </c>
      <c r="Q2169" s="20">
        <f t="shared" ref="Q2169:X2169" si="4719">Q2139</f>
        <v>80</v>
      </c>
      <c r="R2169" s="20">
        <f t="shared" si="4719"/>
        <v>320</v>
      </c>
      <c r="S2169" s="20">
        <f t="shared" si="4719"/>
        <v>560</v>
      </c>
      <c r="T2169" s="20">
        <f t="shared" si="4719"/>
        <v>720</v>
      </c>
      <c r="U2169" s="20">
        <f t="shared" si="4719"/>
        <v>200</v>
      </c>
      <c r="V2169" s="20">
        <f t="shared" si="4719"/>
        <v>2000</v>
      </c>
      <c r="W2169" s="20">
        <f t="shared" si="4719"/>
        <v>1000</v>
      </c>
      <c r="X2169" s="20">
        <f t="shared" si="4719"/>
        <v>2</v>
      </c>
      <c r="Y2169" s="20">
        <f>ROUND(D2169*0.25,-1)</f>
        <v>0</v>
      </c>
      <c r="Z2169" s="20">
        <f>ROUND(E2169*0.25,-1)</f>
        <v>0</v>
      </c>
      <c r="AA2169" s="20">
        <f t="shared" si="4715"/>
        <v>29</v>
      </c>
      <c r="AB2169" s="20">
        <v>0</v>
      </c>
      <c r="AC2169" s="20">
        <f>ROUND(H2169*0.25,-1)</f>
        <v>0</v>
      </c>
      <c r="AD2169" s="23">
        <f t="shared" ref="AD2169:AE2169" si="4720">AD2139</f>
        <v>14</v>
      </c>
      <c r="AE2169" s="23">
        <f t="shared" si="4720"/>
        <v>18</v>
      </c>
    </row>
    <row r="2170" spans="1:31">
      <c r="A2170" s="4">
        <v>18102</v>
      </c>
      <c r="B2170" s="4">
        <v>9</v>
      </c>
      <c r="C2170" s="19" t="s">
        <v>74</v>
      </c>
      <c r="D2170" s="44">
        <v>0</v>
      </c>
      <c r="E2170" s="18">
        <v>0</v>
      </c>
      <c r="F2170" s="18">
        <f t="shared" si="4704"/>
        <v>141</v>
      </c>
      <c r="G2170" s="18">
        <f t="shared" si="4713"/>
        <v>141</v>
      </c>
      <c r="H2170" s="45">
        <v>0</v>
      </c>
      <c r="I2170" s="21">
        <f t="shared" si="4665"/>
        <v>165</v>
      </c>
      <c r="J2170" s="21">
        <f t="shared" si="4671"/>
        <v>8</v>
      </c>
      <c r="K2170" s="21">
        <v>0</v>
      </c>
      <c r="L2170" s="20">
        <v>8</v>
      </c>
      <c r="M2170" s="20">
        <v>0</v>
      </c>
      <c r="N2170" s="20">
        <f t="shared" si="4666"/>
        <v>900</v>
      </c>
      <c r="O2170" s="19" t="s">
        <v>74</v>
      </c>
      <c r="P2170" s="20">
        <v>1518</v>
      </c>
      <c r="Q2170" s="20">
        <f t="shared" ref="Q2170:X2170" si="4721">Q2140</f>
        <v>90</v>
      </c>
      <c r="R2170" s="20">
        <f t="shared" si="4721"/>
        <v>360</v>
      </c>
      <c r="S2170" s="20">
        <f t="shared" si="4721"/>
        <v>630</v>
      </c>
      <c r="T2170" s="20">
        <f t="shared" si="4721"/>
        <v>810</v>
      </c>
      <c r="U2170" s="20">
        <f t="shared" si="4721"/>
        <v>120</v>
      </c>
      <c r="V2170" s="20">
        <f t="shared" si="4721"/>
        <v>1500</v>
      </c>
      <c r="W2170" s="20">
        <f t="shared" si="4721"/>
        <v>1000</v>
      </c>
      <c r="X2170" s="20">
        <f t="shared" si="4721"/>
        <v>3</v>
      </c>
      <c r="Y2170" s="20">
        <v>0</v>
      </c>
      <c r="Z2170" s="20">
        <v>0</v>
      </c>
      <c r="AA2170" s="20">
        <f t="shared" si="4715"/>
        <v>0</v>
      </c>
      <c r="AB2170" s="20">
        <v>0</v>
      </c>
      <c r="AC2170" s="20">
        <v>0</v>
      </c>
      <c r="AD2170" s="23">
        <f t="shared" ref="AD2170:AE2170" si="4722">AD2140</f>
        <v>16</v>
      </c>
      <c r="AE2170" s="23">
        <f t="shared" si="4722"/>
        <v>20</v>
      </c>
    </row>
    <row r="2171" spans="1:31">
      <c r="A2171" s="4">
        <v>18102</v>
      </c>
      <c r="B2171" s="4">
        <v>10</v>
      </c>
      <c r="C2171" s="19" t="s">
        <v>75</v>
      </c>
      <c r="D2171" s="44">
        <v>0</v>
      </c>
      <c r="E2171" s="18">
        <v>0</v>
      </c>
      <c r="F2171" s="18">
        <f t="shared" si="4704"/>
        <v>153</v>
      </c>
      <c r="G2171" s="18">
        <f t="shared" si="4713"/>
        <v>153</v>
      </c>
      <c r="H2171" s="45">
        <v>0</v>
      </c>
      <c r="I2171" s="21">
        <f t="shared" si="4665"/>
        <v>165</v>
      </c>
      <c r="J2171" s="21">
        <f t="shared" si="4671"/>
        <v>9</v>
      </c>
      <c r="K2171" s="21">
        <v>0</v>
      </c>
      <c r="L2171" s="20">
        <v>6</v>
      </c>
      <c r="M2171" s="20">
        <v>0</v>
      </c>
      <c r="N2171" s="20">
        <f t="shared" si="4666"/>
        <v>2000</v>
      </c>
      <c r="O2171" s="19" t="s">
        <v>75</v>
      </c>
      <c r="P2171" s="20">
        <v>861</v>
      </c>
      <c r="Q2171" s="20">
        <f t="shared" ref="Q2171:X2171" si="4723">Q2141</f>
        <v>200</v>
      </c>
      <c r="R2171" s="20">
        <f t="shared" si="4723"/>
        <v>800</v>
      </c>
      <c r="S2171" s="20">
        <f t="shared" si="4723"/>
        <v>1400</v>
      </c>
      <c r="T2171" s="20">
        <f t="shared" si="4723"/>
        <v>1800</v>
      </c>
      <c r="U2171" s="20">
        <f t="shared" si="4723"/>
        <v>150</v>
      </c>
      <c r="V2171" s="20">
        <f t="shared" si="4723"/>
        <v>5000</v>
      </c>
      <c r="W2171" s="20">
        <f t="shared" si="4723"/>
        <v>800</v>
      </c>
      <c r="X2171" s="20">
        <f t="shared" si="4723"/>
        <v>3</v>
      </c>
      <c r="Y2171" s="20">
        <v>0</v>
      </c>
      <c r="Z2171" s="20">
        <v>0</v>
      </c>
      <c r="AA2171" s="20">
        <f t="shared" si="4715"/>
        <v>0</v>
      </c>
      <c r="AB2171" s="20">
        <v>0</v>
      </c>
      <c r="AC2171" s="20">
        <v>0</v>
      </c>
      <c r="AD2171" s="23">
        <f t="shared" ref="AD2171:AE2171" si="4724">AD2141</f>
        <v>18</v>
      </c>
      <c r="AE2171" s="23">
        <f t="shared" si="4724"/>
        <v>22</v>
      </c>
    </row>
    <row r="2172" spans="1:31">
      <c r="A2172" s="4">
        <v>18102</v>
      </c>
      <c r="B2172" s="4">
        <v>11</v>
      </c>
      <c r="C2172" s="19" t="s">
        <v>66</v>
      </c>
      <c r="D2172" s="44">
        <v>0</v>
      </c>
      <c r="E2172" s="18">
        <v>0</v>
      </c>
      <c r="F2172" s="18">
        <f t="shared" si="4704"/>
        <v>165</v>
      </c>
      <c r="G2172" s="18">
        <f t="shared" si="4713"/>
        <v>165</v>
      </c>
      <c r="H2172" s="45">
        <v>0</v>
      </c>
      <c r="I2172" s="21">
        <f t="shared" si="4665"/>
        <v>165</v>
      </c>
      <c r="J2172" s="21">
        <f t="shared" si="4671"/>
        <v>10</v>
      </c>
      <c r="K2172" s="21">
        <v>0</v>
      </c>
      <c r="L2172" s="20">
        <v>6</v>
      </c>
      <c r="M2172" s="20">
        <v>0</v>
      </c>
      <c r="N2172" s="20">
        <f t="shared" si="4666"/>
        <v>2200</v>
      </c>
      <c r="O2172" s="19" t="s">
        <v>66</v>
      </c>
      <c r="P2172" s="20">
        <v>9400</v>
      </c>
      <c r="Q2172" s="20">
        <f t="shared" ref="Q2172:X2172" si="4725">Q2142</f>
        <v>220</v>
      </c>
      <c r="R2172" s="20">
        <f t="shared" si="4725"/>
        <v>880</v>
      </c>
      <c r="S2172" s="20">
        <f t="shared" si="4725"/>
        <v>1540</v>
      </c>
      <c r="T2172" s="20">
        <f t="shared" si="4725"/>
        <v>1980</v>
      </c>
      <c r="U2172" s="20">
        <f t="shared" si="4725"/>
        <v>100</v>
      </c>
      <c r="V2172" s="20">
        <f t="shared" si="4725"/>
        <v>800</v>
      </c>
      <c r="W2172" s="20">
        <f t="shared" si="4725"/>
        <v>600</v>
      </c>
      <c r="X2172" s="20">
        <f t="shared" si="4725"/>
        <v>3</v>
      </c>
      <c r="Y2172" s="20">
        <v>0</v>
      </c>
      <c r="Z2172" s="20">
        <v>0</v>
      </c>
      <c r="AA2172" s="20">
        <f t="shared" si="4715"/>
        <v>0</v>
      </c>
      <c r="AB2172" s="20">
        <v>0</v>
      </c>
      <c r="AC2172" s="20">
        <v>0</v>
      </c>
      <c r="AD2172" s="23">
        <f t="shared" ref="AD2172:AE2172" si="4726">AD2142</f>
        <v>20</v>
      </c>
      <c r="AE2172" s="23">
        <f t="shared" si="4726"/>
        <v>24</v>
      </c>
    </row>
    <row r="2173" spans="1:31">
      <c r="A2173" s="4">
        <v>18102</v>
      </c>
      <c r="B2173" s="4">
        <v>12</v>
      </c>
      <c r="C2173" s="19" t="s">
        <v>67</v>
      </c>
      <c r="D2173" s="44">
        <v>0</v>
      </c>
      <c r="E2173" s="18">
        <v>0</v>
      </c>
      <c r="F2173" s="18">
        <f t="shared" si="4704"/>
        <v>180</v>
      </c>
      <c r="G2173" s="18">
        <f t="shared" si="4713"/>
        <v>180</v>
      </c>
      <c r="H2173" s="45">
        <v>0</v>
      </c>
      <c r="I2173" s="21">
        <f t="shared" si="4665"/>
        <v>165</v>
      </c>
      <c r="J2173" s="21">
        <f t="shared" si="4671"/>
        <v>11</v>
      </c>
      <c r="K2173" s="21">
        <v>0</v>
      </c>
      <c r="L2173" s="20">
        <v>6</v>
      </c>
      <c r="M2173" s="20">
        <v>0</v>
      </c>
      <c r="N2173" s="20">
        <f t="shared" si="4666"/>
        <v>2400</v>
      </c>
      <c r="O2173" s="19" t="s">
        <v>67</v>
      </c>
      <c r="P2173" s="20">
        <v>9100</v>
      </c>
      <c r="Q2173" s="20">
        <f t="shared" ref="Q2173:X2173" si="4727">Q2143</f>
        <v>240</v>
      </c>
      <c r="R2173" s="20">
        <f t="shared" si="4727"/>
        <v>960</v>
      </c>
      <c r="S2173" s="20">
        <f t="shared" si="4727"/>
        <v>1680</v>
      </c>
      <c r="T2173" s="20">
        <f t="shared" si="4727"/>
        <v>2160</v>
      </c>
      <c r="U2173" s="20">
        <f t="shared" si="4727"/>
        <v>150</v>
      </c>
      <c r="V2173" s="20">
        <f t="shared" si="4727"/>
        <v>700</v>
      </c>
      <c r="W2173" s="20">
        <f t="shared" si="4727"/>
        <v>900</v>
      </c>
      <c r="X2173" s="20">
        <f t="shared" si="4727"/>
        <v>3</v>
      </c>
      <c r="Y2173" s="20">
        <v>0</v>
      </c>
      <c r="Z2173" s="20">
        <v>0</v>
      </c>
      <c r="AA2173" s="20">
        <f t="shared" si="4715"/>
        <v>0</v>
      </c>
      <c r="AB2173" s="20">
        <v>0</v>
      </c>
      <c r="AC2173" s="20">
        <v>0</v>
      </c>
      <c r="AD2173" s="23">
        <f t="shared" ref="AD2173:AE2173" si="4728">AD2143</f>
        <v>22</v>
      </c>
      <c r="AE2173" s="23">
        <f t="shared" si="4728"/>
        <v>26</v>
      </c>
    </row>
    <row r="2174" spans="1:31">
      <c r="A2174" s="4">
        <v>18102</v>
      </c>
      <c r="B2174" s="4">
        <v>13</v>
      </c>
      <c r="C2174" s="19" t="s">
        <v>68</v>
      </c>
      <c r="D2174" s="44">
        <v>0</v>
      </c>
      <c r="E2174" s="18">
        <v>0</v>
      </c>
      <c r="F2174" s="18">
        <f t="shared" si="4704"/>
        <v>195</v>
      </c>
      <c r="G2174" s="18">
        <f t="shared" si="4713"/>
        <v>195</v>
      </c>
      <c r="H2174" s="45">
        <v>0</v>
      </c>
      <c r="I2174" s="21">
        <f t="shared" si="4665"/>
        <v>220</v>
      </c>
      <c r="J2174" s="21">
        <f t="shared" si="4671"/>
        <v>12</v>
      </c>
      <c r="K2174" s="21">
        <v>0</v>
      </c>
      <c r="L2174" s="20">
        <v>6</v>
      </c>
      <c r="M2174" s="20">
        <v>0</v>
      </c>
      <c r="N2174" s="20">
        <f t="shared" si="4666"/>
        <v>2600</v>
      </c>
      <c r="O2174" s="19" t="s">
        <v>68</v>
      </c>
      <c r="P2174" s="20">
        <v>8600</v>
      </c>
      <c r="Q2174" s="20">
        <f t="shared" ref="Q2174:X2174" si="4729">Q2144</f>
        <v>260</v>
      </c>
      <c r="R2174" s="20">
        <f t="shared" si="4729"/>
        <v>1040</v>
      </c>
      <c r="S2174" s="20">
        <f t="shared" si="4729"/>
        <v>1819.9999999999998</v>
      </c>
      <c r="T2174" s="20">
        <f t="shared" si="4729"/>
        <v>2340</v>
      </c>
      <c r="U2174" s="20">
        <f t="shared" si="4729"/>
        <v>100</v>
      </c>
      <c r="V2174" s="20">
        <f t="shared" si="4729"/>
        <v>700</v>
      </c>
      <c r="W2174" s="20">
        <f t="shared" si="4729"/>
        <v>1000</v>
      </c>
      <c r="X2174" s="20">
        <f t="shared" si="4729"/>
        <v>4</v>
      </c>
      <c r="Y2174" s="20">
        <f>ROUND(D2174*0.25,-1)</f>
        <v>0</v>
      </c>
      <c r="Z2174" s="20">
        <f>ROUND(E2174*0.25,-1)</f>
        <v>0</v>
      </c>
      <c r="AA2174" s="20">
        <f t="shared" si="4715"/>
        <v>60</v>
      </c>
      <c r="AB2174" s="20">
        <v>0</v>
      </c>
      <c r="AC2174" s="20">
        <f>ROUND(H2174*0.25,-1)</f>
        <v>0</v>
      </c>
      <c r="AD2174" s="23">
        <f t="shared" ref="AD2174:AE2174" si="4730">AD2144</f>
        <v>24</v>
      </c>
      <c r="AE2174" s="23">
        <f t="shared" si="4730"/>
        <v>28</v>
      </c>
    </row>
    <row r="2175" spans="1:31">
      <c r="A2175" s="4">
        <v>18102</v>
      </c>
      <c r="B2175" s="4">
        <v>14</v>
      </c>
      <c r="C2175" s="19" t="s">
        <v>69</v>
      </c>
      <c r="D2175" s="44">
        <v>0</v>
      </c>
      <c r="E2175" s="18">
        <v>0</v>
      </c>
      <c r="F2175" s="18">
        <f t="shared" si="4704"/>
        <v>210</v>
      </c>
      <c r="G2175" s="18">
        <f t="shared" si="4713"/>
        <v>210</v>
      </c>
      <c r="H2175" s="45">
        <v>0</v>
      </c>
      <c r="I2175" s="21">
        <f t="shared" si="4665"/>
        <v>220</v>
      </c>
      <c r="J2175" s="21">
        <f t="shared" si="4671"/>
        <v>13</v>
      </c>
      <c r="K2175" s="21">
        <v>0</v>
      </c>
      <c r="L2175" s="20">
        <v>6</v>
      </c>
      <c r="M2175" s="20">
        <v>0</v>
      </c>
      <c r="N2175" s="20">
        <f t="shared" si="4666"/>
        <v>2800</v>
      </c>
      <c r="O2175" s="19" t="s">
        <v>69</v>
      </c>
      <c r="P2175" s="20">
        <v>6400</v>
      </c>
      <c r="Q2175" s="20">
        <f t="shared" ref="Q2175:X2175" si="4731">Q2145</f>
        <v>280</v>
      </c>
      <c r="R2175" s="20">
        <f t="shared" si="4731"/>
        <v>1120</v>
      </c>
      <c r="S2175" s="20">
        <f t="shared" si="4731"/>
        <v>1959.9999999999998</v>
      </c>
      <c r="T2175" s="20">
        <f t="shared" si="4731"/>
        <v>2520</v>
      </c>
      <c r="U2175" s="20">
        <f t="shared" si="4731"/>
        <v>100</v>
      </c>
      <c r="V2175" s="20">
        <f t="shared" si="4731"/>
        <v>400</v>
      </c>
      <c r="W2175" s="20">
        <f t="shared" si="4731"/>
        <v>1200</v>
      </c>
      <c r="X2175" s="20">
        <f t="shared" si="4731"/>
        <v>4</v>
      </c>
      <c r="Y2175" s="20">
        <v>0</v>
      </c>
      <c r="Z2175" s="20">
        <v>0</v>
      </c>
      <c r="AA2175" s="20">
        <f t="shared" si="4715"/>
        <v>0</v>
      </c>
      <c r="AB2175" s="20">
        <v>0</v>
      </c>
      <c r="AC2175" s="20">
        <v>0</v>
      </c>
      <c r="AD2175" s="23">
        <f t="shared" ref="AD2175:AE2175" si="4732">AD2145</f>
        <v>26</v>
      </c>
      <c r="AE2175" s="23">
        <f t="shared" si="4732"/>
        <v>30</v>
      </c>
    </row>
    <row r="2176" spans="1:31">
      <c r="A2176" s="4">
        <v>18102</v>
      </c>
      <c r="B2176" s="4">
        <v>15</v>
      </c>
      <c r="C2176" s="19" t="s">
        <v>70</v>
      </c>
      <c r="D2176" s="44">
        <v>0</v>
      </c>
      <c r="E2176" s="18">
        <v>0</v>
      </c>
      <c r="F2176" s="18">
        <f t="shared" si="4704"/>
        <v>228</v>
      </c>
      <c r="G2176" s="18">
        <f t="shared" si="4713"/>
        <v>228</v>
      </c>
      <c r="H2176" s="45">
        <v>0</v>
      </c>
      <c r="I2176" s="21">
        <f t="shared" si="4665"/>
        <v>220</v>
      </c>
      <c r="J2176" s="21">
        <f t="shared" si="4671"/>
        <v>14</v>
      </c>
      <c r="K2176" s="21">
        <v>0</v>
      </c>
      <c r="L2176" s="20">
        <v>6</v>
      </c>
      <c r="M2176" s="20">
        <v>0</v>
      </c>
      <c r="N2176" s="20">
        <f t="shared" si="4666"/>
        <v>4500</v>
      </c>
      <c r="O2176" s="19" t="s">
        <v>70</v>
      </c>
      <c r="P2176" s="20">
        <v>3100</v>
      </c>
      <c r="Q2176" s="20">
        <f t="shared" ref="Q2176:X2176" si="4733">Q2146</f>
        <v>450</v>
      </c>
      <c r="R2176" s="20">
        <f t="shared" si="4733"/>
        <v>1800</v>
      </c>
      <c r="S2176" s="20">
        <f t="shared" si="4733"/>
        <v>3150</v>
      </c>
      <c r="T2176" s="20">
        <f t="shared" si="4733"/>
        <v>4050</v>
      </c>
      <c r="U2176" s="20">
        <f t="shared" si="4733"/>
        <v>100</v>
      </c>
      <c r="V2176" s="20">
        <f t="shared" si="4733"/>
        <v>1000</v>
      </c>
      <c r="W2176" s="20">
        <f t="shared" si="4733"/>
        <v>600</v>
      </c>
      <c r="X2176" s="20">
        <f t="shared" si="4733"/>
        <v>4</v>
      </c>
      <c r="Y2176" s="20">
        <v>0</v>
      </c>
      <c r="Z2176" s="20">
        <v>0</v>
      </c>
      <c r="AA2176" s="20">
        <f t="shared" si="4715"/>
        <v>0</v>
      </c>
      <c r="AB2176" s="20">
        <v>0</v>
      </c>
      <c r="AC2176" s="20">
        <v>0</v>
      </c>
      <c r="AD2176" s="23">
        <f t="shared" ref="AD2176:AE2176" si="4734">AD2146</f>
        <v>28</v>
      </c>
      <c r="AE2176" s="23">
        <f t="shared" si="4734"/>
        <v>32</v>
      </c>
    </row>
    <row r="2177" spans="1:31">
      <c r="A2177" s="4">
        <v>18102</v>
      </c>
      <c r="B2177" s="4">
        <v>16</v>
      </c>
      <c r="C2177" s="19" t="s">
        <v>71</v>
      </c>
      <c r="D2177" s="44">
        <v>0</v>
      </c>
      <c r="E2177" s="18">
        <v>0</v>
      </c>
      <c r="F2177" s="18">
        <f t="shared" si="4704"/>
        <v>249</v>
      </c>
      <c r="G2177" s="18">
        <f t="shared" si="4713"/>
        <v>249</v>
      </c>
      <c r="H2177" s="45">
        <v>0</v>
      </c>
      <c r="I2177" s="21">
        <f t="shared" si="4665"/>
        <v>220</v>
      </c>
      <c r="J2177" s="21">
        <f t="shared" si="4671"/>
        <v>15</v>
      </c>
      <c r="K2177" s="21">
        <v>0</v>
      </c>
      <c r="L2177" s="20">
        <v>6</v>
      </c>
      <c r="M2177" s="20">
        <v>0</v>
      </c>
      <c r="N2177" s="20">
        <f t="shared" si="4666"/>
        <v>4800</v>
      </c>
      <c r="O2177" s="19" t="s">
        <v>71</v>
      </c>
      <c r="P2177" s="20">
        <v>1777</v>
      </c>
      <c r="Q2177" s="20">
        <f t="shared" ref="Q2177:X2177" si="4735">Q2147</f>
        <v>480</v>
      </c>
      <c r="R2177" s="20">
        <f t="shared" si="4735"/>
        <v>1920</v>
      </c>
      <c r="S2177" s="20">
        <f t="shared" si="4735"/>
        <v>3360</v>
      </c>
      <c r="T2177" s="20">
        <f t="shared" si="4735"/>
        <v>4320</v>
      </c>
      <c r="U2177" s="20">
        <f t="shared" si="4735"/>
        <v>100</v>
      </c>
      <c r="V2177" s="20">
        <f t="shared" si="4735"/>
        <v>800</v>
      </c>
      <c r="W2177" s="20">
        <f t="shared" si="4735"/>
        <v>800</v>
      </c>
      <c r="X2177" s="20">
        <f t="shared" si="4735"/>
        <v>4</v>
      </c>
      <c r="Y2177" s="20">
        <v>0</v>
      </c>
      <c r="Z2177" s="20">
        <v>0</v>
      </c>
      <c r="AA2177" s="20">
        <f t="shared" si="4715"/>
        <v>0</v>
      </c>
      <c r="AB2177" s="20">
        <v>0</v>
      </c>
      <c r="AC2177" s="20">
        <v>0</v>
      </c>
      <c r="AD2177" s="23">
        <f t="shared" ref="AD2177:AE2177" si="4736">AD2147</f>
        <v>30</v>
      </c>
      <c r="AE2177" s="23">
        <f t="shared" si="4736"/>
        <v>34</v>
      </c>
    </row>
    <row r="2178" spans="1:31">
      <c r="A2178" s="4">
        <v>18102</v>
      </c>
      <c r="B2178" s="4">
        <v>17</v>
      </c>
      <c r="C2178" s="19" t="s">
        <v>72</v>
      </c>
      <c r="D2178" s="44">
        <v>0</v>
      </c>
      <c r="E2178" s="18">
        <v>0</v>
      </c>
      <c r="F2178" s="18">
        <f t="shared" si="4704"/>
        <v>267</v>
      </c>
      <c r="G2178" s="18">
        <f t="shared" si="4713"/>
        <v>267</v>
      </c>
      <c r="H2178" s="45">
        <v>0</v>
      </c>
      <c r="I2178" s="21">
        <f t="shared" si="4665"/>
        <v>275</v>
      </c>
      <c r="J2178" s="21">
        <f t="shared" si="4671"/>
        <v>16</v>
      </c>
      <c r="K2178" s="21">
        <v>0</v>
      </c>
      <c r="L2178" s="20">
        <v>6</v>
      </c>
      <c r="M2178" s="20">
        <v>0</v>
      </c>
      <c r="N2178" s="20">
        <f t="shared" si="4666"/>
        <v>5100</v>
      </c>
      <c r="O2178" s="19" t="s">
        <v>72</v>
      </c>
      <c r="P2178" s="20">
        <v>2332</v>
      </c>
      <c r="Q2178" s="20">
        <f t="shared" ref="Q2178:X2178" si="4737">Q2148</f>
        <v>510</v>
      </c>
      <c r="R2178" s="20">
        <f t="shared" si="4737"/>
        <v>2040</v>
      </c>
      <c r="S2178" s="20">
        <f t="shared" si="4737"/>
        <v>3570</v>
      </c>
      <c r="T2178" s="20">
        <f t="shared" si="4737"/>
        <v>4590</v>
      </c>
      <c r="U2178" s="20">
        <f t="shared" si="4737"/>
        <v>80</v>
      </c>
      <c r="V2178" s="20">
        <f t="shared" si="4737"/>
        <v>800</v>
      </c>
      <c r="W2178" s="20">
        <f t="shared" si="4737"/>
        <v>600</v>
      </c>
      <c r="X2178" s="20">
        <f t="shared" si="4737"/>
        <v>5</v>
      </c>
      <c r="Y2178" s="20">
        <v>0</v>
      </c>
      <c r="Z2178" s="20">
        <v>0</v>
      </c>
      <c r="AA2178" s="20">
        <f t="shared" si="4715"/>
        <v>0</v>
      </c>
      <c r="AB2178" s="20">
        <v>0</v>
      </c>
      <c r="AC2178" s="20">
        <v>0</v>
      </c>
      <c r="AD2178" s="23">
        <f t="shared" ref="AD2178:AE2178" si="4738">AD2148</f>
        <v>32</v>
      </c>
      <c r="AE2178" s="23">
        <f t="shared" si="4738"/>
        <v>36</v>
      </c>
    </row>
    <row r="2179" spans="1:31">
      <c r="A2179" s="4">
        <v>18102</v>
      </c>
      <c r="B2179" s="4">
        <v>18</v>
      </c>
      <c r="C2179" s="19" t="s">
        <v>73</v>
      </c>
      <c r="D2179" s="44">
        <v>0</v>
      </c>
      <c r="E2179" s="18">
        <v>0</v>
      </c>
      <c r="F2179" s="18">
        <f t="shared" si="4704"/>
        <v>291</v>
      </c>
      <c r="G2179" s="18">
        <f t="shared" si="4713"/>
        <v>291</v>
      </c>
      <c r="H2179" s="45">
        <v>0</v>
      </c>
      <c r="I2179" s="21">
        <f t="shared" si="4665"/>
        <v>275</v>
      </c>
      <c r="J2179" s="21">
        <f t="shared" si="4671"/>
        <v>17</v>
      </c>
      <c r="K2179" s="21">
        <v>0</v>
      </c>
      <c r="L2179" s="20">
        <v>6</v>
      </c>
      <c r="M2179" s="20">
        <v>0</v>
      </c>
      <c r="N2179" s="20">
        <f t="shared" si="4666"/>
        <v>5400</v>
      </c>
      <c r="O2179" s="19" t="s">
        <v>73</v>
      </c>
      <c r="P2179" s="20">
        <v>1487</v>
      </c>
      <c r="Q2179" s="20">
        <f t="shared" ref="Q2179:X2179" si="4739">Q2149</f>
        <v>540</v>
      </c>
      <c r="R2179" s="20">
        <f t="shared" si="4739"/>
        <v>2160</v>
      </c>
      <c r="S2179" s="20">
        <f t="shared" si="4739"/>
        <v>3779.9999999999995</v>
      </c>
      <c r="T2179" s="20">
        <f t="shared" si="4739"/>
        <v>4860</v>
      </c>
      <c r="U2179" s="20">
        <f t="shared" si="4739"/>
        <v>100</v>
      </c>
      <c r="V2179" s="20">
        <f t="shared" si="4739"/>
        <v>600</v>
      </c>
      <c r="W2179" s="20">
        <f t="shared" si="4739"/>
        <v>300</v>
      </c>
      <c r="X2179" s="20">
        <f t="shared" si="4739"/>
        <v>5</v>
      </c>
      <c r="Y2179" s="20">
        <f>ROUND(D2179*0.25,-1)</f>
        <v>0</v>
      </c>
      <c r="Z2179" s="20">
        <f>ROUND(E2179*0.25,-1)</f>
        <v>0</v>
      </c>
      <c r="AA2179" s="20">
        <f t="shared" si="4715"/>
        <v>90</v>
      </c>
      <c r="AB2179" s="20">
        <v>0</v>
      </c>
      <c r="AC2179" s="20">
        <f>ROUND(H2179*0.25,-1)</f>
        <v>0</v>
      </c>
      <c r="AD2179" s="23">
        <f t="shared" ref="AD2179:AE2179" si="4740">AD2149</f>
        <v>34</v>
      </c>
      <c r="AE2179" s="23">
        <f t="shared" si="4740"/>
        <v>38</v>
      </c>
    </row>
    <row r="2180" spans="1:31">
      <c r="A2180" s="8">
        <v>18102</v>
      </c>
      <c r="B2180" s="8">
        <v>19</v>
      </c>
      <c r="C2180" s="19" t="s">
        <v>74</v>
      </c>
      <c r="D2180" s="44">
        <v>0</v>
      </c>
      <c r="E2180" s="18">
        <v>0</v>
      </c>
      <c r="F2180" s="18">
        <f t="shared" si="4704"/>
        <v>315</v>
      </c>
      <c r="G2180" s="18">
        <f t="shared" si="4713"/>
        <v>315</v>
      </c>
      <c r="H2180" s="45">
        <v>0</v>
      </c>
      <c r="I2180" s="21">
        <f t="shared" si="4665"/>
        <v>275</v>
      </c>
      <c r="J2180" s="21">
        <f t="shared" si="4671"/>
        <v>18</v>
      </c>
      <c r="K2180" s="21">
        <v>0</v>
      </c>
      <c r="L2180" s="20">
        <v>6</v>
      </c>
      <c r="M2180" s="20">
        <v>0</v>
      </c>
      <c r="N2180" s="20">
        <f t="shared" si="4666"/>
        <v>5700</v>
      </c>
      <c r="O2180" s="19" t="s">
        <v>74</v>
      </c>
      <c r="P2180" s="20">
        <v>1518</v>
      </c>
      <c r="Q2180" s="20">
        <f t="shared" ref="Q2180:X2180" si="4741">Q2150</f>
        <v>570</v>
      </c>
      <c r="R2180" s="20">
        <f t="shared" si="4741"/>
        <v>2280</v>
      </c>
      <c r="S2180" s="20">
        <f t="shared" si="4741"/>
        <v>3989.9999999999995</v>
      </c>
      <c r="T2180" s="20">
        <f t="shared" si="4741"/>
        <v>5130</v>
      </c>
      <c r="U2180" s="20">
        <f t="shared" si="4741"/>
        <v>100</v>
      </c>
      <c r="V2180" s="20">
        <f t="shared" si="4741"/>
        <v>500</v>
      </c>
      <c r="W2180" s="20">
        <f t="shared" si="4741"/>
        <v>400</v>
      </c>
      <c r="X2180" s="20">
        <f t="shared" si="4741"/>
        <v>5</v>
      </c>
      <c r="Y2180" s="20">
        <v>0</v>
      </c>
      <c r="Z2180" s="20">
        <v>0</v>
      </c>
      <c r="AA2180" s="20">
        <f t="shared" si="4715"/>
        <v>0</v>
      </c>
      <c r="AB2180" s="20">
        <v>0</v>
      </c>
      <c r="AC2180" s="20">
        <v>0</v>
      </c>
      <c r="AD2180" s="23">
        <f t="shared" ref="AD2180:AE2180" si="4742">AD2150</f>
        <v>36</v>
      </c>
      <c r="AE2180" s="23">
        <f t="shared" si="4742"/>
        <v>40</v>
      </c>
    </row>
    <row r="2181" spans="1:31">
      <c r="A2181" s="4">
        <v>18102</v>
      </c>
      <c r="B2181" s="4">
        <v>20</v>
      </c>
      <c r="C2181" s="19" t="s">
        <v>75</v>
      </c>
      <c r="D2181" s="44">
        <v>0</v>
      </c>
      <c r="E2181" s="18">
        <v>0</v>
      </c>
      <c r="F2181" s="18">
        <f t="shared" si="4704"/>
        <v>342</v>
      </c>
      <c r="G2181" s="18">
        <f t="shared" si="4713"/>
        <v>342</v>
      </c>
      <c r="H2181" s="45">
        <v>0</v>
      </c>
      <c r="I2181" s="21">
        <f t="shared" si="4665"/>
        <v>275</v>
      </c>
      <c r="J2181" s="21">
        <f t="shared" si="4671"/>
        <v>19</v>
      </c>
      <c r="K2181" s="21">
        <v>0</v>
      </c>
      <c r="L2181" s="20">
        <v>6</v>
      </c>
      <c r="M2181" s="20">
        <v>0</v>
      </c>
      <c r="N2181" s="20">
        <f t="shared" si="4666"/>
        <v>8000</v>
      </c>
      <c r="O2181" s="19" t="s">
        <v>75</v>
      </c>
      <c r="P2181" s="20">
        <v>861</v>
      </c>
      <c r="Q2181" s="20">
        <f t="shared" ref="Q2181:X2181" si="4743">Q2151</f>
        <v>800</v>
      </c>
      <c r="R2181" s="20">
        <f t="shared" si="4743"/>
        <v>3200</v>
      </c>
      <c r="S2181" s="20">
        <f t="shared" si="4743"/>
        <v>5600</v>
      </c>
      <c r="T2181" s="20">
        <f t="shared" si="4743"/>
        <v>7200</v>
      </c>
      <c r="U2181" s="20">
        <f t="shared" si="4743"/>
        <v>100</v>
      </c>
      <c r="V2181" s="20">
        <f t="shared" si="4743"/>
        <v>800</v>
      </c>
      <c r="W2181" s="20">
        <f t="shared" si="4743"/>
        <v>8000</v>
      </c>
      <c r="X2181" s="20">
        <f t="shared" si="4743"/>
        <v>5</v>
      </c>
      <c r="Y2181" s="20">
        <v>0</v>
      </c>
      <c r="Z2181" s="20">
        <v>0</v>
      </c>
      <c r="AA2181" s="20">
        <f t="shared" si="4715"/>
        <v>0</v>
      </c>
      <c r="AB2181" s="20">
        <v>0</v>
      </c>
      <c r="AC2181" s="20">
        <v>0</v>
      </c>
      <c r="AD2181" s="23">
        <f t="shared" ref="AD2181:AE2181" si="4744">AD2151</f>
        <v>38</v>
      </c>
      <c r="AE2181" s="23">
        <f t="shared" si="4744"/>
        <v>42</v>
      </c>
    </row>
    <row r="2182" spans="1:31">
      <c r="A2182" s="4">
        <v>18102</v>
      </c>
      <c r="B2182" s="4">
        <v>21</v>
      </c>
      <c r="C2182" s="19" t="s">
        <v>66</v>
      </c>
      <c r="D2182" s="44">
        <v>0</v>
      </c>
      <c r="E2182" s="18">
        <v>0</v>
      </c>
      <c r="F2182" s="18">
        <f t="shared" si="4704"/>
        <v>369</v>
      </c>
      <c r="G2182" s="18">
        <f t="shared" si="4713"/>
        <v>369</v>
      </c>
      <c r="H2182" s="45">
        <v>0</v>
      </c>
      <c r="I2182" s="21">
        <f t="shared" si="4665"/>
        <v>330</v>
      </c>
      <c r="J2182" s="21">
        <f t="shared" si="4671"/>
        <v>20</v>
      </c>
      <c r="K2182" s="21">
        <v>0</v>
      </c>
      <c r="L2182" s="20">
        <v>6</v>
      </c>
      <c r="M2182" s="20">
        <v>0</v>
      </c>
      <c r="N2182" s="20">
        <f t="shared" si="4666"/>
        <v>8400</v>
      </c>
      <c r="O2182" s="19" t="s">
        <v>66</v>
      </c>
      <c r="P2182" s="20">
        <v>9400</v>
      </c>
      <c r="Q2182" s="20">
        <f t="shared" ref="Q2182:X2182" si="4745">Q2152</f>
        <v>840</v>
      </c>
      <c r="R2182" s="20">
        <f t="shared" si="4745"/>
        <v>3360</v>
      </c>
      <c r="S2182" s="20">
        <f t="shared" si="4745"/>
        <v>5880</v>
      </c>
      <c r="T2182" s="20">
        <f t="shared" si="4745"/>
        <v>7560</v>
      </c>
      <c r="U2182" s="20">
        <f t="shared" si="4745"/>
        <v>50</v>
      </c>
      <c r="V2182" s="20">
        <f t="shared" si="4745"/>
        <v>1000</v>
      </c>
      <c r="W2182" s="20">
        <f t="shared" si="4745"/>
        <v>600</v>
      </c>
      <c r="X2182" s="20">
        <f t="shared" si="4745"/>
        <v>6</v>
      </c>
      <c r="Y2182" s="20">
        <v>0</v>
      </c>
      <c r="Z2182" s="20">
        <v>0</v>
      </c>
      <c r="AA2182" s="20">
        <f t="shared" si="4715"/>
        <v>0</v>
      </c>
      <c r="AB2182" s="20">
        <v>0</v>
      </c>
      <c r="AC2182" s="20">
        <v>0</v>
      </c>
      <c r="AD2182" s="23">
        <f t="shared" ref="AD2182:AE2182" si="4746">AD2152</f>
        <v>40</v>
      </c>
      <c r="AE2182" s="23">
        <f t="shared" si="4746"/>
        <v>44</v>
      </c>
    </row>
    <row r="2183" spans="1:31">
      <c r="A2183" s="4">
        <v>18102</v>
      </c>
      <c r="B2183" s="4">
        <v>22</v>
      </c>
      <c r="C2183" s="19" t="s">
        <v>67</v>
      </c>
      <c r="D2183" s="44">
        <v>0</v>
      </c>
      <c r="E2183" s="18">
        <v>0</v>
      </c>
      <c r="F2183" s="18">
        <f t="shared" si="4704"/>
        <v>399</v>
      </c>
      <c r="G2183" s="18">
        <f t="shared" si="4713"/>
        <v>399</v>
      </c>
      <c r="H2183" s="45">
        <v>0</v>
      </c>
      <c r="I2183" s="21">
        <f t="shared" si="4665"/>
        <v>330</v>
      </c>
      <c r="J2183" s="21">
        <f t="shared" si="4671"/>
        <v>21</v>
      </c>
      <c r="K2183" s="21">
        <v>0</v>
      </c>
      <c r="L2183" s="20">
        <v>6</v>
      </c>
      <c r="M2183" s="20">
        <v>0</v>
      </c>
      <c r="N2183" s="20">
        <f t="shared" si="4666"/>
        <v>8800</v>
      </c>
      <c r="O2183" s="19" t="s">
        <v>67</v>
      </c>
      <c r="P2183" s="20">
        <v>9100</v>
      </c>
      <c r="Q2183" s="20">
        <f t="shared" ref="Q2183:X2183" si="4747">Q2153</f>
        <v>880</v>
      </c>
      <c r="R2183" s="20">
        <f t="shared" si="4747"/>
        <v>3520</v>
      </c>
      <c r="S2183" s="20">
        <f t="shared" si="4747"/>
        <v>6160</v>
      </c>
      <c r="T2183" s="20">
        <f t="shared" si="4747"/>
        <v>7920</v>
      </c>
      <c r="U2183" s="20">
        <f t="shared" si="4747"/>
        <v>100</v>
      </c>
      <c r="V2183" s="20">
        <f t="shared" si="4747"/>
        <v>600</v>
      </c>
      <c r="W2183" s="20">
        <f t="shared" si="4747"/>
        <v>700</v>
      </c>
      <c r="X2183" s="20">
        <f t="shared" si="4747"/>
        <v>6</v>
      </c>
      <c r="Y2183" s="20">
        <v>0</v>
      </c>
      <c r="Z2183" s="20">
        <v>0</v>
      </c>
      <c r="AA2183" s="20">
        <f t="shared" si="4715"/>
        <v>0</v>
      </c>
      <c r="AB2183" s="20">
        <v>0</v>
      </c>
      <c r="AC2183" s="20">
        <v>0</v>
      </c>
      <c r="AD2183" s="23">
        <f t="shared" ref="AD2183:AE2183" si="4748">AD2153</f>
        <v>42</v>
      </c>
      <c r="AE2183" s="23">
        <f t="shared" si="4748"/>
        <v>46</v>
      </c>
    </row>
    <row r="2184" spans="1:31">
      <c r="A2184" s="4">
        <v>18102</v>
      </c>
      <c r="B2184" s="4">
        <v>23</v>
      </c>
      <c r="C2184" s="19" t="s">
        <v>68</v>
      </c>
      <c r="D2184" s="44">
        <v>0</v>
      </c>
      <c r="E2184" s="18">
        <v>0</v>
      </c>
      <c r="F2184" s="18">
        <f t="shared" si="4704"/>
        <v>432</v>
      </c>
      <c r="G2184" s="18">
        <f t="shared" si="4713"/>
        <v>432</v>
      </c>
      <c r="H2184" s="45">
        <v>0</v>
      </c>
      <c r="I2184" s="21">
        <f t="shared" si="4665"/>
        <v>330</v>
      </c>
      <c r="J2184" s="21">
        <f t="shared" si="4671"/>
        <v>22</v>
      </c>
      <c r="K2184" s="21">
        <v>0</v>
      </c>
      <c r="L2184" s="20">
        <v>6</v>
      </c>
      <c r="M2184" s="20">
        <v>0</v>
      </c>
      <c r="N2184" s="20">
        <f t="shared" si="4666"/>
        <v>9200</v>
      </c>
      <c r="O2184" s="19" t="s">
        <v>68</v>
      </c>
      <c r="P2184" s="20">
        <v>8600</v>
      </c>
      <c r="Q2184" s="20">
        <f t="shared" ref="Q2184:X2184" si="4749">Q2154</f>
        <v>920</v>
      </c>
      <c r="R2184" s="20">
        <f t="shared" si="4749"/>
        <v>3680</v>
      </c>
      <c r="S2184" s="20">
        <f t="shared" si="4749"/>
        <v>6440</v>
      </c>
      <c r="T2184" s="20">
        <f t="shared" si="4749"/>
        <v>8280</v>
      </c>
      <c r="U2184" s="20">
        <f t="shared" si="4749"/>
        <v>100</v>
      </c>
      <c r="V2184" s="20">
        <f t="shared" si="4749"/>
        <v>550</v>
      </c>
      <c r="W2184" s="20">
        <f t="shared" si="4749"/>
        <v>500</v>
      </c>
      <c r="X2184" s="20">
        <f t="shared" si="4749"/>
        <v>6</v>
      </c>
      <c r="Y2184" s="20">
        <f>ROUND(D2184*0.25,-1)</f>
        <v>0</v>
      </c>
      <c r="Z2184" s="20">
        <f>ROUND(E2184*0.25,-1)</f>
        <v>0</v>
      </c>
      <c r="AA2184" s="20">
        <f t="shared" si="4715"/>
        <v>120</v>
      </c>
      <c r="AB2184" s="20">
        <v>0</v>
      </c>
      <c r="AC2184" s="20">
        <f>ROUND(H2184*0.25,-1)</f>
        <v>0</v>
      </c>
      <c r="AD2184" s="23">
        <f t="shared" ref="AD2184:AE2184" si="4750">AD2154</f>
        <v>44</v>
      </c>
      <c r="AE2184" s="23">
        <f t="shared" si="4750"/>
        <v>48</v>
      </c>
    </row>
    <row r="2185" spans="1:31">
      <c r="A2185" s="4">
        <v>18102</v>
      </c>
      <c r="B2185" s="4">
        <v>24</v>
      </c>
      <c r="C2185" s="19" t="s">
        <v>69</v>
      </c>
      <c r="D2185" s="44">
        <v>0</v>
      </c>
      <c r="E2185" s="18">
        <v>0</v>
      </c>
      <c r="F2185" s="18">
        <f t="shared" si="4704"/>
        <v>468</v>
      </c>
      <c r="G2185" s="18">
        <f t="shared" si="4713"/>
        <v>468</v>
      </c>
      <c r="H2185" s="45">
        <v>0</v>
      </c>
      <c r="I2185" s="21">
        <f t="shared" si="4665"/>
        <v>330</v>
      </c>
      <c r="J2185" s="21">
        <f t="shared" si="4671"/>
        <v>23</v>
      </c>
      <c r="K2185" s="21">
        <v>0</v>
      </c>
      <c r="L2185" s="20">
        <v>6</v>
      </c>
      <c r="M2185" s="20">
        <v>0</v>
      </c>
      <c r="N2185" s="20">
        <f t="shared" si="4666"/>
        <v>9600</v>
      </c>
      <c r="O2185" s="19" t="s">
        <v>69</v>
      </c>
      <c r="P2185" s="20">
        <v>6400</v>
      </c>
      <c r="Q2185" s="20">
        <f t="shared" ref="Q2185:X2185" si="4751">Q2155</f>
        <v>960</v>
      </c>
      <c r="R2185" s="20">
        <f t="shared" si="4751"/>
        <v>3840</v>
      </c>
      <c r="S2185" s="20">
        <f t="shared" si="4751"/>
        <v>6720</v>
      </c>
      <c r="T2185" s="20">
        <f t="shared" si="4751"/>
        <v>8640</v>
      </c>
      <c r="U2185" s="20">
        <f t="shared" si="4751"/>
        <v>100</v>
      </c>
      <c r="V2185" s="20">
        <f t="shared" si="4751"/>
        <v>500</v>
      </c>
      <c r="W2185" s="20">
        <f t="shared" si="4751"/>
        <v>900</v>
      </c>
      <c r="X2185" s="20">
        <f t="shared" si="4751"/>
        <v>6</v>
      </c>
      <c r="Y2185" s="20">
        <v>0</v>
      </c>
      <c r="Z2185" s="20">
        <v>0</v>
      </c>
      <c r="AA2185" s="20">
        <f t="shared" si="4715"/>
        <v>0</v>
      </c>
      <c r="AB2185" s="20">
        <v>0</v>
      </c>
      <c r="AC2185" s="20">
        <v>0</v>
      </c>
      <c r="AD2185" s="23">
        <f t="shared" ref="AD2185:AE2185" si="4752">AD2155</f>
        <v>46</v>
      </c>
      <c r="AE2185" s="23">
        <f t="shared" si="4752"/>
        <v>50</v>
      </c>
    </row>
    <row r="2186" spans="1:31">
      <c r="A2186" s="4">
        <v>18102</v>
      </c>
      <c r="B2186" s="4">
        <v>25</v>
      </c>
      <c r="C2186" s="19" t="s">
        <v>70</v>
      </c>
      <c r="D2186" s="44">
        <v>0</v>
      </c>
      <c r="E2186" s="18">
        <v>0</v>
      </c>
      <c r="F2186" s="18">
        <f t="shared" si="4704"/>
        <v>507</v>
      </c>
      <c r="G2186" s="18">
        <f t="shared" si="4713"/>
        <v>507</v>
      </c>
      <c r="H2186" s="45">
        <v>0</v>
      </c>
      <c r="I2186" s="21">
        <f t="shared" si="4665"/>
        <v>385</v>
      </c>
      <c r="J2186" s="21">
        <f t="shared" si="4671"/>
        <v>24</v>
      </c>
      <c r="K2186" s="21">
        <v>0</v>
      </c>
      <c r="L2186" s="20">
        <v>6</v>
      </c>
      <c r="M2186" s="20">
        <v>0</v>
      </c>
      <c r="N2186" s="20">
        <f t="shared" si="4666"/>
        <v>12500</v>
      </c>
      <c r="O2186" s="19" t="s">
        <v>70</v>
      </c>
      <c r="P2186" s="20">
        <v>3100</v>
      </c>
      <c r="Q2186" s="20">
        <f t="shared" ref="Q2186:X2186" si="4753">Q2156</f>
        <v>1250</v>
      </c>
      <c r="R2186" s="20">
        <f t="shared" si="4753"/>
        <v>5000</v>
      </c>
      <c r="S2186" s="20">
        <f t="shared" si="4753"/>
        <v>8750</v>
      </c>
      <c r="T2186" s="20">
        <f t="shared" si="4753"/>
        <v>11250</v>
      </c>
      <c r="U2186" s="20">
        <f t="shared" si="4753"/>
        <v>10</v>
      </c>
      <c r="V2186" s="20">
        <f t="shared" si="4753"/>
        <v>1300</v>
      </c>
      <c r="W2186" s="20">
        <f t="shared" si="4753"/>
        <v>1000</v>
      </c>
      <c r="X2186" s="20">
        <f t="shared" si="4753"/>
        <v>7</v>
      </c>
      <c r="Y2186" s="20">
        <v>0</v>
      </c>
      <c r="Z2186" s="20">
        <v>0</v>
      </c>
      <c r="AA2186" s="20">
        <f t="shared" si="4715"/>
        <v>0</v>
      </c>
      <c r="AB2186" s="20">
        <v>0</v>
      </c>
      <c r="AC2186" s="20">
        <v>0</v>
      </c>
      <c r="AD2186" s="23">
        <f t="shared" ref="AD2186:AE2186" si="4754">AD2156</f>
        <v>48</v>
      </c>
      <c r="AE2186" s="23">
        <f t="shared" si="4754"/>
        <v>52</v>
      </c>
    </row>
    <row r="2187" spans="1:31">
      <c r="A2187" s="4">
        <v>18102</v>
      </c>
      <c r="B2187" s="4">
        <v>26</v>
      </c>
      <c r="C2187" s="19" t="s">
        <v>71</v>
      </c>
      <c r="D2187" s="44">
        <v>0</v>
      </c>
      <c r="E2187" s="18">
        <v>0</v>
      </c>
      <c r="F2187" s="18">
        <f t="shared" si="4704"/>
        <v>549</v>
      </c>
      <c r="G2187" s="18">
        <f t="shared" si="4713"/>
        <v>549</v>
      </c>
      <c r="H2187" s="45">
        <v>0</v>
      </c>
      <c r="I2187" s="21">
        <f t="shared" si="4665"/>
        <v>385</v>
      </c>
      <c r="J2187" s="21">
        <f t="shared" si="4671"/>
        <v>25</v>
      </c>
      <c r="K2187" s="21">
        <v>0</v>
      </c>
      <c r="L2187" s="20">
        <v>6</v>
      </c>
      <c r="M2187" s="20">
        <v>0</v>
      </c>
      <c r="N2187" s="20">
        <f t="shared" si="4666"/>
        <v>13000</v>
      </c>
      <c r="O2187" s="19" t="s">
        <v>71</v>
      </c>
      <c r="P2187" s="20">
        <v>1777</v>
      </c>
      <c r="Q2187" s="20">
        <f t="shared" ref="Q2187:X2187" si="4755">Q2157</f>
        <v>1300</v>
      </c>
      <c r="R2187" s="20">
        <f t="shared" si="4755"/>
        <v>5200</v>
      </c>
      <c r="S2187" s="20">
        <f t="shared" si="4755"/>
        <v>9100</v>
      </c>
      <c r="T2187" s="20">
        <f t="shared" si="4755"/>
        <v>11700</v>
      </c>
      <c r="U2187" s="20">
        <f t="shared" si="4755"/>
        <v>90</v>
      </c>
      <c r="V2187" s="20">
        <f t="shared" si="4755"/>
        <v>800</v>
      </c>
      <c r="W2187" s="20">
        <f t="shared" si="4755"/>
        <v>2000</v>
      </c>
      <c r="X2187" s="20">
        <f t="shared" si="4755"/>
        <v>7</v>
      </c>
      <c r="Y2187" s="20">
        <v>0</v>
      </c>
      <c r="Z2187" s="20">
        <v>0</v>
      </c>
      <c r="AA2187" s="20">
        <f t="shared" si="4715"/>
        <v>0</v>
      </c>
      <c r="AB2187" s="20">
        <v>0</v>
      </c>
      <c r="AC2187" s="20">
        <v>0</v>
      </c>
      <c r="AD2187" s="23">
        <f t="shared" ref="AD2187:AE2187" si="4756">AD2157</f>
        <v>50</v>
      </c>
      <c r="AE2187" s="23">
        <f t="shared" si="4756"/>
        <v>54</v>
      </c>
    </row>
    <row r="2188" spans="1:31">
      <c r="A2188" s="4">
        <v>18102</v>
      </c>
      <c r="B2188" s="4">
        <v>27</v>
      </c>
      <c r="C2188" s="19" t="s">
        <v>72</v>
      </c>
      <c r="D2188" s="44">
        <v>0</v>
      </c>
      <c r="E2188" s="18">
        <v>0</v>
      </c>
      <c r="F2188" s="18">
        <f t="shared" si="4704"/>
        <v>594</v>
      </c>
      <c r="G2188" s="18">
        <f t="shared" si="4713"/>
        <v>594</v>
      </c>
      <c r="H2188" s="45">
        <v>0</v>
      </c>
      <c r="I2188" s="21">
        <f t="shared" si="4665"/>
        <v>385</v>
      </c>
      <c r="J2188" s="21">
        <f t="shared" si="4671"/>
        <v>26</v>
      </c>
      <c r="K2188" s="21">
        <v>0</v>
      </c>
      <c r="L2188" s="20">
        <v>6</v>
      </c>
      <c r="M2188" s="20">
        <v>0</v>
      </c>
      <c r="N2188" s="20">
        <f t="shared" si="4666"/>
        <v>13500</v>
      </c>
      <c r="O2188" s="19" t="s">
        <v>72</v>
      </c>
      <c r="P2188" s="20">
        <v>2332</v>
      </c>
      <c r="Q2188" s="20">
        <f t="shared" ref="Q2188:X2188" si="4757">Q2158</f>
        <v>1350</v>
      </c>
      <c r="R2188" s="20">
        <f t="shared" si="4757"/>
        <v>5400</v>
      </c>
      <c r="S2188" s="20">
        <f t="shared" si="4757"/>
        <v>9450</v>
      </c>
      <c r="T2188" s="20">
        <f t="shared" si="4757"/>
        <v>12150</v>
      </c>
      <c r="U2188" s="20">
        <f t="shared" si="4757"/>
        <v>80</v>
      </c>
      <c r="V2188" s="20">
        <f t="shared" si="4757"/>
        <v>700</v>
      </c>
      <c r="W2188" s="20">
        <f t="shared" si="4757"/>
        <v>800</v>
      </c>
      <c r="X2188" s="20">
        <f t="shared" si="4757"/>
        <v>7</v>
      </c>
      <c r="Y2188" s="20">
        <v>0</v>
      </c>
      <c r="Z2188" s="20">
        <v>0</v>
      </c>
      <c r="AA2188" s="20">
        <f t="shared" si="4715"/>
        <v>0</v>
      </c>
      <c r="AB2188" s="20">
        <v>0</v>
      </c>
      <c r="AC2188" s="20">
        <v>0</v>
      </c>
      <c r="AD2188" s="23">
        <f t="shared" ref="AD2188:AE2188" si="4758">AD2158</f>
        <v>52</v>
      </c>
      <c r="AE2188" s="23">
        <f t="shared" si="4758"/>
        <v>56</v>
      </c>
    </row>
    <row r="2189" spans="1:31">
      <c r="A2189" s="4">
        <v>18102</v>
      </c>
      <c r="B2189" s="4">
        <v>28</v>
      </c>
      <c r="C2189" s="19" t="s">
        <v>73</v>
      </c>
      <c r="D2189" s="44">
        <v>0</v>
      </c>
      <c r="E2189" s="18">
        <v>0</v>
      </c>
      <c r="F2189" s="18">
        <f t="shared" si="4704"/>
        <v>645</v>
      </c>
      <c r="G2189" s="18">
        <f t="shared" si="4713"/>
        <v>645</v>
      </c>
      <c r="H2189" s="45">
        <v>0</v>
      </c>
      <c r="I2189" s="21">
        <f t="shared" si="4665"/>
        <v>385</v>
      </c>
      <c r="J2189" s="21">
        <f t="shared" si="4671"/>
        <v>27</v>
      </c>
      <c r="K2189" s="21">
        <v>0</v>
      </c>
      <c r="L2189" s="20">
        <v>6</v>
      </c>
      <c r="M2189" s="20">
        <v>0</v>
      </c>
      <c r="N2189" s="20">
        <f t="shared" si="4666"/>
        <v>14000</v>
      </c>
      <c r="O2189" s="19" t="s">
        <v>73</v>
      </c>
      <c r="P2189" s="20">
        <v>1487</v>
      </c>
      <c r="Q2189" s="20">
        <f t="shared" ref="Q2189:X2189" si="4759">Q2159</f>
        <v>1400</v>
      </c>
      <c r="R2189" s="20">
        <f t="shared" si="4759"/>
        <v>5600</v>
      </c>
      <c r="S2189" s="20">
        <f t="shared" si="4759"/>
        <v>9800</v>
      </c>
      <c r="T2189" s="20">
        <f t="shared" si="4759"/>
        <v>12600</v>
      </c>
      <c r="U2189" s="20">
        <f t="shared" si="4759"/>
        <v>80</v>
      </c>
      <c r="V2189" s="20">
        <f t="shared" si="4759"/>
        <v>500</v>
      </c>
      <c r="W2189" s="20">
        <f t="shared" si="4759"/>
        <v>600</v>
      </c>
      <c r="X2189" s="20">
        <f t="shared" si="4759"/>
        <v>7</v>
      </c>
      <c r="Y2189" s="20">
        <f>ROUND(D2189*0.25,-1)</f>
        <v>0</v>
      </c>
      <c r="Z2189" s="20">
        <f>ROUND(E2189*0.25,-1)</f>
        <v>0</v>
      </c>
      <c r="AA2189" s="20">
        <f t="shared" si="4715"/>
        <v>151</v>
      </c>
      <c r="AB2189" s="20">
        <v>0</v>
      </c>
      <c r="AC2189" s="20">
        <f>ROUND(H2189*0.25,-1)</f>
        <v>0</v>
      </c>
      <c r="AD2189" s="23">
        <f t="shared" ref="AD2189:AE2189" si="4760">AD2159</f>
        <v>54</v>
      </c>
      <c r="AE2189" s="23">
        <f t="shared" si="4760"/>
        <v>58</v>
      </c>
    </row>
    <row r="2190" spans="1:31">
      <c r="A2190" s="4">
        <v>18102</v>
      </c>
      <c r="B2190" s="4">
        <v>29</v>
      </c>
      <c r="C2190" s="19" t="s">
        <v>74</v>
      </c>
      <c r="D2190" s="44">
        <v>0</v>
      </c>
      <c r="E2190" s="18">
        <v>0</v>
      </c>
      <c r="F2190" s="18">
        <f t="shared" si="4704"/>
        <v>699</v>
      </c>
      <c r="G2190" s="18">
        <f t="shared" si="4713"/>
        <v>699</v>
      </c>
      <c r="H2190" s="45">
        <v>0</v>
      </c>
      <c r="I2190" s="21">
        <f t="shared" si="4665"/>
        <v>440</v>
      </c>
      <c r="J2190" s="21">
        <f t="shared" si="4671"/>
        <v>28</v>
      </c>
      <c r="K2190" s="21">
        <v>0</v>
      </c>
      <c r="L2190" s="20">
        <v>6</v>
      </c>
      <c r="M2190" s="20">
        <v>0</v>
      </c>
      <c r="N2190" s="20">
        <f t="shared" si="4666"/>
        <v>14500</v>
      </c>
      <c r="O2190" s="19" t="s">
        <v>74</v>
      </c>
      <c r="P2190" s="20">
        <v>1518</v>
      </c>
      <c r="Q2190" s="20">
        <f t="shared" ref="Q2190:X2190" si="4761">Q2160</f>
        <v>1450</v>
      </c>
      <c r="R2190" s="20">
        <f t="shared" si="4761"/>
        <v>5800</v>
      </c>
      <c r="S2190" s="20">
        <f t="shared" si="4761"/>
        <v>10150</v>
      </c>
      <c r="T2190" s="20">
        <f t="shared" si="4761"/>
        <v>13050</v>
      </c>
      <c r="U2190" s="20">
        <f t="shared" si="4761"/>
        <v>80</v>
      </c>
      <c r="V2190" s="20">
        <f t="shared" si="4761"/>
        <v>600</v>
      </c>
      <c r="W2190" s="20">
        <f t="shared" si="4761"/>
        <v>700</v>
      </c>
      <c r="X2190" s="20">
        <f t="shared" si="4761"/>
        <v>8</v>
      </c>
      <c r="Y2190" s="20">
        <v>0</v>
      </c>
      <c r="Z2190" s="20">
        <v>0</v>
      </c>
      <c r="AA2190" s="20">
        <f t="shared" si="4715"/>
        <v>0</v>
      </c>
      <c r="AB2190" s="20">
        <v>0</v>
      </c>
      <c r="AC2190" s="20">
        <v>0</v>
      </c>
      <c r="AD2190" s="23">
        <f t="shared" ref="AD2190:AE2190" si="4762">AD2160</f>
        <v>56</v>
      </c>
      <c r="AE2190" s="23">
        <f t="shared" si="4762"/>
        <v>60</v>
      </c>
    </row>
    <row r="2191" spans="1:31">
      <c r="A2191" s="4">
        <v>18102</v>
      </c>
      <c r="B2191" s="4">
        <v>30</v>
      </c>
      <c r="C2191" s="19" t="s">
        <v>75</v>
      </c>
      <c r="D2191" s="44">
        <v>0</v>
      </c>
      <c r="E2191" s="18">
        <v>0</v>
      </c>
      <c r="F2191" s="18">
        <f t="shared" si="4704"/>
        <v>756</v>
      </c>
      <c r="G2191" s="18">
        <f t="shared" si="4713"/>
        <v>756</v>
      </c>
      <c r="H2191" s="45">
        <v>0</v>
      </c>
      <c r="I2191" s="21">
        <f t="shared" si="4665"/>
        <v>440</v>
      </c>
      <c r="J2191" s="21">
        <f t="shared" si="4671"/>
        <v>29</v>
      </c>
      <c r="K2191" s="21">
        <v>0</v>
      </c>
      <c r="L2191" s="20">
        <v>6</v>
      </c>
      <c r="M2191" s="20">
        <v>0</v>
      </c>
      <c r="N2191" s="20">
        <f t="shared" si="4666"/>
        <v>15000</v>
      </c>
      <c r="O2191" s="19" t="s">
        <v>75</v>
      </c>
      <c r="P2191" s="20">
        <v>861</v>
      </c>
      <c r="Q2191" s="20">
        <f t="shared" ref="Q2191:X2191" si="4763">Q2161</f>
        <v>1500</v>
      </c>
      <c r="R2191" s="20">
        <f t="shared" si="4763"/>
        <v>6000</v>
      </c>
      <c r="S2191" s="20">
        <f t="shared" si="4763"/>
        <v>10500</v>
      </c>
      <c r="T2191" s="20">
        <f t="shared" si="4763"/>
        <v>13500</v>
      </c>
      <c r="U2191" s="20">
        <f t="shared" si="4763"/>
        <v>20</v>
      </c>
      <c r="V2191" s="20">
        <f t="shared" si="4763"/>
        <v>450</v>
      </c>
      <c r="W2191" s="20">
        <f t="shared" si="4763"/>
        <v>1000</v>
      </c>
      <c r="X2191" s="20">
        <f t="shared" si="4763"/>
        <v>8</v>
      </c>
      <c r="Y2191" s="20">
        <v>0</v>
      </c>
      <c r="Z2191" s="20">
        <v>0</v>
      </c>
      <c r="AA2191" s="20">
        <f t="shared" si="4715"/>
        <v>0</v>
      </c>
      <c r="AB2191" s="20">
        <v>0</v>
      </c>
      <c r="AC2191" s="20">
        <v>0</v>
      </c>
      <c r="AD2191" s="23">
        <f t="shared" ref="AD2191:AE2191" si="4764">AD2161</f>
        <v>58</v>
      </c>
      <c r="AE2191" s="23">
        <f t="shared" si="4764"/>
        <v>62</v>
      </c>
    </row>
    <row r="2192" spans="1:31">
      <c r="A2192" s="8">
        <v>18103</v>
      </c>
      <c r="B2192" s="8">
        <v>1</v>
      </c>
      <c r="C2192" s="29" t="s">
        <v>66</v>
      </c>
      <c r="D2192" s="46">
        <v>0</v>
      </c>
      <c r="E2192" s="28">
        <v>0</v>
      </c>
      <c r="F2192" s="28">
        <f>F2102*4</f>
        <v>100</v>
      </c>
      <c r="G2192" s="18">
        <f t="shared" si="4713"/>
        <v>100</v>
      </c>
      <c r="H2192" s="47">
        <v>0</v>
      </c>
      <c r="I2192" s="21">
        <f t="shared" si="4665"/>
        <v>55</v>
      </c>
      <c r="J2192" s="21">
        <f t="shared" si="4671"/>
        <v>0</v>
      </c>
      <c r="K2192" s="21">
        <v>0</v>
      </c>
      <c r="L2192" s="20">
        <v>45</v>
      </c>
      <c r="M2192" s="20">
        <v>0</v>
      </c>
      <c r="N2192" s="20">
        <f t="shared" si="4666"/>
        <v>10</v>
      </c>
      <c r="O2192" s="19" t="s">
        <v>66</v>
      </c>
      <c r="P2192" s="20">
        <v>9400</v>
      </c>
      <c r="Q2192" s="20">
        <f t="shared" ref="Q2192:X2192" si="4765">Q2162</f>
        <v>1</v>
      </c>
      <c r="R2192" s="20">
        <f t="shared" si="4765"/>
        <v>4</v>
      </c>
      <c r="S2192" s="20">
        <f t="shared" si="4765"/>
        <v>7</v>
      </c>
      <c r="T2192" s="20">
        <f t="shared" si="4765"/>
        <v>9</v>
      </c>
      <c r="U2192" s="20">
        <f t="shared" si="4765"/>
        <v>9400</v>
      </c>
      <c r="V2192" s="20">
        <f t="shared" si="4765"/>
        <v>9400</v>
      </c>
      <c r="W2192" s="20">
        <f t="shared" si="4765"/>
        <v>9400</v>
      </c>
      <c r="X2192" s="20">
        <f t="shared" si="4765"/>
        <v>1</v>
      </c>
      <c r="Y2192" s="20">
        <v>0</v>
      </c>
      <c r="Z2192" s="20">
        <v>0</v>
      </c>
      <c r="AA2192" s="20">
        <f t="shared" si="4715"/>
        <v>0</v>
      </c>
      <c r="AB2192" s="20">
        <v>0</v>
      </c>
      <c r="AC2192" s="20">
        <v>0</v>
      </c>
      <c r="AD2192" s="23">
        <f t="shared" ref="AD2192:AE2192" si="4766">AD2162</f>
        <v>1</v>
      </c>
      <c r="AE2192" s="23">
        <f t="shared" si="4766"/>
        <v>3</v>
      </c>
    </row>
    <row r="2193" spans="1:31">
      <c r="A2193" s="4">
        <v>18103</v>
      </c>
      <c r="B2193" s="4">
        <v>2</v>
      </c>
      <c r="C2193" s="29" t="s">
        <v>67</v>
      </c>
      <c r="D2193" s="46">
        <v>0</v>
      </c>
      <c r="E2193" s="28">
        <v>0</v>
      </c>
      <c r="F2193" s="28">
        <f t="shared" ref="F2193:F2221" si="4767">F2103*4</f>
        <v>108</v>
      </c>
      <c r="G2193" s="18">
        <f t="shared" si="4713"/>
        <v>108</v>
      </c>
      <c r="H2193" s="47">
        <v>0</v>
      </c>
      <c r="I2193" s="21">
        <f t="shared" si="4665"/>
        <v>55</v>
      </c>
      <c r="J2193" s="21">
        <f t="shared" si="4671"/>
        <v>1</v>
      </c>
      <c r="K2193" s="21">
        <v>0</v>
      </c>
      <c r="L2193" s="20">
        <v>40</v>
      </c>
      <c r="M2193" s="20">
        <v>0</v>
      </c>
      <c r="N2193" s="20">
        <f t="shared" si="4666"/>
        <v>20</v>
      </c>
      <c r="O2193" s="19" t="s">
        <v>67</v>
      </c>
      <c r="P2193" s="20">
        <v>9100</v>
      </c>
      <c r="Q2193" s="20">
        <f t="shared" ref="Q2193:X2193" si="4768">Q2163</f>
        <v>2</v>
      </c>
      <c r="R2193" s="20">
        <f t="shared" si="4768"/>
        <v>8</v>
      </c>
      <c r="S2193" s="20">
        <f t="shared" si="4768"/>
        <v>14</v>
      </c>
      <c r="T2193" s="20">
        <f t="shared" si="4768"/>
        <v>18</v>
      </c>
      <c r="U2193" s="20">
        <f t="shared" si="4768"/>
        <v>4000</v>
      </c>
      <c r="V2193" s="20">
        <f t="shared" si="4768"/>
        <v>8000</v>
      </c>
      <c r="W2193" s="20">
        <f t="shared" si="4768"/>
        <v>8000</v>
      </c>
      <c r="X2193" s="20">
        <f t="shared" si="4768"/>
        <v>1</v>
      </c>
      <c r="Y2193" s="20">
        <v>0</v>
      </c>
      <c r="Z2193" s="20">
        <v>0</v>
      </c>
      <c r="AA2193" s="20">
        <f t="shared" si="4715"/>
        <v>0</v>
      </c>
      <c r="AB2193" s="20">
        <v>0</v>
      </c>
      <c r="AC2193" s="20">
        <v>0</v>
      </c>
      <c r="AD2193" s="23">
        <f t="shared" ref="AD2193:AE2193" si="4769">AD2163</f>
        <v>2</v>
      </c>
      <c r="AE2193" s="23">
        <f t="shared" si="4769"/>
        <v>5</v>
      </c>
    </row>
    <row r="2194" spans="1:31">
      <c r="A2194" s="4">
        <v>18103</v>
      </c>
      <c r="B2194" s="4">
        <v>3</v>
      </c>
      <c r="C2194" s="29" t="s">
        <v>68</v>
      </c>
      <c r="D2194" s="46">
        <v>0</v>
      </c>
      <c r="E2194" s="28">
        <v>0</v>
      </c>
      <c r="F2194" s="28">
        <f t="shared" si="4767"/>
        <v>116</v>
      </c>
      <c r="G2194" s="18">
        <f t="shared" si="4713"/>
        <v>116</v>
      </c>
      <c r="H2194" s="47">
        <v>0</v>
      </c>
      <c r="I2194" s="21">
        <f t="shared" si="4665"/>
        <v>55</v>
      </c>
      <c r="J2194" s="21">
        <f t="shared" si="4671"/>
        <v>2</v>
      </c>
      <c r="K2194" s="21">
        <v>0</v>
      </c>
      <c r="L2194" s="20">
        <v>35</v>
      </c>
      <c r="M2194" s="20">
        <v>0</v>
      </c>
      <c r="N2194" s="20">
        <f t="shared" si="4666"/>
        <v>40</v>
      </c>
      <c r="O2194" s="19" t="s">
        <v>68</v>
      </c>
      <c r="P2194" s="20">
        <v>8600</v>
      </c>
      <c r="Q2194" s="20">
        <f t="shared" ref="Q2194:X2194" si="4770">Q2164</f>
        <v>4</v>
      </c>
      <c r="R2194" s="20">
        <f t="shared" si="4770"/>
        <v>16</v>
      </c>
      <c r="S2194" s="20">
        <f t="shared" si="4770"/>
        <v>28</v>
      </c>
      <c r="T2194" s="20">
        <f t="shared" si="4770"/>
        <v>36</v>
      </c>
      <c r="U2194" s="20">
        <f t="shared" si="4770"/>
        <v>1600</v>
      </c>
      <c r="V2194" s="20">
        <f t="shared" si="4770"/>
        <v>5000</v>
      </c>
      <c r="W2194" s="20">
        <f t="shared" si="4770"/>
        <v>6000</v>
      </c>
      <c r="X2194" s="20">
        <f t="shared" si="4770"/>
        <v>1</v>
      </c>
      <c r="Y2194" s="20">
        <v>0</v>
      </c>
      <c r="Z2194" s="20">
        <v>0</v>
      </c>
      <c r="AA2194" s="20">
        <f t="shared" si="4715"/>
        <v>0</v>
      </c>
      <c r="AB2194" s="20">
        <v>0</v>
      </c>
      <c r="AC2194" s="20">
        <v>0</v>
      </c>
      <c r="AD2194" s="23">
        <f t="shared" ref="AD2194:AE2194" si="4771">AD2164</f>
        <v>4</v>
      </c>
      <c r="AE2194" s="23">
        <f t="shared" si="4771"/>
        <v>8</v>
      </c>
    </row>
    <row r="2195" spans="1:31">
      <c r="A2195" s="4">
        <v>18103</v>
      </c>
      <c r="B2195" s="4">
        <v>4</v>
      </c>
      <c r="C2195" s="29" t="s">
        <v>69</v>
      </c>
      <c r="D2195" s="46">
        <v>0</v>
      </c>
      <c r="E2195" s="28">
        <v>0</v>
      </c>
      <c r="F2195" s="28">
        <f t="shared" si="4767"/>
        <v>128</v>
      </c>
      <c r="G2195" s="18">
        <f t="shared" si="4713"/>
        <v>128</v>
      </c>
      <c r="H2195" s="47">
        <v>0</v>
      </c>
      <c r="I2195" s="21">
        <f t="shared" si="4665"/>
        <v>55</v>
      </c>
      <c r="J2195" s="21">
        <f t="shared" si="4671"/>
        <v>3</v>
      </c>
      <c r="K2195" s="21">
        <v>0</v>
      </c>
      <c r="L2195" s="20">
        <v>30</v>
      </c>
      <c r="M2195" s="20">
        <v>0</v>
      </c>
      <c r="N2195" s="20">
        <f t="shared" si="4666"/>
        <v>100</v>
      </c>
      <c r="O2195" s="19" t="s">
        <v>69</v>
      </c>
      <c r="P2195" s="20">
        <v>6400</v>
      </c>
      <c r="Q2195" s="20">
        <f t="shared" ref="Q2195:X2195" si="4772">Q2165</f>
        <v>10</v>
      </c>
      <c r="R2195" s="20">
        <f t="shared" si="4772"/>
        <v>40</v>
      </c>
      <c r="S2195" s="20">
        <f t="shared" si="4772"/>
        <v>70</v>
      </c>
      <c r="T2195" s="20">
        <f t="shared" si="4772"/>
        <v>90</v>
      </c>
      <c r="U2195" s="20">
        <f t="shared" si="4772"/>
        <v>900</v>
      </c>
      <c r="V2195" s="20">
        <f t="shared" si="4772"/>
        <v>2000</v>
      </c>
      <c r="W2195" s="20">
        <f t="shared" si="4772"/>
        <v>8000</v>
      </c>
      <c r="X2195" s="20">
        <f t="shared" si="4772"/>
        <v>1</v>
      </c>
      <c r="Y2195" s="20">
        <v>0</v>
      </c>
      <c r="Z2195" s="20">
        <v>0</v>
      </c>
      <c r="AA2195" s="20">
        <f t="shared" si="4715"/>
        <v>0</v>
      </c>
      <c r="AB2195" s="20">
        <v>0</v>
      </c>
      <c r="AC2195" s="20">
        <v>0</v>
      </c>
      <c r="AD2195" s="23">
        <f t="shared" ref="AD2195:AE2195" si="4773">AD2165</f>
        <v>6</v>
      </c>
      <c r="AE2195" s="23">
        <f t="shared" si="4773"/>
        <v>10</v>
      </c>
    </row>
    <row r="2196" spans="1:31">
      <c r="A2196" s="4">
        <v>18103</v>
      </c>
      <c r="B2196" s="4">
        <v>5</v>
      </c>
      <c r="C2196" s="29" t="s">
        <v>70</v>
      </c>
      <c r="D2196" s="46">
        <v>0</v>
      </c>
      <c r="E2196" s="28">
        <v>0</v>
      </c>
      <c r="F2196" s="28">
        <f t="shared" si="4767"/>
        <v>136</v>
      </c>
      <c r="G2196" s="18">
        <f t="shared" si="4713"/>
        <v>136</v>
      </c>
      <c r="H2196" s="47">
        <v>0</v>
      </c>
      <c r="I2196" s="21">
        <f t="shared" si="4665"/>
        <v>110</v>
      </c>
      <c r="J2196" s="21">
        <f t="shared" si="4671"/>
        <v>4</v>
      </c>
      <c r="K2196" s="21">
        <v>0</v>
      </c>
      <c r="L2196" s="20">
        <v>25</v>
      </c>
      <c r="M2196" s="20">
        <v>0</v>
      </c>
      <c r="N2196" s="20">
        <f t="shared" si="4666"/>
        <v>200</v>
      </c>
      <c r="O2196" s="19" t="s">
        <v>70</v>
      </c>
      <c r="P2196" s="20">
        <v>3100</v>
      </c>
      <c r="Q2196" s="20">
        <f t="shared" ref="Q2196:X2196" si="4774">Q2166</f>
        <v>20</v>
      </c>
      <c r="R2196" s="20">
        <f t="shared" si="4774"/>
        <v>80</v>
      </c>
      <c r="S2196" s="20">
        <f t="shared" si="4774"/>
        <v>140</v>
      </c>
      <c r="T2196" s="20">
        <f t="shared" si="4774"/>
        <v>180</v>
      </c>
      <c r="U2196" s="20">
        <f t="shared" si="4774"/>
        <v>1000</v>
      </c>
      <c r="V2196" s="20">
        <f t="shared" si="4774"/>
        <v>2000</v>
      </c>
      <c r="W2196" s="20">
        <f t="shared" si="4774"/>
        <v>2000</v>
      </c>
      <c r="X2196" s="20">
        <f t="shared" si="4774"/>
        <v>2</v>
      </c>
      <c r="Y2196" s="20">
        <v>0</v>
      </c>
      <c r="Z2196" s="20">
        <v>0</v>
      </c>
      <c r="AA2196" s="20">
        <f t="shared" si="4715"/>
        <v>0</v>
      </c>
      <c r="AB2196" s="20">
        <v>0</v>
      </c>
      <c r="AC2196" s="20">
        <v>0</v>
      </c>
      <c r="AD2196" s="23">
        <f t="shared" ref="AD2196:AE2196" si="4775">AD2166</f>
        <v>8</v>
      </c>
      <c r="AE2196" s="23">
        <f t="shared" si="4775"/>
        <v>12</v>
      </c>
    </row>
    <row r="2197" spans="1:31">
      <c r="A2197" s="4">
        <v>18103</v>
      </c>
      <c r="B2197" s="4">
        <v>6</v>
      </c>
      <c r="C2197" s="29" t="s">
        <v>71</v>
      </c>
      <c r="D2197" s="46">
        <v>0</v>
      </c>
      <c r="E2197" s="28">
        <v>0</v>
      </c>
      <c r="F2197" s="28">
        <f t="shared" si="4767"/>
        <v>148</v>
      </c>
      <c r="G2197" s="18">
        <f t="shared" si="4713"/>
        <v>148</v>
      </c>
      <c r="H2197" s="47">
        <v>0</v>
      </c>
      <c r="I2197" s="21">
        <f t="shared" si="4665"/>
        <v>110</v>
      </c>
      <c r="J2197" s="21">
        <f t="shared" si="4671"/>
        <v>5</v>
      </c>
      <c r="K2197" s="21">
        <v>0</v>
      </c>
      <c r="L2197" s="20">
        <v>20</v>
      </c>
      <c r="M2197" s="20">
        <v>0</v>
      </c>
      <c r="N2197" s="20">
        <f t="shared" si="4666"/>
        <v>500</v>
      </c>
      <c r="O2197" s="19" t="s">
        <v>71</v>
      </c>
      <c r="P2197" s="20">
        <v>1777</v>
      </c>
      <c r="Q2197" s="20">
        <f t="shared" ref="Q2197:X2197" si="4776">Q2167</f>
        <v>50</v>
      </c>
      <c r="R2197" s="20">
        <f t="shared" si="4776"/>
        <v>200</v>
      </c>
      <c r="S2197" s="20">
        <f t="shared" si="4776"/>
        <v>350</v>
      </c>
      <c r="T2197" s="20">
        <f t="shared" si="4776"/>
        <v>450</v>
      </c>
      <c r="U2197" s="20">
        <f t="shared" si="4776"/>
        <v>800</v>
      </c>
      <c r="V2197" s="20">
        <f t="shared" si="4776"/>
        <v>800</v>
      </c>
      <c r="W2197" s="20">
        <f t="shared" si="4776"/>
        <v>600</v>
      </c>
      <c r="X2197" s="20">
        <f t="shared" si="4776"/>
        <v>2</v>
      </c>
      <c r="Y2197" s="20">
        <v>0</v>
      </c>
      <c r="Z2197" s="20">
        <v>0</v>
      </c>
      <c r="AA2197" s="20">
        <f t="shared" si="4715"/>
        <v>0</v>
      </c>
      <c r="AB2197" s="20">
        <v>0</v>
      </c>
      <c r="AC2197" s="20">
        <v>0</v>
      </c>
      <c r="AD2197" s="23">
        <f t="shared" ref="AD2197:AE2197" si="4777">AD2167</f>
        <v>10</v>
      </c>
      <c r="AE2197" s="23">
        <f t="shared" si="4777"/>
        <v>14</v>
      </c>
    </row>
    <row r="2198" spans="1:31">
      <c r="A2198" s="4">
        <v>18103</v>
      </c>
      <c r="B2198" s="4">
        <v>7</v>
      </c>
      <c r="C2198" s="29" t="s">
        <v>72</v>
      </c>
      <c r="D2198" s="46">
        <v>0</v>
      </c>
      <c r="E2198" s="28">
        <v>0</v>
      </c>
      <c r="F2198" s="28">
        <f t="shared" si="4767"/>
        <v>160</v>
      </c>
      <c r="G2198" s="18">
        <f t="shared" si="4713"/>
        <v>160</v>
      </c>
      <c r="H2198" s="47">
        <v>0</v>
      </c>
      <c r="I2198" s="21">
        <f t="shared" si="4665"/>
        <v>110</v>
      </c>
      <c r="J2198" s="21">
        <f t="shared" si="4671"/>
        <v>6</v>
      </c>
      <c r="K2198" s="21">
        <v>0</v>
      </c>
      <c r="L2198" s="20">
        <v>16</v>
      </c>
      <c r="M2198" s="20">
        <v>0</v>
      </c>
      <c r="N2198" s="20">
        <f t="shared" si="4666"/>
        <v>700</v>
      </c>
      <c r="O2198" s="19" t="s">
        <v>72</v>
      </c>
      <c r="P2198" s="20">
        <v>2332</v>
      </c>
      <c r="Q2198" s="20">
        <f t="shared" ref="Q2198:X2198" si="4778">Q2168</f>
        <v>70</v>
      </c>
      <c r="R2198" s="20">
        <f t="shared" si="4778"/>
        <v>280</v>
      </c>
      <c r="S2198" s="20">
        <f t="shared" si="4778"/>
        <v>489.99999999999994</v>
      </c>
      <c r="T2198" s="20">
        <f t="shared" si="4778"/>
        <v>630</v>
      </c>
      <c r="U2198" s="20">
        <f t="shared" si="4778"/>
        <v>650</v>
      </c>
      <c r="V2198" s="20">
        <f t="shared" si="4778"/>
        <v>800</v>
      </c>
      <c r="W2198" s="20">
        <f t="shared" si="4778"/>
        <v>300</v>
      </c>
      <c r="X2198" s="20">
        <f t="shared" si="4778"/>
        <v>2</v>
      </c>
      <c r="Y2198" s="20">
        <v>0</v>
      </c>
      <c r="Z2198" s="20">
        <v>0</v>
      </c>
      <c r="AA2198" s="20">
        <f t="shared" si="4715"/>
        <v>0</v>
      </c>
      <c r="AB2198" s="20">
        <v>0</v>
      </c>
      <c r="AC2198" s="20">
        <v>0</v>
      </c>
      <c r="AD2198" s="23">
        <f t="shared" ref="AD2198:AE2198" si="4779">AD2168</f>
        <v>12</v>
      </c>
      <c r="AE2198" s="23">
        <f t="shared" si="4779"/>
        <v>16</v>
      </c>
    </row>
    <row r="2199" spans="1:31">
      <c r="A2199" s="4">
        <v>18103</v>
      </c>
      <c r="B2199" s="4">
        <v>8</v>
      </c>
      <c r="C2199" s="29" t="s">
        <v>73</v>
      </c>
      <c r="D2199" s="46">
        <v>0</v>
      </c>
      <c r="E2199" s="28">
        <v>0</v>
      </c>
      <c r="F2199" s="28">
        <f t="shared" si="4767"/>
        <v>176</v>
      </c>
      <c r="G2199" s="18">
        <f t="shared" si="4713"/>
        <v>176</v>
      </c>
      <c r="H2199" s="47">
        <v>0</v>
      </c>
      <c r="I2199" s="21">
        <f t="shared" si="4665"/>
        <v>110</v>
      </c>
      <c r="J2199" s="21">
        <f t="shared" si="4671"/>
        <v>7</v>
      </c>
      <c r="K2199" s="21">
        <v>0</v>
      </c>
      <c r="L2199" s="20">
        <v>12</v>
      </c>
      <c r="M2199" s="20">
        <v>0</v>
      </c>
      <c r="N2199" s="20">
        <f t="shared" si="4666"/>
        <v>800</v>
      </c>
      <c r="O2199" s="19" t="s">
        <v>73</v>
      </c>
      <c r="P2199" s="20">
        <v>1487</v>
      </c>
      <c r="Q2199" s="20">
        <f t="shared" ref="Q2199:X2199" si="4780">Q2169</f>
        <v>80</v>
      </c>
      <c r="R2199" s="20">
        <f t="shared" si="4780"/>
        <v>320</v>
      </c>
      <c r="S2199" s="20">
        <f t="shared" si="4780"/>
        <v>560</v>
      </c>
      <c r="T2199" s="20">
        <f t="shared" si="4780"/>
        <v>720</v>
      </c>
      <c r="U2199" s="20">
        <f t="shared" si="4780"/>
        <v>200</v>
      </c>
      <c r="V2199" s="20">
        <f t="shared" si="4780"/>
        <v>2000</v>
      </c>
      <c r="W2199" s="20">
        <f t="shared" si="4780"/>
        <v>1000</v>
      </c>
      <c r="X2199" s="20">
        <f t="shared" si="4780"/>
        <v>2</v>
      </c>
      <c r="Y2199" s="20">
        <f>ROUND(D2199*0.25,-1)</f>
        <v>0</v>
      </c>
      <c r="Z2199" s="20">
        <f>ROUND(E2199*0.25,-1)</f>
        <v>0</v>
      </c>
      <c r="AA2199" s="20">
        <f t="shared" si="4715"/>
        <v>33</v>
      </c>
      <c r="AB2199" s="20">
        <v>0</v>
      </c>
      <c r="AC2199" s="20">
        <f>ROUND(H2199*0.25,-1)</f>
        <v>0</v>
      </c>
      <c r="AD2199" s="23">
        <f t="shared" ref="AD2199:AE2199" si="4781">AD2169</f>
        <v>14</v>
      </c>
      <c r="AE2199" s="23">
        <f t="shared" si="4781"/>
        <v>18</v>
      </c>
    </row>
    <row r="2200" spans="1:31">
      <c r="A2200" s="4">
        <v>18103</v>
      </c>
      <c r="B2200" s="4">
        <v>9</v>
      </c>
      <c r="C2200" s="29" t="s">
        <v>74</v>
      </c>
      <c r="D2200" s="46">
        <v>0</v>
      </c>
      <c r="E2200" s="28">
        <v>0</v>
      </c>
      <c r="F2200" s="28">
        <f t="shared" si="4767"/>
        <v>188</v>
      </c>
      <c r="G2200" s="18">
        <f t="shared" si="4713"/>
        <v>188</v>
      </c>
      <c r="H2200" s="47">
        <v>0</v>
      </c>
      <c r="I2200" s="21">
        <f t="shared" si="4665"/>
        <v>165</v>
      </c>
      <c r="J2200" s="21">
        <f t="shared" si="4671"/>
        <v>8</v>
      </c>
      <c r="K2200" s="21">
        <v>0</v>
      </c>
      <c r="L2200" s="20">
        <v>8</v>
      </c>
      <c r="M2200" s="20">
        <v>0</v>
      </c>
      <c r="N2200" s="20">
        <f t="shared" si="4666"/>
        <v>900</v>
      </c>
      <c r="O2200" s="19" t="s">
        <v>74</v>
      </c>
      <c r="P2200" s="20">
        <v>1518</v>
      </c>
      <c r="Q2200" s="20">
        <f t="shared" ref="Q2200:X2200" si="4782">Q2170</f>
        <v>90</v>
      </c>
      <c r="R2200" s="20">
        <f t="shared" si="4782"/>
        <v>360</v>
      </c>
      <c r="S2200" s="20">
        <f t="shared" si="4782"/>
        <v>630</v>
      </c>
      <c r="T2200" s="20">
        <f t="shared" si="4782"/>
        <v>810</v>
      </c>
      <c r="U2200" s="20">
        <f t="shared" si="4782"/>
        <v>120</v>
      </c>
      <c r="V2200" s="20">
        <f t="shared" si="4782"/>
        <v>1500</v>
      </c>
      <c r="W2200" s="20">
        <f t="shared" si="4782"/>
        <v>1000</v>
      </c>
      <c r="X2200" s="20">
        <f t="shared" si="4782"/>
        <v>3</v>
      </c>
      <c r="Y2200" s="20">
        <v>0</v>
      </c>
      <c r="Z2200" s="20">
        <v>0</v>
      </c>
      <c r="AA2200" s="20">
        <f t="shared" si="4715"/>
        <v>0</v>
      </c>
      <c r="AB2200" s="20">
        <v>0</v>
      </c>
      <c r="AC2200" s="20">
        <v>0</v>
      </c>
      <c r="AD2200" s="23">
        <f t="shared" ref="AD2200:AE2200" si="4783">AD2170</f>
        <v>16</v>
      </c>
      <c r="AE2200" s="23">
        <f t="shared" si="4783"/>
        <v>20</v>
      </c>
    </row>
    <row r="2201" spans="1:31">
      <c r="A2201" s="4">
        <v>18103</v>
      </c>
      <c r="B2201" s="4">
        <v>10</v>
      </c>
      <c r="C2201" s="29" t="s">
        <v>75</v>
      </c>
      <c r="D2201" s="46">
        <v>0</v>
      </c>
      <c r="E2201" s="28">
        <v>0</v>
      </c>
      <c r="F2201" s="28">
        <f t="shared" si="4767"/>
        <v>204</v>
      </c>
      <c r="G2201" s="18">
        <f t="shared" si="4713"/>
        <v>204</v>
      </c>
      <c r="H2201" s="47">
        <v>0</v>
      </c>
      <c r="I2201" s="21">
        <f t="shared" si="4665"/>
        <v>165</v>
      </c>
      <c r="J2201" s="21">
        <f t="shared" si="4671"/>
        <v>9</v>
      </c>
      <c r="K2201" s="21">
        <v>0</v>
      </c>
      <c r="L2201" s="20">
        <v>6</v>
      </c>
      <c r="M2201" s="20">
        <v>0</v>
      </c>
      <c r="N2201" s="20">
        <f t="shared" si="4666"/>
        <v>2000</v>
      </c>
      <c r="O2201" s="19" t="s">
        <v>75</v>
      </c>
      <c r="P2201" s="20">
        <v>861</v>
      </c>
      <c r="Q2201" s="20">
        <f t="shared" ref="Q2201:X2201" si="4784">Q2171</f>
        <v>200</v>
      </c>
      <c r="R2201" s="20">
        <f t="shared" si="4784"/>
        <v>800</v>
      </c>
      <c r="S2201" s="20">
        <f t="shared" si="4784"/>
        <v>1400</v>
      </c>
      <c r="T2201" s="20">
        <f t="shared" si="4784"/>
        <v>1800</v>
      </c>
      <c r="U2201" s="20">
        <f t="shared" si="4784"/>
        <v>150</v>
      </c>
      <c r="V2201" s="20">
        <f t="shared" si="4784"/>
        <v>5000</v>
      </c>
      <c r="W2201" s="20">
        <f t="shared" si="4784"/>
        <v>800</v>
      </c>
      <c r="X2201" s="20">
        <f t="shared" si="4784"/>
        <v>3</v>
      </c>
      <c r="Y2201" s="20">
        <v>0</v>
      </c>
      <c r="Z2201" s="20">
        <v>0</v>
      </c>
      <c r="AA2201" s="20">
        <f t="shared" si="4715"/>
        <v>0</v>
      </c>
      <c r="AB2201" s="20">
        <v>0</v>
      </c>
      <c r="AC2201" s="20">
        <v>0</v>
      </c>
      <c r="AD2201" s="23">
        <f t="shared" ref="AD2201:AE2201" si="4785">AD2171</f>
        <v>18</v>
      </c>
      <c r="AE2201" s="23">
        <f t="shared" si="4785"/>
        <v>22</v>
      </c>
    </row>
    <row r="2202" spans="1:31">
      <c r="A2202" s="4">
        <v>18103</v>
      </c>
      <c r="B2202" s="4">
        <v>11</v>
      </c>
      <c r="C2202" s="29" t="s">
        <v>66</v>
      </c>
      <c r="D2202" s="46">
        <v>0</v>
      </c>
      <c r="E2202" s="28">
        <v>0</v>
      </c>
      <c r="F2202" s="28">
        <f t="shared" si="4767"/>
        <v>220</v>
      </c>
      <c r="G2202" s="18">
        <f t="shared" si="4713"/>
        <v>220</v>
      </c>
      <c r="H2202" s="47">
        <v>0</v>
      </c>
      <c r="I2202" s="21">
        <f t="shared" si="4665"/>
        <v>165</v>
      </c>
      <c r="J2202" s="21">
        <f t="shared" si="4671"/>
        <v>10</v>
      </c>
      <c r="K2202" s="21">
        <v>0</v>
      </c>
      <c r="L2202" s="20">
        <v>6</v>
      </c>
      <c r="M2202" s="20">
        <v>0</v>
      </c>
      <c r="N2202" s="20">
        <f t="shared" si="4666"/>
        <v>2200</v>
      </c>
      <c r="O2202" s="19" t="s">
        <v>66</v>
      </c>
      <c r="P2202" s="20">
        <v>9400</v>
      </c>
      <c r="Q2202" s="20">
        <f t="shared" ref="Q2202:X2202" si="4786">Q2172</f>
        <v>220</v>
      </c>
      <c r="R2202" s="20">
        <f t="shared" si="4786"/>
        <v>880</v>
      </c>
      <c r="S2202" s="20">
        <f t="shared" si="4786"/>
        <v>1540</v>
      </c>
      <c r="T2202" s="20">
        <f t="shared" si="4786"/>
        <v>1980</v>
      </c>
      <c r="U2202" s="20">
        <f t="shared" si="4786"/>
        <v>100</v>
      </c>
      <c r="V2202" s="20">
        <f t="shared" si="4786"/>
        <v>800</v>
      </c>
      <c r="W2202" s="20">
        <f t="shared" si="4786"/>
        <v>600</v>
      </c>
      <c r="X2202" s="20">
        <f t="shared" si="4786"/>
        <v>3</v>
      </c>
      <c r="Y2202" s="20">
        <v>0</v>
      </c>
      <c r="Z2202" s="20">
        <v>0</v>
      </c>
      <c r="AA2202" s="20">
        <f t="shared" si="4715"/>
        <v>0</v>
      </c>
      <c r="AB2202" s="20">
        <v>0</v>
      </c>
      <c r="AC2202" s="20">
        <v>0</v>
      </c>
      <c r="AD2202" s="23">
        <f t="shared" ref="AD2202:AE2202" si="4787">AD2172</f>
        <v>20</v>
      </c>
      <c r="AE2202" s="23">
        <f t="shared" si="4787"/>
        <v>24</v>
      </c>
    </row>
    <row r="2203" spans="1:31">
      <c r="A2203" s="4">
        <v>18103</v>
      </c>
      <c r="B2203" s="4">
        <v>12</v>
      </c>
      <c r="C2203" s="29" t="s">
        <v>67</v>
      </c>
      <c r="D2203" s="46">
        <v>0</v>
      </c>
      <c r="E2203" s="28">
        <v>0</v>
      </c>
      <c r="F2203" s="28">
        <f t="shared" si="4767"/>
        <v>240</v>
      </c>
      <c r="G2203" s="18">
        <f t="shared" si="4713"/>
        <v>240</v>
      </c>
      <c r="H2203" s="47">
        <v>0</v>
      </c>
      <c r="I2203" s="21">
        <f t="shared" si="4665"/>
        <v>165</v>
      </c>
      <c r="J2203" s="21">
        <f t="shared" si="4671"/>
        <v>11</v>
      </c>
      <c r="K2203" s="21">
        <v>0</v>
      </c>
      <c r="L2203" s="20">
        <v>6</v>
      </c>
      <c r="M2203" s="20">
        <v>0</v>
      </c>
      <c r="N2203" s="20">
        <f t="shared" si="4666"/>
        <v>2400</v>
      </c>
      <c r="O2203" s="19" t="s">
        <v>67</v>
      </c>
      <c r="P2203" s="20">
        <v>9100</v>
      </c>
      <c r="Q2203" s="20">
        <f t="shared" ref="Q2203:X2203" si="4788">Q2173</f>
        <v>240</v>
      </c>
      <c r="R2203" s="20">
        <f t="shared" si="4788"/>
        <v>960</v>
      </c>
      <c r="S2203" s="20">
        <f t="shared" si="4788"/>
        <v>1680</v>
      </c>
      <c r="T2203" s="20">
        <f t="shared" si="4788"/>
        <v>2160</v>
      </c>
      <c r="U2203" s="20">
        <f t="shared" si="4788"/>
        <v>150</v>
      </c>
      <c r="V2203" s="20">
        <f t="shared" si="4788"/>
        <v>700</v>
      </c>
      <c r="W2203" s="20">
        <f t="shared" si="4788"/>
        <v>900</v>
      </c>
      <c r="X2203" s="20">
        <f t="shared" si="4788"/>
        <v>3</v>
      </c>
      <c r="Y2203" s="20">
        <v>0</v>
      </c>
      <c r="Z2203" s="20">
        <v>0</v>
      </c>
      <c r="AA2203" s="20">
        <f t="shared" si="4715"/>
        <v>0</v>
      </c>
      <c r="AB2203" s="20">
        <v>0</v>
      </c>
      <c r="AC2203" s="20">
        <v>0</v>
      </c>
      <c r="AD2203" s="23">
        <f t="shared" ref="AD2203:AE2203" si="4789">AD2173</f>
        <v>22</v>
      </c>
      <c r="AE2203" s="23">
        <f t="shared" si="4789"/>
        <v>26</v>
      </c>
    </row>
    <row r="2204" spans="1:31">
      <c r="A2204" s="8">
        <v>18103</v>
      </c>
      <c r="B2204" s="8">
        <v>13</v>
      </c>
      <c r="C2204" s="29" t="s">
        <v>68</v>
      </c>
      <c r="D2204" s="46">
        <v>0</v>
      </c>
      <c r="E2204" s="28">
        <v>0</v>
      </c>
      <c r="F2204" s="28">
        <f t="shared" si="4767"/>
        <v>260</v>
      </c>
      <c r="G2204" s="18">
        <f t="shared" si="4713"/>
        <v>260</v>
      </c>
      <c r="H2204" s="47">
        <v>0</v>
      </c>
      <c r="I2204" s="21">
        <f t="shared" si="4665"/>
        <v>220</v>
      </c>
      <c r="J2204" s="21">
        <f t="shared" si="4671"/>
        <v>12</v>
      </c>
      <c r="K2204" s="21">
        <v>0</v>
      </c>
      <c r="L2204" s="20">
        <v>6</v>
      </c>
      <c r="M2204" s="20">
        <v>0</v>
      </c>
      <c r="N2204" s="20">
        <f t="shared" si="4666"/>
        <v>2600</v>
      </c>
      <c r="O2204" s="19" t="s">
        <v>68</v>
      </c>
      <c r="P2204" s="20">
        <v>8600</v>
      </c>
      <c r="Q2204" s="20">
        <f t="shared" ref="Q2204:X2204" si="4790">Q2174</f>
        <v>260</v>
      </c>
      <c r="R2204" s="20">
        <f t="shared" si="4790"/>
        <v>1040</v>
      </c>
      <c r="S2204" s="20">
        <f t="shared" si="4790"/>
        <v>1819.9999999999998</v>
      </c>
      <c r="T2204" s="20">
        <f t="shared" si="4790"/>
        <v>2340</v>
      </c>
      <c r="U2204" s="20">
        <f t="shared" si="4790"/>
        <v>100</v>
      </c>
      <c r="V2204" s="20">
        <f t="shared" si="4790"/>
        <v>700</v>
      </c>
      <c r="W2204" s="20">
        <f t="shared" si="4790"/>
        <v>1000</v>
      </c>
      <c r="X2204" s="20">
        <f t="shared" si="4790"/>
        <v>4</v>
      </c>
      <c r="Y2204" s="20">
        <f>ROUND(D2204*0.25,-1)</f>
        <v>0</v>
      </c>
      <c r="Z2204" s="20">
        <f>ROUND(E2204*0.25,-1)</f>
        <v>0</v>
      </c>
      <c r="AA2204" s="20">
        <f t="shared" si="4715"/>
        <v>67</v>
      </c>
      <c r="AB2204" s="20">
        <v>0</v>
      </c>
      <c r="AC2204" s="20">
        <f>ROUND(H2204*0.25,-1)</f>
        <v>0</v>
      </c>
      <c r="AD2204" s="23">
        <f t="shared" ref="AD2204:AE2204" si="4791">AD2174</f>
        <v>24</v>
      </c>
      <c r="AE2204" s="23">
        <f t="shared" si="4791"/>
        <v>28</v>
      </c>
    </row>
    <row r="2205" spans="1:31">
      <c r="A2205" s="4">
        <v>18103</v>
      </c>
      <c r="B2205" s="4">
        <v>14</v>
      </c>
      <c r="C2205" s="29" t="s">
        <v>69</v>
      </c>
      <c r="D2205" s="46">
        <v>0</v>
      </c>
      <c r="E2205" s="28">
        <v>0</v>
      </c>
      <c r="F2205" s="28">
        <f t="shared" si="4767"/>
        <v>280</v>
      </c>
      <c r="G2205" s="18">
        <f t="shared" si="4713"/>
        <v>280</v>
      </c>
      <c r="H2205" s="47">
        <v>0</v>
      </c>
      <c r="I2205" s="21">
        <f t="shared" si="4665"/>
        <v>220</v>
      </c>
      <c r="J2205" s="21">
        <f t="shared" si="4671"/>
        <v>13</v>
      </c>
      <c r="K2205" s="21">
        <v>0</v>
      </c>
      <c r="L2205" s="20">
        <v>6</v>
      </c>
      <c r="M2205" s="20">
        <v>0</v>
      </c>
      <c r="N2205" s="20">
        <f t="shared" si="4666"/>
        <v>2800</v>
      </c>
      <c r="O2205" s="19" t="s">
        <v>69</v>
      </c>
      <c r="P2205" s="20">
        <v>6400</v>
      </c>
      <c r="Q2205" s="20">
        <f t="shared" ref="Q2205:X2205" si="4792">Q2175</f>
        <v>280</v>
      </c>
      <c r="R2205" s="20">
        <f t="shared" si="4792"/>
        <v>1120</v>
      </c>
      <c r="S2205" s="20">
        <f t="shared" si="4792"/>
        <v>1959.9999999999998</v>
      </c>
      <c r="T2205" s="20">
        <f t="shared" si="4792"/>
        <v>2520</v>
      </c>
      <c r="U2205" s="20">
        <f t="shared" si="4792"/>
        <v>100</v>
      </c>
      <c r="V2205" s="20">
        <f t="shared" si="4792"/>
        <v>400</v>
      </c>
      <c r="W2205" s="20">
        <f t="shared" si="4792"/>
        <v>1200</v>
      </c>
      <c r="X2205" s="20">
        <f t="shared" si="4792"/>
        <v>4</v>
      </c>
      <c r="Y2205" s="20">
        <v>0</v>
      </c>
      <c r="Z2205" s="20">
        <v>0</v>
      </c>
      <c r="AA2205" s="20">
        <f t="shared" si="4715"/>
        <v>0</v>
      </c>
      <c r="AB2205" s="20">
        <v>0</v>
      </c>
      <c r="AC2205" s="20">
        <v>0</v>
      </c>
      <c r="AD2205" s="23">
        <f t="shared" ref="AD2205:AE2205" si="4793">AD2175</f>
        <v>26</v>
      </c>
      <c r="AE2205" s="23">
        <f t="shared" si="4793"/>
        <v>30</v>
      </c>
    </row>
    <row r="2206" spans="1:31">
      <c r="A2206" s="4">
        <v>18103</v>
      </c>
      <c r="B2206" s="4">
        <v>15</v>
      </c>
      <c r="C2206" s="29" t="s">
        <v>70</v>
      </c>
      <c r="D2206" s="46">
        <v>0</v>
      </c>
      <c r="E2206" s="28">
        <v>0</v>
      </c>
      <c r="F2206" s="28">
        <f t="shared" si="4767"/>
        <v>304</v>
      </c>
      <c r="G2206" s="18">
        <f t="shared" si="4713"/>
        <v>304</v>
      </c>
      <c r="H2206" s="47">
        <v>0</v>
      </c>
      <c r="I2206" s="21">
        <f t="shared" si="4665"/>
        <v>220</v>
      </c>
      <c r="J2206" s="21">
        <f t="shared" si="4671"/>
        <v>14</v>
      </c>
      <c r="K2206" s="21">
        <v>0</v>
      </c>
      <c r="L2206" s="20">
        <v>6</v>
      </c>
      <c r="M2206" s="20">
        <v>0</v>
      </c>
      <c r="N2206" s="20">
        <f t="shared" si="4666"/>
        <v>4500</v>
      </c>
      <c r="O2206" s="19" t="s">
        <v>70</v>
      </c>
      <c r="P2206" s="20">
        <v>3100</v>
      </c>
      <c r="Q2206" s="20">
        <f t="shared" ref="Q2206:X2206" si="4794">Q2176</f>
        <v>450</v>
      </c>
      <c r="R2206" s="20">
        <f t="shared" si="4794"/>
        <v>1800</v>
      </c>
      <c r="S2206" s="20">
        <f t="shared" si="4794"/>
        <v>3150</v>
      </c>
      <c r="T2206" s="20">
        <f t="shared" si="4794"/>
        <v>4050</v>
      </c>
      <c r="U2206" s="20">
        <f t="shared" si="4794"/>
        <v>100</v>
      </c>
      <c r="V2206" s="20">
        <f t="shared" si="4794"/>
        <v>1000</v>
      </c>
      <c r="W2206" s="20">
        <f t="shared" si="4794"/>
        <v>600</v>
      </c>
      <c r="X2206" s="20">
        <f t="shared" si="4794"/>
        <v>4</v>
      </c>
      <c r="Y2206" s="20">
        <v>0</v>
      </c>
      <c r="Z2206" s="20">
        <v>0</v>
      </c>
      <c r="AA2206" s="20">
        <f t="shared" si="4715"/>
        <v>0</v>
      </c>
      <c r="AB2206" s="20">
        <v>0</v>
      </c>
      <c r="AC2206" s="20">
        <v>0</v>
      </c>
      <c r="AD2206" s="23">
        <f t="shared" ref="AD2206:AE2206" si="4795">AD2176</f>
        <v>28</v>
      </c>
      <c r="AE2206" s="23">
        <f t="shared" si="4795"/>
        <v>32</v>
      </c>
    </row>
    <row r="2207" spans="1:31">
      <c r="A2207" s="4">
        <v>18103</v>
      </c>
      <c r="B2207" s="4">
        <v>16</v>
      </c>
      <c r="C2207" s="29" t="s">
        <v>71</v>
      </c>
      <c r="D2207" s="46">
        <v>0</v>
      </c>
      <c r="E2207" s="28">
        <v>0</v>
      </c>
      <c r="F2207" s="28">
        <f t="shared" si="4767"/>
        <v>332</v>
      </c>
      <c r="G2207" s="18">
        <f t="shared" si="4713"/>
        <v>332</v>
      </c>
      <c r="H2207" s="47">
        <v>0</v>
      </c>
      <c r="I2207" s="21">
        <f t="shared" si="4665"/>
        <v>220</v>
      </c>
      <c r="J2207" s="21">
        <f t="shared" si="4671"/>
        <v>15</v>
      </c>
      <c r="K2207" s="21">
        <v>0</v>
      </c>
      <c r="L2207" s="20">
        <v>6</v>
      </c>
      <c r="M2207" s="20">
        <v>0</v>
      </c>
      <c r="N2207" s="20">
        <f t="shared" si="4666"/>
        <v>4800</v>
      </c>
      <c r="O2207" s="19" t="s">
        <v>71</v>
      </c>
      <c r="P2207" s="20">
        <v>1777</v>
      </c>
      <c r="Q2207" s="20">
        <f t="shared" ref="Q2207:X2207" si="4796">Q2177</f>
        <v>480</v>
      </c>
      <c r="R2207" s="20">
        <f t="shared" si="4796"/>
        <v>1920</v>
      </c>
      <c r="S2207" s="20">
        <f t="shared" si="4796"/>
        <v>3360</v>
      </c>
      <c r="T2207" s="20">
        <f t="shared" si="4796"/>
        <v>4320</v>
      </c>
      <c r="U2207" s="20">
        <f t="shared" si="4796"/>
        <v>100</v>
      </c>
      <c r="V2207" s="20">
        <f t="shared" si="4796"/>
        <v>800</v>
      </c>
      <c r="W2207" s="20">
        <f t="shared" si="4796"/>
        <v>800</v>
      </c>
      <c r="X2207" s="20">
        <f t="shared" si="4796"/>
        <v>4</v>
      </c>
      <c r="Y2207" s="20">
        <v>0</v>
      </c>
      <c r="Z2207" s="20">
        <v>0</v>
      </c>
      <c r="AA2207" s="20">
        <f t="shared" si="4715"/>
        <v>0</v>
      </c>
      <c r="AB2207" s="20">
        <v>0</v>
      </c>
      <c r="AC2207" s="20">
        <v>0</v>
      </c>
      <c r="AD2207" s="23">
        <f t="shared" ref="AD2207:AE2207" si="4797">AD2177</f>
        <v>30</v>
      </c>
      <c r="AE2207" s="23">
        <f t="shared" si="4797"/>
        <v>34</v>
      </c>
    </row>
    <row r="2208" spans="1:31">
      <c r="A2208" s="4">
        <v>18103</v>
      </c>
      <c r="B2208" s="4">
        <v>17</v>
      </c>
      <c r="C2208" s="29" t="s">
        <v>72</v>
      </c>
      <c r="D2208" s="46">
        <v>0</v>
      </c>
      <c r="E2208" s="28">
        <v>0</v>
      </c>
      <c r="F2208" s="28">
        <f t="shared" si="4767"/>
        <v>356</v>
      </c>
      <c r="G2208" s="18">
        <f t="shared" si="4713"/>
        <v>356</v>
      </c>
      <c r="H2208" s="47">
        <v>0</v>
      </c>
      <c r="I2208" s="21">
        <f t="shared" si="4665"/>
        <v>275</v>
      </c>
      <c r="J2208" s="21">
        <f t="shared" si="4671"/>
        <v>16</v>
      </c>
      <c r="K2208" s="21">
        <v>0</v>
      </c>
      <c r="L2208" s="20">
        <v>6</v>
      </c>
      <c r="M2208" s="20">
        <v>0</v>
      </c>
      <c r="N2208" s="20">
        <f t="shared" si="4666"/>
        <v>5100</v>
      </c>
      <c r="O2208" s="19" t="s">
        <v>72</v>
      </c>
      <c r="P2208" s="20">
        <v>2332</v>
      </c>
      <c r="Q2208" s="20">
        <f t="shared" ref="Q2208:X2208" si="4798">Q2178</f>
        <v>510</v>
      </c>
      <c r="R2208" s="20">
        <f t="shared" si="4798"/>
        <v>2040</v>
      </c>
      <c r="S2208" s="20">
        <f t="shared" si="4798"/>
        <v>3570</v>
      </c>
      <c r="T2208" s="20">
        <f t="shared" si="4798"/>
        <v>4590</v>
      </c>
      <c r="U2208" s="20">
        <f t="shared" si="4798"/>
        <v>80</v>
      </c>
      <c r="V2208" s="20">
        <f t="shared" si="4798"/>
        <v>800</v>
      </c>
      <c r="W2208" s="20">
        <f t="shared" si="4798"/>
        <v>600</v>
      </c>
      <c r="X2208" s="20">
        <f t="shared" si="4798"/>
        <v>5</v>
      </c>
      <c r="Y2208" s="20">
        <v>0</v>
      </c>
      <c r="Z2208" s="20">
        <v>0</v>
      </c>
      <c r="AA2208" s="20">
        <f t="shared" si="4715"/>
        <v>0</v>
      </c>
      <c r="AB2208" s="20">
        <v>0</v>
      </c>
      <c r="AC2208" s="20">
        <v>0</v>
      </c>
      <c r="AD2208" s="23">
        <f t="shared" ref="AD2208:AE2208" si="4799">AD2178</f>
        <v>32</v>
      </c>
      <c r="AE2208" s="23">
        <f t="shared" si="4799"/>
        <v>36</v>
      </c>
    </row>
    <row r="2209" spans="1:31">
      <c r="A2209" s="4">
        <v>18103</v>
      </c>
      <c r="B2209" s="4">
        <v>18</v>
      </c>
      <c r="C2209" s="29" t="s">
        <v>73</v>
      </c>
      <c r="D2209" s="46">
        <v>0</v>
      </c>
      <c r="E2209" s="28">
        <v>0</v>
      </c>
      <c r="F2209" s="28">
        <f t="shared" si="4767"/>
        <v>388</v>
      </c>
      <c r="G2209" s="18">
        <f t="shared" si="4713"/>
        <v>388</v>
      </c>
      <c r="H2209" s="47">
        <v>0</v>
      </c>
      <c r="I2209" s="21">
        <f t="shared" ref="I2209:I2272" si="4800">I2179</f>
        <v>275</v>
      </c>
      <c r="J2209" s="21">
        <f t="shared" si="4671"/>
        <v>17</v>
      </c>
      <c r="K2209" s="21">
        <v>0</v>
      </c>
      <c r="L2209" s="20">
        <v>6</v>
      </c>
      <c r="M2209" s="20">
        <v>0</v>
      </c>
      <c r="N2209" s="20">
        <f t="shared" ref="N2209:N2272" si="4801">N2179</f>
        <v>5400</v>
      </c>
      <c r="O2209" s="19" t="s">
        <v>73</v>
      </c>
      <c r="P2209" s="20">
        <v>1487</v>
      </c>
      <c r="Q2209" s="20">
        <f t="shared" ref="Q2209:X2209" si="4802">Q2179</f>
        <v>540</v>
      </c>
      <c r="R2209" s="20">
        <f t="shared" si="4802"/>
        <v>2160</v>
      </c>
      <c r="S2209" s="20">
        <f t="shared" si="4802"/>
        <v>3779.9999999999995</v>
      </c>
      <c r="T2209" s="20">
        <f t="shared" si="4802"/>
        <v>4860</v>
      </c>
      <c r="U2209" s="20">
        <f t="shared" si="4802"/>
        <v>100</v>
      </c>
      <c r="V2209" s="20">
        <f t="shared" si="4802"/>
        <v>600</v>
      </c>
      <c r="W2209" s="20">
        <f t="shared" si="4802"/>
        <v>300</v>
      </c>
      <c r="X2209" s="20">
        <f t="shared" si="4802"/>
        <v>5</v>
      </c>
      <c r="Y2209" s="20">
        <f>ROUND(D2209*0.25,-1)</f>
        <v>0</v>
      </c>
      <c r="Z2209" s="20">
        <f>ROUND(E2209*0.25,-1)</f>
        <v>0</v>
      </c>
      <c r="AA2209" s="20">
        <f t="shared" si="4715"/>
        <v>101</v>
      </c>
      <c r="AB2209" s="20">
        <v>0</v>
      </c>
      <c r="AC2209" s="20">
        <f>ROUND(H2209*0.25,-1)</f>
        <v>0</v>
      </c>
      <c r="AD2209" s="23">
        <f t="shared" ref="AD2209:AE2209" si="4803">AD2179</f>
        <v>34</v>
      </c>
      <c r="AE2209" s="23">
        <f t="shared" si="4803"/>
        <v>38</v>
      </c>
    </row>
    <row r="2210" spans="1:31">
      <c r="A2210" s="4">
        <v>18103</v>
      </c>
      <c r="B2210" s="4">
        <v>19</v>
      </c>
      <c r="C2210" s="29" t="s">
        <v>74</v>
      </c>
      <c r="D2210" s="46">
        <v>0</v>
      </c>
      <c r="E2210" s="28">
        <v>0</v>
      </c>
      <c r="F2210" s="28">
        <f t="shared" si="4767"/>
        <v>420</v>
      </c>
      <c r="G2210" s="18">
        <f t="shared" si="4713"/>
        <v>420</v>
      </c>
      <c r="H2210" s="47">
        <v>0</v>
      </c>
      <c r="I2210" s="21">
        <f t="shared" si="4800"/>
        <v>275</v>
      </c>
      <c r="J2210" s="21">
        <f t="shared" si="4671"/>
        <v>18</v>
      </c>
      <c r="K2210" s="21">
        <v>0</v>
      </c>
      <c r="L2210" s="20">
        <v>6</v>
      </c>
      <c r="M2210" s="20">
        <v>0</v>
      </c>
      <c r="N2210" s="20">
        <f t="shared" si="4801"/>
        <v>5700</v>
      </c>
      <c r="O2210" s="19" t="s">
        <v>74</v>
      </c>
      <c r="P2210" s="20">
        <v>1518</v>
      </c>
      <c r="Q2210" s="20">
        <f t="shared" ref="Q2210:X2210" si="4804">Q2180</f>
        <v>570</v>
      </c>
      <c r="R2210" s="20">
        <f t="shared" si="4804"/>
        <v>2280</v>
      </c>
      <c r="S2210" s="20">
        <f t="shared" si="4804"/>
        <v>3989.9999999999995</v>
      </c>
      <c r="T2210" s="20">
        <f t="shared" si="4804"/>
        <v>5130</v>
      </c>
      <c r="U2210" s="20">
        <f t="shared" si="4804"/>
        <v>100</v>
      </c>
      <c r="V2210" s="20">
        <f t="shared" si="4804"/>
        <v>500</v>
      </c>
      <c r="W2210" s="20">
        <f t="shared" si="4804"/>
        <v>400</v>
      </c>
      <c r="X2210" s="20">
        <f t="shared" si="4804"/>
        <v>5</v>
      </c>
      <c r="Y2210" s="20">
        <v>0</v>
      </c>
      <c r="Z2210" s="20">
        <v>0</v>
      </c>
      <c r="AA2210" s="20">
        <f t="shared" si="4715"/>
        <v>0</v>
      </c>
      <c r="AB2210" s="20">
        <v>0</v>
      </c>
      <c r="AC2210" s="20">
        <v>0</v>
      </c>
      <c r="AD2210" s="23">
        <f t="shared" ref="AD2210:AE2210" si="4805">AD2180</f>
        <v>36</v>
      </c>
      <c r="AE2210" s="23">
        <f t="shared" si="4805"/>
        <v>40</v>
      </c>
    </row>
    <row r="2211" spans="1:31">
      <c r="A2211" s="4">
        <v>18103</v>
      </c>
      <c r="B2211" s="4">
        <v>20</v>
      </c>
      <c r="C2211" s="29" t="s">
        <v>75</v>
      </c>
      <c r="D2211" s="46">
        <v>0</v>
      </c>
      <c r="E2211" s="28">
        <v>0</v>
      </c>
      <c r="F2211" s="28">
        <f t="shared" si="4767"/>
        <v>456</v>
      </c>
      <c r="G2211" s="18">
        <f t="shared" si="4713"/>
        <v>456</v>
      </c>
      <c r="H2211" s="47">
        <v>0</v>
      </c>
      <c r="I2211" s="21">
        <f t="shared" si="4800"/>
        <v>275</v>
      </c>
      <c r="J2211" s="21">
        <f t="shared" ref="J2211:J2251" si="4806">B2211-1</f>
        <v>19</v>
      </c>
      <c r="K2211" s="21">
        <v>0</v>
      </c>
      <c r="L2211" s="20">
        <v>6</v>
      </c>
      <c r="M2211" s="20">
        <v>0</v>
      </c>
      <c r="N2211" s="20">
        <f t="shared" si="4801"/>
        <v>8000</v>
      </c>
      <c r="O2211" s="19" t="s">
        <v>75</v>
      </c>
      <c r="P2211" s="20">
        <v>861</v>
      </c>
      <c r="Q2211" s="20">
        <f t="shared" ref="Q2211:X2211" si="4807">Q2181</f>
        <v>800</v>
      </c>
      <c r="R2211" s="20">
        <f t="shared" si="4807"/>
        <v>3200</v>
      </c>
      <c r="S2211" s="20">
        <f t="shared" si="4807"/>
        <v>5600</v>
      </c>
      <c r="T2211" s="20">
        <f t="shared" si="4807"/>
        <v>7200</v>
      </c>
      <c r="U2211" s="20">
        <f t="shared" si="4807"/>
        <v>100</v>
      </c>
      <c r="V2211" s="20">
        <f t="shared" si="4807"/>
        <v>800</v>
      </c>
      <c r="W2211" s="20">
        <f t="shared" si="4807"/>
        <v>8000</v>
      </c>
      <c r="X2211" s="20">
        <f t="shared" si="4807"/>
        <v>5</v>
      </c>
      <c r="Y2211" s="20">
        <v>0</v>
      </c>
      <c r="Z2211" s="20">
        <v>0</v>
      </c>
      <c r="AA2211" s="20">
        <f t="shared" si="4715"/>
        <v>0</v>
      </c>
      <c r="AB2211" s="20">
        <v>0</v>
      </c>
      <c r="AC2211" s="20">
        <v>0</v>
      </c>
      <c r="AD2211" s="23">
        <f t="shared" ref="AD2211:AE2211" si="4808">AD2181</f>
        <v>38</v>
      </c>
      <c r="AE2211" s="23">
        <f t="shared" si="4808"/>
        <v>42</v>
      </c>
    </row>
    <row r="2212" spans="1:31">
      <c r="A2212" s="4">
        <v>18103</v>
      </c>
      <c r="B2212" s="4">
        <v>21</v>
      </c>
      <c r="C2212" s="29" t="s">
        <v>66</v>
      </c>
      <c r="D2212" s="46">
        <v>0</v>
      </c>
      <c r="E2212" s="28">
        <v>0</v>
      </c>
      <c r="F2212" s="28">
        <f t="shared" si="4767"/>
        <v>492</v>
      </c>
      <c r="G2212" s="18">
        <f t="shared" si="4713"/>
        <v>492</v>
      </c>
      <c r="H2212" s="47">
        <v>0</v>
      </c>
      <c r="I2212" s="21">
        <f t="shared" si="4800"/>
        <v>330</v>
      </c>
      <c r="J2212" s="21">
        <f t="shared" si="4806"/>
        <v>20</v>
      </c>
      <c r="K2212" s="21">
        <v>0</v>
      </c>
      <c r="L2212" s="20">
        <v>6</v>
      </c>
      <c r="M2212" s="20">
        <v>0</v>
      </c>
      <c r="N2212" s="20">
        <f t="shared" si="4801"/>
        <v>8400</v>
      </c>
      <c r="O2212" s="19" t="s">
        <v>66</v>
      </c>
      <c r="P2212" s="20">
        <v>9400</v>
      </c>
      <c r="Q2212" s="20">
        <f t="shared" ref="Q2212:X2212" si="4809">Q2182</f>
        <v>840</v>
      </c>
      <c r="R2212" s="20">
        <f t="shared" si="4809"/>
        <v>3360</v>
      </c>
      <c r="S2212" s="20">
        <f t="shared" si="4809"/>
        <v>5880</v>
      </c>
      <c r="T2212" s="20">
        <f t="shared" si="4809"/>
        <v>7560</v>
      </c>
      <c r="U2212" s="20">
        <f t="shared" si="4809"/>
        <v>50</v>
      </c>
      <c r="V2212" s="20">
        <f t="shared" si="4809"/>
        <v>1000</v>
      </c>
      <c r="W2212" s="20">
        <f t="shared" si="4809"/>
        <v>600</v>
      </c>
      <c r="X2212" s="20">
        <f t="shared" si="4809"/>
        <v>6</v>
      </c>
      <c r="Y2212" s="20">
        <v>0</v>
      </c>
      <c r="Z2212" s="20">
        <v>0</v>
      </c>
      <c r="AA2212" s="20">
        <f t="shared" si="4715"/>
        <v>0</v>
      </c>
      <c r="AB2212" s="20">
        <v>0</v>
      </c>
      <c r="AC2212" s="20">
        <v>0</v>
      </c>
      <c r="AD2212" s="23">
        <f t="shared" ref="AD2212:AE2212" si="4810">AD2182</f>
        <v>40</v>
      </c>
      <c r="AE2212" s="23">
        <f t="shared" si="4810"/>
        <v>44</v>
      </c>
    </row>
    <row r="2213" spans="1:31">
      <c r="A2213" s="4">
        <v>18103</v>
      </c>
      <c r="B2213" s="4">
        <v>22</v>
      </c>
      <c r="C2213" s="29" t="s">
        <v>67</v>
      </c>
      <c r="D2213" s="46">
        <v>0</v>
      </c>
      <c r="E2213" s="28">
        <v>0</v>
      </c>
      <c r="F2213" s="28">
        <f t="shared" si="4767"/>
        <v>532</v>
      </c>
      <c r="G2213" s="18">
        <f t="shared" si="4713"/>
        <v>532</v>
      </c>
      <c r="H2213" s="47">
        <v>0</v>
      </c>
      <c r="I2213" s="21">
        <f t="shared" si="4800"/>
        <v>330</v>
      </c>
      <c r="J2213" s="21">
        <f t="shared" si="4806"/>
        <v>21</v>
      </c>
      <c r="K2213" s="21">
        <v>0</v>
      </c>
      <c r="L2213" s="20">
        <v>6</v>
      </c>
      <c r="M2213" s="20">
        <v>0</v>
      </c>
      <c r="N2213" s="20">
        <f t="shared" si="4801"/>
        <v>8800</v>
      </c>
      <c r="O2213" s="19" t="s">
        <v>67</v>
      </c>
      <c r="P2213" s="20">
        <v>9100</v>
      </c>
      <c r="Q2213" s="20">
        <f t="shared" ref="Q2213:X2213" si="4811">Q2183</f>
        <v>880</v>
      </c>
      <c r="R2213" s="20">
        <f t="shared" si="4811"/>
        <v>3520</v>
      </c>
      <c r="S2213" s="20">
        <f t="shared" si="4811"/>
        <v>6160</v>
      </c>
      <c r="T2213" s="20">
        <f t="shared" si="4811"/>
        <v>7920</v>
      </c>
      <c r="U2213" s="20">
        <f t="shared" si="4811"/>
        <v>100</v>
      </c>
      <c r="V2213" s="20">
        <f t="shared" si="4811"/>
        <v>600</v>
      </c>
      <c r="W2213" s="20">
        <f t="shared" si="4811"/>
        <v>700</v>
      </c>
      <c r="X2213" s="20">
        <f t="shared" si="4811"/>
        <v>6</v>
      </c>
      <c r="Y2213" s="20">
        <v>0</v>
      </c>
      <c r="Z2213" s="20">
        <v>0</v>
      </c>
      <c r="AA2213" s="20">
        <f t="shared" si="4715"/>
        <v>0</v>
      </c>
      <c r="AB2213" s="20">
        <v>0</v>
      </c>
      <c r="AC2213" s="20">
        <v>0</v>
      </c>
      <c r="AD2213" s="23">
        <f t="shared" ref="AD2213:AE2213" si="4812">AD2183</f>
        <v>42</v>
      </c>
      <c r="AE2213" s="23">
        <f t="shared" si="4812"/>
        <v>46</v>
      </c>
    </row>
    <row r="2214" spans="1:31">
      <c r="A2214" s="4">
        <v>18103</v>
      </c>
      <c r="B2214" s="4">
        <v>23</v>
      </c>
      <c r="C2214" s="29" t="s">
        <v>68</v>
      </c>
      <c r="D2214" s="46">
        <v>0</v>
      </c>
      <c r="E2214" s="28">
        <v>0</v>
      </c>
      <c r="F2214" s="28">
        <f t="shared" si="4767"/>
        <v>576</v>
      </c>
      <c r="G2214" s="18">
        <f t="shared" si="4713"/>
        <v>576</v>
      </c>
      <c r="H2214" s="47">
        <v>0</v>
      </c>
      <c r="I2214" s="21">
        <f t="shared" si="4800"/>
        <v>330</v>
      </c>
      <c r="J2214" s="21">
        <f t="shared" si="4806"/>
        <v>22</v>
      </c>
      <c r="K2214" s="21">
        <v>0</v>
      </c>
      <c r="L2214" s="20">
        <v>6</v>
      </c>
      <c r="M2214" s="20">
        <v>0</v>
      </c>
      <c r="N2214" s="20">
        <f t="shared" si="4801"/>
        <v>9200</v>
      </c>
      <c r="O2214" s="19" t="s">
        <v>68</v>
      </c>
      <c r="P2214" s="20">
        <v>8600</v>
      </c>
      <c r="Q2214" s="20">
        <f t="shared" ref="Q2214:X2214" si="4813">Q2184</f>
        <v>920</v>
      </c>
      <c r="R2214" s="20">
        <f t="shared" si="4813"/>
        <v>3680</v>
      </c>
      <c r="S2214" s="20">
        <f t="shared" si="4813"/>
        <v>6440</v>
      </c>
      <c r="T2214" s="20">
        <f t="shared" si="4813"/>
        <v>8280</v>
      </c>
      <c r="U2214" s="20">
        <f t="shared" si="4813"/>
        <v>100</v>
      </c>
      <c r="V2214" s="20">
        <f t="shared" si="4813"/>
        <v>550</v>
      </c>
      <c r="W2214" s="20">
        <f t="shared" si="4813"/>
        <v>500</v>
      </c>
      <c r="X2214" s="20">
        <f t="shared" si="4813"/>
        <v>6</v>
      </c>
      <c r="Y2214" s="20">
        <f>ROUND(D2214*0.25,-1)</f>
        <v>0</v>
      </c>
      <c r="Z2214" s="20">
        <f>ROUND(E2214*0.25,-1)</f>
        <v>0</v>
      </c>
      <c r="AA2214" s="20">
        <f t="shared" si="4715"/>
        <v>135</v>
      </c>
      <c r="AB2214" s="20">
        <v>0</v>
      </c>
      <c r="AC2214" s="20">
        <f>ROUND(H2214*0.25,-1)</f>
        <v>0</v>
      </c>
      <c r="AD2214" s="23">
        <f t="shared" ref="AD2214:AE2214" si="4814">AD2184</f>
        <v>44</v>
      </c>
      <c r="AE2214" s="23">
        <f t="shared" si="4814"/>
        <v>48</v>
      </c>
    </row>
    <row r="2215" spans="1:31">
      <c r="A2215" s="4">
        <v>18103</v>
      </c>
      <c r="B2215" s="4">
        <v>24</v>
      </c>
      <c r="C2215" s="29" t="s">
        <v>69</v>
      </c>
      <c r="D2215" s="46">
        <v>0</v>
      </c>
      <c r="E2215" s="28">
        <v>0</v>
      </c>
      <c r="F2215" s="28">
        <f t="shared" si="4767"/>
        <v>624</v>
      </c>
      <c r="G2215" s="18">
        <f t="shared" si="4713"/>
        <v>624</v>
      </c>
      <c r="H2215" s="47">
        <v>0</v>
      </c>
      <c r="I2215" s="21">
        <f t="shared" si="4800"/>
        <v>330</v>
      </c>
      <c r="J2215" s="21">
        <f t="shared" si="4806"/>
        <v>23</v>
      </c>
      <c r="K2215" s="21">
        <v>0</v>
      </c>
      <c r="L2215" s="20">
        <v>6</v>
      </c>
      <c r="M2215" s="20">
        <v>0</v>
      </c>
      <c r="N2215" s="20">
        <f t="shared" si="4801"/>
        <v>9600</v>
      </c>
      <c r="O2215" s="19" t="s">
        <v>69</v>
      </c>
      <c r="P2215" s="20">
        <v>6400</v>
      </c>
      <c r="Q2215" s="20">
        <f t="shared" ref="Q2215:X2215" si="4815">Q2185</f>
        <v>960</v>
      </c>
      <c r="R2215" s="20">
        <f t="shared" si="4815"/>
        <v>3840</v>
      </c>
      <c r="S2215" s="20">
        <f t="shared" si="4815"/>
        <v>6720</v>
      </c>
      <c r="T2215" s="20">
        <f t="shared" si="4815"/>
        <v>8640</v>
      </c>
      <c r="U2215" s="20">
        <f t="shared" si="4815"/>
        <v>100</v>
      </c>
      <c r="V2215" s="20">
        <f t="shared" si="4815"/>
        <v>500</v>
      </c>
      <c r="W2215" s="20">
        <f t="shared" si="4815"/>
        <v>900</v>
      </c>
      <c r="X2215" s="20">
        <f t="shared" si="4815"/>
        <v>6</v>
      </c>
      <c r="Y2215" s="20">
        <v>0</v>
      </c>
      <c r="Z2215" s="20">
        <v>0</v>
      </c>
      <c r="AA2215" s="20">
        <f t="shared" si="4715"/>
        <v>0</v>
      </c>
      <c r="AB2215" s="20">
        <v>0</v>
      </c>
      <c r="AC2215" s="20">
        <v>0</v>
      </c>
      <c r="AD2215" s="23">
        <f t="shared" ref="AD2215:AE2215" si="4816">AD2185</f>
        <v>46</v>
      </c>
      <c r="AE2215" s="23">
        <f t="shared" si="4816"/>
        <v>50</v>
      </c>
    </row>
    <row r="2216" spans="1:31">
      <c r="A2216" s="8">
        <v>18103</v>
      </c>
      <c r="B2216" s="8">
        <v>25</v>
      </c>
      <c r="C2216" s="29" t="s">
        <v>70</v>
      </c>
      <c r="D2216" s="46">
        <v>0</v>
      </c>
      <c r="E2216" s="28">
        <v>0</v>
      </c>
      <c r="F2216" s="28">
        <f t="shared" si="4767"/>
        <v>676</v>
      </c>
      <c r="G2216" s="18">
        <f t="shared" si="4713"/>
        <v>676</v>
      </c>
      <c r="H2216" s="47">
        <v>0</v>
      </c>
      <c r="I2216" s="21">
        <f t="shared" si="4800"/>
        <v>385</v>
      </c>
      <c r="J2216" s="21">
        <f t="shared" si="4806"/>
        <v>24</v>
      </c>
      <c r="K2216" s="21">
        <v>0</v>
      </c>
      <c r="L2216" s="20">
        <v>6</v>
      </c>
      <c r="M2216" s="20">
        <v>0</v>
      </c>
      <c r="N2216" s="20">
        <f t="shared" si="4801"/>
        <v>12500</v>
      </c>
      <c r="O2216" s="19" t="s">
        <v>70</v>
      </c>
      <c r="P2216" s="20">
        <v>3100</v>
      </c>
      <c r="Q2216" s="20">
        <f t="shared" ref="Q2216:X2216" si="4817">Q2186</f>
        <v>1250</v>
      </c>
      <c r="R2216" s="20">
        <f t="shared" si="4817"/>
        <v>5000</v>
      </c>
      <c r="S2216" s="20">
        <f t="shared" si="4817"/>
        <v>8750</v>
      </c>
      <c r="T2216" s="20">
        <f t="shared" si="4817"/>
        <v>11250</v>
      </c>
      <c r="U2216" s="20">
        <f t="shared" si="4817"/>
        <v>10</v>
      </c>
      <c r="V2216" s="20">
        <f t="shared" si="4817"/>
        <v>1300</v>
      </c>
      <c r="W2216" s="20">
        <f t="shared" si="4817"/>
        <v>1000</v>
      </c>
      <c r="X2216" s="20">
        <f t="shared" si="4817"/>
        <v>7</v>
      </c>
      <c r="Y2216" s="20">
        <v>0</v>
      </c>
      <c r="Z2216" s="20">
        <v>0</v>
      </c>
      <c r="AA2216" s="20">
        <f t="shared" si="4715"/>
        <v>0</v>
      </c>
      <c r="AB2216" s="20">
        <v>0</v>
      </c>
      <c r="AC2216" s="20">
        <v>0</v>
      </c>
      <c r="AD2216" s="23">
        <f t="shared" ref="AD2216:AE2216" si="4818">AD2186</f>
        <v>48</v>
      </c>
      <c r="AE2216" s="23">
        <f t="shared" si="4818"/>
        <v>52</v>
      </c>
    </row>
    <row r="2217" spans="1:31">
      <c r="A2217" s="4">
        <v>18103</v>
      </c>
      <c r="B2217" s="4">
        <v>26</v>
      </c>
      <c r="C2217" s="29" t="s">
        <v>71</v>
      </c>
      <c r="D2217" s="46">
        <v>0</v>
      </c>
      <c r="E2217" s="28">
        <v>0</v>
      </c>
      <c r="F2217" s="28">
        <f t="shared" si="4767"/>
        <v>732</v>
      </c>
      <c r="G2217" s="18">
        <f t="shared" si="4713"/>
        <v>732</v>
      </c>
      <c r="H2217" s="47">
        <v>0</v>
      </c>
      <c r="I2217" s="21">
        <f t="shared" si="4800"/>
        <v>385</v>
      </c>
      <c r="J2217" s="21">
        <f t="shared" si="4806"/>
        <v>25</v>
      </c>
      <c r="K2217" s="21">
        <v>0</v>
      </c>
      <c r="L2217" s="20">
        <v>6</v>
      </c>
      <c r="M2217" s="20">
        <v>0</v>
      </c>
      <c r="N2217" s="20">
        <f t="shared" si="4801"/>
        <v>13000</v>
      </c>
      <c r="O2217" s="19" t="s">
        <v>71</v>
      </c>
      <c r="P2217" s="20">
        <v>1777</v>
      </c>
      <c r="Q2217" s="20">
        <f t="shared" ref="Q2217:X2217" si="4819">Q2187</f>
        <v>1300</v>
      </c>
      <c r="R2217" s="20">
        <f t="shared" si="4819"/>
        <v>5200</v>
      </c>
      <c r="S2217" s="20">
        <f t="shared" si="4819"/>
        <v>9100</v>
      </c>
      <c r="T2217" s="20">
        <f t="shared" si="4819"/>
        <v>11700</v>
      </c>
      <c r="U2217" s="20">
        <f t="shared" si="4819"/>
        <v>90</v>
      </c>
      <c r="V2217" s="20">
        <f t="shared" si="4819"/>
        <v>800</v>
      </c>
      <c r="W2217" s="20">
        <f t="shared" si="4819"/>
        <v>2000</v>
      </c>
      <c r="X2217" s="20">
        <f t="shared" si="4819"/>
        <v>7</v>
      </c>
      <c r="Y2217" s="20">
        <v>0</v>
      </c>
      <c r="Z2217" s="20">
        <v>0</v>
      </c>
      <c r="AA2217" s="20">
        <f t="shared" si="4715"/>
        <v>0</v>
      </c>
      <c r="AB2217" s="20">
        <v>0</v>
      </c>
      <c r="AC2217" s="20">
        <v>0</v>
      </c>
      <c r="AD2217" s="23">
        <f t="shared" ref="AD2217:AE2217" si="4820">AD2187</f>
        <v>50</v>
      </c>
      <c r="AE2217" s="23">
        <f t="shared" si="4820"/>
        <v>54</v>
      </c>
    </row>
    <row r="2218" spans="1:31">
      <c r="A2218" s="4">
        <v>18103</v>
      </c>
      <c r="B2218" s="4">
        <v>27</v>
      </c>
      <c r="C2218" s="29" t="s">
        <v>72</v>
      </c>
      <c r="D2218" s="46">
        <v>0</v>
      </c>
      <c r="E2218" s="28">
        <v>0</v>
      </c>
      <c r="F2218" s="28">
        <f t="shared" si="4767"/>
        <v>792</v>
      </c>
      <c r="G2218" s="18">
        <f t="shared" si="4713"/>
        <v>792</v>
      </c>
      <c r="H2218" s="47">
        <v>0</v>
      </c>
      <c r="I2218" s="21">
        <f t="shared" si="4800"/>
        <v>385</v>
      </c>
      <c r="J2218" s="21">
        <f t="shared" si="4806"/>
        <v>26</v>
      </c>
      <c r="K2218" s="21">
        <v>0</v>
      </c>
      <c r="L2218" s="20">
        <v>6</v>
      </c>
      <c r="M2218" s="20">
        <v>0</v>
      </c>
      <c r="N2218" s="20">
        <f t="shared" si="4801"/>
        <v>13500</v>
      </c>
      <c r="O2218" s="19" t="s">
        <v>72</v>
      </c>
      <c r="P2218" s="20">
        <v>2332</v>
      </c>
      <c r="Q2218" s="20">
        <f t="shared" ref="Q2218:X2218" si="4821">Q2188</f>
        <v>1350</v>
      </c>
      <c r="R2218" s="20">
        <f t="shared" si="4821"/>
        <v>5400</v>
      </c>
      <c r="S2218" s="20">
        <f t="shared" si="4821"/>
        <v>9450</v>
      </c>
      <c r="T2218" s="20">
        <f t="shared" si="4821"/>
        <v>12150</v>
      </c>
      <c r="U2218" s="20">
        <f t="shared" si="4821"/>
        <v>80</v>
      </c>
      <c r="V2218" s="20">
        <f t="shared" si="4821"/>
        <v>700</v>
      </c>
      <c r="W2218" s="20">
        <f t="shared" si="4821"/>
        <v>800</v>
      </c>
      <c r="X2218" s="20">
        <f t="shared" si="4821"/>
        <v>7</v>
      </c>
      <c r="Y2218" s="20">
        <v>0</v>
      </c>
      <c r="Z2218" s="20">
        <v>0</v>
      </c>
      <c r="AA2218" s="20">
        <f t="shared" si="4715"/>
        <v>0</v>
      </c>
      <c r="AB2218" s="20">
        <v>0</v>
      </c>
      <c r="AC2218" s="20">
        <v>0</v>
      </c>
      <c r="AD2218" s="23">
        <f t="shared" ref="AD2218:AE2218" si="4822">AD2188</f>
        <v>52</v>
      </c>
      <c r="AE2218" s="23">
        <f t="shared" si="4822"/>
        <v>56</v>
      </c>
    </row>
    <row r="2219" spans="1:31">
      <c r="A2219" s="4">
        <v>18103</v>
      </c>
      <c r="B2219" s="4">
        <v>28</v>
      </c>
      <c r="C2219" s="29" t="s">
        <v>73</v>
      </c>
      <c r="D2219" s="46">
        <v>0</v>
      </c>
      <c r="E2219" s="28">
        <v>0</v>
      </c>
      <c r="F2219" s="28">
        <f t="shared" si="4767"/>
        <v>860</v>
      </c>
      <c r="G2219" s="18">
        <f t="shared" si="4713"/>
        <v>860</v>
      </c>
      <c r="H2219" s="47">
        <v>0</v>
      </c>
      <c r="I2219" s="21">
        <f t="shared" si="4800"/>
        <v>385</v>
      </c>
      <c r="J2219" s="21">
        <f t="shared" si="4806"/>
        <v>27</v>
      </c>
      <c r="K2219" s="21">
        <v>0</v>
      </c>
      <c r="L2219" s="20">
        <v>6</v>
      </c>
      <c r="M2219" s="20">
        <v>0</v>
      </c>
      <c r="N2219" s="20">
        <f t="shared" si="4801"/>
        <v>14000</v>
      </c>
      <c r="O2219" s="19" t="s">
        <v>73</v>
      </c>
      <c r="P2219" s="20">
        <v>1487</v>
      </c>
      <c r="Q2219" s="20">
        <f t="shared" ref="Q2219:X2219" si="4823">Q2189</f>
        <v>1400</v>
      </c>
      <c r="R2219" s="20">
        <f t="shared" si="4823"/>
        <v>5600</v>
      </c>
      <c r="S2219" s="20">
        <f t="shared" si="4823"/>
        <v>9800</v>
      </c>
      <c r="T2219" s="20">
        <f t="shared" si="4823"/>
        <v>12600</v>
      </c>
      <c r="U2219" s="20">
        <f t="shared" si="4823"/>
        <v>80</v>
      </c>
      <c r="V2219" s="20">
        <f t="shared" si="4823"/>
        <v>500</v>
      </c>
      <c r="W2219" s="20">
        <f t="shared" si="4823"/>
        <v>600</v>
      </c>
      <c r="X2219" s="20">
        <f t="shared" si="4823"/>
        <v>7</v>
      </c>
      <c r="Y2219" s="20">
        <f>ROUND(D2219*0.25,-1)</f>
        <v>0</v>
      </c>
      <c r="Z2219" s="20">
        <f>ROUND(E2219*0.25,-1)</f>
        <v>0</v>
      </c>
      <c r="AA2219" s="20">
        <f t="shared" si="4715"/>
        <v>170</v>
      </c>
      <c r="AB2219" s="20">
        <v>0</v>
      </c>
      <c r="AC2219" s="20">
        <f>ROUND(H2219*0.25,-1)</f>
        <v>0</v>
      </c>
      <c r="AD2219" s="23">
        <f t="shared" ref="AD2219:AE2219" si="4824">AD2189</f>
        <v>54</v>
      </c>
      <c r="AE2219" s="23">
        <f t="shared" si="4824"/>
        <v>58</v>
      </c>
    </row>
    <row r="2220" spans="1:31">
      <c r="A2220" s="4">
        <v>18103</v>
      </c>
      <c r="B2220" s="4">
        <v>29</v>
      </c>
      <c r="C2220" s="29" t="s">
        <v>74</v>
      </c>
      <c r="D2220" s="46">
        <v>0</v>
      </c>
      <c r="E2220" s="28">
        <v>0</v>
      </c>
      <c r="F2220" s="28">
        <f t="shared" si="4767"/>
        <v>932</v>
      </c>
      <c r="G2220" s="18">
        <f t="shared" si="4713"/>
        <v>932</v>
      </c>
      <c r="H2220" s="47">
        <v>0</v>
      </c>
      <c r="I2220" s="21">
        <f t="shared" si="4800"/>
        <v>440</v>
      </c>
      <c r="J2220" s="21">
        <f t="shared" si="4806"/>
        <v>28</v>
      </c>
      <c r="K2220" s="21">
        <v>0</v>
      </c>
      <c r="L2220" s="20">
        <v>6</v>
      </c>
      <c r="M2220" s="20">
        <v>0</v>
      </c>
      <c r="N2220" s="20">
        <f t="shared" si="4801"/>
        <v>14500</v>
      </c>
      <c r="O2220" s="19" t="s">
        <v>74</v>
      </c>
      <c r="P2220" s="20">
        <v>1518</v>
      </c>
      <c r="Q2220" s="20">
        <f t="shared" ref="Q2220:X2220" si="4825">Q2190</f>
        <v>1450</v>
      </c>
      <c r="R2220" s="20">
        <f t="shared" si="4825"/>
        <v>5800</v>
      </c>
      <c r="S2220" s="20">
        <f t="shared" si="4825"/>
        <v>10150</v>
      </c>
      <c r="T2220" s="20">
        <f t="shared" si="4825"/>
        <v>13050</v>
      </c>
      <c r="U2220" s="20">
        <f t="shared" si="4825"/>
        <v>80</v>
      </c>
      <c r="V2220" s="20">
        <f t="shared" si="4825"/>
        <v>600</v>
      </c>
      <c r="W2220" s="20">
        <f t="shared" si="4825"/>
        <v>700</v>
      </c>
      <c r="X2220" s="20">
        <f t="shared" si="4825"/>
        <v>8</v>
      </c>
      <c r="Y2220" s="20">
        <v>0</v>
      </c>
      <c r="Z2220" s="20">
        <v>0</v>
      </c>
      <c r="AA2220" s="20">
        <f t="shared" si="4715"/>
        <v>0</v>
      </c>
      <c r="AB2220" s="20">
        <v>0</v>
      </c>
      <c r="AC2220" s="20">
        <v>0</v>
      </c>
      <c r="AD2220" s="23">
        <f t="shared" ref="AD2220:AE2220" si="4826">AD2190</f>
        <v>56</v>
      </c>
      <c r="AE2220" s="23">
        <f t="shared" si="4826"/>
        <v>60</v>
      </c>
    </row>
    <row r="2221" spans="1:31">
      <c r="A2221" s="4">
        <v>18103</v>
      </c>
      <c r="B2221" s="4">
        <v>30</v>
      </c>
      <c r="C2221" s="29" t="s">
        <v>75</v>
      </c>
      <c r="D2221" s="46">
        <v>0</v>
      </c>
      <c r="E2221" s="28">
        <v>0</v>
      </c>
      <c r="F2221" s="28">
        <f t="shared" si="4767"/>
        <v>1008</v>
      </c>
      <c r="G2221" s="18">
        <f t="shared" si="4713"/>
        <v>1008</v>
      </c>
      <c r="H2221" s="47">
        <v>0</v>
      </c>
      <c r="I2221" s="21">
        <f t="shared" si="4800"/>
        <v>440</v>
      </c>
      <c r="J2221" s="21">
        <f t="shared" si="4806"/>
        <v>29</v>
      </c>
      <c r="K2221" s="21">
        <v>0</v>
      </c>
      <c r="L2221" s="20">
        <v>6</v>
      </c>
      <c r="M2221" s="20">
        <v>0</v>
      </c>
      <c r="N2221" s="20">
        <f t="shared" si="4801"/>
        <v>15000</v>
      </c>
      <c r="O2221" s="19" t="s">
        <v>75</v>
      </c>
      <c r="P2221" s="20">
        <v>861</v>
      </c>
      <c r="Q2221" s="20">
        <f t="shared" ref="Q2221:X2221" si="4827">Q2191</f>
        <v>1500</v>
      </c>
      <c r="R2221" s="20">
        <f t="shared" si="4827"/>
        <v>6000</v>
      </c>
      <c r="S2221" s="20">
        <f t="shared" si="4827"/>
        <v>10500</v>
      </c>
      <c r="T2221" s="20">
        <f t="shared" si="4827"/>
        <v>13500</v>
      </c>
      <c r="U2221" s="20">
        <f t="shared" si="4827"/>
        <v>20</v>
      </c>
      <c r="V2221" s="20">
        <f t="shared" si="4827"/>
        <v>450</v>
      </c>
      <c r="W2221" s="20">
        <f t="shared" si="4827"/>
        <v>1000</v>
      </c>
      <c r="X2221" s="20">
        <f t="shared" si="4827"/>
        <v>8</v>
      </c>
      <c r="Y2221" s="20">
        <v>0</v>
      </c>
      <c r="Z2221" s="20">
        <v>0</v>
      </c>
      <c r="AA2221" s="20">
        <f t="shared" si="4715"/>
        <v>0</v>
      </c>
      <c r="AB2221" s="20">
        <v>0</v>
      </c>
      <c r="AC2221" s="20">
        <v>0</v>
      </c>
      <c r="AD2221" s="23">
        <f t="shared" ref="AD2221:AE2221" si="4828">AD2191</f>
        <v>58</v>
      </c>
      <c r="AE2221" s="23">
        <f t="shared" si="4828"/>
        <v>62</v>
      </c>
    </row>
    <row r="2222" spans="1:31">
      <c r="A2222" s="4">
        <v>18104</v>
      </c>
      <c r="B2222" s="4">
        <v>1</v>
      </c>
      <c r="C2222" s="19" t="s">
        <v>66</v>
      </c>
      <c r="D2222" s="44">
        <v>0</v>
      </c>
      <c r="E2222" s="18">
        <v>0</v>
      </c>
      <c r="F2222" s="18">
        <f>ROUND(F2102*4.5,0)</f>
        <v>113</v>
      </c>
      <c r="G2222" s="18">
        <f t="shared" si="4713"/>
        <v>113</v>
      </c>
      <c r="H2222" s="45">
        <v>0</v>
      </c>
      <c r="I2222" s="21">
        <f t="shared" si="4800"/>
        <v>55</v>
      </c>
      <c r="J2222" s="21">
        <f t="shared" si="4806"/>
        <v>0</v>
      </c>
      <c r="K2222" s="21">
        <v>0</v>
      </c>
      <c r="L2222" s="20">
        <v>45</v>
      </c>
      <c r="M2222" s="20">
        <v>0</v>
      </c>
      <c r="N2222" s="20">
        <f t="shared" si="4801"/>
        <v>10</v>
      </c>
      <c r="O2222" s="19" t="s">
        <v>66</v>
      </c>
      <c r="P2222" s="20">
        <v>9400</v>
      </c>
      <c r="Q2222" s="20">
        <f t="shared" ref="Q2222:X2222" si="4829">Q2192</f>
        <v>1</v>
      </c>
      <c r="R2222" s="20">
        <f t="shared" si="4829"/>
        <v>4</v>
      </c>
      <c r="S2222" s="20">
        <f t="shared" si="4829"/>
        <v>7</v>
      </c>
      <c r="T2222" s="20">
        <f t="shared" si="4829"/>
        <v>9</v>
      </c>
      <c r="U2222" s="20">
        <f t="shared" si="4829"/>
        <v>9400</v>
      </c>
      <c r="V2222" s="20">
        <f t="shared" si="4829"/>
        <v>9400</v>
      </c>
      <c r="W2222" s="20">
        <f t="shared" si="4829"/>
        <v>9400</v>
      </c>
      <c r="X2222" s="20">
        <f t="shared" si="4829"/>
        <v>1</v>
      </c>
      <c r="Y2222" s="20">
        <v>0</v>
      </c>
      <c r="Z2222" s="20">
        <v>0</v>
      </c>
      <c r="AA2222" s="20">
        <f t="shared" si="4715"/>
        <v>0</v>
      </c>
      <c r="AB2222" s="20">
        <v>0</v>
      </c>
      <c r="AC2222" s="20">
        <v>0</v>
      </c>
      <c r="AD2222" s="23">
        <f t="shared" ref="AD2222:AE2222" si="4830">AD2192</f>
        <v>1</v>
      </c>
      <c r="AE2222" s="23">
        <f t="shared" si="4830"/>
        <v>3</v>
      </c>
    </row>
    <row r="2223" spans="1:31">
      <c r="A2223" s="4">
        <v>18104</v>
      </c>
      <c r="B2223" s="4">
        <v>2</v>
      </c>
      <c r="C2223" s="19" t="s">
        <v>67</v>
      </c>
      <c r="D2223" s="44">
        <v>0</v>
      </c>
      <c r="E2223" s="18">
        <v>0</v>
      </c>
      <c r="F2223" s="18">
        <f t="shared" ref="F2223:F2251" si="4831">ROUND(F2103*4.5,0)</f>
        <v>122</v>
      </c>
      <c r="G2223" s="18">
        <f t="shared" si="4713"/>
        <v>122</v>
      </c>
      <c r="H2223" s="45">
        <v>0</v>
      </c>
      <c r="I2223" s="21">
        <f t="shared" si="4800"/>
        <v>55</v>
      </c>
      <c r="J2223" s="21">
        <f t="shared" si="4806"/>
        <v>1</v>
      </c>
      <c r="K2223" s="21">
        <v>0</v>
      </c>
      <c r="L2223" s="20">
        <v>40</v>
      </c>
      <c r="M2223" s="20">
        <v>0</v>
      </c>
      <c r="N2223" s="20">
        <f t="shared" si="4801"/>
        <v>20</v>
      </c>
      <c r="O2223" s="19" t="s">
        <v>67</v>
      </c>
      <c r="P2223" s="20">
        <v>9100</v>
      </c>
      <c r="Q2223" s="20">
        <f t="shared" ref="Q2223:X2223" si="4832">Q2193</f>
        <v>2</v>
      </c>
      <c r="R2223" s="20">
        <f t="shared" si="4832"/>
        <v>8</v>
      </c>
      <c r="S2223" s="20">
        <f t="shared" si="4832"/>
        <v>14</v>
      </c>
      <c r="T2223" s="20">
        <f t="shared" si="4832"/>
        <v>18</v>
      </c>
      <c r="U2223" s="20">
        <f t="shared" si="4832"/>
        <v>4000</v>
      </c>
      <c r="V2223" s="20">
        <f t="shared" si="4832"/>
        <v>8000</v>
      </c>
      <c r="W2223" s="20">
        <f t="shared" si="4832"/>
        <v>8000</v>
      </c>
      <c r="X2223" s="20">
        <f t="shared" si="4832"/>
        <v>1</v>
      </c>
      <c r="Y2223" s="20">
        <v>0</v>
      </c>
      <c r="Z2223" s="20">
        <v>0</v>
      </c>
      <c r="AA2223" s="20">
        <f t="shared" si="4715"/>
        <v>0</v>
      </c>
      <c r="AB2223" s="20">
        <v>0</v>
      </c>
      <c r="AC2223" s="20">
        <v>0</v>
      </c>
      <c r="AD2223" s="23">
        <f t="shared" ref="AD2223:AE2223" si="4833">AD2193</f>
        <v>2</v>
      </c>
      <c r="AE2223" s="23">
        <f t="shared" si="4833"/>
        <v>5</v>
      </c>
    </row>
    <row r="2224" spans="1:31">
      <c r="A2224" s="4">
        <v>18104</v>
      </c>
      <c r="B2224" s="4">
        <v>3</v>
      </c>
      <c r="C2224" s="19" t="s">
        <v>68</v>
      </c>
      <c r="D2224" s="44">
        <v>0</v>
      </c>
      <c r="E2224" s="18">
        <v>0</v>
      </c>
      <c r="F2224" s="18">
        <f t="shared" si="4831"/>
        <v>131</v>
      </c>
      <c r="G2224" s="18">
        <f t="shared" si="4713"/>
        <v>131</v>
      </c>
      <c r="H2224" s="45">
        <v>0</v>
      </c>
      <c r="I2224" s="21">
        <f t="shared" si="4800"/>
        <v>55</v>
      </c>
      <c r="J2224" s="21">
        <f t="shared" si="4806"/>
        <v>2</v>
      </c>
      <c r="K2224" s="21">
        <v>0</v>
      </c>
      <c r="L2224" s="20">
        <v>35</v>
      </c>
      <c r="M2224" s="20">
        <v>0</v>
      </c>
      <c r="N2224" s="20">
        <f t="shared" si="4801"/>
        <v>40</v>
      </c>
      <c r="O2224" s="19" t="s">
        <v>68</v>
      </c>
      <c r="P2224" s="20">
        <v>8600</v>
      </c>
      <c r="Q2224" s="20">
        <f t="shared" ref="Q2224:X2224" si="4834">Q2194</f>
        <v>4</v>
      </c>
      <c r="R2224" s="20">
        <f t="shared" si="4834"/>
        <v>16</v>
      </c>
      <c r="S2224" s="20">
        <f t="shared" si="4834"/>
        <v>28</v>
      </c>
      <c r="T2224" s="20">
        <f t="shared" si="4834"/>
        <v>36</v>
      </c>
      <c r="U2224" s="20">
        <f t="shared" si="4834"/>
        <v>1600</v>
      </c>
      <c r="V2224" s="20">
        <f t="shared" si="4834"/>
        <v>5000</v>
      </c>
      <c r="W2224" s="20">
        <f t="shared" si="4834"/>
        <v>6000</v>
      </c>
      <c r="X2224" s="20">
        <f t="shared" si="4834"/>
        <v>1</v>
      </c>
      <c r="Y2224" s="20">
        <v>0</v>
      </c>
      <c r="Z2224" s="20">
        <v>0</v>
      </c>
      <c r="AA2224" s="20">
        <f t="shared" si="4715"/>
        <v>0</v>
      </c>
      <c r="AB2224" s="20">
        <v>0</v>
      </c>
      <c r="AC2224" s="20">
        <v>0</v>
      </c>
      <c r="AD2224" s="23">
        <f t="shared" ref="AD2224:AE2224" si="4835">AD2194</f>
        <v>4</v>
      </c>
      <c r="AE2224" s="23">
        <f t="shared" si="4835"/>
        <v>8</v>
      </c>
    </row>
    <row r="2225" spans="1:31">
      <c r="A2225" s="4">
        <v>18104</v>
      </c>
      <c r="B2225" s="4">
        <v>4</v>
      </c>
      <c r="C2225" s="19" t="s">
        <v>69</v>
      </c>
      <c r="D2225" s="44">
        <v>0</v>
      </c>
      <c r="E2225" s="18">
        <v>0</v>
      </c>
      <c r="F2225" s="18">
        <f t="shared" si="4831"/>
        <v>144</v>
      </c>
      <c r="G2225" s="18">
        <f t="shared" si="4713"/>
        <v>144</v>
      </c>
      <c r="H2225" s="45">
        <v>0</v>
      </c>
      <c r="I2225" s="21">
        <f t="shared" si="4800"/>
        <v>55</v>
      </c>
      <c r="J2225" s="21">
        <f t="shared" si="4806"/>
        <v>3</v>
      </c>
      <c r="K2225" s="21">
        <v>0</v>
      </c>
      <c r="L2225" s="20">
        <v>30</v>
      </c>
      <c r="M2225" s="20">
        <v>0</v>
      </c>
      <c r="N2225" s="20">
        <f t="shared" si="4801"/>
        <v>100</v>
      </c>
      <c r="O2225" s="19" t="s">
        <v>69</v>
      </c>
      <c r="P2225" s="20">
        <v>6400</v>
      </c>
      <c r="Q2225" s="20">
        <f t="shared" ref="Q2225:X2225" si="4836">Q2195</f>
        <v>10</v>
      </c>
      <c r="R2225" s="20">
        <f t="shared" si="4836"/>
        <v>40</v>
      </c>
      <c r="S2225" s="20">
        <f t="shared" si="4836"/>
        <v>70</v>
      </c>
      <c r="T2225" s="20">
        <f t="shared" si="4836"/>
        <v>90</v>
      </c>
      <c r="U2225" s="20">
        <f t="shared" si="4836"/>
        <v>900</v>
      </c>
      <c r="V2225" s="20">
        <f t="shared" si="4836"/>
        <v>2000</v>
      </c>
      <c r="W2225" s="20">
        <f t="shared" si="4836"/>
        <v>8000</v>
      </c>
      <c r="X2225" s="20">
        <f t="shared" si="4836"/>
        <v>1</v>
      </c>
      <c r="Y2225" s="20">
        <v>0</v>
      </c>
      <c r="Z2225" s="20">
        <v>0</v>
      </c>
      <c r="AA2225" s="20">
        <f t="shared" si="4715"/>
        <v>0</v>
      </c>
      <c r="AB2225" s="20">
        <v>0</v>
      </c>
      <c r="AC2225" s="20">
        <v>0</v>
      </c>
      <c r="AD2225" s="23">
        <f t="shared" ref="AD2225:AE2225" si="4837">AD2195</f>
        <v>6</v>
      </c>
      <c r="AE2225" s="23">
        <f t="shared" si="4837"/>
        <v>10</v>
      </c>
    </row>
    <row r="2226" spans="1:31">
      <c r="A2226" s="4">
        <v>18104</v>
      </c>
      <c r="B2226" s="4">
        <v>5</v>
      </c>
      <c r="C2226" s="19" t="s">
        <v>70</v>
      </c>
      <c r="D2226" s="44">
        <v>0</v>
      </c>
      <c r="E2226" s="18">
        <v>0</v>
      </c>
      <c r="F2226" s="18">
        <f t="shared" si="4831"/>
        <v>153</v>
      </c>
      <c r="G2226" s="18">
        <f t="shared" si="4713"/>
        <v>153</v>
      </c>
      <c r="H2226" s="45">
        <v>0</v>
      </c>
      <c r="I2226" s="21">
        <f t="shared" si="4800"/>
        <v>110</v>
      </c>
      <c r="J2226" s="21">
        <f t="shared" si="4806"/>
        <v>4</v>
      </c>
      <c r="K2226" s="21">
        <v>0</v>
      </c>
      <c r="L2226" s="20">
        <v>25</v>
      </c>
      <c r="M2226" s="20">
        <v>0</v>
      </c>
      <c r="N2226" s="20">
        <f t="shared" si="4801"/>
        <v>200</v>
      </c>
      <c r="O2226" s="19" t="s">
        <v>70</v>
      </c>
      <c r="P2226" s="20">
        <v>3100</v>
      </c>
      <c r="Q2226" s="20">
        <f t="shared" ref="Q2226:X2226" si="4838">Q2196</f>
        <v>20</v>
      </c>
      <c r="R2226" s="20">
        <f t="shared" si="4838"/>
        <v>80</v>
      </c>
      <c r="S2226" s="20">
        <f t="shared" si="4838"/>
        <v>140</v>
      </c>
      <c r="T2226" s="20">
        <f t="shared" si="4838"/>
        <v>180</v>
      </c>
      <c r="U2226" s="20">
        <f t="shared" si="4838"/>
        <v>1000</v>
      </c>
      <c r="V2226" s="20">
        <f t="shared" si="4838"/>
        <v>2000</v>
      </c>
      <c r="W2226" s="20">
        <f t="shared" si="4838"/>
        <v>2000</v>
      </c>
      <c r="X2226" s="20">
        <f t="shared" si="4838"/>
        <v>2</v>
      </c>
      <c r="Y2226" s="20">
        <v>0</v>
      </c>
      <c r="Z2226" s="20">
        <v>0</v>
      </c>
      <c r="AA2226" s="20">
        <f t="shared" si="4715"/>
        <v>0</v>
      </c>
      <c r="AB2226" s="20">
        <v>0</v>
      </c>
      <c r="AC2226" s="20">
        <v>0</v>
      </c>
      <c r="AD2226" s="23">
        <f t="shared" ref="AD2226:AE2226" si="4839">AD2196</f>
        <v>8</v>
      </c>
      <c r="AE2226" s="23">
        <f t="shared" si="4839"/>
        <v>12</v>
      </c>
    </row>
    <row r="2227" spans="1:31">
      <c r="A2227" s="4">
        <v>18104</v>
      </c>
      <c r="B2227" s="4">
        <v>6</v>
      </c>
      <c r="C2227" s="19" t="s">
        <v>71</v>
      </c>
      <c r="D2227" s="44">
        <v>0</v>
      </c>
      <c r="E2227" s="18">
        <v>0</v>
      </c>
      <c r="F2227" s="18">
        <f t="shared" si="4831"/>
        <v>167</v>
      </c>
      <c r="G2227" s="18">
        <f t="shared" si="4713"/>
        <v>167</v>
      </c>
      <c r="H2227" s="45">
        <v>0</v>
      </c>
      <c r="I2227" s="21">
        <f t="shared" si="4800"/>
        <v>110</v>
      </c>
      <c r="J2227" s="21">
        <f t="shared" si="4806"/>
        <v>5</v>
      </c>
      <c r="K2227" s="21">
        <v>0</v>
      </c>
      <c r="L2227" s="20">
        <v>20</v>
      </c>
      <c r="M2227" s="20">
        <v>0</v>
      </c>
      <c r="N2227" s="20">
        <f t="shared" si="4801"/>
        <v>500</v>
      </c>
      <c r="O2227" s="19" t="s">
        <v>71</v>
      </c>
      <c r="P2227" s="20">
        <v>1777</v>
      </c>
      <c r="Q2227" s="20">
        <f t="shared" ref="Q2227:X2227" si="4840">Q2197</f>
        <v>50</v>
      </c>
      <c r="R2227" s="20">
        <f t="shared" si="4840"/>
        <v>200</v>
      </c>
      <c r="S2227" s="20">
        <f t="shared" si="4840"/>
        <v>350</v>
      </c>
      <c r="T2227" s="20">
        <f t="shared" si="4840"/>
        <v>450</v>
      </c>
      <c r="U2227" s="20">
        <f t="shared" si="4840"/>
        <v>800</v>
      </c>
      <c r="V2227" s="20">
        <f t="shared" si="4840"/>
        <v>800</v>
      </c>
      <c r="W2227" s="20">
        <f t="shared" si="4840"/>
        <v>600</v>
      </c>
      <c r="X2227" s="20">
        <f t="shared" si="4840"/>
        <v>2</v>
      </c>
      <c r="Y2227" s="20">
        <v>0</v>
      </c>
      <c r="Z2227" s="20">
        <v>0</v>
      </c>
      <c r="AA2227" s="20">
        <f t="shared" si="4715"/>
        <v>0</v>
      </c>
      <c r="AB2227" s="20">
        <v>0</v>
      </c>
      <c r="AC2227" s="20">
        <v>0</v>
      </c>
      <c r="AD2227" s="23">
        <f t="shared" ref="AD2227:AE2227" si="4841">AD2197</f>
        <v>10</v>
      </c>
      <c r="AE2227" s="23">
        <f t="shared" si="4841"/>
        <v>14</v>
      </c>
    </row>
    <row r="2228" spans="1:31">
      <c r="A2228" s="8">
        <v>18104</v>
      </c>
      <c r="B2228" s="8">
        <v>7</v>
      </c>
      <c r="C2228" s="19" t="s">
        <v>72</v>
      </c>
      <c r="D2228" s="44">
        <v>0</v>
      </c>
      <c r="E2228" s="18">
        <v>0</v>
      </c>
      <c r="F2228" s="18">
        <f t="shared" si="4831"/>
        <v>180</v>
      </c>
      <c r="G2228" s="18">
        <f t="shared" si="4713"/>
        <v>180</v>
      </c>
      <c r="H2228" s="45">
        <v>0</v>
      </c>
      <c r="I2228" s="21">
        <f t="shared" si="4800"/>
        <v>110</v>
      </c>
      <c r="J2228" s="21">
        <f t="shared" si="4806"/>
        <v>6</v>
      </c>
      <c r="K2228" s="21">
        <v>0</v>
      </c>
      <c r="L2228" s="20">
        <v>16</v>
      </c>
      <c r="M2228" s="20">
        <v>0</v>
      </c>
      <c r="N2228" s="20">
        <f t="shared" si="4801"/>
        <v>700</v>
      </c>
      <c r="O2228" s="19" t="s">
        <v>72</v>
      </c>
      <c r="P2228" s="20">
        <v>2332</v>
      </c>
      <c r="Q2228" s="20">
        <f t="shared" ref="Q2228:X2228" si="4842">Q2198</f>
        <v>70</v>
      </c>
      <c r="R2228" s="20">
        <f t="shared" si="4842"/>
        <v>280</v>
      </c>
      <c r="S2228" s="20">
        <f t="shared" si="4842"/>
        <v>489.99999999999994</v>
      </c>
      <c r="T2228" s="20">
        <f t="shared" si="4842"/>
        <v>630</v>
      </c>
      <c r="U2228" s="20">
        <f t="shared" si="4842"/>
        <v>650</v>
      </c>
      <c r="V2228" s="20">
        <f t="shared" si="4842"/>
        <v>800</v>
      </c>
      <c r="W2228" s="20">
        <f t="shared" si="4842"/>
        <v>300</v>
      </c>
      <c r="X2228" s="20">
        <f t="shared" si="4842"/>
        <v>2</v>
      </c>
      <c r="Y2228" s="20">
        <v>0</v>
      </c>
      <c r="Z2228" s="20">
        <v>0</v>
      </c>
      <c r="AA2228" s="20">
        <f t="shared" si="4715"/>
        <v>0</v>
      </c>
      <c r="AB2228" s="20">
        <v>0</v>
      </c>
      <c r="AC2228" s="20">
        <v>0</v>
      </c>
      <c r="AD2228" s="23">
        <f t="shared" ref="AD2228:AE2228" si="4843">AD2198</f>
        <v>12</v>
      </c>
      <c r="AE2228" s="23">
        <f t="shared" si="4843"/>
        <v>16</v>
      </c>
    </row>
    <row r="2229" spans="1:31">
      <c r="A2229" s="4">
        <v>18104</v>
      </c>
      <c r="B2229" s="4">
        <v>8</v>
      </c>
      <c r="C2229" s="19" t="s">
        <v>73</v>
      </c>
      <c r="D2229" s="44">
        <v>0</v>
      </c>
      <c r="E2229" s="18">
        <v>0</v>
      </c>
      <c r="F2229" s="18">
        <f t="shared" si="4831"/>
        <v>198</v>
      </c>
      <c r="G2229" s="18">
        <f t="shared" si="4713"/>
        <v>198</v>
      </c>
      <c r="H2229" s="45">
        <v>0</v>
      </c>
      <c r="I2229" s="21">
        <f t="shared" si="4800"/>
        <v>110</v>
      </c>
      <c r="J2229" s="21">
        <f t="shared" si="4806"/>
        <v>7</v>
      </c>
      <c r="K2229" s="21">
        <v>0</v>
      </c>
      <c r="L2229" s="20">
        <v>12</v>
      </c>
      <c r="M2229" s="20">
        <v>0</v>
      </c>
      <c r="N2229" s="20">
        <f t="shared" si="4801"/>
        <v>800</v>
      </c>
      <c r="O2229" s="19" t="s">
        <v>73</v>
      </c>
      <c r="P2229" s="20">
        <v>1487</v>
      </c>
      <c r="Q2229" s="20">
        <f t="shared" ref="Q2229:X2229" si="4844">Q2199</f>
        <v>80</v>
      </c>
      <c r="R2229" s="20">
        <f t="shared" si="4844"/>
        <v>320</v>
      </c>
      <c r="S2229" s="20">
        <f t="shared" si="4844"/>
        <v>560</v>
      </c>
      <c r="T2229" s="20">
        <f t="shared" si="4844"/>
        <v>720</v>
      </c>
      <c r="U2229" s="20">
        <f t="shared" si="4844"/>
        <v>200</v>
      </c>
      <c r="V2229" s="20">
        <f t="shared" si="4844"/>
        <v>2000</v>
      </c>
      <c r="W2229" s="20">
        <f t="shared" si="4844"/>
        <v>1000</v>
      </c>
      <c r="X2229" s="20">
        <f t="shared" si="4844"/>
        <v>2</v>
      </c>
      <c r="Y2229" s="20">
        <f>ROUND(D2229*0.25,-1)</f>
        <v>0</v>
      </c>
      <c r="Z2229" s="20">
        <f>ROUND(E2229*0.25,-1)</f>
        <v>0</v>
      </c>
      <c r="AA2229" s="20">
        <f t="shared" si="4715"/>
        <v>37</v>
      </c>
      <c r="AB2229" s="20">
        <v>0</v>
      </c>
      <c r="AC2229" s="20">
        <f>ROUND(H2229*0.25,-1)</f>
        <v>0</v>
      </c>
      <c r="AD2229" s="23">
        <f t="shared" ref="AD2229:AE2229" si="4845">AD2199</f>
        <v>14</v>
      </c>
      <c r="AE2229" s="23">
        <f t="shared" si="4845"/>
        <v>18</v>
      </c>
    </row>
    <row r="2230" spans="1:31">
      <c r="A2230" s="4">
        <v>18104</v>
      </c>
      <c r="B2230" s="4">
        <v>9</v>
      </c>
      <c r="C2230" s="19" t="s">
        <v>74</v>
      </c>
      <c r="D2230" s="44">
        <v>0</v>
      </c>
      <c r="E2230" s="18">
        <v>0</v>
      </c>
      <c r="F2230" s="18">
        <f t="shared" si="4831"/>
        <v>212</v>
      </c>
      <c r="G2230" s="18">
        <f t="shared" si="4713"/>
        <v>212</v>
      </c>
      <c r="H2230" s="45">
        <v>0</v>
      </c>
      <c r="I2230" s="21">
        <f t="shared" si="4800"/>
        <v>165</v>
      </c>
      <c r="J2230" s="21">
        <f t="shared" si="4806"/>
        <v>8</v>
      </c>
      <c r="K2230" s="21">
        <v>0</v>
      </c>
      <c r="L2230" s="20">
        <v>8</v>
      </c>
      <c r="M2230" s="20">
        <v>0</v>
      </c>
      <c r="N2230" s="20">
        <f t="shared" si="4801"/>
        <v>900</v>
      </c>
      <c r="O2230" s="19" t="s">
        <v>74</v>
      </c>
      <c r="P2230" s="20">
        <v>1518</v>
      </c>
      <c r="Q2230" s="20">
        <f t="shared" ref="Q2230:X2230" si="4846">Q2200</f>
        <v>90</v>
      </c>
      <c r="R2230" s="20">
        <f t="shared" si="4846"/>
        <v>360</v>
      </c>
      <c r="S2230" s="20">
        <f t="shared" si="4846"/>
        <v>630</v>
      </c>
      <c r="T2230" s="20">
        <f t="shared" si="4846"/>
        <v>810</v>
      </c>
      <c r="U2230" s="20">
        <f t="shared" si="4846"/>
        <v>120</v>
      </c>
      <c r="V2230" s="20">
        <f t="shared" si="4846"/>
        <v>1500</v>
      </c>
      <c r="W2230" s="20">
        <f t="shared" si="4846"/>
        <v>1000</v>
      </c>
      <c r="X2230" s="20">
        <f t="shared" si="4846"/>
        <v>3</v>
      </c>
      <c r="Y2230" s="20">
        <v>0</v>
      </c>
      <c r="Z2230" s="20">
        <v>0</v>
      </c>
      <c r="AA2230" s="20">
        <f t="shared" si="4715"/>
        <v>0</v>
      </c>
      <c r="AB2230" s="20">
        <v>0</v>
      </c>
      <c r="AC2230" s="20">
        <v>0</v>
      </c>
      <c r="AD2230" s="23">
        <f t="shared" ref="AD2230:AE2230" si="4847">AD2200</f>
        <v>16</v>
      </c>
      <c r="AE2230" s="23">
        <f t="shared" si="4847"/>
        <v>20</v>
      </c>
    </row>
    <row r="2231" spans="1:31">
      <c r="A2231" s="4">
        <v>18104</v>
      </c>
      <c r="B2231" s="4">
        <v>10</v>
      </c>
      <c r="C2231" s="19" t="s">
        <v>75</v>
      </c>
      <c r="D2231" s="44">
        <v>0</v>
      </c>
      <c r="E2231" s="18">
        <v>0</v>
      </c>
      <c r="F2231" s="18">
        <f t="shared" si="4831"/>
        <v>230</v>
      </c>
      <c r="G2231" s="18">
        <f t="shared" ref="G2231:G2251" si="4848">F2231</f>
        <v>230</v>
      </c>
      <c r="H2231" s="45">
        <v>0</v>
      </c>
      <c r="I2231" s="21">
        <f t="shared" si="4800"/>
        <v>165</v>
      </c>
      <c r="J2231" s="21">
        <f t="shared" si="4806"/>
        <v>9</v>
      </c>
      <c r="K2231" s="21">
        <v>0</v>
      </c>
      <c r="L2231" s="20">
        <v>6</v>
      </c>
      <c r="M2231" s="20">
        <v>0</v>
      </c>
      <c r="N2231" s="20">
        <f t="shared" si="4801"/>
        <v>2000</v>
      </c>
      <c r="O2231" s="19" t="s">
        <v>75</v>
      </c>
      <c r="P2231" s="20">
        <v>861</v>
      </c>
      <c r="Q2231" s="20">
        <f t="shared" ref="Q2231:X2231" si="4849">Q2201</f>
        <v>200</v>
      </c>
      <c r="R2231" s="20">
        <f t="shared" si="4849"/>
        <v>800</v>
      </c>
      <c r="S2231" s="20">
        <f t="shared" si="4849"/>
        <v>1400</v>
      </c>
      <c r="T2231" s="20">
        <f t="shared" si="4849"/>
        <v>1800</v>
      </c>
      <c r="U2231" s="20">
        <f t="shared" si="4849"/>
        <v>150</v>
      </c>
      <c r="V2231" s="20">
        <f t="shared" si="4849"/>
        <v>5000</v>
      </c>
      <c r="W2231" s="20">
        <f t="shared" si="4849"/>
        <v>800</v>
      </c>
      <c r="X2231" s="20">
        <f t="shared" si="4849"/>
        <v>3</v>
      </c>
      <c r="Y2231" s="20">
        <v>0</v>
      </c>
      <c r="Z2231" s="20">
        <v>0</v>
      </c>
      <c r="AA2231" s="20">
        <f t="shared" ref="AA2231:AA2251" si="4850">AA731</f>
        <v>0</v>
      </c>
      <c r="AB2231" s="20">
        <v>0</v>
      </c>
      <c r="AC2231" s="20">
        <v>0</v>
      </c>
      <c r="AD2231" s="23">
        <f t="shared" ref="AD2231:AE2231" si="4851">AD2201</f>
        <v>18</v>
      </c>
      <c r="AE2231" s="23">
        <f t="shared" si="4851"/>
        <v>22</v>
      </c>
    </row>
    <row r="2232" spans="1:31">
      <c r="A2232" s="4">
        <v>18104</v>
      </c>
      <c r="B2232" s="4">
        <v>11</v>
      </c>
      <c r="C2232" s="19" t="s">
        <v>66</v>
      </c>
      <c r="D2232" s="44">
        <v>0</v>
      </c>
      <c r="E2232" s="18">
        <v>0</v>
      </c>
      <c r="F2232" s="18">
        <f t="shared" si="4831"/>
        <v>248</v>
      </c>
      <c r="G2232" s="18">
        <f t="shared" si="4848"/>
        <v>248</v>
      </c>
      <c r="H2232" s="45">
        <v>0</v>
      </c>
      <c r="I2232" s="21">
        <f t="shared" si="4800"/>
        <v>165</v>
      </c>
      <c r="J2232" s="21">
        <f t="shared" si="4806"/>
        <v>10</v>
      </c>
      <c r="K2232" s="21">
        <v>0</v>
      </c>
      <c r="L2232" s="20">
        <v>6</v>
      </c>
      <c r="M2232" s="20">
        <v>0</v>
      </c>
      <c r="N2232" s="20">
        <f t="shared" si="4801"/>
        <v>2200</v>
      </c>
      <c r="O2232" s="19" t="s">
        <v>66</v>
      </c>
      <c r="P2232" s="20">
        <v>9400</v>
      </c>
      <c r="Q2232" s="20">
        <f t="shared" ref="Q2232:X2232" si="4852">Q2202</f>
        <v>220</v>
      </c>
      <c r="R2232" s="20">
        <f t="shared" si="4852"/>
        <v>880</v>
      </c>
      <c r="S2232" s="20">
        <f t="shared" si="4852"/>
        <v>1540</v>
      </c>
      <c r="T2232" s="20">
        <f t="shared" si="4852"/>
        <v>1980</v>
      </c>
      <c r="U2232" s="20">
        <f t="shared" si="4852"/>
        <v>100</v>
      </c>
      <c r="V2232" s="20">
        <f t="shared" si="4852"/>
        <v>800</v>
      </c>
      <c r="W2232" s="20">
        <f t="shared" si="4852"/>
        <v>600</v>
      </c>
      <c r="X2232" s="20">
        <f t="shared" si="4852"/>
        <v>3</v>
      </c>
      <c r="Y2232" s="20">
        <v>0</v>
      </c>
      <c r="Z2232" s="20">
        <v>0</v>
      </c>
      <c r="AA2232" s="20">
        <f t="shared" si="4850"/>
        <v>0</v>
      </c>
      <c r="AB2232" s="20">
        <v>0</v>
      </c>
      <c r="AC2232" s="20">
        <v>0</v>
      </c>
      <c r="AD2232" s="23">
        <f t="shared" ref="AD2232:AE2232" si="4853">AD2202</f>
        <v>20</v>
      </c>
      <c r="AE2232" s="23">
        <f t="shared" si="4853"/>
        <v>24</v>
      </c>
    </row>
    <row r="2233" spans="1:31">
      <c r="A2233" s="4">
        <v>18104</v>
      </c>
      <c r="B2233" s="4">
        <v>12</v>
      </c>
      <c r="C2233" s="19" t="s">
        <v>67</v>
      </c>
      <c r="D2233" s="44">
        <v>0</v>
      </c>
      <c r="E2233" s="18">
        <v>0</v>
      </c>
      <c r="F2233" s="18">
        <f t="shared" si="4831"/>
        <v>270</v>
      </c>
      <c r="G2233" s="18">
        <f t="shared" si="4848"/>
        <v>270</v>
      </c>
      <c r="H2233" s="45">
        <v>0</v>
      </c>
      <c r="I2233" s="21">
        <f t="shared" si="4800"/>
        <v>165</v>
      </c>
      <c r="J2233" s="21">
        <f t="shared" si="4806"/>
        <v>11</v>
      </c>
      <c r="K2233" s="21">
        <v>0</v>
      </c>
      <c r="L2233" s="20">
        <v>6</v>
      </c>
      <c r="M2233" s="20">
        <v>0</v>
      </c>
      <c r="N2233" s="20">
        <f t="shared" si="4801"/>
        <v>2400</v>
      </c>
      <c r="O2233" s="19" t="s">
        <v>67</v>
      </c>
      <c r="P2233" s="20">
        <v>9100</v>
      </c>
      <c r="Q2233" s="20">
        <f t="shared" ref="Q2233:X2233" si="4854">Q2203</f>
        <v>240</v>
      </c>
      <c r="R2233" s="20">
        <f t="shared" si="4854"/>
        <v>960</v>
      </c>
      <c r="S2233" s="20">
        <f t="shared" si="4854"/>
        <v>1680</v>
      </c>
      <c r="T2233" s="20">
        <f t="shared" si="4854"/>
        <v>2160</v>
      </c>
      <c r="U2233" s="20">
        <f t="shared" si="4854"/>
        <v>150</v>
      </c>
      <c r="V2233" s="20">
        <f t="shared" si="4854"/>
        <v>700</v>
      </c>
      <c r="W2233" s="20">
        <f t="shared" si="4854"/>
        <v>900</v>
      </c>
      <c r="X2233" s="20">
        <f t="shared" si="4854"/>
        <v>3</v>
      </c>
      <c r="Y2233" s="20">
        <v>0</v>
      </c>
      <c r="Z2233" s="20">
        <v>0</v>
      </c>
      <c r="AA2233" s="20">
        <f t="shared" si="4850"/>
        <v>0</v>
      </c>
      <c r="AB2233" s="20">
        <v>0</v>
      </c>
      <c r="AC2233" s="20">
        <v>0</v>
      </c>
      <c r="AD2233" s="23">
        <f t="shared" ref="AD2233:AE2233" si="4855">AD2203</f>
        <v>22</v>
      </c>
      <c r="AE2233" s="23">
        <f t="shared" si="4855"/>
        <v>26</v>
      </c>
    </row>
    <row r="2234" spans="1:31">
      <c r="A2234" s="4">
        <v>18104</v>
      </c>
      <c r="B2234" s="4">
        <v>13</v>
      </c>
      <c r="C2234" s="19" t="s">
        <v>68</v>
      </c>
      <c r="D2234" s="44">
        <v>0</v>
      </c>
      <c r="E2234" s="18">
        <v>0</v>
      </c>
      <c r="F2234" s="18">
        <f t="shared" si="4831"/>
        <v>293</v>
      </c>
      <c r="G2234" s="18">
        <f t="shared" si="4848"/>
        <v>293</v>
      </c>
      <c r="H2234" s="45">
        <v>0</v>
      </c>
      <c r="I2234" s="21">
        <f t="shared" si="4800"/>
        <v>220</v>
      </c>
      <c r="J2234" s="21">
        <f t="shared" si="4806"/>
        <v>12</v>
      </c>
      <c r="K2234" s="21">
        <v>0</v>
      </c>
      <c r="L2234" s="20">
        <v>6</v>
      </c>
      <c r="M2234" s="20">
        <v>0</v>
      </c>
      <c r="N2234" s="20">
        <f t="shared" si="4801"/>
        <v>2600</v>
      </c>
      <c r="O2234" s="19" t="s">
        <v>68</v>
      </c>
      <c r="P2234" s="20">
        <v>8600</v>
      </c>
      <c r="Q2234" s="20">
        <f t="shared" ref="Q2234:X2234" si="4856">Q2204</f>
        <v>260</v>
      </c>
      <c r="R2234" s="20">
        <f t="shared" si="4856"/>
        <v>1040</v>
      </c>
      <c r="S2234" s="20">
        <f t="shared" si="4856"/>
        <v>1819.9999999999998</v>
      </c>
      <c r="T2234" s="20">
        <f t="shared" si="4856"/>
        <v>2340</v>
      </c>
      <c r="U2234" s="20">
        <f t="shared" si="4856"/>
        <v>100</v>
      </c>
      <c r="V2234" s="20">
        <f t="shared" si="4856"/>
        <v>700</v>
      </c>
      <c r="W2234" s="20">
        <f t="shared" si="4856"/>
        <v>1000</v>
      </c>
      <c r="X2234" s="20">
        <f t="shared" si="4856"/>
        <v>4</v>
      </c>
      <c r="Y2234" s="20">
        <f>ROUND(D2234*0.25,-1)</f>
        <v>0</v>
      </c>
      <c r="Z2234" s="20">
        <f>ROUND(E2234*0.25,-1)</f>
        <v>0</v>
      </c>
      <c r="AA2234" s="20">
        <f t="shared" si="4850"/>
        <v>75</v>
      </c>
      <c r="AB2234" s="20">
        <v>0</v>
      </c>
      <c r="AC2234" s="20">
        <f>ROUND(H2234*0.25,-1)</f>
        <v>0</v>
      </c>
      <c r="AD2234" s="23">
        <f t="shared" ref="AD2234:AE2234" si="4857">AD2204</f>
        <v>24</v>
      </c>
      <c r="AE2234" s="23">
        <f t="shared" si="4857"/>
        <v>28</v>
      </c>
    </row>
    <row r="2235" spans="1:31">
      <c r="A2235" s="4">
        <v>18104</v>
      </c>
      <c r="B2235" s="4">
        <v>14</v>
      </c>
      <c r="C2235" s="19" t="s">
        <v>69</v>
      </c>
      <c r="D2235" s="44">
        <v>0</v>
      </c>
      <c r="E2235" s="18">
        <v>0</v>
      </c>
      <c r="F2235" s="18">
        <f t="shared" si="4831"/>
        <v>315</v>
      </c>
      <c r="G2235" s="18">
        <f t="shared" si="4848"/>
        <v>315</v>
      </c>
      <c r="H2235" s="45">
        <v>0</v>
      </c>
      <c r="I2235" s="21">
        <f t="shared" si="4800"/>
        <v>220</v>
      </c>
      <c r="J2235" s="21">
        <f t="shared" si="4806"/>
        <v>13</v>
      </c>
      <c r="K2235" s="21">
        <v>0</v>
      </c>
      <c r="L2235" s="20">
        <v>6</v>
      </c>
      <c r="M2235" s="20">
        <v>0</v>
      </c>
      <c r="N2235" s="20">
        <f t="shared" si="4801"/>
        <v>2800</v>
      </c>
      <c r="O2235" s="19" t="s">
        <v>69</v>
      </c>
      <c r="P2235" s="20">
        <v>6400</v>
      </c>
      <c r="Q2235" s="20">
        <f t="shared" ref="Q2235:X2235" si="4858">Q2205</f>
        <v>280</v>
      </c>
      <c r="R2235" s="20">
        <f t="shared" si="4858"/>
        <v>1120</v>
      </c>
      <c r="S2235" s="20">
        <f t="shared" si="4858"/>
        <v>1959.9999999999998</v>
      </c>
      <c r="T2235" s="20">
        <f t="shared" si="4858"/>
        <v>2520</v>
      </c>
      <c r="U2235" s="20">
        <f t="shared" si="4858"/>
        <v>100</v>
      </c>
      <c r="V2235" s="20">
        <f t="shared" si="4858"/>
        <v>400</v>
      </c>
      <c r="W2235" s="20">
        <f t="shared" si="4858"/>
        <v>1200</v>
      </c>
      <c r="X2235" s="20">
        <f t="shared" si="4858"/>
        <v>4</v>
      </c>
      <c r="Y2235" s="20">
        <v>0</v>
      </c>
      <c r="Z2235" s="20">
        <v>0</v>
      </c>
      <c r="AA2235" s="20">
        <f t="shared" si="4850"/>
        <v>0</v>
      </c>
      <c r="AB2235" s="20">
        <v>0</v>
      </c>
      <c r="AC2235" s="20">
        <v>0</v>
      </c>
      <c r="AD2235" s="23">
        <f t="shared" ref="AD2235:AE2235" si="4859">AD2205</f>
        <v>26</v>
      </c>
      <c r="AE2235" s="23">
        <f t="shared" si="4859"/>
        <v>30</v>
      </c>
    </row>
    <row r="2236" spans="1:31">
      <c r="A2236" s="4">
        <v>18104</v>
      </c>
      <c r="B2236" s="4">
        <v>15</v>
      </c>
      <c r="C2236" s="19" t="s">
        <v>70</v>
      </c>
      <c r="D2236" s="44">
        <v>0</v>
      </c>
      <c r="E2236" s="18">
        <v>0</v>
      </c>
      <c r="F2236" s="18">
        <f t="shared" si="4831"/>
        <v>342</v>
      </c>
      <c r="G2236" s="18">
        <f t="shared" si="4848"/>
        <v>342</v>
      </c>
      <c r="H2236" s="45">
        <v>0</v>
      </c>
      <c r="I2236" s="21">
        <f t="shared" si="4800"/>
        <v>220</v>
      </c>
      <c r="J2236" s="21">
        <f t="shared" si="4806"/>
        <v>14</v>
      </c>
      <c r="K2236" s="21">
        <v>0</v>
      </c>
      <c r="L2236" s="20">
        <v>6</v>
      </c>
      <c r="M2236" s="20">
        <v>0</v>
      </c>
      <c r="N2236" s="20">
        <f t="shared" si="4801"/>
        <v>4500</v>
      </c>
      <c r="O2236" s="19" t="s">
        <v>70</v>
      </c>
      <c r="P2236" s="20">
        <v>3100</v>
      </c>
      <c r="Q2236" s="20">
        <f t="shared" ref="Q2236:X2236" si="4860">Q2206</f>
        <v>450</v>
      </c>
      <c r="R2236" s="20">
        <f t="shared" si="4860"/>
        <v>1800</v>
      </c>
      <c r="S2236" s="20">
        <f t="shared" si="4860"/>
        <v>3150</v>
      </c>
      <c r="T2236" s="20">
        <f t="shared" si="4860"/>
        <v>4050</v>
      </c>
      <c r="U2236" s="20">
        <f t="shared" si="4860"/>
        <v>100</v>
      </c>
      <c r="V2236" s="20">
        <f t="shared" si="4860"/>
        <v>1000</v>
      </c>
      <c r="W2236" s="20">
        <f t="shared" si="4860"/>
        <v>600</v>
      </c>
      <c r="X2236" s="20">
        <f t="shared" si="4860"/>
        <v>4</v>
      </c>
      <c r="Y2236" s="20">
        <v>0</v>
      </c>
      <c r="Z2236" s="20">
        <v>0</v>
      </c>
      <c r="AA2236" s="20">
        <f t="shared" si="4850"/>
        <v>0</v>
      </c>
      <c r="AB2236" s="20">
        <v>0</v>
      </c>
      <c r="AC2236" s="20">
        <v>0</v>
      </c>
      <c r="AD2236" s="23">
        <f t="shared" ref="AD2236:AE2236" si="4861">AD2206</f>
        <v>28</v>
      </c>
      <c r="AE2236" s="23">
        <f t="shared" si="4861"/>
        <v>32</v>
      </c>
    </row>
    <row r="2237" spans="1:31">
      <c r="A2237" s="4">
        <v>18104</v>
      </c>
      <c r="B2237" s="4">
        <v>16</v>
      </c>
      <c r="C2237" s="19" t="s">
        <v>71</v>
      </c>
      <c r="D2237" s="44">
        <v>0</v>
      </c>
      <c r="E2237" s="18">
        <v>0</v>
      </c>
      <c r="F2237" s="18">
        <f t="shared" si="4831"/>
        <v>374</v>
      </c>
      <c r="G2237" s="18">
        <f t="shared" si="4848"/>
        <v>374</v>
      </c>
      <c r="H2237" s="45">
        <v>0</v>
      </c>
      <c r="I2237" s="21">
        <f t="shared" si="4800"/>
        <v>220</v>
      </c>
      <c r="J2237" s="21">
        <f t="shared" si="4806"/>
        <v>15</v>
      </c>
      <c r="K2237" s="21">
        <v>0</v>
      </c>
      <c r="L2237" s="20">
        <v>6</v>
      </c>
      <c r="M2237" s="20">
        <v>0</v>
      </c>
      <c r="N2237" s="20">
        <f t="shared" si="4801"/>
        <v>4800</v>
      </c>
      <c r="O2237" s="19" t="s">
        <v>71</v>
      </c>
      <c r="P2237" s="20">
        <v>1777</v>
      </c>
      <c r="Q2237" s="20">
        <f t="shared" ref="Q2237:X2237" si="4862">Q2207</f>
        <v>480</v>
      </c>
      <c r="R2237" s="20">
        <f t="shared" si="4862"/>
        <v>1920</v>
      </c>
      <c r="S2237" s="20">
        <f t="shared" si="4862"/>
        <v>3360</v>
      </c>
      <c r="T2237" s="20">
        <f t="shared" si="4862"/>
        <v>4320</v>
      </c>
      <c r="U2237" s="20">
        <f t="shared" si="4862"/>
        <v>100</v>
      </c>
      <c r="V2237" s="20">
        <f t="shared" si="4862"/>
        <v>800</v>
      </c>
      <c r="W2237" s="20">
        <f t="shared" si="4862"/>
        <v>800</v>
      </c>
      <c r="X2237" s="20">
        <f t="shared" si="4862"/>
        <v>4</v>
      </c>
      <c r="Y2237" s="20">
        <v>0</v>
      </c>
      <c r="Z2237" s="20">
        <v>0</v>
      </c>
      <c r="AA2237" s="20">
        <f t="shared" si="4850"/>
        <v>0</v>
      </c>
      <c r="AB2237" s="20">
        <v>0</v>
      </c>
      <c r="AC2237" s="20">
        <v>0</v>
      </c>
      <c r="AD2237" s="23">
        <f t="shared" ref="AD2237:AE2237" si="4863">AD2207</f>
        <v>30</v>
      </c>
      <c r="AE2237" s="23">
        <f t="shared" si="4863"/>
        <v>34</v>
      </c>
    </row>
    <row r="2238" spans="1:31">
      <c r="A2238" s="4">
        <v>18104</v>
      </c>
      <c r="B2238" s="4">
        <v>17</v>
      </c>
      <c r="C2238" s="19" t="s">
        <v>72</v>
      </c>
      <c r="D2238" s="44">
        <v>0</v>
      </c>
      <c r="E2238" s="18">
        <v>0</v>
      </c>
      <c r="F2238" s="18">
        <f t="shared" si="4831"/>
        <v>401</v>
      </c>
      <c r="G2238" s="18">
        <f t="shared" si="4848"/>
        <v>401</v>
      </c>
      <c r="H2238" s="45">
        <v>0</v>
      </c>
      <c r="I2238" s="21">
        <f t="shared" si="4800"/>
        <v>275</v>
      </c>
      <c r="J2238" s="21">
        <f t="shared" si="4806"/>
        <v>16</v>
      </c>
      <c r="K2238" s="21">
        <v>0</v>
      </c>
      <c r="L2238" s="20">
        <v>6</v>
      </c>
      <c r="M2238" s="20">
        <v>0</v>
      </c>
      <c r="N2238" s="20">
        <f t="shared" si="4801"/>
        <v>5100</v>
      </c>
      <c r="O2238" s="19" t="s">
        <v>72</v>
      </c>
      <c r="P2238" s="20">
        <v>2332</v>
      </c>
      <c r="Q2238" s="20">
        <f t="shared" ref="Q2238:X2238" si="4864">Q2208</f>
        <v>510</v>
      </c>
      <c r="R2238" s="20">
        <f t="shared" si="4864"/>
        <v>2040</v>
      </c>
      <c r="S2238" s="20">
        <f t="shared" si="4864"/>
        <v>3570</v>
      </c>
      <c r="T2238" s="20">
        <f t="shared" si="4864"/>
        <v>4590</v>
      </c>
      <c r="U2238" s="20">
        <f t="shared" si="4864"/>
        <v>80</v>
      </c>
      <c r="V2238" s="20">
        <f t="shared" si="4864"/>
        <v>800</v>
      </c>
      <c r="W2238" s="20">
        <f t="shared" si="4864"/>
        <v>600</v>
      </c>
      <c r="X2238" s="20">
        <f t="shared" si="4864"/>
        <v>5</v>
      </c>
      <c r="Y2238" s="20">
        <v>0</v>
      </c>
      <c r="Z2238" s="20">
        <v>0</v>
      </c>
      <c r="AA2238" s="20">
        <f t="shared" si="4850"/>
        <v>0</v>
      </c>
      <c r="AB2238" s="20">
        <v>0</v>
      </c>
      <c r="AC2238" s="20">
        <v>0</v>
      </c>
      <c r="AD2238" s="23">
        <f t="shared" ref="AD2238:AE2238" si="4865">AD2208</f>
        <v>32</v>
      </c>
      <c r="AE2238" s="23">
        <f t="shared" si="4865"/>
        <v>36</v>
      </c>
    </row>
    <row r="2239" spans="1:31">
      <c r="A2239" s="4">
        <v>18104</v>
      </c>
      <c r="B2239" s="4">
        <v>18</v>
      </c>
      <c r="C2239" s="19" t="s">
        <v>73</v>
      </c>
      <c r="D2239" s="44">
        <v>0</v>
      </c>
      <c r="E2239" s="18">
        <v>0</v>
      </c>
      <c r="F2239" s="18">
        <f t="shared" si="4831"/>
        <v>437</v>
      </c>
      <c r="G2239" s="18">
        <f t="shared" si="4848"/>
        <v>437</v>
      </c>
      <c r="H2239" s="45">
        <v>0</v>
      </c>
      <c r="I2239" s="21">
        <f t="shared" si="4800"/>
        <v>275</v>
      </c>
      <c r="J2239" s="21">
        <f t="shared" si="4806"/>
        <v>17</v>
      </c>
      <c r="K2239" s="21">
        <v>0</v>
      </c>
      <c r="L2239" s="20">
        <v>6</v>
      </c>
      <c r="M2239" s="20">
        <v>0</v>
      </c>
      <c r="N2239" s="20">
        <f t="shared" si="4801"/>
        <v>5400</v>
      </c>
      <c r="O2239" s="19" t="s">
        <v>73</v>
      </c>
      <c r="P2239" s="20">
        <v>1487</v>
      </c>
      <c r="Q2239" s="20">
        <f t="shared" ref="Q2239:X2239" si="4866">Q2209</f>
        <v>540</v>
      </c>
      <c r="R2239" s="20">
        <f t="shared" si="4866"/>
        <v>2160</v>
      </c>
      <c r="S2239" s="20">
        <f t="shared" si="4866"/>
        <v>3779.9999999999995</v>
      </c>
      <c r="T2239" s="20">
        <f t="shared" si="4866"/>
        <v>4860</v>
      </c>
      <c r="U2239" s="20">
        <f t="shared" si="4866"/>
        <v>100</v>
      </c>
      <c r="V2239" s="20">
        <f t="shared" si="4866"/>
        <v>600</v>
      </c>
      <c r="W2239" s="20">
        <f t="shared" si="4866"/>
        <v>300</v>
      </c>
      <c r="X2239" s="20">
        <f t="shared" si="4866"/>
        <v>5</v>
      </c>
      <c r="Y2239" s="20">
        <f>ROUND(D2239*0.25,-1)</f>
        <v>0</v>
      </c>
      <c r="Z2239" s="20">
        <f>ROUND(E2239*0.25,-1)</f>
        <v>0</v>
      </c>
      <c r="AA2239" s="20">
        <f t="shared" si="4850"/>
        <v>113</v>
      </c>
      <c r="AB2239" s="20">
        <v>0</v>
      </c>
      <c r="AC2239" s="20">
        <f>ROUND(H2239*0.25,-1)</f>
        <v>0</v>
      </c>
      <c r="AD2239" s="23">
        <f t="shared" ref="AD2239:AE2239" si="4867">AD2209</f>
        <v>34</v>
      </c>
      <c r="AE2239" s="23">
        <f t="shared" si="4867"/>
        <v>38</v>
      </c>
    </row>
    <row r="2240" spans="1:31">
      <c r="A2240" s="8">
        <v>18104</v>
      </c>
      <c r="B2240" s="8">
        <v>19</v>
      </c>
      <c r="C2240" s="19" t="s">
        <v>74</v>
      </c>
      <c r="D2240" s="44">
        <v>0</v>
      </c>
      <c r="E2240" s="18">
        <v>0</v>
      </c>
      <c r="F2240" s="18">
        <f t="shared" si="4831"/>
        <v>473</v>
      </c>
      <c r="G2240" s="18">
        <f t="shared" si="4848"/>
        <v>473</v>
      </c>
      <c r="H2240" s="45">
        <v>0</v>
      </c>
      <c r="I2240" s="21">
        <f t="shared" si="4800"/>
        <v>275</v>
      </c>
      <c r="J2240" s="21">
        <f t="shared" si="4806"/>
        <v>18</v>
      </c>
      <c r="K2240" s="21">
        <v>0</v>
      </c>
      <c r="L2240" s="20">
        <v>6</v>
      </c>
      <c r="M2240" s="20">
        <v>0</v>
      </c>
      <c r="N2240" s="20">
        <f t="shared" si="4801"/>
        <v>5700</v>
      </c>
      <c r="O2240" s="19" t="s">
        <v>74</v>
      </c>
      <c r="P2240" s="20">
        <v>1518</v>
      </c>
      <c r="Q2240" s="20">
        <f t="shared" ref="Q2240:X2240" si="4868">Q2210</f>
        <v>570</v>
      </c>
      <c r="R2240" s="20">
        <f t="shared" si="4868"/>
        <v>2280</v>
      </c>
      <c r="S2240" s="20">
        <f t="shared" si="4868"/>
        <v>3989.9999999999995</v>
      </c>
      <c r="T2240" s="20">
        <f t="shared" si="4868"/>
        <v>5130</v>
      </c>
      <c r="U2240" s="20">
        <f t="shared" si="4868"/>
        <v>100</v>
      </c>
      <c r="V2240" s="20">
        <f t="shared" si="4868"/>
        <v>500</v>
      </c>
      <c r="W2240" s="20">
        <f t="shared" si="4868"/>
        <v>400</v>
      </c>
      <c r="X2240" s="20">
        <f t="shared" si="4868"/>
        <v>5</v>
      </c>
      <c r="Y2240" s="20">
        <v>0</v>
      </c>
      <c r="Z2240" s="20">
        <v>0</v>
      </c>
      <c r="AA2240" s="20">
        <f t="shared" si="4850"/>
        <v>0</v>
      </c>
      <c r="AB2240" s="20">
        <v>0</v>
      </c>
      <c r="AC2240" s="20">
        <v>0</v>
      </c>
      <c r="AD2240" s="23">
        <f t="shared" ref="AD2240:AE2240" si="4869">AD2210</f>
        <v>36</v>
      </c>
      <c r="AE2240" s="23">
        <f t="shared" si="4869"/>
        <v>40</v>
      </c>
    </row>
    <row r="2241" spans="1:31">
      <c r="A2241" s="4">
        <v>18104</v>
      </c>
      <c r="B2241" s="4">
        <v>20</v>
      </c>
      <c r="C2241" s="19" t="s">
        <v>75</v>
      </c>
      <c r="D2241" s="44">
        <v>0</v>
      </c>
      <c r="E2241" s="18">
        <v>0</v>
      </c>
      <c r="F2241" s="18">
        <f t="shared" si="4831"/>
        <v>513</v>
      </c>
      <c r="G2241" s="18">
        <f t="shared" si="4848"/>
        <v>513</v>
      </c>
      <c r="H2241" s="45">
        <v>0</v>
      </c>
      <c r="I2241" s="21">
        <f t="shared" si="4800"/>
        <v>275</v>
      </c>
      <c r="J2241" s="21">
        <f t="shared" si="4806"/>
        <v>19</v>
      </c>
      <c r="K2241" s="21">
        <v>0</v>
      </c>
      <c r="L2241" s="20">
        <v>6</v>
      </c>
      <c r="M2241" s="20">
        <v>0</v>
      </c>
      <c r="N2241" s="20">
        <f t="shared" si="4801"/>
        <v>8000</v>
      </c>
      <c r="O2241" s="19" t="s">
        <v>75</v>
      </c>
      <c r="P2241" s="20">
        <v>861</v>
      </c>
      <c r="Q2241" s="20">
        <f t="shared" ref="Q2241:X2241" si="4870">Q2211</f>
        <v>800</v>
      </c>
      <c r="R2241" s="20">
        <f t="shared" si="4870"/>
        <v>3200</v>
      </c>
      <c r="S2241" s="20">
        <f t="shared" si="4870"/>
        <v>5600</v>
      </c>
      <c r="T2241" s="20">
        <f t="shared" si="4870"/>
        <v>7200</v>
      </c>
      <c r="U2241" s="20">
        <f t="shared" si="4870"/>
        <v>100</v>
      </c>
      <c r="V2241" s="20">
        <f t="shared" si="4870"/>
        <v>800</v>
      </c>
      <c r="W2241" s="20">
        <f t="shared" si="4870"/>
        <v>8000</v>
      </c>
      <c r="X2241" s="20">
        <f t="shared" si="4870"/>
        <v>5</v>
      </c>
      <c r="Y2241" s="20">
        <v>0</v>
      </c>
      <c r="Z2241" s="20">
        <v>0</v>
      </c>
      <c r="AA2241" s="20">
        <f t="shared" si="4850"/>
        <v>0</v>
      </c>
      <c r="AB2241" s="20">
        <v>0</v>
      </c>
      <c r="AC2241" s="20">
        <v>0</v>
      </c>
      <c r="AD2241" s="23">
        <f t="shared" ref="AD2241:AE2241" si="4871">AD2211</f>
        <v>38</v>
      </c>
      <c r="AE2241" s="23">
        <f t="shared" si="4871"/>
        <v>42</v>
      </c>
    </row>
    <row r="2242" spans="1:31">
      <c r="A2242" s="4">
        <v>18104</v>
      </c>
      <c r="B2242" s="4">
        <v>21</v>
      </c>
      <c r="C2242" s="19" t="s">
        <v>66</v>
      </c>
      <c r="D2242" s="44">
        <v>0</v>
      </c>
      <c r="E2242" s="18">
        <v>0</v>
      </c>
      <c r="F2242" s="18">
        <f t="shared" si="4831"/>
        <v>554</v>
      </c>
      <c r="G2242" s="18">
        <f t="shared" si="4848"/>
        <v>554</v>
      </c>
      <c r="H2242" s="45">
        <v>0</v>
      </c>
      <c r="I2242" s="21">
        <f t="shared" si="4800"/>
        <v>330</v>
      </c>
      <c r="J2242" s="21">
        <f t="shared" si="4806"/>
        <v>20</v>
      </c>
      <c r="K2242" s="21">
        <v>0</v>
      </c>
      <c r="L2242" s="20">
        <v>6</v>
      </c>
      <c r="M2242" s="20">
        <v>0</v>
      </c>
      <c r="N2242" s="20">
        <f t="shared" si="4801"/>
        <v>8400</v>
      </c>
      <c r="O2242" s="19" t="s">
        <v>66</v>
      </c>
      <c r="P2242" s="20">
        <v>9400</v>
      </c>
      <c r="Q2242" s="20">
        <f t="shared" ref="Q2242:X2242" si="4872">Q2212</f>
        <v>840</v>
      </c>
      <c r="R2242" s="20">
        <f t="shared" si="4872"/>
        <v>3360</v>
      </c>
      <c r="S2242" s="20">
        <f t="shared" si="4872"/>
        <v>5880</v>
      </c>
      <c r="T2242" s="20">
        <f t="shared" si="4872"/>
        <v>7560</v>
      </c>
      <c r="U2242" s="20">
        <f t="shared" si="4872"/>
        <v>50</v>
      </c>
      <c r="V2242" s="20">
        <f t="shared" si="4872"/>
        <v>1000</v>
      </c>
      <c r="W2242" s="20">
        <f t="shared" si="4872"/>
        <v>600</v>
      </c>
      <c r="X2242" s="20">
        <f t="shared" si="4872"/>
        <v>6</v>
      </c>
      <c r="Y2242" s="20">
        <v>0</v>
      </c>
      <c r="Z2242" s="20">
        <v>0</v>
      </c>
      <c r="AA2242" s="20">
        <f t="shared" si="4850"/>
        <v>0</v>
      </c>
      <c r="AB2242" s="20">
        <v>0</v>
      </c>
      <c r="AC2242" s="20">
        <v>0</v>
      </c>
      <c r="AD2242" s="23">
        <f t="shared" ref="AD2242:AE2242" si="4873">AD2212</f>
        <v>40</v>
      </c>
      <c r="AE2242" s="23">
        <f t="shared" si="4873"/>
        <v>44</v>
      </c>
    </row>
    <row r="2243" spans="1:31">
      <c r="A2243" s="4">
        <v>18104</v>
      </c>
      <c r="B2243" s="4">
        <v>22</v>
      </c>
      <c r="C2243" s="19" t="s">
        <v>67</v>
      </c>
      <c r="D2243" s="44">
        <v>0</v>
      </c>
      <c r="E2243" s="18">
        <v>0</v>
      </c>
      <c r="F2243" s="18">
        <f t="shared" si="4831"/>
        <v>599</v>
      </c>
      <c r="G2243" s="18">
        <f t="shared" si="4848"/>
        <v>599</v>
      </c>
      <c r="H2243" s="45">
        <v>0</v>
      </c>
      <c r="I2243" s="21">
        <f t="shared" si="4800"/>
        <v>330</v>
      </c>
      <c r="J2243" s="21">
        <f t="shared" si="4806"/>
        <v>21</v>
      </c>
      <c r="K2243" s="21">
        <v>0</v>
      </c>
      <c r="L2243" s="20">
        <v>6</v>
      </c>
      <c r="M2243" s="20">
        <v>0</v>
      </c>
      <c r="N2243" s="20">
        <f t="shared" si="4801"/>
        <v>8800</v>
      </c>
      <c r="O2243" s="19" t="s">
        <v>67</v>
      </c>
      <c r="P2243" s="20">
        <v>9100</v>
      </c>
      <c r="Q2243" s="20">
        <f t="shared" ref="Q2243:X2243" si="4874">Q2213</f>
        <v>880</v>
      </c>
      <c r="R2243" s="20">
        <f t="shared" si="4874"/>
        <v>3520</v>
      </c>
      <c r="S2243" s="20">
        <f t="shared" si="4874"/>
        <v>6160</v>
      </c>
      <c r="T2243" s="20">
        <f t="shared" si="4874"/>
        <v>7920</v>
      </c>
      <c r="U2243" s="20">
        <f t="shared" si="4874"/>
        <v>100</v>
      </c>
      <c r="V2243" s="20">
        <f t="shared" si="4874"/>
        <v>600</v>
      </c>
      <c r="W2243" s="20">
        <f t="shared" si="4874"/>
        <v>700</v>
      </c>
      <c r="X2243" s="20">
        <f t="shared" si="4874"/>
        <v>6</v>
      </c>
      <c r="Y2243" s="20">
        <v>0</v>
      </c>
      <c r="Z2243" s="20">
        <v>0</v>
      </c>
      <c r="AA2243" s="20">
        <f t="shared" si="4850"/>
        <v>0</v>
      </c>
      <c r="AB2243" s="20">
        <v>0</v>
      </c>
      <c r="AC2243" s="20">
        <v>0</v>
      </c>
      <c r="AD2243" s="23">
        <f t="shared" ref="AD2243:AE2243" si="4875">AD2213</f>
        <v>42</v>
      </c>
      <c r="AE2243" s="23">
        <f t="shared" si="4875"/>
        <v>46</v>
      </c>
    </row>
    <row r="2244" spans="1:31">
      <c r="A2244" s="4">
        <v>18104</v>
      </c>
      <c r="B2244" s="4">
        <v>23</v>
      </c>
      <c r="C2244" s="19" t="s">
        <v>68</v>
      </c>
      <c r="D2244" s="44">
        <v>0</v>
      </c>
      <c r="E2244" s="18">
        <v>0</v>
      </c>
      <c r="F2244" s="18">
        <f t="shared" si="4831"/>
        <v>648</v>
      </c>
      <c r="G2244" s="18">
        <f t="shared" si="4848"/>
        <v>648</v>
      </c>
      <c r="H2244" s="45">
        <v>0</v>
      </c>
      <c r="I2244" s="21">
        <f t="shared" si="4800"/>
        <v>330</v>
      </c>
      <c r="J2244" s="21">
        <f t="shared" si="4806"/>
        <v>22</v>
      </c>
      <c r="K2244" s="21">
        <v>0</v>
      </c>
      <c r="L2244" s="20">
        <v>6</v>
      </c>
      <c r="M2244" s="20">
        <v>0</v>
      </c>
      <c r="N2244" s="20">
        <f t="shared" si="4801"/>
        <v>9200</v>
      </c>
      <c r="O2244" s="19" t="s">
        <v>68</v>
      </c>
      <c r="P2244" s="20">
        <v>8600</v>
      </c>
      <c r="Q2244" s="20">
        <f t="shared" ref="Q2244:X2244" si="4876">Q2214</f>
        <v>920</v>
      </c>
      <c r="R2244" s="20">
        <f t="shared" si="4876"/>
        <v>3680</v>
      </c>
      <c r="S2244" s="20">
        <f t="shared" si="4876"/>
        <v>6440</v>
      </c>
      <c r="T2244" s="20">
        <f t="shared" si="4876"/>
        <v>8280</v>
      </c>
      <c r="U2244" s="20">
        <f t="shared" si="4876"/>
        <v>100</v>
      </c>
      <c r="V2244" s="20">
        <f t="shared" si="4876"/>
        <v>550</v>
      </c>
      <c r="W2244" s="20">
        <f t="shared" si="4876"/>
        <v>500</v>
      </c>
      <c r="X2244" s="20">
        <f t="shared" si="4876"/>
        <v>6</v>
      </c>
      <c r="Y2244" s="20">
        <f>ROUND(D2244*0.25,-1)</f>
        <v>0</v>
      </c>
      <c r="Z2244" s="20">
        <f>ROUND(E2244*0.25,-1)</f>
        <v>0</v>
      </c>
      <c r="AA2244" s="20">
        <f t="shared" si="4850"/>
        <v>151</v>
      </c>
      <c r="AB2244" s="20">
        <v>0</v>
      </c>
      <c r="AC2244" s="20">
        <f>ROUND(H2244*0.25,-1)</f>
        <v>0</v>
      </c>
      <c r="AD2244" s="23">
        <f t="shared" ref="AD2244:AE2244" si="4877">AD2214</f>
        <v>44</v>
      </c>
      <c r="AE2244" s="23">
        <f t="shared" si="4877"/>
        <v>48</v>
      </c>
    </row>
    <row r="2245" spans="1:31">
      <c r="A2245" s="4">
        <v>18104</v>
      </c>
      <c r="B2245" s="4">
        <v>24</v>
      </c>
      <c r="C2245" s="19" t="s">
        <v>69</v>
      </c>
      <c r="D2245" s="44">
        <v>0</v>
      </c>
      <c r="E2245" s="18">
        <v>0</v>
      </c>
      <c r="F2245" s="18">
        <f t="shared" si="4831"/>
        <v>702</v>
      </c>
      <c r="G2245" s="18">
        <f t="shared" si="4848"/>
        <v>702</v>
      </c>
      <c r="H2245" s="45">
        <v>0</v>
      </c>
      <c r="I2245" s="21">
        <f t="shared" si="4800"/>
        <v>330</v>
      </c>
      <c r="J2245" s="21">
        <f t="shared" si="4806"/>
        <v>23</v>
      </c>
      <c r="K2245" s="21">
        <v>0</v>
      </c>
      <c r="L2245" s="20">
        <v>6</v>
      </c>
      <c r="M2245" s="20">
        <v>0</v>
      </c>
      <c r="N2245" s="20">
        <f t="shared" si="4801"/>
        <v>9600</v>
      </c>
      <c r="O2245" s="19" t="s">
        <v>69</v>
      </c>
      <c r="P2245" s="20">
        <v>6400</v>
      </c>
      <c r="Q2245" s="20">
        <f t="shared" ref="Q2245:X2245" si="4878">Q2215</f>
        <v>960</v>
      </c>
      <c r="R2245" s="20">
        <f t="shared" si="4878"/>
        <v>3840</v>
      </c>
      <c r="S2245" s="20">
        <f t="shared" si="4878"/>
        <v>6720</v>
      </c>
      <c r="T2245" s="20">
        <f t="shared" si="4878"/>
        <v>8640</v>
      </c>
      <c r="U2245" s="20">
        <f t="shared" si="4878"/>
        <v>100</v>
      </c>
      <c r="V2245" s="20">
        <f t="shared" si="4878"/>
        <v>500</v>
      </c>
      <c r="W2245" s="20">
        <f t="shared" si="4878"/>
        <v>900</v>
      </c>
      <c r="X2245" s="20">
        <f t="shared" si="4878"/>
        <v>6</v>
      </c>
      <c r="Y2245" s="20">
        <v>0</v>
      </c>
      <c r="Z2245" s="20">
        <v>0</v>
      </c>
      <c r="AA2245" s="20">
        <f t="shared" si="4850"/>
        <v>0</v>
      </c>
      <c r="AB2245" s="20">
        <v>0</v>
      </c>
      <c r="AC2245" s="20">
        <v>0</v>
      </c>
      <c r="AD2245" s="23">
        <f t="shared" ref="AD2245:AE2245" si="4879">AD2215</f>
        <v>46</v>
      </c>
      <c r="AE2245" s="23">
        <f t="shared" si="4879"/>
        <v>50</v>
      </c>
    </row>
    <row r="2246" spans="1:31">
      <c r="A2246" s="4">
        <v>18104</v>
      </c>
      <c r="B2246" s="4">
        <v>25</v>
      </c>
      <c r="C2246" s="19" t="s">
        <v>70</v>
      </c>
      <c r="D2246" s="44">
        <v>0</v>
      </c>
      <c r="E2246" s="18">
        <v>0</v>
      </c>
      <c r="F2246" s="18">
        <f t="shared" si="4831"/>
        <v>761</v>
      </c>
      <c r="G2246" s="18">
        <f t="shared" si="4848"/>
        <v>761</v>
      </c>
      <c r="H2246" s="45">
        <v>0</v>
      </c>
      <c r="I2246" s="21">
        <f t="shared" si="4800"/>
        <v>385</v>
      </c>
      <c r="J2246" s="21">
        <f t="shared" si="4806"/>
        <v>24</v>
      </c>
      <c r="K2246" s="21">
        <v>0</v>
      </c>
      <c r="L2246" s="20">
        <v>6</v>
      </c>
      <c r="M2246" s="20">
        <v>0</v>
      </c>
      <c r="N2246" s="20">
        <f t="shared" si="4801"/>
        <v>12500</v>
      </c>
      <c r="O2246" s="19" t="s">
        <v>70</v>
      </c>
      <c r="P2246" s="20">
        <v>3100</v>
      </c>
      <c r="Q2246" s="20">
        <f t="shared" ref="Q2246:X2246" si="4880">Q2216</f>
        <v>1250</v>
      </c>
      <c r="R2246" s="20">
        <f t="shared" si="4880"/>
        <v>5000</v>
      </c>
      <c r="S2246" s="20">
        <f t="shared" si="4880"/>
        <v>8750</v>
      </c>
      <c r="T2246" s="20">
        <f t="shared" si="4880"/>
        <v>11250</v>
      </c>
      <c r="U2246" s="20">
        <f t="shared" si="4880"/>
        <v>10</v>
      </c>
      <c r="V2246" s="20">
        <f t="shared" si="4880"/>
        <v>1300</v>
      </c>
      <c r="W2246" s="20">
        <f t="shared" si="4880"/>
        <v>1000</v>
      </c>
      <c r="X2246" s="20">
        <f t="shared" si="4880"/>
        <v>7</v>
      </c>
      <c r="Y2246" s="20">
        <v>0</v>
      </c>
      <c r="Z2246" s="20">
        <v>0</v>
      </c>
      <c r="AA2246" s="20">
        <f t="shared" si="4850"/>
        <v>0</v>
      </c>
      <c r="AB2246" s="20">
        <v>0</v>
      </c>
      <c r="AC2246" s="20">
        <v>0</v>
      </c>
      <c r="AD2246" s="23">
        <f t="shared" ref="AD2246:AE2246" si="4881">AD2216</f>
        <v>48</v>
      </c>
      <c r="AE2246" s="23">
        <f t="shared" si="4881"/>
        <v>52</v>
      </c>
    </row>
    <row r="2247" spans="1:31">
      <c r="A2247" s="4">
        <v>18104</v>
      </c>
      <c r="B2247" s="4">
        <v>26</v>
      </c>
      <c r="C2247" s="19" t="s">
        <v>71</v>
      </c>
      <c r="D2247" s="44">
        <v>0</v>
      </c>
      <c r="E2247" s="18">
        <v>0</v>
      </c>
      <c r="F2247" s="18">
        <f t="shared" si="4831"/>
        <v>824</v>
      </c>
      <c r="G2247" s="18">
        <f t="shared" si="4848"/>
        <v>824</v>
      </c>
      <c r="H2247" s="45">
        <v>0</v>
      </c>
      <c r="I2247" s="21">
        <f t="shared" si="4800"/>
        <v>385</v>
      </c>
      <c r="J2247" s="21">
        <f t="shared" si="4806"/>
        <v>25</v>
      </c>
      <c r="K2247" s="21">
        <v>0</v>
      </c>
      <c r="L2247" s="20">
        <v>6</v>
      </c>
      <c r="M2247" s="20">
        <v>0</v>
      </c>
      <c r="N2247" s="20">
        <f t="shared" si="4801"/>
        <v>13000</v>
      </c>
      <c r="O2247" s="19" t="s">
        <v>71</v>
      </c>
      <c r="P2247" s="20">
        <v>1777</v>
      </c>
      <c r="Q2247" s="20">
        <f t="shared" ref="Q2247:X2247" si="4882">Q2217</f>
        <v>1300</v>
      </c>
      <c r="R2247" s="20">
        <f t="shared" si="4882"/>
        <v>5200</v>
      </c>
      <c r="S2247" s="20">
        <f t="shared" si="4882"/>
        <v>9100</v>
      </c>
      <c r="T2247" s="20">
        <f t="shared" si="4882"/>
        <v>11700</v>
      </c>
      <c r="U2247" s="20">
        <f t="shared" si="4882"/>
        <v>90</v>
      </c>
      <c r="V2247" s="20">
        <f t="shared" si="4882"/>
        <v>800</v>
      </c>
      <c r="W2247" s="20">
        <f t="shared" si="4882"/>
        <v>2000</v>
      </c>
      <c r="X2247" s="20">
        <f t="shared" si="4882"/>
        <v>7</v>
      </c>
      <c r="Y2247" s="20">
        <v>0</v>
      </c>
      <c r="Z2247" s="20">
        <v>0</v>
      </c>
      <c r="AA2247" s="20">
        <f t="shared" si="4850"/>
        <v>0</v>
      </c>
      <c r="AB2247" s="20">
        <v>0</v>
      </c>
      <c r="AC2247" s="20">
        <v>0</v>
      </c>
      <c r="AD2247" s="23">
        <f t="shared" ref="AD2247:AE2247" si="4883">AD2217</f>
        <v>50</v>
      </c>
      <c r="AE2247" s="23">
        <f t="shared" si="4883"/>
        <v>54</v>
      </c>
    </row>
    <row r="2248" spans="1:31">
      <c r="A2248" s="4">
        <v>18104</v>
      </c>
      <c r="B2248" s="4">
        <v>27</v>
      </c>
      <c r="C2248" s="19" t="s">
        <v>72</v>
      </c>
      <c r="D2248" s="44">
        <v>0</v>
      </c>
      <c r="E2248" s="18">
        <v>0</v>
      </c>
      <c r="F2248" s="18">
        <f t="shared" si="4831"/>
        <v>891</v>
      </c>
      <c r="G2248" s="18">
        <f t="shared" si="4848"/>
        <v>891</v>
      </c>
      <c r="H2248" s="45">
        <v>0</v>
      </c>
      <c r="I2248" s="21">
        <f t="shared" si="4800"/>
        <v>385</v>
      </c>
      <c r="J2248" s="21">
        <f t="shared" si="4806"/>
        <v>26</v>
      </c>
      <c r="K2248" s="21">
        <v>0</v>
      </c>
      <c r="L2248" s="20">
        <v>6</v>
      </c>
      <c r="M2248" s="20">
        <v>0</v>
      </c>
      <c r="N2248" s="20">
        <f t="shared" si="4801"/>
        <v>13500</v>
      </c>
      <c r="O2248" s="19" t="s">
        <v>72</v>
      </c>
      <c r="P2248" s="20">
        <v>2332</v>
      </c>
      <c r="Q2248" s="20">
        <f t="shared" ref="Q2248:X2248" si="4884">Q2218</f>
        <v>1350</v>
      </c>
      <c r="R2248" s="20">
        <f t="shared" si="4884"/>
        <v>5400</v>
      </c>
      <c r="S2248" s="20">
        <f t="shared" si="4884"/>
        <v>9450</v>
      </c>
      <c r="T2248" s="20">
        <f t="shared" si="4884"/>
        <v>12150</v>
      </c>
      <c r="U2248" s="20">
        <f t="shared" si="4884"/>
        <v>80</v>
      </c>
      <c r="V2248" s="20">
        <f t="shared" si="4884"/>
        <v>700</v>
      </c>
      <c r="W2248" s="20">
        <f t="shared" si="4884"/>
        <v>800</v>
      </c>
      <c r="X2248" s="20">
        <f t="shared" si="4884"/>
        <v>7</v>
      </c>
      <c r="Y2248" s="20">
        <v>0</v>
      </c>
      <c r="Z2248" s="20">
        <v>0</v>
      </c>
      <c r="AA2248" s="20">
        <f t="shared" si="4850"/>
        <v>0</v>
      </c>
      <c r="AB2248" s="20">
        <v>0</v>
      </c>
      <c r="AC2248" s="20">
        <v>0</v>
      </c>
      <c r="AD2248" s="23">
        <f t="shared" ref="AD2248:AE2248" si="4885">AD2218</f>
        <v>52</v>
      </c>
      <c r="AE2248" s="23">
        <f t="shared" si="4885"/>
        <v>56</v>
      </c>
    </row>
    <row r="2249" spans="1:31">
      <c r="A2249" s="4">
        <v>18104</v>
      </c>
      <c r="B2249" s="4">
        <v>28</v>
      </c>
      <c r="C2249" s="19" t="s">
        <v>73</v>
      </c>
      <c r="D2249" s="44">
        <v>0</v>
      </c>
      <c r="E2249" s="18">
        <v>0</v>
      </c>
      <c r="F2249" s="18">
        <f t="shared" si="4831"/>
        <v>968</v>
      </c>
      <c r="G2249" s="18">
        <f t="shared" si="4848"/>
        <v>968</v>
      </c>
      <c r="H2249" s="45">
        <v>0</v>
      </c>
      <c r="I2249" s="21">
        <f t="shared" si="4800"/>
        <v>385</v>
      </c>
      <c r="J2249" s="21">
        <f t="shared" si="4806"/>
        <v>27</v>
      </c>
      <c r="K2249" s="21">
        <v>0</v>
      </c>
      <c r="L2249" s="20">
        <v>6</v>
      </c>
      <c r="M2249" s="20">
        <v>0</v>
      </c>
      <c r="N2249" s="20">
        <f t="shared" si="4801"/>
        <v>14000</v>
      </c>
      <c r="O2249" s="19" t="s">
        <v>73</v>
      </c>
      <c r="P2249" s="20">
        <v>1487</v>
      </c>
      <c r="Q2249" s="20">
        <f t="shared" ref="Q2249:X2249" si="4886">Q2219</f>
        <v>1400</v>
      </c>
      <c r="R2249" s="20">
        <f t="shared" si="4886"/>
        <v>5600</v>
      </c>
      <c r="S2249" s="20">
        <f t="shared" si="4886"/>
        <v>9800</v>
      </c>
      <c r="T2249" s="20">
        <f t="shared" si="4886"/>
        <v>12600</v>
      </c>
      <c r="U2249" s="20">
        <f t="shared" si="4886"/>
        <v>80</v>
      </c>
      <c r="V2249" s="20">
        <f t="shared" si="4886"/>
        <v>500</v>
      </c>
      <c r="W2249" s="20">
        <f t="shared" si="4886"/>
        <v>600</v>
      </c>
      <c r="X2249" s="20">
        <f t="shared" si="4886"/>
        <v>7</v>
      </c>
      <c r="Y2249" s="20">
        <f>ROUND(D2249*0.25,-1)</f>
        <v>0</v>
      </c>
      <c r="Z2249" s="20">
        <f>ROUND(E2249*0.25,-1)</f>
        <v>0</v>
      </c>
      <c r="AA2249" s="20">
        <f t="shared" si="4850"/>
        <v>189</v>
      </c>
      <c r="AB2249" s="20">
        <v>0</v>
      </c>
      <c r="AC2249" s="20">
        <f>ROUND(H2249*0.25,-1)</f>
        <v>0</v>
      </c>
      <c r="AD2249" s="23">
        <f t="shared" ref="AD2249:AE2249" si="4887">AD2219</f>
        <v>54</v>
      </c>
      <c r="AE2249" s="23">
        <f t="shared" si="4887"/>
        <v>58</v>
      </c>
    </row>
    <row r="2250" spans="1:31">
      <c r="A2250" s="4">
        <v>18104</v>
      </c>
      <c r="B2250" s="4">
        <v>29</v>
      </c>
      <c r="C2250" s="19" t="s">
        <v>74</v>
      </c>
      <c r="D2250" s="44">
        <v>0</v>
      </c>
      <c r="E2250" s="18">
        <v>0</v>
      </c>
      <c r="F2250" s="18">
        <f t="shared" si="4831"/>
        <v>1049</v>
      </c>
      <c r="G2250" s="18">
        <f t="shared" si="4848"/>
        <v>1049</v>
      </c>
      <c r="H2250" s="45">
        <v>0</v>
      </c>
      <c r="I2250" s="21">
        <f t="shared" si="4800"/>
        <v>440</v>
      </c>
      <c r="J2250" s="21">
        <f t="shared" si="4806"/>
        <v>28</v>
      </c>
      <c r="K2250" s="21">
        <v>0</v>
      </c>
      <c r="L2250" s="20">
        <v>6</v>
      </c>
      <c r="M2250" s="20">
        <v>0</v>
      </c>
      <c r="N2250" s="20">
        <f t="shared" si="4801"/>
        <v>14500</v>
      </c>
      <c r="O2250" s="19" t="s">
        <v>74</v>
      </c>
      <c r="P2250" s="20">
        <v>1518</v>
      </c>
      <c r="Q2250" s="20">
        <f t="shared" ref="Q2250:X2250" si="4888">Q2220</f>
        <v>1450</v>
      </c>
      <c r="R2250" s="20">
        <f t="shared" si="4888"/>
        <v>5800</v>
      </c>
      <c r="S2250" s="20">
        <f t="shared" si="4888"/>
        <v>10150</v>
      </c>
      <c r="T2250" s="20">
        <f t="shared" si="4888"/>
        <v>13050</v>
      </c>
      <c r="U2250" s="20">
        <f t="shared" si="4888"/>
        <v>80</v>
      </c>
      <c r="V2250" s="20">
        <f t="shared" si="4888"/>
        <v>600</v>
      </c>
      <c r="W2250" s="20">
        <f t="shared" si="4888"/>
        <v>700</v>
      </c>
      <c r="X2250" s="20">
        <f t="shared" si="4888"/>
        <v>8</v>
      </c>
      <c r="Y2250" s="20">
        <v>0</v>
      </c>
      <c r="Z2250" s="20">
        <v>0</v>
      </c>
      <c r="AA2250" s="20">
        <f t="shared" si="4850"/>
        <v>0</v>
      </c>
      <c r="AB2250" s="20">
        <v>0</v>
      </c>
      <c r="AC2250" s="20">
        <v>0</v>
      </c>
      <c r="AD2250" s="23">
        <f t="shared" ref="AD2250:AE2250" si="4889">AD2220</f>
        <v>56</v>
      </c>
      <c r="AE2250" s="23">
        <f t="shared" si="4889"/>
        <v>60</v>
      </c>
    </row>
    <row r="2251" spans="1:31">
      <c r="A2251" s="4">
        <v>18104</v>
      </c>
      <c r="B2251" s="4">
        <v>30</v>
      </c>
      <c r="C2251" s="19" t="s">
        <v>75</v>
      </c>
      <c r="D2251" s="44">
        <v>0</v>
      </c>
      <c r="E2251" s="18">
        <v>0</v>
      </c>
      <c r="F2251" s="18">
        <f t="shared" si="4831"/>
        <v>1134</v>
      </c>
      <c r="G2251" s="18">
        <f t="shared" si="4848"/>
        <v>1134</v>
      </c>
      <c r="H2251" s="45">
        <v>0</v>
      </c>
      <c r="I2251" s="21">
        <f t="shared" si="4800"/>
        <v>440</v>
      </c>
      <c r="J2251" s="21">
        <f t="shared" si="4806"/>
        <v>29</v>
      </c>
      <c r="K2251" s="21">
        <v>0</v>
      </c>
      <c r="L2251" s="20">
        <v>6</v>
      </c>
      <c r="M2251" s="20">
        <v>0</v>
      </c>
      <c r="N2251" s="20">
        <f t="shared" si="4801"/>
        <v>15000</v>
      </c>
      <c r="O2251" s="19" t="s">
        <v>75</v>
      </c>
      <c r="P2251" s="20">
        <v>861</v>
      </c>
      <c r="Q2251" s="20">
        <f t="shared" ref="Q2251:X2251" si="4890">Q2221</f>
        <v>1500</v>
      </c>
      <c r="R2251" s="20">
        <f t="shared" si="4890"/>
        <v>6000</v>
      </c>
      <c r="S2251" s="20">
        <f t="shared" si="4890"/>
        <v>10500</v>
      </c>
      <c r="T2251" s="20">
        <f t="shared" si="4890"/>
        <v>13500</v>
      </c>
      <c r="U2251" s="20">
        <f t="shared" si="4890"/>
        <v>20</v>
      </c>
      <c r="V2251" s="20">
        <f t="shared" si="4890"/>
        <v>450</v>
      </c>
      <c r="W2251" s="20">
        <f t="shared" si="4890"/>
        <v>1000</v>
      </c>
      <c r="X2251" s="20">
        <f t="shared" si="4890"/>
        <v>8</v>
      </c>
      <c r="Y2251" s="20">
        <v>0</v>
      </c>
      <c r="Z2251" s="20">
        <v>0</v>
      </c>
      <c r="AA2251" s="20">
        <f t="shared" si="4850"/>
        <v>0</v>
      </c>
      <c r="AB2251" s="20">
        <v>0</v>
      </c>
      <c r="AC2251" s="20">
        <v>0</v>
      </c>
      <c r="AD2251" s="23">
        <f t="shared" ref="AD2251:AE2251" si="4891">AD2221</f>
        <v>58</v>
      </c>
      <c r="AE2251" s="23">
        <f t="shared" si="4891"/>
        <v>62</v>
      </c>
    </row>
    <row r="2252" spans="1:31">
      <c r="A2252" s="8">
        <v>19100</v>
      </c>
      <c r="B2252" s="8">
        <v>1</v>
      </c>
      <c r="C2252" s="19" t="s">
        <v>66</v>
      </c>
      <c r="D2252" s="44">
        <v>0</v>
      </c>
      <c r="E2252" s="18">
        <v>0</v>
      </c>
      <c r="F2252" s="18">
        <v>0</v>
      </c>
      <c r="G2252" s="18">
        <v>0</v>
      </c>
      <c r="H2252" s="45">
        <f>'[1]10级升星'!$L3</f>
        <v>540</v>
      </c>
      <c r="I2252" s="21">
        <f t="shared" si="4800"/>
        <v>55</v>
      </c>
      <c r="J2252" s="21">
        <f t="shared" ref="J2252:J2282" si="4892">B2252-1</f>
        <v>0</v>
      </c>
      <c r="K2252" s="21">
        <v>0</v>
      </c>
      <c r="L2252" s="20">
        <v>45</v>
      </c>
      <c r="M2252" s="20">
        <v>0</v>
      </c>
      <c r="N2252" s="20">
        <f t="shared" si="4801"/>
        <v>10</v>
      </c>
      <c r="O2252" s="19" t="s">
        <v>66</v>
      </c>
      <c r="P2252" s="20">
        <v>9400</v>
      </c>
      <c r="Q2252" s="20">
        <f t="shared" ref="Q2252:X2252" si="4893">Q2222</f>
        <v>1</v>
      </c>
      <c r="R2252" s="20">
        <f t="shared" si="4893"/>
        <v>4</v>
      </c>
      <c r="S2252" s="20">
        <f t="shared" si="4893"/>
        <v>7</v>
      </c>
      <c r="T2252" s="20">
        <f t="shared" si="4893"/>
        <v>9</v>
      </c>
      <c r="U2252" s="20">
        <f t="shared" si="4893"/>
        <v>9400</v>
      </c>
      <c r="V2252" s="20">
        <f t="shared" si="4893"/>
        <v>9400</v>
      </c>
      <c r="W2252" s="20">
        <f t="shared" si="4893"/>
        <v>9400</v>
      </c>
      <c r="X2252" s="20">
        <f t="shared" si="4893"/>
        <v>1</v>
      </c>
      <c r="Y2252" s="20">
        <v>0</v>
      </c>
      <c r="Z2252" s="20">
        <v>0</v>
      </c>
      <c r="AA2252" s="20">
        <v>0</v>
      </c>
      <c r="AB2252" s="20">
        <v>0</v>
      </c>
      <c r="AC2252" s="20">
        <f>INT(AC1652*4/3)</f>
        <v>0</v>
      </c>
      <c r="AD2252" s="23">
        <f t="shared" ref="AD2252:AE2252" si="4894">AD2222</f>
        <v>1</v>
      </c>
      <c r="AE2252" s="23">
        <f t="shared" si="4894"/>
        <v>3</v>
      </c>
    </row>
    <row r="2253" spans="1:31">
      <c r="A2253" s="4">
        <v>19100</v>
      </c>
      <c r="B2253" s="4">
        <v>2</v>
      </c>
      <c r="C2253" s="19" t="s">
        <v>67</v>
      </c>
      <c r="D2253" s="44">
        <v>0</v>
      </c>
      <c r="E2253" s="18">
        <v>0</v>
      </c>
      <c r="F2253" s="18">
        <v>0</v>
      </c>
      <c r="G2253" s="18">
        <v>0</v>
      </c>
      <c r="H2253" s="45">
        <f>'[1]10级升星'!$L4</f>
        <v>585</v>
      </c>
      <c r="I2253" s="21">
        <f t="shared" si="4800"/>
        <v>55</v>
      </c>
      <c r="J2253" s="21">
        <f t="shared" si="4892"/>
        <v>1</v>
      </c>
      <c r="K2253" s="21">
        <v>0</v>
      </c>
      <c r="L2253" s="20">
        <v>40</v>
      </c>
      <c r="M2253" s="20">
        <v>0</v>
      </c>
      <c r="N2253" s="20">
        <f t="shared" si="4801"/>
        <v>20</v>
      </c>
      <c r="O2253" s="19" t="s">
        <v>67</v>
      </c>
      <c r="P2253" s="20">
        <v>9100</v>
      </c>
      <c r="Q2253" s="20">
        <f t="shared" ref="Q2253:X2253" si="4895">Q2223</f>
        <v>2</v>
      </c>
      <c r="R2253" s="20">
        <f t="shared" si="4895"/>
        <v>8</v>
      </c>
      <c r="S2253" s="20">
        <f t="shared" si="4895"/>
        <v>14</v>
      </c>
      <c r="T2253" s="20">
        <f t="shared" si="4895"/>
        <v>18</v>
      </c>
      <c r="U2253" s="20">
        <f t="shared" si="4895"/>
        <v>4000</v>
      </c>
      <c r="V2253" s="20">
        <f t="shared" si="4895"/>
        <v>8000</v>
      </c>
      <c r="W2253" s="20">
        <f t="shared" si="4895"/>
        <v>8000</v>
      </c>
      <c r="X2253" s="20">
        <f t="shared" si="4895"/>
        <v>1</v>
      </c>
      <c r="Y2253" s="20">
        <v>0</v>
      </c>
      <c r="Z2253" s="20">
        <v>0</v>
      </c>
      <c r="AA2253" s="20">
        <v>0</v>
      </c>
      <c r="AB2253" s="20">
        <v>0</v>
      </c>
      <c r="AC2253" s="20">
        <f t="shared" ref="AC2253:AC2316" si="4896">INT(AC1653*4/3)</f>
        <v>0</v>
      </c>
      <c r="AD2253" s="23">
        <f t="shared" ref="AD2253:AE2253" si="4897">AD2223</f>
        <v>2</v>
      </c>
      <c r="AE2253" s="23">
        <f t="shared" si="4897"/>
        <v>5</v>
      </c>
    </row>
    <row r="2254" spans="1:31">
      <c r="A2254" s="4">
        <v>19100</v>
      </c>
      <c r="B2254" s="4">
        <v>3</v>
      </c>
      <c r="C2254" s="19" t="s">
        <v>68</v>
      </c>
      <c r="D2254" s="44">
        <v>0</v>
      </c>
      <c r="E2254" s="18">
        <v>0</v>
      </c>
      <c r="F2254" s="18">
        <v>0</v>
      </c>
      <c r="G2254" s="18">
        <v>0</v>
      </c>
      <c r="H2254" s="45">
        <f>'[1]10级升星'!$L5</f>
        <v>633</v>
      </c>
      <c r="I2254" s="21">
        <f t="shared" si="4800"/>
        <v>55</v>
      </c>
      <c r="J2254" s="21">
        <f t="shared" si="4892"/>
        <v>2</v>
      </c>
      <c r="K2254" s="21">
        <v>0</v>
      </c>
      <c r="L2254" s="20">
        <v>35</v>
      </c>
      <c r="M2254" s="20">
        <v>0</v>
      </c>
      <c r="N2254" s="20">
        <f t="shared" si="4801"/>
        <v>40</v>
      </c>
      <c r="O2254" s="19" t="s">
        <v>68</v>
      </c>
      <c r="P2254" s="20">
        <v>8600</v>
      </c>
      <c r="Q2254" s="20">
        <f t="shared" ref="Q2254:X2254" si="4898">Q2224</f>
        <v>4</v>
      </c>
      <c r="R2254" s="20">
        <f t="shared" si="4898"/>
        <v>16</v>
      </c>
      <c r="S2254" s="20">
        <f t="shared" si="4898"/>
        <v>28</v>
      </c>
      <c r="T2254" s="20">
        <f t="shared" si="4898"/>
        <v>36</v>
      </c>
      <c r="U2254" s="20">
        <f t="shared" si="4898"/>
        <v>1600</v>
      </c>
      <c r="V2254" s="20">
        <f t="shared" si="4898"/>
        <v>5000</v>
      </c>
      <c r="W2254" s="20">
        <f t="shared" si="4898"/>
        <v>6000</v>
      </c>
      <c r="X2254" s="20">
        <f t="shared" si="4898"/>
        <v>1</v>
      </c>
      <c r="Y2254" s="20">
        <v>0</v>
      </c>
      <c r="Z2254" s="20">
        <v>0</v>
      </c>
      <c r="AA2254" s="20">
        <v>0</v>
      </c>
      <c r="AB2254" s="20">
        <v>0</v>
      </c>
      <c r="AC2254" s="20">
        <f t="shared" si="4896"/>
        <v>0</v>
      </c>
      <c r="AD2254" s="23">
        <f t="shared" ref="AD2254:AE2254" si="4899">AD2224</f>
        <v>4</v>
      </c>
      <c r="AE2254" s="23">
        <f t="shared" si="4899"/>
        <v>8</v>
      </c>
    </row>
    <row r="2255" spans="1:31">
      <c r="A2255" s="4">
        <v>19100</v>
      </c>
      <c r="B2255" s="4">
        <v>4</v>
      </c>
      <c r="C2255" s="19" t="s">
        <v>69</v>
      </c>
      <c r="D2255" s="44">
        <v>0</v>
      </c>
      <c r="E2255" s="18">
        <v>0</v>
      </c>
      <c r="F2255" s="18">
        <v>0</v>
      </c>
      <c r="G2255" s="18">
        <v>0</v>
      </c>
      <c r="H2255" s="45">
        <f>'[1]10级升星'!$L6</f>
        <v>685</v>
      </c>
      <c r="I2255" s="21">
        <f t="shared" si="4800"/>
        <v>55</v>
      </c>
      <c r="J2255" s="21">
        <f t="shared" si="4892"/>
        <v>3</v>
      </c>
      <c r="K2255" s="21">
        <v>0</v>
      </c>
      <c r="L2255" s="20">
        <v>30</v>
      </c>
      <c r="M2255" s="20">
        <v>0</v>
      </c>
      <c r="N2255" s="20">
        <f t="shared" si="4801"/>
        <v>100</v>
      </c>
      <c r="O2255" s="19" t="s">
        <v>69</v>
      </c>
      <c r="P2255" s="20">
        <v>6400</v>
      </c>
      <c r="Q2255" s="20">
        <f t="shared" ref="Q2255:X2255" si="4900">Q2225</f>
        <v>10</v>
      </c>
      <c r="R2255" s="20">
        <f t="shared" si="4900"/>
        <v>40</v>
      </c>
      <c r="S2255" s="20">
        <f t="shared" si="4900"/>
        <v>70</v>
      </c>
      <c r="T2255" s="20">
        <f t="shared" si="4900"/>
        <v>90</v>
      </c>
      <c r="U2255" s="20">
        <f t="shared" si="4900"/>
        <v>900</v>
      </c>
      <c r="V2255" s="20">
        <f t="shared" si="4900"/>
        <v>2000</v>
      </c>
      <c r="W2255" s="20">
        <f t="shared" si="4900"/>
        <v>8000</v>
      </c>
      <c r="X2255" s="20">
        <f t="shared" si="4900"/>
        <v>1</v>
      </c>
      <c r="Y2255" s="20">
        <v>0</v>
      </c>
      <c r="Z2255" s="20">
        <v>0</v>
      </c>
      <c r="AA2255" s="20">
        <v>0</v>
      </c>
      <c r="AB2255" s="20">
        <v>0</v>
      </c>
      <c r="AC2255" s="20">
        <f t="shared" si="4896"/>
        <v>0</v>
      </c>
      <c r="AD2255" s="23">
        <f t="shared" ref="AD2255:AE2255" si="4901">AD2225</f>
        <v>6</v>
      </c>
      <c r="AE2255" s="23">
        <f t="shared" si="4901"/>
        <v>10</v>
      </c>
    </row>
    <row r="2256" spans="1:31">
      <c r="A2256" s="4">
        <v>19100</v>
      </c>
      <c r="B2256" s="4">
        <v>5</v>
      </c>
      <c r="C2256" s="19" t="s">
        <v>70</v>
      </c>
      <c r="D2256" s="44">
        <v>0</v>
      </c>
      <c r="E2256" s="18">
        <v>0</v>
      </c>
      <c r="F2256" s="18">
        <v>0</v>
      </c>
      <c r="G2256" s="18">
        <v>0</v>
      </c>
      <c r="H2256" s="45">
        <f>'[1]10级升星'!$L7</f>
        <v>742</v>
      </c>
      <c r="I2256" s="21">
        <f t="shared" si="4800"/>
        <v>110</v>
      </c>
      <c r="J2256" s="21">
        <f t="shared" si="4892"/>
        <v>4</v>
      </c>
      <c r="K2256" s="21">
        <v>0</v>
      </c>
      <c r="L2256" s="20">
        <v>25</v>
      </c>
      <c r="M2256" s="20">
        <v>0</v>
      </c>
      <c r="N2256" s="20">
        <f t="shared" si="4801"/>
        <v>200</v>
      </c>
      <c r="O2256" s="19" t="s">
        <v>70</v>
      </c>
      <c r="P2256" s="20">
        <v>3100</v>
      </c>
      <c r="Q2256" s="20">
        <f t="shared" ref="Q2256:X2256" si="4902">Q2226</f>
        <v>20</v>
      </c>
      <c r="R2256" s="20">
        <f t="shared" si="4902"/>
        <v>80</v>
      </c>
      <c r="S2256" s="20">
        <f t="shared" si="4902"/>
        <v>140</v>
      </c>
      <c r="T2256" s="20">
        <f t="shared" si="4902"/>
        <v>180</v>
      </c>
      <c r="U2256" s="20">
        <f t="shared" si="4902"/>
        <v>1000</v>
      </c>
      <c r="V2256" s="20">
        <f t="shared" si="4902"/>
        <v>2000</v>
      </c>
      <c r="W2256" s="20">
        <f t="shared" si="4902"/>
        <v>2000</v>
      </c>
      <c r="X2256" s="20">
        <f t="shared" si="4902"/>
        <v>2</v>
      </c>
      <c r="Y2256" s="20">
        <v>0</v>
      </c>
      <c r="Z2256" s="20">
        <v>0</v>
      </c>
      <c r="AA2256" s="20">
        <v>0</v>
      </c>
      <c r="AB2256" s="20">
        <v>0</v>
      </c>
      <c r="AC2256" s="20">
        <f t="shared" si="4896"/>
        <v>0</v>
      </c>
      <c r="AD2256" s="23">
        <f t="shared" ref="AD2256:AE2256" si="4903">AD2226</f>
        <v>8</v>
      </c>
      <c r="AE2256" s="23">
        <f t="shared" si="4903"/>
        <v>12</v>
      </c>
    </row>
    <row r="2257" spans="1:31">
      <c r="A2257" s="4">
        <v>19100</v>
      </c>
      <c r="B2257" s="4">
        <v>6</v>
      </c>
      <c r="C2257" s="19" t="s">
        <v>71</v>
      </c>
      <c r="D2257" s="44">
        <v>0</v>
      </c>
      <c r="E2257" s="18">
        <v>0</v>
      </c>
      <c r="F2257" s="18">
        <v>0</v>
      </c>
      <c r="G2257" s="18">
        <v>0</v>
      </c>
      <c r="H2257" s="45">
        <f>'[1]10级升星'!$L8</f>
        <v>803</v>
      </c>
      <c r="I2257" s="21">
        <f t="shared" si="4800"/>
        <v>110</v>
      </c>
      <c r="J2257" s="21">
        <f t="shared" si="4892"/>
        <v>5</v>
      </c>
      <c r="K2257" s="21">
        <v>0</v>
      </c>
      <c r="L2257" s="20">
        <v>20</v>
      </c>
      <c r="M2257" s="20">
        <v>0</v>
      </c>
      <c r="N2257" s="20">
        <f t="shared" si="4801"/>
        <v>500</v>
      </c>
      <c r="O2257" s="19" t="s">
        <v>71</v>
      </c>
      <c r="P2257" s="20">
        <v>1777</v>
      </c>
      <c r="Q2257" s="20">
        <f t="shared" ref="Q2257:X2257" si="4904">Q2227</f>
        <v>50</v>
      </c>
      <c r="R2257" s="20">
        <f t="shared" si="4904"/>
        <v>200</v>
      </c>
      <c r="S2257" s="20">
        <f t="shared" si="4904"/>
        <v>350</v>
      </c>
      <c r="T2257" s="20">
        <f t="shared" si="4904"/>
        <v>450</v>
      </c>
      <c r="U2257" s="20">
        <f t="shared" si="4904"/>
        <v>800</v>
      </c>
      <c r="V2257" s="20">
        <f t="shared" si="4904"/>
        <v>800</v>
      </c>
      <c r="W2257" s="20">
        <f t="shared" si="4904"/>
        <v>600</v>
      </c>
      <c r="X2257" s="20">
        <f t="shared" si="4904"/>
        <v>2</v>
      </c>
      <c r="Y2257" s="20">
        <v>0</v>
      </c>
      <c r="Z2257" s="20">
        <v>0</v>
      </c>
      <c r="AA2257" s="20">
        <v>0</v>
      </c>
      <c r="AB2257" s="20">
        <v>0</v>
      </c>
      <c r="AC2257" s="20">
        <f t="shared" si="4896"/>
        <v>0</v>
      </c>
      <c r="AD2257" s="23">
        <f t="shared" ref="AD2257:AE2257" si="4905">AD2227</f>
        <v>10</v>
      </c>
      <c r="AE2257" s="23">
        <f t="shared" si="4905"/>
        <v>14</v>
      </c>
    </row>
    <row r="2258" spans="1:31">
      <c r="A2258" s="4">
        <v>19100</v>
      </c>
      <c r="B2258" s="4">
        <v>7</v>
      </c>
      <c r="C2258" s="19" t="s">
        <v>72</v>
      </c>
      <c r="D2258" s="44">
        <v>0</v>
      </c>
      <c r="E2258" s="18">
        <v>0</v>
      </c>
      <c r="F2258" s="18">
        <v>0</v>
      </c>
      <c r="G2258" s="18">
        <v>0</v>
      </c>
      <c r="H2258" s="45">
        <f>'[1]10级升星'!$L9</f>
        <v>870</v>
      </c>
      <c r="I2258" s="21">
        <f t="shared" si="4800"/>
        <v>110</v>
      </c>
      <c r="J2258" s="21">
        <f t="shared" si="4892"/>
        <v>6</v>
      </c>
      <c r="K2258" s="21">
        <v>0</v>
      </c>
      <c r="L2258" s="20">
        <v>16</v>
      </c>
      <c r="M2258" s="20">
        <v>0</v>
      </c>
      <c r="N2258" s="20">
        <f t="shared" si="4801"/>
        <v>700</v>
      </c>
      <c r="O2258" s="19" t="s">
        <v>72</v>
      </c>
      <c r="P2258" s="20">
        <v>2332</v>
      </c>
      <c r="Q2258" s="20">
        <f t="shared" ref="Q2258:X2258" si="4906">Q2228</f>
        <v>70</v>
      </c>
      <c r="R2258" s="20">
        <f t="shared" si="4906"/>
        <v>280</v>
      </c>
      <c r="S2258" s="20">
        <f t="shared" si="4906"/>
        <v>489.99999999999994</v>
      </c>
      <c r="T2258" s="20">
        <f t="shared" si="4906"/>
        <v>630</v>
      </c>
      <c r="U2258" s="20">
        <f t="shared" si="4906"/>
        <v>650</v>
      </c>
      <c r="V2258" s="20">
        <f t="shared" si="4906"/>
        <v>800</v>
      </c>
      <c r="W2258" s="20">
        <f t="shared" si="4906"/>
        <v>300</v>
      </c>
      <c r="X2258" s="20">
        <f t="shared" si="4906"/>
        <v>2</v>
      </c>
      <c r="Y2258" s="20">
        <v>0</v>
      </c>
      <c r="Z2258" s="20">
        <v>0</v>
      </c>
      <c r="AA2258" s="20">
        <v>0</v>
      </c>
      <c r="AB2258" s="20">
        <v>0</v>
      </c>
      <c r="AC2258" s="20">
        <f t="shared" si="4896"/>
        <v>0</v>
      </c>
      <c r="AD2258" s="23">
        <f t="shared" ref="AD2258:AE2258" si="4907">AD2228</f>
        <v>12</v>
      </c>
      <c r="AE2258" s="23">
        <f t="shared" si="4907"/>
        <v>16</v>
      </c>
    </row>
    <row r="2259" spans="1:31">
      <c r="A2259" s="4">
        <v>19100</v>
      </c>
      <c r="B2259" s="4">
        <v>8</v>
      </c>
      <c r="C2259" s="19" t="s">
        <v>73</v>
      </c>
      <c r="D2259" s="44">
        <v>0</v>
      </c>
      <c r="E2259" s="18">
        <v>0</v>
      </c>
      <c r="F2259" s="18">
        <v>0</v>
      </c>
      <c r="G2259" s="18">
        <v>0</v>
      </c>
      <c r="H2259" s="45">
        <f>'[1]10级升星'!$L10</f>
        <v>941</v>
      </c>
      <c r="I2259" s="21">
        <f t="shared" si="4800"/>
        <v>110</v>
      </c>
      <c r="J2259" s="21">
        <f t="shared" si="4892"/>
        <v>7</v>
      </c>
      <c r="K2259" s="21">
        <v>0</v>
      </c>
      <c r="L2259" s="20">
        <v>12</v>
      </c>
      <c r="M2259" s="20">
        <v>0</v>
      </c>
      <c r="N2259" s="20">
        <f t="shared" si="4801"/>
        <v>800</v>
      </c>
      <c r="O2259" s="19" t="s">
        <v>73</v>
      </c>
      <c r="P2259" s="20">
        <v>1487</v>
      </c>
      <c r="Q2259" s="20">
        <f t="shared" ref="Q2259:X2259" si="4908">Q2229</f>
        <v>80</v>
      </c>
      <c r="R2259" s="20">
        <f t="shared" si="4908"/>
        <v>320</v>
      </c>
      <c r="S2259" s="20">
        <f t="shared" si="4908"/>
        <v>560</v>
      </c>
      <c r="T2259" s="20">
        <f t="shared" si="4908"/>
        <v>720</v>
      </c>
      <c r="U2259" s="20">
        <f t="shared" si="4908"/>
        <v>200</v>
      </c>
      <c r="V2259" s="20">
        <f t="shared" si="4908"/>
        <v>2000</v>
      </c>
      <c r="W2259" s="20">
        <f t="shared" si="4908"/>
        <v>1000</v>
      </c>
      <c r="X2259" s="20">
        <f t="shared" si="4908"/>
        <v>2</v>
      </c>
      <c r="Y2259" s="20">
        <f>ROUND(D2259*0.25,-1)</f>
        <v>0</v>
      </c>
      <c r="Z2259" s="20">
        <f>ROUND(E2259*0.25,-1)</f>
        <v>0</v>
      </c>
      <c r="AA2259" s="20">
        <f>ROUND(F2259*0.25,-1)</f>
        <v>0</v>
      </c>
      <c r="AB2259" s="20">
        <f>ROUND(G2259*0.25,-1)</f>
        <v>0</v>
      </c>
      <c r="AC2259" s="20">
        <f t="shared" si="4896"/>
        <v>258</v>
      </c>
      <c r="AD2259" s="23">
        <f t="shared" ref="AD2259:AE2259" si="4909">AD2229</f>
        <v>14</v>
      </c>
      <c r="AE2259" s="23">
        <f t="shared" si="4909"/>
        <v>18</v>
      </c>
    </row>
    <row r="2260" spans="1:31">
      <c r="A2260" s="4">
        <v>19100</v>
      </c>
      <c r="B2260" s="4">
        <v>9</v>
      </c>
      <c r="C2260" s="19" t="s">
        <v>74</v>
      </c>
      <c r="D2260" s="44">
        <v>0</v>
      </c>
      <c r="E2260" s="18">
        <v>0</v>
      </c>
      <c r="F2260" s="18">
        <v>0</v>
      </c>
      <c r="G2260" s="18">
        <v>0</v>
      </c>
      <c r="H2260" s="45">
        <f>'[1]10级升星'!$L11</f>
        <v>1019</v>
      </c>
      <c r="I2260" s="21">
        <f t="shared" si="4800"/>
        <v>165</v>
      </c>
      <c r="J2260" s="21">
        <f t="shared" si="4892"/>
        <v>8</v>
      </c>
      <c r="K2260" s="21">
        <v>0</v>
      </c>
      <c r="L2260" s="20">
        <v>8</v>
      </c>
      <c r="M2260" s="20">
        <v>0</v>
      </c>
      <c r="N2260" s="20">
        <f t="shared" si="4801"/>
        <v>900</v>
      </c>
      <c r="O2260" s="19" t="s">
        <v>74</v>
      </c>
      <c r="P2260" s="20">
        <v>1518</v>
      </c>
      <c r="Q2260" s="20">
        <f t="shared" ref="Q2260:X2260" si="4910">Q2230</f>
        <v>90</v>
      </c>
      <c r="R2260" s="20">
        <f t="shared" si="4910"/>
        <v>360</v>
      </c>
      <c r="S2260" s="20">
        <f t="shared" si="4910"/>
        <v>630</v>
      </c>
      <c r="T2260" s="20">
        <f t="shared" si="4910"/>
        <v>810</v>
      </c>
      <c r="U2260" s="20">
        <f t="shared" si="4910"/>
        <v>120</v>
      </c>
      <c r="V2260" s="20">
        <f t="shared" si="4910"/>
        <v>1500</v>
      </c>
      <c r="W2260" s="20">
        <f t="shared" si="4910"/>
        <v>1000</v>
      </c>
      <c r="X2260" s="20">
        <f t="shared" si="4910"/>
        <v>3</v>
      </c>
      <c r="Y2260" s="20">
        <v>0</v>
      </c>
      <c r="Z2260" s="20">
        <v>0</v>
      </c>
      <c r="AA2260" s="20">
        <v>0</v>
      </c>
      <c r="AB2260" s="20">
        <v>0</v>
      </c>
      <c r="AC2260" s="20">
        <f t="shared" si="4896"/>
        <v>0</v>
      </c>
      <c r="AD2260" s="23">
        <f t="shared" ref="AD2260:AE2260" si="4911">AD2230</f>
        <v>16</v>
      </c>
      <c r="AE2260" s="23">
        <f t="shared" si="4911"/>
        <v>20</v>
      </c>
    </row>
    <row r="2261" spans="1:31">
      <c r="A2261" s="4">
        <v>19100</v>
      </c>
      <c r="B2261" s="4">
        <v>10</v>
      </c>
      <c r="C2261" s="19" t="s">
        <v>75</v>
      </c>
      <c r="D2261" s="44">
        <v>0</v>
      </c>
      <c r="E2261" s="18">
        <v>0</v>
      </c>
      <c r="F2261" s="18">
        <v>0</v>
      </c>
      <c r="G2261" s="18">
        <v>0</v>
      </c>
      <c r="H2261" s="45">
        <f>'[1]10级升星'!$L12</f>
        <v>1103</v>
      </c>
      <c r="I2261" s="21">
        <f t="shared" si="4800"/>
        <v>165</v>
      </c>
      <c r="J2261" s="21">
        <f t="shared" si="4892"/>
        <v>9</v>
      </c>
      <c r="K2261" s="21">
        <v>0</v>
      </c>
      <c r="L2261" s="20">
        <v>6</v>
      </c>
      <c r="M2261" s="20">
        <v>0</v>
      </c>
      <c r="N2261" s="20">
        <f t="shared" si="4801"/>
        <v>2000</v>
      </c>
      <c r="O2261" s="19" t="s">
        <v>75</v>
      </c>
      <c r="P2261" s="20">
        <v>861</v>
      </c>
      <c r="Q2261" s="20">
        <f t="shared" ref="Q2261:X2261" si="4912">Q2231</f>
        <v>200</v>
      </c>
      <c r="R2261" s="20">
        <f t="shared" si="4912"/>
        <v>800</v>
      </c>
      <c r="S2261" s="20">
        <f t="shared" si="4912"/>
        <v>1400</v>
      </c>
      <c r="T2261" s="20">
        <f t="shared" si="4912"/>
        <v>1800</v>
      </c>
      <c r="U2261" s="20">
        <f t="shared" si="4912"/>
        <v>150</v>
      </c>
      <c r="V2261" s="20">
        <f t="shared" si="4912"/>
        <v>5000</v>
      </c>
      <c r="W2261" s="20">
        <f t="shared" si="4912"/>
        <v>800</v>
      </c>
      <c r="X2261" s="20">
        <f t="shared" si="4912"/>
        <v>3</v>
      </c>
      <c r="Y2261" s="20">
        <v>0</v>
      </c>
      <c r="Z2261" s="20">
        <v>0</v>
      </c>
      <c r="AA2261" s="20">
        <v>0</v>
      </c>
      <c r="AB2261" s="20">
        <v>0</v>
      </c>
      <c r="AC2261" s="20">
        <f t="shared" si="4896"/>
        <v>0</v>
      </c>
      <c r="AD2261" s="23">
        <f t="shared" ref="AD2261:AE2261" si="4913">AD2231</f>
        <v>18</v>
      </c>
      <c r="AE2261" s="23">
        <f t="shared" si="4913"/>
        <v>22</v>
      </c>
    </row>
    <row r="2262" spans="1:31">
      <c r="A2262" s="4">
        <v>19100</v>
      </c>
      <c r="B2262" s="4">
        <v>11</v>
      </c>
      <c r="C2262" s="19" t="s">
        <v>66</v>
      </c>
      <c r="D2262" s="44">
        <v>0</v>
      </c>
      <c r="E2262" s="18">
        <v>0</v>
      </c>
      <c r="F2262" s="18">
        <v>0</v>
      </c>
      <c r="G2262" s="18">
        <v>0</v>
      </c>
      <c r="H2262" s="45">
        <f>'[1]10级升星'!$L13</f>
        <v>1195</v>
      </c>
      <c r="I2262" s="21">
        <f t="shared" si="4800"/>
        <v>165</v>
      </c>
      <c r="J2262" s="21">
        <f t="shared" si="4892"/>
        <v>10</v>
      </c>
      <c r="K2262" s="21">
        <v>0</v>
      </c>
      <c r="L2262" s="20">
        <v>6</v>
      </c>
      <c r="M2262" s="20">
        <v>0</v>
      </c>
      <c r="N2262" s="20">
        <f t="shared" si="4801"/>
        <v>2200</v>
      </c>
      <c r="O2262" s="19" t="s">
        <v>66</v>
      </c>
      <c r="P2262" s="20">
        <v>9400</v>
      </c>
      <c r="Q2262" s="20">
        <f t="shared" ref="Q2262:X2262" si="4914">Q2232</f>
        <v>220</v>
      </c>
      <c r="R2262" s="20">
        <f t="shared" si="4914"/>
        <v>880</v>
      </c>
      <c r="S2262" s="20">
        <f t="shared" si="4914"/>
        <v>1540</v>
      </c>
      <c r="T2262" s="20">
        <f t="shared" si="4914"/>
        <v>1980</v>
      </c>
      <c r="U2262" s="20">
        <f t="shared" si="4914"/>
        <v>100</v>
      </c>
      <c r="V2262" s="20">
        <f t="shared" si="4914"/>
        <v>800</v>
      </c>
      <c r="W2262" s="20">
        <f t="shared" si="4914"/>
        <v>600</v>
      </c>
      <c r="X2262" s="20">
        <f t="shared" si="4914"/>
        <v>3</v>
      </c>
      <c r="Y2262" s="20">
        <v>0</v>
      </c>
      <c r="Z2262" s="20">
        <v>0</v>
      </c>
      <c r="AA2262" s="20">
        <v>0</v>
      </c>
      <c r="AB2262" s="20">
        <v>0</v>
      </c>
      <c r="AC2262" s="20">
        <f t="shared" si="4896"/>
        <v>0</v>
      </c>
      <c r="AD2262" s="23">
        <f t="shared" ref="AD2262:AE2262" si="4915">AD2232</f>
        <v>20</v>
      </c>
      <c r="AE2262" s="23">
        <f t="shared" si="4915"/>
        <v>24</v>
      </c>
    </row>
    <row r="2263" spans="1:31">
      <c r="A2263" s="4">
        <v>19100</v>
      </c>
      <c r="B2263" s="4">
        <v>12</v>
      </c>
      <c r="C2263" s="19" t="s">
        <v>67</v>
      </c>
      <c r="D2263" s="44">
        <v>0</v>
      </c>
      <c r="E2263" s="18">
        <v>0</v>
      </c>
      <c r="F2263" s="18">
        <v>0</v>
      </c>
      <c r="G2263" s="18">
        <v>0</v>
      </c>
      <c r="H2263" s="45">
        <f>'[1]10级升星'!$L14</f>
        <v>1293</v>
      </c>
      <c r="I2263" s="21">
        <f t="shared" si="4800"/>
        <v>165</v>
      </c>
      <c r="J2263" s="21">
        <f t="shared" si="4892"/>
        <v>11</v>
      </c>
      <c r="K2263" s="21">
        <v>0</v>
      </c>
      <c r="L2263" s="20">
        <v>6</v>
      </c>
      <c r="M2263" s="20">
        <v>0</v>
      </c>
      <c r="N2263" s="20">
        <f t="shared" si="4801"/>
        <v>2400</v>
      </c>
      <c r="O2263" s="19" t="s">
        <v>67</v>
      </c>
      <c r="P2263" s="20">
        <v>9100</v>
      </c>
      <c r="Q2263" s="20">
        <f t="shared" ref="Q2263:X2263" si="4916">Q2233</f>
        <v>240</v>
      </c>
      <c r="R2263" s="20">
        <f t="shared" si="4916"/>
        <v>960</v>
      </c>
      <c r="S2263" s="20">
        <f t="shared" si="4916"/>
        <v>1680</v>
      </c>
      <c r="T2263" s="20">
        <f t="shared" si="4916"/>
        <v>2160</v>
      </c>
      <c r="U2263" s="20">
        <f t="shared" si="4916"/>
        <v>150</v>
      </c>
      <c r="V2263" s="20">
        <f t="shared" si="4916"/>
        <v>700</v>
      </c>
      <c r="W2263" s="20">
        <f t="shared" si="4916"/>
        <v>900</v>
      </c>
      <c r="X2263" s="20">
        <f t="shared" si="4916"/>
        <v>3</v>
      </c>
      <c r="Y2263" s="20">
        <v>0</v>
      </c>
      <c r="Z2263" s="20">
        <v>0</v>
      </c>
      <c r="AA2263" s="20">
        <v>0</v>
      </c>
      <c r="AB2263" s="20">
        <v>0</v>
      </c>
      <c r="AC2263" s="20">
        <f t="shared" si="4896"/>
        <v>0</v>
      </c>
      <c r="AD2263" s="23">
        <f t="shared" ref="AD2263:AE2263" si="4917">AD2233</f>
        <v>22</v>
      </c>
      <c r="AE2263" s="23">
        <f t="shared" si="4917"/>
        <v>26</v>
      </c>
    </row>
    <row r="2264" spans="1:31">
      <c r="A2264" s="4">
        <v>19100</v>
      </c>
      <c r="B2264" s="4">
        <v>13</v>
      </c>
      <c r="C2264" s="19" t="s">
        <v>68</v>
      </c>
      <c r="D2264" s="44">
        <v>0</v>
      </c>
      <c r="E2264" s="18">
        <v>0</v>
      </c>
      <c r="F2264" s="18">
        <v>0</v>
      </c>
      <c r="G2264" s="18">
        <v>0</v>
      </c>
      <c r="H2264" s="45">
        <f>'[1]10级升星'!$L15</f>
        <v>1400</v>
      </c>
      <c r="I2264" s="21">
        <f t="shared" si="4800"/>
        <v>220</v>
      </c>
      <c r="J2264" s="21">
        <f t="shared" si="4892"/>
        <v>12</v>
      </c>
      <c r="K2264" s="21">
        <v>0</v>
      </c>
      <c r="L2264" s="20">
        <v>6</v>
      </c>
      <c r="M2264" s="20">
        <v>0</v>
      </c>
      <c r="N2264" s="20">
        <f t="shared" si="4801"/>
        <v>2600</v>
      </c>
      <c r="O2264" s="19" t="s">
        <v>68</v>
      </c>
      <c r="P2264" s="20">
        <v>8600</v>
      </c>
      <c r="Q2264" s="20">
        <f t="shared" ref="Q2264:X2264" si="4918">Q2234</f>
        <v>260</v>
      </c>
      <c r="R2264" s="20">
        <f t="shared" si="4918"/>
        <v>1040</v>
      </c>
      <c r="S2264" s="20">
        <f t="shared" si="4918"/>
        <v>1819.9999999999998</v>
      </c>
      <c r="T2264" s="20">
        <f t="shared" si="4918"/>
        <v>2340</v>
      </c>
      <c r="U2264" s="20">
        <f t="shared" si="4918"/>
        <v>100</v>
      </c>
      <c r="V2264" s="20">
        <f t="shared" si="4918"/>
        <v>700</v>
      </c>
      <c r="W2264" s="20">
        <f t="shared" si="4918"/>
        <v>1000</v>
      </c>
      <c r="X2264" s="20">
        <f t="shared" si="4918"/>
        <v>4</v>
      </c>
      <c r="Y2264" s="20">
        <f>ROUND(D2264*0.25,-1)</f>
        <v>0</v>
      </c>
      <c r="Z2264" s="20">
        <f>ROUND(E2264*0.25,-1)</f>
        <v>0</v>
      </c>
      <c r="AA2264" s="20">
        <f>ROUND(F2264*0.25,-1)</f>
        <v>0</v>
      </c>
      <c r="AB2264" s="20">
        <f>ROUND(G2264*0.25,-1)</f>
        <v>0</v>
      </c>
      <c r="AC2264" s="20">
        <f t="shared" si="4896"/>
        <v>517</v>
      </c>
      <c r="AD2264" s="23">
        <f t="shared" ref="AD2264:AE2264" si="4919">AD2234</f>
        <v>24</v>
      </c>
      <c r="AE2264" s="23">
        <f t="shared" si="4919"/>
        <v>28</v>
      </c>
    </row>
    <row r="2265" spans="1:31">
      <c r="A2265" s="4">
        <v>19100</v>
      </c>
      <c r="B2265" s="4">
        <v>14</v>
      </c>
      <c r="C2265" s="19" t="s">
        <v>69</v>
      </c>
      <c r="D2265" s="44">
        <v>0</v>
      </c>
      <c r="E2265" s="18">
        <v>0</v>
      </c>
      <c r="F2265" s="18">
        <v>0</v>
      </c>
      <c r="G2265" s="18">
        <v>0</v>
      </c>
      <c r="H2265" s="45">
        <f>'[1]10级升星'!$L16</f>
        <v>1516</v>
      </c>
      <c r="I2265" s="21">
        <f t="shared" si="4800"/>
        <v>220</v>
      </c>
      <c r="J2265" s="21">
        <f t="shared" si="4892"/>
        <v>13</v>
      </c>
      <c r="K2265" s="21">
        <v>0</v>
      </c>
      <c r="L2265" s="20">
        <v>6</v>
      </c>
      <c r="M2265" s="20">
        <v>0</v>
      </c>
      <c r="N2265" s="20">
        <f t="shared" si="4801"/>
        <v>2800</v>
      </c>
      <c r="O2265" s="19" t="s">
        <v>69</v>
      </c>
      <c r="P2265" s="20">
        <v>6400</v>
      </c>
      <c r="Q2265" s="20">
        <f t="shared" ref="Q2265:X2265" si="4920">Q2235</f>
        <v>280</v>
      </c>
      <c r="R2265" s="20">
        <f t="shared" si="4920"/>
        <v>1120</v>
      </c>
      <c r="S2265" s="20">
        <f t="shared" si="4920"/>
        <v>1959.9999999999998</v>
      </c>
      <c r="T2265" s="20">
        <f t="shared" si="4920"/>
        <v>2520</v>
      </c>
      <c r="U2265" s="20">
        <f t="shared" si="4920"/>
        <v>100</v>
      </c>
      <c r="V2265" s="20">
        <f t="shared" si="4920"/>
        <v>400</v>
      </c>
      <c r="W2265" s="20">
        <f t="shared" si="4920"/>
        <v>1200</v>
      </c>
      <c r="X2265" s="20">
        <f t="shared" si="4920"/>
        <v>4</v>
      </c>
      <c r="Y2265" s="20">
        <v>0</v>
      </c>
      <c r="Z2265" s="20">
        <v>0</v>
      </c>
      <c r="AA2265" s="20">
        <v>0</v>
      </c>
      <c r="AB2265" s="20">
        <v>0</v>
      </c>
      <c r="AC2265" s="20">
        <f t="shared" si="4896"/>
        <v>0</v>
      </c>
      <c r="AD2265" s="23">
        <f t="shared" ref="AD2265:AE2265" si="4921">AD2235</f>
        <v>26</v>
      </c>
      <c r="AE2265" s="23">
        <f t="shared" si="4921"/>
        <v>30</v>
      </c>
    </row>
    <row r="2266" spans="1:31">
      <c r="A2266" s="4">
        <v>19100</v>
      </c>
      <c r="B2266" s="4">
        <v>15</v>
      </c>
      <c r="C2266" s="19" t="s">
        <v>70</v>
      </c>
      <c r="D2266" s="44">
        <v>0</v>
      </c>
      <c r="E2266" s="18">
        <v>0</v>
      </c>
      <c r="F2266" s="18">
        <v>0</v>
      </c>
      <c r="G2266" s="18">
        <v>0</v>
      </c>
      <c r="H2266" s="45">
        <f>'[1]10级升星'!$L17</f>
        <v>1641</v>
      </c>
      <c r="I2266" s="21">
        <f t="shared" si="4800"/>
        <v>220</v>
      </c>
      <c r="J2266" s="21">
        <f t="shared" si="4892"/>
        <v>14</v>
      </c>
      <c r="K2266" s="21">
        <v>0</v>
      </c>
      <c r="L2266" s="20">
        <v>6</v>
      </c>
      <c r="M2266" s="20">
        <v>0</v>
      </c>
      <c r="N2266" s="20">
        <f t="shared" si="4801"/>
        <v>4500</v>
      </c>
      <c r="O2266" s="19" t="s">
        <v>70</v>
      </c>
      <c r="P2266" s="20">
        <v>3100</v>
      </c>
      <c r="Q2266" s="20">
        <f t="shared" ref="Q2266:X2266" si="4922">Q2236</f>
        <v>450</v>
      </c>
      <c r="R2266" s="20">
        <f t="shared" si="4922"/>
        <v>1800</v>
      </c>
      <c r="S2266" s="20">
        <f t="shared" si="4922"/>
        <v>3150</v>
      </c>
      <c r="T2266" s="20">
        <f t="shared" si="4922"/>
        <v>4050</v>
      </c>
      <c r="U2266" s="20">
        <f t="shared" si="4922"/>
        <v>100</v>
      </c>
      <c r="V2266" s="20">
        <f t="shared" si="4922"/>
        <v>1000</v>
      </c>
      <c r="W2266" s="20">
        <f t="shared" si="4922"/>
        <v>600</v>
      </c>
      <c r="X2266" s="20">
        <f t="shared" si="4922"/>
        <v>4</v>
      </c>
      <c r="Y2266" s="20">
        <v>0</v>
      </c>
      <c r="Z2266" s="20">
        <v>0</v>
      </c>
      <c r="AA2266" s="20">
        <v>0</v>
      </c>
      <c r="AB2266" s="20">
        <v>0</v>
      </c>
      <c r="AC2266" s="20">
        <f t="shared" si="4896"/>
        <v>0</v>
      </c>
      <c r="AD2266" s="23">
        <f t="shared" ref="AD2266:AE2266" si="4923">AD2236</f>
        <v>28</v>
      </c>
      <c r="AE2266" s="23">
        <f t="shared" si="4923"/>
        <v>32</v>
      </c>
    </row>
    <row r="2267" spans="1:31">
      <c r="A2267" s="4">
        <v>19100</v>
      </c>
      <c r="B2267" s="4">
        <v>16</v>
      </c>
      <c r="C2267" s="19" t="s">
        <v>71</v>
      </c>
      <c r="D2267" s="44">
        <v>0</v>
      </c>
      <c r="E2267" s="18">
        <v>0</v>
      </c>
      <c r="F2267" s="18">
        <v>0</v>
      </c>
      <c r="G2267" s="18">
        <v>0</v>
      </c>
      <c r="H2267" s="45">
        <f>'[1]10级升星'!$L18</f>
        <v>1777</v>
      </c>
      <c r="I2267" s="21">
        <f t="shared" si="4800"/>
        <v>220</v>
      </c>
      <c r="J2267" s="21">
        <f t="shared" si="4892"/>
        <v>15</v>
      </c>
      <c r="K2267" s="21">
        <v>0</v>
      </c>
      <c r="L2267" s="20">
        <v>6</v>
      </c>
      <c r="M2267" s="20">
        <v>0</v>
      </c>
      <c r="N2267" s="20">
        <f t="shared" si="4801"/>
        <v>4800</v>
      </c>
      <c r="O2267" s="19" t="s">
        <v>71</v>
      </c>
      <c r="P2267" s="20">
        <v>1777</v>
      </c>
      <c r="Q2267" s="20">
        <f t="shared" ref="Q2267:X2267" si="4924">Q2237</f>
        <v>480</v>
      </c>
      <c r="R2267" s="20">
        <f t="shared" si="4924"/>
        <v>1920</v>
      </c>
      <c r="S2267" s="20">
        <f t="shared" si="4924"/>
        <v>3360</v>
      </c>
      <c r="T2267" s="20">
        <f t="shared" si="4924"/>
        <v>4320</v>
      </c>
      <c r="U2267" s="20">
        <f t="shared" si="4924"/>
        <v>100</v>
      </c>
      <c r="V2267" s="20">
        <f t="shared" si="4924"/>
        <v>800</v>
      </c>
      <c r="W2267" s="20">
        <f t="shared" si="4924"/>
        <v>800</v>
      </c>
      <c r="X2267" s="20">
        <f t="shared" si="4924"/>
        <v>4</v>
      </c>
      <c r="Y2267" s="20">
        <v>0</v>
      </c>
      <c r="Z2267" s="20">
        <v>0</v>
      </c>
      <c r="AA2267" s="20">
        <v>0</v>
      </c>
      <c r="AB2267" s="20">
        <v>0</v>
      </c>
      <c r="AC2267" s="20">
        <f t="shared" si="4896"/>
        <v>0</v>
      </c>
      <c r="AD2267" s="23">
        <f t="shared" ref="AD2267:AE2267" si="4925">AD2237</f>
        <v>30</v>
      </c>
      <c r="AE2267" s="23">
        <f t="shared" si="4925"/>
        <v>34</v>
      </c>
    </row>
    <row r="2268" spans="1:31">
      <c r="A2268" s="4">
        <v>19100</v>
      </c>
      <c r="B2268" s="4">
        <v>17</v>
      </c>
      <c r="C2268" s="19" t="s">
        <v>72</v>
      </c>
      <c r="D2268" s="44">
        <v>0</v>
      </c>
      <c r="E2268" s="18">
        <v>0</v>
      </c>
      <c r="F2268" s="18">
        <v>0</v>
      </c>
      <c r="G2268" s="18">
        <v>0</v>
      </c>
      <c r="H2268" s="45">
        <f>'[1]10级升星'!$L19</f>
        <v>1924</v>
      </c>
      <c r="I2268" s="21">
        <f t="shared" si="4800"/>
        <v>275</v>
      </c>
      <c r="J2268" s="21">
        <f t="shared" si="4892"/>
        <v>16</v>
      </c>
      <c r="K2268" s="21">
        <v>0</v>
      </c>
      <c r="L2268" s="20">
        <v>6</v>
      </c>
      <c r="M2268" s="20">
        <v>0</v>
      </c>
      <c r="N2268" s="20">
        <f t="shared" si="4801"/>
        <v>5100</v>
      </c>
      <c r="O2268" s="19" t="s">
        <v>72</v>
      </c>
      <c r="P2268" s="20">
        <v>2332</v>
      </c>
      <c r="Q2268" s="20">
        <f t="shared" ref="Q2268:X2268" si="4926">Q2238</f>
        <v>510</v>
      </c>
      <c r="R2268" s="20">
        <f t="shared" si="4926"/>
        <v>2040</v>
      </c>
      <c r="S2268" s="20">
        <f t="shared" si="4926"/>
        <v>3570</v>
      </c>
      <c r="T2268" s="20">
        <f t="shared" si="4926"/>
        <v>4590</v>
      </c>
      <c r="U2268" s="20">
        <f t="shared" si="4926"/>
        <v>80</v>
      </c>
      <c r="V2268" s="20">
        <f t="shared" si="4926"/>
        <v>800</v>
      </c>
      <c r="W2268" s="20">
        <f t="shared" si="4926"/>
        <v>600</v>
      </c>
      <c r="X2268" s="20">
        <f t="shared" si="4926"/>
        <v>5</v>
      </c>
      <c r="Y2268" s="20">
        <v>0</v>
      </c>
      <c r="Z2268" s="20">
        <v>0</v>
      </c>
      <c r="AA2268" s="20">
        <v>0</v>
      </c>
      <c r="AB2268" s="20">
        <v>0</v>
      </c>
      <c r="AC2268" s="20">
        <f t="shared" si="4896"/>
        <v>0</v>
      </c>
      <c r="AD2268" s="23">
        <f t="shared" ref="AD2268:AE2268" si="4927">AD2238</f>
        <v>32</v>
      </c>
      <c r="AE2268" s="23">
        <f t="shared" si="4927"/>
        <v>36</v>
      </c>
    </row>
    <row r="2269" spans="1:31">
      <c r="A2269" s="4">
        <v>19100</v>
      </c>
      <c r="B2269" s="4">
        <v>18</v>
      </c>
      <c r="C2269" s="19" t="s">
        <v>73</v>
      </c>
      <c r="D2269" s="44">
        <v>0</v>
      </c>
      <c r="E2269" s="18">
        <v>0</v>
      </c>
      <c r="F2269" s="18">
        <v>0</v>
      </c>
      <c r="G2269" s="18">
        <v>0</v>
      </c>
      <c r="H2269" s="45">
        <f>'[1]10级升星'!$L20</f>
        <v>2083</v>
      </c>
      <c r="I2269" s="21">
        <f t="shared" si="4800"/>
        <v>275</v>
      </c>
      <c r="J2269" s="21">
        <f t="shared" si="4892"/>
        <v>17</v>
      </c>
      <c r="K2269" s="21">
        <v>0</v>
      </c>
      <c r="L2269" s="20">
        <v>6</v>
      </c>
      <c r="M2269" s="20">
        <v>0</v>
      </c>
      <c r="N2269" s="20">
        <f t="shared" si="4801"/>
        <v>5400</v>
      </c>
      <c r="O2269" s="19" t="s">
        <v>73</v>
      </c>
      <c r="P2269" s="20">
        <v>1487</v>
      </c>
      <c r="Q2269" s="20">
        <f t="shared" ref="Q2269:X2269" si="4928">Q2239</f>
        <v>540</v>
      </c>
      <c r="R2269" s="20">
        <f t="shared" si="4928"/>
        <v>2160</v>
      </c>
      <c r="S2269" s="20">
        <f t="shared" si="4928"/>
        <v>3779.9999999999995</v>
      </c>
      <c r="T2269" s="20">
        <f t="shared" si="4928"/>
        <v>4860</v>
      </c>
      <c r="U2269" s="20">
        <f t="shared" si="4928"/>
        <v>100</v>
      </c>
      <c r="V2269" s="20">
        <f t="shared" si="4928"/>
        <v>600</v>
      </c>
      <c r="W2269" s="20">
        <f t="shared" si="4928"/>
        <v>300</v>
      </c>
      <c r="X2269" s="20">
        <f t="shared" si="4928"/>
        <v>5</v>
      </c>
      <c r="Y2269" s="20">
        <f>ROUND(D2269*0.25,-1)</f>
        <v>0</v>
      </c>
      <c r="Z2269" s="20">
        <f>ROUND(E2269*0.25,-1)</f>
        <v>0</v>
      </c>
      <c r="AA2269" s="20">
        <f>ROUND(F2269*0.25,-1)</f>
        <v>0</v>
      </c>
      <c r="AB2269" s="20">
        <f>ROUND(G2269*0.25,-1)</f>
        <v>0</v>
      </c>
      <c r="AC2269" s="20">
        <f t="shared" si="4896"/>
        <v>777</v>
      </c>
      <c r="AD2269" s="23">
        <f t="shared" ref="AD2269:AE2269" si="4929">AD2239</f>
        <v>34</v>
      </c>
      <c r="AE2269" s="23">
        <f t="shared" si="4929"/>
        <v>38</v>
      </c>
    </row>
    <row r="2270" spans="1:31">
      <c r="A2270" s="4">
        <v>19100</v>
      </c>
      <c r="B2270" s="4">
        <v>19</v>
      </c>
      <c r="C2270" s="19" t="s">
        <v>74</v>
      </c>
      <c r="D2270" s="44">
        <v>0</v>
      </c>
      <c r="E2270" s="18">
        <v>0</v>
      </c>
      <c r="F2270" s="18">
        <v>0</v>
      </c>
      <c r="G2270" s="18">
        <v>0</v>
      </c>
      <c r="H2270" s="45">
        <f>'[1]10级升星'!$L21</f>
        <v>2255</v>
      </c>
      <c r="I2270" s="21">
        <f t="shared" si="4800"/>
        <v>275</v>
      </c>
      <c r="J2270" s="21">
        <f t="shared" si="4892"/>
        <v>18</v>
      </c>
      <c r="K2270" s="21">
        <v>0</v>
      </c>
      <c r="L2270" s="20">
        <v>6</v>
      </c>
      <c r="M2270" s="20">
        <v>0</v>
      </c>
      <c r="N2270" s="20">
        <f t="shared" si="4801"/>
        <v>5700</v>
      </c>
      <c r="O2270" s="19" t="s">
        <v>74</v>
      </c>
      <c r="P2270" s="20">
        <v>1518</v>
      </c>
      <c r="Q2270" s="20">
        <f t="shared" ref="Q2270:X2270" si="4930">Q2240</f>
        <v>570</v>
      </c>
      <c r="R2270" s="20">
        <f t="shared" si="4930"/>
        <v>2280</v>
      </c>
      <c r="S2270" s="20">
        <f t="shared" si="4930"/>
        <v>3989.9999999999995</v>
      </c>
      <c r="T2270" s="20">
        <f t="shared" si="4930"/>
        <v>5130</v>
      </c>
      <c r="U2270" s="20">
        <f t="shared" si="4930"/>
        <v>100</v>
      </c>
      <c r="V2270" s="20">
        <f t="shared" si="4930"/>
        <v>500</v>
      </c>
      <c r="W2270" s="20">
        <f t="shared" si="4930"/>
        <v>400</v>
      </c>
      <c r="X2270" s="20">
        <f t="shared" si="4930"/>
        <v>5</v>
      </c>
      <c r="Y2270" s="20">
        <v>0</v>
      </c>
      <c r="Z2270" s="20">
        <v>0</v>
      </c>
      <c r="AA2270" s="20">
        <v>0</v>
      </c>
      <c r="AB2270" s="20">
        <v>0</v>
      </c>
      <c r="AC2270" s="20">
        <f t="shared" si="4896"/>
        <v>0</v>
      </c>
      <c r="AD2270" s="23">
        <f t="shared" ref="AD2270:AE2270" si="4931">AD2240</f>
        <v>36</v>
      </c>
      <c r="AE2270" s="23">
        <f t="shared" si="4931"/>
        <v>40</v>
      </c>
    </row>
    <row r="2271" spans="1:31">
      <c r="A2271" s="4">
        <v>19100</v>
      </c>
      <c r="B2271" s="4">
        <v>20</v>
      </c>
      <c r="C2271" s="19" t="s">
        <v>75</v>
      </c>
      <c r="D2271" s="44">
        <v>0</v>
      </c>
      <c r="E2271" s="18">
        <v>0</v>
      </c>
      <c r="F2271" s="18">
        <v>0</v>
      </c>
      <c r="G2271" s="18">
        <v>0</v>
      </c>
      <c r="H2271" s="45">
        <f>'[1]10级升星'!$L22</f>
        <v>2441</v>
      </c>
      <c r="I2271" s="21">
        <f t="shared" si="4800"/>
        <v>275</v>
      </c>
      <c r="J2271" s="21">
        <f t="shared" si="4892"/>
        <v>19</v>
      </c>
      <c r="K2271" s="21">
        <v>0</v>
      </c>
      <c r="L2271" s="20">
        <v>6</v>
      </c>
      <c r="M2271" s="20">
        <v>0</v>
      </c>
      <c r="N2271" s="20">
        <f t="shared" si="4801"/>
        <v>8000</v>
      </c>
      <c r="O2271" s="19" t="s">
        <v>75</v>
      </c>
      <c r="P2271" s="20">
        <v>861</v>
      </c>
      <c r="Q2271" s="20">
        <f t="shared" ref="Q2271:X2271" si="4932">Q2241</f>
        <v>800</v>
      </c>
      <c r="R2271" s="20">
        <f t="shared" si="4932"/>
        <v>3200</v>
      </c>
      <c r="S2271" s="20">
        <f t="shared" si="4932"/>
        <v>5600</v>
      </c>
      <c r="T2271" s="20">
        <f t="shared" si="4932"/>
        <v>7200</v>
      </c>
      <c r="U2271" s="20">
        <f t="shared" si="4932"/>
        <v>100</v>
      </c>
      <c r="V2271" s="20">
        <f t="shared" si="4932"/>
        <v>800</v>
      </c>
      <c r="W2271" s="20">
        <f t="shared" si="4932"/>
        <v>8000</v>
      </c>
      <c r="X2271" s="20">
        <f t="shared" si="4932"/>
        <v>5</v>
      </c>
      <c r="Y2271" s="20">
        <v>0</v>
      </c>
      <c r="Z2271" s="20">
        <v>0</v>
      </c>
      <c r="AA2271" s="20">
        <v>0</v>
      </c>
      <c r="AB2271" s="20">
        <v>0</v>
      </c>
      <c r="AC2271" s="20">
        <f t="shared" si="4896"/>
        <v>0</v>
      </c>
      <c r="AD2271" s="23">
        <f t="shared" ref="AD2271:AE2271" si="4933">AD2241</f>
        <v>38</v>
      </c>
      <c r="AE2271" s="23">
        <f t="shared" si="4933"/>
        <v>42</v>
      </c>
    </row>
    <row r="2272" spans="1:31">
      <c r="A2272" s="4">
        <v>19100</v>
      </c>
      <c r="B2272" s="4">
        <v>21</v>
      </c>
      <c r="C2272" s="19" t="s">
        <v>66</v>
      </c>
      <c r="D2272" s="44">
        <v>0</v>
      </c>
      <c r="E2272" s="18">
        <v>0</v>
      </c>
      <c r="F2272" s="18">
        <v>0</v>
      </c>
      <c r="G2272" s="18">
        <v>0</v>
      </c>
      <c r="H2272" s="45">
        <f>'[1]10级升星'!$L23</f>
        <v>2643</v>
      </c>
      <c r="I2272" s="21">
        <f t="shared" si="4800"/>
        <v>330</v>
      </c>
      <c r="J2272" s="21">
        <f t="shared" si="4892"/>
        <v>20</v>
      </c>
      <c r="K2272" s="21">
        <v>0</v>
      </c>
      <c r="L2272" s="20">
        <v>6</v>
      </c>
      <c r="M2272" s="20">
        <v>0</v>
      </c>
      <c r="N2272" s="20">
        <f t="shared" si="4801"/>
        <v>8400</v>
      </c>
      <c r="O2272" s="19" t="s">
        <v>66</v>
      </c>
      <c r="P2272" s="20">
        <v>9400</v>
      </c>
      <c r="Q2272" s="20">
        <f t="shared" ref="Q2272:X2272" si="4934">Q2242</f>
        <v>840</v>
      </c>
      <c r="R2272" s="20">
        <f t="shared" si="4934"/>
        <v>3360</v>
      </c>
      <c r="S2272" s="20">
        <f t="shared" si="4934"/>
        <v>5880</v>
      </c>
      <c r="T2272" s="20">
        <f t="shared" si="4934"/>
        <v>7560</v>
      </c>
      <c r="U2272" s="20">
        <f t="shared" si="4934"/>
        <v>50</v>
      </c>
      <c r="V2272" s="20">
        <f t="shared" si="4934"/>
        <v>1000</v>
      </c>
      <c r="W2272" s="20">
        <f t="shared" si="4934"/>
        <v>600</v>
      </c>
      <c r="X2272" s="20">
        <f t="shared" si="4934"/>
        <v>6</v>
      </c>
      <c r="Y2272" s="20">
        <v>0</v>
      </c>
      <c r="Z2272" s="20">
        <v>0</v>
      </c>
      <c r="AA2272" s="20">
        <v>0</v>
      </c>
      <c r="AB2272" s="20">
        <v>0</v>
      </c>
      <c r="AC2272" s="20">
        <f t="shared" si="4896"/>
        <v>0</v>
      </c>
      <c r="AD2272" s="23">
        <f t="shared" ref="AD2272:AE2272" si="4935">AD2242</f>
        <v>40</v>
      </c>
      <c r="AE2272" s="23">
        <f t="shared" si="4935"/>
        <v>44</v>
      </c>
    </row>
    <row r="2273" spans="1:31">
      <c r="A2273" s="4">
        <v>19100</v>
      </c>
      <c r="B2273" s="4">
        <v>22</v>
      </c>
      <c r="C2273" s="19" t="s">
        <v>67</v>
      </c>
      <c r="D2273" s="44">
        <v>0</v>
      </c>
      <c r="E2273" s="18">
        <v>0</v>
      </c>
      <c r="F2273" s="18">
        <v>0</v>
      </c>
      <c r="G2273" s="18">
        <v>0</v>
      </c>
      <c r="H2273" s="45">
        <f>'[1]10级升星'!$L24</f>
        <v>2861</v>
      </c>
      <c r="I2273" s="21">
        <f t="shared" ref="I2273:I2336" si="4936">I2243</f>
        <v>330</v>
      </c>
      <c r="J2273" s="21">
        <f t="shared" si="4892"/>
        <v>21</v>
      </c>
      <c r="K2273" s="21">
        <v>0</v>
      </c>
      <c r="L2273" s="20">
        <v>6</v>
      </c>
      <c r="M2273" s="20">
        <v>0</v>
      </c>
      <c r="N2273" s="20">
        <f t="shared" ref="N2273:N2336" si="4937">N2243</f>
        <v>8800</v>
      </c>
      <c r="O2273" s="19" t="s">
        <v>67</v>
      </c>
      <c r="P2273" s="20">
        <v>9100</v>
      </c>
      <c r="Q2273" s="20">
        <f t="shared" ref="Q2273:X2273" si="4938">Q2243</f>
        <v>880</v>
      </c>
      <c r="R2273" s="20">
        <f t="shared" si="4938"/>
        <v>3520</v>
      </c>
      <c r="S2273" s="20">
        <f t="shared" si="4938"/>
        <v>6160</v>
      </c>
      <c r="T2273" s="20">
        <f t="shared" si="4938"/>
        <v>7920</v>
      </c>
      <c r="U2273" s="20">
        <f t="shared" si="4938"/>
        <v>100</v>
      </c>
      <c r="V2273" s="20">
        <f t="shared" si="4938"/>
        <v>600</v>
      </c>
      <c r="W2273" s="20">
        <f t="shared" si="4938"/>
        <v>700</v>
      </c>
      <c r="X2273" s="20">
        <f t="shared" si="4938"/>
        <v>6</v>
      </c>
      <c r="Y2273" s="20">
        <v>0</v>
      </c>
      <c r="Z2273" s="20">
        <v>0</v>
      </c>
      <c r="AA2273" s="20">
        <v>0</v>
      </c>
      <c r="AB2273" s="20">
        <v>0</v>
      </c>
      <c r="AC2273" s="20">
        <f t="shared" si="4896"/>
        <v>0</v>
      </c>
      <c r="AD2273" s="23">
        <f t="shared" ref="AD2273:AE2273" si="4939">AD2243</f>
        <v>42</v>
      </c>
      <c r="AE2273" s="23">
        <f t="shared" si="4939"/>
        <v>46</v>
      </c>
    </row>
    <row r="2274" spans="1:31">
      <c r="A2274" s="4">
        <v>19100</v>
      </c>
      <c r="B2274" s="4">
        <v>23</v>
      </c>
      <c r="C2274" s="19" t="s">
        <v>68</v>
      </c>
      <c r="D2274" s="44">
        <v>0</v>
      </c>
      <c r="E2274" s="18">
        <v>0</v>
      </c>
      <c r="F2274" s="18">
        <v>0</v>
      </c>
      <c r="G2274" s="18">
        <v>0</v>
      </c>
      <c r="H2274" s="45">
        <f>'[1]10级升星'!$L25</f>
        <v>3098</v>
      </c>
      <c r="I2274" s="21">
        <f t="shared" si="4936"/>
        <v>330</v>
      </c>
      <c r="J2274" s="21">
        <f t="shared" si="4892"/>
        <v>22</v>
      </c>
      <c r="K2274" s="21">
        <v>0</v>
      </c>
      <c r="L2274" s="20">
        <v>6</v>
      </c>
      <c r="M2274" s="20">
        <v>0</v>
      </c>
      <c r="N2274" s="20">
        <f t="shared" si="4937"/>
        <v>9200</v>
      </c>
      <c r="O2274" s="19" t="s">
        <v>68</v>
      </c>
      <c r="P2274" s="20">
        <v>8600</v>
      </c>
      <c r="Q2274" s="20">
        <f t="shared" ref="Q2274:X2274" si="4940">Q2244</f>
        <v>920</v>
      </c>
      <c r="R2274" s="20">
        <f t="shared" si="4940"/>
        <v>3680</v>
      </c>
      <c r="S2274" s="20">
        <f t="shared" si="4940"/>
        <v>6440</v>
      </c>
      <c r="T2274" s="20">
        <f t="shared" si="4940"/>
        <v>8280</v>
      </c>
      <c r="U2274" s="20">
        <f t="shared" si="4940"/>
        <v>100</v>
      </c>
      <c r="V2274" s="20">
        <f t="shared" si="4940"/>
        <v>550</v>
      </c>
      <c r="W2274" s="20">
        <f t="shared" si="4940"/>
        <v>500</v>
      </c>
      <c r="X2274" s="20">
        <f t="shared" si="4940"/>
        <v>6</v>
      </c>
      <c r="Y2274" s="20">
        <f>ROUND(D2274*0.25,-1)</f>
        <v>0</v>
      </c>
      <c r="Z2274" s="20">
        <f>ROUND(E2274*0.25,-1)</f>
        <v>0</v>
      </c>
      <c r="AA2274" s="20">
        <f>ROUND(F2274*0.25,-1)</f>
        <v>0</v>
      </c>
      <c r="AB2274" s="20">
        <f>ROUND(G2274*0.25,-1)</f>
        <v>0</v>
      </c>
      <c r="AC2274" s="20">
        <f t="shared" si="4896"/>
        <v>1036</v>
      </c>
      <c r="AD2274" s="23">
        <f t="shared" ref="AD2274:AE2274" si="4941">AD2244</f>
        <v>44</v>
      </c>
      <c r="AE2274" s="23">
        <f t="shared" si="4941"/>
        <v>48</v>
      </c>
    </row>
    <row r="2275" spans="1:31">
      <c r="A2275" s="4">
        <v>19100</v>
      </c>
      <c r="B2275" s="4">
        <v>24</v>
      </c>
      <c r="C2275" s="19" t="s">
        <v>69</v>
      </c>
      <c r="D2275" s="44">
        <v>0</v>
      </c>
      <c r="E2275" s="18">
        <v>0</v>
      </c>
      <c r="F2275" s="18">
        <v>0</v>
      </c>
      <c r="G2275" s="18">
        <v>0</v>
      </c>
      <c r="H2275" s="45">
        <f>'[1]10级升星'!$L26</f>
        <v>3353</v>
      </c>
      <c r="I2275" s="21">
        <f t="shared" si="4936"/>
        <v>330</v>
      </c>
      <c r="J2275" s="21">
        <f t="shared" si="4892"/>
        <v>23</v>
      </c>
      <c r="K2275" s="21">
        <v>0</v>
      </c>
      <c r="L2275" s="20">
        <v>6</v>
      </c>
      <c r="M2275" s="20">
        <v>0</v>
      </c>
      <c r="N2275" s="20">
        <f t="shared" si="4937"/>
        <v>9600</v>
      </c>
      <c r="O2275" s="19" t="s">
        <v>69</v>
      </c>
      <c r="P2275" s="20">
        <v>6400</v>
      </c>
      <c r="Q2275" s="20">
        <f t="shared" ref="Q2275:X2275" si="4942">Q2245</f>
        <v>960</v>
      </c>
      <c r="R2275" s="20">
        <f t="shared" si="4942"/>
        <v>3840</v>
      </c>
      <c r="S2275" s="20">
        <f t="shared" si="4942"/>
        <v>6720</v>
      </c>
      <c r="T2275" s="20">
        <f t="shared" si="4942"/>
        <v>8640</v>
      </c>
      <c r="U2275" s="20">
        <f t="shared" si="4942"/>
        <v>100</v>
      </c>
      <c r="V2275" s="20">
        <f t="shared" si="4942"/>
        <v>500</v>
      </c>
      <c r="W2275" s="20">
        <f t="shared" si="4942"/>
        <v>900</v>
      </c>
      <c r="X2275" s="20">
        <f t="shared" si="4942"/>
        <v>6</v>
      </c>
      <c r="Y2275" s="20">
        <v>0</v>
      </c>
      <c r="Z2275" s="20">
        <v>0</v>
      </c>
      <c r="AA2275" s="20">
        <v>0</v>
      </c>
      <c r="AB2275" s="20">
        <v>0</v>
      </c>
      <c r="AC2275" s="20">
        <f t="shared" si="4896"/>
        <v>0</v>
      </c>
      <c r="AD2275" s="23">
        <f t="shared" ref="AD2275:AE2275" si="4943">AD2245</f>
        <v>46</v>
      </c>
      <c r="AE2275" s="23">
        <f t="shared" si="4943"/>
        <v>50</v>
      </c>
    </row>
    <row r="2276" spans="1:31">
      <c r="A2276" s="4">
        <v>19100</v>
      </c>
      <c r="B2276" s="4">
        <v>25</v>
      </c>
      <c r="C2276" s="19" t="s">
        <v>70</v>
      </c>
      <c r="D2276" s="44">
        <v>0</v>
      </c>
      <c r="E2276" s="18">
        <v>0</v>
      </c>
      <c r="F2276" s="18">
        <v>0</v>
      </c>
      <c r="G2276" s="18">
        <v>0</v>
      </c>
      <c r="H2276" s="45">
        <f>'[1]10级升星'!$L27</f>
        <v>3631</v>
      </c>
      <c r="I2276" s="21">
        <f t="shared" si="4936"/>
        <v>385</v>
      </c>
      <c r="J2276" s="21">
        <f t="shared" si="4892"/>
        <v>24</v>
      </c>
      <c r="K2276" s="21">
        <v>0</v>
      </c>
      <c r="L2276" s="20">
        <v>6</v>
      </c>
      <c r="M2276" s="20">
        <v>0</v>
      </c>
      <c r="N2276" s="20">
        <f t="shared" si="4937"/>
        <v>12500</v>
      </c>
      <c r="O2276" s="19" t="s">
        <v>70</v>
      </c>
      <c r="P2276" s="20">
        <v>3100</v>
      </c>
      <c r="Q2276" s="20">
        <f t="shared" ref="Q2276:X2276" si="4944">Q2246</f>
        <v>1250</v>
      </c>
      <c r="R2276" s="20">
        <f t="shared" si="4944"/>
        <v>5000</v>
      </c>
      <c r="S2276" s="20">
        <f t="shared" si="4944"/>
        <v>8750</v>
      </c>
      <c r="T2276" s="20">
        <f t="shared" si="4944"/>
        <v>11250</v>
      </c>
      <c r="U2276" s="20">
        <f t="shared" si="4944"/>
        <v>10</v>
      </c>
      <c r="V2276" s="20">
        <f t="shared" si="4944"/>
        <v>1300</v>
      </c>
      <c r="W2276" s="20">
        <f t="shared" si="4944"/>
        <v>1000</v>
      </c>
      <c r="X2276" s="20">
        <f t="shared" si="4944"/>
        <v>7</v>
      </c>
      <c r="Y2276" s="20">
        <v>0</v>
      </c>
      <c r="Z2276" s="20">
        <v>0</v>
      </c>
      <c r="AA2276" s="20">
        <v>0</v>
      </c>
      <c r="AB2276" s="20">
        <v>0</v>
      </c>
      <c r="AC2276" s="20">
        <f t="shared" si="4896"/>
        <v>0</v>
      </c>
      <c r="AD2276" s="23">
        <f t="shared" ref="AD2276:AE2276" si="4945">AD2246</f>
        <v>48</v>
      </c>
      <c r="AE2276" s="23">
        <f t="shared" si="4945"/>
        <v>52</v>
      </c>
    </row>
    <row r="2277" spans="1:31">
      <c r="A2277" s="4">
        <v>19100</v>
      </c>
      <c r="B2277" s="4">
        <v>26</v>
      </c>
      <c r="C2277" s="19" t="s">
        <v>71</v>
      </c>
      <c r="D2277" s="44">
        <v>0</v>
      </c>
      <c r="E2277" s="18">
        <v>0</v>
      </c>
      <c r="F2277" s="18">
        <v>0</v>
      </c>
      <c r="G2277" s="18">
        <v>0</v>
      </c>
      <c r="H2277" s="45">
        <f>'[1]10级升星'!$L28</f>
        <v>3931</v>
      </c>
      <c r="I2277" s="21">
        <f t="shared" si="4936"/>
        <v>385</v>
      </c>
      <c r="J2277" s="21">
        <f t="shared" si="4892"/>
        <v>25</v>
      </c>
      <c r="K2277" s="21">
        <v>0</v>
      </c>
      <c r="L2277" s="20">
        <v>6</v>
      </c>
      <c r="M2277" s="20">
        <v>0</v>
      </c>
      <c r="N2277" s="20">
        <f t="shared" si="4937"/>
        <v>13000</v>
      </c>
      <c r="O2277" s="19" t="s">
        <v>71</v>
      </c>
      <c r="P2277" s="20">
        <v>1777</v>
      </c>
      <c r="Q2277" s="20">
        <f t="shared" ref="Q2277:X2277" si="4946">Q2247</f>
        <v>1300</v>
      </c>
      <c r="R2277" s="20">
        <f t="shared" si="4946"/>
        <v>5200</v>
      </c>
      <c r="S2277" s="20">
        <f t="shared" si="4946"/>
        <v>9100</v>
      </c>
      <c r="T2277" s="20">
        <f t="shared" si="4946"/>
        <v>11700</v>
      </c>
      <c r="U2277" s="20">
        <f t="shared" si="4946"/>
        <v>90</v>
      </c>
      <c r="V2277" s="20">
        <f t="shared" si="4946"/>
        <v>800</v>
      </c>
      <c r="W2277" s="20">
        <f t="shared" si="4946"/>
        <v>2000</v>
      </c>
      <c r="X2277" s="20">
        <f t="shared" si="4946"/>
        <v>7</v>
      </c>
      <c r="Y2277" s="20">
        <v>0</v>
      </c>
      <c r="Z2277" s="20">
        <v>0</v>
      </c>
      <c r="AA2277" s="20">
        <v>0</v>
      </c>
      <c r="AB2277" s="20">
        <v>0</v>
      </c>
      <c r="AC2277" s="20">
        <f t="shared" si="4896"/>
        <v>0</v>
      </c>
      <c r="AD2277" s="23">
        <f t="shared" ref="AD2277:AE2277" si="4947">AD2247</f>
        <v>50</v>
      </c>
      <c r="AE2277" s="23">
        <f t="shared" si="4947"/>
        <v>54</v>
      </c>
    </row>
    <row r="2278" spans="1:31">
      <c r="A2278" s="4">
        <v>19100</v>
      </c>
      <c r="B2278" s="4">
        <v>27</v>
      </c>
      <c r="C2278" s="19" t="s">
        <v>72</v>
      </c>
      <c r="D2278" s="44">
        <v>0</v>
      </c>
      <c r="E2278" s="18">
        <v>0</v>
      </c>
      <c r="F2278" s="18">
        <v>0</v>
      </c>
      <c r="G2278" s="18">
        <v>0</v>
      </c>
      <c r="H2278" s="45">
        <f>'[1]10级升星'!$L29</f>
        <v>4255</v>
      </c>
      <c r="I2278" s="21">
        <f t="shared" si="4936"/>
        <v>385</v>
      </c>
      <c r="J2278" s="21">
        <f t="shared" si="4892"/>
        <v>26</v>
      </c>
      <c r="K2278" s="21">
        <v>0</v>
      </c>
      <c r="L2278" s="20">
        <v>6</v>
      </c>
      <c r="M2278" s="20">
        <v>0</v>
      </c>
      <c r="N2278" s="20">
        <f t="shared" si="4937"/>
        <v>13500</v>
      </c>
      <c r="O2278" s="19" t="s">
        <v>72</v>
      </c>
      <c r="P2278" s="20">
        <v>2332</v>
      </c>
      <c r="Q2278" s="20">
        <f t="shared" ref="Q2278:X2278" si="4948">Q2248</f>
        <v>1350</v>
      </c>
      <c r="R2278" s="20">
        <f t="shared" si="4948"/>
        <v>5400</v>
      </c>
      <c r="S2278" s="20">
        <f t="shared" si="4948"/>
        <v>9450</v>
      </c>
      <c r="T2278" s="20">
        <f t="shared" si="4948"/>
        <v>12150</v>
      </c>
      <c r="U2278" s="20">
        <f t="shared" si="4948"/>
        <v>80</v>
      </c>
      <c r="V2278" s="20">
        <f t="shared" si="4948"/>
        <v>700</v>
      </c>
      <c r="W2278" s="20">
        <f t="shared" si="4948"/>
        <v>800</v>
      </c>
      <c r="X2278" s="20">
        <f t="shared" si="4948"/>
        <v>7</v>
      </c>
      <c r="Y2278" s="20">
        <v>0</v>
      </c>
      <c r="Z2278" s="20">
        <v>0</v>
      </c>
      <c r="AA2278" s="20">
        <v>0</v>
      </c>
      <c r="AB2278" s="20">
        <v>0</v>
      </c>
      <c r="AC2278" s="20">
        <f t="shared" si="4896"/>
        <v>0</v>
      </c>
      <c r="AD2278" s="23">
        <f t="shared" ref="AD2278:AE2278" si="4949">AD2248</f>
        <v>52</v>
      </c>
      <c r="AE2278" s="23">
        <f t="shared" si="4949"/>
        <v>56</v>
      </c>
    </row>
    <row r="2279" spans="1:31">
      <c r="A2279" s="4">
        <v>19100</v>
      </c>
      <c r="B2279" s="4">
        <v>28</v>
      </c>
      <c r="C2279" s="19" t="s">
        <v>73</v>
      </c>
      <c r="D2279" s="44">
        <v>0</v>
      </c>
      <c r="E2279" s="18">
        <v>0</v>
      </c>
      <c r="F2279" s="18">
        <v>0</v>
      </c>
      <c r="G2279" s="18">
        <v>0</v>
      </c>
      <c r="H2279" s="45">
        <f>'[1]10级升星'!$L30</f>
        <v>4607</v>
      </c>
      <c r="I2279" s="21">
        <f t="shared" si="4936"/>
        <v>385</v>
      </c>
      <c r="J2279" s="21">
        <f t="shared" si="4892"/>
        <v>27</v>
      </c>
      <c r="K2279" s="21">
        <v>0</v>
      </c>
      <c r="L2279" s="20">
        <v>6</v>
      </c>
      <c r="M2279" s="20">
        <v>0</v>
      </c>
      <c r="N2279" s="20">
        <f t="shared" si="4937"/>
        <v>14000</v>
      </c>
      <c r="O2279" s="19" t="s">
        <v>73</v>
      </c>
      <c r="P2279" s="20">
        <v>1487</v>
      </c>
      <c r="Q2279" s="20">
        <f t="shared" ref="Q2279:X2279" si="4950">Q2249</f>
        <v>1400</v>
      </c>
      <c r="R2279" s="20">
        <f t="shared" si="4950"/>
        <v>5600</v>
      </c>
      <c r="S2279" s="20">
        <f t="shared" si="4950"/>
        <v>9800</v>
      </c>
      <c r="T2279" s="20">
        <f t="shared" si="4950"/>
        <v>12600</v>
      </c>
      <c r="U2279" s="20">
        <f t="shared" si="4950"/>
        <v>80</v>
      </c>
      <c r="V2279" s="20">
        <f t="shared" si="4950"/>
        <v>500</v>
      </c>
      <c r="W2279" s="20">
        <f t="shared" si="4950"/>
        <v>600</v>
      </c>
      <c r="X2279" s="20">
        <f t="shared" si="4950"/>
        <v>7</v>
      </c>
      <c r="Y2279" s="20">
        <f>ROUND(D2279*0.25,-1)</f>
        <v>0</v>
      </c>
      <c r="Z2279" s="20">
        <f>ROUND(E2279*0.25,-1)</f>
        <v>0</v>
      </c>
      <c r="AA2279" s="20">
        <f>ROUND(F2279*0.25,-1)</f>
        <v>0</v>
      </c>
      <c r="AB2279" s="20">
        <f>ROUND(G2279*0.25,-1)</f>
        <v>0</v>
      </c>
      <c r="AC2279" s="20">
        <f t="shared" si="4896"/>
        <v>1296</v>
      </c>
      <c r="AD2279" s="23">
        <f t="shared" ref="AD2279:AE2279" si="4951">AD2249</f>
        <v>54</v>
      </c>
      <c r="AE2279" s="23">
        <f t="shared" si="4951"/>
        <v>58</v>
      </c>
    </row>
    <row r="2280" spans="1:31">
      <c r="A2280" s="4">
        <v>19100</v>
      </c>
      <c r="B2280" s="4">
        <v>29</v>
      </c>
      <c r="C2280" s="19" t="s">
        <v>74</v>
      </c>
      <c r="D2280" s="44">
        <v>0</v>
      </c>
      <c r="E2280" s="18">
        <v>0</v>
      </c>
      <c r="F2280" s="18">
        <v>0</v>
      </c>
      <c r="G2280" s="18">
        <v>0</v>
      </c>
      <c r="H2280" s="45">
        <f>'[1]10级升星'!$L31</f>
        <v>4988</v>
      </c>
      <c r="I2280" s="21">
        <f t="shared" si="4936"/>
        <v>440</v>
      </c>
      <c r="J2280" s="21">
        <f t="shared" si="4892"/>
        <v>28</v>
      </c>
      <c r="K2280" s="21">
        <v>0</v>
      </c>
      <c r="L2280" s="20">
        <v>6</v>
      </c>
      <c r="M2280" s="20">
        <v>0</v>
      </c>
      <c r="N2280" s="20">
        <f t="shared" si="4937"/>
        <v>14500</v>
      </c>
      <c r="O2280" s="19" t="s">
        <v>74</v>
      </c>
      <c r="P2280" s="20">
        <v>1518</v>
      </c>
      <c r="Q2280" s="20">
        <f t="shared" ref="Q2280:X2280" si="4952">Q2250</f>
        <v>1450</v>
      </c>
      <c r="R2280" s="20">
        <f t="shared" si="4952"/>
        <v>5800</v>
      </c>
      <c r="S2280" s="20">
        <f t="shared" si="4952"/>
        <v>10150</v>
      </c>
      <c r="T2280" s="20">
        <f t="shared" si="4952"/>
        <v>13050</v>
      </c>
      <c r="U2280" s="20">
        <f t="shared" si="4952"/>
        <v>80</v>
      </c>
      <c r="V2280" s="20">
        <f t="shared" si="4952"/>
        <v>600</v>
      </c>
      <c r="W2280" s="20">
        <f t="shared" si="4952"/>
        <v>700</v>
      </c>
      <c r="X2280" s="20">
        <f t="shared" si="4952"/>
        <v>8</v>
      </c>
      <c r="Y2280" s="20">
        <v>0</v>
      </c>
      <c r="Z2280" s="20">
        <v>0</v>
      </c>
      <c r="AA2280" s="20">
        <v>0</v>
      </c>
      <c r="AB2280" s="20">
        <v>0</v>
      </c>
      <c r="AC2280" s="20">
        <f t="shared" si="4896"/>
        <v>0</v>
      </c>
      <c r="AD2280" s="23">
        <f t="shared" ref="AD2280:AE2280" si="4953">AD2250</f>
        <v>56</v>
      </c>
      <c r="AE2280" s="23">
        <f t="shared" si="4953"/>
        <v>60</v>
      </c>
    </row>
    <row r="2281" spans="1:31">
      <c r="A2281" s="4">
        <v>19100</v>
      </c>
      <c r="B2281" s="4">
        <v>30</v>
      </c>
      <c r="C2281" s="19" t="s">
        <v>75</v>
      </c>
      <c r="D2281" s="44">
        <v>0</v>
      </c>
      <c r="E2281" s="18">
        <v>0</v>
      </c>
      <c r="F2281" s="18">
        <v>0</v>
      </c>
      <c r="G2281" s="18">
        <v>0</v>
      </c>
      <c r="H2281" s="45">
        <f>'[1]10级升星'!$L32</f>
        <v>5400</v>
      </c>
      <c r="I2281" s="21">
        <f t="shared" si="4936"/>
        <v>440</v>
      </c>
      <c r="J2281" s="21">
        <f t="shared" si="4892"/>
        <v>29</v>
      </c>
      <c r="K2281" s="21">
        <v>0</v>
      </c>
      <c r="L2281" s="20">
        <v>6</v>
      </c>
      <c r="M2281" s="20">
        <v>0</v>
      </c>
      <c r="N2281" s="20">
        <f t="shared" si="4937"/>
        <v>15000</v>
      </c>
      <c r="O2281" s="19" t="s">
        <v>75</v>
      </c>
      <c r="P2281" s="20">
        <v>861</v>
      </c>
      <c r="Q2281" s="20">
        <f t="shared" ref="Q2281:X2281" si="4954">Q2251</f>
        <v>1500</v>
      </c>
      <c r="R2281" s="20">
        <f t="shared" si="4954"/>
        <v>6000</v>
      </c>
      <c r="S2281" s="20">
        <f t="shared" si="4954"/>
        <v>10500</v>
      </c>
      <c r="T2281" s="20">
        <f t="shared" si="4954"/>
        <v>13500</v>
      </c>
      <c r="U2281" s="20">
        <f t="shared" si="4954"/>
        <v>20</v>
      </c>
      <c r="V2281" s="20">
        <f t="shared" si="4954"/>
        <v>450</v>
      </c>
      <c r="W2281" s="20">
        <f t="shared" si="4954"/>
        <v>1000</v>
      </c>
      <c r="X2281" s="20">
        <f t="shared" si="4954"/>
        <v>8</v>
      </c>
      <c r="Y2281" s="20">
        <v>0</v>
      </c>
      <c r="Z2281" s="20">
        <v>0</v>
      </c>
      <c r="AA2281" s="20">
        <v>0</v>
      </c>
      <c r="AB2281" s="20">
        <v>0</v>
      </c>
      <c r="AC2281" s="20">
        <f t="shared" si="4896"/>
        <v>0</v>
      </c>
      <c r="AD2281" s="23">
        <f t="shared" ref="AD2281:AE2281" si="4955">AD2251</f>
        <v>58</v>
      </c>
      <c r="AE2281" s="23">
        <f t="shared" si="4955"/>
        <v>62</v>
      </c>
    </row>
    <row r="2282" spans="1:31">
      <c r="A2282" s="4">
        <v>19101</v>
      </c>
      <c r="B2282" s="4">
        <v>1</v>
      </c>
      <c r="C2282" s="29" t="s">
        <v>66</v>
      </c>
      <c r="D2282" s="46">
        <v>0</v>
      </c>
      <c r="E2282" s="28">
        <v>0</v>
      </c>
      <c r="F2282" s="28">
        <v>0</v>
      </c>
      <c r="G2282" s="28">
        <v>0</v>
      </c>
      <c r="H2282" s="47">
        <f>H2252*2</f>
        <v>1080</v>
      </c>
      <c r="I2282" s="21">
        <f t="shared" si="4936"/>
        <v>55</v>
      </c>
      <c r="J2282" s="21">
        <f t="shared" si="4892"/>
        <v>0</v>
      </c>
      <c r="K2282" s="21">
        <v>0</v>
      </c>
      <c r="L2282" s="20">
        <v>45</v>
      </c>
      <c r="M2282" s="20">
        <v>0</v>
      </c>
      <c r="N2282" s="20">
        <f t="shared" si="4937"/>
        <v>10</v>
      </c>
      <c r="O2282" s="19" t="s">
        <v>66</v>
      </c>
      <c r="P2282" s="20">
        <v>9400</v>
      </c>
      <c r="Q2282" s="20">
        <f t="shared" ref="Q2282:X2282" si="4956">Q2252</f>
        <v>1</v>
      </c>
      <c r="R2282" s="20">
        <f t="shared" si="4956"/>
        <v>4</v>
      </c>
      <c r="S2282" s="20">
        <f t="shared" si="4956"/>
        <v>7</v>
      </c>
      <c r="T2282" s="20">
        <f t="shared" si="4956"/>
        <v>9</v>
      </c>
      <c r="U2282" s="20">
        <f t="shared" si="4956"/>
        <v>9400</v>
      </c>
      <c r="V2282" s="20">
        <f t="shared" si="4956"/>
        <v>9400</v>
      </c>
      <c r="W2282" s="20">
        <f t="shared" si="4956"/>
        <v>9400</v>
      </c>
      <c r="X2282" s="20">
        <f t="shared" si="4956"/>
        <v>1</v>
      </c>
      <c r="Y2282" s="20">
        <v>0</v>
      </c>
      <c r="Z2282" s="20">
        <v>0</v>
      </c>
      <c r="AA2282" s="20">
        <v>0</v>
      </c>
      <c r="AB2282" s="20">
        <v>0</v>
      </c>
      <c r="AC2282" s="20">
        <f t="shared" si="4896"/>
        <v>0</v>
      </c>
      <c r="AD2282" s="23">
        <f t="shared" ref="AD2282:AE2282" si="4957">AD2252</f>
        <v>1</v>
      </c>
      <c r="AE2282" s="23">
        <f t="shared" si="4957"/>
        <v>3</v>
      </c>
    </row>
    <row r="2283" spans="1:31">
      <c r="A2283" s="4">
        <v>19101</v>
      </c>
      <c r="B2283" s="4">
        <v>2</v>
      </c>
      <c r="C2283" s="29" t="s">
        <v>67</v>
      </c>
      <c r="D2283" s="46">
        <v>0</v>
      </c>
      <c r="E2283" s="28">
        <v>0</v>
      </c>
      <c r="F2283" s="28">
        <v>0</v>
      </c>
      <c r="G2283" s="28">
        <v>0</v>
      </c>
      <c r="H2283" s="47">
        <f t="shared" ref="H2283:H2311" si="4958">H2253*2</f>
        <v>1170</v>
      </c>
      <c r="I2283" s="21">
        <f t="shared" si="4936"/>
        <v>55</v>
      </c>
      <c r="J2283" s="21">
        <f t="shared" ref="J2283:J2346" si="4959">B2283-1</f>
        <v>1</v>
      </c>
      <c r="K2283" s="21">
        <v>0</v>
      </c>
      <c r="L2283" s="20">
        <v>40</v>
      </c>
      <c r="M2283" s="20">
        <v>0</v>
      </c>
      <c r="N2283" s="20">
        <f t="shared" si="4937"/>
        <v>20</v>
      </c>
      <c r="O2283" s="19" t="s">
        <v>67</v>
      </c>
      <c r="P2283" s="20">
        <v>9100</v>
      </c>
      <c r="Q2283" s="20">
        <f t="shared" ref="Q2283:X2283" si="4960">Q2253</f>
        <v>2</v>
      </c>
      <c r="R2283" s="20">
        <f t="shared" si="4960"/>
        <v>8</v>
      </c>
      <c r="S2283" s="20">
        <f t="shared" si="4960"/>
        <v>14</v>
      </c>
      <c r="T2283" s="20">
        <f t="shared" si="4960"/>
        <v>18</v>
      </c>
      <c r="U2283" s="20">
        <f t="shared" si="4960"/>
        <v>4000</v>
      </c>
      <c r="V2283" s="20">
        <f t="shared" si="4960"/>
        <v>8000</v>
      </c>
      <c r="W2283" s="20">
        <f t="shared" si="4960"/>
        <v>8000</v>
      </c>
      <c r="X2283" s="20">
        <f t="shared" si="4960"/>
        <v>1</v>
      </c>
      <c r="Y2283" s="20">
        <v>0</v>
      </c>
      <c r="Z2283" s="20">
        <v>0</v>
      </c>
      <c r="AA2283" s="20">
        <v>0</v>
      </c>
      <c r="AB2283" s="20">
        <v>0</v>
      </c>
      <c r="AC2283" s="20">
        <f t="shared" si="4896"/>
        <v>0</v>
      </c>
      <c r="AD2283" s="23">
        <f t="shared" ref="AD2283:AE2283" si="4961">AD2253</f>
        <v>2</v>
      </c>
      <c r="AE2283" s="23">
        <f t="shared" si="4961"/>
        <v>5</v>
      </c>
    </row>
    <row r="2284" spans="1:31">
      <c r="A2284" s="8">
        <v>19101</v>
      </c>
      <c r="B2284" s="8">
        <v>3</v>
      </c>
      <c r="C2284" s="29" t="s">
        <v>68</v>
      </c>
      <c r="D2284" s="46">
        <v>0</v>
      </c>
      <c r="E2284" s="28">
        <v>0</v>
      </c>
      <c r="F2284" s="28">
        <v>0</v>
      </c>
      <c r="G2284" s="28">
        <v>0</v>
      </c>
      <c r="H2284" s="47">
        <f t="shared" si="4958"/>
        <v>1266</v>
      </c>
      <c r="I2284" s="21">
        <f t="shared" si="4936"/>
        <v>55</v>
      </c>
      <c r="J2284" s="21">
        <f t="shared" si="4959"/>
        <v>2</v>
      </c>
      <c r="K2284" s="21">
        <v>0</v>
      </c>
      <c r="L2284" s="20">
        <v>35</v>
      </c>
      <c r="M2284" s="20">
        <v>0</v>
      </c>
      <c r="N2284" s="20">
        <f t="shared" si="4937"/>
        <v>40</v>
      </c>
      <c r="O2284" s="19" t="s">
        <v>68</v>
      </c>
      <c r="P2284" s="20">
        <v>8600</v>
      </c>
      <c r="Q2284" s="20">
        <f t="shared" ref="Q2284:X2284" si="4962">Q2254</f>
        <v>4</v>
      </c>
      <c r="R2284" s="20">
        <f t="shared" si="4962"/>
        <v>16</v>
      </c>
      <c r="S2284" s="20">
        <f t="shared" si="4962"/>
        <v>28</v>
      </c>
      <c r="T2284" s="20">
        <f t="shared" si="4962"/>
        <v>36</v>
      </c>
      <c r="U2284" s="20">
        <f t="shared" si="4962"/>
        <v>1600</v>
      </c>
      <c r="V2284" s="20">
        <f t="shared" si="4962"/>
        <v>5000</v>
      </c>
      <c r="W2284" s="20">
        <f t="shared" si="4962"/>
        <v>6000</v>
      </c>
      <c r="X2284" s="20">
        <f t="shared" si="4962"/>
        <v>1</v>
      </c>
      <c r="Y2284" s="20">
        <v>0</v>
      </c>
      <c r="Z2284" s="20">
        <v>0</v>
      </c>
      <c r="AA2284" s="20">
        <v>0</v>
      </c>
      <c r="AB2284" s="20">
        <v>0</v>
      </c>
      <c r="AC2284" s="20">
        <f t="shared" si="4896"/>
        <v>0</v>
      </c>
      <c r="AD2284" s="23">
        <f t="shared" ref="AD2284:AE2284" si="4963">AD2254</f>
        <v>4</v>
      </c>
      <c r="AE2284" s="23">
        <f t="shared" si="4963"/>
        <v>8</v>
      </c>
    </row>
    <row r="2285" spans="1:31">
      <c r="A2285" s="4">
        <v>19101</v>
      </c>
      <c r="B2285" s="4">
        <v>4</v>
      </c>
      <c r="C2285" s="29" t="s">
        <v>69</v>
      </c>
      <c r="D2285" s="46">
        <v>0</v>
      </c>
      <c r="E2285" s="28">
        <v>0</v>
      </c>
      <c r="F2285" s="28">
        <v>0</v>
      </c>
      <c r="G2285" s="28">
        <v>0</v>
      </c>
      <c r="H2285" s="47">
        <f t="shared" si="4958"/>
        <v>1370</v>
      </c>
      <c r="I2285" s="21">
        <f t="shared" si="4936"/>
        <v>55</v>
      </c>
      <c r="J2285" s="21">
        <f t="shared" si="4959"/>
        <v>3</v>
      </c>
      <c r="K2285" s="21">
        <v>0</v>
      </c>
      <c r="L2285" s="20">
        <v>30</v>
      </c>
      <c r="M2285" s="20">
        <v>0</v>
      </c>
      <c r="N2285" s="20">
        <f t="shared" si="4937"/>
        <v>100</v>
      </c>
      <c r="O2285" s="19" t="s">
        <v>69</v>
      </c>
      <c r="P2285" s="20">
        <v>6400</v>
      </c>
      <c r="Q2285" s="20">
        <f t="shared" ref="Q2285:X2285" si="4964">Q2255</f>
        <v>10</v>
      </c>
      <c r="R2285" s="20">
        <f t="shared" si="4964"/>
        <v>40</v>
      </c>
      <c r="S2285" s="20">
        <f t="shared" si="4964"/>
        <v>70</v>
      </c>
      <c r="T2285" s="20">
        <f t="shared" si="4964"/>
        <v>90</v>
      </c>
      <c r="U2285" s="20">
        <f t="shared" si="4964"/>
        <v>900</v>
      </c>
      <c r="V2285" s="20">
        <f t="shared" si="4964"/>
        <v>2000</v>
      </c>
      <c r="W2285" s="20">
        <f t="shared" si="4964"/>
        <v>8000</v>
      </c>
      <c r="X2285" s="20">
        <f t="shared" si="4964"/>
        <v>1</v>
      </c>
      <c r="Y2285" s="20">
        <v>0</v>
      </c>
      <c r="Z2285" s="20">
        <v>0</v>
      </c>
      <c r="AA2285" s="20">
        <v>0</v>
      </c>
      <c r="AB2285" s="20">
        <v>0</v>
      </c>
      <c r="AC2285" s="20">
        <f t="shared" si="4896"/>
        <v>0</v>
      </c>
      <c r="AD2285" s="23">
        <f t="shared" ref="AD2285:AE2285" si="4965">AD2255</f>
        <v>6</v>
      </c>
      <c r="AE2285" s="23">
        <f t="shared" si="4965"/>
        <v>10</v>
      </c>
    </row>
    <row r="2286" spans="1:31">
      <c r="A2286" s="4">
        <v>19101</v>
      </c>
      <c r="B2286" s="4">
        <v>5</v>
      </c>
      <c r="C2286" s="29" t="s">
        <v>70</v>
      </c>
      <c r="D2286" s="46">
        <v>0</v>
      </c>
      <c r="E2286" s="28">
        <v>0</v>
      </c>
      <c r="F2286" s="28">
        <v>0</v>
      </c>
      <c r="G2286" s="28">
        <v>0</v>
      </c>
      <c r="H2286" s="47">
        <f t="shared" si="4958"/>
        <v>1484</v>
      </c>
      <c r="I2286" s="21">
        <f t="shared" si="4936"/>
        <v>110</v>
      </c>
      <c r="J2286" s="21">
        <f t="shared" si="4959"/>
        <v>4</v>
      </c>
      <c r="K2286" s="21">
        <v>0</v>
      </c>
      <c r="L2286" s="20">
        <v>25</v>
      </c>
      <c r="M2286" s="20">
        <v>0</v>
      </c>
      <c r="N2286" s="20">
        <f t="shared" si="4937"/>
        <v>200</v>
      </c>
      <c r="O2286" s="19" t="s">
        <v>70</v>
      </c>
      <c r="P2286" s="20">
        <v>3100</v>
      </c>
      <c r="Q2286" s="20">
        <f t="shared" ref="Q2286:X2286" si="4966">Q2256</f>
        <v>20</v>
      </c>
      <c r="R2286" s="20">
        <f t="shared" si="4966"/>
        <v>80</v>
      </c>
      <c r="S2286" s="20">
        <f t="shared" si="4966"/>
        <v>140</v>
      </c>
      <c r="T2286" s="20">
        <f t="shared" si="4966"/>
        <v>180</v>
      </c>
      <c r="U2286" s="20">
        <f t="shared" si="4966"/>
        <v>1000</v>
      </c>
      <c r="V2286" s="20">
        <f t="shared" si="4966"/>
        <v>2000</v>
      </c>
      <c r="W2286" s="20">
        <f t="shared" si="4966"/>
        <v>2000</v>
      </c>
      <c r="X2286" s="20">
        <f t="shared" si="4966"/>
        <v>2</v>
      </c>
      <c r="Y2286" s="20">
        <v>0</v>
      </c>
      <c r="Z2286" s="20">
        <v>0</v>
      </c>
      <c r="AA2286" s="20">
        <v>0</v>
      </c>
      <c r="AB2286" s="20">
        <v>0</v>
      </c>
      <c r="AC2286" s="20">
        <f t="shared" si="4896"/>
        <v>0</v>
      </c>
      <c r="AD2286" s="23">
        <f t="shared" ref="AD2286:AE2286" si="4967">AD2256</f>
        <v>8</v>
      </c>
      <c r="AE2286" s="23">
        <f t="shared" si="4967"/>
        <v>12</v>
      </c>
    </row>
    <row r="2287" spans="1:31">
      <c r="A2287" s="4">
        <v>19101</v>
      </c>
      <c r="B2287" s="4">
        <v>6</v>
      </c>
      <c r="C2287" s="29" t="s">
        <v>71</v>
      </c>
      <c r="D2287" s="46">
        <v>0</v>
      </c>
      <c r="E2287" s="28">
        <v>0</v>
      </c>
      <c r="F2287" s="28">
        <v>0</v>
      </c>
      <c r="G2287" s="28">
        <v>0</v>
      </c>
      <c r="H2287" s="47">
        <f t="shared" si="4958"/>
        <v>1606</v>
      </c>
      <c r="I2287" s="21">
        <f t="shared" si="4936"/>
        <v>110</v>
      </c>
      <c r="J2287" s="21">
        <f t="shared" si="4959"/>
        <v>5</v>
      </c>
      <c r="K2287" s="21">
        <v>0</v>
      </c>
      <c r="L2287" s="20">
        <v>20</v>
      </c>
      <c r="M2287" s="20">
        <v>0</v>
      </c>
      <c r="N2287" s="20">
        <f t="shared" si="4937"/>
        <v>500</v>
      </c>
      <c r="O2287" s="19" t="s">
        <v>71</v>
      </c>
      <c r="P2287" s="20">
        <v>1777</v>
      </c>
      <c r="Q2287" s="20">
        <f t="shared" ref="Q2287:X2287" si="4968">Q2257</f>
        <v>50</v>
      </c>
      <c r="R2287" s="20">
        <f t="shared" si="4968"/>
        <v>200</v>
      </c>
      <c r="S2287" s="20">
        <f t="shared" si="4968"/>
        <v>350</v>
      </c>
      <c r="T2287" s="20">
        <f t="shared" si="4968"/>
        <v>450</v>
      </c>
      <c r="U2287" s="20">
        <f t="shared" si="4968"/>
        <v>800</v>
      </c>
      <c r="V2287" s="20">
        <f t="shared" si="4968"/>
        <v>800</v>
      </c>
      <c r="W2287" s="20">
        <f t="shared" si="4968"/>
        <v>600</v>
      </c>
      <c r="X2287" s="20">
        <f t="shared" si="4968"/>
        <v>2</v>
      </c>
      <c r="Y2287" s="20">
        <v>0</v>
      </c>
      <c r="Z2287" s="20">
        <v>0</v>
      </c>
      <c r="AA2287" s="20">
        <v>0</v>
      </c>
      <c r="AB2287" s="20">
        <v>0</v>
      </c>
      <c r="AC2287" s="20">
        <f t="shared" si="4896"/>
        <v>0</v>
      </c>
      <c r="AD2287" s="23">
        <f t="shared" ref="AD2287:AE2287" si="4969">AD2257</f>
        <v>10</v>
      </c>
      <c r="AE2287" s="23">
        <f t="shared" si="4969"/>
        <v>14</v>
      </c>
    </row>
    <row r="2288" spans="1:31">
      <c r="A2288" s="4">
        <v>19101</v>
      </c>
      <c r="B2288" s="4">
        <v>7</v>
      </c>
      <c r="C2288" s="29" t="s">
        <v>72</v>
      </c>
      <c r="D2288" s="46">
        <v>0</v>
      </c>
      <c r="E2288" s="28">
        <v>0</v>
      </c>
      <c r="F2288" s="28">
        <v>0</v>
      </c>
      <c r="G2288" s="28">
        <v>0</v>
      </c>
      <c r="H2288" s="47">
        <f t="shared" si="4958"/>
        <v>1740</v>
      </c>
      <c r="I2288" s="21">
        <f t="shared" si="4936"/>
        <v>110</v>
      </c>
      <c r="J2288" s="21">
        <f t="shared" si="4959"/>
        <v>6</v>
      </c>
      <c r="K2288" s="21">
        <v>0</v>
      </c>
      <c r="L2288" s="20">
        <v>16</v>
      </c>
      <c r="M2288" s="20">
        <v>0</v>
      </c>
      <c r="N2288" s="20">
        <f t="shared" si="4937"/>
        <v>700</v>
      </c>
      <c r="O2288" s="19" t="s">
        <v>72</v>
      </c>
      <c r="P2288" s="20">
        <v>2332</v>
      </c>
      <c r="Q2288" s="20">
        <f t="shared" ref="Q2288:X2288" si="4970">Q2258</f>
        <v>70</v>
      </c>
      <c r="R2288" s="20">
        <f t="shared" si="4970"/>
        <v>280</v>
      </c>
      <c r="S2288" s="20">
        <f t="shared" si="4970"/>
        <v>489.99999999999994</v>
      </c>
      <c r="T2288" s="20">
        <f t="shared" si="4970"/>
        <v>630</v>
      </c>
      <c r="U2288" s="20">
        <f t="shared" si="4970"/>
        <v>650</v>
      </c>
      <c r="V2288" s="20">
        <f t="shared" si="4970"/>
        <v>800</v>
      </c>
      <c r="W2288" s="20">
        <f t="shared" si="4970"/>
        <v>300</v>
      </c>
      <c r="X2288" s="20">
        <f t="shared" si="4970"/>
        <v>2</v>
      </c>
      <c r="Y2288" s="20">
        <v>0</v>
      </c>
      <c r="Z2288" s="20">
        <v>0</v>
      </c>
      <c r="AA2288" s="20">
        <v>0</v>
      </c>
      <c r="AB2288" s="20">
        <v>0</v>
      </c>
      <c r="AC2288" s="20">
        <f t="shared" si="4896"/>
        <v>0</v>
      </c>
      <c r="AD2288" s="23">
        <f t="shared" ref="AD2288:AE2288" si="4971">AD2258</f>
        <v>12</v>
      </c>
      <c r="AE2288" s="23">
        <f t="shared" si="4971"/>
        <v>16</v>
      </c>
    </row>
    <row r="2289" spans="1:31">
      <c r="A2289" s="4">
        <v>19101</v>
      </c>
      <c r="B2289" s="4">
        <v>8</v>
      </c>
      <c r="C2289" s="29" t="s">
        <v>73</v>
      </c>
      <c r="D2289" s="46">
        <v>0</v>
      </c>
      <c r="E2289" s="28">
        <v>0</v>
      </c>
      <c r="F2289" s="28">
        <v>0</v>
      </c>
      <c r="G2289" s="28">
        <v>0</v>
      </c>
      <c r="H2289" s="47">
        <f t="shared" si="4958"/>
        <v>1882</v>
      </c>
      <c r="I2289" s="21">
        <f t="shared" si="4936"/>
        <v>110</v>
      </c>
      <c r="J2289" s="21">
        <f t="shared" si="4959"/>
        <v>7</v>
      </c>
      <c r="K2289" s="21">
        <v>0</v>
      </c>
      <c r="L2289" s="20">
        <v>12</v>
      </c>
      <c r="M2289" s="20">
        <v>0</v>
      </c>
      <c r="N2289" s="20">
        <f t="shared" si="4937"/>
        <v>800</v>
      </c>
      <c r="O2289" s="19" t="s">
        <v>73</v>
      </c>
      <c r="P2289" s="20">
        <v>1487</v>
      </c>
      <c r="Q2289" s="20">
        <f t="shared" ref="Q2289:X2289" si="4972">Q2259</f>
        <v>80</v>
      </c>
      <c r="R2289" s="20">
        <f t="shared" si="4972"/>
        <v>320</v>
      </c>
      <c r="S2289" s="20">
        <f t="shared" si="4972"/>
        <v>560</v>
      </c>
      <c r="T2289" s="20">
        <f t="shared" si="4972"/>
        <v>720</v>
      </c>
      <c r="U2289" s="20">
        <f t="shared" si="4972"/>
        <v>200</v>
      </c>
      <c r="V2289" s="20">
        <f t="shared" si="4972"/>
        <v>2000</v>
      </c>
      <c r="W2289" s="20">
        <f t="shared" si="4972"/>
        <v>1000</v>
      </c>
      <c r="X2289" s="20">
        <f t="shared" si="4972"/>
        <v>2</v>
      </c>
      <c r="Y2289" s="20">
        <f>ROUND(D2289*0.25,-1)</f>
        <v>0</v>
      </c>
      <c r="Z2289" s="20">
        <f>ROUND(E2289*0.25,-1)</f>
        <v>0</v>
      </c>
      <c r="AA2289" s="20">
        <f>ROUND(F2289*0.25,-1)</f>
        <v>0</v>
      </c>
      <c r="AB2289" s="20">
        <f>ROUND(G2289*0.25,-1)</f>
        <v>0</v>
      </c>
      <c r="AC2289" s="20">
        <f t="shared" si="4896"/>
        <v>301</v>
      </c>
      <c r="AD2289" s="23">
        <f t="shared" ref="AD2289:AE2289" si="4973">AD2259</f>
        <v>14</v>
      </c>
      <c r="AE2289" s="23">
        <f t="shared" si="4973"/>
        <v>18</v>
      </c>
    </row>
    <row r="2290" spans="1:31">
      <c r="A2290" s="4">
        <v>19101</v>
      </c>
      <c r="B2290" s="4">
        <v>9</v>
      </c>
      <c r="C2290" s="29" t="s">
        <v>74</v>
      </c>
      <c r="D2290" s="46">
        <v>0</v>
      </c>
      <c r="E2290" s="28">
        <v>0</v>
      </c>
      <c r="F2290" s="28">
        <v>0</v>
      </c>
      <c r="G2290" s="28">
        <v>0</v>
      </c>
      <c r="H2290" s="47">
        <f t="shared" si="4958"/>
        <v>2038</v>
      </c>
      <c r="I2290" s="21">
        <f t="shared" si="4936"/>
        <v>165</v>
      </c>
      <c r="J2290" s="21">
        <f t="shared" si="4959"/>
        <v>8</v>
      </c>
      <c r="K2290" s="21">
        <v>0</v>
      </c>
      <c r="L2290" s="20">
        <v>8</v>
      </c>
      <c r="M2290" s="20">
        <v>0</v>
      </c>
      <c r="N2290" s="20">
        <f t="shared" si="4937"/>
        <v>900</v>
      </c>
      <c r="O2290" s="19" t="s">
        <v>74</v>
      </c>
      <c r="P2290" s="20">
        <v>1518</v>
      </c>
      <c r="Q2290" s="20">
        <f t="shared" ref="Q2290:X2290" si="4974">Q2260</f>
        <v>90</v>
      </c>
      <c r="R2290" s="20">
        <f t="shared" si="4974"/>
        <v>360</v>
      </c>
      <c r="S2290" s="20">
        <f t="shared" si="4974"/>
        <v>630</v>
      </c>
      <c r="T2290" s="20">
        <f t="shared" si="4974"/>
        <v>810</v>
      </c>
      <c r="U2290" s="20">
        <f t="shared" si="4974"/>
        <v>120</v>
      </c>
      <c r="V2290" s="20">
        <f t="shared" si="4974"/>
        <v>1500</v>
      </c>
      <c r="W2290" s="20">
        <f t="shared" si="4974"/>
        <v>1000</v>
      </c>
      <c r="X2290" s="20">
        <f t="shared" si="4974"/>
        <v>3</v>
      </c>
      <c r="Y2290" s="20">
        <v>0</v>
      </c>
      <c r="Z2290" s="20">
        <v>0</v>
      </c>
      <c r="AA2290" s="20">
        <v>0</v>
      </c>
      <c r="AB2290" s="20">
        <v>0</v>
      </c>
      <c r="AC2290" s="20">
        <f t="shared" si="4896"/>
        <v>0</v>
      </c>
      <c r="AD2290" s="23">
        <f t="shared" ref="AD2290:AE2290" si="4975">AD2260</f>
        <v>16</v>
      </c>
      <c r="AE2290" s="23">
        <f t="shared" si="4975"/>
        <v>20</v>
      </c>
    </row>
    <row r="2291" spans="1:31">
      <c r="A2291" s="4">
        <v>19101</v>
      </c>
      <c r="B2291" s="4">
        <v>10</v>
      </c>
      <c r="C2291" s="29" t="s">
        <v>75</v>
      </c>
      <c r="D2291" s="46">
        <v>0</v>
      </c>
      <c r="E2291" s="28">
        <v>0</v>
      </c>
      <c r="F2291" s="28">
        <v>0</v>
      </c>
      <c r="G2291" s="28">
        <v>0</v>
      </c>
      <c r="H2291" s="47">
        <f t="shared" si="4958"/>
        <v>2206</v>
      </c>
      <c r="I2291" s="21">
        <f t="shared" si="4936"/>
        <v>165</v>
      </c>
      <c r="J2291" s="21">
        <f t="shared" si="4959"/>
        <v>9</v>
      </c>
      <c r="K2291" s="21">
        <v>0</v>
      </c>
      <c r="L2291" s="20">
        <v>6</v>
      </c>
      <c r="M2291" s="20">
        <v>0</v>
      </c>
      <c r="N2291" s="20">
        <f t="shared" si="4937"/>
        <v>2000</v>
      </c>
      <c r="O2291" s="19" t="s">
        <v>75</v>
      </c>
      <c r="P2291" s="20">
        <v>861</v>
      </c>
      <c r="Q2291" s="20">
        <f t="shared" ref="Q2291:X2291" si="4976">Q2261</f>
        <v>200</v>
      </c>
      <c r="R2291" s="20">
        <f t="shared" si="4976"/>
        <v>800</v>
      </c>
      <c r="S2291" s="20">
        <f t="shared" si="4976"/>
        <v>1400</v>
      </c>
      <c r="T2291" s="20">
        <f t="shared" si="4976"/>
        <v>1800</v>
      </c>
      <c r="U2291" s="20">
        <f t="shared" si="4976"/>
        <v>150</v>
      </c>
      <c r="V2291" s="20">
        <f t="shared" si="4976"/>
        <v>5000</v>
      </c>
      <c r="W2291" s="20">
        <f t="shared" si="4976"/>
        <v>800</v>
      </c>
      <c r="X2291" s="20">
        <f t="shared" si="4976"/>
        <v>3</v>
      </c>
      <c r="Y2291" s="20">
        <v>0</v>
      </c>
      <c r="Z2291" s="20">
        <v>0</v>
      </c>
      <c r="AA2291" s="20">
        <v>0</v>
      </c>
      <c r="AB2291" s="20">
        <v>0</v>
      </c>
      <c r="AC2291" s="20">
        <f t="shared" si="4896"/>
        <v>0</v>
      </c>
      <c r="AD2291" s="23">
        <f t="shared" ref="AD2291:AE2291" si="4977">AD2261</f>
        <v>18</v>
      </c>
      <c r="AE2291" s="23">
        <f t="shared" si="4977"/>
        <v>22</v>
      </c>
    </row>
    <row r="2292" spans="1:31">
      <c r="A2292" s="4">
        <v>19101</v>
      </c>
      <c r="B2292" s="4">
        <v>11</v>
      </c>
      <c r="C2292" s="29" t="s">
        <v>66</v>
      </c>
      <c r="D2292" s="46">
        <v>0</v>
      </c>
      <c r="E2292" s="28">
        <v>0</v>
      </c>
      <c r="F2292" s="28">
        <v>0</v>
      </c>
      <c r="G2292" s="28">
        <v>0</v>
      </c>
      <c r="H2292" s="47">
        <f t="shared" si="4958"/>
        <v>2390</v>
      </c>
      <c r="I2292" s="21">
        <f t="shared" si="4936"/>
        <v>165</v>
      </c>
      <c r="J2292" s="21">
        <f t="shared" si="4959"/>
        <v>10</v>
      </c>
      <c r="K2292" s="21">
        <v>0</v>
      </c>
      <c r="L2292" s="20">
        <v>6</v>
      </c>
      <c r="M2292" s="20">
        <v>0</v>
      </c>
      <c r="N2292" s="20">
        <f t="shared" si="4937"/>
        <v>2200</v>
      </c>
      <c r="O2292" s="19" t="s">
        <v>66</v>
      </c>
      <c r="P2292" s="20">
        <v>9400</v>
      </c>
      <c r="Q2292" s="20">
        <f t="shared" ref="Q2292:X2292" si="4978">Q2262</f>
        <v>220</v>
      </c>
      <c r="R2292" s="20">
        <f t="shared" si="4978"/>
        <v>880</v>
      </c>
      <c r="S2292" s="20">
        <f t="shared" si="4978"/>
        <v>1540</v>
      </c>
      <c r="T2292" s="20">
        <f t="shared" si="4978"/>
        <v>1980</v>
      </c>
      <c r="U2292" s="20">
        <f t="shared" si="4978"/>
        <v>100</v>
      </c>
      <c r="V2292" s="20">
        <f t="shared" si="4978"/>
        <v>800</v>
      </c>
      <c r="W2292" s="20">
        <f t="shared" si="4978"/>
        <v>600</v>
      </c>
      <c r="X2292" s="20">
        <f t="shared" si="4978"/>
        <v>3</v>
      </c>
      <c r="Y2292" s="20">
        <v>0</v>
      </c>
      <c r="Z2292" s="20">
        <v>0</v>
      </c>
      <c r="AA2292" s="20">
        <v>0</v>
      </c>
      <c r="AB2292" s="20">
        <v>0</v>
      </c>
      <c r="AC2292" s="20">
        <f t="shared" si="4896"/>
        <v>0</v>
      </c>
      <c r="AD2292" s="23">
        <f t="shared" ref="AD2292:AE2292" si="4979">AD2262</f>
        <v>20</v>
      </c>
      <c r="AE2292" s="23">
        <f t="shared" si="4979"/>
        <v>24</v>
      </c>
    </row>
    <row r="2293" spans="1:31">
      <c r="A2293" s="4">
        <v>19101</v>
      </c>
      <c r="B2293" s="4">
        <v>12</v>
      </c>
      <c r="C2293" s="29" t="s">
        <v>67</v>
      </c>
      <c r="D2293" s="46">
        <v>0</v>
      </c>
      <c r="E2293" s="28">
        <v>0</v>
      </c>
      <c r="F2293" s="28">
        <v>0</v>
      </c>
      <c r="G2293" s="28">
        <v>0</v>
      </c>
      <c r="H2293" s="47">
        <f t="shared" si="4958"/>
        <v>2586</v>
      </c>
      <c r="I2293" s="21">
        <f t="shared" si="4936"/>
        <v>165</v>
      </c>
      <c r="J2293" s="21">
        <f t="shared" si="4959"/>
        <v>11</v>
      </c>
      <c r="K2293" s="21">
        <v>0</v>
      </c>
      <c r="L2293" s="20">
        <v>6</v>
      </c>
      <c r="M2293" s="20">
        <v>0</v>
      </c>
      <c r="N2293" s="20">
        <f t="shared" si="4937"/>
        <v>2400</v>
      </c>
      <c r="O2293" s="19" t="s">
        <v>67</v>
      </c>
      <c r="P2293" s="20">
        <v>9100</v>
      </c>
      <c r="Q2293" s="20">
        <f t="shared" ref="Q2293:X2293" si="4980">Q2263</f>
        <v>240</v>
      </c>
      <c r="R2293" s="20">
        <f t="shared" si="4980"/>
        <v>960</v>
      </c>
      <c r="S2293" s="20">
        <f t="shared" si="4980"/>
        <v>1680</v>
      </c>
      <c r="T2293" s="20">
        <f t="shared" si="4980"/>
        <v>2160</v>
      </c>
      <c r="U2293" s="20">
        <f t="shared" si="4980"/>
        <v>150</v>
      </c>
      <c r="V2293" s="20">
        <f t="shared" si="4980"/>
        <v>700</v>
      </c>
      <c r="W2293" s="20">
        <f t="shared" si="4980"/>
        <v>900</v>
      </c>
      <c r="X2293" s="20">
        <f t="shared" si="4980"/>
        <v>3</v>
      </c>
      <c r="Y2293" s="20">
        <v>0</v>
      </c>
      <c r="Z2293" s="20">
        <v>0</v>
      </c>
      <c r="AA2293" s="20">
        <v>0</v>
      </c>
      <c r="AB2293" s="20">
        <v>0</v>
      </c>
      <c r="AC2293" s="20">
        <f t="shared" si="4896"/>
        <v>0</v>
      </c>
      <c r="AD2293" s="23">
        <f t="shared" ref="AD2293:AE2293" si="4981">AD2263</f>
        <v>22</v>
      </c>
      <c r="AE2293" s="23">
        <f t="shared" si="4981"/>
        <v>26</v>
      </c>
    </row>
    <row r="2294" spans="1:31">
      <c r="A2294" s="4">
        <v>19101</v>
      </c>
      <c r="B2294" s="4">
        <v>13</v>
      </c>
      <c r="C2294" s="29" t="s">
        <v>68</v>
      </c>
      <c r="D2294" s="46">
        <v>0</v>
      </c>
      <c r="E2294" s="28">
        <v>0</v>
      </c>
      <c r="F2294" s="28">
        <v>0</v>
      </c>
      <c r="G2294" s="28">
        <v>0</v>
      </c>
      <c r="H2294" s="47">
        <f t="shared" si="4958"/>
        <v>2800</v>
      </c>
      <c r="I2294" s="21">
        <f t="shared" si="4936"/>
        <v>220</v>
      </c>
      <c r="J2294" s="21">
        <f t="shared" si="4959"/>
        <v>12</v>
      </c>
      <c r="K2294" s="21">
        <v>0</v>
      </c>
      <c r="L2294" s="20">
        <v>6</v>
      </c>
      <c r="M2294" s="20">
        <v>0</v>
      </c>
      <c r="N2294" s="20">
        <f t="shared" si="4937"/>
        <v>2600</v>
      </c>
      <c r="O2294" s="19" t="s">
        <v>68</v>
      </c>
      <c r="P2294" s="20">
        <v>8600</v>
      </c>
      <c r="Q2294" s="20">
        <f t="shared" ref="Q2294:X2294" si="4982">Q2264</f>
        <v>260</v>
      </c>
      <c r="R2294" s="20">
        <f t="shared" si="4982"/>
        <v>1040</v>
      </c>
      <c r="S2294" s="20">
        <f t="shared" si="4982"/>
        <v>1819.9999999999998</v>
      </c>
      <c r="T2294" s="20">
        <f t="shared" si="4982"/>
        <v>2340</v>
      </c>
      <c r="U2294" s="20">
        <f t="shared" si="4982"/>
        <v>100</v>
      </c>
      <c r="V2294" s="20">
        <f t="shared" si="4982"/>
        <v>700</v>
      </c>
      <c r="W2294" s="20">
        <f t="shared" si="4982"/>
        <v>1000</v>
      </c>
      <c r="X2294" s="20">
        <f t="shared" si="4982"/>
        <v>4</v>
      </c>
      <c r="Y2294" s="20">
        <f>ROUND(D2294*0.25,-1)</f>
        <v>0</v>
      </c>
      <c r="Z2294" s="20">
        <f>ROUND(E2294*0.25,-1)</f>
        <v>0</v>
      </c>
      <c r="AA2294" s="20">
        <f>ROUND(F2294*0.25,-1)</f>
        <v>0</v>
      </c>
      <c r="AB2294" s="20">
        <f>ROUND(G2294*0.25,-1)</f>
        <v>0</v>
      </c>
      <c r="AC2294" s="20">
        <f t="shared" si="4896"/>
        <v>604</v>
      </c>
      <c r="AD2294" s="23">
        <f t="shared" ref="AD2294:AE2294" si="4983">AD2264</f>
        <v>24</v>
      </c>
      <c r="AE2294" s="23">
        <f t="shared" si="4983"/>
        <v>28</v>
      </c>
    </row>
    <row r="2295" spans="1:31">
      <c r="A2295" s="4">
        <v>19101</v>
      </c>
      <c r="B2295" s="4">
        <v>14</v>
      </c>
      <c r="C2295" s="29" t="s">
        <v>69</v>
      </c>
      <c r="D2295" s="46">
        <v>0</v>
      </c>
      <c r="E2295" s="28">
        <v>0</v>
      </c>
      <c r="F2295" s="28">
        <v>0</v>
      </c>
      <c r="G2295" s="28">
        <v>0</v>
      </c>
      <c r="H2295" s="47">
        <f t="shared" si="4958"/>
        <v>3032</v>
      </c>
      <c r="I2295" s="21">
        <f t="shared" si="4936"/>
        <v>220</v>
      </c>
      <c r="J2295" s="21">
        <f t="shared" si="4959"/>
        <v>13</v>
      </c>
      <c r="K2295" s="21">
        <v>0</v>
      </c>
      <c r="L2295" s="20">
        <v>6</v>
      </c>
      <c r="M2295" s="20">
        <v>0</v>
      </c>
      <c r="N2295" s="20">
        <f t="shared" si="4937"/>
        <v>2800</v>
      </c>
      <c r="O2295" s="19" t="s">
        <v>69</v>
      </c>
      <c r="P2295" s="20">
        <v>6400</v>
      </c>
      <c r="Q2295" s="20">
        <f t="shared" ref="Q2295:X2295" si="4984">Q2265</f>
        <v>280</v>
      </c>
      <c r="R2295" s="20">
        <f t="shared" si="4984"/>
        <v>1120</v>
      </c>
      <c r="S2295" s="20">
        <f t="shared" si="4984"/>
        <v>1959.9999999999998</v>
      </c>
      <c r="T2295" s="20">
        <f t="shared" si="4984"/>
        <v>2520</v>
      </c>
      <c r="U2295" s="20">
        <f t="shared" si="4984"/>
        <v>100</v>
      </c>
      <c r="V2295" s="20">
        <f t="shared" si="4984"/>
        <v>400</v>
      </c>
      <c r="W2295" s="20">
        <f t="shared" si="4984"/>
        <v>1200</v>
      </c>
      <c r="X2295" s="20">
        <f t="shared" si="4984"/>
        <v>4</v>
      </c>
      <c r="Y2295" s="20">
        <v>0</v>
      </c>
      <c r="Z2295" s="20">
        <v>0</v>
      </c>
      <c r="AA2295" s="20">
        <v>0</v>
      </c>
      <c r="AB2295" s="20">
        <v>0</v>
      </c>
      <c r="AC2295" s="20">
        <f t="shared" si="4896"/>
        <v>0</v>
      </c>
      <c r="AD2295" s="23">
        <f t="shared" ref="AD2295:AE2295" si="4985">AD2265</f>
        <v>26</v>
      </c>
      <c r="AE2295" s="23">
        <f t="shared" si="4985"/>
        <v>30</v>
      </c>
    </row>
    <row r="2296" spans="1:31">
      <c r="A2296" s="8">
        <v>19101</v>
      </c>
      <c r="B2296" s="8">
        <v>15</v>
      </c>
      <c r="C2296" s="29" t="s">
        <v>70</v>
      </c>
      <c r="D2296" s="46">
        <v>0</v>
      </c>
      <c r="E2296" s="28">
        <v>0</v>
      </c>
      <c r="F2296" s="28">
        <v>0</v>
      </c>
      <c r="G2296" s="28">
        <v>0</v>
      </c>
      <c r="H2296" s="47">
        <f t="shared" si="4958"/>
        <v>3282</v>
      </c>
      <c r="I2296" s="21">
        <f t="shared" si="4936"/>
        <v>220</v>
      </c>
      <c r="J2296" s="21">
        <f t="shared" si="4959"/>
        <v>14</v>
      </c>
      <c r="K2296" s="21">
        <v>0</v>
      </c>
      <c r="L2296" s="20">
        <v>6</v>
      </c>
      <c r="M2296" s="20">
        <v>0</v>
      </c>
      <c r="N2296" s="20">
        <f t="shared" si="4937"/>
        <v>4500</v>
      </c>
      <c r="O2296" s="19" t="s">
        <v>70</v>
      </c>
      <c r="P2296" s="20">
        <v>3100</v>
      </c>
      <c r="Q2296" s="20">
        <f t="shared" ref="Q2296:X2296" si="4986">Q2266</f>
        <v>450</v>
      </c>
      <c r="R2296" s="20">
        <f t="shared" si="4986"/>
        <v>1800</v>
      </c>
      <c r="S2296" s="20">
        <f t="shared" si="4986"/>
        <v>3150</v>
      </c>
      <c r="T2296" s="20">
        <f t="shared" si="4986"/>
        <v>4050</v>
      </c>
      <c r="U2296" s="20">
        <f t="shared" si="4986"/>
        <v>100</v>
      </c>
      <c r="V2296" s="20">
        <f t="shared" si="4986"/>
        <v>1000</v>
      </c>
      <c r="W2296" s="20">
        <f t="shared" si="4986"/>
        <v>600</v>
      </c>
      <c r="X2296" s="20">
        <f t="shared" si="4986"/>
        <v>4</v>
      </c>
      <c r="Y2296" s="20">
        <v>0</v>
      </c>
      <c r="Z2296" s="20">
        <v>0</v>
      </c>
      <c r="AA2296" s="20">
        <v>0</v>
      </c>
      <c r="AB2296" s="20">
        <v>0</v>
      </c>
      <c r="AC2296" s="20">
        <f t="shared" si="4896"/>
        <v>0</v>
      </c>
      <c r="AD2296" s="23">
        <f t="shared" ref="AD2296:AE2296" si="4987">AD2266</f>
        <v>28</v>
      </c>
      <c r="AE2296" s="23">
        <f t="shared" si="4987"/>
        <v>32</v>
      </c>
    </row>
    <row r="2297" spans="1:31">
      <c r="A2297" s="4">
        <v>19101</v>
      </c>
      <c r="B2297" s="4">
        <v>16</v>
      </c>
      <c r="C2297" s="29" t="s">
        <v>71</v>
      </c>
      <c r="D2297" s="46">
        <v>0</v>
      </c>
      <c r="E2297" s="28">
        <v>0</v>
      </c>
      <c r="F2297" s="28">
        <v>0</v>
      </c>
      <c r="G2297" s="28">
        <v>0</v>
      </c>
      <c r="H2297" s="47">
        <f t="shared" si="4958"/>
        <v>3554</v>
      </c>
      <c r="I2297" s="21">
        <f t="shared" si="4936"/>
        <v>220</v>
      </c>
      <c r="J2297" s="21">
        <f t="shared" si="4959"/>
        <v>15</v>
      </c>
      <c r="K2297" s="21">
        <v>0</v>
      </c>
      <c r="L2297" s="20">
        <v>6</v>
      </c>
      <c r="M2297" s="20">
        <v>0</v>
      </c>
      <c r="N2297" s="20">
        <f t="shared" si="4937"/>
        <v>4800</v>
      </c>
      <c r="O2297" s="19" t="s">
        <v>71</v>
      </c>
      <c r="P2297" s="20">
        <v>1777</v>
      </c>
      <c r="Q2297" s="20">
        <f t="shared" ref="Q2297:X2297" si="4988">Q2267</f>
        <v>480</v>
      </c>
      <c r="R2297" s="20">
        <f t="shared" si="4988"/>
        <v>1920</v>
      </c>
      <c r="S2297" s="20">
        <f t="shared" si="4988"/>
        <v>3360</v>
      </c>
      <c r="T2297" s="20">
        <f t="shared" si="4988"/>
        <v>4320</v>
      </c>
      <c r="U2297" s="20">
        <f t="shared" si="4988"/>
        <v>100</v>
      </c>
      <c r="V2297" s="20">
        <f t="shared" si="4988"/>
        <v>800</v>
      </c>
      <c r="W2297" s="20">
        <f t="shared" si="4988"/>
        <v>800</v>
      </c>
      <c r="X2297" s="20">
        <f t="shared" si="4988"/>
        <v>4</v>
      </c>
      <c r="Y2297" s="20">
        <v>0</v>
      </c>
      <c r="Z2297" s="20">
        <v>0</v>
      </c>
      <c r="AA2297" s="20">
        <v>0</v>
      </c>
      <c r="AB2297" s="20">
        <v>0</v>
      </c>
      <c r="AC2297" s="20">
        <f t="shared" si="4896"/>
        <v>0</v>
      </c>
      <c r="AD2297" s="23">
        <f t="shared" ref="AD2297:AE2297" si="4989">AD2267</f>
        <v>30</v>
      </c>
      <c r="AE2297" s="23">
        <f t="shared" si="4989"/>
        <v>34</v>
      </c>
    </row>
    <row r="2298" spans="1:31">
      <c r="A2298" s="4">
        <v>19101</v>
      </c>
      <c r="B2298" s="4">
        <v>17</v>
      </c>
      <c r="C2298" s="29" t="s">
        <v>72</v>
      </c>
      <c r="D2298" s="46">
        <v>0</v>
      </c>
      <c r="E2298" s="28">
        <v>0</v>
      </c>
      <c r="F2298" s="28">
        <v>0</v>
      </c>
      <c r="G2298" s="28">
        <v>0</v>
      </c>
      <c r="H2298" s="47">
        <f t="shared" si="4958"/>
        <v>3848</v>
      </c>
      <c r="I2298" s="21">
        <f t="shared" si="4936"/>
        <v>275</v>
      </c>
      <c r="J2298" s="21">
        <f t="shared" si="4959"/>
        <v>16</v>
      </c>
      <c r="K2298" s="21">
        <v>0</v>
      </c>
      <c r="L2298" s="20">
        <v>6</v>
      </c>
      <c r="M2298" s="20">
        <v>0</v>
      </c>
      <c r="N2298" s="20">
        <f t="shared" si="4937"/>
        <v>5100</v>
      </c>
      <c r="O2298" s="19" t="s">
        <v>72</v>
      </c>
      <c r="P2298" s="20">
        <v>2332</v>
      </c>
      <c r="Q2298" s="20">
        <f t="shared" ref="Q2298:X2298" si="4990">Q2268</f>
        <v>510</v>
      </c>
      <c r="R2298" s="20">
        <f t="shared" si="4990"/>
        <v>2040</v>
      </c>
      <c r="S2298" s="20">
        <f t="shared" si="4990"/>
        <v>3570</v>
      </c>
      <c r="T2298" s="20">
        <f t="shared" si="4990"/>
        <v>4590</v>
      </c>
      <c r="U2298" s="20">
        <f t="shared" si="4990"/>
        <v>80</v>
      </c>
      <c r="V2298" s="20">
        <f t="shared" si="4990"/>
        <v>800</v>
      </c>
      <c r="W2298" s="20">
        <f t="shared" si="4990"/>
        <v>600</v>
      </c>
      <c r="X2298" s="20">
        <f t="shared" si="4990"/>
        <v>5</v>
      </c>
      <c r="Y2298" s="20">
        <v>0</v>
      </c>
      <c r="Z2298" s="20">
        <v>0</v>
      </c>
      <c r="AA2298" s="20">
        <v>0</v>
      </c>
      <c r="AB2298" s="20">
        <v>0</v>
      </c>
      <c r="AC2298" s="20">
        <f t="shared" si="4896"/>
        <v>0</v>
      </c>
      <c r="AD2298" s="23">
        <f t="shared" ref="AD2298:AE2298" si="4991">AD2268</f>
        <v>32</v>
      </c>
      <c r="AE2298" s="23">
        <f t="shared" si="4991"/>
        <v>36</v>
      </c>
    </row>
    <row r="2299" spans="1:31">
      <c r="A2299" s="4">
        <v>19101</v>
      </c>
      <c r="B2299" s="4">
        <v>18</v>
      </c>
      <c r="C2299" s="29" t="s">
        <v>73</v>
      </c>
      <c r="D2299" s="46">
        <v>0</v>
      </c>
      <c r="E2299" s="28">
        <v>0</v>
      </c>
      <c r="F2299" s="28">
        <v>0</v>
      </c>
      <c r="G2299" s="28">
        <v>0</v>
      </c>
      <c r="H2299" s="47">
        <f t="shared" si="4958"/>
        <v>4166</v>
      </c>
      <c r="I2299" s="21">
        <f t="shared" si="4936"/>
        <v>275</v>
      </c>
      <c r="J2299" s="21">
        <f t="shared" si="4959"/>
        <v>17</v>
      </c>
      <c r="K2299" s="21">
        <v>0</v>
      </c>
      <c r="L2299" s="20">
        <v>6</v>
      </c>
      <c r="M2299" s="20">
        <v>0</v>
      </c>
      <c r="N2299" s="20">
        <f t="shared" si="4937"/>
        <v>5400</v>
      </c>
      <c r="O2299" s="19" t="s">
        <v>73</v>
      </c>
      <c r="P2299" s="20">
        <v>1487</v>
      </c>
      <c r="Q2299" s="20">
        <f t="shared" ref="Q2299:X2299" si="4992">Q2269</f>
        <v>540</v>
      </c>
      <c r="R2299" s="20">
        <f t="shared" si="4992"/>
        <v>2160</v>
      </c>
      <c r="S2299" s="20">
        <f t="shared" si="4992"/>
        <v>3779.9999999999995</v>
      </c>
      <c r="T2299" s="20">
        <f t="shared" si="4992"/>
        <v>4860</v>
      </c>
      <c r="U2299" s="20">
        <f t="shared" si="4992"/>
        <v>100</v>
      </c>
      <c r="V2299" s="20">
        <f t="shared" si="4992"/>
        <v>600</v>
      </c>
      <c r="W2299" s="20">
        <f t="shared" si="4992"/>
        <v>300</v>
      </c>
      <c r="X2299" s="20">
        <f t="shared" si="4992"/>
        <v>5</v>
      </c>
      <c r="Y2299" s="20">
        <f>ROUND(D2299*0.25,-1)</f>
        <v>0</v>
      </c>
      <c r="Z2299" s="20">
        <f>ROUND(E2299*0.25,-1)</f>
        <v>0</v>
      </c>
      <c r="AA2299" s="20">
        <f>ROUND(F2299*0.25,-1)</f>
        <v>0</v>
      </c>
      <c r="AB2299" s="20">
        <f>ROUND(G2299*0.25,-1)</f>
        <v>0</v>
      </c>
      <c r="AC2299" s="20">
        <f t="shared" si="4896"/>
        <v>906</v>
      </c>
      <c r="AD2299" s="23">
        <f t="shared" ref="AD2299:AE2299" si="4993">AD2269</f>
        <v>34</v>
      </c>
      <c r="AE2299" s="23">
        <f t="shared" si="4993"/>
        <v>38</v>
      </c>
    </row>
    <row r="2300" spans="1:31">
      <c r="A2300" s="4">
        <v>19101</v>
      </c>
      <c r="B2300" s="4">
        <v>19</v>
      </c>
      <c r="C2300" s="29" t="s">
        <v>74</v>
      </c>
      <c r="D2300" s="46">
        <v>0</v>
      </c>
      <c r="E2300" s="28">
        <v>0</v>
      </c>
      <c r="F2300" s="28">
        <v>0</v>
      </c>
      <c r="G2300" s="28">
        <v>0</v>
      </c>
      <c r="H2300" s="47">
        <f t="shared" si="4958"/>
        <v>4510</v>
      </c>
      <c r="I2300" s="21">
        <f t="shared" si="4936"/>
        <v>275</v>
      </c>
      <c r="J2300" s="21">
        <f t="shared" si="4959"/>
        <v>18</v>
      </c>
      <c r="K2300" s="21">
        <v>0</v>
      </c>
      <c r="L2300" s="20">
        <v>6</v>
      </c>
      <c r="M2300" s="20">
        <v>0</v>
      </c>
      <c r="N2300" s="20">
        <f t="shared" si="4937"/>
        <v>5700</v>
      </c>
      <c r="O2300" s="19" t="s">
        <v>74</v>
      </c>
      <c r="P2300" s="20">
        <v>1518</v>
      </c>
      <c r="Q2300" s="20">
        <f t="shared" ref="Q2300:X2300" si="4994">Q2270</f>
        <v>570</v>
      </c>
      <c r="R2300" s="20">
        <f t="shared" si="4994"/>
        <v>2280</v>
      </c>
      <c r="S2300" s="20">
        <f t="shared" si="4994"/>
        <v>3989.9999999999995</v>
      </c>
      <c r="T2300" s="20">
        <f t="shared" si="4994"/>
        <v>5130</v>
      </c>
      <c r="U2300" s="20">
        <f t="shared" si="4994"/>
        <v>100</v>
      </c>
      <c r="V2300" s="20">
        <f t="shared" si="4994"/>
        <v>500</v>
      </c>
      <c r="W2300" s="20">
        <f t="shared" si="4994"/>
        <v>400</v>
      </c>
      <c r="X2300" s="20">
        <f t="shared" si="4994"/>
        <v>5</v>
      </c>
      <c r="Y2300" s="20">
        <v>0</v>
      </c>
      <c r="Z2300" s="20">
        <v>0</v>
      </c>
      <c r="AA2300" s="20">
        <v>0</v>
      </c>
      <c r="AB2300" s="20">
        <v>0</v>
      </c>
      <c r="AC2300" s="20">
        <f t="shared" si="4896"/>
        <v>0</v>
      </c>
      <c r="AD2300" s="23">
        <f t="shared" ref="AD2300:AE2300" si="4995">AD2270</f>
        <v>36</v>
      </c>
      <c r="AE2300" s="23">
        <f t="shared" si="4995"/>
        <v>40</v>
      </c>
    </row>
    <row r="2301" spans="1:31">
      <c r="A2301" s="4">
        <v>19101</v>
      </c>
      <c r="B2301" s="4">
        <v>20</v>
      </c>
      <c r="C2301" s="29" t="s">
        <v>75</v>
      </c>
      <c r="D2301" s="46">
        <v>0</v>
      </c>
      <c r="E2301" s="28">
        <v>0</v>
      </c>
      <c r="F2301" s="28">
        <v>0</v>
      </c>
      <c r="G2301" s="28">
        <v>0</v>
      </c>
      <c r="H2301" s="47">
        <f t="shared" si="4958"/>
        <v>4882</v>
      </c>
      <c r="I2301" s="21">
        <f t="shared" si="4936"/>
        <v>275</v>
      </c>
      <c r="J2301" s="21">
        <f t="shared" si="4959"/>
        <v>19</v>
      </c>
      <c r="K2301" s="21">
        <v>0</v>
      </c>
      <c r="L2301" s="20">
        <v>6</v>
      </c>
      <c r="M2301" s="20">
        <v>0</v>
      </c>
      <c r="N2301" s="20">
        <f t="shared" si="4937"/>
        <v>8000</v>
      </c>
      <c r="O2301" s="19" t="s">
        <v>75</v>
      </c>
      <c r="P2301" s="20">
        <v>861</v>
      </c>
      <c r="Q2301" s="20">
        <f t="shared" ref="Q2301:X2301" si="4996">Q2271</f>
        <v>800</v>
      </c>
      <c r="R2301" s="20">
        <f t="shared" si="4996"/>
        <v>3200</v>
      </c>
      <c r="S2301" s="20">
        <f t="shared" si="4996"/>
        <v>5600</v>
      </c>
      <c r="T2301" s="20">
        <f t="shared" si="4996"/>
        <v>7200</v>
      </c>
      <c r="U2301" s="20">
        <f t="shared" si="4996"/>
        <v>100</v>
      </c>
      <c r="V2301" s="20">
        <f t="shared" si="4996"/>
        <v>800</v>
      </c>
      <c r="W2301" s="20">
        <f t="shared" si="4996"/>
        <v>8000</v>
      </c>
      <c r="X2301" s="20">
        <f t="shared" si="4996"/>
        <v>5</v>
      </c>
      <c r="Y2301" s="20">
        <v>0</v>
      </c>
      <c r="Z2301" s="20">
        <v>0</v>
      </c>
      <c r="AA2301" s="20">
        <v>0</v>
      </c>
      <c r="AB2301" s="20">
        <v>0</v>
      </c>
      <c r="AC2301" s="20">
        <f t="shared" si="4896"/>
        <v>0</v>
      </c>
      <c r="AD2301" s="23">
        <f t="shared" ref="AD2301:AE2301" si="4997">AD2271</f>
        <v>38</v>
      </c>
      <c r="AE2301" s="23">
        <f t="shared" si="4997"/>
        <v>42</v>
      </c>
    </row>
    <row r="2302" spans="1:31">
      <c r="A2302" s="4">
        <v>19101</v>
      </c>
      <c r="B2302" s="4">
        <v>21</v>
      </c>
      <c r="C2302" s="29" t="s">
        <v>66</v>
      </c>
      <c r="D2302" s="46">
        <v>0</v>
      </c>
      <c r="E2302" s="28">
        <v>0</v>
      </c>
      <c r="F2302" s="28">
        <v>0</v>
      </c>
      <c r="G2302" s="28">
        <v>0</v>
      </c>
      <c r="H2302" s="47">
        <f t="shared" si="4958"/>
        <v>5286</v>
      </c>
      <c r="I2302" s="21">
        <f t="shared" si="4936"/>
        <v>330</v>
      </c>
      <c r="J2302" s="21">
        <f t="shared" si="4959"/>
        <v>20</v>
      </c>
      <c r="K2302" s="21">
        <v>0</v>
      </c>
      <c r="L2302" s="20">
        <v>6</v>
      </c>
      <c r="M2302" s="20">
        <v>0</v>
      </c>
      <c r="N2302" s="20">
        <f t="shared" si="4937"/>
        <v>8400</v>
      </c>
      <c r="O2302" s="19" t="s">
        <v>66</v>
      </c>
      <c r="P2302" s="20">
        <v>9400</v>
      </c>
      <c r="Q2302" s="20">
        <f t="shared" ref="Q2302:X2302" si="4998">Q2272</f>
        <v>840</v>
      </c>
      <c r="R2302" s="20">
        <f t="shared" si="4998"/>
        <v>3360</v>
      </c>
      <c r="S2302" s="20">
        <f t="shared" si="4998"/>
        <v>5880</v>
      </c>
      <c r="T2302" s="20">
        <f t="shared" si="4998"/>
        <v>7560</v>
      </c>
      <c r="U2302" s="20">
        <f t="shared" si="4998"/>
        <v>50</v>
      </c>
      <c r="V2302" s="20">
        <f t="shared" si="4998"/>
        <v>1000</v>
      </c>
      <c r="W2302" s="20">
        <f t="shared" si="4998"/>
        <v>600</v>
      </c>
      <c r="X2302" s="20">
        <f t="shared" si="4998"/>
        <v>6</v>
      </c>
      <c r="Y2302" s="20">
        <v>0</v>
      </c>
      <c r="Z2302" s="20">
        <v>0</v>
      </c>
      <c r="AA2302" s="20">
        <v>0</v>
      </c>
      <c r="AB2302" s="20">
        <v>0</v>
      </c>
      <c r="AC2302" s="20">
        <f t="shared" si="4896"/>
        <v>0</v>
      </c>
      <c r="AD2302" s="23">
        <f t="shared" ref="AD2302:AE2302" si="4999">AD2272</f>
        <v>40</v>
      </c>
      <c r="AE2302" s="23">
        <f t="shared" si="4999"/>
        <v>44</v>
      </c>
    </row>
    <row r="2303" spans="1:31">
      <c r="A2303" s="4">
        <v>19101</v>
      </c>
      <c r="B2303" s="4">
        <v>22</v>
      </c>
      <c r="C2303" s="29" t="s">
        <v>67</v>
      </c>
      <c r="D2303" s="46">
        <v>0</v>
      </c>
      <c r="E2303" s="28">
        <v>0</v>
      </c>
      <c r="F2303" s="28">
        <v>0</v>
      </c>
      <c r="G2303" s="28">
        <v>0</v>
      </c>
      <c r="H2303" s="47">
        <f t="shared" si="4958"/>
        <v>5722</v>
      </c>
      <c r="I2303" s="21">
        <f t="shared" si="4936"/>
        <v>330</v>
      </c>
      <c r="J2303" s="21">
        <f t="shared" si="4959"/>
        <v>21</v>
      </c>
      <c r="K2303" s="21">
        <v>0</v>
      </c>
      <c r="L2303" s="20">
        <v>6</v>
      </c>
      <c r="M2303" s="20">
        <v>0</v>
      </c>
      <c r="N2303" s="20">
        <f t="shared" si="4937"/>
        <v>8800</v>
      </c>
      <c r="O2303" s="19" t="s">
        <v>67</v>
      </c>
      <c r="P2303" s="20">
        <v>9100</v>
      </c>
      <c r="Q2303" s="20">
        <f t="shared" ref="Q2303:X2303" si="5000">Q2273</f>
        <v>880</v>
      </c>
      <c r="R2303" s="20">
        <f t="shared" si="5000"/>
        <v>3520</v>
      </c>
      <c r="S2303" s="20">
        <f t="shared" si="5000"/>
        <v>6160</v>
      </c>
      <c r="T2303" s="20">
        <f t="shared" si="5000"/>
        <v>7920</v>
      </c>
      <c r="U2303" s="20">
        <f t="shared" si="5000"/>
        <v>100</v>
      </c>
      <c r="V2303" s="20">
        <f t="shared" si="5000"/>
        <v>600</v>
      </c>
      <c r="W2303" s="20">
        <f t="shared" si="5000"/>
        <v>700</v>
      </c>
      <c r="X2303" s="20">
        <f t="shared" si="5000"/>
        <v>6</v>
      </c>
      <c r="Y2303" s="20">
        <v>0</v>
      </c>
      <c r="Z2303" s="20">
        <v>0</v>
      </c>
      <c r="AA2303" s="20">
        <v>0</v>
      </c>
      <c r="AB2303" s="20">
        <v>0</v>
      </c>
      <c r="AC2303" s="20">
        <f t="shared" si="4896"/>
        <v>0</v>
      </c>
      <c r="AD2303" s="23">
        <f t="shared" ref="AD2303:AE2303" si="5001">AD2273</f>
        <v>42</v>
      </c>
      <c r="AE2303" s="23">
        <f t="shared" si="5001"/>
        <v>46</v>
      </c>
    </row>
    <row r="2304" spans="1:31">
      <c r="A2304" s="4">
        <v>19101</v>
      </c>
      <c r="B2304" s="4">
        <v>23</v>
      </c>
      <c r="C2304" s="29" t="s">
        <v>68</v>
      </c>
      <c r="D2304" s="46">
        <v>0</v>
      </c>
      <c r="E2304" s="28">
        <v>0</v>
      </c>
      <c r="F2304" s="28">
        <v>0</v>
      </c>
      <c r="G2304" s="28">
        <v>0</v>
      </c>
      <c r="H2304" s="47">
        <f t="shared" si="4958"/>
        <v>6196</v>
      </c>
      <c r="I2304" s="21">
        <f t="shared" si="4936"/>
        <v>330</v>
      </c>
      <c r="J2304" s="21">
        <f t="shared" si="4959"/>
        <v>22</v>
      </c>
      <c r="K2304" s="21">
        <v>0</v>
      </c>
      <c r="L2304" s="20">
        <v>6</v>
      </c>
      <c r="M2304" s="20">
        <v>0</v>
      </c>
      <c r="N2304" s="20">
        <f t="shared" si="4937"/>
        <v>9200</v>
      </c>
      <c r="O2304" s="19" t="s">
        <v>68</v>
      </c>
      <c r="P2304" s="20">
        <v>8600</v>
      </c>
      <c r="Q2304" s="20">
        <f t="shared" ref="Q2304:X2304" si="5002">Q2274</f>
        <v>920</v>
      </c>
      <c r="R2304" s="20">
        <f t="shared" si="5002"/>
        <v>3680</v>
      </c>
      <c r="S2304" s="20">
        <f t="shared" si="5002"/>
        <v>6440</v>
      </c>
      <c r="T2304" s="20">
        <f t="shared" si="5002"/>
        <v>8280</v>
      </c>
      <c r="U2304" s="20">
        <f t="shared" si="5002"/>
        <v>100</v>
      </c>
      <c r="V2304" s="20">
        <f t="shared" si="5002"/>
        <v>550</v>
      </c>
      <c r="W2304" s="20">
        <f t="shared" si="5002"/>
        <v>500</v>
      </c>
      <c r="X2304" s="20">
        <f t="shared" si="5002"/>
        <v>6</v>
      </c>
      <c r="Y2304" s="20">
        <f>ROUND(D2304*0.25,-1)</f>
        <v>0</v>
      </c>
      <c r="Z2304" s="20">
        <f>ROUND(E2304*0.25,-1)</f>
        <v>0</v>
      </c>
      <c r="AA2304" s="20">
        <f>ROUND(F2304*0.25,-1)</f>
        <v>0</v>
      </c>
      <c r="AB2304" s="20">
        <f>ROUND(G2304*0.25,-1)</f>
        <v>0</v>
      </c>
      <c r="AC2304" s="20">
        <f t="shared" si="4896"/>
        <v>1209</v>
      </c>
      <c r="AD2304" s="23">
        <f t="shared" ref="AD2304:AE2304" si="5003">AD2274</f>
        <v>44</v>
      </c>
      <c r="AE2304" s="23">
        <f t="shared" si="5003"/>
        <v>48</v>
      </c>
    </row>
    <row r="2305" spans="1:31">
      <c r="A2305" s="4">
        <v>19101</v>
      </c>
      <c r="B2305" s="4">
        <v>24</v>
      </c>
      <c r="C2305" s="29" t="s">
        <v>69</v>
      </c>
      <c r="D2305" s="46">
        <v>0</v>
      </c>
      <c r="E2305" s="28">
        <v>0</v>
      </c>
      <c r="F2305" s="28">
        <v>0</v>
      </c>
      <c r="G2305" s="28">
        <v>0</v>
      </c>
      <c r="H2305" s="47">
        <f t="shared" si="4958"/>
        <v>6706</v>
      </c>
      <c r="I2305" s="21">
        <f t="shared" si="4936"/>
        <v>330</v>
      </c>
      <c r="J2305" s="21">
        <f t="shared" si="4959"/>
        <v>23</v>
      </c>
      <c r="K2305" s="21">
        <v>0</v>
      </c>
      <c r="L2305" s="20">
        <v>6</v>
      </c>
      <c r="M2305" s="20">
        <v>0</v>
      </c>
      <c r="N2305" s="20">
        <f t="shared" si="4937"/>
        <v>9600</v>
      </c>
      <c r="O2305" s="19" t="s">
        <v>69</v>
      </c>
      <c r="P2305" s="20">
        <v>6400</v>
      </c>
      <c r="Q2305" s="20">
        <f t="shared" ref="Q2305:X2305" si="5004">Q2275</f>
        <v>960</v>
      </c>
      <c r="R2305" s="20">
        <f t="shared" si="5004"/>
        <v>3840</v>
      </c>
      <c r="S2305" s="20">
        <f t="shared" si="5004"/>
        <v>6720</v>
      </c>
      <c r="T2305" s="20">
        <f t="shared" si="5004"/>
        <v>8640</v>
      </c>
      <c r="U2305" s="20">
        <f t="shared" si="5004"/>
        <v>100</v>
      </c>
      <c r="V2305" s="20">
        <f t="shared" si="5004"/>
        <v>500</v>
      </c>
      <c r="W2305" s="20">
        <f t="shared" si="5004"/>
        <v>900</v>
      </c>
      <c r="X2305" s="20">
        <f t="shared" si="5004"/>
        <v>6</v>
      </c>
      <c r="Y2305" s="20">
        <v>0</v>
      </c>
      <c r="Z2305" s="20">
        <v>0</v>
      </c>
      <c r="AA2305" s="20">
        <v>0</v>
      </c>
      <c r="AB2305" s="20">
        <v>0</v>
      </c>
      <c r="AC2305" s="20">
        <f t="shared" si="4896"/>
        <v>0</v>
      </c>
      <c r="AD2305" s="23">
        <f t="shared" ref="AD2305:AE2305" si="5005">AD2275</f>
        <v>46</v>
      </c>
      <c r="AE2305" s="23">
        <f t="shared" si="5005"/>
        <v>50</v>
      </c>
    </row>
    <row r="2306" spans="1:31">
      <c r="A2306" s="4">
        <v>19101</v>
      </c>
      <c r="B2306" s="4">
        <v>25</v>
      </c>
      <c r="C2306" s="29" t="s">
        <v>70</v>
      </c>
      <c r="D2306" s="46">
        <v>0</v>
      </c>
      <c r="E2306" s="28">
        <v>0</v>
      </c>
      <c r="F2306" s="28">
        <v>0</v>
      </c>
      <c r="G2306" s="28">
        <v>0</v>
      </c>
      <c r="H2306" s="47">
        <f t="shared" si="4958"/>
        <v>7262</v>
      </c>
      <c r="I2306" s="21">
        <f t="shared" si="4936"/>
        <v>385</v>
      </c>
      <c r="J2306" s="21">
        <f t="shared" si="4959"/>
        <v>24</v>
      </c>
      <c r="K2306" s="21">
        <v>0</v>
      </c>
      <c r="L2306" s="20">
        <v>6</v>
      </c>
      <c r="M2306" s="20">
        <v>0</v>
      </c>
      <c r="N2306" s="20">
        <f t="shared" si="4937"/>
        <v>12500</v>
      </c>
      <c r="O2306" s="19" t="s">
        <v>70</v>
      </c>
      <c r="P2306" s="20">
        <v>3100</v>
      </c>
      <c r="Q2306" s="20">
        <f t="shared" ref="Q2306:X2306" si="5006">Q2276</f>
        <v>1250</v>
      </c>
      <c r="R2306" s="20">
        <f t="shared" si="5006"/>
        <v>5000</v>
      </c>
      <c r="S2306" s="20">
        <f t="shared" si="5006"/>
        <v>8750</v>
      </c>
      <c r="T2306" s="20">
        <f t="shared" si="5006"/>
        <v>11250</v>
      </c>
      <c r="U2306" s="20">
        <f t="shared" si="5006"/>
        <v>10</v>
      </c>
      <c r="V2306" s="20">
        <f t="shared" si="5006"/>
        <v>1300</v>
      </c>
      <c r="W2306" s="20">
        <f t="shared" si="5006"/>
        <v>1000</v>
      </c>
      <c r="X2306" s="20">
        <f t="shared" si="5006"/>
        <v>7</v>
      </c>
      <c r="Y2306" s="20">
        <v>0</v>
      </c>
      <c r="Z2306" s="20">
        <v>0</v>
      </c>
      <c r="AA2306" s="20">
        <v>0</v>
      </c>
      <c r="AB2306" s="20">
        <v>0</v>
      </c>
      <c r="AC2306" s="20">
        <f t="shared" si="4896"/>
        <v>0</v>
      </c>
      <c r="AD2306" s="23">
        <f t="shared" ref="AD2306:AE2306" si="5007">AD2276</f>
        <v>48</v>
      </c>
      <c r="AE2306" s="23">
        <f t="shared" si="5007"/>
        <v>52</v>
      </c>
    </row>
    <row r="2307" spans="1:31">
      <c r="A2307" s="4">
        <v>19101</v>
      </c>
      <c r="B2307" s="4">
        <v>26</v>
      </c>
      <c r="C2307" s="29" t="s">
        <v>71</v>
      </c>
      <c r="D2307" s="46">
        <v>0</v>
      </c>
      <c r="E2307" s="28">
        <v>0</v>
      </c>
      <c r="F2307" s="28">
        <v>0</v>
      </c>
      <c r="G2307" s="28">
        <v>0</v>
      </c>
      <c r="H2307" s="47">
        <f t="shared" si="4958"/>
        <v>7862</v>
      </c>
      <c r="I2307" s="21">
        <f t="shared" si="4936"/>
        <v>385</v>
      </c>
      <c r="J2307" s="21">
        <f t="shared" si="4959"/>
        <v>25</v>
      </c>
      <c r="K2307" s="21">
        <v>0</v>
      </c>
      <c r="L2307" s="20">
        <v>6</v>
      </c>
      <c r="M2307" s="20">
        <v>0</v>
      </c>
      <c r="N2307" s="20">
        <f t="shared" si="4937"/>
        <v>13000</v>
      </c>
      <c r="O2307" s="19" t="s">
        <v>71</v>
      </c>
      <c r="P2307" s="20">
        <v>1777</v>
      </c>
      <c r="Q2307" s="20">
        <f t="shared" ref="Q2307:X2307" si="5008">Q2277</f>
        <v>1300</v>
      </c>
      <c r="R2307" s="20">
        <f t="shared" si="5008"/>
        <v>5200</v>
      </c>
      <c r="S2307" s="20">
        <f t="shared" si="5008"/>
        <v>9100</v>
      </c>
      <c r="T2307" s="20">
        <f t="shared" si="5008"/>
        <v>11700</v>
      </c>
      <c r="U2307" s="20">
        <f t="shared" si="5008"/>
        <v>90</v>
      </c>
      <c r="V2307" s="20">
        <f t="shared" si="5008"/>
        <v>800</v>
      </c>
      <c r="W2307" s="20">
        <f t="shared" si="5008"/>
        <v>2000</v>
      </c>
      <c r="X2307" s="20">
        <f t="shared" si="5008"/>
        <v>7</v>
      </c>
      <c r="Y2307" s="20">
        <v>0</v>
      </c>
      <c r="Z2307" s="20">
        <v>0</v>
      </c>
      <c r="AA2307" s="20">
        <v>0</v>
      </c>
      <c r="AB2307" s="20">
        <v>0</v>
      </c>
      <c r="AC2307" s="20">
        <f t="shared" si="4896"/>
        <v>0</v>
      </c>
      <c r="AD2307" s="23">
        <f t="shared" ref="AD2307:AE2307" si="5009">AD2277</f>
        <v>50</v>
      </c>
      <c r="AE2307" s="23">
        <f t="shared" si="5009"/>
        <v>54</v>
      </c>
    </row>
    <row r="2308" spans="1:31">
      <c r="A2308" s="4">
        <v>19101</v>
      </c>
      <c r="B2308" s="4">
        <v>27</v>
      </c>
      <c r="C2308" s="29" t="s">
        <v>72</v>
      </c>
      <c r="D2308" s="46">
        <v>0</v>
      </c>
      <c r="E2308" s="28">
        <v>0</v>
      </c>
      <c r="F2308" s="28">
        <v>0</v>
      </c>
      <c r="G2308" s="28">
        <v>0</v>
      </c>
      <c r="H2308" s="47">
        <f t="shared" si="4958"/>
        <v>8510</v>
      </c>
      <c r="I2308" s="21">
        <f t="shared" si="4936"/>
        <v>385</v>
      </c>
      <c r="J2308" s="21">
        <f t="shared" si="4959"/>
        <v>26</v>
      </c>
      <c r="K2308" s="21">
        <v>0</v>
      </c>
      <c r="L2308" s="20">
        <v>6</v>
      </c>
      <c r="M2308" s="20">
        <v>0</v>
      </c>
      <c r="N2308" s="20">
        <f t="shared" si="4937"/>
        <v>13500</v>
      </c>
      <c r="O2308" s="19" t="s">
        <v>72</v>
      </c>
      <c r="P2308" s="20">
        <v>2332</v>
      </c>
      <c r="Q2308" s="20">
        <f t="shared" ref="Q2308:X2308" si="5010">Q2278</f>
        <v>1350</v>
      </c>
      <c r="R2308" s="20">
        <f t="shared" si="5010"/>
        <v>5400</v>
      </c>
      <c r="S2308" s="20">
        <f t="shared" si="5010"/>
        <v>9450</v>
      </c>
      <c r="T2308" s="20">
        <f t="shared" si="5010"/>
        <v>12150</v>
      </c>
      <c r="U2308" s="20">
        <f t="shared" si="5010"/>
        <v>80</v>
      </c>
      <c r="V2308" s="20">
        <f t="shared" si="5010"/>
        <v>700</v>
      </c>
      <c r="W2308" s="20">
        <f t="shared" si="5010"/>
        <v>800</v>
      </c>
      <c r="X2308" s="20">
        <f t="shared" si="5010"/>
        <v>7</v>
      </c>
      <c r="Y2308" s="20">
        <v>0</v>
      </c>
      <c r="Z2308" s="20">
        <v>0</v>
      </c>
      <c r="AA2308" s="20">
        <v>0</v>
      </c>
      <c r="AB2308" s="20">
        <v>0</v>
      </c>
      <c r="AC2308" s="20">
        <f t="shared" si="4896"/>
        <v>0</v>
      </c>
      <c r="AD2308" s="23">
        <f t="shared" ref="AD2308:AE2308" si="5011">AD2278</f>
        <v>52</v>
      </c>
      <c r="AE2308" s="23">
        <f t="shared" si="5011"/>
        <v>56</v>
      </c>
    </row>
    <row r="2309" spans="1:31">
      <c r="A2309" s="4">
        <v>19101</v>
      </c>
      <c r="B2309" s="4">
        <v>28</v>
      </c>
      <c r="C2309" s="29" t="s">
        <v>73</v>
      </c>
      <c r="D2309" s="46">
        <v>0</v>
      </c>
      <c r="E2309" s="28">
        <v>0</v>
      </c>
      <c r="F2309" s="28">
        <v>0</v>
      </c>
      <c r="G2309" s="28">
        <v>0</v>
      </c>
      <c r="H2309" s="47">
        <f t="shared" si="4958"/>
        <v>9214</v>
      </c>
      <c r="I2309" s="21">
        <f t="shared" si="4936"/>
        <v>385</v>
      </c>
      <c r="J2309" s="21">
        <f t="shared" si="4959"/>
        <v>27</v>
      </c>
      <c r="K2309" s="21">
        <v>0</v>
      </c>
      <c r="L2309" s="20">
        <v>6</v>
      </c>
      <c r="M2309" s="20">
        <v>0</v>
      </c>
      <c r="N2309" s="20">
        <f t="shared" si="4937"/>
        <v>14000</v>
      </c>
      <c r="O2309" s="19" t="s">
        <v>73</v>
      </c>
      <c r="P2309" s="20">
        <v>1487</v>
      </c>
      <c r="Q2309" s="20">
        <f t="shared" ref="Q2309:X2309" si="5012">Q2279</f>
        <v>1400</v>
      </c>
      <c r="R2309" s="20">
        <f t="shared" si="5012"/>
        <v>5600</v>
      </c>
      <c r="S2309" s="20">
        <f t="shared" si="5012"/>
        <v>9800</v>
      </c>
      <c r="T2309" s="20">
        <f t="shared" si="5012"/>
        <v>12600</v>
      </c>
      <c r="U2309" s="20">
        <f t="shared" si="5012"/>
        <v>80</v>
      </c>
      <c r="V2309" s="20">
        <f t="shared" si="5012"/>
        <v>500</v>
      </c>
      <c r="W2309" s="20">
        <f t="shared" si="5012"/>
        <v>600</v>
      </c>
      <c r="X2309" s="20">
        <f t="shared" si="5012"/>
        <v>7</v>
      </c>
      <c r="Y2309" s="20">
        <f>ROUND(D2309*0.25,-1)</f>
        <v>0</v>
      </c>
      <c r="Z2309" s="20">
        <f>ROUND(E2309*0.25,-1)</f>
        <v>0</v>
      </c>
      <c r="AA2309" s="20">
        <f>ROUND(F2309*0.25,-1)</f>
        <v>0</v>
      </c>
      <c r="AB2309" s="20">
        <f>ROUND(G2309*0.25,-1)</f>
        <v>0</v>
      </c>
      <c r="AC2309" s="20">
        <f t="shared" si="4896"/>
        <v>1512</v>
      </c>
      <c r="AD2309" s="23">
        <f t="shared" ref="AD2309:AE2309" si="5013">AD2279</f>
        <v>54</v>
      </c>
      <c r="AE2309" s="23">
        <f t="shared" si="5013"/>
        <v>58</v>
      </c>
    </row>
    <row r="2310" spans="1:31">
      <c r="A2310" s="4">
        <v>19101</v>
      </c>
      <c r="B2310" s="4">
        <v>29</v>
      </c>
      <c r="C2310" s="29" t="s">
        <v>74</v>
      </c>
      <c r="D2310" s="46">
        <v>0</v>
      </c>
      <c r="E2310" s="28">
        <v>0</v>
      </c>
      <c r="F2310" s="28">
        <v>0</v>
      </c>
      <c r="G2310" s="28">
        <v>0</v>
      </c>
      <c r="H2310" s="47">
        <f t="shared" si="4958"/>
        <v>9976</v>
      </c>
      <c r="I2310" s="21">
        <f t="shared" si="4936"/>
        <v>440</v>
      </c>
      <c r="J2310" s="21">
        <f t="shared" si="4959"/>
        <v>28</v>
      </c>
      <c r="K2310" s="21">
        <v>0</v>
      </c>
      <c r="L2310" s="20">
        <v>6</v>
      </c>
      <c r="M2310" s="20">
        <v>0</v>
      </c>
      <c r="N2310" s="20">
        <f t="shared" si="4937"/>
        <v>14500</v>
      </c>
      <c r="O2310" s="19" t="s">
        <v>74</v>
      </c>
      <c r="P2310" s="20">
        <v>1518</v>
      </c>
      <c r="Q2310" s="20">
        <f t="shared" ref="Q2310:X2310" si="5014">Q2280</f>
        <v>1450</v>
      </c>
      <c r="R2310" s="20">
        <f t="shared" si="5014"/>
        <v>5800</v>
      </c>
      <c r="S2310" s="20">
        <f t="shared" si="5014"/>
        <v>10150</v>
      </c>
      <c r="T2310" s="20">
        <f t="shared" si="5014"/>
        <v>13050</v>
      </c>
      <c r="U2310" s="20">
        <f t="shared" si="5014"/>
        <v>80</v>
      </c>
      <c r="V2310" s="20">
        <f t="shared" si="5014"/>
        <v>600</v>
      </c>
      <c r="W2310" s="20">
        <f t="shared" si="5014"/>
        <v>700</v>
      </c>
      <c r="X2310" s="20">
        <f t="shared" si="5014"/>
        <v>8</v>
      </c>
      <c r="Y2310" s="20">
        <v>0</v>
      </c>
      <c r="Z2310" s="20">
        <v>0</v>
      </c>
      <c r="AA2310" s="20">
        <v>0</v>
      </c>
      <c r="AB2310" s="20">
        <v>0</v>
      </c>
      <c r="AC2310" s="20">
        <f t="shared" si="4896"/>
        <v>0</v>
      </c>
      <c r="AD2310" s="23">
        <f t="shared" ref="AD2310:AE2310" si="5015">AD2280</f>
        <v>56</v>
      </c>
      <c r="AE2310" s="23">
        <f t="shared" si="5015"/>
        <v>60</v>
      </c>
    </row>
    <row r="2311" spans="1:31">
      <c r="A2311" s="4">
        <v>19101</v>
      </c>
      <c r="B2311" s="4">
        <v>30</v>
      </c>
      <c r="C2311" s="29" t="s">
        <v>75</v>
      </c>
      <c r="D2311" s="46">
        <v>0</v>
      </c>
      <c r="E2311" s="28">
        <v>0</v>
      </c>
      <c r="F2311" s="28">
        <v>0</v>
      </c>
      <c r="G2311" s="28">
        <v>0</v>
      </c>
      <c r="H2311" s="47">
        <f t="shared" si="4958"/>
        <v>10800</v>
      </c>
      <c r="I2311" s="21">
        <f t="shared" si="4936"/>
        <v>440</v>
      </c>
      <c r="J2311" s="21">
        <f t="shared" si="4959"/>
        <v>29</v>
      </c>
      <c r="K2311" s="21">
        <v>0</v>
      </c>
      <c r="L2311" s="20">
        <v>6</v>
      </c>
      <c r="M2311" s="20">
        <v>0</v>
      </c>
      <c r="N2311" s="20">
        <f t="shared" si="4937"/>
        <v>15000</v>
      </c>
      <c r="O2311" s="19" t="s">
        <v>75</v>
      </c>
      <c r="P2311" s="20">
        <v>861</v>
      </c>
      <c r="Q2311" s="20">
        <f t="shared" ref="Q2311:X2311" si="5016">Q2281</f>
        <v>1500</v>
      </c>
      <c r="R2311" s="20">
        <f t="shared" si="5016"/>
        <v>6000</v>
      </c>
      <c r="S2311" s="20">
        <f t="shared" si="5016"/>
        <v>10500</v>
      </c>
      <c r="T2311" s="20">
        <f t="shared" si="5016"/>
        <v>13500</v>
      </c>
      <c r="U2311" s="20">
        <f t="shared" si="5016"/>
        <v>20</v>
      </c>
      <c r="V2311" s="20">
        <f t="shared" si="5016"/>
        <v>450</v>
      </c>
      <c r="W2311" s="20">
        <f t="shared" si="5016"/>
        <v>1000</v>
      </c>
      <c r="X2311" s="20">
        <f t="shared" si="5016"/>
        <v>8</v>
      </c>
      <c r="Y2311" s="20">
        <v>0</v>
      </c>
      <c r="Z2311" s="20">
        <v>0</v>
      </c>
      <c r="AA2311" s="20">
        <v>0</v>
      </c>
      <c r="AB2311" s="20">
        <v>0</v>
      </c>
      <c r="AC2311" s="20">
        <f t="shared" si="4896"/>
        <v>0</v>
      </c>
      <c r="AD2311" s="23">
        <f t="shared" ref="AD2311:AE2311" si="5017">AD2281</f>
        <v>58</v>
      </c>
      <c r="AE2311" s="23">
        <f t="shared" si="5017"/>
        <v>62</v>
      </c>
    </row>
    <row r="2312" spans="1:31">
      <c r="A2312" s="4">
        <v>19102</v>
      </c>
      <c r="B2312" s="4">
        <v>1</v>
      </c>
      <c r="C2312" s="19" t="s">
        <v>66</v>
      </c>
      <c r="D2312" s="44">
        <v>0</v>
      </c>
      <c r="E2312" s="18">
        <v>0</v>
      </c>
      <c r="F2312" s="18">
        <v>0</v>
      </c>
      <c r="G2312" s="18">
        <v>0</v>
      </c>
      <c r="H2312" s="45">
        <f>H2252*3</f>
        <v>1620</v>
      </c>
      <c r="I2312" s="21">
        <f t="shared" si="4936"/>
        <v>55</v>
      </c>
      <c r="J2312" s="21">
        <f t="shared" si="4959"/>
        <v>0</v>
      </c>
      <c r="K2312" s="21">
        <v>0</v>
      </c>
      <c r="L2312" s="20">
        <v>45</v>
      </c>
      <c r="M2312" s="20">
        <v>0</v>
      </c>
      <c r="N2312" s="20">
        <f t="shared" si="4937"/>
        <v>10</v>
      </c>
      <c r="O2312" s="19" t="s">
        <v>66</v>
      </c>
      <c r="P2312" s="20">
        <v>9400</v>
      </c>
      <c r="Q2312" s="20">
        <f t="shared" ref="Q2312:X2312" si="5018">Q2282</f>
        <v>1</v>
      </c>
      <c r="R2312" s="20">
        <f t="shared" si="5018"/>
        <v>4</v>
      </c>
      <c r="S2312" s="20">
        <f t="shared" si="5018"/>
        <v>7</v>
      </c>
      <c r="T2312" s="20">
        <f t="shared" si="5018"/>
        <v>9</v>
      </c>
      <c r="U2312" s="20">
        <f t="shared" si="5018"/>
        <v>9400</v>
      </c>
      <c r="V2312" s="20">
        <f t="shared" si="5018"/>
        <v>9400</v>
      </c>
      <c r="W2312" s="20">
        <f t="shared" si="5018"/>
        <v>9400</v>
      </c>
      <c r="X2312" s="20">
        <f t="shared" si="5018"/>
        <v>1</v>
      </c>
      <c r="Y2312" s="20">
        <v>0</v>
      </c>
      <c r="Z2312" s="20">
        <v>0</v>
      </c>
      <c r="AA2312" s="20">
        <v>0</v>
      </c>
      <c r="AB2312" s="20">
        <v>0</v>
      </c>
      <c r="AC2312" s="20">
        <f t="shared" si="4896"/>
        <v>0</v>
      </c>
      <c r="AD2312" s="23">
        <f t="shared" ref="AD2312:AE2312" si="5019">AD2282</f>
        <v>1</v>
      </c>
      <c r="AE2312" s="23">
        <f t="shared" si="5019"/>
        <v>3</v>
      </c>
    </row>
    <row r="2313" spans="1:31">
      <c r="A2313" s="4">
        <v>19102</v>
      </c>
      <c r="B2313" s="4">
        <v>2</v>
      </c>
      <c r="C2313" s="19" t="s">
        <v>67</v>
      </c>
      <c r="D2313" s="44">
        <v>0</v>
      </c>
      <c r="E2313" s="18">
        <v>0</v>
      </c>
      <c r="F2313" s="18">
        <v>0</v>
      </c>
      <c r="G2313" s="18">
        <v>0</v>
      </c>
      <c r="H2313" s="45">
        <f t="shared" ref="H2313:H2341" si="5020">H2253*3</f>
        <v>1755</v>
      </c>
      <c r="I2313" s="21">
        <f t="shared" si="4936"/>
        <v>55</v>
      </c>
      <c r="J2313" s="21">
        <f t="shared" si="4959"/>
        <v>1</v>
      </c>
      <c r="K2313" s="21">
        <v>0</v>
      </c>
      <c r="L2313" s="20">
        <v>40</v>
      </c>
      <c r="M2313" s="20">
        <v>0</v>
      </c>
      <c r="N2313" s="20">
        <f t="shared" si="4937"/>
        <v>20</v>
      </c>
      <c r="O2313" s="19" t="s">
        <v>67</v>
      </c>
      <c r="P2313" s="20">
        <v>9100</v>
      </c>
      <c r="Q2313" s="20">
        <f t="shared" ref="Q2313:X2313" si="5021">Q2283</f>
        <v>2</v>
      </c>
      <c r="R2313" s="20">
        <f t="shared" si="5021"/>
        <v>8</v>
      </c>
      <c r="S2313" s="20">
        <f t="shared" si="5021"/>
        <v>14</v>
      </c>
      <c r="T2313" s="20">
        <f t="shared" si="5021"/>
        <v>18</v>
      </c>
      <c r="U2313" s="20">
        <f t="shared" si="5021"/>
        <v>4000</v>
      </c>
      <c r="V2313" s="20">
        <f t="shared" si="5021"/>
        <v>8000</v>
      </c>
      <c r="W2313" s="20">
        <f t="shared" si="5021"/>
        <v>8000</v>
      </c>
      <c r="X2313" s="20">
        <f t="shared" si="5021"/>
        <v>1</v>
      </c>
      <c r="Y2313" s="20">
        <v>0</v>
      </c>
      <c r="Z2313" s="20">
        <v>0</v>
      </c>
      <c r="AA2313" s="20">
        <v>0</v>
      </c>
      <c r="AB2313" s="20">
        <v>0</v>
      </c>
      <c r="AC2313" s="20">
        <f t="shared" si="4896"/>
        <v>0</v>
      </c>
      <c r="AD2313" s="23">
        <f t="shared" ref="AD2313:AE2313" si="5022">AD2283</f>
        <v>2</v>
      </c>
      <c r="AE2313" s="23">
        <f t="shared" si="5022"/>
        <v>5</v>
      </c>
    </row>
    <row r="2314" spans="1:31">
      <c r="A2314" s="4">
        <v>19102</v>
      </c>
      <c r="B2314" s="4">
        <v>3</v>
      </c>
      <c r="C2314" s="19" t="s">
        <v>68</v>
      </c>
      <c r="D2314" s="44">
        <v>0</v>
      </c>
      <c r="E2314" s="18">
        <v>0</v>
      </c>
      <c r="F2314" s="18">
        <v>0</v>
      </c>
      <c r="G2314" s="18">
        <v>0</v>
      </c>
      <c r="H2314" s="45">
        <f t="shared" si="5020"/>
        <v>1899</v>
      </c>
      <c r="I2314" s="21">
        <f t="shared" si="4936"/>
        <v>55</v>
      </c>
      <c r="J2314" s="21">
        <f t="shared" si="4959"/>
        <v>2</v>
      </c>
      <c r="K2314" s="21">
        <v>0</v>
      </c>
      <c r="L2314" s="20">
        <v>35</v>
      </c>
      <c r="M2314" s="20">
        <v>0</v>
      </c>
      <c r="N2314" s="20">
        <f t="shared" si="4937"/>
        <v>40</v>
      </c>
      <c r="O2314" s="19" t="s">
        <v>68</v>
      </c>
      <c r="P2314" s="20">
        <v>8600</v>
      </c>
      <c r="Q2314" s="20">
        <f t="shared" ref="Q2314:X2314" si="5023">Q2284</f>
        <v>4</v>
      </c>
      <c r="R2314" s="20">
        <f t="shared" si="5023"/>
        <v>16</v>
      </c>
      <c r="S2314" s="20">
        <f t="shared" si="5023"/>
        <v>28</v>
      </c>
      <c r="T2314" s="20">
        <f t="shared" si="5023"/>
        <v>36</v>
      </c>
      <c r="U2314" s="20">
        <f t="shared" si="5023"/>
        <v>1600</v>
      </c>
      <c r="V2314" s="20">
        <f t="shared" si="5023"/>
        <v>5000</v>
      </c>
      <c r="W2314" s="20">
        <f t="shared" si="5023"/>
        <v>6000</v>
      </c>
      <c r="X2314" s="20">
        <f t="shared" si="5023"/>
        <v>1</v>
      </c>
      <c r="Y2314" s="20">
        <v>0</v>
      </c>
      <c r="Z2314" s="20">
        <v>0</v>
      </c>
      <c r="AA2314" s="20">
        <v>0</v>
      </c>
      <c r="AB2314" s="20">
        <v>0</v>
      </c>
      <c r="AC2314" s="20">
        <f t="shared" si="4896"/>
        <v>0</v>
      </c>
      <c r="AD2314" s="23">
        <f t="shared" ref="AD2314:AE2314" si="5024">AD2284</f>
        <v>4</v>
      </c>
      <c r="AE2314" s="23">
        <f t="shared" si="5024"/>
        <v>8</v>
      </c>
    </row>
    <row r="2315" spans="1:31">
      <c r="A2315" s="4">
        <v>19102</v>
      </c>
      <c r="B2315" s="4">
        <v>4</v>
      </c>
      <c r="C2315" s="19" t="s">
        <v>69</v>
      </c>
      <c r="D2315" s="44">
        <v>0</v>
      </c>
      <c r="E2315" s="18">
        <v>0</v>
      </c>
      <c r="F2315" s="18">
        <v>0</v>
      </c>
      <c r="G2315" s="18">
        <v>0</v>
      </c>
      <c r="H2315" s="45">
        <f t="shared" si="5020"/>
        <v>2055</v>
      </c>
      <c r="I2315" s="21">
        <f t="shared" si="4936"/>
        <v>55</v>
      </c>
      <c r="J2315" s="21">
        <f t="shared" si="4959"/>
        <v>3</v>
      </c>
      <c r="K2315" s="21">
        <v>0</v>
      </c>
      <c r="L2315" s="20">
        <v>30</v>
      </c>
      <c r="M2315" s="20">
        <v>0</v>
      </c>
      <c r="N2315" s="20">
        <f t="shared" si="4937"/>
        <v>100</v>
      </c>
      <c r="O2315" s="19" t="s">
        <v>69</v>
      </c>
      <c r="P2315" s="20">
        <v>6400</v>
      </c>
      <c r="Q2315" s="20">
        <f t="shared" ref="Q2315:X2315" si="5025">Q2285</f>
        <v>10</v>
      </c>
      <c r="R2315" s="20">
        <f t="shared" si="5025"/>
        <v>40</v>
      </c>
      <c r="S2315" s="20">
        <f t="shared" si="5025"/>
        <v>70</v>
      </c>
      <c r="T2315" s="20">
        <f t="shared" si="5025"/>
        <v>90</v>
      </c>
      <c r="U2315" s="20">
        <f t="shared" si="5025"/>
        <v>900</v>
      </c>
      <c r="V2315" s="20">
        <f t="shared" si="5025"/>
        <v>2000</v>
      </c>
      <c r="W2315" s="20">
        <f t="shared" si="5025"/>
        <v>8000</v>
      </c>
      <c r="X2315" s="20">
        <f t="shared" si="5025"/>
        <v>1</v>
      </c>
      <c r="Y2315" s="20">
        <v>0</v>
      </c>
      <c r="Z2315" s="20">
        <v>0</v>
      </c>
      <c r="AA2315" s="20">
        <v>0</v>
      </c>
      <c r="AB2315" s="20">
        <v>0</v>
      </c>
      <c r="AC2315" s="20">
        <f t="shared" si="4896"/>
        <v>0</v>
      </c>
      <c r="AD2315" s="23">
        <f t="shared" ref="AD2315:AE2315" si="5026">AD2285</f>
        <v>6</v>
      </c>
      <c r="AE2315" s="23">
        <f t="shared" si="5026"/>
        <v>10</v>
      </c>
    </row>
    <row r="2316" spans="1:31">
      <c r="A2316" s="4">
        <v>19102</v>
      </c>
      <c r="B2316" s="4">
        <v>5</v>
      </c>
      <c r="C2316" s="19" t="s">
        <v>70</v>
      </c>
      <c r="D2316" s="44">
        <v>0</v>
      </c>
      <c r="E2316" s="18">
        <v>0</v>
      </c>
      <c r="F2316" s="18">
        <v>0</v>
      </c>
      <c r="G2316" s="18">
        <v>0</v>
      </c>
      <c r="H2316" s="45">
        <f t="shared" si="5020"/>
        <v>2226</v>
      </c>
      <c r="I2316" s="21">
        <f t="shared" si="4936"/>
        <v>110</v>
      </c>
      <c r="J2316" s="21">
        <f t="shared" si="4959"/>
        <v>4</v>
      </c>
      <c r="K2316" s="21">
        <v>0</v>
      </c>
      <c r="L2316" s="20">
        <v>25</v>
      </c>
      <c r="M2316" s="20">
        <v>0</v>
      </c>
      <c r="N2316" s="20">
        <f t="shared" si="4937"/>
        <v>200</v>
      </c>
      <c r="O2316" s="19" t="s">
        <v>70</v>
      </c>
      <c r="P2316" s="20">
        <v>3100</v>
      </c>
      <c r="Q2316" s="20">
        <f t="shared" ref="Q2316:X2316" si="5027">Q2286</f>
        <v>20</v>
      </c>
      <c r="R2316" s="20">
        <f t="shared" si="5027"/>
        <v>80</v>
      </c>
      <c r="S2316" s="20">
        <f t="shared" si="5027"/>
        <v>140</v>
      </c>
      <c r="T2316" s="20">
        <f t="shared" si="5027"/>
        <v>180</v>
      </c>
      <c r="U2316" s="20">
        <f t="shared" si="5027"/>
        <v>1000</v>
      </c>
      <c r="V2316" s="20">
        <f t="shared" si="5027"/>
        <v>2000</v>
      </c>
      <c r="W2316" s="20">
        <f t="shared" si="5027"/>
        <v>2000</v>
      </c>
      <c r="X2316" s="20">
        <f t="shared" si="5027"/>
        <v>2</v>
      </c>
      <c r="Y2316" s="20">
        <v>0</v>
      </c>
      <c r="Z2316" s="20">
        <v>0</v>
      </c>
      <c r="AA2316" s="20">
        <v>0</v>
      </c>
      <c r="AB2316" s="20">
        <v>0</v>
      </c>
      <c r="AC2316" s="20">
        <f t="shared" si="4896"/>
        <v>0</v>
      </c>
      <c r="AD2316" s="23">
        <f t="shared" ref="AD2316:AE2316" si="5028">AD2286</f>
        <v>8</v>
      </c>
      <c r="AE2316" s="23">
        <f t="shared" si="5028"/>
        <v>12</v>
      </c>
    </row>
    <row r="2317" spans="1:31">
      <c r="A2317" s="4">
        <v>19102</v>
      </c>
      <c r="B2317" s="4">
        <v>6</v>
      </c>
      <c r="C2317" s="19" t="s">
        <v>71</v>
      </c>
      <c r="D2317" s="44">
        <v>0</v>
      </c>
      <c r="E2317" s="18">
        <v>0</v>
      </c>
      <c r="F2317" s="18">
        <v>0</v>
      </c>
      <c r="G2317" s="18">
        <v>0</v>
      </c>
      <c r="H2317" s="45">
        <f t="shared" si="5020"/>
        <v>2409</v>
      </c>
      <c r="I2317" s="21">
        <f t="shared" si="4936"/>
        <v>110</v>
      </c>
      <c r="J2317" s="21">
        <f t="shared" si="4959"/>
        <v>5</v>
      </c>
      <c r="K2317" s="21">
        <v>0</v>
      </c>
      <c r="L2317" s="20">
        <v>20</v>
      </c>
      <c r="M2317" s="20">
        <v>0</v>
      </c>
      <c r="N2317" s="20">
        <f t="shared" si="4937"/>
        <v>500</v>
      </c>
      <c r="O2317" s="19" t="s">
        <v>71</v>
      </c>
      <c r="P2317" s="20">
        <v>1777</v>
      </c>
      <c r="Q2317" s="20">
        <f t="shared" ref="Q2317:X2317" si="5029">Q2287</f>
        <v>50</v>
      </c>
      <c r="R2317" s="20">
        <f t="shared" si="5029"/>
        <v>200</v>
      </c>
      <c r="S2317" s="20">
        <f t="shared" si="5029"/>
        <v>350</v>
      </c>
      <c r="T2317" s="20">
        <f t="shared" si="5029"/>
        <v>450</v>
      </c>
      <c r="U2317" s="20">
        <f t="shared" si="5029"/>
        <v>800</v>
      </c>
      <c r="V2317" s="20">
        <f t="shared" si="5029"/>
        <v>800</v>
      </c>
      <c r="W2317" s="20">
        <f t="shared" si="5029"/>
        <v>600</v>
      </c>
      <c r="X2317" s="20">
        <f t="shared" si="5029"/>
        <v>2</v>
      </c>
      <c r="Y2317" s="20">
        <v>0</v>
      </c>
      <c r="Z2317" s="20">
        <v>0</v>
      </c>
      <c r="AA2317" s="20">
        <v>0</v>
      </c>
      <c r="AB2317" s="20">
        <v>0</v>
      </c>
      <c r="AC2317" s="20">
        <f t="shared" ref="AC2317:AC2380" si="5030">INT(AC1717*4/3)</f>
        <v>0</v>
      </c>
      <c r="AD2317" s="23">
        <f t="shared" ref="AD2317:AE2317" si="5031">AD2287</f>
        <v>10</v>
      </c>
      <c r="AE2317" s="23">
        <f t="shared" si="5031"/>
        <v>14</v>
      </c>
    </row>
    <row r="2318" spans="1:31">
      <c r="A2318" s="8">
        <v>19102</v>
      </c>
      <c r="B2318" s="8">
        <v>7</v>
      </c>
      <c r="C2318" s="19" t="s">
        <v>72</v>
      </c>
      <c r="D2318" s="44">
        <v>0</v>
      </c>
      <c r="E2318" s="18">
        <v>0</v>
      </c>
      <c r="F2318" s="18">
        <v>0</v>
      </c>
      <c r="G2318" s="18">
        <v>0</v>
      </c>
      <c r="H2318" s="45">
        <f t="shared" si="5020"/>
        <v>2610</v>
      </c>
      <c r="I2318" s="21">
        <f t="shared" si="4936"/>
        <v>110</v>
      </c>
      <c r="J2318" s="21">
        <f t="shared" si="4959"/>
        <v>6</v>
      </c>
      <c r="K2318" s="21">
        <v>0</v>
      </c>
      <c r="L2318" s="20">
        <v>16</v>
      </c>
      <c r="M2318" s="20">
        <v>0</v>
      </c>
      <c r="N2318" s="20">
        <f t="shared" si="4937"/>
        <v>700</v>
      </c>
      <c r="O2318" s="19" t="s">
        <v>72</v>
      </c>
      <c r="P2318" s="20">
        <v>2332</v>
      </c>
      <c r="Q2318" s="20">
        <f t="shared" ref="Q2318:X2318" si="5032">Q2288</f>
        <v>70</v>
      </c>
      <c r="R2318" s="20">
        <f t="shared" si="5032"/>
        <v>280</v>
      </c>
      <c r="S2318" s="20">
        <f t="shared" si="5032"/>
        <v>489.99999999999994</v>
      </c>
      <c r="T2318" s="20">
        <f t="shared" si="5032"/>
        <v>630</v>
      </c>
      <c r="U2318" s="20">
        <f t="shared" si="5032"/>
        <v>650</v>
      </c>
      <c r="V2318" s="20">
        <f t="shared" si="5032"/>
        <v>800</v>
      </c>
      <c r="W2318" s="20">
        <f t="shared" si="5032"/>
        <v>300</v>
      </c>
      <c r="X2318" s="20">
        <f t="shared" si="5032"/>
        <v>2</v>
      </c>
      <c r="Y2318" s="20">
        <v>0</v>
      </c>
      <c r="Z2318" s="20">
        <v>0</v>
      </c>
      <c r="AA2318" s="20">
        <v>0</v>
      </c>
      <c r="AB2318" s="20">
        <v>0</v>
      </c>
      <c r="AC2318" s="20">
        <f t="shared" si="5030"/>
        <v>0</v>
      </c>
      <c r="AD2318" s="23">
        <f t="shared" ref="AD2318:AE2318" si="5033">AD2288</f>
        <v>12</v>
      </c>
      <c r="AE2318" s="23">
        <f t="shared" si="5033"/>
        <v>16</v>
      </c>
    </row>
    <row r="2319" spans="1:31">
      <c r="A2319" s="4">
        <v>19102</v>
      </c>
      <c r="B2319" s="4">
        <v>8</v>
      </c>
      <c r="C2319" s="19" t="s">
        <v>73</v>
      </c>
      <c r="D2319" s="44">
        <v>0</v>
      </c>
      <c r="E2319" s="18">
        <v>0</v>
      </c>
      <c r="F2319" s="18">
        <v>0</v>
      </c>
      <c r="G2319" s="18">
        <v>0</v>
      </c>
      <c r="H2319" s="45">
        <f t="shared" si="5020"/>
        <v>2823</v>
      </c>
      <c r="I2319" s="21">
        <f t="shared" si="4936"/>
        <v>110</v>
      </c>
      <c r="J2319" s="21">
        <f t="shared" si="4959"/>
        <v>7</v>
      </c>
      <c r="K2319" s="21">
        <v>0</v>
      </c>
      <c r="L2319" s="20">
        <v>12</v>
      </c>
      <c r="M2319" s="20">
        <v>0</v>
      </c>
      <c r="N2319" s="20">
        <f t="shared" si="4937"/>
        <v>800</v>
      </c>
      <c r="O2319" s="19" t="s">
        <v>73</v>
      </c>
      <c r="P2319" s="20">
        <v>1487</v>
      </c>
      <c r="Q2319" s="20">
        <f t="shared" ref="Q2319:X2319" si="5034">Q2289</f>
        <v>80</v>
      </c>
      <c r="R2319" s="20">
        <f t="shared" si="5034"/>
        <v>320</v>
      </c>
      <c r="S2319" s="20">
        <f t="shared" si="5034"/>
        <v>560</v>
      </c>
      <c r="T2319" s="20">
        <f t="shared" si="5034"/>
        <v>720</v>
      </c>
      <c r="U2319" s="20">
        <f t="shared" si="5034"/>
        <v>200</v>
      </c>
      <c r="V2319" s="20">
        <f t="shared" si="5034"/>
        <v>2000</v>
      </c>
      <c r="W2319" s="20">
        <f t="shared" si="5034"/>
        <v>1000</v>
      </c>
      <c r="X2319" s="20">
        <f t="shared" si="5034"/>
        <v>2</v>
      </c>
      <c r="Y2319" s="20">
        <f>ROUND(D2319*0.25,-1)</f>
        <v>0</v>
      </c>
      <c r="Z2319" s="20">
        <f>ROUND(E2319*0.25,-1)</f>
        <v>0</v>
      </c>
      <c r="AA2319" s="20">
        <f>ROUND(F2319*0.25,-1)</f>
        <v>0</v>
      </c>
      <c r="AB2319" s="20">
        <f>ROUND(G2319*0.25,-1)</f>
        <v>0</v>
      </c>
      <c r="AC2319" s="20">
        <f t="shared" si="5030"/>
        <v>345</v>
      </c>
      <c r="AD2319" s="23">
        <f t="shared" ref="AD2319:AE2319" si="5035">AD2289</f>
        <v>14</v>
      </c>
      <c r="AE2319" s="23">
        <f t="shared" si="5035"/>
        <v>18</v>
      </c>
    </row>
    <row r="2320" spans="1:31">
      <c r="A2320" s="4">
        <v>19102</v>
      </c>
      <c r="B2320" s="4">
        <v>9</v>
      </c>
      <c r="C2320" s="19" t="s">
        <v>74</v>
      </c>
      <c r="D2320" s="44">
        <v>0</v>
      </c>
      <c r="E2320" s="18">
        <v>0</v>
      </c>
      <c r="F2320" s="18">
        <v>0</v>
      </c>
      <c r="G2320" s="18">
        <v>0</v>
      </c>
      <c r="H2320" s="45">
        <f t="shared" si="5020"/>
        <v>3057</v>
      </c>
      <c r="I2320" s="21">
        <f t="shared" si="4936"/>
        <v>165</v>
      </c>
      <c r="J2320" s="21">
        <f t="shared" si="4959"/>
        <v>8</v>
      </c>
      <c r="K2320" s="21">
        <v>0</v>
      </c>
      <c r="L2320" s="20">
        <v>8</v>
      </c>
      <c r="M2320" s="20">
        <v>0</v>
      </c>
      <c r="N2320" s="20">
        <f t="shared" si="4937"/>
        <v>900</v>
      </c>
      <c r="O2320" s="19" t="s">
        <v>74</v>
      </c>
      <c r="P2320" s="20">
        <v>1518</v>
      </c>
      <c r="Q2320" s="20">
        <f t="shared" ref="Q2320:X2320" si="5036">Q2290</f>
        <v>90</v>
      </c>
      <c r="R2320" s="20">
        <f t="shared" si="5036"/>
        <v>360</v>
      </c>
      <c r="S2320" s="20">
        <f t="shared" si="5036"/>
        <v>630</v>
      </c>
      <c r="T2320" s="20">
        <f t="shared" si="5036"/>
        <v>810</v>
      </c>
      <c r="U2320" s="20">
        <f t="shared" si="5036"/>
        <v>120</v>
      </c>
      <c r="V2320" s="20">
        <f t="shared" si="5036"/>
        <v>1500</v>
      </c>
      <c r="W2320" s="20">
        <f t="shared" si="5036"/>
        <v>1000</v>
      </c>
      <c r="X2320" s="20">
        <f t="shared" si="5036"/>
        <v>3</v>
      </c>
      <c r="Y2320" s="20">
        <v>0</v>
      </c>
      <c r="Z2320" s="20">
        <v>0</v>
      </c>
      <c r="AA2320" s="20">
        <v>0</v>
      </c>
      <c r="AB2320" s="20">
        <v>0</v>
      </c>
      <c r="AC2320" s="20">
        <f t="shared" si="5030"/>
        <v>0</v>
      </c>
      <c r="AD2320" s="23">
        <f t="shared" ref="AD2320:AE2320" si="5037">AD2290</f>
        <v>16</v>
      </c>
      <c r="AE2320" s="23">
        <f t="shared" si="5037"/>
        <v>20</v>
      </c>
    </row>
    <row r="2321" spans="1:31">
      <c r="A2321" s="4">
        <v>19102</v>
      </c>
      <c r="B2321" s="4">
        <v>10</v>
      </c>
      <c r="C2321" s="19" t="s">
        <v>75</v>
      </c>
      <c r="D2321" s="44">
        <v>0</v>
      </c>
      <c r="E2321" s="18">
        <v>0</v>
      </c>
      <c r="F2321" s="18">
        <v>0</v>
      </c>
      <c r="G2321" s="18">
        <v>0</v>
      </c>
      <c r="H2321" s="45">
        <f t="shared" si="5020"/>
        <v>3309</v>
      </c>
      <c r="I2321" s="21">
        <f t="shared" si="4936"/>
        <v>165</v>
      </c>
      <c r="J2321" s="21">
        <f t="shared" si="4959"/>
        <v>9</v>
      </c>
      <c r="K2321" s="21">
        <v>0</v>
      </c>
      <c r="L2321" s="20">
        <v>6</v>
      </c>
      <c r="M2321" s="20">
        <v>0</v>
      </c>
      <c r="N2321" s="20">
        <f t="shared" si="4937"/>
        <v>2000</v>
      </c>
      <c r="O2321" s="19" t="s">
        <v>75</v>
      </c>
      <c r="P2321" s="20">
        <v>861</v>
      </c>
      <c r="Q2321" s="20">
        <f t="shared" ref="Q2321:X2321" si="5038">Q2291</f>
        <v>200</v>
      </c>
      <c r="R2321" s="20">
        <f t="shared" si="5038"/>
        <v>800</v>
      </c>
      <c r="S2321" s="20">
        <f t="shared" si="5038"/>
        <v>1400</v>
      </c>
      <c r="T2321" s="20">
        <f t="shared" si="5038"/>
        <v>1800</v>
      </c>
      <c r="U2321" s="20">
        <f t="shared" si="5038"/>
        <v>150</v>
      </c>
      <c r="V2321" s="20">
        <f t="shared" si="5038"/>
        <v>5000</v>
      </c>
      <c r="W2321" s="20">
        <f t="shared" si="5038"/>
        <v>800</v>
      </c>
      <c r="X2321" s="20">
        <f t="shared" si="5038"/>
        <v>3</v>
      </c>
      <c r="Y2321" s="20">
        <v>0</v>
      </c>
      <c r="Z2321" s="20">
        <v>0</v>
      </c>
      <c r="AA2321" s="20">
        <v>0</v>
      </c>
      <c r="AB2321" s="20">
        <v>0</v>
      </c>
      <c r="AC2321" s="20">
        <f t="shared" si="5030"/>
        <v>0</v>
      </c>
      <c r="AD2321" s="23">
        <f t="shared" ref="AD2321:AE2321" si="5039">AD2291</f>
        <v>18</v>
      </c>
      <c r="AE2321" s="23">
        <f t="shared" si="5039"/>
        <v>22</v>
      </c>
    </row>
    <row r="2322" spans="1:31">
      <c r="A2322" s="4">
        <v>19102</v>
      </c>
      <c r="B2322" s="4">
        <v>11</v>
      </c>
      <c r="C2322" s="19" t="s">
        <v>66</v>
      </c>
      <c r="D2322" s="44">
        <v>0</v>
      </c>
      <c r="E2322" s="18">
        <v>0</v>
      </c>
      <c r="F2322" s="18">
        <v>0</v>
      </c>
      <c r="G2322" s="18">
        <v>0</v>
      </c>
      <c r="H2322" s="45">
        <f t="shared" si="5020"/>
        <v>3585</v>
      </c>
      <c r="I2322" s="21">
        <f t="shared" si="4936"/>
        <v>165</v>
      </c>
      <c r="J2322" s="21">
        <f t="shared" si="4959"/>
        <v>10</v>
      </c>
      <c r="K2322" s="21">
        <v>0</v>
      </c>
      <c r="L2322" s="20">
        <v>6</v>
      </c>
      <c r="M2322" s="20">
        <v>0</v>
      </c>
      <c r="N2322" s="20">
        <f t="shared" si="4937"/>
        <v>2200</v>
      </c>
      <c r="O2322" s="19" t="s">
        <v>66</v>
      </c>
      <c r="P2322" s="20">
        <v>9400</v>
      </c>
      <c r="Q2322" s="20">
        <f t="shared" ref="Q2322:X2322" si="5040">Q2292</f>
        <v>220</v>
      </c>
      <c r="R2322" s="20">
        <f t="shared" si="5040"/>
        <v>880</v>
      </c>
      <c r="S2322" s="20">
        <f t="shared" si="5040"/>
        <v>1540</v>
      </c>
      <c r="T2322" s="20">
        <f t="shared" si="5040"/>
        <v>1980</v>
      </c>
      <c r="U2322" s="20">
        <f t="shared" si="5040"/>
        <v>100</v>
      </c>
      <c r="V2322" s="20">
        <f t="shared" si="5040"/>
        <v>800</v>
      </c>
      <c r="W2322" s="20">
        <f t="shared" si="5040"/>
        <v>600</v>
      </c>
      <c r="X2322" s="20">
        <f t="shared" si="5040"/>
        <v>3</v>
      </c>
      <c r="Y2322" s="20">
        <v>0</v>
      </c>
      <c r="Z2322" s="20">
        <v>0</v>
      </c>
      <c r="AA2322" s="20">
        <v>0</v>
      </c>
      <c r="AB2322" s="20">
        <v>0</v>
      </c>
      <c r="AC2322" s="20">
        <f t="shared" si="5030"/>
        <v>0</v>
      </c>
      <c r="AD2322" s="23">
        <f t="shared" ref="AD2322:AE2322" si="5041">AD2292</f>
        <v>20</v>
      </c>
      <c r="AE2322" s="23">
        <f t="shared" si="5041"/>
        <v>24</v>
      </c>
    </row>
    <row r="2323" spans="1:31">
      <c r="A2323" s="4">
        <v>19102</v>
      </c>
      <c r="B2323" s="4">
        <v>12</v>
      </c>
      <c r="C2323" s="19" t="s">
        <v>67</v>
      </c>
      <c r="D2323" s="44">
        <v>0</v>
      </c>
      <c r="E2323" s="18">
        <v>0</v>
      </c>
      <c r="F2323" s="18">
        <v>0</v>
      </c>
      <c r="G2323" s="18">
        <v>0</v>
      </c>
      <c r="H2323" s="45">
        <f t="shared" si="5020"/>
        <v>3879</v>
      </c>
      <c r="I2323" s="21">
        <f t="shared" si="4936"/>
        <v>165</v>
      </c>
      <c r="J2323" s="21">
        <f t="shared" si="4959"/>
        <v>11</v>
      </c>
      <c r="K2323" s="21">
        <v>0</v>
      </c>
      <c r="L2323" s="20">
        <v>6</v>
      </c>
      <c r="M2323" s="20">
        <v>0</v>
      </c>
      <c r="N2323" s="20">
        <f t="shared" si="4937"/>
        <v>2400</v>
      </c>
      <c r="O2323" s="19" t="s">
        <v>67</v>
      </c>
      <c r="P2323" s="20">
        <v>9100</v>
      </c>
      <c r="Q2323" s="20">
        <f t="shared" ref="Q2323:X2323" si="5042">Q2293</f>
        <v>240</v>
      </c>
      <c r="R2323" s="20">
        <f t="shared" si="5042"/>
        <v>960</v>
      </c>
      <c r="S2323" s="20">
        <f t="shared" si="5042"/>
        <v>1680</v>
      </c>
      <c r="T2323" s="20">
        <f t="shared" si="5042"/>
        <v>2160</v>
      </c>
      <c r="U2323" s="20">
        <f t="shared" si="5042"/>
        <v>150</v>
      </c>
      <c r="V2323" s="20">
        <f t="shared" si="5042"/>
        <v>700</v>
      </c>
      <c r="W2323" s="20">
        <f t="shared" si="5042"/>
        <v>900</v>
      </c>
      <c r="X2323" s="20">
        <f t="shared" si="5042"/>
        <v>3</v>
      </c>
      <c r="Y2323" s="20">
        <v>0</v>
      </c>
      <c r="Z2323" s="20">
        <v>0</v>
      </c>
      <c r="AA2323" s="20">
        <v>0</v>
      </c>
      <c r="AB2323" s="20">
        <v>0</v>
      </c>
      <c r="AC2323" s="20">
        <f t="shared" si="5030"/>
        <v>0</v>
      </c>
      <c r="AD2323" s="23">
        <f t="shared" ref="AD2323:AE2323" si="5043">AD2293</f>
        <v>22</v>
      </c>
      <c r="AE2323" s="23">
        <f t="shared" si="5043"/>
        <v>26</v>
      </c>
    </row>
    <row r="2324" spans="1:31">
      <c r="A2324" s="4">
        <v>19102</v>
      </c>
      <c r="B2324" s="4">
        <v>13</v>
      </c>
      <c r="C2324" s="19" t="s">
        <v>68</v>
      </c>
      <c r="D2324" s="44">
        <v>0</v>
      </c>
      <c r="E2324" s="18">
        <v>0</v>
      </c>
      <c r="F2324" s="18">
        <v>0</v>
      </c>
      <c r="G2324" s="18">
        <v>0</v>
      </c>
      <c r="H2324" s="45">
        <f t="shared" si="5020"/>
        <v>4200</v>
      </c>
      <c r="I2324" s="21">
        <f t="shared" si="4936"/>
        <v>220</v>
      </c>
      <c r="J2324" s="21">
        <f t="shared" si="4959"/>
        <v>12</v>
      </c>
      <c r="K2324" s="21">
        <v>0</v>
      </c>
      <c r="L2324" s="20">
        <v>6</v>
      </c>
      <c r="M2324" s="20">
        <v>0</v>
      </c>
      <c r="N2324" s="20">
        <f t="shared" si="4937"/>
        <v>2600</v>
      </c>
      <c r="O2324" s="19" t="s">
        <v>68</v>
      </c>
      <c r="P2324" s="20">
        <v>8600</v>
      </c>
      <c r="Q2324" s="20">
        <f t="shared" ref="Q2324:X2324" si="5044">Q2294</f>
        <v>260</v>
      </c>
      <c r="R2324" s="20">
        <f t="shared" si="5044"/>
        <v>1040</v>
      </c>
      <c r="S2324" s="20">
        <f t="shared" si="5044"/>
        <v>1819.9999999999998</v>
      </c>
      <c r="T2324" s="20">
        <f t="shared" si="5044"/>
        <v>2340</v>
      </c>
      <c r="U2324" s="20">
        <f t="shared" si="5044"/>
        <v>100</v>
      </c>
      <c r="V2324" s="20">
        <f t="shared" si="5044"/>
        <v>700</v>
      </c>
      <c r="W2324" s="20">
        <f t="shared" si="5044"/>
        <v>1000</v>
      </c>
      <c r="X2324" s="20">
        <f t="shared" si="5044"/>
        <v>4</v>
      </c>
      <c r="Y2324" s="20">
        <f>ROUND(D2324*0.25,-1)</f>
        <v>0</v>
      </c>
      <c r="Z2324" s="20">
        <f>ROUND(E2324*0.25,-1)</f>
        <v>0</v>
      </c>
      <c r="AA2324" s="20">
        <f>ROUND(F2324*0.25,-1)</f>
        <v>0</v>
      </c>
      <c r="AB2324" s="20">
        <f>ROUND(G2324*0.25,-1)</f>
        <v>0</v>
      </c>
      <c r="AC2324" s="20">
        <f t="shared" si="5030"/>
        <v>690</v>
      </c>
      <c r="AD2324" s="23">
        <f t="shared" ref="AD2324:AE2324" si="5045">AD2294</f>
        <v>24</v>
      </c>
      <c r="AE2324" s="23">
        <f t="shared" si="5045"/>
        <v>28</v>
      </c>
    </row>
    <row r="2325" spans="1:31">
      <c r="A2325" s="4">
        <v>19102</v>
      </c>
      <c r="B2325" s="4">
        <v>14</v>
      </c>
      <c r="C2325" s="19" t="s">
        <v>69</v>
      </c>
      <c r="D2325" s="44">
        <v>0</v>
      </c>
      <c r="E2325" s="18">
        <v>0</v>
      </c>
      <c r="F2325" s="18">
        <v>0</v>
      </c>
      <c r="G2325" s="18">
        <v>0</v>
      </c>
      <c r="H2325" s="45">
        <f t="shared" si="5020"/>
        <v>4548</v>
      </c>
      <c r="I2325" s="21">
        <f t="shared" si="4936"/>
        <v>220</v>
      </c>
      <c r="J2325" s="21">
        <f t="shared" si="4959"/>
        <v>13</v>
      </c>
      <c r="K2325" s="21">
        <v>0</v>
      </c>
      <c r="L2325" s="20">
        <v>6</v>
      </c>
      <c r="M2325" s="20">
        <v>0</v>
      </c>
      <c r="N2325" s="20">
        <f t="shared" si="4937"/>
        <v>2800</v>
      </c>
      <c r="O2325" s="19" t="s">
        <v>69</v>
      </c>
      <c r="P2325" s="20">
        <v>6400</v>
      </c>
      <c r="Q2325" s="20">
        <f t="shared" ref="Q2325:X2325" si="5046">Q2295</f>
        <v>280</v>
      </c>
      <c r="R2325" s="20">
        <f t="shared" si="5046"/>
        <v>1120</v>
      </c>
      <c r="S2325" s="20">
        <f t="shared" si="5046"/>
        <v>1959.9999999999998</v>
      </c>
      <c r="T2325" s="20">
        <f t="shared" si="5046"/>
        <v>2520</v>
      </c>
      <c r="U2325" s="20">
        <f t="shared" si="5046"/>
        <v>100</v>
      </c>
      <c r="V2325" s="20">
        <f t="shared" si="5046"/>
        <v>400</v>
      </c>
      <c r="W2325" s="20">
        <f t="shared" si="5046"/>
        <v>1200</v>
      </c>
      <c r="X2325" s="20">
        <f t="shared" si="5046"/>
        <v>4</v>
      </c>
      <c r="Y2325" s="20">
        <v>0</v>
      </c>
      <c r="Z2325" s="20">
        <v>0</v>
      </c>
      <c r="AA2325" s="20">
        <v>0</v>
      </c>
      <c r="AB2325" s="20">
        <v>0</v>
      </c>
      <c r="AC2325" s="20">
        <f t="shared" si="5030"/>
        <v>0</v>
      </c>
      <c r="AD2325" s="23">
        <f t="shared" ref="AD2325:AE2325" si="5047">AD2295</f>
        <v>26</v>
      </c>
      <c r="AE2325" s="23">
        <f t="shared" si="5047"/>
        <v>30</v>
      </c>
    </row>
    <row r="2326" spans="1:31">
      <c r="A2326" s="4">
        <v>19102</v>
      </c>
      <c r="B2326" s="4">
        <v>15</v>
      </c>
      <c r="C2326" s="19" t="s">
        <v>70</v>
      </c>
      <c r="D2326" s="44">
        <v>0</v>
      </c>
      <c r="E2326" s="18">
        <v>0</v>
      </c>
      <c r="F2326" s="18">
        <v>0</v>
      </c>
      <c r="G2326" s="18">
        <v>0</v>
      </c>
      <c r="H2326" s="45">
        <f t="shared" si="5020"/>
        <v>4923</v>
      </c>
      <c r="I2326" s="21">
        <f t="shared" si="4936"/>
        <v>220</v>
      </c>
      <c r="J2326" s="21">
        <f t="shared" si="4959"/>
        <v>14</v>
      </c>
      <c r="K2326" s="21">
        <v>0</v>
      </c>
      <c r="L2326" s="20">
        <v>6</v>
      </c>
      <c r="M2326" s="20">
        <v>0</v>
      </c>
      <c r="N2326" s="20">
        <f t="shared" si="4937"/>
        <v>4500</v>
      </c>
      <c r="O2326" s="19" t="s">
        <v>70</v>
      </c>
      <c r="P2326" s="20">
        <v>3100</v>
      </c>
      <c r="Q2326" s="20">
        <f t="shared" ref="Q2326:X2326" si="5048">Q2296</f>
        <v>450</v>
      </c>
      <c r="R2326" s="20">
        <f t="shared" si="5048"/>
        <v>1800</v>
      </c>
      <c r="S2326" s="20">
        <f t="shared" si="5048"/>
        <v>3150</v>
      </c>
      <c r="T2326" s="20">
        <f t="shared" si="5048"/>
        <v>4050</v>
      </c>
      <c r="U2326" s="20">
        <f t="shared" si="5048"/>
        <v>100</v>
      </c>
      <c r="V2326" s="20">
        <f t="shared" si="5048"/>
        <v>1000</v>
      </c>
      <c r="W2326" s="20">
        <f t="shared" si="5048"/>
        <v>600</v>
      </c>
      <c r="X2326" s="20">
        <f t="shared" si="5048"/>
        <v>4</v>
      </c>
      <c r="Y2326" s="20">
        <v>0</v>
      </c>
      <c r="Z2326" s="20">
        <v>0</v>
      </c>
      <c r="AA2326" s="20">
        <v>0</v>
      </c>
      <c r="AB2326" s="20">
        <v>0</v>
      </c>
      <c r="AC2326" s="20">
        <f t="shared" si="5030"/>
        <v>0</v>
      </c>
      <c r="AD2326" s="23">
        <f t="shared" ref="AD2326:AE2326" si="5049">AD2296</f>
        <v>28</v>
      </c>
      <c r="AE2326" s="23">
        <f t="shared" si="5049"/>
        <v>32</v>
      </c>
    </row>
    <row r="2327" spans="1:31">
      <c r="A2327" s="4">
        <v>19102</v>
      </c>
      <c r="B2327" s="4">
        <v>16</v>
      </c>
      <c r="C2327" s="19" t="s">
        <v>71</v>
      </c>
      <c r="D2327" s="44">
        <v>0</v>
      </c>
      <c r="E2327" s="18">
        <v>0</v>
      </c>
      <c r="F2327" s="18">
        <v>0</v>
      </c>
      <c r="G2327" s="18">
        <v>0</v>
      </c>
      <c r="H2327" s="45">
        <f t="shared" si="5020"/>
        <v>5331</v>
      </c>
      <c r="I2327" s="21">
        <f t="shared" si="4936"/>
        <v>220</v>
      </c>
      <c r="J2327" s="21">
        <f t="shared" si="4959"/>
        <v>15</v>
      </c>
      <c r="K2327" s="21">
        <v>0</v>
      </c>
      <c r="L2327" s="20">
        <v>6</v>
      </c>
      <c r="M2327" s="20">
        <v>0</v>
      </c>
      <c r="N2327" s="20">
        <f t="shared" si="4937"/>
        <v>4800</v>
      </c>
      <c r="O2327" s="19" t="s">
        <v>71</v>
      </c>
      <c r="P2327" s="20">
        <v>1777</v>
      </c>
      <c r="Q2327" s="20">
        <f t="shared" ref="Q2327:X2327" si="5050">Q2297</f>
        <v>480</v>
      </c>
      <c r="R2327" s="20">
        <f t="shared" si="5050"/>
        <v>1920</v>
      </c>
      <c r="S2327" s="20">
        <f t="shared" si="5050"/>
        <v>3360</v>
      </c>
      <c r="T2327" s="20">
        <f t="shared" si="5050"/>
        <v>4320</v>
      </c>
      <c r="U2327" s="20">
        <f t="shared" si="5050"/>
        <v>100</v>
      </c>
      <c r="V2327" s="20">
        <f t="shared" si="5050"/>
        <v>800</v>
      </c>
      <c r="W2327" s="20">
        <f t="shared" si="5050"/>
        <v>800</v>
      </c>
      <c r="X2327" s="20">
        <f t="shared" si="5050"/>
        <v>4</v>
      </c>
      <c r="Y2327" s="20">
        <v>0</v>
      </c>
      <c r="Z2327" s="20">
        <v>0</v>
      </c>
      <c r="AA2327" s="20">
        <v>0</v>
      </c>
      <c r="AB2327" s="20">
        <v>0</v>
      </c>
      <c r="AC2327" s="20">
        <f t="shared" si="5030"/>
        <v>0</v>
      </c>
      <c r="AD2327" s="23">
        <f t="shared" ref="AD2327:AE2327" si="5051">AD2297</f>
        <v>30</v>
      </c>
      <c r="AE2327" s="23">
        <f t="shared" si="5051"/>
        <v>34</v>
      </c>
    </row>
    <row r="2328" spans="1:31">
      <c r="A2328" s="4">
        <v>19102</v>
      </c>
      <c r="B2328" s="4">
        <v>17</v>
      </c>
      <c r="C2328" s="19" t="s">
        <v>72</v>
      </c>
      <c r="D2328" s="44">
        <v>0</v>
      </c>
      <c r="E2328" s="18">
        <v>0</v>
      </c>
      <c r="F2328" s="18">
        <v>0</v>
      </c>
      <c r="G2328" s="18">
        <v>0</v>
      </c>
      <c r="H2328" s="45">
        <f t="shared" si="5020"/>
        <v>5772</v>
      </c>
      <c r="I2328" s="21">
        <f t="shared" si="4936"/>
        <v>275</v>
      </c>
      <c r="J2328" s="21">
        <f t="shared" si="4959"/>
        <v>16</v>
      </c>
      <c r="K2328" s="21">
        <v>0</v>
      </c>
      <c r="L2328" s="20">
        <v>6</v>
      </c>
      <c r="M2328" s="20">
        <v>0</v>
      </c>
      <c r="N2328" s="20">
        <f t="shared" si="4937"/>
        <v>5100</v>
      </c>
      <c r="O2328" s="19" t="s">
        <v>72</v>
      </c>
      <c r="P2328" s="20">
        <v>2332</v>
      </c>
      <c r="Q2328" s="20">
        <f t="shared" ref="Q2328:X2328" si="5052">Q2298</f>
        <v>510</v>
      </c>
      <c r="R2328" s="20">
        <f t="shared" si="5052"/>
        <v>2040</v>
      </c>
      <c r="S2328" s="20">
        <f t="shared" si="5052"/>
        <v>3570</v>
      </c>
      <c r="T2328" s="20">
        <f t="shared" si="5052"/>
        <v>4590</v>
      </c>
      <c r="U2328" s="20">
        <f t="shared" si="5052"/>
        <v>80</v>
      </c>
      <c r="V2328" s="20">
        <f t="shared" si="5052"/>
        <v>800</v>
      </c>
      <c r="W2328" s="20">
        <f t="shared" si="5052"/>
        <v>600</v>
      </c>
      <c r="X2328" s="20">
        <f t="shared" si="5052"/>
        <v>5</v>
      </c>
      <c r="Y2328" s="20">
        <v>0</v>
      </c>
      <c r="Z2328" s="20">
        <v>0</v>
      </c>
      <c r="AA2328" s="20">
        <v>0</v>
      </c>
      <c r="AB2328" s="20">
        <v>0</v>
      </c>
      <c r="AC2328" s="20">
        <f t="shared" si="5030"/>
        <v>0</v>
      </c>
      <c r="AD2328" s="23">
        <f t="shared" ref="AD2328:AE2328" si="5053">AD2298</f>
        <v>32</v>
      </c>
      <c r="AE2328" s="23">
        <f t="shared" si="5053"/>
        <v>36</v>
      </c>
    </row>
    <row r="2329" spans="1:31">
      <c r="A2329" s="4">
        <v>19102</v>
      </c>
      <c r="B2329" s="4">
        <v>18</v>
      </c>
      <c r="C2329" s="19" t="s">
        <v>73</v>
      </c>
      <c r="D2329" s="44">
        <v>0</v>
      </c>
      <c r="E2329" s="18">
        <v>0</v>
      </c>
      <c r="F2329" s="18">
        <v>0</v>
      </c>
      <c r="G2329" s="18">
        <v>0</v>
      </c>
      <c r="H2329" s="45">
        <f t="shared" si="5020"/>
        <v>6249</v>
      </c>
      <c r="I2329" s="21">
        <f t="shared" si="4936"/>
        <v>275</v>
      </c>
      <c r="J2329" s="21">
        <f t="shared" si="4959"/>
        <v>17</v>
      </c>
      <c r="K2329" s="21">
        <v>0</v>
      </c>
      <c r="L2329" s="20">
        <v>6</v>
      </c>
      <c r="M2329" s="20">
        <v>0</v>
      </c>
      <c r="N2329" s="20">
        <f t="shared" si="4937"/>
        <v>5400</v>
      </c>
      <c r="O2329" s="19" t="s">
        <v>73</v>
      </c>
      <c r="P2329" s="20">
        <v>1487</v>
      </c>
      <c r="Q2329" s="20">
        <f t="shared" ref="Q2329:X2329" si="5054">Q2299</f>
        <v>540</v>
      </c>
      <c r="R2329" s="20">
        <f t="shared" si="5054"/>
        <v>2160</v>
      </c>
      <c r="S2329" s="20">
        <f t="shared" si="5054"/>
        <v>3779.9999999999995</v>
      </c>
      <c r="T2329" s="20">
        <f t="shared" si="5054"/>
        <v>4860</v>
      </c>
      <c r="U2329" s="20">
        <f t="shared" si="5054"/>
        <v>100</v>
      </c>
      <c r="V2329" s="20">
        <f t="shared" si="5054"/>
        <v>600</v>
      </c>
      <c r="W2329" s="20">
        <f t="shared" si="5054"/>
        <v>300</v>
      </c>
      <c r="X2329" s="20">
        <f t="shared" si="5054"/>
        <v>5</v>
      </c>
      <c r="Y2329" s="20">
        <f>ROUND(D2329*0.25,-1)</f>
        <v>0</v>
      </c>
      <c r="Z2329" s="20">
        <f>ROUND(E2329*0.25,-1)</f>
        <v>0</v>
      </c>
      <c r="AA2329" s="20">
        <f>ROUND(F2329*0.25,-1)</f>
        <v>0</v>
      </c>
      <c r="AB2329" s="20">
        <f>ROUND(G2329*0.25,-1)</f>
        <v>0</v>
      </c>
      <c r="AC2329" s="20">
        <f t="shared" si="5030"/>
        <v>1036</v>
      </c>
      <c r="AD2329" s="23">
        <f t="shared" ref="AD2329:AE2329" si="5055">AD2299</f>
        <v>34</v>
      </c>
      <c r="AE2329" s="23">
        <f t="shared" si="5055"/>
        <v>38</v>
      </c>
    </row>
    <row r="2330" spans="1:31">
      <c r="A2330" s="8">
        <v>19102</v>
      </c>
      <c r="B2330" s="8">
        <v>19</v>
      </c>
      <c r="C2330" s="19" t="s">
        <v>74</v>
      </c>
      <c r="D2330" s="44">
        <v>0</v>
      </c>
      <c r="E2330" s="18">
        <v>0</v>
      </c>
      <c r="F2330" s="18">
        <v>0</v>
      </c>
      <c r="G2330" s="18">
        <v>0</v>
      </c>
      <c r="H2330" s="45">
        <f t="shared" si="5020"/>
        <v>6765</v>
      </c>
      <c r="I2330" s="21">
        <f t="shared" si="4936"/>
        <v>275</v>
      </c>
      <c r="J2330" s="21">
        <f t="shared" si="4959"/>
        <v>18</v>
      </c>
      <c r="K2330" s="21">
        <v>0</v>
      </c>
      <c r="L2330" s="20">
        <v>6</v>
      </c>
      <c r="M2330" s="20">
        <v>0</v>
      </c>
      <c r="N2330" s="20">
        <f t="shared" si="4937"/>
        <v>5700</v>
      </c>
      <c r="O2330" s="19" t="s">
        <v>74</v>
      </c>
      <c r="P2330" s="20">
        <v>1518</v>
      </c>
      <c r="Q2330" s="20">
        <f t="shared" ref="Q2330:X2330" si="5056">Q2300</f>
        <v>570</v>
      </c>
      <c r="R2330" s="20">
        <f t="shared" si="5056"/>
        <v>2280</v>
      </c>
      <c r="S2330" s="20">
        <f t="shared" si="5056"/>
        <v>3989.9999999999995</v>
      </c>
      <c r="T2330" s="20">
        <f t="shared" si="5056"/>
        <v>5130</v>
      </c>
      <c r="U2330" s="20">
        <f t="shared" si="5056"/>
        <v>100</v>
      </c>
      <c r="V2330" s="20">
        <f t="shared" si="5056"/>
        <v>500</v>
      </c>
      <c r="W2330" s="20">
        <f t="shared" si="5056"/>
        <v>400</v>
      </c>
      <c r="X2330" s="20">
        <f t="shared" si="5056"/>
        <v>5</v>
      </c>
      <c r="Y2330" s="20">
        <v>0</v>
      </c>
      <c r="Z2330" s="20">
        <v>0</v>
      </c>
      <c r="AA2330" s="20">
        <v>0</v>
      </c>
      <c r="AB2330" s="20">
        <v>0</v>
      </c>
      <c r="AC2330" s="20">
        <f t="shared" si="5030"/>
        <v>0</v>
      </c>
      <c r="AD2330" s="23">
        <f t="shared" ref="AD2330:AE2330" si="5057">AD2300</f>
        <v>36</v>
      </c>
      <c r="AE2330" s="23">
        <f t="shared" si="5057"/>
        <v>40</v>
      </c>
    </row>
    <row r="2331" spans="1:31">
      <c r="A2331" s="4">
        <v>19102</v>
      </c>
      <c r="B2331" s="4">
        <v>20</v>
      </c>
      <c r="C2331" s="19" t="s">
        <v>75</v>
      </c>
      <c r="D2331" s="44">
        <v>0</v>
      </c>
      <c r="E2331" s="18">
        <v>0</v>
      </c>
      <c r="F2331" s="18">
        <v>0</v>
      </c>
      <c r="G2331" s="18">
        <v>0</v>
      </c>
      <c r="H2331" s="45">
        <f t="shared" si="5020"/>
        <v>7323</v>
      </c>
      <c r="I2331" s="21">
        <f t="shared" si="4936"/>
        <v>275</v>
      </c>
      <c r="J2331" s="21">
        <f t="shared" si="4959"/>
        <v>19</v>
      </c>
      <c r="K2331" s="21">
        <v>0</v>
      </c>
      <c r="L2331" s="20">
        <v>6</v>
      </c>
      <c r="M2331" s="20">
        <v>0</v>
      </c>
      <c r="N2331" s="20">
        <f t="shared" si="4937"/>
        <v>8000</v>
      </c>
      <c r="O2331" s="19" t="s">
        <v>75</v>
      </c>
      <c r="P2331" s="20">
        <v>861</v>
      </c>
      <c r="Q2331" s="20">
        <f t="shared" ref="Q2331:X2331" si="5058">Q2301</f>
        <v>800</v>
      </c>
      <c r="R2331" s="20">
        <f t="shared" si="5058"/>
        <v>3200</v>
      </c>
      <c r="S2331" s="20">
        <f t="shared" si="5058"/>
        <v>5600</v>
      </c>
      <c r="T2331" s="20">
        <f t="shared" si="5058"/>
        <v>7200</v>
      </c>
      <c r="U2331" s="20">
        <f t="shared" si="5058"/>
        <v>100</v>
      </c>
      <c r="V2331" s="20">
        <f t="shared" si="5058"/>
        <v>800</v>
      </c>
      <c r="W2331" s="20">
        <f t="shared" si="5058"/>
        <v>8000</v>
      </c>
      <c r="X2331" s="20">
        <f t="shared" si="5058"/>
        <v>5</v>
      </c>
      <c r="Y2331" s="20">
        <v>0</v>
      </c>
      <c r="Z2331" s="20">
        <v>0</v>
      </c>
      <c r="AA2331" s="20">
        <v>0</v>
      </c>
      <c r="AB2331" s="20">
        <v>0</v>
      </c>
      <c r="AC2331" s="20">
        <f t="shared" si="5030"/>
        <v>0</v>
      </c>
      <c r="AD2331" s="23">
        <f t="shared" ref="AD2331:AE2331" si="5059">AD2301</f>
        <v>38</v>
      </c>
      <c r="AE2331" s="23">
        <f t="shared" si="5059"/>
        <v>42</v>
      </c>
    </row>
    <row r="2332" spans="1:31">
      <c r="A2332" s="4">
        <v>19102</v>
      </c>
      <c r="B2332" s="4">
        <v>21</v>
      </c>
      <c r="C2332" s="19" t="s">
        <v>66</v>
      </c>
      <c r="D2332" s="44">
        <v>0</v>
      </c>
      <c r="E2332" s="18">
        <v>0</v>
      </c>
      <c r="F2332" s="18">
        <v>0</v>
      </c>
      <c r="G2332" s="18">
        <v>0</v>
      </c>
      <c r="H2332" s="45">
        <f t="shared" si="5020"/>
        <v>7929</v>
      </c>
      <c r="I2332" s="21">
        <f t="shared" si="4936"/>
        <v>330</v>
      </c>
      <c r="J2332" s="21">
        <f t="shared" si="4959"/>
        <v>20</v>
      </c>
      <c r="K2332" s="21">
        <v>0</v>
      </c>
      <c r="L2332" s="20">
        <v>6</v>
      </c>
      <c r="M2332" s="20">
        <v>0</v>
      </c>
      <c r="N2332" s="20">
        <f t="shared" si="4937"/>
        <v>8400</v>
      </c>
      <c r="O2332" s="19" t="s">
        <v>66</v>
      </c>
      <c r="P2332" s="20">
        <v>9400</v>
      </c>
      <c r="Q2332" s="20">
        <f t="shared" ref="Q2332:X2332" si="5060">Q2302</f>
        <v>840</v>
      </c>
      <c r="R2332" s="20">
        <f t="shared" si="5060"/>
        <v>3360</v>
      </c>
      <c r="S2332" s="20">
        <f t="shared" si="5060"/>
        <v>5880</v>
      </c>
      <c r="T2332" s="20">
        <f t="shared" si="5060"/>
        <v>7560</v>
      </c>
      <c r="U2332" s="20">
        <f t="shared" si="5060"/>
        <v>50</v>
      </c>
      <c r="V2332" s="20">
        <f t="shared" si="5060"/>
        <v>1000</v>
      </c>
      <c r="W2332" s="20">
        <f t="shared" si="5060"/>
        <v>600</v>
      </c>
      <c r="X2332" s="20">
        <f t="shared" si="5060"/>
        <v>6</v>
      </c>
      <c r="Y2332" s="20">
        <v>0</v>
      </c>
      <c r="Z2332" s="20">
        <v>0</v>
      </c>
      <c r="AA2332" s="20">
        <v>0</v>
      </c>
      <c r="AB2332" s="20">
        <v>0</v>
      </c>
      <c r="AC2332" s="20">
        <f t="shared" si="5030"/>
        <v>0</v>
      </c>
      <c r="AD2332" s="23">
        <f t="shared" ref="AD2332:AE2332" si="5061">AD2302</f>
        <v>40</v>
      </c>
      <c r="AE2332" s="23">
        <f t="shared" si="5061"/>
        <v>44</v>
      </c>
    </row>
    <row r="2333" spans="1:31">
      <c r="A2333" s="4">
        <v>19102</v>
      </c>
      <c r="B2333" s="4">
        <v>22</v>
      </c>
      <c r="C2333" s="19" t="s">
        <v>67</v>
      </c>
      <c r="D2333" s="44">
        <v>0</v>
      </c>
      <c r="E2333" s="18">
        <v>0</v>
      </c>
      <c r="F2333" s="18">
        <v>0</v>
      </c>
      <c r="G2333" s="18">
        <v>0</v>
      </c>
      <c r="H2333" s="45">
        <f t="shared" si="5020"/>
        <v>8583</v>
      </c>
      <c r="I2333" s="21">
        <f t="shared" si="4936"/>
        <v>330</v>
      </c>
      <c r="J2333" s="21">
        <f t="shared" si="4959"/>
        <v>21</v>
      </c>
      <c r="K2333" s="21">
        <v>0</v>
      </c>
      <c r="L2333" s="20">
        <v>6</v>
      </c>
      <c r="M2333" s="20">
        <v>0</v>
      </c>
      <c r="N2333" s="20">
        <f t="shared" si="4937"/>
        <v>8800</v>
      </c>
      <c r="O2333" s="19" t="s">
        <v>67</v>
      </c>
      <c r="P2333" s="20">
        <v>9100</v>
      </c>
      <c r="Q2333" s="20">
        <f t="shared" ref="Q2333:X2333" si="5062">Q2303</f>
        <v>880</v>
      </c>
      <c r="R2333" s="20">
        <f t="shared" si="5062"/>
        <v>3520</v>
      </c>
      <c r="S2333" s="20">
        <f t="shared" si="5062"/>
        <v>6160</v>
      </c>
      <c r="T2333" s="20">
        <f t="shared" si="5062"/>
        <v>7920</v>
      </c>
      <c r="U2333" s="20">
        <f t="shared" si="5062"/>
        <v>100</v>
      </c>
      <c r="V2333" s="20">
        <f t="shared" si="5062"/>
        <v>600</v>
      </c>
      <c r="W2333" s="20">
        <f t="shared" si="5062"/>
        <v>700</v>
      </c>
      <c r="X2333" s="20">
        <f t="shared" si="5062"/>
        <v>6</v>
      </c>
      <c r="Y2333" s="20">
        <v>0</v>
      </c>
      <c r="Z2333" s="20">
        <v>0</v>
      </c>
      <c r="AA2333" s="20">
        <v>0</v>
      </c>
      <c r="AB2333" s="20">
        <v>0</v>
      </c>
      <c r="AC2333" s="20">
        <f t="shared" si="5030"/>
        <v>0</v>
      </c>
      <c r="AD2333" s="23">
        <f t="shared" ref="AD2333:AE2333" si="5063">AD2303</f>
        <v>42</v>
      </c>
      <c r="AE2333" s="23">
        <f t="shared" si="5063"/>
        <v>46</v>
      </c>
    </row>
    <row r="2334" spans="1:31">
      <c r="A2334" s="4">
        <v>19102</v>
      </c>
      <c r="B2334" s="4">
        <v>23</v>
      </c>
      <c r="C2334" s="19" t="s">
        <v>68</v>
      </c>
      <c r="D2334" s="44">
        <v>0</v>
      </c>
      <c r="E2334" s="18">
        <v>0</v>
      </c>
      <c r="F2334" s="18">
        <v>0</v>
      </c>
      <c r="G2334" s="18">
        <v>0</v>
      </c>
      <c r="H2334" s="45">
        <f t="shared" si="5020"/>
        <v>9294</v>
      </c>
      <c r="I2334" s="21">
        <f t="shared" si="4936"/>
        <v>330</v>
      </c>
      <c r="J2334" s="21">
        <f t="shared" si="4959"/>
        <v>22</v>
      </c>
      <c r="K2334" s="21">
        <v>0</v>
      </c>
      <c r="L2334" s="20">
        <v>6</v>
      </c>
      <c r="M2334" s="20">
        <v>0</v>
      </c>
      <c r="N2334" s="20">
        <f t="shared" si="4937"/>
        <v>9200</v>
      </c>
      <c r="O2334" s="19" t="s">
        <v>68</v>
      </c>
      <c r="P2334" s="20">
        <v>8600</v>
      </c>
      <c r="Q2334" s="20">
        <f t="shared" ref="Q2334:X2334" si="5064">Q2304</f>
        <v>920</v>
      </c>
      <c r="R2334" s="20">
        <f t="shared" si="5064"/>
        <v>3680</v>
      </c>
      <c r="S2334" s="20">
        <f t="shared" si="5064"/>
        <v>6440</v>
      </c>
      <c r="T2334" s="20">
        <f t="shared" si="5064"/>
        <v>8280</v>
      </c>
      <c r="U2334" s="20">
        <f t="shared" si="5064"/>
        <v>100</v>
      </c>
      <c r="V2334" s="20">
        <f t="shared" si="5064"/>
        <v>550</v>
      </c>
      <c r="W2334" s="20">
        <f t="shared" si="5064"/>
        <v>500</v>
      </c>
      <c r="X2334" s="20">
        <f t="shared" si="5064"/>
        <v>6</v>
      </c>
      <c r="Y2334" s="20">
        <f>ROUND(D2334*0.25,-1)</f>
        <v>0</v>
      </c>
      <c r="Z2334" s="20">
        <f>ROUND(E2334*0.25,-1)</f>
        <v>0</v>
      </c>
      <c r="AA2334" s="20">
        <f>ROUND(F2334*0.25,-1)</f>
        <v>0</v>
      </c>
      <c r="AB2334" s="20">
        <f>ROUND(G2334*0.25,-1)</f>
        <v>0</v>
      </c>
      <c r="AC2334" s="20">
        <f t="shared" si="5030"/>
        <v>1381</v>
      </c>
      <c r="AD2334" s="23">
        <f t="shared" ref="AD2334:AE2334" si="5065">AD2304</f>
        <v>44</v>
      </c>
      <c r="AE2334" s="23">
        <f t="shared" si="5065"/>
        <v>48</v>
      </c>
    </row>
    <row r="2335" spans="1:31">
      <c r="A2335" s="4">
        <v>19102</v>
      </c>
      <c r="B2335" s="4">
        <v>24</v>
      </c>
      <c r="C2335" s="19" t="s">
        <v>69</v>
      </c>
      <c r="D2335" s="44">
        <v>0</v>
      </c>
      <c r="E2335" s="18">
        <v>0</v>
      </c>
      <c r="F2335" s="18">
        <v>0</v>
      </c>
      <c r="G2335" s="18">
        <v>0</v>
      </c>
      <c r="H2335" s="45">
        <f t="shared" si="5020"/>
        <v>10059</v>
      </c>
      <c r="I2335" s="21">
        <f t="shared" si="4936"/>
        <v>330</v>
      </c>
      <c r="J2335" s="21">
        <f t="shared" si="4959"/>
        <v>23</v>
      </c>
      <c r="K2335" s="21">
        <v>0</v>
      </c>
      <c r="L2335" s="20">
        <v>6</v>
      </c>
      <c r="M2335" s="20">
        <v>0</v>
      </c>
      <c r="N2335" s="20">
        <f t="shared" si="4937"/>
        <v>9600</v>
      </c>
      <c r="O2335" s="19" t="s">
        <v>69</v>
      </c>
      <c r="P2335" s="20">
        <v>6400</v>
      </c>
      <c r="Q2335" s="20">
        <f t="shared" ref="Q2335:X2335" si="5066">Q2305</f>
        <v>960</v>
      </c>
      <c r="R2335" s="20">
        <f t="shared" si="5066"/>
        <v>3840</v>
      </c>
      <c r="S2335" s="20">
        <f t="shared" si="5066"/>
        <v>6720</v>
      </c>
      <c r="T2335" s="20">
        <f t="shared" si="5066"/>
        <v>8640</v>
      </c>
      <c r="U2335" s="20">
        <f t="shared" si="5066"/>
        <v>100</v>
      </c>
      <c r="V2335" s="20">
        <f t="shared" si="5066"/>
        <v>500</v>
      </c>
      <c r="W2335" s="20">
        <f t="shared" si="5066"/>
        <v>900</v>
      </c>
      <c r="X2335" s="20">
        <f t="shared" si="5066"/>
        <v>6</v>
      </c>
      <c r="Y2335" s="20">
        <v>0</v>
      </c>
      <c r="Z2335" s="20">
        <v>0</v>
      </c>
      <c r="AA2335" s="20">
        <v>0</v>
      </c>
      <c r="AB2335" s="20">
        <v>0</v>
      </c>
      <c r="AC2335" s="20">
        <f t="shared" si="5030"/>
        <v>0</v>
      </c>
      <c r="AD2335" s="23">
        <f t="shared" ref="AD2335:AE2335" si="5067">AD2305</f>
        <v>46</v>
      </c>
      <c r="AE2335" s="23">
        <f t="shared" si="5067"/>
        <v>50</v>
      </c>
    </row>
    <row r="2336" spans="1:31">
      <c r="A2336" s="4">
        <v>19102</v>
      </c>
      <c r="B2336" s="4">
        <v>25</v>
      </c>
      <c r="C2336" s="19" t="s">
        <v>70</v>
      </c>
      <c r="D2336" s="44">
        <v>0</v>
      </c>
      <c r="E2336" s="18">
        <v>0</v>
      </c>
      <c r="F2336" s="18">
        <v>0</v>
      </c>
      <c r="G2336" s="18">
        <v>0</v>
      </c>
      <c r="H2336" s="45">
        <f t="shared" si="5020"/>
        <v>10893</v>
      </c>
      <c r="I2336" s="21">
        <f t="shared" si="4936"/>
        <v>385</v>
      </c>
      <c r="J2336" s="21">
        <f t="shared" si="4959"/>
        <v>24</v>
      </c>
      <c r="K2336" s="21">
        <v>0</v>
      </c>
      <c r="L2336" s="20">
        <v>6</v>
      </c>
      <c r="M2336" s="20">
        <v>0</v>
      </c>
      <c r="N2336" s="20">
        <f t="shared" si="4937"/>
        <v>12500</v>
      </c>
      <c r="O2336" s="19" t="s">
        <v>70</v>
      </c>
      <c r="P2336" s="20">
        <v>3100</v>
      </c>
      <c r="Q2336" s="20">
        <f t="shared" ref="Q2336:X2336" si="5068">Q2306</f>
        <v>1250</v>
      </c>
      <c r="R2336" s="20">
        <f t="shared" si="5068"/>
        <v>5000</v>
      </c>
      <c r="S2336" s="20">
        <f t="shared" si="5068"/>
        <v>8750</v>
      </c>
      <c r="T2336" s="20">
        <f t="shared" si="5068"/>
        <v>11250</v>
      </c>
      <c r="U2336" s="20">
        <f t="shared" si="5068"/>
        <v>10</v>
      </c>
      <c r="V2336" s="20">
        <f t="shared" si="5068"/>
        <v>1300</v>
      </c>
      <c r="W2336" s="20">
        <f t="shared" si="5068"/>
        <v>1000</v>
      </c>
      <c r="X2336" s="20">
        <f t="shared" si="5068"/>
        <v>7</v>
      </c>
      <c r="Y2336" s="20">
        <v>0</v>
      </c>
      <c r="Z2336" s="20">
        <v>0</v>
      </c>
      <c r="AA2336" s="20">
        <v>0</v>
      </c>
      <c r="AB2336" s="20">
        <v>0</v>
      </c>
      <c r="AC2336" s="20">
        <f t="shared" si="5030"/>
        <v>0</v>
      </c>
      <c r="AD2336" s="23">
        <f t="shared" ref="AD2336:AE2336" si="5069">AD2306</f>
        <v>48</v>
      </c>
      <c r="AE2336" s="23">
        <f t="shared" si="5069"/>
        <v>52</v>
      </c>
    </row>
    <row r="2337" spans="1:31">
      <c r="A2337" s="4">
        <v>19102</v>
      </c>
      <c r="B2337" s="4">
        <v>26</v>
      </c>
      <c r="C2337" s="19" t="s">
        <v>71</v>
      </c>
      <c r="D2337" s="44">
        <v>0</v>
      </c>
      <c r="E2337" s="18">
        <v>0</v>
      </c>
      <c r="F2337" s="18">
        <v>0</v>
      </c>
      <c r="G2337" s="18">
        <v>0</v>
      </c>
      <c r="H2337" s="45">
        <f t="shared" si="5020"/>
        <v>11793</v>
      </c>
      <c r="I2337" s="21">
        <f t="shared" ref="I2337:I2400" si="5070">I2307</f>
        <v>385</v>
      </c>
      <c r="J2337" s="21">
        <f t="shared" si="4959"/>
        <v>25</v>
      </c>
      <c r="K2337" s="21">
        <v>0</v>
      </c>
      <c r="L2337" s="20">
        <v>6</v>
      </c>
      <c r="M2337" s="20">
        <v>0</v>
      </c>
      <c r="N2337" s="20">
        <f t="shared" ref="N2337:N2400" si="5071">N2307</f>
        <v>13000</v>
      </c>
      <c r="O2337" s="19" t="s">
        <v>71</v>
      </c>
      <c r="P2337" s="20">
        <v>1777</v>
      </c>
      <c r="Q2337" s="20">
        <f t="shared" ref="Q2337:X2337" si="5072">Q2307</f>
        <v>1300</v>
      </c>
      <c r="R2337" s="20">
        <f t="shared" si="5072"/>
        <v>5200</v>
      </c>
      <c r="S2337" s="20">
        <f t="shared" si="5072"/>
        <v>9100</v>
      </c>
      <c r="T2337" s="20">
        <f t="shared" si="5072"/>
        <v>11700</v>
      </c>
      <c r="U2337" s="20">
        <f t="shared" si="5072"/>
        <v>90</v>
      </c>
      <c r="V2337" s="20">
        <f t="shared" si="5072"/>
        <v>800</v>
      </c>
      <c r="W2337" s="20">
        <f t="shared" si="5072"/>
        <v>2000</v>
      </c>
      <c r="X2337" s="20">
        <f t="shared" si="5072"/>
        <v>7</v>
      </c>
      <c r="Y2337" s="20">
        <v>0</v>
      </c>
      <c r="Z2337" s="20">
        <v>0</v>
      </c>
      <c r="AA2337" s="20">
        <v>0</v>
      </c>
      <c r="AB2337" s="20">
        <v>0</v>
      </c>
      <c r="AC2337" s="20">
        <f t="shared" si="5030"/>
        <v>0</v>
      </c>
      <c r="AD2337" s="23">
        <f t="shared" ref="AD2337:AE2337" si="5073">AD2307</f>
        <v>50</v>
      </c>
      <c r="AE2337" s="23">
        <f t="shared" si="5073"/>
        <v>54</v>
      </c>
    </row>
    <row r="2338" spans="1:31">
      <c r="A2338" s="4">
        <v>19102</v>
      </c>
      <c r="B2338" s="4">
        <v>27</v>
      </c>
      <c r="C2338" s="19" t="s">
        <v>72</v>
      </c>
      <c r="D2338" s="44">
        <v>0</v>
      </c>
      <c r="E2338" s="18">
        <v>0</v>
      </c>
      <c r="F2338" s="18">
        <v>0</v>
      </c>
      <c r="G2338" s="18">
        <v>0</v>
      </c>
      <c r="H2338" s="45">
        <f t="shared" si="5020"/>
        <v>12765</v>
      </c>
      <c r="I2338" s="21">
        <f t="shared" si="5070"/>
        <v>385</v>
      </c>
      <c r="J2338" s="21">
        <f t="shared" si="4959"/>
        <v>26</v>
      </c>
      <c r="K2338" s="21">
        <v>0</v>
      </c>
      <c r="L2338" s="20">
        <v>6</v>
      </c>
      <c r="M2338" s="20">
        <v>0</v>
      </c>
      <c r="N2338" s="20">
        <f t="shared" si="5071"/>
        <v>13500</v>
      </c>
      <c r="O2338" s="19" t="s">
        <v>72</v>
      </c>
      <c r="P2338" s="20">
        <v>2332</v>
      </c>
      <c r="Q2338" s="20">
        <f t="shared" ref="Q2338:X2338" si="5074">Q2308</f>
        <v>1350</v>
      </c>
      <c r="R2338" s="20">
        <f t="shared" si="5074"/>
        <v>5400</v>
      </c>
      <c r="S2338" s="20">
        <f t="shared" si="5074"/>
        <v>9450</v>
      </c>
      <c r="T2338" s="20">
        <f t="shared" si="5074"/>
        <v>12150</v>
      </c>
      <c r="U2338" s="20">
        <f t="shared" si="5074"/>
        <v>80</v>
      </c>
      <c r="V2338" s="20">
        <f t="shared" si="5074"/>
        <v>700</v>
      </c>
      <c r="W2338" s="20">
        <f t="shared" si="5074"/>
        <v>800</v>
      </c>
      <c r="X2338" s="20">
        <f t="shared" si="5074"/>
        <v>7</v>
      </c>
      <c r="Y2338" s="20">
        <v>0</v>
      </c>
      <c r="Z2338" s="20">
        <v>0</v>
      </c>
      <c r="AA2338" s="20">
        <v>0</v>
      </c>
      <c r="AB2338" s="20">
        <v>0</v>
      </c>
      <c r="AC2338" s="20">
        <f t="shared" si="5030"/>
        <v>0</v>
      </c>
      <c r="AD2338" s="23">
        <f t="shared" ref="AD2338:AE2338" si="5075">AD2308</f>
        <v>52</v>
      </c>
      <c r="AE2338" s="23">
        <f t="shared" si="5075"/>
        <v>56</v>
      </c>
    </row>
    <row r="2339" spans="1:31">
      <c r="A2339" s="4">
        <v>19102</v>
      </c>
      <c r="B2339" s="4">
        <v>28</v>
      </c>
      <c r="C2339" s="19" t="s">
        <v>73</v>
      </c>
      <c r="D2339" s="44">
        <v>0</v>
      </c>
      <c r="E2339" s="18">
        <v>0</v>
      </c>
      <c r="F2339" s="18">
        <v>0</v>
      </c>
      <c r="G2339" s="18">
        <v>0</v>
      </c>
      <c r="H2339" s="45">
        <f t="shared" si="5020"/>
        <v>13821</v>
      </c>
      <c r="I2339" s="21">
        <f t="shared" si="5070"/>
        <v>385</v>
      </c>
      <c r="J2339" s="21">
        <f t="shared" si="4959"/>
        <v>27</v>
      </c>
      <c r="K2339" s="21">
        <v>0</v>
      </c>
      <c r="L2339" s="20">
        <v>6</v>
      </c>
      <c r="M2339" s="20">
        <v>0</v>
      </c>
      <c r="N2339" s="20">
        <f t="shared" si="5071"/>
        <v>14000</v>
      </c>
      <c r="O2339" s="19" t="s">
        <v>73</v>
      </c>
      <c r="P2339" s="20">
        <v>1487</v>
      </c>
      <c r="Q2339" s="20">
        <f t="shared" ref="Q2339:X2339" si="5076">Q2309</f>
        <v>1400</v>
      </c>
      <c r="R2339" s="20">
        <f t="shared" si="5076"/>
        <v>5600</v>
      </c>
      <c r="S2339" s="20">
        <f t="shared" si="5076"/>
        <v>9800</v>
      </c>
      <c r="T2339" s="20">
        <f t="shared" si="5076"/>
        <v>12600</v>
      </c>
      <c r="U2339" s="20">
        <f t="shared" si="5076"/>
        <v>80</v>
      </c>
      <c r="V2339" s="20">
        <f t="shared" si="5076"/>
        <v>500</v>
      </c>
      <c r="W2339" s="20">
        <f t="shared" si="5076"/>
        <v>600</v>
      </c>
      <c r="X2339" s="20">
        <f t="shared" si="5076"/>
        <v>7</v>
      </c>
      <c r="Y2339" s="20">
        <f>ROUND(D2339*0.25,-1)</f>
        <v>0</v>
      </c>
      <c r="Z2339" s="20">
        <f>ROUND(E2339*0.25,-1)</f>
        <v>0</v>
      </c>
      <c r="AA2339" s="20">
        <f>ROUND(F2339*0.25,-1)</f>
        <v>0</v>
      </c>
      <c r="AB2339" s="20">
        <f>ROUND(G2339*0.25,-1)</f>
        <v>0</v>
      </c>
      <c r="AC2339" s="20">
        <f t="shared" si="5030"/>
        <v>1728</v>
      </c>
      <c r="AD2339" s="23">
        <f t="shared" ref="AD2339:AE2339" si="5077">AD2309</f>
        <v>54</v>
      </c>
      <c r="AE2339" s="23">
        <f t="shared" si="5077"/>
        <v>58</v>
      </c>
    </row>
    <row r="2340" spans="1:31">
      <c r="A2340" s="4">
        <v>19102</v>
      </c>
      <c r="B2340" s="4">
        <v>29</v>
      </c>
      <c r="C2340" s="19" t="s">
        <v>74</v>
      </c>
      <c r="D2340" s="44">
        <v>0</v>
      </c>
      <c r="E2340" s="18">
        <v>0</v>
      </c>
      <c r="F2340" s="18">
        <v>0</v>
      </c>
      <c r="G2340" s="18">
        <v>0</v>
      </c>
      <c r="H2340" s="45">
        <f t="shared" si="5020"/>
        <v>14964</v>
      </c>
      <c r="I2340" s="21">
        <f t="shared" si="5070"/>
        <v>440</v>
      </c>
      <c r="J2340" s="21">
        <f t="shared" si="4959"/>
        <v>28</v>
      </c>
      <c r="K2340" s="21">
        <v>0</v>
      </c>
      <c r="L2340" s="20">
        <v>6</v>
      </c>
      <c r="M2340" s="20">
        <v>0</v>
      </c>
      <c r="N2340" s="20">
        <f t="shared" si="5071"/>
        <v>14500</v>
      </c>
      <c r="O2340" s="19" t="s">
        <v>74</v>
      </c>
      <c r="P2340" s="20">
        <v>1518</v>
      </c>
      <c r="Q2340" s="20">
        <f t="shared" ref="Q2340:X2340" si="5078">Q2310</f>
        <v>1450</v>
      </c>
      <c r="R2340" s="20">
        <f t="shared" si="5078"/>
        <v>5800</v>
      </c>
      <c r="S2340" s="20">
        <f t="shared" si="5078"/>
        <v>10150</v>
      </c>
      <c r="T2340" s="20">
        <f t="shared" si="5078"/>
        <v>13050</v>
      </c>
      <c r="U2340" s="20">
        <f t="shared" si="5078"/>
        <v>80</v>
      </c>
      <c r="V2340" s="20">
        <f t="shared" si="5078"/>
        <v>600</v>
      </c>
      <c r="W2340" s="20">
        <f t="shared" si="5078"/>
        <v>700</v>
      </c>
      <c r="X2340" s="20">
        <f t="shared" si="5078"/>
        <v>8</v>
      </c>
      <c r="Y2340" s="20">
        <v>0</v>
      </c>
      <c r="Z2340" s="20">
        <v>0</v>
      </c>
      <c r="AA2340" s="20">
        <v>0</v>
      </c>
      <c r="AB2340" s="20">
        <v>0</v>
      </c>
      <c r="AC2340" s="20">
        <f t="shared" si="5030"/>
        <v>0</v>
      </c>
      <c r="AD2340" s="23">
        <f t="shared" ref="AD2340:AE2340" si="5079">AD2310</f>
        <v>56</v>
      </c>
      <c r="AE2340" s="23">
        <f t="shared" si="5079"/>
        <v>60</v>
      </c>
    </row>
    <row r="2341" spans="1:31">
      <c r="A2341" s="4">
        <v>19102</v>
      </c>
      <c r="B2341" s="4">
        <v>30</v>
      </c>
      <c r="C2341" s="19" t="s">
        <v>75</v>
      </c>
      <c r="D2341" s="44">
        <v>0</v>
      </c>
      <c r="E2341" s="18">
        <v>0</v>
      </c>
      <c r="F2341" s="18">
        <v>0</v>
      </c>
      <c r="G2341" s="18">
        <v>0</v>
      </c>
      <c r="H2341" s="45">
        <f t="shared" si="5020"/>
        <v>16200</v>
      </c>
      <c r="I2341" s="21">
        <f t="shared" si="5070"/>
        <v>440</v>
      </c>
      <c r="J2341" s="21">
        <f t="shared" si="4959"/>
        <v>29</v>
      </c>
      <c r="K2341" s="21">
        <v>0</v>
      </c>
      <c r="L2341" s="20">
        <v>6</v>
      </c>
      <c r="M2341" s="20">
        <v>0</v>
      </c>
      <c r="N2341" s="20">
        <f t="shared" si="5071"/>
        <v>15000</v>
      </c>
      <c r="O2341" s="19" t="s">
        <v>75</v>
      </c>
      <c r="P2341" s="20">
        <v>861</v>
      </c>
      <c r="Q2341" s="20">
        <f t="shared" ref="Q2341:X2341" si="5080">Q2311</f>
        <v>1500</v>
      </c>
      <c r="R2341" s="20">
        <f t="shared" si="5080"/>
        <v>6000</v>
      </c>
      <c r="S2341" s="20">
        <f t="shared" si="5080"/>
        <v>10500</v>
      </c>
      <c r="T2341" s="20">
        <f t="shared" si="5080"/>
        <v>13500</v>
      </c>
      <c r="U2341" s="20">
        <f t="shared" si="5080"/>
        <v>20</v>
      </c>
      <c r="V2341" s="20">
        <f t="shared" si="5080"/>
        <v>450</v>
      </c>
      <c r="W2341" s="20">
        <f t="shared" si="5080"/>
        <v>1000</v>
      </c>
      <c r="X2341" s="20">
        <f t="shared" si="5080"/>
        <v>8</v>
      </c>
      <c r="Y2341" s="20">
        <v>0</v>
      </c>
      <c r="Z2341" s="20">
        <v>0</v>
      </c>
      <c r="AA2341" s="20">
        <v>0</v>
      </c>
      <c r="AB2341" s="20">
        <v>0</v>
      </c>
      <c r="AC2341" s="20">
        <f t="shared" si="5030"/>
        <v>0</v>
      </c>
      <c r="AD2341" s="23">
        <f t="shared" ref="AD2341:AE2341" si="5081">AD2311</f>
        <v>58</v>
      </c>
      <c r="AE2341" s="23">
        <f t="shared" si="5081"/>
        <v>62</v>
      </c>
    </row>
    <row r="2342" spans="1:31">
      <c r="A2342" s="8">
        <v>19103</v>
      </c>
      <c r="B2342" s="8">
        <v>1</v>
      </c>
      <c r="C2342" s="29" t="s">
        <v>66</v>
      </c>
      <c r="D2342" s="46">
        <v>0</v>
      </c>
      <c r="E2342" s="28">
        <v>0</v>
      </c>
      <c r="F2342" s="28">
        <v>0</v>
      </c>
      <c r="G2342" s="28">
        <v>0</v>
      </c>
      <c r="H2342" s="47">
        <f>H2252*4</f>
        <v>2160</v>
      </c>
      <c r="I2342" s="21">
        <f t="shared" si="5070"/>
        <v>55</v>
      </c>
      <c r="J2342" s="21">
        <f t="shared" si="4959"/>
        <v>0</v>
      </c>
      <c r="K2342" s="21">
        <v>0</v>
      </c>
      <c r="L2342" s="20">
        <v>45</v>
      </c>
      <c r="M2342" s="20">
        <v>0</v>
      </c>
      <c r="N2342" s="20">
        <f t="shared" si="5071"/>
        <v>10</v>
      </c>
      <c r="O2342" s="19" t="s">
        <v>66</v>
      </c>
      <c r="P2342" s="20">
        <v>9400</v>
      </c>
      <c r="Q2342" s="20">
        <f t="shared" ref="Q2342:X2342" si="5082">Q2312</f>
        <v>1</v>
      </c>
      <c r="R2342" s="20">
        <f t="shared" si="5082"/>
        <v>4</v>
      </c>
      <c r="S2342" s="20">
        <f t="shared" si="5082"/>
        <v>7</v>
      </c>
      <c r="T2342" s="20">
        <f t="shared" si="5082"/>
        <v>9</v>
      </c>
      <c r="U2342" s="20">
        <f t="shared" si="5082"/>
        <v>9400</v>
      </c>
      <c r="V2342" s="20">
        <f t="shared" si="5082"/>
        <v>9400</v>
      </c>
      <c r="W2342" s="20">
        <f t="shared" si="5082"/>
        <v>9400</v>
      </c>
      <c r="X2342" s="20">
        <f t="shared" si="5082"/>
        <v>1</v>
      </c>
      <c r="Y2342" s="20">
        <v>0</v>
      </c>
      <c r="Z2342" s="20">
        <v>0</v>
      </c>
      <c r="AA2342" s="20">
        <v>0</v>
      </c>
      <c r="AB2342" s="20">
        <v>0</v>
      </c>
      <c r="AC2342" s="20">
        <f t="shared" si="5030"/>
        <v>0</v>
      </c>
      <c r="AD2342" s="23">
        <f t="shared" ref="AD2342:AE2342" si="5083">AD2312</f>
        <v>1</v>
      </c>
      <c r="AE2342" s="23">
        <f t="shared" si="5083"/>
        <v>3</v>
      </c>
    </row>
    <row r="2343" spans="1:31">
      <c r="A2343" s="4">
        <v>19103</v>
      </c>
      <c r="B2343" s="4">
        <v>2</v>
      </c>
      <c r="C2343" s="29" t="s">
        <v>67</v>
      </c>
      <c r="D2343" s="46">
        <v>0</v>
      </c>
      <c r="E2343" s="28">
        <v>0</v>
      </c>
      <c r="F2343" s="28">
        <v>0</v>
      </c>
      <c r="G2343" s="28">
        <v>0</v>
      </c>
      <c r="H2343" s="47">
        <f t="shared" ref="H2343:H2371" si="5084">H2253*4</f>
        <v>2340</v>
      </c>
      <c r="I2343" s="21">
        <f t="shared" si="5070"/>
        <v>55</v>
      </c>
      <c r="J2343" s="21">
        <f t="shared" si="4959"/>
        <v>1</v>
      </c>
      <c r="K2343" s="21">
        <v>0</v>
      </c>
      <c r="L2343" s="20">
        <v>40</v>
      </c>
      <c r="M2343" s="20">
        <v>0</v>
      </c>
      <c r="N2343" s="20">
        <f t="shared" si="5071"/>
        <v>20</v>
      </c>
      <c r="O2343" s="19" t="s">
        <v>67</v>
      </c>
      <c r="P2343" s="20">
        <v>9100</v>
      </c>
      <c r="Q2343" s="20">
        <f t="shared" ref="Q2343:X2343" si="5085">Q2313</f>
        <v>2</v>
      </c>
      <c r="R2343" s="20">
        <f t="shared" si="5085"/>
        <v>8</v>
      </c>
      <c r="S2343" s="20">
        <f t="shared" si="5085"/>
        <v>14</v>
      </c>
      <c r="T2343" s="20">
        <f t="shared" si="5085"/>
        <v>18</v>
      </c>
      <c r="U2343" s="20">
        <f t="shared" si="5085"/>
        <v>4000</v>
      </c>
      <c r="V2343" s="20">
        <f t="shared" si="5085"/>
        <v>8000</v>
      </c>
      <c r="W2343" s="20">
        <f t="shared" si="5085"/>
        <v>8000</v>
      </c>
      <c r="X2343" s="20">
        <f t="shared" si="5085"/>
        <v>1</v>
      </c>
      <c r="Y2343" s="20">
        <v>0</v>
      </c>
      <c r="Z2343" s="20">
        <v>0</v>
      </c>
      <c r="AA2343" s="20">
        <v>0</v>
      </c>
      <c r="AB2343" s="20">
        <v>0</v>
      </c>
      <c r="AC2343" s="20">
        <f t="shared" si="5030"/>
        <v>0</v>
      </c>
      <c r="AD2343" s="23">
        <f t="shared" ref="AD2343:AE2343" si="5086">AD2313</f>
        <v>2</v>
      </c>
      <c r="AE2343" s="23">
        <f t="shared" si="5086"/>
        <v>5</v>
      </c>
    </row>
    <row r="2344" spans="1:31">
      <c r="A2344" s="4">
        <v>19103</v>
      </c>
      <c r="B2344" s="4">
        <v>3</v>
      </c>
      <c r="C2344" s="29" t="s">
        <v>68</v>
      </c>
      <c r="D2344" s="46">
        <v>0</v>
      </c>
      <c r="E2344" s="28">
        <v>0</v>
      </c>
      <c r="F2344" s="28">
        <v>0</v>
      </c>
      <c r="G2344" s="28">
        <v>0</v>
      </c>
      <c r="H2344" s="47">
        <f t="shared" si="5084"/>
        <v>2532</v>
      </c>
      <c r="I2344" s="21">
        <f t="shared" si="5070"/>
        <v>55</v>
      </c>
      <c r="J2344" s="21">
        <f t="shared" si="4959"/>
        <v>2</v>
      </c>
      <c r="K2344" s="21">
        <v>0</v>
      </c>
      <c r="L2344" s="20">
        <v>35</v>
      </c>
      <c r="M2344" s="20">
        <v>0</v>
      </c>
      <c r="N2344" s="20">
        <f t="shared" si="5071"/>
        <v>40</v>
      </c>
      <c r="O2344" s="19" t="s">
        <v>68</v>
      </c>
      <c r="P2344" s="20">
        <v>8600</v>
      </c>
      <c r="Q2344" s="20">
        <f t="shared" ref="Q2344:X2344" si="5087">Q2314</f>
        <v>4</v>
      </c>
      <c r="R2344" s="20">
        <f t="shared" si="5087"/>
        <v>16</v>
      </c>
      <c r="S2344" s="20">
        <f t="shared" si="5087"/>
        <v>28</v>
      </c>
      <c r="T2344" s="20">
        <f t="shared" si="5087"/>
        <v>36</v>
      </c>
      <c r="U2344" s="20">
        <f t="shared" si="5087"/>
        <v>1600</v>
      </c>
      <c r="V2344" s="20">
        <f t="shared" si="5087"/>
        <v>5000</v>
      </c>
      <c r="W2344" s="20">
        <f t="shared" si="5087"/>
        <v>6000</v>
      </c>
      <c r="X2344" s="20">
        <f t="shared" si="5087"/>
        <v>1</v>
      </c>
      <c r="Y2344" s="20">
        <v>0</v>
      </c>
      <c r="Z2344" s="20">
        <v>0</v>
      </c>
      <c r="AA2344" s="20">
        <v>0</v>
      </c>
      <c r="AB2344" s="20">
        <v>0</v>
      </c>
      <c r="AC2344" s="20">
        <f t="shared" si="5030"/>
        <v>0</v>
      </c>
      <c r="AD2344" s="23">
        <f t="shared" ref="AD2344:AE2344" si="5088">AD2314</f>
        <v>4</v>
      </c>
      <c r="AE2344" s="23">
        <f t="shared" si="5088"/>
        <v>8</v>
      </c>
    </row>
    <row r="2345" spans="1:31">
      <c r="A2345" s="4">
        <v>19103</v>
      </c>
      <c r="B2345" s="4">
        <v>4</v>
      </c>
      <c r="C2345" s="29" t="s">
        <v>69</v>
      </c>
      <c r="D2345" s="46">
        <v>0</v>
      </c>
      <c r="E2345" s="28">
        <v>0</v>
      </c>
      <c r="F2345" s="28">
        <v>0</v>
      </c>
      <c r="G2345" s="28">
        <v>0</v>
      </c>
      <c r="H2345" s="47">
        <f t="shared" si="5084"/>
        <v>2740</v>
      </c>
      <c r="I2345" s="21">
        <f t="shared" si="5070"/>
        <v>55</v>
      </c>
      <c r="J2345" s="21">
        <f t="shared" si="4959"/>
        <v>3</v>
      </c>
      <c r="K2345" s="21">
        <v>0</v>
      </c>
      <c r="L2345" s="20">
        <v>30</v>
      </c>
      <c r="M2345" s="20">
        <v>0</v>
      </c>
      <c r="N2345" s="20">
        <f t="shared" si="5071"/>
        <v>100</v>
      </c>
      <c r="O2345" s="19" t="s">
        <v>69</v>
      </c>
      <c r="P2345" s="20">
        <v>6400</v>
      </c>
      <c r="Q2345" s="20">
        <f t="shared" ref="Q2345:X2345" si="5089">Q2315</f>
        <v>10</v>
      </c>
      <c r="R2345" s="20">
        <f t="shared" si="5089"/>
        <v>40</v>
      </c>
      <c r="S2345" s="20">
        <f t="shared" si="5089"/>
        <v>70</v>
      </c>
      <c r="T2345" s="20">
        <f t="shared" si="5089"/>
        <v>90</v>
      </c>
      <c r="U2345" s="20">
        <f t="shared" si="5089"/>
        <v>900</v>
      </c>
      <c r="V2345" s="20">
        <f t="shared" si="5089"/>
        <v>2000</v>
      </c>
      <c r="W2345" s="20">
        <f t="shared" si="5089"/>
        <v>8000</v>
      </c>
      <c r="X2345" s="20">
        <f t="shared" si="5089"/>
        <v>1</v>
      </c>
      <c r="Y2345" s="20">
        <v>0</v>
      </c>
      <c r="Z2345" s="20">
        <v>0</v>
      </c>
      <c r="AA2345" s="20">
        <v>0</v>
      </c>
      <c r="AB2345" s="20">
        <v>0</v>
      </c>
      <c r="AC2345" s="20">
        <f t="shared" si="5030"/>
        <v>0</v>
      </c>
      <c r="AD2345" s="23">
        <f t="shared" ref="AD2345:AE2345" si="5090">AD2315</f>
        <v>6</v>
      </c>
      <c r="AE2345" s="23">
        <f t="shared" si="5090"/>
        <v>10</v>
      </c>
    </row>
    <row r="2346" spans="1:31">
      <c r="A2346" s="4">
        <v>19103</v>
      </c>
      <c r="B2346" s="4">
        <v>5</v>
      </c>
      <c r="C2346" s="29" t="s">
        <v>70</v>
      </c>
      <c r="D2346" s="46">
        <v>0</v>
      </c>
      <c r="E2346" s="28">
        <v>0</v>
      </c>
      <c r="F2346" s="28">
        <v>0</v>
      </c>
      <c r="G2346" s="28">
        <v>0</v>
      </c>
      <c r="H2346" s="47">
        <f t="shared" si="5084"/>
        <v>2968</v>
      </c>
      <c r="I2346" s="21">
        <f t="shared" si="5070"/>
        <v>110</v>
      </c>
      <c r="J2346" s="21">
        <f t="shared" si="4959"/>
        <v>4</v>
      </c>
      <c r="K2346" s="21">
        <v>0</v>
      </c>
      <c r="L2346" s="20">
        <v>25</v>
      </c>
      <c r="M2346" s="20">
        <v>0</v>
      </c>
      <c r="N2346" s="20">
        <f t="shared" si="5071"/>
        <v>200</v>
      </c>
      <c r="O2346" s="19" t="s">
        <v>70</v>
      </c>
      <c r="P2346" s="20">
        <v>3100</v>
      </c>
      <c r="Q2346" s="20">
        <f t="shared" ref="Q2346:X2346" si="5091">Q2316</f>
        <v>20</v>
      </c>
      <c r="R2346" s="20">
        <f t="shared" si="5091"/>
        <v>80</v>
      </c>
      <c r="S2346" s="20">
        <f t="shared" si="5091"/>
        <v>140</v>
      </c>
      <c r="T2346" s="20">
        <f t="shared" si="5091"/>
        <v>180</v>
      </c>
      <c r="U2346" s="20">
        <f t="shared" si="5091"/>
        <v>1000</v>
      </c>
      <c r="V2346" s="20">
        <f t="shared" si="5091"/>
        <v>2000</v>
      </c>
      <c r="W2346" s="20">
        <f t="shared" si="5091"/>
        <v>2000</v>
      </c>
      <c r="X2346" s="20">
        <f t="shared" si="5091"/>
        <v>2</v>
      </c>
      <c r="Y2346" s="20">
        <v>0</v>
      </c>
      <c r="Z2346" s="20">
        <v>0</v>
      </c>
      <c r="AA2346" s="20">
        <v>0</v>
      </c>
      <c r="AB2346" s="20">
        <v>0</v>
      </c>
      <c r="AC2346" s="20">
        <f t="shared" si="5030"/>
        <v>0</v>
      </c>
      <c r="AD2346" s="23">
        <f t="shared" ref="AD2346:AE2346" si="5092">AD2316</f>
        <v>8</v>
      </c>
      <c r="AE2346" s="23">
        <f t="shared" si="5092"/>
        <v>12</v>
      </c>
    </row>
    <row r="2347" spans="1:31">
      <c r="A2347" s="4">
        <v>19103</v>
      </c>
      <c r="B2347" s="4">
        <v>6</v>
      </c>
      <c r="C2347" s="29" t="s">
        <v>71</v>
      </c>
      <c r="D2347" s="46">
        <v>0</v>
      </c>
      <c r="E2347" s="28">
        <v>0</v>
      </c>
      <c r="F2347" s="28">
        <v>0</v>
      </c>
      <c r="G2347" s="28">
        <v>0</v>
      </c>
      <c r="H2347" s="47">
        <f t="shared" si="5084"/>
        <v>3212</v>
      </c>
      <c r="I2347" s="21">
        <f t="shared" si="5070"/>
        <v>110</v>
      </c>
      <c r="J2347" s="21">
        <f t="shared" ref="J2347:J2401" si="5093">B2347-1</f>
        <v>5</v>
      </c>
      <c r="K2347" s="21">
        <v>0</v>
      </c>
      <c r="L2347" s="20">
        <v>20</v>
      </c>
      <c r="M2347" s="20">
        <v>0</v>
      </c>
      <c r="N2347" s="20">
        <f t="shared" si="5071"/>
        <v>500</v>
      </c>
      <c r="O2347" s="19" t="s">
        <v>71</v>
      </c>
      <c r="P2347" s="20">
        <v>1777</v>
      </c>
      <c r="Q2347" s="20">
        <f t="shared" ref="Q2347:X2347" si="5094">Q2317</f>
        <v>50</v>
      </c>
      <c r="R2347" s="20">
        <f t="shared" si="5094"/>
        <v>200</v>
      </c>
      <c r="S2347" s="20">
        <f t="shared" si="5094"/>
        <v>350</v>
      </c>
      <c r="T2347" s="20">
        <f t="shared" si="5094"/>
        <v>450</v>
      </c>
      <c r="U2347" s="20">
        <f t="shared" si="5094"/>
        <v>800</v>
      </c>
      <c r="V2347" s="20">
        <f t="shared" si="5094"/>
        <v>800</v>
      </c>
      <c r="W2347" s="20">
        <f t="shared" si="5094"/>
        <v>600</v>
      </c>
      <c r="X2347" s="20">
        <f t="shared" si="5094"/>
        <v>2</v>
      </c>
      <c r="Y2347" s="20">
        <v>0</v>
      </c>
      <c r="Z2347" s="20">
        <v>0</v>
      </c>
      <c r="AA2347" s="20">
        <v>0</v>
      </c>
      <c r="AB2347" s="20">
        <v>0</v>
      </c>
      <c r="AC2347" s="20">
        <f t="shared" si="5030"/>
        <v>0</v>
      </c>
      <c r="AD2347" s="23">
        <f t="shared" ref="AD2347:AE2347" si="5095">AD2317</f>
        <v>10</v>
      </c>
      <c r="AE2347" s="23">
        <f t="shared" si="5095"/>
        <v>14</v>
      </c>
    </row>
    <row r="2348" spans="1:31">
      <c r="A2348" s="4">
        <v>19103</v>
      </c>
      <c r="B2348" s="4">
        <v>7</v>
      </c>
      <c r="C2348" s="29" t="s">
        <v>72</v>
      </c>
      <c r="D2348" s="46">
        <v>0</v>
      </c>
      <c r="E2348" s="28">
        <v>0</v>
      </c>
      <c r="F2348" s="28">
        <v>0</v>
      </c>
      <c r="G2348" s="28">
        <v>0</v>
      </c>
      <c r="H2348" s="47">
        <f t="shared" si="5084"/>
        <v>3480</v>
      </c>
      <c r="I2348" s="21">
        <f t="shared" si="5070"/>
        <v>110</v>
      </c>
      <c r="J2348" s="21">
        <f t="shared" si="5093"/>
        <v>6</v>
      </c>
      <c r="K2348" s="21">
        <v>0</v>
      </c>
      <c r="L2348" s="20">
        <v>16</v>
      </c>
      <c r="M2348" s="20">
        <v>0</v>
      </c>
      <c r="N2348" s="20">
        <f t="shared" si="5071"/>
        <v>700</v>
      </c>
      <c r="O2348" s="19" t="s">
        <v>72</v>
      </c>
      <c r="P2348" s="20">
        <v>2332</v>
      </c>
      <c r="Q2348" s="20">
        <f t="shared" ref="Q2348:X2348" si="5096">Q2318</f>
        <v>70</v>
      </c>
      <c r="R2348" s="20">
        <f t="shared" si="5096"/>
        <v>280</v>
      </c>
      <c r="S2348" s="20">
        <f t="shared" si="5096"/>
        <v>489.99999999999994</v>
      </c>
      <c r="T2348" s="20">
        <f t="shared" si="5096"/>
        <v>630</v>
      </c>
      <c r="U2348" s="20">
        <f t="shared" si="5096"/>
        <v>650</v>
      </c>
      <c r="V2348" s="20">
        <f t="shared" si="5096"/>
        <v>800</v>
      </c>
      <c r="W2348" s="20">
        <f t="shared" si="5096"/>
        <v>300</v>
      </c>
      <c r="X2348" s="20">
        <f t="shared" si="5096"/>
        <v>2</v>
      </c>
      <c r="Y2348" s="20">
        <v>0</v>
      </c>
      <c r="Z2348" s="20">
        <v>0</v>
      </c>
      <c r="AA2348" s="20">
        <v>0</v>
      </c>
      <c r="AB2348" s="20">
        <v>0</v>
      </c>
      <c r="AC2348" s="20">
        <f t="shared" si="5030"/>
        <v>0</v>
      </c>
      <c r="AD2348" s="23">
        <f t="shared" ref="AD2348:AE2348" si="5097">AD2318</f>
        <v>12</v>
      </c>
      <c r="AE2348" s="23">
        <f t="shared" si="5097"/>
        <v>16</v>
      </c>
    </row>
    <row r="2349" spans="1:31">
      <c r="A2349" s="4">
        <v>19103</v>
      </c>
      <c r="B2349" s="4">
        <v>8</v>
      </c>
      <c r="C2349" s="29" t="s">
        <v>73</v>
      </c>
      <c r="D2349" s="46">
        <v>0</v>
      </c>
      <c r="E2349" s="28">
        <v>0</v>
      </c>
      <c r="F2349" s="28">
        <v>0</v>
      </c>
      <c r="G2349" s="28">
        <v>0</v>
      </c>
      <c r="H2349" s="47">
        <f t="shared" si="5084"/>
        <v>3764</v>
      </c>
      <c r="I2349" s="21">
        <f t="shared" si="5070"/>
        <v>110</v>
      </c>
      <c r="J2349" s="21">
        <f t="shared" si="5093"/>
        <v>7</v>
      </c>
      <c r="K2349" s="21">
        <v>0</v>
      </c>
      <c r="L2349" s="20">
        <v>12</v>
      </c>
      <c r="M2349" s="20">
        <v>0</v>
      </c>
      <c r="N2349" s="20">
        <f t="shared" si="5071"/>
        <v>800</v>
      </c>
      <c r="O2349" s="19" t="s">
        <v>73</v>
      </c>
      <c r="P2349" s="20">
        <v>1487</v>
      </c>
      <c r="Q2349" s="20">
        <f t="shared" ref="Q2349:X2349" si="5098">Q2319</f>
        <v>80</v>
      </c>
      <c r="R2349" s="20">
        <f t="shared" si="5098"/>
        <v>320</v>
      </c>
      <c r="S2349" s="20">
        <f t="shared" si="5098"/>
        <v>560</v>
      </c>
      <c r="T2349" s="20">
        <f t="shared" si="5098"/>
        <v>720</v>
      </c>
      <c r="U2349" s="20">
        <f t="shared" si="5098"/>
        <v>200</v>
      </c>
      <c r="V2349" s="20">
        <f t="shared" si="5098"/>
        <v>2000</v>
      </c>
      <c r="W2349" s="20">
        <f t="shared" si="5098"/>
        <v>1000</v>
      </c>
      <c r="X2349" s="20">
        <f t="shared" si="5098"/>
        <v>2</v>
      </c>
      <c r="Y2349" s="20">
        <f>ROUND(D2349*0.25,-1)</f>
        <v>0</v>
      </c>
      <c r="Z2349" s="20">
        <f>ROUND(E2349*0.25,-1)</f>
        <v>0</v>
      </c>
      <c r="AA2349" s="20">
        <f>ROUND(F2349*0.25,-1)</f>
        <v>0</v>
      </c>
      <c r="AB2349" s="20">
        <f>ROUND(G2349*0.25,-1)</f>
        <v>0</v>
      </c>
      <c r="AC2349" s="20">
        <f t="shared" si="5030"/>
        <v>388</v>
      </c>
      <c r="AD2349" s="23">
        <f t="shared" ref="AD2349:AE2349" si="5099">AD2319</f>
        <v>14</v>
      </c>
      <c r="AE2349" s="23">
        <f t="shared" si="5099"/>
        <v>18</v>
      </c>
    </row>
    <row r="2350" spans="1:31">
      <c r="A2350" s="4">
        <v>19103</v>
      </c>
      <c r="B2350" s="4">
        <v>9</v>
      </c>
      <c r="C2350" s="29" t="s">
        <v>74</v>
      </c>
      <c r="D2350" s="46">
        <v>0</v>
      </c>
      <c r="E2350" s="28">
        <v>0</v>
      </c>
      <c r="F2350" s="28">
        <v>0</v>
      </c>
      <c r="G2350" s="28">
        <v>0</v>
      </c>
      <c r="H2350" s="47">
        <f t="shared" si="5084"/>
        <v>4076</v>
      </c>
      <c r="I2350" s="21">
        <f t="shared" si="5070"/>
        <v>165</v>
      </c>
      <c r="J2350" s="21">
        <f t="shared" si="5093"/>
        <v>8</v>
      </c>
      <c r="K2350" s="21">
        <v>0</v>
      </c>
      <c r="L2350" s="20">
        <v>8</v>
      </c>
      <c r="M2350" s="20">
        <v>0</v>
      </c>
      <c r="N2350" s="20">
        <f t="shared" si="5071"/>
        <v>900</v>
      </c>
      <c r="O2350" s="19" t="s">
        <v>74</v>
      </c>
      <c r="P2350" s="20">
        <v>1518</v>
      </c>
      <c r="Q2350" s="20">
        <f t="shared" ref="Q2350:X2350" si="5100">Q2320</f>
        <v>90</v>
      </c>
      <c r="R2350" s="20">
        <f t="shared" si="5100"/>
        <v>360</v>
      </c>
      <c r="S2350" s="20">
        <f t="shared" si="5100"/>
        <v>630</v>
      </c>
      <c r="T2350" s="20">
        <f t="shared" si="5100"/>
        <v>810</v>
      </c>
      <c r="U2350" s="20">
        <f t="shared" si="5100"/>
        <v>120</v>
      </c>
      <c r="V2350" s="20">
        <f t="shared" si="5100"/>
        <v>1500</v>
      </c>
      <c r="W2350" s="20">
        <f t="shared" si="5100"/>
        <v>1000</v>
      </c>
      <c r="X2350" s="20">
        <f t="shared" si="5100"/>
        <v>3</v>
      </c>
      <c r="Y2350" s="20">
        <v>0</v>
      </c>
      <c r="Z2350" s="20">
        <v>0</v>
      </c>
      <c r="AA2350" s="20">
        <v>0</v>
      </c>
      <c r="AB2350" s="20">
        <v>0</v>
      </c>
      <c r="AC2350" s="20">
        <f t="shared" si="5030"/>
        <v>0</v>
      </c>
      <c r="AD2350" s="23">
        <f t="shared" ref="AD2350:AE2350" si="5101">AD2320</f>
        <v>16</v>
      </c>
      <c r="AE2350" s="23">
        <f t="shared" si="5101"/>
        <v>20</v>
      </c>
    </row>
    <row r="2351" spans="1:31">
      <c r="A2351" s="4">
        <v>19103</v>
      </c>
      <c r="B2351" s="4">
        <v>10</v>
      </c>
      <c r="C2351" s="29" t="s">
        <v>75</v>
      </c>
      <c r="D2351" s="46">
        <v>0</v>
      </c>
      <c r="E2351" s="28">
        <v>0</v>
      </c>
      <c r="F2351" s="28">
        <v>0</v>
      </c>
      <c r="G2351" s="28">
        <v>0</v>
      </c>
      <c r="H2351" s="47">
        <f t="shared" si="5084"/>
        <v>4412</v>
      </c>
      <c r="I2351" s="21">
        <f t="shared" si="5070"/>
        <v>165</v>
      </c>
      <c r="J2351" s="21">
        <f t="shared" si="5093"/>
        <v>9</v>
      </c>
      <c r="K2351" s="21">
        <v>0</v>
      </c>
      <c r="L2351" s="20">
        <v>6</v>
      </c>
      <c r="M2351" s="20">
        <v>0</v>
      </c>
      <c r="N2351" s="20">
        <f t="shared" si="5071"/>
        <v>2000</v>
      </c>
      <c r="O2351" s="19" t="s">
        <v>75</v>
      </c>
      <c r="P2351" s="20">
        <v>861</v>
      </c>
      <c r="Q2351" s="20">
        <f t="shared" ref="Q2351:X2351" si="5102">Q2321</f>
        <v>200</v>
      </c>
      <c r="R2351" s="20">
        <f t="shared" si="5102"/>
        <v>800</v>
      </c>
      <c r="S2351" s="20">
        <f t="shared" si="5102"/>
        <v>1400</v>
      </c>
      <c r="T2351" s="20">
        <f t="shared" si="5102"/>
        <v>1800</v>
      </c>
      <c r="U2351" s="20">
        <f t="shared" si="5102"/>
        <v>150</v>
      </c>
      <c r="V2351" s="20">
        <f t="shared" si="5102"/>
        <v>5000</v>
      </c>
      <c r="W2351" s="20">
        <f t="shared" si="5102"/>
        <v>800</v>
      </c>
      <c r="X2351" s="20">
        <f t="shared" si="5102"/>
        <v>3</v>
      </c>
      <c r="Y2351" s="20">
        <v>0</v>
      </c>
      <c r="Z2351" s="20">
        <v>0</v>
      </c>
      <c r="AA2351" s="20">
        <v>0</v>
      </c>
      <c r="AB2351" s="20">
        <v>0</v>
      </c>
      <c r="AC2351" s="20">
        <f t="shared" si="5030"/>
        <v>0</v>
      </c>
      <c r="AD2351" s="23">
        <f t="shared" ref="AD2351:AE2351" si="5103">AD2321</f>
        <v>18</v>
      </c>
      <c r="AE2351" s="23">
        <f t="shared" si="5103"/>
        <v>22</v>
      </c>
    </row>
    <row r="2352" spans="1:31">
      <c r="A2352" s="4">
        <v>19103</v>
      </c>
      <c r="B2352" s="4">
        <v>11</v>
      </c>
      <c r="C2352" s="29" t="s">
        <v>66</v>
      </c>
      <c r="D2352" s="46">
        <v>0</v>
      </c>
      <c r="E2352" s="28">
        <v>0</v>
      </c>
      <c r="F2352" s="28">
        <v>0</v>
      </c>
      <c r="G2352" s="28">
        <v>0</v>
      </c>
      <c r="H2352" s="47">
        <f t="shared" si="5084"/>
        <v>4780</v>
      </c>
      <c r="I2352" s="21">
        <f t="shared" si="5070"/>
        <v>165</v>
      </c>
      <c r="J2352" s="21">
        <f t="shared" si="5093"/>
        <v>10</v>
      </c>
      <c r="K2352" s="21">
        <v>0</v>
      </c>
      <c r="L2352" s="20">
        <v>6</v>
      </c>
      <c r="M2352" s="20">
        <v>0</v>
      </c>
      <c r="N2352" s="20">
        <f t="shared" si="5071"/>
        <v>2200</v>
      </c>
      <c r="O2352" s="19" t="s">
        <v>66</v>
      </c>
      <c r="P2352" s="20">
        <v>9400</v>
      </c>
      <c r="Q2352" s="20">
        <f t="shared" ref="Q2352:X2352" si="5104">Q2322</f>
        <v>220</v>
      </c>
      <c r="R2352" s="20">
        <f t="shared" si="5104"/>
        <v>880</v>
      </c>
      <c r="S2352" s="20">
        <f t="shared" si="5104"/>
        <v>1540</v>
      </c>
      <c r="T2352" s="20">
        <f t="shared" si="5104"/>
        <v>1980</v>
      </c>
      <c r="U2352" s="20">
        <f t="shared" si="5104"/>
        <v>100</v>
      </c>
      <c r="V2352" s="20">
        <f t="shared" si="5104"/>
        <v>800</v>
      </c>
      <c r="W2352" s="20">
        <f t="shared" si="5104"/>
        <v>600</v>
      </c>
      <c r="X2352" s="20">
        <f t="shared" si="5104"/>
        <v>3</v>
      </c>
      <c r="Y2352" s="20">
        <v>0</v>
      </c>
      <c r="Z2352" s="20">
        <v>0</v>
      </c>
      <c r="AA2352" s="20">
        <v>0</v>
      </c>
      <c r="AB2352" s="20">
        <v>0</v>
      </c>
      <c r="AC2352" s="20">
        <f t="shared" si="5030"/>
        <v>0</v>
      </c>
      <c r="AD2352" s="23">
        <f t="shared" ref="AD2352:AE2352" si="5105">AD2322</f>
        <v>20</v>
      </c>
      <c r="AE2352" s="23">
        <f t="shared" si="5105"/>
        <v>24</v>
      </c>
    </row>
    <row r="2353" spans="1:31">
      <c r="A2353" s="4">
        <v>19103</v>
      </c>
      <c r="B2353" s="4">
        <v>12</v>
      </c>
      <c r="C2353" s="29" t="s">
        <v>67</v>
      </c>
      <c r="D2353" s="46">
        <v>0</v>
      </c>
      <c r="E2353" s="28">
        <v>0</v>
      </c>
      <c r="F2353" s="28">
        <v>0</v>
      </c>
      <c r="G2353" s="28">
        <v>0</v>
      </c>
      <c r="H2353" s="47">
        <f t="shared" si="5084"/>
        <v>5172</v>
      </c>
      <c r="I2353" s="21">
        <f t="shared" si="5070"/>
        <v>165</v>
      </c>
      <c r="J2353" s="21">
        <f t="shared" si="5093"/>
        <v>11</v>
      </c>
      <c r="K2353" s="21">
        <v>0</v>
      </c>
      <c r="L2353" s="20">
        <v>6</v>
      </c>
      <c r="M2353" s="20">
        <v>0</v>
      </c>
      <c r="N2353" s="20">
        <f t="shared" si="5071"/>
        <v>2400</v>
      </c>
      <c r="O2353" s="19" t="s">
        <v>67</v>
      </c>
      <c r="P2353" s="20">
        <v>9100</v>
      </c>
      <c r="Q2353" s="20">
        <f t="shared" ref="Q2353:X2353" si="5106">Q2323</f>
        <v>240</v>
      </c>
      <c r="R2353" s="20">
        <f t="shared" si="5106"/>
        <v>960</v>
      </c>
      <c r="S2353" s="20">
        <f t="shared" si="5106"/>
        <v>1680</v>
      </c>
      <c r="T2353" s="20">
        <f t="shared" si="5106"/>
        <v>2160</v>
      </c>
      <c r="U2353" s="20">
        <f t="shared" si="5106"/>
        <v>150</v>
      </c>
      <c r="V2353" s="20">
        <f t="shared" si="5106"/>
        <v>700</v>
      </c>
      <c r="W2353" s="20">
        <f t="shared" si="5106"/>
        <v>900</v>
      </c>
      <c r="X2353" s="20">
        <f t="shared" si="5106"/>
        <v>3</v>
      </c>
      <c r="Y2353" s="20">
        <v>0</v>
      </c>
      <c r="Z2353" s="20">
        <v>0</v>
      </c>
      <c r="AA2353" s="20">
        <v>0</v>
      </c>
      <c r="AB2353" s="20">
        <v>0</v>
      </c>
      <c r="AC2353" s="20">
        <f t="shared" si="5030"/>
        <v>0</v>
      </c>
      <c r="AD2353" s="23">
        <f t="shared" ref="AD2353:AE2353" si="5107">AD2323</f>
        <v>22</v>
      </c>
      <c r="AE2353" s="23">
        <f t="shared" si="5107"/>
        <v>26</v>
      </c>
    </row>
    <row r="2354" spans="1:31">
      <c r="A2354" s="8">
        <v>19103</v>
      </c>
      <c r="B2354" s="8">
        <v>13</v>
      </c>
      <c r="C2354" s="29" t="s">
        <v>68</v>
      </c>
      <c r="D2354" s="46">
        <v>0</v>
      </c>
      <c r="E2354" s="28">
        <v>0</v>
      </c>
      <c r="F2354" s="28">
        <v>0</v>
      </c>
      <c r="G2354" s="28">
        <v>0</v>
      </c>
      <c r="H2354" s="47">
        <f t="shared" si="5084"/>
        <v>5600</v>
      </c>
      <c r="I2354" s="21">
        <f t="shared" si="5070"/>
        <v>220</v>
      </c>
      <c r="J2354" s="21">
        <f t="shared" si="5093"/>
        <v>12</v>
      </c>
      <c r="K2354" s="21">
        <v>0</v>
      </c>
      <c r="L2354" s="20">
        <v>6</v>
      </c>
      <c r="M2354" s="20">
        <v>0</v>
      </c>
      <c r="N2354" s="20">
        <f t="shared" si="5071"/>
        <v>2600</v>
      </c>
      <c r="O2354" s="19" t="s">
        <v>68</v>
      </c>
      <c r="P2354" s="20">
        <v>8600</v>
      </c>
      <c r="Q2354" s="20">
        <f t="shared" ref="Q2354:X2354" si="5108">Q2324</f>
        <v>260</v>
      </c>
      <c r="R2354" s="20">
        <f t="shared" si="5108"/>
        <v>1040</v>
      </c>
      <c r="S2354" s="20">
        <f t="shared" si="5108"/>
        <v>1819.9999999999998</v>
      </c>
      <c r="T2354" s="20">
        <f t="shared" si="5108"/>
        <v>2340</v>
      </c>
      <c r="U2354" s="20">
        <f t="shared" si="5108"/>
        <v>100</v>
      </c>
      <c r="V2354" s="20">
        <f t="shared" si="5108"/>
        <v>700</v>
      </c>
      <c r="W2354" s="20">
        <f t="shared" si="5108"/>
        <v>1000</v>
      </c>
      <c r="X2354" s="20">
        <f t="shared" si="5108"/>
        <v>4</v>
      </c>
      <c r="Y2354" s="20">
        <f>ROUND(D2354*0.25,-1)</f>
        <v>0</v>
      </c>
      <c r="Z2354" s="20">
        <f>ROUND(E2354*0.25,-1)</f>
        <v>0</v>
      </c>
      <c r="AA2354" s="20">
        <f>ROUND(F2354*0.25,-1)</f>
        <v>0</v>
      </c>
      <c r="AB2354" s="20">
        <f>ROUND(G2354*0.25,-1)</f>
        <v>0</v>
      </c>
      <c r="AC2354" s="20">
        <f t="shared" si="5030"/>
        <v>777</v>
      </c>
      <c r="AD2354" s="23">
        <f t="shared" ref="AD2354:AE2354" si="5109">AD2324</f>
        <v>24</v>
      </c>
      <c r="AE2354" s="23">
        <f t="shared" si="5109"/>
        <v>28</v>
      </c>
    </row>
    <row r="2355" spans="1:31">
      <c r="A2355" s="4">
        <v>19103</v>
      </c>
      <c r="B2355" s="4">
        <v>14</v>
      </c>
      <c r="C2355" s="29" t="s">
        <v>69</v>
      </c>
      <c r="D2355" s="46">
        <v>0</v>
      </c>
      <c r="E2355" s="28">
        <v>0</v>
      </c>
      <c r="F2355" s="28">
        <v>0</v>
      </c>
      <c r="G2355" s="28">
        <v>0</v>
      </c>
      <c r="H2355" s="47">
        <f t="shared" si="5084"/>
        <v>6064</v>
      </c>
      <c r="I2355" s="21">
        <f t="shared" si="5070"/>
        <v>220</v>
      </c>
      <c r="J2355" s="21">
        <f t="shared" si="5093"/>
        <v>13</v>
      </c>
      <c r="K2355" s="21">
        <v>0</v>
      </c>
      <c r="L2355" s="20">
        <v>6</v>
      </c>
      <c r="M2355" s="20">
        <v>0</v>
      </c>
      <c r="N2355" s="20">
        <f t="shared" si="5071"/>
        <v>2800</v>
      </c>
      <c r="O2355" s="19" t="s">
        <v>69</v>
      </c>
      <c r="P2355" s="20">
        <v>6400</v>
      </c>
      <c r="Q2355" s="20">
        <f t="shared" ref="Q2355:X2355" si="5110">Q2325</f>
        <v>280</v>
      </c>
      <c r="R2355" s="20">
        <f t="shared" si="5110"/>
        <v>1120</v>
      </c>
      <c r="S2355" s="20">
        <f t="shared" si="5110"/>
        <v>1959.9999999999998</v>
      </c>
      <c r="T2355" s="20">
        <f t="shared" si="5110"/>
        <v>2520</v>
      </c>
      <c r="U2355" s="20">
        <f t="shared" si="5110"/>
        <v>100</v>
      </c>
      <c r="V2355" s="20">
        <f t="shared" si="5110"/>
        <v>400</v>
      </c>
      <c r="W2355" s="20">
        <f t="shared" si="5110"/>
        <v>1200</v>
      </c>
      <c r="X2355" s="20">
        <f t="shared" si="5110"/>
        <v>4</v>
      </c>
      <c r="Y2355" s="20">
        <v>0</v>
      </c>
      <c r="Z2355" s="20">
        <v>0</v>
      </c>
      <c r="AA2355" s="20">
        <v>0</v>
      </c>
      <c r="AB2355" s="20">
        <v>0</v>
      </c>
      <c r="AC2355" s="20">
        <f t="shared" si="5030"/>
        <v>0</v>
      </c>
      <c r="AD2355" s="23">
        <f t="shared" ref="AD2355:AE2355" si="5111">AD2325</f>
        <v>26</v>
      </c>
      <c r="AE2355" s="23">
        <f t="shared" si="5111"/>
        <v>30</v>
      </c>
    </row>
    <row r="2356" spans="1:31">
      <c r="A2356" s="4">
        <v>19103</v>
      </c>
      <c r="B2356" s="4">
        <v>15</v>
      </c>
      <c r="C2356" s="29" t="s">
        <v>70</v>
      </c>
      <c r="D2356" s="46">
        <v>0</v>
      </c>
      <c r="E2356" s="28">
        <v>0</v>
      </c>
      <c r="F2356" s="28">
        <v>0</v>
      </c>
      <c r="G2356" s="28">
        <v>0</v>
      </c>
      <c r="H2356" s="47">
        <f t="shared" si="5084"/>
        <v>6564</v>
      </c>
      <c r="I2356" s="21">
        <f t="shared" si="5070"/>
        <v>220</v>
      </c>
      <c r="J2356" s="21">
        <f t="shared" si="5093"/>
        <v>14</v>
      </c>
      <c r="K2356" s="21">
        <v>0</v>
      </c>
      <c r="L2356" s="20">
        <v>6</v>
      </c>
      <c r="M2356" s="20">
        <v>0</v>
      </c>
      <c r="N2356" s="20">
        <f t="shared" si="5071"/>
        <v>4500</v>
      </c>
      <c r="O2356" s="19" t="s">
        <v>70</v>
      </c>
      <c r="P2356" s="20">
        <v>3100</v>
      </c>
      <c r="Q2356" s="20">
        <f t="shared" ref="Q2356:X2356" si="5112">Q2326</f>
        <v>450</v>
      </c>
      <c r="R2356" s="20">
        <f t="shared" si="5112"/>
        <v>1800</v>
      </c>
      <c r="S2356" s="20">
        <f t="shared" si="5112"/>
        <v>3150</v>
      </c>
      <c r="T2356" s="20">
        <f t="shared" si="5112"/>
        <v>4050</v>
      </c>
      <c r="U2356" s="20">
        <f t="shared" si="5112"/>
        <v>100</v>
      </c>
      <c r="V2356" s="20">
        <f t="shared" si="5112"/>
        <v>1000</v>
      </c>
      <c r="W2356" s="20">
        <f t="shared" si="5112"/>
        <v>600</v>
      </c>
      <c r="X2356" s="20">
        <f t="shared" si="5112"/>
        <v>4</v>
      </c>
      <c r="Y2356" s="20">
        <v>0</v>
      </c>
      <c r="Z2356" s="20">
        <v>0</v>
      </c>
      <c r="AA2356" s="20">
        <v>0</v>
      </c>
      <c r="AB2356" s="20">
        <v>0</v>
      </c>
      <c r="AC2356" s="20">
        <f t="shared" si="5030"/>
        <v>0</v>
      </c>
      <c r="AD2356" s="23">
        <f t="shared" ref="AD2356:AE2356" si="5113">AD2326</f>
        <v>28</v>
      </c>
      <c r="AE2356" s="23">
        <f t="shared" si="5113"/>
        <v>32</v>
      </c>
    </row>
    <row r="2357" spans="1:31">
      <c r="A2357" s="4">
        <v>19103</v>
      </c>
      <c r="B2357" s="4">
        <v>16</v>
      </c>
      <c r="C2357" s="29" t="s">
        <v>71</v>
      </c>
      <c r="D2357" s="46">
        <v>0</v>
      </c>
      <c r="E2357" s="28">
        <v>0</v>
      </c>
      <c r="F2357" s="28">
        <v>0</v>
      </c>
      <c r="G2357" s="28">
        <v>0</v>
      </c>
      <c r="H2357" s="47">
        <f t="shared" si="5084"/>
        <v>7108</v>
      </c>
      <c r="I2357" s="21">
        <f t="shared" si="5070"/>
        <v>220</v>
      </c>
      <c r="J2357" s="21">
        <f t="shared" si="5093"/>
        <v>15</v>
      </c>
      <c r="K2357" s="21">
        <v>0</v>
      </c>
      <c r="L2357" s="20">
        <v>6</v>
      </c>
      <c r="M2357" s="20">
        <v>0</v>
      </c>
      <c r="N2357" s="20">
        <f t="shared" si="5071"/>
        <v>4800</v>
      </c>
      <c r="O2357" s="19" t="s">
        <v>71</v>
      </c>
      <c r="P2357" s="20">
        <v>1777</v>
      </c>
      <c r="Q2357" s="20">
        <f t="shared" ref="Q2357:X2357" si="5114">Q2327</f>
        <v>480</v>
      </c>
      <c r="R2357" s="20">
        <f t="shared" si="5114"/>
        <v>1920</v>
      </c>
      <c r="S2357" s="20">
        <f t="shared" si="5114"/>
        <v>3360</v>
      </c>
      <c r="T2357" s="20">
        <f t="shared" si="5114"/>
        <v>4320</v>
      </c>
      <c r="U2357" s="20">
        <f t="shared" si="5114"/>
        <v>100</v>
      </c>
      <c r="V2357" s="20">
        <f t="shared" si="5114"/>
        <v>800</v>
      </c>
      <c r="W2357" s="20">
        <f t="shared" si="5114"/>
        <v>800</v>
      </c>
      <c r="X2357" s="20">
        <f t="shared" si="5114"/>
        <v>4</v>
      </c>
      <c r="Y2357" s="20">
        <v>0</v>
      </c>
      <c r="Z2357" s="20">
        <v>0</v>
      </c>
      <c r="AA2357" s="20">
        <v>0</v>
      </c>
      <c r="AB2357" s="20">
        <v>0</v>
      </c>
      <c r="AC2357" s="20">
        <f t="shared" si="5030"/>
        <v>0</v>
      </c>
      <c r="AD2357" s="23">
        <f t="shared" ref="AD2357:AE2357" si="5115">AD2327</f>
        <v>30</v>
      </c>
      <c r="AE2357" s="23">
        <f t="shared" si="5115"/>
        <v>34</v>
      </c>
    </row>
    <row r="2358" spans="1:31">
      <c r="A2358" s="4">
        <v>19103</v>
      </c>
      <c r="B2358" s="4">
        <v>17</v>
      </c>
      <c r="C2358" s="29" t="s">
        <v>72</v>
      </c>
      <c r="D2358" s="46">
        <v>0</v>
      </c>
      <c r="E2358" s="28">
        <v>0</v>
      </c>
      <c r="F2358" s="28">
        <v>0</v>
      </c>
      <c r="G2358" s="28">
        <v>0</v>
      </c>
      <c r="H2358" s="47">
        <f t="shared" si="5084"/>
        <v>7696</v>
      </c>
      <c r="I2358" s="21">
        <f t="shared" si="5070"/>
        <v>275</v>
      </c>
      <c r="J2358" s="21">
        <f t="shared" si="5093"/>
        <v>16</v>
      </c>
      <c r="K2358" s="21">
        <v>0</v>
      </c>
      <c r="L2358" s="20">
        <v>6</v>
      </c>
      <c r="M2358" s="20">
        <v>0</v>
      </c>
      <c r="N2358" s="20">
        <f t="shared" si="5071"/>
        <v>5100</v>
      </c>
      <c r="O2358" s="19" t="s">
        <v>72</v>
      </c>
      <c r="P2358" s="20">
        <v>2332</v>
      </c>
      <c r="Q2358" s="20">
        <f t="shared" ref="Q2358:X2358" si="5116">Q2328</f>
        <v>510</v>
      </c>
      <c r="R2358" s="20">
        <f t="shared" si="5116"/>
        <v>2040</v>
      </c>
      <c r="S2358" s="20">
        <f t="shared" si="5116"/>
        <v>3570</v>
      </c>
      <c r="T2358" s="20">
        <f t="shared" si="5116"/>
        <v>4590</v>
      </c>
      <c r="U2358" s="20">
        <f t="shared" si="5116"/>
        <v>80</v>
      </c>
      <c r="V2358" s="20">
        <f t="shared" si="5116"/>
        <v>800</v>
      </c>
      <c r="W2358" s="20">
        <f t="shared" si="5116"/>
        <v>600</v>
      </c>
      <c r="X2358" s="20">
        <f t="shared" si="5116"/>
        <v>5</v>
      </c>
      <c r="Y2358" s="20">
        <v>0</v>
      </c>
      <c r="Z2358" s="20">
        <v>0</v>
      </c>
      <c r="AA2358" s="20">
        <v>0</v>
      </c>
      <c r="AB2358" s="20">
        <v>0</v>
      </c>
      <c r="AC2358" s="20">
        <f t="shared" si="5030"/>
        <v>0</v>
      </c>
      <c r="AD2358" s="23">
        <f t="shared" ref="AD2358:AE2358" si="5117">AD2328</f>
        <v>32</v>
      </c>
      <c r="AE2358" s="23">
        <f t="shared" si="5117"/>
        <v>36</v>
      </c>
    </row>
    <row r="2359" spans="1:31">
      <c r="A2359" s="4">
        <v>19103</v>
      </c>
      <c r="B2359" s="4">
        <v>18</v>
      </c>
      <c r="C2359" s="29" t="s">
        <v>73</v>
      </c>
      <c r="D2359" s="46">
        <v>0</v>
      </c>
      <c r="E2359" s="28">
        <v>0</v>
      </c>
      <c r="F2359" s="28">
        <v>0</v>
      </c>
      <c r="G2359" s="28">
        <v>0</v>
      </c>
      <c r="H2359" s="47">
        <f t="shared" si="5084"/>
        <v>8332</v>
      </c>
      <c r="I2359" s="21">
        <f t="shared" si="5070"/>
        <v>275</v>
      </c>
      <c r="J2359" s="21">
        <f t="shared" si="5093"/>
        <v>17</v>
      </c>
      <c r="K2359" s="21">
        <v>0</v>
      </c>
      <c r="L2359" s="20">
        <v>6</v>
      </c>
      <c r="M2359" s="20">
        <v>0</v>
      </c>
      <c r="N2359" s="20">
        <f t="shared" si="5071"/>
        <v>5400</v>
      </c>
      <c r="O2359" s="19" t="s">
        <v>73</v>
      </c>
      <c r="P2359" s="20">
        <v>1487</v>
      </c>
      <c r="Q2359" s="20">
        <f t="shared" ref="Q2359:X2359" si="5118">Q2329</f>
        <v>540</v>
      </c>
      <c r="R2359" s="20">
        <f t="shared" si="5118"/>
        <v>2160</v>
      </c>
      <c r="S2359" s="20">
        <f t="shared" si="5118"/>
        <v>3779.9999999999995</v>
      </c>
      <c r="T2359" s="20">
        <f t="shared" si="5118"/>
        <v>4860</v>
      </c>
      <c r="U2359" s="20">
        <f t="shared" si="5118"/>
        <v>100</v>
      </c>
      <c r="V2359" s="20">
        <f t="shared" si="5118"/>
        <v>600</v>
      </c>
      <c r="W2359" s="20">
        <f t="shared" si="5118"/>
        <v>300</v>
      </c>
      <c r="X2359" s="20">
        <f t="shared" si="5118"/>
        <v>5</v>
      </c>
      <c r="Y2359" s="20">
        <f>ROUND(D2359*0.25,-1)</f>
        <v>0</v>
      </c>
      <c r="Z2359" s="20">
        <f>ROUND(E2359*0.25,-1)</f>
        <v>0</v>
      </c>
      <c r="AA2359" s="20">
        <f>ROUND(F2359*0.25,-1)</f>
        <v>0</v>
      </c>
      <c r="AB2359" s="20">
        <f>ROUND(G2359*0.25,-1)</f>
        <v>0</v>
      </c>
      <c r="AC2359" s="20">
        <f t="shared" si="5030"/>
        <v>1165</v>
      </c>
      <c r="AD2359" s="23">
        <f t="shared" ref="AD2359:AE2359" si="5119">AD2329</f>
        <v>34</v>
      </c>
      <c r="AE2359" s="23">
        <f t="shared" si="5119"/>
        <v>38</v>
      </c>
    </row>
    <row r="2360" spans="1:31">
      <c r="A2360" s="4">
        <v>19103</v>
      </c>
      <c r="B2360" s="4">
        <v>19</v>
      </c>
      <c r="C2360" s="29" t="s">
        <v>74</v>
      </c>
      <c r="D2360" s="46">
        <v>0</v>
      </c>
      <c r="E2360" s="28">
        <v>0</v>
      </c>
      <c r="F2360" s="28">
        <v>0</v>
      </c>
      <c r="G2360" s="28">
        <v>0</v>
      </c>
      <c r="H2360" s="47">
        <f t="shared" si="5084"/>
        <v>9020</v>
      </c>
      <c r="I2360" s="21">
        <f t="shared" si="5070"/>
        <v>275</v>
      </c>
      <c r="J2360" s="21">
        <f t="shared" si="5093"/>
        <v>18</v>
      </c>
      <c r="K2360" s="21">
        <v>0</v>
      </c>
      <c r="L2360" s="20">
        <v>6</v>
      </c>
      <c r="M2360" s="20">
        <v>0</v>
      </c>
      <c r="N2360" s="20">
        <f t="shared" si="5071"/>
        <v>5700</v>
      </c>
      <c r="O2360" s="19" t="s">
        <v>74</v>
      </c>
      <c r="P2360" s="20">
        <v>1518</v>
      </c>
      <c r="Q2360" s="20">
        <f t="shared" ref="Q2360:X2360" si="5120">Q2330</f>
        <v>570</v>
      </c>
      <c r="R2360" s="20">
        <f t="shared" si="5120"/>
        <v>2280</v>
      </c>
      <c r="S2360" s="20">
        <f t="shared" si="5120"/>
        <v>3989.9999999999995</v>
      </c>
      <c r="T2360" s="20">
        <f t="shared" si="5120"/>
        <v>5130</v>
      </c>
      <c r="U2360" s="20">
        <f t="shared" si="5120"/>
        <v>100</v>
      </c>
      <c r="V2360" s="20">
        <f t="shared" si="5120"/>
        <v>500</v>
      </c>
      <c r="W2360" s="20">
        <f t="shared" si="5120"/>
        <v>400</v>
      </c>
      <c r="X2360" s="20">
        <f t="shared" si="5120"/>
        <v>5</v>
      </c>
      <c r="Y2360" s="20">
        <v>0</v>
      </c>
      <c r="Z2360" s="20">
        <v>0</v>
      </c>
      <c r="AA2360" s="20">
        <v>0</v>
      </c>
      <c r="AB2360" s="20">
        <v>0</v>
      </c>
      <c r="AC2360" s="20">
        <f t="shared" si="5030"/>
        <v>0</v>
      </c>
      <c r="AD2360" s="23">
        <f t="shared" ref="AD2360:AE2360" si="5121">AD2330</f>
        <v>36</v>
      </c>
      <c r="AE2360" s="23">
        <f t="shared" si="5121"/>
        <v>40</v>
      </c>
    </row>
    <row r="2361" spans="1:31">
      <c r="A2361" s="4">
        <v>19103</v>
      </c>
      <c r="B2361" s="4">
        <v>20</v>
      </c>
      <c r="C2361" s="29" t="s">
        <v>75</v>
      </c>
      <c r="D2361" s="46">
        <v>0</v>
      </c>
      <c r="E2361" s="28">
        <v>0</v>
      </c>
      <c r="F2361" s="28">
        <v>0</v>
      </c>
      <c r="G2361" s="28">
        <v>0</v>
      </c>
      <c r="H2361" s="47">
        <f t="shared" si="5084"/>
        <v>9764</v>
      </c>
      <c r="I2361" s="21">
        <f t="shared" si="5070"/>
        <v>275</v>
      </c>
      <c r="J2361" s="21">
        <f t="shared" si="5093"/>
        <v>19</v>
      </c>
      <c r="K2361" s="21">
        <v>0</v>
      </c>
      <c r="L2361" s="20">
        <v>6</v>
      </c>
      <c r="M2361" s="20">
        <v>0</v>
      </c>
      <c r="N2361" s="20">
        <f t="shared" si="5071"/>
        <v>8000</v>
      </c>
      <c r="O2361" s="19" t="s">
        <v>75</v>
      </c>
      <c r="P2361" s="20">
        <v>861</v>
      </c>
      <c r="Q2361" s="20">
        <f t="shared" ref="Q2361:X2361" si="5122">Q2331</f>
        <v>800</v>
      </c>
      <c r="R2361" s="20">
        <f t="shared" si="5122"/>
        <v>3200</v>
      </c>
      <c r="S2361" s="20">
        <f t="shared" si="5122"/>
        <v>5600</v>
      </c>
      <c r="T2361" s="20">
        <f t="shared" si="5122"/>
        <v>7200</v>
      </c>
      <c r="U2361" s="20">
        <f t="shared" si="5122"/>
        <v>100</v>
      </c>
      <c r="V2361" s="20">
        <f t="shared" si="5122"/>
        <v>800</v>
      </c>
      <c r="W2361" s="20">
        <f t="shared" si="5122"/>
        <v>8000</v>
      </c>
      <c r="X2361" s="20">
        <f t="shared" si="5122"/>
        <v>5</v>
      </c>
      <c r="Y2361" s="20">
        <v>0</v>
      </c>
      <c r="Z2361" s="20">
        <v>0</v>
      </c>
      <c r="AA2361" s="20">
        <v>0</v>
      </c>
      <c r="AB2361" s="20">
        <v>0</v>
      </c>
      <c r="AC2361" s="20">
        <f t="shared" si="5030"/>
        <v>0</v>
      </c>
      <c r="AD2361" s="23">
        <f t="shared" ref="AD2361:AE2361" si="5123">AD2331</f>
        <v>38</v>
      </c>
      <c r="AE2361" s="23">
        <f t="shared" si="5123"/>
        <v>42</v>
      </c>
    </row>
    <row r="2362" spans="1:31">
      <c r="A2362" s="4">
        <v>19103</v>
      </c>
      <c r="B2362" s="4">
        <v>21</v>
      </c>
      <c r="C2362" s="29" t="s">
        <v>66</v>
      </c>
      <c r="D2362" s="46">
        <v>0</v>
      </c>
      <c r="E2362" s="28">
        <v>0</v>
      </c>
      <c r="F2362" s="28">
        <v>0</v>
      </c>
      <c r="G2362" s="28">
        <v>0</v>
      </c>
      <c r="H2362" s="47">
        <f t="shared" si="5084"/>
        <v>10572</v>
      </c>
      <c r="I2362" s="21">
        <f t="shared" si="5070"/>
        <v>330</v>
      </c>
      <c r="J2362" s="21">
        <f t="shared" si="5093"/>
        <v>20</v>
      </c>
      <c r="K2362" s="21">
        <v>0</v>
      </c>
      <c r="L2362" s="20">
        <v>6</v>
      </c>
      <c r="M2362" s="20">
        <v>0</v>
      </c>
      <c r="N2362" s="20">
        <f t="shared" si="5071"/>
        <v>8400</v>
      </c>
      <c r="O2362" s="19" t="s">
        <v>66</v>
      </c>
      <c r="P2362" s="20">
        <v>9400</v>
      </c>
      <c r="Q2362" s="20">
        <f t="shared" ref="Q2362:X2362" si="5124">Q2332</f>
        <v>840</v>
      </c>
      <c r="R2362" s="20">
        <f t="shared" si="5124"/>
        <v>3360</v>
      </c>
      <c r="S2362" s="20">
        <f t="shared" si="5124"/>
        <v>5880</v>
      </c>
      <c r="T2362" s="20">
        <f t="shared" si="5124"/>
        <v>7560</v>
      </c>
      <c r="U2362" s="20">
        <f t="shared" si="5124"/>
        <v>50</v>
      </c>
      <c r="V2362" s="20">
        <f t="shared" si="5124"/>
        <v>1000</v>
      </c>
      <c r="W2362" s="20">
        <f t="shared" si="5124"/>
        <v>600</v>
      </c>
      <c r="X2362" s="20">
        <f t="shared" si="5124"/>
        <v>6</v>
      </c>
      <c r="Y2362" s="20">
        <v>0</v>
      </c>
      <c r="Z2362" s="20">
        <v>0</v>
      </c>
      <c r="AA2362" s="20">
        <v>0</v>
      </c>
      <c r="AB2362" s="20">
        <v>0</v>
      </c>
      <c r="AC2362" s="20">
        <f t="shared" si="5030"/>
        <v>0</v>
      </c>
      <c r="AD2362" s="23">
        <f t="shared" ref="AD2362:AE2362" si="5125">AD2332</f>
        <v>40</v>
      </c>
      <c r="AE2362" s="23">
        <f t="shared" si="5125"/>
        <v>44</v>
      </c>
    </row>
    <row r="2363" spans="1:31">
      <c r="A2363" s="4">
        <v>19103</v>
      </c>
      <c r="B2363" s="4">
        <v>22</v>
      </c>
      <c r="C2363" s="29" t="s">
        <v>67</v>
      </c>
      <c r="D2363" s="46">
        <v>0</v>
      </c>
      <c r="E2363" s="28">
        <v>0</v>
      </c>
      <c r="F2363" s="28">
        <v>0</v>
      </c>
      <c r="G2363" s="28">
        <v>0</v>
      </c>
      <c r="H2363" s="47">
        <f t="shared" si="5084"/>
        <v>11444</v>
      </c>
      <c r="I2363" s="21">
        <f t="shared" si="5070"/>
        <v>330</v>
      </c>
      <c r="J2363" s="21">
        <f t="shared" si="5093"/>
        <v>21</v>
      </c>
      <c r="K2363" s="21">
        <v>0</v>
      </c>
      <c r="L2363" s="20">
        <v>6</v>
      </c>
      <c r="M2363" s="20">
        <v>0</v>
      </c>
      <c r="N2363" s="20">
        <f t="shared" si="5071"/>
        <v>8800</v>
      </c>
      <c r="O2363" s="19" t="s">
        <v>67</v>
      </c>
      <c r="P2363" s="20">
        <v>9100</v>
      </c>
      <c r="Q2363" s="20">
        <f t="shared" ref="Q2363:X2363" si="5126">Q2333</f>
        <v>880</v>
      </c>
      <c r="R2363" s="20">
        <f t="shared" si="5126"/>
        <v>3520</v>
      </c>
      <c r="S2363" s="20">
        <f t="shared" si="5126"/>
        <v>6160</v>
      </c>
      <c r="T2363" s="20">
        <f t="shared" si="5126"/>
        <v>7920</v>
      </c>
      <c r="U2363" s="20">
        <f t="shared" si="5126"/>
        <v>100</v>
      </c>
      <c r="V2363" s="20">
        <f t="shared" si="5126"/>
        <v>600</v>
      </c>
      <c r="W2363" s="20">
        <f t="shared" si="5126"/>
        <v>700</v>
      </c>
      <c r="X2363" s="20">
        <f t="shared" si="5126"/>
        <v>6</v>
      </c>
      <c r="Y2363" s="20">
        <v>0</v>
      </c>
      <c r="Z2363" s="20">
        <v>0</v>
      </c>
      <c r="AA2363" s="20">
        <v>0</v>
      </c>
      <c r="AB2363" s="20">
        <v>0</v>
      </c>
      <c r="AC2363" s="20">
        <f t="shared" si="5030"/>
        <v>0</v>
      </c>
      <c r="AD2363" s="23">
        <f t="shared" ref="AD2363:AE2363" si="5127">AD2333</f>
        <v>42</v>
      </c>
      <c r="AE2363" s="23">
        <f t="shared" si="5127"/>
        <v>46</v>
      </c>
    </row>
    <row r="2364" spans="1:31">
      <c r="A2364" s="4">
        <v>19103</v>
      </c>
      <c r="B2364" s="4">
        <v>23</v>
      </c>
      <c r="C2364" s="29" t="s">
        <v>68</v>
      </c>
      <c r="D2364" s="46">
        <v>0</v>
      </c>
      <c r="E2364" s="28">
        <v>0</v>
      </c>
      <c r="F2364" s="28">
        <v>0</v>
      </c>
      <c r="G2364" s="28">
        <v>0</v>
      </c>
      <c r="H2364" s="47">
        <f t="shared" si="5084"/>
        <v>12392</v>
      </c>
      <c r="I2364" s="21">
        <f t="shared" si="5070"/>
        <v>330</v>
      </c>
      <c r="J2364" s="21">
        <f t="shared" si="5093"/>
        <v>22</v>
      </c>
      <c r="K2364" s="21">
        <v>0</v>
      </c>
      <c r="L2364" s="20">
        <v>6</v>
      </c>
      <c r="M2364" s="20">
        <v>0</v>
      </c>
      <c r="N2364" s="20">
        <f t="shared" si="5071"/>
        <v>9200</v>
      </c>
      <c r="O2364" s="19" t="s">
        <v>68</v>
      </c>
      <c r="P2364" s="20">
        <v>8600</v>
      </c>
      <c r="Q2364" s="20">
        <f t="shared" ref="Q2364:X2364" si="5128">Q2334</f>
        <v>920</v>
      </c>
      <c r="R2364" s="20">
        <f t="shared" si="5128"/>
        <v>3680</v>
      </c>
      <c r="S2364" s="20">
        <f t="shared" si="5128"/>
        <v>6440</v>
      </c>
      <c r="T2364" s="20">
        <f t="shared" si="5128"/>
        <v>8280</v>
      </c>
      <c r="U2364" s="20">
        <f t="shared" si="5128"/>
        <v>100</v>
      </c>
      <c r="V2364" s="20">
        <f t="shared" si="5128"/>
        <v>550</v>
      </c>
      <c r="W2364" s="20">
        <f t="shared" si="5128"/>
        <v>500</v>
      </c>
      <c r="X2364" s="20">
        <f t="shared" si="5128"/>
        <v>6</v>
      </c>
      <c r="Y2364" s="20">
        <f>ROUND(D2364*0.25,-1)</f>
        <v>0</v>
      </c>
      <c r="Z2364" s="20">
        <f>ROUND(E2364*0.25,-1)</f>
        <v>0</v>
      </c>
      <c r="AA2364" s="20">
        <f>ROUND(F2364*0.25,-1)</f>
        <v>0</v>
      </c>
      <c r="AB2364" s="20">
        <f>ROUND(G2364*0.25,-1)</f>
        <v>0</v>
      </c>
      <c r="AC2364" s="20">
        <f t="shared" si="5030"/>
        <v>1554</v>
      </c>
      <c r="AD2364" s="23">
        <f t="shared" ref="AD2364:AE2364" si="5129">AD2334</f>
        <v>44</v>
      </c>
      <c r="AE2364" s="23">
        <f t="shared" si="5129"/>
        <v>48</v>
      </c>
    </row>
    <row r="2365" spans="1:31">
      <c r="A2365" s="4">
        <v>19103</v>
      </c>
      <c r="B2365" s="4">
        <v>24</v>
      </c>
      <c r="C2365" s="29" t="s">
        <v>69</v>
      </c>
      <c r="D2365" s="46">
        <v>0</v>
      </c>
      <c r="E2365" s="28">
        <v>0</v>
      </c>
      <c r="F2365" s="28">
        <v>0</v>
      </c>
      <c r="G2365" s="28">
        <v>0</v>
      </c>
      <c r="H2365" s="47">
        <f t="shared" si="5084"/>
        <v>13412</v>
      </c>
      <c r="I2365" s="21">
        <f t="shared" si="5070"/>
        <v>330</v>
      </c>
      <c r="J2365" s="21">
        <f t="shared" si="5093"/>
        <v>23</v>
      </c>
      <c r="K2365" s="21">
        <v>0</v>
      </c>
      <c r="L2365" s="20">
        <v>6</v>
      </c>
      <c r="M2365" s="20">
        <v>0</v>
      </c>
      <c r="N2365" s="20">
        <f t="shared" si="5071"/>
        <v>9600</v>
      </c>
      <c r="O2365" s="19" t="s">
        <v>69</v>
      </c>
      <c r="P2365" s="20">
        <v>6400</v>
      </c>
      <c r="Q2365" s="20">
        <f t="shared" ref="Q2365:X2365" si="5130">Q2335</f>
        <v>960</v>
      </c>
      <c r="R2365" s="20">
        <f t="shared" si="5130"/>
        <v>3840</v>
      </c>
      <c r="S2365" s="20">
        <f t="shared" si="5130"/>
        <v>6720</v>
      </c>
      <c r="T2365" s="20">
        <f t="shared" si="5130"/>
        <v>8640</v>
      </c>
      <c r="U2365" s="20">
        <f t="shared" si="5130"/>
        <v>100</v>
      </c>
      <c r="V2365" s="20">
        <f t="shared" si="5130"/>
        <v>500</v>
      </c>
      <c r="W2365" s="20">
        <f t="shared" si="5130"/>
        <v>900</v>
      </c>
      <c r="X2365" s="20">
        <f t="shared" si="5130"/>
        <v>6</v>
      </c>
      <c r="Y2365" s="20">
        <v>0</v>
      </c>
      <c r="Z2365" s="20">
        <v>0</v>
      </c>
      <c r="AA2365" s="20">
        <v>0</v>
      </c>
      <c r="AB2365" s="20">
        <v>0</v>
      </c>
      <c r="AC2365" s="20">
        <f t="shared" si="5030"/>
        <v>0</v>
      </c>
      <c r="AD2365" s="23">
        <f t="shared" ref="AD2365:AE2365" si="5131">AD2335</f>
        <v>46</v>
      </c>
      <c r="AE2365" s="23">
        <f t="shared" si="5131"/>
        <v>50</v>
      </c>
    </row>
    <row r="2366" spans="1:31">
      <c r="A2366" s="8">
        <v>19103</v>
      </c>
      <c r="B2366" s="8">
        <v>25</v>
      </c>
      <c r="C2366" s="29" t="s">
        <v>70</v>
      </c>
      <c r="D2366" s="46">
        <v>0</v>
      </c>
      <c r="E2366" s="28">
        <v>0</v>
      </c>
      <c r="F2366" s="28">
        <v>0</v>
      </c>
      <c r="G2366" s="28">
        <v>0</v>
      </c>
      <c r="H2366" s="47">
        <f t="shared" si="5084"/>
        <v>14524</v>
      </c>
      <c r="I2366" s="21">
        <f t="shared" si="5070"/>
        <v>385</v>
      </c>
      <c r="J2366" s="21">
        <f t="shared" si="5093"/>
        <v>24</v>
      </c>
      <c r="K2366" s="21">
        <v>0</v>
      </c>
      <c r="L2366" s="20">
        <v>6</v>
      </c>
      <c r="M2366" s="20">
        <v>0</v>
      </c>
      <c r="N2366" s="20">
        <f t="shared" si="5071"/>
        <v>12500</v>
      </c>
      <c r="O2366" s="19" t="s">
        <v>70</v>
      </c>
      <c r="P2366" s="20">
        <v>3100</v>
      </c>
      <c r="Q2366" s="20">
        <f t="shared" ref="Q2366:X2366" si="5132">Q2336</f>
        <v>1250</v>
      </c>
      <c r="R2366" s="20">
        <f t="shared" si="5132"/>
        <v>5000</v>
      </c>
      <c r="S2366" s="20">
        <f t="shared" si="5132"/>
        <v>8750</v>
      </c>
      <c r="T2366" s="20">
        <f t="shared" si="5132"/>
        <v>11250</v>
      </c>
      <c r="U2366" s="20">
        <f t="shared" si="5132"/>
        <v>10</v>
      </c>
      <c r="V2366" s="20">
        <f t="shared" si="5132"/>
        <v>1300</v>
      </c>
      <c r="W2366" s="20">
        <f t="shared" si="5132"/>
        <v>1000</v>
      </c>
      <c r="X2366" s="20">
        <f t="shared" si="5132"/>
        <v>7</v>
      </c>
      <c r="Y2366" s="20">
        <v>0</v>
      </c>
      <c r="Z2366" s="20">
        <v>0</v>
      </c>
      <c r="AA2366" s="20">
        <v>0</v>
      </c>
      <c r="AB2366" s="20">
        <v>0</v>
      </c>
      <c r="AC2366" s="20">
        <f t="shared" si="5030"/>
        <v>0</v>
      </c>
      <c r="AD2366" s="23">
        <f t="shared" ref="AD2366:AE2366" si="5133">AD2336</f>
        <v>48</v>
      </c>
      <c r="AE2366" s="23">
        <f t="shared" si="5133"/>
        <v>52</v>
      </c>
    </row>
    <row r="2367" spans="1:31">
      <c r="A2367" s="4">
        <v>19103</v>
      </c>
      <c r="B2367" s="4">
        <v>26</v>
      </c>
      <c r="C2367" s="29" t="s">
        <v>71</v>
      </c>
      <c r="D2367" s="46">
        <v>0</v>
      </c>
      <c r="E2367" s="28">
        <v>0</v>
      </c>
      <c r="F2367" s="28">
        <v>0</v>
      </c>
      <c r="G2367" s="28">
        <v>0</v>
      </c>
      <c r="H2367" s="47">
        <f t="shared" si="5084"/>
        <v>15724</v>
      </c>
      <c r="I2367" s="21">
        <f t="shared" si="5070"/>
        <v>385</v>
      </c>
      <c r="J2367" s="21">
        <f t="shared" si="5093"/>
        <v>25</v>
      </c>
      <c r="K2367" s="21">
        <v>0</v>
      </c>
      <c r="L2367" s="20">
        <v>6</v>
      </c>
      <c r="M2367" s="20">
        <v>0</v>
      </c>
      <c r="N2367" s="20">
        <f t="shared" si="5071"/>
        <v>13000</v>
      </c>
      <c r="O2367" s="19" t="s">
        <v>71</v>
      </c>
      <c r="P2367" s="20">
        <v>1777</v>
      </c>
      <c r="Q2367" s="20">
        <f t="shared" ref="Q2367:X2367" si="5134">Q2337</f>
        <v>1300</v>
      </c>
      <c r="R2367" s="20">
        <f t="shared" si="5134"/>
        <v>5200</v>
      </c>
      <c r="S2367" s="20">
        <f t="shared" si="5134"/>
        <v>9100</v>
      </c>
      <c r="T2367" s="20">
        <f t="shared" si="5134"/>
        <v>11700</v>
      </c>
      <c r="U2367" s="20">
        <f t="shared" si="5134"/>
        <v>90</v>
      </c>
      <c r="V2367" s="20">
        <f t="shared" si="5134"/>
        <v>800</v>
      </c>
      <c r="W2367" s="20">
        <f t="shared" si="5134"/>
        <v>2000</v>
      </c>
      <c r="X2367" s="20">
        <f t="shared" si="5134"/>
        <v>7</v>
      </c>
      <c r="Y2367" s="20">
        <v>0</v>
      </c>
      <c r="Z2367" s="20">
        <v>0</v>
      </c>
      <c r="AA2367" s="20">
        <v>0</v>
      </c>
      <c r="AB2367" s="20">
        <v>0</v>
      </c>
      <c r="AC2367" s="20">
        <f t="shared" si="5030"/>
        <v>0</v>
      </c>
      <c r="AD2367" s="23">
        <f t="shared" ref="AD2367:AE2367" si="5135">AD2337</f>
        <v>50</v>
      </c>
      <c r="AE2367" s="23">
        <f t="shared" si="5135"/>
        <v>54</v>
      </c>
    </row>
    <row r="2368" spans="1:31">
      <c r="A2368" s="4">
        <v>19103</v>
      </c>
      <c r="B2368" s="4">
        <v>27</v>
      </c>
      <c r="C2368" s="29" t="s">
        <v>72</v>
      </c>
      <c r="D2368" s="46">
        <v>0</v>
      </c>
      <c r="E2368" s="28">
        <v>0</v>
      </c>
      <c r="F2368" s="28">
        <v>0</v>
      </c>
      <c r="G2368" s="28">
        <v>0</v>
      </c>
      <c r="H2368" s="47">
        <f t="shared" si="5084"/>
        <v>17020</v>
      </c>
      <c r="I2368" s="21">
        <f t="shared" si="5070"/>
        <v>385</v>
      </c>
      <c r="J2368" s="21">
        <f t="shared" si="5093"/>
        <v>26</v>
      </c>
      <c r="K2368" s="21">
        <v>0</v>
      </c>
      <c r="L2368" s="20">
        <v>6</v>
      </c>
      <c r="M2368" s="20">
        <v>0</v>
      </c>
      <c r="N2368" s="20">
        <f t="shared" si="5071"/>
        <v>13500</v>
      </c>
      <c r="O2368" s="19" t="s">
        <v>72</v>
      </c>
      <c r="P2368" s="20">
        <v>2332</v>
      </c>
      <c r="Q2368" s="20">
        <f t="shared" ref="Q2368:X2368" si="5136">Q2338</f>
        <v>1350</v>
      </c>
      <c r="R2368" s="20">
        <f t="shared" si="5136"/>
        <v>5400</v>
      </c>
      <c r="S2368" s="20">
        <f t="shared" si="5136"/>
        <v>9450</v>
      </c>
      <c r="T2368" s="20">
        <f t="shared" si="5136"/>
        <v>12150</v>
      </c>
      <c r="U2368" s="20">
        <f t="shared" si="5136"/>
        <v>80</v>
      </c>
      <c r="V2368" s="20">
        <f t="shared" si="5136"/>
        <v>700</v>
      </c>
      <c r="W2368" s="20">
        <f t="shared" si="5136"/>
        <v>800</v>
      </c>
      <c r="X2368" s="20">
        <f t="shared" si="5136"/>
        <v>7</v>
      </c>
      <c r="Y2368" s="20">
        <v>0</v>
      </c>
      <c r="Z2368" s="20">
        <v>0</v>
      </c>
      <c r="AA2368" s="20">
        <v>0</v>
      </c>
      <c r="AB2368" s="20">
        <v>0</v>
      </c>
      <c r="AC2368" s="20">
        <f t="shared" si="5030"/>
        <v>0</v>
      </c>
      <c r="AD2368" s="23">
        <f t="shared" ref="AD2368:AE2368" si="5137">AD2338</f>
        <v>52</v>
      </c>
      <c r="AE2368" s="23">
        <f t="shared" si="5137"/>
        <v>56</v>
      </c>
    </row>
    <row r="2369" spans="1:31">
      <c r="A2369" s="4">
        <v>19103</v>
      </c>
      <c r="B2369" s="4">
        <v>28</v>
      </c>
      <c r="C2369" s="29" t="s">
        <v>73</v>
      </c>
      <c r="D2369" s="46">
        <v>0</v>
      </c>
      <c r="E2369" s="28">
        <v>0</v>
      </c>
      <c r="F2369" s="28">
        <v>0</v>
      </c>
      <c r="G2369" s="28">
        <v>0</v>
      </c>
      <c r="H2369" s="47">
        <f t="shared" si="5084"/>
        <v>18428</v>
      </c>
      <c r="I2369" s="21">
        <f t="shared" si="5070"/>
        <v>385</v>
      </c>
      <c r="J2369" s="21">
        <f t="shared" si="5093"/>
        <v>27</v>
      </c>
      <c r="K2369" s="21">
        <v>0</v>
      </c>
      <c r="L2369" s="20">
        <v>6</v>
      </c>
      <c r="M2369" s="20">
        <v>0</v>
      </c>
      <c r="N2369" s="20">
        <f t="shared" si="5071"/>
        <v>14000</v>
      </c>
      <c r="O2369" s="19" t="s">
        <v>73</v>
      </c>
      <c r="P2369" s="20">
        <v>1487</v>
      </c>
      <c r="Q2369" s="20">
        <f t="shared" ref="Q2369:X2369" si="5138">Q2339</f>
        <v>1400</v>
      </c>
      <c r="R2369" s="20">
        <f t="shared" si="5138"/>
        <v>5600</v>
      </c>
      <c r="S2369" s="20">
        <f t="shared" si="5138"/>
        <v>9800</v>
      </c>
      <c r="T2369" s="20">
        <f t="shared" si="5138"/>
        <v>12600</v>
      </c>
      <c r="U2369" s="20">
        <f t="shared" si="5138"/>
        <v>80</v>
      </c>
      <c r="V2369" s="20">
        <f t="shared" si="5138"/>
        <v>500</v>
      </c>
      <c r="W2369" s="20">
        <f t="shared" si="5138"/>
        <v>600</v>
      </c>
      <c r="X2369" s="20">
        <f t="shared" si="5138"/>
        <v>7</v>
      </c>
      <c r="Y2369" s="20">
        <f>ROUND(D2369*0.25,-1)</f>
        <v>0</v>
      </c>
      <c r="Z2369" s="20">
        <f>ROUND(E2369*0.25,-1)</f>
        <v>0</v>
      </c>
      <c r="AA2369" s="20">
        <f>ROUND(F2369*0.25,-1)</f>
        <v>0</v>
      </c>
      <c r="AB2369" s="20">
        <f>ROUND(G2369*0.25,-1)</f>
        <v>0</v>
      </c>
      <c r="AC2369" s="20">
        <f t="shared" si="5030"/>
        <v>1944</v>
      </c>
      <c r="AD2369" s="23">
        <f t="shared" ref="AD2369:AE2369" si="5139">AD2339</f>
        <v>54</v>
      </c>
      <c r="AE2369" s="23">
        <f t="shared" si="5139"/>
        <v>58</v>
      </c>
    </row>
    <row r="2370" spans="1:31">
      <c r="A2370" s="4">
        <v>19103</v>
      </c>
      <c r="B2370" s="4">
        <v>29</v>
      </c>
      <c r="C2370" s="29" t="s">
        <v>74</v>
      </c>
      <c r="D2370" s="46">
        <v>0</v>
      </c>
      <c r="E2370" s="28">
        <v>0</v>
      </c>
      <c r="F2370" s="28">
        <v>0</v>
      </c>
      <c r="G2370" s="28">
        <v>0</v>
      </c>
      <c r="H2370" s="47">
        <f t="shared" si="5084"/>
        <v>19952</v>
      </c>
      <c r="I2370" s="21">
        <f t="shared" si="5070"/>
        <v>440</v>
      </c>
      <c r="J2370" s="21">
        <f t="shared" si="5093"/>
        <v>28</v>
      </c>
      <c r="K2370" s="21">
        <v>0</v>
      </c>
      <c r="L2370" s="20">
        <v>6</v>
      </c>
      <c r="M2370" s="20">
        <v>0</v>
      </c>
      <c r="N2370" s="20">
        <f t="shared" si="5071"/>
        <v>14500</v>
      </c>
      <c r="O2370" s="19" t="s">
        <v>74</v>
      </c>
      <c r="P2370" s="20">
        <v>1518</v>
      </c>
      <c r="Q2370" s="20">
        <f t="shared" ref="Q2370:X2370" si="5140">Q2340</f>
        <v>1450</v>
      </c>
      <c r="R2370" s="20">
        <f t="shared" si="5140"/>
        <v>5800</v>
      </c>
      <c r="S2370" s="20">
        <f t="shared" si="5140"/>
        <v>10150</v>
      </c>
      <c r="T2370" s="20">
        <f t="shared" si="5140"/>
        <v>13050</v>
      </c>
      <c r="U2370" s="20">
        <f t="shared" si="5140"/>
        <v>80</v>
      </c>
      <c r="V2370" s="20">
        <f t="shared" si="5140"/>
        <v>600</v>
      </c>
      <c r="W2370" s="20">
        <f t="shared" si="5140"/>
        <v>700</v>
      </c>
      <c r="X2370" s="20">
        <f t="shared" si="5140"/>
        <v>8</v>
      </c>
      <c r="Y2370" s="20">
        <v>0</v>
      </c>
      <c r="Z2370" s="20">
        <v>0</v>
      </c>
      <c r="AA2370" s="20">
        <v>0</v>
      </c>
      <c r="AB2370" s="20">
        <v>0</v>
      </c>
      <c r="AC2370" s="20">
        <f t="shared" si="5030"/>
        <v>0</v>
      </c>
      <c r="AD2370" s="23">
        <f t="shared" ref="AD2370:AE2370" si="5141">AD2340</f>
        <v>56</v>
      </c>
      <c r="AE2370" s="23">
        <f t="shared" si="5141"/>
        <v>60</v>
      </c>
    </row>
    <row r="2371" spans="1:31">
      <c r="A2371" s="4">
        <v>19103</v>
      </c>
      <c r="B2371" s="4">
        <v>30</v>
      </c>
      <c r="C2371" s="29" t="s">
        <v>75</v>
      </c>
      <c r="D2371" s="46">
        <v>0</v>
      </c>
      <c r="E2371" s="28">
        <v>0</v>
      </c>
      <c r="F2371" s="28">
        <v>0</v>
      </c>
      <c r="G2371" s="28">
        <v>0</v>
      </c>
      <c r="H2371" s="47">
        <f t="shared" si="5084"/>
        <v>21600</v>
      </c>
      <c r="I2371" s="21">
        <f t="shared" si="5070"/>
        <v>440</v>
      </c>
      <c r="J2371" s="21">
        <f t="shared" si="5093"/>
        <v>29</v>
      </c>
      <c r="K2371" s="21">
        <v>0</v>
      </c>
      <c r="L2371" s="20">
        <v>6</v>
      </c>
      <c r="M2371" s="20">
        <v>0</v>
      </c>
      <c r="N2371" s="20">
        <f t="shared" si="5071"/>
        <v>15000</v>
      </c>
      <c r="O2371" s="19" t="s">
        <v>75</v>
      </c>
      <c r="P2371" s="20">
        <v>861</v>
      </c>
      <c r="Q2371" s="20">
        <f t="shared" ref="Q2371:X2371" si="5142">Q2341</f>
        <v>1500</v>
      </c>
      <c r="R2371" s="20">
        <f t="shared" si="5142"/>
        <v>6000</v>
      </c>
      <c r="S2371" s="20">
        <f t="shared" si="5142"/>
        <v>10500</v>
      </c>
      <c r="T2371" s="20">
        <f t="shared" si="5142"/>
        <v>13500</v>
      </c>
      <c r="U2371" s="20">
        <f t="shared" si="5142"/>
        <v>20</v>
      </c>
      <c r="V2371" s="20">
        <f t="shared" si="5142"/>
        <v>450</v>
      </c>
      <c r="W2371" s="20">
        <f t="shared" si="5142"/>
        <v>1000</v>
      </c>
      <c r="X2371" s="20">
        <f t="shared" si="5142"/>
        <v>8</v>
      </c>
      <c r="Y2371" s="20">
        <v>0</v>
      </c>
      <c r="Z2371" s="20">
        <v>0</v>
      </c>
      <c r="AA2371" s="20">
        <v>0</v>
      </c>
      <c r="AB2371" s="20">
        <v>0</v>
      </c>
      <c r="AC2371" s="20">
        <f t="shared" si="5030"/>
        <v>0</v>
      </c>
      <c r="AD2371" s="23">
        <f t="shared" ref="AD2371:AE2371" si="5143">AD2341</f>
        <v>58</v>
      </c>
      <c r="AE2371" s="23">
        <f t="shared" si="5143"/>
        <v>62</v>
      </c>
    </row>
    <row r="2372" spans="1:31">
      <c r="A2372" s="4">
        <v>19104</v>
      </c>
      <c r="B2372" s="4">
        <v>1</v>
      </c>
      <c r="C2372" s="19" t="s">
        <v>66</v>
      </c>
      <c r="D2372" s="44">
        <v>0</v>
      </c>
      <c r="E2372" s="18">
        <v>0</v>
      </c>
      <c r="F2372" s="18">
        <v>0</v>
      </c>
      <c r="G2372" s="18">
        <v>0</v>
      </c>
      <c r="H2372" s="45">
        <f>ROUND(H2252*4.5,0)</f>
        <v>2430</v>
      </c>
      <c r="I2372" s="21">
        <f t="shared" si="5070"/>
        <v>55</v>
      </c>
      <c r="J2372" s="21">
        <f t="shared" si="5093"/>
        <v>0</v>
      </c>
      <c r="K2372" s="21">
        <v>0</v>
      </c>
      <c r="L2372" s="20">
        <v>45</v>
      </c>
      <c r="M2372" s="20">
        <v>0</v>
      </c>
      <c r="N2372" s="20">
        <f t="shared" si="5071"/>
        <v>10</v>
      </c>
      <c r="O2372" s="19" t="s">
        <v>66</v>
      </c>
      <c r="P2372" s="20">
        <v>9400</v>
      </c>
      <c r="Q2372" s="20">
        <f t="shared" ref="Q2372:X2372" si="5144">Q2342</f>
        <v>1</v>
      </c>
      <c r="R2372" s="20">
        <f t="shared" si="5144"/>
        <v>4</v>
      </c>
      <c r="S2372" s="20">
        <f t="shared" si="5144"/>
        <v>7</v>
      </c>
      <c r="T2372" s="20">
        <f t="shared" si="5144"/>
        <v>9</v>
      </c>
      <c r="U2372" s="20">
        <f t="shared" si="5144"/>
        <v>9400</v>
      </c>
      <c r="V2372" s="20">
        <f t="shared" si="5144"/>
        <v>9400</v>
      </c>
      <c r="W2372" s="20">
        <f t="shared" si="5144"/>
        <v>9400</v>
      </c>
      <c r="X2372" s="20">
        <f t="shared" si="5144"/>
        <v>1</v>
      </c>
      <c r="Y2372" s="20">
        <v>0</v>
      </c>
      <c r="Z2372" s="20">
        <v>0</v>
      </c>
      <c r="AA2372" s="20">
        <v>0</v>
      </c>
      <c r="AB2372" s="20">
        <v>0</v>
      </c>
      <c r="AC2372" s="20">
        <f t="shared" si="5030"/>
        <v>0</v>
      </c>
      <c r="AD2372" s="23">
        <f t="shared" ref="AD2372:AE2372" si="5145">AD2342</f>
        <v>1</v>
      </c>
      <c r="AE2372" s="23">
        <f t="shared" si="5145"/>
        <v>3</v>
      </c>
    </row>
    <row r="2373" spans="1:31">
      <c r="A2373" s="4">
        <v>19104</v>
      </c>
      <c r="B2373" s="4">
        <v>2</v>
      </c>
      <c r="C2373" s="19" t="s">
        <v>67</v>
      </c>
      <c r="D2373" s="44">
        <v>0</v>
      </c>
      <c r="E2373" s="18">
        <v>0</v>
      </c>
      <c r="F2373" s="18">
        <v>0</v>
      </c>
      <c r="G2373" s="18">
        <v>0</v>
      </c>
      <c r="H2373" s="45">
        <f t="shared" ref="H2373:H2401" si="5146">ROUND(H2253*4.5,0)</f>
        <v>2633</v>
      </c>
      <c r="I2373" s="21">
        <f t="shared" si="5070"/>
        <v>55</v>
      </c>
      <c r="J2373" s="21">
        <f t="shared" si="5093"/>
        <v>1</v>
      </c>
      <c r="K2373" s="21">
        <v>0</v>
      </c>
      <c r="L2373" s="20">
        <v>40</v>
      </c>
      <c r="M2373" s="20">
        <v>0</v>
      </c>
      <c r="N2373" s="20">
        <f t="shared" si="5071"/>
        <v>20</v>
      </c>
      <c r="O2373" s="19" t="s">
        <v>67</v>
      </c>
      <c r="P2373" s="20">
        <v>9100</v>
      </c>
      <c r="Q2373" s="20">
        <f t="shared" ref="Q2373:X2373" si="5147">Q2343</f>
        <v>2</v>
      </c>
      <c r="R2373" s="20">
        <f t="shared" si="5147"/>
        <v>8</v>
      </c>
      <c r="S2373" s="20">
        <f t="shared" si="5147"/>
        <v>14</v>
      </c>
      <c r="T2373" s="20">
        <f t="shared" si="5147"/>
        <v>18</v>
      </c>
      <c r="U2373" s="20">
        <f t="shared" si="5147"/>
        <v>4000</v>
      </c>
      <c r="V2373" s="20">
        <f t="shared" si="5147"/>
        <v>8000</v>
      </c>
      <c r="W2373" s="20">
        <f t="shared" si="5147"/>
        <v>8000</v>
      </c>
      <c r="X2373" s="20">
        <f t="shared" si="5147"/>
        <v>1</v>
      </c>
      <c r="Y2373" s="20">
        <v>0</v>
      </c>
      <c r="Z2373" s="20">
        <v>0</v>
      </c>
      <c r="AA2373" s="20">
        <v>0</v>
      </c>
      <c r="AB2373" s="20">
        <v>0</v>
      </c>
      <c r="AC2373" s="20">
        <f t="shared" si="5030"/>
        <v>0</v>
      </c>
      <c r="AD2373" s="23">
        <f t="shared" ref="AD2373:AE2373" si="5148">AD2343</f>
        <v>2</v>
      </c>
      <c r="AE2373" s="23">
        <f t="shared" si="5148"/>
        <v>5</v>
      </c>
    </row>
    <row r="2374" spans="1:31">
      <c r="A2374" s="4">
        <v>19104</v>
      </c>
      <c r="B2374" s="4">
        <v>3</v>
      </c>
      <c r="C2374" s="19" t="s">
        <v>68</v>
      </c>
      <c r="D2374" s="44">
        <v>0</v>
      </c>
      <c r="E2374" s="18">
        <v>0</v>
      </c>
      <c r="F2374" s="18">
        <v>0</v>
      </c>
      <c r="G2374" s="18">
        <v>0</v>
      </c>
      <c r="H2374" s="45">
        <f t="shared" si="5146"/>
        <v>2849</v>
      </c>
      <c r="I2374" s="21">
        <f t="shared" si="5070"/>
        <v>55</v>
      </c>
      <c r="J2374" s="21">
        <f t="shared" si="5093"/>
        <v>2</v>
      </c>
      <c r="K2374" s="21">
        <v>0</v>
      </c>
      <c r="L2374" s="20">
        <v>35</v>
      </c>
      <c r="M2374" s="20">
        <v>0</v>
      </c>
      <c r="N2374" s="20">
        <f t="shared" si="5071"/>
        <v>40</v>
      </c>
      <c r="O2374" s="19" t="s">
        <v>68</v>
      </c>
      <c r="P2374" s="20">
        <v>8600</v>
      </c>
      <c r="Q2374" s="20">
        <f t="shared" ref="Q2374:X2374" si="5149">Q2344</f>
        <v>4</v>
      </c>
      <c r="R2374" s="20">
        <f t="shared" si="5149"/>
        <v>16</v>
      </c>
      <c r="S2374" s="20">
        <f t="shared" si="5149"/>
        <v>28</v>
      </c>
      <c r="T2374" s="20">
        <f t="shared" si="5149"/>
        <v>36</v>
      </c>
      <c r="U2374" s="20">
        <f t="shared" si="5149"/>
        <v>1600</v>
      </c>
      <c r="V2374" s="20">
        <f t="shared" si="5149"/>
        <v>5000</v>
      </c>
      <c r="W2374" s="20">
        <f t="shared" si="5149"/>
        <v>6000</v>
      </c>
      <c r="X2374" s="20">
        <f t="shared" si="5149"/>
        <v>1</v>
      </c>
      <c r="Y2374" s="20">
        <v>0</v>
      </c>
      <c r="Z2374" s="20">
        <v>0</v>
      </c>
      <c r="AA2374" s="20">
        <v>0</v>
      </c>
      <c r="AB2374" s="20">
        <v>0</v>
      </c>
      <c r="AC2374" s="20">
        <f t="shared" si="5030"/>
        <v>0</v>
      </c>
      <c r="AD2374" s="23">
        <f t="shared" ref="AD2374:AE2374" si="5150">AD2344</f>
        <v>4</v>
      </c>
      <c r="AE2374" s="23">
        <f t="shared" si="5150"/>
        <v>8</v>
      </c>
    </row>
    <row r="2375" spans="1:31">
      <c r="A2375" s="4">
        <v>19104</v>
      </c>
      <c r="B2375" s="4">
        <v>4</v>
      </c>
      <c r="C2375" s="19" t="s">
        <v>69</v>
      </c>
      <c r="D2375" s="44">
        <v>0</v>
      </c>
      <c r="E2375" s="18">
        <v>0</v>
      </c>
      <c r="F2375" s="18">
        <v>0</v>
      </c>
      <c r="G2375" s="18">
        <v>0</v>
      </c>
      <c r="H2375" s="45">
        <f t="shared" si="5146"/>
        <v>3083</v>
      </c>
      <c r="I2375" s="21">
        <f t="shared" si="5070"/>
        <v>55</v>
      </c>
      <c r="J2375" s="21">
        <f t="shared" si="5093"/>
        <v>3</v>
      </c>
      <c r="K2375" s="21">
        <v>0</v>
      </c>
      <c r="L2375" s="20">
        <v>30</v>
      </c>
      <c r="M2375" s="20">
        <v>0</v>
      </c>
      <c r="N2375" s="20">
        <f t="shared" si="5071"/>
        <v>100</v>
      </c>
      <c r="O2375" s="19" t="s">
        <v>69</v>
      </c>
      <c r="P2375" s="20">
        <v>6400</v>
      </c>
      <c r="Q2375" s="20">
        <f t="shared" ref="Q2375:X2375" si="5151">Q2345</f>
        <v>10</v>
      </c>
      <c r="R2375" s="20">
        <f t="shared" si="5151"/>
        <v>40</v>
      </c>
      <c r="S2375" s="20">
        <f t="shared" si="5151"/>
        <v>70</v>
      </c>
      <c r="T2375" s="20">
        <f t="shared" si="5151"/>
        <v>90</v>
      </c>
      <c r="U2375" s="20">
        <f t="shared" si="5151"/>
        <v>900</v>
      </c>
      <c r="V2375" s="20">
        <f t="shared" si="5151"/>
        <v>2000</v>
      </c>
      <c r="W2375" s="20">
        <f t="shared" si="5151"/>
        <v>8000</v>
      </c>
      <c r="X2375" s="20">
        <f t="shared" si="5151"/>
        <v>1</v>
      </c>
      <c r="Y2375" s="20">
        <v>0</v>
      </c>
      <c r="Z2375" s="20">
        <v>0</v>
      </c>
      <c r="AA2375" s="20">
        <v>0</v>
      </c>
      <c r="AB2375" s="20">
        <v>0</v>
      </c>
      <c r="AC2375" s="20">
        <f t="shared" si="5030"/>
        <v>0</v>
      </c>
      <c r="AD2375" s="23">
        <f t="shared" ref="AD2375:AE2375" si="5152">AD2345</f>
        <v>6</v>
      </c>
      <c r="AE2375" s="23">
        <f t="shared" si="5152"/>
        <v>10</v>
      </c>
    </row>
    <row r="2376" spans="1:31">
      <c r="A2376" s="4">
        <v>19104</v>
      </c>
      <c r="B2376" s="4">
        <v>5</v>
      </c>
      <c r="C2376" s="19" t="s">
        <v>70</v>
      </c>
      <c r="D2376" s="44">
        <v>0</v>
      </c>
      <c r="E2376" s="18">
        <v>0</v>
      </c>
      <c r="F2376" s="18">
        <v>0</v>
      </c>
      <c r="G2376" s="18">
        <v>0</v>
      </c>
      <c r="H2376" s="45">
        <f t="shared" si="5146"/>
        <v>3339</v>
      </c>
      <c r="I2376" s="21">
        <f t="shared" si="5070"/>
        <v>110</v>
      </c>
      <c r="J2376" s="21">
        <f t="shared" si="5093"/>
        <v>4</v>
      </c>
      <c r="K2376" s="21">
        <v>0</v>
      </c>
      <c r="L2376" s="20">
        <v>25</v>
      </c>
      <c r="M2376" s="20">
        <v>0</v>
      </c>
      <c r="N2376" s="20">
        <f t="shared" si="5071"/>
        <v>200</v>
      </c>
      <c r="O2376" s="19" t="s">
        <v>70</v>
      </c>
      <c r="P2376" s="20">
        <v>3100</v>
      </c>
      <c r="Q2376" s="20">
        <f t="shared" ref="Q2376:X2376" si="5153">Q2346</f>
        <v>20</v>
      </c>
      <c r="R2376" s="20">
        <f t="shared" si="5153"/>
        <v>80</v>
      </c>
      <c r="S2376" s="20">
        <f t="shared" si="5153"/>
        <v>140</v>
      </c>
      <c r="T2376" s="20">
        <f t="shared" si="5153"/>
        <v>180</v>
      </c>
      <c r="U2376" s="20">
        <f t="shared" si="5153"/>
        <v>1000</v>
      </c>
      <c r="V2376" s="20">
        <f t="shared" si="5153"/>
        <v>2000</v>
      </c>
      <c r="W2376" s="20">
        <f t="shared" si="5153"/>
        <v>2000</v>
      </c>
      <c r="X2376" s="20">
        <f t="shared" si="5153"/>
        <v>2</v>
      </c>
      <c r="Y2376" s="20">
        <v>0</v>
      </c>
      <c r="Z2376" s="20">
        <v>0</v>
      </c>
      <c r="AA2376" s="20">
        <v>0</v>
      </c>
      <c r="AB2376" s="20">
        <v>0</v>
      </c>
      <c r="AC2376" s="20">
        <f t="shared" si="5030"/>
        <v>0</v>
      </c>
      <c r="AD2376" s="23">
        <f t="shared" ref="AD2376:AE2376" si="5154">AD2346</f>
        <v>8</v>
      </c>
      <c r="AE2376" s="23">
        <f t="shared" si="5154"/>
        <v>12</v>
      </c>
    </row>
    <row r="2377" spans="1:31">
      <c r="A2377" s="4">
        <v>19104</v>
      </c>
      <c r="B2377" s="4">
        <v>6</v>
      </c>
      <c r="C2377" s="19" t="s">
        <v>71</v>
      </c>
      <c r="D2377" s="44">
        <v>0</v>
      </c>
      <c r="E2377" s="18">
        <v>0</v>
      </c>
      <c r="F2377" s="18">
        <v>0</v>
      </c>
      <c r="G2377" s="18">
        <v>0</v>
      </c>
      <c r="H2377" s="45">
        <f t="shared" si="5146"/>
        <v>3614</v>
      </c>
      <c r="I2377" s="21">
        <f t="shared" si="5070"/>
        <v>110</v>
      </c>
      <c r="J2377" s="21">
        <f t="shared" si="5093"/>
        <v>5</v>
      </c>
      <c r="K2377" s="21">
        <v>0</v>
      </c>
      <c r="L2377" s="20">
        <v>20</v>
      </c>
      <c r="M2377" s="20">
        <v>0</v>
      </c>
      <c r="N2377" s="20">
        <f t="shared" si="5071"/>
        <v>500</v>
      </c>
      <c r="O2377" s="19" t="s">
        <v>71</v>
      </c>
      <c r="P2377" s="20">
        <v>1777</v>
      </c>
      <c r="Q2377" s="20">
        <f t="shared" ref="Q2377:X2377" si="5155">Q2347</f>
        <v>50</v>
      </c>
      <c r="R2377" s="20">
        <f t="shared" si="5155"/>
        <v>200</v>
      </c>
      <c r="S2377" s="20">
        <f t="shared" si="5155"/>
        <v>350</v>
      </c>
      <c r="T2377" s="20">
        <f t="shared" si="5155"/>
        <v>450</v>
      </c>
      <c r="U2377" s="20">
        <f t="shared" si="5155"/>
        <v>800</v>
      </c>
      <c r="V2377" s="20">
        <f t="shared" si="5155"/>
        <v>800</v>
      </c>
      <c r="W2377" s="20">
        <f t="shared" si="5155"/>
        <v>600</v>
      </c>
      <c r="X2377" s="20">
        <f t="shared" si="5155"/>
        <v>2</v>
      </c>
      <c r="Y2377" s="20">
        <v>0</v>
      </c>
      <c r="Z2377" s="20">
        <v>0</v>
      </c>
      <c r="AA2377" s="20">
        <v>0</v>
      </c>
      <c r="AB2377" s="20">
        <v>0</v>
      </c>
      <c r="AC2377" s="20">
        <f t="shared" si="5030"/>
        <v>0</v>
      </c>
      <c r="AD2377" s="23">
        <f t="shared" ref="AD2377:AE2377" si="5156">AD2347</f>
        <v>10</v>
      </c>
      <c r="AE2377" s="23">
        <f t="shared" si="5156"/>
        <v>14</v>
      </c>
    </row>
    <row r="2378" spans="1:31">
      <c r="A2378" s="8">
        <v>19104</v>
      </c>
      <c r="B2378" s="8">
        <v>7</v>
      </c>
      <c r="C2378" s="19" t="s">
        <v>72</v>
      </c>
      <c r="D2378" s="44">
        <v>0</v>
      </c>
      <c r="E2378" s="18">
        <v>0</v>
      </c>
      <c r="F2378" s="18">
        <v>0</v>
      </c>
      <c r="G2378" s="18">
        <v>0</v>
      </c>
      <c r="H2378" s="45">
        <f t="shared" si="5146"/>
        <v>3915</v>
      </c>
      <c r="I2378" s="21">
        <f t="shared" si="5070"/>
        <v>110</v>
      </c>
      <c r="J2378" s="21">
        <f t="shared" si="5093"/>
        <v>6</v>
      </c>
      <c r="K2378" s="21">
        <v>0</v>
      </c>
      <c r="L2378" s="20">
        <v>16</v>
      </c>
      <c r="M2378" s="20">
        <v>0</v>
      </c>
      <c r="N2378" s="20">
        <f t="shared" si="5071"/>
        <v>700</v>
      </c>
      <c r="O2378" s="19" t="s">
        <v>72</v>
      </c>
      <c r="P2378" s="20">
        <v>2332</v>
      </c>
      <c r="Q2378" s="20">
        <f t="shared" ref="Q2378:X2378" si="5157">Q2348</f>
        <v>70</v>
      </c>
      <c r="R2378" s="20">
        <f t="shared" si="5157"/>
        <v>280</v>
      </c>
      <c r="S2378" s="20">
        <f t="shared" si="5157"/>
        <v>489.99999999999994</v>
      </c>
      <c r="T2378" s="20">
        <f t="shared" si="5157"/>
        <v>630</v>
      </c>
      <c r="U2378" s="20">
        <f t="shared" si="5157"/>
        <v>650</v>
      </c>
      <c r="V2378" s="20">
        <f t="shared" si="5157"/>
        <v>800</v>
      </c>
      <c r="W2378" s="20">
        <f t="shared" si="5157"/>
        <v>300</v>
      </c>
      <c r="X2378" s="20">
        <f t="shared" si="5157"/>
        <v>2</v>
      </c>
      <c r="Y2378" s="20">
        <v>0</v>
      </c>
      <c r="Z2378" s="20">
        <v>0</v>
      </c>
      <c r="AA2378" s="20">
        <v>0</v>
      </c>
      <c r="AB2378" s="20">
        <v>0</v>
      </c>
      <c r="AC2378" s="20">
        <f t="shared" si="5030"/>
        <v>0</v>
      </c>
      <c r="AD2378" s="23">
        <f t="shared" ref="AD2378:AE2378" si="5158">AD2348</f>
        <v>12</v>
      </c>
      <c r="AE2378" s="23">
        <f t="shared" si="5158"/>
        <v>16</v>
      </c>
    </row>
    <row r="2379" spans="1:31">
      <c r="A2379" s="4">
        <v>19104</v>
      </c>
      <c r="B2379" s="4">
        <v>8</v>
      </c>
      <c r="C2379" s="19" t="s">
        <v>73</v>
      </c>
      <c r="D2379" s="44">
        <v>0</v>
      </c>
      <c r="E2379" s="18">
        <v>0</v>
      </c>
      <c r="F2379" s="18">
        <v>0</v>
      </c>
      <c r="G2379" s="18">
        <v>0</v>
      </c>
      <c r="H2379" s="45">
        <f t="shared" si="5146"/>
        <v>4235</v>
      </c>
      <c r="I2379" s="21">
        <f t="shared" si="5070"/>
        <v>110</v>
      </c>
      <c r="J2379" s="21">
        <f t="shared" si="5093"/>
        <v>7</v>
      </c>
      <c r="K2379" s="21">
        <v>0</v>
      </c>
      <c r="L2379" s="20">
        <v>12</v>
      </c>
      <c r="M2379" s="20">
        <v>0</v>
      </c>
      <c r="N2379" s="20">
        <f t="shared" si="5071"/>
        <v>800</v>
      </c>
      <c r="O2379" s="19" t="s">
        <v>73</v>
      </c>
      <c r="P2379" s="20">
        <v>1487</v>
      </c>
      <c r="Q2379" s="20">
        <f t="shared" ref="Q2379:X2379" si="5159">Q2349</f>
        <v>80</v>
      </c>
      <c r="R2379" s="20">
        <f t="shared" si="5159"/>
        <v>320</v>
      </c>
      <c r="S2379" s="20">
        <f t="shared" si="5159"/>
        <v>560</v>
      </c>
      <c r="T2379" s="20">
        <f t="shared" si="5159"/>
        <v>720</v>
      </c>
      <c r="U2379" s="20">
        <f t="shared" si="5159"/>
        <v>200</v>
      </c>
      <c r="V2379" s="20">
        <f t="shared" si="5159"/>
        <v>2000</v>
      </c>
      <c r="W2379" s="20">
        <f t="shared" si="5159"/>
        <v>1000</v>
      </c>
      <c r="X2379" s="20">
        <f t="shared" si="5159"/>
        <v>2</v>
      </c>
      <c r="Y2379" s="20">
        <f>ROUND(D2379*0.25,-1)</f>
        <v>0</v>
      </c>
      <c r="Z2379" s="20">
        <f>ROUND(E2379*0.25,-1)</f>
        <v>0</v>
      </c>
      <c r="AA2379" s="20">
        <f>ROUND(F2379*0.25,-1)</f>
        <v>0</v>
      </c>
      <c r="AB2379" s="20">
        <f>ROUND(G2379*0.25,-1)</f>
        <v>0</v>
      </c>
      <c r="AC2379" s="20">
        <f t="shared" si="5030"/>
        <v>432</v>
      </c>
      <c r="AD2379" s="23">
        <f t="shared" ref="AD2379:AE2379" si="5160">AD2349</f>
        <v>14</v>
      </c>
      <c r="AE2379" s="23">
        <f t="shared" si="5160"/>
        <v>18</v>
      </c>
    </row>
    <row r="2380" spans="1:31">
      <c r="A2380" s="4">
        <v>19104</v>
      </c>
      <c r="B2380" s="4">
        <v>9</v>
      </c>
      <c r="C2380" s="19" t="s">
        <v>74</v>
      </c>
      <c r="D2380" s="44">
        <v>0</v>
      </c>
      <c r="E2380" s="18">
        <v>0</v>
      </c>
      <c r="F2380" s="18">
        <v>0</v>
      </c>
      <c r="G2380" s="18">
        <v>0</v>
      </c>
      <c r="H2380" s="45">
        <f t="shared" si="5146"/>
        <v>4586</v>
      </c>
      <c r="I2380" s="21">
        <f t="shared" si="5070"/>
        <v>165</v>
      </c>
      <c r="J2380" s="21">
        <f t="shared" si="5093"/>
        <v>8</v>
      </c>
      <c r="K2380" s="21">
        <v>0</v>
      </c>
      <c r="L2380" s="20">
        <v>8</v>
      </c>
      <c r="M2380" s="20">
        <v>0</v>
      </c>
      <c r="N2380" s="20">
        <f t="shared" si="5071"/>
        <v>900</v>
      </c>
      <c r="O2380" s="19" t="s">
        <v>74</v>
      </c>
      <c r="P2380" s="20">
        <v>1518</v>
      </c>
      <c r="Q2380" s="20">
        <f t="shared" ref="Q2380:X2380" si="5161">Q2350</f>
        <v>90</v>
      </c>
      <c r="R2380" s="20">
        <f t="shared" si="5161"/>
        <v>360</v>
      </c>
      <c r="S2380" s="20">
        <f t="shared" si="5161"/>
        <v>630</v>
      </c>
      <c r="T2380" s="20">
        <f t="shared" si="5161"/>
        <v>810</v>
      </c>
      <c r="U2380" s="20">
        <f t="shared" si="5161"/>
        <v>120</v>
      </c>
      <c r="V2380" s="20">
        <f t="shared" si="5161"/>
        <v>1500</v>
      </c>
      <c r="W2380" s="20">
        <f t="shared" si="5161"/>
        <v>1000</v>
      </c>
      <c r="X2380" s="20">
        <f t="shared" si="5161"/>
        <v>3</v>
      </c>
      <c r="Y2380" s="20">
        <v>0</v>
      </c>
      <c r="Z2380" s="20">
        <v>0</v>
      </c>
      <c r="AA2380" s="20">
        <v>0</v>
      </c>
      <c r="AB2380" s="20">
        <v>0</v>
      </c>
      <c r="AC2380" s="20">
        <f t="shared" si="5030"/>
        <v>0</v>
      </c>
      <c r="AD2380" s="23">
        <f t="shared" ref="AD2380:AE2380" si="5162">AD2350</f>
        <v>16</v>
      </c>
      <c r="AE2380" s="23">
        <f t="shared" si="5162"/>
        <v>20</v>
      </c>
    </row>
    <row r="2381" spans="1:31">
      <c r="A2381" s="4">
        <v>19104</v>
      </c>
      <c r="B2381" s="4">
        <v>10</v>
      </c>
      <c r="C2381" s="19" t="s">
        <v>75</v>
      </c>
      <c r="D2381" s="44">
        <v>0</v>
      </c>
      <c r="E2381" s="18">
        <v>0</v>
      </c>
      <c r="F2381" s="18">
        <v>0</v>
      </c>
      <c r="G2381" s="18">
        <v>0</v>
      </c>
      <c r="H2381" s="45">
        <f t="shared" si="5146"/>
        <v>4964</v>
      </c>
      <c r="I2381" s="21">
        <f t="shared" si="5070"/>
        <v>165</v>
      </c>
      <c r="J2381" s="21">
        <f t="shared" si="5093"/>
        <v>9</v>
      </c>
      <c r="K2381" s="21">
        <v>0</v>
      </c>
      <c r="L2381" s="20">
        <v>6</v>
      </c>
      <c r="M2381" s="20">
        <v>0</v>
      </c>
      <c r="N2381" s="20">
        <f t="shared" si="5071"/>
        <v>2000</v>
      </c>
      <c r="O2381" s="19" t="s">
        <v>75</v>
      </c>
      <c r="P2381" s="20">
        <v>861</v>
      </c>
      <c r="Q2381" s="20">
        <f t="shared" ref="Q2381:X2381" si="5163">Q2351</f>
        <v>200</v>
      </c>
      <c r="R2381" s="20">
        <f t="shared" si="5163"/>
        <v>800</v>
      </c>
      <c r="S2381" s="20">
        <f t="shared" si="5163"/>
        <v>1400</v>
      </c>
      <c r="T2381" s="20">
        <f t="shared" si="5163"/>
        <v>1800</v>
      </c>
      <c r="U2381" s="20">
        <f t="shared" si="5163"/>
        <v>150</v>
      </c>
      <c r="V2381" s="20">
        <f t="shared" si="5163"/>
        <v>5000</v>
      </c>
      <c r="W2381" s="20">
        <f t="shared" si="5163"/>
        <v>800</v>
      </c>
      <c r="X2381" s="20">
        <f t="shared" si="5163"/>
        <v>3</v>
      </c>
      <c r="Y2381" s="20">
        <v>0</v>
      </c>
      <c r="Z2381" s="20">
        <v>0</v>
      </c>
      <c r="AA2381" s="20">
        <v>0</v>
      </c>
      <c r="AB2381" s="20">
        <v>0</v>
      </c>
      <c r="AC2381" s="20">
        <f t="shared" ref="AC2381:AC2401" si="5164">INT(AC1781*4/3)</f>
        <v>0</v>
      </c>
      <c r="AD2381" s="23">
        <f t="shared" ref="AD2381:AE2381" si="5165">AD2351</f>
        <v>18</v>
      </c>
      <c r="AE2381" s="23">
        <f t="shared" si="5165"/>
        <v>22</v>
      </c>
    </row>
    <row r="2382" spans="1:31">
      <c r="A2382" s="4">
        <v>19104</v>
      </c>
      <c r="B2382" s="4">
        <v>11</v>
      </c>
      <c r="C2382" s="19" t="s">
        <v>66</v>
      </c>
      <c r="D2382" s="44">
        <v>0</v>
      </c>
      <c r="E2382" s="18">
        <v>0</v>
      </c>
      <c r="F2382" s="18">
        <v>0</v>
      </c>
      <c r="G2382" s="18">
        <v>0</v>
      </c>
      <c r="H2382" s="45">
        <f t="shared" si="5146"/>
        <v>5378</v>
      </c>
      <c r="I2382" s="21">
        <f t="shared" si="5070"/>
        <v>165</v>
      </c>
      <c r="J2382" s="21">
        <f t="shared" si="5093"/>
        <v>10</v>
      </c>
      <c r="K2382" s="21">
        <v>0</v>
      </c>
      <c r="L2382" s="20">
        <v>6</v>
      </c>
      <c r="M2382" s="20">
        <v>0</v>
      </c>
      <c r="N2382" s="20">
        <f t="shared" si="5071"/>
        <v>2200</v>
      </c>
      <c r="O2382" s="19" t="s">
        <v>66</v>
      </c>
      <c r="P2382" s="20">
        <v>9400</v>
      </c>
      <c r="Q2382" s="20">
        <f t="shared" ref="Q2382:X2382" si="5166">Q2352</f>
        <v>220</v>
      </c>
      <c r="R2382" s="20">
        <f t="shared" si="5166"/>
        <v>880</v>
      </c>
      <c r="S2382" s="20">
        <f t="shared" si="5166"/>
        <v>1540</v>
      </c>
      <c r="T2382" s="20">
        <f t="shared" si="5166"/>
        <v>1980</v>
      </c>
      <c r="U2382" s="20">
        <f t="shared" si="5166"/>
        <v>100</v>
      </c>
      <c r="V2382" s="20">
        <f t="shared" si="5166"/>
        <v>800</v>
      </c>
      <c r="W2382" s="20">
        <f t="shared" si="5166"/>
        <v>600</v>
      </c>
      <c r="X2382" s="20">
        <f t="shared" si="5166"/>
        <v>3</v>
      </c>
      <c r="Y2382" s="20">
        <v>0</v>
      </c>
      <c r="Z2382" s="20">
        <v>0</v>
      </c>
      <c r="AA2382" s="20">
        <v>0</v>
      </c>
      <c r="AB2382" s="20">
        <v>0</v>
      </c>
      <c r="AC2382" s="20">
        <f t="shared" si="5164"/>
        <v>0</v>
      </c>
      <c r="AD2382" s="23">
        <f t="shared" ref="AD2382:AE2382" si="5167">AD2352</f>
        <v>20</v>
      </c>
      <c r="AE2382" s="23">
        <f t="shared" si="5167"/>
        <v>24</v>
      </c>
    </row>
    <row r="2383" spans="1:31">
      <c r="A2383" s="4">
        <v>19104</v>
      </c>
      <c r="B2383" s="4">
        <v>12</v>
      </c>
      <c r="C2383" s="19" t="s">
        <v>67</v>
      </c>
      <c r="D2383" s="44">
        <v>0</v>
      </c>
      <c r="E2383" s="18">
        <v>0</v>
      </c>
      <c r="F2383" s="18">
        <v>0</v>
      </c>
      <c r="G2383" s="18">
        <v>0</v>
      </c>
      <c r="H2383" s="45">
        <f t="shared" si="5146"/>
        <v>5819</v>
      </c>
      <c r="I2383" s="21">
        <f t="shared" si="5070"/>
        <v>165</v>
      </c>
      <c r="J2383" s="21">
        <f t="shared" si="5093"/>
        <v>11</v>
      </c>
      <c r="K2383" s="21">
        <v>0</v>
      </c>
      <c r="L2383" s="20">
        <v>6</v>
      </c>
      <c r="M2383" s="20">
        <v>0</v>
      </c>
      <c r="N2383" s="20">
        <f t="shared" si="5071"/>
        <v>2400</v>
      </c>
      <c r="O2383" s="19" t="s">
        <v>67</v>
      </c>
      <c r="P2383" s="20">
        <v>9100</v>
      </c>
      <c r="Q2383" s="20">
        <f t="shared" ref="Q2383:X2383" si="5168">Q2353</f>
        <v>240</v>
      </c>
      <c r="R2383" s="20">
        <f t="shared" si="5168"/>
        <v>960</v>
      </c>
      <c r="S2383" s="20">
        <f t="shared" si="5168"/>
        <v>1680</v>
      </c>
      <c r="T2383" s="20">
        <f t="shared" si="5168"/>
        <v>2160</v>
      </c>
      <c r="U2383" s="20">
        <f t="shared" si="5168"/>
        <v>150</v>
      </c>
      <c r="V2383" s="20">
        <f t="shared" si="5168"/>
        <v>700</v>
      </c>
      <c r="W2383" s="20">
        <f t="shared" si="5168"/>
        <v>900</v>
      </c>
      <c r="X2383" s="20">
        <f t="shared" si="5168"/>
        <v>3</v>
      </c>
      <c r="Y2383" s="20">
        <v>0</v>
      </c>
      <c r="Z2383" s="20">
        <v>0</v>
      </c>
      <c r="AA2383" s="20">
        <v>0</v>
      </c>
      <c r="AB2383" s="20">
        <v>0</v>
      </c>
      <c r="AC2383" s="20">
        <f t="shared" si="5164"/>
        <v>0</v>
      </c>
      <c r="AD2383" s="23">
        <f t="shared" ref="AD2383:AE2383" si="5169">AD2353</f>
        <v>22</v>
      </c>
      <c r="AE2383" s="23">
        <f t="shared" si="5169"/>
        <v>26</v>
      </c>
    </row>
    <row r="2384" spans="1:31">
      <c r="A2384" s="4">
        <v>19104</v>
      </c>
      <c r="B2384" s="4">
        <v>13</v>
      </c>
      <c r="C2384" s="19" t="s">
        <v>68</v>
      </c>
      <c r="D2384" s="44">
        <v>0</v>
      </c>
      <c r="E2384" s="18">
        <v>0</v>
      </c>
      <c r="F2384" s="18">
        <v>0</v>
      </c>
      <c r="G2384" s="18">
        <v>0</v>
      </c>
      <c r="H2384" s="45">
        <f t="shared" si="5146"/>
        <v>6300</v>
      </c>
      <c r="I2384" s="21">
        <f t="shared" si="5070"/>
        <v>220</v>
      </c>
      <c r="J2384" s="21">
        <f t="shared" si="5093"/>
        <v>12</v>
      </c>
      <c r="K2384" s="21">
        <v>0</v>
      </c>
      <c r="L2384" s="20">
        <v>6</v>
      </c>
      <c r="M2384" s="20">
        <v>0</v>
      </c>
      <c r="N2384" s="20">
        <f t="shared" si="5071"/>
        <v>2600</v>
      </c>
      <c r="O2384" s="19" t="s">
        <v>68</v>
      </c>
      <c r="P2384" s="20">
        <v>8600</v>
      </c>
      <c r="Q2384" s="20">
        <f t="shared" ref="Q2384:X2384" si="5170">Q2354</f>
        <v>260</v>
      </c>
      <c r="R2384" s="20">
        <f t="shared" si="5170"/>
        <v>1040</v>
      </c>
      <c r="S2384" s="20">
        <f t="shared" si="5170"/>
        <v>1819.9999999999998</v>
      </c>
      <c r="T2384" s="20">
        <f t="shared" si="5170"/>
        <v>2340</v>
      </c>
      <c r="U2384" s="20">
        <f t="shared" si="5170"/>
        <v>100</v>
      </c>
      <c r="V2384" s="20">
        <f t="shared" si="5170"/>
        <v>700</v>
      </c>
      <c r="W2384" s="20">
        <f t="shared" si="5170"/>
        <v>1000</v>
      </c>
      <c r="X2384" s="20">
        <f t="shared" si="5170"/>
        <v>4</v>
      </c>
      <c r="Y2384" s="20">
        <f>ROUND(D2384*0.25,-1)</f>
        <v>0</v>
      </c>
      <c r="Z2384" s="20">
        <f>ROUND(E2384*0.25,-1)</f>
        <v>0</v>
      </c>
      <c r="AA2384" s="20">
        <f>ROUND(F2384*0.25,-1)</f>
        <v>0</v>
      </c>
      <c r="AB2384" s="20">
        <f>ROUND(G2384*0.25,-1)</f>
        <v>0</v>
      </c>
      <c r="AC2384" s="20">
        <f t="shared" si="5164"/>
        <v>864</v>
      </c>
      <c r="AD2384" s="23">
        <f t="shared" ref="AD2384:AE2384" si="5171">AD2354</f>
        <v>24</v>
      </c>
      <c r="AE2384" s="23">
        <f t="shared" si="5171"/>
        <v>28</v>
      </c>
    </row>
    <row r="2385" spans="1:31">
      <c r="A2385" s="4">
        <v>19104</v>
      </c>
      <c r="B2385" s="4">
        <v>14</v>
      </c>
      <c r="C2385" s="19" t="s">
        <v>69</v>
      </c>
      <c r="D2385" s="44">
        <v>0</v>
      </c>
      <c r="E2385" s="18">
        <v>0</v>
      </c>
      <c r="F2385" s="18">
        <v>0</v>
      </c>
      <c r="G2385" s="18">
        <v>0</v>
      </c>
      <c r="H2385" s="45">
        <f t="shared" si="5146"/>
        <v>6822</v>
      </c>
      <c r="I2385" s="21">
        <f t="shared" si="5070"/>
        <v>220</v>
      </c>
      <c r="J2385" s="21">
        <f t="shared" si="5093"/>
        <v>13</v>
      </c>
      <c r="K2385" s="21">
        <v>0</v>
      </c>
      <c r="L2385" s="20">
        <v>6</v>
      </c>
      <c r="M2385" s="20">
        <v>0</v>
      </c>
      <c r="N2385" s="20">
        <f t="shared" si="5071"/>
        <v>2800</v>
      </c>
      <c r="O2385" s="19" t="s">
        <v>69</v>
      </c>
      <c r="P2385" s="20">
        <v>6400</v>
      </c>
      <c r="Q2385" s="20">
        <f t="shared" ref="Q2385:X2385" si="5172">Q2355</f>
        <v>280</v>
      </c>
      <c r="R2385" s="20">
        <f t="shared" si="5172"/>
        <v>1120</v>
      </c>
      <c r="S2385" s="20">
        <f t="shared" si="5172"/>
        <v>1959.9999999999998</v>
      </c>
      <c r="T2385" s="20">
        <f t="shared" si="5172"/>
        <v>2520</v>
      </c>
      <c r="U2385" s="20">
        <f t="shared" si="5172"/>
        <v>100</v>
      </c>
      <c r="V2385" s="20">
        <f t="shared" si="5172"/>
        <v>400</v>
      </c>
      <c r="W2385" s="20">
        <f t="shared" si="5172"/>
        <v>1200</v>
      </c>
      <c r="X2385" s="20">
        <f t="shared" si="5172"/>
        <v>4</v>
      </c>
      <c r="Y2385" s="20">
        <v>0</v>
      </c>
      <c r="Z2385" s="20">
        <v>0</v>
      </c>
      <c r="AA2385" s="20">
        <v>0</v>
      </c>
      <c r="AB2385" s="20">
        <v>0</v>
      </c>
      <c r="AC2385" s="20">
        <f t="shared" si="5164"/>
        <v>0</v>
      </c>
      <c r="AD2385" s="23">
        <f t="shared" ref="AD2385:AE2385" si="5173">AD2355</f>
        <v>26</v>
      </c>
      <c r="AE2385" s="23">
        <f t="shared" si="5173"/>
        <v>30</v>
      </c>
    </row>
    <row r="2386" spans="1:31">
      <c r="A2386" s="4">
        <v>19104</v>
      </c>
      <c r="B2386" s="4">
        <v>15</v>
      </c>
      <c r="C2386" s="19" t="s">
        <v>70</v>
      </c>
      <c r="D2386" s="44">
        <v>0</v>
      </c>
      <c r="E2386" s="18">
        <v>0</v>
      </c>
      <c r="F2386" s="18">
        <v>0</v>
      </c>
      <c r="G2386" s="18">
        <v>0</v>
      </c>
      <c r="H2386" s="45">
        <f t="shared" si="5146"/>
        <v>7385</v>
      </c>
      <c r="I2386" s="21">
        <f t="shared" si="5070"/>
        <v>220</v>
      </c>
      <c r="J2386" s="21">
        <f t="shared" si="5093"/>
        <v>14</v>
      </c>
      <c r="K2386" s="21">
        <v>0</v>
      </c>
      <c r="L2386" s="20">
        <v>6</v>
      </c>
      <c r="M2386" s="20">
        <v>0</v>
      </c>
      <c r="N2386" s="20">
        <f t="shared" si="5071"/>
        <v>4500</v>
      </c>
      <c r="O2386" s="19" t="s">
        <v>70</v>
      </c>
      <c r="P2386" s="20">
        <v>3100</v>
      </c>
      <c r="Q2386" s="20">
        <f t="shared" ref="Q2386:X2386" si="5174">Q2356</f>
        <v>450</v>
      </c>
      <c r="R2386" s="20">
        <f t="shared" si="5174"/>
        <v>1800</v>
      </c>
      <c r="S2386" s="20">
        <f t="shared" si="5174"/>
        <v>3150</v>
      </c>
      <c r="T2386" s="20">
        <f t="shared" si="5174"/>
        <v>4050</v>
      </c>
      <c r="U2386" s="20">
        <f t="shared" si="5174"/>
        <v>100</v>
      </c>
      <c r="V2386" s="20">
        <f t="shared" si="5174"/>
        <v>1000</v>
      </c>
      <c r="W2386" s="20">
        <f t="shared" si="5174"/>
        <v>600</v>
      </c>
      <c r="X2386" s="20">
        <f t="shared" si="5174"/>
        <v>4</v>
      </c>
      <c r="Y2386" s="20">
        <v>0</v>
      </c>
      <c r="Z2386" s="20">
        <v>0</v>
      </c>
      <c r="AA2386" s="20">
        <v>0</v>
      </c>
      <c r="AB2386" s="20">
        <v>0</v>
      </c>
      <c r="AC2386" s="20">
        <f t="shared" si="5164"/>
        <v>0</v>
      </c>
      <c r="AD2386" s="23">
        <f t="shared" ref="AD2386:AE2386" si="5175">AD2356</f>
        <v>28</v>
      </c>
      <c r="AE2386" s="23">
        <f t="shared" si="5175"/>
        <v>32</v>
      </c>
    </row>
    <row r="2387" spans="1:31">
      <c r="A2387" s="4">
        <v>19104</v>
      </c>
      <c r="B2387" s="4">
        <v>16</v>
      </c>
      <c r="C2387" s="19" t="s">
        <v>71</v>
      </c>
      <c r="D2387" s="44">
        <v>0</v>
      </c>
      <c r="E2387" s="18">
        <v>0</v>
      </c>
      <c r="F2387" s="18">
        <v>0</v>
      </c>
      <c r="G2387" s="18">
        <v>0</v>
      </c>
      <c r="H2387" s="45">
        <f t="shared" si="5146"/>
        <v>7997</v>
      </c>
      <c r="I2387" s="21">
        <f t="shared" si="5070"/>
        <v>220</v>
      </c>
      <c r="J2387" s="21">
        <f t="shared" si="5093"/>
        <v>15</v>
      </c>
      <c r="K2387" s="21">
        <v>0</v>
      </c>
      <c r="L2387" s="20">
        <v>6</v>
      </c>
      <c r="M2387" s="20">
        <v>0</v>
      </c>
      <c r="N2387" s="20">
        <f t="shared" si="5071"/>
        <v>4800</v>
      </c>
      <c r="O2387" s="19" t="s">
        <v>71</v>
      </c>
      <c r="P2387" s="20">
        <v>1777</v>
      </c>
      <c r="Q2387" s="20">
        <f t="shared" ref="Q2387:X2387" si="5176">Q2357</f>
        <v>480</v>
      </c>
      <c r="R2387" s="20">
        <f t="shared" si="5176"/>
        <v>1920</v>
      </c>
      <c r="S2387" s="20">
        <f t="shared" si="5176"/>
        <v>3360</v>
      </c>
      <c r="T2387" s="20">
        <f t="shared" si="5176"/>
        <v>4320</v>
      </c>
      <c r="U2387" s="20">
        <f t="shared" si="5176"/>
        <v>100</v>
      </c>
      <c r="V2387" s="20">
        <f t="shared" si="5176"/>
        <v>800</v>
      </c>
      <c r="W2387" s="20">
        <f t="shared" si="5176"/>
        <v>800</v>
      </c>
      <c r="X2387" s="20">
        <f t="shared" si="5176"/>
        <v>4</v>
      </c>
      <c r="Y2387" s="20">
        <v>0</v>
      </c>
      <c r="Z2387" s="20">
        <v>0</v>
      </c>
      <c r="AA2387" s="20">
        <v>0</v>
      </c>
      <c r="AB2387" s="20">
        <v>0</v>
      </c>
      <c r="AC2387" s="20">
        <f t="shared" si="5164"/>
        <v>0</v>
      </c>
      <c r="AD2387" s="23">
        <f t="shared" ref="AD2387:AE2387" si="5177">AD2357</f>
        <v>30</v>
      </c>
      <c r="AE2387" s="23">
        <f t="shared" si="5177"/>
        <v>34</v>
      </c>
    </row>
    <row r="2388" spans="1:31">
      <c r="A2388" s="4">
        <v>19104</v>
      </c>
      <c r="B2388" s="4">
        <v>17</v>
      </c>
      <c r="C2388" s="19" t="s">
        <v>72</v>
      </c>
      <c r="D2388" s="44">
        <v>0</v>
      </c>
      <c r="E2388" s="18">
        <v>0</v>
      </c>
      <c r="F2388" s="18">
        <v>0</v>
      </c>
      <c r="G2388" s="18">
        <v>0</v>
      </c>
      <c r="H2388" s="45">
        <f t="shared" si="5146"/>
        <v>8658</v>
      </c>
      <c r="I2388" s="21">
        <f t="shared" si="5070"/>
        <v>275</v>
      </c>
      <c r="J2388" s="21">
        <f t="shared" si="5093"/>
        <v>16</v>
      </c>
      <c r="K2388" s="21">
        <v>0</v>
      </c>
      <c r="L2388" s="20">
        <v>6</v>
      </c>
      <c r="M2388" s="20">
        <v>0</v>
      </c>
      <c r="N2388" s="20">
        <f t="shared" si="5071"/>
        <v>5100</v>
      </c>
      <c r="O2388" s="19" t="s">
        <v>72</v>
      </c>
      <c r="P2388" s="20">
        <v>2332</v>
      </c>
      <c r="Q2388" s="20">
        <f t="shared" ref="Q2388:X2388" si="5178">Q2358</f>
        <v>510</v>
      </c>
      <c r="R2388" s="20">
        <f t="shared" si="5178"/>
        <v>2040</v>
      </c>
      <c r="S2388" s="20">
        <f t="shared" si="5178"/>
        <v>3570</v>
      </c>
      <c r="T2388" s="20">
        <f t="shared" si="5178"/>
        <v>4590</v>
      </c>
      <c r="U2388" s="20">
        <f t="shared" si="5178"/>
        <v>80</v>
      </c>
      <c r="V2388" s="20">
        <f t="shared" si="5178"/>
        <v>800</v>
      </c>
      <c r="W2388" s="20">
        <f t="shared" si="5178"/>
        <v>600</v>
      </c>
      <c r="X2388" s="20">
        <f t="shared" si="5178"/>
        <v>5</v>
      </c>
      <c r="Y2388" s="20">
        <v>0</v>
      </c>
      <c r="Z2388" s="20">
        <v>0</v>
      </c>
      <c r="AA2388" s="20">
        <v>0</v>
      </c>
      <c r="AB2388" s="20">
        <v>0</v>
      </c>
      <c r="AC2388" s="20">
        <f t="shared" si="5164"/>
        <v>0</v>
      </c>
      <c r="AD2388" s="23">
        <f t="shared" ref="AD2388:AE2388" si="5179">AD2358</f>
        <v>32</v>
      </c>
      <c r="AE2388" s="23">
        <f t="shared" si="5179"/>
        <v>36</v>
      </c>
    </row>
    <row r="2389" spans="1:31">
      <c r="A2389" s="4">
        <v>19104</v>
      </c>
      <c r="B2389" s="4">
        <v>18</v>
      </c>
      <c r="C2389" s="19" t="s">
        <v>73</v>
      </c>
      <c r="D2389" s="44">
        <v>0</v>
      </c>
      <c r="E2389" s="18">
        <v>0</v>
      </c>
      <c r="F2389" s="18">
        <v>0</v>
      </c>
      <c r="G2389" s="18">
        <v>0</v>
      </c>
      <c r="H2389" s="45">
        <f t="shared" si="5146"/>
        <v>9374</v>
      </c>
      <c r="I2389" s="21">
        <f t="shared" si="5070"/>
        <v>275</v>
      </c>
      <c r="J2389" s="21">
        <f t="shared" si="5093"/>
        <v>17</v>
      </c>
      <c r="K2389" s="21">
        <v>0</v>
      </c>
      <c r="L2389" s="20">
        <v>6</v>
      </c>
      <c r="M2389" s="20">
        <v>0</v>
      </c>
      <c r="N2389" s="20">
        <f t="shared" si="5071"/>
        <v>5400</v>
      </c>
      <c r="O2389" s="19" t="s">
        <v>73</v>
      </c>
      <c r="P2389" s="20">
        <v>1487</v>
      </c>
      <c r="Q2389" s="20">
        <f t="shared" ref="Q2389:X2389" si="5180">Q2359</f>
        <v>540</v>
      </c>
      <c r="R2389" s="20">
        <f t="shared" si="5180"/>
        <v>2160</v>
      </c>
      <c r="S2389" s="20">
        <f t="shared" si="5180"/>
        <v>3779.9999999999995</v>
      </c>
      <c r="T2389" s="20">
        <f t="shared" si="5180"/>
        <v>4860</v>
      </c>
      <c r="U2389" s="20">
        <f t="shared" si="5180"/>
        <v>100</v>
      </c>
      <c r="V2389" s="20">
        <f t="shared" si="5180"/>
        <v>600</v>
      </c>
      <c r="W2389" s="20">
        <f t="shared" si="5180"/>
        <v>300</v>
      </c>
      <c r="X2389" s="20">
        <f t="shared" si="5180"/>
        <v>5</v>
      </c>
      <c r="Y2389" s="20">
        <f>ROUND(D2389*0.25,-1)</f>
        <v>0</v>
      </c>
      <c r="Z2389" s="20">
        <f>ROUND(E2389*0.25,-1)</f>
        <v>0</v>
      </c>
      <c r="AA2389" s="20">
        <f>ROUND(F2389*0.25,-1)</f>
        <v>0</v>
      </c>
      <c r="AB2389" s="20">
        <f>ROUND(G2389*0.25,-1)</f>
        <v>0</v>
      </c>
      <c r="AC2389" s="20">
        <f t="shared" si="5164"/>
        <v>1296</v>
      </c>
      <c r="AD2389" s="23">
        <f t="shared" ref="AD2389:AE2389" si="5181">AD2359</f>
        <v>34</v>
      </c>
      <c r="AE2389" s="23">
        <f t="shared" si="5181"/>
        <v>38</v>
      </c>
    </row>
    <row r="2390" spans="1:31">
      <c r="A2390" s="8">
        <v>19104</v>
      </c>
      <c r="B2390" s="8">
        <v>19</v>
      </c>
      <c r="C2390" s="19" t="s">
        <v>74</v>
      </c>
      <c r="D2390" s="44">
        <v>0</v>
      </c>
      <c r="E2390" s="18">
        <v>0</v>
      </c>
      <c r="F2390" s="18">
        <v>0</v>
      </c>
      <c r="G2390" s="18">
        <v>0</v>
      </c>
      <c r="H2390" s="45">
        <f t="shared" si="5146"/>
        <v>10148</v>
      </c>
      <c r="I2390" s="21">
        <f t="shared" si="5070"/>
        <v>275</v>
      </c>
      <c r="J2390" s="21">
        <f t="shared" si="5093"/>
        <v>18</v>
      </c>
      <c r="K2390" s="21">
        <v>0</v>
      </c>
      <c r="L2390" s="20">
        <v>6</v>
      </c>
      <c r="M2390" s="20">
        <v>0</v>
      </c>
      <c r="N2390" s="20">
        <f t="shared" si="5071"/>
        <v>5700</v>
      </c>
      <c r="O2390" s="19" t="s">
        <v>74</v>
      </c>
      <c r="P2390" s="20">
        <v>1518</v>
      </c>
      <c r="Q2390" s="20">
        <f t="shared" ref="Q2390:X2390" si="5182">Q2360</f>
        <v>570</v>
      </c>
      <c r="R2390" s="20">
        <f t="shared" si="5182"/>
        <v>2280</v>
      </c>
      <c r="S2390" s="20">
        <f t="shared" si="5182"/>
        <v>3989.9999999999995</v>
      </c>
      <c r="T2390" s="20">
        <f t="shared" si="5182"/>
        <v>5130</v>
      </c>
      <c r="U2390" s="20">
        <f t="shared" si="5182"/>
        <v>100</v>
      </c>
      <c r="V2390" s="20">
        <f t="shared" si="5182"/>
        <v>500</v>
      </c>
      <c r="W2390" s="20">
        <f t="shared" si="5182"/>
        <v>400</v>
      </c>
      <c r="X2390" s="20">
        <f t="shared" si="5182"/>
        <v>5</v>
      </c>
      <c r="Y2390" s="20">
        <v>0</v>
      </c>
      <c r="Z2390" s="20">
        <v>0</v>
      </c>
      <c r="AA2390" s="20">
        <v>0</v>
      </c>
      <c r="AB2390" s="20">
        <v>0</v>
      </c>
      <c r="AC2390" s="20">
        <f t="shared" si="5164"/>
        <v>0</v>
      </c>
      <c r="AD2390" s="23">
        <f t="shared" ref="AD2390:AE2390" si="5183">AD2360</f>
        <v>36</v>
      </c>
      <c r="AE2390" s="23">
        <f t="shared" si="5183"/>
        <v>40</v>
      </c>
    </row>
    <row r="2391" spans="1:31">
      <c r="A2391" s="4">
        <v>19104</v>
      </c>
      <c r="B2391" s="4">
        <v>20</v>
      </c>
      <c r="C2391" s="19" t="s">
        <v>75</v>
      </c>
      <c r="D2391" s="44">
        <v>0</v>
      </c>
      <c r="E2391" s="18">
        <v>0</v>
      </c>
      <c r="F2391" s="18">
        <v>0</v>
      </c>
      <c r="G2391" s="18">
        <v>0</v>
      </c>
      <c r="H2391" s="45">
        <f t="shared" si="5146"/>
        <v>10985</v>
      </c>
      <c r="I2391" s="21">
        <f t="shared" si="5070"/>
        <v>275</v>
      </c>
      <c r="J2391" s="21">
        <f t="shared" si="5093"/>
        <v>19</v>
      </c>
      <c r="K2391" s="21">
        <v>0</v>
      </c>
      <c r="L2391" s="20">
        <v>6</v>
      </c>
      <c r="M2391" s="20">
        <v>0</v>
      </c>
      <c r="N2391" s="20">
        <f t="shared" si="5071"/>
        <v>8000</v>
      </c>
      <c r="O2391" s="19" t="s">
        <v>75</v>
      </c>
      <c r="P2391" s="20">
        <v>861</v>
      </c>
      <c r="Q2391" s="20">
        <f t="shared" ref="Q2391:X2391" si="5184">Q2361</f>
        <v>800</v>
      </c>
      <c r="R2391" s="20">
        <f t="shared" si="5184"/>
        <v>3200</v>
      </c>
      <c r="S2391" s="20">
        <f t="shared" si="5184"/>
        <v>5600</v>
      </c>
      <c r="T2391" s="20">
        <f t="shared" si="5184"/>
        <v>7200</v>
      </c>
      <c r="U2391" s="20">
        <f t="shared" si="5184"/>
        <v>100</v>
      </c>
      <c r="V2391" s="20">
        <f t="shared" si="5184"/>
        <v>800</v>
      </c>
      <c r="W2391" s="20">
        <f t="shared" si="5184"/>
        <v>8000</v>
      </c>
      <c r="X2391" s="20">
        <f t="shared" si="5184"/>
        <v>5</v>
      </c>
      <c r="Y2391" s="20">
        <v>0</v>
      </c>
      <c r="Z2391" s="20">
        <v>0</v>
      </c>
      <c r="AA2391" s="20">
        <v>0</v>
      </c>
      <c r="AB2391" s="20">
        <v>0</v>
      </c>
      <c r="AC2391" s="20">
        <f t="shared" si="5164"/>
        <v>0</v>
      </c>
      <c r="AD2391" s="23">
        <f t="shared" ref="AD2391:AE2391" si="5185">AD2361</f>
        <v>38</v>
      </c>
      <c r="AE2391" s="23">
        <f t="shared" si="5185"/>
        <v>42</v>
      </c>
    </row>
    <row r="2392" spans="1:31">
      <c r="A2392" s="4">
        <v>19104</v>
      </c>
      <c r="B2392" s="4">
        <v>21</v>
      </c>
      <c r="C2392" s="19" t="s">
        <v>66</v>
      </c>
      <c r="D2392" s="44">
        <v>0</v>
      </c>
      <c r="E2392" s="18">
        <v>0</v>
      </c>
      <c r="F2392" s="18">
        <v>0</v>
      </c>
      <c r="G2392" s="18">
        <v>0</v>
      </c>
      <c r="H2392" s="45">
        <f t="shared" si="5146"/>
        <v>11894</v>
      </c>
      <c r="I2392" s="21">
        <f t="shared" si="5070"/>
        <v>330</v>
      </c>
      <c r="J2392" s="21">
        <f t="shared" si="5093"/>
        <v>20</v>
      </c>
      <c r="K2392" s="21">
        <v>0</v>
      </c>
      <c r="L2392" s="20">
        <v>6</v>
      </c>
      <c r="M2392" s="20">
        <v>0</v>
      </c>
      <c r="N2392" s="20">
        <f t="shared" si="5071"/>
        <v>8400</v>
      </c>
      <c r="O2392" s="19" t="s">
        <v>66</v>
      </c>
      <c r="P2392" s="20">
        <v>9400</v>
      </c>
      <c r="Q2392" s="20">
        <f t="shared" ref="Q2392:X2392" si="5186">Q2362</f>
        <v>840</v>
      </c>
      <c r="R2392" s="20">
        <f t="shared" si="5186"/>
        <v>3360</v>
      </c>
      <c r="S2392" s="20">
        <f t="shared" si="5186"/>
        <v>5880</v>
      </c>
      <c r="T2392" s="20">
        <f t="shared" si="5186"/>
        <v>7560</v>
      </c>
      <c r="U2392" s="20">
        <f t="shared" si="5186"/>
        <v>50</v>
      </c>
      <c r="V2392" s="20">
        <f t="shared" si="5186"/>
        <v>1000</v>
      </c>
      <c r="W2392" s="20">
        <f t="shared" si="5186"/>
        <v>600</v>
      </c>
      <c r="X2392" s="20">
        <f t="shared" si="5186"/>
        <v>6</v>
      </c>
      <c r="Y2392" s="20">
        <v>0</v>
      </c>
      <c r="Z2392" s="20">
        <v>0</v>
      </c>
      <c r="AA2392" s="20">
        <v>0</v>
      </c>
      <c r="AB2392" s="20">
        <v>0</v>
      </c>
      <c r="AC2392" s="20">
        <f t="shared" si="5164"/>
        <v>0</v>
      </c>
      <c r="AD2392" s="23">
        <f t="shared" ref="AD2392:AE2392" si="5187">AD2362</f>
        <v>40</v>
      </c>
      <c r="AE2392" s="23">
        <f t="shared" si="5187"/>
        <v>44</v>
      </c>
    </row>
    <row r="2393" spans="1:31">
      <c r="A2393" s="4">
        <v>19104</v>
      </c>
      <c r="B2393" s="4">
        <v>22</v>
      </c>
      <c r="C2393" s="19" t="s">
        <v>67</v>
      </c>
      <c r="D2393" s="44">
        <v>0</v>
      </c>
      <c r="E2393" s="18">
        <v>0</v>
      </c>
      <c r="F2393" s="18">
        <v>0</v>
      </c>
      <c r="G2393" s="18">
        <v>0</v>
      </c>
      <c r="H2393" s="45">
        <f t="shared" si="5146"/>
        <v>12875</v>
      </c>
      <c r="I2393" s="21">
        <f t="shared" si="5070"/>
        <v>330</v>
      </c>
      <c r="J2393" s="21">
        <f t="shared" si="5093"/>
        <v>21</v>
      </c>
      <c r="K2393" s="21">
        <v>0</v>
      </c>
      <c r="L2393" s="20">
        <v>6</v>
      </c>
      <c r="M2393" s="20">
        <v>0</v>
      </c>
      <c r="N2393" s="20">
        <f t="shared" si="5071"/>
        <v>8800</v>
      </c>
      <c r="O2393" s="19" t="s">
        <v>67</v>
      </c>
      <c r="P2393" s="20">
        <v>9100</v>
      </c>
      <c r="Q2393" s="20">
        <f t="shared" ref="Q2393:X2393" si="5188">Q2363</f>
        <v>880</v>
      </c>
      <c r="R2393" s="20">
        <f t="shared" si="5188"/>
        <v>3520</v>
      </c>
      <c r="S2393" s="20">
        <f t="shared" si="5188"/>
        <v>6160</v>
      </c>
      <c r="T2393" s="20">
        <f t="shared" si="5188"/>
        <v>7920</v>
      </c>
      <c r="U2393" s="20">
        <f t="shared" si="5188"/>
        <v>100</v>
      </c>
      <c r="V2393" s="20">
        <f t="shared" si="5188"/>
        <v>600</v>
      </c>
      <c r="W2393" s="20">
        <f t="shared" si="5188"/>
        <v>700</v>
      </c>
      <c r="X2393" s="20">
        <f t="shared" si="5188"/>
        <v>6</v>
      </c>
      <c r="Y2393" s="20">
        <v>0</v>
      </c>
      <c r="Z2393" s="20">
        <v>0</v>
      </c>
      <c r="AA2393" s="20">
        <v>0</v>
      </c>
      <c r="AB2393" s="20">
        <v>0</v>
      </c>
      <c r="AC2393" s="20">
        <f t="shared" si="5164"/>
        <v>0</v>
      </c>
      <c r="AD2393" s="23">
        <f t="shared" ref="AD2393:AE2393" si="5189">AD2363</f>
        <v>42</v>
      </c>
      <c r="AE2393" s="23">
        <f t="shared" si="5189"/>
        <v>46</v>
      </c>
    </row>
    <row r="2394" spans="1:31">
      <c r="A2394" s="4">
        <v>19104</v>
      </c>
      <c r="B2394" s="4">
        <v>23</v>
      </c>
      <c r="C2394" s="19" t="s">
        <v>68</v>
      </c>
      <c r="D2394" s="44">
        <v>0</v>
      </c>
      <c r="E2394" s="18">
        <v>0</v>
      </c>
      <c r="F2394" s="18">
        <v>0</v>
      </c>
      <c r="G2394" s="18">
        <v>0</v>
      </c>
      <c r="H2394" s="45">
        <f t="shared" si="5146"/>
        <v>13941</v>
      </c>
      <c r="I2394" s="21">
        <f t="shared" si="5070"/>
        <v>330</v>
      </c>
      <c r="J2394" s="21">
        <f t="shared" si="5093"/>
        <v>22</v>
      </c>
      <c r="K2394" s="21">
        <v>0</v>
      </c>
      <c r="L2394" s="20">
        <v>6</v>
      </c>
      <c r="M2394" s="20">
        <v>0</v>
      </c>
      <c r="N2394" s="20">
        <f t="shared" si="5071"/>
        <v>9200</v>
      </c>
      <c r="O2394" s="19" t="s">
        <v>68</v>
      </c>
      <c r="P2394" s="20">
        <v>8600</v>
      </c>
      <c r="Q2394" s="20">
        <f t="shared" ref="Q2394:X2394" si="5190">Q2364</f>
        <v>920</v>
      </c>
      <c r="R2394" s="20">
        <f t="shared" si="5190"/>
        <v>3680</v>
      </c>
      <c r="S2394" s="20">
        <f t="shared" si="5190"/>
        <v>6440</v>
      </c>
      <c r="T2394" s="20">
        <f t="shared" si="5190"/>
        <v>8280</v>
      </c>
      <c r="U2394" s="20">
        <f t="shared" si="5190"/>
        <v>100</v>
      </c>
      <c r="V2394" s="20">
        <f t="shared" si="5190"/>
        <v>550</v>
      </c>
      <c r="W2394" s="20">
        <f t="shared" si="5190"/>
        <v>500</v>
      </c>
      <c r="X2394" s="20">
        <f t="shared" si="5190"/>
        <v>6</v>
      </c>
      <c r="Y2394" s="20">
        <f>ROUND(D2394*0.25,-1)</f>
        <v>0</v>
      </c>
      <c r="Z2394" s="20">
        <f>ROUND(E2394*0.25,-1)</f>
        <v>0</v>
      </c>
      <c r="AA2394" s="20">
        <f>ROUND(F2394*0.25,-1)</f>
        <v>0</v>
      </c>
      <c r="AB2394" s="20">
        <f>ROUND(G2394*0.25,-1)</f>
        <v>0</v>
      </c>
      <c r="AC2394" s="20">
        <f t="shared" si="5164"/>
        <v>1728</v>
      </c>
      <c r="AD2394" s="23">
        <f t="shared" ref="AD2394:AE2394" si="5191">AD2364</f>
        <v>44</v>
      </c>
      <c r="AE2394" s="23">
        <f t="shared" si="5191"/>
        <v>48</v>
      </c>
    </row>
    <row r="2395" spans="1:31">
      <c r="A2395" s="4">
        <v>19104</v>
      </c>
      <c r="B2395" s="4">
        <v>24</v>
      </c>
      <c r="C2395" s="19" t="s">
        <v>69</v>
      </c>
      <c r="D2395" s="44">
        <v>0</v>
      </c>
      <c r="E2395" s="18">
        <v>0</v>
      </c>
      <c r="F2395" s="18">
        <v>0</v>
      </c>
      <c r="G2395" s="18">
        <v>0</v>
      </c>
      <c r="H2395" s="45">
        <f t="shared" si="5146"/>
        <v>15089</v>
      </c>
      <c r="I2395" s="21">
        <f t="shared" si="5070"/>
        <v>330</v>
      </c>
      <c r="J2395" s="21">
        <f t="shared" si="5093"/>
        <v>23</v>
      </c>
      <c r="K2395" s="21">
        <v>0</v>
      </c>
      <c r="L2395" s="20">
        <v>6</v>
      </c>
      <c r="M2395" s="20">
        <v>0</v>
      </c>
      <c r="N2395" s="20">
        <f t="shared" si="5071"/>
        <v>9600</v>
      </c>
      <c r="O2395" s="19" t="s">
        <v>69</v>
      </c>
      <c r="P2395" s="20">
        <v>6400</v>
      </c>
      <c r="Q2395" s="20">
        <f t="shared" ref="Q2395:X2395" si="5192">Q2365</f>
        <v>960</v>
      </c>
      <c r="R2395" s="20">
        <f t="shared" si="5192"/>
        <v>3840</v>
      </c>
      <c r="S2395" s="20">
        <f t="shared" si="5192"/>
        <v>6720</v>
      </c>
      <c r="T2395" s="20">
        <f t="shared" si="5192"/>
        <v>8640</v>
      </c>
      <c r="U2395" s="20">
        <f t="shared" si="5192"/>
        <v>100</v>
      </c>
      <c r="V2395" s="20">
        <f t="shared" si="5192"/>
        <v>500</v>
      </c>
      <c r="W2395" s="20">
        <f t="shared" si="5192"/>
        <v>900</v>
      </c>
      <c r="X2395" s="20">
        <f t="shared" si="5192"/>
        <v>6</v>
      </c>
      <c r="Y2395" s="20">
        <v>0</v>
      </c>
      <c r="Z2395" s="20">
        <v>0</v>
      </c>
      <c r="AA2395" s="20">
        <v>0</v>
      </c>
      <c r="AB2395" s="20">
        <v>0</v>
      </c>
      <c r="AC2395" s="20">
        <f t="shared" si="5164"/>
        <v>0</v>
      </c>
      <c r="AD2395" s="23">
        <f t="shared" ref="AD2395:AE2395" si="5193">AD2365</f>
        <v>46</v>
      </c>
      <c r="AE2395" s="23">
        <f t="shared" si="5193"/>
        <v>50</v>
      </c>
    </row>
    <row r="2396" spans="1:31">
      <c r="A2396" s="4">
        <v>19104</v>
      </c>
      <c r="B2396" s="4">
        <v>25</v>
      </c>
      <c r="C2396" s="19" t="s">
        <v>70</v>
      </c>
      <c r="D2396" s="44">
        <v>0</v>
      </c>
      <c r="E2396" s="18">
        <v>0</v>
      </c>
      <c r="F2396" s="18">
        <v>0</v>
      </c>
      <c r="G2396" s="18">
        <v>0</v>
      </c>
      <c r="H2396" s="45">
        <f t="shared" si="5146"/>
        <v>16340</v>
      </c>
      <c r="I2396" s="21">
        <f t="shared" si="5070"/>
        <v>385</v>
      </c>
      <c r="J2396" s="21">
        <f t="shared" si="5093"/>
        <v>24</v>
      </c>
      <c r="K2396" s="21">
        <v>0</v>
      </c>
      <c r="L2396" s="20">
        <v>6</v>
      </c>
      <c r="M2396" s="20">
        <v>0</v>
      </c>
      <c r="N2396" s="20">
        <f t="shared" si="5071"/>
        <v>12500</v>
      </c>
      <c r="O2396" s="19" t="s">
        <v>70</v>
      </c>
      <c r="P2396" s="20">
        <v>3100</v>
      </c>
      <c r="Q2396" s="20">
        <f t="shared" ref="Q2396:X2396" si="5194">Q2366</f>
        <v>1250</v>
      </c>
      <c r="R2396" s="20">
        <f t="shared" si="5194"/>
        <v>5000</v>
      </c>
      <c r="S2396" s="20">
        <f t="shared" si="5194"/>
        <v>8750</v>
      </c>
      <c r="T2396" s="20">
        <f t="shared" si="5194"/>
        <v>11250</v>
      </c>
      <c r="U2396" s="20">
        <f t="shared" si="5194"/>
        <v>10</v>
      </c>
      <c r="V2396" s="20">
        <f t="shared" si="5194"/>
        <v>1300</v>
      </c>
      <c r="W2396" s="20">
        <f t="shared" si="5194"/>
        <v>1000</v>
      </c>
      <c r="X2396" s="20">
        <f t="shared" si="5194"/>
        <v>7</v>
      </c>
      <c r="Y2396" s="20">
        <v>0</v>
      </c>
      <c r="Z2396" s="20">
        <v>0</v>
      </c>
      <c r="AA2396" s="20">
        <v>0</v>
      </c>
      <c r="AB2396" s="20">
        <v>0</v>
      </c>
      <c r="AC2396" s="20">
        <f t="shared" si="5164"/>
        <v>0</v>
      </c>
      <c r="AD2396" s="23">
        <f t="shared" ref="AD2396:AE2396" si="5195">AD2366</f>
        <v>48</v>
      </c>
      <c r="AE2396" s="23">
        <f t="shared" si="5195"/>
        <v>52</v>
      </c>
    </row>
    <row r="2397" spans="1:31">
      <c r="A2397" s="4">
        <v>19104</v>
      </c>
      <c r="B2397" s="4">
        <v>26</v>
      </c>
      <c r="C2397" s="19" t="s">
        <v>71</v>
      </c>
      <c r="D2397" s="44">
        <v>0</v>
      </c>
      <c r="E2397" s="18">
        <v>0</v>
      </c>
      <c r="F2397" s="18">
        <v>0</v>
      </c>
      <c r="G2397" s="18">
        <v>0</v>
      </c>
      <c r="H2397" s="45">
        <f t="shared" si="5146"/>
        <v>17690</v>
      </c>
      <c r="I2397" s="21">
        <f t="shared" si="5070"/>
        <v>385</v>
      </c>
      <c r="J2397" s="21">
        <f t="shared" si="5093"/>
        <v>25</v>
      </c>
      <c r="K2397" s="21">
        <v>0</v>
      </c>
      <c r="L2397" s="20">
        <v>6</v>
      </c>
      <c r="M2397" s="20">
        <v>0</v>
      </c>
      <c r="N2397" s="20">
        <f t="shared" si="5071"/>
        <v>13000</v>
      </c>
      <c r="O2397" s="19" t="s">
        <v>71</v>
      </c>
      <c r="P2397" s="20">
        <v>1777</v>
      </c>
      <c r="Q2397" s="20">
        <f t="shared" ref="Q2397:X2397" si="5196">Q2367</f>
        <v>1300</v>
      </c>
      <c r="R2397" s="20">
        <f t="shared" si="5196"/>
        <v>5200</v>
      </c>
      <c r="S2397" s="20">
        <f t="shared" si="5196"/>
        <v>9100</v>
      </c>
      <c r="T2397" s="20">
        <f t="shared" si="5196"/>
        <v>11700</v>
      </c>
      <c r="U2397" s="20">
        <f t="shared" si="5196"/>
        <v>90</v>
      </c>
      <c r="V2397" s="20">
        <f t="shared" si="5196"/>
        <v>800</v>
      </c>
      <c r="W2397" s="20">
        <f t="shared" si="5196"/>
        <v>2000</v>
      </c>
      <c r="X2397" s="20">
        <f t="shared" si="5196"/>
        <v>7</v>
      </c>
      <c r="Y2397" s="20">
        <v>0</v>
      </c>
      <c r="Z2397" s="20">
        <v>0</v>
      </c>
      <c r="AA2397" s="20">
        <v>0</v>
      </c>
      <c r="AB2397" s="20">
        <v>0</v>
      </c>
      <c r="AC2397" s="20">
        <f t="shared" si="5164"/>
        <v>0</v>
      </c>
      <c r="AD2397" s="23">
        <f t="shared" ref="AD2397:AE2397" si="5197">AD2367</f>
        <v>50</v>
      </c>
      <c r="AE2397" s="23">
        <f t="shared" si="5197"/>
        <v>54</v>
      </c>
    </row>
    <row r="2398" spans="1:31">
      <c r="A2398" s="4">
        <v>19104</v>
      </c>
      <c r="B2398" s="4">
        <v>27</v>
      </c>
      <c r="C2398" s="19" t="s">
        <v>72</v>
      </c>
      <c r="D2398" s="44">
        <v>0</v>
      </c>
      <c r="E2398" s="18">
        <v>0</v>
      </c>
      <c r="F2398" s="18">
        <v>0</v>
      </c>
      <c r="G2398" s="18">
        <v>0</v>
      </c>
      <c r="H2398" s="45">
        <f t="shared" si="5146"/>
        <v>19148</v>
      </c>
      <c r="I2398" s="21">
        <f t="shared" si="5070"/>
        <v>385</v>
      </c>
      <c r="J2398" s="21">
        <f t="shared" si="5093"/>
        <v>26</v>
      </c>
      <c r="K2398" s="21">
        <v>0</v>
      </c>
      <c r="L2398" s="20">
        <v>6</v>
      </c>
      <c r="M2398" s="20">
        <v>0</v>
      </c>
      <c r="N2398" s="20">
        <f t="shared" si="5071"/>
        <v>13500</v>
      </c>
      <c r="O2398" s="19" t="s">
        <v>72</v>
      </c>
      <c r="P2398" s="20">
        <v>2332</v>
      </c>
      <c r="Q2398" s="20">
        <f t="shared" ref="Q2398:X2398" si="5198">Q2368</f>
        <v>1350</v>
      </c>
      <c r="R2398" s="20">
        <f t="shared" si="5198"/>
        <v>5400</v>
      </c>
      <c r="S2398" s="20">
        <f t="shared" si="5198"/>
        <v>9450</v>
      </c>
      <c r="T2398" s="20">
        <f t="shared" si="5198"/>
        <v>12150</v>
      </c>
      <c r="U2398" s="20">
        <f t="shared" si="5198"/>
        <v>80</v>
      </c>
      <c r="V2398" s="20">
        <f t="shared" si="5198"/>
        <v>700</v>
      </c>
      <c r="W2398" s="20">
        <f t="shared" si="5198"/>
        <v>800</v>
      </c>
      <c r="X2398" s="20">
        <f t="shared" si="5198"/>
        <v>7</v>
      </c>
      <c r="Y2398" s="20">
        <v>0</v>
      </c>
      <c r="Z2398" s="20">
        <v>0</v>
      </c>
      <c r="AA2398" s="20">
        <v>0</v>
      </c>
      <c r="AB2398" s="20">
        <v>0</v>
      </c>
      <c r="AC2398" s="20">
        <f t="shared" si="5164"/>
        <v>0</v>
      </c>
      <c r="AD2398" s="23">
        <f t="shared" ref="AD2398:AE2398" si="5199">AD2368</f>
        <v>52</v>
      </c>
      <c r="AE2398" s="23">
        <f t="shared" si="5199"/>
        <v>56</v>
      </c>
    </row>
    <row r="2399" spans="1:31">
      <c r="A2399" s="4">
        <v>19104</v>
      </c>
      <c r="B2399" s="4">
        <v>28</v>
      </c>
      <c r="C2399" s="19" t="s">
        <v>73</v>
      </c>
      <c r="D2399" s="44">
        <v>0</v>
      </c>
      <c r="E2399" s="18">
        <v>0</v>
      </c>
      <c r="F2399" s="18">
        <v>0</v>
      </c>
      <c r="G2399" s="18">
        <v>0</v>
      </c>
      <c r="H2399" s="45">
        <f t="shared" si="5146"/>
        <v>20732</v>
      </c>
      <c r="I2399" s="21">
        <f t="shared" si="5070"/>
        <v>385</v>
      </c>
      <c r="J2399" s="21">
        <f t="shared" si="5093"/>
        <v>27</v>
      </c>
      <c r="K2399" s="21">
        <v>0</v>
      </c>
      <c r="L2399" s="20">
        <v>6</v>
      </c>
      <c r="M2399" s="20">
        <v>0</v>
      </c>
      <c r="N2399" s="20">
        <f t="shared" si="5071"/>
        <v>14000</v>
      </c>
      <c r="O2399" s="19" t="s">
        <v>73</v>
      </c>
      <c r="P2399" s="20">
        <v>1487</v>
      </c>
      <c r="Q2399" s="20">
        <f t="shared" ref="Q2399:X2399" si="5200">Q2369</f>
        <v>1400</v>
      </c>
      <c r="R2399" s="20">
        <f t="shared" si="5200"/>
        <v>5600</v>
      </c>
      <c r="S2399" s="20">
        <f t="shared" si="5200"/>
        <v>9800</v>
      </c>
      <c r="T2399" s="20">
        <f t="shared" si="5200"/>
        <v>12600</v>
      </c>
      <c r="U2399" s="20">
        <f t="shared" si="5200"/>
        <v>80</v>
      </c>
      <c r="V2399" s="20">
        <f t="shared" si="5200"/>
        <v>500</v>
      </c>
      <c r="W2399" s="20">
        <f t="shared" si="5200"/>
        <v>600</v>
      </c>
      <c r="X2399" s="20">
        <f t="shared" si="5200"/>
        <v>7</v>
      </c>
      <c r="Y2399" s="20">
        <f>ROUND(D2399*0.25,-1)</f>
        <v>0</v>
      </c>
      <c r="Z2399" s="20">
        <f>ROUND(E2399*0.25,-1)</f>
        <v>0</v>
      </c>
      <c r="AA2399" s="20">
        <f>ROUND(F2399*0.25,-1)</f>
        <v>0</v>
      </c>
      <c r="AB2399" s="20">
        <f>ROUND(G2399*0.25,-1)</f>
        <v>0</v>
      </c>
      <c r="AC2399" s="20">
        <f t="shared" si="5164"/>
        <v>2160</v>
      </c>
      <c r="AD2399" s="23">
        <f t="shared" ref="AD2399:AE2399" si="5201">AD2369</f>
        <v>54</v>
      </c>
      <c r="AE2399" s="23">
        <f t="shared" si="5201"/>
        <v>58</v>
      </c>
    </row>
    <row r="2400" spans="1:31">
      <c r="A2400" s="4">
        <v>19104</v>
      </c>
      <c r="B2400" s="4">
        <v>29</v>
      </c>
      <c r="C2400" s="19" t="s">
        <v>74</v>
      </c>
      <c r="D2400" s="44">
        <v>0</v>
      </c>
      <c r="E2400" s="18">
        <v>0</v>
      </c>
      <c r="F2400" s="18">
        <v>0</v>
      </c>
      <c r="G2400" s="18">
        <v>0</v>
      </c>
      <c r="H2400" s="45">
        <f t="shared" si="5146"/>
        <v>22446</v>
      </c>
      <c r="I2400" s="21">
        <f t="shared" si="5070"/>
        <v>440</v>
      </c>
      <c r="J2400" s="21">
        <f t="shared" si="5093"/>
        <v>28</v>
      </c>
      <c r="K2400" s="21">
        <v>0</v>
      </c>
      <c r="L2400" s="20">
        <v>6</v>
      </c>
      <c r="M2400" s="20">
        <v>0</v>
      </c>
      <c r="N2400" s="20">
        <f t="shared" si="5071"/>
        <v>14500</v>
      </c>
      <c r="O2400" s="19" t="s">
        <v>74</v>
      </c>
      <c r="P2400" s="20">
        <v>1518</v>
      </c>
      <c r="Q2400" s="20">
        <f t="shared" ref="Q2400:X2400" si="5202">Q2370</f>
        <v>1450</v>
      </c>
      <c r="R2400" s="20">
        <f t="shared" si="5202"/>
        <v>5800</v>
      </c>
      <c r="S2400" s="20">
        <f t="shared" si="5202"/>
        <v>10150</v>
      </c>
      <c r="T2400" s="20">
        <f t="shared" si="5202"/>
        <v>13050</v>
      </c>
      <c r="U2400" s="20">
        <f t="shared" si="5202"/>
        <v>80</v>
      </c>
      <c r="V2400" s="20">
        <f t="shared" si="5202"/>
        <v>600</v>
      </c>
      <c r="W2400" s="20">
        <f t="shared" si="5202"/>
        <v>700</v>
      </c>
      <c r="X2400" s="20">
        <f t="shared" si="5202"/>
        <v>8</v>
      </c>
      <c r="Y2400" s="20">
        <v>0</v>
      </c>
      <c r="Z2400" s="20">
        <v>0</v>
      </c>
      <c r="AA2400" s="20">
        <v>0</v>
      </c>
      <c r="AB2400" s="20">
        <v>0</v>
      </c>
      <c r="AC2400" s="20">
        <f t="shared" si="5164"/>
        <v>0</v>
      </c>
      <c r="AD2400" s="23">
        <f t="shared" ref="AD2400:AE2400" si="5203">AD2370</f>
        <v>56</v>
      </c>
      <c r="AE2400" s="23">
        <f t="shared" si="5203"/>
        <v>60</v>
      </c>
    </row>
    <row r="2401" spans="1:31">
      <c r="A2401" s="4">
        <v>19104</v>
      </c>
      <c r="B2401" s="4">
        <v>30</v>
      </c>
      <c r="C2401" s="19" t="s">
        <v>75</v>
      </c>
      <c r="D2401" s="44">
        <v>0</v>
      </c>
      <c r="E2401" s="18">
        <v>0</v>
      </c>
      <c r="F2401" s="18">
        <v>0</v>
      </c>
      <c r="G2401" s="18">
        <v>0</v>
      </c>
      <c r="H2401" s="45">
        <f t="shared" si="5146"/>
        <v>24300</v>
      </c>
      <c r="I2401" s="21">
        <f t="shared" ref="I2401" si="5204">I2371</f>
        <v>440</v>
      </c>
      <c r="J2401" s="21">
        <f t="shared" si="5093"/>
        <v>29</v>
      </c>
      <c r="K2401" s="21">
        <v>0</v>
      </c>
      <c r="L2401" s="20">
        <v>6</v>
      </c>
      <c r="M2401" s="20">
        <v>0</v>
      </c>
      <c r="N2401" s="20">
        <f t="shared" ref="N2401" si="5205">N2371</f>
        <v>15000</v>
      </c>
      <c r="O2401" s="19" t="s">
        <v>75</v>
      </c>
      <c r="P2401" s="20">
        <v>861</v>
      </c>
      <c r="Q2401" s="20">
        <f t="shared" ref="Q2401:X2401" si="5206">Q2371</f>
        <v>1500</v>
      </c>
      <c r="R2401" s="20">
        <f t="shared" si="5206"/>
        <v>6000</v>
      </c>
      <c r="S2401" s="20">
        <f t="shared" si="5206"/>
        <v>10500</v>
      </c>
      <c r="T2401" s="20">
        <f t="shared" si="5206"/>
        <v>13500</v>
      </c>
      <c r="U2401" s="20">
        <f t="shared" si="5206"/>
        <v>20</v>
      </c>
      <c r="V2401" s="20">
        <f t="shared" si="5206"/>
        <v>450</v>
      </c>
      <c r="W2401" s="20">
        <f t="shared" si="5206"/>
        <v>1000</v>
      </c>
      <c r="X2401" s="20">
        <f t="shared" si="5206"/>
        <v>8</v>
      </c>
      <c r="Y2401" s="20">
        <v>0</v>
      </c>
      <c r="Z2401" s="20">
        <v>0</v>
      </c>
      <c r="AA2401" s="20">
        <v>0</v>
      </c>
      <c r="AB2401" s="20">
        <v>0</v>
      </c>
      <c r="AC2401" s="20">
        <f t="shared" si="5164"/>
        <v>0</v>
      </c>
      <c r="AD2401" s="23">
        <f t="shared" ref="AD2401:AE2401" si="5207">AD2371</f>
        <v>58</v>
      </c>
      <c r="AE2401" s="23">
        <f t="shared" si="5207"/>
        <v>62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6"/>
  <sheetViews>
    <sheetView workbookViewId="0">
      <pane ySplit="1" topLeftCell="A2" activePane="bottomLeft" state="frozen"/>
      <selection pane="bottomLeft" activeCell="H21" sqref="H21"/>
    </sheetView>
  </sheetViews>
  <sheetFormatPr defaultRowHeight="16.5"/>
  <cols>
    <col min="1" max="1" width="5.5" style="11" bestFit="1" customWidth="1"/>
    <col min="2" max="16384" width="9" style="11"/>
  </cols>
  <sheetData>
    <row r="1" spans="1:11">
      <c r="A1" s="11" t="s">
        <v>16</v>
      </c>
      <c r="B1" s="11" t="s">
        <v>17</v>
      </c>
      <c r="C1" s="11" t="s">
        <v>19</v>
      </c>
    </row>
    <row r="2" spans="1:11">
      <c r="A2" s="11">
        <v>5</v>
      </c>
      <c r="B2" s="12">
        <v>100</v>
      </c>
      <c r="C2" s="11">
        <v>1</v>
      </c>
      <c r="K2" s="13"/>
    </row>
    <row r="3" spans="1:11">
      <c r="A3" s="11">
        <v>15</v>
      </c>
      <c r="B3" s="12">
        <v>160</v>
      </c>
      <c r="C3" s="11">
        <v>15</v>
      </c>
      <c r="K3" s="13"/>
    </row>
    <row r="4" spans="1:11">
      <c r="A4" s="11">
        <v>25</v>
      </c>
      <c r="B4" s="14">
        <v>270</v>
      </c>
      <c r="C4" s="11">
        <v>25</v>
      </c>
      <c r="K4" s="13"/>
    </row>
    <row r="5" spans="1:11">
      <c r="A5" s="11">
        <v>35</v>
      </c>
      <c r="B5" s="11">
        <v>450</v>
      </c>
      <c r="C5" s="11">
        <v>40</v>
      </c>
      <c r="G5" s="11">
        <v>1</v>
      </c>
      <c r="H5" s="11">
        <v>0.1</v>
      </c>
    </row>
    <row r="6" spans="1:11">
      <c r="A6" s="11">
        <v>45</v>
      </c>
      <c r="B6" s="11">
        <v>750</v>
      </c>
      <c r="C6" s="15">
        <v>60</v>
      </c>
      <c r="E6" s="15"/>
      <c r="G6" s="11">
        <v>2</v>
      </c>
      <c r="H6" s="11">
        <v>0.2</v>
      </c>
    </row>
    <row r="7" spans="1:11">
      <c r="C7" s="15"/>
      <c r="E7" s="15"/>
      <c r="G7" s="11">
        <v>3</v>
      </c>
      <c r="H7" s="11">
        <v>0.30000000000000004</v>
      </c>
    </row>
    <row r="8" spans="1:11">
      <c r="C8" s="15"/>
      <c r="E8" s="15"/>
      <c r="G8" s="11">
        <v>4</v>
      </c>
      <c r="H8" s="11">
        <v>0.4</v>
      </c>
    </row>
    <row r="9" spans="1:11">
      <c r="B9" s="16"/>
      <c r="C9" s="15"/>
      <c r="E9" s="17"/>
      <c r="G9" s="11">
        <v>5</v>
      </c>
      <c r="H9" s="11">
        <v>0.5</v>
      </c>
    </row>
    <row r="10" spans="1:11">
      <c r="C10" s="15"/>
      <c r="E10" s="17"/>
      <c r="G10" s="11">
        <v>6</v>
      </c>
      <c r="H10" s="11">
        <v>0.6</v>
      </c>
    </row>
    <row r="11" spans="1:11">
      <c r="C11" s="15"/>
      <c r="E11" s="17"/>
      <c r="G11" s="11">
        <v>7</v>
      </c>
      <c r="H11" s="11">
        <v>0.7</v>
      </c>
    </row>
    <row r="12" spans="1:11">
      <c r="C12" s="15"/>
      <c r="E12" s="17"/>
      <c r="G12" s="11">
        <v>8</v>
      </c>
      <c r="H12" s="11">
        <v>0.79999999999999993</v>
      </c>
    </row>
    <row r="13" spans="1:11">
      <c r="C13" s="15"/>
      <c r="E13" s="17"/>
      <c r="G13" s="11">
        <v>9</v>
      </c>
      <c r="H13" s="11">
        <v>0.89999999999999991</v>
      </c>
    </row>
    <row r="14" spans="1:11">
      <c r="C14" s="15"/>
      <c r="E14" s="17"/>
      <c r="G14" s="11">
        <v>10</v>
      </c>
      <c r="H14" s="11">
        <v>0.99999999999999989</v>
      </c>
    </row>
    <row r="15" spans="1:11">
      <c r="C15" s="15"/>
      <c r="E15" s="17"/>
      <c r="G15" s="11">
        <v>11</v>
      </c>
      <c r="H15" s="11">
        <v>1.0999999999999999</v>
      </c>
    </row>
    <row r="16" spans="1:11">
      <c r="C16" s="15"/>
      <c r="E16" s="17"/>
      <c r="G16" s="11">
        <v>12</v>
      </c>
      <c r="H16" s="11">
        <v>1.2</v>
      </c>
    </row>
    <row r="17" spans="1:8">
      <c r="C17" s="15"/>
      <c r="E17" s="15"/>
      <c r="G17" s="11">
        <v>13</v>
      </c>
      <c r="H17" s="11">
        <v>1.3</v>
      </c>
    </row>
    <row r="18" spans="1:8">
      <c r="C18" s="15"/>
      <c r="E18" s="15"/>
      <c r="G18" s="11">
        <v>14</v>
      </c>
      <c r="H18" s="11">
        <v>1.4000000000000001</v>
      </c>
    </row>
    <row r="19" spans="1:8">
      <c r="C19" s="15"/>
      <c r="E19" s="15"/>
      <c r="G19" s="11">
        <v>15</v>
      </c>
      <c r="H19" s="11">
        <v>1.5000000000000002</v>
      </c>
    </row>
    <row r="20" spans="1:8">
      <c r="C20" s="15"/>
      <c r="E20" s="15"/>
      <c r="G20" s="11">
        <v>16</v>
      </c>
      <c r="H20" s="11">
        <v>1.6500000000000001</v>
      </c>
    </row>
    <row r="21" spans="1:8">
      <c r="E21" s="15"/>
      <c r="G21" s="11">
        <v>17</v>
      </c>
      <c r="H21" s="11">
        <v>1.8</v>
      </c>
    </row>
    <row r="22" spans="1:8">
      <c r="A22" s="11" t="s">
        <v>31</v>
      </c>
      <c r="B22" s="11" t="s">
        <v>35</v>
      </c>
      <c r="C22" s="11" t="s">
        <v>32</v>
      </c>
      <c r="D22" s="11" t="s">
        <v>49</v>
      </c>
      <c r="G22" s="11">
        <v>18</v>
      </c>
      <c r="H22" s="11">
        <v>1.95</v>
      </c>
    </row>
    <row r="23" spans="1:8">
      <c r="A23" s="11">
        <v>1</v>
      </c>
      <c r="B23" s="11">
        <v>0.15</v>
      </c>
      <c r="C23" s="15">
        <v>1</v>
      </c>
      <c r="D23" s="11">
        <v>1</v>
      </c>
      <c r="G23" s="11">
        <v>19</v>
      </c>
      <c r="H23" s="11">
        <v>2.1</v>
      </c>
    </row>
    <row r="24" spans="1:8">
      <c r="A24" s="11">
        <v>2</v>
      </c>
      <c r="B24" s="11">
        <v>0.15</v>
      </c>
      <c r="C24" s="15">
        <v>1</v>
      </c>
      <c r="D24" s="11">
        <v>2</v>
      </c>
      <c r="G24" s="11">
        <v>20</v>
      </c>
      <c r="H24" s="11">
        <v>2.25</v>
      </c>
    </row>
    <row r="25" spans="1:8">
      <c r="A25" s="11">
        <v>3</v>
      </c>
      <c r="B25" s="11">
        <v>0.15</v>
      </c>
      <c r="C25" s="15">
        <v>2</v>
      </c>
      <c r="D25" s="11">
        <v>4</v>
      </c>
      <c r="G25" s="11">
        <v>21</v>
      </c>
      <c r="H25" s="11">
        <v>2.4</v>
      </c>
    </row>
    <row r="26" spans="1:8">
      <c r="A26" s="11">
        <v>4</v>
      </c>
      <c r="B26" s="11">
        <v>0.15</v>
      </c>
      <c r="C26" s="15">
        <v>2</v>
      </c>
      <c r="D26" s="11">
        <v>6</v>
      </c>
      <c r="G26" s="11">
        <v>22</v>
      </c>
      <c r="H26" s="11">
        <v>2.5499999999999998</v>
      </c>
    </row>
    <row r="27" spans="1:8">
      <c r="A27" s="11">
        <v>5</v>
      </c>
      <c r="B27" s="11">
        <v>0.15</v>
      </c>
      <c r="C27" s="15">
        <v>4</v>
      </c>
      <c r="D27" s="11">
        <v>8</v>
      </c>
      <c r="G27" s="11">
        <v>23</v>
      </c>
      <c r="H27" s="11">
        <v>2.6999999999999997</v>
      </c>
    </row>
    <row r="28" spans="1:8">
      <c r="A28" s="11">
        <v>6</v>
      </c>
      <c r="B28" s="11">
        <v>0.15</v>
      </c>
      <c r="C28" s="15">
        <v>4</v>
      </c>
      <c r="D28" s="11">
        <v>12</v>
      </c>
      <c r="G28" s="11">
        <v>24</v>
      </c>
      <c r="H28" s="11">
        <v>2.8499999999999996</v>
      </c>
    </row>
    <row r="29" spans="1:8">
      <c r="A29" s="11">
        <v>7</v>
      </c>
      <c r="B29" s="11">
        <v>0.15</v>
      </c>
      <c r="C29" s="15">
        <v>6</v>
      </c>
      <c r="D29" s="11">
        <v>16</v>
      </c>
      <c r="G29" s="11">
        <v>25</v>
      </c>
      <c r="H29" s="11">
        <v>2.9999999999999996</v>
      </c>
    </row>
    <row r="30" spans="1:8">
      <c r="A30" s="11">
        <v>8</v>
      </c>
      <c r="B30" s="11">
        <v>0.15</v>
      </c>
      <c r="C30" s="15">
        <v>6</v>
      </c>
      <c r="D30" s="11">
        <v>24</v>
      </c>
      <c r="G30" s="11">
        <v>26</v>
      </c>
      <c r="H30" s="11">
        <v>3.1999999999999997</v>
      </c>
    </row>
    <row r="31" spans="1:8">
      <c r="A31" s="11">
        <v>9</v>
      </c>
      <c r="B31" s="11">
        <v>0.15</v>
      </c>
      <c r="C31" s="15">
        <v>8</v>
      </c>
      <c r="D31" s="11">
        <v>32</v>
      </c>
      <c r="G31" s="11">
        <v>27</v>
      </c>
      <c r="H31" s="11">
        <v>3.4</v>
      </c>
    </row>
    <row r="32" spans="1:8">
      <c r="A32" s="11">
        <v>10</v>
      </c>
      <c r="B32" s="11">
        <v>0.15</v>
      </c>
      <c r="C32" s="15">
        <v>8</v>
      </c>
      <c r="D32" s="11">
        <v>40</v>
      </c>
      <c r="G32" s="11">
        <v>28</v>
      </c>
      <c r="H32" s="11">
        <v>3.6</v>
      </c>
    </row>
    <row r="33" spans="1:8">
      <c r="A33" s="11">
        <v>11</v>
      </c>
      <c r="B33" s="11">
        <v>0.18</v>
      </c>
      <c r="C33" s="15">
        <v>12</v>
      </c>
      <c r="D33" s="11">
        <v>48</v>
      </c>
      <c r="G33" s="11">
        <v>29</v>
      </c>
      <c r="H33" s="11">
        <v>3.8000000000000003</v>
      </c>
    </row>
    <row r="34" spans="1:8">
      <c r="A34" s="11">
        <v>12</v>
      </c>
      <c r="B34" s="11">
        <v>0.18</v>
      </c>
      <c r="C34" s="15">
        <v>12</v>
      </c>
      <c r="D34" s="11">
        <v>56</v>
      </c>
      <c r="G34" s="11">
        <v>30</v>
      </c>
      <c r="H34" s="11">
        <v>4</v>
      </c>
    </row>
    <row r="35" spans="1:8">
      <c r="A35" s="11">
        <v>13</v>
      </c>
      <c r="B35" s="11">
        <v>0.18</v>
      </c>
      <c r="C35" s="15">
        <v>12</v>
      </c>
      <c r="D35" s="11">
        <v>64</v>
      </c>
    </row>
    <row r="36" spans="1:8">
      <c r="A36" s="11">
        <v>14</v>
      </c>
      <c r="B36" s="11">
        <v>0.18</v>
      </c>
      <c r="C36" s="15">
        <v>12</v>
      </c>
      <c r="D36" s="11">
        <v>72</v>
      </c>
    </row>
    <row r="37" spans="1:8">
      <c r="A37" s="11">
        <v>15</v>
      </c>
      <c r="B37" s="11">
        <v>0.18</v>
      </c>
      <c r="C37" s="15">
        <v>12</v>
      </c>
      <c r="D37" s="11">
        <v>80</v>
      </c>
    </row>
    <row r="38" spans="1:8">
      <c r="A38" s="11">
        <v>16</v>
      </c>
      <c r="B38" s="11">
        <v>0.18</v>
      </c>
      <c r="C38" s="11">
        <v>16</v>
      </c>
      <c r="D38" s="11">
        <v>88</v>
      </c>
    </row>
    <row r="39" spans="1:8">
      <c r="A39" s="11">
        <v>17</v>
      </c>
      <c r="B39" s="11">
        <v>0.21</v>
      </c>
      <c r="C39" s="11">
        <v>16</v>
      </c>
      <c r="D39" s="11">
        <v>96</v>
      </c>
    </row>
    <row r="40" spans="1:8">
      <c r="A40" s="11">
        <v>18</v>
      </c>
      <c r="B40" s="11">
        <v>0.21</v>
      </c>
      <c r="C40" s="11">
        <v>16</v>
      </c>
      <c r="D40" s="11">
        <v>104</v>
      </c>
    </row>
    <row r="41" spans="1:8">
      <c r="A41" s="11">
        <v>19</v>
      </c>
      <c r="B41" s="11">
        <v>0.21</v>
      </c>
      <c r="C41" s="11">
        <v>16</v>
      </c>
      <c r="D41" s="11">
        <v>112</v>
      </c>
    </row>
    <row r="42" spans="1:8">
      <c r="A42" s="11">
        <v>20</v>
      </c>
      <c r="B42" s="11">
        <v>0.21</v>
      </c>
      <c r="C42" s="11">
        <v>16</v>
      </c>
      <c r="D42" s="11">
        <v>120</v>
      </c>
    </row>
    <row r="43" spans="1:8">
      <c r="A43" s="11">
        <v>21</v>
      </c>
      <c r="B43" s="11">
        <v>0.24</v>
      </c>
      <c r="C43" s="11">
        <v>20</v>
      </c>
      <c r="D43" s="11">
        <v>128</v>
      </c>
    </row>
    <row r="44" spans="1:8">
      <c r="A44" s="11">
        <v>22</v>
      </c>
      <c r="B44" s="11">
        <v>0.24</v>
      </c>
      <c r="C44" s="11">
        <v>20</v>
      </c>
      <c r="D44" s="11">
        <v>136</v>
      </c>
    </row>
    <row r="45" spans="1:8">
      <c r="A45" s="11">
        <v>23</v>
      </c>
      <c r="B45" s="11">
        <v>0.27</v>
      </c>
      <c r="C45" s="11">
        <v>20</v>
      </c>
      <c r="D45" s="11">
        <v>144</v>
      </c>
    </row>
    <row r="46" spans="1:8">
      <c r="A46" s="11">
        <v>24</v>
      </c>
      <c r="B46" s="11">
        <v>0.27</v>
      </c>
      <c r="C46" s="11">
        <v>20</v>
      </c>
      <c r="D46" s="11">
        <v>152</v>
      </c>
    </row>
    <row r="47" spans="1:8">
      <c r="A47" s="11">
        <v>25</v>
      </c>
      <c r="B47" s="11">
        <v>0.3</v>
      </c>
      <c r="C47" s="11">
        <v>20</v>
      </c>
      <c r="D47" s="11">
        <v>160</v>
      </c>
    </row>
    <row r="48" spans="1:8">
      <c r="A48" s="11">
        <v>26</v>
      </c>
      <c r="B48" s="11">
        <v>0.33</v>
      </c>
      <c r="C48" s="11">
        <v>24</v>
      </c>
      <c r="D48" s="11">
        <v>168</v>
      </c>
    </row>
    <row r="49" spans="1:11">
      <c r="A49" s="11">
        <v>27</v>
      </c>
      <c r="B49" s="11">
        <v>0.36</v>
      </c>
      <c r="C49" s="11">
        <v>24</v>
      </c>
      <c r="D49" s="11">
        <v>176</v>
      </c>
    </row>
    <row r="50" spans="1:11">
      <c r="A50" s="11">
        <v>28</v>
      </c>
      <c r="B50" s="11">
        <v>0.39</v>
      </c>
      <c r="C50" s="11">
        <v>24</v>
      </c>
      <c r="D50" s="11">
        <v>184</v>
      </c>
    </row>
    <row r="51" spans="1:11">
      <c r="A51" s="11">
        <v>29</v>
      </c>
      <c r="B51" s="11">
        <v>0.42</v>
      </c>
      <c r="C51" s="11">
        <v>24</v>
      </c>
      <c r="D51" s="11">
        <v>192</v>
      </c>
    </row>
    <row r="52" spans="1:11">
      <c r="A52" s="11">
        <v>30</v>
      </c>
      <c r="B52" s="11">
        <v>0.45</v>
      </c>
      <c r="C52" s="11">
        <v>24</v>
      </c>
      <c r="D52" s="11">
        <v>200</v>
      </c>
    </row>
    <row r="53" spans="1:11">
      <c r="B53" s="11">
        <f>SUM(B23:B52)</f>
        <v>6.6899999999999995</v>
      </c>
    </row>
    <row r="55" spans="1:11">
      <c r="A55" s="11" t="s">
        <v>33</v>
      </c>
      <c r="B55" s="56" t="s">
        <v>34</v>
      </c>
      <c r="C55" s="56"/>
      <c r="D55" s="56"/>
      <c r="E55" s="56"/>
      <c r="G55" s="56" t="s">
        <v>48</v>
      </c>
      <c r="H55" s="56"/>
      <c r="I55" s="56"/>
      <c r="J55" s="56"/>
      <c r="K55" s="56"/>
    </row>
    <row r="56" spans="1:11">
      <c r="B56" s="11">
        <v>1</v>
      </c>
      <c r="C56" s="11">
        <v>2</v>
      </c>
      <c r="D56" s="11">
        <v>3</v>
      </c>
      <c r="E56" s="11">
        <v>4</v>
      </c>
      <c r="F56" s="11" t="s">
        <v>46</v>
      </c>
      <c r="G56" s="11">
        <v>1</v>
      </c>
      <c r="H56" s="11">
        <v>2</v>
      </c>
      <c r="I56" s="11">
        <v>3</v>
      </c>
      <c r="J56" s="11">
        <v>4</v>
      </c>
      <c r="K56" s="11" t="s">
        <v>46</v>
      </c>
    </row>
    <row r="57" spans="1:11">
      <c r="A57" s="11">
        <v>1</v>
      </c>
      <c r="B57" s="11">
        <v>15</v>
      </c>
      <c r="C57" s="11">
        <v>30</v>
      </c>
      <c r="D57" s="11">
        <v>55</v>
      </c>
      <c r="E57" s="11">
        <v>80</v>
      </c>
      <c r="F57" s="11">
        <v>20</v>
      </c>
      <c r="G57" s="11">
        <v>15</v>
      </c>
      <c r="H57" s="11">
        <v>50</v>
      </c>
      <c r="I57" s="11">
        <v>75</v>
      </c>
      <c r="J57" s="11">
        <v>100</v>
      </c>
      <c r="K57" s="11">
        <v>0</v>
      </c>
    </row>
    <row r="58" spans="1:11">
      <c r="A58" s="11">
        <v>2</v>
      </c>
      <c r="B58" s="11">
        <v>14</v>
      </c>
      <c r="C58" s="11">
        <v>31</v>
      </c>
      <c r="D58" s="11">
        <v>55</v>
      </c>
      <c r="E58" s="11">
        <v>80</v>
      </c>
      <c r="F58" s="11">
        <v>18</v>
      </c>
      <c r="G58" s="11">
        <v>14</v>
      </c>
      <c r="H58" s="11">
        <v>45</v>
      </c>
      <c r="I58" s="11">
        <v>70</v>
      </c>
      <c r="J58" s="11">
        <v>95</v>
      </c>
      <c r="K58" s="11">
        <v>5</v>
      </c>
    </row>
    <row r="59" spans="1:11">
      <c r="A59" s="11">
        <v>3</v>
      </c>
      <c r="B59" s="11">
        <v>13</v>
      </c>
      <c r="C59" s="11">
        <v>28</v>
      </c>
      <c r="D59" s="11">
        <v>51</v>
      </c>
      <c r="E59" s="11">
        <v>75</v>
      </c>
      <c r="F59" s="11">
        <v>18</v>
      </c>
      <c r="G59" s="11">
        <v>13</v>
      </c>
      <c r="H59" s="11">
        <v>35</v>
      </c>
      <c r="I59" s="11">
        <v>60</v>
      </c>
      <c r="J59" s="11">
        <v>85</v>
      </c>
      <c r="K59" s="11">
        <v>15</v>
      </c>
    </row>
    <row r="60" spans="1:11">
      <c r="A60" s="11">
        <v>4</v>
      </c>
      <c r="B60" s="11">
        <v>12</v>
      </c>
      <c r="C60" s="11">
        <v>27</v>
      </c>
      <c r="D60" s="11">
        <v>48</v>
      </c>
      <c r="E60" s="11">
        <v>70</v>
      </c>
      <c r="F60" s="11">
        <v>16</v>
      </c>
      <c r="G60" s="11">
        <v>12</v>
      </c>
      <c r="H60" s="11">
        <v>25</v>
      </c>
      <c r="I60" s="11">
        <v>50</v>
      </c>
      <c r="J60" s="11">
        <v>75</v>
      </c>
      <c r="K60" s="11">
        <v>25</v>
      </c>
    </row>
    <row r="61" spans="1:11">
      <c r="A61" s="11">
        <v>5</v>
      </c>
      <c r="B61" s="11">
        <v>11</v>
      </c>
      <c r="C61" s="11">
        <v>23</v>
      </c>
      <c r="D61" s="11">
        <v>43</v>
      </c>
      <c r="E61" s="11">
        <v>63</v>
      </c>
      <c r="F61" s="11">
        <v>16</v>
      </c>
      <c r="G61" s="11">
        <v>11</v>
      </c>
      <c r="H61" s="11">
        <v>15</v>
      </c>
      <c r="I61" s="11">
        <v>40</v>
      </c>
      <c r="J61" s="11">
        <v>65</v>
      </c>
      <c r="K61" s="11">
        <v>35</v>
      </c>
    </row>
    <row r="62" spans="1:11">
      <c r="A62" s="11">
        <v>6</v>
      </c>
      <c r="B62" s="11">
        <v>10</v>
      </c>
      <c r="C62" s="11">
        <v>19</v>
      </c>
      <c r="D62" s="11">
        <v>37</v>
      </c>
      <c r="E62" s="11">
        <v>55</v>
      </c>
      <c r="F62" s="11">
        <v>16</v>
      </c>
      <c r="G62" s="11">
        <v>10</v>
      </c>
      <c r="H62" s="11">
        <v>23</v>
      </c>
      <c r="I62" s="11">
        <v>39</v>
      </c>
      <c r="J62" s="11">
        <v>55</v>
      </c>
      <c r="K62" s="11">
        <v>8</v>
      </c>
    </row>
    <row r="63" spans="1:11">
      <c r="A63" s="11">
        <v>7</v>
      </c>
      <c r="B63" s="11">
        <v>9</v>
      </c>
      <c r="C63" s="11">
        <v>15</v>
      </c>
      <c r="D63" s="11">
        <v>31</v>
      </c>
      <c r="E63" s="11">
        <v>47</v>
      </c>
      <c r="F63" s="11">
        <v>16</v>
      </c>
      <c r="G63" s="11">
        <v>9</v>
      </c>
      <c r="H63" s="11">
        <v>19</v>
      </c>
      <c r="I63" s="11">
        <v>33</v>
      </c>
      <c r="J63" s="11">
        <v>47</v>
      </c>
      <c r="K63" s="11">
        <v>8</v>
      </c>
    </row>
    <row r="64" spans="1:11">
      <c r="A64" s="11">
        <v>8</v>
      </c>
      <c r="B64" s="11">
        <v>8</v>
      </c>
      <c r="C64" s="11">
        <v>14</v>
      </c>
      <c r="D64" s="11">
        <v>28</v>
      </c>
      <c r="E64" s="11">
        <v>42</v>
      </c>
      <c r="F64" s="11">
        <v>14</v>
      </c>
      <c r="G64" s="11">
        <v>8</v>
      </c>
      <c r="H64" s="11">
        <v>17</v>
      </c>
      <c r="I64" s="11">
        <v>29</v>
      </c>
      <c r="J64" s="11">
        <v>42</v>
      </c>
      <c r="K64" s="11">
        <v>8</v>
      </c>
    </row>
    <row r="65" spans="1:11">
      <c r="A65" s="11">
        <v>9</v>
      </c>
      <c r="B65" s="11">
        <v>7</v>
      </c>
      <c r="C65" s="11">
        <v>12</v>
      </c>
      <c r="D65" s="11">
        <v>24</v>
      </c>
      <c r="E65" s="11">
        <v>37</v>
      </c>
      <c r="F65" s="11">
        <v>12</v>
      </c>
      <c r="G65" s="11">
        <v>7</v>
      </c>
      <c r="H65" s="11">
        <v>14</v>
      </c>
      <c r="I65" s="11">
        <v>25</v>
      </c>
      <c r="J65" s="11">
        <v>37</v>
      </c>
      <c r="K65" s="11">
        <v>8</v>
      </c>
    </row>
    <row r="66" spans="1:11">
      <c r="A66" s="11">
        <v>10</v>
      </c>
      <c r="B66" s="11">
        <v>6</v>
      </c>
      <c r="C66" s="11">
        <v>11</v>
      </c>
      <c r="D66" s="11">
        <v>21</v>
      </c>
      <c r="E66" s="11">
        <v>32</v>
      </c>
      <c r="F66" s="11">
        <v>10</v>
      </c>
      <c r="G66" s="11">
        <v>6</v>
      </c>
      <c r="H66" s="11">
        <v>12</v>
      </c>
      <c r="I66" s="11">
        <v>22</v>
      </c>
      <c r="J66" s="11">
        <v>32</v>
      </c>
      <c r="K66" s="11">
        <v>8</v>
      </c>
    </row>
    <row r="67" spans="1:11">
      <c r="A67" s="11">
        <v>11</v>
      </c>
      <c r="B67" s="11">
        <v>9</v>
      </c>
      <c r="C67" s="11">
        <v>19</v>
      </c>
      <c r="D67" s="11">
        <v>36</v>
      </c>
      <c r="E67" s="11">
        <v>53</v>
      </c>
      <c r="F67" s="11">
        <v>14</v>
      </c>
      <c r="G67" s="11">
        <v>9</v>
      </c>
      <c r="H67" s="11">
        <v>22</v>
      </c>
      <c r="I67" s="11">
        <v>37</v>
      </c>
      <c r="J67" s="11">
        <v>53</v>
      </c>
      <c r="K67" s="11">
        <v>8</v>
      </c>
    </row>
    <row r="68" spans="1:11">
      <c r="A68" s="11">
        <v>12</v>
      </c>
      <c r="B68" s="11">
        <v>8</v>
      </c>
      <c r="C68" s="11">
        <v>16</v>
      </c>
      <c r="D68" s="11">
        <v>30</v>
      </c>
      <c r="E68" s="11">
        <v>45</v>
      </c>
      <c r="F68" s="11">
        <v>12</v>
      </c>
      <c r="G68" s="11">
        <v>8</v>
      </c>
      <c r="H68" s="11">
        <v>18</v>
      </c>
      <c r="I68" s="11">
        <v>31</v>
      </c>
      <c r="J68" s="11">
        <v>45</v>
      </c>
      <c r="K68" s="11">
        <v>8</v>
      </c>
    </row>
    <row r="69" spans="1:11">
      <c r="A69" s="11">
        <v>13</v>
      </c>
      <c r="B69" s="11">
        <v>7</v>
      </c>
      <c r="C69" s="11">
        <v>15</v>
      </c>
      <c r="D69" s="11">
        <v>27</v>
      </c>
      <c r="E69" s="11">
        <v>40</v>
      </c>
      <c r="F69" s="11">
        <v>10</v>
      </c>
      <c r="G69" s="11">
        <v>7</v>
      </c>
      <c r="H69" s="11">
        <v>16</v>
      </c>
      <c r="I69" s="11">
        <v>28</v>
      </c>
      <c r="J69" s="11">
        <v>40</v>
      </c>
      <c r="K69" s="11">
        <v>8</v>
      </c>
    </row>
    <row r="70" spans="1:11">
      <c r="A70" s="11">
        <v>14</v>
      </c>
      <c r="B70" s="11">
        <v>6</v>
      </c>
      <c r="C70" s="11">
        <v>13</v>
      </c>
      <c r="D70" s="11">
        <v>24</v>
      </c>
      <c r="E70" s="11">
        <v>35</v>
      </c>
      <c r="F70" s="11">
        <v>8</v>
      </c>
      <c r="G70" s="11">
        <v>6</v>
      </c>
      <c r="H70" s="11">
        <v>13</v>
      </c>
      <c r="I70" s="11">
        <v>24</v>
      </c>
      <c r="J70" s="11">
        <v>35</v>
      </c>
      <c r="K70" s="11">
        <v>8</v>
      </c>
    </row>
    <row r="71" spans="1:11">
      <c r="A71" s="11">
        <v>15</v>
      </c>
      <c r="B71" s="11">
        <v>5</v>
      </c>
      <c r="C71" s="11">
        <v>11</v>
      </c>
      <c r="D71" s="11">
        <v>20</v>
      </c>
      <c r="E71" s="11">
        <v>30</v>
      </c>
      <c r="F71" s="11">
        <v>8</v>
      </c>
      <c r="G71" s="11">
        <v>5</v>
      </c>
      <c r="H71" s="11">
        <v>11</v>
      </c>
      <c r="I71" s="11">
        <v>20</v>
      </c>
      <c r="J71" s="11">
        <v>30</v>
      </c>
      <c r="K71" s="11">
        <v>8</v>
      </c>
    </row>
    <row r="72" spans="1:11">
      <c r="A72" s="11">
        <v>16</v>
      </c>
      <c r="B72" s="11">
        <v>8</v>
      </c>
      <c r="C72" s="11">
        <v>18</v>
      </c>
      <c r="D72" s="11">
        <v>34</v>
      </c>
      <c r="E72" s="11">
        <v>51</v>
      </c>
      <c r="F72" s="11">
        <v>14</v>
      </c>
      <c r="G72" s="11">
        <v>8</v>
      </c>
      <c r="H72" s="11">
        <v>21</v>
      </c>
      <c r="I72" s="11">
        <v>36</v>
      </c>
      <c r="J72" s="11">
        <v>51</v>
      </c>
      <c r="K72" s="11">
        <v>8</v>
      </c>
    </row>
    <row r="73" spans="1:11">
      <c r="A73" s="11">
        <v>17</v>
      </c>
      <c r="B73" s="11">
        <v>7</v>
      </c>
      <c r="C73" s="11">
        <v>15</v>
      </c>
      <c r="D73" s="11">
        <v>29</v>
      </c>
      <c r="E73" s="11">
        <v>43</v>
      </c>
      <c r="F73" s="11">
        <v>12</v>
      </c>
      <c r="G73" s="11">
        <v>7</v>
      </c>
      <c r="H73" s="11">
        <v>17</v>
      </c>
      <c r="I73" s="11">
        <v>30</v>
      </c>
      <c r="J73" s="11">
        <v>43</v>
      </c>
      <c r="K73" s="11">
        <v>8</v>
      </c>
    </row>
    <row r="74" spans="1:11">
      <c r="A74" s="11">
        <v>18</v>
      </c>
      <c r="B74" s="11">
        <v>6</v>
      </c>
      <c r="C74" s="11">
        <v>14</v>
      </c>
      <c r="D74" s="11">
        <v>26</v>
      </c>
      <c r="E74" s="11">
        <v>38</v>
      </c>
      <c r="F74" s="11">
        <v>10</v>
      </c>
      <c r="G74" s="11">
        <v>6</v>
      </c>
      <c r="H74" s="11">
        <v>15</v>
      </c>
      <c r="I74" s="11">
        <v>26</v>
      </c>
      <c r="J74" s="11">
        <v>38</v>
      </c>
      <c r="K74" s="11">
        <v>8</v>
      </c>
    </row>
    <row r="75" spans="1:11">
      <c r="A75" s="11">
        <v>19</v>
      </c>
      <c r="B75" s="11">
        <v>5</v>
      </c>
      <c r="C75" s="11">
        <v>12</v>
      </c>
      <c r="D75" s="11">
        <v>22</v>
      </c>
      <c r="E75" s="11">
        <v>33</v>
      </c>
      <c r="F75" s="11">
        <v>8</v>
      </c>
      <c r="G75" s="11">
        <v>5</v>
      </c>
      <c r="H75" s="11">
        <v>12</v>
      </c>
      <c r="I75" s="11">
        <v>22</v>
      </c>
      <c r="J75" s="11">
        <v>33</v>
      </c>
      <c r="K75" s="11">
        <v>8</v>
      </c>
    </row>
    <row r="76" spans="1:11">
      <c r="A76" s="11">
        <v>20</v>
      </c>
      <c r="B76" s="11">
        <v>4</v>
      </c>
      <c r="C76" s="11">
        <v>10</v>
      </c>
      <c r="D76" s="11">
        <v>19</v>
      </c>
      <c r="E76" s="11">
        <v>28</v>
      </c>
      <c r="F76" s="11">
        <v>8</v>
      </c>
      <c r="G76" s="11">
        <v>4</v>
      </c>
      <c r="H76" s="11">
        <v>10</v>
      </c>
      <c r="I76" s="11">
        <v>19</v>
      </c>
      <c r="J76" s="11">
        <v>28</v>
      </c>
      <c r="K76" s="11">
        <v>8</v>
      </c>
    </row>
    <row r="77" spans="1:11">
      <c r="A77" s="11">
        <v>21</v>
      </c>
      <c r="B77" s="11">
        <v>8</v>
      </c>
      <c r="C77" s="11">
        <v>17</v>
      </c>
      <c r="D77" s="11">
        <v>33</v>
      </c>
      <c r="E77" s="11">
        <v>49</v>
      </c>
      <c r="F77" s="11">
        <v>14</v>
      </c>
      <c r="G77" s="11">
        <v>8</v>
      </c>
      <c r="H77" s="11">
        <v>20</v>
      </c>
      <c r="I77" s="11">
        <v>34</v>
      </c>
      <c r="J77" s="11">
        <v>49</v>
      </c>
      <c r="K77" s="11">
        <v>8</v>
      </c>
    </row>
    <row r="78" spans="1:11">
      <c r="A78" s="11">
        <v>22</v>
      </c>
      <c r="B78" s="11">
        <v>7</v>
      </c>
      <c r="C78" s="11">
        <v>14</v>
      </c>
      <c r="D78" s="11">
        <v>27</v>
      </c>
      <c r="E78" s="11">
        <v>41</v>
      </c>
      <c r="F78" s="11">
        <v>12</v>
      </c>
      <c r="G78" s="11">
        <v>7</v>
      </c>
      <c r="H78" s="11">
        <v>16</v>
      </c>
      <c r="I78" s="11">
        <v>28</v>
      </c>
      <c r="J78" s="11">
        <v>41</v>
      </c>
      <c r="K78" s="11">
        <v>8</v>
      </c>
    </row>
    <row r="79" spans="1:11">
      <c r="A79" s="11">
        <v>23</v>
      </c>
      <c r="B79" s="11">
        <v>6</v>
      </c>
      <c r="C79" s="11">
        <v>13</v>
      </c>
      <c r="D79" s="11">
        <v>24</v>
      </c>
      <c r="E79" s="11">
        <v>36</v>
      </c>
      <c r="F79" s="11">
        <v>10</v>
      </c>
      <c r="G79" s="11">
        <v>6</v>
      </c>
      <c r="H79" s="11">
        <v>14</v>
      </c>
      <c r="I79" s="11">
        <v>25</v>
      </c>
      <c r="J79" s="11">
        <v>36</v>
      </c>
      <c r="K79" s="11">
        <v>8</v>
      </c>
    </row>
    <row r="80" spans="1:11">
      <c r="A80" s="11">
        <v>24</v>
      </c>
      <c r="B80" s="11">
        <v>5</v>
      </c>
      <c r="C80" s="11">
        <v>11</v>
      </c>
      <c r="D80" s="11">
        <v>21</v>
      </c>
      <c r="E80" s="11">
        <v>31</v>
      </c>
      <c r="F80" s="11">
        <v>8</v>
      </c>
      <c r="G80" s="11">
        <v>5</v>
      </c>
      <c r="H80" s="11">
        <v>11</v>
      </c>
      <c r="I80" s="11">
        <v>21</v>
      </c>
      <c r="J80" s="11">
        <v>31</v>
      </c>
      <c r="K80" s="11">
        <v>8</v>
      </c>
    </row>
    <row r="81" spans="1:11">
      <c r="A81" s="11">
        <v>25</v>
      </c>
      <c r="B81" s="11">
        <v>4</v>
      </c>
      <c r="C81" s="11">
        <v>9</v>
      </c>
      <c r="D81" s="11">
        <v>17</v>
      </c>
      <c r="E81" s="11">
        <v>26</v>
      </c>
      <c r="F81" s="11">
        <v>8</v>
      </c>
      <c r="G81" s="11">
        <v>4</v>
      </c>
      <c r="H81" s="11">
        <v>9</v>
      </c>
      <c r="I81" s="11">
        <v>17</v>
      </c>
      <c r="J81" s="11">
        <v>26</v>
      </c>
      <c r="K81" s="11">
        <v>8</v>
      </c>
    </row>
    <row r="82" spans="1:11">
      <c r="A82" s="11">
        <v>26</v>
      </c>
      <c r="B82" s="11">
        <v>8</v>
      </c>
      <c r="C82" s="11">
        <v>17</v>
      </c>
      <c r="D82" s="11">
        <v>32</v>
      </c>
      <c r="E82" s="11">
        <v>48</v>
      </c>
      <c r="F82" s="11">
        <v>14</v>
      </c>
      <c r="G82" s="11">
        <v>8</v>
      </c>
      <c r="H82" s="11">
        <v>20</v>
      </c>
      <c r="I82" s="11">
        <v>34</v>
      </c>
      <c r="J82" s="11">
        <v>48</v>
      </c>
      <c r="K82" s="11">
        <v>8</v>
      </c>
    </row>
    <row r="83" spans="1:11">
      <c r="A83" s="11">
        <v>27</v>
      </c>
      <c r="B83" s="11">
        <v>7</v>
      </c>
      <c r="C83" s="11">
        <v>14</v>
      </c>
      <c r="D83" s="11">
        <v>27</v>
      </c>
      <c r="E83" s="11">
        <v>40</v>
      </c>
      <c r="F83" s="11">
        <v>12</v>
      </c>
      <c r="G83" s="11">
        <v>7</v>
      </c>
      <c r="H83" s="11">
        <v>16</v>
      </c>
      <c r="I83" s="11">
        <v>28</v>
      </c>
      <c r="J83" s="11">
        <v>40</v>
      </c>
      <c r="K83" s="11">
        <v>8</v>
      </c>
    </row>
    <row r="84" spans="1:11">
      <c r="A84" s="11">
        <v>28</v>
      </c>
      <c r="B84" s="11">
        <v>6</v>
      </c>
      <c r="C84" s="11">
        <v>12</v>
      </c>
      <c r="D84" s="11">
        <v>23</v>
      </c>
      <c r="E84" s="11">
        <v>35</v>
      </c>
      <c r="F84" s="11">
        <v>10</v>
      </c>
      <c r="G84" s="11">
        <v>6</v>
      </c>
      <c r="H84" s="11">
        <v>13</v>
      </c>
      <c r="I84" s="11">
        <v>24</v>
      </c>
      <c r="J84" s="11">
        <v>35</v>
      </c>
      <c r="K84" s="11">
        <v>8</v>
      </c>
    </row>
    <row r="85" spans="1:11">
      <c r="A85" s="11">
        <v>29</v>
      </c>
      <c r="B85" s="11">
        <v>5</v>
      </c>
      <c r="C85" s="11">
        <v>11</v>
      </c>
      <c r="D85" s="11">
        <v>20</v>
      </c>
      <c r="E85" s="11">
        <v>30</v>
      </c>
      <c r="F85" s="11">
        <v>8</v>
      </c>
      <c r="G85" s="11">
        <v>5</v>
      </c>
      <c r="H85" s="11">
        <v>11</v>
      </c>
      <c r="I85" s="11">
        <v>20</v>
      </c>
      <c r="J85" s="11">
        <v>30</v>
      </c>
      <c r="K85" s="11">
        <v>8</v>
      </c>
    </row>
    <row r="86" spans="1:11">
      <c r="A86" s="11">
        <v>30</v>
      </c>
      <c r="B86" s="11">
        <v>4</v>
      </c>
      <c r="C86" s="11">
        <v>8</v>
      </c>
      <c r="D86" s="11">
        <v>16</v>
      </c>
      <c r="E86" s="11">
        <v>25</v>
      </c>
      <c r="F86" s="11">
        <v>8</v>
      </c>
      <c r="G86" s="11">
        <v>4</v>
      </c>
      <c r="H86" s="11">
        <v>8</v>
      </c>
      <c r="I86" s="11">
        <v>16</v>
      </c>
      <c r="J86" s="11">
        <v>25</v>
      </c>
      <c r="K86" s="11">
        <v>8</v>
      </c>
    </row>
  </sheetData>
  <mergeCells count="2">
    <mergeCell ref="B55:E55"/>
    <mergeCell ref="G55:K55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C22" sqref="C22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18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2" t="s">
        <v>36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39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47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37</v>
      </c>
      <c r="B11" s="1" t="s">
        <v>38</v>
      </c>
    </row>
    <row r="13" spans="1:10">
      <c r="A13" t="s">
        <v>42</v>
      </c>
      <c r="B13" t="s">
        <v>43</v>
      </c>
    </row>
    <row r="14" spans="1:10">
      <c r="A14" t="s">
        <v>44</v>
      </c>
      <c r="B14" t="s">
        <v>45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装备参照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2014-01-03T03:39:55Z</dcterms:modified>
</cp:coreProperties>
</file>
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filterPrivacy="1" defaultThemeVersion="124226"/>
  <bookViews>
    <workbookView xWindow="240" yWindow="195" windowWidth="14805" windowHeight="7920"/>
  </bookViews>
  <sheets>
    <sheet name="Sheet1" sheetId="1" r:id="rId1"/>
    <sheet name="字段说明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P13" i="1" l="1"/>
  <c r="R13" i="1"/>
  <c r="R3" i="1" l="1"/>
  <c r="R4" i="1"/>
  <c r="R5" i="1"/>
  <c r="R6" i="1"/>
  <c r="R7" i="1"/>
  <c r="R8" i="1"/>
  <c r="R9" i="1"/>
  <c r="R10" i="1"/>
  <c r="R11" i="1"/>
  <c r="R12" i="1"/>
  <c r="R2" i="1"/>
  <c r="P3" i="1"/>
  <c r="P4" i="1"/>
  <c r="P5" i="1"/>
  <c r="P6" i="1"/>
  <c r="P7" i="1"/>
  <c r="P8" i="1"/>
  <c r="P9" i="1"/>
  <c r="P10" i="1"/>
  <c r="P11" i="1"/>
  <c r="P12" i="1"/>
</calcChain>
</file>

<file path=xl/sharedStrings.xml><?xml version="1.0" encoding="utf-8"?>
<sst xmlns="http://schemas.openxmlformats.org/spreadsheetml/2006/main" count="80" uniqueCount="65">
  <si>
    <t>等阶</t>
    <phoneticPr fontId="3" type="noConversion"/>
  </si>
  <si>
    <t>道具消耗</t>
    <phoneticPr fontId="3" type="noConversion"/>
  </si>
  <si>
    <t>绑银消耗</t>
    <phoneticPr fontId="3" type="noConversion"/>
  </si>
  <si>
    <t>速度</t>
    <phoneticPr fontId="3" type="noConversion"/>
  </si>
  <si>
    <t>血</t>
    <phoneticPr fontId="3" type="noConversion"/>
  </si>
  <si>
    <t>防</t>
    <phoneticPr fontId="3" type="noConversion"/>
  </si>
  <si>
    <t>攻</t>
    <phoneticPr fontId="3" type="noConversion"/>
  </si>
  <si>
    <t>闪避</t>
    <phoneticPr fontId="3" type="noConversion"/>
  </si>
  <si>
    <t>减伤</t>
    <phoneticPr fontId="3" type="noConversion"/>
  </si>
  <si>
    <t>祝福up大</t>
    <phoneticPr fontId="3" type="noConversion"/>
  </si>
  <si>
    <t>单次成功率</t>
    <phoneticPr fontId="3" type="noConversion"/>
  </si>
  <si>
    <t>祝福值要求</t>
    <phoneticPr fontId="3" type="noConversion"/>
  </si>
  <si>
    <t>祝福up小</t>
    <phoneticPr fontId="3" type="noConversion"/>
  </si>
  <si>
    <t>反射</t>
    <phoneticPr fontId="3" type="noConversion"/>
  </si>
  <si>
    <t>满祝福</t>
    <phoneticPr fontId="3" type="noConversion"/>
  </si>
  <si>
    <t>进化小时</t>
    <phoneticPr fontId="3" type="noConversion"/>
  </si>
  <si>
    <t>坐骑id</t>
    <phoneticPr fontId="3" type="noConversion"/>
  </si>
  <si>
    <t>进阶名称</t>
    <phoneticPr fontId="3" type="noConversion"/>
  </si>
  <si>
    <t>进化id</t>
    <phoneticPr fontId="3" type="noConversion"/>
  </si>
  <si>
    <t>坐骑的等级，等阶逐级成长</t>
    <phoneticPr fontId="3" type="noConversion"/>
  </si>
  <si>
    <t>对应道具基本表中，坐骑的id。坐骑的图片，在图标对照表中配置</t>
    <phoneticPr fontId="3" type="noConversion"/>
  </si>
  <si>
    <t>下一阶坐骑的id</t>
    <phoneticPr fontId="3" type="noConversion"/>
  </si>
  <si>
    <t>长整数，祝福值的上限，满祝福时坐骑必然进阶。</t>
    <phoneticPr fontId="3" type="noConversion"/>
  </si>
  <si>
    <t>长整数，需要达到最少的祝福值，才能够进入正常概率阶段</t>
    <phoneticPr fontId="3" type="noConversion"/>
  </si>
  <si>
    <t>万分比小数，只有坐骑满足祝福值要求了。才会开始进入单次成功率的计算。</t>
    <phoneticPr fontId="3" type="noConversion"/>
  </si>
  <si>
    <t>消耗道具id=27127的道具数量</t>
    <phoneticPr fontId="3" type="noConversion"/>
  </si>
  <si>
    <t>消耗铜币的数量</t>
    <phoneticPr fontId="3" type="noConversion"/>
  </si>
  <si>
    <t>坐骑进阶失败获得祝福值的下限</t>
    <phoneticPr fontId="3" type="noConversion"/>
  </si>
  <si>
    <t>坐骑进阶失败获得祝福值的上限</t>
    <phoneticPr fontId="3" type="noConversion"/>
  </si>
  <si>
    <t>整数，当前坐骑的速度</t>
    <phoneticPr fontId="3" type="noConversion"/>
  </si>
  <si>
    <t>整数，当前坐骑对人物额外附加的血量</t>
    <phoneticPr fontId="3" type="noConversion"/>
  </si>
  <si>
    <t>整数，当前坐骑对人物额外附加的攻击，包括物理攻击和魔法攻击</t>
    <phoneticPr fontId="3" type="noConversion"/>
  </si>
  <si>
    <t>整数，当前坐骑对人物额外附加的血量，包括物理防御和魔法防御</t>
    <phoneticPr fontId="3" type="noConversion"/>
  </si>
  <si>
    <t>万分比小数，坐骑队人物额外附加的反射属性</t>
    <phoneticPr fontId="3" type="noConversion"/>
  </si>
  <si>
    <t>万分比小数，坐骑队人物额外附加的闪避属性</t>
    <phoneticPr fontId="3" type="noConversion"/>
  </si>
  <si>
    <t>万分比小数，坐骑队人物额外附加的减伤属性</t>
    <phoneticPr fontId="3" type="noConversion"/>
  </si>
  <si>
    <t>坐骑达到指定等阶后，自然进化到下一等阶的时间</t>
    <phoneticPr fontId="3" type="noConversion"/>
  </si>
  <si>
    <t>致命</t>
    <phoneticPr fontId="3" type="noConversion"/>
  </si>
  <si>
    <t>万分比小数，坐骑队人物额外附加的致命属性</t>
    <phoneticPr fontId="3" type="noConversion"/>
  </si>
  <si>
    <t>满次数</t>
    <phoneticPr fontId="3" type="noConversion"/>
  </si>
  <si>
    <t>祝福1</t>
    <phoneticPr fontId="3" type="noConversion"/>
  </si>
  <si>
    <t>几率1</t>
    <phoneticPr fontId="3" type="noConversion"/>
  </si>
  <si>
    <t>祝福2</t>
    <phoneticPr fontId="3" type="noConversion"/>
  </si>
  <si>
    <t>几率2</t>
    <phoneticPr fontId="3" type="noConversion"/>
  </si>
  <si>
    <t>几率3</t>
    <phoneticPr fontId="3" type="noConversion"/>
  </si>
  <si>
    <t>祝福3</t>
    <phoneticPr fontId="3" type="noConversion"/>
  </si>
  <si>
    <t>祝福4</t>
    <phoneticPr fontId="3" type="noConversion"/>
  </si>
  <si>
    <t>几率4</t>
    <phoneticPr fontId="3" type="noConversion"/>
  </si>
  <si>
    <t>祝福5</t>
    <phoneticPr fontId="3" type="noConversion"/>
  </si>
  <si>
    <t>几率5</t>
    <phoneticPr fontId="3" type="noConversion"/>
  </si>
  <si>
    <t>祝福6</t>
    <phoneticPr fontId="3" type="noConversion"/>
  </si>
  <si>
    <t>技能</t>
    <phoneticPr fontId="3" type="noConversion"/>
  </si>
  <si>
    <t>11000-1</t>
    <phoneticPr fontId="3" type="noConversion"/>
  </si>
  <si>
    <t>技能</t>
    <phoneticPr fontId="3" type="noConversion"/>
  </si>
  <si>
    <t>11000-2:11001-1</t>
    <phoneticPr fontId="3" type="noConversion"/>
  </si>
  <si>
    <t>11000-3:11001-2:11002-1</t>
    <phoneticPr fontId="3" type="noConversion"/>
  </si>
  <si>
    <t>11000-4:11001-3:11002-1:11003-1</t>
    <phoneticPr fontId="3" type="noConversion"/>
  </si>
  <si>
    <t>11000-5:11001-4:11002-1:11003-1:11004-1</t>
    <phoneticPr fontId="3" type="noConversion"/>
  </si>
  <si>
    <t>11000-6:11001-5:11002-1:11003-1:11004-1</t>
    <phoneticPr fontId="3" type="noConversion"/>
  </si>
  <si>
    <t>11000-7:11001-6:11002-1:11003-1:11004-1</t>
    <phoneticPr fontId="3" type="noConversion"/>
  </si>
  <si>
    <t>skillid-skilllevel:skillid-skilllevel:…</t>
    <phoneticPr fontId="3" type="noConversion"/>
  </si>
  <si>
    <t>伤害反射2</t>
    <phoneticPr fontId="3" type="noConversion"/>
  </si>
  <si>
    <t>闪避2</t>
    <phoneticPr fontId="3" type="noConversion"/>
  </si>
  <si>
    <t>减伤2</t>
    <phoneticPr fontId="3" type="noConversion"/>
  </si>
  <si>
    <t>致命一击2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</si>
</sst>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sz val="10"/>
      <color theme="0"/>
      <name val="微软雅黑"/>
      <family val="2"/>
      <charset val="134"/>
    </font>
    <font>
      <sz val="10"/>
      <color rgb="FFFF0000"/>
      <name val="微软雅黑"/>
      <family val="2"/>
      <charset val="134"/>
    </font>
    <font>
      <sz val="10"/>
      <color theme="1"/>
      <name val="宋体"/>
      <family val="2"/>
      <scheme val="minor"/>
    </font>
    <font>
      <sz val="10"/>
      <color rgb="FFFF0000"/>
      <name val="宋体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7030A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4" fillId="5" borderId="5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5" fillId="5" borderId="3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0" xfId="0" applyNumberFormat="1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0" fontId="5" fillId="5" borderId="0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6" fillId="0" borderId="0" xfId="0" applyFont="1"/>
    <xf numFmtId="0" fontId="1" fillId="2" borderId="0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5" xfId="0" applyNumberFormat="1" applyFont="1" applyFill="1" applyBorder="1" applyAlignment="1">
      <alignment horizontal="center" vertical="center"/>
    </xf>
    <xf numFmtId="0" fontId="1" fillId="2" borderId="5" xfId="0" applyNumberFormat="1" applyFont="1" applyFill="1" applyBorder="1" applyAlignment="1">
      <alignment horizontal="left" vertical="center"/>
    </xf>
    <xf numFmtId="0" fontId="1" fillId="3" borderId="0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left" vertical="center"/>
    </xf>
    <xf numFmtId="0" fontId="1" fillId="4" borderId="0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7" fillId="0" borderId="0" xfId="0" applyFont="1"/>
  </cellXfs>
  <cellStyles count="1">
    <cellStyle name="常规" xfId="0" builtinId="0"/>
  </cellStyles>
  <dxfs count="2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13"/>
  <sheetViews>
    <sheetView tabSelected="1" workbookViewId="0">
      <pane xSplit="1" ySplit="1" topLeftCell="P2" activePane="bottomRight" state="frozen"/>
      <selection pane="topRight" activeCell="B1" sqref="B1"/>
      <selection pane="bottomLeft" activeCell="A2" sqref="A2"/>
      <selection pane="bottomRight" activeCell="Y23" sqref="Y23"/>
    </sheetView>
  </sheetViews>
  <sheetFormatPr defaultRowHeight="16.5" customHeight="1" x14ac:dyDescent="0.15"/>
  <cols>
    <col min="1" max="1" width="4.75" style="21" bestFit="1" customWidth="1"/>
    <col min="2" max="7" width="9" style="21"/>
    <col min="8" max="18" width="9" style="33"/>
    <col min="19" max="29" width="9" style="21"/>
    <col min="30" max="30" width="16" style="21" bestFit="1" customWidth="1"/>
    <col min="31" max="16384" width="9" style="21"/>
  </cols>
  <sheetData>
    <row r="1" spans="1:30" ht="16.5" customHeight="1" thickBot="1" x14ac:dyDescent="0.2">
      <c r="A1" s="18" t="s">
        <v>0</v>
      </c>
      <c r="B1" s="18" t="s">
        <v>16</v>
      </c>
      <c r="C1" s="18" t="s">
        <v>18</v>
      </c>
      <c r="D1" s="18" t="s">
        <v>14</v>
      </c>
      <c r="E1" s="13" t="s">
        <v>39</v>
      </c>
      <c r="F1" s="18" t="s">
        <v>1</v>
      </c>
      <c r="G1" s="19" t="s">
        <v>2</v>
      </c>
      <c r="H1" s="8" t="s">
        <v>40</v>
      </c>
      <c r="I1" s="8" t="s">
        <v>41</v>
      </c>
      <c r="J1" s="8" t="s">
        <v>42</v>
      </c>
      <c r="K1" s="8" t="s">
        <v>43</v>
      </c>
      <c r="L1" s="8" t="s">
        <v>45</v>
      </c>
      <c r="M1" s="8" t="s">
        <v>44</v>
      </c>
      <c r="N1" s="8" t="s">
        <v>46</v>
      </c>
      <c r="O1" s="8" t="s">
        <v>47</v>
      </c>
      <c r="P1" s="8" t="s">
        <v>48</v>
      </c>
      <c r="Q1" s="8" t="s">
        <v>49</v>
      </c>
      <c r="R1" s="8" t="s">
        <v>50</v>
      </c>
      <c r="S1" s="20" t="s">
        <v>12</v>
      </c>
      <c r="T1" s="20" t="s">
        <v>9</v>
      </c>
      <c r="U1" s="18" t="s">
        <v>3</v>
      </c>
      <c r="V1" s="18" t="s">
        <v>4</v>
      </c>
      <c r="W1" s="18" t="s">
        <v>5</v>
      </c>
      <c r="X1" s="18" t="s">
        <v>6</v>
      </c>
      <c r="Y1" s="18" t="s">
        <v>61</v>
      </c>
      <c r="Z1" s="18" t="s">
        <v>62</v>
      </c>
      <c r="AA1" s="18" t="s">
        <v>63</v>
      </c>
      <c r="AB1" s="19" t="s">
        <v>64</v>
      </c>
      <c r="AC1" s="20" t="s">
        <v>15</v>
      </c>
      <c r="AD1" s="20" t="s">
        <v>51</v>
      </c>
    </row>
    <row r="2" spans="1:30" ht="16.5" customHeight="1" x14ac:dyDescent="0.15">
      <c r="A2" s="22">
        <v>1</v>
      </c>
      <c r="B2" s="22">
        <v>50100</v>
      </c>
      <c r="C2" s="22">
        <v>50101</v>
      </c>
      <c r="D2" s="22">
        <v>10</v>
      </c>
      <c r="E2" s="14">
        <v>3</v>
      </c>
      <c r="F2" s="22">
        <v>1</v>
      </c>
      <c r="G2" s="23">
        <v>250</v>
      </c>
      <c r="H2" s="9">
        <v>1</v>
      </c>
      <c r="I2" s="9">
        <v>9400</v>
      </c>
      <c r="J2" s="9">
        <v>2</v>
      </c>
      <c r="K2" s="9">
        <v>9400</v>
      </c>
      <c r="L2" s="9">
        <v>7</v>
      </c>
      <c r="M2" s="9">
        <v>9400</v>
      </c>
      <c r="N2" s="9">
        <v>9</v>
      </c>
      <c r="O2" s="9">
        <v>8000</v>
      </c>
      <c r="P2" s="9">
        <v>9</v>
      </c>
      <c r="Q2" s="9">
        <v>8000</v>
      </c>
      <c r="R2" s="9">
        <f>D2</f>
        <v>10</v>
      </c>
      <c r="S2" s="24">
        <v>1</v>
      </c>
      <c r="T2" s="24">
        <v>3</v>
      </c>
      <c r="U2" s="22">
        <v>30</v>
      </c>
      <c r="V2" s="22">
        <v>2400</v>
      </c>
      <c r="W2" s="22">
        <v>280</v>
      </c>
      <c r="X2" s="22">
        <v>400</v>
      </c>
      <c r="Y2" s="22">
        <v>54</v>
      </c>
      <c r="Z2" s="22">
        <v>54</v>
      </c>
      <c r="AA2" s="22">
        <v>54</v>
      </c>
      <c r="AB2" s="22">
        <v>54</v>
      </c>
      <c r="AC2" s="24">
        <v>12</v>
      </c>
      <c r="AD2" s="25"/>
    </row>
    <row r="3" spans="1:30" ht="16.5" customHeight="1" x14ac:dyDescent="0.15">
      <c r="A3" s="22">
        <v>2</v>
      </c>
      <c r="B3" s="22">
        <v>50101</v>
      </c>
      <c r="C3" s="22">
        <v>50102</v>
      </c>
      <c r="D3" s="22">
        <v>20</v>
      </c>
      <c r="E3" s="14">
        <v>9</v>
      </c>
      <c r="F3" s="22">
        <v>1</v>
      </c>
      <c r="G3" s="23">
        <v>250</v>
      </c>
      <c r="H3" s="9">
        <v>2</v>
      </c>
      <c r="I3" s="9">
        <v>800</v>
      </c>
      <c r="J3" s="9">
        <v>8</v>
      </c>
      <c r="K3" s="9">
        <v>1000</v>
      </c>
      <c r="L3" s="9">
        <v>14</v>
      </c>
      <c r="M3" s="9">
        <v>2000</v>
      </c>
      <c r="N3" s="9">
        <v>18</v>
      </c>
      <c r="O3" s="9">
        <v>4500</v>
      </c>
      <c r="P3" s="9">
        <f t="shared" ref="P3:P12" si="0">D3*0.95</f>
        <v>19</v>
      </c>
      <c r="Q3" s="9">
        <v>4500</v>
      </c>
      <c r="R3" s="9">
        <f t="shared" ref="R3:R12" si="1">D3</f>
        <v>20</v>
      </c>
      <c r="S3" s="24">
        <v>1</v>
      </c>
      <c r="T3" s="24">
        <v>3</v>
      </c>
      <c r="U3" s="22">
        <v>32</v>
      </c>
      <c r="V3" s="22">
        <v>4800</v>
      </c>
      <c r="W3" s="22">
        <v>560</v>
      </c>
      <c r="X3" s="22">
        <v>800</v>
      </c>
      <c r="Y3" s="22">
        <v>81</v>
      </c>
      <c r="Z3" s="22">
        <v>81</v>
      </c>
      <c r="AA3" s="22">
        <v>81</v>
      </c>
      <c r="AB3" s="22">
        <v>81</v>
      </c>
      <c r="AC3" s="24">
        <v>24</v>
      </c>
      <c r="AD3" s="25"/>
    </row>
    <row r="4" spans="1:30" ht="16.5" customHeight="1" x14ac:dyDescent="0.15">
      <c r="A4" s="22">
        <v>3</v>
      </c>
      <c r="B4" s="22">
        <v>50102</v>
      </c>
      <c r="C4" s="22">
        <v>50103</v>
      </c>
      <c r="D4" s="22">
        <v>100</v>
      </c>
      <c r="E4" s="14">
        <v>15</v>
      </c>
      <c r="F4" s="22">
        <v>2</v>
      </c>
      <c r="G4" s="23">
        <v>500</v>
      </c>
      <c r="H4" s="9">
        <v>10</v>
      </c>
      <c r="I4" s="9">
        <v>400</v>
      </c>
      <c r="J4" s="9">
        <v>40</v>
      </c>
      <c r="K4" s="9">
        <v>600</v>
      </c>
      <c r="L4" s="9">
        <v>70</v>
      </c>
      <c r="M4" s="9">
        <v>2000</v>
      </c>
      <c r="N4" s="9">
        <v>90</v>
      </c>
      <c r="O4" s="9">
        <v>3000</v>
      </c>
      <c r="P4" s="9">
        <f t="shared" si="0"/>
        <v>95</v>
      </c>
      <c r="Q4" s="9">
        <v>3000</v>
      </c>
      <c r="R4" s="9">
        <f t="shared" si="1"/>
        <v>100</v>
      </c>
      <c r="S4" s="24">
        <v>2</v>
      </c>
      <c r="T4" s="24">
        <v>4</v>
      </c>
      <c r="U4" s="22">
        <v>34</v>
      </c>
      <c r="V4" s="22">
        <v>7200</v>
      </c>
      <c r="W4" s="22">
        <v>840</v>
      </c>
      <c r="X4" s="22">
        <v>1200</v>
      </c>
      <c r="Y4" s="22">
        <v>121</v>
      </c>
      <c r="Z4" s="22">
        <v>121</v>
      </c>
      <c r="AA4" s="22">
        <v>121</v>
      </c>
      <c r="AB4" s="22">
        <v>121</v>
      </c>
      <c r="AC4" s="24">
        <v>72</v>
      </c>
      <c r="AD4" s="25"/>
    </row>
    <row r="5" spans="1:30" ht="16.5" customHeight="1" x14ac:dyDescent="0.15">
      <c r="A5" s="22">
        <v>4</v>
      </c>
      <c r="B5" s="22">
        <v>50103</v>
      </c>
      <c r="C5" s="22">
        <v>50104</v>
      </c>
      <c r="D5" s="22">
        <v>400</v>
      </c>
      <c r="E5" s="14">
        <v>45</v>
      </c>
      <c r="F5" s="22">
        <v>3</v>
      </c>
      <c r="G5" s="23">
        <v>750</v>
      </c>
      <c r="H5" s="9">
        <v>40</v>
      </c>
      <c r="I5" s="9">
        <v>100</v>
      </c>
      <c r="J5" s="9">
        <v>160</v>
      </c>
      <c r="K5" s="9">
        <v>500</v>
      </c>
      <c r="L5" s="9">
        <v>280</v>
      </c>
      <c r="M5" s="9">
        <v>1000</v>
      </c>
      <c r="N5" s="9">
        <v>360</v>
      </c>
      <c r="O5" s="9">
        <v>2000</v>
      </c>
      <c r="P5" s="9">
        <f t="shared" si="0"/>
        <v>380</v>
      </c>
      <c r="Q5" s="9">
        <v>2000</v>
      </c>
      <c r="R5" s="9">
        <f t="shared" si="1"/>
        <v>400</v>
      </c>
      <c r="S5" s="24">
        <v>2</v>
      </c>
      <c r="T5" s="24">
        <v>6</v>
      </c>
      <c r="U5" s="22">
        <v>36</v>
      </c>
      <c r="V5" s="22">
        <v>9600</v>
      </c>
      <c r="W5" s="22">
        <v>1120</v>
      </c>
      <c r="X5" s="22">
        <v>1600</v>
      </c>
      <c r="Y5" s="22">
        <v>181</v>
      </c>
      <c r="Z5" s="22">
        <v>181</v>
      </c>
      <c r="AA5" s="22">
        <v>181</v>
      </c>
      <c r="AB5" s="22">
        <v>181</v>
      </c>
      <c r="AC5" s="24">
        <v>168</v>
      </c>
      <c r="AD5" s="25" t="s">
        <v>52</v>
      </c>
    </row>
    <row r="6" spans="1:30" ht="16.5" customHeight="1" x14ac:dyDescent="0.15">
      <c r="A6" s="26">
        <v>5</v>
      </c>
      <c r="B6" s="26">
        <v>50104</v>
      </c>
      <c r="C6" s="26">
        <v>50105</v>
      </c>
      <c r="D6" s="26">
        <v>800</v>
      </c>
      <c r="E6" s="15">
        <v>78</v>
      </c>
      <c r="F6" s="26">
        <v>4</v>
      </c>
      <c r="G6" s="27">
        <v>1000</v>
      </c>
      <c r="H6" s="10">
        <v>80</v>
      </c>
      <c r="I6" s="10">
        <v>100</v>
      </c>
      <c r="J6" s="10">
        <v>320</v>
      </c>
      <c r="K6" s="10">
        <v>400</v>
      </c>
      <c r="L6" s="10">
        <v>560</v>
      </c>
      <c r="M6" s="10">
        <v>1000</v>
      </c>
      <c r="N6" s="10">
        <v>720</v>
      </c>
      <c r="O6" s="10">
        <v>584</v>
      </c>
      <c r="P6" s="10">
        <f t="shared" si="0"/>
        <v>760</v>
      </c>
      <c r="Q6" s="10">
        <v>2613</v>
      </c>
      <c r="R6" s="10">
        <f t="shared" si="1"/>
        <v>800</v>
      </c>
      <c r="S6" s="28">
        <v>3</v>
      </c>
      <c r="T6" s="28">
        <v>7</v>
      </c>
      <c r="U6" s="26">
        <v>39</v>
      </c>
      <c r="V6" s="26">
        <v>12000</v>
      </c>
      <c r="W6" s="26">
        <v>1400</v>
      </c>
      <c r="X6" s="26">
        <v>2000</v>
      </c>
      <c r="Y6" s="26">
        <v>271</v>
      </c>
      <c r="Z6" s="26">
        <v>271</v>
      </c>
      <c r="AA6" s="26">
        <v>271</v>
      </c>
      <c r="AB6" s="26">
        <v>271</v>
      </c>
      <c r="AC6" s="28">
        <v>336</v>
      </c>
      <c r="AD6" s="29" t="s">
        <v>54</v>
      </c>
    </row>
    <row r="7" spans="1:30" ht="16.5" customHeight="1" x14ac:dyDescent="0.15">
      <c r="A7" s="26">
        <v>6</v>
      </c>
      <c r="B7" s="26">
        <v>50105</v>
      </c>
      <c r="C7" s="26">
        <v>50106</v>
      </c>
      <c r="D7" s="26">
        <v>1200</v>
      </c>
      <c r="E7" s="15">
        <v>180</v>
      </c>
      <c r="F7" s="26">
        <v>5</v>
      </c>
      <c r="G7" s="27">
        <v>1250</v>
      </c>
      <c r="H7" s="10">
        <v>120</v>
      </c>
      <c r="I7" s="10">
        <v>80</v>
      </c>
      <c r="J7" s="10">
        <v>480</v>
      </c>
      <c r="K7" s="10">
        <v>200</v>
      </c>
      <c r="L7" s="10">
        <v>840</v>
      </c>
      <c r="M7" s="10">
        <v>600</v>
      </c>
      <c r="N7" s="10">
        <v>1080</v>
      </c>
      <c r="O7" s="10">
        <v>35</v>
      </c>
      <c r="P7" s="10">
        <f t="shared" si="0"/>
        <v>1140</v>
      </c>
      <c r="Q7" s="10">
        <v>417</v>
      </c>
      <c r="R7" s="10">
        <f t="shared" si="1"/>
        <v>1200</v>
      </c>
      <c r="S7" s="28">
        <v>4</v>
      </c>
      <c r="T7" s="28">
        <v>8</v>
      </c>
      <c r="U7" s="26">
        <v>42</v>
      </c>
      <c r="V7" s="26">
        <v>14400</v>
      </c>
      <c r="W7" s="26">
        <v>1680</v>
      </c>
      <c r="X7" s="26">
        <v>2400</v>
      </c>
      <c r="Y7" s="26">
        <v>406</v>
      </c>
      <c r="Z7" s="26">
        <v>406</v>
      </c>
      <c r="AA7" s="26">
        <v>406</v>
      </c>
      <c r="AB7" s="26">
        <v>406</v>
      </c>
      <c r="AC7" s="28">
        <v>672</v>
      </c>
      <c r="AD7" s="29" t="s">
        <v>55</v>
      </c>
    </row>
    <row r="8" spans="1:30" ht="16.5" customHeight="1" x14ac:dyDescent="0.15">
      <c r="A8" s="30">
        <v>7</v>
      </c>
      <c r="B8" s="30">
        <v>50106</v>
      </c>
      <c r="C8" s="30">
        <v>50107</v>
      </c>
      <c r="D8" s="30">
        <v>2000</v>
      </c>
      <c r="E8" s="16">
        <v>380</v>
      </c>
      <c r="F8" s="30">
        <v>6</v>
      </c>
      <c r="G8" s="31">
        <v>1500</v>
      </c>
      <c r="H8" s="11">
        <v>200</v>
      </c>
      <c r="I8" s="11">
        <v>60</v>
      </c>
      <c r="J8" s="11">
        <v>800</v>
      </c>
      <c r="K8" s="11">
        <v>150</v>
      </c>
      <c r="L8" s="11">
        <v>1400</v>
      </c>
      <c r="M8" s="11">
        <v>300</v>
      </c>
      <c r="N8" s="11">
        <v>1800</v>
      </c>
      <c r="O8" s="11">
        <v>34</v>
      </c>
      <c r="P8" s="11">
        <f t="shared" si="0"/>
        <v>1900</v>
      </c>
      <c r="Q8" s="11">
        <v>307</v>
      </c>
      <c r="R8" s="11">
        <f t="shared" si="1"/>
        <v>2000</v>
      </c>
      <c r="S8" s="32">
        <v>5</v>
      </c>
      <c r="T8" s="32">
        <v>9</v>
      </c>
      <c r="U8" s="30">
        <v>46</v>
      </c>
      <c r="V8" s="30">
        <v>16800</v>
      </c>
      <c r="W8" s="30">
        <v>1960</v>
      </c>
      <c r="X8" s="30">
        <v>2800</v>
      </c>
      <c r="Y8" s="30">
        <v>609</v>
      </c>
      <c r="Z8" s="30">
        <v>609</v>
      </c>
      <c r="AA8" s="30">
        <v>609</v>
      </c>
      <c r="AB8" s="30">
        <v>609</v>
      </c>
      <c r="AC8" s="32">
        <v>1344</v>
      </c>
      <c r="AD8" s="29" t="s">
        <v>56</v>
      </c>
    </row>
    <row r="9" spans="1:30" ht="16.5" customHeight="1" x14ac:dyDescent="0.15">
      <c r="A9" s="30">
        <v>8</v>
      </c>
      <c r="B9" s="30">
        <v>50107</v>
      </c>
      <c r="C9" s="30">
        <v>50108</v>
      </c>
      <c r="D9" s="30">
        <v>4000</v>
      </c>
      <c r="E9" s="16">
        <v>720</v>
      </c>
      <c r="F9" s="30">
        <v>7</v>
      </c>
      <c r="G9" s="31">
        <v>1750</v>
      </c>
      <c r="H9" s="11">
        <v>400</v>
      </c>
      <c r="I9" s="11">
        <v>20</v>
      </c>
      <c r="J9" s="11">
        <v>1600</v>
      </c>
      <c r="K9" s="11">
        <v>170</v>
      </c>
      <c r="L9" s="11">
        <v>2800</v>
      </c>
      <c r="M9" s="11">
        <v>110</v>
      </c>
      <c r="N9" s="11">
        <v>3600</v>
      </c>
      <c r="O9" s="11">
        <v>135</v>
      </c>
      <c r="P9" s="11">
        <f t="shared" si="0"/>
        <v>3800</v>
      </c>
      <c r="Q9" s="11">
        <v>121</v>
      </c>
      <c r="R9" s="11">
        <f t="shared" si="1"/>
        <v>4000</v>
      </c>
      <c r="S9" s="32">
        <v>6</v>
      </c>
      <c r="T9" s="32">
        <v>10</v>
      </c>
      <c r="U9" s="30">
        <v>50</v>
      </c>
      <c r="V9" s="30">
        <v>19200</v>
      </c>
      <c r="W9" s="30">
        <v>2240</v>
      </c>
      <c r="X9" s="30">
        <v>3200</v>
      </c>
      <c r="Y9" s="30">
        <v>913</v>
      </c>
      <c r="Z9" s="30">
        <v>913</v>
      </c>
      <c r="AA9" s="30">
        <v>913</v>
      </c>
      <c r="AB9" s="30">
        <v>913</v>
      </c>
      <c r="AC9" s="32">
        <v>2688</v>
      </c>
      <c r="AD9" s="29" t="s">
        <v>57</v>
      </c>
    </row>
    <row r="10" spans="1:30" ht="16.5" customHeight="1" x14ac:dyDescent="0.15">
      <c r="A10" s="3">
        <v>9</v>
      </c>
      <c r="B10" s="3">
        <v>50108</v>
      </c>
      <c r="C10" s="3">
        <v>50109</v>
      </c>
      <c r="D10" s="3">
        <v>6000</v>
      </c>
      <c r="E10" s="17">
        <v>1250</v>
      </c>
      <c r="F10" s="3">
        <v>8</v>
      </c>
      <c r="G10" s="5">
        <v>2000</v>
      </c>
      <c r="H10" s="12">
        <v>600</v>
      </c>
      <c r="I10" s="12">
        <v>10</v>
      </c>
      <c r="J10" s="12">
        <v>2400</v>
      </c>
      <c r="K10" s="12">
        <v>150</v>
      </c>
      <c r="L10" s="12">
        <v>4200</v>
      </c>
      <c r="M10" s="12">
        <v>100</v>
      </c>
      <c r="N10" s="12">
        <v>5400</v>
      </c>
      <c r="O10" s="12">
        <v>14</v>
      </c>
      <c r="P10" s="12">
        <f t="shared" si="0"/>
        <v>5700</v>
      </c>
      <c r="Q10" s="12">
        <v>43</v>
      </c>
      <c r="R10" s="12">
        <f t="shared" si="1"/>
        <v>6000</v>
      </c>
      <c r="S10" s="7">
        <v>7</v>
      </c>
      <c r="T10" s="7">
        <v>11</v>
      </c>
      <c r="U10" s="3">
        <v>55</v>
      </c>
      <c r="V10" s="3">
        <v>21600</v>
      </c>
      <c r="W10" s="3">
        <v>2520</v>
      </c>
      <c r="X10" s="3">
        <v>3600</v>
      </c>
      <c r="Y10" s="3">
        <v>1369</v>
      </c>
      <c r="Z10" s="3">
        <v>1369</v>
      </c>
      <c r="AA10" s="3">
        <v>1369</v>
      </c>
      <c r="AB10" s="3">
        <v>1369</v>
      </c>
      <c r="AC10" s="7">
        <v>5376</v>
      </c>
      <c r="AD10" s="29" t="s">
        <v>58</v>
      </c>
    </row>
    <row r="11" spans="1:30" ht="16.5" customHeight="1" x14ac:dyDescent="0.15">
      <c r="A11" s="3">
        <v>10</v>
      </c>
      <c r="B11" s="3">
        <v>50109</v>
      </c>
      <c r="C11" s="3">
        <v>50110</v>
      </c>
      <c r="D11" s="3">
        <v>10000</v>
      </c>
      <c r="E11" s="17">
        <v>1600</v>
      </c>
      <c r="F11" s="3">
        <v>9</v>
      </c>
      <c r="G11" s="5">
        <v>2250</v>
      </c>
      <c r="H11" s="12">
        <v>1000</v>
      </c>
      <c r="I11" s="12">
        <v>10</v>
      </c>
      <c r="J11" s="12">
        <v>4000</v>
      </c>
      <c r="K11" s="12">
        <v>300</v>
      </c>
      <c r="L11" s="12">
        <v>7000</v>
      </c>
      <c r="M11" s="12">
        <v>100</v>
      </c>
      <c r="N11" s="12">
        <v>9000</v>
      </c>
      <c r="O11" s="12">
        <v>14</v>
      </c>
      <c r="P11" s="12">
        <f t="shared" si="0"/>
        <v>9500</v>
      </c>
      <c r="Q11" s="12">
        <v>43</v>
      </c>
      <c r="R11" s="12">
        <f t="shared" si="1"/>
        <v>10000</v>
      </c>
      <c r="S11" s="7">
        <v>8</v>
      </c>
      <c r="T11" s="7">
        <v>12</v>
      </c>
      <c r="U11" s="3">
        <v>60</v>
      </c>
      <c r="V11" s="3">
        <v>24000</v>
      </c>
      <c r="W11" s="3">
        <v>2800</v>
      </c>
      <c r="X11" s="3">
        <v>4000</v>
      </c>
      <c r="Y11" s="3">
        <v>2053</v>
      </c>
      <c r="Z11" s="3">
        <v>2053</v>
      </c>
      <c r="AA11" s="3">
        <v>2053</v>
      </c>
      <c r="AB11" s="3">
        <v>2053</v>
      </c>
      <c r="AC11" s="7">
        <v>10752</v>
      </c>
      <c r="AD11" s="29" t="s">
        <v>59</v>
      </c>
    </row>
    <row r="12" spans="1:30" ht="16.5" customHeight="1" x14ac:dyDescent="0.15">
      <c r="A12" s="3">
        <v>11</v>
      </c>
      <c r="B12" s="3">
        <v>50110</v>
      </c>
      <c r="C12" s="3">
        <v>50111</v>
      </c>
      <c r="D12" s="3">
        <v>15000</v>
      </c>
      <c r="E12" s="17">
        <v>2000</v>
      </c>
      <c r="F12" s="3">
        <v>10</v>
      </c>
      <c r="G12" s="5">
        <v>2500</v>
      </c>
      <c r="H12" s="12">
        <v>1500</v>
      </c>
      <c r="I12" s="12">
        <v>10</v>
      </c>
      <c r="J12" s="12">
        <v>6000</v>
      </c>
      <c r="K12" s="12">
        <v>180</v>
      </c>
      <c r="L12" s="12">
        <v>10500</v>
      </c>
      <c r="M12" s="12">
        <v>100</v>
      </c>
      <c r="N12" s="12">
        <v>13500</v>
      </c>
      <c r="O12" s="12">
        <v>14</v>
      </c>
      <c r="P12" s="12">
        <f t="shared" si="0"/>
        <v>14250</v>
      </c>
      <c r="Q12" s="12">
        <v>43</v>
      </c>
      <c r="R12" s="12">
        <f t="shared" si="1"/>
        <v>15000</v>
      </c>
      <c r="S12" s="7">
        <v>9</v>
      </c>
      <c r="T12" s="7">
        <v>13</v>
      </c>
      <c r="U12" s="3">
        <v>65</v>
      </c>
      <c r="V12" s="3">
        <v>26400</v>
      </c>
      <c r="W12" s="3">
        <v>3080</v>
      </c>
      <c r="X12" s="3">
        <v>4400</v>
      </c>
      <c r="Y12" s="3">
        <v>3080</v>
      </c>
      <c r="Z12" s="3">
        <v>3080</v>
      </c>
      <c r="AA12" s="3">
        <v>3080</v>
      </c>
      <c r="AB12" s="3">
        <v>3080</v>
      </c>
      <c r="AC12" s="7">
        <v>16128</v>
      </c>
      <c r="AD12" s="29" t="s">
        <v>59</v>
      </c>
    </row>
    <row r="13" spans="1:30" ht="16.5" customHeight="1" x14ac:dyDescent="0.15">
      <c r="A13" s="3">
        <v>12</v>
      </c>
      <c r="B13" s="3">
        <v>50111</v>
      </c>
      <c r="C13" s="3">
        <v>0</v>
      </c>
      <c r="D13" s="3">
        <v>20000</v>
      </c>
      <c r="E13" s="17">
        <v>2500</v>
      </c>
      <c r="F13" s="3">
        <v>11</v>
      </c>
      <c r="G13" s="5">
        <v>3000</v>
      </c>
      <c r="H13" s="12">
        <v>2000</v>
      </c>
      <c r="I13" s="12">
        <v>10</v>
      </c>
      <c r="J13" s="12">
        <v>8000</v>
      </c>
      <c r="K13" s="12">
        <v>31</v>
      </c>
      <c r="L13" s="12">
        <v>14000</v>
      </c>
      <c r="M13" s="12">
        <v>50</v>
      </c>
      <c r="N13" s="12">
        <v>18000</v>
      </c>
      <c r="O13" s="12">
        <v>14</v>
      </c>
      <c r="P13" s="12">
        <f t="shared" ref="P13" si="2">D13*0.95</f>
        <v>19000</v>
      </c>
      <c r="Q13" s="12">
        <v>43</v>
      </c>
      <c r="R13" s="12">
        <f t="shared" ref="R13" si="3">D13</f>
        <v>20000</v>
      </c>
      <c r="S13" s="7">
        <v>9</v>
      </c>
      <c r="T13" s="7">
        <v>13</v>
      </c>
      <c r="U13" s="3">
        <v>70</v>
      </c>
      <c r="V13" s="3">
        <v>28800</v>
      </c>
      <c r="W13" s="3">
        <v>3360</v>
      </c>
      <c r="X13" s="3">
        <v>4800</v>
      </c>
      <c r="Y13" s="3">
        <v>4620</v>
      </c>
      <c r="Z13" s="3">
        <v>4620</v>
      </c>
      <c r="AA13" s="3">
        <v>4620</v>
      </c>
      <c r="AB13" s="3">
        <v>4620</v>
      </c>
      <c r="AC13" s="7">
        <v>21504</v>
      </c>
      <c r="AD13" s="29" t="s">
        <v>59</v>
      </c>
    </row>
  </sheetData>
  <phoneticPr fontId="3" type="noConversion"/>
  <conditionalFormatting sqref="V2:X5">
    <cfRule type="cellIs" dxfId="1" priority="6" operator="equal">
      <formula>0</formula>
    </cfRule>
  </conditionalFormatting>
  <conditionalFormatting sqref="Y2:AB5">
    <cfRule type="cellIs" dxfId="0" priority="4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1"/>
  <sheetViews>
    <sheetView workbookViewId="0">
      <selection activeCell="B22" sqref="B22"/>
    </sheetView>
  </sheetViews>
  <sheetFormatPr defaultRowHeight="13.5" x14ac:dyDescent="0.15"/>
  <sheetData>
    <row r="1" spans="1:2" ht="17.25" thickBot="1" x14ac:dyDescent="0.2">
      <c r="A1" s="1" t="s">
        <v>0</v>
      </c>
      <c r="B1" t="s">
        <v>19</v>
      </c>
    </row>
    <row r="2" spans="1:2" ht="17.25" thickBot="1" x14ac:dyDescent="0.2">
      <c r="A2" s="1" t="s">
        <v>16</v>
      </c>
      <c r="B2" t="s">
        <v>20</v>
      </c>
    </row>
    <row r="3" spans="1:2" ht="17.25" thickBot="1" x14ac:dyDescent="0.2">
      <c r="A3" s="1" t="s">
        <v>17</v>
      </c>
    </row>
    <row r="4" spans="1:2" ht="17.25" thickBot="1" x14ac:dyDescent="0.2">
      <c r="A4" s="1" t="s">
        <v>18</v>
      </c>
      <c r="B4" t="s">
        <v>21</v>
      </c>
    </row>
    <row r="5" spans="1:2" ht="17.25" thickBot="1" x14ac:dyDescent="0.2">
      <c r="A5" s="2" t="s">
        <v>11</v>
      </c>
      <c r="B5" t="s">
        <v>23</v>
      </c>
    </row>
    <row r="6" spans="1:2" ht="17.25" thickBot="1" x14ac:dyDescent="0.2">
      <c r="A6" s="1" t="s">
        <v>14</v>
      </c>
      <c r="B6" t="s">
        <v>22</v>
      </c>
    </row>
    <row r="7" spans="1:2" ht="17.25" thickBot="1" x14ac:dyDescent="0.2">
      <c r="A7" s="1" t="s">
        <v>10</v>
      </c>
      <c r="B7" t="s">
        <v>24</v>
      </c>
    </row>
    <row r="8" spans="1:2" ht="17.25" thickBot="1" x14ac:dyDescent="0.2">
      <c r="A8" s="1" t="s">
        <v>1</v>
      </c>
      <c r="B8" t="s">
        <v>25</v>
      </c>
    </row>
    <row r="9" spans="1:2" ht="17.25" thickBot="1" x14ac:dyDescent="0.2">
      <c r="A9" s="4" t="s">
        <v>2</v>
      </c>
      <c r="B9" t="s">
        <v>26</v>
      </c>
    </row>
    <row r="10" spans="1:2" ht="17.25" thickBot="1" x14ac:dyDescent="0.2">
      <c r="A10" s="6" t="s">
        <v>12</v>
      </c>
      <c r="B10" t="s">
        <v>27</v>
      </c>
    </row>
    <row r="11" spans="1:2" ht="17.25" thickBot="1" x14ac:dyDescent="0.2">
      <c r="A11" s="6" t="s">
        <v>9</v>
      </c>
      <c r="B11" t="s">
        <v>28</v>
      </c>
    </row>
    <row r="12" spans="1:2" ht="17.25" thickBot="1" x14ac:dyDescent="0.2">
      <c r="A12" s="1" t="s">
        <v>3</v>
      </c>
      <c r="B12" t="s">
        <v>29</v>
      </c>
    </row>
    <row r="13" spans="1:2" ht="17.25" thickBot="1" x14ac:dyDescent="0.2">
      <c r="A13" s="1" t="s">
        <v>4</v>
      </c>
      <c r="B13" t="s">
        <v>30</v>
      </c>
    </row>
    <row r="14" spans="1:2" ht="17.25" thickBot="1" x14ac:dyDescent="0.2">
      <c r="A14" s="1" t="s">
        <v>5</v>
      </c>
      <c r="B14" t="s">
        <v>32</v>
      </c>
    </row>
    <row r="15" spans="1:2" ht="17.25" thickBot="1" x14ac:dyDescent="0.2">
      <c r="A15" s="1" t="s">
        <v>6</v>
      </c>
      <c r="B15" t="s">
        <v>31</v>
      </c>
    </row>
    <row r="16" spans="1:2" ht="17.25" thickBot="1" x14ac:dyDescent="0.2">
      <c r="A16" s="1" t="s">
        <v>13</v>
      </c>
      <c r="B16" t="s">
        <v>33</v>
      </c>
    </row>
    <row r="17" spans="1:2" ht="17.25" thickBot="1" x14ac:dyDescent="0.2">
      <c r="A17" s="1" t="s">
        <v>7</v>
      </c>
      <c r="B17" t="s">
        <v>34</v>
      </c>
    </row>
    <row r="18" spans="1:2" ht="17.25" thickBot="1" x14ac:dyDescent="0.2">
      <c r="A18" s="1" t="s">
        <v>8</v>
      </c>
      <c r="B18" t="s">
        <v>35</v>
      </c>
    </row>
    <row r="19" spans="1:2" ht="17.25" thickBot="1" x14ac:dyDescent="0.2">
      <c r="A19" s="4" t="s">
        <v>37</v>
      </c>
      <c r="B19" t="s">
        <v>38</v>
      </c>
    </row>
    <row r="20" spans="1:2" ht="17.25" thickBot="1" x14ac:dyDescent="0.2">
      <c r="A20" s="6" t="s">
        <v>15</v>
      </c>
      <c r="B20" t="s">
        <v>36</v>
      </c>
    </row>
    <row r="21" spans="1:2" ht="17.25" thickBot="1" x14ac:dyDescent="0.2">
      <c r="A21" s="6" t="s">
        <v>53</v>
      </c>
      <c r="B21" t="s">
        <v>60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3.5" x14ac:dyDescent="0.15"/>
  <sheetData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字段说明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2013-12-20T07:40:21Z</dcterms:modified>
</cp:coreProperties>
</file>
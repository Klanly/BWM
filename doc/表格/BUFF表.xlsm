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0" yWindow="300" windowWidth="15600" windowHeight="12345" tabRatio="518"/>
  </bookViews>
  <sheets>
    <sheet name="Sheet1" sheetId="1" r:id="rId1"/>
    <sheet name="字段说明" sheetId="2" r:id="rId2"/>
    <sheet name="ID段划分备注" sheetId="3" r:id="rId3"/>
  </sheets>
  <externalReferences>
    <externalReference r:id="rId4"/>
  </externalReferences>
  <definedNames>
    <definedName name="_xlnm._FilterDatabase" localSheetId="0" hidden="1">Sheet1!$U$1:$U$1293</definedName>
    <definedName name="不可叠加" localSheetId="2">ID段划分备注!$A$10:$B$28</definedName>
  </definedNames>
  <calcPr calcId="144525"/>
</workbook>
</file>

<file path=xl/calcChain.xml><?xml version="1.0" encoding="utf-8"?>
<calcChain xmlns="http://schemas.openxmlformats.org/spreadsheetml/2006/main">
  <c r="C226" i="1" l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Z247" i="1" l="1"/>
  <c r="Z246" i="1"/>
  <c r="Z245" i="1"/>
  <c r="Z248" i="1"/>
  <c r="Z254" i="1"/>
  <c r="Z253" i="1"/>
  <c r="Z252" i="1"/>
  <c r="Z251" i="1"/>
  <c r="Z250" i="1"/>
  <c r="Z249" i="1"/>
  <c r="Z186" i="1"/>
  <c r="Z187" i="1"/>
  <c r="Z185" i="1"/>
  <c r="Z184" i="1"/>
  <c r="Z183" i="1"/>
  <c r="Z181" i="1"/>
  <c r="Z182" i="1"/>
  <c r="Z179" i="1"/>
  <c r="Z180" i="1"/>
  <c r="Z178" i="1"/>
  <c r="Z177" i="1"/>
  <c r="Z176" i="1"/>
  <c r="Z175" i="1"/>
  <c r="Z173" i="1"/>
  <c r="Z174" i="1"/>
  <c r="Z172" i="1"/>
  <c r="Z171" i="1"/>
  <c r="Z166" i="1"/>
  <c r="Z165" i="1"/>
  <c r="Z148" i="1"/>
  <c r="Z122" i="1"/>
  <c r="Z121" i="1"/>
  <c r="Z120" i="1"/>
  <c r="Z119" i="1"/>
  <c r="M244" i="1" l="1"/>
  <c r="M243" i="1" l="1"/>
  <c r="M242" i="1" l="1"/>
  <c r="M241" i="1"/>
  <c r="M240" i="1" l="1"/>
  <c r="M239" i="1" l="1"/>
  <c r="M238" i="1"/>
  <c r="C189" i="1" l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188" i="1"/>
  <c r="Z274" i="1" l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59" i="1"/>
  <c r="C269" i="1"/>
  <c r="M269" i="1"/>
  <c r="C270" i="1"/>
  <c r="M270" i="1"/>
  <c r="C271" i="1"/>
  <c r="M271" i="1"/>
  <c r="C272" i="1"/>
  <c r="M272" i="1"/>
  <c r="C273" i="1"/>
  <c r="M273" i="1"/>
  <c r="C274" i="1"/>
  <c r="M274" i="1"/>
  <c r="C275" i="1"/>
  <c r="M275" i="1"/>
  <c r="C276" i="1"/>
  <c r="M276" i="1"/>
  <c r="C277" i="1"/>
  <c r="M277" i="1"/>
  <c r="C278" i="1"/>
  <c r="M278" i="1"/>
  <c r="C279" i="1"/>
  <c r="M279" i="1"/>
  <c r="C280" i="1"/>
  <c r="M280" i="1"/>
  <c r="C281" i="1"/>
  <c r="M281" i="1"/>
  <c r="C282" i="1"/>
  <c r="M282" i="1"/>
  <c r="C283" i="1"/>
  <c r="M283" i="1"/>
  <c r="C284" i="1"/>
  <c r="M284" i="1"/>
  <c r="C285" i="1"/>
  <c r="M285" i="1"/>
  <c r="C286" i="1"/>
  <c r="M286" i="1"/>
  <c r="C287" i="1"/>
  <c r="M287" i="1"/>
  <c r="C288" i="1"/>
  <c r="M288" i="1"/>
  <c r="C289" i="1"/>
  <c r="M289" i="1"/>
  <c r="C290" i="1"/>
  <c r="M290" i="1"/>
  <c r="C291" i="1"/>
  <c r="M291" i="1"/>
  <c r="C292" i="1"/>
  <c r="M292" i="1"/>
  <c r="C293" i="1"/>
  <c r="M293" i="1"/>
  <c r="C294" i="1"/>
  <c r="M294" i="1"/>
  <c r="C295" i="1"/>
  <c r="M295" i="1"/>
  <c r="C296" i="1"/>
  <c r="M296" i="1"/>
  <c r="C297" i="1"/>
  <c r="M297" i="1"/>
  <c r="C298" i="1"/>
  <c r="M298" i="1"/>
  <c r="C299" i="1"/>
  <c r="M299" i="1"/>
  <c r="C300" i="1"/>
  <c r="M300" i="1"/>
  <c r="C301" i="1"/>
  <c r="M301" i="1"/>
  <c r="C302" i="1"/>
  <c r="M302" i="1"/>
  <c r="C303" i="1"/>
  <c r="M303" i="1"/>
  <c r="C304" i="1"/>
  <c r="M304" i="1"/>
  <c r="C305" i="1"/>
  <c r="M305" i="1"/>
  <c r="C306" i="1"/>
  <c r="M306" i="1"/>
  <c r="C307" i="1"/>
  <c r="M307" i="1"/>
  <c r="C308" i="1"/>
  <c r="M308" i="1"/>
  <c r="C309" i="1"/>
  <c r="M309" i="1"/>
  <c r="C310" i="1"/>
  <c r="M310" i="1"/>
  <c r="C311" i="1"/>
  <c r="M311" i="1"/>
  <c r="C312" i="1"/>
  <c r="M312" i="1"/>
  <c r="C313" i="1"/>
  <c r="M313" i="1"/>
  <c r="C314" i="1"/>
  <c r="M314" i="1"/>
  <c r="C315" i="1"/>
  <c r="M315" i="1"/>
  <c r="C316" i="1"/>
  <c r="M316" i="1"/>
  <c r="C317" i="1"/>
  <c r="M317" i="1"/>
  <c r="C318" i="1"/>
  <c r="M318" i="1"/>
  <c r="M268" i="1"/>
  <c r="C268" i="1"/>
  <c r="M267" i="1"/>
  <c r="C267" i="1"/>
  <c r="M266" i="1"/>
  <c r="C266" i="1"/>
  <c r="M265" i="1"/>
  <c r="C265" i="1"/>
  <c r="M264" i="1"/>
  <c r="C264" i="1"/>
  <c r="M263" i="1"/>
  <c r="C263" i="1"/>
  <c r="M262" i="1"/>
  <c r="C262" i="1"/>
  <c r="M261" i="1"/>
  <c r="C261" i="1"/>
  <c r="M260" i="1"/>
  <c r="C260" i="1"/>
  <c r="M259" i="1"/>
  <c r="C259" i="1"/>
  <c r="C637" i="1" l="1"/>
  <c r="M237" i="1" l="1"/>
  <c r="Z704" i="1" l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03" i="1"/>
  <c r="C1288" i="1" l="1"/>
  <c r="M1288" i="1"/>
  <c r="AA1284" i="1" l="1"/>
  <c r="Z1284" i="1" s="1"/>
  <c r="AA1285" i="1"/>
  <c r="Z1285" i="1" s="1"/>
  <c r="AA1286" i="1"/>
  <c r="Z1286" i="1" s="1"/>
  <c r="AA1287" i="1"/>
  <c r="Z1287" i="1" s="1"/>
  <c r="AA1283" i="1"/>
  <c r="C1283" i="1" l="1"/>
  <c r="M1283" i="1"/>
  <c r="C1284" i="1"/>
  <c r="M1284" i="1"/>
  <c r="C1285" i="1"/>
  <c r="M1285" i="1"/>
  <c r="C1286" i="1"/>
  <c r="M1286" i="1"/>
  <c r="C1287" i="1"/>
  <c r="M1287" i="1"/>
  <c r="C1253" i="1" l="1"/>
  <c r="M1253" i="1"/>
  <c r="Z1253" i="1"/>
  <c r="C1254" i="1"/>
  <c r="M1254" i="1"/>
  <c r="Z1254" i="1"/>
  <c r="C1255" i="1"/>
  <c r="M1255" i="1"/>
  <c r="Z1255" i="1"/>
  <c r="C1256" i="1"/>
  <c r="M1256" i="1"/>
  <c r="Z1256" i="1"/>
  <c r="C1257" i="1"/>
  <c r="M1257" i="1"/>
  <c r="Z1257" i="1"/>
  <c r="C1258" i="1"/>
  <c r="M1258" i="1"/>
  <c r="Z1258" i="1"/>
  <c r="C1259" i="1"/>
  <c r="M1259" i="1"/>
  <c r="Z1259" i="1"/>
  <c r="C1260" i="1"/>
  <c r="M1260" i="1"/>
  <c r="Z1260" i="1"/>
  <c r="C1261" i="1"/>
  <c r="M1261" i="1"/>
  <c r="Z1261" i="1"/>
  <c r="C1262" i="1"/>
  <c r="M1262" i="1"/>
  <c r="Z1262" i="1"/>
  <c r="C1263" i="1"/>
  <c r="M1263" i="1"/>
  <c r="Z1263" i="1"/>
  <c r="C1264" i="1"/>
  <c r="M1264" i="1"/>
  <c r="Z1264" i="1"/>
  <c r="C1265" i="1"/>
  <c r="M1265" i="1"/>
  <c r="Z1265" i="1"/>
  <c r="C1266" i="1"/>
  <c r="M1266" i="1"/>
  <c r="Z1266" i="1"/>
  <c r="C1267" i="1"/>
  <c r="M1267" i="1"/>
  <c r="Z1267" i="1"/>
  <c r="C1268" i="1"/>
  <c r="M1268" i="1"/>
  <c r="Z1268" i="1"/>
  <c r="C1269" i="1"/>
  <c r="M1269" i="1"/>
  <c r="Z1269" i="1"/>
  <c r="C1270" i="1"/>
  <c r="M1270" i="1"/>
  <c r="Z1270" i="1"/>
  <c r="C1271" i="1"/>
  <c r="M1271" i="1"/>
  <c r="Z1271" i="1"/>
  <c r="C1272" i="1"/>
  <c r="M1272" i="1"/>
  <c r="Z1272" i="1"/>
  <c r="C1273" i="1"/>
  <c r="M1273" i="1"/>
  <c r="Z1273" i="1"/>
  <c r="C1274" i="1"/>
  <c r="M1274" i="1"/>
  <c r="Z1274" i="1"/>
  <c r="C1275" i="1"/>
  <c r="M1275" i="1"/>
  <c r="Z1275" i="1"/>
  <c r="C1276" i="1"/>
  <c r="M1276" i="1"/>
  <c r="Z1276" i="1"/>
  <c r="C1277" i="1"/>
  <c r="M1277" i="1"/>
  <c r="Z1277" i="1"/>
  <c r="C1278" i="1"/>
  <c r="M1278" i="1"/>
  <c r="Z1278" i="1"/>
  <c r="C1279" i="1"/>
  <c r="M1279" i="1"/>
  <c r="Z1279" i="1"/>
  <c r="C1280" i="1"/>
  <c r="M1280" i="1"/>
  <c r="Z1280" i="1"/>
  <c r="C1281" i="1"/>
  <c r="M1281" i="1"/>
  <c r="Z1281" i="1"/>
  <c r="C1282" i="1"/>
  <c r="M1282" i="1"/>
  <c r="Z1282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28" i="1"/>
  <c r="C1229" i="1"/>
  <c r="M1229" i="1"/>
  <c r="C1230" i="1"/>
  <c r="M1230" i="1"/>
  <c r="C1231" i="1"/>
  <c r="M1231" i="1"/>
  <c r="C1232" i="1"/>
  <c r="M1232" i="1"/>
  <c r="C1233" i="1"/>
  <c r="M1233" i="1"/>
  <c r="C1234" i="1"/>
  <c r="M1234" i="1"/>
  <c r="C1235" i="1"/>
  <c r="M1235" i="1"/>
  <c r="C1236" i="1"/>
  <c r="M1236" i="1"/>
  <c r="C1237" i="1"/>
  <c r="M1237" i="1"/>
  <c r="C1238" i="1"/>
  <c r="M1238" i="1"/>
  <c r="C1239" i="1"/>
  <c r="M1239" i="1"/>
  <c r="C1240" i="1"/>
  <c r="M1240" i="1"/>
  <c r="C1241" i="1"/>
  <c r="M1241" i="1"/>
  <c r="C1242" i="1"/>
  <c r="M1242" i="1"/>
  <c r="C1243" i="1"/>
  <c r="M1243" i="1"/>
  <c r="C1244" i="1"/>
  <c r="M1244" i="1"/>
  <c r="C1245" i="1"/>
  <c r="M1245" i="1"/>
  <c r="C1246" i="1"/>
  <c r="M1246" i="1"/>
  <c r="C1247" i="1"/>
  <c r="M1247" i="1"/>
  <c r="C1248" i="1"/>
  <c r="M1248" i="1"/>
  <c r="C1249" i="1"/>
  <c r="M1249" i="1"/>
  <c r="C1250" i="1"/>
  <c r="M1250" i="1"/>
  <c r="C1251" i="1"/>
  <c r="M1251" i="1"/>
  <c r="C1252" i="1"/>
  <c r="M1252" i="1"/>
  <c r="M1228" i="1"/>
  <c r="C1228" i="1"/>
  <c r="M236" i="1" l="1"/>
  <c r="M235" i="1"/>
  <c r="M234" i="1"/>
  <c r="M1141" i="1" l="1"/>
  <c r="AA1111" i="1"/>
  <c r="AA1112" i="1"/>
  <c r="Z1112" i="1" s="1"/>
  <c r="AA1113" i="1"/>
  <c r="Z1113" i="1" s="1"/>
  <c r="AA1114" i="1"/>
  <c r="Z1114" i="1" s="1"/>
  <c r="AA1115" i="1"/>
  <c r="AA1116" i="1"/>
  <c r="Z1116" i="1" s="1"/>
  <c r="AA1117" i="1"/>
  <c r="Z1117" i="1" s="1"/>
  <c r="AA1118" i="1"/>
  <c r="AA1119" i="1"/>
  <c r="Z1119" i="1" s="1"/>
  <c r="AA1120" i="1"/>
  <c r="Z1120" i="1" s="1"/>
  <c r="AA1121" i="1"/>
  <c r="Z1121" i="1" s="1"/>
  <c r="AA1122" i="1"/>
  <c r="AA1123" i="1"/>
  <c r="Z1123" i="1" s="1"/>
  <c r="AA1124" i="1"/>
  <c r="Z1124" i="1" s="1"/>
  <c r="AA1125" i="1"/>
  <c r="Z1125" i="1" s="1"/>
  <c r="AA1126" i="1"/>
  <c r="AA1127" i="1"/>
  <c r="Z1127" i="1" s="1"/>
  <c r="AA1128" i="1"/>
  <c r="Z1128" i="1" s="1"/>
  <c r="AA1129" i="1"/>
  <c r="Z1129" i="1" s="1"/>
  <c r="AA1130" i="1"/>
  <c r="Z1130" i="1" s="1"/>
  <c r="AA1131" i="1"/>
  <c r="Z1131" i="1" s="1"/>
  <c r="AA1132" i="1"/>
  <c r="Z1132" i="1" s="1"/>
  <c r="AA1133" i="1"/>
  <c r="Z1133" i="1" s="1"/>
  <c r="AA1134" i="1"/>
  <c r="AA1135" i="1"/>
  <c r="Z1135" i="1" s="1"/>
  <c r="AA1136" i="1"/>
  <c r="Z1136" i="1" s="1"/>
  <c r="AA1137" i="1"/>
  <c r="Z1137" i="1" s="1"/>
  <c r="AA1138" i="1"/>
  <c r="Z1138" i="1" s="1"/>
  <c r="AA1139" i="1"/>
  <c r="Z1139" i="1" s="1"/>
  <c r="AA1140" i="1"/>
  <c r="Z1140" i="1" s="1"/>
  <c r="C1111" i="1"/>
  <c r="M1111" i="1"/>
  <c r="Z1111" i="1"/>
  <c r="C1112" i="1"/>
  <c r="M1112" i="1"/>
  <c r="C1113" i="1"/>
  <c r="M1113" i="1"/>
  <c r="C1114" i="1"/>
  <c r="M1114" i="1"/>
  <c r="C1115" i="1"/>
  <c r="M1115" i="1"/>
  <c r="Z1115" i="1"/>
  <c r="C1116" i="1"/>
  <c r="M1116" i="1"/>
  <c r="C1117" i="1"/>
  <c r="M1117" i="1"/>
  <c r="C1118" i="1"/>
  <c r="M1118" i="1"/>
  <c r="Z1118" i="1"/>
  <c r="C1119" i="1"/>
  <c r="M1119" i="1"/>
  <c r="C1120" i="1"/>
  <c r="M1120" i="1"/>
  <c r="C1121" i="1"/>
  <c r="M1121" i="1"/>
  <c r="C1122" i="1"/>
  <c r="M1122" i="1"/>
  <c r="Z1122" i="1"/>
  <c r="C1123" i="1"/>
  <c r="M1123" i="1"/>
  <c r="C1124" i="1"/>
  <c r="M1124" i="1"/>
  <c r="C1125" i="1"/>
  <c r="M1125" i="1"/>
  <c r="C1126" i="1"/>
  <c r="M1126" i="1"/>
  <c r="Z1126" i="1"/>
  <c r="C1127" i="1"/>
  <c r="M1127" i="1"/>
  <c r="C1128" i="1"/>
  <c r="M1128" i="1"/>
  <c r="C1129" i="1"/>
  <c r="M1129" i="1"/>
  <c r="C1130" i="1"/>
  <c r="M1130" i="1"/>
  <c r="C1131" i="1"/>
  <c r="M1131" i="1"/>
  <c r="C1132" i="1"/>
  <c r="M1132" i="1"/>
  <c r="C1133" i="1"/>
  <c r="M1133" i="1"/>
  <c r="C1134" i="1"/>
  <c r="M1134" i="1"/>
  <c r="Z1134" i="1"/>
  <c r="C1135" i="1"/>
  <c r="M1135" i="1"/>
  <c r="C1136" i="1"/>
  <c r="M1136" i="1"/>
  <c r="C1137" i="1"/>
  <c r="M1137" i="1"/>
  <c r="C1138" i="1"/>
  <c r="M1138" i="1"/>
  <c r="C1139" i="1"/>
  <c r="M1139" i="1"/>
  <c r="C1140" i="1"/>
  <c r="M1140" i="1"/>
  <c r="AA1087" i="1"/>
  <c r="Z1087" i="1" s="1"/>
  <c r="AA1088" i="1"/>
  <c r="Z1088" i="1" s="1"/>
  <c r="AA1089" i="1"/>
  <c r="Z1089" i="1" s="1"/>
  <c r="AA1090" i="1"/>
  <c r="Z1090" i="1" s="1"/>
  <c r="AA1091" i="1"/>
  <c r="Z1091" i="1" s="1"/>
  <c r="AA1092" i="1"/>
  <c r="Z1092" i="1" s="1"/>
  <c r="AA1093" i="1"/>
  <c r="Z1093" i="1" s="1"/>
  <c r="AA1094" i="1"/>
  <c r="Z1094" i="1" s="1"/>
  <c r="AA1095" i="1"/>
  <c r="Z1095" i="1" s="1"/>
  <c r="AA1096" i="1"/>
  <c r="Z1096" i="1" s="1"/>
  <c r="AA1097" i="1"/>
  <c r="Z1097" i="1" s="1"/>
  <c r="AA1098" i="1"/>
  <c r="Z1098" i="1" s="1"/>
  <c r="AA1099" i="1"/>
  <c r="Z1099" i="1" s="1"/>
  <c r="AA1100" i="1"/>
  <c r="Z1100" i="1" s="1"/>
  <c r="AA1101" i="1"/>
  <c r="Z1101" i="1" s="1"/>
  <c r="AA1102" i="1"/>
  <c r="Z1102" i="1" s="1"/>
  <c r="AA1103" i="1"/>
  <c r="Z1103" i="1" s="1"/>
  <c r="AA1104" i="1"/>
  <c r="Z1104" i="1" s="1"/>
  <c r="AA1105" i="1"/>
  <c r="Z1105" i="1" s="1"/>
  <c r="AA1106" i="1"/>
  <c r="Z1106" i="1" s="1"/>
  <c r="AA1107" i="1"/>
  <c r="Z1107" i="1" s="1"/>
  <c r="AA1108" i="1"/>
  <c r="Z1108" i="1" s="1"/>
  <c r="AA1109" i="1"/>
  <c r="Z1109" i="1" s="1"/>
  <c r="AA1110" i="1"/>
  <c r="Z1110" i="1" s="1"/>
  <c r="AA1086" i="1"/>
  <c r="Z1086" i="1" s="1"/>
  <c r="C1101" i="1"/>
  <c r="M1101" i="1"/>
  <c r="C1102" i="1"/>
  <c r="M1102" i="1"/>
  <c r="C1103" i="1"/>
  <c r="M1103" i="1"/>
  <c r="C1104" i="1"/>
  <c r="M1104" i="1"/>
  <c r="C1105" i="1"/>
  <c r="M1105" i="1"/>
  <c r="C1106" i="1"/>
  <c r="M1106" i="1"/>
  <c r="C1107" i="1"/>
  <c r="M1107" i="1"/>
  <c r="C1108" i="1"/>
  <c r="M1108" i="1"/>
  <c r="C1109" i="1"/>
  <c r="M1109" i="1"/>
  <c r="C1110" i="1"/>
  <c r="M1110" i="1"/>
  <c r="M1100" i="1"/>
  <c r="C1100" i="1"/>
  <c r="M1099" i="1"/>
  <c r="C1099" i="1"/>
  <c r="M1098" i="1"/>
  <c r="C1098" i="1"/>
  <c r="M1097" i="1"/>
  <c r="C1097" i="1"/>
  <c r="M1096" i="1"/>
  <c r="C1096" i="1"/>
  <c r="M1095" i="1"/>
  <c r="C1095" i="1"/>
  <c r="M1094" i="1"/>
  <c r="C1094" i="1"/>
  <c r="M1093" i="1"/>
  <c r="C1093" i="1"/>
  <c r="M1092" i="1"/>
  <c r="C1092" i="1"/>
  <c r="M1091" i="1"/>
  <c r="C1091" i="1"/>
  <c r="M1090" i="1"/>
  <c r="C1090" i="1"/>
  <c r="M1089" i="1"/>
  <c r="C1089" i="1"/>
  <c r="M1088" i="1"/>
  <c r="C1088" i="1"/>
  <c r="M1087" i="1"/>
  <c r="C1087" i="1"/>
  <c r="M1086" i="1"/>
  <c r="C1086" i="1"/>
  <c r="M881" i="1" l="1"/>
  <c r="C881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66" i="1"/>
  <c r="C867" i="1"/>
  <c r="M867" i="1"/>
  <c r="C868" i="1"/>
  <c r="M868" i="1"/>
  <c r="C869" i="1"/>
  <c r="M869" i="1"/>
  <c r="C870" i="1"/>
  <c r="M870" i="1"/>
  <c r="C871" i="1"/>
  <c r="M871" i="1"/>
  <c r="C872" i="1"/>
  <c r="M872" i="1"/>
  <c r="C873" i="1"/>
  <c r="M873" i="1"/>
  <c r="C874" i="1"/>
  <c r="M874" i="1"/>
  <c r="C875" i="1"/>
  <c r="M875" i="1"/>
  <c r="C876" i="1"/>
  <c r="M876" i="1"/>
  <c r="C877" i="1"/>
  <c r="M877" i="1"/>
  <c r="C878" i="1"/>
  <c r="M878" i="1"/>
  <c r="C879" i="1"/>
  <c r="M879" i="1"/>
  <c r="C880" i="1"/>
  <c r="M880" i="1"/>
  <c r="M866" i="1"/>
  <c r="C866" i="1"/>
  <c r="Z877" i="1" l="1"/>
  <c r="Z869" i="1"/>
  <c r="Z866" i="1"/>
  <c r="Z873" i="1"/>
  <c r="Z878" i="1"/>
  <c r="Z874" i="1"/>
  <c r="Z870" i="1"/>
  <c r="Z880" i="1"/>
  <c r="Z868" i="1"/>
  <c r="Z876" i="1"/>
  <c r="Z872" i="1"/>
  <c r="Z879" i="1"/>
  <c r="Z875" i="1"/>
  <c r="Z871" i="1"/>
  <c r="Z867" i="1"/>
  <c r="C815" i="1"/>
  <c r="M815" i="1"/>
  <c r="C816" i="1"/>
  <c r="M816" i="1"/>
  <c r="C817" i="1"/>
  <c r="M817" i="1"/>
  <c r="C818" i="1"/>
  <c r="M818" i="1"/>
  <c r="C819" i="1"/>
  <c r="M819" i="1"/>
  <c r="C820" i="1"/>
  <c r="M820" i="1"/>
  <c r="C821" i="1"/>
  <c r="M821" i="1"/>
  <c r="C822" i="1"/>
  <c r="M822" i="1"/>
  <c r="C823" i="1"/>
  <c r="M823" i="1"/>
  <c r="C824" i="1"/>
  <c r="M824" i="1"/>
  <c r="C825" i="1"/>
  <c r="M825" i="1"/>
  <c r="C826" i="1"/>
  <c r="M826" i="1"/>
  <c r="C827" i="1"/>
  <c r="M827" i="1"/>
  <c r="C828" i="1"/>
  <c r="M828" i="1"/>
  <c r="C829" i="1"/>
  <c r="M829" i="1"/>
  <c r="C830" i="1"/>
  <c r="M830" i="1"/>
  <c r="C831" i="1"/>
  <c r="M831" i="1"/>
  <c r="C832" i="1"/>
  <c r="M832" i="1"/>
  <c r="C833" i="1"/>
  <c r="M833" i="1"/>
  <c r="C834" i="1"/>
  <c r="M834" i="1"/>
  <c r="C835" i="1"/>
  <c r="M835" i="1"/>
  <c r="C836" i="1"/>
  <c r="M836" i="1"/>
  <c r="C837" i="1"/>
  <c r="M837" i="1"/>
  <c r="C838" i="1"/>
  <c r="M838" i="1"/>
  <c r="C839" i="1"/>
  <c r="M839" i="1"/>
  <c r="C840" i="1"/>
  <c r="M840" i="1"/>
  <c r="C841" i="1"/>
  <c r="M841" i="1"/>
  <c r="C842" i="1"/>
  <c r="M842" i="1"/>
  <c r="C843" i="1"/>
  <c r="M843" i="1"/>
  <c r="C844" i="1"/>
  <c r="M844" i="1"/>
  <c r="C845" i="1"/>
  <c r="M845" i="1"/>
  <c r="C846" i="1"/>
  <c r="M846" i="1"/>
  <c r="C847" i="1"/>
  <c r="M847" i="1"/>
  <c r="C848" i="1"/>
  <c r="M848" i="1"/>
  <c r="C849" i="1"/>
  <c r="M849" i="1"/>
  <c r="C850" i="1"/>
  <c r="M850" i="1"/>
  <c r="C851" i="1"/>
  <c r="M851" i="1"/>
  <c r="C852" i="1"/>
  <c r="M852" i="1"/>
  <c r="C853" i="1"/>
  <c r="M853" i="1"/>
  <c r="C854" i="1"/>
  <c r="M854" i="1"/>
  <c r="C855" i="1"/>
  <c r="M855" i="1"/>
  <c r="C856" i="1"/>
  <c r="M856" i="1"/>
  <c r="C857" i="1"/>
  <c r="M857" i="1"/>
  <c r="C858" i="1"/>
  <c r="M858" i="1"/>
  <c r="C859" i="1"/>
  <c r="M859" i="1"/>
  <c r="C860" i="1"/>
  <c r="M860" i="1"/>
  <c r="C861" i="1"/>
  <c r="M861" i="1"/>
  <c r="C862" i="1"/>
  <c r="M862" i="1"/>
  <c r="C863" i="1"/>
  <c r="M863" i="1"/>
  <c r="C864" i="1"/>
  <c r="M864" i="1"/>
  <c r="C865" i="1"/>
  <c r="M865" i="1"/>
  <c r="C814" i="1"/>
  <c r="M814" i="1"/>
  <c r="M813" i="1"/>
  <c r="C813" i="1"/>
  <c r="M812" i="1"/>
  <c r="C812" i="1"/>
  <c r="M811" i="1"/>
  <c r="C811" i="1"/>
  <c r="AA836" i="1" l="1"/>
  <c r="Z836" i="1" s="1"/>
  <c r="AA837" i="1"/>
  <c r="Z837" i="1" s="1"/>
  <c r="AA838" i="1"/>
  <c r="Z838" i="1" s="1"/>
  <c r="AA839" i="1"/>
  <c r="Z839" i="1" s="1"/>
  <c r="AA840" i="1"/>
  <c r="Z840" i="1" s="1"/>
  <c r="AA841" i="1"/>
  <c r="Z841" i="1" s="1"/>
  <c r="AA842" i="1"/>
  <c r="Z842" i="1" s="1"/>
  <c r="AA843" i="1"/>
  <c r="Z843" i="1" s="1"/>
  <c r="AA844" i="1"/>
  <c r="Z844" i="1" s="1"/>
  <c r="AA845" i="1"/>
  <c r="Z845" i="1" s="1"/>
  <c r="AA846" i="1"/>
  <c r="Z846" i="1" s="1"/>
  <c r="AA847" i="1"/>
  <c r="Z847" i="1" s="1"/>
  <c r="AA848" i="1"/>
  <c r="Z848" i="1" s="1"/>
  <c r="AA849" i="1"/>
  <c r="Z849" i="1" s="1"/>
  <c r="AA850" i="1"/>
  <c r="Z850" i="1" s="1"/>
  <c r="AA851" i="1"/>
  <c r="Z851" i="1" s="1"/>
  <c r="AA852" i="1"/>
  <c r="Z852" i="1" s="1"/>
  <c r="AA853" i="1"/>
  <c r="Z853" i="1" s="1"/>
  <c r="AA854" i="1"/>
  <c r="Z854" i="1" s="1"/>
  <c r="AA855" i="1"/>
  <c r="Z855" i="1" s="1"/>
  <c r="AA856" i="1"/>
  <c r="Z856" i="1" s="1"/>
  <c r="AA857" i="1"/>
  <c r="Z857" i="1" s="1"/>
  <c r="AA858" i="1"/>
  <c r="Z858" i="1" s="1"/>
  <c r="AA859" i="1"/>
  <c r="Z859" i="1" s="1"/>
  <c r="AA860" i="1"/>
  <c r="Z860" i="1" s="1"/>
  <c r="AA861" i="1"/>
  <c r="Z861" i="1" s="1"/>
  <c r="AA862" i="1"/>
  <c r="Z862" i="1" s="1"/>
  <c r="AA863" i="1"/>
  <c r="Z863" i="1" s="1"/>
  <c r="AA864" i="1"/>
  <c r="Z864" i="1" s="1"/>
  <c r="AA865" i="1"/>
  <c r="Z865" i="1" s="1"/>
  <c r="AA812" i="1"/>
  <c r="Z812" i="1" s="1"/>
  <c r="AA813" i="1"/>
  <c r="Z813" i="1" s="1"/>
  <c r="AA814" i="1"/>
  <c r="Z814" i="1" s="1"/>
  <c r="AA815" i="1"/>
  <c r="Z815" i="1" s="1"/>
  <c r="AA816" i="1"/>
  <c r="Z816" i="1" s="1"/>
  <c r="AA817" i="1"/>
  <c r="Z817" i="1" s="1"/>
  <c r="AA818" i="1"/>
  <c r="Z818" i="1" s="1"/>
  <c r="AA819" i="1"/>
  <c r="Z819" i="1" s="1"/>
  <c r="AA820" i="1"/>
  <c r="Z820" i="1" s="1"/>
  <c r="AA821" i="1"/>
  <c r="Z821" i="1" s="1"/>
  <c r="AA822" i="1"/>
  <c r="Z822" i="1" s="1"/>
  <c r="AA823" i="1"/>
  <c r="Z823" i="1" s="1"/>
  <c r="AA824" i="1"/>
  <c r="Z824" i="1" s="1"/>
  <c r="AA825" i="1"/>
  <c r="Z825" i="1" s="1"/>
  <c r="AA826" i="1"/>
  <c r="Z826" i="1" s="1"/>
  <c r="AA827" i="1"/>
  <c r="Z827" i="1" s="1"/>
  <c r="AA828" i="1"/>
  <c r="Z828" i="1" s="1"/>
  <c r="AA829" i="1"/>
  <c r="Z829" i="1" s="1"/>
  <c r="AA830" i="1"/>
  <c r="Z830" i="1" s="1"/>
  <c r="AA831" i="1"/>
  <c r="Z831" i="1" s="1"/>
  <c r="AA832" i="1"/>
  <c r="Z832" i="1" s="1"/>
  <c r="AA833" i="1"/>
  <c r="Z833" i="1" s="1"/>
  <c r="AA834" i="1"/>
  <c r="Z834" i="1" s="1"/>
  <c r="AA835" i="1"/>
  <c r="Z835" i="1" s="1"/>
  <c r="AA811" i="1"/>
  <c r="Z811" i="1" s="1"/>
  <c r="M1295" i="1" l="1"/>
  <c r="C1295" i="1"/>
  <c r="C258" i="1" l="1"/>
  <c r="C257" i="1"/>
  <c r="C256" i="1" l="1"/>
  <c r="C1297" i="1" l="1"/>
  <c r="C1296" i="1"/>
  <c r="M1297" i="1"/>
  <c r="Z230" i="1" l="1"/>
  <c r="M233" i="1"/>
  <c r="M232" i="1"/>
  <c r="M231" i="1"/>
  <c r="M1296" i="1" l="1"/>
  <c r="Z108" i="1" l="1"/>
  <c r="C255" i="1" l="1"/>
  <c r="M1294" i="1" l="1"/>
  <c r="C254" i="1" l="1"/>
  <c r="C253" i="1"/>
  <c r="C252" i="1"/>
  <c r="C251" i="1"/>
  <c r="C250" i="1"/>
  <c r="C249" i="1"/>
  <c r="C248" i="1"/>
  <c r="C247" i="1"/>
  <c r="C246" i="1"/>
  <c r="C245" i="1"/>
  <c r="C636" i="1" l="1"/>
  <c r="C635" i="1"/>
  <c r="C634" i="1"/>
  <c r="C633" i="1" l="1"/>
  <c r="C632" i="1"/>
  <c r="C631" i="1"/>
  <c r="C630" i="1"/>
  <c r="C629" i="1"/>
  <c r="C628" i="1"/>
  <c r="C230" i="1" l="1"/>
  <c r="M229" i="1" l="1"/>
  <c r="C229" i="1"/>
  <c r="C228" i="1" l="1"/>
  <c r="C1078" i="1" l="1"/>
  <c r="C1077" i="1"/>
  <c r="C1076" i="1"/>
  <c r="C1075" i="1"/>
  <c r="C1074" i="1"/>
  <c r="C227" i="1" l="1"/>
  <c r="M1227" i="1" l="1"/>
  <c r="C1227" i="1"/>
  <c r="M1226" i="1"/>
  <c r="C1226" i="1"/>
  <c r="M1225" i="1"/>
  <c r="C1225" i="1"/>
  <c r="C1046" i="1"/>
  <c r="C1045" i="1"/>
  <c r="C1044" i="1"/>
  <c r="C1043" i="1"/>
  <c r="C1020" i="1"/>
  <c r="C1019" i="1"/>
  <c r="C570" i="1"/>
  <c r="C569" i="1"/>
  <c r="C568" i="1"/>
  <c r="C567" i="1"/>
  <c r="C566" i="1"/>
  <c r="C565" i="1"/>
  <c r="C564" i="1"/>
  <c r="C563" i="1"/>
  <c r="C562" i="1"/>
  <c r="C170" i="1"/>
  <c r="C169" i="1"/>
  <c r="C168" i="1"/>
  <c r="C167" i="1"/>
  <c r="M1085" i="1" l="1"/>
  <c r="C1085" i="1"/>
  <c r="M1084" i="1"/>
  <c r="C1084" i="1"/>
  <c r="C1042" i="1" l="1"/>
  <c r="C1041" i="1"/>
  <c r="C1040" i="1"/>
  <c r="C1039" i="1"/>
  <c r="C1038" i="1"/>
  <c r="C1037" i="1"/>
  <c r="C1036" i="1"/>
  <c r="C1035" i="1"/>
  <c r="C1034" i="1"/>
  <c r="C1033" i="1"/>
  <c r="M810" i="1" l="1"/>
  <c r="C810" i="1"/>
  <c r="M809" i="1"/>
  <c r="C809" i="1"/>
  <c r="M808" i="1"/>
  <c r="C808" i="1"/>
  <c r="M782" i="1" l="1"/>
  <c r="C782" i="1"/>
  <c r="Z781" i="1"/>
  <c r="M781" i="1"/>
  <c r="C781" i="1"/>
  <c r="Z780" i="1"/>
  <c r="M780" i="1"/>
  <c r="C780" i="1"/>
  <c r="Z779" i="1"/>
  <c r="M779" i="1"/>
  <c r="C779" i="1"/>
  <c r="Z778" i="1"/>
  <c r="M778" i="1"/>
  <c r="C778" i="1"/>
  <c r="Z777" i="1"/>
  <c r="M777" i="1"/>
  <c r="C777" i="1"/>
  <c r="Z776" i="1"/>
  <c r="M776" i="1"/>
  <c r="C776" i="1"/>
  <c r="Z775" i="1"/>
  <c r="M775" i="1"/>
  <c r="C775" i="1"/>
  <c r="Z774" i="1"/>
  <c r="M774" i="1"/>
  <c r="C774" i="1"/>
  <c r="Z773" i="1"/>
  <c r="M773" i="1"/>
  <c r="C773" i="1"/>
  <c r="Z772" i="1"/>
  <c r="M772" i="1"/>
  <c r="C772" i="1"/>
  <c r="Z771" i="1"/>
  <c r="M771" i="1"/>
  <c r="C771" i="1"/>
  <c r="Z770" i="1"/>
  <c r="M770" i="1"/>
  <c r="C770" i="1"/>
  <c r="Z769" i="1"/>
  <c r="M769" i="1"/>
  <c r="C769" i="1"/>
  <c r="Z768" i="1"/>
  <c r="M768" i="1"/>
  <c r="C768" i="1"/>
  <c r="Z767" i="1"/>
  <c r="M767" i="1"/>
  <c r="C767" i="1"/>
  <c r="Z752" i="1" l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51" i="1"/>
  <c r="M766" i="1"/>
  <c r="C766" i="1"/>
  <c r="M765" i="1"/>
  <c r="C765" i="1"/>
  <c r="M764" i="1"/>
  <c r="C764" i="1"/>
  <c r="M763" i="1"/>
  <c r="C763" i="1"/>
  <c r="M762" i="1"/>
  <c r="C762" i="1"/>
  <c r="M761" i="1"/>
  <c r="C761" i="1"/>
  <c r="M760" i="1"/>
  <c r="C760" i="1"/>
  <c r="M759" i="1"/>
  <c r="C759" i="1"/>
  <c r="M758" i="1"/>
  <c r="C758" i="1"/>
  <c r="M757" i="1"/>
  <c r="C757" i="1"/>
  <c r="M756" i="1"/>
  <c r="C756" i="1"/>
  <c r="M755" i="1"/>
  <c r="C755" i="1"/>
  <c r="M754" i="1"/>
  <c r="C754" i="1"/>
  <c r="M753" i="1"/>
  <c r="C753" i="1"/>
  <c r="M752" i="1"/>
  <c r="C752" i="1"/>
  <c r="M751" i="1"/>
  <c r="C751" i="1"/>
  <c r="Z736" i="1" l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35" i="1"/>
  <c r="M750" i="1" l="1"/>
  <c r="C750" i="1"/>
  <c r="M749" i="1"/>
  <c r="C749" i="1"/>
  <c r="M748" i="1"/>
  <c r="C748" i="1"/>
  <c r="M747" i="1"/>
  <c r="C747" i="1"/>
  <c r="M746" i="1"/>
  <c r="C746" i="1"/>
  <c r="M745" i="1"/>
  <c r="C745" i="1"/>
  <c r="M744" i="1"/>
  <c r="C744" i="1"/>
  <c r="M743" i="1"/>
  <c r="C743" i="1"/>
  <c r="M742" i="1"/>
  <c r="C742" i="1"/>
  <c r="M741" i="1"/>
  <c r="C741" i="1"/>
  <c r="M740" i="1"/>
  <c r="C740" i="1"/>
  <c r="M739" i="1"/>
  <c r="C739" i="1"/>
  <c r="M738" i="1"/>
  <c r="C738" i="1"/>
  <c r="M737" i="1"/>
  <c r="C737" i="1"/>
  <c r="M736" i="1"/>
  <c r="C736" i="1"/>
  <c r="M735" i="1"/>
  <c r="C735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19" i="1"/>
  <c r="M734" i="1" l="1"/>
  <c r="C734" i="1"/>
  <c r="M733" i="1"/>
  <c r="C733" i="1"/>
  <c r="M732" i="1"/>
  <c r="C732" i="1"/>
  <c r="M731" i="1"/>
  <c r="C731" i="1"/>
  <c r="M730" i="1"/>
  <c r="C730" i="1"/>
  <c r="M729" i="1"/>
  <c r="C729" i="1"/>
  <c r="M728" i="1"/>
  <c r="C728" i="1"/>
  <c r="M727" i="1"/>
  <c r="C727" i="1"/>
  <c r="M726" i="1"/>
  <c r="C726" i="1"/>
  <c r="M725" i="1"/>
  <c r="C725" i="1"/>
  <c r="M724" i="1"/>
  <c r="C724" i="1"/>
  <c r="M723" i="1"/>
  <c r="C723" i="1"/>
  <c r="M722" i="1"/>
  <c r="C722" i="1"/>
  <c r="M721" i="1"/>
  <c r="C721" i="1"/>
  <c r="M720" i="1"/>
  <c r="C720" i="1"/>
  <c r="M719" i="1"/>
  <c r="C719" i="1"/>
  <c r="C1032" i="1" l="1"/>
  <c r="C1031" i="1"/>
  <c r="C1030" i="1"/>
  <c r="C1029" i="1"/>
  <c r="C1028" i="1"/>
  <c r="C1027" i="1"/>
  <c r="C1026" i="1"/>
  <c r="C1025" i="1"/>
  <c r="C1024" i="1"/>
  <c r="C1023" i="1"/>
  <c r="C1022" i="1"/>
  <c r="C1021" i="1"/>
  <c r="C561" i="1" l="1"/>
  <c r="C560" i="1"/>
  <c r="C559" i="1" l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1" i="1" l="1"/>
  <c r="C542" i="1"/>
  <c r="C543" i="1"/>
  <c r="C544" i="1"/>
  <c r="C164" i="1" l="1"/>
  <c r="C163" i="1"/>
  <c r="C162" i="1"/>
  <c r="C161" i="1"/>
  <c r="C160" i="1"/>
  <c r="C159" i="1"/>
  <c r="C158" i="1"/>
  <c r="C157" i="1"/>
  <c r="M156" i="1"/>
  <c r="C156" i="1"/>
  <c r="M155" i="1"/>
  <c r="C155" i="1"/>
  <c r="M154" i="1"/>
  <c r="C154" i="1"/>
  <c r="M153" i="1"/>
  <c r="C153" i="1"/>
  <c r="M152" i="1"/>
  <c r="C152" i="1"/>
  <c r="M151" i="1"/>
  <c r="C151" i="1"/>
  <c r="M150" i="1"/>
  <c r="C150" i="1"/>
  <c r="C149" i="1" l="1"/>
  <c r="M1083" i="1" l="1"/>
  <c r="C1083" i="1"/>
  <c r="M1082" i="1" l="1"/>
  <c r="C1082" i="1"/>
  <c r="M1081" i="1" l="1"/>
  <c r="C1081" i="1"/>
  <c r="M1080" i="1" l="1"/>
  <c r="C1080" i="1"/>
  <c r="M1079" i="1"/>
  <c r="C1079" i="1"/>
  <c r="C1018" i="1" l="1"/>
  <c r="C1017" i="1"/>
  <c r="C1016" i="1"/>
  <c r="C1015" i="1" l="1"/>
  <c r="M1014" i="1" l="1"/>
  <c r="C1014" i="1"/>
  <c r="M1013" i="1"/>
  <c r="C1013" i="1"/>
  <c r="M1012" i="1"/>
  <c r="C1012" i="1"/>
  <c r="M1011" i="1"/>
  <c r="C1011" i="1"/>
  <c r="M1010" i="1"/>
  <c r="C1010" i="1"/>
  <c r="M1009" i="1"/>
  <c r="C1009" i="1"/>
  <c r="M1008" i="1"/>
  <c r="C1008" i="1"/>
  <c r="C626" i="1" l="1"/>
  <c r="C625" i="1"/>
  <c r="C624" i="1"/>
  <c r="C623" i="1"/>
  <c r="C622" i="1"/>
  <c r="C621" i="1"/>
  <c r="C627" i="1"/>
  <c r="C620" i="1"/>
  <c r="C147" i="1" l="1"/>
  <c r="M801" i="1" l="1"/>
  <c r="C801" i="1"/>
  <c r="M800" i="1"/>
  <c r="C800" i="1"/>
  <c r="M1073" i="1" l="1"/>
  <c r="C1073" i="1"/>
  <c r="M1072" i="1" l="1"/>
  <c r="C1072" i="1"/>
  <c r="M1071" i="1"/>
  <c r="C1071" i="1"/>
  <c r="M1070" i="1" l="1"/>
  <c r="C1070" i="1"/>
  <c r="C146" i="1" l="1"/>
  <c r="M1069" i="1" l="1"/>
  <c r="C1069" i="1"/>
  <c r="C145" i="1" l="1"/>
  <c r="C144" i="1"/>
  <c r="C143" i="1"/>
  <c r="C142" i="1"/>
  <c r="C655" i="1" l="1"/>
  <c r="M1068" i="1" l="1"/>
  <c r="C1068" i="1"/>
  <c r="M1067" i="1"/>
  <c r="C1067" i="1"/>
  <c r="M1066" i="1"/>
  <c r="C1066" i="1"/>
  <c r="M1065" i="1"/>
  <c r="C1065" i="1"/>
  <c r="M1064" i="1"/>
  <c r="C1064" i="1"/>
  <c r="M675" i="1" l="1"/>
  <c r="C675" i="1"/>
  <c r="M702" i="1" l="1"/>
  <c r="C702" i="1"/>
  <c r="M516" i="1" l="1"/>
  <c r="C516" i="1"/>
  <c r="M515" i="1"/>
  <c r="C515" i="1"/>
  <c r="M514" i="1"/>
  <c r="C514" i="1"/>
  <c r="M513" i="1"/>
  <c r="C513" i="1"/>
  <c r="M512" i="1"/>
  <c r="C512" i="1"/>
  <c r="M511" i="1"/>
  <c r="C511" i="1"/>
  <c r="M510" i="1"/>
  <c r="C510" i="1"/>
  <c r="M509" i="1"/>
  <c r="C509" i="1"/>
  <c r="M508" i="1"/>
  <c r="C508" i="1"/>
  <c r="M507" i="1"/>
  <c r="C507" i="1"/>
  <c r="M506" i="1"/>
  <c r="C506" i="1"/>
  <c r="M505" i="1"/>
  <c r="C505" i="1"/>
  <c r="M504" i="1"/>
  <c r="C504" i="1"/>
  <c r="M503" i="1"/>
  <c r="C503" i="1"/>
  <c r="M502" i="1"/>
  <c r="C502" i="1"/>
  <c r="M501" i="1"/>
  <c r="C501" i="1"/>
  <c r="M500" i="1"/>
  <c r="C500" i="1"/>
  <c r="M499" i="1"/>
  <c r="C499" i="1"/>
  <c r="M498" i="1"/>
  <c r="C498" i="1"/>
  <c r="M497" i="1"/>
  <c r="C497" i="1"/>
  <c r="M496" i="1"/>
  <c r="C496" i="1"/>
  <c r="M495" i="1"/>
  <c r="C495" i="1"/>
  <c r="M494" i="1"/>
  <c r="C494" i="1"/>
  <c r="M493" i="1"/>
  <c r="C493" i="1"/>
  <c r="M492" i="1"/>
  <c r="C492" i="1"/>
  <c r="M491" i="1"/>
  <c r="C491" i="1"/>
  <c r="M490" i="1"/>
  <c r="C490" i="1"/>
  <c r="M489" i="1"/>
  <c r="C489" i="1"/>
  <c r="M488" i="1"/>
  <c r="C488" i="1"/>
  <c r="M487" i="1"/>
  <c r="C487" i="1"/>
  <c r="M486" i="1"/>
  <c r="C486" i="1"/>
  <c r="M485" i="1"/>
  <c r="C485" i="1"/>
  <c r="M484" i="1"/>
  <c r="C484" i="1"/>
  <c r="M483" i="1"/>
  <c r="C483" i="1"/>
  <c r="M482" i="1"/>
  <c r="C482" i="1"/>
  <c r="M481" i="1"/>
  <c r="C481" i="1"/>
  <c r="M480" i="1"/>
  <c r="C480" i="1"/>
  <c r="M479" i="1"/>
  <c r="C479" i="1"/>
  <c r="M478" i="1"/>
  <c r="C478" i="1"/>
  <c r="M477" i="1"/>
  <c r="C477" i="1"/>
  <c r="M476" i="1"/>
  <c r="C476" i="1"/>
  <c r="M475" i="1"/>
  <c r="C475" i="1"/>
  <c r="M474" i="1"/>
  <c r="C474" i="1"/>
  <c r="M473" i="1"/>
  <c r="C473" i="1"/>
  <c r="M472" i="1"/>
  <c r="C472" i="1"/>
  <c r="M471" i="1"/>
  <c r="C471" i="1"/>
  <c r="M470" i="1"/>
  <c r="C470" i="1"/>
  <c r="M469" i="1"/>
  <c r="C469" i="1"/>
  <c r="M468" i="1"/>
  <c r="C468" i="1"/>
  <c r="M467" i="1"/>
  <c r="C467" i="1"/>
  <c r="M466" i="1"/>
  <c r="C466" i="1"/>
  <c r="M465" i="1"/>
  <c r="C465" i="1"/>
  <c r="M464" i="1"/>
  <c r="C464" i="1"/>
  <c r="M463" i="1"/>
  <c r="C463" i="1"/>
  <c r="M462" i="1"/>
  <c r="C462" i="1"/>
  <c r="M461" i="1"/>
  <c r="C461" i="1"/>
  <c r="M460" i="1"/>
  <c r="C460" i="1"/>
  <c r="M459" i="1"/>
  <c r="C459" i="1"/>
  <c r="M458" i="1"/>
  <c r="C458" i="1"/>
  <c r="M457" i="1"/>
  <c r="C457" i="1"/>
  <c r="M456" i="1"/>
  <c r="C456" i="1"/>
  <c r="M455" i="1"/>
  <c r="C455" i="1"/>
  <c r="M454" i="1"/>
  <c r="C454" i="1"/>
  <c r="M453" i="1"/>
  <c r="C453" i="1"/>
  <c r="M452" i="1"/>
  <c r="C452" i="1"/>
  <c r="M451" i="1"/>
  <c r="C451" i="1"/>
  <c r="M450" i="1"/>
  <c r="C450" i="1"/>
  <c r="M449" i="1"/>
  <c r="C449" i="1"/>
  <c r="M448" i="1"/>
  <c r="C448" i="1"/>
  <c r="M447" i="1"/>
  <c r="C447" i="1"/>
  <c r="M446" i="1"/>
  <c r="C446" i="1"/>
  <c r="M445" i="1"/>
  <c r="C445" i="1"/>
  <c r="M444" i="1"/>
  <c r="C444" i="1"/>
  <c r="M443" i="1"/>
  <c r="C443" i="1"/>
  <c r="M442" i="1"/>
  <c r="C442" i="1"/>
  <c r="M441" i="1"/>
  <c r="C441" i="1"/>
  <c r="M440" i="1"/>
  <c r="C440" i="1"/>
  <c r="M439" i="1"/>
  <c r="C439" i="1"/>
  <c r="M438" i="1"/>
  <c r="C438" i="1"/>
  <c r="M437" i="1"/>
  <c r="C437" i="1"/>
  <c r="M436" i="1"/>
  <c r="C436" i="1"/>
  <c r="M435" i="1"/>
  <c r="C435" i="1"/>
  <c r="M434" i="1"/>
  <c r="C434" i="1"/>
  <c r="M433" i="1"/>
  <c r="C433" i="1"/>
  <c r="M432" i="1"/>
  <c r="C432" i="1"/>
  <c r="M431" i="1"/>
  <c r="C431" i="1"/>
  <c r="M430" i="1"/>
  <c r="C430" i="1"/>
  <c r="M429" i="1"/>
  <c r="C429" i="1"/>
  <c r="M428" i="1"/>
  <c r="C428" i="1"/>
  <c r="M427" i="1"/>
  <c r="C427" i="1"/>
  <c r="M426" i="1"/>
  <c r="C426" i="1"/>
  <c r="M425" i="1"/>
  <c r="C425" i="1"/>
  <c r="M424" i="1"/>
  <c r="C424" i="1"/>
  <c r="M423" i="1"/>
  <c r="C423" i="1"/>
  <c r="M422" i="1"/>
  <c r="C422" i="1"/>
  <c r="M421" i="1"/>
  <c r="C421" i="1"/>
  <c r="M420" i="1"/>
  <c r="C420" i="1"/>
  <c r="M419" i="1"/>
  <c r="C419" i="1"/>
  <c r="M418" i="1"/>
  <c r="C418" i="1"/>
  <c r="M417" i="1"/>
  <c r="C417" i="1"/>
  <c r="C517" i="1"/>
  <c r="M517" i="1"/>
  <c r="C518" i="1"/>
  <c r="M518" i="1"/>
  <c r="M416" i="1"/>
  <c r="C416" i="1"/>
  <c r="M415" i="1"/>
  <c r="C415" i="1"/>
  <c r="M414" i="1"/>
  <c r="C414" i="1"/>
  <c r="M413" i="1"/>
  <c r="C413" i="1"/>
  <c r="M412" i="1"/>
  <c r="C412" i="1"/>
  <c r="M411" i="1"/>
  <c r="C411" i="1"/>
  <c r="M410" i="1"/>
  <c r="C410" i="1"/>
  <c r="M409" i="1"/>
  <c r="C409" i="1"/>
  <c r="M408" i="1"/>
  <c r="C408" i="1"/>
  <c r="M407" i="1"/>
  <c r="C407" i="1"/>
  <c r="M406" i="1"/>
  <c r="C406" i="1"/>
  <c r="M405" i="1"/>
  <c r="C405" i="1"/>
  <c r="M404" i="1"/>
  <c r="C404" i="1"/>
  <c r="M403" i="1"/>
  <c r="C403" i="1"/>
  <c r="M402" i="1"/>
  <c r="C402" i="1"/>
  <c r="M401" i="1"/>
  <c r="C401" i="1"/>
  <c r="M400" i="1"/>
  <c r="C400" i="1"/>
  <c r="M399" i="1"/>
  <c r="C399" i="1"/>
  <c r="M398" i="1"/>
  <c r="C398" i="1"/>
  <c r="M397" i="1"/>
  <c r="C397" i="1"/>
  <c r="M396" i="1"/>
  <c r="C396" i="1"/>
  <c r="M395" i="1"/>
  <c r="C395" i="1"/>
  <c r="M394" i="1"/>
  <c r="C394" i="1"/>
  <c r="M393" i="1"/>
  <c r="C393" i="1"/>
  <c r="M392" i="1"/>
  <c r="C392" i="1"/>
  <c r="M391" i="1"/>
  <c r="C391" i="1"/>
  <c r="M390" i="1"/>
  <c r="C390" i="1"/>
  <c r="M389" i="1"/>
  <c r="C389" i="1"/>
  <c r="M388" i="1"/>
  <c r="C388" i="1"/>
  <c r="M387" i="1"/>
  <c r="C387" i="1"/>
  <c r="M386" i="1"/>
  <c r="C386" i="1"/>
  <c r="M385" i="1"/>
  <c r="C385" i="1"/>
  <c r="M384" i="1"/>
  <c r="C384" i="1"/>
  <c r="M655" i="1" l="1"/>
  <c r="M666" i="1"/>
  <c r="C666" i="1"/>
  <c r="M684" i="1" l="1"/>
  <c r="C684" i="1"/>
  <c r="M1224" i="1" l="1"/>
  <c r="C1224" i="1"/>
  <c r="C1289" i="1"/>
  <c r="M1289" i="1"/>
  <c r="M141" i="1" l="1"/>
  <c r="C141" i="1"/>
  <c r="M140" i="1" l="1"/>
  <c r="C140" i="1"/>
  <c r="C139" i="1" l="1"/>
  <c r="C138" i="1"/>
  <c r="M1223" i="1" l="1"/>
  <c r="M1222" i="1"/>
  <c r="C1223" i="1"/>
  <c r="C1222" i="1"/>
  <c r="C619" i="1" l="1"/>
  <c r="C618" i="1"/>
  <c r="C136" i="1"/>
  <c r="C137" i="1"/>
  <c r="C135" i="1"/>
  <c r="M134" i="1" l="1"/>
  <c r="C134" i="1"/>
  <c r="M133" i="1"/>
  <c r="C133" i="1"/>
  <c r="M132" i="1"/>
  <c r="C132" i="1"/>
  <c r="C1221" i="1" l="1"/>
  <c r="M1063" i="1" l="1"/>
  <c r="C1063" i="1"/>
  <c r="M1062" i="1"/>
  <c r="C1062" i="1"/>
  <c r="C131" i="1"/>
  <c r="M1006" i="1"/>
  <c r="C1006" i="1"/>
  <c r="M1007" i="1"/>
  <c r="C1007" i="1"/>
  <c r="M1004" i="1"/>
  <c r="M1061" i="1"/>
  <c r="C1061" i="1"/>
  <c r="C130" i="1"/>
  <c r="C129" i="1"/>
  <c r="C128" i="1"/>
  <c r="C127" i="1"/>
  <c r="C126" i="1"/>
  <c r="C125" i="1"/>
  <c r="M1005" i="1"/>
  <c r="C1005" i="1"/>
  <c r="C1004" i="1"/>
  <c r="C124" i="1"/>
  <c r="M949" i="1"/>
  <c r="C949" i="1"/>
  <c r="C1003" i="1"/>
  <c r="M1003" i="1"/>
  <c r="M607" i="1"/>
  <c r="M608" i="1"/>
  <c r="M609" i="1"/>
  <c r="M610" i="1"/>
  <c r="M611" i="1"/>
  <c r="M612" i="1"/>
  <c r="M613" i="1"/>
  <c r="M614" i="1"/>
  <c r="M615" i="1"/>
  <c r="M616" i="1"/>
  <c r="M617" i="1"/>
  <c r="M606" i="1"/>
  <c r="M605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04" i="1"/>
  <c r="C638" i="1"/>
  <c r="M638" i="1"/>
  <c r="C603" i="1"/>
  <c r="C602" i="1"/>
  <c r="M1002" i="1"/>
  <c r="C1002" i="1"/>
  <c r="M1001" i="1"/>
  <c r="C1001" i="1"/>
  <c r="M1000" i="1"/>
  <c r="C1000" i="1"/>
  <c r="M999" i="1"/>
  <c r="C999" i="1"/>
  <c r="M998" i="1"/>
  <c r="C998" i="1"/>
  <c r="M997" i="1"/>
  <c r="C997" i="1"/>
  <c r="M996" i="1"/>
  <c r="C996" i="1"/>
  <c r="M995" i="1"/>
  <c r="C995" i="1"/>
  <c r="M994" i="1"/>
  <c r="C994" i="1"/>
  <c r="M993" i="1"/>
  <c r="C993" i="1"/>
  <c r="M992" i="1"/>
  <c r="C992" i="1"/>
  <c r="M991" i="1"/>
  <c r="C991" i="1"/>
  <c r="M990" i="1"/>
  <c r="C990" i="1"/>
  <c r="M989" i="1"/>
  <c r="C989" i="1"/>
  <c r="M988" i="1"/>
  <c r="C988" i="1"/>
  <c r="M1060" i="1"/>
  <c r="C1060" i="1"/>
  <c r="M1059" i="1"/>
  <c r="C1059" i="1"/>
  <c r="C601" i="1"/>
  <c r="C600" i="1"/>
  <c r="C599" i="1"/>
  <c r="C591" i="1"/>
  <c r="C592" i="1"/>
  <c r="C593" i="1"/>
  <c r="C594" i="1"/>
  <c r="C595" i="1"/>
  <c r="C596" i="1"/>
  <c r="C597" i="1"/>
  <c r="C598" i="1"/>
  <c r="C590" i="1"/>
  <c r="C589" i="1"/>
  <c r="M1058" i="1"/>
  <c r="C1058" i="1"/>
  <c r="C1220" i="1"/>
  <c r="C1219" i="1"/>
  <c r="M672" i="1"/>
  <c r="C672" i="1"/>
  <c r="M687" i="1"/>
  <c r="C687" i="1"/>
  <c r="M674" i="1"/>
  <c r="C674" i="1"/>
  <c r="M665" i="1"/>
  <c r="C665" i="1"/>
  <c r="C123" i="1"/>
  <c r="M118" i="1"/>
  <c r="C118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24" i="1"/>
  <c r="C323" i="1"/>
  <c r="C363" i="1"/>
  <c r="M363" i="1"/>
  <c r="C364" i="1"/>
  <c r="M364" i="1"/>
  <c r="C365" i="1"/>
  <c r="M365" i="1"/>
  <c r="C366" i="1"/>
  <c r="M366" i="1"/>
  <c r="C367" i="1"/>
  <c r="M367" i="1"/>
  <c r="C368" i="1"/>
  <c r="M368" i="1"/>
  <c r="C369" i="1"/>
  <c r="M369" i="1"/>
  <c r="C370" i="1"/>
  <c r="M370" i="1"/>
  <c r="C371" i="1"/>
  <c r="M371" i="1"/>
  <c r="C372" i="1"/>
  <c r="M372" i="1"/>
  <c r="C373" i="1"/>
  <c r="M373" i="1"/>
  <c r="C374" i="1"/>
  <c r="M374" i="1"/>
  <c r="C375" i="1"/>
  <c r="M375" i="1"/>
  <c r="C376" i="1"/>
  <c r="M376" i="1"/>
  <c r="C377" i="1"/>
  <c r="M377" i="1"/>
  <c r="C378" i="1"/>
  <c r="M378" i="1"/>
  <c r="C379" i="1"/>
  <c r="M379" i="1"/>
  <c r="C380" i="1"/>
  <c r="M380" i="1"/>
  <c r="C381" i="1"/>
  <c r="M381" i="1"/>
  <c r="C382" i="1"/>
  <c r="M382" i="1"/>
  <c r="C383" i="1"/>
  <c r="M383" i="1"/>
  <c r="M362" i="1"/>
  <c r="C362" i="1"/>
  <c r="M361" i="1"/>
  <c r="C361" i="1"/>
  <c r="M360" i="1"/>
  <c r="C360" i="1"/>
  <c r="M115" i="1"/>
  <c r="C115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C114" i="1"/>
  <c r="M114" i="1"/>
  <c r="M1057" i="1"/>
  <c r="C1057" i="1"/>
  <c r="M1056" i="1"/>
  <c r="C1056" i="1"/>
  <c r="M1055" i="1"/>
  <c r="C1055" i="1"/>
  <c r="M1195" i="1"/>
  <c r="C1195" i="1"/>
  <c r="M1218" i="1"/>
  <c r="C1218" i="1"/>
  <c r="M1217" i="1"/>
  <c r="C1217" i="1"/>
  <c r="M1216" i="1"/>
  <c r="C1216" i="1"/>
  <c r="C113" i="1"/>
  <c r="M970" i="1"/>
  <c r="C970" i="1"/>
  <c r="C588" i="1"/>
  <c r="C587" i="1"/>
  <c r="C586" i="1"/>
  <c r="C585" i="1"/>
  <c r="M1054" i="1"/>
  <c r="C1054" i="1"/>
  <c r="M1053" i="1"/>
  <c r="C1053" i="1"/>
  <c r="M1052" i="1"/>
  <c r="C1052" i="1"/>
  <c r="M1051" i="1"/>
  <c r="C1051" i="1"/>
  <c r="M1050" i="1"/>
  <c r="C1050" i="1"/>
  <c r="M1049" i="1"/>
  <c r="C1049" i="1"/>
  <c r="M1048" i="1"/>
  <c r="C1048" i="1"/>
  <c r="M1047" i="1"/>
  <c r="C1047" i="1"/>
  <c r="M987" i="1"/>
  <c r="C987" i="1"/>
  <c r="M985" i="1"/>
  <c r="C985" i="1"/>
  <c r="M986" i="1"/>
  <c r="C986" i="1"/>
  <c r="M984" i="1"/>
  <c r="C984" i="1"/>
  <c r="M983" i="1"/>
  <c r="C983" i="1"/>
  <c r="M982" i="1"/>
  <c r="C982" i="1"/>
  <c r="M981" i="1"/>
  <c r="C981" i="1"/>
  <c r="M980" i="1"/>
  <c r="C980" i="1"/>
  <c r="M979" i="1"/>
  <c r="C979" i="1"/>
  <c r="M978" i="1"/>
  <c r="C978" i="1"/>
  <c r="M977" i="1"/>
  <c r="C977" i="1"/>
  <c r="C584" i="1"/>
  <c r="C583" i="1"/>
  <c r="C582" i="1"/>
  <c r="M976" i="1"/>
  <c r="C976" i="1"/>
  <c r="M975" i="1"/>
  <c r="C975" i="1"/>
  <c r="M974" i="1"/>
  <c r="C974" i="1"/>
  <c r="M973" i="1"/>
  <c r="C973" i="1"/>
  <c r="M972" i="1"/>
  <c r="C972" i="1"/>
  <c r="M971" i="1"/>
  <c r="C971" i="1"/>
  <c r="C112" i="1"/>
  <c r="C111" i="1"/>
  <c r="C943" i="1"/>
  <c r="C944" i="1"/>
  <c r="C945" i="1"/>
  <c r="C946" i="1"/>
  <c r="C947" i="1"/>
  <c r="C948" i="1"/>
  <c r="M892" i="1"/>
  <c r="C960" i="1"/>
  <c r="C521" i="1"/>
  <c r="M965" i="1"/>
  <c r="C965" i="1"/>
  <c r="M969" i="1"/>
  <c r="C969" i="1"/>
  <c r="M968" i="1"/>
  <c r="C968" i="1"/>
  <c r="M967" i="1"/>
  <c r="C967" i="1"/>
  <c r="M966" i="1"/>
  <c r="C966" i="1"/>
  <c r="M961" i="1"/>
  <c r="M962" i="1"/>
  <c r="M963" i="1"/>
  <c r="M964" i="1"/>
  <c r="M960" i="1"/>
  <c r="C962" i="1"/>
  <c r="C961" i="1"/>
  <c r="C964" i="1"/>
  <c r="C963" i="1"/>
  <c r="C581" i="1"/>
  <c r="C580" i="1"/>
  <c r="C579" i="1"/>
  <c r="C578" i="1"/>
  <c r="C577" i="1"/>
  <c r="C576" i="1"/>
  <c r="C575" i="1"/>
  <c r="C574" i="1"/>
  <c r="C573" i="1"/>
  <c r="C572" i="1"/>
  <c r="C571" i="1"/>
  <c r="C110" i="1"/>
  <c r="C319" i="1"/>
  <c r="M319" i="1"/>
  <c r="M109" i="1"/>
  <c r="C109" i="1"/>
  <c r="M108" i="1"/>
  <c r="C108" i="1"/>
  <c r="M1215" i="1"/>
  <c r="C1215" i="1"/>
  <c r="M1214" i="1"/>
  <c r="C1214" i="1"/>
  <c r="M1213" i="1"/>
  <c r="C1213" i="1"/>
  <c r="M1212" i="1"/>
  <c r="C1212" i="1"/>
  <c r="M799" i="1"/>
  <c r="C799" i="1"/>
  <c r="C107" i="1"/>
  <c r="C98" i="1"/>
  <c r="C99" i="1"/>
  <c r="C100" i="1"/>
  <c r="C101" i="1"/>
  <c r="C102" i="1"/>
  <c r="C103" i="1"/>
  <c r="C104" i="1"/>
  <c r="C105" i="1"/>
  <c r="C106" i="1"/>
  <c r="C56" i="1"/>
  <c r="C55" i="1"/>
  <c r="C52" i="1"/>
  <c r="C53" i="1"/>
  <c r="C54" i="1"/>
  <c r="M948" i="1"/>
  <c r="M540" i="1"/>
  <c r="C540" i="1"/>
  <c r="M539" i="1"/>
  <c r="C539" i="1"/>
  <c r="M538" i="1"/>
  <c r="C538" i="1"/>
  <c r="M537" i="1"/>
  <c r="C537" i="1"/>
  <c r="M536" i="1"/>
  <c r="C536" i="1"/>
  <c r="M535" i="1"/>
  <c r="C535" i="1"/>
  <c r="M534" i="1"/>
  <c r="C534" i="1"/>
  <c r="M533" i="1"/>
  <c r="C533" i="1"/>
  <c r="M97" i="1"/>
  <c r="C97" i="1"/>
  <c r="M96" i="1"/>
  <c r="C96" i="1"/>
  <c r="M95" i="1"/>
  <c r="C95" i="1"/>
  <c r="M94" i="1"/>
  <c r="C94" i="1"/>
  <c r="M93" i="1"/>
  <c r="C93" i="1"/>
  <c r="M92" i="1"/>
  <c r="C92" i="1"/>
  <c r="M90" i="1"/>
  <c r="C90" i="1"/>
  <c r="M89" i="1"/>
  <c r="C89" i="1"/>
  <c r="M88" i="1"/>
  <c r="C88" i="1"/>
  <c r="M947" i="1"/>
  <c r="M946" i="1"/>
  <c r="M943" i="1"/>
  <c r="M944" i="1"/>
  <c r="M945" i="1"/>
  <c r="M87" i="1"/>
  <c r="C87" i="1"/>
  <c r="M654" i="1"/>
  <c r="C654" i="1"/>
  <c r="M86" i="1"/>
  <c r="C86" i="1"/>
  <c r="M85" i="1"/>
  <c r="C85" i="1"/>
  <c r="M2" i="1"/>
  <c r="C2" i="1"/>
  <c r="M3" i="1"/>
  <c r="C3" i="1"/>
  <c r="M950" i="1"/>
  <c r="C950" i="1"/>
  <c r="M84" i="1"/>
  <c r="C84" i="1"/>
  <c r="M83" i="1"/>
  <c r="C83" i="1"/>
  <c r="M82" i="1"/>
  <c r="C82" i="1"/>
  <c r="M81" i="1"/>
  <c r="C81" i="1"/>
  <c r="C1205" i="1"/>
  <c r="M532" i="1"/>
  <c r="C532" i="1"/>
  <c r="M80" i="1"/>
  <c r="C80" i="1"/>
  <c r="M79" i="1"/>
  <c r="C79" i="1"/>
  <c r="M78" i="1"/>
  <c r="C78" i="1"/>
  <c r="M77" i="1"/>
  <c r="C77" i="1"/>
  <c r="M75" i="1"/>
  <c r="C75" i="1"/>
  <c r="M74" i="1"/>
  <c r="C74" i="1"/>
  <c r="M73" i="1"/>
  <c r="C73" i="1"/>
  <c r="M72" i="1"/>
  <c r="C72" i="1"/>
  <c r="M71" i="1"/>
  <c r="C71" i="1"/>
  <c r="M70" i="1"/>
  <c r="C70" i="1"/>
  <c r="M69" i="1"/>
  <c r="C69" i="1"/>
  <c r="M67" i="1"/>
  <c r="C67" i="1"/>
  <c r="M66" i="1"/>
  <c r="C66" i="1"/>
  <c r="M68" i="1"/>
  <c r="C68" i="1"/>
  <c r="M1204" i="1"/>
  <c r="C65" i="1"/>
  <c r="M798" i="1"/>
  <c r="C798" i="1"/>
  <c r="M531" i="1"/>
  <c r="C531" i="1"/>
  <c r="M530" i="1"/>
  <c r="C530" i="1"/>
  <c r="M529" i="1"/>
  <c r="C529" i="1"/>
  <c r="M528" i="1"/>
  <c r="C528" i="1"/>
  <c r="M527" i="1"/>
  <c r="C527" i="1"/>
  <c r="M526" i="1"/>
  <c r="C526" i="1"/>
  <c r="M525" i="1"/>
  <c r="C525" i="1"/>
  <c r="M524" i="1"/>
  <c r="C524" i="1"/>
  <c r="M523" i="1"/>
  <c r="C523" i="1"/>
  <c r="M522" i="1"/>
  <c r="C522" i="1"/>
  <c r="M1203" i="1"/>
  <c r="M1202" i="1"/>
  <c r="M64" i="1"/>
  <c r="C64" i="1"/>
  <c r="M942" i="1"/>
  <c r="C942" i="1"/>
  <c r="M718" i="1"/>
  <c r="C718" i="1"/>
  <c r="M717" i="1"/>
  <c r="C717" i="1"/>
  <c r="M716" i="1"/>
  <c r="C716" i="1"/>
  <c r="M715" i="1"/>
  <c r="C715" i="1"/>
  <c r="M714" i="1"/>
  <c r="C714" i="1"/>
  <c r="M713" i="1"/>
  <c r="C713" i="1"/>
  <c r="M712" i="1"/>
  <c r="C712" i="1"/>
  <c r="M711" i="1"/>
  <c r="C711" i="1"/>
  <c r="M710" i="1"/>
  <c r="C710" i="1"/>
  <c r="M709" i="1"/>
  <c r="C709" i="1"/>
  <c r="M708" i="1"/>
  <c r="C708" i="1"/>
  <c r="M707" i="1"/>
  <c r="C707" i="1"/>
  <c r="M706" i="1"/>
  <c r="C706" i="1"/>
  <c r="M705" i="1"/>
  <c r="C705" i="1"/>
  <c r="M704" i="1"/>
  <c r="C704" i="1"/>
  <c r="M703" i="1"/>
  <c r="C703" i="1"/>
  <c r="M701" i="1"/>
  <c r="C701" i="1"/>
  <c r="M700" i="1"/>
  <c r="C700" i="1"/>
  <c r="M699" i="1"/>
  <c r="C699" i="1"/>
  <c r="M698" i="1"/>
  <c r="C698" i="1"/>
  <c r="M697" i="1"/>
  <c r="C697" i="1"/>
  <c r="M696" i="1"/>
  <c r="C696" i="1"/>
  <c r="M695" i="1"/>
  <c r="C695" i="1"/>
  <c r="M694" i="1"/>
  <c r="C694" i="1"/>
  <c r="M693" i="1"/>
  <c r="C693" i="1"/>
  <c r="M692" i="1"/>
  <c r="C692" i="1"/>
  <c r="M63" i="1"/>
  <c r="C63" i="1"/>
  <c r="M61" i="1"/>
  <c r="C61" i="1"/>
  <c r="M1163" i="1"/>
  <c r="C1163" i="1"/>
  <c r="M1162" i="1"/>
  <c r="C1162" i="1"/>
  <c r="M1161" i="1"/>
  <c r="C1161" i="1"/>
  <c r="M60" i="1"/>
  <c r="C60" i="1"/>
  <c r="M1160" i="1"/>
  <c r="C1160" i="1"/>
  <c r="M1159" i="1"/>
  <c r="C1159" i="1"/>
  <c r="M1158" i="1"/>
  <c r="C1158" i="1"/>
  <c r="M1157" i="1"/>
  <c r="C1157" i="1"/>
  <c r="M1156" i="1"/>
  <c r="C1156" i="1"/>
  <c r="M59" i="1"/>
  <c r="C59" i="1"/>
  <c r="M326" i="1"/>
  <c r="M325" i="1"/>
  <c r="M324" i="1"/>
  <c r="M57" i="1"/>
  <c r="C57" i="1"/>
  <c r="C941" i="1"/>
  <c r="M1153" i="1"/>
  <c r="C1153" i="1"/>
  <c r="M1152" i="1"/>
  <c r="C1152" i="1"/>
  <c r="M1151" i="1"/>
  <c r="C1151" i="1"/>
  <c r="M1150" i="1"/>
  <c r="C1150" i="1"/>
  <c r="M1149" i="1"/>
  <c r="C1149" i="1"/>
  <c r="M1148" i="1"/>
  <c r="C1148" i="1"/>
  <c r="M55" i="1"/>
  <c r="M940" i="1"/>
  <c r="C940" i="1"/>
  <c r="M691" i="1"/>
  <c r="C691" i="1"/>
  <c r="M664" i="1"/>
  <c r="C664" i="1"/>
  <c r="M53" i="1"/>
  <c r="M52" i="1"/>
  <c r="M51" i="1"/>
  <c r="C51" i="1"/>
  <c r="M1188" i="1"/>
  <c r="C1188" i="1"/>
  <c r="M939" i="1"/>
  <c r="C939" i="1"/>
  <c r="M938" i="1"/>
  <c r="C938" i="1"/>
  <c r="M937" i="1"/>
  <c r="C937" i="1"/>
  <c r="M936" i="1"/>
  <c r="C936" i="1"/>
  <c r="M959" i="1"/>
  <c r="C959" i="1"/>
  <c r="M50" i="1"/>
  <c r="C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686" i="1"/>
  <c r="C686" i="1"/>
  <c r="M797" i="1"/>
  <c r="C797" i="1"/>
  <c r="M796" i="1"/>
  <c r="C796" i="1"/>
  <c r="M36" i="1"/>
  <c r="C36" i="1"/>
  <c r="M35" i="1"/>
  <c r="C35" i="1"/>
  <c r="M34" i="1"/>
  <c r="C34" i="1"/>
  <c r="C33" i="1"/>
  <c r="M33" i="1"/>
  <c r="M671" i="1"/>
  <c r="C671" i="1"/>
  <c r="M1201" i="1"/>
  <c r="C1201" i="1"/>
  <c r="M1200" i="1"/>
  <c r="C1200" i="1"/>
  <c r="M1199" i="1"/>
  <c r="C1199" i="1"/>
  <c r="M1198" i="1"/>
  <c r="C1198" i="1"/>
  <c r="M958" i="1"/>
  <c r="C958" i="1"/>
  <c r="M957" i="1"/>
  <c r="C957" i="1"/>
  <c r="M956" i="1"/>
  <c r="C956" i="1"/>
  <c r="M521" i="1"/>
  <c r="M955" i="1"/>
  <c r="C955" i="1"/>
  <c r="C1293" i="1"/>
  <c r="C1292" i="1"/>
  <c r="C1291" i="1"/>
  <c r="C1290" i="1"/>
  <c r="C1197" i="1"/>
  <c r="C1196" i="1"/>
  <c r="C1194" i="1"/>
  <c r="C1193" i="1"/>
  <c r="C1192" i="1"/>
  <c r="C1191" i="1"/>
  <c r="C1190" i="1"/>
  <c r="C1189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55" i="1"/>
  <c r="C1154" i="1"/>
  <c r="C1145" i="1"/>
  <c r="C1144" i="1"/>
  <c r="C1147" i="1"/>
  <c r="C1146" i="1"/>
  <c r="C1143" i="1"/>
  <c r="C1142" i="1"/>
  <c r="C954" i="1"/>
  <c r="C953" i="1"/>
  <c r="C952" i="1"/>
  <c r="C951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07" i="1"/>
  <c r="C806" i="1"/>
  <c r="C805" i="1"/>
  <c r="C804" i="1"/>
  <c r="C803" i="1"/>
  <c r="C802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690" i="1"/>
  <c r="C689" i="1"/>
  <c r="C688" i="1"/>
  <c r="C685" i="1"/>
  <c r="C683" i="1"/>
  <c r="C682" i="1"/>
  <c r="C681" i="1"/>
  <c r="C680" i="1"/>
  <c r="C679" i="1"/>
  <c r="C678" i="1"/>
  <c r="C677" i="1"/>
  <c r="C676" i="1"/>
  <c r="C673" i="1"/>
  <c r="C670" i="1"/>
  <c r="C669" i="1"/>
  <c r="C668" i="1"/>
  <c r="C667" i="1"/>
  <c r="C663" i="1"/>
  <c r="C662" i="1"/>
  <c r="C661" i="1"/>
  <c r="C660" i="1"/>
  <c r="C659" i="1"/>
  <c r="C658" i="1"/>
  <c r="C657" i="1"/>
  <c r="C656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520" i="1"/>
  <c r="C519" i="1"/>
  <c r="C322" i="1"/>
  <c r="C321" i="1"/>
  <c r="C320" i="1"/>
  <c r="C32" i="1"/>
  <c r="C31" i="1"/>
  <c r="C30" i="1"/>
  <c r="C29" i="1"/>
  <c r="C28" i="1"/>
  <c r="C27" i="1"/>
  <c r="C26" i="1"/>
  <c r="C25" i="1"/>
  <c r="C24" i="1"/>
  <c r="C23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M32" i="1"/>
  <c r="M31" i="1"/>
  <c r="M30" i="1"/>
  <c r="M29" i="1"/>
  <c r="M28" i="1"/>
  <c r="M27" i="1"/>
  <c r="M26" i="1"/>
  <c r="M25" i="1"/>
  <c r="M24" i="1"/>
  <c r="M23" i="1"/>
  <c r="M951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795" i="1"/>
  <c r="M794" i="1"/>
  <c r="M793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320" i="1"/>
  <c r="M321" i="1"/>
  <c r="M322" i="1"/>
  <c r="M323" i="1"/>
  <c r="M519" i="1"/>
  <c r="M520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6" i="1"/>
  <c r="M657" i="1"/>
  <c r="M658" i="1"/>
  <c r="M659" i="1"/>
  <c r="M660" i="1"/>
  <c r="M661" i="1"/>
  <c r="M662" i="1"/>
  <c r="M663" i="1"/>
  <c r="M667" i="1"/>
  <c r="M668" i="1"/>
  <c r="M669" i="1"/>
  <c r="M670" i="1"/>
  <c r="M673" i="1"/>
  <c r="M676" i="1"/>
  <c r="M677" i="1"/>
  <c r="M678" i="1"/>
  <c r="M679" i="1"/>
  <c r="M680" i="1"/>
  <c r="M681" i="1"/>
  <c r="M682" i="1"/>
  <c r="M683" i="1"/>
  <c r="M685" i="1"/>
  <c r="M688" i="1"/>
  <c r="M689" i="1"/>
  <c r="M690" i="1"/>
  <c r="M783" i="1"/>
  <c r="M784" i="1"/>
  <c r="M785" i="1"/>
  <c r="M786" i="1"/>
  <c r="M787" i="1"/>
  <c r="M788" i="1"/>
  <c r="M789" i="1"/>
  <c r="M790" i="1"/>
  <c r="M791" i="1"/>
  <c r="M792" i="1"/>
  <c r="M802" i="1"/>
  <c r="M803" i="1"/>
  <c r="M804" i="1"/>
  <c r="M805" i="1"/>
  <c r="M806" i="1"/>
  <c r="M807" i="1"/>
  <c r="M882" i="1"/>
  <c r="M883" i="1"/>
  <c r="M884" i="1"/>
  <c r="M885" i="1"/>
  <c r="M886" i="1"/>
  <c r="M887" i="1"/>
  <c r="M888" i="1"/>
  <c r="M889" i="1"/>
  <c r="M890" i="1"/>
  <c r="M891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52" i="1"/>
  <c r="M953" i="1"/>
  <c r="M954" i="1"/>
  <c r="M1142" i="1"/>
  <c r="M1143" i="1"/>
  <c r="M1146" i="1"/>
  <c r="M1147" i="1"/>
  <c r="M1144" i="1"/>
  <c r="M1145" i="1"/>
  <c r="M1154" i="1"/>
  <c r="M1155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9" i="1"/>
  <c r="M1190" i="1"/>
  <c r="M1191" i="1"/>
  <c r="M1192" i="1"/>
  <c r="M1193" i="1"/>
  <c r="M1194" i="1"/>
  <c r="M1196" i="1"/>
  <c r="M1197" i="1"/>
  <c r="M1290" i="1"/>
  <c r="M1291" i="1"/>
  <c r="M1292" i="1"/>
  <c r="M1293" i="1"/>
  <c r="M4" i="1"/>
</calcChain>
</file>

<file path=xl/comments1.xml><?xml version="1.0" encoding="utf-8"?>
<comments xmlns="http://schemas.openxmlformats.org/spreadsheetml/2006/main">
  <authors>
    <author>周挺</author>
  </authors>
  <commentList>
    <comment ref="B146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实际起效给予帝皇国玩家能力提升的Buff</t>
        </r>
      </text>
    </comment>
    <comment ref="B157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167-173只是方便玩家查看tips而制作的客户端显示用Buff，实际起效是的155号</t>
        </r>
      </text>
    </comment>
    <comment ref="B960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团冒险活动</t>
        </r>
      </text>
    </comment>
    <comment ref="B965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中立区寻宝功能</t>
        </r>
      </text>
    </comment>
    <comment ref="B970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花灯特效</t>
        </r>
      </text>
    </comment>
    <comment ref="B974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钓鱼周末活动</t>
        </r>
      </text>
    </comment>
  </commentList>
</comments>
</file>

<file path=xl/connections.xml><?xml version="1.0" encoding="utf-8"?>
<connections xmlns="http://schemas.openxmlformats.org/spreadsheetml/2006/main">
  <connection id="1" name="不可叠加" type="6" refreshedVersion="2" background="1" saveData="1">
    <textPr codePage="936" sourceFile="C:\Documents and Settings\user\桌面\不可叠加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<sst xmlns="http://schemas.openxmlformats.org/spreadsheetml/2006/main" count="2345" uniqueCount="2031">
  <si>
    <t>字符串</t>
    <phoneticPr fontId="1" type="noConversion"/>
  </si>
  <si>
    <t>格式</t>
  </si>
  <si>
    <t>类型</t>
  </si>
  <si>
    <t>道具的相应编号</t>
  </si>
  <si>
    <t>道具的名称</t>
  </si>
  <si>
    <t>数字</t>
    <phoneticPr fontId="1" type="noConversion"/>
  </si>
  <si>
    <t>编号</t>
  </si>
  <si>
    <t>名称</t>
  </si>
  <si>
    <t>说明</t>
  </si>
  <si>
    <t>描述</t>
    <phoneticPr fontId="1" type="noConversion"/>
  </si>
  <si>
    <t>主动取消</t>
    <phoneticPr fontId="1" type="noConversion"/>
  </si>
  <si>
    <t>BUFF类型</t>
    <phoneticPr fontId="1" type="noConversion"/>
  </si>
  <si>
    <t>采集</t>
    <phoneticPr fontId="1" type="noConversion"/>
  </si>
  <si>
    <t>劳动最光荣</t>
    <phoneticPr fontId="1" type="noConversion"/>
  </si>
  <si>
    <t>合体</t>
    <phoneticPr fontId="1" type="noConversion"/>
  </si>
  <si>
    <t>显示位置</t>
    <phoneticPr fontId="1" type="noConversion"/>
  </si>
  <si>
    <t>摆摊</t>
    <phoneticPr fontId="1" type="noConversion"/>
  </si>
  <si>
    <t>StateIconShowPos_RoleHead</t>
  </si>
  <si>
    <t>= 1&lt;&lt;0,</t>
  </si>
  <si>
    <t>= 1&lt;&lt;1,</t>
  </si>
  <si>
    <t>StateIconShowPos_HeadText</t>
  </si>
  <si>
    <t>= 1&lt;&lt;2,</t>
  </si>
  <si>
    <t>类型</t>
    <phoneticPr fontId="1" type="noConversion"/>
  </si>
  <si>
    <t>禁言</t>
    <phoneticPr fontId="1" type="noConversion"/>
  </si>
  <si>
    <t>旋风螺旋</t>
  </si>
  <si>
    <t>战神附体</t>
  </si>
  <si>
    <t>瞄准标记</t>
  </si>
  <si>
    <t>致命要害</t>
  </si>
  <si>
    <t>封闭射击</t>
  </si>
  <si>
    <t>装备改良</t>
  </si>
  <si>
    <t>天然抗体</t>
  </si>
  <si>
    <t>狂野大叫</t>
    <phoneticPr fontId="1" type="noConversion"/>
  </si>
  <si>
    <t>养精蓄锐</t>
    <phoneticPr fontId="1" type="noConversion"/>
  </si>
  <si>
    <t>致盲</t>
    <phoneticPr fontId="1" type="noConversion"/>
  </si>
  <si>
    <t>反戈</t>
    <phoneticPr fontId="1" type="noConversion"/>
  </si>
  <si>
    <t>BUFF时间显示</t>
    <phoneticPr fontId="1" type="noConversion"/>
  </si>
  <si>
    <t>1：表示显示时间 0：表示不显示时间</t>
    <phoneticPr fontId="1" type="noConversion"/>
  </si>
  <si>
    <t>定时炸弹</t>
    <phoneticPr fontId="1" type="noConversion"/>
  </si>
  <si>
    <t>虚弱之咒</t>
    <phoneticPr fontId="1" type="noConversion"/>
  </si>
  <si>
    <t>瘟疫之咒</t>
    <phoneticPr fontId="1" type="noConversion"/>
  </si>
  <si>
    <t>拥有最远射击距离的核心打击者，即使是飞过的昆虫也难逃精准的子弹。</t>
    <phoneticPr fontId="1" type="noConversion"/>
  </si>
  <si>
    <t>天使之护</t>
  </si>
  <si>
    <t>主动取消</t>
    <phoneticPr fontId="1" type="noConversion"/>
  </si>
  <si>
    <t>飘buff名</t>
    <phoneticPr fontId="1" type="noConversion"/>
  </si>
  <si>
    <t>//该状态必须是增益状态,并且清除方式是可清除(0无效1可手动点击清除2 骑马清除)</t>
    <phoneticPr fontId="1" type="noConversion"/>
  </si>
  <si>
    <t>出现破绽，可进行反戈</t>
    <phoneticPr fontId="1" type="noConversion"/>
  </si>
  <si>
    <t>每次普通攻击可能使目标中毒</t>
    <phoneticPr fontId="1" type="noConversion"/>
  </si>
  <si>
    <t>提升物理攻击力</t>
    <phoneticPr fontId="1" type="noConversion"/>
  </si>
  <si>
    <t>受磁力场影响，速度下降</t>
    <phoneticPr fontId="1" type="noConversion"/>
  </si>
  <si>
    <t>受到定时炸弹的威胁</t>
    <phoneticPr fontId="1" type="noConversion"/>
  </si>
  <si>
    <t>重力之咒</t>
    <phoneticPr fontId="1" type="noConversion"/>
  </si>
  <si>
    <t>= 1&lt;&lt;4,</t>
  </si>
  <si>
    <t>发送九屏</t>
    <phoneticPr fontId="1" type="noConversion"/>
  </si>
  <si>
    <t>是否存档</t>
    <phoneticPr fontId="1" type="noConversion"/>
  </si>
  <si>
    <t>是否存档</t>
  </si>
  <si>
    <t>无法清除</t>
  </si>
  <si>
    <t>发送九屏</t>
  </si>
  <si>
    <t>指角色下线是否存档</t>
    <phoneticPr fontId="1" type="noConversion"/>
  </si>
  <si>
    <t>9屏玩家的客户端知道有这个buff</t>
    <phoneticPr fontId="1" type="noConversion"/>
  </si>
  <si>
    <t>= 1&lt;&lt;3,</t>
  </si>
  <si>
    <t>疾跑</t>
    <phoneticPr fontId="1" type="noConversion"/>
  </si>
  <si>
    <t>增加自身的移动速度</t>
    <phoneticPr fontId="1" type="noConversion"/>
  </si>
  <si>
    <t>隐身状态，主动攻击时自动解除</t>
    <phoneticPr fontId="1" type="noConversion"/>
  </si>
  <si>
    <t>爆头狙杀免疫</t>
    <phoneticPr fontId="1" type="noConversion"/>
  </si>
  <si>
    <t>战术隐蔽</t>
    <phoneticPr fontId="1" type="noConversion"/>
  </si>
  <si>
    <t>1-100</t>
    <phoneticPr fontId="1" type="noConversion"/>
  </si>
  <si>
    <t>系统buff加GM指令</t>
    <phoneticPr fontId="1" type="noConversion"/>
  </si>
  <si>
    <t>奇异兽BUFF</t>
    <phoneticPr fontId="1" type="noConversion"/>
  </si>
  <si>
    <t>2000-2999</t>
    <phoneticPr fontId="1" type="noConversion"/>
  </si>
  <si>
    <t>1000-1999</t>
    <phoneticPr fontId="1" type="noConversion"/>
  </si>
  <si>
    <t>10100-10699</t>
    <phoneticPr fontId="1" type="noConversion"/>
  </si>
  <si>
    <t>六个职业的BUFF</t>
    <phoneticPr fontId="1" type="noConversion"/>
  </si>
  <si>
    <t>10700-10799</t>
    <phoneticPr fontId="1" type="noConversion"/>
  </si>
  <si>
    <t>职业技能用辅助BUFF</t>
    <phoneticPr fontId="1" type="noConversion"/>
  </si>
  <si>
    <t>20001-29999</t>
    <phoneticPr fontId="1" type="noConversion"/>
  </si>
  <si>
    <t>NPC释放BUFF</t>
    <phoneticPr fontId="1" type="noConversion"/>
  </si>
  <si>
    <t>30001-39999</t>
    <phoneticPr fontId="1" type="noConversion"/>
  </si>
  <si>
    <t>道具BUFF</t>
    <phoneticPr fontId="1" type="noConversion"/>
  </si>
  <si>
    <t>不可聊天</t>
    <phoneticPr fontId="1" type="noConversion"/>
  </si>
  <si>
    <t>禁止恶意PK</t>
    <phoneticPr fontId="1" type="noConversion"/>
  </si>
  <si>
    <t>备注</t>
    <phoneticPr fontId="1" type="noConversion"/>
  </si>
  <si>
    <t>移动速度变慢</t>
    <phoneticPr fontId="1" type="noConversion"/>
  </si>
  <si>
    <t>炮火支持</t>
  </si>
  <si>
    <t>高炮光环，增加附近玩家的攻击</t>
    <phoneticPr fontId="1" type="noConversion"/>
  </si>
  <si>
    <t>不可使用技能</t>
    <phoneticPr fontId="1" type="noConversion"/>
  </si>
  <si>
    <t>移动速度降低</t>
    <phoneticPr fontId="1" type="noConversion"/>
  </si>
  <si>
    <t>剧毒蛛丝</t>
    <phoneticPr fontId="1" type="noConversion"/>
  </si>
  <si>
    <t>每秒受到一定直接伤害</t>
    <phoneticPr fontId="1" type="noConversion"/>
  </si>
  <si>
    <t>致盲幻听</t>
    <phoneticPr fontId="1" type="noConversion"/>
  </si>
  <si>
    <t>缠绕藤蔓</t>
    <phoneticPr fontId="1" type="noConversion"/>
  </si>
  <si>
    <t>中毒-荼毒</t>
    <phoneticPr fontId="1" type="noConversion"/>
  </si>
  <si>
    <t>减速-雷霆万钧</t>
    <phoneticPr fontId="1" type="noConversion"/>
  </si>
  <si>
    <t>攻击减速-雷霆万钧</t>
    <phoneticPr fontId="1" type="noConversion"/>
  </si>
  <si>
    <t>减速-爆头狙杀</t>
    <phoneticPr fontId="1" type="noConversion"/>
  </si>
  <si>
    <t>军团装备光环给人加的BUFF</t>
    <phoneticPr fontId="1" type="noConversion"/>
  </si>
  <si>
    <t>不可叠加的技能：</t>
  </si>
  <si>
    <t>狂野大叫</t>
  </si>
  <si>
    <t>刺杀(降防)</t>
  </si>
  <si>
    <t>罗盘加速</t>
  </si>
  <si>
    <t>闪电(降防)</t>
  </si>
  <si>
    <t>虚弱之咒</t>
  </si>
  <si>
    <t>瘟疫之咒</t>
  </si>
  <si>
    <t>重力之咒</t>
  </si>
  <si>
    <t>终级防护</t>
  </si>
  <si>
    <t>天使乞福</t>
  </si>
  <si>
    <t>元素子弹(减速)</t>
  </si>
  <si>
    <t>英勇冲锋(减速)</t>
  </si>
  <si>
    <t>1.25倍经验</t>
    <phoneticPr fontId="1" type="noConversion"/>
  </si>
  <si>
    <t>1.5倍经验</t>
    <phoneticPr fontId="1" type="noConversion"/>
  </si>
  <si>
    <t>提升自身打怪经验25%</t>
    <phoneticPr fontId="1" type="noConversion"/>
  </si>
  <si>
    <t>提升自身打怪经验50%</t>
    <phoneticPr fontId="1" type="noConversion"/>
  </si>
  <si>
    <t>眩晕</t>
    <phoneticPr fontId="1" type="noConversion"/>
  </si>
  <si>
    <t>元素-冰霜</t>
    <phoneticPr fontId="1" type="noConversion"/>
  </si>
  <si>
    <t>返航闪避</t>
    <phoneticPr fontId="1" type="noConversion"/>
  </si>
  <si>
    <t>无限时间</t>
    <phoneticPr fontId="1" type="noConversion"/>
  </si>
  <si>
    <t>无限时间</t>
    <phoneticPr fontId="1" type="noConversion"/>
  </si>
  <si>
    <t>1，buff持续时间无限，0表示时间由技能决定</t>
    <phoneticPr fontId="1" type="noConversion"/>
  </si>
  <si>
    <t>中毒</t>
    <phoneticPr fontId="1" type="noConversion"/>
  </si>
  <si>
    <t>不可骑乘</t>
    <phoneticPr fontId="1" type="noConversion"/>
  </si>
  <si>
    <t>不可合体</t>
    <phoneticPr fontId="1" type="noConversion"/>
  </si>
  <si>
    <t>该状态下无法使用骑乘技能</t>
    <phoneticPr fontId="1" type="noConversion"/>
  </si>
  <si>
    <t>该状态下无法使用和体技能</t>
    <phoneticPr fontId="1" type="noConversion"/>
  </si>
  <si>
    <t>使目标不可骑乘</t>
    <phoneticPr fontId="1" type="noConversion"/>
  </si>
  <si>
    <t>变身为娜娜兔</t>
    <phoneticPr fontId="1" type="noConversion"/>
  </si>
  <si>
    <t>逃逸</t>
    <phoneticPr fontId="1" type="noConversion"/>
  </si>
  <si>
    <t>攻击加速</t>
    <phoneticPr fontId="1" type="noConversion"/>
  </si>
  <si>
    <t>生命恢复</t>
    <phoneticPr fontId="1" type="noConversion"/>
  </si>
  <si>
    <t>变身卡</t>
    <phoneticPr fontId="1" type="noConversion"/>
  </si>
  <si>
    <t>攻击力提升</t>
    <phoneticPr fontId="1" type="noConversion"/>
  </si>
  <si>
    <t>防御力提升</t>
    <phoneticPr fontId="1" type="noConversion"/>
  </si>
  <si>
    <t>生命值提升</t>
    <phoneticPr fontId="1" type="noConversion"/>
  </si>
  <si>
    <t>炮火支持</t>
    <phoneticPr fontId="1" type="noConversion"/>
  </si>
  <si>
    <t>装甲掩护</t>
    <phoneticPr fontId="1" type="noConversion"/>
  </si>
  <si>
    <t>火焰伤痕</t>
    <phoneticPr fontId="1" type="noConversion"/>
  </si>
  <si>
    <t>反射岩浆</t>
    <phoneticPr fontId="1" type="noConversion"/>
  </si>
  <si>
    <t>火焰陷阱</t>
    <phoneticPr fontId="1" type="noConversion"/>
  </si>
  <si>
    <t>烈焰灼烧</t>
    <phoneticPr fontId="1" type="noConversion"/>
  </si>
  <si>
    <t>减速毒丝</t>
    <phoneticPr fontId="1" type="noConversion"/>
  </si>
  <si>
    <t>火焰冲击波</t>
    <phoneticPr fontId="1" type="noConversion"/>
  </si>
  <si>
    <t>火焰之盾</t>
    <phoneticPr fontId="1" type="noConversion"/>
  </si>
  <si>
    <t>融合(1级)</t>
    <phoneticPr fontId="1" type="noConversion"/>
  </si>
  <si>
    <t>加速(1级)</t>
    <phoneticPr fontId="1" type="noConversion"/>
  </si>
  <si>
    <t>加速(2级)</t>
    <phoneticPr fontId="1" type="noConversion"/>
  </si>
  <si>
    <t>加速(3级)</t>
    <phoneticPr fontId="1" type="noConversion"/>
  </si>
  <si>
    <t>融合(3级)</t>
    <phoneticPr fontId="1" type="noConversion"/>
  </si>
  <si>
    <t>受到攻击后逃跑</t>
    <phoneticPr fontId="1" type="noConversion"/>
  </si>
  <si>
    <t>中毒，受到持续伤害</t>
    <phoneticPr fontId="1" type="noConversion"/>
  </si>
  <si>
    <t>增加自身闪避几率</t>
    <phoneticPr fontId="1" type="noConversion"/>
  </si>
  <si>
    <t>受到藤蔓缠绕，不可移动</t>
    <phoneticPr fontId="1" type="noConversion"/>
  </si>
  <si>
    <t>受到毒丝的伤害，持续减血</t>
    <phoneticPr fontId="1" type="noConversion"/>
  </si>
  <si>
    <t>返航100%闪避</t>
    <phoneticPr fontId="1" type="noConversion"/>
  </si>
  <si>
    <t>此时攻击受到自身攻击30%的反射伤害，持续6秒，</t>
    <phoneticPr fontId="1" type="noConversion"/>
  </si>
  <si>
    <t>减速50%，持续10秒</t>
    <phoneticPr fontId="1" type="noConversion"/>
  </si>
  <si>
    <t>自身受到20%的火焰伤害，同时受到火焰冲击效果在一格范围内则效果叠加，持续10秒</t>
    <phoneticPr fontId="1" type="noConversion"/>
  </si>
  <si>
    <t>挑战状态</t>
    <phoneticPr fontId="1" type="noConversion"/>
  </si>
  <si>
    <t>挑战倒计时</t>
    <phoneticPr fontId="1" type="noConversion"/>
  </si>
  <si>
    <t>该状态下PK不受善恶影响，不记功勋、声望</t>
    <phoneticPr fontId="1" type="noConversion"/>
  </si>
  <si>
    <t>出售战利品</t>
    <phoneticPr fontId="1" type="noConversion"/>
  </si>
  <si>
    <t>剧毒粘液</t>
    <phoneticPr fontId="1" type="noConversion"/>
  </si>
  <si>
    <t>生命值每秒持续减少30，持续10秒</t>
    <phoneticPr fontId="1" type="noConversion"/>
  </si>
  <si>
    <t>根须陷阱</t>
    <phoneticPr fontId="1" type="noConversion"/>
  </si>
  <si>
    <t>原地无法移动，持续3秒。每秒伤害8%的生命值</t>
    <phoneticPr fontId="1" type="noConversion"/>
  </si>
  <si>
    <t>恶臭气体</t>
    <phoneticPr fontId="1" type="noConversion"/>
  </si>
  <si>
    <t>攻击力下降50%，持续10秒</t>
    <phoneticPr fontId="1" type="noConversion"/>
  </si>
  <si>
    <t>减速50%，持续10秒。</t>
    <phoneticPr fontId="1" type="noConversion"/>
  </si>
  <si>
    <t>爆裂粘液</t>
    <phoneticPr fontId="1" type="noConversion"/>
  </si>
  <si>
    <t>精神侵害</t>
    <phoneticPr fontId="1" type="noConversion"/>
  </si>
  <si>
    <t>虚弱毒气</t>
    <phoneticPr fontId="1" type="noConversion"/>
  </si>
  <si>
    <t>粘液袭击</t>
    <phoneticPr fontId="1" type="noConversion"/>
  </si>
  <si>
    <t>狂暴杀戮</t>
    <phoneticPr fontId="1" type="noConversion"/>
  </si>
  <si>
    <t>攻击力提高20%,攻击速度提高30%,不可叠加。持续10秒</t>
    <phoneticPr fontId="1" type="noConversion"/>
  </si>
  <si>
    <t>血液汲取</t>
    <phoneticPr fontId="1" type="noConversion"/>
  </si>
  <si>
    <t>每秒生命值被抽取20%，持续5秒</t>
    <phoneticPr fontId="1" type="noConversion"/>
  </si>
  <si>
    <t>血之壁障</t>
    <phoneticPr fontId="1" type="noConversion"/>
  </si>
  <si>
    <t>忽视所用远程攻击。持续10秒</t>
    <phoneticPr fontId="1" type="noConversion"/>
  </si>
  <si>
    <t>旋风雷暴</t>
    <phoneticPr fontId="1" type="noConversion"/>
  </si>
  <si>
    <t>自身形成一个巨大的风暴，所到之处3X3范围内所有目标造成每秒20%的伤害。持续5秒。</t>
    <phoneticPr fontId="1" type="noConversion"/>
  </si>
  <si>
    <t>重生后直接触发，攻击速度提高100%，移动速度提高100%</t>
    <phoneticPr fontId="1" type="noConversion"/>
  </si>
  <si>
    <t>重生狂暴</t>
    <phoneticPr fontId="1" type="noConversion"/>
  </si>
  <si>
    <t>重生旋风雷暴</t>
    <phoneticPr fontId="1" type="noConversion"/>
  </si>
  <si>
    <t>自身形成一个巨人的风暴，所到之处对3X3范围内所有目标造成每秒30%的伤害，持续8秒</t>
    <phoneticPr fontId="1" type="noConversion"/>
  </si>
  <si>
    <t>金刚兽之威</t>
    <phoneticPr fontId="1" type="noConversion"/>
  </si>
  <si>
    <t>刀锋蛛之威</t>
    <phoneticPr fontId="1" type="noConversion"/>
  </si>
  <si>
    <t>羊角兽之威</t>
    <phoneticPr fontId="1" type="noConversion"/>
  </si>
  <si>
    <t>狂狮虎之威</t>
    <phoneticPr fontId="1" type="noConversion"/>
  </si>
  <si>
    <t>铁翼蜂之威</t>
    <phoneticPr fontId="1" type="noConversion"/>
  </si>
  <si>
    <t>激化金刚兽之能力，为己所用</t>
    <phoneticPr fontId="1" type="noConversion"/>
  </si>
  <si>
    <t>激化刀锋蛛之能力，为己所用</t>
    <phoneticPr fontId="1" type="noConversion"/>
  </si>
  <si>
    <t>激化羊角兽之能力，为己所用</t>
    <phoneticPr fontId="1" type="noConversion"/>
  </si>
  <si>
    <t>激化狂狮虎之能力，为己所用</t>
    <phoneticPr fontId="1" type="noConversion"/>
  </si>
  <si>
    <t>激化铁翼蜂之能力，为己所用</t>
    <phoneticPr fontId="1" type="noConversion"/>
  </si>
  <si>
    <t>挑战结束</t>
    <phoneticPr fontId="1" type="noConversion"/>
  </si>
  <si>
    <t>特种出勤</t>
    <phoneticPr fontId="1" type="noConversion"/>
  </si>
  <si>
    <t>出勤人员</t>
    <phoneticPr fontId="1" type="noConversion"/>
  </si>
  <si>
    <t>被火焰陷阱束缚3秒，每秒受到5%的生命最大值伤害。</t>
    <phoneticPr fontId="1" type="noConversion"/>
  </si>
  <si>
    <t>为自身添加一个火焰之盾，所有近战攻击每次都会受到10%的攻击反射效果，持续20秒</t>
    <phoneticPr fontId="1" type="noConversion"/>
  </si>
  <si>
    <t>打怪可获得经验加成，队伍中每多一个好友经验加成提高10%</t>
    <phoneticPr fontId="1" type="noConversion"/>
  </si>
  <si>
    <t>组队合作</t>
    <phoneticPr fontId="1" type="noConversion"/>
  </si>
  <si>
    <t>疲劳状态</t>
    <phoneticPr fontId="1" type="noConversion"/>
  </si>
  <si>
    <t>争分夺秒</t>
    <phoneticPr fontId="1" type="noConversion"/>
  </si>
  <si>
    <t>阵营模式</t>
  </si>
  <si>
    <t>己方阵营</t>
    <phoneticPr fontId="1" type="noConversion"/>
  </si>
  <si>
    <t>阵营模式</t>
    <phoneticPr fontId="1" type="noConversion"/>
  </si>
  <si>
    <t>敌方阵营</t>
    <phoneticPr fontId="1" type="noConversion"/>
  </si>
  <si>
    <t>三方阵营</t>
    <phoneticPr fontId="1" type="noConversion"/>
  </si>
  <si>
    <t>地狱咆哮</t>
    <phoneticPr fontId="1" type="noConversion"/>
  </si>
  <si>
    <t>剧毒粘液</t>
    <phoneticPr fontId="1" type="noConversion"/>
  </si>
  <si>
    <t>致命吸血</t>
    <phoneticPr fontId="1" type="noConversion"/>
  </si>
  <si>
    <t>自然吞噬</t>
    <phoneticPr fontId="1" type="noConversion"/>
  </si>
  <si>
    <t>封闭毒液</t>
    <phoneticPr fontId="1" type="noConversion"/>
  </si>
  <si>
    <t>打倒在地</t>
    <phoneticPr fontId="1" type="noConversion"/>
  </si>
  <si>
    <t>致命雷暴弹</t>
    <phoneticPr fontId="1" type="noConversion"/>
  </si>
  <si>
    <t>对周围单一仇恨玩家造成50%的致命伤害，如果目标不移动，3秒后再伤害80%一次。</t>
    <phoneticPr fontId="1" type="noConversion"/>
  </si>
  <si>
    <t>抗性药剂</t>
    <phoneticPr fontId="1" type="noConversion"/>
  </si>
  <si>
    <t>提升自身所有抗性为100%，持续15分钟</t>
    <phoneticPr fontId="1" type="noConversion"/>
  </si>
  <si>
    <t>装死</t>
    <phoneticPr fontId="1" type="noConversion"/>
  </si>
  <si>
    <t>火元素爆发</t>
    <phoneticPr fontId="1" type="noConversion"/>
  </si>
  <si>
    <t>聚气能量</t>
    <phoneticPr fontId="1" type="noConversion"/>
  </si>
  <si>
    <t>聚气连击</t>
    <phoneticPr fontId="1" type="noConversion"/>
  </si>
  <si>
    <t>易容间谍</t>
    <phoneticPr fontId="1" type="noConversion"/>
  </si>
  <si>
    <t>物化转换</t>
    <phoneticPr fontId="1" type="noConversion"/>
  </si>
  <si>
    <t>熔岩附体</t>
    <phoneticPr fontId="1" type="noConversion"/>
  </si>
  <si>
    <t>增加减伤和反伤效果</t>
    <phoneticPr fontId="1" type="noConversion"/>
  </si>
  <si>
    <t>变形药水</t>
    <phoneticPr fontId="1" type="noConversion"/>
  </si>
  <si>
    <t>战斗状态</t>
    <phoneticPr fontId="1" type="noConversion"/>
  </si>
  <si>
    <t>能量壁垒</t>
    <phoneticPr fontId="1" type="noConversion"/>
  </si>
  <si>
    <t>战士之魂</t>
  </si>
  <si>
    <t>精神集中</t>
  </si>
  <si>
    <t>幻影闪避</t>
  </si>
  <si>
    <t>共享队友的战士之魂</t>
    <phoneticPr fontId="1" type="noConversion"/>
  </si>
  <si>
    <t>共享队友的精神集中</t>
    <phoneticPr fontId="1" type="noConversion"/>
  </si>
  <si>
    <t>共享队友的幻影闪避</t>
    <phoneticPr fontId="1" type="noConversion"/>
  </si>
  <si>
    <t>将自己的战士之魂共享给队友</t>
    <phoneticPr fontId="1" type="noConversion"/>
  </si>
  <si>
    <t>将自己的精神集中共享给队友</t>
    <phoneticPr fontId="1" type="noConversion"/>
  </si>
  <si>
    <t>将自己的幻影闪避共享给队友</t>
    <phoneticPr fontId="1" type="noConversion"/>
  </si>
  <si>
    <t>积聚的能量，可以通过聚气连击释放</t>
    <phoneticPr fontId="1" type="noConversion"/>
  </si>
  <si>
    <t>下一次攻击具有致命一击效果</t>
    <phoneticPr fontId="1" type="noConversion"/>
  </si>
  <si>
    <t>易容为所在地图国家的人</t>
    <phoneticPr fontId="1" type="noConversion"/>
  </si>
  <si>
    <t>疯狂射杀</t>
    <phoneticPr fontId="1" type="noConversion"/>
  </si>
  <si>
    <t>无法使用药剂进行治疗</t>
    <phoneticPr fontId="1" type="noConversion"/>
  </si>
  <si>
    <t>坚冰子弹</t>
    <phoneticPr fontId="1" type="noConversion"/>
  </si>
  <si>
    <t>以生命的代价，每次攻击都致命</t>
    <phoneticPr fontId="1" type="noConversion"/>
  </si>
  <si>
    <t>热能装甲</t>
    <phoneticPr fontId="1" type="noConversion"/>
  </si>
  <si>
    <t>在技能吟唱过程中不会被打断</t>
    <phoneticPr fontId="1" type="noConversion"/>
  </si>
  <si>
    <t>静默之咒</t>
    <phoneticPr fontId="1" type="noConversion"/>
  </si>
  <si>
    <t>小队加速</t>
    <phoneticPr fontId="1" type="noConversion"/>
  </si>
  <si>
    <t>被变身为小动物</t>
    <phoneticPr fontId="1" type="noConversion"/>
  </si>
  <si>
    <t>持续减血每秒40点，持续10秒</t>
    <phoneticPr fontId="1" type="noConversion"/>
  </si>
  <si>
    <t>每秒吸取目标3%生命值，补充自身3%生命值。自身不死亡则一直持续。</t>
    <phoneticPr fontId="1" type="noConversion"/>
  </si>
  <si>
    <t>使进入自身视野内的目标被定身，持续3秒，每秒减少50点生命值。</t>
    <phoneticPr fontId="1" type="noConversion"/>
  </si>
  <si>
    <t>使攻击自身的目标在5秒内每秒减少40点生命值，并且不能使用任何补充药剂</t>
    <phoneticPr fontId="1" type="noConversion"/>
  </si>
  <si>
    <t>当血量少于30%时攻击力X2.持续30秒</t>
    <phoneticPr fontId="1" type="noConversion"/>
  </si>
  <si>
    <t>公用增益BUFF</t>
    <phoneticPr fontId="1" type="noConversion"/>
  </si>
  <si>
    <t>公用减益BUFF</t>
    <phoneticPr fontId="1" type="noConversion"/>
  </si>
  <si>
    <t>公用增益BUFF</t>
    <phoneticPr fontId="1" type="noConversion"/>
  </si>
  <si>
    <t>公用减益BUFF</t>
    <phoneticPr fontId="1" type="noConversion"/>
  </si>
  <si>
    <t>天然抗体</t>
    <phoneticPr fontId="1" type="noConversion"/>
  </si>
  <si>
    <t>恐惧之咒</t>
    <phoneticPr fontId="1" type="noConversion"/>
  </si>
  <si>
    <t>进化药剂</t>
    <phoneticPr fontId="1" type="noConversion"/>
  </si>
  <si>
    <t>冲锋、钝击</t>
    <phoneticPr fontId="1" type="noConversion"/>
  </si>
  <si>
    <t>除时间到，不清除，主要指死亡清除而言</t>
    <phoneticPr fontId="1" type="noConversion"/>
  </si>
  <si>
    <t>攻击速度降低</t>
    <phoneticPr fontId="1" type="noConversion"/>
  </si>
  <si>
    <t>对同一目标使用爆头狙杀有150秒免疫</t>
    <phoneticPr fontId="1" type="noConversion"/>
  </si>
  <si>
    <t>对负面效果或技能免疫</t>
    <phoneticPr fontId="1" type="noConversion"/>
  </si>
  <si>
    <t>每次攻击可使目标攻击力降低</t>
    <phoneticPr fontId="1" type="noConversion"/>
  </si>
  <si>
    <t>每次攻击可使目标防御力降低</t>
    <phoneticPr fontId="1" type="noConversion"/>
  </si>
  <si>
    <t>包括冲锋时的加速</t>
    <phoneticPr fontId="1" type="noConversion"/>
  </si>
  <si>
    <t>被冰冻，不可移动，也不会受到其他伤害</t>
    <phoneticPr fontId="1" type="noConversion"/>
  </si>
  <si>
    <t>装死，被识破后仍会受到攻击</t>
    <phoneticPr fontId="1" type="noConversion"/>
  </si>
  <si>
    <t>每次普通攻击使目标移动速度降低</t>
    <phoneticPr fontId="1" type="noConversion"/>
  </si>
  <si>
    <t>嘲讽后，自身伤害反射增加</t>
    <phoneticPr fontId="1" type="noConversion"/>
  </si>
  <si>
    <t>BUFF_STATE_KJZZ             = 1         --恐惧之咒清除</t>
  </si>
  <si>
    <t>BUFF_STATE_JHYJ             = 2         --净化药剂清除</t>
  </si>
  <si>
    <t>BUFF_STATE_NOAT             = 4         --攻击buff清除</t>
  </si>
  <si>
    <t>BUFF_STATE_WYZZ             = 8         --瘟疫之咒清除</t>
  </si>
  <si>
    <t>BUFF_STATE_ZLZZ             = 16        --重力之咒清除</t>
  </si>
  <si>
    <t>BUFF_STATE_IGNO             = 32        --负面buff免疫</t>
  </si>
  <si>
    <t>时空撕裂免疫</t>
    <phoneticPr fontId="1" type="noConversion"/>
  </si>
  <si>
    <t>变形免疫</t>
    <phoneticPr fontId="1" type="noConversion"/>
  </si>
  <si>
    <t>运送剩余时间</t>
    <phoneticPr fontId="1" type="noConversion"/>
  </si>
  <si>
    <t>能够完成任务的剩余时间</t>
    <phoneticPr fontId="1" type="noConversion"/>
  </si>
  <si>
    <t>强化标记</t>
    <phoneticPr fontId="1" type="noConversion"/>
  </si>
  <si>
    <t>毒针</t>
    <phoneticPr fontId="1" type="noConversion"/>
  </si>
  <si>
    <t>狂热</t>
    <phoneticPr fontId="1" type="noConversion"/>
  </si>
  <si>
    <t>疯狂射击</t>
    <phoneticPr fontId="1" type="noConversion"/>
  </si>
  <si>
    <t>自由躲闪</t>
    <phoneticPr fontId="1" type="noConversion"/>
  </si>
  <si>
    <t>死亡毒气</t>
    <phoneticPr fontId="1" type="noConversion"/>
  </si>
  <si>
    <t>沙洞陷阱</t>
    <phoneticPr fontId="1" type="noConversion"/>
  </si>
  <si>
    <t>致命蛛网</t>
    <phoneticPr fontId="1" type="noConversion"/>
  </si>
  <si>
    <t>偷袭</t>
    <phoneticPr fontId="1" type="noConversion"/>
  </si>
  <si>
    <t>腐蚀咒语</t>
    <phoneticPr fontId="1" type="noConversion"/>
  </si>
  <si>
    <t>强力腐蚀咒语</t>
    <phoneticPr fontId="1" type="noConversion"/>
  </si>
  <si>
    <t xml:space="preserve">远古尸毒 </t>
    <phoneticPr fontId="1" type="noConversion"/>
  </si>
  <si>
    <t>尸毒爆发</t>
    <phoneticPr fontId="1" type="noConversion"/>
  </si>
  <si>
    <t>邪恶诅咒</t>
    <phoneticPr fontId="1" type="noConversion"/>
  </si>
  <si>
    <t>狂沙漫天</t>
    <phoneticPr fontId="1" type="noConversion"/>
  </si>
  <si>
    <t>狂暴黄沙</t>
    <phoneticPr fontId="1" type="noConversion"/>
  </si>
  <si>
    <t>怒吼黄沙</t>
    <phoneticPr fontId="1" type="noConversion"/>
  </si>
  <si>
    <t>受虚弱之咒影响，攻击力下降</t>
    <phoneticPr fontId="1" type="noConversion"/>
  </si>
  <si>
    <t>受瘟疫之咒影响，防御力下降</t>
    <phoneticPr fontId="1" type="noConversion"/>
  </si>
  <si>
    <t>受到坚冰子弹攻击，移动速度降低</t>
    <phoneticPr fontId="1" type="noConversion"/>
  </si>
  <si>
    <t>移动速度下降-坚冰子弹</t>
    <phoneticPr fontId="1" type="noConversion"/>
  </si>
  <si>
    <t>攻击下降-虚弱之咒</t>
    <phoneticPr fontId="1" type="noConversion"/>
  </si>
  <si>
    <t>防御下降-瘟疫之咒</t>
    <phoneticPr fontId="1" type="noConversion"/>
  </si>
  <si>
    <t>减速-磁力场</t>
    <phoneticPr fontId="1" type="noConversion"/>
  </si>
  <si>
    <t>狂暴</t>
    <phoneticPr fontId="1" type="noConversion"/>
  </si>
  <si>
    <t>嗜血狂暴</t>
    <phoneticPr fontId="1" type="noConversion"/>
  </si>
  <si>
    <t>该状态，可击杀此怪物</t>
    <phoneticPr fontId="1" type="noConversion"/>
  </si>
  <si>
    <t>怪物处于狂暴状态</t>
    <phoneticPr fontId="1" type="noConversion"/>
  </si>
  <si>
    <t>怪物处于嗜血狂暴状态</t>
    <phoneticPr fontId="1" type="noConversion"/>
  </si>
  <si>
    <t>减低所有防御力30%，持续30秒</t>
    <phoneticPr fontId="1" type="noConversion"/>
  </si>
  <si>
    <t>受到粘液攻击的目标每秒特伤10%血量，持续5秒</t>
    <phoneticPr fontId="1" type="noConversion"/>
  </si>
  <si>
    <t>运送水晶</t>
    <phoneticPr fontId="1" type="noConversion"/>
  </si>
  <si>
    <t>正在运送水晶途中</t>
    <phoneticPr fontId="1" type="noConversion"/>
  </si>
  <si>
    <t>愤怒</t>
    <phoneticPr fontId="1" type="noConversion"/>
  </si>
  <si>
    <t>圣甲</t>
    <phoneticPr fontId="1" type="noConversion"/>
  </si>
  <si>
    <t>风行</t>
    <phoneticPr fontId="1" type="noConversion"/>
  </si>
  <si>
    <t>水晶增长</t>
    <phoneticPr fontId="1" type="noConversion"/>
  </si>
  <si>
    <t>水晶自然增长数量加倍</t>
    <phoneticPr fontId="1" type="noConversion"/>
  </si>
  <si>
    <t>NPC防御设置</t>
    <phoneticPr fontId="1" type="noConversion"/>
  </si>
  <si>
    <t>NPC攻击设置</t>
    <phoneticPr fontId="1" type="noConversion"/>
  </si>
  <si>
    <t>NPC命中设置</t>
    <phoneticPr fontId="1" type="noConversion"/>
  </si>
  <si>
    <t>NPC生命设置</t>
    <phoneticPr fontId="1" type="noConversion"/>
  </si>
  <si>
    <t>副本初始化怪物能力用的buff</t>
    <phoneticPr fontId="1" type="noConversion"/>
  </si>
  <si>
    <t>吸引仇恨</t>
    <phoneticPr fontId="1" type="noConversion"/>
  </si>
  <si>
    <t>被怪打的靶子吸收仇恨</t>
    <phoneticPr fontId="1" type="noConversion"/>
  </si>
  <si>
    <t>///&lt; 对自己不显示图标</t>
  </si>
  <si>
    <t>///&lt; 头像下方自己的显示图标</t>
  </si>
  <si>
    <t>StateIconShowPos_PreciousPet</t>
  </si>
  <si>
    <t>///&lt; 宠物buff显示图标</t>
  </si>
  <si>
    <t>StateIconShowPos_NineScreen</t>
  </si>
  <si>
    <t>///&lt; 对组队队员不显示</t>
  </si>
  <si>
    <t>StateIconShowPos_NineScreenNone</t>
  </si>
  <si>
    <t>///&lt; 九屏对其他玩家不显示图标</t>
  </si>
  <si>
    <t xml:space="preserve"> 0,</t>
    <phoneticPr fontId="1" type="noConversion"/>
  </si>
  <si>
    <t>角色头像下方</t>
    <phoneticPr fontId="1" type="noConversion"/>
  </si>
  <si>
    <t>宠物头像下方</t>
    <phoneticPr fontId="1" type="noConversion"/>
  </si>
  <si>
    <t>目标头像下方不显示</t>
    <phoneticPr fontId="1" type="noConversion"/>
  </si>
  <si>
    <t>队员头像下方不显示</t>
    <phoneticPr fontId="1" type="noConversion"/>
  </si>
  <si>
    <t>王者之威</t>
    <phoneticPr fontId="1" type="noConversion"/>
  </si>
  <si>
    <t>王者之威</t>
    <phoneticPr fontId="1" type="noConversion"/>
  </si>
  <si>
    <t>倒计时</t>
    <phoneticPr fontId="1" type="noConversion"/>
  </si>
  <si>
    <t>结束时间</t>
    <phoneticPr fontId="1" type="noConversion"/>
  </si>
  <si>
    <t>倒计时，计时结束未完成则任务失败</t>
    <phoneticPr fontId="1" type="noConversion"/>
  </si>
  <si>
    <t>定时炸弹爆炸</t>
    <phoneticPr fontId="1" type="noConversion"/>
  </si>
  <si>
    <t>受到远程的伤害增加30%。持续10秒</t>
    <phoneticPr fontId="1" type="noConversion"/>
  </si>
  <si>
    <t>每秒受到毒伤害100。持续5秒</t>
    <phoneticPr fontId="1" type="noConversion"/>
  </si>
  <si>
    <t>使自身的攻击力提升50%，持续10秒</t>
    <phoneticPr fontId="1" type="noConversion"/>
  </si>
  <si>
    <t>使自身的攻击速度提升50%，持续10秒</t>
    <phoneticPr fontId="1" type="noConversion"/>
  </si>
  <si>
    <t>自身的闪避率提升30%，持续10秒</t>
    <phoneticPr fontId="1" type="noConversion"/>
  </si>
  <si>
    <t>死亡后爆发毒气，使周围3X3范围内的目标爆发感染。瞬间减少300生命</t>
    <phoneticPr fontId="1" type="noConversion"/>
  </si>
  <si>
    <t>困在沙洞中，不可移动，每秒减5%生命，持续3秒。</t>
    <phoneticPr fontId="1" type="noConversion"/>
  </si>
  <si>
    <t>受到蛛丝的持续伤害。每秒80点。持续5秒</t>
    <phoneticPr fontId="1" type="noConversion"/>
  </si>
  <si>
    <t>使目标受到致命攻击。持续5秒</t>
    <phoneticPr fontId="1" type="noConversion"/>
  </si>
  <si>
    <t>使目标的攻击下降30%，防御下降30%。持续10秒</t>
    <phoneticPr fontId="1" type="noConversion"/>
  </si>
  <si>
    <t>使目标的攻击下降50%，防御下降50%。持续10秒。</t>
    <phoneticPr fontId="1" type="noConversion"/>
  </si>
  <si>
    <t>攻击目标释放尸毒，每秒减少目标5%的生命，持续25秒</t>
    <phoneticPr fontId="1" type="noConversion"/>
  </si>
  <si>
    <t>受到毒液感染的目标每秒减血5%,持续20秒</t>
    <phoneticPr fontId="1" type="noConversion"/>
  </si>
  <si>
    <t>目标周围5X5范围内的所有目标攻击力下降80%，防御力下降80%。持续60秒</t>
    <phoneticPr fontId="1" type="noConversion"/>
  </si>
  <si>
    <t>碰到黄沙龙卷风的目标会造成暂时失明5秒</t>
    <phoneticPr fontId="1" type="noConversion"/>
  </si>
  <si>
    <t>进入狂暴状态，增加100%攻击速度</t>
    <phoneticPr fontId="1" type="noConversion"/>
  </si>
  <si>
    <t>自身周围5X5范围内的目标进入虚弱状态，攻击速度下降100%,速度下降50%。持续10秒</t>
    <phoneticPr fontId="1" type="noConversion"/>
  </si>
  <si>
    <t>瞬间增加自身的攻击力和防御力，持续10秒</t>
    <phoneticPr fontId="1" type="noConversion"/>
  </si>
  <si>
    <t>道具领取倒计时</t>
    <phoneticPr fontId="1" type="noConversion"/>
  </si>
  <si>
    <t>冰霜免疫</t>
    <phoneticPr fontId="1" type="noConversion"/>
  </si>
  <si>
    <t>静默免疫</t>
    <phoneticPr fontId="1" type="noConversion"/>
  </si>
  <si>
    <t>拥有该状态的玩家正在进行外勤任务</t>
    <phoneticPr fontId="1" type="noConversion"/>
  </si>
  <si>
    <t>持续净化</t>
    <phoneticPr fontId="1" type="noConversion"/>
  </si>
  <si>
    <t>接受净化药剂后，5秒内不受负面buff影响</t>
    <phoneticPr fontId="1" type="noConversion"/>
  </si>
  <si>
    <t>涡轮增压</t>
    <phoneticPr fontId="1" type="noConversion"/>
  </si>
  <si>
    <t>空间束缚</t>
    <phoneticPr fontId="1" type="noConversion"/>
  </si>
  <si>
    <t>使目标处于定身状态</t>
    <phoneticPr fontId="1" type="noConversion"/>
  </si>
  <si>
    <t>重力场</t>
    <phoneticPr fontId="1" type="noConversion"/>
  </si>
  <si>
    <t>降低移动速度50%</t>
    <phoneticPr fontId="1" type="noConversion"/>
  </si>
  <si>
    <t>电磁扰动</t>
    <phoneticPr fontId="1" type="noConversion"/>
  </si>
  <si>
    <t>使目标处于混乱状态</t>
    <phoneticPr fontId="1" type="noConversion"/>
  </si>
  <si>
    <t>静默箴言</t>
    <phoneticPr fontId="1" type="noConversion"/>
  </si>
  <si>
    <t>禁止目标使用道具</t>
    <phoneticPr fontId="1" type="noConversion"/>
  </si>
  <si>
    <t>绝对领域</t>
    <phoneticPr fontId="1" type="noConversion"/>
  </si>
  <si>
    <t>时空沼泽</t>
    <phoneticPr fontId="1" type="noConversion"/>
  </si>
  <si>
    <t>使目标减速50%</t>
    <phoneticPr fontId="1" type="noConversion"/>
  </si>
  <si>
    <t>磁力妄境</t>
    <phoneticPr fontId="1" type="noConversion"/>
  </si>
  <si>
    <t>防御镜面</t>
    <phoneticPr fontId="1" type="noConversion"/>
  </si>
  <si>
    <t>反射一次道具效果</t>
    <phoneticPr fontId="1" type="noConversion"/>
  </si>
  <si>
    <t>绝对防御</t>
    <phoneticPr fontId="1" type="noConversion"/>
  </si>
  <si>
    <t>使目标处于无敌状态</t>
    <phoneticPr fontId="1" type="noConversion"/>
  </si>
  <si>
    <t>第一名</t>
    <phoneticPr fontId="1" type="noConversion"/>
  </si>
  <si>
    <t>第二名</t>
    <phoneticPr fontId="1" type="noConversion"/>
  </si>
  <si>
    <t>第三名</t>
    <phoneticPr fontId="1" type="noConversion"/>
  </si>
  <si>
    <t>用轻快的舞步放松自己的身心，可以获得经验，还可以和异性好友组队共舞增加经验和好友度。</t>
    <phoneticPr fontId="1" type="noConversion"/>
  </si>
  <si>
    <t>辐射污染</t>
    <phoneticPr fontId="1" type="noConversion"/>
  </si>
  <si>
    <t>中毒状态，每两秒伤血，持续10秒，不可叠加</t>
    <phoneticPr fontId="1" type="noConversion"/>
  </si>
  <si>
    <t>核子辐射</t>
    <phoneticPr fontId="1" type="noConversion"/>
  </si>
  <si>
    <t>蛮力冲撞</t>
    <phoneticPr fontId="1" type="noConversion"/>
  </si>
  <si>
    <t>降低目标物化防御30%，持续10秒</t>
    <phoneticPr fontId="1" type="noConversion"/>
  </si>
  <si>
    <t>3秒眩晕</t>
    <phoneticPr fontId="1" type="noConversion"/>
  </si>
  <si>
    <t>毁灭嚎叫</t>
    <phoneticPr fontId="1" type="noConversion"/>
  </si>
  <si>
    <t>提升攻击50%，持续10秒</t>
    <phoneticPr fontId="1" type="noConversion"/>
  </si>
  <si>
    <t>毒刃</t>
    <phoneticPr fontId="1" type="noConversion"/>
  </si>
  <si>
    <t>每2秒因中毒失去2%生命，持续10秒</t>
    <phoneticPr fontId="1" type="noConversion"/>
  </si>
  <si>
    <t>攻击伤害增加10%</t>
    <phoneticPr fontId="1" type="noConversion"/>
  </si>
  <si>
    <t>送礼特效</t>
    <phoneticPr fontId="1" type="noConversion"/>
  </si>
  <si>
    <t>送礼华丽特效</t>
    <phoneticPr fontId="1" type="noConversion"/>
  </si>
  <si>
    <t>磁力场陷阱</t>
    <phoneticPr fontId="1" type="noConversion"/>
  </si>
  <si>
    <t>跳舞</t>
    <phoneticPr fontId="1" type="noConversion"/>
  </si>
  <si>
    <t>/**</t>
  </si>
  <si>
    <t xml:space="preserve"> * \brief BUFF类型</t>
  </si>
  <si>
    <t xml:space="preserve"> */</t>
  </si>
  <si>
    <t>enum BuffType</t>
  </si>
  <si>
    <t>{</t>
  </si>
  <si>
    <t xml:space="preserve">    BUFF_STATE_KJZZ             = 1&lt;&lt;0,        //恐惧之咒清除</t>
  </si>
  <si>
    <t xml:space="preserve">    BUFF_STATE_JHYJ             = 1&lt;&lt;1,        //净化药剂清除</t>
  </si>
  <si>
    <t xml:space="preserve">    BUFF_STATE_NOAT             = 1&lt;&lt;2,        //攻击buff清除</t>
  </si>
  <si>
    <t xml:space="preserve">    BUFF_STATE_WYZZ             = 1&lt;&lt;3,        //瘟疫之咒清除</t>
  </si>
  <si>
    <t xml:space="preserve">    BUFF_STATE_ZLZZ             = 1&lt;&lt;4,        //重力之咒清除</t>
  </si>
  <si>
    <t xml:space="preserve">    BUFF_STATE_IGNO             = 1&lt;&lt;5,        //负面buff免疫</t>
  </si>
  <si>
    <t xml:space="preserve">    BUFF_STATE_PHY_TIME         = 1&lt;&lt;6,        //物理时间(离线扣除时间)</t>
  </si>
  <si>
    <t>};</t>
  </si>
  <si>
    <t>强化伤害针剂</t>
    <phoneticPr fontId="1" type="noConversion"/>
  </si>
  <si>
    <t>量子打击免疫</t>
    <phoneticPr fontId="1" type="noConversion"/>
  </si>
  <si>
    <t>探险中</t>
    <phoneticPr fontId="1" type="noConversion"/>
  </si>
  <si>
    <t>涂毒</t>
    <phoneticPr fontId="1" type="noConversion"/>
  </si>
  <si>
    <t>炼狱之王</t>
    <phoneticPr fontId="1" type="noConversion"/>
  </si>
  <si>
    <t>志同道合</t>
  </si>
  <si>
    <t>心有灵犀</t>
  </si>
  <si>
    <t>天涯知己</t>
  </si>
  <si>
    <t>同甘共苦</t>
  </si>
  <si>
    <t>肝胆相照</t>
  </si>
  <si>
    <t>情同手足</t>
  </si>
  <si>
    <t>生死之交</t>
  </si>
  <si>
    <t>战友组队，增加攻击20点，增加防御20点，增加生命150点</t>
  </si>
  <si>
    <t>战友组队，增加攻击30点，增加防御30点，增加生命225点</t>
  </si>
  <si>
    <t>战友组队，增加攻击45点，增加防御45点，增加生命350点</t>
  </si>
  <si>
    <t>战友组队，增加攻击60点，增加防御60点，增加生命500点</t>
  </si>
  <si>
    <t>战友组队，增加攻击75点，增加防御75点，增加生命650点</t>
  </si>
  <si>
    <t>战友组队，增加攻击90点，增加防御90点，增加生命800点</t>
  </si>
  <si>
    <t>战友组队，增加攻击115点，增加防御115点，增加生命1000点</t>
  </si>
  <si>
    <t>战友：同袍</t>
    <phoneticPr fontId="1" type="noConversion"/>
  </si>
  <si>
    <t>奉献自己的生命，帮助同样状态的战友分担伤害</t>
    <phoneticPr fontId="1" type="noConversion"/>
  </si>
  <si>
    <t>攻击伤害增加10%并附加50点</t>
    <phoneticPr fontId="1" type="noConversion"/>
  </si>
  <si>
    <t>移动速度提升20%</t>
    <phoneticPr fontId="1" type="noConversion"/>
  </si>
  <si>
    <t>血肉衍生</t>
    <phoneticPr fontId="1" type="noConversion"/>
  </si>
  <si>
    <t>10s后血量回满</t>
    <phoneticPr fontId="1" type="noConversion"/>
  </si>
  <si>
    <t>NPC特伤设置</t>
    <phoneticPr fontId="1" type="noConversion"/>
  </si>
  <si>
    <t>使用舞会门票</t>
    <phoneticPr fontId="1" type="noConversion"/>
  </si>
  <si>
    <t>使用舞会门票中，跳舞可以获得额外经验加成。</t>
    <phoneticPr fontId="1" type="noConversion"/>
  </si>
  <si>
    <t>融合(2级)</t>
    <phoneticPr fontId="1" type="noConversion"/>
  </si>
  <si>
    <t>普通骑乘</t>
    <phoneticPr fontId="1" type="noConversion"/>
  </si>
  <si>
    <t>高级骑乘</t>
    <phoneticPr fontId="1" type="noConversion"/>
  </si>
  <si>
    <t>疾速驾驶</t>
    <phoneticPr fontId="1" type="noConversion"/>
  </si>
  <si>
    <t>驾驶疾速交通工具</t>
    <phoneticPr fontId="1" type="noConversion"/>
  </si>
  <si>
    <t>超能武器</t>
    <phoneticPr fontId="1" type="noConversion"/>
  </si>
  <si>
    <t>使用简化版的超能武器</t>
    <phoneticPr fontId="1" type="noConversion"/>
  </si>
  <si>
    <t>失明</t>
    <phoneticPr fontId="1" type="noConversion"/>
  </si>
  <si>
    <t>受到的远程伤害增加，不能进入隐身或变身状态</t>
    <phoneticPr fontId="1" type="noConversion"/>
  </si>
  <si>
    <t>不可移动，不可攻击</t>
    <phoneticPr fontId="1" type="noConversion"/>
  </si>
  <si>
    <t>攻击速度增加</t>
    <phoneticPr fontId="1" type="noConversion"/>
  </si>
  <si>
    <t>领主加护</t>
    <phoneticPr fontId="1" type="noConversion"/>
  </si>
  <si>
    <t>增加攻击防御和生命上限</t>
    <phoneticPr fontId="1" type="noConversion"/>
  </si>
  <si>
    <t>强击光环</t>
    <phoneticPr fontId="1" type="noConversion"/>
  </si>
  <si>
    <t>单兵飞盘</t>
    <phoneticPr fontId="1" type="noConversion"/>
  </si>
  <si>
    <t>水母飞盘</t>
    <phoneticPr fontId="1" type="noConversion"/>
  </si>
  <si>
    <t>凤凰飞盘</t>
    <phoneticPr fontId="1" type="noConversion"/>
  </si>
  <si>
    <t>超能摩托</t>
    <phoneticPr fontId="1" type="noConversion"/>
  </si>
  <si>
    <t>动能摩托</t>
    <phoneticPr fontId="1" type="noConversion"/>
  </si>
  <si>
    <t>搭载状态</t>
    <phoneticPr fontId="1" type="noConversion"/>
  </si>
  <si>
    <t>战地运输</t>
    <phoneticPr fontId="1" type="noConversion"/>
  </si>
  <si>
    <t xml:space="preserve">与金刚兽合体 </t>
    <phoneticPr fontId="1" type="noConversion"/>
  </si>
  <si>
    <t>火焰的灼烧，持续受到伤害</t>
    <phoneticPr fontId="1" type="noConversion"/>
  </si>
  <si>
    <t>火焰灼烧</t>
    <phoneticPr fontId="1" type="noConversion"/>
  </si>
  <si>
    <t>副本退出倒计时</t>
    <phoneticPr fontId="1" type="noConversion"/>
  </si>
  <si>
    <t>不显示的加速</t>
    <phoneticPr fontId="1" type="noConversion"/>
  </si>
  <si>
    <t>每秒受到火焰特殊伤害，持续10秒</t>
    <phoneticPr fontId="1" type="noConversion"/>
  </si>
  <si>
    <t>攻击加速50%</t>
    <phoneticPr fontId="1" type="noConversion"/>
  </si>
  <si>
    <t>烈焰灼烧，受到持续伤害。持续10秒。
受到火焰伤害的角色，周围3格内角色也受到持续火焰伤害。</t>
    <phoneticPr fontId="1" type="noConversion"/>
  </si>
  <si>
    <t>极速请点击</t>
    <phoneticPr fontId="1" type="noConversion"/>
  </si>
  <si>
    <t>血腥光环</t>
    <phoneticPr fontId="1" type="noConversion"/>
  </si>
  <si>
    <t>剧毒光环</t>
    <phoneticPr fontId="1" type="noConversion"/>
  </si>
  <si>
    <t>火焰光环</t>
    <phoneticPr fontId="1" type="noConversion"/>
  </si>
  <si>
    <t>熔岩光环</t>
    <phoneticPr fontId="1" type="noConversion"/>
  </si>
  <si>
    <t>残忍光环</t>
    <phoneticPr fontId="1" type="noConversion"/>
  </si>
  <si>
    <t>吸血光环</t>
    <phoneticPr fontId="1" type="noConversion"/>
  </si>
  <si>
    <t>死亡光环</t>
    <phoneticPr fontId="1" type="noConversion"/>
  </si>
  <si>
    <t>瘟疫光环</t>
    <phoneticPr fontId="1" type="noConversion"/>
  </si>
  <si>
    <t>变异光环</t>
    <phoneticPr fontId="1" type="noConversion"/>
  </si>
  <si>
    <t>核子光环</t>
    <phoneticPr fontId="1" type="noConversion"/>
  </si>
  <si>
    <t>象征着剧毒沙加特的图腾</t>
    <phoneticPr fontId="1" type="noConversion"/>
  </si>
  <si>
    <t>象征血腥电锯的图腾</t>
    <phoneticPr fontId="1" type="noConversion"/>
  </si>
  <si>
    <t>象征蜘蛛奥克的图腾</t>
    <phoneticPr fontId="1" type="noConversion"/>
  </si>
  <si>
    <t>象征地狱守护的图腾</t>
    <phoneticPr fontId="1" type="noConversion"/>
  </si>
  <si>
    <t>象征骨灰萨尔的图腾</t>
    <phoneticPr fontId="1" type="noConversion"/>
  </si>
  <si>
    <t>象征嗜血梅尔的图腾</t>
    <phoneticPr fontId="1" type="noConversion"/>
  </si>
  <si>
    <t>象征死神巴特的图腾</t>
    <phoneticPr fontId="1" type="noConversion"/>
  </si>
  <si>
    <t>象征尸王赫拉迪姆的图腾</t>
    <phoneticPr fontId="1" type="noConversion"/>
  </si>
  <si>
    <t>象征吞噬者希巴姆的图腾</t>
    <phoneticPr fontId="1" type="noConversion"/>
  </si>
  <si>
    <t>象征核子魔兽的图腾</t>
    <phoneticPr fontId="1" type="noConversion"/>
  </si>
  <si>
    <t>战士之魂</t>
    <phoneticPr fontId="1" type="noConversion"/>
  </si>
  <si>
    <t>流血-热能装甲</t>
    <phoneticPr fontId="1" type="noConversion"/>
  </si>
  <si>
    <t>矿车血量</t>
    <phoneticPr fontId="1" type="noConversion"/>
  </si>
  <si>
    <t>控制矿车血量专用BUFF</t>
    <phoneticPr fontId="1" type="noConversion"/>
  </si>
  <si>
    <t>神秘装置占领</t>
    <phoneticPr fontId="1" type="noConversion"/>
  </si>
  <si>
    <t>补给点占领</t>
    <phoneticPr fontId="1" type="noConversion"/>
  </si>
  <si>
    <t>补给点占领(红)</t>
    <phoneticPr fontId="1" type="noConversion"/>
  </si>
  <si>
    <t>神秘装置占领(红)</t>
    <phoneticPr fontId="1" type="noConversion"/>
  </si>
  <si>
    <t>补给点占领(蓝)</t>
    <phoneticPr fontId="1" type="noConversion"/>
  </si>
  <si>
    <t>神秘装置占领(蓝)</t>
    <phoneticPr fontId="1" type="noConversion"/>
  </si>
  <si>
    <t>小型炸弹</t>
    <phoneticPr fontId="1" type="noConversion"/>
  </si>
  <si>
    <t>炸弹</t>
    <phoneticPr fontId="1" type="noConversion"/>
  </si>
  <si>
    <t>中型炸弹</t>
    <phoneticPr fontId="1" type="noConversion"/>
  </si>
  <si>
    <t>大型炸弹</t>
    <phoneticPr fontId="1" type="noConversion"/>
  </si>
  <si>
    <t>彩聊</t>
    <phoneticPr fontId="1" type="noConversion"/>
  </si>
  <si>
    <t>可以使用彩聊功能</t>
    <phoneticPr fontId="1" type="noConversion"/>
  </si>
  <si>
    <t>2倍经验</t>
    <phoneticPr fontId="1" type="noConversion"/>
  </si>
  <si>
    <t>提升自身打怪经验100%</t>
    <phoneticPr fontId="1" type="noConversion"/>
  </si>
  <si>
    <t>炸弹爆炸</t>
    <phoneticPr fontId="1" type="noConversion"/>
  </si>
  <si>
    <t>精英怪</t>
    <phoneticPr fontId="1" type="noConversion"/>
  </si>
  <si>
    <t>怪物头目</t>
    <phoneticPr fontId="1" type="noConversion"/>
  </si>
  <si>
    <t>机甲豹</t>
    <phoneticPr fontId="1" type="noConversion"/>
  </si>
  <si>
    <t>速度非常快的机械猎豹</t>
    <phoneticPr fontId="1" type="noConversion"/>
  </si>
  <si>
    <t>邪恶光环</t>
    <phoneticPr fontId="1" type="noConversion"/>
  </si>
  <si>
    <t>象征邪龙的图腾</t>
    <phoneticPr fontId="1" type="noConversion"/>
  </si>
  <si>
    <t>龙之领域</t>
  </si>
  <si>
    <t>随机冰冻周围3个玩家10秒</t>
  </si>
  <si>
    <t>宠物40速骑乘状态</t>
  </si>
  <si>
    <t>宠物合体状态，每秒消耗1点合体值</t>
  </si>
  <si>
    <t>宠物60速骑乘状态</t>
  </si>
  <si>
    <t>宠物</t>
  </si>
  <si>
    <t>该宠物的融合度为8。</t>
  </si>
  <si>
    <t>该宠物的融合度为9。</t>
  </si>
  <si>
    <t>该宠物的融合度为10。</t>
  </si>
  <si>
    <t>此状态下，宠物可被驯化</t>
  </si>
  <si>
    <t>提升打怪时，宠物获得经验25%</t>
  </si>
  <si>
    <t>提升打怪时，宠物获得经验50%</t>
  </si>
  <si>
    <t>提升打怪时，宠物获得经验75%</t>
  </si>
  <si>
    <t>提升打怪时，宠物获得经验100%</t>
  </si>
  <si>
    <t>对怪物增加伤害</t>
    <phoneticPr fontId="1" type="noConversion"/>
  </si>
  <si>
    <t>伤害增加10%%</t>
    <phoneticPr fontId="1" type="noConversion"/>
  </si>
  <si>
    <t>战栗嘲讽</t>
    <phoneticPr fontId="1" type="noConversion"/>
  </si>
  <si>
    <t>瞄准标记</t>
    <phoneticPr fontId="1" type="noConversion"/>
  </si>
  <si>
    <t>封闭射击</t>
    <phoneticPr fontId="1" type="noConversion"/>
  </si>
  <si>
    <t>养殖boss喂养状态</t>
    <phoneticPr fontId="1" type="noConversion"/>
  </si>
  <si>
    <t>BOSS挑战状态</t>
    <phoneticPr fontId="1" type="noConversion"/>
  </si>
  <si>
    <t>该状态，养殖boss不可击杀</t>
    <phoneticPr fontId="1" type="noConversion"/>
  </si>
  <si>
    <t>攻击、防御降低</t>
    <phoneticPr fontId="1" type="noConversion"/>
  </si>
  <si>
    <t>受到术士诅咒，移动速度降低</t>
  </si>
  <si>
    <t>战士</t>
  </si>
  <si>
    <t>魔炮</t>
  </si>
  <si>
    <t>包括牧师的群体隐身</t>
  </si>
  <si>
    <t>枪手</t>
  </si>
  <si>
    <t>蝎型兽光环，增加附近玩家的攻击防御和生命</t>
  </si>
  <si>
    <t>团突袭任务中用于炸毁目标团建筑的炸药，点击目标团爆炸</t>
    <phoneticPr fontId="1" type="noConversion"/>
  </si>
  <si>
    <t>团突袭任务中用于炸毁目标团建筑的炸药，点击目标团爆炸</t>
    <phoneticPr fontId="1" type="noConversion"/>
  </si>
  <si>
    <t>死亡不清除</t>
    <phoneticPr fontId="1" type="noConversion"/>
  </si>
  <si>
    <t>自身魔力值被吸取，每秒10%，持续3秒</t>
  </si>
  <si>
    <t>魔力恢复</t>
  </si>
  <si>
    <t>物理防御、魔法防御均增加10%并附加50点</t>
  </si>
  <si>
    <t>提升物理和魔法防御力</t>
  </si>
  <si>
    <t>提升魔法攻击力</t>
  </si>
  <si>
    <t>可随意转换物理魔法攻击</t>
  </si>
  <si>
    <t>每秒可对最多8个怪物造成伤害</t>
    <phoneticPr fontId="1" type="noConversion"/>
  </si>
  <si>
    <t>巨大的战神附体，生命、防御大幅提升</t>
    <phoneticPr fontId="1" type="noConversion"/>
  </si>
  <si>
    <t>是否多线程加载</t>
    <phoneticPr fontId="1" type="noConversion"/>
  </si>
  <si>
    <t>buff的特效在游戏中是否多线程加载，1表示多线程加载；0表示即时加载；默认为1</t>
    <phoneticPr fontId="1" type="noConversion"/>
  </si>
  <si>
    <t>女武神之吻1级</t>
    <phoneticPr fontId="1" type="noConversion"/>
  </si>
  <si>
    <t>女武神之吻2级</t>
  </si>
  <si>
    <t>女武神之吻3级</t>
  </si>
  <si>
    <t>女武神之吻4级</t>
  </si>
  <si>
    <t>女武神之吻5级</t>
  </si>
  <si>
    <t>提升对怪物的伤害30%</t>
    <phoneticPr fontId="1" type="noConversion"/>
  </si>
  <si>
    <t>提升对怪物的伤害60%</t>
    <phoneticPr fontId="1" type="noConversion"/>
  </si>
  <si>
    <t>提升对怪物的伤害90%</t>
    <phoneticPr fontId="1" type="noConversion"/>
  </si>
  <si>
    <t>提升对怪物的伤害120%</t>
    <phoneticPr fontId="1" type="noConversion"/>
  </si>
  <si>
    <t>提升对怪物的伤害150%</t>
    <phoneticPr fontId="1" type="noConversion"/>
  </si>
  <si>
    <t>测试buff</t>
    <phoneticPr fontId="1" type="noConversion"/>
  </si>
  <si>
    <t>Gmbuff</t>
    <phoneticPr fontId="1" type="noConversion"/>
  </si>
  <si>
    <t>情报死亡不掉落</t>
    <phoneticPr fontId="1" type="noConversion"/>
  </si>
  <si>
    <t>跨地图无敌</t>
    <phoneticPr fontId="1" type="noConversion"/>
  </si>
  <si>
    <t>冲锋免疫</t>
    <phoneticPr fontId="1" type="noConversion"/>
  </si>
  <si>
    <t>对同一目标使用时空撕裂有免疫，免疫期内不会被撕裂</t>
    <phoneticPr fontId="1" type="noConversion"/>
  </si>
  <si>
    <t>对同一目标冲锋有免疫，免疫期内不会被冲锋</t>
    <phoneticPr fontId="1" type="noConversion"/>
  </si>
  <si>
    <t>对同一目标使用变形药水有免疫，免疫期内不会被变形</t>
    <phoneticPr fontId="1" type="noConversion"/>
  </si>
  <si>
    <t>对同一目标使用元素-冰霜有免疫，免疫期内不会被冰冻</t>
    <phoneticPr fontId="1" type="noConversion"/>
  </si>
  <si>
    <t>对同一目标使用静默之咒有免疫，免疫期内不会被静默</t>
    <phoneticPr fontId="1" type="noConversion"/>
  </si>
  <si>
    <t>骑战合一</t>
    <phoneticPr fontId="1" type="noConversion"/>
  </si>
  <si>
    <t>镖车合体</t>
    <phoneticPr fontId="1" type="noConversion"/>
  </si>
  <si>
    <t>和战骑合体，可主动取消</t>
    <phoneticPr fontId="1" type="noConversion"/>
  </si>
  <si>
    <t>领养宠物</t>
    <phoneticPr fontId="1" type="noConversion"/>
  </si>
  <si>
    <t>野猪狂暴</t>
    <phoneticPr fontId="1" type="noConversion"/>
  </si>
  <si>
    <t>攻击速度提升100%，移动速度提升100%</t>
    <phoneticPr fontId="1" type="noConversion"/>
  </si>
  <si>
    <t>暴风闪电</t>
    <phoneticPr fontId="1" type="noConversion"/>
  </si>
  <si>
    <t>每2秒自己及周围的同伴受到诅咒伤害</t>
    <phoneticPr fontId="1" type="noConversion"/>
  </si>
  <si>
    <t>大地之盾</t>
    <phoneticPr fontId="1" type="noConversion"/>
  </si>
  <si>
    <t>攻击大地领主的玩家受到30%的反伤伤害</t>
    <phoneticPr fontId="1" type="noConversion"/>
  </si>
  <si>
    <t>碧水樱花鱼</t>
    <phoneticPr fontId="1" type="noConversion"/>
  </si>
  <si>
    <t>水晶皇后鱼</t>
    <phoneticPr fontId="1" type="noConversion"/>
  </si>
  <si>
    <t>黄金鲤鱼王</t>
    <phoneticPr fontId="1" type="noConversion"/>
  </si>
  <si>
    <t>1分钟内有好的鱼就立即替换,没有就1分钟后消失,离开垂钓区就马上消失</t>
    <phoneticPr fontId="1" type="noConversion"/>
  </si>
  <si>
    <t>1分钟后消失,离开垂钓区就马上消失</t>
    <phoneticPr fontId="1" type="noConversion"/>
  </si>
  <si>
    <t>帮好友带宠物升级，互相领养宠物，可以让宠物更快的升级</t>
    <phoneticPr fontId="1" type="noConversion"/>
  </si>
  <si>
    <t>使用钓鱼卡</t>
    <phoneticPr fontId="1" type="noConversion"/>
  </si>
  <si>
    <t>使用钓鱼卡，可以提升获得稀有鱼类的几率。</t>
    <phoneticPr fontId="1" type="noConversion"/>
  </si>
  <si>
    <t>黑暗光环</t>
    <phoneticPr fontId="1" type="noConversion"/>
  </si>
  <si>
    <t>杀戮光环</t>
    <phoneticPr fontId="1" type="noConversion"/>
  </si>
  <si>
    <t>狂暴光环</t>
    <phoneticPr fontId="1" type="noConversion"/>
  </si>
  <si>
    <t>叛逆光环</t>
    <phoneticPr fontId="1" type="noConversion"/>
  </si>
  <si>
    <t>风暴光环</t>
    <phoneticPr fontId="1" type="noConversion"/>
  </si>
  <si>
    <t>燃烧光环</t>
    <phoneticPr fontId="1" type="noConversion"/>
  </si>
  <si>
    <t>钓鱼</t>
    <phoneticPr fontId="1" type="noConversion"/>
  </si>
  <si>
    <t>NPC攻击提升</t>
  </si>
  <si>
    <t>NPC命中提升</t>
  </si>
  <si>
    <t>NPC防御提升</t>
  </si>
  <si>
    <t>NPC生命提升</t>
  </si>
  <si>
    <t>NPC特伤提升</t>
    <phoneticPr fontId="1" type="noConversion"/>
  </si>
  <si>
    <t>血魔光环</t>
    <phoneticPr fontId="1" type="noConversion"/>
  </si>
  <si>
    <t>象征血魔卡迪瑞恩图腾</t>
    <phoneticPr fontId="1" type="noConversion"/>
  </si>
  <si>
    <t>象征暗影卡哈拉图腾</t>
    <phoneticPr fontId="1" type="noConversion"/>
  </si>
  <si>
    <t>象征死亡巡猎者图腾</t>
    <phoneticPr fontId="1" type="noConversion"/>
  </si>
  <si>
    <t>象征巨猪野帝吧嗒嘟图腾</t>
    <phoneticPr fontId="1" type="noConversion"/>
  </si>
  <si>
    <t>象征大地领主岩石图腾</t>
    <phoneticPr fontId="1" type="noConversion"/>
  </si>
  <si>
    <t>象征暴风领主怒风图腾</t>
    <phoneticPr fontId="1" type="noConversion"/>
  </si>
  <si>
    <r>
      <t>象征火焰领主烈焰</t>
    </r>
    <r>
      <rPr>
        <b/>
        <sz val="10"/>
        <rFont val="宋体"/>
        <family val="3"/>
        <charset val="134"/>
      </rPr>
      <t>图腾</t>
    </r>
    <phoneticPr fontId="1" type="noConversion"/>
  </si>
  <si>
    <t>象征三头龙王凯利克图腾</t>
    <phoneticPr fontId="1" type="noConversion"/>
  </si>
  <si>
    <t>被击杀水晶会掉落</t>
    <phoneticPr fontId="1" type="noConversion"/>
  </si>
  <si>
    <t>白色生命水晶</t>
    <phoneticPr fontId="1" type="noConversion"/>
  </si>
  <si>
    <t>蓝色生命水晶</t>
    <phoneticPr fontId="1" type="noConversion"/>
  </si>
  <si>
    <t>黄色生命水晶</t>
    <phoneticPr fontId="1" type="noConversion"/>
  </si>
  <si>
    <t>绿色生命水晶</t>
    <phoneticPr fontId="1" type="noConversion"/>
  </si>
  <si>
    <t>紫色生命水晶</t>
    <phoneticPr fontId="1" type="noConversion"/>
  </si>
  <si>
    <t>野蛮咆哮</t>
    <phoneticPr fontId="1" type="noConversion"/>
  </si>
  <si>
    <t>降低周围5格内玩家的物理，魔法防御30%。持续30秒。</t>
    <phoneticPr fontId="1" type="noConversion"/>
  </si>
  <si>
    <t>99朵白玫瑰</t>
    <phoneticPr fontId="1" type="noConversion"/>
  </si>
  <si>
    <t>999朵白玫瑰</t>
    <phoneticPr fontId="1" type="noConversion"/>
  </si>
  <si>
    <t>移民过后，需间隔至少3天，才可再申请移民服务。</t>
    <phoneticPr fontId="1" type="noConversion"/>
  </si>
  <si>
    <t>禁止移民</t>
    <phoneticPr fontId="1" type="noConversion"/>
  </si>
  <si>
    <t>快乐心情</t>
    <phoneticPr fontId="1" type="noConversion"/>
  </si>
  <si>
    <t>提升攻击2.5%同时附加物理和魔法攻击30点</t>
    <phoneticPr fontId="1" type="noConversion"/>
  </si>
  <si>
    <t>提升攻击3%同时附加物理和魔法攻击60点</t>
    <phoneticPr fontId="1" type="noConversion"/>
  </si>
  <si>
    <t>提升攻击3.5%同时附加物理和魔法攻击90点</t>
    <phoneticPr fontId="1" type="noConversion"/>
  </si>
  <si>
    <t>提升攻击4%同时附加物理和魔法攻击120点</t>
    <phoneticPr fontId="1" type="noConversion"/>
  </si>
  <si>
    <t>提升攻击4.5%同时附加物理和魔法攻击150点</t>
    <phoneticPr fontId="1" type="noConversion"/>
  </si>
  <si>
    <t>提升攻击5%同时附加物理和魔法攻击180点</t>
    <phoneticPr fontId="1" type="noConversion"/>
  </si>
  <si>
    <t>提升攻击5.5%同时附加物理和魔法攻击210点</t>
    <phoneticPr fontId="1" type="noConversion"/>
  </si>
  <si>
    <t>提升攻击6%同时附加物理和魔法攻击240点</t>
    <phoneticPr fontId="1" type="noConversion"/>
  </si>
  <si>
    <t>提升防御2.5%同时附加物理和魔法防御25点</t>
    <phoneticPr fontId="1" type="noConversion"/>
  </si>
  <si>
    <t>提升防御3%同时附加物理和魔法防御50点</t>
    <phoneticPr fontId="1" type="noConversion"/>
  </si>
  <si>
    <t>提升防御3.5%同时附加物理和魔法防御75点</t>
    <phoneticPr fontId="1" type="noConversion"/>
  </si>
  <si>
    <t>提升防御4%同时附加物理和魔法防御100点</t>
    <phoneticPr fontId="1" type="noConversion"/>
  </si>
  <si>
    <t>提升防御4.5%同时附加物理和魔法防御125点</t>
    <phoneticPr fontId="1" type="noConversion"/>
  </si>
  <si>
    <t>提升防御5%同时附加物理和魔法防御150点</t>
    <phoneticPr fontId="1" type="noConversion"/>
  </si>
  <si>
    <t>提升防御5.5%同时附加物理和魔法防御175点</t>
    <phoneticPr fontId="1" type="noConversion"/>
  </si>
  <si>
    <t>提升防御6%同时附加物理和魔法防御200点</t>
    <phoneticPr fontId="1" type="noConversion"/>
  </si>
  <si>
    <t>提升生命2.5%同时附加生命值125点</t>
    <phoneticPr fontId="1" type="noConversion"/>
  </si>
  <si>
    <t>提升生命3%同时附加生命值250点</t>
    <phoneticPr fontId="1" type="noConversion"/>
  </si>
  <si>
    <t>提升生命3.5%同时附加生命值375点</t>
    <phoneticPr fontId="1" type="noConversion"/>
  </si>
  <si>
    <t>提升生命4%同时附加生命值500点</t>
    <phoneticPr fontId="1" type="noConversion"/>
  </si>
  <si>
    <t>提升生命4.5%同时附加生命值625点</t>
    <phoneticPr fontId="1" type="noConversion"/>
  </si>
  <si>
    <t>提升生命5%同时附加生命值750点</t>
    <phoneticPr fontId="1" type="noConversion"/>
  </si>
  <si>
    <t>提升生命5.5%同时附加生命值875点</t>
    <phoneticPr fontId="1" type="noConversion"/>
  </si>
  <si>
    <t>提升生命6%同时附加生命值1000点</t>
    <phoneticPr fontId="1" type="noConversion"/>
  </si>
  <si>
    <t>攻击提升20%</t>
    <phoneticPr fontId="1" type="noConversion"/>
  </si>
  <si>
    <t>防御提升20%</t>
    <phoneticPr fontId="1" type="noConversion"/>
  </si>
  <si>
    <t>生命值提升20%</t>
    <phoneticPr fontId="1" type="noConversion"/>
  </si>
  <si>
    <t>生命汲取免疫</t>
    <phoneticPr fontId="1" type="noConversion"/>
  </si>
  <si>
    <t>对同一目标使用生命汲取有150秒免疫</t>
    <phoneticPr fontId="1" type="noConversion"/>
  </si>
  <si>
    <t>与团成员共舞后，身轻如燕，带者快乐心情继续冒险吧！</t>
    <phoneticPr fontId="1" type="noConversion"/>
  </si>
  <si>
    <t>叹息之墙（自然）</t>
  </si>
  <si>
    <t>叹息之墙（闪电）</t>
  </si>
  <si>
    <t>叹息之墙（火焰）</t>
  </si>
  <si>
    <t>叹息之墙（冰霜）</t>
  </si>
  <si>
    <t>自然抵抗增加25%</t>
    <phoneticPr fontId="1" type="noConversion"/>
  </si>
  <si>
    <t>闪电抵抗增加25%</t>
    <phoneticPr fontId="1" type="noConversion"/>
  </si>
  <si>
    <t>火焰抵抗增加25%</t>
    <phoneticPr fontId="1" type="noConversion"/>
  </si>
  <si>
    <t>冰霜抵抗增加25%</t>
    <phoneticPr fontId="1" type="noConversion"/>
  </si>
  <si>
    <t>新手</t>
    <phoneticPr fontId="1" type="noConversion"/>
  </si>
  <si>
    <t>封测红包IP代表</t>
    <phoneticPr fontId="1" type="noConversion"/>
  </si>
  <si>
    <t>天降红包</t>
    <phoneticPr fontId="1" type="noConversion"/>
  </si>
  <si>
    <t>烟花特效1</t>
    <phoneticPr fontId="1" type="noConversion"/>
  </si>
  <si>
    <t>烟花特效2</t>
    <phoneticPr fontId="1" type="noConversion"/>
  </si>
  <si>
    <t>烟花特效3</t>
  </si>
  <si>
    <t>烟花特效4</t>
  </si>
  <si>
    <t>烟花特效5</t>
  </si>
  <si>
    <t>烟花特效6</t>
  </si>
  <si>
    <t>扑克魔法</t>
    <phoneticPr fontId="1" type="noConversion"/>
  </si>
  <si>
    <t>哭泣面具</t>
    <phoneticPr fontId="1" type="noConversion"/>
  </si>
  <si>
    <t>欢笑面具</t>
    <phoneticPr fontId="1" type="noConversion"/>
  </si>
  <si>
    <t>神引之剑</t>
    <phoneticPr fontId="1" type="noConversion"/>
  </si>
  <si>
    <t>古代战争中牺牲的勇士的英灵，拥有谦卑品质。
将其引领回女武神处，可获得丰厚嘉奖！</t>
    <phoneticPr fontId="1" type="noConversion"/>
  </si>
  <si>
    <t>古代战争中牺牲的勇士的英灵，拥有公正品质。
将其引领回女武神处，可获得丰厚嘉奖！</t>
    <phoneticPr fontId="1" type="noConversion"/>
  </si>
  <si>
    <t>古代战争中牺牲的勇士的英灵，拥有诚实品质。
将其引领回女武神处，可获得丰厚嘉奖！</t>
    <phoneticPr fontId="1" type="noConversion"/>
  </si>
  <si>
    <t>古代战争中牺牲的勇士的英灵，拥有英勇品质。
将其引领回女武神处，可获得丰厚嘉奖！</t>
    <phoneticPr fontId="1" type="noConversion"/>
  </si>
  <si>
    <t>接受神的指引，去找寻战争中阵亡的勇士英灵吧！</t>
    <phoneticPr fontId="1" type="noConversion"/>
  </si>
  <si>
    <t>战争英灵（谦卑）</t>
    <phoneticPr fontId="1" type="noConversion"/>
  </si>
  <si>
    <t>战争英灵（公正）</t>
    <phoneticPr fontId="1" type="noConversion"/>
  </si>
  <si>
    <t>战争英灵（诚实）</t>
    <phoneticPr fontId="1" type="noConversion"/>
  </si>
  <si>
    <t>战争英灵（英勇）</t>
    <phoneticPr fontId="1" type="noConversion"/>
  </si>
  <si>
    <t>自我治愈</t>
    <phoneticPr fontId="1" type="noConversion"/>
  </si>
  <si>
    <t>持续恢复自身的生命
很难缠的样子啊，和伙伴们集中攻击逐个击破吧！</t>
    <phoneticPr fontId="1" type="noConversion"/>
  </si>
  <si>
    <t>小丑的眼泪</t>
    <phoneticPr fontId="1" type="noConversion"/>
  </si>
  <si>
    <t>嬉笑的小丑为何流下悲伤的眼泪？
此状态下，移动速度下降50%，攻击下降50%</t>
    <phoneticPr fontId="1" type="noConversion"/>
  </si>
  <si>
    <t>带上哭泣的面具，即便欢笑也是哭泣吧。
此状态下，受到的物理伤害减免100%</t>
    <phoneticPr fontId="1" type="noConversion"/>
  </si>
  <si>
    <t>带上欢笑的面具，即便哭泣也是欢笑吧。
此状态下，受到的魔法伤害减免100%</t>
    <phoneticPr fontId="1" type="noConversion"/>
  </si>
  <si>
    <t>水晶鞋</t>
    <phoneticPr fontId="1" type="noConversion"/>
  </si>
  <si>
    <t>老婆，我爱你</t>
    <phoneticPr fontId="1" type="noConversion"/>
  </si>
  <si>
    <t>今天嫁给你</t>
    <phoneticPr fontId="1" type="noConversion"/>
  </si>
  <si>
    <t>爱你一万年</t>
    <phoneticPr fontId="1" type="noConversion"/>
  </si>
  <si>
    <t>百年好合</t>
    <phoneticPr fontId="1" type="noConversion"/>
  </si>
  <si>
    <t>BUFF_STATE_IGNO             = 64        --按物理时间扣除</t>
    <phoneticPr fontId="1" type="noConversion"/>
  </si>
  <si>
    <t>被塔布里斯变幻成扑克啦！
该状态下，不可使用技能。</t>
    <phoneticPr fontId="1" type="noConversion"/>
  </si>
  <si>
    <t>天平BuffA</t>
    <phoneticPr fontId="1" type="noConversion"/>
  </si>
  <si>
    <t>天平BuffB</t>
    <phoneticPr fontId="1" type="noConversion"/>
  </si>
  <si>
    <t>国战期间的天平BuffA</t>
    <phoneticPr fontId="1" type="noConversion"/>
  </si>
  <si>
    <t>国战期间的天平BuffB</t>
    <phoneticPr fontId="1" type="noConversion"/>
  </si>
  <si>
    <t>离婚状态</t>
    <phoneticPr fontId="1" type="noConversion"/>
  </si>
  <si>
    <t>七彩海贝</t>
    <phoneticPr fontId="1" type="noConversion"/>
  </si>
  <si>
    <t>淘气海星</t>
    <phoneticPr fontId="1" type="noConversion"/>
  </si>
  <si>
    <t>梦幻珊瑚</t>
    <phoneticPr fontId="1" type="noConversion"/>
  </si>
  <si>
    <t>安古瑞似乎现在想吃“梦幻珊瑚”。
（当前给它喂食“梦幻珊瑚”可获得额外经验加成）
将其引领回女武神处，可获得丰厚嘉奖！</t>
    <phoneticPr fontId="1" type="noConversion"/>
  </si>
  <si>
    <t>安古瑞似乎现在想吃“七彩海贝”。
（当前给它喂食“七彩海贝”可获得额外经验加成）
将其引领回女武神处，可获得丰厚嘉奖！</t>
    <phoneticPr fontId="1" type="noConversion"/>
  </si>
  <si>
    <t>安古瑞似乎现在想吃“淘气海星”。
（当前给它喂食“淘气海星”可获得额外经验加成）</t>
    <phoneticPr fontId="1" type="noConversion"/>
  </si>
  <si>
    <t>Merry Christmas！</t>
    <phoneticPr fontId="1" type="noConversion"/>
  </si>
  <si>
    <t>圣诞快乐！</t>
    <phoneticPr fontId="1" type="noConversion"/>
  </si>
  <si>
    <t>炫丽烟火！</t>
    <phoneticPr fontId="1" type="noConversion"/>
  </si>
  <si>
    <t>经历了一段痛苦的婚姻，终于走到了婚姻的终点。</t>
    <phoneticPr fontId="1" type="noConversion"/>
  </si>
  <si>
    <t>黑暗封锁</t>
    <phoneticPr fontId="1" type="noConversion"/>
  </si>
  <si>
    <t>魔法吸收</t>
    <phoneticPr fontId="1" type="noConversion"/>
  </si>
  <si>
    <t>毒性传染</t>
    <phoneticPr fontId="1" type="noConversion"/>
  </si>
  <si>
    <t>群体混乱</t>
    <phoneticPr fontId="1" type="noConversion"/>
  </si>
  <si>
    <t>同我之境</t>
    <phoneticPr fontId="1" type="noConversion"/>
  </si>
  <si>
    <t>法老的诅咒</t>
    <phoneticPr fontId="1" type="noConversion"/>
  </si>
  <si>
    <t>群体BUFF技能，BOSS死亡后，BOSS9*9范围的玩家有10%的几率获得一个BUFF，在一分钟后死亡，该BUFF可被驱散</t>
    <phoneticPr fontId="1" type="noConversion"/>
  </si>
  <si>
    <t>叶毒</t>
    <phoneticPr fontId="1" type="noConversion"/>
  </si>
  <si>
    <t>荆棘壁垒</t>
    <phoneticPr fontId="1" type="noConversion"/>
  </si>
  <si>
    <t>恶魔狂暴</t>
    <phoneticPr fontId="1" type="noConversion"/>
  </si>
  <si>
    <t>邪恶法球</t>
    <phoneticPr fontId="1" type="noConversion"/>
  </si>
  <si>
    <t>摩罗多姆灵魂形成的法球</t>
    <phoneticPr fontId="1" type="noConversion"/>
  </si>
  <si>
    <t>抱起</t>
    <phoneticPr fontId="1" type="noConversion"/>
  </si>
  <si>
    <t>依偎</t>
    <phoneticPr fontId="1" type="noConversion"/>
  </si>
  <si>
    <t>黑暗治愈术</t>
    <phoneticPr fontId="1" type="noConversion"/>
  </si>
  <si>
    <t>红色旗帜</t>
    <phoneticPr fontId="1" type="noConversion"/>
  </si>
  <si>
    <t>蓝色旗帜</t>
    <phoneticPr fontId="1" type="noConversion"/>
  </si>
  <si>
    <t>战争水晶（物攻）</t>
    <phoneticPr fontId="1" type="noConversion"/>
  </si>
  <si>
    <t>增加物攻15%</t>
    <phoneticPr fontId="1" type="noConversion"/>
  </si>
  <si>
    <t>战争水晶（物防）</t>
    <phoneticPr fontId="1" type="noConversion"/>
  </si>
  <si>
    <t>增加物防15%</t>
    <phoneticPr fontId="1" type="noConversion"/>
  </si>
  <si>
    <t>战争水晶（回血）</t>
    <phoneticPr fontId="1" type="noConversion"/>
  </si>
  <si>
    <t>每秒回复5%血量</t>
    <phoneticPr fontId="1" type="noConversion"/>
  </si>
  <si>
    <t>众生回避</t>
    <phoneticPr fontId="1" type="noConversion"/>
  </si>
  <si>
    <t>龙马精神</t>
    <phoneticPr fontId="1" type="noConversion"/>
  </si>
  <si>
    <t>龙腾虎跃</t>
    <phoneticPr fontId="1" type="noConversion"/>
  </si>
  <si>
    <t>新年快乐</t>
    <phoneticPr fontId="1" type="noConversion"/>
  </si>
  <si>
    <t>彩色烟花</t>
    <phoneticPr fontId="1" type="noConversion"/>
  </si>
  <si>
    <t>烟花短暂，美丽永恒</t>
    <phoneticPr fontId="1" type="noConversion"/>
  </si>
  <si>
    <t>元宵花灯</t>
    <phoneticPr fontId="1" type="noConversion"/>
  </si>
  <si>
    <t>待制作</t>
    <phoneticPr fontId="1" type="noConversion"/>
  </si>
  <si>
    <t>在9*9的范围内随机出现一个3*3的魔法界，暂时封锁魔法界内目标不能出界，魔法界内的玩家每秒流失15%的血量，持续10秒</t>
    <phoneticPr fontId="1" type="noConversion"/>
  </si>
  <si>
    <t>每秒流失5%的血量，持续10秒</t>
    <phoneticPr fontId="1" type="noConversion"/>
  </si>
  <si>
    <t>使9*9范围内目标混乱，无意识乱跑10秒。</t>
    <phoneticPr fontId="1" type="noConversion"/>
  </si>
  <si>
    <r>
      <t>摩罗多姆灵魂形成的治愈术，每秒回复1%的血量，持续</t>
    </r>
    <r>
      <rPr>
        <sz val="10"/>
        <rFont val="宋体"/>
        <family val="3"/>
        <charset val="134"/>
      </rPr>
      <t>10秒</t>
    </r>
    <phoneticPr fontId="1" type="noConversion"/>
  </si>
  <si>
    <t>将自身受到的伤害反射给伤害来源，同时每秒造成6*6范围内的目标每秒10%血量的伤害，持续5秒</t>
    <phoneticPr fontId="1" type="noConversion"/>
  </si>
  <si>
    <t>每秒下降5%的血量，持续10秒，可被驱散</t>
    <phoneticPr fontId="1" type="noConversion"/>
  </si>
  <si>
    <t>50%几率增加自身物理防御或魔法防御80%，持续10秒</t>
    <phoneticPr fontId="1" type="noConversion"/>
  </si>
  <si>
    <t>BOSS血量低于20%时，进入狂暴状态，技能释放次数增多</t>
    <phoneticPr fontId="1" type="noConversion"/>
  </si>
  <si>
    <t>一鼓作气</t>
    <phoneticPr fontId="1" type="noConversion"/>
  </si>
  <si>
    <r>
      <t>生命上限增加5</t>
    </r>
    <r>
      <rPr>
        <sz val="10"/>
        <rFont val="宋体"/>
        <family val="3"/>
        <charset val="134"/>
      </rPr>
      <t>00点</t>
    </r>
    <phoneticPr fontId="1" type="noConversion"/>
  </si>
  <si>
    <t>大幅提高移动速度</t>
    <phoneticPr fontId="1" type="noConversion"/>
  </si>
  <si>
    <t>免疫魔法伤害，并吸收魔法伤害转化为自身血量，持续30秒</t>
    <phoneticPr fontId="1" type="noConversion"/>
  </si>
  <si>
    <t>特权玩家</t>
    <phoneticPr fontId="1" type="noConversion"/>
  </si>
  <si>
    <t>1.75倍经验</t>
    <phoneticPr fontId="1" type="noConversion"/>
  </si>
  <si>
    <t>提升自身打怪经验75%</t>
    <phoneticPr fontId="1" type="noConversion"/>
  </si>
  <si>
    <t>领跑者</t>
    <phoneticPr fontId="1" type="noConversion"/>
  </si>
  <si>
    <t>领先者</t>
    <phoneticPr fontId="1" type="noConversion"/>
  </si>
  <si>
    <t>垫底者</t>
    <phoneticPr fontId="1" type="noConversion"/>
  </si>
  <si>
    <t>国战复活</t>
    <phoneticPr fontId="1" type="noConversion"/>
  </si>
  <si>
    <t>国战期间，通过“国家复活”方式复活，获得的短时间无敌状态。</t>
    <phoneticPr fontId="1" type="noConversion"/>
  </si>
  <si>
    <t>据说信春哥的人，血量可以回满并增加100%，攻击增加100%，持续30秒</t>
    <phoneticPr fontId="1" type="noConversion"/>
  </si>
  <si>
    <t>勇敢(1级)</t>
    <phoneticPr fontId="1" type="noConversion"/>
  </si>
  <si>
    <t>勇敢(2级)</t>
    <phoneticPr fontId="1" type="noConversion"/>
  </si>
  <si>
    <t>勇敢(3级)</t>
    <phoneticPr fontId="1" type="noConversion"/>
  </si>
  <si>
    <t>睿智(1级)</t>
    <phoneticPr fontId="1" type="noConversion"/>
  </si>
  <si>
    <t>睿智(2级)</t>
    <phoneticPr fontId="1" type="noConversion"/>
  </si>
  <si>
    <t>睿智(3级)</t>
    <phoneticPr fontId="1" type="noConversion"/>
  </si>
  <si>
    <t>胆小(1级)</t>
    <phoneticPr fontId="1" type="noConversion"/>
  </si>
  <si>
    <t>胆小(2级)</t>
    <phoneticPr fontId="1" type="noConversion"/>
  </si>
  <si>
    <t>胆小(3级)</t>
    <phoneticPr fontId="1" type="noConversion"/>
  </si>
  <si>
    <t>孤独(1级)</t>
    <phoneticPr fontId="1" type="noConversion"/>
  </si>
  <si>
    <t>孤独(2级)</t>
    <phoneticPr fontId="1" type="noConversion"/>
  </si>
  <si>
    <t>孤独(3级)</t>
    <phoneticPr fontId="1" type="noConversion"/>
  </si>
  <si>
    <t>任性(1级)</t>
    <phoneticPr fontId="1" type="noConversion"/>
  </si>
  <si>
    <t>任性(2级)</t>
    <phoneticPr fontId="1" type="noConversion"/>
  </si>
  <si>
    <t>任性(3级)</t>
    <phoneticPr fontId="1" type="noConversion"/>
  </si>
  <si>
    <t>温和(1级)</t>
    <phoneticPr fontId="1" type="noConversion"/>
  </si>
  <si>
    <t>温和(2级)</t>
    <phoneticPr fontId="1" type="noConversion"/>
  </si>
  <si>
    <t>温和(3级)</t>
    <phoneticPr fontId="1" type="noConversion"/>
  </si>
  <si>
    <t>天真(1级)</t>
    <phoneticPr fontId="1" type="noConversion"/>
  </si>
  <si>
    <t>天真(2级)</t>
    <phoneticPr fontId="1" type="noConversion"/>
  </si>
  <si>
    <t>天真(3级)</t>
    <phoneticPr fontId="1" type="noConversion"/>
  </si>
  <si>
    <t>暴烈(1级)</t>
    <phoneticPr fontId="1" type="noConversion"/>
  </si>
  <si>
    <t>暴烈(2级)</t>
    <phoneticPr fontId="1" type="noConversion"/>
  </si>
  <si>
    <t>暴烈(3级)</t>
    <phoneticPr fontId="1" type="noConversion"/>
  </si>
  <si>
    <t>狂妄(1级)</t>
    <phoneticPr fontId="1" type="noConversion"/>
  </si>
  <si>
    <t>狂妄(2级)</t>
    <phoneticPr fontId="1" type="noConversion"/>
  </si>
  <si>
    <t>狂妄(3级)</t>
    <phoneticPr fontId="1" type="noConversion"/>
  </si>
  <si>
    <t>老实(1级)</t>
    <phoneticPr fontId="1" type="noConversion"/>
  </si>
  <si>
    <t>老实(2级)</t>
    <phoneticPr fontId="1" type="noConversion"/>
  </si>
  <si>
    <t>老实(3级)</t>
    <phoneticPr fontId="1" type="noConversion"/>
  </si>
  <si>
    <t>害羞(1级)</t>
    <phoneticPr fontId="1" type="noConversion"/>
  </si>
  <si>
    <t>害羞(2级)</t>
    <phoneticPr fontId="1" type="noConversion"/>
  </si>
  <si>
    <t>害羞(3级)</t>
    <phoneticPr fontId="1" type="noConversion"/>
  </si>
  <si>
    <t>红旗在手，谁与争锋！-击杀其他玩家额外附加10积分，结束持有额外增加150积分。死亡掉落</t>
    <phoneticPr fontId="1" type="noConversion"/>
  </si>
  <si>
    <t>击杀其他玩家额外附加5积分，结束持有额外增加50积分。死亡掉落</t>
    <phoneticPr fontId="1" type="noConversion"/>
  </si>
  <si>
    <t>物攻报恩(1级)</t>
    <phoneticPr fontId="1" type="noConversion"/>
  </si>
  <si>
    <t>物攻报恩(2级)</t>
    <phoneticPr fontId="1" type="noConversion"/>
  </si>
  <si>
    <t>物攻报恩(3级)</t>
    <phoneticPr fontId="1" type="noConversion"/>
  </si>
  <si>
    <t>物防报恩(1级)</t>
    <phoneticPr fontId="1" type="noConversion"/>
  </si>
  <si>
    <t>物防报恩(2级)</t>
    <phoneticPr fontId="1" type="noConversion"/>
  </si>
  <si>
    <t>物防报恩(3级)</t>
    <phoneticPr fontId="1" type="noConversion"/>
  </si>
  <si>
    <t>生命报恩(1级)</t>
    <phoneticPr fontId="1" type="noConversion"/>
  </si>
  <si>
    <t>生命报恩(2级)</t>
    <phoneticPr fontId="1" type="noConversion"/>
  </si>
  <si>
    <t>生命报恩(3级)</t>
    <phoneticPr fontId="1" type="noConversion"/>
  </si>
  <si>
    <t>全队攻击报恩(1级)</t>
    <phoneticPr fontId="1" type="noConversion"/>
  </si>
  <si>
    <t>全队攻击报恩(2级)</t>
    <phoneticPr fontId="1" type="noConversion"/>
  </si>
  <si>
    <t>全队攻击报恩(3级)</t>
    <phoneticPr fontId="1" type="noConversion"/>
  </si>
  <si>
    <t>全队防御报恩(1级)</t>
    <phoneticPr fontId="1" type="noConversion"/>
  </si>
  <si>
    <t>全队防御报恩(2级)</t>
    <phoneticPr fontId="1" type="noConversion"/>
  </si>
  <si>
    <t>全队防御报恩(3级)</t>
    <phoneticPr fontId="1" type="noConversion"/>
  </si>
  <si>
    <t>全队生命报恩(1级)</t>
    <phoneticPr fontId="1" type="noConversion"/>
  </si>
  <si>
    <t>全队生命报恩(2级)</t>
    <phoneticPr fontId="1" type="noConversion"/>
  </si>
  <si>
    <t>全队生命报恩(3级)</t>
    <phoneticPr fontId="1" type="noConversion"/>
  </si>
  <si>
    <t>1.25倍宠物经验</t>
    <phoneticPr fontId="1" type="noConversion"/>
  </si>
  <si>
    <t>1.5倍宠物经验</t>
    <phoneticPr fontId="1" type="noConversion"/>
  </si>
  <si>
    <t>1.75倍宠物经验</t>
    <phoneticPr fontId="1" type="noConversion"/>
  </si>
  <si>
    <t>2倍宠物经验</t>
    <phoneticPr fontId="1" type="noConversion"/>
  </si>
  <si>
    <t>注意：如果要求既要求宠物buff显示图标，又要求头像下方自己的显示图标，那么会只显示宠物头像后的buff图标，角色头像后不显示</t>
    <phoneticPr fontId="1" type="noConversion"/>
  </si>
  <si>
    <t>使用舞会门票(高)</t>
    <phoneticPr fontId="1" type="noConversion"/>
  </si>
  <si>
    <t>使用舞会门票(高)，跳舞可以获得比舞会门票(中)更多的经验。</t>
    <phoneticPr fontId="1" type="noConversion"/>
  </si>
  <si>
    <t>虚弱状态</t>
    <phoneticPr fontId="1" type="noConversion"/>
  </si>
  <si>
    <t>虚弱重生后，攻击和防御降低</t>
    <phoneticPr fontId="1" type="noConversion"/>
  </si>
  <si>
    <t>VIP1</t>
    <phoneticPr fontId="1" type="noConversion"/>
  </si>
  <si>
    <t>VIP3</t>
  </si>
  <si>
    <t>VIP4</t>
  </si>
  <si>
    <t>VIP2</t>
    <phoneticPr fontId="1" type="noConversion"/>
  </si>
  <si>
    <t>颁发团奖金</t>
    <phoneticPr fontId="1" type="noConversion"/>
  </si>
  <si>
    <t>大幅提升物理防御</t>
    <phoneticPr fontId="1" type="noConversion"/>
  </si>
  <si>
    <t>火凤守护</t>
    <phoneticPr fontId="1" type="noConversion"/>
  </si>
  <si>
    <t>使自身死而复生</t>
    <phoneticPr fontId="1" type="noConversion"/>
  </si>
  <si>
    <t>救赎启示</t>
    <phoneticPr fontId="1" type="noConversion"/>
  </si>
  <si>
    <t>给小队持续加血</t>
    <phoneticPr fontId="1" type="noConversion"/>
  </si>
  <si>
    <t>自爆</t>
    <phoneticPr fontId="1" type="noConversion"/>
  </si>
  <si>
    <t>使自身减移动速度</t>
    <phoneticPr fontId="1" type="noConversion"/>
  </si>
  <si>
    <t>勇者之盾</t>
  </si>
  <si>
    <t>减免自身所受大部分伤害，同时攻击力降低</t>
    <phoneticPr fontId="1" type="noConversion"/>
  </si>
  <si>
    <t>绿色水晶祝福</t>
    <phoneticPr fontId="1" type="noConversion"/>
  </si>
  <si>
    <t>紫色水晶祝福</t>
    <phoneticPr fontId="1" type="noConversion"/>
  </si>
  <si>
    <t>帮助国家找回了绿色生命水晶后得到的祝福，提升攻击、防御、生命值1%</t>
    <phoneticPr fontId="1" type="noConversion"/>
  </si>
  <si>
    <t>帮助国家找回了紫色生命水晶后得到的祝福，提升攻击、防御、生命值2%</t>
    <phoneticPr fontId="1" type="noConversion"/>
  </si>
  <si>
    <t>BOSS的魔法场限制了30格内玩家死亡无法使用原地复活、虚弱复活、复活道具</t>
    <phoneticPr fontId="1" type="noConversion"/>
  </si>
  <si>
    <t>用使用鱼杆和钓鱼卡钓鱼，可以钓到各种鱼，可以换经验或者兑换宝箱。</t>
    <phoneticPr fontId="1" type="noConversion"/>
  </si>
  <si>
    <t>天使光柱</t>
    <phoneticPr fontId="1" type="noConversion"/>
  </si>
  <si>
    <t>恶魔光柱</t>
    <phoneticPr fontId="1" type="noConversion"/>
  </si>
  <si>
    <t>荣耀即吾命</t>
    <phoneticPr fontId="1" type="noConversion"/>
  </si>
  <si>
    <t>沙国万岁！</t>
    <phoneticPr fontId="1" type="noConversion"/>
  </si>
  <si>
    <t>风国万岁！</t>
    <phoneticPr fontId="1" type="noConversion"/>
  </si>
  <si>
    <t>胜利！胜利！</t>
    <phoneticPr fontId="1" type="noConversion"/>
  </si>
  <si>
    <t>逗你玩</t>
    <phoneticPr fontId="1" type="noConversion"/>
  </si>
  <si>
    <t>悲催的人</t>
    <phoneticPr fontId="1" type="noConversion"/>
  </si>
  <si>
    <t>花阵</t>
    <phoneticPr fontId="1" type="noConversion"/>
  </si>
  <si>
    <t>接吻</t>
    <phoneticPr fontId="1" type="noConversion"/>
  </si>
  <si>
    <t>拥抱</t>
    <phoneticPr fontId="1" type="noConversion"/>
  </si>
  <si>
    <t>修复</t>
    <phoneticPr fontId="1" type="noConversion"/>
  </si>
  <si>
    <t>占星获得增益状态：物攻+2%，额外+20</t>
  </si>
  <si>
    <t>占星获得增益状态：物攻+3%，额外+50</t>
  </si>
  <si>
    <t>占星获得增益状态：物防+2%，额外+20</t>
  </si>
  <si>
    <t>占星获得增益状态：物防+3%，额外+50</t>
  </si>
  <si>
    <t>占星获得增益状态：生命上限+2%，额外+100</t>
  </si>
  <si>
    <t>占星获得增益状态：生命上限+3%，额外+250</t>
  </si>
  <si>
    <t>物攻增益(3级)</t>
    <phoneticPr fontId="1" type="noConversion"/>
  </si>
  <si>
    <t>物攻增益(1级)</t>
    <phoneticPr fontId="1" type="noConversion"/>
  </si>
  <si>
    <t>物防增益(1级)</t>
    <phoneticPr fontId="1" type="noConversion"/>
  </si>
  <si>
    <t>物防增益(3级)</t>
    <phoneticPr fontId="1" type="noConversion"/>
  </si>
  <si>
    <t>生命增益(1级)</t>
    <phoneticPr fontId="1" type="noConversion"/>
  </si>
  <si>
    <t>生命增益(3级)</t>
    <phoneticPr fontId="1" type="noConversion"/>
  </si>
  <si>
    <t>花国万岁！</t>
    <phoneticPr fontId="1" type="noConversion"/>
  </si>
  <si>
    <t>战争便有最美的烟火</t>
    <phoneticPr fontId="1" type="noConversion"/>
  </si>
  <si>
    <t>财神到</t>
    <phoneticPr fontId="1" type="noConversion"/>
  </si>
  <si>
    <t>待定</t>
    <phoneticPr fontId="1" type="noConversion"/>
  </si>
  <si>
    <t>小彩虹</t>
    <phoneticPr fontId="1" type="noConversion"/>
  </si>
  <si>
    <t>大彩虹</t>
    <phoneticPr fontId="1" type="noConversion"/>
  </si>
  <si>
    <t>彩色烟花</t>
    <phoneticPr fontId="1" type="noConversion"/>
  </si>
  <si>
    <t>天使光柱</t>
    <phoneticPr fontId="1" type="noConversion"/>
  </si>
  <si>
    <t>恶魔光柱</t>
    <phoneticPr fontId="1" type="noConversion"/>
  </si>
  <si>
    <t>荣耀即吾命</t>
    <phoneticPr fontId="1" type="noConversion"/>
  </si>
  <si>
    <t>胜利！胜利！</t>
    <phoneticPr fontId="1" type="noConversion"/>
  </si>
  <si>
    <t>大彩虹</t>
    <phoneticPr fontId="1" type="noConversion"/>
  </si>
  <si>
    <t>逗你玩</t>
    <phoneticPr fontId="1" type="noConversion"/>
  </si>
  <si>
    <t>悲催的人</t>
    <phoneticPr fontId="1" type="noConversion"/>
  </si>
  <si>
    <t>财神到</t>
    <phoneticPr fontId="1" type="noConversion"/>
  </si>
  <si>
    <t>花阵</t>
    <phoneticPr fontId="1" type="noConversion"/>
  </si>
  <si>
    <t>小彩虹</t>
    <phoneticPr fontId="1" type="noConversion"/>
  </si>
  <si>
    <t>美丽的烟花</t>
    <phoneticPr fontId="1" type="noConversion"/>
  </si>
  <si>
    <t>99朵红玫瑰</t>
    <phoneticPr fontId="1" type="noConversion"/>
  </si>
  <si>
    <t>女神祝福</t>
    <phoneticPr fontId="1" type="noConversion"/>
  </si>
  <si>
    <t>空行者可以拥有更快的移动速度</t>
    <phoneticPr fontId="1" type="noConversion"/>
  </si>
  <si>
    <t>蝴蝶翩翩</t>
    <phoneticPr fontId="12" type="noConversion"/>
  </si>
  <si>
    <t>女神欢迎您的到来！你感觉充满了斗志！</t>
    <phoneticPr fontId="1" type="noConversion"/>
  </si>
  <si>
    <t>美丽的鲜花，热情的绽放。</t>
    <phoneticPr fontId="1" type="noConversion"/>
  </si>
  <si>
    <t>美丽的蝴蝶围绕着你欢乐的飞舞。</t>
    <phoneticPr fontId="1" type="noConversion"/>
  </si>
  <si>
    <t>不可原地</t>
    <phoneticPr fontId="1" type="noConversion"/>
  </si>
  <si>
    <t>被施以强大的诅咒，不可使用原地复活</t>
    <phoneticPr fontId="1" type="noConversion"/>
  </si>
  <si>
    <t>爱的祝福</t>
    <phoneticPr fontId="1" type="noConversion"/>
  </si>
  <si>
    <t>爱的祝福：攻击+2%，防御+2%，生命上限+2%</t>
    <phoneticPr fontId="1" type="noConversion"/>
  </si>
  <si>
    <t>战力第一</t>
    <phoneticPr fontId="1" type="noConversion"/>
  </si>
  <si>
    <t>战力排行榜第一的角色每周日21点后，可获得该BUFF</t>
    <phoneticPr fontId="1" type="noConversion"/>
  </si>
  <si>
    <t>复活限制（废弃）</t>
    <phoneticPr fontId="1" type="noConversion"/>
  </si>
  <si>
    <t>牧师之王</t>
    <phoneticPr fontId="1" type="noConversion"/>
  </si>
  <si>
    <t>魔炮之王</t>
    <phoneticPr fontId="1" type="noConversion"/>
  </si>
  <si>
    <t>术士之王</t>
    <phoneticPr fontId="1" type="noConversion"/>
  </si>
  <si>
    <t>佣兵保护（红色）</t>
    <phoneticPr fontId="1" type="noConversion"/>
  </si>
  <si>
    <t>佣兵保护（蓝色）</t>
    <phoneticPr fontId="1" type="noConversion"/>
  </si>
  <si>
    <t>投保可以额外获得20%的镖车经验,如果护送镖车被洗劫,投保的佣兵公会将赔偿该镖车的全部押金.</t>
    <phoneticPr fontId="1" type="noConversion"/>
  </si>
  <si>
    <t>掉落归属</t>
    <phoneticPr fontId="1" type="noConversion"/>
  </si>
  <si>
    <t>暂时拥有掉落保护10秒，在此期间BOSS死亡该玩家和对应掉落模式的玩家可以拾取BOSS掉落物品</t>
    <phoneticPr fontId="1" type="noConversion"/>
  </si>
  <si>
    <t>战士战斗力排行榜第一的玩家，周日晚9点可获得</t>
    <phoneticPr fontId="1" type="noConversion"/>
  </si>
  <si>
    <t>魔刃战斗力排行榜第一的玩家，周日晚9点可获得</t>
    <phoneticPr fontId="1" type="noConversion"/>
  </si>
  <si>
    <t>枪手战斗力排行榜第一的玩家，周日晚9点可获得</t>
    <phoneticPr fontId="1" type="noConversion"/>
  </si>
  <si>
    <t>魔炮战斗力排行榜第一的玩家，周日晚9点可获得</t>
    <phoneticPr fontId="1" type="noConversion"/>
  </si>
  <si>
    <t>术士战斗力排行榜第一的玩家，周日晚9点可获得</t>
    <phoneticPr fontId="1" type="noConversion"/>
  </si>
  <si>
    <t>牧师战斗力排行榜第一的玩家，周日晚9点可获得</t>
    <phoneticPr fontId="1" type="noConversion"/>
  </si>
  <si>
    <t>国战开始，势如破竹的冲锋杀敌吧！
此状态下，自身攻击提升15%</t>
    <phoneticPr fontId="1" type="noConversion"/>
  </si>
  <si>
    <t>公主奖章</t>
    <phoneticPr fontId="1" type="noConversion"/>
  </si>
  <si>
    <t>受到公主的嘉奖，生命上限提升1%，额外+200。</t>
    <phoneticPr fontId="1" type="noConversion"/>
  </si>
  <si>
    <t>双倍奖励</t>
    <phoneticPr fontId="1" type="noConversion"/>
  </si>
  <si>
    <t>获得BUFF后，副本奖励翻倍</t>
    <phoneticPr fontId="1" type="noConversion"/>
  </si>
  <si>
    <t>显示屏蔽</t>
    <phoneticPr fontId="1" type="noConversion"/>
  </si>
  <si>
    <t>StateIconShowPos_None</t>
    <phoneticPr fontId="1" type="noConversion"/>
  </si>
  <si>
    <t>StateFxShield_Blood      1&lt;&lt;0,</t>
    <phoneticPr fontId="1" type="noConversion"/>
  </si>
  <si>
    <t>StateFxShield_None       0&lt;&lt;0</t>
    <phoneticPr fontId="1" type="noConversion"/>
  </si>
  <si>
    <t>///&lt; 血战到底屏蔽特效显示</t>
    <phoneticPr fontId="1" type="noConversion"/>
  </si>
  <si>
    <t>屏蔽设定：</t>
    <phoneticPr fontId="1" type="noConversion"/>
  </si>
  <si>
    <t>死亡缠绕</t>
    <phoneticPr fontId="1" type="noConversion"/>
  </si>
  <si>
    <t>被缠绕不能移动，每秒流失5%的血量，持续5秒</t>
    <phoneticPr fontId="1" type="noConversion"/>
  </si>
  <si>
    <t>伤害反射</t>
    <phoneticPr fontId="1" type="noConversion"/>
  </si>
  <si>
    <t>反射承受伤害给攻击者，并增幅100%</t>
    <phoneticPr fontId="1" type="noConversion"/>
  </si>
  <si>
    <t>红方阵营</t>
    <phoneticPr fontId="1" type="noConversion"/>
  </si>
  <si>
    <t>蓝方阵营</t>
    <phoneticPr fontId="1" type="noConversion"/>
  </si>
  <si>
    <t>黄方阵营</t>
    <phoneticPr fontId="1" type="noConversion"/>
  </si>
  <si>
    <t>在15分钟内尽可能多杀死符合要求的怪物，杀怪越多，经验越高</t>
    <phoneticPr fontId="1" type="noConversion"/>
  </si>
  <si>
    <t>在普通场景上复活后获得，不断累加攻击防御和生命</t>
    <phoneticPr fontId="1" type="noConversion"/>
  </si>
  <si>
    <t>伤不起</t>
    <phoneticPr fontId="1" type="noConversion"/>
  </si>
  <si>
    <t>真·伤不起</t>
    <phoneticPr fontId="1" type="noConversion"/>
  </si>
  <si>
    <t>信春哥</t>
    <phoneticPr fontId="1" type="noConversion"/>
  </si>
  <si>
    <t>///&lt; 加BUFF时头顶是否显示中文BUFF名</t>
    <phoneticPr fontId="1" type="noConversion"/>
  </si>
  <si>
    <t>免费健康复活，同时增加物理和魔法伤害减少100%，持续10秒</t>
    <phoneticPr fontId="1" type="noConversion"/>
  </si>
  <si>
    <t xml:space="preserve">免费健康复活，同时增加攻击和生命200%，持续10秒 </t>
    <phoneticPr fontId="1" type="noConversion"/>
  </si>
  <si>
    <t>免费健康复活，同时增加攻击和生命50%，持续10秒</t>
    <phoneticPr fontId="1" type="noConversion"/>
  </si>
  <si>
    <t>男方与女方依偎在一起（持续1分钟可完成特定任务）</t>
    <phoneticPr fontId="1" type="noConversion"/>
  </si>
  <si>
    <t>男方抱起女方后（持续1分钟可完成特定任务）</t>
    <phoneticPr fontId="1" type="noConversion"/>
  </si>
  <si>
    <t>男方与女方接吻（持续1分钟可完成特定任务）</t>
    <phoneticPr fontId="1" type="noConversion"/>
  </si>
  <si>
    <t>男方与女方拥抱（持续1分钟可完成特定任务）</t>
    <phoneticPr fontId="1" type="noConversion"/>
  </si>
  <si>
    <t>越挫越勇</t>
    <phoneticPr fontId="1" type="noConversion"/>
  </si>
  <si>
    <t>中国加油</t>
    <phoneticPr fontId="1" type="noConversion"/>
  </si>
  <si>
    <t>加速30%</t>
    <phoneticPr fontId="1" type="noConversion"/>
  </si>
  <si>
    <t>加速50%</t>
    <phoneticPr fontId="1" type="noConversion"/>
  </si>
  <si>
    <t>加速20%</t>
    <phoneticPr fontId="1" type="noConversion"/>
  </si>
  <si>
    <t>宙斯之力</t>
    <phoneticPr fontId="1" type="noConversion"/>
  </si>
  <si>
    <t>撒旦之力</t>
    <phoneticPr fontId="1" type="noConversion"/>
  </si>
  <si>
    <t>命运之神赋予的宙斯之力，攻击血量增幅10%！</t>
    <phoneticPr fontId="1" type="noConversion"/>
  </si>
  <si>
    <t>命运之神赋予的撒旦之力，攻击血量增幅30%！</t>
    <phoneticPr fontId="1" type="noConversion"/>
  </si>
  <si>
    <t>名称</t>
    <phoneticPr fontId="1" type="noConversion"/>
  </si>
  <si>
    <t>充值影响活跃度</t>
    <phoneticPr fontId="1" type="noConversion"/>
  </si>
  <si>
    <t>目标：支持有成本的赚钱行为</t>
    <phoneticPr fontId="1" type="noConversion"/>
  </si>
  <si>
    <t>幸运女神的垂青</t>
    <phoneticPr fontId="1" type="noConversion"/>
  </si>
  <si>
    <t>特权网吧</t>
    <phoneticPr fontId="1" type="noConversion"/>
  </si>
  <si>
    <t>拥有该状态，无法再接取任何幸运女神的垂青任务，持续48小时</t>
    <phoneticPr fontId="1" type="noConversion"/>
  </si>
  <si>
    <t>火线支援</t>
    <phoneticPr fontId="1" type="noConversion"/>
  </si>
  <si>
    <t>999朵红玫瑰</t>
    <phoneticPr fontId="1" type="noConversion"/>
  </si>
  <si>
    <t>99朵红玫瑰</t>
    <phoneticPr fontId="1" type="noConversion"/>
  </si>
  <si>
    <t>强化伤害针剂1级，增强小队成员对怪物的伤害能力，每名成员对怪物的伤害增加15点</t>
    <phoneticPr fontId="1" type="noConversion"/>
  </si>
  <si>
    <t>强化伤害针剂2级，增强小队成员对怪物的伤害能力，每名成员对怪物的伤害增加30点</t>
    <phoneticPr fontId="1" type="noConversion"/>
  </si>
  <si>
    <t>强化伤害针剂3级，增强小队成员对怪物的伤害能力，每名成员对怪物的伤害增加55点</t>
    <phoneticPr fontId="1" type="noConversion"/>
  </si>
  <si>
    <t>强化伤害针剂4级，增强小队成员对怪物的伤害能力，每名成员对怪物的伤害增加80点</t>
    <phoneticPr fontId="1" type="noConversion"/>
  </si>
  <si>
    <t>强化伤害针剂5级，增强小队成员对怪物的伤害能力，每名成员对怪物的伤害增加135点</t>
    <phoneticPr fontId="1" type="noConversion"/>
  </si>
  <si>
    <t>强化伤害针剂6级，增强小队成员对怪物的伤害能力，每名成员对怪物的伤害增加205点</t>
    <phoneticPr fontId="1" type="noConversion"/>
  </si>
  <si>
    <t>强化伤害针剂7级，增强小队成员对怪物的伤害能力，每名成员对怪物的伤害增加315点</t>
    <phoneticPr fontId="1" type="noConversion"/>
  </si>
  <si>
    <t>强化伤害针剂8级，增强小队成员对怪物的伤害能力，每名成员对怪物的伤害增加420点</t>
    <phoneticPr fontId="1" type="noConversion"/>
  </si>
  <si>
    <t>强化伤害针剂9级，增强小队成员对怪物的伤害能力，每名成员对怪物的伤害增加570点</t>
    <phoneticPr fontId="1" type="noConversion"/>
  </si>
  <si>
    <t>强化伤害针剂10级，增强小队成员对怪物的伤害能力，每名成员对怪物的伤害增加780点</t>
    <phoneticPr fontId="1" type="noConversion"/>
  </si>
  <si>
    <t>强化伤害针剂11级，增强小队成员对怪物的伤害能力，每名成员对怪物的伤害增加990点</t>
    <phoneticPr fontId="1" type="noConversion"/>
  </si>
  <si>
    <t>术神分身</t>
    <phoneticPr fontId="1" type="noConversion"/>
  </si>
  <si>
    <t>召唤术神的分身临体，大幅增强攻防血，可主动取消。</t>
    <phoneticPr fontId="1" type="noConversion"/>
  </si>
  <si>
    <t>大幅提升魔法伤害减免能力</t>
    <phoneticPr fontId="1" type="noConversion"/>
  </si>
  <si>
    <r>
      <t>勇敢(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</si>
  <si>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勇敢(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1" type="noConversion"/>
  </si>
  <si>
    <r>
      <t>勇敢(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</si>
  <si>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勇敢(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</si>
  <si>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勇敢(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</si>
  <si>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勇敢(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</si>
  <si>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勇敢(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</si>
  <si>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</si>
  <si>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睿智(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</si>
  <si>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</si>
  <si>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</si>
  <si>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</si>
  <si>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</si>
  <si>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睿智(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</si>
  <si>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</si>
  <si>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胆小(</t>
    </r>
    <r>
      <rPr>
        <sz val="10"/>
        <rFont val="宋体"/>
        <family val="3"/>
        <charset val="134"/>
      </rPr>
      <t>5级)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</si>
  <si>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</si>
  <si>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</si>
  <si>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</si>
  <si>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</si>
  <si>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胆小(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</si>
  <si>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孤独(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</si>
  <si>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孤独(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</si>
  <si>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孤独(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</si>
  <si>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孤独(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</si>
  <si>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孤独(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</si>
  <si>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孤独(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</si>
  <si>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孤独(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</si>
  <si>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任性(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</si>
  <si>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任性(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</si>
  <si>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任性(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</si>
  <si>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任性(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</si>
  <si>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任性(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</si>
  <si>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任性(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</si>
  <si>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任性(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</si>
  <si>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温和(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</si>
  <si>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温和(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</si>
  <si>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温和(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</si>
  <si>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温和(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</si>
  <si>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温和(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</si>
  <si>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温和(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</si>
  <si>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温和(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</si>
  <si>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天真(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</si>
  <si>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天真(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</si>
  <si>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天真(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</si>
  <si>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天真(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</si>
  <si>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天真(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</si>
  <si>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天真(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</si>
  <si>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天真(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</si>
  <si>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暴烈(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</si>
  <si>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暴烈(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</si>
  <si>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暴烈(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</si>
  <si>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暴烈(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</si>
  <si>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暴烈(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</si>
  <si>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暴烈(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</si>
  <si>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暴烈(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</si>
  <si>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狂妄(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</si>
  <si>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狂妄(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</si>
  <si>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狂妄(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</si>
  <si>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狂妄(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</si>
  <si>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狂妄(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</si>
  <si>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狂妄(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</si>
  <si>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狂妄(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</si>
  <si>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老实(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</si>
  <si>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老实(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</si>
  <si>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老实(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</si>
  <si>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老实(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</si>
  <si>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老实(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</si>
  <si>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老实(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</si>
  <si>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老实(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</si>
  <si>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害羞(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</si>
  <si>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害羞(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</si>
  <si>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害羞(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</si>
  <si>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害羞(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</si>
  <si>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害羞(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</si>
  <si>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害羞(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</si>
  <si>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害羞(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</si>
  <si>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物攻报恩(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</si>
  <si>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物攻报恩(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</si>
  <si>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物攻报恩(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</si>
  <si>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物攻报恩(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</si>
  <si>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物攻报恩(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</si>
  <si>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物攻报恩(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</si>
  <si>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物攻报恩(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</si>
  <si>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物防报恩(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</si>
  <si>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物防报恩(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</si>
  <si>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物防报恩(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</si>
  <si>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物防报恩(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</si>
  <si>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物防报恩(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</si>
  <si>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物防报恩(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</si>
  <si>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物防报恩(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</si>
  <si>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r>
      <t>生命报恩(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级)</t>
    </r>
    <phoneticPr fontId="1" type="noConversion"/>
  </si>
  <si>
    <r>
      <t>生命报恩(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级)</t>
    </r>
    <phoneticPr fontId="1" type="noConversion"/>
  </si>
  <si>
    <r>
      <t>生命报恩(</t>
    </r>
    <r>
      <rPr>
        <sz val="10"/>
        <rFont val="宋体"/>
        <family val="3"/>
        <charset val="134"/>
      </rPr>
      <t>6级)</t>
    </r>
    <r>
      <rPr>
        <sz val="10"/>
        <rFont val="宋体"/>
        <family val="3"/>
        <charset val="134"/>
      </rPr>
      <t/>
    </r>
    <phoneticPr fontId="1" type="noConversion"/>
  </si>
  <si>
    <r>
      <t>生命报恩(</t>
    </r>
    <r>
      <rPr>
        <sz val="10"/>
        <rFont val="宋体"/>
        <family val="3"/>
        <charset val="134"/>
      </rPr>
      <t>7级)</t>
    </r>
    <r>
      <rPr>
        <sz val="10"/>
        <rFont val="宋体"/>
        <family val="3"/>
        <charset val="134"/>
      </rPr>
      <t/>
    </r>
    <phoneticPr fontId="1" type="noConversion"/>
  </si>
  <si>
    <r>
      <t>生命报恩(</t>
    </r>
    <r>
      <rPr>
        <sz val="10"/>
        <rFont val="宋体"/>
        <family val="3"/>
        <charset val="134"/>
      </rPr>
      <t>8级)</t>
    </r>
    <r>
      <rPr>
        <sz val="10"/>
        <rFont val="宋体"/>
        <family val="3"/>
        <charset val="134"/>
      </rPr>
      <t/>
    </r>
    <phoneticPr fontId="1" type="noConversion"/>
  </si>
  <si>
    <r>
      <t>生命报恩(</t>
    </r>
    <r>
      <rPr>
        <sz val="10"/>
        <rFont val="宋体"/>
        <family val="3"/>
        <charset val="134"/>
      </rPr>
      <t>9级)</t>
    </r>
    <r>
      <rPr>
        <sz val="10"/>
        <rFont val="宋体"/>
        <family val="3"/>
        <charset val="134"/>
      </rPr>
      <t/>
    </r>
    <phoneticPr fontId="1" type="noConversion"/>
  </si>
  <si>
    <r>
      <t>生命报恩(</t>
    </r>
    <r>
      <rPr>
        <sz val="10"/>
        <rFont val="宋体"/>
        <family val="3"/>
        <charset val="134"/>
      </rPr>
      <t>10级)</t>
    </r>
    <r>
      <rPr>
        <sz val="10"/>
        <rFont val="宋体"/>
        <family val="3"/>
        <charset val="134"/>
      </rPr>
      <t/>
    </r>
    <phoneticPr fontId="1" type="noConversion"/>
  </si>
  <si>
    <t>全队攻击报恩(4级)</t>
    <phoneticPr fontId="1" type="noConversion"/>
  </si>
  <si>
    <t>全队攻击报恩(5级)</t>
    <phoneticPr fontId="1" type="noConversion"/>
  </si>
  <si>
    <t>全队攻击报恩(6级)</t>
    <phoneticPr fontId="1" type="noConversion"/>
  </si>
  <si>
    <t>全队攻击报恩(7级)</t>
    <phoneticPr fontId="1" type="noConversion"/>
  </si>
  <si>
    <t>全队攻击报恩(8级)</t>
    <phoneticPr fontId="1" type="noConversion"/>
  </si>
  <si>
    <t>全队攻击报恩(9级)</t>
    <phoneticPr fontId="1" type="noConversion"/>
  </si>
  <si>
    <t>全队攻击报恩(10级)</t>
    <phoneticPr fontId="1" type="noConversion"/>
  </si>
  <si>
    <t>全队防御报恩(4级)</t>
    <phoneticPr fontId="1" type="noConversion"/>
  </si>
  <si>
    <t>全队防御报恩(5级)</t>
    <phoneticPr fontId="1" type="noConversion"/>
  </si>
  <si>
    <t>全队防御报恩(6级)</t>
    <phoneticPr fontId="1" type="noConversion"/>
  </si>
  <si>
    <t>全队防御报恩(7级)</t>
    <phoneticPr fontId="1" type="noConversion"/>
  </si>
  <si>
    <t>全队防御报恩(8级)</t>
    <phoneticPr fontId="1" type="noConversion"/>
  </si>
  <si>
    <t>全队防御报恩(9级)</t>
    <phoneticPr fontId="1" type="noConversion"/>
  </si>
  <si>
    <t>全队防御报恩(10级)</t>
    <phoneticPr fontId="1" type="noConversion"/>
  </si>
  <si>
    <t>全队生命报恩(4级)</t>
    <phoneticPr fontId="1" type="noConversion"/>
  </si>
  <si>
    <t>全队生命报恩(5级)</t>
    <phoneticPr fontId="1" type="noConversion"/>
  </si>
  <si>
    <t>全队生命报恩(6级)</t>
    <phoneticPr fontId="1" type="noConversion"/>
  </si>
  <si>
    <t>全队生命报恩(7级)</t>
    <phoneticPr fontId="1" type="noConversion"/>
  </si>
  <si>
    <t>全队生命报恩(8级)</t>
    <phoneticPr fontId="1" type="noConversion"/>
  </si>
  <si>
    <t>全队生命报恩(9级)</t>
    <phoneticPr fontId="1" type="noConversion"/>
  </si>
  <si>
    <t>全队生命报恩(10级)</t>
    <phoneticPr fontId="1" type="noConversion"/>
  </si>
  <si>
    <t>增加小队的移动速度</t>
    <phoneticPr fontId="1" type="noConversion"/>
  </si>
  <si>
    <t>跟随时，主人生命上限+50</t>
  </si>
  <si>
    <t>跟随时，主人生命上限+100</t>
  </si>
  <si>
    <t>跟随时，主人生命上限+180</t>
  </si>
  <si>
    <t>跟随时，主人魔力上限+50</t>
  </si>
  <si>
    <t>跟随时，主人魔力上限+100</t>
  </si>
  <si>
    <t>跟随时，主人魔力上限+150</t>
  </si>
  <si>
    <t>跟随时，主人物攻+10</t>
  </si>
  <si>
    <t>跟随时，主人物攻+20</t>
  </si>
  <si>
    <t>跟随时，主人物攻+36</t>
  </si>
  <si>
    <t>跟随时，主人物防+10</t>
  </si>
  <si>
    <t>跟随时，主人物防+20</t>
  </si>
  <si>
    <t>跟随时，主人物防+36</t>
  </si>
  <si>
    <t>物攻+1%，额外+30</t>
  </si>
  <si>
    <t>物攻+1.5%，额外+50</t>
  </si>
  <si>
    <t>物攻+2%，额外+70</t>
  </si>
  <si>
    <t>生命上限+1%，额外+150</t>
  </si>
  <si>
    <t>生命上限+1.5%，额外+250</t>
  </si>
  <si>
    <t>生命上限+2%，额外+350</t>
  </si>
  <si>
    <t>跟随时，主人生命上限+260</t>
  </si>
  <si>
    <t>跟随时，主人生命上限+340</t>
  </si>
  <si>
    <t>跟随时，主人生命上限+450</t>
  </si>
  <si>
    <t>跟随时，主人生命上限+560</t>
  </si>
  <si>
    <t>跟随时，主人生命上限+670</t>
  </si>
  <si>
    <t>跟随时，主人生命上限+820</t>
  </si>
  <si>
    <t>跟随时，主人生命上限+1000</t>
  </si>
  <si>
    <t>跟随时，主人魔力上限+200</t>
  </si>
  <si>
    <t>跟随时，主人魔力上限+250</t>
  </si>
  <si>
    <t>跟随时，主人魔力上限+300</t>
  </si>
  <si>
    <t>跟随时，主人魔力上限+350</t>
  </si>
  <si>
    <t>跟随时，主人魔力上限+400</t>
  </si>
  <si>
    <t>跟随时，主人魔力上限+450</t>
  </si>
  <si>
    <t>跟随时，主人魔力上限+500</t>
  </si>
  <si>
    <t>跟随时，主人物攻+52</t>
  </si>
  <si>
    <t>跟随时，主人物攻+68</t>
  </si>
  <si>
    <t>跟随时，主人物攻+90</t>
  </si>
  <si>
    <t>跟随时，主人物攻+112</t>
  </si>
  <si>
    <t>跟随时，主人物攻+134</t>
  </si>
  <si>
    <t>跟随时，主人物攻+164</t>
  </si>
  <si>
    <t>跟随时，主人物攻+200</t>
  </si>
  <si>
    <t>跟随时，主人物防+52</t>
  </si>
  <si>
    <t>跟随时，主人物防+68</t>
  </si>
  <si>
    <t>跟随时，主人物防+90</t>
  </si>
  <si>
    <t>跟随时，主人物防+112</t>
  </si>
  <si>
    <t>跟随时，主人物防+134</t>
  </si>
  <si>
    <t>跟随时，主人物防+164</t>
  </si>
  <si>
    <t>跟随时，主人物防+200</t>
  </si>
  <si>
    <t>物攻+2.5%，额外+100</t>
  </si>
  <si>
    <t>物攻+3%，额外+130</t>
  </si>
  <si>
    <t>物攻+3.5%，额外+160</t>
  </si>
  <si>
    <t>物攻+4%，额外+200</t>
  </si>
  <si>
    <t>物攻+4.5%，额外+250</t>
  </si>
  <si>
    <t>物攻+5%，额外+300</t>
  </si>
  <si>
    <t>物攻+5.5%，额外+350</t>
  </si>
  <si>
    <t>生命上限+2.5%，额外+500</t>
  </si>
  <si>
    <t>生命上限+3%，额外+650</t>
  </si>
  <si>
    <t>生命上限+3.5%，额外+800</t>
  </si>
  <si>
    <t>生命上限+4%，额外+1000</t>
  </si>
  <si>
    <t>生命上限+4.5%，额外+1250</t>
  </si>
  <si>
    <t>生命上限+5%，额外+1500</t>
  </si>
  <si>
    <t>生命上限+5.5%，额外+1750</t>
  </si>
  <si>
    <t>物防+1%，额外+25</t>
  </si>
  <si>
    <t>物防+1.5%，额外+42</t>
  </si>
  <si>
    <t>物防+2%，额外+58</t>
  </si>
  <si>
    <t>物防+2.5%，额外+83</t>
  </si>
  <si>
    <t>物防+3%，额外+108</t>
  </si>
  <si>
    <t>物防+3.5%，额外+133</t>
  </si>
  <si>
    <t>物防+4%，额外+167</t>
  </si>
  <si>
    <t>物防+4.5%，额外+208</t>
  </si>
  <si>
    <t>物防+5%，额外+250</t>
  </si>
  <si>
    <t>物防+5.5%，额外+292</t>
  </si>
  <si>
    <t>跟随时，主人抗减速+1%</t>
  </si>
  <si>
    <t>跟随时，主人抗减速+2%</t>
  </si>
  <si>
    <t>跟随时，主人抗减速+3%</t>
  </si>
  <si>
    <t>跟随时，主人抗静默+1%</t>
  </si>
  <si>
    <t>跟随时，主人抗静默+2%</t>
  </si>
  <si>
    <t>跟随时，主人抗静默+3%</t>
  </si>
  <si>
    <t>跟随时，主人抗变形+1%</t>
  </si>
  <si>
    <t>跟随时，主人抗变形+2%</t>
  </si>
  <si>
    <t>跟随时，主人抗变形+3%</t>
  </si>
  <si>
    <t>跟随时，主人抗眩晕+1%</t>
  </si>
  <si>
    <t>跟随时，主人抗眩晕+2%</t>
  </si>
  <si>
    <t>跟随时，主人抗眩晕+3%</t>
  </si>
  <si>
    <t>跟随时，主人抗冰冻+1%</t>
  </si>
  <si>
    <t>跟随时，主人抗冰冻+2%</t>
  </si>
  <si>
    <t>跟随时，主人抗冰冻+3%</t>
  </si>
  <si>
    <t>跟随时，主人抗减速+4%</t>
  </si>
  <si>
    <t>跟随时，主人抗减速+5%</t>
  </si>
  <si>
    <t>跟随时，主人抗减速+6%</t>
  </si>
  <si>
    <t>跟随时，主人抗减速+7%</t>
  </si>
  <si>
    <t>跟随时，主人抗减速+8%</t>
  </si>
  <si>
    <t>跟随时，主人抗减速+9%</t>
  </si>
  <si>
    <t>跟随时，主人抗减速+10%</t>
  </si>
  <si>
    <t>跟随时，主人抗静默+4%</t>
  </si>
  <si>
    <t>跟随时，主人抗静默+5%</t>
  </si>
  <si>
    <t>跟随时，主人抗静默+6%</t>
  </si>
  <si>
    <t>跟随时，主人抗静默+7%</t>
  </si>
  <si>
    <t>跟随时，主人抗静默+8%</t>
  </si>
  <si>
    <t>跟随时，主人抗静默+9%</t>
  </si>
  <si>
    <t>跟随时，主人抗静默+10%</t>
  </si>
  <si>
    <t>跟随时，主人抗变形+4%</t>
  </si>
  <si>
    <t>跟随时，主人抗变形+5%</t>
  </si>
  <si>
    <t>跟随时，主人抗变形+6%</t>
  </si>
  <si>
    <t>跟随时，主人抗变形+7%</t>
  </si>
  <si>
    <t>跟随时，主人抗变形+8%</t>
  </si>
  <si>
    <t>跟随时，主人抗变形+9%</t>
  </si>
  <si>
    <t>跟随时，主人抗变形+10%</t>
  </si>
  <si>
    <t>跟随时，主人抗眩晕+4%</t>
  </si>
  <si>
    <t>跟随时，主人抗眩晕+5%</t>
  </si>
  <si>
    <t>跟随时，主人抗眩晕+6%</t>
  </si>
  <si>
    <t>跟随时，主人抗眩晕+7%</t>
  </si>
  <si>
    <t>跟随时，主人抗眩晕+8%</t>
  </si>
  <si>
    <t>跟随时，主人抗眩晕+9%</t>
  </si>
  <si>
    <t>跟随时，主人抗眩晕+10%</t>
  </si>
  <si>
    <t>跟随时，主人抗冰冻+4%</t>
  </si>
  <si>
    <t>跟随时，主人抗冰冻+5%</t>
  </si>
  <si>
    <t>跟随时，主人抗冰冻+6%</t>
  </si>
  <si>
    <t>跟随时，主人抗冰冻+7%</t>
  </si>
  <si>
    <t>跟随时，主人抗冰冻+8%</t>
  </si>
  <si>
    <t>跟随时，主人抗冰冻+9%</t>
  </si>
  <si>
    <t>跟随时，主人抗冰冻+10%</t>
  </si>
  <si>
    <t>每秒受到一定火焰直接伤害</t>
    <phoneticPr fontId="1" type="noConversion"/>
  </si>
  <si>
    <t>空行者形态</t>
    <phoneticPr fontId="1" type="noConversion"/>
  </si>
  <si>
    <t>铁魔人形态</t>
    <phoneticPr fontId="1" type="noConversion"/>
  </si>
  <si>
    <t>蝎型兽形态</t>
    <phoneticPr fontId="1" type="noConversion"/>
  </si>
  <si>
    <t>魔甲伤害吸收</t>
    <phoneticPr fontId="1" type="noConversion"/>
  </si>
  <si>
    <t>吸收所有魔甲造成的伤害回复为自身损失的血量</t>
    <phoneticPr fontId="1" type="noConversion"/>
  </si>
  <si>
    <t>魔甲封锁</t>
    <phoneticPr fontId="1" type="noConversion"/>
  </si>
  <si>
    <t>暂时不允许上魔甲</t>
    <phoneticPr fontId="1" type="noConversion"/>
  </si>
  <si>
    <t>飞火流星(灼烧)</t>
    <phoneticPr fontId="1" type="noConversion"/>
  </si>
  <si>
    <t>射手之魂</t>
    <phoneticPr fontId="1" type="noConversion"/>
  </si>
  <si>
    <t>追风之翼</t>
    <phoneticPr fontId="1" type="noConversion"/>
  </si>
  <si>
    <t>时间到后将自动离开地宫</t>
    <phoneticPr fontId="1" type="noConversion"/>
  </si>
  <si>
    <t>吸收影子和本体的伤害，该盾消失，影子随之消失。</t>
    <phoneticPr fontId="1" type="noConversion"/>
  </si>
  <si>
    <t>暗影之盾</t>
    <phoneticPr fontId="1" type="noConversion"/>
  </si>
  <si>
    <t>对蝎型兽伤害增加100%，除被铁魔人攻击外伤害减少50%</t>
    <phoneticPr fontId="1" type="noConversion"/>
  </si>
  <si>
    <t>对空行者伤害增加100%，除被蝎型兽攻击外伤害减少50%</t>
    <phoneticPr fontId="1" type="noConversion"/>
  </si>
  <si>
    <t>对铁魔人伤害增加100%，除被空行者攻击外伤害减少50%</t>
    <phoneticPr fontId="1" type="noConversion"/>
  </si>
  <si>
    <t>最牛指挥</t>
    <phoneticPr fontId="1" type="noConversion"/>
  </si>
  <si>
    <t>传奇指挥</t>
    <phoneticPr fontId="1" type="noConversion"/>
  </si>
  <si>
    <t>激情指挥</t>
    <phoneticPr fontId="1" type="noConversion"/>
  </si>
  <si>
    <t>最囧指挥</t>
    <phoneticPr fontId="1" type="noConversion"/>
  </si>
  <si>
    <t>神像防御盾</t>
    <phoneticPr fontId="1" type="noConversion"/>
  </si>
  <si>
    <t>每次将神像修复至满血，神像将获得防御盾，敌人需破除防御盾，才可对神像造成伤害</t>
    <phoneticPr fontId="1" type="noConversion"/>
  </si>
  <si>
    <t>反射盾</t>
    <phoneticPr fontId="1" type="noConversion"/>
  </si>
  <si>
    <t>反射承受伤害给攻击者</t>
    <phoneticPr fontId="1" type="noConversion"/>
  </si>
  <si>
    <t>守方水晶</t>
    <phoneticPr fontId="1" type="noConversion"/>
  </si>
  <si>
    <t>攻方水晶</t>
    <phoneticPr fontId="1" type="noConversion"/>
  </si>
  <si>
    <t>真马车</t>
    <phoneticPr fontId="1" type="noConversion"/>
  </si>
  <si>
    <t>精神燃烧免疫</t>
    <phoneticPr fontId="1" type="noConversion"/>
  </si>
  <si>
    <t>天然抗体无效</t>
    <phoneticPr fontId="1" type="noConversion"/>
  </si>
  <si>
    <t>对同一目标使用精神燃烧有免疫，免疫期内不会被精神燃烧</t>
    <phoneticPr fontId="1" type="noConversion"/>
  </si>
  <si>
    <t>对同一目标不能持续使用天然抗体，此时天然抗体无效</t>
    <phoneticPr fontId="1" type="noConversion"/>
  </si>
  <si>
    <t>帝皇国70级以上国民每周可在帝皇雕像管理员处领取本状态，自身能力获得增益（具体效果随人类进程的增加而增强）。</t>
    <phoneticPr fontId="1" type="noConversion"/>
  </si>
  <si>
    <t>荣耀即吾命（国战专用）</t>
    <phoneticPr fontId="1" type="noConversion"/>
  </si>
  <si>
    <t>胜利胜利（国战专用）</t>
    <phoneticPr fontId="1" type="noConversion"/>
  </si>
  <si>
    <t>沙国万岁！（国战专用）</t>
    <phoneticPr fontId="1" type="noConversion"/>
  </si>
  <si>
    <t>风国万岁！（国战专用）</t>
    <phoneticPr fontId="1" type="noConversion"/>
  </si>
  <si>
    <t>花国万岁！（国战专用）</t>
    <phoneticPr fontId="1" type="noConversion"/>
  </si>
  <si>
    <t>国战用表现烟花</t>
    <phoneticPr fontId="1" type="noConversion"/>
  </si>
  <si>
    <t>国战连斩光环</t>
    <phoneticPr fontId="1" type="noConversion"/>
  </si>
  <si>
    <t>国战连斩受益</t>
    <phoneticPr fontId="1" type="noConversion"/>
  </si>
  <si>
    <t>攻击激励</t>
    <phoneticPr fontId="1" type="noConversion"/>
  </si>
  <si>
    <t>防御激励</t>
    <phoneticPr fontId="1" type="noConversion"/>
  </si>
  <si>
    <t>生命激励</t>
    <phoneticPr fontId="1" type="noConversion"/>
  </si>
  <si>
    <t>速度激励</t>
    <phoneticPr fontId="1" type="noConversion"/>
  </si>
  <si>
    <t>伤害减免20%</t>
    <phoneticPr fontId="1" type="noConversion"/>
  </si>
  <si>
    <t>自然女神守护</t>
    <phoneticPr fontId="1" type="noConversion"/>
  </si>
  <si>
    <t>雷霆巨神守护</t>
    <phoneticPr fontId="1" type="noConversion"/>
  </si>
  <si>
    <t>火焰战神守护</t>
    <phoneticPr fontId="1" type="noConversion"/>
  </si>
  <si>
    <t>冰雪女神守护</t>
    <phoneticPr fontId="1" type="noConversion"/>
  </si>
  <si>
    <t>受到自然女神的守护。
四种特殊攻击伤害提升8%，同时自然伤害额外增加50点。</t>
    <phoneticPr fontId="1" type="noConversion"/>
  </si>
  <si>
    <t>受到雷霆巨神的守护。
四种特殊攻击伤害提升8%，同时闪电伤害额外增加50点。</t>
    <phoneticPr fontId="1" type="noConversion"/>
  </si>
  <si>
    <t>受到火焰战神的守护。
四种特殊攻击伤害提升8%，同时火焰伤害额外增加50点。</t>
    <phoneticPr fontId="1" type="noConversion"/>
  </si>
  <si>
    <t>受到冰雪女神的守护。
四种特殊攻击伤害提升8%，同时冰霜伤害额外增加50点。</t>
    <phoneticPr fontId="1" type="noConversion"/>
  </si>
  <si>
    <t>生命上限提升10%</t>
    <phoneticPr fontId="1" type="noConversion"/>
  </si>
  <si>
    <t>速度提升10%</t>
    <phoneticPr fontId="1" type="noConversion"/>
  </si>
  <si>
    <t>受到的伤害减免20%</t>
    <phoneticPr fontId="1" type="noConversion"/>
  </si>
  <si>
    <t>存在时间</t>
    <phoneticPr fontId="1" type="noConversion"/>
  </si>
  <si>
    <t>剩余存在时间，时间为0，则NPC消失</t>
    <phoneticPr fontId="1" type="noConversion"/>
  </si>
  <si>
    <t>战意昂扬</t>
    <phoneticPr fontId="1" type="noConversion"/>
  </si>
  <si>
    <t>战意昂扬</t>
    <phoneticPr fontId="1" type="noConversion"/>
  </si>
  <si>
    <t>战旗将会鼓舞周围玩家，提升周围玩家攻击力20%</t>
    <phoneticPr fontId="1" type="noConversion"/>
  </si>
  <si>
    <t>受战旗鼓舞，自身攻击得到20%的提升</t>
    <phoneticPr fontId="1" type="noConversion"/>
  </si>
  <si>
    <t>获得恶魔果实的力量，提升攻击50%</t>
    <phoneticPr fontId="1" type="noConversion"/>
  </si>
  <si>
    <t>获得上帝果实的力量，提升速度20%</t>
    <phoneticPr fontId="1" type="noConversion"/>
  </si>
  <si>
    <t>速度提升</t>
    <phoneticPr fontId="1" type="noConversion"/>
  </si>
  <si>
    <t>VIP5</t>
    <phoneticPr fontId="1" type="noConversion"/>
  </si>
  <si>
    <t>火炬</t>
    <phoneticPr fontId="1" type="noConversion"/>
  </si>
  <si>
    <t>NPC重击提升</t>
    <phoneticPr fontId="1" type="noConversion"/>
  </si>
  <si>
    <t>NPC致命提升</t>
    <phoneticPr fontId="1" type="noConversion"/>
  </si>
  <si>
    <t>NPC忽视提升</t>
    <phoneticPr fontId="1" type="noConversion"/>
  </si>
  <si>
    <t>NPC反伤提升</t>
    <phoneticPr fontId="1" type="noConversion"/>
  </si>
  <si>
    <t>NPC闪避提升</t>
    <phoneticPr fontId="1" type="noConversion"/>
  </si>
  <si>
    <t>NPC物减提升</t>
    <phoneticPr fontId="1" type="noConversion"/>
  </si>
  <si>
    <t>帝皇国70级以上国民每周可在帝皇雕像管理员处领取能力增益状态。
（人类进程4：攻击+190，防御+190，生命上限+800）</t>
    <phoneticPr fontId="1" type="noConversion"/>
  </si>
  <si>
    <t>帝皇国70级以上国民每周可在帝皇雕像管理员处领取能力增益状态。
（人类进程5：攻击+225，防御+225，生命上限+975）</t>
    <phoneticPr fontId="1" type="noConversion"/>
  </si>
  <si>
    <t>帝皇国70级以上国民每周可在帝皇雕像管理员处领取能力增益状态。
（人类进程6：攻击+260，防御+260，生命上限+1150）</t>
    <phoneticPr fontId="1" type="noConversion"/>
  </si>
  <si>
    <t>帝皇国70级以上国民每周可在帝皇雕像管理员处领取能力增益状态。
（人类进程7：攻击+295，防御+295，生命上限+1325）</t>
    <phoneticPr fontId="1" type="noConversion"/>
  </si>
  <si>
    <t>帝皇国70级以上国民每周可在帝皇雕像管理员处领取能力增益状态。
（人类进程8：攻击+330，防御+330，生命上限+1500）</t>
    <phoneticPr fontId="1" type="noConversion"/>
  </si>
  <si>
    <t>帝皇国70级以上国民每周可在帝皇雕像管理员处领取能力增益状态。
（人类进程9：攻击+365，防御+365，生命上限+1675）</t>
    <phoneticPr fontId="1" type="noConversion"/>
  </si>
  <si>
    <t>帝皇国70级以上国民每周可在帝皇雕像管理员处领取能力增益状态。
（人类进程10：攻击+425，防御+425，生命上限+1975）</t>
    <phoneticPr fontId="1" type="noConversion"/>
  </si>
  <si>
    <t>升1级送12元</t>
    <phoneticPr fontId="1" type="noConversion"/>
  </si>
  <si>
    <t>升级啦!升级啦!又获得了12元现金券!</t>
    <phoneticPr fontId="1" type="noConversion"/>
  </si>
  <si>
    <t>2D特效</t>
    <phoneticPr fontId="1" type="noConversion"/>
  </si>
  <si>
    <t>炼狱之王</t>
    <phoneticPr fontId="1" type="noConversion"/>
  </si>
  <si>
    <t>独孤求败</t>
    <phoneticPr fontId="1" type="noConversion"/>
  </si>
  <si>
    <t>国战神将</t>
    <phoneticPr fontId="1" type="noConversion"/>
  </si>
  <si>
    <t>弑君者</t>
    <phoneticPr fontId="1" type="noConversion"/>
  </si>
  <si>
    <t>新手</t>
    <phoneticPr fontId="1" type="noConversion"/>
  </si>
  <si>
    <t>傲视群雄</t>
    <phoneticPr fontId="1" type="noConversion"/>
  </si>
  <si>
    <t>才高八斗</t>
    <phoneticPr fontId="1" type="noConversion"/>
  </si>
  <si>
    <t>大杀四方</t>
    <phoneticPr fontId="1" type="noConversion"/>
  </si>
  <si>
    <t>风华绝代</t>
    <phoneticPr fontId="1" type="noConversion"/>
  </si>
  <si>
    <t>富甲天下</t>
    <phoneticPr fontId="1" type="noConversion"/>
  </si>
  <si>
    <t>花中神话</t>
    <phoneticPr fontId="1" type="noConversion"/>
  </si>
  <si>
    <t>妙手空空</t>
    <phoneticPr fontId="1" type="noConversion"/>
  </si>
  <si>
    <t>名扬四海</t>
    <phoneticPr fontId="1" type="noConversion"/>
  </si>
  <si>
    <t>倾国倾城</t>
    <phoneticPr fontId="1" type="noConversion"/>
  </si>
  <si>
    <t>嗜血杀神</t>
    <phoneticPr fontId="1" type="noConversion"/>
  </si>
  <si>
    <t>天下无敌</t>
    <phoneticPr fontId="1" type="noConversion"/>
  </si>
  <si>
    <t>一方豪杰</t>
    <phoneticPr fontId="1" type="noConversion"/>
  </si>
  <si>
    <t>一骑绝尘</t>
    <phoneticPr fontId="1" type="noConversion"/>
  </si>
  <si>
    <t>VIP6</t>
    <phoneticPr fontId="1" type="noConversion"/>
  </si>
  <si>
    <t>VIP7</t>
    <phoneticPr fontId="1" type="noConversion"/>
  </si>
  <si>
    <t>春节烟花1</t>
    <phoneticPr fontId="1" type="noConversion"/>
  </si>
  <si>
    <t>春节烟花2</t>
  </si>
  <si>
    <t>春节烟花3</t>
  </si>
  <si>
    <t>春节烟花4</t>
  </si>
  <si>
    <t>飞空艇烟花</t>
    <phoneticPr fontId="1" type="noConversion"/>
  </si>
  <si>
    <t>最帅男子</t>
    <phoneticPr fontId="1" type="noConversion"/>
  </si>
  <si>
    <t>魅力出众者才能得到的荣耀状态
攻击、防御、生命提升8%</t>
    <phoneticPr fontId="1" type="noConversion"/>
  </si>
  <si>
    <t>白马王子</t>
    <phoneticPr fontId="1" type="noConversion"/>
  </si>
  <si>
    <t>魅力出众者才能得到的荣耀状态
攻击、防御、生命提升6%</t>
    <phoneticPr fontId="1" type="noConversion"/>
  </si>
  <si>
    <t>风样男子</t>
    <phoneticPr fontId="1" type="noConversion"/>
  </si>
  <si>
    <t>魅力出众者才能得到的荣耀状态
攻击、防御、生命提升4%</t>
    <phoneticPr fontId="1" type="noConversion"/>
  </si>
  <si>
    <t>最美女子</t>
    <phoneticPr fontId="1" type="noConversion"/>
  </si>
  <si>
    <t>魅力公主</t>
    <phoneticPr fontId="1" type="noConversion"/>
  </si>
  <si>
    <t>花样女子</t>
    <phoneticPr fontId="1" type="noConversion"/>
  </si>
  <si>
    <t>大众情人</t>
    <phoneticPr fontId="1" type="noConversion"/>
  </si>
  <si>
    <t>魅力出众者才能得到的荣耀状态
攻击、防御、生命提升2%</t>
    <phoneticPr fontId="1" type="noConversion"/>
  </si>
  <si>
    <t>芝麻元宵</t>
    <phoneticPr fontId="1" type="noConversion"/>
  </si>
  <si>
    <t>五仁元宵</t>
    <phoneticPr fontId="1" type="noConversion"/>
  </si>
  <si>
    <t>莲香元宵</t>
    <phoneticPr fontId="1" type="noConversion"/>
  </si>
  <si>
    <t>弱国战阵夺营保护</t>
  </si>
  <si>
    <t>弱国战阵夺营保护BUFF，增加自身闪避几率</t>
  </si>
  <si>
    <t>木牛流马第一名获得的BUFF</t>
  </si>
  <si>
    <t>木牛流马第二名获得的BUFF</t>
  </si>
  <si>
    <t>木牛流马第三名获得的BUFF</t>
  </si>
  <si>
    <t>不显示出的加速，用于木牛流马</t>
  </si>
  <si>
    <t>木牛流马记录仪上请点击的特效</t>
  </si>
  <si>
    <t>拥有此状态，偷取偷砖时，1次必绿。</t>
  </si>
  <si>
    <t>在君王光环附近获得的能力提升（效果受自身角色等级影响）</t>
  </si>
  <si>
    <t>君王光环，君王在战斗状态下，可提升附近国民的能力（具体效果受对象角色等级影响）</t>
  </si>
  <si>
    <t>君王的恩赐</t>
  </si>
  <si>
    <t>天牢</t>
  </si>
  <si>
    <t>战神殿堂报名成功</t>
  </si>
  <si>
    <t>战神殿堂报名成功，请等待进场通知</t>
  </si>
  <si>
    <t>对战神殿堂中怪物的爆发技能免疫</t>
  </si>
  <si>
    <t>倒计时结束后请到梅丽处领取从九品下道具</t>
  </si>
  <si>
    <t>跟随时，主人法攻+10</t>
  </si>
  <si>
    <t>跟随时，主人法攻+20</t>
  </si>
  <si>
    <t>跟随时，主人法攻+36</t>
  </si>
  <si>
    <t>法攻报恩(1级)</t>
  </si>
  <si>
    <t>法攻+1%，额外+30</t>
  </si>
  <si>
    <t>法攻报恩(2级)</t>
  </si>
  <si>
    <t>法攻+1.5%，额外+50</t>
  </si>
  <si>
    <t>法攻报恩(3级)</t>
  </si>
  <si>
    <t>法攻+2%，额外+70</t>
  </si>
  <si>
    <t>物攻、法攻+1%，额外+30</t>
  </si>
  <si>
    <t>物攻、法攻+1.5%，额外+50</t>
  </si>
  <si>
    <t>物攻、法攻+2%，额外+70</t>
  </si>
  <si>
    <t>跟随时，主人法攻+52</t>
  </si>
  <si>
    <t>跟随时，主人法攻+68</t>
  </si>
  <si>
    <t>跟随时，主人法攻+90</t>
  </si>
  <si>
    <t>跟随时，主人法攻+112</t>
  </si>
  <si>
    <t>跟随时，主人法攻+134</t>
  </si>
  <si>
    <t>跟随时，主人法攻+164</t>
  </si>
  <si>
    <t>跟随时，主人法攻+200</t>
  </si>
  <si>
    <t>法攻报恩(4级)</t>
  </si>
  <si>
    <t>法攻+2.5%，额外+100</t>
  </si>
  <si>
    <t>法攻报恩(5级)</t>
  </si>
  <si>
    <t>法攻+3%，额外+130</t>
  </si>
  <si>
    <t>法攻报恩(6级)</t>
  </si>
  <si>
    <t>法攻+3.5%，额外+160</t>
  </si>
  <si>
    <t>法攻报恩(7级)</t>
  </si>
  <si>
    <t>法攻+4%，额外+200</t>
  </si>
  <si>
    <t>法攻报恩(8级)</t>
  </si>
  <si>
    <t>法攻+4.5%，额外+250</t>
  </si>
  <si>
    <t>法攻报恩(9级)</t>
  </si>
  <si>
    <t>法攻+5%，额外+300</t>
  </si>
  <si>
    <t>法攻报恩(10级)</t>
  </si>
  <si>
    <t>法攻+5.5%，额外+350</t>
  </si>
  <si>
    <t>物攻、法攻+2.5%，额外+100</t>
  </si>
  <si>
    <t>物攻、法攻+3%，额外+130</t>
  </si>
  <si>
    <t>物攻、法攻+3.5%，额外+160</t>
  </si>
  <si>
    <t>物攻、法攻+4%，额外+200</t>
  </si>
  <si>
    <t>物攻、法攻+4.5%，额外+250</t>
  </si>
  <si>
    <t>物攻、法攻+5%，额外+300</t>
  </si>
  <si>
    <t>物攻、法攻+5.5%，额外+350</t>
  </si>
  <si>
    <t>法攻增益(1级)</t>
  </si>
  <si>
    <t>占星获得增益状态：法攻+2%，额外+20</t>
  </si>
  <si>
    <t>法攻增益(3级)</t>
  </si>
  <si>
    <t>占星获得增益状态：法攻+3%，额外+50</t>
  </si>
  <si>
    <t>本国战期间，连斩数超过100的勇士将获得本光环，自己及附近的本国玩家将获得增益状态。
物攻、法攻提升1%，额外增加100点；同时杀敌获得国战勋章数+1</t>
  </si>
  <si>
    <t>在国战期间连斩数超过100的勇士身边获得的增益状态。
物攻、法攻提升1%，额外增加100点；同时杀敌获得国战勋章数+1</t>
  </si>
  <si>
    <t>物攻、法攻提升10%</t>
  </si>
  <si>
    <t>战争水晶（法攻）</t>
  </si>
  <si>
    <t>增加法攻15%</t>
  </si>
  <si>
    <t>物攻、法攻增加70点</t>
  </si>
  <si>
    <t>跟随时，主人法防+10</t>
  </si>
  <si>
    <t>跟随时，主人法防+20</t>
  </si>
  <si>
    <t>跟随时，主人法防+36</t>
  </si>
  <si>
    <t>法防报恩(1级)</t>
  </si>
  <si>
    <t>法防+1%，额外+25</t>
  </si>
  <si>
    <t>法防报恩(2级)</t>
  </si>
  <si>
    <t>法防+1.5%，额外+42</t>
  </si>
  <si>
    <t>法防报恩(3级)</t>
  </si>
  <si>
    <t>法防+2%，额外+58</t>
  </si>
  <si>
    <t>物防、法防+1%，额外+25</t>
  </si>
  <si>
    <t>物防、法防+1.5%，额外+42</t>
  </si>
  <si>
    <t>物防、法防+2%，额外+58</t>
  </si>
  <si>
    <t>跟随时，主人法防+52</t>
  </si>
  <si>
    <t>跟随时，主人法防+68</t>
  </si>
  <si>
    <t>跟随时，主人法防+90</t>
  </si>
  <si>
    <t>跟随时，主人法防+112</t>
  </si>
  <si>
    <t>跟随时，主人法防+134</t>
  </si>
  <si>
    <t>跟随时，主人法防+164</t>
  </si>
  <si>
    <t>跟随时，主人法防+200</t>
  </si>
  <si>
    <t>法防报恩(4级)</t>
  </si>
  <si>
    <t>法防+2.5%，额外+83</t>
  </si>
  <si>
    <t>法防报恩(5级)</t>
  </si>
  <si>
    <t>法防+3%，额外+108</t>
  </si>
  <si>
    <t>法防报恩(6级)</t>
  </si>
  <si>
    <t>法防+3.5%，额外+133</t>
  </si>
  <si>
    <t>法防报恩(7级)</t>
  </si>
  <si>
    <t>法防+4%，额外+167</t>
  </si>
  <si>
    <t>法防报恩(8级)</t>
  </si>
  <si>
    <t>法防+4.5%，额外+208</t>
  </si>
  <si>
    <t>法防报恩(9级)</t>
  </si>
  <si>
    <t>法防+5%，额外+250</t>
  </si>
  <si>
    <t>法防报恩(10级)</t>
  </si>
  <si>
    <t>法防+5.5%，额外+292</t>
  </si>
  <si>
    <t>物防、法防+2.5%，额外+83</t>
  </si>
  <si>
    <t>物防、法防+3%，额外+108</t>
  </si>
  <si>
    <t>物防、法防+3.5%，额外+133</t>
  </si>
  <si>
    <t>物防、法防+4%，额外+167</t>
  </si>
  <si>
    <t>物防、法防+4.5%，额外+208</t>
  </si>
  <si>
    <t>物防、法防+5%，额外+250</t>
  </si>
  <si>
    <t>物防、法防+5.5%，额外+292</t>
  </si>
  <si>
    <t>法防增益(1级)</t>
  </si>
  <si>
    <t>占星获得增益状态：法防+2%，额外+20</t>
  </si>
  <si>
    <t>法防增益(3级)</t>
  </si>
  <si>
    <t>占星获得增益状态：法防+3%，额外+50</t>
  </si>
  <si>
    <t>物防、法防提升10%</t>
  </si>
  <si>
    <t>战争水晶（法防）</t>
  </si>
  <si>
    <t>增加法防15%</t>
  </si>
  <si>
    <t>物防、法防增加50点</t>
  </si>
  <si>
    <t>NPC法减提升</t>
  </si>
  <si>
    <t>被族长颁发团奖金，哈，好开心啊！</t>
  </si>
  <si>
    <t>你正处于机关兽中</t>
  </si>
  <si>
    <t>在机关兽附近获得的炮火支持光环,获得额外的攻击力加成</t>
  </si>
  <si>
    <t>在机关兽附近获得的装甲掩护光环,获得额外的防御力加成</t>
  </si>
  <si>
    <t>机关兽战斗状态,速度降低50%</t>
  </si>
  <si>
    <t>机关兽爆炸</t>
  </si>
  <si>
    <t>帮会战装置占领(红)</t>
  </si>
  <si>
    <t>帮会战装置占领</t>
  </si>
  <si>
    <t>帮会战装置占领(蓝)</t>
  </si>
  <si>
    <t>帮会族长的特殊奖励，可额外接取一次外勤任务,持续2小时</t>
  </si>
  <si>
    <t>威力迫人的毁灭疯子，能用炸药和火焰毁灭一切。千帮会万马不过只是灰烬。</t>
  </si>
  <si>
    <t>变身为抵抗帮会首领卡尔</t>
  </si>
  <si>
    <t>我方将帮会前来助战，攻防血增加10%！</t>
  </si>
  <si>
    <t>20点到21点，满足活动等级的玩家每隔10分钟可以获得一定数量的银子（与角色等级有关），作为封测红包。</t>
  </si>
  <si>
    <t>命运女神偷偷给你塞了一大把银子</t>
  </si>
  <si>
    <t>魏国万岁！</t>
  </si>
  <si>
    <t>魏国万岁！（国战专用）</t>
  </si>
  <si>
    <t>蜀国万岁！</t>
  </si>
  <si>
    <t>蜀国万岁！（国战专用）</t>
  </si>
  <si>
    <t>吴国万岁！</t>
  </si>
  <si>
    <t>吴国万岁！（国战专用）</t>
  </si>
  <si>
    <t>爱三国战魂爱奥运</t>
  </si>
  <si>
    <t>真龙真龙真龙帝都荣耀</t>
  </si>
  <si>
    <t>真龙真龙真龙帝都荣耀（进程4）</t>
  </si>
  <si>
    <t>真龙真龙真龙帝都荣耀（进程5）</t>
  </si>
  <si>
    <t>真龙真龙真龙帝都荣耀（进程6）</t>
  </si>
  <si>
    <t>真龙真龙真龙帝都荣耀（进程7）</t>
  </si>
  <si>
    <t>真龙真龙真龙帝都荣耀（进程8）</t>
  </si>
  <si>
    <t>真龙真龙真龙帝都荣耀（进程9）</t>
  </si>
  <si>
    <t>真龙真龙真龙帝都荣耀（进程10）</t>
  </si>
  <si>
    <t>定鼎诀(1级)</t>
    <phoneticPr fontId="1" type="noConversion"/>
  </si>
  <si>
    <t>定鼎诀(2级)</t>
  </si>
  <si>
    <t>定鼎诀(3级)</t>
  </si>
  <si>
    <t>定鼎诀(4级)</t>
  </si>
  <si>
    <t>定鼎诀(5级)</t>
  </si>
  <si>
    <t>定鼎诀(6级)</t>
  </si>
  <si>
    <t>定鼎诀(7级)</t>
  </si>
  <si>
    <t>定鼎诀(8级)</t>
  </si>
  <si>
    <t>定鼎诀(9级)</t>
  </si>
  <si>
    <t>定鼎诀(10级)</t>
  </si>
  <si>
    <t>定鼎诀(11级)</t>
  </si>
  <si>
    <t>定鼎诀(12级)</t>
  </si>
  <si>
    <t>定鼎诀(13级)</t>
  </si>
  <si>
    <t>定鼎诀(14级)</t>
  </si>
  <si>
    <t>定鼎诀(15级)</t>
  </si>
  <si>
    <t>定鼎诀(16级)</t>
  </si>
  <si>
    <t>备用</t>
    <phoneticPr fontId="1" type="noConversion"/>
  </si>
  <si>
    <t>道可道，非常道。</t>
    <phoneticPr fontId="1" type="noConversion"/>
  </si>
  <si>
    <t>法师之力</t>
    <phoneticPr fontId="1" type="noConversion"/>
  </si>
  <si>
    <t>不惑诀(1级)</t>
    <phoneticPr fontId="1" type="noConversion"/>
  </si>
  <si>
    <t>不惑诀(2级)</t>
  </si>
  <si>
    <t>不惑诀(3级)</t>
  </si>
  <si>
    <t>不惑诀(4级)</t>
  </si>
  <si>
    <t>不惑诀(5级)</t>
  </si>
  <si>
    <t>不惑诀(6级)</t>
  </si>
  <si>
    <t>不惑诀(7级)</t>
  </si>
  <si>
    <t>不惑诀(8级)</t>
  </si>
  <si>
    <t>不惑诀(9级)</t>
  </si>
  <si>
    <t>不惑诀(10级)</t>
  </si>
  <si>
    <t>不惑诀(11级)</t>
  </si>
  <si>
    <t>不惑诀(12级)</t>
  </si>
  <si>
    <t>不惑诀(13级)</t>
  </si>
  <si>
    <t>不惑诀(14级)</t>
  </si>
  <si>
    <t>不惑诀(15级)</t>
  </si>
  <si>
    <t>不惑诀(16级)</t>
  </si>
  <si>
    <t>战神诀(1级)</t>
    <phoneticPr fontId="1" type="noConversion"/>
  </si>
  <si>
    <t>战神诀(2级)</t>
  </si>
  <si>
    <t>战神诀(3级)</t>
  </si>
  <si>
    <t>战神诀(4级)</t>
  </si>
  <si>
    <t>战神诀(5级)</t>
  </si>
  <si>
    <t>战神诀(6级)</t>
  </si>
  <si>
    <t>战神诀(7级)</t>
  </si>
  <si>
    <t>战神诀(8级)</t>
  </si>
  <si>
    <t>战神诀(9级)</t>
  </si>
  <si>
    <t>战神诀(10级)</t>
  </si>
  <si>
    <t>战神诀(11级)</t>
  </si>
  <si>
    <t>战神诀(12级)</t>
  </si>
  <si>
    <t>战神诀(13级)</t>
  </si>
  <si>
    <t>战神诀(14级)</t>
  </si>
  <si>
    <t>战神诀(15级)</t>
  </si>
  <si>
    <t>战神诀(16级)</t>
  </si>
  <si>
    <t>真龙战心(1级)</t>
    <phoneticPr fontId="1" type="noConversion"/>
  </si>
  <si>
    <t>真龙战心(2级)</t>
  </si>
  <si>
    <t>真龙战心(3级)</t>
  </si>
  <si>
    <t>真龙战心(4级)</t>
  </si>
  <si>
    <t>真龙战心(5级)</t>
  </si>
  <si>
    <t>真龙战心(6级)</t>
  </si>
  <si>
    <t>真龙战心(7级)</t>
  </si>
  <si>
    <t>真龙战心(8级)</t>
  </si>
  <si>
    <t>真龙战心(9级)</t>
  </si>
  <si>
    <t>真龙战心(10级)</t>
  </si>
  <si>
    <t>真龙战心(11级)</t>
  </si>
  <si>
    <t>真龙战心(12级)</t>
  </si>
  <si>
    <t>真龙战心(13级)</t>
  </si>
  <si>
    <t>真龙战心(14级)</t>
  </si>
  <si>
    <t>真龙战心(15级)</t>
  </si>
  <si>
    <t>真龙战心(16级)</t>
  </si>
  <si>
    <t>道士</t>
    <phoneticPr fontId="1" type="noConversion"/>
  </si>
  <si>
    <t>法师</t>
    <phoneticPr fontId="1" type="noConversion"/>
  </si>
  <si>
    <t>九天雷在手，天下皆为狗</t>
    <phoneticPr fontId="1" type="noConversion"/>
  </si>
  <si>
    <t>百战身不死，通天万骷路。</t>
    <phoneticPr fontId="1" type="noConversion"/>
  </si>
  <si>
    <t>出尘，大千世界；入世，无危不至</t>
    <phoneticPr fontId="1" type="noConversion"/>
  </si>
  <si>
    <t>快马加鞭</t>
    <phoneticPr fontId="1" type="noConversion"/>
  </si>
  <si>
    <t>神马飞腾</t>
    <phoneticPr fontId="1" type="noConversion"/>
  </si>
  <si>
    <t>天马行空</t>
    <phoneticPr fontId="1" type="noConversion"/>
  </si>
  <si>
    <t>加速10%</t>
    <phoneticPr fontId="1" type="noConversion"/>
  </si>
  <si>
    <t>加速20%</t>
    <phoneticPr fontId="1" type="noConversion"/>
  </si>
  <si>
    <t>加速30%</t>
    <phoneticPr fontId="1" type="noConversion"/>
  </si>
  <si>
    <t>魏之战神</t>
    <phoneticPr fontId="1" type="noConversion"/>
  </si>
  <si>
    <t>蜀之战神</t>
    <phoneticPr fontId="1" type="noConversion"/>
  </si>
  <si>
    <t>吴之战神</t>
    <phoneticPr fontId="1" type="noConversion"/>
  </si>
  <si>
    <t>九天战神</t>
    <phoneticPr fontId="1" type="noConversion"/>
  </si>
  <si>
    <t>雷动法圣</t>
    <phoneticPr fontId="1" type="noConversion"/>
  </si>
  <si>
    <t>无极道尊</t>
    <phoneticPr fontId="1" type="noConversion"/>
  </si>
  <si>
    <t>虎将</t>
    <phoneticPr fontId="1" type="noConversion"/>
  </si>
  <si>
    <t>龙将</t>
    <phoneticPr fontId="1" type="noConversion"/>
  </si>
  <si>
    <t>猛将</t>
    <phoneticPr fontId="1" type="noConversion"/>
  </si>
  <si>
    <t>名将</t>
    <phoneticPr fontId="1" type="noConversion"/>
  </si>
  <si>
    <t>征服10星</t>
    <phoneticPr fontId="1" type="noConversion"/>
  </si>
  <si>
    <t>征服15星</t>
    <phoneticPr fontId="1" type="noConversion"/>
  </si>
  <si>
    <t>征服20星</t>
    <phoneticPr fontId="1" type="noConversion"/>
  </si>
  <si>
    <t>征服25星</t>
    <phoneticPr fontId="1" type="noConversion"/>
  </si>
  <si>
    <t>征服30星</t>
    <phoneticPr fontId="1" type="noConversion"/>
  </si>
  <si>
    <t>神将</t>
    <phoneticPr fontId="1" type="noConversion"/>
  </si>
  <si>
    <t>守将的祝福</t>
    <phoneticPr fontId="1" type="noConversion"/>
  </si>
  <si>
    <t>守将给予家族成员的祝福，形成了高昂的战意！提升攻击、防御、生命值2%</t>
    <phoneticPr fontId="1" type="noConversion"/>
  </si>
  <si>
    <t>守方龙柱</t>
    <phoneticPr fontId="1" type="noConversion"/>
  </si>
  <si>
    <t>攻方龙柱</t>
    <phoneticPr fontId="1" type="noConversion"/>
  </si>
  <si>
    <t>助攻（冒险岛）</t>
    <phoneticPr fontId="1" type="noConversion"/>
  </si>
  <si>
    <t>冒险岛内助攻特效</t>
    <phoneticPr fontId="1" type="noConversion"/>
  </si>
  <si>
    <t>坐骑打折</t>
    <phoneticPr fontId="1" type="noConversion"/>
  </si>
  <si>
    <t>通过活动页面购买坐骑进阶石打折包，每次可节省200金币</t>
    <phoneticPr fontId="1" type="noConversion"/>
  </si>
  <si>
    <t>升阶打折</t>
  </si>
  <si>
    <t>通过活动页面购买装备升阶石打折包，每次可节省100金币</t>
  </si>
  <si>
    <t>跨区助战状态</t>
    <phoneticPr fontId="1" type="noConversion"/>
  </si>
  <si>
    <t>跨区支援国战的助战状态</t>
    <phoneticPr fontId="1" type="noConversion"/>
  </si>
  <si>
    <t>万人敬仰</t>
    <phoneticPr fontId="1" type="noConversion"/>
  </si>
  <si>
    <t>【效果】
1.使用后可获得万人敬仰头顶称号特效，永久有效
2.生命上限加3000
3.攻击（物、魔）加300
4.防御（物、魔）加100
5.可与其他头顶特效叠加显示</t>
    <phoneticPr fontId="1" type="noConversion"/>
  </si>
  <si>
    <t>锋芒毕露</t>
    <phoneticPr fontId="1" type="noConversion"/>
  </si>
  <si>
    <t>【效果】
1.使用后可获得锋芒毕露头顶称号特效，永久有效
2.生命上限加600
3.攻击（物、魔）加100
4.防御（物、魔）加80
5.可与其他头顶特效叠加显示</t>
    <phoneticPr fontId="1" type="noConversion"/>
  </si>
  <si>
    <t>天人至尊</t>
    <phoneticPr fontId="1" type="noConversion"/>
  </si>
  <si>
    <t>【效果】
1.使用后可获得天人至尊头顶称号特效，永久有效
2.生命上限加8%
3.攻击（物、魔）加6%
4.防御（物、魔）加5%
5.可与其他头顶特效叠加显示</t>
    <phoneticPr fontId="1" type="noConversion"/>
  </si>
  <si>
    <t>征服5星</t>
    <phoneticPr fontId="1" type="noConversion"/>
  </si>
  <si>
    <t>激活5星套</t>
    <phoneticPr fontId="1" type="noConversion"/>
  </si>
  <si>
    <t>征服10星</t>
    <phoneticPr fontId="1" type="noConversion"/>
  </si>
  <si>
    <t>激活10星套</t>
    <phoneticPr fontId="1" type="noConversion"/>
  </si>
  <si>
    <t>征服15星</t>
    <phoneticPr fontId="1" type="noConversion"/>
  </si>
  <si>
    <t>激活15星套</t>
    <phoneticPr fontId="1" type="noConversion"/>
  </si>
  <si>
    <t>征服20星</t>
    <phoneticPr fontId="1" type="noConversion"/>
  </si>
  <si>
    <t>激活20星套</t>
    <phoneticPr fontId="1" type="noConversion"/>
  </si>
  <si>
    <t>征服25星</t>
    <phoneticPr fontId="1" type="noConversion"/>
  </si>
  <si>
    <t>激活25星套</t>
    <phoneticPr fontId="1" type="noConversion"/>
  </si>
  <si>
    <t>征服30星</t>
    <phoneticPr fontId="1" type="noConversion"/>
  </si>
  <si>
    <t>激活30星套</t>
    <phoneticPr fontId="1" type="noConversion"/>
  </si>
  <si>
    <t>战力第二</t>
    <phoneticPr fontId="1" type="noConversion"/>
  </si>
  <si>
    <t>战力排行榜第2的角色每周日21点后，可获得该BUFF</t>
    <phoneticPr fontId="1" type="noConversion"/>
  </si>
  <si>
    <t>战力第三</t>
    <phoneticPr fontId="1" type="noConversion"/>
  </si>
  <si>
    <t>战力排行榜第3的角色每周日21点后，可获得该BUFF</t>
    <phoneticPr fontId="1" type="noConversion"/>
  </si>
  <si>
    <t>一骑绝尘</t>
    <phoneticPr fontId="1" type="noConversion"/>
  </si>
  <si>
    <t>参加超级血战赢得的威名，攻击、防御、生命提升1%</t>
    <phoneticPr fontId="1" type="noConversion"/>
  </si>
  <si>
    <t>大杀四方</t>
    <phoneticPr fontId="1" type="noConversion"/>
  </si>
  <si>
    <t>参加超级血战赢得的威名，攻击、防御、生命提升3%</t>
    <phoneticPr fontId="1" type="noConversion"/>
  </si>
  <si>
    <t>名扬四海</t>
    <phoneticPr fontId="1" type="noConversion"/>
  </si>
  <si>
    <t>参加超级血战赢得的威名，攻击、防御、生命提升5%</t>
    <phoneticPr fontId="1" type="noConversion"/>
  </si>
  <si>
    <t>独孤求败</t>
    <phoneticPr fontId="1" type="noConversion"/>
  </si>
  <si>
    <t>参加超级血战赢得的威名，攻击、防御、生命提升8%</t>
    <phoneticPr fontId="1" type="noConversion"/>
  </si>
  <si>
    <t>攻击提升30%</t>
    <phoneticPr fontId="1" type="noConversion"/>
  </si>
  <si>
    <t>防御提升30%</t>
    <phoneticPr fontId="1" type="noConversion"/>
  </si>
  <si>
    <t>生命提升30%</t>
    <phoneticPr fontId="1" type="noConversion"/>
  </si>
  <si>
    <t>打坐修炼</t>
    <phoneticPr fontId="1" type="noConversion"/>
  </si>
  <si>
    <t>普天同庆</t>
    <phoneticPr fontId="1" type="noConversion"/>
  </si>
  <si>
    <t>缩小</t>
    <phoneticPr fontId="1" type="noConversion"/>
  </si>
  <si>
    <t>神奇的法术，体形缩小为30%。</t>
    <phoneticPr fontId="1" type="noConversion"/>
  </si>
  <si>
    <t>神奇的法术，体形缩小为60%。</t>
    <phoneticPr fontId="1" type="noConversion"/>
  </si>
  <si>
    <t>变大</t>
    <phoneticPr fontId="1" type="noConversion"/>
  </si>
  <si>
    <t>神奇的法术，体形放大为130%。</t>
    <phoneticPr fontId="1" type="noConversion"/>
  </si>
  <si>
    <t>神奇的法术，体形放大为180%。</t>
    <phoneticPr fontId="1" type="noConversion"/>
  </si>
  <si>
    <t>神奇的法术，体形放大为250%。</t>
    <phoneticPr fontId="1" type="noConversion"/>
  </si>
  <si>
    <t>生命值上限+2000，双防+250，双减伤+1.5%</t>
    <phoneticPr fontId="1" type="noConversion"/>
  </si>
  <si>
    <t>生命值上限+5000，双防+500，双减伤+4%</t>
    <phoneticPr fontId="1" type="noConversion"/>
  </si>
  <si>
    <t>生命值上限+500，双防+50</t>
    <phoneticPr fontId="1" type="noConversion"/>
  </si>
  <si>
    <t>请点击</t>
    <phoneticPr fontId="1" type="noConversion"/>
  </si>
  <si>
    <t>小五行护身</t>
    <phoneticPr fontId="1" type="noConversion"/>
  </si>
  <si>
    <t>五行防护盾，可吸收伤害</t>
    <phoneticPr fontId="1" type="noConversion"/>
  </si>
  <si>
    <t>羽翼之力</t>
    <phoneticPr fontId="1" type="noConversion"/>
  </si>
  <si>
    <t>力量加强了10倍！</t>
    <phoneticPr fontId="1" type="noConversion"/>
  </si>
  <si>
    <t>金刚经</t>
    <phoneticPr fontId="1" type="noConversion"/>
  </si>
  <si>
    <t>使用金刚经打坐，可以获得高额经验加成，颜色越高经验越多。</t>
    <phoneticPr fontId="1" type="noConversion"/>
  </si>
  <si>
    <t>生命池</t>
    <phoneticPr fontId="1" type="noConversion"/>
  </si>
  <si>
    <t>乱世豪杰</t>
  </si>
  <si>
    <t>倾尽天下</t>
  </si>
  <si>
    <t>凤舞九天</t>
  </si>
  <si>
    <t>是否计算战斗力</t>
    <phoneticPr fontId="1" type="noConversion"/>
  </si>
  <si>
    <t>是否计算战斗力</t>
    <phoneticPr fontId="1" type="noConversion"/>
  </si>
  <si>
    <t>0表示不参与战斗力计算</t>
    <phoneticPr fontId="1" type="noConversion"/>
  </si>
  <si>
    <t>1表示参与战斗力计算</t>
    <phoneticPr fontId="1" type="noConversion"/>
  </si>
  <si>
    <t>国之将倾</t>
    <phoneticPr fontId="1" type="noConversion"/>
  </si>
  <si>
    <t>山河破碎</t>
    <phoneticPr fontId="1" type="noConversion"/>
  </si>
  <si>
    <t>太平盛世</t>
    <phoneticPr fontId="1" type="noConversion"/>
  </si>
  <si>
    <t>狼烟萧萧</t>
    <phoneticPr fontId="1" type="noConversion"/>
  </si>
  <si>
    <t>厉兵秣马</t>
    <phoneticPr fontId="1" type="noConversion"/>
  </si>
  <si>
    <t>整军备战</t>
    <phoneticPr fontId="1" type="noConversion"/>
  </si>
  <si>
    <t>大半江山</t>
    <phoneticPr fontId="1" type="noConversion"/>
  </si>
  <si>
    <t>宗主之国</t>
    <phoneticPr fontId="1" type="noConversion"/>
  </si>
  <si>
    <t>霸王之国</t>
    <phoneticPr fontId="1" type="noConversion"/>
  </si>
  <si>
    <t>一统天下</t>
    <phoneticPr fontId="1" type="noConversion"/>
  </si>
  <si>
    <t>定身免疫</t>
    <phoneticPr fontId="1" type="noConversion"/>
  </si>
  <si>
    <t>15秒内不再被定身符影响的buff</t>
    <phoneticPr fontId="1" type="noConversion"/>
  </si>
  <si>
    <t>精力充沛</t>
    <phoneticPr fontId="1" type="noConversion"/>
  </si>
  <si>
    <t>精力充沛，满血状态</t>
    <phoneticPr fontId="1" type="noConversion"/>
  </si>
  <si>
    <t>VIP8</t>
    <phoneticPr fontId="1" type="noConversion"/>
  </si>
  <si>
    <t>VIP9</t>
    <phoneticPr fontId="1" type="noConversion"/>
  </si>
  <si>
    <t>VIP10</t>
  </si>
  <si>
    <t>VIP11</t>
  </si>
  <si>
    <t>VIP12</t>
  </si>
  <si>
    <t>鼓舞之经验</t>
    <phoneticPr fontId="1" type="noConversion"/>
  </si>
  <si>
    <t>鼓舞之攻击</t>
    <phoneticPr fontId="1" type="noConversion"/>
  </si>
  <si>
    <t>鼓舞之血量</t>
    <phoneticPr fontId="1" type="noConversion"/>
  </si>
  <si>
    <t>最大血量提升10%</t>
    <phoneticPr fontId="1" type="noConversion"/>
  </si>
  <si>
    <t>最大攻击提升10%</t>
    <phoneticPr fontId="1" type="noConversion"/>
  </si>
  <si>
    <t>打怪经验提升20%</t>
    <phoneticPr fontId="1" type="noConversion"/>
  </si>
  <si>
    <t>倒数5秒</t>
    <phoneticPr fontId="1" type="noConversion"/>
  </si>
  <si>
    <t>倒数3秒</t>
    <phoneticPr fontId="1" type="noConversion"/>
  </si>
  <si>
    <t>刺探刷新倒计时</t>
    <phoneticPr fontId="1" type="noConversion"/>
  </si>
  <si>
    <t>刺探剩余刷新时间。</t>
    <phoneticPr fontId="1" type="noConversion"/>
  </si>
  <si>
    <t>获得蓝色刺探</t>
    <phoneticPr fontId="1" type="noConversion"/>
  </si>
  <si>
    <t>获得白色刺探</t>
    <phoneticPr fontId="1" type="noConversion"/>
  </si>
  <si>
    <t>获得黄色刺探</t>
    <phoneticPr fontId="1" type="noConversion"/>
  </si>
  <si>
    <t>获得绿色刺探</t>
    <phoneticPr fontId="1" type="noConversion"/>
  </si>
  <si>
    <t>获得紫色刺探</t>
    <phoneticPr fontId="1" type="noConversion"/>
  </si>
  <si>
    <t>首次刺探保护</t>
    <phoneticPr fontId="1" type="noConversion"/>
  </si>
  <si>
    <t>刺探死亡不掉落</t>
    <phoneticPr fontId="1" type="noConversion"/>
  </si>
  <si>
    <t>该buff状态下，无法使用技能，不可攻击，也不能被攻击。（完成刺探任务或时间到了清除）</t>
    <phoneticPr fontId="1" type="noConversion"/>
  </si>
  <si>
    <t>刺探必绿</t>
    <phoneticPr fontId="1" type="noConversion"/>
  </si>
  <si>
    <t>拥有该状态，接取任务必绿，持续1小时。完成任务后消失。</t>
    <phoneticPr fontId="1" type="noConversion"/>
  </si>
  <si>
    <t>打坐修炼（苦修）</t>
    <phoneticPr fontId="1" type="noConversion"/>
  </si>
  <si>
    <t>无敌状态</t>
    <phoneticPr fontId="1" type="noConversion"/>
  </si>
  <si>
    <t>答题、特殊副本处在的临时保护状态</t>
    <phoneticPr fontId="1" type="noConversion"/>
  </si>
  <si>
    <t xml:space="preserve">剧情事件发生时，全服玩家共同庆祝！
-------------------------------
◆天降大礼
◆多倍经验
◆全服彩车
-------------------------------
详情查看右上角进程奖励
</t>
    <phoneticPr fontId="1" type="noConversion"/>
  </si>
  <si>
    <t>禁入家族</t>
    <phoneticPr fontId="1" type="noConversion"/>
  </si>
  <si>
    <t>刚刚退出家族，暂时无法创建新家族或加入其他家族</t>
    <phoneticPr fontId="1" type="noConversion"/>
  </si>
  <si>
    <t>VIP1</t>
    <phoneticPr fontId="1" type="noConversion"/>
  </si>
  <si>
    <t>VIP2</t>
    <phoneticPr fontId="1" type="noConversion"/>
  </si>
  <si>
    <t>VIP5</t>
  </si>
  <si>
    <t>VIP6</t>
  </si>
  <si>
    <t>VIP7</t>
  </si>
  <si>
    <t>VIP8</t>
  </si>
  <si>
    <t>VIP9</t>
  </si>
  <si>
    <t>&lt;p&gt;&lt;n&gt;当日累积充值最高的玩家持有火炬并享受以下福利&lt;/n&gt;&lt;newline/&gt;&lt;n&gt;1.攻击力提升10%并额外增加50点&lt;/n&gt;&lt;newline/&gt;&lt;n&gt;2.持有火炬期间每分钟可额外获得1次经验&lt;/n&gt;&lt;newline/&gt;&lt;n&gt;3.每日24点仍持有火炬的玩家可获得火炬大宝箱&lt;/n&gt;&lt;/p&gt;</t>
    <phoneticPr fontId="1" type="noConversion"/>
  </si>
  <si>
    <t>本角色今天打怪超过18小时,已进入疲劳状态，打怪无法获得经验且没有物品掉落</t>
    <phoneticPr fontId="1" type="noConversion"/>
  </si>
  <si>
    <t>恭喜升官</t>
    <phoneticPr fontId="1" type="noConversion"/>
  </si>
  <si>
    <t>未知</t>
    <phoneticPr fontId="1" type="noConversion"/>
  </si>
  <si>
    <t>投资中</t>
    <phoneticPr fontId="1" type="noConversion"/>
  </si>
  <si>
    <t>目前正在投资中，每天可获得丰厚奖励。</t>
    <phoneticPr fontId="1" type="noConversion"/>
  </si>
  <si>
    <t>眩晕，不可移动</t>
    <phoneticPr fontId="1" type="noConversion"/>
  </si>
  <si>
    <t>减速</t>
    <phoneticPr fontId="1" type="noConversion"/>
  </si>
  <si>
    <t>使目标减速30%</t>
    <phoneticPr fontId="1" type="noConversion"/>
  </si>
  <si>
    <t>杀怪百连斩</t>
    <phoneticPr fontId="1" type="noConversion"/>
  </si>
  <si>
    <t>杀怪千连斩</t>
    <phoneticPr fontId="1" type="noConversion"/>
  </si>
  <si>
    <t>杀怪万连斩</t>
    <phoneticPr fontId="1" type="noConversion"/>
  </si>
  <si>
    <t>流血伤害，持续10秒</t>
    <phoneticPr fontId="1" type="noConversion"/>
  </si>
  <si>
    <t>降低攻击和防御，持续10秒</t>
    <phoneticPr fontId="1" type="noConversion"/>
  </si>
  <si>
    <t>降低攻击(1级)</t>
    <phoneticPr fontId="1" type="noConversion"/>
  </si>
  <si>
    <t>降低攻击(2级)</t>
  </si>
  <si>
    <t>降低攻击(3级)</t>
  </si>
  <si>
    <t>降低攻击(4级)</t>
  </si>
  <si>
    <t>降低攻击(5级)</t>
  </si>
  <si>
    <t>降低攻击(6级)</t>
  </si>
  <si>
    <t>降低攻击(7级)</t>
  </si>
  <si>
    <t>降低攻击(8级)</t>
  </si>
  <si>
    <t>降低攻击(9级)</t>
  </si>
  <si>
    <t>降低攻击(10级)</t>
  </si>
  <si>
    <t>降低攻击(11级)</t>
  </si>
  <si>
    <t>降低攻击(12级)</t>
  </si>
  <si>
    <t>降低攻击(13级)</t>
  </si>
  <si>
    <t>降低攻击(14级)</t>
  </si>
  <si>
    <t>降低攻击(15级)</t>
  </si>
  <si>
    <t>降低攻击(16级)</t>
  </si>
  <si>
    <t>降低攻击(17级)</t>
  </si>
  <si>
    <t>降低攻击(18级)</t>
  </si>
  <si>
    <t>降低攻击(19级)</t>
  </si>
  <si>
    <t>降低攻击(20级)</t>
  </si>
  <si>
    <t>降低攻击(21级)</t>
  </si>
  <si>
    <t>降低攻击(22级)</t>
  </si>
  <si>
    <t>降低攻击(23级)</t>
  </si>
  <si>
    <t>降低攻击(24级)</t>
  </si>
  <si>
    <t>降低攻击(25级)</t>
  </si>
  <si>
    <t>降低攻击Ⅱ(26级)</t>
  </si>
  <si>
    <t>降低攻击Ⅱ(1级)</t>
    <phoneticPr fontId="1" type="noConversion"/>
  </si>
  <si>
    <t>降低攻击Ⅱ(2级)</t>
  </si>
  <si>
    <t>降低攻击Ⅱ(3级)</t>
  </si>
  <si>
    <t>降低攻击Ⅱ(4级)</t>
  </si>
  <si>
    <t>降低攻击Ⅱ(5级)</t>
  </si>
  <si>
    <t>降低攻击Ⅱ(6级)</t>
  </si>
  <si>
    <t>降低攻击Ⅱ(7级)</t>
  </si>
  <si>
    <t>降低攻击Ⅱ(8级)</t>
  </si>
  <si>
    <t>降低攻击Ⅱ(9级)</t>
  </si>
  <si>
    <t>降低攻击Ⅱ(10级)</t>
  </si>
  <si>
    <t>降低攻击Ⅱ(11级)</t>
  </si>
  <si>
    <t>降低攻击Ⅱ(12级)</t>
  </si>
  <si>
    <t>降低攻击Ⅱ(13级)</t>
  </si>
  <si>
    <t>降低攻击Ⅱ(14级)</t>
  </si>
  <si>
    <t>降低攻击Ⅱ(15级)</t>
  </si>
  <si>
    <t>降低攻击Ⅱ(16级)</t>
  </si>
  <si>
    <t>降低攻击Ⅱ(17级)</t>
  </si>
  <si>
    <t>降低攻击Ⅱ(18级)</t>
  </si>
  <si>
    <t>降低攻击Ⅱ(19级)</t>
  </si>
  <si>
    <t>降低攻击Ⅱ(20级)</t>
  </si>
  <si>
    <t>降低攻击Ⅱ(21级)</t>
  </si>
  <si>
    <t>降低攻击Ⅱ(22级)</t>
  </si>
  <si>
    <t>降低攻击Ⅱ(23级)</t>
  </si>
  <si>
    <t>降低攻击Ⅱ(24级)</t>
  </si>
  <si>
    <t>降低攻击Ⅱ(25级)</t>
  </si>
  <si>
    <t>降低攻击Ⅱ(27级)</t>
  </si>
  <si>
    <t>降低攻击Ⅱ(28级)</t>
  </si>
  <si>
    <t>降低攻击Ⅱ(29级)</t>
  </si>
  <si>
    <t>降低攻击Ⅱ(30级)</t>
  </si>
  <si>
    <t>鼓舞(1级)</t>
    <phoneticPr fontId="1" type="noConversion"/>
  </si>
  <si>
    <t>鼓舞(2级)</t>
  </si>
  <si>
    <t>鼓舞(3级)</t>
  </si>
  <si>
    <t>鼓舞(4级)</t>
  </si>
  <si>
    <t>鼓舞(5级)</t>
  </si>
  <si>
    <t>鼓舞(6级)</t>
  </si>
  <si>
    <t>鼓舞(7级)</t>
  </si>
  <si>
    <t>鼓舞(8级)</t>
  </si>
  <si>
    <t>鼓舞(9级)</t>
  </si>
  <si>
    <t>鼓舞(10级)</t>
  </si>
  <si>
    <t>鼓舞(11级)</t>
  </si>
  <si>
    <t>鼓舞(12级)</t>
  </si>
  <si>
    <t>鼓舞(13级)</t>
  </si>
  <si>
    <t>鼓舞(14级)</t>
  </si>
  <si>
    <t>鼓舞(15级)</t>
  </si>
  <si>
    <t>重击加重(1级)</t>
    <phoneticPr fontId="1" type="noConversion"/>
  </si>
  <si>
    <t>重击加重(2级)</t>
  </si>
  <si>
    <t>重击加重(3级)</t>
  </si>
  <si>
    <t>重击加重(4级)</t>
  </si>
  <si>
    <t>重击加重(5级)</t>
  </si>
  <si>
    <t>重击加重(6级)</t>
  </si>
  <si>
    <t>重击加重(7级)</t>
  </si>
  <si>
    <t>重击加重(8级)</t>
  </si>
  <si>
    <t>重击加重(9级)</t>
  </si>
  <si>
    <t>重击加重(10级)</t>
  </si>
  <si>
    <t>重击加重(11级)</t>
  </si>
  <si>
    <t>重击加重(12级)</t>
  </si>
  <si>
    <t>重击加重(13级)</t>
  </si>
  <si>
    <t>重击加重(14级)</t>
  </si>
  <si>
    <t>重击加重(15级)</t>
  </si>
  <si>
    <t>重击加重(16级)</t>
  </si>
  <si>
    <t>重击加重(17级)</t>
  </si>
  <si>
    <t>重击加重(18级)</t>
  </si>
  <si>
    <t>重击加重(19级)</t>
  </si>
  <si>
    <t>重击加重(20级)</t>
  </si>
  <si>
    <t>重击加重(21级)</t>
  </si>
  <si>
    <t>重击加重(22级)</t>
  </si>
  <si>
    <t>重击加重(23级)</t>
  </si>
  <si>
    <t>重击加重(24级)</t>
  </si>
  <si>
    <t>重击加重(25级)</t>
  </si>
  <si>
    <t>重击加重Ⅱ(1级)</t>
    <phoneticPr fontId="1" type="noConversion"/>
  </si>
  <si>
    <t>重击加重Ⅱ(2级)</t>
  </si>
  <si>
    <t>重击加重Ⅱ(3级)</t>
  </si>
  <si>
    <t>重击加重Ⅱ(4级)</t>
  </si>
  <si>
    <t>重击加重Ⅱ(5级)</t>
  </si>
  <si>
    <t>重击加重Ⅱ(6级)</t>
  </si>
  <si>
    <t>重击加重Ⅱ(7级)</t>
  </si>
  <si>
    <t>重击加重Ⅱ(8级)</t>
  </si>
  <si>
    <t>重击加重Ⅱ(9级)</t>
  </si>
  <si>
    <t>重击加重Ⅱ(10级)</t>
  </si>
  <si>
    <t>重击加重Ⅱ(11级)</t>
  </si>
  <si>
    <t>重击加重Ⅱ(12级)</t>
  </si>
  <si>
    <t>重击加重Ⅱ(13级)</t>
  </si>
  <si>
    <t>重击加重Ⅱ(14级)</t>
  </si>
  <si>
    <t>重击加重Ⅱ(15级)</t>
  </si>
  <si>
    <t>重击加重Ⅱ(16级)</t>
  </si>
  <si>
    <t>重击加重Ⅱ(17级)</t>
  </si>
  <si>
    <t>重击加重Ⅱ(18级)</t>
  </si>
  <si>
    <t>重击加重Ⅱ(19级)</t>
  </si>
  <si>
    <t>重击加重Ⅱ(20级)</t>
  </si>
  <si>
    <t>重击加重Ⅱ(21级)</t>
  </si>
  <si>
    <t>重击加重Ⅱ(22级)</t>
  </si>
  <si>
    <t>重击加重Ⅱ(23级)</t>
  </si>
  <si>
    <t>重击加重Ⅱ(24级)</t>
  </si>
  <si>
    <t>重击加重Ⅱ(25级)</t>
  </si>
  <si>
    <t>重击加重Ⅱ(26级)</t>
  </si>
  <si>
    <t>重击加重Ⅱ(27级)</t>
  </si>
  <si>
    <t>重击加重Ⅱ(28级)</t>
  </si>
  <si>
    <t>重击加重Ⅱ(29级)</t>
  </si>
  <si>
    <t>重击加重Ⅱ(30级)</t>
  </si>
  <si>
    <t>中毒(1级)</t>
    <phoneticPr fontId="1" type="noConversion"/>
  </si>
  <si>
    <t>中毒(2级)</t>
  </si>
  <si>
    <t>中毒(3级)</t>
  </si>
  <si>
    <t>中毒(4级)</t>
  </si>
  <si>
    <t>中毒(5级)</t>
  </si>
  <si>
    <t>中毒(6级)</t>
  </si>
  <si>
    <t>中毒(7级)</t>
  </si>
  <si>
    <t>中毒(8级)</t>
  </si>
  <si>
    <t>中毒(9级)</t>
  </si>
  <si>
    <t>中毒(10级)</t>
  </si>
  <si>
    <t>中毒(11级)</t>
  </si>
  <si>
    <t>中毒(12级)</t>
  </si>
  <si>
    <t>中毒(13级)</t>
  </si>
  <si>
    <t>中毒(14级)</t>
  </si>
  <si>
    <t>中毒(15级)</t>
  </si>
  <si>
    <t>中毒(16级)</t>
  </si>
  <si>
    <t>中毒(17级)</t>
  </si>
  <si>
    <t>中毒(18级)</t>
  </si>
  <si>
    <t>中毒(19级)</t>
  </si>
  <si>
    <t>中毒(20级)</t>
  </si>
  <si>
    <t>中毒(21级)</t>
  </si>
  <si>
    <t>中毒(22级)</t>
  </si>
  <si>
    <t>中毒(23级)</t>
  </si>
  <si>
    <t>中毒(24级)</t>
  </si>
  <si>
    <t>中毒(25级)</t>
  </si>
  <si>
    <t>中毒Ⅱ(1级)</t>
    <phoneticPr fontId="1" type="noConversion"/>
  </si>
  <si>
    <t>中毒Ⅱ(2级)</t>
  </si>
  <si>
    <t>中毒Ⅱ(3级)</t>
  </si>
  <si>
    <t>中毒Ⅱ(4级)</t>
  </si>
  <si>
    <t>中毒Ⅱ(5级)</t>
  </si>
  <si>
    <t>中毒Ⅱ(6级)</t>
  </si>
  <si>
    <t>中毒Ⅱ(7级)</t>
  </si>
  <si>
    <t>中毒Ⅱ(8级)</t>
  </si>
  <si>
    <t>中毒Ⅱ(9级)</t>
  </si>
  <si>
    <t>中毒Ⅱ(10级)</t>
  </si>
  <si>
    <t>中毒Ⅱ(11级)</t>
  </si>
  <si>
    <t>中毒Ⅱ(12级)</t>
  </si>
  <si>
    <t>中毒Ⅱ(13级)</t>
  </si>
  <si>
    <t>中毒Ⅱ(14级)</t>
  </si>
  <si>
    <t>中毒Ⅱ(15级)</t>
  </si>
  <si>
    <t>中毒Ⅱ(16级)</t>
  </si>
  <si>
    <t>中毒Ⅱ(17级)</t>
  </si>
  <si>
    <t>中毒Ⅱ(18级)</t>
  </si>
  <si>
    <t>中毒Ⅱ(19级)</t>
  </si>
  <si>
    <t>中毒Ⅱ(20级)</t>
  </si>
  <si>
    <t>中毒Ⅱ(21级)</t>
  </si>
  <si>
    <t>中毒Ⅱ(22级)</t>
  </si>
  <si>
    <t>中毒Ⅱ(23级)</t>
  </si>
  <si>
    <t>中毒Ⅱ(24级)</t>
  </si>
  <si>
    <t>中毒Ⅱ(25级)</t>
  </si>
  <si>
    <t>中毒Ⅱ(26级)</t>
  </si>
  <si>
    <t>中毒Ⅱ(27级)</t>
  </si>
  <si>
    <t>中毒Ⅱ(28级)</t>
  </si>
  <si>
    <t>中毒Ⅱ(29级)</t>
  </si>
  <si>
    <t>中毒Ⅱ(30级)</t>
  </si>
  <si>
    <t>◆攻击力提升2%
◆杀怪1000连斩时，攻击力可提升5%</t>
    <phoneticPr fontId="1" type="noConversion"/>
  </si>
  <si>
    <t>◆攻击力提升5%
◆杀怪9999连斩时，攻击力可提升10%</t>
    <phoneticPr fontId="1" type="noConversion"/>
  </si>
  <si>
    <t>◆攻击力提升10%</t>
    <phoneticPr fontId="1" type="noConversion"/>
  </si>
  <si>
    <t>10年功力</t>
    <phoneticPr fontId="1" type="noConversion"/>
  </si>
  <si>
    <t>◆攻击力提升500%</t>
    <phoneticPr fontId="1" type="noConversion"/>
  </si>
  <si>
    <t>叱咤风云</t>
    <phoneticPr fontId="1" type="noConversion"/>
  </si>
  <si>
    <t>1级家族守护</t>
    <phoneticPr fontId="1" type="noConversion"/>
  </si>
  <si>
    <t>2级家族守护</t>
  </si>
  <si>
    <t>3级家族守护</t>
  </si>
  <si>
    <t>4级家族守护</t>
  </si>
  <si>
    <t>5级家族守护</t>
  </si>
  <si>
    <t>6级家族守护</t>
  </si>
  <si>
    <t>7级家族守护</t>
  </si>
  <si>
    <t>8级家族守护</t>
  </si>
  <si>
    <t>9级家族守护</t>
  </si>
  <si>
    <t>10级家族守护</t>
  </si>
  <si>
    <t>11级家族守护</t>
  </si>
  <si>
    <t>12级家族守护</t>
  </si>
  <si>
    <t>13级家族守护</t>
  </si>
  <si>
    <t>14级家族守护</t>
  </si>
  <si>
    <t>15级家族守护</t>
  </si>
  <si>
    <t>16级家族守护</t>
  </si>
  <si>
    <t>17级家族守护</t>
  </si>
  <si>
    <t>18级家族守护</t>
  </si>
  <si>
    <t>19级家族守护</t>
  </si>
  <si>
    <t>20级家族守护</t>
  </si>
  <si>
    <t>21级家族守护</t>
  </si>
  <si>
    <t>22级家族守护</t>
  </si>
  <si>
    <t>23级家族守护</t>
  </si>
  <si>
    <t>24级家族守护</t>
  </si>
  <si>
    <t>25级家族守护</t>
  </si>
  <si>
    <t>26级家族守护</t>
  </si>
  <si>
    <t>27级家族守护</t>
  </si>
  <si>
    <t>28级家族守护</t>
  </si>
  <si>
    <t>29级家族守护</t>
  </si>
  <si>
    <t>30级家族守护</t>
  </si>
  <si>
    <t>31级家族守护</t>
  </si>
  <si>
    <t>32级家族守护</t>
  </si>
  <si>
    <t>33级家族守护</t>
  </si>
  <si>
    <t>34级家族守护</t>
  </si>
  <si>
    <t>35级家族守护</t>
  </si>
  <si>
    <t>36级家族守护</t>
  </si>
  <si>
    <t>37级家族守护</t>
  </si>
  <si>
    <t>38级家族守护</t>
  </si>
  <si>
    <t>39级家族守护</t>
  </si>
  <si>
    <t>40级家族守护</t>
  </si>
  <si>
    <t>41级家族守护</t>
  </si>
  <si>
    <t>42级家族守护</t>
  </si>
  <si>
    <t>43级家族守护</t>
  </si>
  <si>
    <t>44级家族守护</t>
  </si>
  <si>
    <t>45级家族守护</t>
  </si>
  <si>
    <t>46级家族守护</t>
  </si>
  <si>
    <t>47级家族守护</t>
  </si>
  <si>
    <t>48级家族守护</t>
  </si>
  <si>
    <t>49级家族守护</t>
  </si>
  <si>
    <t>50级家族守护</t>
  </si>
  <si>
    <t>51级家族守护</t>
  </si>
  <si>
    <t>52级家族守护</t>
  </si>
  <si>
    <t>53级家族守护</t>
  </si>
  <si>
    <t>54级家族守护</t>
  </si>
  <si>
    <t>55级家族守护</t>
  </si>
  <si>
    <t>56级家族守护</t>
  </si>
  <si>
    <t>57级家族守护</t>
  </si>
  <si>
    <t>58级家族守护</t>
  </si>
  <si>
    <t>59级家族守护</t>
  </si>
  <si>
    <t>60级家族守护</t>
  </si>
  <si>
    <t>曹操击杀者</t>
  </si>
  <si>
    <t>张辽击杀者</t>
  </si>
  <si>
    <t>徐晃击杀者</t>
  </si>
  <si>
    <t>夏侯渊击杀者</t>
  </si>
  <si>
    <t>于禁击杀者</t>
  </si>
  <si>
    <t>刘备击杀者</t>
  </si>
  <si>
    <t>赵云击杀者</t>
  </si>
  <si>
    <t>马超击杀者</t>
  </si>
  <si>
    <t>姜维击杀者</t>
  </si>
  <si>
    <t>黄忠击杀者</t>
  </si>
  <si>
    <t>孙权击杀者</t>
  </si>
  <si>
    <t>吕蒙击杀者</t>
  </si>
  <si>
    <t>黄盖击杀者</t>
  </si>
  <si>
    <t>周泰击杀者</t>
  </si>
  <si>
    <t>甘宁击杀者</t>
  </si>
  <si>
    <t>提升1000生命</t>
    <phoneticPr fontId="1" type="noConversion"/>
  </si>
  <si>
    <t>提升300生命</t>
    <phoneticPr fontId="1" type="noConversion"/>
  </si>
  <si>
    <t>提升100生命</t>
    <phoneticPr fontId="1" type="noConversion"/>
  </si>
  <si>
    <t>左先锋的守护</t>
    <phoneticPr fontId="1" type="noConversion"/>
  </si>
  <si>
    <t>右先锋的守护</t>
    <phoneticPr fontId="1" type="noConversion"/>
  </si>
  <si>
    <t>每分钟持续回血5%</t>
    <phoneticPr fontId="1" type="noConversion"/>
  </si>
  <si>
    <t>破釜沉舟</t>
    <phoneticPr fontId="1" type="noConversion"/>
  </si>
  <si>
    <t>弱国专属，增加攻击1%，血量1%</t>
    <phoneticPr fontId="1" type="noConversion"/>
  </si>
  <si>
    <t>愤怒</t>
    <phoneticPr fontId="1" type="noConversion"/>
  </si>
  <si>
    <t>血量上限加倍</t>
    <phoneticPr fontId="1" type="noConversion"/>
  </si>
  <si>
    <t>乱世奸雄</t>
    <phoneticPr fontId="1" type="noConversion"/>
  </si>
  <si>
    <r>
      <t>100%</t>
    </r>
    <r>
      <rPr>
        <sz val="10.5"/>
        <rFont val="宋体"/>
        <family val="3"/>
        <charset val="134"/>
      </rPr>
      <t>反伤</t>
    </r>
  </si>
  <si>
    <t>云起</t>
    <phoneticPr fontId="1" type="noConversion"/>
  </si>
  <si>
    <t>云散</t>
    <phoneticPr fontId="1" type="noConversion"/>
  </si>
  <si>
    <t>副本云起</t>
    <phoneticPr fontId="1" type="noConversion"/>
  </si>
  <si>
    <t>副本云散</t>
    <phoneticPr fontId="1" type="noConversion"/>
  </si>
  <si>
    <t>安定太守</t>
    <phoneticPr fontId="1" type="noConversion"/>
  </si>
  <si>
    <t>北平太守</t>
    <phoneticPr fontId="1" type="noConversion"/>
  </si>
  <si>
    <t>柴桑太守</t>
    <phoneticPr fontId="1" type="noConversion"/>
  </si>
  <si>
    <t>成都太守</t>
    <phoneticPr fontId="1" type="noConversion"/>
  </si>
  <si>
    <t>桂阳太守</t>
    <phoneticPr fontId="1" type="noConversion"/>
  </si>
  <si>
    <t>汉中太守</t>
    <phoneticPr fontId="1" type="noConversion"/>
  </si>
  <si>
    <t>合肥太守</t>
    <phoneticPr fontId="1" type="noConversion"/>
  </si>
  <si>
    <t>会稽太守</t>
    <phoneticPr fontId="1" type="noConversion"/>
  </si>
  <si>
    <t>建安太守</t>
    <phoneticPr fontId="1" type="noConversion"/>
  </si>
  <si>
    <t>建业太守</t>
    <phoneticPr fontId="1" type="noConversion"/>
  </si>
  <si>
    <t>江陵太守</t>
    <phoneticPr fontId="1" type="noConversion"/>
  </si>
  <si>
    <t>江夏太守</t>
    <phoneticPr fontId="1" type="noConversion"/>
  </si>
  <si>
    <t>江州太守</t>
    <phoneticPr fontId="1" type="noConversion"/>
  </si>
  <si>
    <t>零陵太守</t>
    <phoneticPr fontId="1" type="noConversion"/>
  </si>
  <si>
    <t>庐江太守</t>
    <phoneticPr fontId="1" type="noConversion"/>
  </si>
  <si>
    <t>洛阳太守</t>
    <phoneticPr fontId="1" type="noConversion"/>
  </si>
  <si>
    <t>南中太守</t>
    <phoneticPr fontId="1" type="noConversion"/>
  </si>
  <si>
    <t>濮阳太守</t>
    <phoneticPr fontId="1" type="noConversion"/>
  </si>
  <si>
    <t>西凉太守</t>
    <phoneticPr fontId="1" type="noConversion"/>
  </si>
  <si>
    <t>下邳太守</t>
    <phoneticPr fontId="1" type="noConversion"/>
  </si>
  <si>
    <t>许昌太守</t>
    <phoneticPr fontId="1" type="noConversion"/>
  </si>
  <si>
    <t>永安太守</t>
    <phoneticPr fontId="1" type="noConversion"/>
  </si>
  <si>
    <t>长安太守</t>
    <phoneticPr fontId="1" type="noConversion"/>
  </si>
  <si>
    <t>长沙太守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</si>
</sst>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.5"/>
      <name val="宋体"/>
      <family val="3"/>
      <charset val="134"/>
    </font>
    <font>
      <sz val="10.5"/>
      <name val="Calibri"/>
      <family val="2"/>
    </font>
    <font>
      <sz val="10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0" fillId="0" borderId="0" xfId="0" quotePrefix="1">
      <alignment vertical="center"/>
    </xf>
    <xf numFmtId="0" fontId="3" fillId="0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 wrapText="1"/>
    </xf>
    <xf numFmtId="0" fontId="2" fillId="5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2" fillId="5" borderId="0" xfId="0" applyFont="1" applyFill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/>
    </xf>
    <xf numFmtId="0" fontId="3" fillId="7" borderId="0" xfId="0" applyFont="1" applyFill="1" applyBorder="1" applyAlignment="1">
      <alignment horizontal="left" vertical="center"/>
    </xf>
    <xf numFmtId="49" fontId="2" fillId="7" borderId="0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2" fillId="8" borderId="0" xfId="0" applyFont="1" applyFill="1" applyBorder="1" applyAlignment="1">
      <alignment horizontal="left" vertical="center"/>
    </xf>
    <xf numFmtId="0" fontId="4" fillId="0" borderId="0" xfId="0" applyFont="1">
      <alignment vertical="center"/>
    </xf>
    <xf numFmtId="0" fontId="6" fillId="7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left" vertical="center"/>
    </xf>
    <xf numFmtId="0" fontId="3" fillId="9" borderId="0" xfId="0" applyFont="1" applyFill="1" applyBorder="1" applyAlignment="1">
      <alignment horizontal="left" vertical="center"/>
    </xf>
    <xf numFmtId="0" fontId="2" fillId="10" borderId="0" xfId="0" applyFont="1" applyFill="1" applyBorder="1" applyAlignment="1">
      <alignment horizontal="left" vertical="center"/>
    </xf>
    <xf numFmtId="0" fontId="3" fillId="10" borderId="0" xfId="0" applyFont="1" applyFill="1" applyBorder="1" applyAlignment="1">
      <alignment horizontal="left" vertical="center"/>
    </xf>
    <xf numFmtId="0" fontId="2" fillId="10" borderId="0" xfId="0" applyFont="1" applyFill="1" applyBorder="1" applyAlignment="1">
      <alignment horizontal="left" vertical="center" wrapText="1"/>
    </xf>
    <xf numFmtId="0" fontId="9" fillId="10" borderId="0" xfId="0" applyFont="1" applyFill="1" applyBorder="1" applyAlignment="1">
      <alignment horizontal="left" vertical="center" wrapText="1"/>
    </xf>
    <xf numFmtId="0" fontId="10" fillId="3" borderId="0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0" fontId="13" fillId="0" borderId="0" xfId="0" applyFont="1">
      <alignment vertical="center"/>
    </xf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 applyAlignment="1">
      <alignment horizontal="left" vertical="center" wrapText="1"/>
    </xf>
    <xf numFmtId="0" fontId="2" fillId="12" borderId="0" xfId="0" applyFont="1" applyFill="1" applyBorder="1" applyAlignment="1">
      <alignment horizontal="left" vertical="center"/>
    </xf>
    <xf numFmtId="0" fontId="14" fillId="12" borderId="0" xfId="0" applyFont="1" applyFill="1" applyAlignment="1"/>
    <xf numFmtId="0" fontId="3" fillId="12" borderId="0" xfId="0" applyFont="1" applyFill="1" applyBorder="1" applyAlignment="1">
      <alignment horizontal="left" vertical="center"/>
    </xf>
    <xf numFmtId="0" fontId="2" fillId="12" borderId="0" xfId="0" applyFont="1" applyFill="1" applyBorder="1" applyAlignment="1">
      <alignment horizontal="left" vertical="center" wrapText="1"/>
    </xf>
    <xf numFmtId="0" fontId="2" fillId="13" borderId="0" xfId="0" applyFont="1" applyFill="1" applyBorder="1" applyAlignment="1">
      <alignment horizontal="left" vertical="center" wrapText="1"/>
    </xf>
    <xf numFmtId="0" fontId="2" fillId="13" borderId="0" xfId="0" applyFont="1" applyFill="1" applyBorder="1" applyAlignment="1">
      <alignment horizontal="left" vertical="center"/>
    </xf>
    <xf numFmtId="0" fontId="3" fillId="13" borderId="0" xfId="0" applyFont="1" applyFill="1" applyBorder="1" applyAlignment="1">
      <alignment horizontal="left" vertical="center"/>
    </xf>
    <xf numFmtId="0" fontId="2" fillId="14" borderId="0" xfId="0" applyFont="1" applyFill="1" applyBorder="1" applyAlignment="1">
      <alignment horizontal="left" vertical="center"/>
    </xf>
    <xf numFmtId="0" fontId="2" fillId="15" borderId="0" xfId="0" applyFont="1" applyFill="1" applyBorder="1" applyAlignment="1">
      <alignment horizontal="left" vertical="center"/>
    </xf>
    <xf numFmtId="0" fontId="3" fillId="15" borderId="0" xfId="0" applyFont="1" applyFill="1" applyBorder="1" applyAlignment="1">
      <alignment horizontal="left" vertical="center"/>
    </xf>
    <xf numFmtId="0" fontId="2" fillId="15" borderId="0" xfId="0" applyFont="1" applyFill="1" applyBorder="1" applyAlignment="1">
      <alignment horizontal="left" vertical="center" wrapText="1"/>
    </xf>
    <xf numFmtId="49" fontId="0" fillId="0" borderId="0" xfId="0" applyNumberFormat="1">
      <alignment vertical="center"/>
    </xf>
    <xf numFmtId="0" fontId="2" fillId="16" borderId="0" xfId="0" applyFont="1" applyFill="1" applyBorder="1" applyAlignment="1">
      <alignment horizontal="left" vertical="center"/>
    </xf>
    <xf numFmtId="0" fontId="3" fillId="16" borderId="0" xfId="0" applyFont="1" applyFill="1" applyBorder="1" applyAlignment="1">
      <alignment horizontal="left" vertical="center"/>
    </xf>
    <xf numFmtId="49" fontId="2" fillId="16" borderId="0" xfId="0" applyNumberFormat="1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left" vertical="center"/>
    </xf>
    <xf numFmtId="0" fontId="3" fillId="17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17" borderId="0" xfId="0" applyFont="1" applyFill="1" applyBorder="1" applyAlignment="1">
      <alignment horizontal="left" vertical="center" wrapText="1"/>
    </xf>
    <xf numFmtId="0" fontId="2" fillId="18" borderId="1" xfId="0" applyFont="1" applyFill="1" applyBorder="1" applyAlignment="1">
      <alignment vertical="center"/>
    </xf>
    <xf numFmtId="0" fontId="2" fillId="19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left" vertical="justify" wrapText="1"/>
    </xf>
    <xf numFmtId="0" fontId="2" fillId="20" borderId="0" xfId="0" applyFont="1" applyFill="1" applyBorder="1" applyAlignment="1">
      <alignment horizontal="left" vertical="center"/>
    </xf>
    <xf numFmtId="0" fontId="3" fillId="20" borderId="0" xfId="0" applyFont="1" applyFill="1" applyBorder="1" applyAlignment="1">
      <alignment horizontal="left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2" borderId="0" xfId="0" applyFont="1" applyFill="1" applyBorder="1" applyAlignment="1">
      <alignment horizontal="center" vertical="center"/>
    </xf>
    <xf numFmtId="0" fontId="2" fillId="23" borderId="0" xfId="0" applyFont="1" applyFill="1" applyBorder="1" applyAlignment="1">
      <alignment horizontal="center" vertical="center"/>
    </xf>
    <xf numFmtId="0" fontId="2" fillId="22" borderId="0" xfId="0" applyFont="1" applyFill="1" applyBorder="1" applyAlignment="1">
      <alignment horizontal="left" vertical="center"/>
    </xf>
    <xf numFmtId="0" fontId="3" fillId="22" borderId="0" xfId="0" applyFont="1" applyFill="1" applyBorder="1" applyAlignment="1">
      <alignment horizontal="left" vertical="center"/>
    </xf>
    <xf numFmtId="0" fontId="2" fillId="22" borderId="0" xfId="0" applyFont="1" applyFill="1" applyBorder="1" applyAlignment="1">
      <alignment horizontal="left" vertical="center" wrapText="1"/>
    </xf>
    <xf numFmtId="0" fontId="0" fillId="22" borderId="0" xfId="0" applyFill="1" applyAlignment="1"/>
    <xf numFmtId="0" fontId="2" fillId="24" borderId="0" xfId="0" applyFont="1" applyFill="1" applyBorder="1" applyAlignment="1">
      <alignment horizontal="left" vertical="center"/>
    </xf>
    <xf numFmtId="0" fontId="3" fillId="24" borderId="0" xfId="0" applyFont="1" applyFill="1" applyBorder="1" applyAlignment="1">
      <alignment horizontal="left" vertical="center"/>
    </xf>
    <xf numFmtId="0" fontId="2" fillId="24" borderId="0" xfId="0" applyFont="1" applyFill="1" applyBorder="1" applyAlignment="1">
      <alignment vertical="center"/>
    </xf>
    <xf numFmtId="0" fontId="2" fillId="25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7" fillId="26" borderId="0" xfId="0" applyFont="1" applyFill="1" applyBorder="1" applyAlignment="1">
      <alignment horizontal="left" vertical="center"/>
    </xf>
    <xf numFmtId="0" fontId="17" fillId="26" borderId="0" xfId="0" applyFont="1" applyFill="1" applyBorder="1" applyAlignment="1">
      <alignment horizontal="left"/>
    </xf>
  </cellXfs>
  <cellStyles count="1">
    <cellStyle name="常规" xfId="0" builtinId="0"/>
  </cellStyles>
  <dxfs count="5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5968;&#20540;\&#25216;&#33021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结构"/>
      <sheetName val="技能定位"/>
      <sheetName val="学习等级"/>
      <sheetName val="标准模型"/>
      <sheetName val="战士技能"/>
      <sheetName val="法师技能"/>
      <sheetName val="道士技能"/>
    </sheetNames>
    <sheetDataSet>
      <sheetData sheetId="0"/>
      <sheetData sheetId="1"/>
      <sheetData sheetId="2"/>
      <sheetData sheetId="3"/>
      <sheetData sheetId="4">
        <row r="4">
          <cell r="A4">
            <v>1</v>
          </cell>
          <cell r="B4">
            <v>64</v>
          </cell>
          <cell r="C4">
            <v>8</v>
          </cell>
          <cell r="D4">
            <v>56</v>
          </cell>
          <cell r="E4">
            <v>48</v>
          </cell>
          <cell r="F4">
            <v>8</v>
          </cell>
          <cell r="G4">
            <v>6</v>
          </cell>
          <cell r="H4">
            <v>8</v>
          </cell>
          <cell r="I4">
            <v>40</v>
          </cell>
        </row>
        <row r="5">
          <cell r="A5">
            <v>2</v>
          </cell>
          <cell r="B5">
            <v>66</v>
          </cell>
          <cell r="C5">
            <v>8</v>
          </cell>
          <cell r="D5">
            <v>58</v>
          </cell>
          <cell r="E5">
            <v>50</v>
          </cell>
          <cell r="F5">
            <v>8</v>
          </cell>
          <cell r="G5">
            <v>6</v>
          </cell>
          <cell r="H5">
            <v>8</v>
          </cell>
          <cell r="I5">
            <v>42</v>
          </cell>
        </row>
        <row r="6">
          <cell r="A6">
            <v>3</v>
          </cell>
          <cell r="B6">
            <v>69</v>
          </cell>
          <cell r="C6">
            <v>9</v>
          </cell>
          <cell r="D6">
            <v>60</v>
          </cell>
          <cell r="E6">
            <v>51</v>
          </cell>
          <cell r="F6">
            <v>9</v>
          </cell>
          <cell r="G6">
            <v>6</v>
          </cell>
          <cell r="H6">
            <v>9</v>
          </cell>
          <cell r="I6">
            <v>43</v>
          </cell>
        </row>
        <row r="7">
          <cell r="A7">
            <v>4</v>
          </cell>
          <cell r="B7">
            <v>70</v>
          </cell>
          <cell r="C7">
            <v>9</v>
          </cell>
          <cell r="D7">
            <v>62</v>
          </cell>
          <cell r="E7">
            <v>53</v>
          </cell>
          <cell r="F7">
            <v>9</v>
          </cell>
          <cell r="G7">
            <v>6</v>
          </cell>
          <cell r="H7">
            <v>9</v>
          </cell>
          <cell r="I7">
            <v>44</v>
          </cell>
        </row>
        <row r="8">
          <cell r="A8">
            <v>5</v>
          </cell>
          <cell r="B8">
            <v>74</v>
          </cell>
          <cell r="C8">
            <v>9</v>
          </cell>
          <cell r="D8">
            <v>64</v>
          </cell>
          <cell r="E8">
            <v>55</v>
          </cell>
          <cell r="F8">
            <v>9</v>
          </cell>
          <cell r="G8">
            <v>6</v>
          </cell>
          <cell r="H8">
            <v>9</v>
          </cell>
          <cell r="I8">
            <v>46</v>
          </cell>
        </row>
        <row r="9">
          <cell r="A9">
            <v>6</v>
          </cell>
          <cell r="B9">
            <v>76</v>
          </cell>
          <cell r="C9">
            <v>10</v>
          </cell>
          <cell r="D9">
            <v>67</v>
          </cell>
          <cell r="E9">
            <v>57</v>
          </cell>
          <cell r="F9">
            <v>10</v>
          </cell>
          <cell r="G9">
            <v>7</v>
          </cell>
          <cell r="H9">
            <v>10</v>
          </cell>
          <cell r="I9">
            <v>48</v>
          </cell>
        </row>
        <row r="10">
          <cell r="A10">
            <v>7</v>
          </cell>
          <cell r="B10">
            <v>78</v>
          </cell>
          <cell r="C10">
            <v>10</v>
          </cell>
          <cell r="D10">
            <v>69</v>
          </cell>
          <cell r="E10">
            <v>59</v>
          </cell>
          <cell r="F10">
            <v>10</v>
          </cell>
          <cell r="G10">
            <v>7</v>
          </cell>
          <cell r="H10">
            <v>10</v>
          </cell>
          <cell r="I10">
            <v>49</v>
          </cell>
        </row>
        <row r="11">
          <cell r="A11">
            <v>8</v>
          </cell>
          <cell r="B11">
            <v>81</v>
          </cell>
          <cell r="C11">
            <v>10</v>
          </cell>
          <cell r="D11">
            <v>71</v>
          </cell>
          <cell r="E11">
            <v>61</v>
          </cell>
          <cell r="F11">
            <v>10</v>
          </cell>
          <cell r="G11">
            <v>7</v>
          </cell>
          <cell r="H11">
            <v>10</v>
          </cell>
          <cell r="I11">
            <v>51</v>
          </cell>
        </row>
        <row r="12">
          <cell r="A12">
            <v>9</v>
          </cell>
          <cell r="B12">
            <v>84</v>
          </cell>
          <cell r="C12">
            <v>11</v>
          </cell>
          <cell r="D12">
            <v>74</v>
          </cell>
          <cell r="E12">
            <v>63</v>
          </cell>
          <cell r="F12">
            <v>11</v>
          </cell>
          <cell r="G12">
            <v>7</v>
          </cell>
          <cell r="H12">
            <v>11</v>
          </cell>
          <cell r="I12">
            <v>53</v>
          </cell>
        </row>
        <row r="13">
          <cell r="A13">
            <v>10</v>
          </cell>
          <cell r="B13">
            <v>86</v>
          </cell>
          <cell r="C13">
            <v>11</v>
          </cell>
          <cell r="D13">
            <v>76</v>
          </cell>
          <cell r="E13">
            <v>65</v>
          </cell>
          <cell r="F13">
            <v>11</v>
          </cell>
          <cell r="G13">
            <v>8</v>
          </cell>
          <cell r="H13">
            <v>11</v>
          </cell>
          <cell r="I13">
            <v>54</v>
          </cell>
        </row>
        <row r="14">
          <cell r="A14">
            <v>11</v>
          </cell>
          <cell r="B14">
            <v>90</v>
          </cell>
          <cell r="C14">
            <v>11</v>
          </cell>
          <cell r="D14">
            <v>78</v>
          </cell>
          <cell r="E14">
            <v>67</v>
          </cell>
          <cell r="F14">
            <v>11</v>
          </cell>
          <cell r="G14">
            <v>8</v>
          </cell>
          <cell r="H14">
            <v>11</v>
          </cell>
          <cell r="I14">
            <v>56</v>
          </cell>
        </row>
        <row r="15">
          <cell r="A15">
            <v>12</v>
          </cell>
          <cell r="B15">
            <v>93</v>
          </cell>
          <cell r="C15">
            <v>12</v>
          </cell>
          <cell r="D15">
            <v>81</v>
          </cell>
          <cell r="E15">
            <v>70</v>
          </cell>
          <cell r="F15">
            <v>12</v>
          </cell>
          <cell r="G15">
            <v>8</v>
          </cell>
          <cell r="H15">
            <v>12</v>
          </cell>
          <cell r="I15">
            <v>58</v>
          </cell>
        </row>
        <row r="16">
          <cell r="A16">
            <v>13</v>
          </cell>
          <cell r="B16">
            <v>96</v>
          </cell>
          <cell r="C16">
            <v>12</v>
          </cell>
          <cell r="D16">
            <v>84</v>
          </cell>
          <cell r="E16">
            <v>72</v>
          </cell>
          <cell r="F16">
            <v>12</v>
          </cell>
          <cell r="G16">
            <v>8</v>
          </cell>
          <cell r="H16">
            <v>12</v>
          </cell>
          <cell r="I16">
            <v>60</v>
          </cell>
        </row>
        <row r="17">
          <cell r="A17">
            <v>14</v>
          </cell>
          <cell r="B17">
            <v>99</v>
          </cell>
          <cell r="C17">
            <v>12</v>
          </cell>
          <cell r="D17">
            <v>87</v>
          </cell>
          <cell r="E17">
            <v>74</v>
          </cell>
          <cell r="F17">
            <v>12</v>
          </cell>
          <cell r="G17">
            <v>9</v>
          </cell>
          <cell r="H17">
            <v>12</v>
          </cell>
          <cell r="I17">
            <v>62</v>
          </cell>
        </row>
        <row r="18">
          <cell r="A18">
            <v>15</v>
          </cell>
          <cell r="B18">
            <v>102</v>
          </cell>
          <cell r="C18">
            <v>13</v>
          </cell>
          <cell r="D18">
            <v>90</v>
          </cell>
          <cell r="E18">
            <v>77</v>
          </cell>
          <cell r="F18">
            <v>13</v>
          </cell>
          <cell r="G18">
            <v>9</v>
          </cell>
          <cell r="H18">
            <v>13</v>
          </cell>
          <cell r="I18">
            <v>64</v>
          </cell>
        </row>
        <row r="19">
          <cell r="A19">
            <v>16</v>
          </cell>
          <cell r="B19">
            <v>106</v>
          </cell>
          <cell r="C19">
            <v>13</v>
          </cell>
          <cell r="D19">
            <v>92</v>
          </cell>
          <cell r="E19">
            <v>80</v>
          </cell>
          <cell r="F19">
            <v>13</v>
          </cell>
          <cell r="G19">
            <v>9</v>
          </cell>
          <cell r="H19">
            <v>13</v>
          </cell>
          <cell r="I19">
            <v>66</v>
          </cell>
        </row>
        <row r="20">
          <cell r="A20">
            <v>17</v>
          </cell>
          <cell r="B20">
            <v>110</v>
          </cell>
          <cell r="C20">
            <v>14</v>
          </cell>
          <cell r="D20">
            <v>96</v>
          </cell>
          <cell r="E20">
            <v>82</v>
          </cell>
          <cell r="F20">
            <v>14</v>
          </cell>
          <cell r="G20">
            <v>10</v>
          </cell>
          <cell r="H20">
            <v>14</v>
          </cell>
          <cell r="I20">
            <v>69</v>
          </cell>
        </row>
        <row r="21">
          <cell r="A21">
            <v>18</v>
          </cell>
          <cell r="B21">
            <v>114</v>
          </cell>
          <cell r="C21">
            <v>14</v>
          </cell>
          <cell r="D21">
            <v>99</v>
          </cell>
          <cell r="E21">
            <v>85</v>
          </cell>
          <cell r="F21">
            <v>14</v>
          </cell>
          <cell r="G21">
            <v>10</v>
          </cell>
          <cell r="H21">
            <v>14</v>
          </cell>
          <cell r="I21">
            <v>71</v>
          </cell>
        </row>
        <row r="22">
          <cell r="A22">
            <v>19</v>
          </cell>
          <cell r="B22">
            <v>118</v>
          </cell>
          <cell r="C22">
            <v>15</v>
          </cell>
          <cell r="D22">
            <v>103</v>
          </cell>
          <cell r="E22">
            <v>88</v>
          </cell>
          <cell r="F22">
            <v>15</v>
          </cell>
          <cell r="G22">
            <v>10</v>
          </cell>
          <cell r="H22">
            <v>15</v>
          </cell>
          <cell r="I22">
            <v>74</v>
          </cell>
        </row>
        <row r="23">
          <cell r="A23">
            <v>20</v>
          </cell>
          <cell r="B23">
            <v>122</v>
          </cell>
          <cell r="C23">
            <v>15</v>
          </cell>
          <cell r="D23">
            <v>106</v>
          </cell>
          <cell r="E23">
            <v>91</v>
          </cell>
          <cell r="F23">
            <v>15</v>
          </cell>
          <cell r="G23">
            <v>11</v>
          </cell>
          <cell r="H23">
            <v>15</v>
          </cell>
          <cell r="I23">
            <v>76</v>
          </cell>
        </row>
        <row r="24">
          <cell r="A24">
            <v>21</v>
          </cell>
          <cell r="B24">
            <v>126</v>
          </cell>
          <cell r="C24">
            <v>16</v>
          </cell>
          <cell r="D24">
            <v>110</v>
          </cell>
          <cell r="E24">
            <v>94</v>
          </cell>
          <cell r="F24">
            <v>16</v>
          </cell>
          <cell r="G24">
            <v>11</v>
          </cell>
          <cell r="H24">
            <v>16</v>
          </cell>
          <cell r="I24">
            <v>79</v>
          </cell>
        </row>
        <row r="25">
          <cell r="A25">
            <v>22</v>
          </cell>
          <cell r="B25">
            <v>130</v>
          </cell>
          <cell r="C25">
            <v>16</v>
          </cell>
          <cell r="D25">
            <v>113</v>
          </cell>
          <cell r="E25">
            <v>97</v>
          </cell>
          <cell r="F25">
            <v>16</v>
          </cell>
          <cell r="G25">
            <v>11</v>
          </cell>
          <cell r="H25">
            <v>16</v>
          </cell>
          <cell r="I25">
            <v>81</v>
          </cell>
        </row>
        <row r="26">
          <cell r="A26">
            <v>23</v>
          </cell>
          <cell r="B26">
            <v>134</v>
          </cell>
          <cell r="C26">
            <v>17</v>
          </cell>
          <cell r="D26">
            <v>118</v>
          </cell>
          <cell r="E26">
            <v>101</v>
          </cell>
          <cell r="F26">
            <v>17</v>
          </cell>
          <cell r="G26">
            <v>12</v>
          </cell>
          <cell r="H26">
            <v>17</v>
          </cell>
          <cell r="I26">
            <v>84</v>
          </cell>
        </row>
        <row r="27">
          <cell r="A27">
            <v>24</v>
          </cell>
          <cell r="B27">
            <v>138</v>
          </cell>
          <cell r="C27">
            <v>17</v>
          </cell>
          <cell r="D27">
            <v>121</v>
          </cell>
          <cell r="E27">
            <v>104</v>
          </cell>
          <cell r="F27">
            <v>17</v>
          </cell>
          <cell r="G27">
            <v>12</v>
          </cell>
          <cell r="H27">
            <v>17</v>
          </cell>
          <cell r="I27">
            <v>87</v>
          </cell>
        </row>
        <row r="28">
          <cell r="A28">
            <v>25</v>
          </cell>
          <cell r="B28">
            <v>143</v>
          </cell>
          <cell r="C28">
            <v>18</v>
          </cell>
          <cell r="D28">
            <v>125</v>
          </cell>
          <cell r="E28">
            <v>108</v>
          </cell>
          <cell r="F28">
            <v>18</v>
          </cell>
          <cell r="G28">
            <v>13</v>
          </cell>
          <cell r="H28">
            <v>18</v>
          </cell>
          <cell r="I28">
            <v>90</v>
          </cell>
        </row>
        <row r="29">
          <cell r="A29">
            <v>26</v>
          </cell>
          <cell r="B29">
            <v>148</v>
          </cell>
          <cell r="C29">
            <v>19</v>
          </cell>
          <cell r="D29">
            <v>130</v>
          </cell>
          <cell r="E29">
            <v>111</v>
          </cell>
          <cell r="F29">
            <v>19</v>
          </cell>
          <cell r="G29">
            <v>13</v>
          </cell>
          <cell r="H29">
            <v>19</v>
          </cell>
          <cell r="I29">
            <v>93</v>
          </cell>
        </row>
        <row r="30">
          <cell r="A30">
            <v>27</v>
          </cell>
          <cell r="B30">
            <v>154</v>
          </cell>
          <cell r="C30">
            <v>19</v>
          </cell>
          <cell r="D30">
            <v>134</v>
          </cell>
          <cell r="E30">
            <v>115</v>
          </cell>
          <cell r="F30">
            <v>19</v>
          </cell>
          <cell r="G30">
            <v>13</v>
          </cell>
          <cell r="H30">
            <v>19</v>
          </cell>
          <cell r="I30">
            <v>96</v>
          </cell>
        </row>
        <row r="31">
          <cell r="A31">
            <v>28</v>
          </cell>
          <cell r="B31">
            <v>158</v>
          </cell>
          <cell r="C31">
            <v>20</v>
          </cell>
          <cell r="D31">
            <v>139</v>
          </cell>
          <cell r="E31">
            <v>119</v>
          </cell>
          <cell r="F31">
            <v>20</v>
          </cell>
          <cell r="G31">
            <v>14</v>
          </cell>
          <cell r="H31">
            <v>20</v>
          </cell>
          <cell r="I31">
            <v>99</v>
          </cell>
        </row>
        <row r="32">
          <cell r="A32">
            <v>29</v>
          </cell>
          <cell r="B32">
            <v>164</v>
          </cell>
          <cell r="C32">
            <v>21</v>
          </cell>
          <cell r="D32">
            <v>144</v>
          </cell>
          <cell r="E32">
            <v>123</v>
          </cell>
          <cell r="F32">
            <v>21</v>
          </cell>
          <cell r="G32">
            <v>14</v>
          </cell>
          <cell r="H32">
            <v>21</v>
          </cell>
          <cell r="I32">
            <v>103</v>
          </cell>
        </row>
        <row r="33">
          <cell r="A33">
            <v>30</v>
          </cell>
          <cell r="B33">
            <v>170</v>
          </cell>
          <cell r="C33">
            <v>21</v>
          </cell>
          <cell r="D33">
            <v>148</v>
          </cell>
          <cell r="E33">
            <v>127</v>
          </cell>
          <cell r="F33">
            <v>21</v>
          </cell>
          <cell r="G33">
            <v>15</v>
          </cell>
          <cell r="H33">
            <v>21</v>
          </cell>
          <cell r="I33">
            <v>106</v>
          </cell>
        </row>
        <row r="34">
          <cell r="A34">
            <v>31</v>
          </cell>
          <cell r="B34">
            <v>175</v>
          </cell>
          <cell r="C34">
            <v>22</v>
          </cell>
          <cell r="D34">
            <v>153</v>
          </cell>
          <cell r="E34">
            <v>132</v>
          </cell>
          <cell r="F34">
            <v>22</v>
          </cell>
          <cell r="G34">
            <v>15</v>
          </cell>
          <cell r="H34">
            <v>22</v>
          </cell>
          <cell r="I34">
            <v>110</v>
          </cell>
        </row>
        <row r="35">
          <cell r="A35">
            <v>32</v>
          </cell>
          <cell r="B35">
            <v>182</v>
          </cell>
          <cell r="C35">
            <v>23</v>
          </cell>
          <cell r="D35">
            <v>159</v>
          </cell>
          <cell r="E35">
            <v>136</v>
          </cell>
          <cell r="F35">
            <v>23</v>
          </cell>
          <cell r="G35">
            <v>16</v>
          </cell>
          <cell r="H35">
            <v>23</v>
          </cell>
          <cell r="I35">
            <v>114</v>
          </cell>
        </row>
        <row r="36">
          <cell r="A36">
            <v>33</v>
          </cell>
          <cell r="B36">
            <v>188</v>
          </cell>
          <cell r="C36">
            <v>24</v>
          </cell>
          <cell r="D36">
            <v>165</v>
          </cell>
          <cell r="E36">
            <v>141</v>
          </cell>
          <cell r="F36">
            <v>24</v>
          </cell>
          <cell r="G36">
            <v>16</v>
          </cell>
          <cell r="H36">
            <v>24</v>
          </cell>
          <cell r="I36">
            <v>118</v>
          </cell>
        </row>
        <row r="37">
          <cell r="A37">
            <v>34</v>
          </cell>
          <cell r="B37">
            <v>194</v>
          </cell>
          <cell r="C37">
            <v>24</v>
          </cell>
          <cell r="D37">
            <v>170</v>
          </cell>
          <cell r="E37">
            <v>146</v>
          </cell>
          <cell r="F37">
            <v>24</v>
          </cell>
          <cell r="G37">
            <v>17</v>
          </cell>
          <cell r="H37">
            <v>24</v>
          </cell>
          <cell r="I37">
            <v>122</v>
          </cell>
        </row>
        <row r="38">
          <cell r="A38">
            <v>35</v>
          </cell>
          <cell r="B38">
            <v>201</v>
          </cell>
          <cell r="C38">
            <v>25</v>
          </cell>
          <cell r="D38">
            <v>176</v>
          </cell>
          <cell r="E38">
            <v>151</v>
          </cell>
          <cell r="F38">
            <v>25</v>
          </cell>
          <cell r="G38">
            <v>18</v>
          </cell>
          <cell r="H38">
            <v>25</v>
          </cell>
          <cell r="I38">
            <v>126</v>
          </cell>
        </row>
        <row r="39">
          <cell r="A39">
            <v>36</v>
          </cell>
          <cell r="B39">
            <v>208</v>
          </cell>
          <cell r="C39">
            <v>26</v>
          </cell>
          <cell r="D39">
            <v>182</v>
          </cell>
          <cell r="E39">
            <v>156</v>
          </cell>
          <cell r="F39">
            <v>26</v>
          </cell>
          <cell r="G39">
            <v>18</v>
          </cell>
          <cell r="H39">
            <v>26</v>
          </cell>
          <cell r="I39">
            <v>130</v>
          </cell>
        </row>
        <row r="40">
          <cell r="A40">
            <v>37</v>
          </cell>
          <cell r="B40">
            <v>214</v>
          </cell>
          <cell r="C40">
            <v>27</v>
          </cell>
          <cell r="D40">
            <v>188</v>
          </cell>
          <cell r="E40">
            <v>161</v>
          </cell>
          <cell r="F40">
            <v>27</v>
          </cell>
          <cell r="G40">
            <v>19</v>
          </cell>
          <cell r="H40">
            <v>27</v>
          </cell>
          <cell r="I40">
            <v>134</v>
          </cell>
        </row>
        <row r="41">
          <cell r="A41">
            <v>38</v>
          </cell>
          <cell r="B41">
            <v>222</v>
          </cell>
          <cell r="C41">
            <v>28</v>
          </cell>
          <cell r="D41">
            <v>195</v>
          </cell>
          <cell r="E41">
            <v>167</v>
          </cell>
          <cell r="F41">
            <v>28</v>
          </cell>
          <cell r="G41">
            <v>19</v>
          </cell>
          <cell r="H41">
            <v>28</v>
          </cell>
          <cell r="I41">
            <v>139</v>
          </cell>
        </row>
        <row r="42">
          <cell r="A42">
            <v>39</v>
          </cell>
          <cell r="B42">
            <v>230</v>
          </cell>
          <cell r="C42">
            <v>29</v>
          </cell>
          <cell r="D42">
            <v>201</v>
          </cell>
          <cell r="E42">
            <v>172</v>
          </cell>
          <cell r="F42">
            <v>29</v>
          </cell>
          <cell r="G42">
            <v>20</v>
          </cell>
          <cell r="H42">
            <v>29</v>
          </cell>
          <cell r="I42">
            <v>144</v>
          </cell>
        </row>
        <row r="43">
          <cell r="A43">
            <v>40</v>
          </cell>
          <cell r="B43">
            <v>238</v>
          </cell>
          <cell r="C43">
            <v>30</v>
          </cell>
          <cell r="D43">
            <v>208</v>
          </cell>
          <cell r="E43">
            <v>178</v>
          </cell>
          <cell r="F43">
            <v>30</v>
          </cell>
          <cell r="G43">
            <v>21</v>
          </cell>
          <cell r="H43">
            <v>30</v>
          </cell>
          <cell r="I43">
            <v>149</v>
          </cell>
        </row>
        <row r="44">
          <cell r="A44">
            <v>41</v>
          </cell>
          <cell r="B44">
            <v>246</v>
          </cell>
          <cell r="C44">
            <v>31</v>
          </cell>
          <cell r="D44">
            <v>215</v>
          </cell>
          <cell r="E44">
            <v>184</v>
          </cell>
          <cell r="F44">
            <v>31</v>
          </cell>
          <cell r="G44">
            <v>22</v>
          </cell>
          <cell r="H44">
            <v>31</v>
          </cell>
          <cell r="I44">
            <v>154</v>
          </cell>
        </row>
        <row r="45">
          <cell r="A45">
            <v>42</v>
          </cell>
          <cell r="B45">
            <v>254</v>
          </cell>
          <cell r="C45">
            <v>32</v>
          </cell>
          <cell r="D45">
            <v>223</v>
          </cell>
          <cell r="E45">
            <v>191</v>
          </cell>
          <cell r="F45">
            <v>32</v>
          </cell>
          <cell r="G45">
            <v>22</v>
          </cell>
          <cell r="H45">
            <v>32</v>
          </cell>
          <cell r="I45">
            <v>159</v>
          </cell>
        </row>
        <row r="46">
          <cell r="A46">
            <v>43</v>
          </cell>
          <cell r="B46">
            <v>262</v>
          </cell>
          <cell r="C46">
            <v>33</v>
          </cell>
          <cell r="D46">
            <v>230</v>
          </cell>
          <cell r="E46">
            <v>197</v>
          </cell>
          <cell r="F46">
            <v>33</v>
          </cell>
          <cell r="G46">
            <v>23</v>
          </cell>
          <cell r="H46">
            <v>33</v>
          </cell>
          <cell r="I46">
            <v>164</v>
          </cell>
        </row>
        <row r="47">
          <cell r="A47">
            <v>44</v>
          </cell>
          <cell r="B47">
            <v>272</v>
          </cell>
          <cell r="C47">
            <v>34</v>
          </cell>
          <cell r="D47">
            <v>238</v>
          </cell>
          <cell r="E47">
            <v>204</v>
          </cell>
          <cell r="F47">
            <v>34</v>
          </cell>
          <cell r="G47">
            <v>24</v>
          </cell>
          <cell r="H47">
            <v>34</v>
          </cell>
          <cell r="I47">
            <v>170</v>
          </cell>
        </row>
        <row r="48">
          <cell r="A48">
            <v>45</v>
          </cell>
          <cell r="B48">
            <v>281</v>
          </cell>
          <cell r="C48">
            <v>35</v>
          </cell>
          <cell r="D48">
            <v>246</v>
          </cell>
          <cell r="E48">
            <v>211</v>
          </cell>
          <cell r="F48">
            <v>35</v>
          </cell>
          <cell r="G48">
            <v>25</v>
          </cell>
          <cell r="H48">
            <v>35</v>
          </cell>
          <cell r="I48">
            <v>176</v>
          </cell>
        </row>
        <row r="49">
          <cell r="A49">
            <v>46</v>
          </cell>
          <cell r="B49">
            <v>290</v>
          </cell>
          <cell r="C49">
            <v>36</v>
          </cell>
          <cell r="D49">
            <v>254</v>
          </cell>
          <cell r="E49">
            <v>218</v>
          </cell>
          <cell r="F49">
            <v>36</v>
          </cell>
          <cell r="G49">
            <v>25</v>
          </cell>
          <cell r="H49">
            <v>36</v>
          </cell>
          <cell r="I49">
            <v>182</v>
          </cell>
        </row>
        <row r="50">
          <cell r="A50">
            <v>47</v>
          </cell>
          <cell r="B50">
            <v>301</v>
          </cell>
          <cell r="C50">
            <v>38</v>
          </cell>
          <cell r="D50">
            <v>263</v>
          </cell>
          <cell r="E50">
            <v>226</v>
          </cell>
          <cell r="F50">
            <v>38</v>
          </cell>
          <cell r="G50">
            <v>26</v>
          </cell>
          <cell r="H50">
            <v>38</v>
          </cell>
          <cell r="I50">
            <v>188</v>
          </cell>
        </row>
        <row r="51">
          <cell r="A51">
            <v>48</v>
          </cell>
          <cell r="B51">
            <v>311</v>
          </cell>
          <cell r="C51">
            <v>39</v>
          </cell>
          <cell r="D51">
            <v>272</v>
          </cell>
          <cell r="E51">
            <v>233</v>
          </cell>
          <cell r="F51">
            <v>39</v>
          </cell>
          <cell r="G51">
            <v>27</v>
          </cell>
          <cell r="H51">
            <v>39</v>
          </cell>
          <cell r="I51">
            <v>195</v>
          </cell>
        </row>
        <row r="52">
          <cell r="A52">
            <v>49</v>
          </cell>
          <cell r="B52">
            <v>322</v>
          </cell>
          <cell r="C52">
            <v>40</v>
          </cell>
          <cell r="D52">
            <v>281</v>
          </cell>
          <cell r="E52">
            <v>241</v>
          </cell>
          <cell r="F52">
            <v>40</v>
          </cell>
          <cell r="G52">
            <v>28</v>
          </cell>
          <cell r="H52">
            <v>40</v>
          </cell>
          <cell r="I52">
            <v>201</v>
          </cell>
        </row>
        <row r="53">
          <cell r="A53">
            <v>50</v>
          </cell>
          <cell r="B53">
            <v>333</v>
          </cell>
          <cell r="C53">
            <v>42</v>
          </cell>
          <cell r="D53">
            <v>291</v>
          </cell>
          <cell r="E53">
            <v>249</v>
          </cell>
          <cell r="F53">
            <v>42</v>
          </cell>
          <cell r="G53">
            <v>29</v>
          </cell>
          <cell r="H53">
            <v>42</v>
          </cell>
          <cell r="I53">
            <v>208</v>
          </cell>
        </row>
        <row r="54">
          <cell r="A54">
            <v>51</v>
          </cell>
          <cell r="B54">
            <v>344</v>
          </cell>
          <cell r="C54">
            <v>43</v>
          </cell>
          <cell r="D54">
            <v>301</v>
          </cell>
          <cell r="E54">
            <v>258</v>
          </cell>
          <cell r="F54">
            <v>43</v>
          </cell>
          <cell r="G54">
            <v>30</v>
          </cell>
          <cell r="H54">
            <v>43</v>
          </cell>
          <cell r="I54">
            <v>215</v>
          </cell>
        </row>
        <row r="55">
          <cell r="A55">
            <v>52</v>
          </cell>
          <cell r="B55">
            <v>356</v>
          </cell>
          <cell r="C55">
            <v>45</v>
          </cell>
          <cell r="D55">
            <v>312</v>
          </cell>
          <cell r="E55">
            <v>267</v>
          </cell>
          <cell r="F55">
            <v>45</v>
          </cell>
          <cell r="G55">
            <v>31</v>
          </cell>
          <cell r="H55">
            <v>45</v>
          </cell>
          <cell r="I55">
            <v>223</v>
          </cell>
        </row>
        <row r="56">
          <cell r="A56">
            <v>53</v>
          </cell>
          <cell r="B56">
            <v>368</v>
          </cell>
          <cell r="C56">
            <v>46</v>
          </cell>
          <cell r="D56">
            <v>322</v>
          </cell>
          <cell r="E56">
            <v>276</v>
          </cell>
          <cell r="F56">
            <v>46</v>
          </cell>
          <cell r="G56">
            <v>32</v>
          </cell>
          <cell r="H56">
            <v>46</v>
          </cell>
          <cell r="I56">
            <v>230</v>
          </cell>
        </row>
        <row r="57">
          <cell r="A57">
            <v>54</v>
          </cell>
          <cell r="B57">
            <v>380</v>
          </cell>
          <cell r="C57">
            <v>48</v>
          </cell>
          <cell r="D57">
            <v>333</v>
          </cell>
          <cell r="E57">
            <v>285</v>
          </cell>
          <cell r="F57">
            <v>48</v>
          </cell>
          <cell r="G57">
            <v>33</v>
          </cell>
          <cell r="H57">
            <v>48</v>
          </cell>
          <cell r="I57">
            <v>238</v>
          </cell>
        </row>
        <row r="58">
          <cell r="A58">
            <v>55</v>
          </cell>
          <cell r="B58">
            <v>394</v>
          </cell>
          <cell r="C58">
            <v>49</v>
          </cell>
          <cell r="D58">
            <v>344</v>
          </cell>
          <cell r="E58">
            <v>295</v>
          </cell>
          <cell r="F58">
            <v>49</v>
          </cell>
          <cell r="G58">
            <v>34</v>
          </cell>
          <cell r="H58">
            <v>49</v>
          </cell>
          <cell r="I58">
            <v>246</v>
          </cell>
        </row>
        <row r="59">
          <cell r="A59">
            <v>56</v>
          </cell>
          <cell r="B59">
            <v>407</v>
          </cell>
          <cell r="C59">
            <v>51</v>
          </cell>
          <cell r="D59">
            <v>356</v>
          </cell>
          <cell r="E59">
            <v>305</v>
          </cell>
          <cell r="F59">
            <v>51</v>
          </cell>
          <cell r="G59">
            <v>36</v>
          </cell>
          <cell r="H59">
            <v>51</v>
          </cell>
          <cell r="I59">
            <v>255</v>
          </cell>
        </row>
        <row r="60">
          <cell r="A60">
            <v>57</v>
          </cell>
          <cell r="B60">
            <v>421</v>
          </cell>
          <cell r="C60">
            <v>53</v>
          </cell>
          <cell r="D60">
            <v>368</v>
          </cell>
          <cell r="E60">
            <v>316</v>
          </cell>
          <cell r="F60">
            <v>53</v>
          </cell>
          <cell r="G60">
            <v>37</v>
          </cell>
          <cell r="H60">
            <v>53</v>
          </cell>
          <cell r="I60">
            <v>263</v>
          </cell>
        </row>
        <row r="61">
          <cell r="A61">
            <v>58</v>
          </cell>
          <cell r="B61">
            <v>435</v>
          </cell>
          <cell r="C61">
            <v>54</v>
          </cell>
          <cell r="D61">
            <v>381</v>
          </cell>
          <cell r="E61">
            <v>326</v>
          </cell>
          <cell r="F61">
            <v>54</v>
          </cell>
          <cell r="G61">
            <v>38</v>
          </cell>
          <cell r="H61">
            <v>54</v>
          </cell>
          <cell r="I61">
            <v>272</v>
          </cell>
        </row>
        <row r="62">
          <cell r="A62">
            <v>59</v>
          </cell>
          <cell r="B62">
            <v>450</v>
          </cell>
          <cell r="C62">
            <v>56</v>
          </cell>
          <cell r="D62">
            <v>394</v>
          </cell>
          <cell r="E62">
            <v>338</v>
          </cell>
          <cell r="F62">
            <v>56</v>
          </cell>
          <cell r="G62">
            <v>39</v>
          </cell>
          <cell r="H62">
            <v>56</v>
          </cell>
          <cell r="I62">
            <v>282</v>
          </cell>
        </row>
        <row r="63">
          <cell r="A63">
            <v>60</v>
          </cell>
          <cell r="B63">
            <v>466</v>
          </cell>
          <cell r="C63">
            <v>58</v>
          </cell>
          <cell r="D63">
            <v>407</v>
          </cell>
          <cell r="E63">
            <v>349</v>
          </cell>
          <cell r="F63">
            <v>58</v>
          </cell>
          <cell r="G63">
            <v>41</v>
          </cell>
          <cell r="H63">
            <v>58</v>
          </cell>
          <cell r="I63">
            <v>291</v>
          </cell>
        </row>
        <row r="64">
          <cell r="A64">
            <v>61</v>
          </cell>
          <cell r="B64">
            <v>482</v>
          </cell>
          <cell r="C64">
            <v>60</v>
          </cell>
          <cell r="D64">
            <v>421</v>
          </cell>
          <cell r="E64">
            <v>361</v>
          </cell>
          <cell r="F64">
            <v>60</v>
          </cell>
          <cell r="G64">
            <v>42</v>
          </cell>
          <cell r="H64">
            <v>60</v>
          </cell>
          <cell r="I64">
            <v>301</v>
          </cell>
        </row>
        <row r="65">
          <cell r="A65">
            <v>62</v>
          </cell>
          <cell r="B65">
            <v>498</v>
          </cell>
          <cell r="C65">
            <v>62</v>
          </cell>
          <cell r="D65">
            <v>435</v>
          </cell>
          <cell r="E65">
            <v>373</v>
          </cell>
          <cell r="F65">
            <v>62</v>
          </cell>
          <cell r="G65">
            <v>44</v>
          </cell>
          <cell r="H65">
            <v>62</v>
          </cell>
          <cell r="I65">
            <v>311</v>
          </cell>
        </row>
        <row r="66">
          <cell r="A66">
            <v>63</v>
          </cell>
          <cell r="B66">
            <v>515</v>
          </cell>
          <cell r="C66">
            <v>64</v>
          </cell>
          <cell r="D66">
            <v>451</v>
          </cell>
          <cell r="E66">
            <v>386</v>
          </cell>
          <cell r="F66">
            <v>64</v>
          </cell>
          <cell r="G66">
            <v>45</v>
          </cell>
          <cell r="H66">
            <v>64</v>
          </cell>
          <cell r="I66">
            <v>322</v>
          </cell>
        </row>
        <row r="67">
          <cell r="A67">
            <v>64</v>
          </cell>
          <cell r="B67">
            <v>533</v>
          </cell>
          <cell r="C67">
            <v>67</v>
          </cell>
          <cell r="D67">
            <v>466</v>
          </cell>
          <cell r="E67">
            <v>399</v>
          </cell>
          <cell r="F67">
            <v>67</v>
          </cell>
          <cell r="G67">
            <v>47</v>
          </cell>
          <cell r="H67">
            <v>67</v>
          </cell>
          <cell r="I67">
            <v>333</v>
          </cell>
        </row>
        <row r="68">
          <cell r="A68">
            <v>65</v>
          </cell>
          <cell r="B68">
            <v>550</v>
          </cell>
          <cell r="C68">
            <v>69</v>
          </cell>
          <cell r="D68">
            <v>482</v>
          </cell>
          <cell r="E68">
            <v>413</v>
          </cell>
          <cell r="F68">
            <v>69</v>
          </cell>
          <cell r="G68">
            <v>48</v>
          </cell>
          <cell r="H68">
            <v>69</v>
          </cell>
          <cell r="I68">
            <v>344</v>
          </cell>
        </row>
        <row r="69">
          <cell r="A69">
            <v>66</v>
          </cell>
          <cell r="B69">
            <v>570</v>
          </cell>
          <cell r="C69">
            <v>71</v>
          </cell>
          <cell r="D69">
            <v>498</v>
          </cell>
          <cell r="E69">
            <v>427</v>
          </cell>
          <cell r="F69">
            <v>71</v>
          </cell>
          <cell r="G69">
            <v>50</v>
          </cell>
          <cell r="H69">
            <v>71</v>
          </cell>
          <cell r="I69">
            <v>356</v>
          </cell>
        </row>
        <row r="70">
          <cell r="A70">
            <v>67</v>
          </cell>
          <cell r="B70">
            <v>589</v>
          </cell>
          <cell r="C70">
            <v>74</v>
          </cell>
          <cell r="D70">
            <v>515</v>
          </cell>
          <cell r="E70">
            <v>442</v>
          </cell>
          <cell r="F70">
            <v>74</v>
          </cell>
          <cell r="G70">
            <v>52</v>
          </cell>
          <cell r="H70">
            <v>74</v>
          </cell>
          <cell r="I70">
            <v>368</v>
          </cell>
        </row>
        <row r="71">
          <cell r="A71">
            <v>68</v>
          </cell>
          <cell r="B71">
            <v>609</v>
          </cell>
          <cell r="C71">
            <v>76</v>
          </cell>
          <cell r="D71">
            <v>533</v>
          </cell>
          <cell r="E71">
            <v>457</v>
          </cell>
          <cell r="F71">
            <v>76</v>
          </cell>
          <cell r="G71">
            <v>53</v>
          </cell>
          <cell r="H71">
            <v>76</v>
          </cell>
          <cell r="I71">
            <v>381</v>
          </cell>
        </row>
        <row r="72">
          <cell r="A72">
            <v>69</v>
          </cell>
          <cell r="B72">
            <v>630</v>
          </cell>
          <cell r="C72">
            <v>79</v>
          </cell>
          <cell r="D72">
            <v>551</v>
          </cell>
          <cell r="E72">
            <v>473</v>
          </cell>
          <cell r="F72">
            <v>79</v>
          </cell>
          <cell r="G72">
            <v>55</v>
          </cell>
          <cell r="H72">
            <v>79</v>
          </cell>
          <cell r="I72">
            <v>394</v>
          </cell>
        </row>
        <row r="73">
          <cell r="A73">
            <v>70</v>
          </cell>
          <cell r="B73">
            <v>651</v>
          </cell>
          <cell r="C73">
            <v>81</v>
          </cell>
          <cell r="D73">
            <v>570</v>
          </cell>
          <cell r="E73">
            <v>489</v>
          </cell>
          <cell r="F73">
            <v>81</v>
          </cell>
          <cell r="G73">
            <v>57</v>
          </cell>
          <cell r="H73">
            <v>81</v>
          </cell>
          <cell r="I73">
            <v>407</v>
          </cell>
        </row>
        <row r="74">
          <cell r="A74">
            <v>71</v>
          </cell>
          <cell r="B74">
            <v>674</v>
          </cell>
          <cell r="C74">
            <v>84</v>
          </cell>
          <cell r="D74">
            <v>589</v>
          </cell>
          <cell r="E74">
            <v>505</v>
          </cell>
          <cell r="F74">
            <v>84</v>
          </cell>
          <cell r="G74">
            <v>59</v>
          </cell>
          <cell r="H74">
            <v>84</v>
          </cell>
          <cell r="I74">
            <v>421</v>
          </cell>
        </row>
        <row r="75">
          <cell r="A75">
            <v>72</v>
          </cell>
          <cell r="B75">
            <v>697</v>
          </cell>
          <cell r="C75">
            <v>87</v>
          </cell>
          <cell r="D75">
            <v>610</v>
          </cell>
          <cell r="E75">
            <v>523</v>
          </cell>
          <cell r="F75">
            <v>87</v>
          </cell>
          <cell r="G75">
            <v>61</v>
          </cell>
          <cell r="H75">
            <v>87</v>
          </cell>
          <cell r="I75">
            <v>436</v>
          </cell>
        </row>
        <row r="76">
          <cell r="A76">
            <v>73</v>
          </cell>
          <cell r="B76">
            <v>721</v>
          </cell>
          <cell r="C76">
            <v>90</v>
          </cell>
          <cell r="D76">
            <v>631</v>
          </cell>
          <cell r="E76">
            <v>541</v>
          </cell>
          <cell r="F76">
            <v>90</v>
          </cell>
          <cell r="G76">
            <v>63</v>
          </cell>
          <cell r="H76">
            <v>90</v>
          </cell>
          <cell r="I76">
            <v>451</v>
          </cell>
        </row>
        <row r="77">
          <cell r="A77">
            <v>74</v>
          </cell>
          <cell r="B77">
            <v>746</v>
          </cell>
          <cell r="C77">
            <v>93</v>
          </cell>
          <cell r="D77">
            <v>652</v>
          </cell>
          <cell r="E77">
            <v>559</v>
          </cell>
          <cell r="F77">
            <v>93</v>
          </cell>
          <cell r="G77">
            <v>65</v>
          </cell>
          <cell r="H77">
            <v>93</v>
          </cell>
          <cell r="I77">
            <v>466</v>
          </cell>
        </row>
        <row r="78">
          <cell r="A78">
            <v>75</v>
          </cell>
          <cell r="B78">
            <v>770</v>
          </cell>
          <cell r="C78">
            <v>96</v>
          </cell>
          <cell r="D78">
            <v>674</v>
          </cell>
          <cell r="E78">
            <v>578</v>
          </cell>
          <cell r="F78">
            <v>96</v>
          </cell>
          <cell r="G78">
            <v>67</v>
          </cell>
          <cell r="H78">
            <v>96</v>
          </cell>
          <cell r="I78">
            <v>482</v>
          </cell>
        </row>
        <row r="79">
          <cell r="A79">
            <v>76</v>
          </cell>
          <cell r="B79">
            <v>797</v>
          </cell>
          <cell r="C79">
            <v>100</v>
          </cell>
          <cell r="D79">
            <v>697</v>
          </cell>
          <cell r="E79">
            <v>598</v>
          </cell>
          <cell r="F79">
            <v>100</v>
          </cell>
          <cell r="G79">
            <v>70</v>
          </cell>
          <cell r="H79">
            <v>100</v>
          </cell>
          <cell r="I79">
            <v>498</v>
          </cell>
        </row>
        <row r="80">
          <cell r="A80">
            <v>77</v>
          </cell>
          <cell r="B80">
            <v>824</v>
          </cell>
          <cell r="C80">
            <v>103</v>
          </cell>
          <cell r="D80">
            <v>721</v>
          </cell>
          <cell r="E80">
            <v>618</v>
          </cell>
          <cell r="F80">
            <v>103</v>
          </cell>
          <cell r="G80">
            <v>72</v>
          </cell>
          <cell r="H80">
            <v>103</v>
          </cell>
          <cell r="I80">
            <v>515</v>
          </cell>
        </row>
        <row r="81">
          <cell r="A81">
            <v>78</v>
          </cell>
          <cell r="B81">
            <v>853</v>
          </cell>
          <cell r="C81">
            <v>107</v>
          </cell>
          <cell r="D81">
            <v>746</v>
          </cell>
          <cell r="E81">
            <v>639</v>
          </cell>
          <cell r="F81">
            <v>107</v>
          </cell>
          <cell r="G81">
            <v>75</v>
          </cell>
          <cell r="H81">
            <v>107</v>
          </cell>
          <cell r="I81">
            <v>533</v>
          </cell>
        </row>
        <row r="82">
          <cell r="A82">
            <v>79</v>
          </cell>
          <cell r="B82">
            <v>882</v>
          </cell>
          <cell r="C82">
            <v>110</v>
          </cell>
          <cell r="D82">
            <v>771</v>
          </cell>
          <cell r="E82">
            <v>661</v>
          </cell>
          <cell r="F82">
            <v>110</v>
          </cell>
          <cell r="G82">
            <v>77</v>
          </cell>
          <cell r="H82">
            <v>110</v>
          </cell>
          <cell r="I82">
            <v>551</v>
          </cell>
        </row>
        <row r="83">
          <cell r="A83">
            <v>80</v>
          </cell>
          <cell r="B83">
            <v>912</v>
          </cell>
          <cell r="C83">
            <v>114</v>
          </cell>
          <cell r="D83">
            <v>798</v>
          </cell>
          <cell r="E83">
            <v>684</v>
          </cell>
          <cell r="F83">
            <v>114</v>
          </cell>
          <cell r="G83">
            <v>80</v>
          </cell>
          <cell r="H83">
            <v>114</v>
          </cell>
          <cell r="I83">
            <v>570</v>
          </cell>
        </row>
        <row r="84">
          <cell r="A84">
            <v>81</v>
          </cell>
          <cell r="B84">
            <v>943</v>
          </cell>
          <cell r="C84">
            <v>118</v>
          </cell>
          <cell r="D84">
            <v>825</v>
          </cell>
          <cell r="E84">
            <v>707</v>
          </cell>
          <cell r="F84">
            <v>118</v>
          </cell>
          <cell r="G84">
            <v>83</v>
          </cell>
          <cell r="H84">
            <v>118</v>
          </cell>
          <cell r="I84">
            <v>590</v>
          </cell>
        </row>
        <row r="85">
          <cell r="A85">
            <v>82</v>
          </cell>
          <cell r="B85">
            <v>975</v>
          </cell>
          <cell r="C85">
            <v>122</v>
          </cell>
          <cell r="D85">
            <v>853</v>
          </cell>
          <cell r="E85">
            <v>732</v>
          </cell>
          <cell r="F85">
            <v>122</v>
          </cell>
          <cell r="G85">
            <v>85</v>
          </cell>
          <cell r="H85">
            <v>122</v>
          </cell>
          <cell r="I85">
            <v>610</v>
          </cell>
        </row>
        <row r="86">
          <cell r="A86">
            <v>83</v>
          </cell>
          <cell r="B86">
            <v>1009</v>
          </cell>
          <cell r="C86">
            <v>126</v>
          </cell>
          <cell r="D86">
            <v>883</v>
          </cell>
          <cell r="E86">
            <v>757</v>
          </cell>
          <cell r="F86">
            <v>126</v>
          </cell>
          <cell r="G86">
            <v>88</v>
          </cell>
          <cell r="H86">
            <v>126</v>
          </cell>
          <cell r="I86">
            <v>631</v>
          </cell>
        </row>
        <row r="87">
          <cell r="A87">
            <v>84</v>
          </cell>
          <cell r="B87">
            <v>1043</v>
          </cell>
          <cell r="C87">
            <v>130</v>
          </cell>
          <cell r="D87">
            <v>913</v>
          </cell>
          <cell r="E87">
            <v>782</v>
          </cell>
          <cell r="F87">
            <v>130</v>
          </cell>
          <cell r="G87">
            <v>91</v>
          </cell>
          <cell r="H87">
            <v>130</v>
          </cell>
          <cell r="I87">
            <v>652</v>
          </cell>
        </row>
        <row r="88">
          <cell r="A88">
            <v>85</v>
          </cell>
          <cell r="B88">
            <v>1079</v>
          </cell>
          <cell r="C88">
            <v>135</v>
          </cell>
          <cell r="D88">
            <v>944</v>
          </cell>
          <cell r="E88">
            <v>809</v>
          </cell>
          <cell r="F88">
            <v>135</v>
          </cell>
          <cell r="G88">
            <v>94</v>
          </cell>
          <cell r="H88">
            <v>135</v>
          </cell>
          <cell r="I88">
            <v>675</v>
          </cell>
        </row>
        <row r="89">
          <cell r="A89">
            <v>86</v>
          </cell>
          <cell r="B89">
            <v>1116</v>
          </cell>
          <cell r="C89">
            <v>140</v>
          </cell>
          <cell r="D89">
            <v>977</v>
          </cell>
          <cell r="E89">
            <v>837</v>
          </cell>
          <cell r="F89">
            <v>140</v>
          </cell>
          <cell r="G89">
            <v>98</v>
          </cell>
          <cell r="H89">
            <v>140</v>
          </cell>
          <cell r="I89">
            <v>698</v>
          </cell>
        </row>
        <row r="90">
          <cell r="A90">
            <v>87</v>
          </cell>
          <cell r="B90">
            <v>1154</v>
          </cell>
          <cell r="C90">
            <v>144</v>
          </cell>
          <cell r="D90">
            <v>1009</v>
          </cell>
          <cell r="E90">
            <v>865</v>
          </cell>
          <cell r="F90">
            <v>144</v>
          </cell>
          <cell r="G90">
            <v>101</v>
          </cell>
          <cell r="H90">
            <v>144</v>
          </cell>
          <cell r="I90">
            <v>721</v>
          </cell>
        </row>
        <row r="91">
          <cell r="A91">
            <v>88</v>
          </cell>
          <cell r="B91">
            <v>1194</v>
          </cell>
          <cell r="C91">
            <v>149</v>
          </cell>
          <cell r="D91">
            <v>1044</v>
          </cell>
          <cell r="E91">
            <v>895</v>
          </cell>
          <cell r="F91">
            <v>149</v>
          </cell>
          <cell r="G91">
            <v>104</v>
          </cell>
          <cell r="H91">
            <v>149</v>
          </cell>
          <cell r="I91">
            <v>746</v>
          </cell>
        </row>
        <row r="92">
          <cell r="A92">
            <v>89</v>
          </cell>
          <cell r="B92">
            <v>1234</v>
          </cell>
          <cell r="C92">
            <v>154</v>
          </cell>
          <cell r="D92">
            <v>1080</v>
          </cell>
          <cell r="E92">
            <v>926</v>
          </cell>
          <cell r="F92">
            <v>154</v>
          </cell>
          <cell r="G92">
            <v>108</v>
          </cell>
          <cell r="H92">
            <v>154</v>
          </cell>
          <cell r="I92">
            <v>772</v>
          </cell>
        </row>
        <row r="93">
          <cell r="A93">
            <v>90</v>
          </cell>
          <cell r="B93">
            <v>1277</v>
          </cell>
          <cell r="C93">
            <v>160</v>
          </cell>
          <cell r="D93">
            <v>1117</v>
          </cell>
          <cell r="E93">
            <v>957</v>
          </cell>
          <cell r="F93">
            <v>160</v>
          </cell>
          <cell r="G93">
            <v>112</v>
          </cell>
          <cell r="H93">
            <v>160</v>
          </cell>
          <cell r="I93">
            <v>798</v>
          </cell>
        </row>
        <row r="94">
          <cell r="A94">
            <v>91</v>
          </cell>
          <cell r="B94">
            <v>1320</v>
          </cell>
          <cell r="C94">
            <v>165</v>
          </cell>
          <cell r="D94">
            <v>1155</v>
          </cell>
          <cell r="E94">
            <v>990</v>
          </cell>
          <cell r="F94">
            <v>165</v>
          </cell>
          <cell r="G94">
            <v>116</v>
          </cell>
          <cell r="H94">
            <v>165</v>
          </cell>
          <cell r="I94">
            <v>825</v>
          </cell>
        </row>
        <row r="95">
          <cell r="A95">
            <v>92</v>
          </cell>
          <cell r="B95">
            <v>1366</v>
          </cell>
          <cell r="C95">
            <v>171</v>
          </cell>
          <cell r="D95">
            <v>1195</v>
          </cell>
          <cell r="E95">
            <v>1024</v>
          </cell>
          <cell r="F95">
            <v>171</v>
          </cell>
          <cell r="G95">
            <v>120</v>
          </cell>
          <cell r="H95">
            <v>171</v>
          </cell>
          <cell r="I95">
            <v>854</v>
          </cell>
        </row>
        <row r="96">
          <cell r="A96">
            <v>93</v>
          </cell>
          <cell r="B96">
            <v>1412</v>
          </cell>
          <cell r="C96">
            <v>177</v>
          </cell>
          <cell r="D96">
            <v>1236</v>
          </cell>
          <cell r="E96">
            <v>1059</v>
          </cell>
          <cell r="F96">
            <v>177</v>
          </cell>
          <cell r="G96">
            <v>124</v>
          </cell>
          <cell r="H96">
            <v>177</v>
          </cell>
          <cell r="I96">
            <v>883</v>
          </cell>
        </row>
        <row r="97">
          <cell r="A97">
            <v>94</v>
          </cell>
          <cell r="B97">
            <v>1460</v>
          </cell>
          <cell r="C97">
            <v>183</v>
          </cell>
          <cell r="D97">
            <v>1278</v>
          </cell>
          <cell r="E97">
            <v>1095</v>
          </cell>
          <cell r="F97">
            <v>183</v>
          </cell>
          <cell r="G97">
            <v>128</v>
          </cell>
          <cell r="H97">
            <v>183</v>
          </cell>
          <cell r="I97">
            <v>913</v>
          </cell>
        </row>
        <row r="98">
          <cell r="A98">
            <v>95</v>
          </cell>
          <cell r="B98">
            <v>1510</v>
          </cell>
          <cell r="C98">
            <v>189</v>
          </cell>
          <cell r="D98">
            <v>1322</v>
          </cell>
          <cell r="E98">
            <v>1133</v>
          </cell>
          <cell r="F98">
            <v>189</v>
          </cell>
          <cell r="G98">
            <v>132</v>
          </cell>
          <cell r="H98">
            <v>189</v>
          </cell>
          <cell r="I98">
            <v>944</v>
          </cell>
        </row>
        <row r="99">
          <cell r="A99">
            <v>96</v>
          </cell>
          <cell r="B99">
            <v>1562</v>
          </cell>
          <cell r="C99">
            <v>195</v>
          </cell>
          <cell r="D99">
            <v>1366</v>
          </cell>
          <cell r="E99">
            <v>1171</v>
          </cell>
          <cell r="F99">
            <v>195</v>
          </cell>
          <cell r="G99">
            <v>137</v>
          </cell>
          <cell r="H99">
            <v>195</v>
          </cell>
          <cell r="I99">
            <v>976</v>
          </cell>
        </row>
        <row r="100">
          <cell r="A100">
            <v>97</v>
          </cell>
          <cell r="B100">
            <v>1615</v>
          </cell>
          <cell r="C100">
            <v>202</v>
          </cell>
          <cell r="D100">
            <v>1413</v>
          </cell>
          <cell r="E100">
            <v>1211</v>
          </cell>
          <cell r="F100">
            <v>202</v>
          </cell>
          <cell r="G100">
            <v>141</v>
          </cell>
          <cell r="H100">
            <v>202</v>
          </cell>
          <cell r="I100">
            <v>1010</v>
          </cell>
        </row>
        <row r="101">
          <cell r="A101">
            <v>98</v>
          </cell>
          <cell r="B101">
            <v>1670</v>
          </cell>
          <cell r="C101">
            <v>209</v>
          </cell>
          <cell r="D101">
            <v>1462</v>
          </cell>
          <cell r="E101">
            <v>1253</v>
          </cell>
          <cell r="F101">
            <v>209</v>
          </cell>
          <cell r="G101">
            <v>146</v>
          </cell>
          <cell r="H101">
            <v>209</v>
          </cell>
          <cell r="I101">
            <v>1044</v>
          </cell>
        </row>
        <row r="102">
          <cell r="A102">
            <v>99</v>
          </cell>
          <cell r="B102">
            <v>1727</v>
          </cell>
          <cell r="C102">
            <v>216</v>
          </cell>
          <cell r="D102">
            <v>1511</v>
          </cell>
          <cell r="E102">
            <v>1296</v>
          </cell>
          <cell r="F102">
            <v>216</v>
          </cell>
          <cell r="G102">
            <v>151</v>
          </cell>
          <cell r="H102">
            <v>216</v>
          </cell>
          <cell r="I102">
            <v>1080</v>
          </cell>
        </row>
        <row r="103">
          <cell r="A103">
            <v>100</v>
          </cell>
          <cell r="B103">
            <v>1786</v>
          </cell>
          <cell r="C103">
            <v>223</v>
          </cell>
          <cell r="D103">
            <v>1563</v>
          </cell>
          <cell r="E103">
            <v>1340</v>
          </cell>
          <cell r="F103">
            <v>223</v>
          </cell>
          <cell r="G103">
            <v>156</v>
          </cell>
          <cell r="H103">
            <v>223</v>
          </cell>
          <cell r="I103">
            <v>1117</v>
          </cell>
        </row>
        <row r="104">
          <cell r="A104">
            <v>101</v>
          </cell>
          <cell r="B104">
            <v>1848</v>
          </cell>
          <cell r="C104">
            <v>231</v>
          </cell>
          <cell r="D104">
            <v>1617</v>
          </cell>
          <cell r="E104">
            <v>1386</v>
          </cell>
          <cell r="F104">
            <v>231</v>
          </cell>
          <cell r="G104">
            <v>162</v>
          </cell>
          <cell r="H104">
            <v>231</v>
          </cell>
          <cell r="I104">
            <v>1155</v>
          </cell>
        </row>
        <row r="105">
          <cell r="A105">
            <v>102</v>
          </cell>
          <cell r="B105">
            <v>1911</v>
          </cell>
          <cell r="C105">
            <v>239</v>
          </cell>
          <cell r="D105">
            <v>1672</v>
          </cell>
          <cell r="E105">
            <v>1433</v>
          </cell>
          <cell r="F105">
            <v>239</v>
          </cell>
          <cell r="G105">
            <v>167</v>
          </cell>
          <cell r="H105">
            <v>239</v>
          </cell>
          <cell r="I105">
            <v>1195</v>
          </cell>
        </row>
        <row r="106">
          <cell r="A106">
            <v>103</v>
          </cell>
          <cell r="B106">
            <v>1976</v>
          </cell>
          <cell r="C106">
            <v>247</v>
          </cell>
          <cell r="D106">
            <v>1729</v>
          </cell>
          <cell r="E106">
            <v>1482</v>
          </cell>
          <cell r="F106">
            <v>247</v>
          </cell>
          <cell r="G106">
            <v>173</v>
          </cell>
          <cell r="H106">
            <v>247</v>
          </cell>
          <cell r="I106">
            <v>1235</v>
          </cell>
        </row>
        <row r="107">
          <cell r="A107">
            <v>104</v>
          </cell>
          <cell r="B107">
            <v>2044</v>
          </cell>
          <cell r="C107">
            <v>256</v>
          </cell>
          <cell r="D107">
            <v>1789</v>
          </cell>
          <cell r="E107">
            <v>1533</v>
          </cell>
          <cell r="F107">
            <v>256</v>
          </cell>
          <cell r="G107">
            <v>179</v>
          </cell>
          <cell r="H107">
            <v>256</v>
          </cell>
          <cell r="I107">
            <v>1278</v>
          </cell>
        </row>
        <row r="108">
          <cell r="A108">
            <v>105</v>
          </cell>
          <cell r="B108">
            <v>2114</v>
          </cell>
          <cell r="C108">
            <v>264</v>
          </cell>
          <cell r="D108">
            <v>1849</v>
          </cell>
          <cell r="E108">
            <v>1585</v>
          </cell>
          <cell r="F108">
            <v>264</v>
          </cell>
          <cell r="G108">
            <v>185</v>
          </cell>
          <cell r="H108">
            <v>264</v>
          </cell>
          <cell r="I108">
            <v>1321</v>
          </cell>
        </row>
        <row r="109">
          <cell r="A109">
            <v>106</v>
          </cell>
          <cell r="B109">
            <v>2186</v>
          </cell>
          <cell r="C109">
            <v>273</v>
          </cell>
          <cell r="D109">
            <v>1913</v>
          </cell>
          <cell r="E109">
            <v>1640</v>
          </cell>
          <cell r="F109">
            <v>273</v>
          </cell>
          <cell r="G109">
            <v>191</v>
          </cell>
          <cell r="H109">
            <v>273</v>
          </cell>
          <cell r="I109">
            <v>1367</v>
          </cell>
        </row>
        <row r="110">
          <cell r="A110">
            <v>107</v>
          </cell>
          <cell r="B110">
            <v>2261</v>
          </cell>
          <cell r="C110">
            <v>283</v>
          </cell>
          <cell r="D110">
            <v>1978</v>
          </cell>
          <cell r="E110">
            <v>1696</v>
          </cell>
          <cell r="F110">
            <v>283</v>
          </cell>
          <cell r="G110">
            <v>198</v>
          </cell>
          <cell r="H110">
            <v>283</v>
          </cell>
          <cell r="I110">
            <v>1413</v>
          </cell>
        </row>
        <row r="111">
          <cell r="A111">
            <v>108</v>
          </cell>
          <cell r="B111">
            <v>2338</v>
          </cell>
          <cell r="C111">
            <v>292</v>
          </cell>
          <cell r="D111">
            <v>2046</v>
          </cell>
          <cell r="E111">
            <v>1754</v>
          </cell>
          <cell r="F111">
            <v>292</v>
          </cell>
          <cell r="G111">
            <v>205</v>
          </cell>
          <cell r="H111">
            <v>292</v>
          </cell>
          <cell r="I111">
            <v>1462</v>
          </cell>
        </row>
        <row r="112">
          <cell r="A112">
            <v>109</v>
          </cell>
          <cell r="B112">
            <v>2418</v>
          </cell>
          <cell r="C112">
            <v>302</v>
          </cell>
          <cell r="D112">
            <v>2116</v>
          </cell>
          <cell r="E112">
            <v>1814</v>
          </cell>
          <cell r="F112">
            <v>302</v>
          </cell>
          <cell r="G112">
            <v>212</v>
          </cell>
          <cell r="H112">
            <v>302</v>
          </cell>
          <cell r="I112">
            <v>1512</v>
          </cell>
        </row>
        <row r="113">
          <cell r="A113">
            <v>110</v>
          </cell>
          <cell r="B113">
            <v>2501</v>
          </cell>
          <cell r="C113">
            <v>313</v>
          </cell>
          <cell r="D113">
            <v>2188</v>
          </cell>
          <cell r="E113">
            <v>1876</v>
          </cell>
          <cell r="F113">
            <v>313</v>
          </cell>
          <cell r="G113">
            <v>219</v>
          </cell>
          <cell r="H113">
            <v>313</v>
          </cell>
          <cell r="I113">
            <v>1563</v>
          </cell>
        </row>
        <row r="114">
          <cell r="A114">
            <v>111</v>
          </cell>
          <cell r="B114">
            <v>2586</v>
          </cell>
          <cell r="C114">
            <v>323</v>
          </cell>
          <cell r="D114">
            <v>2263</v>
          </cell>
          <cell r="E114">
            <v>1940</v>
          </cell>
          <cell r="F114">
            <v>323</v>
          </cell>
          <cell r="G114">
            <v>226</v>
          </cell>
          <cell r="H114">
            <v>323</v>
          </cell>
          <cell r="I114">
            <v>1617</v>
          </cell>
        </row>
        <row r="115">
          <cell r="A115">
            <v>112</v>
          </cell>
          <cell r="B115">
            <v>2675</v>
          </cell>
          <cell r="C115">
            <v>334</v>
          </cell>
          <cell r="D115">
            <v>2341</v>
          </cell>
          <cell r="E115">
            <v>2006</v>
          </cell>
          <cell r="F115">
            <v>334</v>
          </cell>
          <cell r="G115">
            <v>234</v>
          </cell>
          <cell r="H115">
            <v>334</v>
          </cell>
          <cell r="I115">
            <v>1672</v>
          </cell>
        </row>
        <row r="116">
          <cell r="A116">
            <v>113</v>
          </cell>
          <cell r="B116">
            <v>2766</v>
          </cell>
          <cell r="C116">
            <v>346</v>
          </cell>
          <cell r="D116">
            <v>2421</v>
          </cell>
          <cell r="E116">
            <v>2075</v>
          </cell>
          <cell r="F116">
            <v>346</v>
          </cell>
          <cell r="G116">
            <v>242</v>
          </cell>
          <cell r="H116">
            <v>346</v>
          </cell>
          <cell r="I116">
            <v>1729</v>
          </cell>
        </row>
        <row r="117">
          <cell r="A117">
            <v>114</v>
          </cell>
          <cell r="B117">
            <v>2861</v>
          </cell>
          <cell r="C117">
            <v>358</v>
          </cell>
          <cell r="D117">
            <v>2503</v>
          </cell>
          <cell r="E117">
            <v>2146</v>
          </cell>
          <cell r="F117">
            <v>358</v>
          </cell>
          <cell r="G117">
            <v>250</v>
          </cell>
          <cell r="H117">
            <v>358</v>
          </cell>
          <cell r="I117">
            <v>1788</v>
          </cell>
        </row>
        <row r="118">
          <cell r="A118">
            <v>115</v>
          </cell>
          <cell r="B118">
            <v>2958</v>
          </cell>
          <cell r="C118">
            <v>370</v>
          </cell>
          <cell r="D118">
            <v>2589</v>
          </cell>
          <cell r="E118">
            <v>2219</v>
          </cell>
          <cell r="F118">
            <v>370</v>
          </cell>
          <cell r="G118">
            <v>259</v>
          </cell>
          <cell r="H118">
            <v>370</v>
          </cell>
          <cell r="I118">
            <v>1849</v>
          </cell>
        </row>
        <row r="119">
          <cell r="A119">
            <v>116</v>
          </cell>
          <cell r="B119">
            <v>3060</v>
          </cell>
          <cell r="C119">
            <v>383</v>
          </cell>
          <cell r="D119">
            <v>2678</v>
          </cell>
          <cell r="E119">
            <v>2295</v>
          </cell>
          <cell r="F119">
            <v>383</v>
          </cell>
          <cell r="G119">
            <v>268</v>
          </cell>
          <cell r="H119">
            <v>383</v>
          </cell>
          <cell r="I119">
            <v>1913</v>
          </cell>
        </row>
        <row r="120">
          <cell r="A120">
            <v>117</v>
          </cell>
          <cell r="B120">
            <v>3165</v>
          </cell>
          <cell r="C120">
            <v>396</v>
          </cell>
          <cell r="D120">
            <v>2769</v>
          </cell>
          <cell r="E120">
            <v>2373</v>
          </cell>
          <cell r="F120">
            <v>396</v>
          </cell>
          <cell r="G120">
            <v>277</v>
          </cell>
          <cell r="H120">
            <v>396</v>
          </cell>
          <cell r="I120">
            <v>1978</v>
          </cell>
        </row>
        <row r="121">
          <cell r="A121">
            <v>118</v>
          </cell>
          <cell r="B121">
            <v>3273</v>
          </cell>
          <cell r="C121">
            <v>409</v>
          </cell>
          <cell r="D121">
            <v>2864</v>
          </cell>
          <cell r="E121">
            <v>2455</v>
          </cell>
          <cell r="F121">
            <v>409</v>
          </cell>
          <cell r="G121">
            <v>286</v>
          </cell>
          <cell r="H121">
            <v>409</v>
          </cell>
          <cell r="I121">
            <v>2046</v>
          </cell>
        </row>
        <row r="122">
          <cell r="A122">
            <v>119</v>
          </cell>
          <cell r="B122">
            <v>3385</v>
          </cell>
          <cell r="C122">
            <v>423</v>
          </cell>
          <cell r="D122">
            <v>2962</v>
          </cell>
          <cell r="E122">
            <v>2539</v>
          </cell>
          <cell r="F122">
            <v>423</v>
          </cell>
          <cell r="G122">
            <v>296</v>
          </cell>
          <cell r="H122">
            <v>423</v>
          </cell>
          <cell r="I122">
            <v>2116</v>
          </cell>
        </row>
        <row r="123">
          <cell r="A123">
            <v>120</v>
          </cell>
          <cell r="B123">
            <v>3501</v>
          </cell>
          <cell r="C123">
            <v>438</v>
          </cell>
          <cell r="D123">
            <v>3063</v>
          </cell>
          <cell r="E123">
            <v>2625</v>
          </cell>
          <cell r="F123">
            <v>438</v>
          </cell>
          <cell r="G123">
            <v>306</v>
          </cell>
          <cell r="H123">
            <v>438</v>
          </cell>
          <cell r="I123">
            <v>2188</v>
          </cell>
        </row>
        <row r="124">
          <cell r="A124">
            <v>121</v>
          </cell>
          <cell r="B124">
            <v>3620</v>
          </cell>
          <cell r="C124">
            <v>453</v>
          </cell>
          <cell r="D124">
            <v>3168</v>
          </cell>
          <cell r="E124">
            <v>2715</v>
          </cell>
          <cell r="F124">
            <v>453</v>
          </cell>
          <cell r="G124">
            <v>317</v>
          </cell>
          <cell r="H124">
            <v>453</v>
          </cell>
          <cell r="I124">
            <v>2263</v>
          </cell>
        </row>
        <row r="125">
          <cell r="A125">
            <v>122</v>
          </cell>
          <cell r="B125">
            <v>3744</v>
          </cell>
          <cell r="C125">
            <v>468</v>
          </cell>
          <cell r="D125">
            <v>3276</v>
          </cell>
          <cell r="E125">
            <v>2808</v>
          </cell>
          <cell r="F125">
            <v>468</v>
          </cell>
          <cell r="G125">
            <v>328</v>
          </cell>
          <cell r="H125">
            <v>468</v>
          </cell>
          <cell r="I125">
            <v>2340</v>
          </cell>
        </row>
        <row r="126">
          <cell r="A126">
            <v>123</v>
          </cell>
          <cell r="B126">
            <v>3872</v>
          </cell>
          <cell r="C126">
            <v>484</v>
          </cell>
          <cell r="D126">
            <v>3388</v>
          </cell>
          <cell r="E126">
            <v>2904</v>
          </cell>
          <cell r="F126">
            <v>484</v>
          </cell>
          <cell r="G126">
            <v>339</v>
          </cell>
          <cell r="H126">
            <v>484</v>
          </cell>
          <cell r="I126">
            <v>2420</v>
          </cell>
        </row>
        <row r="127">
          <cell r="A127">
            <v>124</v>
          </cell>
          <cell r="B127">
            <v>4005</v>
          </cell>
          <cell r="C127">
            <v>501</v>
          </cell>
          <cell r="D127">
            <v>3504</v>
          </cell>
          <cell r="E127">
            <v>3003</v>
          </cell>
          <cell r="F127">
            <v>501</v>
          </cell>
          <cell r="G127">
            <v>350</v>
          </cell>
          <cell r="H127">
            <v>501</v>
          </cell>
          <cell r="I127">
            <v>2503</v>
          </cell>
        </row>
        <row r="128">
          <cell r="A128">
            <v>125</v>
          </cell>
          <cell r="B128">
            <v>4142</v>
          </cell>
          <cell r="C128">
            <v>518</v>
          </cell>
          <cell r="D128">
            <v>3624</v>
          </cell>
          <cell r="E128">
            <v>3106</v>
          </cell>
          <cell r="F128">
            <v>518</v>
          </cell>
          <cell r="G128">
            <v>362</v>
          </cell>
          <cell r="H128">
            <v>518</v>
          </cell>
          <cell r="I128">
            <v>2589</v>
          </cell>
        </row>
        <row r="129">
          <cell r="A129">
            <v>126</v>
          </cell>
          <cell r="B129">
            <v>4283</v>
          </cell>
          <cell r="C129">
            <v>535</v>
          </cell>
          <cell r="D129">
            <v>3748</v>
          </cell>
          <cell r="E129">
            <v>3212</v>
          </cell>
          <cell r="F129">
            <v>535</v>
          </cell>
          <cell r="G129">
            <v>375</v>
          </cell>
          <cell r="H129">
            <v>535</v>
          </cell>
          <cell r="I129">
            <v>2677</v>
          </cell>
        </row>
        <row r="130">
          <cell r="A130">
            <v>127</v>
          </cell>
          <cell r="B130">
            <v>4430</v>
          </cell>
          <cell r="C130">
            <v>554</v>
          </cell>
          <cell r="D130">
            <v>3876</v>
          </cell>
          <cell r="E130">
            <v>3322</v>
          </cell>
          <cell r="F130">
            <v>554</v>
          </cell>
          <cell r="G130">
            <v>388</v>
          </cell>
          <cell r="H130">
            <v>554</v>
          </cell>
          <cell r="I130">
            <v>2769</v>
          </cell>
        </row>
        <row r="131">
          <cell r="A131">
            <v>128</v>
          </cell>
          <cell r="B131">
            <v>4581</v>
          </cell>
          <cell r="C131">
            <v>573</v>
          </cell>
          <cell r="D131">
            <v>4008</v>
          </cell>
          <cell r="E131">
            <v>3436</v>
          </cell>
          <cell r="F131">
            <v>573</v>
          </cell>
          <cell r="G131">
            <v>401</v>
          </cell>
          <cell r="H131">
            <v>573</v>
          </cell>
          <cell r="I131">
            <v>2863</v>
          </cell>
        </row>
        <row r="132">
          <cell r="A132">
            <v>129</v>
          </cell>
          <cell r="B132">
            <v>4738</v>
          </cell>
          <cell r="C132">
            <v>592</v>
          </cell>
          <cell r="D132">
            <v>4145</v>
          </cell>
          <cell r="E132">
            <v>3553</v>
          </cell>
          <cell r="F132">
            <v>592</v>
          </cell>
          <cell r="G132">
            <v>415</v>
          </cell>
          <cell r="H132">
            <v>592</v>
          </cell>
          <cell r="I132">
            <v>2961</v>
          </cell>
        </row>
        <row r="133">
          <cell r="A133">
            <v>130</v>
          </cell>
          <cell r="B133">
            <v>4900</v>
          </cell>
          <cell r="C133">
            <v>613</v>
          </cell>
          <cell r="D133">
            <v>4288</v>
          </cell>
          <cell r="E133">
            <v>3675</v>
          </cell>
          <cell r="F133">
            <v>613</v>
          </cell>
          <cell r="G133">
            <v>429</v>
          </cell>
          <cell r="H133">
            <v>613</v>
          </cell>
          <cell r="I133">
            <v>3063</v>
          </cell>
        </row>
        <row r="134">
          <cell r="A134">
            <v>131</v>
          </cell>
          <cell r="B134">
            <v>5067</v>
          </cell>
          <cell r="C134">
            <v>633</v>
          </cell>
          <cell r="D134">
            <v>4434</v>
          </cell>
          <cell r="E134">
            <v>3801</v>
          </cell>
          <cell r="F134">
            <v>633</v>
          </cell>
          <cell r="G134">
            <v>443</v>
          </cell>
          <cell r="H134">
            <v>633</v>
          </cell>
          <cell r="I134">
            <v>3167</v>
          </cell>
        </row>
        <row r="135">
          <cell r="A135">
            <v>132</v>
          </cell>
          <cell r="B135">
            <v>5241</v>
          </cell>
          <cell r="C135">
            <v>655</v>
          </cell>
          <cell r="D135">
            <v>4586</v>
          </cell>
          <cell r="E135">
            <v>3931</v>
          </cell>
          <cell r="F135">
            <v>655</v>
          </cell>
          <cell r="G135">
            <v>459</v>
          </cell>
          <cell r="H135">
            <v>655</v>
          </cell>
          <cell r="I135">
            <v>3276</v>
          </cell>
        </row>
        <row r="136">
          <cell r="A136">
            <v>133</v>
          </cell>
          <cell r="B136">
            <v>5420</v>
          </cell>
          <cell r="C136">
            <v>678</v>
          </cell>
          <cell r="D136">
            <v>4743</v>
          </cell>
          <cell r="E136">
            <v>4065</v>
          </cell>
          <cell r="F136">
            <v>678</v>
          </cell>
          <cell r="G136">
            <v>474</v>
          </cell>
          <cell r="H136">
            <v>678</v>
          </cell>
          <cell r="I136">
            <v>3388</v>
          </cell>
        </row>
        <row r="137">
          <cell r="A137">
            <v>134</v>
          </cell>
          <cell r="B137">
            <v>5606</v>
          </cell>
          <cell r="C137">
            <v>701</v>
          </cell>
          <cell r="D137">
            <v>4905</v>
          </cell>
          <cell r="E137">
            <v>4204</v>
          </cell>
          <cell r="F137">
            <v>701</v>
          </cell>
          <cell r="G137">
            <v>491</v>
          </cell>
          <cell r="H137">
            <v>701</v>
          </cell>
          <cell r="I137">
            <v>3504</v>
          </cell>
        </row>
        <row r="138">
          <cell r="A138">
            <v>135</v>
          </cell>
          <cell r="B138">
            <v>5797</v>
          </cell>
          <cell r="C138">
            <v>725</v>
          </cell>
          <cell r="D138">
            <v>5072</v>
          </cell>
          <cell r="E138">
            <v>4348</v>
          </cell>
          <cell r="F138">
            <v>725</v>
          </cell>
          <cell r="G138">
            <v>507</v>
          </cell>
          <cell r="H138">
            <v>725</v>
          </cell>
          <cell r="I138">
            <v>3623</v>
          </cell>
        </row>
        <row r="139">
          <cell r="A139">
            <v>136</v>
          </cell>
          <cell r="B139">
            <v>5995</v>
          </cell>
          <cell r="C139">
            <v>749</v>
          </cell>
          <cell r="D139">
            <v>5246</v>
          </cell>
          <cell r="E139">
            <v>4496</v>
          </cell>
          <cell r="F139">
            <v>749</v>
          </cell>
          <cell r="G139">
            <v>525</v>
          </cell>
          <cell r="H139">
            <v>749</v>
          </cell>
          <cell r="I139">
            <v>3747</v>
          </cell>
        </row>
        <row r="140">
          <cell r="A140">
            <v>137</v>
          </cell>
          <cell r="B140">
            <v>6200</v>
          </cell>
          <cell r="C140">
            <v>775</v>
          </cell>
          <cell r="D140">
            <v>5425</v>
          </cell>
          <cell r="E140">
            <v>4650</v>
          </cell>
          <cell r="F140">
            <v>775</v>
          </cell>
          <cell r="G140">
            <v>543</v>
          </cell>
          <cell r="H140">
            <v>775</v>
          </cell>
          <cell r="I140">
            <v>3875</v>
          </cell>
        </row>
        <row r="141">
          <cell r="A141">
            <v>138</v>
          </cell>
          <cell r="B141">
            <v>6412</v>
          </cell>
          <cell r="C141">
            <v>802</v>
          </cell>
          <cell r="D141">
            <v>5611</v>
          </cell>
          <cell r="E141">
            <v>4809</v>
          </cell>
          <cell r="F141">
            <v>802</v>
          </cell>
          <cell r="G141">
            <v>561</v>
          </cell>
          <cell r="H141">
            <v>802</v>
          </cell>
          <cell r="I141">
            <v>4008</v>
          </cell>
        </row>
        <row r="142">
          <cell r="A142">
            <v>139</v>
          </cell>
          <cell r="B142">
            <v>6632</v>
          </cell>
          <cell r="C142">
            <v>829</v>
          </cell>
          <cell r="D142">
            <v>5803</v>
          </cell>
          <cell r="E142">
            <v>4974</v>
          </cell>
          <cell r="F142">
            <v>829</v>
          </cell>
          <cell r="G142">
            <v>580</v>
          </cell>
          <cell r="H142">
            <v>829</v>
          </cell>
          <cell r="I142">
            <v>4145</v>
          </cell>
        </row>
        <row r="143">
          <cell r="A143">
            <v>140</v>
          </cell>
          <cell r="B143">
            <v>6858</v>
          </cell>
          <cell r="C143">
            <v>857</v>
          </cell>
          <cell r="D143">
            <v>6001</v>
          </cell>
          <cell r="E143">
            <v>5144</v>
          </cell>
          <cell r="F143">
            <v>857</v>
          </cell>
          <cell r="G143">
            <v>600</v>
          </cell>
          <cell r="H143">
            <v>857</v>
          </cell>
          <cell r="I143">
            <v>4287</v>
          </cell>
        </row>
        <row r="144">
          <cell r="A144">
            <v>141</v>
          </cell>
          <cell r="B144">
            <v>7093</v>
          </cell>
          <cell r="C144">
            <v>887</v>
          </cell>
          <cell r="D144">
            <v>6206</v>
          </cell>
          <cell r="E144">
            <v>5320</v>
          </cell>
          <cell r="F144">
            <v>887</v>
          </cell>
          <cell r="G144">
            <v>621</v>
          </cell>
          <cell r="H144">
            <v>887</v>
          </cell>
          <cell r="I144">
            <v>4433</v>
          </cell>
        </row>
        <row r="145">
          <cell r="A145">
            <v>142</v>
          </cell>
          <cell r="B145">
            <v>7335</v>
          </cell>
          <cell r="C145">
            <v>917</v>
          </cell>
          <cell r="D145">
            <v>6418</v>
          </cell>
          <cell r="E145">
            <v>5502</v>
          </cell>
          <cell r="F145">
            <v>917</v>
          </cell>
          <cell r="G145">
            <v>642</v>
          </cell>
          <cell r="H145">
            <v>917</v>
          </cell>
          <cell r="I145">
            <v>4585</v>
          </cell>
        </row>
        <row r="146">
          <cell r="A146">
            <v>143</v>
          </cell>
          <cell r="B146">
            <v>7586</v>
          </cell>
          <cell r="C146">
            <v>948</v>
          </cell>
          <cell r="D146">
            <v>6638</v>
          </cell>
          <cell r="E146">
            <v>5690</v>
          </cell>
          <cell r="F146">
            <v>948</v>
          </cell>
          <cell r="G146">
            <v>664</v>
          </cell>
          <cell r="H146">
            <v>948</v>
          </cell>
          <cell r="I146">
            <v>4742</v>
          </cell>
        </row>
        <row r="147">
          <cell r="A147">
            <v>144</v>
          </cell>
          <cell r="B147">
            <v>7846</v>
          </cell>
          <cell r="C147">
            <v>981</v>
          </cell>
          <cell r="D147">
            <v>6865</v>
          </cell>
          <cell r="E147">
            <v>5884</v>
          </cell>
          <cell r="F147">
            <v>981</v>
          </cell>
          <cell r="G147">
            <v>687</v>
          </cell>
          <cell r="H147">
            <v>981</v>
          </cell>
          <cell r="I147">
            <v>4904</v>
          </cell>
        </row>
        <row r="148">
          <cell r="A148">
            <v>145</v>
          </cell>
          <cell r="B148">
            <v>8114</v>
          </cell>
          <cell r="C148">
            <v>1014</v>
          </cell>
          <cell r="D148">
            <v>7100</v>
          </cell>
          <cell r="E148">
            <v>6086</v>
          </cell>
          <cell r="F148">
            <v>1014</v>
          </cell>
          <cell r="G148">
            <v>710</v>
          </cell>
          <cell r="H148">
            <v>1014</v>
          </cell>
          <cell r="I148">
            <v>5072</v>
          </cell>
        </row>
        <row r="149">
          <cell r="A149">
            <v>146</v>
          </cell>
          <cell r="B149">
            <v>8392</v>
          </cell>
          <cell r="C149">
            <v>1049</v>
          </cell>
          <cell r="D149">
            <v>7343</v>
          </cell>
          <cell r="E149">
            <v>6294</v>
          </cell>
          <cell r="F149">
            <v>1049</v>
          </cell>
          <cell r="G149">
            <v>734</v>
          </cell>
          <cell r="H149">
            <v>1049</v>
          </cell>
          <cell r="I149">
            <v>5245</v>
          </cell>
        </row>
        <row r="150">
          <cell r="A150">
            <v>147</v>
          </cell>
          <cell r="B150">
            <v>8678</v>
          </cell>
          <cell r="C150">
            <v>1085</v>
          </cell>
          <cell r="D150">
            <v>7594</v>
          </cell>
          <cell r="E150">
            <v>6509</v>
          </cell>
          <cell r="F150">
            <v>1085</v>
          </cell>
          <cell r="G150">
            <v>759</v>
          </cell>
          <cell r="H150">
            <v>1085</v>
          </cell>
          <cell r="I150">
            <v>5424</v>
          </cell>
        </row>
        <row r="151">
          <cell r="A151">
            <v>148</v>
          </cell>
          <cell r="B151">
            <v>8975</v>
          </cell>
          <cell r="C151">
            <v>1122</v>
          </cell>
          <cell r="D151">
            <v>7853</v>
          </cell>
          <cell r="E151">
            <v>6732</v>
          </cell>
          <cell r="F151">
            <v>1122</v>
          </cell>
          <cell r="G151">
            <v>785</v>
          </cell>
          <cell r="H151">
            <v>1122</v>
          </cell>
          <cell r="I151">
            <v>5610</v>
          </cell>
        </row>
        <row r="152">
          <cell r="A152">
            <v>149</v>
          </cell>
          <cell r="B152">
            <v>9282</v>
          </cell>
          <cell r="C152">
            <v>1160</v>
          </cell>
          <cell r="D152">
            <v>8122</v>
          </cell>
          <cell r="E152">
            <v>6962</v>
          </cell>
          <cell r="F152">
            <v>1160</v>
          </cell>
          <cell r="G152">
            <v>812</v>
          </cell>
          <cell r="H152">
            <v>1160</v>
          </cell>
          <cell r="I152">
            <v>5802</v>
          </cell>
        </row>
        <row r="153">
          <cell r="A153">
            <v>150</v>
          </cell>
          <cell r="B153">
            <v>9600</v>
          </cell>
          <cell r="C153">
            <v>1200</v>
          </cell>
          <cell r="D153">
            <v>8400</v>
          </cell>
          <cell r="E153">
            <v>7200</v>
          </cell>
          <cell r="F153">
            <v>1200</v>
          </cell>
          <cell r="G153">
            <v>840</v>
          </cell>
          <cell r="H153">
            <v>1200</v>
          </cell>
          <cell r="I153">
            <v>6000</v>
          </cell>
        </row>
      </sheetData>
      <sheetData sheetId="5">
        <row r="4">
          <cell r="A4">
            <v>1</v>
          </cell>
          <cell r="B4">
            <v>80</v>
          </cell>
          <cell r="C4">
            <v>7</v>
          </cell>
          <cell r="D4">
            <v>40</v>
          </cell>
          <cell r="E4">
            <v>8</v>
          </cell>
          <cell r="F4">
            <v>6</v>
          </cell>
          <cell r="H4">
            <v>72</v>
          </cell>
          <cell r="I4">
            <v>16</v>
          </cell>
        </row>
        <row r="5">
          <cell r="A5">
            <v>2</v>
          </cell>
          <cell r="B5">
            <v>83</v>
          </cell>
          <cell r="C5">
            <v>7</v>
          </cell>
          <cell r="D5">
            <v>42</v>
          </cell>
          <cell r="E5">
            <v>8</v>
          </cell>
          <cell r="F5">
            <v>6</v>
          </cell>
          <cell r="H5">
            <v>74</v>
          </cell>
          <cell r="I5">
            <v>17</v>
          </cell>
        </row>
        <row r="6">
          <cell r="A6">
            <v>3</v>
          </cell>
          <cell r="B6">
            <v>86</v>
          </cell>
          <cell r="C6">
            <v>8</v>
          </cell>
          <cell r="D6">
            <v>43</v>
          </cell>
          <cell r="E6">
            <v>9</v>
          </cell>
          <cell r="F6">
            <v>6</v>
          </cell>
          <cell r="H6">
            <v>77</v>
          </cell>
          <cell r="I6">
            <v>17</v>
          </cell>
        </row>
        <row r="7">
          <cell r="A7">
            <v>4</v>
          </cell>
          <cell r="B7">
            <v>88</v>
          </cell>
          <cell r="C7">
            <v>8</v>
          </cell>
          <cell r="D7">
            <v>44</v>
          </cell>
          <cell r="E7">
            <v>9</v>
          </cell>
          <cell r="F7">
            <v>6</v>
          </cell>
          <cell r="H7">
            <v>80</v>
          </cell>
          <cell r="I7">
            <v>18</v>
          </cell>
        </row>
        <row r="8">
          <cell r="A8">
            <v>5</v>
          </cell>
          <cell r="B8">
            <v>92</v>
          </cell>
          <cell r="C8">
            <v>8</v>
          </cell>
          <cell r="D8">
            <v>46</v>
          </cell>
          <cell r="E8">
            <v>9</v>
          </cell>
          <cell r="F8">
            <v>6</v>
          </cell>
          <cell r="H8">
            <v>82</v>
          </cell>
          <cell r="I8">
            <v>18</v>
          </cell>
        </row>
        <row r="9">
          <cell r="A9">
            <v>6</v>
          </cell>
          <cell r="B9">
            <v>95</v>
          </cell>
          <cell r="C9">
            <v>9</v>
          </cell>
          <cell r="D9">
            <v>48</v>
          </cell>
          <cell r="E9">
            <v>10</v>
          </cell>
          <cell r="F9">
            <v>7</v>
          </cell>
          <cell r="H9">
            <v>85</v>
          </cell>
          <cell r="I9">
            <v>19</v>
          </cell>
        </row>
        <row r="10">
          <cell r="A10">
            <v>7</v>
          </cell>
          <cell r="B10">
            <v>98</v>
          </cell>
          <cell r="C10">
            <v>9</v>
          </cell>
          <cell r="D10">
            <v>49</v>
          </cell>
          <cell r="E10">
            <v>10</v>
          </cell>
          <cell r="F10">
            <v>7</v>
          </cell>
          <cell r="H10">
            <v>88</v>
          </cell>
          <cell r="I10">
            <v>20</v>
          </cell>
        </row>
        <row r="11">
          <cell r="A11">
            <v>8</v>
          </cell>
          <cell r="B11">
            <v>101</v>
          </cell>
          <cell r="C11">
            <v>9</v>
          </cell>
          <cell r="D11">
            <v>51</v>
          </cell>
          <cell r="E11">
            <v>10</v>
          </cell>
          <cell r="F11">
            <v>7</v>
          </cell>
          <cell r="H11">
            <v>91</v>
          </cell>
          <cell r="I11">
            <v>20</v>
          </cell>
        </row>
        <row r="12">
          <cell r="A12">
            <v>9</v>
          </cell>
          <cell r="B12">
            <v>105</v>
          </cell>
          <cell r="C12">
            <v>9</v>
          </cell>
          <cell r="D12">
            <v>53</v>
          </cell>
          <cell r="E12">
            <v>11</v>
          </cell>
          <cell r="F12">
            <v>7</v>
          </cell>
          <cell r="H12">
            <v>94</v>
          </cell>
          <cell r="I12">
            <v>21</v>
          </cell>
        </row>
        <row r="13">
          <cell r="A13">
            <v>10</v>
          </cell>
          <cell r="B13">
            <v>108</v>
          </cell>
          <cell r="C13">
            <v>10</v>
          </cell>
          <cell r="D13">
            <v>54</v>
          </cell>
          <cell r="E13">
            <v>11</v>
          </cell>
          <cell r="F13">
            <v>8</v>
          </cell>
          <cell r="H13">
            <v>98</v>
          </cell>
          <cell r="I13">
            <v>22</v>
          </cell>
        </row>
        <row r="14">
          <cell r="A14">
            <v>11</v>
          </cell>
          <cell r="B14">
            <v>112</v>
          </cell>
          <cell r="C14">
            <v>10</v>
          </cell>
          <cell r="D14">
            <v>56</v>
          </cell>
          <cell r="E14">
            <v>11</v>
          </cell>
          <cell r="F14">
            <v>8</v>
          </cell>
          <cell r="H14">
            <v>101</v>
          </cell>
          <cell r="I14">
            <v>22</v>
          </cell>
        </row>
        <row r="15">
          <cell r="A15">
            <v>12</v>
          </cell>
          <cell r="B15">
            <v>116</v>
          </cell>
          <cell r="C15">
            <v>10</v>
          </cell>
          <cell r="D15">
            <v>58</v>
          </cell>
          <cell r="E15">
            <v>12</v>
          </cell>
          <cell r="F15">
            <v>8</v>
          </cell>
          <cell r="H15">
            <v>104</v>
          </cell>
          <cell r="I15">
            <v>23</v>
          </cell>
        </row>
        <row r="16">
          <cell r="A16">
            <v>13</v>
          </cell>
          <cell r="B16">
            <v>120</v>
          </cell>
          <cell r="C16">
            <v>11</v>
          </cell>
          <cell r="D16">
            <v>60</v>
          </cell>
          <cell r="E16">
            <v>12</v>
          </cell>
          <cell r="F16">
            <v>8</v>
          </cell>
          <cell r="H16">
            <v>108</v>
          </cell>
          <cell r="I16">
            <v>24</v>
          </cell>
        </row>
        <row r="17">
          <cell r="A17">
            <v>14</v>
          </cell>
          <cell r="B17">
            <v>124</v>
          </cell>
          <cell r="C17">
            <v>11</v>
          </cell>
          <cell r="D17">
            <v>62</v>
          </cell>
          <cell r="E17">
            <v>12</v>
          </cell>
          <cell r="F17">
            <v>9</v>
          </cell>
          <cell r="H17">
            <v>111</v>
          </cell>
          <cell r="I17">
            <v>25</v>
          </cell>
        </row>
        <row r="18">
          <cell r="A18">
            <v>15</v>
          </cell>
          <cell r="B18">
            <v>128</v>
          </cell>
          <cell r="C18">
            <v>11</v>
          </cell>
          <cell r="D18">
            <v>64</v>
          </cell>
          <cell r="E18">
            <v>13</v>
          </cell>
          <cell r="F18">
            <v>9</v>
          </cell>
          <cell r="H18">
            <v>115</v>
          </cell>
          <cell r="I18">
            <v>26</v>
          </cell>
        </row>
        <row r="19">
          <cell r="A19">
            <v>16</v>
          </cell>
          <cell r="B19">
            <v>132</v>
          </cell>
          <cell r="C19">
            <v>12</v>
          </cell>
          <cell r="D19">
            <v>66</v>
          </cell>
          <cell r="E19">
            <v>13</v>
          </cell>
          <cell r="F19">
            <v>9</v>
          </cell>
          <cell r="H19">
            <v>119</v>
          </cell>
          <cell r="I19">
            <v>26</v>
          </cell>
        </row>
        <row r="20">
          <cell r="A20">
            <v>17</v>
          </cell>
          <cell r="B20">
            <v>137</v>
          </cell>
          <cell r="C20">
            <v>12</v>
          </cell>
          <cell r="D20">
            <v>69</v>
          </cell>
          <cell r="E20">
            <v>14</v>
          </cell>
          <cell r="F20">
            <v>10</v>
          </cell>
          <cell r="H20">
            <v>123</v>
          </cell>
          <cell r="I20">
            <v>27</v>
          </cell>
        </row>
        <row r="21">
          <cell r="A21">
            <v>18</v>
          </cell>
          <cell r="B21">
            <v>142</v>
          </cell>
          <cell r="C21">
            <v>13</v>
          </cell>
          <cell r="D21">
            <v>71</v>
          </cell>
          <cell r="E21">
            <v>14</v>
          </cell>
          <cell r="F21">
            <v>10</v>
          </cell>
          <cell r="H21">
            <v>128</v>
          </cell>
          <cell r="I21">
            <v>28</v>
          </cell>
        </row>
        <row r="22">
          <cell r="A22">
            <v>19</v>
          </cell>
          <cell r="B22">
            <v>147</v>
          </cell>
          <cell r="C22">
            <v>13</v>
          </cell>
          <cell r="D22">
            <v>74</v>
          </cell>
          <cell r="E22">
            <v>15</v>
          </cell>
          <cell r="F22">
            <v>10</v>
          </cell>
          <cell r="H22">
            <v>132</v>
          </cell>
          <cell r="I22">
            <v>29</v>
          </cell>
        </row>
        <row r="23">
          <cell r="A23">
            <v>20</v>
          </cell>
          <cell r="B23">
            <v>152</v>
          </cell>
          <cell r="C23">
            <v>14</v>
          </cell>
          <cell r="D23">
            <v>76</v>
          </cell>
          <cell r="E23">
            <v>15</v>
          </cell>
          <cell r="F23">
            <v>11</v>
          </cell>
          <cell r="H23">
            <v>136</v>
          </cell>
          <cell r="I23">
            <v>30</v>
          </cell>
        </row>
        <row r="24">
          <cell r="A24">
            <v>21</v>
          </cell>
          <cell r="B24">
            <v>157</v>
          </cell>
          <cell r="C24">
            <v>14</v>
          </cell>
          <cell r="D24">
            <v>79</v>
          </cell>
          <cell r="E24">
            <v>16</v>
          </cell>
          <cell r="F24">
            <v>11</v>
          </cell>
          <cell r="H24">
            <v>141</v>
          </cell>
          <cell r="I24">
            <v>31</v>
          </cell>
        </row>
        <row r="25">
          <cell r="A25">
            <v>22</v>
          </cell>
          <cell r="B25">
            <v>162</v>
          </cell>
          <cell r="C25">
            <v>14</v>
          </cell>
          <cell r="D25">
            <v>81</v>
          </cell>
          <cell r="E25">
            <v>16</v>
          </cell>
          <cell r="F25">
            <v>11</v>
          </cell>
          <cell r="H25">
            <v>146</v>
          </cell>
          <cell r="I25">
            <v>32</v>
          </cell>
        </row>
        <row r="26">
          <cell r="A26">
            <v>23</v>
          </cell>
          <cell r="B26">
            <v>168</v>
          </cell>
          <cell r="C26">
            <v>15</v>
          </cell>
          <cell r="D26">
            <v>84</v>
          </cell>
          <cell r="E26">
            <v>17</v>
          </cell>
          <cell r="F26">
            <v>12</v>
          </cell>
          <cell r="H26">
            <v>151</v>
          </cell>
          <cell r="I26">
            <v>34</v>
          </cell>
        </row>
        <row r="27">
          <cell r="A27">
            <v>24</v>
          </cell>
          <cell r="B27">
            <v>173</v>
          </cell>
          <cell r="C27">
            <v>15</v>
          </cell>
          <cell r="D27">
            <v>87</v>
          </cell>
          <cell r="E27">
            <v>17</v>
          </cell>
          <cell r="F27">
            <v>12</v>
          </cell>
          <cell r="H27">
            <v>156</v>
          </cell>
          <cell r="I27">
            <v>35</v>
          </cell>
        </row>
        <row r="28">
          <cell r="A28">
            <v>25</v>
          </cell>
          <cell r="B28">
            <v>179</v>
          </cell>
          <cell r="C28">
            <v>16</v>
          </cell>
          <cell r="D28">
            <v>90</v>
          </cell>
          <cell r="E28">
            <v>18</v>
          </cell>
          <cell r="F28">
            <v>13</v>
          </cell>
          <cell r="H28">
            <v>161</v>
          </cell>
          <cell r="I28">
            <v>36</v>
          </cell>
        </row>
        <row r="29">
          <cell r="A29">
            <v>26</v>
          </cell>
          <cell r="B29">
            <v>185</v>
          </cell>
          <cell r="C29">
            <v>16</v>
          </cell>
          <cell r="D29">
            <v>93</v>
          </cell>
          <cell r="E29">
            <v>19</v>
          </cell>
          <cell r="F29">
            <v>13</v>
          </cell>
          <cell r="H29">
            <v>167</v>
          </cell>
          <cell r="I29">
            <v>37</v>
          </cell>
        </row>
        <row r="30">
          <cell r="A30">
            <v>27</v>
          </cell>
          <cell r="B30">
            <v>192</v>
          </cell>
          <cell r="C30">
            <v>17</v>
          </cell>
          <cell r="D30">
            <v>96</v>
          </cell>
          <cell r="E30">
            <v>19</v>
          </cell>
          <cell r="F30">
            <v>13</v>
          </cell>
          <cell r="H30">
            <v>173</v>
          </cell>
          <cell r="I30">
            <v>38</v>
          </cell>
        </row>
        <row r="31">
          <cell r="A31">
            <v>28</v>
          </cell>
          <cell r="B31">
            <v>198</v>
          </cell>
          <cell r="C31">
            <v>18</v>
          </cell>
          <cell r="D31">
            <v>99</v>
          </cell>
          <cell r="E31">
            <v>20</v>
          </cell>
          <cell r="F31">
            <v>14</v>
          </cell>
          <cell r="H31">
            <v>179</v>
          </cell>
          <cell r="I31">
            <v>40</v>
          </cell>
        </row>
        <row r="32">
          <cell r="A32">
            <v>29</v>
          </cell>
          <cell r="B32">
            <v>205</v>
          </cell>
          <cell r="C32">
            <v>18</v>
          </cell>
          <cell r="D32">
            <v>103</v>
          </cell>
          <cell r="E32">
            <v>21</v>
          </cell>
          <cell r="F32">
            <v>14</v>
          </cell>
          <cell r="H32">
            <v>185</v>
          </cell>
          <cell r="I32">
            <v>41</v>
          </cell>
        </row>
        <row r="33">
          <cell r="A33">
            <v>30</v>
          </cell>
          <cell r="B33">
            <v>212</v>
          </cell>
          <cell r="C33">
            <v>19</v>
          </cell>
          <cell r="D33">
            <v>106</v>
          </cell>
          <cell r="E33">
            <v>21</v>
          </cell>
          <cell r="F33">
            <v>15</v>
          </cell>
          <cell r="H33">
            <v>191</v>
          </cell>
          <cell r="I33">
            <v>42</v>
          </cell>
        </row>
        <row r="34">
          <cell r="A34">
            <v>31</v>
          </cell>
          <cell r="B34">
            <v>219</v>
          </cell>
          <cell r="C34">
            <v>19</v>
          </cell>
          <cell r="D34">
            <v>110</v>
          </cell>
          <cell r="E34">
            <v>22</v>
          </cell>
          <cell r="F34">
            <v>15</v>
          </cell>
          <cell r="H34">
            <v>197</v>
          </cell>
          <cell r="I34">
            <v>44</v>
          </cell>
        </row>
        <row r="35">
          <cell r="A35">
            <v>32</v>
          </cell>
          <cell r="B35">
            <v>227</v>
          </cell>
          <cell r="C35">
            <v>20</v>
          </cell>
          <cell r="D35">
            <v>114</v>
          </cell>
          <cell r="E35">
            <v>23</v>
          </cell>
          <cell r="F35">
            <v>16</v>
          </cell>
          <cell r="H35">
            <v>204</v>
          </cell>
          <cell r="I35">
            <v>45</v>
          </cell>
        </row>
        <row r="36">
          <cell r="A36">
            <v>33</v>
          </cell>
          <cell r="B36">
            <v>235</v>
          </cell>
          <cell r="C36">
            <v>21</v>
          </cell>
          <cell r="D36">
            <v>118</v>
          </cell>
          <cell r="E36">
            <v>24</v>
          </cell>
          <cell r="F36">
            <v>16</v>
          </cell>
          <cell r="H36">
            <v>211</v>
          </cell>
          <cell r="I36">
            <v>47</v>
          </cell>
        </row>
        <row r="37">
          <cell r="A37">
            <v>34</v>
          </cell>
          <cell r="B37">
            <v>243</v>
          </cell>
          <cell r="C37">
            <v>21</v>
          </cell>
          <cell r="D37">
            <v>122</v>
          </cell>
          <cell r="E37">
            <v>24</v>
          </cell>
          <cell r="F37">
            <v>17</v>
          </cell>
          <cell r="H37">
            <v>218</v>
          </cell>
          <cell r="I37">
            <v>49</v>
          </cell>
        </row>
        <row r="38">
          <cell r="A38">
            <v>35</v>
          </cell>
          <cell r="B38">
            <v>251</v>
          </cell>
          <cell r="C38">
            <v>22</v>
          </cell>
          <cell r="D38">
            <v>126</v>
          </cell>
          <cell r="E38">
            <v>25</v>
          </cell>
          <cell r="F38">
            <v>18</v>
          </cell>
          <cell r="H38">
            <v>226</v>
          </cell>
          <cell r="I38">
            <v>50</v>
          </cell>
        </row>
        <row r="39">
          <cell r="A39">
            <v>36</v>
          </cell>
          <cell r="B39">
            <v>260</v>
          </cell>
          <cell r="C39">
            <v>23</v>
          </cell>
          <cell r="D39">
            <v>130</v>
          </cell>
          <cell r="E39">
            <v>26</v>
          </cell>
          <cell r="F39">
            <v>18</v>
          </cell>
          <cell r="H39">
            <v>234</v>
          </cell>
          <cell r="I39">
            <v>52</v>
          </cell>
        </row>
        <row r="40">
          <cell r="A40">
            <v>37</v>
          </cell>
          <cell r="B40">
            <v>268</v>
          </cell>
          <cell r="C40">
            <v>24</v>
          </cell>
          <cell r="D40">
            <v>134</v>
          </cell>
          <cell r="E40">
            <v>27</v>
          </cell>
          <cell r="F40">
            <v>19</v>
          </cell>
          <cell r="H40">
            <v>242</v>
          </cell>
          <cell r="I40">
            <v>54</v>
          </cell>
        </row>
        <row r="41">
          <cell r="A41">
            <v>38</v>
          </cell>
          <cell r="B41">
            <v>278</v>
          </cell>
          <cell r="C41">
            <v>25</v>
          </cell>
          <cell r="D41">
            <v>139</v>
          </cell>
          <cell r="E41">
            <v>28</v>
          </cell>
          <cell r="F41">
            <v>19</v>
          </cell>
          <cell r="H41">
            <v>250</v>
          </cell>
          <cell r="I41">
            <v>56</v>
          </cell>
        </row>
        <row r="42">
          <cell r="A42">
            <v>39</v>
          </cell>
          <cell r="B42">
            <v>287</v>
          </cell>
          <cell r="C42">
            <v>25</v>
          </cell>
          <cell r="D42">
            <v>144</v>
          </cell>
          <cell r="E42">
            <v>29</v>
          </cell>
          <cell r="F42">
            <v>20</v>
          </cell>
          <cell r="H42">
            <v>258</v>
          </cell>
          <cell r="I42">
            <v>57</v>
          </cell>
        </row>
        <row r="43">
          <cell r="A43">
            <v>40</v>
          </cell>
          <cell r="B43">
            <v>297</v>
          </cell>
          <cell r="C43">
            <v>26</v>
          </cell>
          <cell r="D43">
            <v>149</v>
          </cell>
          <cell r="E43">
            <v>30</v>
          </cell>
          <cell r="F43">
            <v>21</v>
          </cell>
          <cell r="H43">
            <v>267</v>
          </cell>
          <cell r="I43">
            <v>59</v>
          </cell>
        </row>
        <row r="44">
          <cell r="A44">
            <v>41</v>
          </cell>
          <cell r="B44">
            <v>307</v>
          </cell>
          <cell r="C44">
            <v>27</v>
          </cell>
          <cell r="D44">
            <v>154</v>
          </cell>
          <cell r="E44">
            <v>31</v>
          </cell>
          <cell r="F44">
            <v>22</v>
          </cell>
          <cell r="H44">
            <v>276</v>
          </cell>
          <cell r="I44">
            <v>61</v>
          </cell>
        </row>
        <row r="45">
          <cell r="A45">
            <v>42</v>
          </cell>
          <cell r="B45">
            <v>318</v>
          </cell>
          <cell r="C45">
            <v>28</v>
          </cell>
          <cell r="D45">
            <v>159</v>
          </cell>
          <cell r="E45">
            <v>32</v>
          </cell>
          <cell r="F45">
            <v>22</v>
          </cell>
          <cell r="H45">
            <v>286</v>
          </cell>
          <cell r="I45">
            <v>64</v>
          </cell>
        </row>
        <row r="46">
          <cell r="A46">
            <v>43</v>
          </cell>
          <cell r="B46">
            <v>328</v>
          </cell>
          <cell r="C46">
            <v>29</v>
          </cell>
          <cell r="D46">
            <v>164</v>
          </cell>
          <cell r="E46">
            <v>33</v>
          </cell>
          <cell r="F46">
            <v>23</v>
          </cell>
          <cell r="H46">
            <v>296</v>
          </cell>
          <cell r="I46">
            <v>66</v>
          </cell>
        </row>
        <row r="47">
          <cell r="A47">
            <v>44</v>
          </cell>
          <cell r="B47">
            <v>340</v>
          </cell>
          <cell r="C47">
            <v>30</v>
          </cell>
          <cell r="D47">
            <v>170</v>
          </cell>
          <cell r="E47">
            <v>34</v>
          </cell>
          <cell r="F47">
            <v>24</v>
          </cell>
          <cell r="H47">
            <v>306</v>
          </cell>
          <cell r="I47">
            <v>68</v>
          </cell>
        </row>
        <row r="48">
          <cell r="A48">
            <v>45</v>
          </cell>
          <cell r="B48">
            <v>351</v>
          </cell>
          <cell r="C48">
            <v>31</v>
          </cell>
          <cell r="D48">
            <v>176</v>
          </cell>
          <cell r="E48">
            <v>35</v>
          </cell>
          <cell r="F48">
            <v>25</v>
          </cell>
          <cell r="H48">
            <v>316</v>
          </cell>
          <cell r="I48">
            <v>70</v>
          </cell>
        </row>
        <row r="49">
          <cell r="A49">
            <v>46</v>
          </cell>
          <cell r="B49">
            <v>363</v>
          </cell>
          <cell r="C49">
            <v>32</v>
          </cell>
          <cell r="D49">
            <v>182</v>
          </cell>
          <cell r="E49">
            <v>36</v>
          </cell>
          <cell r="F49">
            <v>25</v>
          </cell>
          <cell r="H49">
            <v>327</v>
          </cell>
          <cell r="I49">
            <v>73</v>
          </cell>
        </row>
        <row r="50">
          <cell r="A50">
            <v>47</v>
          </cell>
          <cell r="B50">
            <v>376</v>
          </cell>
          <cell r="C50">
            <v>33</v>
          </cell>
          <cell r="D50">
            <v>188</v>
          </cell>
          <cell r="E50">
            <v>38</v>
          </cell>
          <cell r="F50">
            <v>26</v>
          </cell>
          <cell r="H50">
            <v>338</v>
          </cell>
          <cell r="I50">
            <v>75</v>
          </cell>
        </row>
        <row r="51">
          <cell r="A51">
            <v>48</v>
          </cell>
          <cell r="B51">
            <v>389</v>
          </cell>
          <cell r="C51">
            <v>34</v>
          </cell>
          <cell r="D51">
            <v>195</v>
          </cell>
          <cell r="E51">
            <v>39</v>
          </cell>
          <cell r="F51">
            <v>27</v>
          </cell>
          <cell r="H51">
            <v>350</v>
          </cell>
          <cell r="I51">
            <v>78</v>
          </cell>
        </row>
        <row r="52">
          <cell r="A52">
            <v>49</v>
          </cell>
          <cell r="B52">
            <v>402</v>
          </cell>
          <cell r="C52">
            <v>35</v>
          </cell>
          <cell r="D52">
            <v>201</v>
          </cell>
          <cell r="E52">
            <v>40</v>
          </cell>
          <cell r="F52">
            <v>28</v>
          </cell>
          <cell r="H52">
            <v>362</v>
          </cell>
          <cell r="I52">
            <v>80</v>
          </cell>
        </row>
        <row r="53">
          <cell r="A53">
            <v>50</v>
          </cell>
          <cell r="B53">
            <v>416</v>
          </cell>
          <cell r="C53">
            <v>37</v>
          </cell>
          <cell r="D53">
            <v>208</v>
          </cell>
          <cell r="E53">
            <v>42</v>
          </cell>
          <cell r="F53">
            <v>29</v>
          </cell>
          <cell r="H53">
            <v>374</v>
          </cell>
          <cell r="I53">
            <v>83</v>
          </cell>
        </row>
        <row r="54">
          <cell r="A54">
            <v>51</v>
          </cell>
          <cell r="B54">
            <v>430</v>
          </cell>
          <cell r="C54">
            <v>38</v>
          </cell>
          <cell r="D54">
            <v>215</v>
          </cell>
          <cell r="E54">
            <v>43</v>
          </cell>
          <cell r="F54">
            <v>30</v>
          </cell>
          <cell r="H54">
            <v>387</v>
          </cell>
          <cell r="I54">
            <v>86</v>
          </cell>
        </row>
        <row r="55">
          <cell r="A55">
            <v>52</v>
          </cell>
          <cell r="B55">
            <v>445</v>
          </cell>
          <cell r="C55">
            <v>39</v>
          </cell>
          <cell r="D55">
            <v>223</v>
          </cell>
          <cell r="E55">
            <v>45</v>
          </cell>
          <cell r="F55">
            <v>31</v>
          </cell>
          <cell r="H55">
            <v>400</v>
          </cell>
          <cell r="I55">
            <v>89</v>
          </cell>
        </row>
        <row r="56">
          <cell r="A56">
            <v>53</v>
          </cell>
          <cell r="B56">
            <v>460</v>
          </cell>
          <cell r="C56">
            <v>40</v>
          </cell>
          <cell r="D56">
            <v>230</v>
          </cell>
          <cell r="E56">
            <v>46</v>
          </cell>
          <cell r="F56">
            <v>32</v>
          </cell>
          <cell r="H56">
            <v>414</v>
          </cell>
          <cell r="I56">
            <v>92</v>
          </cell>
        </row>
        <row r="57">
          <cell r="A57">
            <v>54</v>
          </cell>
          <cell r="B57">
            <v>475</v>
          </cell>
          <cell r="C57">
            <v>42</v>
          </cell>
          <cell r="D57">
            <v>238</v>
          </cell>
          <cell r="E57">
            <v>48</v>
          </cell>
          <cell r="F57">
            <v>33</v>
          </cell>
          <cell r="H57">
            <v>428</v>
          </cell>
          <cell r="I57">
            <v>95</v>
          </cell>
        </row>
        <row r="58">
          <cell r="A58">
            <v>55</v>
          </cell>
          <cell r="B58">
            <v>492</v>
          </cell>
          <cell r="C58">
            <v>43</v>
          </cell>
          <cell r="D58">
            <v>246</v>
          </cell>
          <cell r="E58">
            <v>49</v>
          </cell>
          <cell r="F58">
            <v>34</v>
          </cell>
          <cell r="H58">
            <v>443</v>
          </cell>
          <cell r="I58">
            <v>98</v>
          </cell>
        </row>
        <row r="59">
          <cell r="A59">
            <v>56</v>
          </cell>
          <cell r="B59">
            <v>509</v>
          </cell>
          <cell r="C59">
            <v>45</v>
          </cell>
          <cell r="D59">
            <v>255</v>
          </cell>
          <cell r="E59">
            <v>51</v>
          </cell>
          <cell r="F59">
            <v>36</v>
          </cell>
          <cell r="H59">
            <v>458</v>
          </cell>
          <cell r="I59">
            <v>102</v>
          </cell>
        </row>
        <row r="60">
          <cell r="A60">
            <v>57</v>
          </cell>
          <cell r="B60">
            <v>526</v>
          </cell>
          <cell r="C60">
            <v>46</v>
          </cell>
          <cell r="D60">
            <v>263</v>
          </cell>
          <cell r="E60">
            <v>53</v>
          </cell>
          <cell r="F60">
            <v>37</v>
          </cell>
          <cell r="H60">
            <v>473</v>
          </cell>
          <cell r="I60">
            <v>105</v>
          </cell>
        </row>
        <row r="61">
          <cell r="A61">
            <v>58</v>
          </cell>
          <cell r="B61">
            <v>544</v>
          </cell>
          <cell r="C61">
            <v>48</v>
          </cell>
          <cell r="D61">
            <v>272</v>
          </cell>
          <cell r="E61">
            <v>54</v>
          </cell>
          <cell r="F61">
            <v>38</v>
          </cell>
          <cell r="H61">
            <v>490</v>
          </cell>
          <cell r="I61">
            <v>109</v>
          </cell>
        </row>
        <row r="62">
          <cell r="A62">
            <v>59</v>
          </cell>
          <cell r="B62">
            <v>563</v>
          </cell>
          <cell r="C62">
            <v>49</v>
          </cell>
          <cell r="D62">
            <v>282</v>
          </cell>
          <cell r="E62">
            <v>56</v>
          </cell>
          <cell r="F62">
            <v>39</v>
          </cell>
          <cell r="H62">
            <v>506</v>
          </cell>
          <cell r="I62">
            <v>113</v>
          </cell>
        </row>
        <row r="63">
          <cell r="A63">
            <v>60</v>
          </cell>
          <cell r="B63">
            <v>582</v>
          </cell>
          <cell r="C63">
            <v>51</v>
          </cell>
          <cell r="D63">
            <v>291</v>
          </cell>
          <cell r="E63">
            <v>58</v>
          </cell>
          <cell r="F63">
            <v>41</v>
          </cell>
          <cell r="H63">
            <v>524</v>
          </cell>
          <cell r="I63">
            <v>116</v>
          </cell>
        </row>
        <row r="64">
          <cell r="A64">
            <v>61</v>
          </cell>
          <cell r="B64">
            <v>602</v>
          </cell>
          <cell r="C64">
            <v>53</v>
          </cell>
          <cell r="D64">
            <v>301</v>
          </cell>
          <cell r="E64">
            <v>60</v>
          </cell>
          <cell r="F64">
            <v>42</v>
          </cell>
          <cell r="H64">
            <v>542</v>
          </cell>
          <cell r="I64">
            <v>120</v>
          </cell>
        </row>
        <row r="65">
          <cell r="A65">
            <v>62</v>
          </cell>
          <cell r="B65">
            <v>622</v>
          </cell>
          <cell r="C65">
            <v>55</v>
          </cell>
          <cell r="D65">
            <v>311</v>
          </cell>
          <cell r="E65">
            <v>62</v>
          </cell>
          <cell r="F65">
            <v>44</v>
          </cell>
          <cell r="H65">
            <v>560</v>
          </cell>
          <cell r="I65">
            <v>124</v>
          </cell>
        </row>
        <row r="66">
          <cell r="A66">
            <v>63</v>
          </cell>
          <cell r="B66">
            <v>644</v>
          </cell>
          <cell r="C66">
            <v>57</v>
          </cell>
          <cell r="D66">
            <v>322</v>
          </cell>
          <cell r="E66">
            <v>64</v>
          </cell>
          <cell r="F66">
            <v>45</v>
          </cell>
          <cell r="H66">
            <v>579</v>
          </cell>
          <cell r="I66">
            <v>129</v>
          </cell>
        </row>
        <row r="67">
          <cell r="A67">
            <v>64</v>
          </cell>
          <cell r="B67">
            <v>666</v>
          </cell>
          <cell r="C67">
            <v>58</v>
          </cell>
          <cell r="D67">
            <v>333</v>
          </cell>
          <cell r="E67">
            <v>67</v>
          </cell>
          <cell r="F67">
            <v>47</v>
          </cell>
          <cell r="H67">
            <v>599</v>
          </cell>
          <cell r="I67">
            <v>133</v>
          </cell>
        </row>
        <row r="68">
          <cell r="A68">
            <v>65</v>
          </cell>
          <cell r="B68">
            <v>688</v>
          </cell>
          <cell r="C68">
            <v>60</v>
          </cell>
          <cell r="D68">
            <v>344</v>
          </cell>
          <cell r="E68">
            <v>69</v>
          </cell>
          <cell r="F68">
            <v>48</v>
          </cell>
          <cell r="H68">
            <v>620</v>
          </cell>
          <cell r="I68">
            <v>138</v>
          </cell>
        </row>
        <row r="69">
          <cell r="A69">
            <v>66</v>
          </cell>
          <cell r="B69">
            <v>712</v>
          </cell>
          <cell r="C69">
            <v>63</v>
          </cell>
          <cell r="D69">
            <v>356</v>
          </cell>
          <cell r="E69">
            <v>71</v>
          </cell>
          <cell r="F69">
            <v>50</v>
          </cell>
          <cell r="H69">
            <v>641</v>
          </cell>
          <cell r="I69">
            <v>142</v>
          </cell>
        </row>
        <row r="70">
          <cell r="A70">
            <v>67</v>
          </cell>
          <cell r="B70">
            <v>736</v>
          </cell>
          <cell r="C70">
            <v>65</v>
          </cell>
          <cell r="D70">
            <v>368</v>
          </cell>
          <cell r="E70">
            <v>74</v>
          </cell>
          <cell r="F70">
            <v>52</v>
          </cell>
          <cell r="H70">
            <v>663</v>
          </cell>
          <cell r="I70">
            <v>147</v>
          </cell>
        </row>
        <row r="71">
          <cell r="A71">
            <v>68</v>
          </cell>
          <cell r="B71">
            <v>761</v>
          </cell>
          <cell r="C71">
            <v>67</v>
          </cell>
          <cell r="D71">
            <v>381</v>
          </cell>
          <cell r="E71">
            <v>76</v>
          </cell>
          <cell r="F71">
            <v>53</v>
          </cell>
          <cell r="H71">
            <v>685</v>
          </cell>
          <cell r="I71">
            <v>152</v>
          </cell>
        </row>
        <row r="72">
          <cell r="A72">
            <v>69</v>
          </cell>
          <cell r="B72">
            <v>787</v>
          </cell>
          <cell r="C72">
            <v>69</v>
          </cell>
          <cell r="D72">
            <v>394</v>
          </cell>
          <cell r="E72">
            <v>79</v>
          </cell>
          <cell r="F72">
            <v>55</v>
          </cell>
          <cell r="H72">
            <v>709</v>
          </cell>
          <cell r="I72">
            <v>157</v>
          </cell>
        </row>
        <row r="73">
          <cell r="A73">
            <v>70</v>
          </cell>
          <cell r="B73">
            <v>814</v>
          </cell>
          <cell r="C73">
            <v>72</v>
          </cell>
          <cell r="D73">
            <v>407</v>
          </cell>
          <cell r="E73">
            <v>81</v>
          </cell>
          <cell r="F73">
            <v>57</v>
          </cell>
          <cell r="H73">
            <v>733</v>
          </cell>
          <cell r="I73">
            <v>163</v>
          </cell>
        </row>
        <row r="74">
          <cell r="A74">
            <v>71</v>
          </cell>
          <cell r="B74">
            <v>842</v>
          </cell>
          <cell r="C74">
            <v>74</v>
          </cell>
          <cell r="D74">
            <v>421</v>
          </cell>
          <cell r="E74">
            <v>84</v>
          </cell>
          <cell r="F74">
            <v>59</v>
          </cell>
          <cell r="H74">
            <v>758</v>
          </cell>
          <cell r="I74">
            <v>168</v>
          </cell>
        </row>
        <row r="75">
          <cell r="A75">
            <v>72</v>
          </cell>
          <cell r="B75">
            <v>871</v>
          </cell>
          <cell r="C75">
            <v>76</v>
          </cell>
          <cell r="D75">
            <v>436</v>
          </cell>
          <cell r="E75">
            <v>87</v>
          </cell>
          <cell r="F75">
            <v>61</v>
          </cell>
          <cell r="H75">
            <v>784</v>
          </cell>
          <cell r="I75">
            <v>174</v>
          </cell>
        </row>
        <row r="76">
          <cell r="A76">
            <v>73</v>
          </cell>
          <cell r="B76">
            <v>901</v>
          </cell>
          <cell r="C76">
            <v>79</v>
          </cell>
          <cell r="D76">
            <v>451</v>
          </cell>
          <cell r="E76">
            <v>90</v>
          </cell>
          <cell r="F76">
            <v>63</v>
          </cell>
          <cell r="H76">
            <v>811</v>
          </cell>
          <cell r="I76">
            <v>180</v>
          </cell>
        </row>
        <row r="77">
          <cell r="A77">
            <v>74</v>
          </cell>
          <cell r="B77">
            <v>932</v>
          </cell>
          <cell r="C77">
            <v>82</v>
          </cell>
          <cell r="D77">
            <v>466</v>
          </cell>
          <cell r="E77">
            <v>93</v>
          </cell>
          <cell r="F77">
            <v>65</v>
          </cell>
          <cell r="H77">
            <v>839</v>
          </cell>
          <cell r="I77">
            <v>186</v>
          </cell>
        </row>
        <row r="78">
          <cell r="A78">
            <v>75</v>
          </cell>
          <cell r="B78">
            <v>963</v>
          </cell>
          <cell r="C78">
            <v>85</v>
          </cell>
          <cell r="D78">
            <v>482</v>
          </cell>
          <cell r="E78">
            <v>96</v>
          </cell>
          <cell r="F78">
            <v>67</v>
          </cell>
          <cell r="H78">
            <v>867</v>
          </cell>
          <cell r="I78">
            <v>193</v>
          </cell>
        </row>
        <row r="79">
          <cell r="A79">
            <v>76</v>
          </cell>
          <cell r="B79">
            <v>996</v>
          </cell>
          <cell r="C79">
            <v>87</v>
          </cell>
          <cell r="D79">
            <v>498</v>
          </cell>
          <cell r="E79">
            <v>100</v>
          </cell>
          <cell r="F79">
            <v>70</v>
          </cell>
          <cell r="H79">
            <v>897</v>
          </cell>
          <cell r="I79">
            <v>199</v>
          </cell>
        </row>
        <row r="80">
          <cell r="A80">
            <v>77</v>
          </cell>
          <cell r="B80">
            <v>1030</v>
          </cell>
          <cell r="C80">
            <v>90</v>
          </cell>
          <cell r="D80">
            <v>515</v>
          </cell>
          <cell r="E80">
            <v>103</v>
          </cell>
          <cell r="F80">
            <v>72</v>
          </cell>
          <cell r="H80">
            <v>927</v>
          </cell>
          <cell r="I80">
            <v>206</v>
          </cell>
        </row>
        <row r="81">
          <cell r="A81">
            <v>78</v>
          </cell>
          <cell r="B81">
            <v>1066</v>
          </cell>
          <cell r="C81">
            <v>94</v>
          </cell>
          <cell r="D81">
            <v>533</v>
          </cell>
          <cell r="E81">
            <v>107</v>
          </cell>
          <cell r="F81">
            <v>75</v>
          </cell>
          <cell r="H81">
            <v>959</v>
          </cell>
          <cell r="I81">
            <v>213</v>
          </cell>
        </row>
        <row r="82">
          <cell r="A82">
            <v>79</v>
          </cell>
          <cell r="B82">
            <v>1102</v>
          </cell>
          <cell r="C82">
            <v>97</v>
          </cell>
          <cell r="D82">
            <v>551</v>
          </cell>
          <cell r="E82">
            <v>110</v>
          </cell>
          <cell r="F82">
            <v>77</v>
          </cell>
          <cell r="H82">
            <v>992</v>
          </cell>
          <cell r="I82">
            <v>220</v>
          </cell>
        </row>
        <row r="83">
          <cell r="A83">
            <v>80</v>
          </cell>
          <cell r="B83">
            <v>1140</v>
          </cell>
          <cell r="C83">
            <v>100</v>
          </cell>
          <cell r="D83">
            <v>570</v>
          </cell>
          <cell r="E83">
            <v>114</v>
          </cell>
          <cell r="F83">
            <v>80</v>
          </cell>
          <cell r="H83">
            <v>1026</v>
          </cell>
          <cell r="I83">
            <v>228</v>
          </cell>
        </row>
        <row r="84">
          <cell r="A84">
            <v>81</v>
          </cell>
          <cell r="B84">
            <v>1179</v>
          </cell>
          <cell r="C84">
            <v>103</v>
          </cell>
          <cell r="D84">
            <v>590</v>
          </cell>
          <cell r="E84">
            <v>118</v>
          </cell>
          <cell r="F84">
            <v>83</v>
          </cell>
          <cell r="H84">
            <v>1061</v>
          </cell>
          <cell r="I84">
            <v>236</v>
          </cell>
        </row>
        <row r="85">
          <cell r="A85">
            <v>82</v>
          </cell>
          <cell r="B85">
            <v>1219</v>
          </cell>
          <cell r="C85">
            <v>107</v>
          </cell>
          <cell r="D85">
            <v>610</v>
          </cell>
          <cell r="E85">
            <v>122</v>
          </cell>
          <cell r="F85">
            <v>85</v>
          </cell>
          <cell r="H85">
            <v>1097</v>
          </cell>
          <cell r="I85">
            <v>244</v>
          </cell>
        </row>
        <row r="86">
          <cell r="A86">
            <v>83</v>
          </cell>
          <cell r="B86">
            <v>1261</v>
          </cell>
          <cell r="C86">
            <v>111</v>
          </cell>
          <cell r="D86">
            <v>631</v>
          </cell>
          <cell r="E86">
            <v>126</v>
          </cell>
          <cell r="F86">
            <v>88</v>
          </cell>
          <cell r="H86">
            <v>1135</v>
          </cell>
          <cell r="I86">
            <v>252</v>
          </cell>
        </row>
        <row r="87">
          <cell r="A87">
            <v>84</v>
          </cell>
          <cell r="B87">
            <v>1304</v>
          </cell>
          <cell r="C87">
            <v>114</v>
          </cell>
          <cell r="D87">
            <v>652</v>
          </cell>
          <cell r="E87">
            <v>130</v>
          </cell>
          <cell r="F87">
            <v>91</v>
          </cell>
          <cell r="H87">
            <v>1174</v>
          </cell>
          <cell r="I87">
            <v>261</v>
          </cell>
        </row>
        <row r="88">
          <cell r="A88">
            <v>85</v>
          </cell>
          <cell r="B88">
            <v>1349</v>
          </cell>
          <cell r="C88">
            <v>118</v>
          </cell>
          <cell r="D88">
            <v>675</v>
          </cell>
          <cell r="E88">
            <v>135</v>
          </cell>
          <cell r="F88">
            <v>94</v>
          </cell>
          <cell r="H88">
            <v>1214</v>
          </cell>
          <cell r="I88">
            <v>270</v>
          </cell>
        </row>
        <row r="89">
          <cell r="A89">
            <v>86</v>
          </cell>
          <cell r="B89">
            <v>1395</v>
          </cell>
          <cell r="C89">
            <v>122</v>
          </cell>
          <cell r="D89">
            <v>698</v>
          </cell>
          <cell r="E89">
            <v>140</v>
          </cell>
          <cell r="F89">
            <v>98</v>
          </cell>
          <cell r="H89">
            <v>1255</v>
          </cell>
          <cell r="I89">
            <v>279</v>
          </cell>
        </row>
        <row r="90">
          <cell r="A90">
            <v>87</v>
          </cell>
          <cell r="B90">
            <v>1442</v>
          </cell>
          <cell r="C90">
            <v>126</v>
          </cell>
          <cell r="D90">
            <v>721</v>
          </cell>
          <cell r="E90">
            <v>144</v>
          </cell>
          <cell r="F90">
            <v>101</v>
          </cell>
          <cell r="H90">
            <v>1298</v>
          </cell>
          <cell r="I90">
            <v>288</v>
          </cell>
        </row>
        <row r="91">
          <cell r="A91">
            <v>88</v>
          </cell>
          <cell r="B91">
            <v>1492</v>
          </cell>
          <cell r="C91">
            <v>131</v>
          </cell>
          <cell r="D91">
            <v>746</v>
          </cell>
          <cell r="E91">
            <v>149</v>
          </cell>
          <cell r="F91">
            <v>104</v>
          </cell>
          <cell r="H91">
            <v>1343</v>
          </cell>
          <cell r="I91">
            <v>298</v>
          </cell>
        </row>
        <row r="92">
          <cell r="A92">
            <v>89</v>
          </cell>
          <cell r="B92">
            <v>1543</v>
          </cell>
          <cell r="C92">
            <v>135</v>
          </cell>
          <cell r="D92">
            <v>772</v>
          </cell>
          <cell r="E92">
            <v>154</v>
          </cell>
          <cell r="F92">
            <v>108</v>
          </cell>
          <cell r="H92">
            <v>1389</v>
          </cell>
          <cell r="I92">
            <v>309</v>
          </cell>
        </row>
        <row r="93">
          <cell r="A93">
            <v>90</v>
          </cell>
          <cell r="B93">
            <v>1596</v>
          </cell>
          <cell r="C93">
            <v>140</v>
          </cell>
          <cell r="D93">
            <v>798</v>
          </cell>
          <cell r="E93">
            <v>160</v>
          </cell>
          <cell r="F93">
            <v>112</v>
          </cell>
          <cell r="H93">
            <v>1436</v>
          </cell>
          <cell r="I93">
            <v>319</v>
          </cell>
        </row>
        <row r="94">
          <cell r="A94">
            <v>91</v>
          </cell>
          <cell r="B94">
            <v>1650</v>
          </cell>
          <cell r="C94">
            <v>145</v>
          </cell>
          <cell r="D94">
            <v>825</v>
          </cell>
          <cell r="E94">
            <v>165</v>
          </cell>
          <cell r="F94">
            <v>116</v>
          </cell>
          <cell r="H94">
            <v>1485</v>
          </cell>
          <cell r="I94">
            <v>330</v>
          </cell>
        </row>
        <row r="95">
          <cell r="A95">
            <v>92</v>
          </cell>
          <cell r="B95">
            <v>1707</v>
          </cell>
          <cell r="C95">
            <v>150</v>
          </cell>
          <cell r="D95">
            <v>854</v>
          </cell>
          <cell r="E95">
            <v>171</v>
          </cell>
          <cell r="F95">
            <v>120</v>
          </cell>
          <cell r="H95">
            <v>1536</v>
          </cell>
          <cell r="I95">
            <v>341</v>
          </cell>
        </row>
        <row r="96">
          <cell r="A96">
            <v>93</v>
          </cell>
          <cell r="B96">
            <v>1765</v>
          </cell>
          <cell r="C96">
            <v>155</v>
          </cell>
          <cell r="D96">
            <v>883</v>
          </cell>
          <cell r="E96">
            <v>177</v>
          </cell>
          <cell r="F96">
            <v>124</v>
          </cell>
          <cell r="H96">
            <v>1588</v>
          </cell>
          <cell r="I96">
            <v>353</v>
          </cell>
        </row>
        <row r="97">
          <cell r="A97">
            <v>94</v>
          </cell>
          <cell r="B97">
            <v>1825</v>
          </cell>
          <cell r="C97">
            <v>160</v>
          </cell>
          <cell r="D97">
            <v>913</v>
          </cell>
          <cell r="E97">
            <v>183</v>
          </cell>
          <cell r="F97">
            <v>128</v>
          </cell>
          <cell r="H97">
            <v>1643</v>
          </cell>
          <cell r="I97">
            <v>365</v>
          </cell>
        </row>
        <row r="98">
          <cell r="A98">
            <v>95</v>
          </cell>
          <cell r="B98">
            <v>1888</v>
          </cell>
          <cell r="C98">
            <v>165</v>
          </cell>
          <cell r="D98">
            <v>944</v>
          </cell>
          <cell r="E98">
            <v>189</v>
          </cell>
          <cell r="F98">
            <v>132</v>
          </cell>
          <cell r="H98">
            <v>1699</v>
          </cell>
          <cell r="I98">
            <v>378</v>
          </cell>
        </row>
        <row r="99">
          <cell r="A99">
            <v>96</v>
          </cell>
          <cell r="B99">
            <v>1952</v>
          </cell>
          <cell r="C99">
            <v>171</v>
          </cell>
          <cell r="D99">
            <v>976</v>
          </cell>
          <cell r="E99">
            <v>195</v>
          </cell>
          <cell r="F99">
            <v>137</v>
          </cell>
          <cell r="H99">
            <v>1757</v>
          </cell>
          <cell r="I99">
            <v>390</v>
          </cell>
        </row>
        <row r="100">
          <cell r="A100">
            <v>97</v>
          </cell>
          <cell r="B100">
            <v>2019</v>
          </cell>
          <cell r="C100">
            <v>177</v>
          </cell>
          <cell r="D100">
            <v>1010</v>
          </cell>
          <cell r="E100">
            <v>202</v>
          </cell>
          <cell r="F100">
            <v>141</v>
          </cell>
          <cell r="H100">
            <v>1817</v>
          </cell>
          <cell r="I100">
            <v>404</v>
          </cell>
        </row>
        <row r="101">
          <cell r="A101">
            <v>98</v>
          </cell>
          <cell r="B101">
            <v>2088</v>
          </cell>
          <cell r="C101">
            <v>183</v>
          </cell>
          <cell r="D101">
            <v>1044</v>
          </cell>
          <cell r="E101">
            <v>209</v>
          </cell>
          <cell r="F101">
            <v>146</v>
          </cell>
          <cell r="H101">
            <v>1879</v>
          </cell>
          <cell r="I101">
            <v>418</v>
          </cell>
        </row>
        <row r="102">
          <cell r="A102">
            <v>99</v>
          </cell>
          <cell r="B102">
            <v>2159</v>
          </cell>
          <cell r="C102">
            <v>189</v>
          </cell>
          <cell r="D102">
            <v>1080</v>
          </cell>
          <cell r="E102">
            <v>216</v>
          </cell>
          <cell r="F102">
            <v>151</v>
          </cell>
          <cell r="H102">
            <v>1944</v>
          </cell>
          <cell r="I102">
            <v>432</v>
          </cell>
        </row>
        <row r="103">
          <cell r="A103">
            <v>100</v>
          </cell>
          <cell r="B103">
            <v>2233</v>
          </cell>
          <cell r="C103">
            <v>196</v>
          </cell>
          <cell r="D103">
            <v>1117</v>
          </cell>
          <cell r="E103">
            <v>223</v>
          </cell>
          <cell r="F103">
            <v>156</v>
          </cell>
          <cell r="H103">
            <v>2010</v>
          </cell>
          <cell r="I103">
            <v>447</v>
          </cell>
        </row>
        <row r="104">
          <cell r="A104">
            <v>101</v>
          </cell>
          <cell r="B104">
            <v>2310</v>
          </cell>
          <cell r="C104">
            <v>202</v>
          </cell>
          <cell r="D104">
            <v>1155</v>
          </cell>
          <cell r="E104">
            <v>231</v>
          </cell>
          <cell r="F104">
            <v>162</v>
          </cell>
          <cell r="H104">
            <v>2079</v>
          </cell>
          <cell r="I104">
            <v>462</v>
          </cell>
        </row>
        <row r="105">
          <cell r="A105">
            <v>102</v>
          </cell>
          <cell r="B105">
            <v>2389</v>
          </cell>
          <cell r="C105">
            <v>209</v>
          </cell>
          <cell r="D105">
            <v>1195</v>
          </cell>
          <cell r="E105">
            <v>239</v>
          </cell>
          <cell r="F105">
            <v>167</v>
          </cell>
          <cell r="H105">
            <v>2150</v>
          </cell>
          <cell r="I105">
            <v>478</v>
          </cell>
        </row>
        <row r="106">
          <cell r="A106">
            <v>103</v>
          </cell>
          <cell r="B106">
            <v>2470</v>
          </cell>
          <cell r="C106">
            <v>216</v>
          </cell>
          <cell r="D106">
            <v>1235</v>
          </cell>
          <cell r="E106">
            <v>247</v>
          </cell>
          <cell r="F106">
            <v>173</v>
          </cell>
          <cell r="H106">
            <v>2223</v>
          </cell>
          <cell r="I106">
            <v>494</v>
          </cell>
        </row>
        <row r="107">
          <cell r="A107">
            <v>104</v>
          </cell>
          <cell r="B107">
            <v>2555</v>
          </cell>
          <cell r="C107">
            <v>224</v>
          </cell>
          <cell r="D107">
            <v>1278</v>
          </cell>
          <cell r="E107">
            <v>256</v>
          </cell>
          <cell r="F107">
            <v>179</v>
          </cell>
          <cell r="H107">
            <v>2299</v>
          </cell>
          <cell r="I107">
            <v>511</v>
          </cell>
        </row>
        <row r="108">
          <cell r="A108">
            <v>105</v>
          </cell>
          <cell r="B108">
            <v>2642</v>
          </cell>
          <cell r="C108">
            <v>231</v>
          </cell>
          <cell r="D108">
            <v>1321</v>
          </cell>
          <cell r="E108">
            <v>264</v>
          </cell>
          <cell r="F108">
            <v>185</v>
          </cell>
          <cell r="H108">
            <v>2378</v>
          </cell>
          <cell r="I108">
            <v>528</v>
          </cell>
        </row>
        <row r="109">
          <cell r="A109">
            <v>106</v>
          </cell>
          <cell r="B109">
            <v>2733</v>
          </cell>
          <cell r="C109">
            <v>239</v>
          </cell>
          <cell r="D109">
            <v>1367</v>
          </cell>
          <cell r="E109">
            <v>273</v>
          </cell>
          <cell r="F109">
            <v>191</v>
          </cell>
          <cell r="H109">
            <v>2459</v>
          </cell>
          <cell r="I109">
            <v>547</v>
          </cell>
        </row>
        <row r="110">
          <cell r="A110">
            <v>107</v>
          </cell>
          <cell r="B110">
            <v>2826</v>
          </cell>
          <cell r="C110">
            <v>248</v>
          </cell>
          <cell r="D110">
            <v>1413</v>
          </cell>
          <cell r="E110">
            <v>283</v>
          </cell>
          <cell r="F110">
            <v>198</v>
          </cell>
          <cell r="H110">
            <v>2543</v>
          </cell>
          <cell r="I110">
            <v>565</v>
          </cell>
        </row>
        <row r="111">
          <cell r="A111">
            <v>108</v>
          </cell>
          <cell r="B111">
            <v>2923</v>
          </cell>
          <cell r="C111">
            <v>256</v>
          </cell>
          <cell r="D111">
            <v>1462</v>
          </cell>
          <cell r="E111">
            <v>292</v>
          </cell>
          <cell r="F111">
            <v>205</v>
          </cell>
          <cell r="H111">
            <v>2630</v>
          </cell>
          <cell r="I111">
            <v>585</v>
          </cell>
        </row>
        <row r="112">
          <cell r="A112">
            <v>109</v>
          </cell>
          <cell r="B112">
            <v>3023</v>
          </cell>
          <cell r="C112">
            <v>265</v>
          </cell>
          <cell r="D112">
            <v>1512</v>
          </cell>
          <cell r="E112">
            <v>302</v>
          </cell>
          <cell r="F112">
            <v>212</v>
          </cell>
          <cell r="H112">
            <v>2720</v>
          </cell>
          <cell r="I112">
            <v>605</v>
          </cell>
        </row>
        <row r="113">
          <cell r="A113">
            <v>110</v>
          </cell>
          <cell r="B113">
            <v>3126</v>
          </cell>
          <cell r="C113">
            <v>274</v>
          </cell>
          <cell r="D113">
            <v>1563</v>
          </cell>
          <cell r="E113">
            <v>313</v>
          </cell>
          <cell r="F113">
            <v>219</v>
          </cell>
          <cell r="H113">
            <v>2813</v>
          </cell>
          <cell r="I113">
            <v>625</v>
          </cell>
        </row>
        <row r="114">
          <cell r="A114">
            <v>111</v>
          </cell>
          <cell r="B114">
            <v>3233</v>
          </cell>
          <cell r="C114">
            <v>283</v>
          </cell>
          <cell r="D114">
            <v>1617</v>
          </cell>
          <cell r="E114">
            <v>323</v>
          </cell>
          <cell r="F114">
            <v>226</v>
          </cell>
          <cell r="H114">
            <v>2910</v>
          </cell>
          <cell r="I114">
            <v>647</v>
          </cell>
        </row>
        <row r="115">
          <cell r="A115">
            <v>112</v>
          </cell>
          <cell r="B115">
            <v>3344</v>
          </cell>
          <cell r="C115">
            <v>293</v>
          </cell>
          <cell r="D115">
            <v>1672</v>
          </cell>
          <cell r="E115">
            <v>334</v>
          </cell>
          <cell r="F115">
            <v>234</v>
          </cell>
          <cell r="H115">
            <v>3009</v>
          </cell>
          <cell r="I115">
            <v>669</v>
          </cell>
        </row>
        <row r="116">
          <cell r="A116">
            <v>113</v>
          </cell>
          <cell r="B116">
            <v>3458</v>
          </cell>
          <cell r="C116">
            <v>303</v>
          </cell>
          <cell r="D116">
            <v>1729</v>
          </cell>
          <cell r="E116">
            <v>346</v>
          </cell>
          <cell r="F116">
            <v>242</v>
          </cell>
          <cell r="H116">
            <v>3112</v>
          </cell>
          <cell r="I116">
            <v>692</v>
          </cell>
        </row>
        <row r="117">
          <cell r="A117">
            <v>114</v>
          </cell>
          <cell r="B117">
            <v>3576</v>
          </cell>
          <cell r="C117">
            <v>313</v>
          </cell>
          <cell r="D117">
            <v>1788</v>
          </cell>
          <cell r="E117">
            <v>358</v>
          </cell>
          <cell r="F117">
            <v>250</v>
          </cell>
          <cell r="H117">
            <v>3219</v>
          </cell>
          <cell r="I117">
            <v>715</v>
          </cell>
        </row>
        <row r="118">
          <cell r="A118">
            <v>115</v>
          </cell>
          <cell r="B118">
            <v>3698</v>
          </cell>
          <cell r="C118">
            <v>324</v>
          </cell>
          <cell r="D118">
            <v>1849</v>
          </cell>
          <cell r="E118">
            <v>370</v>
          </cell>
          <cell r="F118">
            <v>259</v>
          </cell>
          <cell r="H118">
            <v>3329</v>
          </cell>
          <cell r="I118">
            <v>740</v>
          </cell>
        </row>
        <row r="119">
          <cell r="A119">
            <v>116</v>
          </cell>
          <cell r="B119">
            <v>3825</v>
          </cell>
          <cell r="C119">
            <v>335</v>
          </cell>
          <cell r="D119">
            <v>1913</v>
          </cell>
          <cell r="E119">
            <v>383</v>
          </cell>
          <cell r="F119">
            <v>268</v>
          </cell>
          <cell r="H119">
            <v>3443</v>
          </cell>
          <cell r="I119">
            <v>765</v>
          </cell>
        </row>
        <row r="120">
          <cell r="A120">
            <v>117</v>
          </cell>
          <cell r="B120">
            <v>3956</v>
          </cell>
          <cell r="C120">
            <v>346</v>
          </cell>
          <cell r="D120">
            <v>1978</v>
          </cell>
          <cell r="E120">
            <v>396</v>
          </cell>
          <cell r="F120">
            <v>277</v>
          </cell>
          <cell r="H120">
            <v>3560</v>
          </cell>
          <cell r="I120">
            <v>791</v>
          </cell>
        </row>
        <row r="121">
          <cell r="A121">
            <v>118</v>
          </cell>
          <cell r="B121">
            <v>4091</v>
          </cell>
          <cell r="C121">
            <v>358</v>
          </cell>
          <cell r="D121">
            <v>2046</v>
          </cell>
          <cell r="E121">
            <v>409</v>
          </cell>
          <cell r="F121">
            <v>286</v>
          </cell>
          <cell r="H121">
            <v>3682</v>
          </cell>
          <cell r="I121">
            <v>818</v>
          </cell>
        </row>
        <row r="122">
          <cell r="A122">
            <v>119</v>
          </cell>
          <cell r="B122">
            <v>4231</v>
          </cell>
          <cell r="C122">
            <v>370</v>
          </cell>
          <cell r="D122">
            <v>2116</v>
          </cell>
          <cell r="E122">
            <v>423</v>
          </cell>
          <cell r="F122">
            <v>296</v>
          </cell>
          <cell r="H122">
            <v>3808</v>
          </cell>
          <cell r="I122">
            <v>846</v>
          </cell>
        </row>
        <row r="123">
          <cell r="A123">
            <v>120</v>
          </cell>
          <cell r="B123">
            <v>4376</v>
          </cell>
          <cell r="C123">
            <v>383</v>
          </cell>
          <cell r="D123">
            <v>2188</v>
          </cell>
          <cell r="E123">
            <v>438</v>
          </cell>
          <cell r="F123">
            <v>306</v>
          </cell>
          <cell r="H123">
            <v>3938</v>
          </cell>
          <cell r="I123">
            <v>875</v>
          </cell>
        </row>
        <row r="124">
          <cell r="A124">
            <v>121</v>
          </cell>
          <cell r="B124">
            <v>4525</v>
          </cell>
          <cell r="C124">
            <v>396</v>
          </cell>
          <cell r="D124">
            <v>2263</v>
          </cell>
          <cell r="E124">
            <v>453</v>
          </cell>
          <cell r="F124">
            <v>317</v>
          </cell>
          <cell r="H124">
            <v>4073</v>
          </cell>
          <cell r="I124">
            <v>905</v>
          </cell>
        </row>
        <row r="125">
          <cell r="A125">
            <v>122</v>
          </cell>
          <cell r="B125">
            <v>4680</v>
          </cell>
          <cell r="C125">
            <v>410</v>
          </cell>
          <cell r="D125">
            <v>2340</v>
          </cell>
          <cell r="E125">
            <v>468</v>
          </cell>
          <cell r="F125">
            <v>328</v>
          </cell>
          <cell r="H125">
            <v>4212</v>
          </cell>
          <cell r="I125">
            <v>936</v>
          </cell>
        </row>
        <row r="126">
          <cell r="A126">
            <v>123</v>
          </cell>
          <cell r="B126">
            <v>4840</v>
          </cell>
          <cell r="C126">
            <v>424</v>
          </cell>
          <cell r="D126">
            <v>2420</v>
          </cell>
          <cell r="E126">
            <v>484</v>
          </cell>
          <cell r="F126">
            <v>339</v>
          </cell>
          <cell r="H126">
            <v>4356</v>
          </cell>
          <cell r="I126">
            <v>968</v>
          </cell>
        </row>
        <row r="127">
          <cell r="A127">
            <v>124</v>
          </cell>
          <cell r="B127">
            <v>5006</v>
          </cell>
          <cell r="C127">
            <v>438</v>
          </cell>
          <cell r="D127">
            <v>2503</v>
          </cell>
          <cell r="E127">
            <v>501</v>
          </cell>
          <cell r="F127">
            <v>350</v>
          </cell>
          <cell r="H127">
            <v>4505</v>
          </cell>
          <cell r="I127">
            <v>1001</v>
          </cell>
        </row>
        <row r="128">
          <cell r="A128">
            <v>125</v>
          </cell>
          <cell r="B128">
            <v>5177</v>
          </cell>
          <cell r="C128">
            <v>453</v>
          </cell>
          <cell r="D128">
            <v>2589</v>
          </cell>
          <cell r="E128">
            <v>518</v>
          </cell>
          <cell r="F128">
            <v>362</v>
          </cell>
          <cell r="H128">
            <v>4659</v>
          </cell>
          <cell r="I128">
            <v>1035</v>
          </cell>
        </row>
        <row r="129">
          <cell r="A129">
            <v>126</v>
          </cell>
          <cell r="B129">
            <v>5354</v>
          </cell>
          <cell r="C129">
            <v>469</v>
          </cell>
          <cell r="D129">
            <v>2677</v>
          </cell>
          <cell r="E129">
            <v>535</v>
          </cell>
          <cell r="F129">
            <v>375</v>
          </cell>
          <cell r="H129">
            <v>4818</v>
          </cell>
          <cell r="I129">
            <v>1071</v>
          </cell>
        </row>
        <row r="130">
          <cell r="A130">
            <v>127</v>
          </cell>
          <cell r="B130">
            <v>5537</v>
          </cell>
          <cell r="C130">
            <v>485</v>
          </cell>
          <cell r="D130">
            <v>2769</v>
          </cell>
          <cell r="E130">
            <v>554</v>
          </cell>
          <cell r="F130">
            <v>388</v>
          </cell>
          <cell r="H130">
            <v>4983</v>
          </cell>
          <cell r="I130">
            <v>1107</v>
          </cell>
        </row>
        <row r="131">
          <cell r="A131">
            <v>128</v>
          </cell>
          <cell r="B131">
            <v>5726</v>
          </cell>
          <cell r="C131">
            <v>501</v>
          </cell>
          <cell r="D131">
            <v>2863</v>
          </cell>
          <cell r="E131">
            <v>573</v>
          </cell>
          <cell r="F131">
            <v>401</v>
          </cell>
          <cell r="H131">
            <v>5154</v>
          </cell>
          <cell r="I131">
            <v>1145</v>
          </cell>
        </row>
        <row r="132">
          <cell r="A132">
            <v>129</v>
          </cell>
          <cell r="B132">
            <v>5922</v>
          </cell>
          <cell r="C132">
            <v>518</v>
          </cell>
          <cell r="D132">
            <v>2961</v>
          </cell>
          <cell r="E132">
            <v>592</v>
          </cell>
          <cell r="F132">
            <v>415</v>
          </cell>
          <cell r="H132">
            <v>5330</v>
          </cell>
          <cell r="I132">
            <v>1184</v>
          </cell>
        </row>
        <row r="133">
          <cell r="A133">
            <v>130</v>
          </cell>
          <cell r="B133">
            <v>6125</v>
          </cell>
          <cell r="C133">
            <v>536</v>
          </cell>
          <cell r="D133">
            <v>3063</v>
          </cell>
          <cell r="E133">
            <v>613</v>
          </cell>
          <cell r="F133">
            <v>429</v>
          </cell>
          <cell r="H133">
            <v>5512</v>
          </cell>
          <cell r="I133">
            <v>1225</v>
          </cell>
        </row>
        <row r="134">
          <cell r="A134">
            <v>131</v>
          </cell>
          <cell r="B134">
            <v>6334</v>
          </cell>
          <cell r="C134">
            <v>554</v>
          </cell>
          <cell r="D134">
            <v>3167</v>
          </cell>
          <cell r="E134">
            <v>633</v>
          </cell>
          <cell r="F134">
            <v>443</v>
          </cell>
          <cell r="H134">
            <v>5701</v>
          </cell>
          <cell r="I134">
            <v>1267</v>
          </cell>
        </row>
        <row r="135">
          <cell r="A135">
            <v>132</v>
          </cell>
          <cell r="B135">
            <v>6551</v>
          </cell>
          <cell r="C135">
            <v>573</v>
          </cell>
          <cell r="D135">
            <v>3276</v>
          </cell>
          <cell r="E135">
            <v>655</v>
          </cell>
          <cell r="F135">
            <v>459</v>
          </cell>
          <cell r="H135">
            <v>5896</v>
          </cell>
          <cell r="I135">
            <v>1310</v>
          </cell>
        </row>
        <row r="136">
          <cell r="A136">
            <v>133</v>
          </cell>
          <cell r="B136">
            <v>6775</v>
          </cell>
          <cell r="C136">
            <v>593</v>
          </cell>
          <cell r="D136">
            <v>3388</v>
          </cell>
          <cell r="E136">
            <v>678</v>
          </cell>
          <cell r="F136">
            <v>474</v>
          </cell>
          <cell r="H136">
            <v>6097</v>
          </cell>
          <cell r="I136">
            <v>1355</v>
          </cell>
        </row>
        <row r="137">
          <cell r="A137">
            <v>134</v>
          </cell>
          <cell r="B137">
            <v>7007</v>
          </cell>
          <cell r="C137">
            <v>613</v>
          </cell>
          <cell r="D137">
            <v>3504</v>
          </cell>
          <cell r="E137">
            <v>701</v>
          </cell>
          <cell r="F137">
            <v>491</v>
          </cell>
          <cell r="H137">
            <v>6306</v>
          </cell>
          <cell r="I137">
            <v>1401</v>
          </cell>
        </row>
        <row r="138">
          <cell r="A138">
            <v>135</v>
          </cell>
          <cell r="B138">
            <v>7246</v>
          </cell>
          <cell r="C138">
            <v>634</v>
          </cell>
          <cell r="D138">
            <v>3623</v>
          </cell>
          <cell r="E138">
            <v>725</v>
          </cell>
          <cell r="F138">
            <v>507</v>
          </cell>
          <cell r="H138">
            <v>6522</v>
          </cell>
          <cell r="I138">
            <v>1449</v>
          </cell>
        </row>
        <row r="139">
          <cell r="A139">
            <v>136</v>
          </cell>
          <cell r="B139">
            <v>7494</v>
          </cell>
          <cell r="C139">
            <v>656</v>
          </cell>
          <cell r="D139">
            <v>3747</v>
          </cell>
          <cell r="E139">
            <v>749</v>
          </cell>
          <cell r="F139">
            <v>525</v>
          </cell>
          <cell r="H139">
            <v>6745</v>
          </cell>
          <cell r="I139">
            <v>1499</v>
          </cell>
        </row>
        <row r="140">
          <cell r="A140">
            <v>137</v>
          </cell>
          <cell r="B140">
            <v>7750</v>
          </cell>
          <cell r="C140">
            <v>678</v>
          </cell>
          <cell r="D140">
            <v>3875</v>
          </cell>
          <cell r="E140">
            <v>775</v>
          </cell>
          <cell r="F140">
            <v>543</v>
          </cell>
          <cell r="H140">
            <v>6975</v>
          </cell>
          <cell r="I140">
            <v>1550</v>
          </cell>
        </row>
        <row r="141">
          <cell r="A141">
            <v>138</v>
          </cell>
          <cell r="B141">
            <v>8015</v>
          </cell>
          <cell r="C141">
            <v>702</v>
          </cell>
          <cell r="D141">
            <v>4008</v>
          </cell>
          <cell r="E141">
            <v>802</v>
          </cell>
          <cell r="F141">
            <v>561</v>
          </cell>
          <cell r="H141">
            <v>7214</v>
          </cell>
          <cell r="I141">
            <v>1603</v>
          </cell>
        </row>
        <row r="142">
          <cell r="A142">
            <v>139</v>
          </cell>
          <cell r="B142">
            <v>8290</v>
          </cell>
          <cell r="C142">
            <v>726</v>
          </cell>
          <cell r="D142">
            <v>4145</v>
          </cell>
          <cell r="E142">
            <v>829</v>
          </cell>
          <cell r="F142">
            <v>580</v>
          </cell>
          <cell r="H142">
            <v>7461</v>
          </cell>
          <cell r="I142">
            <v>1658</v>
          </cell>
        </row>
        <row r="143">
          <cell r="A143">
            <v>140</v>
          </cell>
          <cell r="B143">
            <v>8573</v>
          </cell>
          <cell r="C143">
            <v>750</v>
          </cell>
          <cell r="D143">
            <v>4287</v>
          </cell>
          <cell r="E143">
            <v>857</v>
          </cell>
          <cell r="F143">
            <v>600</v>
          </cell>
          <cell r="H143">
            <v>7716</v>
          </cell>
          <cell r="I143">
            <v>1715</v>
          </cell>
        </row>
        <row r="144">
          <cell r="A144">
            <v>141</v>
          </cell>
          <cell r="B144">
            <v>8866</v>
          </cell>
          <cell r="C144">
            <v>776</v>
          </cell>
          <cell r="D144">
            <v>4433</v>
          </cell>
          <cell r="E144">
            <v>887</v>
          </cell>
          <cell r="F144">
            <v>621</v>
          </cell>
          <cell r="H144">
            <v>7980</v>
          </cell>
          <cell r="I144">
            <v>1773</v>
          </cell>
        </row>
        <row r="145">
          <cell r="A145">
            <v>142</v>
          </cell>
          <cell r="B145">
            <v>9169</v>
          </cell>
          <cell r="C145">
            <v>803</v>
          </cell>
          <cell r="D145">
            <v>4585</v>
          </cell>
          <cell r="E145">
            <v>917</v>
          </cell>
          <cell r="F145">
            <v>642</v>
          </cell>
          <cell r="H145">
            <v>8253</v>
          </cell>
          <cell r="I145">
            <v>1834</v>
          </cell>
        </row>
        <row r="146">
          <cell r="A146">
            <v>143</v>
          </cell>
          <cell r="B146">
            <v>9483</v>
          </cell>
          <cell r="C146">
            <v>830</v>
          </cell>
          <cell r="D146">
            <v>4742</v>
          </cell>
          <cell r="E146">
            <v>948</v>
          </cell>
          <cell r="F146">
            <v>664</v>
          </cell>
          <cell r="H146">
            <v>8535</v>
          </cell>
          <cell r="I146">
            <v>1897</v>
          </cell>
        </row>
        <row r="147">
          <cell r="A147">
            <v>144</v>
          </cell>
          <cell r="B147">
            <v>9807</v>
          </cell>
          <cell r="C147">
            <v>858</v>
          </cell>
          <cell r="D147">
            <v>4904</v>
          </cell>
          <cell r="E147">
            <v>981</v>
          </cell>
          <cell r="F147">
            <v>687</v>
          </cell>
          <cell r="H147">
            <v>8827</v>
          </cell>
          <cell r="I147">
            <v>1961</v>
          </cell>
        </row>
        <row r="148">
          <cell r="A148">
            <v>145</v>
          </cell>
          <cell r="B148">
            <v>10143</v>
          </cell>
          <cell r="C148">
            <v>888</v>
          </cell>
          <cell r="D148">
            <v>5072</v>
          </cell>
          <cell r="E148">
            <v>1014</v>
          </cell>
          <cell r="F148">
            <v>710</v>
          </cell>
          <cell r="H148">
            <v>9129</v>
          </cell>
          <cell r="I148">
            <v>2029</v>
          </cell>
        </row>
        <row r="149">
          <cell r="A149">
            <v>146</v>
          </cell>
          <cell r="B149">
            <v>10490</v>
          </cell>
          <cell r="C149">
            <v>918</v>
          </cell>
          <cell r="D149">
            <v>5245</v>
          </cell>
          <cell r="E149">
            <v>1049</v>
          </cell>
          <cell r="F149">
            <v>734</v>
          </cell>
          <cell r="H149">
            <v>9441</v>
          </cell>
          <cell r="I149">
            <v>2098</v>
          </cell>
        </row>
        <row r="150">
          <cell r="A150">
            <v>147</v>
          </cell>
          <cell r="B150">
            <v>10848</v>
          </cell>
          <cell r="C150">
            <v>949</v>
          </cell>
          <cell r="D150">
            <v>5424</v>
          </cell>
          <cell r="E150">
            <v>1085</v>
          </cell>
          <cell r="F150">
            <v>759</v>
          </cell>
          <cell r="H150">
            <v>9764</v>
          </cell>
          <cell r="I150">
            <v>2170</v>
          </cell>
        </row>
        <row r="151">
          <cell r="A151">
            <v>148</v>
          </cell>
          <cell r="B151">
            <v>11219</v>
          </cell>
          <cell r="C151">
            <v>982</v>
          </cell>
          <cell r="D151">
            <v>5610</v>
          </cell>
          <cell r="E151">
            <v>1122</v>
          </cell>
          <cell r="F151">
            <v>785</v>
          </cell>
          <cell r="H151">
            <v>10098</v>
          </cell>
          <cell r="I151">
            <v>2244</v>
          </cell>
        </row>
        <row r="152">
          <cell r="A152">
            <v>149</v>
          </cell>
          <cell r="B152">
            <v>11603</v>
          </cell>
          <cell r="C152">
            <v>1016</v>
          </cell>
          <cell r="D152">
            <v>5802</v>
          </cell>
          <cell r="E152">
            <v>1160</v>
          </cell>
          <cell r="F152">
            <v>812</v>
          </cell>
          <cell r="H152">
            <v>10443</v>
          </cell>
          <cell r="I152">
            <v>2321</v>
          </cell>
        </row>
        <row r="153">
          <cell r="A153">
            <v>150</v>
          </cell>
          <cell r="B153">
            <v>12000</v>
          </cell>
          <cell r="C153">
            <v>1050</v>
          </cell>
          <cell r="D153">
            <v>6000</v>
          </cell>
          <cell r="E153">
            <v>1200</v>
          </cell>
          <cell r="F153">
            <v>840</v>
          </cell>
          <cell r="H153">
            <v>10800</v>
          </cell>
          <cell r="I153">
            <v>2400</v>
          </cell>
        </row>
      </sheetData>
      <sheetData sheetId="6">
        <row r="4">
          <cell r="A4">
            <v>1</v>
          </cell>
          <cell r="B4">
            <v>72</v>
          </cell>
          <cell r="C4">
            <v>48</v>
          </cell>
          <cell r="D4">
            <v>48</v>
          </cell>
          <cell r="E4">
            <v>96</v>
          </cell>
          <cell r="F4">
            <v>48</v>
          </cell>
          <cell r="G4">
            <v>144</v>
          </cell>
          <cell r="H4">
            <v>16</v>
          </cell>
          <cell r="I4">
            <v>11</v>
          </cell>
        </row>
        <row r="5">
          <cell r="A5">
            <v>2</v>
          </cell>
          <cell r="B5">
            <v>75</v>
          </cell>
          <cell r="C5">
            <v>50</v>
          </cell>
          <cell r="D5">
            <v>50</v>
          </cell>
          <cell r="E5">
            <v>99</v>
          </cell>
          <cell r="F5">
            <v>50</v>
          </cell>
          <cell r="G5">
            <v>149</v>
          </cell>
          <cell r="H5">
            <v>17</v>
          </cell>
          <cell r="I5">
            <v>12</v>
          </cell>
        </row>
        <row r="6">
          <cell r="A6">
            <v>3</v>
          </cell>
          <cell r="B6">
            <v>77</v>
          </cell>
          <cell r="C6">
            <v>51</v>
          </cell>
          <cell r="D6">
            <v>52</v>
          </cell>
          <cell r="E6">
            <v>103</v>
          </cell>
          <cell r="F6">
            <v>51</v>
          </cell>
          <cell r="G6">
            <v>154</v>
          </cell>
          <cell r="H6">
            <v>17</v>
          </cell>
          <cell r="I6">
            <v>12</v>
          </cell>
        </row>
        <row r="7">
          <cell r="A7">
            <v>4</v>
          </cell>
          <cell r="B7">
            <v>79</v>
          </cell>
          <cell r="C7">
            <v>53</v>
          </cell>
          <cell r="D7">
            <v>53</v>
          </cell>
          <cell r="E7">
            <v>106</v>
          </cell>
          <cell r="F7">
            <v>53</v>
          </cell>
          <cell r="G7">
            <v>159</v>
          </cell>
          <cell r="H7">
            <v>18</v>
          </cell>
          <cell r="I7">
            <v>12</v>
          </cell>
        </row>
        <row r="8">
          <cell r="A8">
            <v>5</v>
          </cell>
          <cell r="B8">
            <v>83</v>
          </cell>
          <cell r="C8">
            <v>55</v>
          </cell>
          <cell r="D8">
            <v>55</v>
          </cell>
          <cell r="E8">
            <v>110</v>
          </cell>
          <cell r="F8">
            <v>55</v>
          </cell>
          <cell r="G8">
            <v>165</v>
          </cell>
          <cell r="H8">
            <v>18</v>
          </cell>
          <cell r="I8">
            <v>13</v>
          </cell>
        </row>
        <row r="9">
          <cell r="A9">
            <v>6</v>
          </cell>
          <cell r="B9">
            <v>86</v>
          </cell>
          <cell r="C9">
            <v>57</v>
          </cell>
          <cell r="D9">
            <v>57</v>
          </cell>
          <cell r="E9">
            <v>114</v>
          </cell>
          <cell r="F9">
            <v>57</v>
          </cell>
          <cell r="G9">
            <v>170</v>
          </cell>
          <cell r="H9">
            <v>19</v>
          </cell>
          <cell r="I9">
            <v>13</v>
          </cell>
        </row>
        <row r="10">
          <cell r="A10">
            <v>7</v>
          </cell>
          <cell r="B10">
            <v>88</v>
          </cell>
          <cell r="C10">
            <v>59</v>
          </cell>
          <cell r="D10">
            <v>59</v>
          </cell>
          <cell r="E10">
            <v>117</v>
          </cell>
          <cell r="F10">
            <v>59</v>
          </cell>
          <cell r="G10">
            <v>176</v>
          </cell>
          <cell r="H10">
            <v>20</v>
          </cell>
          <cell r="I10">
            <v>14</v>
          </cell>
        </row>
        <row r="11">
          <cell r="A11">
            <v>8</v>
          </cell>
          <cell r="B11">
            <v>91</v>
          </cell>
          <cell r="C11">
            <v>61</v>
          </cell>
          <cell r="D11">
            <v>61</v>
          </cell>
          <cell r="E11">
            <v>121</v>
          </cell>
          <cell r="F11">
            <v>61</v>
          </cell>
          <cell r="G11">
            <v>182</v>
          </cell>
          <cell r="H11">
            <v>20</v>
          </cell>
          <cell r="I11">
            <v>14</v>
          </cell>
        </row>
        <row r="12">
          <cell r="A12">
            <v>9</v>
          </cell>
          <cell r="B12">
            <v>95</v>
          </cell>
          <cell r="C12">
            <v>63</v>
          </cell>
          <cell r="D12">
            <v>63</v>
          </cell>
          <cell r="E12">
            <v>126</v>
          </cell>
          <cell r="F12">
            <v>63</v>
          </cell>
          <cell r="G12">
            <v>188</v>
          </cell>
          <cell r="H12">
            <v>21</v>
          </cell>
          <cell r="I12">
            <v>15</v>
          </cell>
        </row>
        <row r="13">
          <cell r="A13">
            <v>10</v>
          </cell>
          <cell r="B13">
            <v>97</v>
          </cell>
          <cell r="C13">
            <v>65</v>
          </cell>
          <cell r="D13">
            <v>65</v>
          </cell>
          <cell r="E13">
            <v>130</v>
          </cell>
          <cell r="F13">
            <v>65</v>
          </cell>
          <cell r="G13">
            <v>195</v>
          </cell>
          <cell r="H13">
            <v>22</v>
          </cell>
          <cell r="I13">
            <v>15</v>
          </cell>
        </row>
        <row r="14">
          <cell r="A14">
            <v>11</v>
          </cell>
          <cell r="B14">
            <v>101</v>
          </cell>
          <cell r="C14">
            <v>67</v>
          </cell>
          <cell r="D14">
            <v>67</v>
          </cell>
          <cell r="E14">
            <v>134</v>
          </cell>
          <cell r="F14">
            <v>67</v>
          </cell>
          <cell r="G14">
            <v>202</v>
          </cell>
          <cell r="H14">
            <v>22</v>
          </cell>
          <cell r="I14">
            <v>16</v>
          </cell>
        </row>
        <row r="15">
          <cell r="A15">
            <v>12</v>
          </cell>
          <cell r="B15">
            <v>104</v>
          </cell>
          <cell r="C15">
            <v>70</v>
          </cell>
          <cell r="D15">
            <v>70</v>
          </cell>
          <cell r="E15">
            <v>139</v>
          </cell>
          <cell r="F15">
            <v>70</v>
          </cell>
          <cell r="G15">
            <v>209</v>
          </cell>
          <cell r="H15">
            <v>23</v>
          </cell>
          <cell r="I15">
            <v>16</v>
          </cell>
        </row>
        <row r="16">
          <cell r="A16">
            <v>13</v>
          </cell>
          <cell r="B16">
            <v>108</v>
          </cell>
          <cell r="C16">
            <v>72</v>
          </cell>
          <cell r="D16">
            <v>72</v>
          </cell>
          <cell r="E16">
            <v>144</v>
          </cell>
          <cell r="F16">
            <v>72</v>
          </cell>
          <cell r="G16">
            <v>216</v>
          </cell>
          <cell r="H16">
            <v>24</v>
          </cell>
          <cell r="I16">
            <v>17</v>
          </cell>
        </row>
        <row r="17">
          <cell r="A17">
            <v>14</v>
          </cell>
          <cell r="B17">
            <v>112</v>
          </cell>
          <cell r="C17">
            <v>74</v>
          </cell>
          <cell r="D17">
            <v>74</v>
          </cell>
          <cell r="E17">
            <v>149</v>
          </cell>
          <cell r="F17">
            <v>74</v>
          </cell>
          <cell r="G17">
            <v>223</v>
          </cell>
          <cell r="H17">
            <v>25</v>
          </cell>
          <cell r="I17">
            <v>17</v>
          </cell>
        </row>
        <row r="18">
          <cell r="A18">
            <v>15</v>
          </cell>
          <cell r="B18">
            <v>115</v>
          </cell>
          <cell r="C18">
            <v>77</v>
          </cell>
          <cell r="D18">
            <v>77</v>
          </cell>
          <cell r="E18">
            <v>154</v>
          </cell>
          <cell r="F18">
            <v>77</v>
          </cell>
          <cell r="G18">
            <v>231</v>
          </cell>
          <cell r="H18">
            <v>26</v>
          </cell>
          <cell r="I18">
            <v>18</v>
          </cell>
        </row>
        <row r="19">
          <cell r="A19">
            <v>16</v>
          </cell>
          <cell r="B19">
            <v>119</v>
          </cell>
          <cell r="C19">
            <v>80</v>
          </cell>
          <cell r="D19">
            <v>79</v>
          </cell>
          <cell r="E19">
            <v>159</v>
          </cell>
          <cell r="F19">
            <v>80</v>
          </cell>
          <cell r="G19">
            <v>239</v>
          </cell>
          <cell r="H19">
            <v>26</v>
          </cell>
          <cell r="I19">
            <v>19</v>
          </cell>
        </row>
        <row r="20">
          <cell r="A20">
            <v>17</v>
          </cell>
          <cell r="B20">
            <v>123</v>
          </cell>
          <cell r="C20">
            <v>82</v>
          </cell>
          <cell r="D20">
            <v>82</v>
          </cell>
          <cell r="E20">
            <v>164</v>
          </cell>
          <cell r="F20">
            <v>82</v>
          </cell>
          <cell r="G20">
            <v>247</v>
          </cell>
          <cell r="H20">
            <v>27</v>
          </cell>
          <cell r="I20">
            <v>19</v>
          </cell>
        </row>
        <row r="21">
          <cell r="A21">
            <v>18</v>
          </cell>
          <cell r="B21">
            <v>128</v>
          </cell>
          <cell r="C21">
            <v>85</v>
          </cell>
          <cell r="D21">
            <v>85</v>
          </cell>
          <cell r="E21">
            <v>170</v>
          </cell>
          <cell r="F21">
            <v>85</v>
          </cell>
          <cell r="G21">
            <v>255</v>
          </cell>
          <cell r="H21">
            <v>28</v>
          </cell>
          <cell r="I21">
            <v>20</v>
          </cell>
        </row>
        <row r="22">
          <cell r="A22">
            <v>19</v>
          </cell>
          <cell r="B22">
            <v>132</v>
          </cell>
          <cell r="C22">
            <v>88</v>
          </cell>
          <cell r="D22">
            <v>88</v>
          </cell>
          <cell r="E22">
            <v>176</v>
          </cell>
          <cell r="F22">
            <v>88</v>
          </cell>
          <cell r="G22">
            <v>264</v>
          </cell>
          <cell r="H22">
            <v>29</v>
          </cell>
          <cell r="I22">
            <v>21</v>
          </cell>
        </row>
        <row r="23">
          <cell r="A23">
            <v>20</v>
          </cell>
          <cell r="B23">
            <v>137</v>
          </cell>
          <cell r="C23">
            <v>91</v>
          </cell>
          <cell r="D23">
            <v>91</v>
          </cell>
          <cell r="E23">
            <v>182</v>
          </cell>
          <cell r="F23">
            <v>91</v>
          </cell>
          <cell r="G23">
            <v>273</v>
          </cell>
          <cell r="H23">
            <v>30</v>
          </cell>
          <cell r="I23">
            <v>21</v>
          </cell>
        </row>
        <row r="24">
          <cell r="A24">
            <v>21</v>
          </cell>
          <cell r="B24">
            <v>141</v>
          </cell>
          <cell r="C24">
            <v>94</v>
          </cell>
          <cell r="D24">
            <v>94</v>
          </cell>
          <cell r="E24">
            <v>188</v>
          </cell>
          <cell r="F24">
            <v>94</v>
          </cell>
          <cell r="G24">
            <v>282</v>
          </cell>
          <cell r="H24">
            <v>31</v>
          </cell>
          <cell r="I24">
            <v>22</v>
          </cell>
        </row>
        <row r="25">
          <cell r="A25">
            <v>22</v>
          </cell>
          <cell r="B25">
            <v>146</v>
          </cell>
          <cell r="C25">
            <v>97</v>
          </cell>
          <cell r="D25">
            <v>97</v>
          </cell>
          <cell r="E25">
            <v>195</v>
          </cell>
          <cell r="F25">
            <v>97</v>
          </cell>
          <cell r="G25">
            <v>292</v>
          </cell>
          <cell r="H25">
            <v>32</v>
          </cell>
          <cell r="I25">
            <v>23</v>
          </cell>
        </row>
        <row r="26">
          <cell r="A26">
            <v>23</v>
          </cell>
          <cell r="B26">
            <v>151</v>
          </cell>
          <cell r="C26">
            <v>101</v>
          </cell>
          <cell r="D26">
            <v>101</v>
          </cell>
          <cell r="E26">
            <v>201</v>
          </cell>
          <cell r="F26">
            <v>101</v>
          </cell>
          <cell r="G26">
            <v>302</v>
          </cell>
          <cell r="H26">
            <v>34</v>
          </cell>
          <cell r="I26">
            <v>23</v>
          </cell>
        </row>
        <row r="27">
          <cell r="A27">
            <v>24</v>
          </cell>
          <cell r="B27">
            <v>156</v>
          </cell>
          <cell r="C27">
            <v>104</v>
          </cell>
          <cell r="D27">
            <v>104</v>
          </cell>
          <cell r="E27">
            <v>208</v>
          </cell>
          <cell r="F27">
            <v>104</v>
          </cell>
          <cell r="G27">
            <v>312</v>
          </cell>
          <cell r="H27">
            <v>35</v>
          </cell>
          <cell r="I27">
            <v>24</v>
          </cell>
        </row>
        <row r="28">
          <cell r="A28">
            <v>25</v>
          </cell>
          <cell r="B28">
            <v>161</v>
          </cell>
          <cell r="C28">
            <v>108</v>
          </cell>
          <cell r="D28">
            <v>107</v>
          </cell>
          <cell r="E28">
            <v>215</v>
          </cell>
          <cell r="F28">
            <v>108</v>
          </cell>
          <cell r="G28">
            <v>323</v>
          </cell>
          <cell r="H28">
            <v>36</v>
          </cell>
          <cell r="I28">
            <v>25</v>
          </cell>
        </row>
        <row r="29">
          <cell r="A29">
            <v>26</v>
          </cell>
          <cell r="B29">
            <v>167</v>
          </cell>
          <cell r="C29">
            <v>111</v>
          </cell>
          <cell r="D29">
            <v>111</v>
          </cell>
          <cell r="E29">
            <v>223</v>
          </cell>
          <cell r="F29">
            <v>111</v>
          </cell>
          <cell r="G29">
            <v>334</v>
          </cell>
          <cell r="H29">
            <v>37</v>
          </cell>
          <cell r="I29">
            <v>26</v>
          </cell>
        </row>
        <row r="30">
          <cell r="A30">
            <v>27</v>
          </cell>
          <cell r="B30">
            <v>173</v>
          </cell>
          <cell r="C30">
            <v>115</v>
          </cell>
          <cell r="D30">
            <v>115</v>
          </cell>
          <cell r="E30">
            <v>230</v>
          </cell>
          <cell r="F30">
            <v>115</v>
          </cell>
          <cell r="G30">
            <v>345</v>
          </cell>
          <cell r="H30">
            <v>38</v>
          </cell>
          <cell r="I30">
            <v>27</v>
          </cell>
        </row>
        <row r="31">
          <cell r="A31">
            <v>28</v>
          </cell>
          <cell r="B31">
            <v>178</v>
          </cell>
          <cell r="C31">
            <v>119</v>
          </cell>
          <cell r="D31">
            <v>119</v>
          </cell>
          <cell r="E31">
            <v>238</v>
          </cell>
          <cell r="F31">
            <v>119</v>
          </cell>
          <cell r="G31">
            <v>357</v>
          </cell>
          <cell r="H31">
            <v>40</v>
          </cell>
          <cell r="I31">
            <v>28</v>
          </cell>
        </row>
        <row r="32">
          <cell r="A32">
            <v>29</v>
          </cell>
          <cell r="B32">
            <v>185</v>
          </cell>
          <cell r="C32">
            <v>123</v>
          </cell>
          <cell r="D32">
            <v>123</v>
          </cell>
          <cell r="E32">
            <v>246</v>
          </cell>
          <cell r="F32">
            <v>123</v>
          </cell>
          <cell r="G32">
            <v>369</v>
          </cell>
          <cell r="H32">
            <v>41</v>
          </cell>
          <cell r="I32">
            <v>29</v>
          </cell>
        </row>
        <row r="33">
          <cell r="A33">
            <v>30</v>
          </cell>
          <cell r="B33">
            <v>191</v>
          </cell>
          <cell r="C33">
            <v>127</v>
          </cell>
          <cell r="D33">
            <v>127</v>
          </cell>
          <cell r="E33">
            <v>255</v>
          </cell>
          <cell r="F33">
            <v>127</v>
          </cell>
          <cell r="G33">
            <v>382</v>
          </cell>
          <cell r="H33">
            <v>42</v>
          </cell>
          <cell r="I33">
            <v>30</v>
          </cell>
        </row>
        <row r="34">
          <cell r="A34">
            <v>31</v>
          </cell>
          <cell r="B34">
            <v>197</v>
          </cell>
          <cell r="C34">
            <v>132</v>
          </cell>
          <cell r="D34">
            <v>131</v>
          </cell>
          <cell r="E34">
            <v>263</v>
          </cell>
          <cell r="F34">
            <v>132</v>
          </cell>
          <cell r="G34">
            <v>395</v>
          </cell>
          <cell r="H34">
            <v>44</v>
          </cell>
          <cell r="I34">
            <v>31</v>
          </cell>
        </row>
        <row r="35">
          <cell r="A35">
            <v>32</v>
          </cell>
          <cell r="B35">
            <v>204</v>
          </cell>
          <cell r="C35">
            <v>136</v>
          </cell>
          <cell r="D35">
            <v>136</v>
          </cell>
          <cell r="E35">
            <v>272</v>
          </cell>
          <cell r="F35">
            <v>136</v>
          </cell>
          <cell r="G35">
            <v>408</v>
          </cell>
          <cell r="H35">
            <v>45</v>
          </cell>
          <cell r="I35">
            <v>32</v>
          </cell>
        </row>
        <row r="36">
          <cell r="A36">
            <v>33</v>
          </cell>
          <cell r="B36">
            <v>212</v>
          </cell>
          <cell r="C36">
            <v>141</v>
          </cell>
          <cell r="D36">
            <v>141</v>
          </cell>
          <cell r="E36">
            <v>282</v>
          </cell>
          <cell r="F36">
            <v>141</v>
          </cell>
          <cell r="G36">
            <v>422</v>
          </cell>
          <cell r="H36">
            <v>47</v>
          </cell>
          <cell r="I36">
            <v>33</v>
          </cell>
        </row>
        <row r="37">
          <cell r="A37">
            <v>34</v>
          </cell>
          <cell r="B37">
            <v>219</v>
          </cell>
          <cell r="C37">
            <v>146</v>
          </cell>
          <cell r="D37">
            <v>146</v>
          </cell>
          <cell r="E37">
            <v>291</v>
          </cell>
          <cell r="F37">
            <v>146</v>
          </cell>
          <cell r="G37">
            <v>437</v>
          </cell>
          <cell r="H37">
            <v>49</v>
          </cell>
          <cell r="I37">
            <v>34</v>
          </cell>
        </row>
        <row r="38">
          <cell r="A38">
            <v>35</v>
          </cell>
          <cell r="B38">
            <v>226</v>
          </cell>
          <cell r="C38">
            <v>151</v>
          </cell>
          <cell r="D38">
            <v>151</v>
          </cell>
          <cell r="E38">
            <v>301</v>
          </cell>
          <cell r="F38">
            <v>151</v>
          </cell>
          <cell r="G38">
            <v>452</v>
          </cell>
          <cell r="H38">
            <v>50</v>
          </cell>
          <cell r="I38">
            <v>35</v>
          </cell>
        </row>
        <row r="39">
          <cell r="A39">
            <v>36</v>
          </cell>
          <cell r="B39">
            <v>234</v>
          </cell>
          <cell r="C39">
            <v>156</v>
          </cell>
          <cell r="D39">
            <v>156</v>
          </cell>
          <cell r="E39">
            <v>311</v>
          </cell>
          <cell r="F39">
            <v>156</v>
          </cell>
          <cell r="G39">
            <v>467</v>
          </cell>
          <cell r="H39">
            <v>52</v>
          </cell>
          <cell r="I39">
            <v>36</v>
          </cell>
        </row>
        <row r="40">
          <cell r="A40">
            <v>37</v>
          </cell>
          <cell r="B40">
            <v>241</v>
          </cell>
          <cell r="C40">
            <v>161</v>
          </cell>
          <cell r="D40">
            <v>161</v>
          </cell>
          <cell r="E40">
            <v>322</v>
          </cell>
          <cell r="F40">
            <v>161</v>
          </cell>
          <cell r="G40">
            <v>483</v>
          </cell>
          <cell r="H40">
            <v>54</v>
          </cell>
          <cell r="I40">
            <v>38</v>
          </cell>
        </row>
        <row r="41">
          <cell r="A41">
            <v>38</v>
          </cell>
          <cell r="B41">
            <v>250</v>
          </cell>
          <cell r="C41">
            <v>167</v>
          </cell>
          <cell r="D41">
            <v>167</v>
          </cell>
          <cell r="E41">
            <v>333</v>
          </cell>
          <cell r="F41">
            <v>167</v>
          </cell>
          <cell r="G41">
            <v>500</v>
          </cell>
          <cell r="H41">
            <v>56</v>
          </cell>
          <cell r="I41">
            <v>39</v>
          </cell>
        </row>
        <row r="42">
          <cell r="A42">
            <v>39</v>
          </cell>
          <cell r="B42">
            <v>258</v>
          </cell>
          <cell r="C42">
            <v>172</v>
          </cell>
          <cell r="D42">
            <v>172</v>
          </cell>
          <cell r="E42">
            <v>345</v>
          </cell>
          <cell r="F42">
            <v>172</v>
          </cell>
          <cell r="G42">
            <v>517</v>
          </cell>
          <cell r="H42">
            <v>57</v>
          </cell>
          <cell r="I42">
            <v>40</v>
          </cell>
        </row>
        <row r="43">
          <cell r="A43">
            <v>40</v>
          </cell>
          <cell r="B43">
            <v>267</v>
          </cell>
          <cell r="C43">
            <v>178</v>
          </cell>
          <cell r="D43">
            <v>178</v>
          </cell>
          <cell r="E43">
            <v>356</v>
          </cell>
          <cell r="F43">
            <v>178</v>
          </cell>
          <cell r="G43">
            <v>535</v>
          </cell>
          <cell r="H43">
            <v>59</v>
          </cell>
          <cell r="I43">
            <v>42</v>
          </cell>
        </row>
        <row r="44">
          <cell r="A44">
            <v>41</v>
          </cell>
          <cell r="B44">
            <v>276</v>
          </cell>
          <cell r="C44">
            <v>184</v>
          </cell>
          <cell r="D44">
            <v>184</v>
          </cell>
          <cell r="E44">
            <v>369</v>
          </cell>
          <cell r="F44">
            <v>184</v>
          </cell>
          <cell r="G44">
            <v>553</v>
          </cell>
          <cell r="H44">
            <v>61</v>
          </cell>
          <cell r="I44">
            <v>43</v>
          </cell>
        </row>
        <row r="45">
          <cell r="A45">
            <v>42</v>
          </cell>
          <cell r="B45">
            <v>286</v>
          </cell>
          <cell r="C45">
            <v>191</v>
          </cell>
          <cell r="D45">
            <v>191</v>
          </cell>
          <cell r="E45">
            <v>381</v>
          </cell>
          <cell r="F45">
            <v>191</v>
          </cell>
          <cell r="G45">
            <v>572</v>
          </cell>
          <cell r="H45">
            <v>64</v>
          </cell>
          <cell r="I45">
            <v>44</v>
          </cell>
        </row>
        <row r="46">
          <cell r="A46">
            <v>43</v>
          </cell>
          <cell r="B46">
            <v>295</v>
          </cell>
          <cell r="C46">
            <v>197</v>
          </cell>
          <cell r="D46">
            <v>197</v>
          </cell>
          <cell r="E46">
            <v>394</v>
          </cell>
          <cell r="F46">
            <v>197</v>
          </cell>
          <cell r="G46">
            <v>591</v>
          </cell>
          <cell r="H46">
            <v>66</v>
          </cell>
          <cell r="I46">
            <v>46</v>
          </cell>
        </row>
        <row r="47">
          <cell r="A47">
            <v>44</v>
          </cell>
          <cell r="B47">
            <v>306</v>
          </cell>
          <cell r="C47">
            <v>204</v>
          </cell>
          <cell r="D47">
            <v>204</v>
          </cell>
          <cell r="E47">
            <v>408</v>
          </cell>
          <cell r="F47">
            <v>204</v>
          </cell>
          <cell r="G47">
            <v>611</v>
          </cell>
          <cell r="H47">
            <v>68</v>
          </cell>
          <cell r="I47">
            <v>48</v>
          </cell>
        </row>
        <row r="48">
          <cell r="A48">
            <v>45</v>
          </cell>
          <cell r="B48">
            <v>316</v>
          </cell>
          <cell r="C48">
            <v>211</v>
          </cell>
          <cell r="D48">
            <v>211</v>
          </cell>
          <cell r="E48">
            <v>422</v>
          </cell>
          <cell r="F48">
            <v>211</v>
          </cell>
          <cell r="G48">
            <v>632</v>
          </cell>
          <cell r="H48">
            <v>70</v>
          </cell>
          <cell r="I48">
            <v>49</v>
          </cell>
        </row>
        <row r="49">
          <cell r="A49">
            <v>46</v>
          </cell>
          <cell r="B49">
            <v>327</v>
          </cell>
          <cell r="C49">
            <v>218</v>
          </cell>
          <cell r="D49">
            <v>218</v>
          </cell>
          <cell r="E49">
            <v>436</v>
          </cell>
          <cell r="F49">
            <v>218</v>
          </cell>
          <cell r="G49">
            <v>654</v>
          </cell>
          <cell r="H49">
            <v>73</v>
          </cell>
          <cell r="I49">
            <v>51</v>
          </cell>
        </row>
        <row r="50">
          <cell r="A50">
            <v>47</v>
          </cell>
          <cell r="B50">
            <v>338</v>
          </cell>
          <cell r="C50">
            <v>226</v>
          </cell>
          <cell r="D50">
            <v>226</v>
          </cell>
          <cell r="E50">
            <v>451</v>
          </cell>
          <cell r="F50">
            <v>226</v>
          </cell>
          <cell r="G50">
            <v>677</v>
          </cell>
          <cell r="H50">
            <v>75</v>
          </cell>
          <cell r="I50">
            <v>53</v>
          </cell>
        </row>
        <row r="51">
          <cell r="A51">
            <v>48</v>
          </cell>
          <cell r="B51">
            <v>350</v>
          </cell>
          <cell r="C51">
            <v>233</v>
          </cell>
          <cell r="D51">
            <v>233</v>
          </cell>
          <cell r="E51">
            <v>466</v>
          </cell>
          <cell r="F51">
            <v>233</v>
          </cell>
          <cell r="G51">
            <v>700</v>
          </cell>
          <cell r="H51">
            <v>78</v>
          </cell>
          <cell r="I51">
            <v>54</v>
          </cell>
        </row>
        <row r="52">
          <cell r="A52">
            <v>49</v>
          </cell>
          <cell r="B52">
            <v>362</v>
          </cell>
          <cell r="C52">
            <v>241</v>
          </cell>
          <cell r="D52">
            <v>241</v>
          </cell>
          <cell r="E52">
            <v>482</v>
          </cell>
          <cell r="F52">
            <v>241</v>
          </cell>
          <cell r="G52">
            <v>723</v>
          </cell>
          <cell r="H52">
            <v>80</v>
          </cell>
          <cell r="I52">
            <v>56</v>
          </cell>
        </row>
        <row r="53">
          <cell r="A53">
            <v>50</v>
          </cell>
          <cell r="B53">
            <v>374</v>
          </cell>
          <cell r="C53">
            <v>249</v>
          </cell>
          <cell r="D53">
            <v>250</v>
          </cell>
          <cell r="E53">
            <v>499</v>
          </cell>
          <cell r="F53">
            <v>249</v>
          </cell>
          <cell r="G53">
            <v>748</v>
          </cell>
          <cell r="H53">
            <v>83</v>
          </cell>
          <cell r="I53">
            <v>58</v>
          </cell>
        </row>
        <row r="54">
          <cell r="A54">
            <v>51</v>
          </cell>
          <cell r="B54">
            <v>387</v>
          </cell>
          <cell r="C54">
            <v>258</v>
          </cell>
          <cell r="D54">
            <v>258</v>
          </cell>
          <cell r="E54">
            <v>516</v>
          </cell>
          <cell r="F54">
            <v>258</v>
          </cell>
          <cell r="G54">
            <v>774</v>
          </cell>
          <cell r="H54">
            <v>86</v>
          </cell>
          <cell r="I54">
            <v>60</v>
          </cell>
        </row>
        <row r="55">
          <cell r="A55">
            <v>52</v>
          </cell>
          <cell r="B55">
            <v>401</v>
          </cell>
          <cell r="C55">
            <v>267</v>
          </cell>
          <cell r="D55">
            <v>267</v>
          </cell>
          <cell r="E55">
            <v>533</v>
          </cell>
          <cell r="F55">
            <v>267</v>
          </cell>
          <cell r="G55">
            <v>800</v>
          </cell>
          <cell r="H55">
            <v>89</v>
          </cell>
          <cell r="I55">
            <v>62</v>
          </cell>
        </row>
        <row r="56">
          <cell r="A56">
            <v>53</v>
          </cell>
          <cell r="B56">
            <v>414</v>
          </cell>
          <cell r="C56">
            <v>276</v>
          </cell>
          <cell r="D56">
            <v>276</v>
          </cell>
          <cell r="E56">
            <v>552</v>
          </cell>
          <cell r="F56">
            <v>276</v>
          </cell>
          <cell r="G56">
            <v>828</v>
          </cell>
          <cell r="H56">
            <v>92</v>
          </cell>
          <cell r="I56">
            <v>64</v>
          </cell>
        </row>
        <row r="57">
          <cell r="A57">
            <v>54</v>
          </cell>
          <cell r="B57">
            <v>428</v>
          </cell>
          <cell r="C57">
            <v>285</v>
          </cell>
          <cell r="D57">
            <v>285</v>
          </cell>
          <cell r="E57">
            <v>571</v>
          </cell>
          <cell r="F57">
            <v>285</v>
          </cell>
          <cell r="G57">
            <v>856</v>
          </cell>
          <cell r="H57">
            <v>95</v>
          </cell>
          <cell r="I57">
            <v>67</v>
          </cell>
        </row>
        <row r="58">
          <cell r="A58">
            <v>55</v>
          </cell>
          <cell r="B58">
            <v>443</v>
          </cell>
          <cell r="C58">
            <v>295</v>
          </cell>
          <cell r="D58">
            <v>295</v>
          </cell>
          <cell r="E58">
            <v>590</v>
          </cell>
          <cell r="F58">
            <v>295</v>
          </cell>
          <cell r="G58">
            <v>885</v>
          </cell>
          <cell r="H58">
            <v>98</v>
          </cell>
          <cell r="I58">
            <v>69</v>
          </cell>
        </row>
        <row r="59">
          <cell r="A59">
            <v>56</v>
          </cell>
          <cell r="B59">
            <v>458</v>
          </cell>
          <cell r="C59">
            <v>305</v>
          </cell>
          <cell r="D59">
            <v>305</v>
          </cell>
          <cell r="E59">
            <v>610</v>
          </cell>
          <cell r="F59">
            <v>305</v>
          </cell>
          <cell r="G59">
            <v>915</v>
          </cell>
          <cell r="H59">
            <v>102</v>
          </cell>
          <cell r="I59">
            <v>71</v>
          </cell>
        </row>
        <row r="60">
          <cell r="A60">
            <v>57</v>
          </cell>
          <cell r="B60">
            <v>473</v>
          </cell>
          <cell r="C60">
            <v>316</v>
          </cell>
          <cell r="D60">
            <v>316</v>
          </cell>
          <cell r="E60">
            <v>631</v>
          </cell>
          <cell r="F60">
            <v>316</v>
          </cell>
          <cell r="G60">
            <v>947</v>
          </cell>
          <cell r="H60">
            <v>105</v>
          </cell>
          <cell r="I60">
            <v>74</v>
          </cell>
        </row>
        <row r="61">
          <cell r="A61">
            <v>58</v>
          </cell>
          <cell r="B61">
            <v>490</v>
          </cell>
          <cell r="C61">
            <v>326</v>
          </cell>
          <cell r="D61">
            <v>326</v>
          </cell>
          <cell r="E61">
            <v>653</v>
          </cell>
          <cell r="F61">
            <v>326</v>
          </cell>
          <cell r="G61">
            <v>979</v>
          </cell>
          <cell r="H61">
            <v>109</v>
          </cell>
          <cell r="I61">
            <v>76</v>
          </cell>
        </row>
        <row r="62">
          <cell r="A62">
            <v>59</v>
          </cell>
          <cell r="B62">
            <v>507</v>
          </cell>
          <cell r="C62">
            <v>338</v>
          </cell>
          <cell r="D62">
            <v>338</v>
          </cell>
          <cell r="E62">
            <v>675</v>
          </cell>
          <cell r="F62">
            <v>338</v>
          </cell>
          <cell r="G62">
            <v>1013</v>
          </cell>
          <cell r="H62">
            <v>113</v>
          </cell>
          <cell r="I62">
            <v>79</v>
          </cell>
        </row>
        <row r="63">
          <cell r="A63">
            <v>60</v>
          </cell>
          <cell r="B63">
            <v>524</v>
          </cell>
          <cell r="C63">
            <v>349</v>
          </cell>
          <cell r="D63">
            <v>349</v>
          </cell>
          <cell r="E63">
            <v>698</v>
          </cell>
          <cell r="F63">
            <v>349</v>
          </cell>
          <cell r="G63">
            <v>1047</v>
          </cell>
          <cell r="H63">
            <v>116</v>
          </cell>
          <cell r="I63">
            <v>81</v>
          </cell>
        </row>
        <row r="64">
          <cell r="A64">
            <v>61</v>
          </cell>
          <cell r="B64">
            <v>542</v>
          </cell>
          <cell r="C64">
            <v>361</v>
          </cell>
          <cell r="D64">
            <v>361</v>
          </cell>
          <cell r="E64">
            <v>722</v>
          </cell>
          <cell r="F64">
            <v>361</v>
          </cell>
          <cell r="G64">
            <v>1083</v>
          </cell>
          <cell r="H64">
            <v>120</v>
          </cell>
          <cell r="I64">
            <v>84</v>
          </cell>
        </row>
        <row r="65">
          <cell r="A65">
            <v>62</v>
          </cell>
          <cell r="B65">
            <v>560</v>
          </cell>
          <cell r="C65">
            <v>373</v>
          </cell>
          <cell r="D65">
            <v>373</v>
          </cell>
          <cell r="E65">
            <v>747</v>
          </cell>
          <cell r="F65">
            <v>373</v>
          </cell>
          <cell r="G65">
            <v>1120</v>
          </cell>
          <cell r="H65">
            <v>124</v>
          </cell>
          <cell r="I65">
            <v>87</v>
          </cell>
        </row>
        <row r="66">
          <cell r="A66">
            <v>63</v>
          </cell>
          <cell r="B66">
            <v>580</v>
          </cell>
          <cell r="C66">
            <v>386</v>
          </cell>
          <cell r="D66">
            <v>386</v>
          </cell>
          <cell r="E66">
            <v>772</v>
          </cell>
          <cell r="F66">
            <v>386</v>
          </cell>
          <cell r="G66">
            <v>1158</v>
          </cell>
          <cell r="H66">
            <v>129</v>
          </cell>
          <cell r="I66">
            <v>90</v>
          </cell>
        </row>
        <row r="67">
          <cell r="A67">
            <v>64</v>
          </cell>
          <cell r="B67">
            <v>599</v>
          </cell>
          <cell r="C67">
            <v>399</v>
          </cell>
          <cell r="D67">
            <v>400</v>
          </cell>
          <cell r="E67">
            <v>799</v>
          </cell>
          <cell r="F67">
            <v>399</v>
          </cell>
          <cell r="G67">
            <v>1198</v>
          </cell>
          <cell r="H67">
            <v>133</v>
          </cell>
          <cell r="I67">
            <v>93</v>
          </cell>
        </row>
        <row r="68">
          <cell r="A68">
            <v>65</v>
          </cell>
          <cell r="B68">
            <v>619</v>
          </cell>
          <cell r="C68">
            <v>413</v>
          </cell>
          <cell r="D68">
            <v>413</v>
          </cell>
          <cell r="E68">
            <v>826</v>
          </cell>
          <cell r="F68">
            <v>413</v>
          </cell>
          <cell r="G68">
            <v>1239</v>
          </cell>
          <cell r="H68">
            <v>138</v>
          </cell>
          <cell r="I68">
            <v>96</v>
          </cell>
        </row>
        <row r="69">
          <cell r="A69">
            <v>66</v>
          </cell>
          <cell r="B69">
            <v>641</v>
          </cell>
          <cell r="C69">
            <v>427</v>
          </cell>
          <cell r="D69">
            <v>427</v>
          </cell>
          <cell r="E69">
            <v>854</v>
          </cell>
          <cell r="F69">
            <v>427</v>
          </cell>
          <cell r="G69">
            <v>1281</v>
          </cell>
          <cell r="H69">
            <v>142</v>
          </cell>
          <cell r="I69">
            <v>100</v>
          </cell>
        </row>
        <row r="70">
          <cell r="A70">
            <v>67</v>
          </cell>
          <cell r="B70">
            <v>662</v>
          </cell>
          <cell r="C70">
            <v>442</v>
          </cell>
          <cell r="D70">
            <v>442</v>
          </cell>
          <cell r="E70">
            <v>883</v>
          </cell>
          <cell r="F70">
            <v>442</v>
          </cell>
          <cell r="G70">
            <v>1325</v>
          </cell>
          <cell r="H70">
            <v>147</v>
          </cell>
          <cell r="I70">
            <v>103</v>
          </cell>
        </row>
        <row r="71">
          <cell r="A71">
            <v>68</v>
          </cell>
          <cell r="B71">
            <v>685</v>
          </cell>
          <cell r="C71">
            <v>457</v>
          </cell>
          <cell r="D71">
            <v>457</v>
          </cell>
          <cell r="E71">
            <v>914</v>
          </cell>
          <cell r="F71">
            <v>457</v>
          </cell>
          <cell r="G71">
            <v>1370</v>
          </cell>
          <cell r="H71">
            <v>152</v>
          </cell>
          <cell r="I71">
            <v>107</v>
          </cell>
        </row>
        <row r="72">
          <cell r="A72">
            <v>69</v>
          </cell>
          <cell r="B72">
            <v>708</v>
          </cell>
          <cell r="C72">
            <v>473</v>
          </cell>
          <cell r="D72">
            <v>472</v>
          </cell>
          <cell r="E72">
            <v>945</v>
          </cell>
          <cell r="F72">
            <v>473</v>
          </cell>
          <cell r="G72">
            <v>1418</v>
          </cell>
          <cell r="H72">
            <v>157</v>
          </cell>
          <cell r="I72">
            <v>110</v>
          </cell>
        </row>
        <row r="73">
          <cell r="A73">
            <v>70</v>
          </cell>
          <cell r="B73">
            <v>733</v>
          </cell>
          <cell r="C73">
            <v>489</v>
          </cell>
          <cell r="D73">
            <v>488</v>
          </cell>
          <cell r="E73">
            <v>977</v>
          </cell>
          <cell r="F73">
            <v>489</v>
          </cell>
          <cell r="G73">
            <v>1466</v>
          </cell>
          <cell r="H73">
            <v>163</v>
          </cell>
          <cell r="I73">
            <v>114</v>
          </cell>
        </row>
        <row r="74">
          <cell r="A74">
            <v>71</v>
          </cell>
          <cell r="B74">
            <v>758</v>
          </cell>
          <cell r="C74">
            <v>505</v>
          </cell>
          <cell r="D74">
            <v>505</v>
          </cell>
          <cell r="E74">
            <v>1011</v>
          </cell>
          <cell r="F74">
            <v>505</v>
          </cell>
          <cell r="G74">
            <v>1516</v>
          </cell>
          <cell r="H74">
            <v>168</v>
          </cell>
          <cell r="I74">
            <v>118</v>
          </cell>
        </row>
        <row r="75">
          <cell r="A75">
            <v>72</v>
          </cell>
          <cell r="B75">
            <v>784</v>
          </cell>
          <cell r="C75">
            <v>523</v>
          </cell>
          <cell r="D75">
            <v>523</v>
          </cell>
          <cell r="E75">
            <v>1045</v>
          </cell>
          <cell r="F75">
            <v>523</v>
          </cell>
          <cell r="G75">
            <v>1568</v>
          </cell>
          <cell r="H75">
            <v>174</v>
          </cell>
          <cell r="I75">
            <v>122</v>
          </cell>
        </row>
        <row r="76">
          <cell r="A76">
            <v>73</v>
          </cell>
          <cell r="B76">
            <v>811</v>
          </cell>
          <cell r="C76">
            <v>541</v>
          </cell>
          <cell r="D76">
            <v>541</v>
          </cell>
          <cell r="E76">
            <v>1081</v>
          </cell>
          <cell r="F76">
            <v>541</v>
          </cell>
          <cell r="G76">
            <v>1622</v>
          </cell>
          <cell r="H76">
            <v>180</v>
          </cell>
          <cell r="I76">
            <v>126</v>
          </cell>
        </row>
        <row r="77">
          <cell r="A77">
            <v>74</v>
          </cell>
          <cell r="B77">
            <v>839</v>
          </cell>
          <cell r="C77">
            <v>559</v>
          </cell>
          <cell r="D77">
            <v>559</v>
          </cell>
          <cell r="E77">
            <v>1118</v>
          </cell>
          <cell r="F77">
            <v>559</v>
          </cell>
          <cell r="G77">
            <v>1677</v>
          </cell>
          <cell r="H77">
            <v>186</v>
          </cell>
          <cell r="I77">
            <v>130</v>
          </cell>
        </row>
        <row r="78">
          <cell r="A78">
            <v>75</v>
          </cell>
          <cell r="B78">
            <v>867</v>
          </cell>
          <cell r="C78">
            <v>578</v>
          </cell>
          <cell r="D78">
            <v>578</v>
          </cell>
          <cell r="E78">
            <v>1156</v>
          </cell>
          <cell r="F78">
            <v>578</v>
          </cell>
          <cell r="G78">
            <v>1734</v>
          </cell>
          <cell r="H78">
            <v>193</v>
          </cell>
          <cell r="I78">
            <v>135</v>
          </cell>
        </row>
        <row r="79">
          <cell r="A79">
            <v>76</v>
          </cell>
          <cell r="B79">
            <v>896</v>
          </cell>
          <cell r="C79">
            <v>598</v>
          </cell>
          <cell r="D79">
            <v>598</v>
          </cell>
          <cell r="E79">
            <v>1196</v>
          </cell>
          <cell r="F79">
            <v>598</v>
          </cell>
          <cell r="G79">
            <v>1793</v>
          </cell>
          <cell r="H79">
            <v>199</v>
          </cell>
          <cell r="I79">
            <v>139</v>
          </cell>
        </row>
        <row r="80">
          <cell r="A80">
            <v>77</v>
          </cell>
          <cell r="B80">
            <v>927</v>
          </cell>
          <cell r="C80">
            <v>618</v>
          </cell>
          <cell r="D80">
            <v>618</v>
          </cell>
          <cell r="E80">
            <v>1237</v>
          </cell>
          <cell r="F80">
            <v>618</v>
          </cell>
          <cell r="G80">
            <v>1855</v>
          </cell>
          <cell r="H80">
            <v>206</v>
          </cell>
          <cell r="I80">
            <v>144</v>
          </cell>
        </row>
        <row r="81">
          <cell r="A81">
            <v>78</v>
          </cell>
          <cell r="B81">
            <v>959</v>
          </cell>
          <cell r="C81">
            <v>639</v>
          </cell>
          <cell r="D81">
            <v>640</v>
          </cell>
          <cell r="E81">
            <v>1279</v>
          </cell>
          <cell r="F81">
            <v>639</v>
          </cell>
          <cell r="G81">
            <v>1918</v>
          </cell>
          <cell r="H81">
            <v>213</v>
          </cell>
          <cell r="I81">
            <v>149</v>
          </cell>
        </row>
        <row r="82">
          <cell r="A82">
            <v>79</v>
          </cell>
          <cell r="B82">
            <v>992</v>
          </cell>
          <cell r="C82">
            <v>661</v>
          </cell>
          <cell r="D82">
            <v>661</v>
          </cell>
          <cell r="E82">
            <v>1323</v>
          </cell>
          <cell r="F82">
            <v>661</v>
          </cell>
          <cell r="G82">
            <v>1984</v>
          </cell>
          <cell r="H82">
            <v>220</v>
          </cell>
          <cell r="I82">
            <v>154</v>
          </cell>
        </row>
        <row r="83">
          <cell r="A83">
            <v>80</v>
          </cell>
          <cell r="B83">
            <v>1026</v>
          </cell>
          <cell r="C83">
            <v>684</v>
          </cell>
          <cell r="D83">
            <v>684</v>
          </cell>
          <cell r="E83">
            <v>1368</v>
          </cell>
          <cell r="F83">
            <v>684</v>
          </cell>
          <cell r="G83">
            <v>2052</v>
          </cell>
          <cell r="H83">
            <v>228</v>
          </cell>
          <cell r="I83">
            <v>160</v>
          </cell>
        </row>
        <row r="84">
          <cell r="A84">
            <v>81</v>
          </cell>
          <cell r="B84">
            <v>1061</v>
          </cell>
          <cell r="C84">
            <v>707</v>
          </cell>
          <cell r="D84">
            <v>707</v>
          </cell>
          <cell r="E84">
            <v>1415</v>
          </cell>
          <cell r="F84">
            <v>707</v>
          </cell>
          <cell r="G84">
            <v>2122</v>
          </cell>
          <cell r="H84">
            <v>236</v>
          </cell>
          <cell r="I84">
            <v>165</v>
          </cell>
        </row>
        <row r="85">
          <cell r="A85">
            <v>82</v>
          </cell>
          <cell r="B85">
            <v>1097</v>
          </cell>
          <cell r="C85">
            <v>732</v>
          </cell>
          <cell r="D85">
            <v>731</v>
          </cell>
          <cell r="E85">
            <v>1463</v>
          </cell>
          <cell r="F85">
            <v>732</v>
          </cell>
          <cell r="G85">
            <v>2195</v>
          </cell>
          <cell r="H85">
            <v>244</v>
          </cell>
          <cell r="I85">
            <v>171</v>
          </cell>
        </row>
        <row r="86">
          <cell r="A86">
            <v>83</v>
          </cell>
          <cell r="B86">
            <v>1135</v>
          </cell>
          <cell r="C86">
            <v>757</v>
          </cell>
          <cell r="D86">
            <v>757</v>
          </cell>
          <cell r="E86">
            <v>1513</v>
          </cell>
          <cell r="F86">
            <v>757</v>
          </cell>
          <cell r="G86">
            <v>2270</v>
          </cell>
          <cell r="H86">
            <v>252</v>
          </cell>
          <cell r="I86">
            <v>177</v>
          </cell>
        </row>
        <row r="87">
          <cell r="A87">
            <v>84</v>
          </cell>
          <cell r="B87">
            <v>1174</v>
          </cell>
          <cell r="C87">
            <v>782</v>
          </cell>
          <cell r="D87">
            <v>782</v>
          </cell>
          <cell r="E87">
            <v>1565</v>
          </cell>
          <cell r="F87">
            <v>782</v>
          </cell>
          <cell r="G87">
            <v>2347</v>
          </cell>
          <cell r="H87">
            <v>261</v>
          </cell>
          <cell r="I87">
            <v>183</v>
          </cell>
        </row>
        <row r="88">
          <cell r="A88">
            <v>85</v>
          </cell>
          <cell r="B88">
            <v>1214</v>
          </cell>
          <cell r="C88">
            <v>809</v>
          </cell>
          <cell r="D88">
            <v>809</v>
          </cell>
          <cell r="E88">
            <v>1618</v>
          </cell>
          <cell r="F88">
            <v>809</v>
          </cell>
          <cell r="G88">
            <v>2428</v>
          </cell>
          <cell r="H88">
            <v>270</v>
          </cell>
          <cell r="I88">
            <v>189</v>
          </cell>
        </row>
        <row r="89">
          <cell r="A89">
            <v>86</v>
          </cell>
          <cell r="B89">
            <v>1256</v>
          </cell>
          <cell r="C89">
            <v>837</v>
          </cell>
          <cell r="D89">
            <v>837</v>
          </cell>
          <cell r="E89">
            <v>1674</v>
          </cell>
          <cell r="F89">
            <v>837</v>
          </cell>
          <cell r="G89">
            <v>2510</v>
          </cell>
          <cell r="H89">
            <v>279</v>
          </cell>
          <cell r="I89">
            <v>195</v>
          </cell>
        </row>
        <row r="90">
          <cell r="A90">
            <v>87</v>
          </cell>
          <cell r="B90">
            <v>1298</v>
          </cell>
          <cell r="C90">
            <v>865</v>
          </cell>
          <cell r="D90">
            <v>865</v>
          </cell>
          <cell r="E90">
            <v>1731</v>
          </cell>
          <cell r="F90">
            <v>865</v>
          </cell>
          <cell r="G90">
            <v>2596</v>
          </cell>
          <cell r="H90">
            <v>288</v>
          </cell>
          <cell r="I90">
            <v>202</v>
          </cell>
        </row>
        <row r="91">
          <cell r="A91">
            <v>88</v>
          </cell>
          <cell r="B91">
            <v>1343</v>
          </cell>
          <cell r="C91">
            <v>895</v>
          </cell>
          <cell r="D91">
            <v>895</v>
          </cell>
          <cell r="E91">
            <v>1790</v>
          </cell>
          <cell r="F91">
            <v>895</v>
          </cell>
          <cell r="G91">
            <v>2685</v>
          </cell>
          <cell r="H91">
            <v>298</v>
          </cell>
          <cell r="I91">
            <v>209</v>
          </cell>
        </row>
        <row r="92">
          <cell r="A92">
            <v>89</v>
          </cell>
          <cell r="B92">
            <v>1389</v>
          </cell>
          <cell r="C92">
            <v>926</v>
          </cell>
          <cell r="D92">
            <v>926</v>
          </cell>
          <cell r="E92">
            <v>1851</v>
          </cell>
          <cell r="F92">
            <v>926</v>
          </cell>
          <cell r="G92">
            <v>2777</v>
          </cell>
          <cell r="H92">
            <v>309</v>
          </cell>
          <cell r="I92">
            <v>216</v>
          </cell>
        </row>
        <row r="93">
          <cell r="A93">
            <v>90</v>
          </cell>
          <cell r="B93">
            <v>1436</v>
          </cell>
          <cell r="C93">
            <v>957</v>
          </cell>
          <cell r="D93">
            <v>958</v>
          </cell>
          <cell r="E93">
            <v>1915</v>
          </cell>
          <cell r="F93">
            <v>957</v>
          </cell>
          <cell r="G93">
            <v>2872</v>
          </cell>
          <cell r="H93">
            <v>319</v>
          </cell>
          <cell r="I93">
            <v>223</v>
          </cell>
        </row>
        <row r="94">
          <cell r="A94">
            <v>91</v>
          </cell>
          <cell r="B94">
            <v>1485</v>
          </cell>
          <cell r="C94">
            <v>990</v>
          </cell>
          <cell r="D94">
            <v>990</v>
          </cell>
          <cell r="E94">
            <v>1980</v>
          </cell>
          <cell r="F94">
            <v>990</v>
          </cell>
          <cell r="G94">
            <v>2970</v>
          </cell>
          <cell r="H94">
            <v>330</v>
          </cell>
          <cell r="I94">
            <v>231</v>
          </cell>
        </row>
        <row r="95">
          <cell r="A95">
            <v>92</v>
          </cell>
          <cell r="B95">
            <v>1536</v>
          </cell>
          <cell r="C95">
            <v>1024</v>
          </cell>
          <cell r="D95">
            <v>1024</v>
          </cell>
          <cell r="E95">
            <v>2048</v>
          </cell>
          <cell r="F95">
            <v>1024</v>
          </cell>
          <cell r="G95">
            <v>3072</v>
          </cell>
          <cell r="H95">
            <v>341</v>
          </cell>
          <cell r="I95">
            <v>239</v>
          </cell>
        </row>
        <row r="96">
          <cell r="A96">
            <v>93</v>
          </cell>
          <cell r="B96">
            <v>1589</v>
          </cell>
          <cell r="C96">
            <v>1059</v>
          </cell>
          <cell r="D96">
            <v>1059</v>
          </cell>
          <cell r="E96">
            <v>2118</v>
          </cell>
          <cell r="F96">
            <v>1059</v>
          </cell>
          <cell r="G96">
            <v>3177</v>
          </cell>
          <cell r="H96">
            <v>353</v>
          </cell>
          <cell r="I96">
            <v>247</v>
          </cell>
        </row>
        <row r="97">
          <cell r="A97">
            <v>94</v>
          </cell>
          <cell r="B97">
            <v>1643</v>
          </cell>
          <cell r="C97">
            <v>1095</v>
          </cell>
          <cell r="D97">
            <v>1095</v>
          </cell>
          <cell r="E97">
            <v>2190</v>
          </cell>
          <cell r="F97">
            <v>1095</v>
          </cell>
          <cell r="G97">
            <v>3285</v>
          </cell>
          <cell r="H97">
            <v>365</v>
          </cell>
          <cell r="I97">
            <v>256</v>
          </cell>
        </row>
        <row r="98">
          <cell r="A98">
            <v>95</v>
          </cell>
          <cell r="B98">
            <v>1699</v>
          </cell>
          <cell r="C98">
            <v>1133</v>
          </cell>
          <cell r="D98">
            <v>1133</v>
          </cell>
          <cell r="E98">
            <v>2265</v>
          </cell>
          <cell r="F98">
            <v>1133</v>
          </cell>
          <cell r="G98">
            <v>3398</v>
          </cell>
          <cell r="H98">
            <v>378</v>
          </cell>
          <cell r="I98">
            <v>264</v>
          </cell>
        </row>
        <row r="99">
          <cell r="A99">
            <v>96</v>
          </cell>
          <cell r="B99">
            <v>1757</v>
          </cell>
          <cell r="C99">
            <v>1171</v>
          </cell>
          <cell r="D99">
            <v>1171</v>
          </cell>
          <cell r="E99">
            <v>2343</v>
          </cell>
          <cell r="F99">
            <v>1171</v>
          </cell>
          <cell r="G99">
            <v>3514</v>
          </cell>
          <cell r="H99">
            <v>390</v>
          </cell>
          <cell r="I99">
            <v>273</v>
          </cell>
        </row>
        <row r="100">
          <cell r="A100">
            <v>97</v>
          </cell>
          <cell r="B100">
            <v>1817</v>
          </cell>
          <cell r="C100">
            <v>1211</v>
          </cell>
          <cell r="D100">
            <v>1211</v>
          </cell>
          <cell r="E100">
            <v>2423</v>
          </cell>
          <cell r="F100">
            <v>1211</v>
          </cell>
          <cell r="G100">
            <v>3634</v>
          </cell>
          <cell r="H100">
            <v>404</v>
          </cell>
          <cell r="I100">
            <v>283</v>
          </cell>
        </row>
        <row r="101">
          <cell r="A101">
            <v>98</v>
          </cell>
          <cell r="B101">
            <v>1879</v>
          </cell>
          <cell r="C101">
            <v>1253</v>
          </cell>
          <cell r="D101">
            <v>1253</v>
          </cell>
          <cell r="E101">
            <v>2506</v>
          </cell>
          <cell r="F101">
            <v>1253</v>
          </cell>
          <cell r="G101">
            <v>3758</v>
          </cell>
          <cell r="H101">
            <v>418</v>
          </cell>
          <cell r="I101">
            <v>292</v>
          </cell>
        </row>
        <row r="102">
          <cell r="A102">
            <v>99</v>
          </cell>
          <cell r="B102">
            <v>1943</v>
          </cell>
          <cell r="C102">
            <v>1296</v>
          </cell>
          <cell r="D102">
            <v>1295</v>
          </cell>
          <cell r="E102">
            <v>2591</v>
          </cell>
          <cell r="F102">
            <v>1296</v>
          </cell>
          <cell r="G102">
            <v>3887</v>
          </cell>
          <cell r="H102">
            <v>432</v>
          </cell>
          <cell r="I102">
            <v>302</v>
          </cell>
        </row>
        <row r="103">
          <cell r="A103">
            <v>100</v>
          </cell>
          <cell r="B103">
            <v>2010</v>
          </cell>
          <cell r="C103">
            <v>1340</v>
          </cell>
          <cell r="D103">
            <v>1340</v>
          </cell>
          <cell r="E103">
            <v>2680</v>
          </cell>
          <cell r="F103">
            <v>1340</v>
          </cell>
          <cell r="G103">
            <v>4020</v>
          </cell>
          <cell r="H103">
            <v>447</v>
          </cell>
          <cell r="I103">
            <v>313</v>
          </cell>
        </row>
        <row r="104">
          <cell r="A104">
            <v>101</v>
          </cell>
          <cell r="B104">
            <v>2079</v>
          </cell>
          <cell r="C104">
            <v>1386</v>
          </cell>
          <cell r="D104">
            <v>1386</v>
          </cell>
          <cell r="E104">
            <v>2772</v>
          </cell>
          <cell r="F104">
            <v>1386</v>
          </cell>
          <cell r="G104">
            <v>4157</v>
          </cell>
          <cell r="H104">
            <v>462</v>
          </cell>
          <cell r="I104">
            <v>323</v>
          </cell>
        </row>
        <row r="105">
          <cell r="A105">
            <v>102</v>
          </cell>
          <cell r="B105">
            <v>2150</v>
          </cell>
          <cell r="C105">
            <v>1433</v>
          </cell>
          <cell r="D105">
            <v>1433</v>
          </cell>
          <cell r="E105">
            <v>2866</v>
          </cell>
          <cell r="F105">
            <v>1433</v>
          </cell>
          <cell r="G105">
            <v>4300</v>
          </cell>
          <cell r="H105">
            <v>478</v>
          </cell>
          <cell r="I105">
            <v>334</v>
          </cell>
        </row>
        <row r="106">
          <cell r="A106">
            <v>103</v>
          </cell>
          <cell r="B106">
            <v>2223</v>
          </cell>
          <cell r="C106">
            <v>1482</v>
          </cell>
          <cell r="D106">
            <v>1482</v>
          </cell>
          <cell r="E106">
            <v>2964</v>
          </cell>
          <cell r="F106">
            <v>1482</v>
          </cell>
          <cell r="G106">
            <v>4447</v>
          </cell>
          <cell r="H106">
            <v>494</v>
          </cell>
          <cell r="I106">
            <v>346</v>
          </cell>
        </row>
        <row r="107">
          <cell r="A107">
            <v>104</v>
          </cell>
          <cell r="B107">
            <v>2300</v>
          </cell>
          <cell r="C107">
            <v>1533</v>
          </cell>
          <cell r="D107">
            <v>1533</v>
          </cell>
          <cell r="E107">
            <v>3066</v>
          </cell>
          <cell r="F107">
            <v>1533</v>
          </cell>
          <cell r="G107">
            <v>4599</v>
          </cell>
          <cell r="H107">
            <v>511</v>
          </cell>
          <cell r="I107">
            <v>358</v>
          </cell>
        </row>
        <row r="108">
          <cell r="A108">
            <v>105</v>
          </cell>
          <cell r="B108">
            <v>2378</v>
          </cell>
          <cell r="C108">
            <v>1585</v>
          </cell>
          <cell r="D108">
            <v>1585</v>
          </cell>
          <cell r="E108">
            <v>3171</v>
          </cell>
          <cell r="F108">
            <v>1585</v>
          </cell>
          <cell r="G108">
            <v>4756</v>
          </cell>
          <cell r="H108">
            <v>528</v>
          </cell>
          <cell r="I108">
            <v>370</v>
          </cell>
        </row>
        <row r="109">
          <cell r="A109">
            <v>106</v>
          </cell>
          <cell r="B109">
            <v>2460</v>
          </cell>
          <cell r="C109">
            <v>1640</v>
          </cell>
          <cell r="D109">
            <v>1640</v>
          </cell>
          <cell r="E109">
            <v>3279</v>
          </cell>
          <cell r="F109">
            <v>1640</v>
          </cell>
          <cell r="G109">
            <v>4919</v>
          </cell>
          <cell r="H109">
            <v>547</v>
          </cell>
          <cell r="I109">
            <v>383</v>
          </cell>
        </row>
        <row r="110">
          <cell r="A110">
            <v>107</v>
          </cell>
          <cell r="B110">
            <v>2543</v>
          </cell>
          <cell r="C110">
            <v>1696</v>
          </cell>
          <cell r="D110">
            <v>1696</v>
          </cell>
          <cell r="E110">
            <v>3391</v>
          </cell>
          <cell r="F110">
            <v>1696</v>
          </cell>
          <cell r="G110">
            <v>5087</v>
          </cell>
          <cell r="H110">
            <v>565</v>
          </cell>
          <cell r="I110">
            <v>396</v>
          </cell>
        </row>
        <row r="111">
          <cell r="A111">
            <v>108</v>
          </cell>
          <cell r="B111">
            <v>2631</v>
          </cell>
          <cell r="C111">
            <v>1754</v>
          </cell>
          <cell r="D111">
            <v>1754</v>
          </cell>
          <cell r="E111">
            <v>3507</v>
          </cell>
          <cell r="F111">
            <v>1754</v>
          </cell>
          <cell r="G111">
            <v>5261</v>
          </cell>
          <cell r="H111">
            <v>585</v>
          </cell>
          <cell r="I111">
            <v>409</v>
          </cell>
        </row>
        <row r="112">
          <cell r="A112">
            <v>109</v>
          </cell>
          <cell r="B112">
            <v>2721</v>
          </cell>
          <cell r="C112">
            <v>1814</v>
          </cell>
          <cell r="D112">
            <v>1814</v>
          </cell>
          <cell r="E112">
            <v>3627</v>
          </cell>
          <cell r="F112">
            <v>1814</v>
          </cell>
          <cell r="G112">
            <v>5441</v>
          </cell>
          <cell r="H112">
            <v>605</v>
          </cell>
          <cell r="I112">
            <v>423</v>
          </cell>
        </row>
        <row r="113">
          <cell r="A113">
            <v>110</v>
          </cell>
          <cell r="B113">
            <v>2813</v>
          </cell>
          <cell r="C113">
            <v>1876</v>
          </cell>
          <cell r="D113">
            <v>1876</v>
          </cell>
          <cell r="E113">
            <v>3751</v>
          </cell>
          <cell r="F113">
            <v>1876</v>
          </cell>
          <cell r="G113">
            <v>5627</v>
          </cell>
          <cell r="H113">
            <v>625</v>
          </cell>
          <cell r="I113">
            <v>438</v>
          </cell>
        </row>
        <row r="114">
          <cell r="A114">
            <v>111</v>
          </cell>
          <cell r="B114">
            <v>2910</v>
          </cell>
          <cell r="C114">
            <v>1940</v>
          </cell>
          <cell r="D114">
            <v>1940</v>
          </cell>
          <cell r="E114">
            <v>3880</v>
          </cell>
          <cell r="F114">
            <v>1940</v>
          </cell>
          <cell r="G114">
            <v>5819</v>
          </cell>
          <cell r="H114">
            <v>647</v>
          </cell>
          <cell r="I114">
            <v>453</v>
          </cell>
        </row>
        <row r="115">
          <cell r="A115">
            <v>112</v>
          </cell>
          <cell r="B115">
            <v>3010</v>
          </cell>
          <cell r="C115">
            <v>2006</v>
          </cell>
          <cell r="D115">
            <v>2006</v>
          </cell>
          <cell r="E115">
            <v>4012</v>
          </cell>
          <cell r="F115">
            <v>2006</v>
          </cell>
          <cell r="G115">
            <v>6018</v>
          </cell>
          <cell r="H115">
            <v>669</v>
          </cell>
          <cell r="I115">
            <v>468</v>
          </cell>
        </row>
        <row r="116">
          <cell r="A116">
            <v>113</v>
          </cell>
          <cell r="B116">
            <v>3112</v>
          </cell>
          <cell r="C116">
            <v>2075</v>
          </cell>
          <cell r="D116">
            <v>2075</v>
          </cell>
          <cell r="E116">
            <v>4149</v>
          </cell>
          <cell r="F116">
            <v>2075</v>
          </cell>
          <cell r="G116">
            <v>6224</v>
          </cell>
          <cell r="H116">
            <v>692</v>
          </cell>
          <cell r="I116">
            <v>484</v>
          </cell>
        </row>
        <row r="117">
          <cell r="A117">
            <v>114</v>
          </cell>
          <cell r="B117">
            <v>3218</v>
          </cell>
          <cell r="C117">
            <v>2146</v>
          </cell>
          <cell r="D117">
            <v>2146</v>
          </cell>
          <cell r="E117">
            <v>4291</v>
          </cell>
          <cell r="F117">
            <v>2146</v>
          </cell>
          <cell r="G117">
            <v>6437</v>
          </cell>
          <cell r="H117">
            <v>715</v>
          </cell>
          <cell r="I117">
            <v>501</v>
          </cell>
        </row>
        <row r="118">
          <cell r="A118">
            <v>115</v>
          </cell>
          <cell r="B118">
            <v>3328</v>
          </cell>
          <cell r="C118">
            <v>2219</v>
          </cell>
          <cell r="D118">
            <v>2219</v>
          </cell>
          <cell r="E118">
            <v>4438</v>
          </cell>
          <cell r="F118">
            <v>2219</v>
          </cell>
          <cell r="G118">
            <v>6657</v>
          </cell>
          <cell r="H118">
            <v>740</v>
          </cell>
          <cell r="I118">
            <v>518</v>
          </cell>
        </row>
        <row r="119">
          <cell r="A119">
            <v>116</v>
          </cell>
          <cell r="B119">
            <v>3443</v>
          </cell>
          <cell r="C119">
            <v>2295</v>
          </cell>
          <cell r="D119">
            <v>2295</v>
          </cell>
          <cell r="E119">
            <v>4590</v>
          </cell>
          <cell r="F119">
            <v>2295</v>
          </cell>
          <cell r="G119">
            <v>6885</v>
          </cell>
          <cell r="H119">
            <v>765</v>
          </cell>
          <cell r="I119">
            <v>535</v>
          </cell>
        </row>
        <row r="120">
          <cell r="A120">
            <v>117</v>
          </cell>
          <cell r="B120">
            <v>3560</v>
          </cell>
          <cell r="C120">
            <v>2373</v>
          </cell>
          <cell r="D120">
            <v>2374</v>
          </cell>
          <cell r="E120">
            <v>4747</v>
          </cell>
          <cell r="F120">
            <v>2373</v>
          </cell>
          <cell r="G120">
            <v>7120</v>
          </cell>
          <cell r="H120">
            <v>791</v>
          </cell>
          <cell r="I120">
            <v>554</v>
          </cell>
        </row>
        <row r="121">
          <cell r="A121">
            <v>118</v>
          </cell>
          <cell r="B121">
            <v>3682</v>
          </cell>
          <cell r="C121">
            <v>2455</v>
          </cell>
          <cell r="D121">
            <v>2455</v>
          </cell>
          <cell r="E121">
            <v>4909</v>
          </cell>
          <cell r="F121">
            <v>2455</v>
          </cell>
          <cell r="G121">
            <v>7364</v>
          </cell>
          <cell r="H121">
            <v>818</v>
          </cell>
          <cell r="I121">
            <v>573</v>
          </cell>
        </row>
        <row r="122">
          <cell r="A122">
            <v>119</v>
          </cell>
          <cell r="B122">
            <v>3808</v>
          </cell>
          <cell r="C122">
            <v>2539</v>
          </cell>
          <cell r="D122">
            <v>2539</v>
          </cell>
          <cell r="E122">
            <v>5077</v>
          </cell>
          <cell r="F122">
            <v>2539</v>
          </cell>
          <cell r="G122">
            <v>7616</v>
          </cell>
          <cell r="H122">
            <v>846</v>
          </cell>
          <cell r="I122">
            <v>592</v>
          </cell>
        </row>
        <row r="123">
          <cell r="A123">
            <v>120</v>
          </cell>
          <cell r="B123">
            <v>3938</v>
          </cell>
          <cell r="C123">
            <v>2625</v>
          </cell>
          <cell r="D123">
            <v>2626</v>
          </cell>
          <cell r="E123">
            <v>5251</v>
          </cell>
          <cell r="F123">
            <v>2625</v>
          </cell>
          <cell r="G123">
            <v>7876</v>
          </cell>
          <cell r="H123">
            <v>875</v>
          </cell>
          <cell r="I123">
            <v>613</v>
          </cell>
        </row>
        <row r="124">
          <cell r="A124">
            <v>121</v>
          </cell>
          <cell r="B124">
            <v>4073</v>
          </cell>
          <cell r="C124">
            <v>2715</v>
          </cell>
          <cell r="D124">
            <v>2715</v>
          </cell>
          <cell r="E124">
            <v>5430</v>
          </cell>
          <cell r="F124">
            <v>2715</v>
          </cell>
          <cell r="G124">
            <v>8146</v>
          </cell>
          <cell r="H124">
            <v>905</v>
          </cell>
          <cell r="I124">
            <v>634</v>
          </cell>
        </row>
        <row r="125">
          <cell r="A125">
            <v>122</v>
          </cell>
          <cell r="B125">
            <v>4212</v>
          </cell>
          <cell r="C125">
            <v>2808</v>
          </cell>
          <cell r="D125">
            <v>2808</v>
          </cell>
          <cell r="E125">
            <v>5616</v>
          </cell>
          <cell r="F125">
            <v>2808</v>
          </cell>
          <cell r="G125">
            <v>8424</v>
          </cell>
          <cell r="H125">
            <v>936</v>
          </cell>
          <cell r="I125">
            <v>655</v>
          </cell>
        </row>
        <row r="126">
          <cell r="A126">
            <v>123</v>
          </cell>
          <cell r="B126">
            <v>4356</v>
          </cell>
          <cell r="C126">
            <v>2904</v>
          </cell>
          <cell r="D126">
            <v>2904</v>
          </cell>
          <cell r="E126">
            <v>5808</v>
          </cell>
          <cell r="F126">
            <v>2904</v>
          </cell>
          <cell r="G126">
            <v>8712</v>
          </cell>
          <cell r="H126">
            <v>968</v>
          </cell>
          <cell r="I126">
            <v>678</v>
          </cell>
        </row>
        <row r="127">
          <cell r="A127">
            <v>124</v>
          </cell>
          <cell r="B127">
            <v>4505</v>
          </cell>
          <cell r="C127">
            <v>3003</v>
          </cell>
          <cell r="D127">
            <v>3004</v>
          </cell>
          <cell r="E127">
            <v>6007</v>
          </cell>
          <cell r="F127">
            <v>3003</v>
          </cell>
          <cell r="G127">
            <v>9010</v>
          </cell>
          <cell r="H127">
            <v>1001</v>
          </cell>
          <cell r="I127">
            <v>701</v>
          </cell>
        </row>
        <row r="128">
          <cell r="A128">
            <v>125</v>
          </cell>
          <cell r="B128">
            <v>4659</v>
          </cell>
          <cell r="C128">
            <v>3106</v>
          </cell>
          <cell r="D128">
            <v>3106</v>
          </cell>
          <cell r="E128">
            <v>6212</v>
          </cell>
          <cell r="F128">
            <v>3106</v>
          </cell>
          <cell r="G128">
            <v>9318</v>
          </cell>
          <cell r="H128">
            <v>1035</v>
          </cell>
          <cell r="I128">
            <v>725</v>
          </cell>
        </row>
        <row r="129">
          <cell r="A129">
            <v>126</v>
          </cell>
          <cell r="B129">
            <v>4819</v>
          </cell>
          <cell r="C129">
            <v>3212</v>
          </cell>
          <cell r="D129">
            <v>3212</v>
          </cell>
          <cell r="E129">
            <v>6425</v>
          </cell>
          <cell r="F129">
            <v>3212</v>
          </cell>
          <cell r="G129">
            <v>9637</v>
          </cell>
          <cell r="H129">
            <v>1071</v>
          </cell>
          <cell r="I129">
            <v>750</v>
          </cell>
        </row>
        <row r="130">
          <cell r="A130">
            <v>127</v>
          </cell>
          <cell r="B130">
            <v>4983</v>
          </cell>
          <cell r="C130">
            <v>3322</v>
          </cell>
          <cell r="D130">
            <v>3322</v>
          </cell>
          <cell r="E130">
            <v>6644</v>
          </cell>
          <cell r="F130">
            <v>3322</v>
          </cell>
          <cell r="G130">
            <v>9967</v>
          </cell>
          <cell r="H130">
            <v>1107</v>
          </cell>
          <cell r="I130">
            <v>775</v>
          </cell>
        </row>
        <row r="131">
          <cell r="A131">
            <v>128</v>
          </cell>
          <cell r="B131">
            <v>5153</v>
          </cell>
          <cell r="C131">
            <v>3436</v>
          </cell>
          <cell r="D131">
            <v>3436</v>
          </cell>
          <cell r="E131">
            <v>6872</v>
          </cell>
          <cell r="F131">
            <v>3436</v>
          </cell>
          <cell r="G131">
            <v>10307</v>
          </cell>
          <cell r="H131">
            <v>1145</v>
          </cell>
          <cell r="I131">
            <v>802</v>
          </cell>
        </row>
        <row r="132">
          <cell r="A132">
            <v>129</v>
          </cell>
          <cell r="B132">
            <v>5330</v>
          </cell>
          <cell r="C132">
            <v>3553</v>
          </cell>
          <cell r="D132">
            <v>3553</v>
          </cell>
          <cell r="E132">
            <v>7107</v>
          </cell>
          <cell r="F132">
            <v>3553</v>
          </cell>
          <cell r="G132">
            <v>10660</v>
          </cell>
          <cell r="H132">
            <v>1184</v>
          </cell>
          <cell r="I132">
            <v>829</v>
          </cell>
        </row>
        <row r="133">
          <cell r="A133">
            <v>130</v>
          </cell>
          <cell r="B133">
            <v>5513</v>
          </cell>
          <cell r="C133">
            <v>3675</v>
          </cell>
          <cell r="D133">
            <v>3675</v>
          </cell>
          <cell r="E133">
            <v>7350</v>
          </cell>
          <cell r="F133">
            <v>3675</v>
          </cell>
          <cell r="G133">
            <v>11025</v>
          </cell>
          <cell r="H133">
            <v>1225</v>
          </cell>
          <cell r="I133">
            <v>857</v>
          </cell>
        </row>
        <row r="134">
          <cell r="A134">
            <v>131</v>
          </cell>
          <cell r="B134">
            <v>5701</v>
          </cell>
          <cell r="C134">
            <v>3801</v>
          </cell>
          <cell r="D134">
            <v>3800</v>
          </cell>
          <cell r="E134">
            <v>7601</v>
          </cell>
          <cell r="F134">
            <v>3801</v>
          </cell>
          <cell r="G134">
            <v>11402</v>
          </cell>
          <cell r="H134">
            <v>1267</v>
          </cell>
          <cell r="I134">
            <v>887</v>
          </cell>
        </row>
        <row r="135">
          <cell r="A135">
            <v>132</v>
          </cell>
          <cell r="B135">
            <v>5896</v>
          </cell>
          <cell r="C135">
            <v>3931</v>
          </cell>
          <cell r="D135">
            <v>3931</v>
          </cell>
          <cell r="E135">
            <v>7861</v>
          </cell>
          <cell r="F135">
            <v>3931</v>
          </cell>
          <cell r="G135">
            <v>11792</v>
          </cell>
          <cell r="H135">
            <v>1310</v>
          </cell>
          <cell r="I135">
            <v>917</v>
          </cell>
        </row>
        <row r="136">
          <cell r="A136">
            <v>133</v>
          </cell>
          <cell r="B136">
            <v>6098</v>
          </cell>
          <cell r="C136">
            <v>4065</v>
          </cell>
          <cell r="D136">
            <v>4065</v>
          </cell>
          <cell r="E136">
            <v>8130</v>
          </cell>
          <cell r="F136">
            <v>4065</v>
          </cell>
          <cell r="G136">
            <v>12195</v>
          </cell>
          <cell r="H136">
            <v>1355</v>
          </cell>
          <cell r="I136">
            <v>948</v>
          </cell>
        </row>
        <row r="137">
          <cell r="A137">
            <v>134</v>
          </cell>
          <cell r="B137">
            <v>6306</v>
          </cell>
          <cell r="C137">
            <v>4204</v>
          </cell>
          <cell r="D137">
            <v>4204</v>
          </cell>
          <cell r="E137">
            <v>8408</v>
          </cell>
          <cell r="F137">
            <v>4204</v>
          </cell>
          <cell r="G137">
            <v>12612</v>
          </cell>
          <cell r="H137">
            <v>1401</v>
          </cell>
          <cell r="I137">
            <v>981</v>
          </cell>
        </row>
        <row r="138">
          <cell r="A138">
            <v>135</v>
          </cell>
          <cell r="B138">
            <v>6521</v>
          </cell>
          <cell r="C138">
            <v>4348</v>
          </cell>
          <cell r="D138">
            <v>4348</v>
          </cell>
          <cell r="E138">
            <v>8695</v>
          </cell>
          <cell r="F138">
            <v>4348</v>
          </cell>
          <cell r="G138">
            <v>13043</v>
          </cell>
          <cell r="H138">
            <v>1449</v>
          </cell>
          <cell r="I138">
            <v>1014</v>
          </cell>
        </row>
        <row r="139">
          <cell r="A139">
            <v>136</v>
          </cell>
          <cell r="B139">
            <v>6745</v>
          </cell>
          <cell r="C139">
            <v>4496</v>
          </cell>
          <cell r="D139">
            <v>4496</v>
          </cell>
          <cell r="E139">
            <v>8993</v>
          </cell>
          <cell r="F139">
            <v>4496</v>
          </cell>
          <cell r="G139">
            <v>13489</v>
          </cell>
          <cell r="H139">
            <v>1499</v>
          </cell>
          <cell r="I139">
            <v>1049</v>
          </cell>
        </row>
        <row r="140">
          <cell r="A140">
            <v>137</v>
          </cell>
          <cell r="B140">
            <v>6975</v>
          </cell>
          <cell r="C140">
            <v>4650</v>
          </cell>
          <cell r="D140">
            <v>4650</v>
          </cell>
          <cell r="E140">
            <v>9300</v>
          </cell>
          <cell r="F140">
            <v>4650</v>
          </cell>
          <cell r="G140">
            <v>13951</v>
          </cell>
          <cell r="H140">
            <v>1550</v>
          </cell>
          <cell r="I140">
            <v>1085</v>
          </cell>
        </row>
        <row r="141">
          <cell r="A141">
            <v>138</v>
          </cell>
          <cell r="B141">
            <v>7214</v>
          </cell>
          <cell r="C141">
            <v>4809</v>
          </cell>
          <cell r="D141">
            <v>4809</v>
          </cell>
          <cell r="E141">
            <v>9618</v>
          </cell>
          <cell r="F141">
            <v>4809</v>
          </cell>
          <cell r="G141">
            <v>14428</v>
          </cell>
          <cell r="H141">
            <v>1603</v>
          </cell>
          <cell r="I141">
            <v>1122</v>
          </cell>
        </row>
        <row r="142">
          <cell r="A142">
            <v>139</v>
          </cell>
          <cell r="B142">
            <v>7461</v>
          </cell>
          <cell r="C142">
            <v>4974</v>
          </cell>
          <cell r="D142">
            <v>4974</v>
          </cell>
          <cell r="E142">
            <v>9947</v>
          </cell>
          <cell r="F142">
            <v>4974</v>
          </cell>
          <cell r="G142">
            <v>14921</v>
          </cell>
          <cell r="H142">
            <v>1658</v>
          </cell>
          <cell r="I142">
            <v>1161</v>
          </cell>
        </row>
        <row r="143">
          <cell r="A143">
            <v>140</v>
          </cell>
          <cell r="B143">
            <v>7716</v>
          </cell>
          <cell r="C143">
            <v>5144</v>
          </cell>
          <cell r="D143">
            <v>5144</v>
          </cell>
          <cell r="E143">
            <v>10288</v>
          </cell>
          <cell r="F143">
            <v>5144</v>
          </cell>
          <cell r="G143">
            <v>15431</v>
          </cell>
          <cell r="H143">
            <v>1715</v>
          </cell>
          <cell r="I143">
            <v>1200</v>
          </cell>
        </row>
        <row r="144">
          <cell r="A144">
            <v>141</v>
          </cell>
          <cell r="B144">
            <v>7979</v>
          </cell>
          <cell r="C144">
            <v>5320</v>
          </cell>
          <cell r="D144">
            <v>5320</v>
          </cell>
          <cell r="E144">
            <v>10639</v>
          </cell>
          <cell r="F144">
            <v>5320</v>
          </cell>
          <cell r="G144">
            <v>15959</v>
          </cell>
          <cell r="H144">
            <v>1773</v>
          </cell>
          <cell r="I144">
            <v>1241</v>
          </cell>
        </row>
        <row r="145">
          <cell r="A145">
            <v>142</v>
          </cell>
          <cell r="B145">
            <v>8252</v>
          </cell>
          <cell r="C145">
            <v>5502</v>
          </cell>
          <cell r="D145">
            <v>5501</v>
          </cell>
          <cell r="E145">
            <v>11003</v>
          </cell>
          <cell r="F145">
            <v>5502</v>
          </cell>
          <cell r="G145">
            <v>16505</v>
          </cell>
          <cell r="H145">
            <v>1834</v>
          </cell>
          <cell r="I145">
            <v>1284</v>
          </cell>
        </row>
        <row r="146">
          <cell r="A146">
            <v>143</v>
          </cell>
          <cell r="B146">
            <v>8535</v>
          </cell>
          <cell r="C146">
            <v>5690</v>
          </cell>
          <cell r="D146">
            <v>5690</v>
          </cell>
          <cell r="E146">
            <v>11380</v>
          </cell>
          <cell r="F146">
            <v>5690</v>
          </cell>
          <cell r="G146">
            <v>17069</v>
          </cell>
          <cell r="H146">
            <v>1897</v>
          </cell>
          <cell r="I146">
            <v>1328</v>
          </cell>
        </row>
        <row r="147">
          <cell r="A147">
            <v>144</v>
          </cell>
          <cell r="B147">
            <v>8826</v>
          </cell>
          <cell r="C147">
            <v>5884</v>
          </cell>
          <cell r="D147">
            <v>5884</v>
          </cell>
          <cell r="E147">
            <v>11769</v>
          </cell>
          <cell r="F147">
            <v>5884</v>
          </cell>
          <cell r="G147">
            <v>17653</v>
          </cell>
          <cell r="H147">
            <v>1961</v>
          </cell>
          <cell r="I147">
            <v>1373</v>
          </cell>
        </row>
        <row r="148">
          <cell r="A148">
            <v>145</v>
          </cell>
          <cell r="B148">
            <v>9129</v>
          </cell>
          <cell r="C148">
            <v>6086</v>
          </cell>
          <cell r="D148">
            <v>6086</v>
          </cell>
          <cell r="E148">
            <v>12171</v>
          </cell>
          <cell r="F148">
            <v>6086</v>
          </cell>
          <cell r="G148">
            <v>18257</v>
          </cell>
          <cell r="H148">
            <v>2029</v>
          </cell>
          <cell r="I148">
            <v>1420</v>
          </cell>
        </row>
        <row r="149">
          <cell r="A149">
            <v>146</v>
          </cell>
          <cell r="B149">
            <v>9441</v>
          </cell>
          <cell r="C149">
            <v>6294</v>
          </cell>
          <cell r="D149">
            <v>6294</v>
          </cell>
          <cell r="E149">
            <v>12588</v>
          </cell>
          <cell r="F149">
            <v>6294</v>
          </cell>
          <cell r="G149">
            <v>18881</v>
          </cell>
          <cell r="H149">
            <v>2098</v>
          </cell>
          <cell r="I149">
            <v>1469</v>
          </cell>
        </row>
        <row r="150">
          <cell r="A150">
            <v>147</v>
          </cell>
          <cell r="B150">
            <v>9763</v>
          </cell>
          <cell r="C150">
            <v>6509</v>
          </cell>
          <cell r="D150">
            <v>6509</v>
          </cell>
          <cell r="E150">
            <v>13018</v>
          </cell>
          <cell r="F150">
            <v>6509</v>
          </cell>
          <cell r="G150">
            <v>19527</v>
          </cell>
          <cell r="H150">
            <v>2170</v>
          </cell>
          <cell r="I150">
            <v>1519</v>
          </cell>
        </row>
        <row r="151">
          <cell r="A151">
            <v>148</v>
          </cell>
          <cell r="B151">
            <v>10097</v>
          </cell>
          <cell r="C151">
            <v>6732</v>
          </cell>
          <cell r="D151">
            <v>6731</v>
          </cell>
          <cell r="E151">
            <v>13463</v>
          </cell>
          <cell r="F151">
            <v>6732</v>
          </cell>
          <cell r="G151">
            <v>20195</v>
          </cell>
          <cell r="H151">
            <v>2244</v>
          </cell>
          <cell r="I151">
            <v>1571</v>
          </cell>
        </row>
        <row r="152">
          <cell r="A152">
            <v>149</v>
          </cell>
          <cell r="B152">
            <v>10443</v>
          </cell>
          <cell r="C152">
            <v>6962</v>
          </cell>
          <cell r="D152">
            <v>6962</v>
          </cell>
          <cell r="E152">
            <v>13924</v>
          </cell>
          <cell r="F152">
            <v>6962</v>
          </cell>
          <cell r="G152">
            <v>20886</v>
          </cell>
          <cell r="H152">
            <v>2321</v>
          </cell>
          <cell r="I152">
            <v>1624</v>
          </cell>
        </row>
        <row r="153">
          <cell r="A153">
            <v>150</v>
          </cell>
          <cell r="B153">
            <v>10800</v>
          </cell>
          <cell r="C153">
            <v>7200</v>
          </cell>
          <cell r="D153">
            <v>7200</v>
          </cell>
          <cell r="E153">
            <v>14400</v>
          </cell>
          <cell r="F153">
            <v>7200</v>
          </cell>
          <cell r="G153">
            <v>21600</v>
          </cell>
          <cell r="H153">
            <v>2400</v>
          </cell>
          <cell r="I153">
            <v>1680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不可叠加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297"/>
  <sheetViews>
    <sheetView tabSelected="1" zoomScaleNormal="115" workbookViewId="0">
      <pane xSplit="2" ySplit="1" topLeftCell="C185" activePane="bottomRight" state="frozenSplit"/>
      <selection activeCell="A260" sqref="A260:IV260"/>
      <selection pane="topRight" activeCell="F258" sqref="F258"/>
      <selection pane="bottomLeft" activeCell="E549" sqref="E524:E549"/>
      <selection pane="bottomRight" activeCell="C202" sqref="C202:C226"/>
    </sheetView>
  </sheetViews>
  <sheetFormatPr defaultRowHeight="15" customHeight="1" x14ac:dyDescent="0.15"/>
  <cols>
    <col min="1" max="1" width="5.875" style="2" customWidth="1"/>
    <col min="2" max="2" width="15.5" style="2" customWidth="1"/>
    <col min="3" max="3" width="8" style="2" bestFit="1" customWidth="1"/>
    <col min="4" max="6" width="8" style="2" customWidth="1"/>
    <col min="7" max="8" width="6.375" style="2" bestFit="1" customWidth="1"/>
    <col min="9" max="9" width="8" style="2" customWidth="1"/>
    <col min="10" max="11" width="9" style="2"/>
    <col min="12" max="12" width="11.625" style="2" bestFit="1" customWidth="1"/>
    <col min="13" max="13" width="8.25" style="2" bestFit="1" customWidth="1"/>
    <col min="14" max="15" width="7.5" style="2" customWidth="1"/>
    <col min="16" max="16" width="9.625" style="2" bestFit="1" customWidth="1"/>
    <col min="17" max="19" width="7.125" style="2" customWidth="1"/>
    <col min="20" max="20" width="8" style="2" customWidth="1"/>
    <col min="21" max="21" width="8.875" style="2" customWidth="1"/>
    <col min="22" max="22" width="8" style="2" customWidth="1"/>
    <col min="23" max="25" width="8" style="2" bestFit="1" customWidth="1"/>
    <col min="26" max="26" width="72.125" style="2" bestFit="1" customWidth="1"/>
    <col min="27" max="27" width="16.75" style="2" bestFit="1" customWidth="1"/>
    <col min="28" max="16384" width="9" style="2"/>
  </cols>
  <sheetData>
    <row r="1" spans="1:27" ht="30" customHeight="1" x14ac:dyDescent="0.15">
      <c r="A1" s="3" t="s">
        <v>6</v>
      </c>
      <c r="B1" s="3" t="s">
        <v>967</v>
      </c>
      <c r="C1" s="4" t="s">
        <v>15</v>
      </c>
      <c r="D1" s="4" t="s">
        <v>561</v>
      </c>
      <c r="E1" s="4" t="s">
        <v>1313</v>
      </c>
      <c r="F1" s="4" t="s">
        <v>932</v>
      </c>
      <c r="G1" s="6" t="s">
        <v>335</v>
      </c>
      <c r="H1" s="6" t="s">
        <v>336</v>
      </c>
      <c r="I1" s="6" t="s">
        <v>43</v>
      </c>
      <c r="J1" s="6" t="s">
        <v>338</v>
      </c>
      <c r="K1" s="6" t="s">
        <v>337</v>
      </c>
      <c r="L1" s="4" t="s">
        <v>35</v>
      </c>
      <c r="M1" s="4" t="s">
        <v>11</v>
      </c>
      <c r="N1" s="6" t="s">
        <v>257</v>
      </c>
      <c r="O1" s="6" t="s">
        <v>258</v>
      </c>
      <c r="P1" s="6" t="s">
        <v>50</v>
      </c>
      <c r="Q1" s="6" t="s">
        <v>38</v>
      </c>
      <c r="R1" s="6" t="s">
        <v>39</v>
      </c>
      <c r="S1" s="6" t="s">
        <v>256</v>
      </c>
      <c r="T1" s="4" t="s">
        <v>53</v>
      </c>
      <c r="U1" s="4" t="s">
        <v>552</v>
      </c>
      <c r="V1" s="4" t="s">
        <v>52</v>
      </c>
      <c r="W1" s="4" t="s">
        <v>10</v>
      </c>
      <c r="X1" s="4" t="s">
        <v>114</v>
      </c>
      <c r="Y1" s="4" t="s">
        <v>1660</v>
      </c>
      <c r="Z1" s="2" t="s">
        <v>9</v>
      </c>
      <c r="AA1" s="2" t="s">
        <v>80</v>
      </c>
    </row>
    <row r="2" spans="1:27" s="12" customFormat="1" ht="15" customHeight="1" x14ac:dyDescent="0.15">
      <c r="A2" s="12">
        <v>1</v>
      </c>
      <c r="B2" s="12" t="s">
        <v>573</v>
      </c>
      <c r="C2" s="12">
        <f>G2+H2*2+I2*4+J2*8+K2*16</f>
        <v>1</v>
      </c>
      <c r="D2" s="12">
        <v>1</v>
      </c>
      <c r="F2" s="12">
        <v>0</v>
      </c>
      <c r="G2" s="13">
        <v>1</v>
      </c>
      <c r="H2" s="13">
        <v>0</v>
      </c>
      <c r="I2" s="13">
        <v>0</v>
      </c>
      <c r="J2" s="13">
        <v>0</v>
      </c>
      <c r="K2" s="13">
        <v>0</v>
      </c>
      <c r="L2" s="12">
        <v>0</v>
      </c>
      <c r="M2" s="12">
        <f>N2+O2*2+P2*4+Q2*8+R2*16+S2*32</f>
        <v>0</v>
      </c>
      <c r="N2" s="13">
        <v>0</v>
      </c>
      <c r="O2" s="13">
        <v>0</v>
      </c>
      <c r="P2" s="13">
        <v>0</v>
      </c>
      <c r="Q2" s="13">
        <v>0</v>
      </c>
      <c r="R2" s="13">
        <v>0</v>
      </c>
      <c r="S2" s="13">
        <v>0</v>
      </c>
      <c r="T2" s="12">
        <v>1</v>
      </c>
      <c r="U2" s="12">
        <v>1</v>
      </c>
      <c r="V2" s="12">
        <v>1</v>
      </c>
      <c r="W2" s="12">
        <v>1</v>
      </c>
      <c r="X2" s="12">
        <v>1</v>
      </c>
      <c r="Y2" s="12">
        <v>0</v>
      </c>
    </row>
    <row r="3" spans="1:27" s="12" customFormat="1" ht="15" customHeight="1" x14ac:dyDescent="0.15">
      <c r="A3" s="12">
        <v>2</v>
      </c>
      <c r="B3" s="12" t="s">
        <v>574</v>
      </c>
      <c r="C3" s="12">
        <f>G3+H3*2+I3*4+J3*8+K3*16</f>
        <v>1</v>
      </c>
      <c r="D3" s="12">
        <v>1</v>
      </c>
      <c r="F3" s="12">
        <v>0</v>
      </c>
      <c r="G3" s="13">
        <v>1</v>
      </c>
      <c r="H3" s="13">
        <v>0</v>
      </c>
      <c r="I3" s="13">
        <v>0</v>
      </c>
      <c r="J3" s="13">
        <v>0</v>
      </c>
      <c r="K3" s="13">
        <v>0</v>
      </c>
      <c r="L3" s="12">
        <v>0</v>
      </c>
      <c r="M3" s="12">
        <f>N3+O3*2+P3*4+Q3*8+R3*16+S3*32</f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  <c r="S3" s="13">
        <v>0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0</v>
      </c>
    </row>
    <row r="4" spans="1:27" s="12" customFormat="1" ht="15" customHeight="1" x14ac:dyDescent="0.15">
      <c r="A4" s="12">
        <v>3</v>
      </c>
      <c r="B4" s="12" t="s">
        <v>465</v>
      </c>
      <c r="C4" s="12">
        <f t="shared" ref="C4:C21" si="0">G4+H4*2+I4*4+J4*8+K4*16</f>
        <v>0</v>
      </c>
      <c r="D4" s="12">
        <v>1</v>
      </c>
      <c r="F4" s="12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2">
        <v>0</v>
      </c>
      <c r="M4" s="12">
        <f t="shared" ref="M4:M21" si="1">N4+O4*2+P4*4+Q4*8+R4*16+S4*32</f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2">
        <v>0</v>
      </c>
      <c r="U4" s="12">
        <v>0</v>
      </c>
      <c r="V4" s="12">
        <v>1</v>
      </c>
      <c r="W4" s="12">
        <v>0</v>
      </c>
      <c r="X4" s="12">
        <v>1</v>
      </c>
      <c r="Y4" s="12">
        <v>0</v>
      </c>
      <c r="Z4" s="12" t="s">
        <v>1469</v>
      </c>
    </row>
    <row r="5" spans="1:27" s="12" customFormat="1" ht="15" customHeight="1" x14ac:dyDescent="0.15">
      <c r="A5" s="12">
        <v>4</v>
      </c>
      <c r="B5" s="12" t="s">
        <v>1637</v>
      </c>
      <c r="C5" s="12">
        <f t="shared" si="0"/>
        <v>5</v>
      </c>
      <c r="D5" s="12">
        <v>1</v>
      </c>
      <c r="F5" s="12">
        <v>0</v>
      </c>
      <c r="G5" s="13">
        <v>1</v>
      </c>
      <c r="H5" s="13">
        <v>0</v>
      </c>
      <c r="I5" s="13">
        <v>1</v>
      </c>
      <c r="J5" s="13">
        <v>0</v>
      </c>
      <c r="K5" s="13">
        <v>0</v>
      </c>
      <c r="L5" s="12">
        <v>0</v>
      </c>
      <c r="M5" s="12">
        <v>64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2">
        <v>0</v>
      </c>
      <c r="U5" s="12">
        <v>0</v>
      </c>
      <c r="V5" s="12">
        <v>1</v>
      </c>
      <c r="W5" s="12">
        <v>1</v>
      </c>
      <c r="X5" s="12">
        <v>1</v>
      </c>
      <c r="Y5" s="12">
        <v>0</v>
      </c>
      <c r="Z5" s="12" t="s">
        <v>32</v>
      </c>
    </row>
    <row r="6" spans="1:27" s="12" customFormat="1" ht="15" customHeight="1" x14ac:dyDescent="0.15">
      <c r="A6" s="12">
        <v>5</v>
      </c>
      <c r="B6" s="12" t="s">
        <v>447</v>
      </c>
      <c r="C6" s="12">
        <f t="shared" si="0"/>
        <v>5</v>
      </c>
      <c r="D6" s="12">
        <v>1</v>
      </c>
      <c r="F6" s="12">
        <v>0</v>
      </c>
      <c r="G6" s="13">
        <v>1</v>
      </c>
      <c r="H6" s="13">
        <v>0</v>
      </c>
      <c r="I6" s="13">
        <v>1</v>
      </c>
      <c r="J6" s="13">
        <v>0</v>
      </c>
      <c r="K6" s="13">
        <v>0</v>
      </c>
      <c r="L6" s="12">
        <v>0</v>
      </c>
      <c r="M6" s="12">
        <f t="shared" si="1"/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2">
        <v>1</v>
      </c>
      <c r="U6" s="12">
        <v>0</v>
      </c>
      <c r="V6" s="12">
        <v>1</v>
      </c>
      <c r="W6" s="12">
        <v>0</v>
      </c>
      <c r="X6" s="12">
        <v>1</v>
      </c>
      <c r="Y6" s="12">
        <v>0</v>
      </c>
      <c r="Z6" s="12" t="s">
        <v>523</v>
      </c>
    </row>
    <row r="7" spans="1:27" s="12" customFormat="1" ht="15" customHeight="1" x14ac:dyDescent="0.15">
      <c r="A7" s="12">
        <v>6</v>
      </c>
      <c r="B7" s="12" t="s">
        <v>14</v>
      </c>
      <c r="C7" s="12">
        <f t="shared" si="0"/>
        <v>5</v>
      </c>
      <c r="D7" s="12">
        <v>1</v>
      </c>
      <c r="F7" s="12">
        <v>0</v>
      </c>
      <c r="G7" s="13">
        <v>1</v>
      </c>
      <c r="H7" s="13">
        <v>0</v>
      </c>
      <c r="I7" s="13">
        <v>1</v>
      </c>
      <c r="J7" s="13">
        <v>0</v>
      </c>
      <c r="K7" s="13">
        <v>0</v>
      </c>
      <c r="L7" s="12">
        <v>0</v>
      </c>
      <c r="M7" s="12">
        <f t="shared" si="1"/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2">
        <v>1</v>
      </c>
      <c r="U7" s="12">
        <v>0</v>
      </c>
      <c r="V7" s="12">
        <v>1</v>
      </c>
      <c r="W7" s="12">
        <v>0</v>
      </c>
      <c r="X7" s="12">
        <v>0</v>
      </c>
      <c r="Y7" s="12">
        <v>0</v>
      </c>
      <c r="Z7" s="12" t="s">
        <v>524</v>
      </c>
    </row>
    <row r="8" spans="1:27" s="12" customFormat="1" ht="15" customHeight="1" x14ac:dyDescent="0.15">
      <c r="A8" s="12">
        <v>7</v>
      </c>
      <c r="B8" s="12" t="s">
        <v>12</v>
      </c>
      <c r="C8" s="12">
        <f t="shared" si="0"/>
        <v>0</v>
      </c>
      <c r="D8" s="12">
        <v>1</v>
      </c>
      <c r="F8" s="12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2">
        <v>0</v>
      </c>
      <c r="M8" s="12">
        <f t="shared" si="1"/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2">
        <v>1</v>
      </c>
      <c r="U8" s="12">
        <v>0</v>
      </c>
      <c r="V8" s="12">
        <v>1</v>
      </c>
      <c r="W8" s="12">
        <v>0</v>
      </c>
      <c r="X8" s="12">
        <v>0</v>
      </c>
      <c r="Y8" s="12">
        <v>0</v>
      </c>
      <c r="Z8" s="12" t="s">
        <v>13</v>
      </c>
    </row>
    <row r="9" spans="1:27" s="12" customFormat="1" ht="15" customHeight="1" x14ac:dyDescent="0.15">
      <c r="A9" s="12">
        <v>8</v>
      </c>
      <c r="B9" s="12" t="s">
        <v>16</v>
      </c>
      <c r="C9" s="12">
        <f t="shared" si="0"/>
        <v>5</v>
      </c>
      <c r="D9" s="12">
        <v>1</v>
      </c>
      <c r="F9" s="12">
        <v>0</v>
      </c>
      <c r="G9" s="13">
        <v>1</v>
      </c>
      <c r="H9" s="13">
        <v>0</v>
      </c>
      <c r="I9" s="13">
        <v>1</v>
      </c>
      <c r="J9" s="13">
        <v>0</v>
      </c>
      <c r="K9" s="13">
        <v>0</v>
      </c>
      <c r="L9" s="12">
        <v>0</v>
      </c>
      <c r="M9" s="12">
        <f t="shared" si="1"/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2">
        <v>0</v>
      </c>
      <c r="U9" s="12">
        <v>0</v>
      </c>
      <c r="V9" s="12">
        <v>1</v>
      </c>
      <c r="W9" s="12">
        <v>0</v>
      </c>
      <c r="X9" s="12">
        <v>1</v>
      </c>
      <c r="Y9" s="12">
        <v>0</v>
      </c>
      <c r="Z9" s="12" t="s">
        <v>157</v>
      </c>
    </row>
    <row r="10" spans="1:27" s="12" customFormat="1" ht="15" customHeight="1" x14ac:dyDescent="0.15">
      <c r="A10" s="12">
        <v>9</v>
      </c>
      <c r="B10" s="12" t="s">
        <v>23</v>
      </c>
      <c r="C10" s="12">
        <f t="shared" si="0"/>
        <v>5</v>
      </c>
      <c r="D10" s="12">
        <v>1</v>
      </c>
      <c r="F10" s="12">
        <v>0</v>
      </c>
      <c r="G10" s="13">
        <v>1</v>
      </c>
      <c r="H10" s="13">
        <v>0</v>
      </c>
      <c r="I10" s="13">
        <v>1</v>
      </c>
      <c r="J10" s="13">
        <v>0</v>
      </c>
      <c r="K10" s="13">
        <v>0</v>
      </c>
      <c r="L10" s="12">
        <v>1</v>
      </c>
      <c r="M10" s="12">
        <f t="shared" si="1"/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2">
        <v>1</v>
      </c>
      <c r="U10" s="12">
        <v>0</v>
      </c>
      <c r="V10" s="12">
        <v>1</v>
      </c>
      <c r="W10" s="12">
        <v>0</v>
      </c>
      <c r="X10" s="12">
        <v>0</v>
      </c>
      <c r="Y10" s="12">
        <v>0</v>
      </c>
      <c r="Z10" s="12" t="s">
        <v>78</v>
      </c>
    </row>
    <row r="11" spans="1:27" s="12" customFormat="1" ht="15" customHeight="1" x14ac:dyDescent="0.15">
      <c r="A11" s="12">
        <v>10</v>
      </c>
      <c r="B11" s="12" t="s">
        <v>1364</v>
      </c>
      <c r="C11" s="12">
        <f t="shared" si="0"/>
        <v>5</v>
      </c>
      <c r="D11" s="12">
        <v>1</v>
      </c>
      <c r="F11" s="12">
        <v>0</v>
      </c>
      <c r="G11" s="13">
        <v>1</v>
      </c>
      <c r="H11" s="13">
        <v>0</v>
      </c>
      <c r="I11" s="13">
        <v>1</v>
      </c>
      <c r="J11" s="13">
        <v>0</v>
      </c>
      <c r="K11" s="13">
        <v>0</v>
      </c>
      <c r="L11" s="12">
        <v>1</v>
      </c>
      <c r="M11" s="12">
        <f t="shared" si="1"/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2">
        <v>1</v>
      </c>
      <c r="U11" s="12">
        <v>1</v>
      </c>
      <c r="V11" s="12">
        <v>1</v>
      </c>
      <c r="W11" s="12">
        <v>0</v>
      </c>
      <c r="X11" s="12">
        <v>0</v>
      </c>
      <c r="Y11" s="12">
        <v>0</v>
      </c>
      <c r="Z11" s="12" t="s">
        <v>79</v>
      </c>
    </row>
    <row r="12" spans="1:27" s="12" customFormat="1" ht="15" customHeight="1" x14ac:dyDescent="0.15">
      <c r="A12" s="12">
        <v>11</v>
      </c>
      <c r="B12" s="12" t="s">
        <v>155</v>
      </c>
      <c r="C12" s="12">
        <f t="shared" si="0"/>
        <v>1</v>
      </c>
      <c r="D12" s="12">
        <v>1</v>
      </c>
      <c r="F12" s="12">
        <v>0</v>
      </c>
      <c r="G12" s="13">
        <v>1</v>
      </c>
      <c r="H12" s="13">
        <v>0</v>
      </c>
      <c r="I12" s="13">
        <v>0</v>
      </c>
      <c r="J12" s="13">
        <v>0</v>
      </c>
      <c r="K12" s="13">
        <v>0</v>
      </c>
      <c r="L12" s="12">
        <v>1</v>
      </c>
      <c r="M12" s="12">
        <f t="shared" si="1"/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 t="s">
        <v>342</v>
      </c>
    </row>
    <row r="13" spans="1:27" s="12" customFormat="1" ht="15" customHeight="1" x14ac:dyDescent="0.15">
      <c r="A13" s="12">
        <v>12</v>
      </c>
      <c r="B13" s="12" t="s">
        <v>154</v>
      </c>
      <c r="C13" s="12">
        <f t="shared" si="0"/>
        <v>5</v>
      </c>
      <c r="D13" s="12">
        <v>1</v>
      </c>
      <c r="F13" s="12">
        <v>0</v>
      </c>
      <c r="G13" s="13">
        <v>1</v>
      </c>
      <c r="H13" s="13">
        <v>0</v>
      </c>
      <c r="I13" s="13">
        <v>1</v>
      </c>
      <c r="J13" s="13">
        <v>0</v>
      </c>
      <c r="K13" s="13">
        <v>0</v>
      </c>
      <c r="L13" s="12">
        <v>1</v>
      </c>
      <c r="M13" s="12">
        <f t="shared" si="1"/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2">
        <v>0</v>
      </c>
      <c r="U13" s="12">
        <v>0</v>
      </c>
      <c r="V13" s="12">
        <v>1</v>
      </c>
      <c r="W13" s="12">
        <v>0</v>
      </c>
      <c r="X13" s="12">
        <v>0</v>
      </c>
      <c r="Y13" s="12">
        <v>0</v>
      </c>
      <c r="Z13" s="12" t="s">
        <v>156</v>
      </c>
    </row>
    <row r="14" spans="1:27" s="12" customFormat="1" ht="15" customHeight="1" x14ac:dyDescent="0.15">
      <c r="A14" s="12">
        <v>13</v>
      </c>
      <c r="B14" s="12" t="s">
        <v>191</v>
      </c>
      <c r="C14" s="12">
        <f t="shared" si="0"/>
        <v>5</v>
      </c>
      <c r="D14" s="12">
        <v>1</v>
      </c>
      <c r="F14" s="12">
        <v>0</v>
      </c>
      <c r="G14" s="13">
        <v>1</v>
      </c>
      <c r="H14" s="13">
        <v>0</v>
      </c>
      <c r="I14" s="13">
        <v>1</v>
      </c>
      <c r="J14" s="13">
        <v>0</v>
      </c>
      <c r="K14" s="13">
        <v>0</v>
      </c>
      <c r="L14" s="12">
        <v>0</v>
      </c>
      <c r="M14" s="12">
        <f t="shared" si="1"/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2">
        <v>0</v>
      </c>
      <c r="U14" s="12">
        <v>0</v>
      </c>
      <c r="V14" s="12">
        <v>1</v>
      </c>
      <c r="W14" s="12">
        <v>0</v>
      </c>
      <c r="X14" s="12">
        <v>0</v>
      </c>
      <c r="Y14" s="12">
        <v>0</v>
      </c>
    </row>
    <row r="15" spans="1:27" s="12" customFormat="1" ht="15" customHeight="1" x14ac:dyDescent="0.15">
      <c r="A15" s="12">
        <v>14</v>
      </c>
      <c r="B15" s="12" t="s">
        <v>193</v>
      </c>
      <c r="C15" s="12">
        <f t="shared" si="0"/>
        <v>21</v>
      </c>
      <c r="D15" s="12">
        <v>1</v>
      </c>
      <c r="F15" s="12">
        <v>0</v>
      </c>
      <c r="G15" s="13">
        <v>1</v>
      </c>
      <c r="H15" s="13">
        <v>0</v>
      </c>
      <c r="I15" s="13">
        <v>1</v>
      </c>
      <c r="J15" s="13">
        <v>0</v>
      </c>
      <c r="K15" s="13">
        <v>1</v>
      </c>
      <c r="L15" s="12">
        <v>0</v>
      </c>
      <c r="M15" s="12">
        <f t="shared" si="1"/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2">
        <v>1</v>
      </c>
      <c r="U15" s="12">
        <v>1</v>
      </c>
      <c r="V15" s="12">
        <v>1</v>
      </c>
      <c r="W15" s="12">
        <v>0</v>
      </c>
      <c r="X15" s="12">
        <v>1</v>
      </c>
      <c r="Y15" s="12">
        <v>0</v>
      </c>
      <c r="Z15" s="12" t="s">
        <v>366</v>
      </c>
    </row>
    <row r="16" spans="1:27" s="12" customFormat="1" ht="15" customHeight="1" x14ac:dyDescent="0.15">
      <c r="A16" s="12">
        <v>15</v>
      </c>
      <c r="B16" s="12" t="s">
        <v>192</v>
      </c>
      <c r="C16" s="12">
        <f t="shared" si="0"/>
        <v>21</v>
      </c>
      <c r="D16" s="12">
        <v>1</v>
      </c>
      <c r="F16" s="12">
        <v>0</v>
      </c>
      <c r="G16" s="13">
        <v>1</v>
      </c>
      <c r="H16" s="13">
        <v>0</v>
      </c>
      <c r="I16" s="13">
        <v>1</v>
      </c>
      <c r="J16" s="13">
        <v>0</v>
      </c>
      <c r="K16" s="13">
        <v>1</v>
      </c>
      <c r="L16" s="12">
        <v>1</v>
      </c>
      <c r="M16" s="12">
        <f t="shared" si="1"/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2">
        <v>1</v>
      </c>
      <c r="U16" s="12">
        <v>1</v>
      </c>
      <c r="V16" s="12">
        <v>1</v>
      </c>
      <c r="W16" s="12">
        <v>0</v>
      </c>
      <c r="X16" s="12">
        <v>0</v>
      </c>
      <c r="Y16" s="12">
        <v>0</v>
      </c>
      <c r="Z16" s="12" t="s">
        <v>1477</v>
      </c>
    </row>
    <row r="17" spans="1:26" s="12" customFormat="1" ht="15" customHeight="1" x14ac:dyDescent="0.15">
      <c r="A17" s="12">
        <v>16</v>
      </c>
      <c r="B17" s="12" t="s">
        <v>199</v>
      </c>
      <c r="C17" s="12">
        <f t="shared" si="0"/>
        <v>17</v>
      </c>
      <c r="D17" s="12">
        <v>1</v>
      </c>
      <c r="F17" s="12">
        <v>0</v>
      </c>
      <c r="G17" s="13">
        <v>1</v>
      </c>
      <c r="H17" s="13">
        <v>0</v>
      </c>
      <c r="I17" s="13">
        <v>0</v>
      </c>
      <c r="J17" s="13">
        <v>0</v>
      </c>
      <c r="K17" s="13">
        <v>1</v>
      </c>
      <c r="L17" s="12">
        <v>1</v>
      </c>
      <c r="M17" s="12">
        <f t="shared" si="1"/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2">
        <v>1</v>
      </c>
      <c r="U17" s="12">
        <v>1</v>
      </c>
      <c r="V17" s="12">
        <v>0</v>
      </c>
      <c r="W17" s="12">
        <v>0</v>
      </c>
      <c r="X17" s="12">
        <v>0</v>
      </c>
      <c r="Y17" s="12">
        <v>0</v>
      </c>
      <c r="Z17" s="12" t="s">
        <v>945</v>
      </c>
    </row>
    <row r="18" spans="1:26" s="12" customFormat="1" ht="15" customHeight="1" x14ac:dyDescent="0.15">
      <c r="A18" s="12">
        <v>17</v>
      </c>
      <c r="B18" s="12" t="s">
        <v>201</v>
      </c>
      <c r="C18" s="12">
        <f t="shared" si="0"/>
        <v>16</v>
      </c>
      <c r="D18" s="12">
        <v>1</v>
      </c>
      <c r="F18" s="12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</v>
      </c>
      <c r="L18" s="12">
        <v>0</v>
      </c>
      <c r="M18" s="12">
        <f t="shared" si="1"/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2">
        <v>0</v>
      </c>
      <c r="U18" s="12">
        <v>1</v>
      </c>
      <c r="V18" s="12">
        <v>1</v>
      </c>
      <c r="W18" s="12">
        <v>0</v>
      </c>
      <c r="X18" s="12">
        <v>1</v>
      </c>
      <c r="Y18" s="12">
        <v>0</v>
      </c>
      <c r="Z18" s="12" t="s">
        <v>202</v>
      </c>
    </row>
    <row r="19" spans="1:26" s="12" customFormat="1" ht="15" customHeight="1" x14ac:dyDescent="0.15">
      <c r="A19" s="12">
        <v>18</v>
      </c>
      <c r="B19" s="12" t="s">
        <v>203</v>
      </c>
      <c r="C19" s="12">
        <f t="shared" si="0"/>
        <v>16</v>
      </c>
      <c r="D19" s="12">
        <v>1</v>
      </c>
      <c r="F19" s="12">
        <v>0</v>
      </c>
      <c r="G19" s="13">
        <v>0</v>
      </c>
      <c r="H19" s="13">
        <v>0</v>
      </c>
      <c r="I19" s="13">
        <v>0</v>
      </c>
      <c r="J19" s="13">
        <v>0</v>
      </c>
      <c r="K19" s="13">
        <v>1</v>
      </c>
      <c r="L19" s="12">
        <v>0</v>
      </c>
      <c r="M19" s="12">
        <f t="shared" si="1"/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2">
        <v>0</v>
      </c>
      <c r="U19" s="12">
        <v>1</v>
      </c>
      <c r="V19" s="12">
        <v>1</v>
      </c>
      <c r="W19" s="12">
        <v>0</v>
      </c>
      <c r="X19" s="12">
        <v>1</v>
      </c>
      <c r="Y19" s="12">
        <v>0</v>
      </c>
      <c r="Z19" s="12" t="s">
        <v>200</v>
      </c>
    </row>
    <row r="20" spans="1:26" s="12" customFormat="1" ht="15" customHeight="1" x14ac:dyDescent="0.15">
      <c r="A20" s="12">
        <v>19</v>
      </c>
      <c r="B20" s="12" t="s">
        <v>204</v>
      </c>
      <c r="C20" s="12">
        <f t="shared" si="0"/>
        <v>16</v>
      </c>
      <c r="D20" s="12">
        <v>1</v>
      </c>
      <c r="F20" s="12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</v>
      </c>
      <c r="L20" s="12">
        <v>0</v>
      </c>
      <c r="M20" s="12">
        <f t="shared" si="1"/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2">
        <v>0</v>
      </c>
      <c r="U20" s="12">
        <v>1</v>
      </c>
      <c r="V20" s="12">
        <v>1</v>
      </c>
      <c r="W20" s="12">
        <v>0</v>
      </c>
      <c r="X20" s="12">
        <v>1</v>
      </c>
      <c r="Y20" s="12">
        <v>0</v>
      </c>
      <c r="Z20" s="12" t="s">
        <v>200</v>
      </c>
    </row>
    <row r="21" spans="1:26" s="12" customFormat="1" ht="15" customHeight="1" x14ac:dyDescent="0.15">
      <c r="A21" s="12">
        <v>20</v>
      </c>
      <c r="B21" s="12" t="s">
        <v>210</v>
      </c>
      <c r="C21" s="12">
        <f t="shared" si="0"/>
        <v>0</v>
      </c>
      <c r="D21" s="12">
        <v>1</v>
      </c>
      <c r="F21" s="12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2">
        <v>0</v>
      </c>
      <c r="M21" s="12">
        <f t="shared" si="1"/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2">
        <v>0</v>
      </c>
      <c r="U21" s="12">
        <v>0</v>
      </c>
      <c r="V21" s="12">
        <v>1</v>
      </c>
      <c r="W21" s="12">
        <v>0</v>
      </c>
      <c r="X21" s="12">
        <v>0</v>
      </c>
      <c r="Y21" s="12">
        <v>0</v>
      </c>
    </row>
    <row r="22" spans="1:26" s="12" customFormat="1" ht="15" customHeight="1" x14ac:dyDescent="0.15">
      <c r="A22" s="12">
        <v>21</v>
      </c>
      <c r="B22" s="12" t="s">
        <v>279</v>
      </c>
      <c r="C22" s="12">
        <v>1</v>
      </c>
      <c r="D22" s="12">
        <v>1</v>
      </c>
      <c r="F22" s="12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2">
        <v>1</v>
      </c>
      <c r="M22" s="12">
        <v>64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2">
        <v>1</v>
      </c>
      <c r="U22" s="12">
        <v>1</v>
      </c>
      <c r="V22" s="12">
        <v>1</v>
      </c>
      <c r="W22" s="12">
        <v>0</v>
      </c>
      <c r="X22" s="12">
        <v>0</v>
      </c>
      <c r="Y22" s="12">
        <v>0</v>
      </c>
      <c r="Z22" s="12" t="s">
        <v>280</v>
      </c>
    </row>
    <row r="23" spans="1:26" s="12" customFormat="1" ht="15" customHeight="1" x14ac:dyDescent="0.15">
      <c r="A23" s="12">
        <v>22</v>
      </c>
      <c r="B23" s="12" t="s">
        <v>312</v>
      </c>
      <c r="C23" s="12">
        <f t="shared" ref="C23:C36" si="2">G23+H23*2+I23*4+J23*8+K23*16</f>
        <v>1</v>
      </c>
      <c r="D23" s="12">
        <v>1</v>
      </c>
      <c r="F23" s="12">
        <v>0</v>
      </c>
      <c r="G23" s="13">
        <v>1</v>
      </c>
      <c r="H23" s="13">
        <v>0</v>
      </c>
      <c r="I23" s="13">
        <v>0</v>
      </c>
      <c r="J23" s="13">
        <v>0</v>
      </c>
      <c r="K23" s="13">
        <v>0</v>
      </c>
      <c r="L23" s="12">
        <v>0</v>
      </c>
      <c r="M23" s="12">
        <f>N23+O23*2+P23*4+Q23*8+R23*16+S23*32</f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2">
        <v>0</v>
      </c>
      <c r="U23" s="12">
        <v>0</v>
      </c>
      <c r="V23" s="12">
        <v>1</v>
      </c>
      <c r="W23" s="12">
        <v>0</v>
      </c>
      <c r="X23" s="12">
        <v>1</v>
      </c>
      <c r="Y23" s="12">
        <v>0</v>
      </c>
      <c r="Z23" s="12" t="s">
        <v>313</v>
      </c>
    </row>
    <row r="24" spans="1:26" s="12" customFormat="1" ht="15" customHeight="1" x14ac:dyDescent="0.15">
      <c r="A24" s="12">
        <v>23</v>
      </c>
      <c r="B24" s="12" t="s">
        <v>314</v>
      </c>
      <c r="C24" s="12">
        <f t="shared" si="2"/>
        <v>1</v>
      </c>
      <c r="D24" s="12">
        <v>1</v>
      </c>
      <c r="F24" s="12">
        <v>0</v>
      </c>
      <c r="G24" s="13">
        <v>1</v>
      </c>
      <c r="H24" s="13">
        <v>0</v>
      </c>
      <c r="I24" s="13">
        <v>0</v>
      </c>
      <c r="J24" s="13">
        <v>0</v>
      </c>
      <c r="K24" s="13">
        <v>0</v>
      </c>
      <c r="L24" s="12">
        <v>1</v>
      </c>
      <c r="M24" s="12">
        <f>N24+O24*2+P24*4+Q24*8+R24*16+S24*32</f>
        <v>0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  <c r="S24" s="13">
        <v>0</v>
      </c>
      <c r="T24" s="12">
        <v>0</v>
      </c>
      <c r="U24" s="12">
        <v>1</v>
      </c>
      <c r="V24" s="12">
        <v>1</v>
      </c>
      <c r="W24" s="12">
        <v>0</v>
      </c>
      <c r="X24" s="12">
        <v>0</v>
      </c>
      <c r="Y24" s="12">
        <v>0</v>
      </c>
      <c r="Z24" s="12" t="s">
        <v>439</v>
      </c>
    </row>
    <row r="25" spans="1:26" s="12" customFormat="1" ht="15" customHeight="1" x14ac:dyDescent="0.15">
      <c r="A25" s="12">
        <v>24</v>
      </c>
      <c r="B25" s="12" t="s">
        <v>315</v>
      </c>
      <c r="C25" s="12">
        <f t="shared" si="2"/>
        <v>1</v>
      </c>
      <c r="D25" s="12">
        <v>1</v>
      </c>
      <c r="F25" s="12">
        <v>0</v>
      </c>
      <c r="G25" s="13">
        <v>1</v>
      </c>
      <c r="H25" s="13">
        <v>0</v>
      </c>
      <c r="I25" s="13">
        <v>0</v>
      </c>
      <c r="J25" s="13">
        <v>0</v>
      </c>
      <c r="K25" s="13">
        <v>0</v>
      </c>
      <c r="L25" s="12">
        <v>1</v>
      </c>
      <c r="M25" s="12">
        <f>N25+O25*2+P25*4+Q25*8+R25*16+S25*32</f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2">
        <v>0</v>
      </c>
      <c r="U25" s="12">
        <v>1</v>
      </c>
      <c r="V25" s="12">
        <v>1</v>
      </c>
      <c r="W25" s="12">
        <v>0</v>
      </c>
      <c r="X25" s="12">
        <v>0</v>
      </c>
      <c r="Y25" s="12">
        <v>0</v>
      </c>
      <c r="Z25" s="12" t="s">
        <v>555</v>
      </c>
    </row>
    <row r="26" spans="1:26" s="12" customFormat="1" ht="15" customHeight="1" x14ac:dyDescent="0.15">
      <c r="A26" s="12">
        <v>25</v>
      </c>
      <c r="B26" s="12" t="s">
        <v>316</v>
      </c>
      <c r="C26" s="12">
        <f t="shared" si="2"/>
        <v>1</v>
      </c>
      <c r="D26" s="12">
        <v>1</v>
      </c>
      <c r="F26" s="12">
        <v>0</v>
      </c>
      <c r="G26" s="13">
        <v>1</v>
      </c>
      <c r="H26" s="13">
        <v>0</v>
      </c>
      <c r="I26" s="13">
        <v>0</v>
      </c>
      <c r="J26" s="13">
        <v>0</v>
      </c>
      <c r="K26" s="13">
        <v>0</v>
      </c>
      <c r="L26" s="12">
        <v>1</v>
      </c>
      <c r="M26" s="12">
        <f>N26+O26*2+P26*4+Q26*8+R26*16+S26*32</f>
        <v>0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  <c r="S26" s="13">
        <v>0</v>
      </c>
      <c r="T26" s="12">
        <v>0</v>
      </c>
      <c r="U26" s="12">
        <v>1</v>
      </c>
      <c r="V26" s="12">
        <v>1</v>
      </c>
      <c r="W26" s="12">
        <v>0</v>
      </c>
      <c r="X26" s="12">
        <v>0</v>
      </c>
      <c r="Y26" s="12">
        <v>0</v>
      </c>
      <c r="Z26" s="12" t="s">
        <v>440</v>
      </c>
    </row>
    <row r="27" spans="1:26" s="12" customFormat="1" ht="15" customHeight="1" x14ac:dyDescent="0.15">
      <c r="A27" s="12">
        <v>26</v>
      </c>
      <c r="B27" s="12" t="s">
        <v>317</v>
      </c>
      <c r="C27" s="12">
        <f t="shared" si="2"/>
        <v>1</v>
      </c>
      <c r="D27" s="12">
        <v>1</v>
      </c>
      <c r="F27" s="12">
        <v>0</v>
      </c>
      <c r="G27" s="13">
        <v>1</v>
      </c>
      <c r="H27" s="13">
        <v>0</v>
      </c>
      <c r="I27" s="13">
        <v>0</v>
      </c>
      <c r="J27" s="13">
        <v>0</v>
      </c>
      <c r="K27" s="13">
        <v>0</v>
      </c>
      <c r="L27" s="12">
        <v>0</v>
      </c>
      <c r="M27" s="12">
        <f>N27+O27*2+P27*4+Q27*8+R27*16+S27*32</f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2">
        <v>0</v>
      </c>
      <c r="U27" s="12">
        <v>1</v>
      </c>
      <c r="V27" s="12">
        <v>1</v>
      </c>
      <c r="W27" s="12">
        <v>0</v>
      </c>
      <c r="X27" s="12">
        <v>1</v>
      </c>
      <c r="Y27" s="12">
        <v>0</v>
      </c>
      <c r="Z27" s="12" t="s">
        <v>318</v>
      </c>
    </row>
    <row r="28" spans="1:26" s="12" customFormat="1" ht="15" customHeight="1" x14ac:dyDescent="0.15">
      <c r="A28" s="12">
        <v>27</v>
      </c>
      <c r="B28" s="12" t="s">
        <v>320</v>
      </c>
      <c r="C28" s="12">
        <f t="shared" si="2"/>
        <v>16</v>
      </c>
      <c r="D28" s="12">
        <v>1</v>
      </c>
      <c r="F28" s="12">
        <v>0</v>
      </c>
      <c r="G28" s="13">
        <v>0</v>
      </c>
      <c r="H28" s="13">
        <v>0</v>
      </c>
      <c r="I28" s="13">
        <v>0</v>
      </c>
      <c r="J28" s="13">
        <v>0</v>
      </c>
      <c r="K28" s="13">
        <v>1</v>
      </c>
      <c r="L28" s="12">
        <v>0</v>
      </c>
      <c r="M28" s="12">
        <f t="shared" ref="M28:M33" si="3">N28+O28*2+P28*4+Q28*8+R28*16+S28*32</f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2">
        <v>0</v>
      </c>
      <c r="U28" s="12">
        <v>1</v>
      </c>
      <c r="V28" s="12">
        <v>0</v>
      </c>
      <c r="W28" s="12">
        <v>0</v>
      </c>
      <c r="X28" s="12">
        <v>1</v>
      </c>
      <c r="Y28" s="12">
        <v>0</v>
      </c>
      <c r="Z28" s="12" t="s">
        <v>323</v>
      </c>
    </row>
    <row r="29" spans="1:26" s="12" customFormat="1" ht="15" customHeight="1" x14ac:dyDescent="0.15">
      <c r="A29" s="12">
        <v>28</v>
      </c>
      <c r="B29" s="12" t="s">
        <v>321</v>
      </c>
      <c r="C29" s="12">
        <f t="shared" si="2"/>
        <v>16</v>
      </c>
      <c r="D29" s="12">
        <v>1</v>
      </c>
      <c r="F29" s="12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</v>
      </c>
      <c r="L29" s="12">
        <v>0</v>
      </c>
      <c r="M29" s="12">
        <f t="shared" si="3"/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v>0</v>
      </c>
      <c r="T29" s="12">
        <v>0</v>
      </c>
      <c r="U29" s="12">
        <v>1</v>
      </c>
      <c r="V29" s="12">
        <v>0</v>
      </c>
      <c r="W29" s="12">
        <v>0</v>
      </c>
      <c r="X29" s="12">
        <v>1</v>
      </c>
      <c r="Y29" s="12">
        <v>0</v>
      </c>
      <c r="Z29" s="12" t="s">
        <v>323</v>
      </c>
    </row>
    <row r="30" spans="1:26" s="12" customFormat="1" ht="15" customHeight="1" x14ac:dyDescent="0.15">
      <c r="A30" s="12">
        <v>29</v>
      </c>
      <c r="B30" s="12" t="s">
        <v>319</v>
      </c>
      <c r="C30" s="12">
        <f t="shared" si="2"/>
        <v>16</v>
      </c>
      <c r="D30" s="12">
        <v>1</v>
      </c>
      <c r="F30" s="12">
        <v>0</v>
      </c>
      <c r="G30" s="13">
        <v>0</v>
      </c>
      <c r="H30" s="13">
        <v>0</v>
      </c>
      <c r="I30" s="13">
        <v>0</v>
      </c>
      <c r="J30" s="13">
        <v>0</v>
      </c>
      <c r="K30" s="13">
        <v>1</v>
      </c>
      <c r="L30" s="12">
        <v>0</v>
      </c>
      <c r="M30" s="12">
        <f t="shared" si="3"/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  <c r="S30" s="13">
        <v>0</v>
      </c>
      <c r="T30" s="12">
        <v>0</v>
      </c>
      <c r="U30" s="12">
        <v>1</v>
      </c>
      <c r="V30" s="12">
        <v>0</v>
      </c>
      <c r="W30" s="12">
        <v>0</v>
      </c>
      <c r="X30" s="12">
        <v>1</v>
      </c>
      <c r="Y30" s="12">
        <v>0</v>
      </c>
      <c r="Z30" s="12" t="s">
        <v>323</v>
      </c>
    </row>
    <row r="31" spans="1:26" s="12" customFormat="1" ht="15" customHeight="1" x14ac:dyDescent="0.15">
      <c r="A31" s="12">
        <v>30</v>
      </c>
      <c r="B31" s="12" t="s">
        <v>322</v>
      </c>
      <c r="C31" s="12">
        <f t="shared" si="2"/>
        <v>16</v>
      </c>
      <c r="D31" s="12">
        <v>1</v>
      </c>
      <c r="F31" s="12">
        <v>0</v>
      </c>
      <c r="G31" s="13">
        <v>0</v>
      </c>
      <c r="H31" s="13">
        <v>0</v>
      </c>
      <c r="I31" s="13">
        <v>0</v>
      </c>
      <c r="J31" s="13">
        <v>0</v>
      </c>
      <c r="K31" s="13">
        <v>1</v>
      </c>
      <c r="L31" s="12">
        <v>0</v>
      </c>
      <c r="M31" s="12">
        <f t="shared" si="3"/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  <c r="S31" s="13">
        <v>0</v>
      </c>
      <c r="T31" s="12">
        <v>0</v>
      </c>
      <c r="U31" s="12">
        <v>1</v>
      </c>
      <c r="V31" s="12">
        <v>0</v>
      </c>
      <c r="W31" s="12">
        <v>0</v>
      </c>
      <c r="X31" s="12">
        <v>1</v>
      </c>
      <c r="Y31" s="12">
        <v>0</v>
      </c>
      <c r="Z31" s="12" t="s">
        <v>323</v>
      </c>
    </row>
    <row r="32" spans="1:26" s="12" customFormat="1" ht="15" customHeight="1" x14ac:dyDescent="0.15">
      <c r="A32" s="12">
        <v>31</v>
      </c>
      <c r="B32" s="12" t="s">
        <v>324</v>
      </c>
      <c r="C32" s="12">
        <f t="shared" si="2"/>
        <v>16</v>
      </c>
      <c r="D32" s="12">
        <v>1</v>
      </c>
      <c r="F32" s="12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</v>
      </c>
      <c r="L32" s="12">
        <v>0</v>
      </c>
      <c r="M32" s="12">
        <f t="shared" si="3"/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2">
        <v>0</v>
      </c>
      <c r="U32" s="12">
        <v>0</v>
      </c>
      <c r="V32" s="12">
        <v>0</v>
      </c>
      <c r="W32" s="12">
        <v>0</v>
      </c>
      <c r="X32" s="12">
        <v>1</v>
      </c>
      <c r="Y32" s="12">
        <v>0</v>
      </c>
      <c r="Z32" s="12" t="s">
        <v>325</v>
      </c>
    </row>
    <row r="33" spans="1:26" s="12" customFormat="1" ht="15" customHeight="1" x14ac:dyDescent="0.15">
      <c r="A33" s="12">
        <v>32</v>
      </c>
      <c r="B33" s="12" t="s">
        <v>341</v>
      </c>
      <c r="C33" s="12">
        <f t="shared" si="2"/>
        <v>17</v>
      </c>
      <c r="D33" s="12">
        <v>1</v>
      </c>
      <c r="F33" s="12">
        <v>0</v>
      </c>
      <c r="G33" s="13">
        <v>1</v>
      </c>
      <c r="H33" s="13">
        <v>0</v>
      </c>
      <c r="I33" s="13">
        <v>0</v>
      </c>
      <c r="J33" s="13">
        <v>0</v>
      </c>
      <c r="K33" s="13">
        <v>1</v>
      </c>
      <c r="L33" s="12">
        <v>1</v>
      </c>
      <c r="M33" s="12">
        <f t="shared" si="3"/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v>0</v>
      </c>
      <c r="T33" s="12">
        <v>0</v>
      </c>
      <c r="U33" s="12">
        <v>1</v>
      </c>
      <c r="V33" s="12">
        <v>1</v>
      </c>
      <c r="W33" s="12">
        <v>0</v>
      </c>
      <c r="X33" s="12">
        <v>0</v>
      </c>
      <c r="Y33" s="12">
        <v>0</v>
      </c>
      <c r="Z33" s="12" t="s">
        <v>343</v>
      </c>
    </row>
    <row r="34" spans="1:26" s="12" customFormat="1" ht="15" customHeight="1" x14ac:dyDescent="0.15">
      <c r="A34" s="12">
        <v>33</v>
      </c>
      <c r="B34" s="12" t="s">
        <v>363</v>
      </c>
      <c r="C34" s="12">
        <f t="shared" si="2"/>
        <v>24</v>
      </c>
      <c r="D34" s="12">
        <v>1</v>
      </c>
      <c r="F34" s="12">
        <v>0</v>
      </c>
      <c r="G34" s="13">
        <v>0</v>
      </c>
      <c r="H34" s="13">
        <v>0</v>
      </c>
      <c r="I34" s="13">
        <v>0</v>
      </c>
      <c r="J34" s="13">
        <v>1</v>
      </c>
      <c r="K34" s="13">
        <v>1</v>
      </c>
      <c r="L34" s="12">
        <v>1</v>
      </c>
      <c r="M34" s="12">
        <f t="shared" ref="M34:M46" si="4">N34+O34*2+P34*4+Q34*8+R34*16+S34*32</f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2">
        <v>1</v>
      </c>
      <c r="U34" s="12">
        <v>1</v>
      </c>
      <c r="V34" s="12">
        <v>0</v>
      </c>
      <c r="W34" s="12">
        <v>0</v>
      </c>
      <c r="X34" s="12">
        <v>0</v>
      </c>
      <c r="Y34" s="12">
        <v>0</v>
      </c>
      <c r="Z34" s="12" t="s">
        <v>1368</v>
      </c>
    </row>
    <row r="35" spans="1:26" s="12" customFormat="1" ht="15" customHeight="1" x14ac:dyDescent="0.15">
      <c r="A35" s="12">
        <v>34</v>
      </c>
      <c r="B35" s="12" t="s">
        <v>363</v>
      </c>
      <c r="C35" s="12">
        <f t="shared" si="2"/>
        <v>24</v>
      </c>
      <c r="D35" s="12">
        <v>1</v>
      </c>
      <c r="F35" s="12">
        <v>0</v>
      </c>
      <c r="G35" s="13">
        <v>0</v>
      </c>
      <c r="H35" s="13">
        <v>0</v>
      </c>
      <c r="I35" s="13">
        <v>0</v>
      </c>
      <c r="J35" s="13">
        <v>1</v>
      </c>
      <c r="K35" s="13">
        <v>1</v>
      </c>
      <c r="L35" s="12">
        <v>1</v>
      </c>
      <c r="M35" s="12">
        <f t="shared" si="4"/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2">
        <v>1</v>
      </c>
      <c r="U35" s="12">
        <v>1</v>
      </c>
      <c r="V35" s="12">
        <v>0</v>
      </c>
      <c r="W35" s="12">
        <v>0</v>
      </c>
      <c r="X35" s="12">
        <v>0</v>
      </c>
      <c r="Y35" s="12">
        <v>0</v>
      </c>
      <c r="Z35" s="12" t="s">
        <v>1368</v>
      </c>
    </row>
    <row r="36" spans="1:26" s="12" customFormat="1" ht="15" customHeight="1" x14ac:dyDescent="0.15">
      <c r="A36" s="12">
        <v>35</v>
      </c>
      <c r="B36" s="12" t="s">
        <v>363</v>
      </c>
      <c r="C36" s="12">
        <f t="shared" si="2"/>
        <v>24</v>
      </c>
      <c r="D36" s="12">
        <v>1</v>
      </c>
      <c r="F36" s="12">
        <v>0</v>
      </c>
      <c r="G36" s="13">
        <v>0</v>
      </c>
      <c r="H36" s="13">
        <v>0</v>
      </c>
      <c r="I36" s="13">
        <v>0</v>
      </c>
      <c r="J36" s="13">
        <v>1</v>
      </c>
      <c r="K36" s="13">
        <v>1</v>
      </c>
      <c r="L36" s="12">
        <v>1</v>
      </c>
      <c r="M36" s="12">
        <f t="shared" si="4"/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2">
        <v>1</v>
      </c>
      <c r="U36" s="12">
        <v>1</v>
      </c>
      <c r="V36" s="12">
        <v>0</v>
      </c>
      <c r="W36" s="12">
        <v>0</v>
      </c>
      <c r="X36" s="12">
        <v>0</v>
      </c>
      <c r="Y36" s="12">
        <v>0</v>
      </c>
      <c r="Z36" s="12" t="s">
        <v>1368</v>
      </c>
    </row>
    <row r="37" spans="1:26" s="12" customFormat="1" ht="15" customHeight="1" x14ac:dyDescent="0.15">
      <c r="A37" s="12">
        <v>36</v>
      </c>
      <c r="B37" s="12" t="s">
        <v>369</v>
      </c>
      <c r="C37" s="12">
        <v>1</v>
      </c>
      <c r="D37" s="12">
        <v>1</v>
      </c>
      <c r="F37" s="12">
        <v>0</v>
      </c>
      <c r="G37" s="13">
        <v>1</v>
      </c>
      <c r="H37" s="13">
        <v>0</v>
      </c>
      <c r="I37" s="13">
        <v>1</v>
      </c>
      <c r="J37" s="13">
        <v>0</v>
      </c>
      <c r="K37" s="13">
        <v>0</v>
      </c>
      <c r="L37" s="12">
        <v>1</v>
      </c>
      <c r="M37" s="12">
        <f t="shared" si="4"/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2">
        <v>0</v>
      </c>
      <c r="U37" s="12">
        <v>0</v>
      </c>
      <c r="V37" s="12">
        <v>1</v>
      </c>
      <c r="W37" s="12">
        <v>0</v>
      </c>
      <c r="X37" s="12">
        <v>0</v>
      </c>
      <c r="Y37" s="12">
        <v>0</v>
      </c>
      <c r="Z37" s="12" t="s">
        <v>764</v>
      </c>
    </row>
    <row r="38" spans="1:26" s="12" customFormat="1" ht="15" customHeight="1" x14ac:dyDescent="0.15">
      <c r="A38" s="12">
        <v>37</v>
      </c>
      <c r="B38" s="12" t="s">
        <v>370</v>
      </c>
      <c r="C38" s="12">
        <v>1</v>
      </c>
      <c r="D38" s="12">
        <v>1</v>
      </c>
      <c r="F38" s="12">
        <v>0</v>
      </c>
      <c r="G38" s="13">
        <v>1</v>
      </c>
      <c r="H38" s="13">
        <v>0</v>
      </c>
      <c r="I38" s="13">
        <v>1</v>
      </c>
      <c r="J38" s="13">
        <v>0</v>
      </c>
      <c r="K38" s="13">
        <v>0</v>
      </c>
      <c r="L38" s="12">
        <v>1</v>
      </c>
      <c r="M38" s="12">
        <f t="shared" si="4"/>
        <v>0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  <c r="S38" s="13">
        <v>0</v>
      </c>
      <c r="T38" s="12">
        <v>0</v>
      </c>
      <c r="U38" s="12">
        <v>0</v>
      </c>
      <c r="V38" s="12">
        <v>1</v>
      </c>
      <c r="W38" s="12">
        <v>0</v>
      </c>
      <c r="X38" s="12">
        <v>0</v>
      </c>
      <c r="Y38" s="12">
        <v>0</v>
      </c>
      <c r="Z38" s="12" t="s">
        <v>371</v>
      </c>
    </row>
    <row r="39" spans="1:26" s="12" customFormat="1" ht="15" customHeight="1" x14ac:dyDescent="0.15">
      <c r="A39" s="12">
        <v>38</v>
      </c>
      <c r="B39" s="12" t="s">
        <v>372</v>
      </c>
      <c r="C39" s="12">
        <v>1</v>
      </c>
      <c r="D39" s="12">
        <v>1</v>
      </c>
      <c r="F39" s="12">
        <v>0</v>
      </c>
      <c r="G39" s="13">
        <v>1</v>
      </c>
      <c r="H39" s="13">
        <v>0</v>
      </c>
      <c r="I39" s="13">
        <v>1</v>
      </c>
      <c r="J39" s="13">
        <v>0</v>
      </c>
      <c r="K39" s="13">
        <v>0</v>
      </c>
      <c r="L39" s="12">
        <v>1</v>
      </c>
      <c r="M39" s="12">
        <f t="shared" si="4"/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2">
        <v>0</v>
      </c>
      <c r="U39" s="12">
        <v>0</v>
      </c>
      <c r="V39" s="12">
        <v>1</v>
      </c>
      <c r="W39" s="12">
        <v>0</v>
      </c>
      <c r="X39" s="12">
        <v>0</v>
      </c>
      <c r="Y39" s="12">
        <v>0</v>
      </c>
      <c r="Z39" s="12" t="s">
        <v>373</v>
      </c>
    </row>
    <row r="40" spans="1:26" s="12" customFormat="1" ht="15" customHeight="1" x14ac:dyDescent="0.15">
      <c r="A40" s="12">
        <v>39</v>
      </c>
      <c r="B40" s="12" t="s">
        <v>374</v>
      </c>
      <c r="C40" s="12">
        <v>1</v>
      </c>
      <c r="D40" s="12">
        <v>1</v>
      </c>
      <c r="F40" s="12">
        <v>0</v>
      </c>
      <c r="G40" s="13">
        <v>1</v>
      </c>
      <c r="H40" s="13">
        <v>0</v>
      </c>
      <c r="I40" s="13">
        <v>1</v>
      </c>
      <c r="J40" s="13">
        <v>0</v>
      </c>
      <c r="K40" s="13">
        <v>0</v>
      </c>
      <c r="L40" s="12">
        <v>1</v>
      </c>
      <c r="M40" s="12">
        <f t="shared" si="4"/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2">
        <v>0</v>
      </c>
      <c r="U40" s="12">
        <v>0</v>
      </c>
      <c r="V40" s="12">
        <v>1</v>
      </c>
      <c r="W40" s="12">
        <v>0</v>
      </c>
      <c r="X40" s="12">
        <v>0</v>
      </c>
      <c r="Y40" s="12">
        <v>0</v>
      </c>
      <c r="Z40" s="12" t="s">
        <v>375</v>
      </c>
    </row>
    <row r="41" spans="1:26" s="12" customFormat="1" ht="15" customHeight="1" x14ac:dyDescent="0.15">
      <c r="A41" s="12">
        <v>40</v>
      </c>
      <c r="B41" s="12" t="s">
        <v>376</v>
      </c>
      <c r="C41" s="12">
        <v>1</v>
      </c>
      <c r="D41" s="12">
        <v>1</v>
      </c>
      <c r="F41" s="12">
        <v>0</v>
      </c>
      <c r="G41" s="13">
        <v>1</v>
      </c>
      <c r="H41" s="13">
        <v>0</v>
      </c>
      <c r="I41" s="13">
        <v>1</v>
      </c>
      <c r="J41" s="13">
        <v>0</v>
      </c>
      <c r="K41" s="13">
        <v>0</v>
      </c>
      <c r="L41" s="12">
        <v>1</v>
      </c>
      <c r="M41" s="12">
        <f t="shared" si="4"/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2">
        <v>0</v>
      </c>
      <c r="U41" s="12">
        <v>0</v>
      </c>
      <c r="V41" s="12">
        <v>1</v>
      </c>
      <c r="W41" s="12">
        <v>0</v>
      </c>
      <c r="X41" s="12">
        <v>0</v>
      </c>
      <c r="Y41" s="12">
        <v>0</v>
      </c>
      <c r="Z41" s="12" t="s">
        <v>377</v>
      </c>
    </row>
    <row r="42" spans="1:26" s="12" customFormat="1" ht="15" customHeight="1" x14ac:dyDescent="0.15">
      <c r="A42" s="12">
        <v>41</v>
      </c>
      <c r="B42" s="12" t="s">
        <v>378</v>
      </c>
      <c r="C42" s="12">
        <v>1</v>
      </c>
      <c r="D42" s="12">
        <v>1</v>
      </c>
      <c r="F42" s="12">
        <v>0</v>
      </c>
      <c r="G42" s="13">
        <v>1</v>
      </c>
      <c r="H42" s="13">
        <v>0</v>
      </c>
      <c r="I42" s="13">
        <v>1</v>
      </c>
      <c r="J42" s="13">
        <v>0</v>
      </c>
      <c r="K42" s="13">
        <v>0</v>
      </c>
      <c r="L42" s="12">
        <v>1</v>
      </c>
      <c r="M42" s="12">
        <f t="shared" si="4"/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2">
        <v>0</v>
      </c>
      <c r="U42" s="12">
        <v>0</v>
      </c>
      <c r="V42" s="12">
        <v>1</v>
      </c>
      <c r="W42" s="12">
        <v>0</v>
      </c>
      <c r="X42" s="12">
        <v>0</v>
      </c>
      <c r="Y42" s="12">
        <v>0</v>
      </c>
      <c r="Z42" s="12" t="s">
        <v>371</v>
      </c>
    </row>
    <row r="43" spans="1:26" s="12" customFormat="1" ht="15" customHeight="1" x14ac:dyDescent="0.15">
      <c r="A43" s="12">
        <v>42</v>
      </c>
      <c r="B43" s="12" t="s">
        <v>379</v>
      </c>
      <c r="C43" s="12">
        <v>1</v>
      </c>
      <c r="D43" s="12">
        <v>1</v>
      </c>
      <c r="F43" s="12">
        <v>0</v>
      </c>
      <c r="G43" s="13">
        <v>1</v>
      </c>
      <c r="H43" s="13">
        <v>0</v>
      </c>
      <c r="I43" s="13">
        <v>1</v>
      </c>
      <c r="J43" s="13">
        <v>0</v>
      </c>
      <c r="K43" s="13">
        <v>0</v>
      </c>
      <c r="L43" s="12">
        <v>1</v>
      </c>
      <c r="M43" s="12">
        <f t="shared" si="4"/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2">
        <v>0</v>
      </c>
      <c r="U43" s="12">
        <v>0</v>
      </c>
      <c r="V43" s="12">
        <v>1</v>
      </c>
      <c r="W43" s="12">
        <v>0</v>
      </c>
      <c r="X43" s="12">
        <v>0</v>
      </c>
      <c r="Y43" s="12">
        <v>0</v>
      </c>
      <c r="Z43" s="12" t="s">
        <v>380</v>
      </c>
    </row>
    <row r="44" spans="1:26" s="12" customFormat="1" ht="15" customHeight="1" x14ac:dyDescent="0.15">
      <c r="A44" s="12">
        <v>43</v>
      </c>
      <c r="B44" s="12" t="s">
        <v>381</v>
      </c>
      <c r="C44" s="12">
        <v>1</v>
      </c>
      <c r="D44" s="12">
        <v>1</v>
      </c>
      <c r="F44" s="12">
        <v>0</v>
      </c>
      <c r="G44" s="13">
        <v>1</v>
      </c>
      <c r="H44" s="13">
        <v>0</v>
      </c>
      <c r="I44" s="13">
        <v>1</v>
      </c>
      <c r="J44" s="13">
        <v>0</v>
      </c>
      <c r="K44" s="13">
        <v>0</v>
      </c>
      <c r="L44" s="12">
        <v>1</v>
      </c>
      <c r="M44" s="12">
        <f t="shared" si="4"/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2">
        <v>0</v>
      </c>
      <c r="U44" s="12">
        <v>0</v>
      </c>
      <c r="V44" s="12">
        <v>1</v>
      </c>
      <c r="W44" s="12">
        <v>0</v>
      </c>
      <c r="X44" s="12">
        <v>0</v>
      </c>
      <c r="Y44" s="12">
        <v>0</v>
      </c>
      <c r="Z44" s="12" t="s">
        <v>375</v>
      </c>
    </row>
    <row r="45" spans="1:26" s="12" customFormat="1" ht="15" customHeight="1" x14ac:dyDescent="0.15">
      <c r="A45" s="12">
        <v>44</v>
      </c>
      <c r="B45" s="12" t="s">
        <v>382</v>
      </c>
      <c r="C45" s="12">
        <v>1</v>
      </c>
      <c r="D45" s="12">
        <v>1</v>
      </c>
      <c r="F45" s="12">
        <v>0</v>
      </c>
      <c r="G45" s="13">
        <v>1</v>
      </c>
      <c r="H45" s="13">
        <v>0</v>
      </c>
      <c r="I45" s="13">
        <v>1</v>
      </c>
      <c r="J45" s="13">
        <v>0</v>
      </c>
      <c r="K45" s="13">
        <v>0</v>
      </c>
      <c r="L45" s="12">
        <v>1</v>
      </c>
      <c r="M45" s="12">
        <f t="shared" si="4"/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2">
        <v>0</v>
      </c>
      <c r="U45" s="12">
        <v>0</v>
      </c>
      <c r="V45" s="12">
        <v>1</v>
      </c>
      <c r="W45" s="12">
        <v>0</v>
      </c>
      <c r="X45" s="12">
        <v>0</v>
      </c>
      <c r="Y45" s="12">
        <v>0</v>
      </c>
      <c r="Z45" s="12" t="s">
        <v>383</v>
      </c>
    </row>
    <row r="46" spans="1:26" s="12" customFormat="1" ht="15" customHeight="1" x14ac:dyDescent="0.15">
      <c r="A46" s="12">
        <v>45</v>
      </c>
      <c r="B46" s="12" t="s">
        <v>384</v>
      </c>
      <c r="C46" s="12">
        <v>1</v>
      </c>
      <c r="D46" s="12">
        <v>1</v>
      </c>
      <c r="F46" s="12">
        <v>0</v>
      </c>
      <c r="G46" s="13">
        <v>1</v>
      </c>
      <c r="H46" s="13">
        <v>0</v>
      </c>
      <c r="I46" s="13">
        <v>1</v>
      </c>
      <c r="J46" s="13">
        <v>0</v>
      </c>
      <c r="K46" s="13">
        <v>0</v>
      </c>
      <c r="L46" s="12">
        <v>1</v>
      </c>
      <c r="M46" s="12">
        <f t="shared" si="4"/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2">
        <v>0</v>
      </c>
      <c r="U46" s="12">
        <v>0</v>
      </c>
      <c r="V46" s="12">
        <v>1</v>
      </c>
      <c r="W46" s="12">
        <v>0</v>
      </c>
      <c r="X46" s="12">
        <v>0</v>
      </c>
      <c r="Y46" s="12">
        <v>0</v>
      </c>
      <c r="Z46" s="12" t="s">
        <v>385</v>
      </c>
    </row>
    <row r="47" spans="1:26" s="12" customFormat="1" ht="15" customHeight="1" x14ac:dyDescent="0.15">
      <c r="A47" s="12">
        <v>46</v>
      </c>
      <c r="B47" s="12" t="s">
        <v>386</v>
      </c>
      <c r="C47" s="12">
        <v>1</v>
      </c>
      <c r="D47" s="12">
        <v>1</v>
      </c>
      <c r="F47" s="12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</v>
      </c>
      <c r="L47" s="12">
        <v>1</v>
      </c>
      <c r="M47" s="12">
        <f t="shared" ref="M47:M55" si="5">N47+O47*2+P47*4+Q47*8+R47*16+S47*32</f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2">
        <v>0</v>
      </c>
      <c r="U47" s="12">
        <v>1</v>
      </c>
      <c r="V47" s="12">
        <v>1</v>
      </c>
      <c r="W47" s="12">
        <v>0</v>
      </c>
      <c r="X47" s="12">
        <v>0</v>
      </c>
      <c r="Y47" s="12">
        <v>0</v>
      </c>
      <c r="Z47" s="12" t="s">
        <v>1355</v>
      </c>
    </row>
    <row r="48" spans="1:26" s="12" customFormat="1" ht="15" customHeight="1" x14ac:dyDescent="0.15">
      <c r="A48" s="12">
        <v>47</v>
      </c>
      <c r="B48" s="12" t="s">
        <v>387</v>
      </c>
      <c r="C48" s="12">
        <v>1</v>
      </c>
      <c r="D48" s="12">
        <v>1</v>
      </c>
      <c r="F48" s="12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</v>
      </c>
      <c r="L48" s="12">
        <v>1</v>
      </c>
      <c r="M48" s="12">
        <f t="shared" si="5"/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2">
        <v>0</v>
      </c>
      <c r="U48" s="12">
        <v>1</v>
      </c>
      <c r="V48" s="12">
        <v>1</v>
      </c>
      <c r="W48" s="12">
        <v>0</v>
      </c>
      <c r="X48" s="12">
        <v>0</v>
      </c>
      <c r="Y48" s="12">
        <v>0</v>
      </c>
      <c r="Z48" s="12" t="s">
        <v>1356</v>
      </c>
    </row>
    <row r="49" spans="1:26" s="12" customFormat="1" ht="15" customHeight="1" x14ac:dyDescent="0.15">
      <c r="A49" s="12">
        <v>48</v>
      </c>
      <c r="B49" s="12" t="s">
        <v>388</v>
      </c>
      <c r="C49" s="12">
        <v>1</v>
      </c>
      <c r="D49" s="12">
        <v>1</v>
      </c>
      <c r="F49" s="12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</v>
      </c>
      <c r="L49" s="12">
        <v>1</v>
      </c>
      <c r="M49" s="12">
        <f t="shared" si="5"/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2">
        <v>0</v>
      </c>
      <c r="U49" s="12">
        <v>1</v>
      </c>
      <c r="V49" s="12">
        <v>1</v>
      </c>
      <c r="W49" s="12">
        <v>0</v>
      </c>
      <c r="X49" s="12">
        <v>0</v>
      </c>
      <c r="Y49" s="12">
        <v>0</v>
      </c>
      <c r="Z49" s="12" t="s">
        <v>1357</v>
      </c>
    </row>
    <row r="50" spans="1:26" s="12" customFormat="1" ht="15" customHeight="1" x14ac:dyDescent="0.15">
      <c r="A50" s="12">
        <v>49</v>
      </c>
      <c r="B50" s="12" t="s">
        <v>404</v>
      </c>
      <c r="C50" s="12">
        <f t="shared" ref="C50:C57" si="6">G50+H50*2+I50*4+J50*8+K50*16</f>
        <v>5</v>
      </c>
      <c r="D50" s="12">
        <v>1</v>
      </c>
      <c r="F50" s="12">
        <v>0</v>
      </c>
      <c r="G50" s="13">
        <v>1</v>
      </c>
      <c r="H50" s="13">
        <v>0</v>
      </c>
      <c r="I50" s="13">
        <v>1</v>
      </c>
      <c r="J50" s="13">
        <v>0</v>
      </c>
      <c r="K50" s="13">
        <v>0</v>
      </c>
      <c r="L50" s="12">
        <v>0</v>
      </c>
      <c r="M50" s="12">
        <f t="shared" si="5"/>
        <v>0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  <c r="S50" s="13">
        <v>0</v>
      </c>
      <c r="T50" s="12">
        <v>1</v>
      </c>
      <c r="U50" s="12">
        <v>0</v>
      </c>
      <c r="V50" s="12">
        <v>0</v>
      </c>
      <c r="W50" s="12">
        <v>0</v>
      </c>
      <c r="X50" s="12">
        <v>1</v>
      </c>
      <c r="Y50" s="12">
        <v>0</v>
      </c>
      <c r="Z50" s="12" t="s">
        <v>389</v>
      </c>
    </row>
    <row r="51" spans="1:26" s="12" customFormat="1" ht="15" customHeight="1" x14ac:dyDescent="0.15">
      <c r="A51" s="12">
        <v>50</v>
      </c>
      <c r="B51" s="12" t="s">
        <v>314</v>
      </c>
      <c r="C51" s="12">
        <f t="shared" si="6"/>
        <v>1</v>
      </c>
      <c r="D51" s="12">
        <v>1</v>
      </c>
      <c r="F51" s="12">
        <v>0</v>
      </c>
      <c r="G51" s="13">
        <v>1</v>
      </c>
      <c r="H51" s="13">
        <v>0</v>
      </c>
      <c r="I51" s="13">
        <v>0</v>
      </c>
      <c r="J51" s="13">
        <v>0</v>
      </c>
      <c r="K51" s="13">
        <v>0</v>
      </c>
      <c r="L51" s="12">
        <v>1</v>
      </c>
      <c r="M51" s="12">
        <f t="shared" si="5"/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2">
        <v>0</v>
      </c>
      <c r="U51" s="12">
        <v>0</v>
      </c>
      <c r="V51" s="12">
        <v>1</v>
      </c>
      <c r="W51" s="12">
        <v>0</v>
      </c>
      <c r="X51" s="12">
        <v>1</v>
      </c>
      <c r="Y51" s="12">
        <v>0</v>
      </c>
      <c r="Z51" s="12" t="s">
        <v>400</v>
      </c>
    </row>
    <row r="52" spans="1:26" s="12" customFormat="1" ht="15" customHeight="1" x14ac:dyDescent="0.15">
      <c r="A52" s="12">
        <v>51</v>
      </c>
      <c r="B52" s="12" t="s">
        <v>401</v>
      </c>
      <c r="C52" s="12">
        <f t="shared" si="6"/>
        <v>24</v>
      </c>
      <c r="D52" s="12">
        <v>1</v>
      </c>
      <c r="F52" s="12">
        <v>0</v>
      </c>
      <c r="G52" s="13">
        <v>0</v>
      </c>
      <c r="H52" s="13">
        <v>0</v>
      </c>
      <c r="I52" s="13">
        <v>0</v>
      </c>
      <c r="J52" s="13">
        <v>1</v>
      </c>
      <c r="K52" s="13">
        <v>1</v>
      </c>
      <c r="L52" s="12">
        <v>1</v>
      </c>
      <c r="M52" s="12">
        <f t="shared" si="5"/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2">
        <v>0</v>
      </c>
      <c r="U52" s="12">
        <v>1</v>
      </c>
      <c r="V52" s="12">
        <v>1</v>
      </c>
      <c r="W52" s="12">
        <v>0</v>
      </c>
      <c r="X52" s="12">
        <v>0</v>
      </c>
      <c r="Y52" s="12">
        <v>0</v>
      </c>
      <c r="Z52" s="12" t="s">
        <v>1355</v>
      </c>
    </row>
    <row r="53" spans="1:26" s="12" customFormat="1" ht="15" customHeight="1" x14ac:dyDescent="0.15">
      <c r="A53" s="12">
        <v>52</v>
      </c>
      <c r="B53" s="12" t="s">
        <v>402</v>
      </c>
      <c r="C53" s="12">
        <f t="shared" si="6"/>
        <v>24</v>
      </c>
      <c r="D53" s="12">
        <v>1</v>
      </c>
      <c r="F53" s="12">
        <v>0</v>
      </c>
      <c r="G53" s="13">
        <v>0</v>
      </c>
      <c r="H53" s="13">
        <v>0</v>
      </c>
      <c r="I53" s="13">
        <v>0</v>
      </c>
      <c r="J53" s="13">
        <v>1</v>
      </c>
      <c r="K53" s="13">
        <v>1</v>
      </c>
      <c r="L53" s="12">
        <v>1</v>
      </c>
      <c r="M53" s="12">
        <f t="shared" si="5"/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2">
        <v>0</v>
      </c>
      <c r="U53" s="12">
        <v>1</v>
      </c>
      <c r="V53" s="12">
        <v>1</v>
      </c>
      <c r="W53" s="12">
        <v>0</v>
      </c>
      <c r="X53" s="12">
        <v>0</v>
      </c>
      <c r="Y53" s="12">
        <v>0</v>
      </c>
      <c r="Z53" s="12" t="s">
        <v>1355</v>
      </c>
    </row>
    <row r="54" spans="1:26" s="12" customFormat="1" ht="15" customHeight="1" x14ac:dyDescent="0.15">
      <c r="A54" s="12">
        <v>53</v>
      </c>
      <c r="B54" s="12" t="s">
        <v>766</v>
      </c>
      <c r="C54" s="12">
        <f t="shared" si="6"/>
        <v>1</v>
      </c>
      <c r="D54" s="12">
        <v>1</v>
      </c>
      <c r="F54" s="12">
        <v>0</v>
      </c>
      <c r="G54" s="13">
        <v>1</v>
      </c>
      <c r="H54" s="13">
        <v>0</v>
      </c>
      <c r="I54" s="13">
        <v>0</v>
      </c>
      <c r="J54" s="13">
        <v>0</v>
      </c>
      <c r="K54" s="13">
        <v>0</v>
      </c>
      <c r="L54" s="12">
        <v>1</v>
      </c>
      <c r="M54" s="12">
        <v>64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2">
        <v>1</v>
      </c>
      <c r="U54" s="12">
        <v>1</v>
      </c>
      <c r="V54" s="12">
        <v>1</v>
      </c>
      <c r="W54" s="12">
        <v>0</v>
      </c>
      <c r="X54" s="12">
        <v>0</v>
      </c>
      <c r="Y54" s="12">
        <v>0</v>
      </c>
    </row>
    <row r="55" spans="1:26" s="12" customFormat="1" ht="15" customHeight="1" x14ac:dyDescent="0.15">
      <c r="A55" s="12">
        <v>54</v>
      </c>
      <c r="B55" s="12" t="s">
        <v>420</v>
      </c>
      <c r="C55" s="12">
        <f t="shared" si="6"/>
        <v>25</v>
      </c>
      <c r="D55" s="12">
        <v>1</v>
      </c>
      <c r="F55" s="12">
        <v>0</v>
      </c>
      <c r="G55" s="13">
        <v>1</v>
      </c>
      <c r="H55" s="13">
        <v>0</v>
      </c>
      <c r="I55" s="13">
        <v>0</v>
      </c>
      <c r="J55" s="13">
        <v>1</v>
      </c>
      <c r="K55" s="13">
        <v>1</v>
      </c>
      <c r="L55" s="12">
        <v>1</v>
      </c>
      <c r="M55" s="12">
        <f t="shared" si="5"/>
        <v>0</v>
      </c>
      <c r="N55" s="13">
        <v>0</v>
      </c>
      <c r="O55" s="13">
        <v>0</v>
      </c>
      <c r="P55" s="13">
        <v>0</v>
      </c>
      <c r="Q55" s="13">
        <v>0</v>
      </c>
      <c r="R55" s="13">
        <v>0</v>
      </c>
      <c r="S55" s="13">
        <v>0</v>
      </c>
      <c r="T55" s="12">
        <v>0</v>
      </c>
      <c r="U55" s="12">
        <v>1</v>
      </c>
      <c r="V55" s="12">
        <v>1</v>
      </c>
      <c r="W55" s="12">
        <v>0</v>
      </c>
      <c r="X55" s="12">
        <v>0</v>
      </c>
      <c r="Y55" s="12">
        <v>0</v>
      </c>
      <c r="Z55" s="12" t="s">
        <v>1241</v>
      </c>
    </row>
    <row r="56" spans="1:26" s="12" customFormat="1" ht="15" customHeight="1" x14ac:dyDescent="0.15">
      <c r="A56" s="12">
        <v>55</v>
      </c>
      <c r="B56" s="12" t="s">
        <v>422</v>
      </c>
      <c r="C56" s="12">
        <f t="shared" si="6"/>
        <v>24</v>
      </c>
      <c r="D56" s="12">
        <v>1</v>
      </c>
      <c r="F56" s="12">
        <v>0</v>
      </c>
      <c r="G56" s="13">
        <v>0</v>
      </c>
      <c r="H56" s="13">
        <v>0</v>
      </c>
      <c r="I56" s="13">
        <v>0</v>
      </c>
      <c r="J56" s="13">
        <v>1</v>
      </c>
      <c r="K56" s="13">
        <v>1</v>
      </c>
      <c r="L56" s="12">
        <v>1</v>
      </c>
      <c r="M56" s="12">
        <v>64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  <c r="S56" s="13">
        <v>0</v>
      </c>
      <c r="T56" s="12">
        <v>1</v>
      </c>
      <c r="U56" s="12">
        <v>1</v>
      </c>
      <c r="V56" s="12">
        <v>0</v>
      </c>
      <c r="W56" s="12">
        <v>0</v>
      </c>
      <c r="X56" s="12">
        <v>0</v>
      </c>
      <c r="Y56" s="12">
        <v>0</v>
      </c>
      <c r="Z56" s="12" t="s">
        <v>422</v>
      </c>
    </row>
    <row r="57" spans="1:26" s="12" customFormat="1" ht="15" customHeight="1" x14ac:dyDescent="0.15">
      <c r="A57" s="12">
        <v>56</v>
      </c>
      <c r="B57" s="12" t="s">
        <v>443</v>
      </c>
      <c r="C57" s="12">
        <f t="shared" si="6"/>
        <v>16</v>
      </c>
      <c r="D57" s="12">
        <v>1</v>
      </c>
      <c r="F57" s="12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</v>
      </c>
      <c r="L57" s="12">
        <v>0</v>
      </c>
      <c r="M57" s="12">
        <f>N57+O57*2+P57*4+Q57*8+R57*16+S57*32</f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  <c r="S57" s="13">
        <v>0</v>
      </c>
      <c r="T57" s="12">
        <v>0</v>
      </c>
      <c r="U57" s="12">
        <v>1</v>
      </c>
      <c r="V57" s="12">
        <v>0</v>
      </c>
      <c r="W57" s="12">
        <v>0</v>
      </c>
      <c r="X57" s="12">
        <v>1</v>
      </c>
      <c r="Y57" s="12">
        <v>0</v>
      </c>
      <c r="Z57" s="12" t="s">
        <v>323</v>
      </c>
    </row>
    <row r="58" spans="1:26" s="12" customFormat="1" ht="15" customHeight="1" x14ac:dyDescent="0.15">
      <c r="A58" s="12">
        <v>57</v>
      </c>
      <c r="B58" s="12" t="s">
        <v>444</v>
      </c>
      <c r="C58" s="12">
        <v>1</v>
      </c>
      <c r="D58" s="12">
        <v>1</v>
      </c>
      <c r="F58" s="12">
        <v>0</v>
      </c>
      <c r="G58" s="13">
        <v>1</v>
      </c>
      <c r="H58" s="13">
        <v>0</v>
      </c>
      <c r="I58" s="13">
        <v>1</v>
      </c>
      <c r="J58" s="13">
        <v>0</v>
      </c>
      <c r="K58" s="13">
        <v>0</v>
      </c>
      <c r="L58" s="12">
        <v>1</v>
      </c>
      <c r="M58" s="12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  <c r="S58" s="13">
        <v>0</v>
      </c>
      <c r="T58" s="12">
        <v>1</v>
      </c>
      <c r="U58" s="12">
        <v>1</v>
      </c>
      <c r="V58" s="12">
        <v>1</v>
      </c>
      <c r="W58" s="12">
        <v>0</v>
      </c>
      <c r="X58" s="12">
        <v>0</v>
      </c>
      <c r="Y58" s="12">
        <v>0</v>
      </c>
      <c r="Z58" s="12" t="s">
        <v>445</v>
      </c>
    </row>
    <row r="59" spans="1:26" s="12" customFormat="1" ht="15" customHeight="1" x14ac:dyDescent="0.15">
      <c r="A59" s="12">
        <v>58</v>
      </c>
      <c r="B59" s="12" t="s">
        <v>448</v>
      </c>
      <c r="C59" s="12">
        <f t="shared" ref="C59" si="7">G59+H59*2+I59*4+J59*8+K59*16</f>
        <v>5</v>
      </c>
      <c r="D59" s="12">
        <v>1</v>
      </c>
      <c r="F59" s="12">
        <v>0</v>
      </c>
      <c r="G59" s="13">
        <v>1</v>
      </c>
      <c r="H59" s="13">
        <v>0</v>
      </c>
      <c r="I59" s="13">
        <v>1</v>
      </c>
      <c r="J59" s="13">
        <v>0</v>
      </c>
      <c r="K59" s="13">
        <v>0</v>
      </c>
      <c r="L59" s="12">
        <v>0</v>
      </c>
      <c r="M59" s="12">
        <f t="shared" ref="M59" si="8">N59+O59*2+P59*4+Q59*8+R59*16+S59*32</f>
        <v>0</v>
      </c>
      <c r="N59" s="13">
        <v>0</v>
      </c>
      <c r="O59" s="13">
        <v>0</v>
      </c>
      <c r="P59" s="13">
        <v>0</v>
      </c>
      <c r="Q59" s="13">
        <v>0</v>
      </c>
      <c r="R59" s="13">
        <v>0</v>
      </c>
      <c r="S59" s="13">
        <v>0</v>
      </c>
      <c r="T59" s="12">
        <v>1</v>
      </c>
      <c r="U59" s="12">
        <v>0</v>
      </c>
      <c r="V59" s="12">
        <v>1</v>
      </c>
      <c r="W59" s="12">
        <v>0</v>
      </c>
      <c r="X59" s="12">
        <v>1</v>
      </c>
      <c r="Y59" s="12">
        <v>0</v>
      </c>
      <c r="Z59" s="12" t="s">
        <v>525</v>
      </c>
    </row>
    <row r="60" spans="1:26" s="12" customFormat="1" ht="15" customHeight="1" x14ac:dyDescent="0.15">
      <c r="A60" s="12">
        <v>69</v>
      </c>
      <c r="B60" s="12" t="s">
        <v>1365</v>
      </c>
      <c r="C60" s="12">
        <f>G60+H60*2+I60*4+J60*8+K60*16</f>
        <v>1</v>
      </c>
      <c r="D60" s="12">
        <v>1</v>
      </c>
      <c r="F60" s="12">
        <v>0</v>
      </c>
      <c r="G60" s="13">
        <v>1</v>
      </c>
      <c r="H60" s="13">
        <v>0</v>
      </c>
      <c r="I60" s="13">
        <v>0</v>
      </c>
      <c r="J60" s="13">
        <v>0</v>
      </c>
      <c r="K60" s="13">
        <v>0</v>
      </c>
      <c r="L60" s="12">
        <v>0</v>
      </c>
      <c r="M60" s="12">
        <f>N60+O60*2+P60*4+Q60*8+R60*16+S60*32</f>
        <v>0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  <c r="S60" s="13">
        <v>0</v>
      </c>
      <c r="T60" s="12">
        <v>1</v>
      </c>
      <c r="U60" s="12">
        <v>1</v>
      </c>
      <c r="V60" s="12">
        <v>0</v>
      </c>
      <c r="W60" s="12">
        <v>0</v>
      </c>
      <c r="X60" s="12">
        <v>1</v>
      </c>
      <c r="Y60" s="12">
        <v>0</v>
      </c>
      <c r="Z60" s="12" t="s">
        <v>1366</v>
      </c>
    </row>
    <row r="61" spans="1:26" s="12" customFormat="1" ht="15" customHeight="1" x14ac:dyDescent="0.15">
      <c r="A61" s="12">
        <v>70</v>
      </c>
      <c r="B61" s="12" t="s">
        <v>457</v>
      </c>
      <c r="C61" s="12">
        <f>G61+H61*2+I61*4+J61*8+K61*16</f>
        <v>1</v>
      </c>
      <c r="D61" s="12">
        <v>1</v>
      </c>
      <c r="F61" s="12">
        <v>0</v>
      </c>
      <c r="G61" s="13">
        <v>1</v>
      </c>
      <c r="H61" s="13">
        <v>0</v>
      </c>
      <c r="I61" s="13">
        <v>0</v>
      </c>
      <c r="J61" s="13">
        <v>0</v>
      </c>
      <c r="K61" s="13">
        <v>0</v>
      </c>
      <c r="L61" s="12">
        <v>0</v>
      </c>
      <c r="M61" s="12">
        <f>N61+O61*2+P61*4+Q61*8+R61*16+S61*32</f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  <c r="S61" s="13">
        <v>0</v>
      </c>
      <c r="T61" s="12">
        <v>0</v>
      </c>
      <c r="U61" s="12">
        <v>0</v>
      </c>
      <c r="V61" s="12">
        <v>0</v>
      </c>
      <c r="W61" s="12">
        <v>0</v>
      </c>
      <c r="X61" s="12">
        <v>0</v>
      </c>
      <c r="Y61" s="12">
        <v>0</v>
      </c>
      <c r="Z61" s="12" t="s">
        <v>458</v>
      </c>
    </row>
    <row r="62" spans="1:26" s="12" customFormat="1" ht="15" customHeight="1" x14ac:dyDescent="0.15">
      <c r="A62" s="12">
        <v>71</v>
      </c>
      <c r="B62" s="12" t="s">
        <v>1704</v>
      </c>
      <c r="C62" s="12">
        <v>1</v>
      </c>
      <c r="D62" s="12">
        <v>1</v>
      </c>
      <c r="F62" s="12">
        <v>0</v>
      </c>
      <c r="G62" s="13">
        <v>1</v>
      </c>
      <c r="H62" s="13">
        <v>0</v>
      </c>
      <c r="I62" s="13">
        <v>0</v>
      </c>
      <c r="J62" s="13">
        <v>0</v>
      </c>
      <c r="K62" s="13">
        <v>1</v>
      </c>
      <c r="L62" s="12">
        <v>0</v>
      </c>
      <c r="M62" s="12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  <c r="S62" s="13">
        <v>0</v>
      </c>
      <c r="T62" s="12">
        <v>0</v>
      </c>
      <c r="U62" s="12">
        <v>1</v>
      </c>
      <c r="V62" s="12">
        <v>0</v>
      </c>
      <c r="W62" s="12">
        <v>0</v>
      </c>
      <c r="X62" s="12">
        <v>0</v>
      </c>
      <c r="Y62" s="12">
        <v>0</v>
      </c>
      <c r="Z62" s="12" t="s">
        <v>1705</v>
      </c>
    </row>
    <row r="63" spans="1:26" s="12" customFormat="1" ht="15" customHeight="1" x14ac:dyDescent="0.15">
      <c r="A63" s="12">
        <v>72</v>
      </c>
      <c r="B63" s="12" t="s">
        <v>14</v>
      </c>
      <c r="C63" s="12">
        <f t="shared" ref="C63:C68" si="9">G63+H63*2+I63*4+J63*8+K63*16</f>
        <v>5</v>
      </c>
      <c r="D63" s="12">
        <v>1</v>
      </c>
      <c r="F63" s="12">
        <v>0</v>
      </c>
      <c r="G63" s="13">
        <v>1</v>
      </c>
      <c r="H63" s="13">
        <v>0</v>
      </c>
      <c r="I63" s="13">
        <v>1</v>
      </c>
      <c r="J63" s="13">
        <v>0</v>
      </c>
      <c r="K63" s="13">
        <v>0</v>
      </c>
      <c r="L63" s="12">
        <v>1</v>
      </c>
      <c r="M63" s="12">
        <f>N63+O63*2+P63*4+Q63*8+R63*16+S63*32</f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  <c r="S63" s="13">
        <v>0</v>
      </c>
      <c r="T63" s="12">
        <v>1</v>
      </c>
      <c r="U63" s="12">
        <v>0</v>
      </c>
      <c r="V63" s="12">
        <v>1</v>
      </c>
      <c r="W63" s="12">
        <v>0</v>
      </c>
      <c r="X63" s="12">
        <v>0</v>
      </c>
      <c r="Y63" s="12">
        <v>0</v>
      </c>
      <c r="Z63" s="12" t="s">
        <v>467</v>
      </c>
    </row>
    <row r="64" spans="1:26" s="12" customFormat="1" ht="15" customHeight="1" x14ac:dyDescent="0.15">
      <c r="A64" s="12">
        <v>73</v>
      </c>
      <c r="B64" s="12" t="s">
        <v>470</v>
      </c>
      <c r="C64" s="12">
        <f t="shared" si="9"/>
        <v>5</v>
      </c>
      <c r="D64" s="12">
        <v>1</v>
      </c>
      <c r="F64" s="12">
        <v>0</v>
      </c>
      <c r="G64" s="13">
        <v>1</v>
      </c>
      <c r="H64" s="13">
        <v>0</v>
      </c>
      <c r="I64" s="13">
        <v>1</v>
      </c>
      <c r="J64" s="13">
        <v>0</v>
      </c>
      <c r="K64" s="13">
        <v>0</v>
      </c>
      <c r="L64" s="12">
        <v>0</v>
      </c>
      <c r="M64" s="12">
        <f>N64+O64*2+P64*4+Q64*8+R64*16+S64*32</f>
        <v>0</v>
      </c>
      <c r="N64" s="13">
        <v>0</v>
      </c>
      <c r="O64" s="13">
        <v>0</v>
      </c>
      <c r="P64" s="13">
        <v>0</v>
      </c>
      <c r="Q64" s="13">
        <v>0</v>
      </c>
      <c r="R64" s="13">
        <v>0</v>
      </c>
      <c r="S64" s="13">
        <v>0</v>
      </c>
      <c r="T64" s="12">
        <v>0</v>
      </c>
      <c r="U64" s="12">
        <v>0</v>
      </c>
      <c r="V64" s="12">
        <v>0</v>
      </c>
      <c r="W64" s="12">
        <v>0</v>
      </c>
      <c r="X64" s="12">
        <v>0</v>
      </c>
      <c r="Y64" s="12">
        <v>0</v>
      </c>
      <c r="Z64" s="12" t="s">
        <v>470</v>
      </c>
    </row>
    <row r="65" spans="1:26" s="12" customFormat="1" ht="15" customHeight="1" x14ac:dyDescent="0.15">
      <c r="A65" s="12">
        <v>74</v>
      </c>
      <c r="B65" s="12" t="s">
        <v>1707</v>
      </c>
      <c r="C65" s="12">
        <f t="shared" si="9"/>
        <v>5</v>
      </c>
      <c r="D65" s="12">
        <v>1</v>
      </c>
      <c r="F65" s="12">
        <v>0</v>
      </c>
      <c r="G65" s="13">
        <v>1</v>
      </c>
      <c r="H65" s="13">
        <v>0</v>
      </c>
      <c r="I65" s="13">
        <v>1</v>
      </c>
      <c r="J65" s="13">
        <v>0</v>
      </c>
      <c r="K65" s="13">
        <v>0</v>
      </c>
      <c r="L65" s="12">
        <v>1</v>
      </c>
      <c r="M65" s="12">
        <v>64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  <c r="S65" s="13">
        <v>0</v>
      </c>
      <c r="T65" s="12">
        <v>0</v>
      </c>
      <c r="U65" s="12">
        <v>1</v>
      </c>
      <c r="V65" s="12">
        <v>0</v>
      </c>
      <c r="W65" s="12">
        <v>0</v>
      </c>
      <c r="X65" s="12">
        <v>0</v>
      </c>
      <c r="Y65" s="12">
        <v>0</v>
      </c>
      <c r="Z65" s="12" t="s">
        <v>1708</v>
      </c>
    </row>
    <row r="66" spans="1:26" s="12" customFormat="1" ht="15" customHeight="1" x14ac:dyDescent="0.15">
      <c r="A66" s="12">
        <v>75</v>
      </c>
      <c r="B66" s="12" t="s">
        <v>1474</v>
      </c>
      <c r="C66" s="12">
        <f t="shared" si="9"/>
        <v>5</v>
      </c>
      <c r="D66" s="12">
        <v>1</v>
      </c>
      <c r="F66" s="12">
        <v>0</v>
      </c>
      <c r="G66" s="13">
        <v>1</v>
      </c>
      <c r="H66" s="13">
        <v>0</v>
      </c>
      <c r="I66" s="13">
        <v>1</v>
      </c>
      <c r="J66" s="13">
        <v>0</v>
      </c>
      <c r="K66" s="13">
        <v>0</v>
      </c>
      <c r="L66" s="12">
        <v>0</v>
      </c>
      <c r="M66" s="12">
        <f>N66+O66*2+P66*4+Q66*8+R66*16+S66*32</f>
        <v>0</v>
      </c>
      <c r="N66" s="13">
        <v>0</v>
      </c>
      <c r="O66" s="13">
        <v>0</v>
      </c>
      <c r="P66" s="13">
        <v>0</v>
      </c>
      <c r="Q66" s="13">
        <v>0</v>
      </c>
      <c r="R66" s="13">
        <v>0</v>
      </c>
      <c r="S66" s="13">
        <v>0</v>
      </c>
      <c r="T66" s="12">
        <v>0</v>
      </c>
      <c r="U66" s="12">
        <v>0</v>
      </c>
      <c r="V66" s="12">
        <v>0</v>
      </c>
      <c r="W66" s="12">
        <v>0</v>
      </c>
      <c r="X66" s="12">
        <v>0</v>
      </c>
      <c r="Y66" s="12">
        <v>0</v>
      </c>
      <c r="Z66" s="12" t="s">
        <v>1475</v>
      </c>
    </row>
    <row r="67" spans="1:26" s="12" customFormat="1" ht="15" customHeight="1" x14ac:dyDescent="0.15">
      <c r="A67" s="12">
        <v>76</v>
      </c>
      <c r="B67" s="12" t="s">
        <v>502</v>
      </c>
      <c r="C67" s="12">
        <f t="shared" si="9"/>
        <v>5</v>
      </c>
      <c r="D67" s="12">
        <v>1</v>
      </c>
      <c r="F67" s="12">
        <v>0</v>
      </c>
      <c r="G67" s="13">
        <v>1</v>
      </c>
      <c r="H67" s="13">
        <v>0</v>
      </c>
      <c r="I67" s="13">
        <v>1</v>
      </c>
      <c r="J67" s="13">
        <v>0</v>
      </c>
      <c r="K67" s="13">
        <v>0</v>
      </c>
      <c r="L67" s="12">
        <v>0</v>
      </c>
      <c r="M67" s="12">
        <f>N67+O67*2+P67*4+Q67*8+R67*16+S67*32</f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  <c r="S67" s="13">
        <v>0</v>
      </c>
      <c r="T67" s="12">
        <v>0</v>
      </c>
      <c r="U67" s="12">
        <v>0</v>
      </c>
      <c r="V67" s="12">
        <v>0</v>
      </c>
      <c r="W67" s="12">
        <v>0</v>
      </c>
      <c r="X67" s="12">
        <v>0</v>
      </c>
      <c r="Y67" s="12">
        <v>0</v>
      </c>
      <c r="Z67" s="12" t="s">
        <v>501</v>
      </c>
    </row>
    <row r="68" spans="1:26" s="12" customFormat="1" ht="15" customHeight="1" x14ac:dyDescent="0.15">
      <c r="A68" s="12">
        <v>77</v>
      </c>
      <c r="B68" s="12" t="s">
        <v>503</v>
      </c>
      <c r="C68" s="12">
        <f t="shared" si="9"/>
        <v>5</v>
      </c>
      <c r="D68" s="12">
        <v>1</v>
      </c>
      <c r="F68" s="12">
        <v>0</v>
      </c>
      <c r="G68" s="13">
        <v>1</v>
      </c>
      <c r="H68" s="13">
        <v>0</v>
      </c>
      <c r="I68" s="13">
        <v>1</v>
      </c>
      <c r="J68" s="13">
        <v>0</v>
      </c>
      <c r="K68" s="13">
        <v>0</v>
      </c>
      <c r="L68" s="12">
        <v>0</v>
      </c>
      <c r="M68" s="12">
        <f t="shared" ref="M68:M75" si="10">N68+O68*2+P68*4+Q68*8+R68*16+S68*32</f>
        <v>0</v>
      </c>
      <c r="N68" s="13">
        <v>0</v>
      </c>
      <c r="O68" s="13">
        <v>0</v>
      </c>
      <c r="P68" s="13">
        <v>0</v>
      </c>
      <c r="Q68" s="13">
        <v>0</v>
      </c>
      <c r="R68" s="13">
        <v>0</v>
      </c>
      <c r="S68" s="13">
        <v>0</v>
      </c>
      <c r="T68" s="12">
        <v>0</v>
      </c>
      <c r="U68" s="12">
        <v>0</v>
      </c>
      <c r="V68" s="12">
        <v>0</v>
      </c>
      <c r="W68" s="12">
        <v>0</v>
      </c>
      <c r="X68" s="12">
        <v>0</v>
      </c>
      <c r="Y68" s="12">
        <v>0</v>
      </c>
      <c r="Z68" s="12" t="s">
        <v>500</v>
      </c>
    </row>
    <row r="69" spans="1:26" s="12" customFormat="1" ht="15" customHeight="1" x14ac:dyDescent="0.15">
      <c r="A69" s="12">
        <v>78</v>
      </c>
      <c r="B69" s="12" t="s">
        <v>1476</v>
      </c>
      <c r="C69" s="12">
        <f t="shared" ref="C69:C75" si="11">G69+H69*2+I69*4+J69*8+K69*16</f>
        <v>5</v>
      </c>
      <c r="D69" s="12">
        <v>1</v>
      </c>
      <c r="F69" s="12">
        <v>0</v>
      </c>
      <c r="G69" s="13">
        <v>1</v>
      </c>
      <c r="H69" s="13">
        <v>0</v>
      </c>
      <c r="I69" s="13">
        <v>1</v>
      </c>
      <c r="J69" s="13">
        <v>0</v>
      </c>
      <c r="K69" s="13">
        <v>0</v>
      </c>
      <c r="L69" s="12">
        <v>0</v>
      </c>
      <c r="M69" s="12">
        <f t="shared" si="10"/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2">
        <v>0</v>
      </c>
      <c r="U69" s="12">
        <v>0</v>
      </c>
      <c r="V69" s="12">
        <v>0</v>
      </c>
      <c r="W69" s="12">
        <v>0</v>
      </c>
      <c r="X69" s="12">
        <v>0</v>
      </c>
      <c r="Y69" s="12">
        <v>0</v>
      </c>
      <c r="Z69" s="12" t="s">
        <v>1475</v>
      </c>
    </row>
    <row r="70" spans="1:26" s="12" customFormat="1" ht="15" customHeight="1" x14ac:dyDescent="0.15">
      <c r="A70" s="12">
        <v>79</v>
      </c>
      <c r="B70" s="12" t="s">
        <v>504</v>
      </c>
      <c r="C70" s="12">
        <f t="shared" si="11"/>
        <v>5</v>
      </c>
      <c r="D70" s="12">
        <v>1</v>
      </c>
      <c r="F70" s="12">
        <v>0</v>
      </c>
      <c r="G70" s="13">
        <v>1</v>
      </c>
      <c r="H70" s="13">
        <v>0</v>
      </c>
      <c r="I70" s="13">
        <v>1</v>
      </c>
      <c r="J70" s="13">
        <v>0</v>
      </c>
      <c r="K70" s="13">
        <v>0</v>
      </c>
      <c r="L70" s="12">
        <v>0</v>
      </c>
      <c r="M70" s="12">
        <f t="shared" si="10"/>
        <v>0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  <c r="S70" s="13">
        <v>0</v>
      </c>
      <c r="T70" s="12">
        <v>0</v>
      </c>
      <c r="U70" s="12">
        <v>0</v>
      </c>
      <c r="V70" s="12">
        <v>0</v>
      </c>
      <c r="W70" s="12">
        <v>0</v>
      </c>
      <c r="X70" s="12">
        <v>0</v>
      </c>
      <c r="Y70" s="12">
        <v>0</v>
      </c>
      <c r="Z70" s="12" t="s">
        <v>501</v>
      </c>
    </row>
    <row r="71" spans="1:26" s="12" customFormat="1" ht="15" customHeight="1" x14ac:dyDescent="0.15">
      <c r="A71" s="12">
        <v>80</v>
      </c>
      <c r="B71" s="12" t="s">
        <v>505</v>
      </c>
      <c r="C71" s="12">
        <f t="shared" si="11"/>
        <v>5</v>
      </c>
      <c r="D71" s="12">
        <v>1</v>
      </c>
      <c r="F71" s="12">
        <v>0</v>
      </c>
      <c r="G71" s="13">
        <v>1</v>
      </c>
      <c r="H71" s="13">
        <v>0</v>
      </c>
      <c r="I71" s="13">
        <v>1</v>
      </c>
      <c r="J71" s="13">
        <v>0</v>
      </c>
      <c r="K71" s="13">
        <v>0</v>
      </c>
      <c r="L71" s="12">
        <v>0</v>
      </c>
      <c r="M71" s="12">
        <f t="shared" si="10"/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2">
        <v>0</v>
      </c>
      <c r="U71" s="12">
        <v>0</v>
      </c>
      <c r="V71" s="12">
        <v>0</v>
      </c>
      <c r="W71" s="12">
        <v>0</v>
      </c>
      <c r="X71" s="12">
        <v>0</v>
      </c>
      <c r="Y71" s="12">
        <v>0</v>
      </c>
      <c r="Z71" s="12" t="s">
        <v>500</v>
      </c>
    </row>
    <row r="72" spans="1:26" s="12" customFormat="1" ht="13.5" customHeight="1" x14ac:dyDescent="0.15">
      <c r="A72" s="12">
        <v>81</v>
      </c>
      <c r="B72" s="12" t="s">
        <v>506</v>
      </c>
      <c r="C72" s="12">
        <f t="shared" si="11"/>
        <v>1</v>
      </c>
      <c r="D72" s="12">
        <v>1</v>
      </c>
      <c r="F72" s="12">
        <v>0</v>
      </c>
      <c r="G72" s="13">
        <v>1</v>
      </c>
      <c r="H72" s="13">
        <v>0</v>
      </c>
      <c r="I72" s="13">
        <v>0</v>
      </c>
      <c r="J72" s="13">
        <v>0</v>
      </c>
      <c r="K72" s="13">
        <v>0</v>
      </c>
      <c r="L72" s="12">
        <v>1</v>
      </c>
      <c r="M72" s="12">
        <f t="shared" si="10"/>
        <v>0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  <c r="S72" s="13">
        <v>0</v>
      </c>
      <c r="T72" s="12">
        <v>1</v>
      </c>
      <c r="U72" s="12">
        <v>0</v>
      </c>
      <c r="V72" s="12">
        <v>1</v>
      </c>
      <c r="W72" s="12">
        <v>0</v>
      </c>
      <c r="X72" s="12">
        <v>0</v>
      </c>
      <c r="Y72" s="12">
        <v>0</v>
      </c>
      <c r="Z72" s="17" t="s">
        <v>550</v>
      </c>
    </row>
    <row r="73" spans="1:26" s="12" customFormat="1" ht="13.5" customHeight="1" x14ac:dyDescent="0.15">
      <c r="A73" s="12">
        <v>82</v>
      </c>
      <c r="B73" s="12" t="s">
        <v>508</v>
      </c>
      <c r="C73" s="12">
        <f t="shared" si="11"/>
        <v>1</v>
      </c>
      <c r="D73" s="12">
        <v>1</v>
      </c>
      <c r="F73" s="12">
        <v>0</v>
      </c>
      <c r="G73" s="13">
        <v>1</v>
      </c>
      <c r="H73" s="13">
        <v>0</v>
      </c>
      <c r="I73" s="13">
        <v>0</v>
      </c>
      <c r="J73" s="13">
        <v>0</v>
      </c>
      <c r="K73" s="13">
        <v>0</v>
      </c>
      <c r="L73" s="12">
        <v>1</v>
      </c>
      <c r="M73" s="12">
        <f t="shared" si="10"/>
        <v>0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  <c r="S73" s="13">
        <v>0</v>
      </c>
      <c r="T73" s="12">
        <v>1</v>
      </c>
      <c r="U73" s="12">
        <v>0</v>
      </c>
      <c r="V73" s="12">
        <v>1</v>
      </c>
      <c r="W73" s="12">
        <v>0</v>
      </c>
      <c r="X73" s="12">
        <v>0</v>
      </c>
      <c r="Y73" s="12">
        <v>0</v>
      </c>
      <c r="Z73" s="17" t="s">
        <v>551</v>
      </c>
    </row>
    <row r="74" spans="1:26" s="12" customFormat="1" ht="13.5" customHeight="1" x14ac:dyDescent="0.15">
      <c r="A74" s="12">
        <v>83</v>
      </c>
      <c r="B74" s="12" t="s">
        <v>509</v>
      </c>
      <c r="C74" s="12">
        <f t="shared" si="11"/>
        <v>1</v>
      </c>
      <c r="D74" s="12">
        <v>1</v>
      </c>
      <c r="F74" s="12">
        <v>0</v>
      </c>
      <c r="G74" s="13">
        <v>1</v>
      </c>
      <c r="H74" s="13">
        <v>0</v>
      </c>
      <c r="I74" s="13">
        <v>0</v>
      </c>
      <c r="J74" s="13">
        <v>0</v>
      </c>
      <c r="K74" s="13">
        <v>0</v>
      </c>
      <c r="L74" s="12">
        <v>1</v>
      </c>
      <c r="M74" s="12">
        <f t="shared" si="10"/>
        <v>0</v>
      </c>
      <c r="N74" s="13">
        <v>0</v>
      </c>
      <c r="O74" s="13">
        <v>0</v>
      </c>
      <c r="P74" s="13">
        <v>0</v>
      </c>
      <c r="Q74" s="13">
        <v>0</v>
      </c>
      <c r="R74" s="13">
        <v>0</v>
      </c>
      <c r="S74" s="13">
        <v>0</v>
      </c>
      <c r="T74" s="12">
        <v>1</v>
      </c>
      <c r="U74" s="12">
        <v>0</v>
      </c>
      <c r="V74" s="12">
        <v>1</v>
      </c>
      <c r="W74" s="12">
        <v>0</v>
      </c>
      <c r="X74" s="12">
        <v>0</v>
      </c>
      <c r="Y74" s="12">
        <v>0</v>
      </c>
      <c r="Z74" s="17" t="s">
        <v>551</v>
      </c>
    </row>
    <row r="75" spans="1:26" s="12" customFormat="1" ht="15" customHeight="1" x14ac:dyDescent="0.15">
      <c r="A75" s="12">
        <v>84</v>
      </c>
      <c r="B75" s="12" t="s">
        <v>1693</v>
      </c>
      <c r="C75" s="12">
        <f t="shared" si="11"/>
        <v>21</v>
      </c>
      <c r="D75" s="12">
        <v>1</v>
      </c>
      <c r="F75" s="12">
        <v>0</v>
      </c>
      <c r="G75" s="13">
        <v>1</v>
      </c>
      <c r="H75" s="13">
        <v>0</v>
      </c>
      <c r="I75" s="13">
        <v>1</v>
      </c>
      <c r="J75" s="13">
        <v>0</v>
      </c>
      <c r="K75" s="13">
        <v>1</v>
      </c>
      <c r="L75" s="12">
        <v>0</v>
      </c>
      <c r="M75" s="12">
        <f t="shared" si="10"/>
        <v>0</v>
      </c>
      <c r="N75" s="13">
        <v>0</v>
      </c>
      <c r="O75" s="13">
        <v>0</v>
      </c>
      <c r="P75" s="13">
        <v>0</v>
      </c>
      <c r="Q75" s="13">
        <v>0</v>
      </c>
      <c r="R75" s="13">
        <v>0</v>
      </c>
      <c r="S75" s="13">
        <v>0</v>
      </c>
      <c r="T75" s="12">
        <v>1</v>
      </c>
      <c r="U75" s="12">
        <v>1</v>
      </c>
      <c r="V75" s="12">
        <v>1</v>
      </c>
      <c r="W75" s="12">
        <v>0</v>
      </c>
      <c r="X75" s="12">
        <v>1</v>
      </c>
      <c r="Y75" s="12">
        <v>0</v>
      </c>
      <c r="Z75" s="12" t="s">
        <v>575</v>
      </c>
    </row>
    <row r="76" spans="1:26" s="12" customFormat="1" ht="15" customHeight="1" x14ac:dyDescent="0.15">
      <c r="A76" s="12">
        <v>85</v>
      </c>
      <c r="B76" s="12" t="s">
        <v>510</v>
      </c>
      <c r="C76" s="12">
        <v>1</v>
      </c>
      <c r="D76" s="12">
        <v>1</v>
      </c>
      <c r="F76" s="12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</v>
      </c>
      <c r="L76" s="12">
        <v>1</v>
      </c>
      <c r="M76" s="12">
        <v>64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  <c r="S76" s="13">
        <v>0</v>
      </c>
      <c r="T76" s="12">
        <v>1</v>
      </c>
      <c r="U76" s="12">
        <v>1</v>
      </c>
      <c r="V76" s="12">
        <v>1</v>
      </c>
      <c r="W76" s="12">
        <v>0</v>
      </c>
      <c r="X76" s="12">
        <v>0</v>
      </c>
      <c r="Y76" s="12">
        <v>0</v>
      </c>
      <c r="Z76" s="12" t="s">
        <v>511</v>
      </c>
    </row>
    <row r="77" spans="1:26" s="12" customFormat="1" ht="15" customHeight="1" x14ac:dyDescent="0.15">
      <c r="A77" s="12">
        <v>86</v>
      </c>
      <c r="B77" s="12" t="s">
        <v>514</v>
      </c>
      <c r="C77" s="12">
        <f t="shared" ref="C77:C84" si="12">G77+H77*2+I77*4+J77*8+K77*16</f>
        <v>5</v>
      </c>
      <c r="D77" s="12">
        <v>0</v>
      </c>
      <c r="F77" s="12">
        <v>0</v>
      </c>
      <c r="G77" s="13">
        <v>1</v>
      </c>
      <c r="H77" s="13">
        <v>0</v>
      </c>
      <c r="I77" s="13">
        <v>1</v>
      </c>
      <c r="J77" s="13">
        <v>0</v>
      </c>
      <c r="K77" s="13">
        <v>0</v>
      </c>
      <c r="L77" s="12">
        <v>0</v>
      </c>
      <c r="M77" s="12">
        <f t="shared" ref="M77:M84" si="13">N77+O77*2+P77*4+Q77*8+R77*16+S77*32</f>
        <v>0</v>
      </c>
      <c r="N77" s="13">
        <v>0</v>
      </c>
      <c r="O77" s="13">
        <v>0</v>
      </c>
      <c r="P77" s="13">
        <v>0</v>
      </c>
      <c r="Q77" s="13">
        <v>0</v>
      </c>
      <c r="R77" s="13">
        <v>0</v>
      </c>
      <c r="S77" s="13">
        <v>0</v>
      </c>
      <c r="T77" s="12">
        <v>0</v>
      </c>
      <c r="U77" s="12">
        <v>0</v>
      </c>
      <c r="V77" s="12">
        <v>0</v>
      </c>
      <c r="W77" s="12">
        <v>0</v>
      </c>
      <c r="X77" s="12">
        <v>0</v>
      </c>
      <c r="Y77" s="12">
        <v>0</v>
      </c>
      <c r="Z77" s="12" t="s">
        <v>1475</v>
      </c>
    </row>
    <row r="78" spans="1:26" s="12" customFormat="1" ht="13.5" customHeight="1" x14ac:dyDescent="0.15">
      <c r="A78" s="12">
        <v>87</v>
      </c>
      <c r="B78" s="12" t="s">
        <v>515</v>
      </c>
      <c r="C78" s="12">
        <f t="shared" si="12"/>
        <v>1</v>
      </c>
      <c r="D78" s="12">
        <v>1</v>
      </c>
      <c r="F78" s="12">
        <v>0</v>
      </c>
      <c r="G78" s="13">
        <v>1</v>
      </c>
      <c r="H78" s="13">
        <v>0</v>
      </c>
      <c r="I78" s="13">
        <v>0</v>
      </c>
      <c r="J78" s="13">
        <v>0</v>
      </c>
      <c r="K78" s="13">
        <v>0</v>
      </c>
      <c r="L78" s="12">
        <v>1</v>
      </c>
      <c r="M78" s="12">
        <f t="shared" si="13"/>
        <v>0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  <c r="S78" s="13">
        <v>0</v>
      </c>
      <c r="T78" s="12">
        <v>1</v>
      </c>
      <c r="U78" s="12">
        <v>0</v>
      </c>
      <c r="V78" s="12">
        <v>1</v>
      </c>
      <c r="W78" s="12">
        <v>0</v>
      </c>
      <c r="X78" s="12">
        <v>0</v>
      </c>
      <c r="Y78" s="12">
        <v>0</v>
      </c>
      <c r="Z78" s="17" t="s">
        <v>507</v>
      </c>
    </row>
    <row r="79" spans="1:26" s="12" customFormat="1" ht="13.5" customHeight="1" x14ac:dyDescent="0.15">
      <c r="A79" s="12">
        <v>88</v>
      </c>
      <c r="B79" s="12" t="s">
        <v>516</v>
      </c>
      <c r="C79" s="12">
        <f t="shared" si="12"/>
        <v>1</v>
      </c>
      <c r="D79" s="12">
        <v>1</v>
      </c>
      <c r="F79" s="12">
        <v>0</v>
      </c>
      <c r="G79" s="13">
        <v>1</v>
      </c>
      <c r="H79" s="13">
        <v>0</v>
      </c>
      <c r="I79" s="13">
        <v>0</v>
      </c>
      <c r="J79" s="13">
        <v>0</v>
      </c>
      <c r="K79" s="13">
        <v>0</v>
      </c>
      <c r="L79" s="12">
        <v>1</v>
      </c>
      <c r="M79" s="12">
        <f t="shared" si="13"/>
        <v>0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  <c r="S79" s="13">
        <v>0</v>
      </c>
      <c r="T79" s="12">
        <v>1</v>
      </c>
      <c r="U79" s="12">
        <v>0</v>
      </c>
      <c r="V79" s="12">
        <v>1</v>
      </c>
      <c r="W79" s="12">
        <v>0</v>
      </c>
      <c r="X79" s="12">
        <v>0</v>
      </c>
      <c r="Y79" s="12">
        <v>0</v>
      </c>
      <c r="Z79" s="17" t="s">
        <v>507</v>
      </c>
    </row>
    <row r="80" spans="1:26" s="12" customFormat="1" ht="13.5" customHeight="1" x14ac:dyDescent="0.15">
      <c r="A80" s="12">
        <v>89</v>
      </c>
      <c r="B80" s="12" t="s">
        <v>526</v>
      </c>
      <c r="C80" s="12">
        <f t="shared" si="12"/>
        <v>1</v>
      </c>
      <c r="D80" s="12">
        <v>1</v>
      </c>
      <c r="E80" s="12">
        <v>27</v>
      </c>
      <c r="F80" s="12">
        <v>0</v>
      </c>
      <c r="G80" s="13">
        <v>1</v>
      </c>
      <c r="H80" s="13">
        <v>0</v>
      </c>
      <c r="I80" s="13">
        <v>0</v>
      </c>
      <c r="J80" s="13">
        <v>0</v>
      </c>
      <c r="K80" s="13">
        <v>0</v>
      </c>
      <c r="L80" s="12">
        <v>1</v>
      </c>
      <c r="M80" s="12">
        <f t="shared" si="13"/>
        <v>0</v>
      </c>
      <c r="N80" s="13">
        <v>0</v>
      </c>
      <c r="O80" s="13">
        <v>0</v>
      </c>
      <c r="P80" s="13">
        <v>0</v>
      </c>
      <c r="Q80" s="13">
        <v>0</v>
      </c>
      <c r="R80" s="13">
        <v>0</v>
      </c>
      <c r="S80" s="13">
        <v>0</v>
      </c>
      <c r="T80" s="12">
        <v>1</v>
      </c>
      <c r="U80" s="12">
        <v>0</v>
      </c>
      <c r="V80" s="12">
        <v>1</v>
      </c>
      <c r="W80" s="12">
        <v>0</v>
      </c>
      <c r="X80" s="12">
        <v>0</v>
      </c>
      <c r="Y80" s="12">
        <v>0</v>
      </c>
      <c r="Z80" s="17" t="s">
        <v>507</v>
      </c>
    </row>
    <row r="81" spans="1:26" s="12" customFormat="1" ht="15" customHeight="1" x14ac:dyDescent="0.15">
      <c r="A81" s="12">
        <v>90</v>
      </c>
      <c r="B81" s="12" t="s">
        <v>1694</v>
      </c>
      <c r="C81" s="12">
        <f t="shared" si="12"/>
        <v>21</v>
      </c>
      <c r="D81" s="12">
        <v>1</v>
      </c>
      <c r="F81" s="12">
        <v>0</v>
      </c>
      <c r="G81" s="13">
        <v>1</v>
      </c>
      <c r="H81" s="13">
        <v>0</v>
      </c>
      <c r="I81" s="13">
        <v>1</v>
      </c>
      <c r="J81" s="13">
        <v>0</v>
      </c>
      <c r="K81" s="13">
        <v>1</v>
      </c>
      <c r="L81" s="12">
        <v>0</v>
      </c>
      <c r="M81" s="12">
        <f t="shared" si="13"/>
        <v>0</v>
      </c>
      <c r="N81" s="13">
        <v>0</v>
      </c>
      <c r="O81" s="13">
        <v>0</v>
      </c>
      <c r="P81" s="13">
        <v>0</v>
      </c>
      <c r="Q81" s="13">
        <v>0</v>
      </c>
      <c r="R81" s="13">
        <v>0</v>
      </c>
      <c r="S81" s="13">
        <v>0</v>
      </c>
      <c r="T81" s="12">
        <v>1</v>
      </c>
      <c r="U81" s="12">
        <v>1</v>
      </c>
      <c r="V81" s="12">
        <v>1</v>
      </c>
      <c r="W81" s="12">
        <v>0</v>
      </c>
      <c r="X81" s="12">
        <v>1</v>
      </c>
      <c r="Y81" s="12">
        <v>0</v>
      </c>
      <c r="Z81" s="12" t="s">
        <v>1699</v>
      </c>
    </row>
    <row r="82" spans="1:26" s="12" customFormat="1" ht="15" customHeight="1" x14ac:dyDescent="0.15">
      <c r="A82" s="12">
        <v>91</v>
      </c>
      <c r="B82" s="12" t="s">
        <v>1695</v>
      </c>
      <c r="C82" s="12">
        <f t="shared" si="12"/>
        <v>21</v>
      </c>
      <c r="D82" s="12">
        <v>1</v>
      </c>
      <c r="F82" s="12">
        <v>0</v>
      </c>
      <c r="G82" s="13">
        <v>1</v>
      </c>
      <c r="H82" s="13">
        <v>0</v>
      </c>
      <c r="I82" s="13">
        <v>1</v>
      </c>
      <c r="J82" s="13">
        <v>0</v>
      </c>
      <c r="K82" s="13">
        <v>1</v>
      </c>
      <c r="L82" s="12">
        <v>0</v>
      </c>
      <c r="M82" s="12">
        <f t="shared" si="13"/>
        <v>0</v>
      </c>
      <c r="N82" s="13">
        <v>0</v>
      </c>
      <c r="O82" s="13">
        <v>0</v>
      </c>
      <c r="P82" s="13">
        <v>0</v>
      </c>
      <c r="Q82" s="13">
        <v>0</v>
      </c>
      <c r="R82" s="13">
        <v>0</v>
      </c>
      <c r="S82" s="13">
        <v>0</v>
      </c>
      <c r="T82" s="12">
        <v>1</v>
      </c>
      <c r="U82" s="12">
        <v>1</v>
      </c>
      <c r="V82" s="12">
        <v>1</v>
      </c>
      <c r="W82" s="12">
        <v>0</v>
      </c>
      <c r="X82" s="12">
        <v>1</v>
      </c>
      <c r="Y82" s="12">
        <v>0</v>
      </c>
      <c r="Z82" s="12" t="s">
        <v>1699</v>
      </c>
    </row>
    <row r="83" spans="1:26" s="12" customFormat="1" ht="15" customHeight="1" x14ac:dyDescent="0.15">
      <c r="A83" s="12">
        <v>92</v>
      </c>
      <c r="B83" s="12" t="s">
        <v>1696</v>
      </c>
      <c r="C83" s="12">
        <f t="shared" si="12"/>
        <v>21</v>
      </c>
      <c r="D83" s="12">
        <v>1</v>
      </c>
      <c r="F83" s="12">
        <v>0</v>
      </c>
      <c r="G83" s="13">
        <v>1</v>
      </c>
      <c r="H83" s="13">
        <v>0</v>
      </c>
      <c r="I83" s="13">
        <v>1</v>
      </c>
      <c r="J83" s="13">
        <v>0</v>
      </c>
      <c r="K83" s="13">
        <v>1</v>
      </c>
      <c r="L83" s="12">
        <v>0</v>
      </c>
      <c r="M83" s="12">
        <f t="shared" si="13"/>
        <v>0</v>
      </c>
      <c r="N83" s="13">
        <v>0</v>
      </c>
      <c r="O83" s="13">
        <v>0</v>
      </c>
      <c r="P83" s="13">
        <v>0</v>
      </c>
      <c r="Q83" s="13">
        <v>0</v>
      </c>
      <c r="R83" s="13">
        <v>0</v>
      </c>
      <c r="S83" s="13">
        <v>0</v>
      </c>
      <c r="T83" s="12">
        <v>1</v>
      </c>
      <c r="U83" s="12">
        <v>1</v>
      </c>
      <c r="V83" s="12">
        <v>1</v>
      </c>
      <c r="W83" s="12">
        <v>0</v>
      </c>
      <c r="X83" s="12">
        <v>1</v>
      </c>
      <c r="Y83" s="12">
        <v>0</v>
      </c>
      <c r="Z83" s="12" t="s">
        <v>1699</v>
      </c>
    </row>
    <row r="84" spans="1:26" s="12" customFormat="1" ht="15" customHeight="1" x14ac:dyDescent="0.15">
      <c r="A84" s="12">
        <v>93</v>
      </c>
      <c r="B84" s="12" t="s">
        <v>1697</v>
      </c>
      <c r="C84" s="12">
        <f t="shared" si="12"/>
        <v>21</v>
      </c>
      <c r="D84" s="12">
        <v>1</v>
      </c>
      <c r="F84" s="12">
        <v>0</v>
      </c>
      <c r="G84" s="13">
        <v>1</v>
      </c>
      <c r="H84" s="13">
        <v>0</v>
      </c>
      <c r="I84" s="13">
        <v>1</v>
      </c>
      <c r="J84" s="13">
        <v>0</v>
      </c>
      <c r="K84" s="13">
        <v>1</v>
      </c>
      <c r="L84" s="12">
        <v>0</v>
      </c>
      <c r="M84" s="12">
        <f t="shared" si="13"/>
        <v>0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  <c r="S84" s="13">
        <v>0</v>
      </c>
      <c r="T84" s="12">
        <v>1</v>
      </c>
      <c r="U84" s="12">
        <v>1</v>
      </c>
      <c r="V84" s="12">
        <v>1</v>
      </c>
      <c r="W84" s="12">
        <v>0</v>
      </c>
      <c r="X84" s="12">
        <v>1</v>
      </c>
      <c r="Y84" s="12">
        <v>0</v>
      </c>
      <c r="Z84" s="12" t="s">
        <v>1699</v>
      </c>
    </row>
    <row r="85" spans="1:26" s="12" customFormat="1" ht="15" customHeight="1" x14ac:dyDescent="0.15">
      <c r="A85" s="12">
        <v>94</v>
      </c>
      <c r="B85" s="12" t="s">
        <v>1698</v>
      </c>
      <c r="C85" s="12">
        <f t="shared" ref="C85:C90" si="14">G85+H85*2+I85*4+J85*8+K85*16</f>
        <v>17</v>
      </c>
      <c r="D85" s="12">
        <v>1</v>
      </c>
      <c r="F85" s="12">
        <v>0</v>
      </c>
      <c r="G85" s="13">
        <v>1</v>
      </c>
      <c r="H85" s="13">
        <v>0</v>
      </c>
      <c r="I85" s="13">
        <v>0</v>
      </c>
      <c r="J85" s="13">
        <v>0</v>
      </c>
      <c r="K85" s="13">
        <v>1</v>
      </c>
      <c r="L85" s="12">
        <v>1</v>
      </c>
      <c r="M85" s="12">
        <f t="shared" ref="M85:M90" si="15">N85+O85*2+P85*4+Q85*8+R85*16+S85*32</f>
        <v>0</v>
      </c>
      <c r="N85" s="13">
        <v>0</v>
      </c>
      <c r="O85" s="13">
        <v>0</v>
      </c>
      <c r="P85" s="13">
        <v>0</v>
      </c>
      <c r="Q85" s="13">
        <v>0</v>
      </c>
      <c r="R85" s="13">
        <v>0</v>
      </c>
      <c r="S85" s="13">
        <v>0</v>
      </c>
      <c r="T85" s="12">
        <v>1</v>
      </c>
      <c r="U85" s="12">
        <v>1</v>
      </c>
      <c r="V85" s="12">
        <v>1</v>
      </c>
      <c r="W85" s="12">
        <v>0</v>
      </c>
      <c r="X85" s="12">
        <v>0</v>
      </c>
      <c r="Y85" s="12">
        <v>0</v>
      </c>
      <c r="Z85" s="12" t="s">
        <v>1700</v>
      </c>
    </row>
    <row r="86" spans="1:26" s="12" customFormat="1" ht="15" customHeight="1" x14ac:dyDescent="0.15">
      <c r="A86" s="12">
        <v>95</v>
      </c>
      <c r="B86" s="12" t="s">
        <v>576</v>
      </c>
      <c r="C86" s="12">
        <f t="shared" si="14"/>
        <v>17</v>
      </c>
      <c r="D86" s="12">
        <v>1</v>
      </c>
      <c r="F86" s="12">
        <v>0</v>
      </c>
      <c r="G86" s="13">
        <v>1</v>
      </c>
      <c r="H86" s="13">
        <v>0</v>
      </c>
      <c r="I86" s="13">
        <v>0</v>
      </c>
      <c r="J86" s="13">
        <v>0</v>
      </c>
      <c r="K86" s="13">
        <v>1</v>
      </c>
      <c r="L86" s="12">
        <v>0</v>
      </c>
      <c r="M86" s="12">
        <f t="shared" si="15"/>
        <v>0</v>
      </c>
      <c r="N86" s="13">
        <v>0</v>
      </c>
      <c r="O86" s="13">
        <v>0</v>
      </c>
      <c r="P86" s="13">
        <v>0</v>
      </c>
      <c r="Q86" s="13">
        <v>0</v>
      </c>
      <c r="R86" s="13">
        <v>0</v>
      </c>
      <c r="S86" s="13">
        <v>0</v>
      </c>
      <c r="T86" s="12">
        <v>0</v>
      </c>
      <c r="U86" s="12">
        <v>1</v>
      </c>
      <c r="V86" s="12">
        <v>1</v>
      </c>
      <c r="W86" s="12">
        <v>1</v>
      </c>
      <c r="X86" s="12">
        <v>0</v>
      </c>
      <c r="Y86" s="12">
        <v>0</v>
      </c>
    </row>
    <row r="87" spans="1:26" s="12" customFormat="1" ht="15" customHeight="1" x14ac:dyDescent="0.15">
      <c r="A87" s="12">
        <v>96</v>
      </c>
      <c r="B87" s="12" t="s">
        <v>584</v>
      </c>
      <c r="C87" s="12">
        <f t="shared" si="14"/>
        <v>24</v>
      </c>
      <c r="D87" s="12">
        <v>1</v>
      </c>
      <c r="F87" s="12">
        <v>0</v>
      </c>
      <c r="G87" s="13">
        <v>0</v>
      </c>
      <c r="H87" s="13">
        <v>0</v>
      </c>
      <c r="I87" s="13">
        <v>0</v>
      </c>
      <c r="J87" s="13">
        <v>1</v>
      </c>
      <c r="K87" s="13">
        <v>1</v>
      </c>
      <c r="L87" s="12">
        <v>0</v>
      </c>
      <c r="M87" s="12">
        <f t="shared" si="15"/>
        <v>0</v>
      </c>
      <c r="N87" s="13">
        <v>0</v>
      </c>
      <c r="O87" s="13">
        <v>0</v>
      </c>
      <c r="P87" s="13">
        <v>0</v>
      </c>
      <c r="Q87" s="13">
        <v>0</v>
      </c>
      <c r="R87" s="13">
        <v>0</v>
      </c>
      <c r="S87" s="13">
        <v>0</v>
      </c>
      <c r="T87" s="12">
        <v>1</v>
      </c>
      <c r="U87" s="12">
        <v>1</v>
      </c>
      <c r="V87" s="12">
        <v>1</v>
      </c>
      <c r="W87" s="12">
        <v>0</v>
      </c>
      <c r="X87" s="12">
        <v>1</v>
      </c>
      <c r="Y87" s="12">
        <v>0</v>
      </c>
    </row>
    <row r="88" spans="1:26" s="12" customFormat="1" ht="15" customHeight="1" x14ac:dyDescent="0.15">
      <c r="A88" s="12">
        <v>97</v>
      </c>
      <c r="B88" s="12" t="s">
        <v>593</v>
      </c>
      <c r="C88" s="12">
        <f t="shared" si="14"/>
        <v>28</v>
      </c>
      <c r="D88" s="12">
        <v>1</v>
      </c>
      <c r="F88" s="12">
        <v>0</v>
      </c>
      <c r="G88" s="13">
        <v>0</v>
      </c>
      <c r="H88" s="13">
        <v>0</v>
      </c>
      <c r="I88" s="13">
        <v>1</v>
      </c>
      <c r="J88" s="13">
        <v>1</v>
      </c>
      <c r="K88" s="13">
        <v>1</v>
      </c>
      <c r="L88" s="12">
        <v>0</v>
      </c>
      <c r="M88" s="12">
        <f t="shared" si="15"/>
        <v>0</v>
      </c>
      <c r="N88" s="13">
        <v>0</v>
      </c>
      <c r="O88" s="13">
        <v>0</v>
      </c>
      <c r="P88" s="13">
        <v>0</v>
      </c>
      <c r="Q88" s="13">
        <v>0</v>
      </c>
      <c r="R88" s="13">
        <v>0</v>
      </c>
      <c r="S88" s="13">
        <v>0</v>
      </c>
      <c r="T88" s="12">
        <v>1</v>
      </c>
      <c r="U88" s="12">
        <v>1</v>
      </c>
      <c r="V88" s="12">
        <v>1</v>
      </c>
      <c r="W88" s="12">
        <v>0</v>
      </c>
      <c r="X88" s="12">
        <v>0</v>
      </c>
      <c r="Y88" s="12">
        <v>0</v>
      </c>
      <c r="Z88" s="12" t="s">
        <v>596</v>
      </c>
    </row>
    <row r="89" spans="1:26" s="12" customFormat="1" ht="15" customHeight="1" x14ac:dyDescent="0.15">
      <c r="A89" s="12">
        <v>98</v>
      </c>
      <c r="B89" s="12" t="s">
        <v>594</v>
      </c>
      <c r="C89" s="12">
        <f t="shared" si="14"/>
        <v>28</v>
      </c>
      <c r="D89" s="12">
        <v>1</v>
      </c>
      <c r="F89" s="12">
        <v>0</v>
      </c>
      <c r="G89" s="13">
        <v>0</v>
      </c>
      <c r="H89" s="13">
        <v>0</v>
      </c>
      <c r="I89" s="13">
        <v>1</v>
      </c>
      <c r="J89" s="13">
        <v>1</v>
      </c>
      <c r="K89" s="13">
        <v>1</v>
      </c>
      <c r="L89" s="12">
        <v>0</v>
      </c>
      <c r="M89" s="12">
        <f t="shared" si="15"/>
        <v>0</v>
      </c>
      <c r="N89" s="13">
        <v>0</v>
      </c>
      <c r="O89" s="13">
        <v>0</v>
      </c>
      <c r="P89" s="13">
        <v>0</v>
      </c>
      <c r="Q89" s="13">
        <v>0</v>
      </c>
      <c r="R89" s="13">
        <v>0</v>
      </c>
      <c r="S89" s="13">
        <v>0</v>
      </c>
      <c r="T89" s="12">
        <v>1</v>
      </c>
      <c r="U89" s="12">
        <v>1</v>
      </c>
      <c r="V89" s="12">
        <v>1</v>
      </c>
      <c r="W89" s="12">
        <v>0</v>
      </c>
      <c r="X89" s="12">
        <v>0</v>
      </c>
      <c r="Y89" s="12">
        <v>0</v>
      </c>
      <c r="Z89" s="12" t="s">
        <v>596</v>
      </c>
    </row>
    <row r="90" spans="1:26" s="12" customFormat="1" ht="15" customHeight="1" x14ac:dyDescent="0.15">
      <c r="A90" s="12">
        <v>99</v>
      </c>
      <c r="B90" s="12" t="s">
        <v>595</v>
      </c>
      <c r="C90" s="12">
        <f t="shared" si="14"/>
        <v>28</v>
      </c>
      <c r="D90" s="12">
        <v>1</v>
      </c>
      <c r="F90" s="12">
        <v>0</v>
      </c>
      <c r="G90" s="13">
        <v>0</v>
      </c>
      <c r="H90" s="13">
        <v>0</v>
      </c>
      <c r="I90" s="13">
        <v>1</v>
      </c>
      <c r="J90" s="13">
        <v>1</v>
      </c>
      <c r="K90" s="13">
        <v>1</v>
      </c>
      <c r="L90" s="12">
        <v>0</v>
      </c>
      <c r="M90" s="12">
        <f t="shared" si="15"/>
        <v>0</v>
      </c>
      <c r="N90" s="13">
        <v>0</v>
      </c>
      <c r="O90" s="13">
        <v>0</v>
      </c>
      <c r="P90" s="13">
        <v>0</v>
      </c>
      <c r="Q90" s="13">
        <v>0</v>
      </c>
      <c r="R90" s="13">
        <v>0</v>
      </c>
      <c r="S90" s="13">
        <v>0</v>
      </c>
      <c r="T90" s="12">
        <v>1</v>
      </c>
      <c r="U90" s="12">
        <v>1</v>
      </c>
      <c r="V90" s="12">
        <v>1</v>
      </c>
      <c r="W90" s="12">
        <v>0</v>
      </c>
      <c r="X90" s="12">
        <v>0</v>
      </c>
      <c r="Y90" s="12">
        <v>0</v>
      </c>
      <c r="Z90" s="12" t="s">
        <v>597</v>
      </c>
    </row>
    <row r="91" spans="1:26" s="12" customFormat="1" ht="15" customHeight="1" x14ac:dyDescent="0.15">
      <c r="A91" s="12">
        <v>100</v>
      </c>
      <c r="B91" s="12" t="s">
        <v>599</v>
      </c>
      <c r="C91" s="12">
        <v>1</v>
      </c>
      <c r="D91" s="12">
        <v>1</v>
      </c>
      <c r="F91" s="12">
        <v>0</v>
      </c>
      <c r="G91" s="13">
        <v>1</v>
      </c>
      <c r="H91" s="13">
        <v>0</v>
      </c>
      <c r="I91" s="13">
        <v>1</v>
      </c>
      <c r="J91" s="13">
        <v>0</v>
      </c>
      <c r="K91" s="13">
        <v>0</v>
      </c>
      <c r="L91" s="12">
        <v>1</v>
      </c>
      <c r="M91" s="12">
        <v>0</v>
      </c>
      <c r="N91" s="13">
        <v>0</v>
      </c>
      <c r="O91" s="13">
        <v>0</v>
      </c>
      <c r="P91" s="13">
        <v>0</v>
      </c>
      <c r="Q91" s="13">
        <v>0</v>
      </c>
      <c r="R91" s="13">
        <v>0</v>
      </c>
      <c r="S91" s="13">
        <v>0</v>
      </c>
      <c r="T91" s="12">
        <v>1</v>
      </c>
      <c r="U91" s="12">
        <v>1</v>
      </c>
      <c r="V91" s="12">
        <v>1</v>
      </c>
      <c r="W91" s="12">
        <v>0</v>
      </c>
      <c r="X91" s="12">
        <v>0</v>
      </c>
      <c r="Y91" s="12">
        <v>0</v>
      </c>
      <c r="Z91" s="12" t="s">
        <v>600</v>
      </c>
    </row>
    <row r="92" spans="1:26" s="12" customFormat="1" ht="15" customHeight="1" x14ac:dyDescent="0.15">
      <c r="A92" s="12">
        <v>101</v>
      </c>
      <c r="B92" s="12" t="s">
        <v>607</v>
      </c>
      <c r="C92" s="12">
        <f t="shared" ref="C92:C107" si="16">G92+H92*2+I92*4+J92*8+K92*16</f>
        <v>5</v>
      </c>
      <c r="D92" s="12">
        <v>1</v>
      </c>
      <c r="F92" s="12">
        <v>0</v>
      </c>
      <c r="G92" s="13">
        <v>1</v>
      </c>
      <c r="H92" s="13">
        <v>0</v>
      </c>
      <c r="I92" s="13">
        <v>1</v>
      </c>
      <c r="J92" s="13">
        <v>0</v>
      </c>
      <c r="K92" s="13">
        <v>0</v>
      </c>
      <c r="L92" s="12">
        <v>0</v>
      </c>
      <c r="M92" s="12">
        <f t="shared" ref="M92:M97" si="17">N92+O92*2+P92*4+Q92*8+R92*16+S92*32</f>
        <v>0</v>
      </c>
      <c r="N92" s="13">
        <v>0</v>
      </c>
      <c r="O92" s="13">
        <v>0</v>
      </c>
      <c r="P92" s="13">
        <v>0</v>
      </c>
      <c r="Q92" s="13">
        <v>0</v>
      </c>
      <c r="R92" s="13">
        <v>0</v>
      </c>
      <c r="S92" s="13">
        <v>0</v>
      </c>
      <c r="T92" s="12">
        <v>1</v>
      </c>
      <c r="U92" s="12">
        <v>0</v>
      </c>
      <c r="V92" s="12">
        <v>0</v>
      </c>
      <c r="W92" s="12">
        <v>0</v>
      </c>
      <c r="X92" s="12">
        <v>1</v>
      </c>
      <c r="Y92" s="12">
        <v>0</v>
      </c>
      <c r="Z92" s="12" t="s">
        <v>856</v>
      </c>
    </row>
    <row r="93" spans="1:26" s="12" customFormat="1" ht="15" customHeight="1" x14ac:dyDescent="0.15">
      <c r="A93" s="12">
        <v>102</v>
      </c>
      <c r="B93" s="12" t="s">
        <v>608</v>
      </c>
      <c r="C93" s="12">
        <f t="shared" si="16"/>
        <v>16</v>
      </c>
      <c r="D93" s="12">
        <v>1</v>
      </c>
      <c r="F93" s="12">
        <v>0</v>
      </c>
      <c r="G93" s="13">
        <v>0</v>
      </c>
      <c r="H93" s="13">
        <v>0</v>
      </c>
      <c r="I93" s="13">
        <v>0</v>
      </c>
      <c r="J93" s="13">
        <v>0</v>
      </c>
      <c r="K93" s="13">
        <v>1</v>
      </c>
      <c r="L93" s="12">
        <v>0</v>
      </c>
      <c r="M93" s="12">
        <f t="shared" si="17"/>
        <v>0</v>
      </c>
      <c r="N93" s="13">
        <v>0</v>
      </c>
      <c r="O93" s="13">
        <v>0</v>
      </c>
      <c r="P93" s="13">
        <v>0</v>
      </c>
      <c r="Q93" s="13">
        <v>0</v>
      </c>
      <c r="R93" s="13">
        <v>0</v>
      </c>
      <c r="S93" s="13">
        <v>0</v>
      </c>
      <c r="T93" s="12">
        <v>0</v>
      </c>
      <c r="U93" s="12">
        <v>1</v>
      </c>
      <c r="V93" s="12">
        <v>0</v>
      </c>
      <c r="W93" s="12">
        <v>0</v>
      </c>
      <c r="X93" s="12">
        <v>1</v>
      </c>
      <c r="Y93" s="12">
        <v>0</v>
      </c>
      <c r="Z93" s="12" t="s">
        <v>323</v>
      </c>
    </row>
    <row r="94" spans="1:26" s="12" customFormat="1" ht="15" customHeight="1" x14ac:dyDescent="0.15">
      <c r="A94" s="12">
        <v>103</v>
      </c>
      <c r="B94" s="12" t="s">
        <v>609</v>
      </c>
      <c r="C94" s="12">
        <f t="shared" si="16"/>
        <v>16</v>
      </c>
      <c r="D94" s="12">
        <v>1</v>
      </c>
      <c r="F94" s="12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</v>
      </c>
      <c r="L94" s="12">
        <v>0</v>
      </c>
      <c r="M94" s="12">
        <f t="shared" si="17"/>
        <v>0</v>
      </c>
      <c r="N94" s="13">
        <v>0</v>
      </c>
      <c r="O94" s="13">
        <v>0</v>
      </c>
      <c r="P94" s="13">
        <v>0</v>
      </c>
      <c r="Q94" s="13">
        <v>0</v>
      </c>
      <c r="R94" s="13">
        <v>0</v>
      </c>
      <c r="S94" s="13">
        <v>0</v>
      </c>
      <c r="T94" s="12">
        <v>0</v>
      </c>
      <c r="U94" s="12">
        <v>1</v>
      </c>
      <c r="V94" s="12">
        <v>0</v>
      </c>
      <c r="W94" s="12">
        <v>0</v>
      </c>
      <c r="X94" s="12">
        <v>1</v>
      </c>
      <c r="Y94" s="12">
        <v>0</v>
      </c>
      <c r="Z94" s="12" t="s">
        <v>323</v>
      </c>
    </row>
    <row r="95" spans="1:26" s="12" customFormat="1" ht="15" customHeight="1" x14ac:dyDescent="0.15">
      <c r="A95" s="12">
        <v>104</v>
      </c>
      <c r="B95" s="12" t="s">
        <v>610</v>
      </c>
      <c r="C95" s="12">
        <f t="shared" si="16"/>
        <v>16</v>
      </c>
      <c r="D95" s="12">
        <v>1</v>
      </c>
      <c r="F95" s="12">
        <v>0</v>
      </c>
      <c r="G95" s="13">
        <v>0</v>
      </c>
      <c r="H95" s="13">
        <v>0</v>
      </c>
      <c r="I95" s="13">
        <v>0</v>
      </c>
      <c r="J95" s="13">
        <v>0</v>
      </c>
      <c r="K95" s="13">
        <v>1</v>
      </c>
      <c r="L95" s="12">
        <v>0</v>
      </c>
      <c r="M95" s="12">
        <f t="shared" si="17"/>
        <v>0</v>
      </c>
      <c r="N95" s="13">
        <v>0</v>
      </c>
      <c r="O95" s="13">
        <v>0</v>
      </c>
      <c r="P95" s="13">
        <v>0</v>
      </c>
      <c r="Q95" s="13">
        <v>0</v>
      </c>
      <c r="R95" s="13">
        <v>0</v>
      </c>
      <c r="S95" s="13">
        <v>0</v>
      </c>
      <c r="T95" s="12">
        <v>0</v>
      </c>
      <c r="U95" s="12">
        <v>1</v>
      </c>
      <c r="V95" s="12">
        <v>0</v>
      </c>
      <c r="W95" s="12">
        <v>0</v>
      </c>
      <c r="X95" s="12">
        <v>1</v>
      </c>
      <c r="Y95" s="12">
        <v>0</v>
      </c>
      <c r="Z95" s="12" t="s">
        <v>323</v>
      </c>
    </row>
    <row r="96" spans="1:26" s="12" customFormat="1" ht="15" customHeight="1" x14ac:dyDescent="0.15">
      <c r="A96" s="12">
        <v>105</v>
      </c>
      <c r="B96" s="12" t="s">
        <v>611</v>
      </c>
      <c r="C96" s="12">
        <f t="shared" si="16"/>
        <v>16</v>
      </c>
      <c r="D96" s="12">
        <v>1</v>
      </c>
      <c r="F96" s="12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</v>
      </c>
      <c r="L96" s="12">
        <v>0</v>
      </c>
      <c r="M96" s="12">
        <f t="shared" si="17"/>
        <v>0</v>
      </c>
      <c r="N96" s="13">
        <v>0</v>
      </c>
      <c r="O96" s="13">
        <v>0</v>
      </c>
      <c r="P96" s="13">
        <v>0</v>
      </c>
      <c r="Q96" s="13">
        <v>0</v>
      </c>
      <c r="R96" s="13">
        <v>0</v>
      </c>
      <c r="S96" s="13">
        <v>0</v>
      </c>
      <c r="T96" s="12">
        <v>0</v>
      </c>
      <c r="U96" s="12">
        <v>1</v>
      </c>
      <c r="V96" s="12">
        <v>0</v>
      </c>
      <c r="W96" s="12">
        <v>0</v>
      </c>
      <c r="X96" s="12">
        <v>1</v>
      </c>
      <c r="Y96" s="12">
        <v>0</v>
      </c>
      <c r="Z96" s="12" t="s">
        <v>323</v>
      </c>
    </row>
    <row r="97" spans="1:26" s="12" customFormat="1" ht="15" customHeight="1" x14ac:dyDescent="0.15">
      <c r="A97" s="12">
        <v>106</v>
      </c>
      <c r="B97" s="12" t="s">
        <v>612</v>
      </c>
      <c r="C97" s="12">
        <f t="shared" si="16"/>
        <v>16</v>
      </c>
      <c r="D97" s="12">
        <v>1</v>
      </c>
      <c r="F97" s="12">
        <v>0</v>
      </c>
      <c r="G97" s="13">
        <v>0</v>
      </c>
      <c r="H97" s="13">
        <v>0</v>
      </c>
      <c r="I97" s="13">
        <v>0</v>
      </c>
      <c r="J97" s="13">
        <v>0</v>
      </c>
      <c r="K97" s="13">
        <v>1</v>
      </c>
      <c r="L97" s="12">
        <v>0</v>
      </c>
      <c r="M97" s="12">
        <f t="shared" si="17"/>
        <v>0</v>
      </c>
      <c r="N97" s="13">
        <v>0</v>
      </c>
      <c r="O97" s="13">
        <v>0</v>
      </c>
      <c r="P97" s="13">
        <v>0</v>
      </c>
      <c r="Q97" s="13">
        <v>0</v>
      </c>
      <c r="R97" s="13">
        <v>0</v>
      </c>
      <c r="S97" s="13">
        <v>0</v>
      </c>
      <c r="T97" s="12">
        <v>0</v>
      </c>
      <c r="U97" s="12">
        <v>1</v>
      </c>
      <c r="V97" s="12">
        <v>0</v>
      </c>
      <c r="W97" s="12">
        <v>0</v>
      </c>
      <c r="X97" s="12">
        <v>1</v>
      </c>
      <c r="Y97" s="12">
        <v>0</v>
      </c>
      <c r="Z97" s="12" t="s">
        <v>323</v>
      </c>
    </row>
    <row r="98" spans="1:26" s="12" customFormat="1" ht="15" customHeight="1" x14ac:dyDescent="0.15">
      <c r="A98" s="12">
        <v>107</v>
      </c>
      <c r="B98" s="12" t="s">
        <v>623</v>
      </c>
      <c r="C98" s="12">
        <f t="shared" si="16"/>
        <v>25</v>
      </c>
      <c r="D98" s="12">
        <v>1</v>
      </c>
      <c r="F98" s="12">
        <v>0</v>
      </c>
      <c r="G98" s="13">
        <v>1</v>
      </c>
      <c r="H98" s="13">
        <v>0</v>
      </c>
      <c r="I98" s="13">
        <v>0</v>
      </c>
      <c r="J98" s="13">
        <v>1</v>
      </c>
      <c r="K98" s="13">
        <v>1</v>
      </c>
      <c r="L98" s="12">
        <v>1</v>
      </c>
      <c r="M98" s="12">
        <v>0</v>
      </c>
      <c r="N98" s="13">
        <v>0</v>
      </c>
      <c r="O98" s="13">
        <v>0</v>
      </c>
      <c r="P98" s="13">
        <v>0</v>
      </c>
      <c r="Q98" s="13">
        <v>0</v>
      </c>
      <c r="R98" s="13">
        <v>0</v>
      </c>
      <c r="S98" s="13">
        <v>0</v>
      </c>
      <c r="T98" s="12">
        <v>0</v>
      </c>
      <c r="U98" s="12">
        <v>0</v>
      </c>
      <c r="V98" s="12">
        <v>1</v>
      </c>
      <c r="W98" s="12">
        <v>1</v>
      </c>
      <c r="X98" s="12">
        <v>0</v>
      </c>
      <c r="Y98" s="12">
        <v>0</v>
      </c>
      <c r="Z98" s="12" t="s">
        <v>622</v>
      </c>
    </row>
    <row r="99" spans="1:26" s="12" customFormat="1" ht="15" customHeight="1" x14ac:dyDescent="0.15">
      <c r="A99" s="12">
        <v>108</v>
      </c>
      <c r="B99" s="12" t="s">
        <v>624</v>
      </c>
      <c r="C99" s="12">
        <f t="shared" si="16"/>
        <v>25</v>
      </c>
      <c r="D99" s="12">
        <v>1</v>
      </c>
      <c r="F99" s="12">
        <v>0</v>
      </c>
      <c r="G99" s="13">
        <v>1</v>
      </c>
      <c r="H99" s="13">
        <v>0</v>
      </c>
      <c r="I99" s="13">
        <v>0</v>
      </c>
      <c r="J99" s="13">
        <v>1</v>
      </c>
      <c r="K99" s="13">
        <v>1</v>
      </c>
      <c r="L99" s="12">
        <v>1</v>
      </c>
      <c r="M99" s="12">
        <v>0</v>
      </c>
      <c r="N99" s="13">
        <v>0</v>
      </c>
      <c r="O99" s="13">
        <v>0</v>
      </c>
      <c r="P99" s="13">
        <v>0</v>
      </c>
      <c r="Q99" s="13">
        <v>0</v>
      </c>
      <c r="R99" s="13">
        <v>0</v>
      </c>
      <c r="S99" s="13">
        <v>0</v>
      </c>
      <c r="T99" s="12">
        <v>0</v>
      </c>
      <c r="U99" s="12">
        <v>0</v>
      </c>
      <c r="V99" s="12">
        <v>1</v>
      </c>
      <c r="W99" s="12">
        <v>1</v>
      </c>
      <c r="X99" s="12">
        <v>0</v>
      </c>
      <c r="Y99" s="12">
        <v>0</v>
      </c>
      <c r="Z99" s="12" t="s">
        <v>622</v>
      </c>
    </row>
    <row r="100" spans="1:26" s="12" customFormat="1" ht="15" customHeight="1" x14ac:dyDescent="0.15">
      <c r="A100" s="12">
        <v>109</v>
      </c>
      <c r="B100" s="12" t="s">
        <v>625</v>
      </c>
      <c r="C100" s="12">
        <f t="shared" si="16"/>
        <v>25</v>
      </c>
      <c r="D100" s="12">
        <v>1</v>
      </c>
      <c r="F100" s="12">
        <v>0</v>
      </c>
      <c r="G100" s="13">
        <v>1</v>
      </c>
      <c r="H100" s="13">
        <v>0</v>
      </c>
      <c r="I100" s="13">
        <v>0</v>
      </c>
      <c r="J100" s="13">
        <v>1</v>
      </c>
      <c r="K100" s="13">
        <v>1</v>
      </c>
      <c r="L100" s="12">
        <v>1</v>
      </c>
      <c r="M100" s="12">
        <v>0</v>
      </c>
      <c r="N100" s="13">
        <v>0</v>
      </c>
      <c r="O100" s="13">
        <v>0</v>
      </c>
      <c r="P100" s="13">
        <v>0</v>
      </c>
      <c r="Q100" s="13">
        <v>0</v>
      </c>
      <c r="R100" s="13">
        <v>0</v>
      </c>
      <c r="S100" s="13">
        <v>0</v>
      </c>
      <c r="T100" s="12">
        <v>0</v>
      </c>
      <c r="U100" s="12">
        <v>0</v>
      </c>
      <c r="V100" s="12">
        <v>1</v>
      </c>
      <c r="W100" s="12">
        <v>1</v>
      </c>
      <c r="X100" s="12">
        <v>0</v>
      </c>
      <c r="Y100" s="12">
        <v>0</v>
      </c>
      <c r="Z100" s="12" t="s">
        <v>622</v>
      </c>
    </row>
    <row r="101" spans="1:26" s="12" customFormat="1" ht="15" customHeight="1" x14ac:dyDescent="0.15">
      <c r="A101" s="12">
        <v>110</v>
      </c>
      <c r="B101" s="12" t="s">
        <v>626</v>
      </c>
      <c r="C101" s="12">
        <f t="shared" si="16"/>
        <v>25</v>
      </c>
      <c r="D101" s="12">
        <v>1</v>
      </c>
      <c r="F101" s="12">
        <v>0</v>
      </c>
      <c r="G101" s="13">
        <v>1</v>
      </c>
      <c r="H101" s="13">
        <v>0</v>
      </c>
      <c r="I101" s="13">
        <v>0</v>
      </c>
      <c r="J101" s="13">
        <v>1</v>
      </c>
      <c r="K101" s="13">
        <v>1</v>
      </c>
      <c r="L101" s="12">
        <v>1</v>
      </c>
      <c r="M101" s="12">
        <v>0</v>
      </c>
      <c r="N101" s="13">
        <v>0</v>
      </c>
      <c r="O101" s="13">
        <v>0</v>
      </c>
      <c r="P101" s="13">
        <v>0</v>
      </c>
      <c r="Q101" s="13">
        <v>0</v>
      </c>
      <c r="R101" s="13">
        <v>0</v>
      </c>
      <c r="S101" s="13">
        <v>0</v>
      </c>
      <c r="T101" s="12">
        <v>0</v>
      </c>
      <c r="U101" s="12">
        <v>0</v>
      </c>
      <c r="V101" s="12">
        <v>1</v>
      </c>
      <c r="W101" s="12">
        <v>1</v>
      </c>
      <c r="X101" s="12">
        <v>0</v>
      </c>
      <c r="Y101" s="12">
        <v>0</v>
      </c>
      <c r="Z101" s="12" t="s">
        <v>622</v>
      </c>
    </row>
    <row r="102" spans="1:26" s="12" customFormat="1" ht="15" customHeight="1" x14ac:dyDescent="0.15">
      <c r="A102" s="12">
        <v>111</v>
      </c>
      <c r="B102" s="12" t="s">
        <v>627</v>
      </c>
      <c r="C102" s="12">
        <f t="shared" si="16"/>
        <v>25</v>
      </c>
      <c r="D102" s="12">
        <v>1</v>
      </c>
      <c r="F102" s="12">
        <v>0</v>
      </c>
      <c r="G102" s="13">
        <v>1</v>
      </c>
      <c r="H102" s="13">
        <v>0</v>
      </c>
      <c r="I102" s="13">
        <v>0</v>
      </c>
      <c r="J102" s="13">
        <v>1</v>
      </c>
      <c r="K102" s="13">
        <v>1</v>
      </c>
      <c r="L102" s="12">
        <v>1</v>
      </c>
      <c r="M102" s="12">
        <v>0</v>
      </c>
      <c r="N102" s="13">
        <v>0</v>
      </c>
      <c r="O102" s="13">
        <v>0</v>
      </c>
      <c r="P102" s="13">
        <v>0</v>
      </c>
      <c r="Q102" s="13">
        <v>0</v>
      </c>
      <c r="R102" s="13">
        <v>0</v>
      </c>
      <c r="S102" s="13">
        <v>0</v>
      </c>
      <c r="T102" s="12">
        <v>0</v>
      </c>
      <c r="U102" s="12">
        <v>0</v>
      </c>
      <c r="V102" s="12">
        <v>1</v>
      </c>
      <c r="W102" s="12">
        <v>1</v>
      </c>
      <c r="X102" s="12">
        <v>0</v>
      </c>
      <c r="Y102" s="12">
        <v>0</v>
      </c>
      <c r="Z102" s="12" t="s">
        <v>622</v>
      </c>
    </row>
    <row r="103" spans="1:26" s="12" customFormat="1" ht="15" customHeight="1" x14ac:dyDescent="0.15">
      <c r="A103" s="12">
        <v>112</v>
      </c>
      <c r="B103" s="12" t="s">
        <v>975</v>
      </c>
      <c r="C103" s="12">
        <f t="shared" si="16"/>
        <v>1</v>
      </c>
      <c r="D103" s="12">
        <v>1</v>
      </c>
      <c r="F103" s="12">
        <v>0</v>
      </c>
      <c r="G103" s="13">
        <v>1</v>
      </c>
      <c r="H103" s="13">
        <v>0</v>
      </c>
      <c r="I103" s="13">
        <v>0</v>
      </c>
      <c r="J103" s="13">
        <v>0</v>
      </c>
      <c r="K103" s="13">
        <v>0</v>
      </c>
      <c r="L103" s="12">
        <v>1</v>
      </c>
      <c r="M103" s="12">
        <v>0</v>
      </c>
      <c r="N103" s="13">
        <v>0</v>
      </c>
      <c r="O103" s="13">
        <v>0</v>
      </c>
      <c r="P103" s="13">
        <v>0</v>
      </c>
      <c r="Q103" s="13">
        <v>0</v>
      </c>
      <c r="R103" s="13">
        <v>0</v>
      </c>
      <c r="S103" s="13">
        <v>0</v>
      </c>
      <c r="T103" s="12">
        <v>1</v>
      </c>
      <c r="U103" s="12">
        <v>1</v>
      </c>
      <c r="V103" s="12">
        <v>1</v>
      </c>
      <c r="W103" s="12">
        <v>1</v>
      </c>
      <c r="X103" s="12">
        <v>0</v>
      </c>
      <c r="Y103" s="12">
        <v>0</v>
      </c>
      <c r="Z103" s="12" t="s">
        <v>1648</v>
      </c>
    </row>
    <row r="104" spans="1:26" s="12" customFormat="1" ht="15" customHeight="1" x14ac:dyDescent="0.15">
      <c r="A104" s="12">
        <v>113</v>
      </c>
      <c r="B104" s="12" t="s">
        <v>974</v>
      </c>
      <c r="C104" s="12">
        <f t="shared" si="16"/>
        <v>1</v>
      </c>
      <c r="D104" s="12">
        <v>1</v>
      </c>
      <c r="F104" s="12">
        <v>0</v>
      </c>
      <c r="G104" s="13">
        <v>1</v>
      </c>
      <c r="H104" s="13">
        <v>0</v>
      </c>
      <c r="I104" s="13">
        <v>0</v>
      </c>
      <c r="J104" s="13">
        <v>0</v>
      </c>
      <c r="K104" s="13">
        <v>0</v>
      </c>
      <c r="L104" s="12">
        <v>1</v>
      </c>
      <c r="M104" s="12">
        <v>64</v>
      </c>
      <c r="N104" s="13">
        <v>0</v>
      </c>
      <c r="O104" s="13">
        <v>0</v>
      </c>
      <c r="P104" s="13">
        <v>0</v>
      </c>
      <c r="Q104" s="13">
        <v>0</v>
      </c>
      <c r="R104" s="13">
        <v>0</v>
      </c>
      <c r="S104" s="13">
        <v>0</v>
      </c>
      <c r="T104" s="12">
        <v>1</v>
      </c>
      <c r="U104" s="12">
        <v>1</v>
      </c>
      <c r="V104" s="12">
        <v>1</v>
      </c>
      <c r="W104" s="12">
        <v>1</v>
      </c>
      <c r="X104" s="12">
        <v>0</v>
      </c>
      <c r="Y104" s="12">
        <v>0</v>
      </c>
      <c r="Z104" s="12" t="s">
        <v>1646</v>
      </c>
    </row>
    <row r="105" spans="1:26" s="12" customFormat="1" ht="15" customHeight="1" x14ac:dyDescent="0.15">
      <c r="A105" s="12">
        <v>114</v>
      </c>
      <c r="B105" s="12" t="s">
        <v>630</v>
      </c>
      <c r="C105" s="12">
        <f t="shared" si="16"/>
        <v>1</v>
      </c>
      <c r="D105" s="12">
        <v>1</v>
      </c>
      <c r="F105" s="12">
        <v>0</v>
      </c>
      <c r="G105" s="13">
        <v>1</v>
      </c>
      <c r="H105" s="13">
        <v>0</v>
      </c>
      <c r="I105" s="13">
        <v>0</v>
      </c>
      <c r="J105" s="13">
        <v>0</v>
      </c>
      <c r="K105" s="13">
        <v>0</v>
      </c>
      <c r="L105" s="12">
        <v>1</v>
      </c>
      <c r="M105" s="12">
        <v>64</v>
      </c>
      <c r="N105" s="13">
        <v>0</v>
      </c>
      <c r="O105" s="13">
        <v>0</v>
      </c>
      <c r="P105" s="13">
        <v>0</v>
      </c>
      <c r="Q105" s="13">
        <v>0</v>
      </c>
      <c r="R105" s="13">
        <v>0</v>
      </c>
      <c r="S105" s="13">
        <v>0</v>
      </c>
      <c r="T105" s="12">
        <v>1</v>
      </c>
      <c r="U105" s="12">
        <v>1</v>
      </c>
      <c r="V105" s="12">
        <v>1</v>
      </c>
      <c r="W105" s="12">
        <v>1</v>
      </c>
      <c r="X105" s="12">
        <v>0</v>
      </c>
      <c r="Y105" s="12">
        <v>0</v>
      </c>
      <c r="Z105" s="12" t="s">
        <v>630</v>
      </c>
    </row>
    <row r="106" spans="1:26" s="12" customFormat="1" ht="15" customHeight="1" x14ac:dyDescent="0.15">
      <c r="A106" s="12">
        <v>115</v>
      </c>
      <c r="B106" s="12" t="s">
        <v>631</v>
      </c>
      <c r="C106" s="12">
        <f t="shared" si="16"/>
        <v>1</v>
      </c>
      <c r="D106" s="12">
        <v>1</v>
      </c>
      <c r="F106" s="12">
        <v>0</v>
      </c>
      <c r="G106" s="13">
        <v>1</v>
      </c>
      <c r="H106" s="13">
        <v>0</v>
      </c>
      <c r="I106" s="13">
        <v>0</v>
      </c>
      <c r="J106" s="13">
        <v>0</v>
      </c>
      <c r="K106" s="13">
        <v>0</v>
      </c>
      <c r="L106" s="12">
        <v>1</v>
      </c>
      <c r="M106" s="12">
        <v>0</v>
      </c>
      <c r="N106" s="13">
        <v>0</v>
      </c>
      <c r="O106" s="13">
        <v>0</v>
      </c>
      <c r="P106" s="13">
        <v>0</v>
      </c>
      <c r="Q106" s="13">
        <v>0</v>
      </c>
      <c r="R106" s="13">
        <v>0</v>
      </c>
      <c r="S106" s="13">
        <v>0</v>
      </c>
      <c r="T106" s="12">
        <v>1</v>
      </c>
      <c r="U106" s="12">
        <v>1</v>
      </c>
      <c r="V106" s="12">
        <v>1</v>
      </c>
      <c r="W106" s="12">
        <v>1</v>
      </c>
      <c r="X106" s="12">
        <v>0</v>
      </c>
      <c r="Y106" s="12">
        <v>0</v>
      </c>
      <c r="Z106" s="12" t="s">
        <v>1647</v>
      </c>
    </row>
    <row r="107" spans="1:26" s="12" customFormat="1" ht="15" customHeight="1" x14ac:dyDescent="0.15">
      <c r="A107" s="12">
        <v>116</v>
      </c>
      <c r="B107" s="12" t="s">
        <v>633</v>
      </c>
      <c r="C107" s="12">
        <f t="shared" si="16"/>
        <v>5</v>
      </c>
      <c r="D107" s="12">
        <v>1</v>
      </c>
      <c r="F107" s="12">
        <v>0</v>
      </c>
      <c r="G107" s="13">
        <v>1</v>
      </c>
      <c r="H107" s="13">
        <v>0</v>
      </c>
      <c r="I107" s="13">
        <v>1</v>
      </c>
      <c r="J107" s="13">
        <v>0</v>
      </c>
      <c r="K107" s="13">
        <v>0</v>
      </c>
      <c r="L107" s="12">
        <v>1</v>
      </c>
      <c r="M107" s="12">
        <v>64</v>
      </c>
      <c r="N107" s="13">
        <v>0</v>
      </c>
      <c r="O107" s="13">
        <v>0</v>
      </c>
      <c r="P107" s="13">
        <v>0</v>
      </c>
      <c r="Q107" s="13">
        <v>0</v>
      </c>
      <c r="R107" s="13">
        <v>0</v>
      </c>
      <c r="S107" s="13">
        <v>0</v>
      </c>
      <c r="T107" s="12">
        <v>1</v>
      </c>
      <c r="U107" s="12">
        <v>1</v>
      </c>
      <c r="V107" s="12">
        <v>0</v>
      </c>
      <c r="W107" s="12">
        <v>0</v>
      </c>
      <c r="X107" s="12">
        <v>0</v>
      </c>
      <c r="Y107" s="12">
        <v>0</v>
      </c>
      <c r="Z107" s="12" t="s">
        <v>632</v>
      </c>
    </row>
    <row r="108" spans="1:26" s="12" customFormat="1" ht="60" x14ac:dyDescent="0.15">
      <c r="A108" s="12">
        <v>117</v>
      </c>
      <c r="B108" s="12" t="s">
        <v>673</v>
      </c>
      <c r="C108" s="12">
        <f t="shared" ref="C108:C359" si="18">G108+H108*2+I108*4+J108*8+K108*16</f>
        <v>1</v>
      </c>
      <c r="D108" s="12">
        <v>1</v>
      </c>
      <c r="E108" s="12">
        <v>37</v>
      </c>
      <c r="F108" s="12">
        <v>0</v>
      </c>
      <c r="G108" s="13">
        <v>1</v>
      </c>
      <c r="H108" s="13">
        <v>0</v>
      </c>
      <c r="I108" s="13">
        <v>0</v>
      </c>
      <c r="J108" s="13">
        <v>0</v>
      </c>
      <c r="K108" s="13">
        <v>0</v>
      </c>
      <c r="L108" s="12">
        <v>1</v>
      </c>
      <c r="M108" s="12">
        <f>N108+O108*2+P108*4+Q108*8+R108*16+S108*32</f>
        <v>0</v>
      </c>
      <c r="N108" s="13">
        <v>0</v>
      </c>
      <c r="O108" s="13">
        <v>0</v>
      </c>
      <c r="P108" s="13">
        <v>0</v>
      </c>
      <c r="Q108" s="13">
        <v>0</v>
      </c>
      <c r="R108" s="13">
        <v>0</v>
      </c>
      <c r="S108" s="13">
        <v>0</v>
      </c>
      <c r="T108" s="12">
        <v>1</v>
      </c>
      <c r="U108" s="12">
        <v>1</v>
      </c>
      <c r="V108" s="12">
        <v>1</v>
      </c>
      <c r="W108" s="12">
        <v>0</v>
      </c>
      <c r="X108" s="12">
        <v>1</v>
      </c>
      <c r="Y108" s="12">
        <v>0</v>
      </c>
      <c r="Z108" s="17" t="str">
        <f>"----------------------
◇在本国不会受到攻击，也不可攻击他人。
◇出国和参与副本则不受保护。
◇该状态下被击杀，击杀者无法获得奖励。
◇40级自动关闭"</f>
        <v>----------------------
◇在本国不会受到攻击，也不可攻击他人。
◇出国和参与副本则不受保护。
◇该状态下被击杀，击杀者无法获得奖励。
◇40级自动关闭</v>
      </c>
    </row>
    <row r="109" spans="1:26" s="12" customFormat="1" ht="15" customHeight="1" x14ac:dyDescent="0.15">
      <c r="A109" s="12">
        <v>118</v>
      </c>
      <c r="B109" s="12" t="s">
        <v>674</v>
      </c>
      <c r="C109" s="12">
        <f t="shared" ref="C109:C114" si="19">G109+H109*2+I109*4+J109*8+K109*16</f>
        <v>1</v>
      </c>
      <c r="D109" s="12">
        <v>1</v>
      </c>
      <c r="F109" s="12">
        <v>0</v>
      </c>
      <c r="G109" s="13">
        <v>1</v>
      </c>
      <c r="H109" s="13">
        <v>0</v>
      </c>
      <c r="I109" s="13">
        <v>0</v>
      </c>
      <c r="J109" s="13">
        <v>0</v>
      </c>
      <c r="K109" s="13">
        <v>0</v>
      </c>
      <c r="L109" s="12">
        <v>1</v>
      </c>
      <c r="M109" s="12">
        <f>N109+O109*2+P109*4+Q109*8+R109*16+S109*32</f>
        <v>0</v>
      </c>
      <c r="N109" s="13">
        <v>0</v>
      </c>
      <c r="O109" s="13">
        <v>0</v>
      </c>
      <c r="P109" s="13">
        <v>0</v>
      </c>
      <c r="Q109" s="13">
        <v>0</v>
      </c>
      <c r="R109" s="13">
        <v>0</v>
      </c>
      <c r="S109" s="13">
        <v>0</v>
      </c>
      <c r="T109" s="12">
        <v>0</v>
      </c>
      <c r="U109" s="12">
        <v>1</v>
      </c>
      <c r="V109" s="12">
        <v>0</v>
      </c>
      <c r="W109" s="12">
        <v>0</v>
      </c>
      <c r="X109" s="12">
        <v>0</v>
      </c>
      <c r="Y109" s="12">
        <v>0</v>
      </c>
      <c r="Z109" s="12" t="s">
        <v>1481</v>
      </c>
    </row>
    <row r="110" spans="1:26" s="12" customFormat="1" ht="15" customHeight="1" x14ac:dyDescent="0.15">
      <c r="A110" s="12">
        <v>119</v>
      </c>
      <c r="B110" s="12" t="s">
        <v>675</v>
      </c>
      <c r="C110" s="12">
        <f t="shared" si="19"/>
        <v>0</v>
      </c>
      <c r="D110" s="12">
        <v>1</v>
      </c>
      <c r="F110" s="12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2">
        <v>1</v>
      </c>
      <c r="M110" s="12">
        <v>0</v>
      </c>
      <c r="N110" s="13">
        <v>0</v>
      </c>
      <c r="O110" s="13">
        <v>0</v>
      </c>
      <c r="P110" s="13">
        <v>0</v>
      </c>
      <c r="Q110" s="13">
        <v>0</v>
      </c>
      <c r="R110" s="13">
        <v>0</v>
      </c>
      <c r="S110" s="13">
        <v>0</v>
      </c>
      <c r="T110" s="12">
        <v>1</v>
      </c>
      <c r="U110" s="12">
        <v>1</v>
      </c>
      <c r="V110" s="12">
        <v>1</v>
      </c>
      <c r="W110" s="12">
        <v>1</v>
      </c>
      <c r="X110" s="12">
        <v>0</v>
      </c>
      <c r="Y110" s="12">
        <v>0</v>
      </c>
      <c r="Z110" s="12" t="s">
        <v>1482</v>
      </c>
    </row>
    <row r="111" spans="1:26" s="12" customFormat="1" ht="15" customHeight="1" x14ac:dyDescent="0.15">
      <c r="A111" s="12">
        <v>120</v>
      </c>
      <c r="B111" s="12" t="s">
        <v>708</v>
      </c>
      <c r="C111" s="12">
        <f t="shared" si="19"/>
        <v>1</v>
      </c>
      <c r="D111" s="13">
        <v>1</v>
      </c>
      <c r="E111" s="13"/>
      <c r="F111" s="12">
        <v>0</v>
      </c>
      <c r="G111" s="13">
        <v>1</v>
      </c>
      <c r="H111" s="13">
        <v>0</v>
      </c>
      <c r="I111" s="13">
        <v>0</v>
      </c>
      <c r="J111" s="13">
        <v>0</v>
      </c>
      <c r="K111" s="13">
        <v>0</v>
      </c>
      <c r="L111" s="12">
        <v>1</v>
      </c>
      <c r="M111" s="12">
        <v>64</v>
      </c>
      <c r="N111" s="13">
        <v>0</v>
      </c>
      <c r="O111" s="13">
        <v>0</v>
      </c>
      <c r="P111" s="13">
        <v>0</v>
      </c>
      <c r="Q111" s="13">
        <v>0</v>
      </c>
      <c r="R111" s="13">
        <v>0</v>
      </c>
      <c r="S111" s="13">
        <v>0</v>
      </c>
      <c r="T111" s="12">
        <v>1</v>
      </c>
      <c r="U111" s="12">
        <v>1</v>
      </c>
      <c r="V111" s="12">
        <v>1</v>
      </c>
      <c r="W111" s="12">
        <v>0</v>
      </c>
      <c r="X111" s="12">
        <v>0</v>
      </c>
      <c r="Y111" s="12">
        <v>0</v>
      </c>
      <c r="Z111" s="12" t="s">
        <v>710</v>
      </c>
    </row>
    <row r="112" spans="1:26" s="12" customFormat="1" ht="15" customHeight="1" x14ac:dyDescent="0.15">
      <c r="A112" s="12">
        <v>121</v>
      </c>
      <c r="B112" s="12" t="s">
        <v>709</v>
      </c>
      <c r="C112" s="12">
        <f t="shared" si="19"/>
        <v>1</v>
      </c>
      <c r="D112" s="13">
        <v>1</v>
      </c>
      <c r="E112" s="13"/>
      <c r="F112" s="12">
        <v>0</v>
      </c>
      <c r="G112" s="13">
        <v>1</v>
      </c>
      <c r="H112" s="13">
        <v>0</v>
      </c>
      <c r="I112" s="13">
        <v>0</v>
      </c>
      <c r="J112" s="13">
        <v>0</v>
      </c>
      <c r="K112" s="13">
        <v>0</v>
      </c>
      <c r="L112" s="12">
        <v>1</v>
      </c>
      <c r="M112" s="12">
        <v>64</v>
      </c>
      <c r="N112" s="13">
        <v>0</v>
      </c>
      <c r="O112" s="13">
        <v>0</v>
      </c>
      <c r="P112" s="13">
        <v>0</v>
      </c>
      <c r="Q112" s="13">
        <v>0</v>
      </c>
      <c r="R112" s="13">
        <v>0</v>
      </c>
      <c r="S112" s="13">
        <v>0</v>
      </c>
      <c r="T112" s="12">
        <v>1</v>
      </c>
      <c r="U112" s="12">
        <v>1</v>
      </c>
      <c r="V112" s="12">
        <v>1</v>
      </c>
      <c r="W112" s="12">
        <v>0</v>
      </c>
      <c r="X112" s="12">
        <v>0</v>
      </c>
      <c r="Y112" s="12">
        <v>0</v>
      </c>
      <c r="Z112" s="12" t="s">
        <v>711</v>
      </c>
    </row>
    <row r="113" spans="1:26" s="12" customFormat="1" ht="15" customHeight="1" x14ac:dyDescent="0.15">
      <c r="A113" s="12">
        <v>122</v>
      </c>
      <c r="B113" s="12" t="s">
        <v>762</v>
      </c>
      <c r="C113" s="12">
        <f t="shared" si="19"/>
        <v>5</v>
      </c>
      <c r="D113" s="13">
        <v>1</v>
      </c>
      <c r="E113" s="13"/>
      <c r="F113" s="12">
        <v>0</v>
      </c>
      <c r="G113" s="13">
        <v>1</v>
      </c>
      <c r="H113" s="13">
        <v>0</v>
      </c>
      <c r="I113" s="13">
        <v>1</v>
      </c>
      <c r="J113" s="13">
        <v>0</v>
      </c>
      <c r="K113" s="13">
        <v>0</v>
      </c>
      <c r="L113" s="12">
        <v>1</v>
      </c>
      <c r="M113" s="12">
        <v>64</v>
      </c>
      <c r="N113" s="13">
        <v>0</v>
      </c>
      <c r="O113" s="13">
        <v>0</v>
      </c>
      <c r="P113" s="13">
        <v>0</v>
      </c>
      <c r="Q113" s="13">
        <v>0</v>
      </c>
      <c r="R113" s="13">
        <v>0</v>
      </c>
      <c r="S113" s="13">
        <v>0</v>
      </c>
      <c r="T113" s="12">
        <v>1</v>
      </c>
      <c r="U113" s="12">
        <v>1</v>
      </c>
      <c r="V113" s="12">
        <v>1</v>
      </c>
      <c r="W113" s="12">
        <v>0</v>
      </c>
      <c r="X113" s="12">
        <v>0</v>
      </c>
      <c r="Y113" s="12">
        <v>0</v>
      </c>
      <c r="Z113" s="17" t="s">
        <v>927</v>
      </c>
    </row>
    <row r="114" spans="1:26" s="12" customFormat="1" ht="15" customHeight="1" x14ac:dyDescent="0.15">
      <c r="A114" s="12">
        <v>123</v>
      </c>
      <c r="B114" s="12" t="s">
        <v>772</v>
      </c>
      <c r="C114" s="12">
        <f t="shared" si="19"/>
        <v>1</v>
      </c>
      <c r="D114" s="12">
        <v>1</v>
      </c>
      <c r="F114" s="12">
        <v>0</v>
      </c>
      <c r="G114" s="13">
        <v>1</v>
      </c>
      <c r="H114" s="13">
        <v>0</v>
      </c>
      <c r="I114" s="13">
        <v>0</v>
      </c>
      <c r="J114" s="13">
        <v>0</v>
      </c>
      <c r="K114" s="13">
        <v>0</v>
      </c>
      <c r="L114" s="12">
        <v>0</v>
      </c>
      <c r="M114" s="12">
        <f>N114+O114*2+P114*4+Q114*8+R114*16+S114*32</f>
        <v>0</v>
      </c>
      <c r="N114" s="13">
        <v>0</v>
      </c>
      <c r="O114" s="13">
        <v>0</v>
      </c>
      <c r="P114" s="13">
        <v>0</v>
      </c>
      <c r="Q114" s="13">
        <v>0</v>
      </c>
      <c r="R114" s="13">
        <v>0</v>
      </c>
      <c r="S114" s="13">
        <v>0</v>
      </c>
      <c r="T114" s="12">
        <v>0</v>
      </c>
      <c r="U114" s="12">
        <v>1</v>
      </c>
      <c r="V114" s="12">
        <v>1</v>
      </c>
      <c r="W114" s="12">
        <v>1</v>
      </c>
      <c r="X114" s="12">
        <v>0</v>
      </c>
      <c r="Y114" s="12">
        <v>0</v>
      </c>
      <c r="Z114" s="12" t="s">
        <v>773</v>
      </c>
    </row>
    <row r="115" spans="1:26" s="12" customFormat="1" ht="15" customHeight="1" x14ac:dyDescent="0.15">
      <c r="A115" s="12">
        <v>124</v>
      </c>
      <c r="B115" s="12" t="s">
        <v>958</v>
      </c>
      <c r="C115" s="12">
        <f>G115+H115*2+I115*4+J115*8+K115*16</f>
        <v>5</v>
      </c>
      <c r="D115" s="12">
        <v>1</v>
      </c>
      <c r="F115" s="12">
        <v>0</v>
      </c>
      <c r="G115" s="13">
        <v>1</v>
      </c>
      <c r="H115" s="13">
        <v>0</v>
      </c>
      <c r="I115" s="13">
        <v>1</v>
      </c>
      <c r="J115" s="13">
        <v>0</v>
      </c>
      <c r="K115" s="13">
        <v>0</v>
      </c>
      <c r="L115" s="12">
        <v>1</v>
      </c>
      <c r="M115" s="12">
        <f>N115+O115*2+P115*4+Q115*8+R115*16+S115*32</f>
        <v>0</v>
      </c>
      <c r="N115" s="13">
        <v>0</v>
      </c>
      <c r="O115" s="13">
        <v>0</v>
      </c>
      <c r="P115" s="13">
        <v>0</v>
      </c>
      <c r="Q115" s="13">
        <v>0</v>
      </c>
      <c r="R115" s="13">
        <v>0</v>
      </c>
      <c r="S115" s="13">
        <v>0</v>
      </c>
      <c r="T115" s="12">
        <v>0</v>
      </c>
      <c r="U115" s="12">
        <v>1</v>
      </c>
      <c r="V115" s="12">
        <v>1</v>
      </c>
      <c r="W115" s="12">
        <v>0</v>
      </c>
      <c r="X115" s="12">
        <v>0</v>
      </c>
      <c r="Y115" s="12">
        <v>0</v>
      </c>
      <c r="Z115" s="12" t="s">
        <v>946</v>
      </c>
    </row>
    <row r="116" spans="1:26" s="12" customFormat="1" ht="15" customHeight="1" x14ac:dyDescent="0.15">
      <c r="A116" s="12">
        <v>125</v>
      </c>
      <c r="B116" s="12" t="s">
        <v>1654</v>
      </c>
      <c r="C116" s="12">
        <v>1</v>
      </c>
      <c r="D116" s="12">
        <v>1</v>
      </c>
      <c r="F116" s="12">
        <v>0</v>
      </c>
      <c r="G116" s="13">
        <v>1</v>
      </c>
      <c r="H116" s="13">
        <v>0</v>
      </c>
      <c r="I116" s="13">
        <v>1</v>
      </c>
      <c r="J116" s="13">
        <v>0</v>
      </c>
      <c r="K116" s="13">
        <v>0</v>
      </c>
      <c r="L116" s="12">
        <v>1</v>
      </c>
      <c r="M116" s="12">
        <v>0</v>
      </c>
      <c r="N116" s="13">
        <v>0</v>
      </c>
      <c r="O116" s="13">
        <v>0</v>
      </c>
      <c r="P116" s="13">
        <v>0</v>
      </c>
      <c r="Q116" s="13">
        <v>0</v>
      </c>
      <c r="R116" s="13">
        <v>0</v>
      </c>
      <c r="S116" s="13">
        <v>0</v>
      </c>
      <c r="T116" s="12">
        <v>1</v>
      </c>
      <c r="U116" s="12">
        <v>1</v>
      </c>
      <c r="V116" s="12">
        <v>1</v>
      </c>
      <c r="W116" s="12">
        <v>0</v>
      </c>
      <c r="X116" s="12">
        <v>0</v>
      </c>
      <c r="Y116" s="12">
        <v>0</v>
      </c>
      <c r="Z116" s="12" t="s">
        <v>1655</v>
      </c>
    </row>
    <row r="117" spans="1:26" s="12" customFormat="1" ht="15" customHeight="1" x14ac:dyDescent="0.15">
      <c r="A117" s="12">
        <v>126</v>
      </c>
      <c r="B117" s="12" t="s">
        <v>833</v>
      </c>
      <c r="C117" s="12">
        <v>1</v>
      </c>
      <c r="D117" s="12">
        <v>1</v>
      </c>
      <c r="F117" s="12">
        <v>0</v>
      </c>
      <c r="G117" s="13">
        <v>1</v>
      </c>
      <c r="H117" s="13">
        <v>0</v>
      </c>
      <c r="I117" s="13">
        <v>1</v>
      </c>
      <c r="J117" s="13">
        <v>0</v>
      </c>
      <c r="K117" s="13">
        <v>0</v>
      </c>
      <c r="L117" s="12">
        <v>1</v>
      </c>
      <c r="M117" s="12">
        <v>0</v>
      </c>
      <c r="N117" s="13">
        <v>0</v>
      </c>
      <c r="O117" s="13">
        <v>0</v>
      </c>
      <c r="P117" s="13">
        <v>0</v>
      </c>
      <c r="Q117" s="13">
        <v>0</v>
      </c>
      <c r="R117" s="13">
        <v>0</v>
      </c>
      <c r="S117" s="13">
        <v>0</v>
      </c>
      <c r="T117" s="12">
        <v>1</v>
      </c>
      <c r="U117" s="12">
        <v>1</v>
      </c>
      <c r="V117" s="12">
        <v>1</v>
      </c>
      <c r="W117" s="12">
        <v>0</v>
      </c>
      <c r="X117" s="12">
        <v>0</v>
      </c>
      <c r="Y117" s="12">
        <v>0</v>
      </c>
      <c r="Z117" s="12" t="s">
        <v>834</v>
      </c>
    </row>
    <row r="118" spans="1:26" s="12" customFormat="1" ht="15.75" customHeight="1" x14ac:dyDescent="0.15">
      <c r="A118" s="12">
        <v>127</v>
      </c>
      <c r="B118" s="12" t="s">
        <v>835</v>
      </c>
      <c r="C118" s="12">
        <f t="shared" ref="C118:C130" si="20">G118+H118*2+I118*4+J118*8+K118*16</f>
        <v>1</v>
      </c>
      <c r="D118" s="12">
        <v>1</v>
      </c>
      <c r="F118" s="12">
        <v>0</v>
      </c>
      <c r="G118" s="13">
        <v>1</v>
      </c>
      <c r="H118" s="13">
        <v>0</v>
      </c>
      <c r="I118" s="13">
        <v>0</v>
      </c>
      <c r="J118" s="13">
        <v>0</v>
      </c>
      <c r="K118" s="13">
        <v>0</v>
      </c>
      <c r="L118" s="12">
        <v>1</v>
      </c>
      <c r="M118" s="12">
        <f>N118+O118*2+P118*4+Q118*8+R118*16+S118*32</f>
        <v>0</v>
      </c>
      <c r="N118" s="13">
        <v>0</v>
      </c>
      <c r="O118" s="13">
        <v>0</v>
      </c>
      <c r="P118" s="13">
        <v>0</v>
      </c>
      <c r="Q118" s="13">
        <v>0</v>
      </c>
      <c r="R118" s="13">
        <v>0</v>
      </c>
      <c r="S118" s="13">
        <v>0</v>
      </c>
      <c r="T118" s="12">
        <v>1</v>
      </c>
      <c r="U118" s="12">
        <v>0</v>
      </c>
      <c r="V118" s="12">
        <v>1</v>
      </c>
      <c r="W118" s="12">
        <v>0</v>
      </c>
      <c r="X118" s="12">
        <v>0</v>
      </c>
      <c r="Y118" s="12">
        <v>0</v>
      </c>
      <c r="Z118" s="12" t="s">
        <v>836</v>
      </c>
    </row>
    <row r="119" spans="1:26" s="12" customFormat="1" ht="15" customHeight="1" x14ac:dyDescent="0.15">
      <c r="A119" s="12">
        <v>128</v>
      </c>
      <c r="B119" s="12" t="s">
        <v>837</v>
      </c>
      <c r="C119" s="12">
        <v>1</v>
      </c>
      <c r="D119" s="12">
        <v>1</v>
      </c>
      <c r="E119" s="12">
        <v>58</v>
      </c>
      <c r="F119" s="12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2">
        <v>1</v>
      </c>
      <c r="M119" s="12">
        <v>64</v>
      </c>
      <c r="N119" s="13">
        <v>0</v>
      </c>
      <c r="O119" s="13">
        <v>0</v>
      </c>
      <c r="P119" s="13">
        <v>0</v>
      </c>
      <c r="Q119" s="13">
        <v>0</v>
      </c>
      <c r="R119" s="13">
        <v>0</v>
      </c>
      <c r="S119" s="13">
        <v>0</v>
      </c>
      <c r="T119" s="12">
        <v>1</v>
      </c>
      <c r="U119" s="12">
        <v>1</v>
      </c>
      <c r="V119" s="12">
        <v>1</v>
      </c>
      <c r="W119" s="12">
        <v>0</v>
      </c>
      <c r="X119" s="12">
        <v>1</v>
      </c>
      <c r="Y119" s="12">
        <v>1</v>
      </c>
      <c r="Z119" s="17" t="str">
        <f>"----------------------
◇可领取"&amp;B119&amp;"级每日礼包
◇打怪经验提升10%"</f>
        <v>----------------------
◇可领取VIP1级每日礼包
◇打怪经验提升10%</v>
      </c>
    </row>
    <row r="120" spans="1:26" s="12" customFormat="1" ht="15.75" customHeight="1" x14ac:dyDescent="0.15">
      <c r="A120" s="12">
        <v>129</v>
      </c>
      <c r="B120" s="12" t="s">
        <v>840</v>
      </c>
      <c r="C120" s="12">
        <v>1</v>
      </c>
      <c r="D120" s="12">
        <v>1</v>
      </c>
      <c r="E120" s="12">
        <v>59</v>
      </c>
      <c r="F120" s="12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2">
        <v>1</v>
      </c>
      <c r="M120" s="12">
        <v>64</v>
      </c>
      <c r="N120" s="13">
        <v>0</v>
      </c>
      <c r="O120" s="13">
        <v>0</v>
      </c>
      <c r="P120" s="13">
        <v>0</v>
      </c>
      <c r="Q120" s="13">
        <v>0</v>
      </c>
      <c r="R120" s="13">
        <v>0</v>
      </c>
      <c r="S120" s="13">
        <v>0</v>
      </c>
      <c r="T120" s="12">
        <v>1</v>
      </c>
      <c r="U120" s="12">
        <v>1</v>
      </c>
      <c r="V120" s="12">
        <v>1</v>
      </c>
      <c r="W120" s="12">
        <v>0</v>
      </c>
      <c r="X120" s="12">
        <v>1</v>
      </c>
      <c r="Y120" s="12">
        <v>1</v>
      </c>
      <c r="Z120" s="17" t="str">
        <f>"----------------------
◇可领取"&amp;B120&amp;"级每日礼包
◇打怪经验提升10%"</f>
        <v>----------------------
◇可领取VIP2级每日礼包
◇打怪经验提升10%</v>
      </c>
    </row>
    <row r="121" spans="1:26" s="12" customFormat="1" ht="15" customHeight="1" x14ac:dyDescent="0.15">
      <c r="A121" s="12">
        <v>130</v>
      </c>
      <c r="B121" s="12" t="s">
        <v>838</v>
      </c>
      <c r="C121" s="12">
        <v>1</v>
      </c>
      <c r="D121" s="12">
        <v>1</v>
      </c>
      <c r="E121" s="12">
        <v>60</v>
      </c>
      <c r="F121" s="12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2">
        <v>1</v>
      </c>
      <c r="M121" s="12">
        <v>64</v>
      </c>
      <c r="N121" s="13">
        <v>0</v>
      </c>
      <c r="O121" s="13">
        <v>0</v>
      </c>
      <c r="P121" s="13">
        <v>0</v>
      </c>
      <c r="Q121" s="13">
        <v>0</v>
      </c>
      <c r="R121" s="13">
        <v>0</v>
      </c>
      <c r="S121" s="13">
        <v>0</v>
      </c>
      <c r="T121" s="12">
        <v>1</v>
      </c>
      <c r="U121" s="12">
        <v>1</v>
      </c>
      <c r="V121" s="12">
        <v>1</v>
      </c>
      <c r="W121" s="12">
        <v>0</v>
      </c>
      <c r="X121" s="12">
        <v>1</v>
      </c>
      <c r="Y121" s="12">
        <v>1</v>
      </c>
      <c r="Z121" s="17" t="str">
        <f>"----------------------
◇可领取"&amp;B121&amp;"级每日礼包
◇打怪经验提升30%"</f>
        <v>----------------------
◇可领取VIP3级每日礼包
◇打怪经验提升30%</v>
      </c>
    </row>
    <row r="122" spans="1:26" s="12" customFormat="1" ht="15" customHeight="1" x14ac:dyDescent="0.15">
      <c r="A122" s="12">
        <v>131</v>
      </c>
      <c r="B122" s="12" t="s">
        <v>839</v>
      </c>
      <c r="C122" s="12">
        <v>1</v>
      </c>
      <c r="D122" s="12">
        <v>1</v>
      </c>
      <c r="E122" s="12">
        <v>61</v>
      </c>
      <c r="F122" s="12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2">
        <v>1</v>
      </c>
      <c r="M122" s="12">
        <v>64</v>
      </c>
      <c r="N122" s="13">
        <v>0</v>
      </c>
      <c r="O122" s="13">
        <v>0</v>
      </c>
      <c r="P122" s="13">
        <v>0</v>
      </c>
      <c r="Q122" s="13">
        <v>0</v>
      </c>
      <c r="R122" s="13">
        <v>0</v>
      </c>
      <c r="S122" s="13">
        <v>0</v>
      </c>
      <c r="T122" s="12">
        <v>1</v>
      </c>
      <c r="U122" s="12">
        <v>1</v>
      </c>
      <c r="V122" s="12">
        <v>1</v>
      </c>
      <c r="W122" s="12">
        <v>0</v>
      </c>
      <c r="X122" s="12">
        <v>1</v>
      </c>
      <c r="Y122" s="12">
        <v>1</v>
      </c>
      <c r="Z122" s="17" t="str">
        <f>"----------------------
◇可领取"&amp;B122&amp;"级每日礼包
◇打怪经验提升30%"</f>
        <v>----------------------
◇可领取VIP4级每日礼包
◇打怪经验提升30%</v>
      </c>
    </row>
    <row r="123" spans="1:26" s="12" customFormat="1" ht="15" customHeight="1" x14ac:dyDescent="0.15">
      <c r="A123" s="12">
        <v>132</v>
      </c>
      <c r="B123" s="12" t="s">
        <v>841</v>
      </c>
      <c r="C123" s="12">
        <f t="shared" si="20"/>
        <v>5</v>
      </c>
      <c r="D123" s="13">
        <v>1</v>
      </c>
      <c r="E123" s="13"/>
      <c r="F123" s="12">
        <v>0</v>
      </c>
      <c r="G123" s="13">
        <v>1</v>
      </c>
      <c r="H123" s="13">
        <v>0</v>
      </c>
      <c r="I123" s="13">
        <v>1</v>
      </c>
      <c r="J123" s="13">
        <v>0</v>
      </c>
      <c r="K123" s="13">
        <v>0</v>
      </c>
      <c r="L123" s="12">
        <v>1</v>
      </c>
      <c r="M123" s="12">
        <v>64</v>
      </c>
      <c r="N123" s="13">
        <v>0</v>
      </c>
      <c r="O123" s="13">
        <v>0</v>
      </c>
      <c r="P123" s="13">
        <v>0</v>
      </c>
      <c r="Q123" s="13">
        <v>0</v>
      </c>
      <c r="R123" s="13">
        <v>0</v>
      </c>
      <c r="S123" s="13">
        <v>0</v>
      </c>
      <c r="T123" s="12">
        <v>1</v>
      </c>
      <c r="U123" s="12">
        <v>0</v>
      </c>
      <c r="V123" s="12">
        <v>1</v>
      </c>
      <c r="W123" s="12">
        <v>0</v>
      </c>
      <c r="X123" s="12">
        <v>0</v>
      </c>
      <c r="Y123" s="12">
        <v>0</v>
      </c>
      <c r="Z123" s="17" t="s">
        <v>1468</v>
      </c>
    </row>
    <row r="124" spans="1:26" s="12" customFormat="1" ht="15" customHeight="1" x14ac:dyDescent="0.15">
      <c r="A124" s="12">
        <v>133</v>
      </c>
      <c r="B124" s="12" t="s">
        <v>1353</v>
      </c>
      <c r="C124" s="12">
        <f t="shared" si="20"/>
        <v>5</v>
      </c>
      <c r="D124" s="13">
        <v>1</v>
      </c>
      <c r="E124" s="13"/>
      <c r="F124" s="12">
        <v>0</v>
      </c>
      <c r="G124" s="13">
        <v>1</v>
      </c>
      <c r="H124" s="13">
        <v>0</v>
      </c>
      <c r="I124" s="13">
        <v>1</v>
      </c>
      <c r="J124" s="13">
        <v>0</v>
      </c>
      <c r="K124" s="13">
        <v>0</v>
      </c>
      <c r="L124" s="12">
        <v>1</v>
      </c>
      <c r="M124" s="12">
        <v>64</v>
      </c>
      <c r="N124" s="13">
        <v>0</v>
      </c>
      <c r="O124" s="13">
        <v>1</v>
      </c>
      <c r="P124" s="13">
        <v>0</v>
      </c>
      <c r="Q124" s="13">
        <v>0</v>
      </c>
      <c r="R124" s="13">
        <v>0</v>
      </c>
      <c r="S124" s="13">
        <v>1</v>
      </c>
      <c r="T124" s="12">
        <v>0</v>
      </c>
      <c r="U124" s="12">
        <v>0</v>
      </c>
      <c r="V124" s="12">
        <v>1</v>
      </c>
      <c r="W124" s="12">
        <v>0</v>
      </c>
      <c r="X124" s="12">
        <v>0</v>
      </c>
      <c r="Y124" s="12">
        <v>0</v>
      </c>
      <c r="Z124" s="17" t="s">
        <v>1354</v>
      </c>
    </row>
    <row r="125" spans="1:26" s="12" customFormat="1" ht="15" customHeight="1" x14ac:dyDescent="0.15">
      <c r="A125" s="12">
        <v>134</v>
      </c>
      <c r="B125" s="12" t="s">
        <v>1579</v>
      </c>
      <c r="C125" s="12">
        <f t="shared" si="20"/>
        <v>24</v>
      </c>
      <c r="D125" s="12">
        <v>1</v>
      </c>
      <c r="E125" s="12">
        <v>38</v>
      </c>
      <c r="F125" s="12">
        <v>1</v>
      </c>
      <c r="G125" s="13">
        <v>0</v>
      </c>
      <c r="H125" s="13">
        <v>0</v>
      </c>
      <c r="I125" s="13">
        <v>0</v>
      </c>
      <c r="J125" s="13">
        <v>1</v>
      </c>
      <c r="K125" s="13">
        <v>1</v>
      </c>
      <c r="L125" s="12">
        <v>1</v>
      </c>
      <c r="M125" s="12">
        <v>64</v>
      </c>
      <c r="N125" s="13">
        <v>0</v>
      </c>
      <c r="O125" s="13">
        <v>0</v>
      </c>
      <c r="P125" s="13">
        <v>0</v>
      </c>
      <c r="Q125" s="13">
        <v>0</v>
      </c>
      <c r="R125" s="13">
        <v>0</v>
      </c>
      <c r="S125" s="13">
        <v>0</v>
      </c>
      <c r="T125" s="12">
        <v>1</v>
      </c>
      <c r="U125" s="12">
        <v>1</v>
      </c>
      <c r="V125" s="12">
        <v>1</v>
      </c>
      <c r="W125" s="12">
        <v>0</v>
      </c>
      <c r="X125" s="12">
        <v>0</v>
      </c>
      <c r="Y125" s="12">
        <v>0</v>
      </c>
      <c r="Z125" s="12" t="s">
        <v>921</v>
      </c>
    </row>
    <row r="126" spans="1:26" s="12" customFormat="1" ht="15" customHeight="1" x14ac:dyDescent="0.15">
      <c r="A126" s="12">
        <v>135</v>
      </c>
      <c r="B126" s="12" t="s">
        <v>1580</v>
      </c>
      <c r="C126" s="12">
        <f t="shared" si="20"/>
        <v>24</v>
      </c>
      <c r="D126" s="12">
        <v>1</v>
      </c>
      <c r="E126" s="12">
        <v>39</v>
      </c>
      <c r="F126" s="12">
        <v>1</v>
      </c>
      <c r="G126" s="13">
        <v>0</v>
      </c>
      <c r="H126" s="13">
        <v>0</v>
      </c>
      <c r="I126" s="13">
        <v>0</v>
      </c>
      <c r="J126" s="13">
        <v>1</v>
      </c>
      <c r="K126" s="13">
        <v>1</v>
      </c>
      <c r="L126" s="12">
        <v>1</v>
      </c>
      <c r="M126" s="12">
        <v>64</v>
      </c>
      <c r="N126" s="13">
        <v>0</v>
      </c>
      <c r="O126" s="13">
        <v>0</v>
      </c>
      <c r="P126" s="13">
        <v>0</v>
      </c>
      <c r="Q126" s="13">
        <v>0</v>
      </c>
      <c r="R126" s="13">
        <v>0</v>
      </c>
      <c r="S126" s="13">
        <v>0</v>
      </c>
      <c r="T126" s="12">
        <v>1</v>
      </c>
      <c r="U126" s="12">
        <v>1</v>
      </c>
      <c r="V126" s="12">
        <v>1</v>
      </c>
      <c r="W126" s="12">
        <v>0</v>
      </c>
      <c r="X126" s="12">
        <v>0</v>
      </c>
      <c r="Y126" s="12">
        <v>0</v>
      </c>
      <c r="Z126" s="12" t="s">
        <v>922</v>
      </c>
    </row>
    <row r="127" spans="1:26" s="12" customFormat="1" ht="15" customHeight="1" x14ac:dyDescent="0.15">
      <c r="A127" s="12">
        <v>136</v>
      </c>
      <c r="B127" s="12" t="s">
        <v>1581</v>
      </c>
      <c r="C127" s="12">
        <f t="shared" si="20"/>
        <v>24</v>
      </c>
      <c r="D127" s="12">
        <v>1</v>
      </c>
      <c r="E127" s="12">
        <v>42</v>
      </c>
      <c r="F127" s="12">
        <v>1</v>
      </c>
      <c r="G127" s="13">
        <v>0</v>
      </c>
      <c r="H127" s="13">
        <v>0</v>
      </c>
      <c r="I127" s="13">
        <v>0</v>
      </c>
      <c r="J127" s="13">
        <v>1</v>
      </c>
      <c r="K127" s="13">
        <v>1</v>
      </c>
      <c r="L127" s="12">
        <v>1</v>
      </c>
      <c r="M127" s="12">
        <v>64</v>
      </c>
      <c r="N127" s="13">
        <v>0</v>
      </c>
      <c r="O127" s="13">
        <v>0</v>
      </c>
      <c r="P127" s="13">
        <v>0</v>
      </c>
      <c r="Q127" s="13">
        <v>0</v>
      </c>
      <c r="R127" s="13">
        <v>0</v>
      </c>
      <c r="S127" s="13">
        <v>0</v>
      </c>
      <c r="T127" s="12">
        <v>1</v>
      </c>
      <c r="U127" s="12">
        <v>1</v>
      </c>
      <c r="V127" s="12">
        <v>1</v>
      </c>
      <c r="W127" s="12">
        <v>0</v>
      </c>
      <c r="X127" s="12">
        <v>0</v>
      </c>
      <c r="Y127" s="12">
        <v>0</v>
      </c>
      <c r="Z127" s="12" t="s">
        <v>923</v>
      </c>
    </row>
    <row r="128" spans="1:26" s="12" customFormat="1" ht="15" customHeight="1" x14ac:dyDescent="0.15">
      <c r="A128" s="12">
        <v>137</v>
      </c>
      <c r="B128" s="12" t="s">
        <v>914</v>
      </c>
      <c r="C128" s="12">
        <f t="shared" si="20"/>
        <v>24</v>
      </c>
      <c r="D128" s="12">
        <v>1</v>
      </c>
      <c r="F128" s="12">
        <v>1</v>
      </c>
      <c r="G128" s="13">
        <v>0</v>
      </c>
      <c r="H128" s="13">
        <v>0</v>
      </c>
      <c r="I128" s="13">
        <v>0</v>
      </c>
      <c r="J128" s="13">
        <v>1</v>
      </c>
      <c r="K128" s="13">
        <v>1</v>
      </c>
      <c r="L128" s="12">
        <v>1</v>
      </c>
      <c r="M128" s="12">
        <v>64</v>
      </c>
      <c r="N128" s="13">
        <v>0</v>
      </c>
      <c r="O128" s="13">
        <v>0</v>
      </c>
      <c r="P128" s="13">
        <v>0</v>
      </c>
      <c r="Q128" s="13">
        <v>0</v>
      </c>
      <c r="R128" s="13">
        <v>0</v>
      </c>
      <c r="S128" s="13">
        <v>0</v>
      </c>
      <c r="T128" s="12">
        <v>1</v>
      </c>
      <c r="U128" s="12">
        <v>1</v>
      </c>
      <c r="V128" s="12">
        <v>1</v>
      </c>
      <c r="W128" s="12">
        <v>0</v>
      </c>
      <c r="X128" s="12">
        <v>0</v>
      </c>
      <c r="Y128" s="12">
        <v>0</v>
      </c>
      <c r="Z128" s="12" t="s">
        <v>924</v>
      </c>
    </row>
    <row r="129" spans="1:26" s="12" customFormat="1" ht="15" customHeight="1" x14ac:dyDescent="0.15">
      <c r="A129" s="12">
        <v>138</v>
      </c>
      <c r="B129" s="12" t="s">
        <v>915</v>
      </c>
      <c r="C129" s="12">
        <f t="shared" si="20"/>
        <v>24</v>
      </c>
      <c r="D129" s="12">
        <v>1</v>
      </c>
      <c r="F129" s="12">
        <v>1</v>
      </c>
      <c r="G129" s="13">
        <v>0</v>
      </c>
      <c r="H129" s="13">
        <v>0</v>
      </c>
      <c r="I129" s="13">
        <v>0</v>
      </c>
      <c r="J129" s="13">
        <v>1</v>
      </c>
      <c r="K129" s="13">
        <v>1</v>
      </c>
      <c r="L129" s="12">
        <v>1</v>
      </c>
      <c r="M129" s="12">
        <v>64</v>
      </c>
      <c r="N129" s="13">
        <v>0</v>
      </c>
      <c r="O129" s="13">
        <v>0</v>
      </c>
      <c r="P129" s="13">
        <v>0</v>
      </c>
      <c r="Q129" s="13">
        <v>0</v>
      </c>
      <c r="R129" s="13">
        <v>0</v>
      </c>
      <c r="S129" s="13">
        <v>0</v>
      </c>
      <c r="T129" s="12">
        <v>1</v>
      </c>
      <c r="U129" s="12">
        <v>1</v>
      </c>
      <c r="V129" s="12">
        <v>1</v>
      </c>
      <c r="W129" s="12">
        <v>0</v>
      </c>
      <c r="X129" s="12">
        <v>0</v>
      </c>
      <c r="Y129" s="12">
        <v>0</v>
      </c>
      <c r="Z129" s="12" t="s">
        <v>925</v>
      </c>
    </row>
    <row r="130" spans="1:26" s="12" customFormat="1" ht="15" customHeight="1" x14ac:dyDescent="0.15">
      <c r="A130" s="12">
        <v>139</v>
      </c>
      <c r="B130" s="12" t="s">
        <v>913</v>
      </c>
      <c r="C130" s="12">
        <f t="shared" si="20"/>
        <v>24</v>
      </c>
      <c r="D130" s="12">
        <v>1</v>
      </c>
      <c r="F130" s="12">
        <v>1</v>
      </c>
      <c r="G130" s="13">
        <v>0</v>
      </c>
      <c r="H130" s="13">
        <v>0</v>
      </c>
      <c r="I130" s="13">
        <v>0</v>
      </c>
      <c r="J130" s="13">
        <v>1</v>
      </c>
      <c r="K130" s="13">
        <v>1</v>
      </c>
      <c r="L130" s="12">
        <v>1</v>
      </c>
      <c r="M130" s="12">
        <v>64</v>
      </c>
      <c r="N130" s="13">
        <v>0</v>
      </c>
      <c r="O130" s="13">
        <v>0</v>
      </c>
      <c r="P130" s="13">
        <v>0</v>
      </c>
      <c r="Q130" s="13">
        <v>0</v>
      </c>
      <c r="R130" s="13">
        <v>0</v>
      </c>
      <c r="S130" s="13">
        <v>0</v>
      </c>
      <c r="T130" s="12">
        <v>1</v>
      </c>
      <c r="U130" s="12">
        <v>1</v>
      </c>
      <c r="V130" s="12">
        <v>1</v>
      </c>
      <c r="W130" s="12">
        <v>0</v>
      </c>
      <c r="X130" s="12">
        <v>0</v>
      </c>
      <c r="Y130" s="12">
        <v>0</v>
      </c>
      <c r="Z130" s="12" t="s">
        <v>926</v>
      </c>
    </row>
    <row r="131" spans="1:26" s="12" customFormat="1" ht="15" customHeight="1" x14ac:dyDescent="0.15">
      <c r="A131" s="12">
        <v>140</v>
      </c>
      <c r="B131" s="12" t="s">
        <v>930</v>
      </c>
      <c r="C131" s="12">
        <f>G131+H131*2+I131*4+J131*8+K131*16</f>
        <v>29</v>
      </c>
      <c r="D131" s="12">
        <v>1</v>
      </c>
      <c r="F131" s="12">
        <v>0</v>
      </c>
      <c r="G131" s="13">
        <v>1</v>
      </c>
      <c r="H131" s="13">
        <v>0</v>
      </c>
      <c r="I131" s="13">
        <v>1</v>
      </c>
      <c r="J131" s="13">
        <v>1</v>
      </c>
      <c r="K131" s="13">
        <v>1</v>
      </c>
      <c r="L131" s="12">
        <v>1</v>
      </c>
      <c r="M131" s="12">
        <v>64</v>
      </c>
      <c r="N131" s="13">
        <v>0</v>
      </c>
      <c r="O131" s="13">
        <v>0</v>
      </c>
      <c r="P131" s="13">
        <v>0</v>
      </c>
      <c r="Q131" s="13">
        <v>0</v>
      </c>
      <c r="R131" s="13">
        <v>0</v>
      </c>
      <c r="S131" s="13">
        <v>0</v>
      </c>
      <c r="T131" s="12">
        <v>0</v>
      </c>
      <c r="U131" s="12">
        <v>1</v>
      </c>
      <c r="V131" s="12">
        <v>0</v>
      </c>
      <c r="W131" s="12">
        <v>0</v>
      </c>
      <c r="X131" s="12">
        <v>0</v>
      </c>
      <c r="Y131" s="12">
        <v>0</v>
      </c>
      <c r="Z131" s="12" t="s">
        <v>931</v>
      </c>
    </row>
    <row r="132" spans="1:26" s="12" customFormat="1" ht="15" customHeight="1" x14ac:dyDescent="0.15">
      <c r="A132" s="12">
        <v>141</v>
      </c>
      <c r="B132" s="12" t="s">
        <v>942</v>
      </c>
      <c r="C132" s="12">
        <f t="shared" ref="C132:C134" si="21">G132+H132*2+I132*4+J132*8+K132*16</f>
        <v>17</v>
      </c>
      <c r="D132" s="12">
        <v>1</v>
      </c>
      <c r="F132" s="12">
        <v>0</v>
      </c>
      <c r="G132" s="13">
        <v>1</v>
      </c>
      <c r="H132" s="13">
        <v>0</v>
      </c>
      <c r="I132" s="13">
        <v>0</v>
      </c>
      <c r="J132" s="13">
        <v>0</v>
      </c>
      <c r="K132" s="13">
        <v>1</v>
      </c>
      <c r="L132" s="12">
        <v>0</v>
      </c>
      <c r="M132" s="12">
        <f t="shared" ref="M132:M134" si="22">N132+O132*2+P132*4+Q132*8+R132*16+S132*32</f>
        <v>0</v>
      </c>
      <c r="N132" s="13">
        <v>0</v>
      </c>
      <c r="O132" s="13">
        <v>0</v>
      </c>
      <c r="P132" s="13">
        <v>0</v>
      </c>
      <c r="Q132" s="13">
        <v>0</v>
      </c>
      <c r="R132" s="13">
        <v>0</v>
      </c>
      <c r="S132" s="13">
        <v>0</v>
      </c>
      <c r="T132" s="12">
        <v>0</v>
      </c>
      <c r="U132" s="12">
        <v>1</v>
      </c>
      <c r="V132" s="12">
        <v>1</v>
      </c>
      <c r="W132" s="12">
        <v>0</v>
      </c>
      <c r="X132" s="12">
        <v>1</v>
      </c>
      <c r="Y132" s="12">
        <v>0</v>
      </c>
      <c r="Z132" s="12" t="s">
        <v>202</v>
      </c>
    </row>
    <row r="133" spans="1:26" s="12" customFormat="1" ht="15" customHeight="1" x14ac:dyDescent="0.15">
      <c r="A133" s="12">
        <v>142</v>
      </c>
      <c r="B133" s="12" t="s">
        <v>943</v>
      </c>
      <c r="C133" s="12">
        <f t="shared" si="21"/>
        <v>17</v>
      </c>
      <c r="D133" s="12">
        <v>1</v>
      </c>
      <c r="F133" s="12">
        <v>0</v>
      </c>
      <c r="G133" s="13">
        <v>1</v>
      </c>
      <c r="H133" s="13">
        <v>0</v>
      </c>
      <c r="I133" s="13">
        <v>0</v>
      </c>
      <c r="J133" s="13">
        <v>0</v>
      </c>
      <c r="K133" s="13">
        <v>1</v>
      </c>
      <c r="L133" s="12">
        <v>0</v>
      </c>
      <c r="M133" s="12">
        <f t="shared" si="22"/>
        <v>0</v>
      </c>
      <c r="N133" s="13">
        <v>0</v>
      </c>
      <c r="O133" s="13">
        <v>0</v>
      </c>
      <c r="P133" s="13">
        <v>0</v>
      </c>
      <c r="Q133" s="13">
        <v>0</v>
      </c>
      <c r="R133" s="13">
        <v>0</v>
      </c>
      <c r="S133" s="13">
        <v>0</v>
      </c>
      <c r="T133" s="12">
        <v>0</v>
      </c>
      <c r="U133" s="12">
        <v>1</v>
      </c>
      <c r="V133" s="12">
        <v>1</v>
      </c>
      <c r="W133" s="12">
        <v>0</v>
      </c>
      <c r="X133" s="12">
        <v>1</v>
      </c>
      <c r="Y133" s="12">
        <v>0</v>
      </c>
      <c r="Z133" s="12" t="s">
        <v>200</v>
      </c>
    </row>
    <row r="134" spans="1:26" s="12" customFormat="1" ht="15" customHeight="1" x14ac:dyDescent="0.15">
      <c r="A134" s="12">
        <v>143</v>
      </c>
      <c r="B134" s="12" t="s">
        <v>944</v>
      </c>
      <c r="C134" s="12">
        <f t="shared" si="21"/>
        <v>17</v>
      </c>
      <c r="D134" s="12">
        <v>1</v>
      </c>
      <c r="F134" s="12">
        <v>0</v>
      </c>
      <c r="G134" s="13">
        <v>1</v>
      </c>
      <c r="H134" s="13">
        <v>0</v>
      </c>
      <c r="I134" s="13">
        <v>0</v>
      </c>
      <c r="J134" s="13">
        <v>0</v>
      </c>
      <c r="K134" s="13">
        <v>1</v>
      </c>
      <c r="L134" s="12">
        <v>0</v>
      </c>
      <c r="M134" s="12">
        <f t="shared" si="22"/>
        <v>0</v>
      </c>
      <c r="N134" s="13">
        <v>0</v>
      </c>
      <c r="O134" s="13">
        <v>0</v>
      </c>
      <c r="P134" s="13">
        <v>0</v>
      </c>
      <c r="Q134" s="13">
        <v>0</v>
      </c>
      <c r="R134" s="13">
        <v>0</v>
      </c>
      <c r="S134" s="13">
        <v>0</v>
      </c>
      <c r="T134" s="12">
        <v>0</v>
      </c>
      <c r="U134" s="12">
        <v>1</v>
      </c>
      <c r="V134" s="12">
        <v>1</v>
      </c>
      <c r="W134" s="12">
        <v>0</v>
      </c>
      <c r="X134" s="12">
        <v>1</v>
      </c>
      <c r="Y134" s="12">
        <v>0</v>
      </c>
      <c r="Z134" s="12" t="s">
        <v>200</v>
      </c>
    </row>
    <row r="135" spans="1:26" s="12" customFormat="1" ht="15" customHeight="1" x14ac:dyDescent="0.15">
      <c r="A135" s="12">
        <v>144</v>
      </c>
      <c r="B135" s="12" t="s">
        <v>947</v>
      </c>
      <c r="C135" s="12">
        <f>G135+H135*2+I135*4+J135*8+K135*16</f>
        <v>5</v>
      </c>
      <c r="D135" s="12">
        <v>1</v>
      </c>
      <c r="F135" s="12">
        <v>0</v>
      </c>
      <c r="G135" s="13">
        <v>1</v>
      </c>
      <c r="H135" s="13">
        <v>0</v>
      </c>
      <c r="I135" s="13">
        <v>1</v>
      </c>
      <c r="J135" s="13">
        <v>0</v>
      </c>
      <c r="K135" s="13">
        <v>0</v>
      </c>
      <c r="L135" s="12">
        <v>1</v>
      </c>
      <c r="M135" s="12">
        <v>0</v>
      </c>
      <c r="N135" s="13">
        <v>0</v>
      </c>
      <c r="O135" s="13">
        <v>0</v>
      </c>
      <c r="P135" s="13">
        <v>0</v>
      </c>
      <c r="Q135" s="13">
        <v>0</v>
      </c>
      <c r="R135" s="13">
        <v>0</v>
      </c>
      <c r="S135" s="13">
        <v>0</v>
      </c>
      <c r="T135" s="12">
        <v>0</v>
      </c>
      <c r="U135" s="12">
        <v>0</v>
      </c>
      <c r="V135" s="12">
        <v>1</v>
      </c>
      <c r="W135" s="12">
        <v>0</v>
      </c>
      <c r="X135" s="12">
        <v>0</v>
      </c>
      <c r="Y135" s="12">
        <v>0</v>
      </c>
      <c r="Z135" s="12" t="s">
        <v>953</v>
      </c>
    </row>
    <row r="136" spans="1:26" s="12" customFormat="1" ht="15" customHeight="1" x14ac:dyDescent="0.15">
      <c r="A136" s="12">
        <v>145</v>
      </c>
      <c r="B136" s="12" t="s">
        <v>948</v>
      </c>
      <c r="C136" s="12">
        <f>G136+H136*2+I136*4+J136*8+K136*16</f>
        <v>5</v>
      </c>
      <c r="D136" s="12">
        <v>1</v>
      </c>
      <c r="F136" s="12">
        <v>0</v>
      </c>
      <c r="G136" s="13">
        <v>1</v>
      </c>
      <c r="H136" s="13">
        <v>0</v>
      </c>
      <c r="I136" s="13">
        <v>1</v>
      </c>
      <c r="J136" s="13">
        <v>0</v>
      </c>
      <c r="K136" s="13">
        <v>0</v>
      </c>
      <c r="L136" s="12">
        <v>1</v>
      </c>
      <c r="M136" s="12">
        <v>0</v>
      </c>
      <c r="N136" s="13">
        <v>0</v>
      </c>
      <c r="O136" s="13">
        <v>0</v>
      </c>
      <c r="P136" s="13">
        <v>0</v>
      </c>
      <c r="Q136" s="13">
        <v>0</v>
      </c>
      <c r="R136" s="13">
        <v>0</v>
      </c>
      <c r="S136" s="13">
        <v>0</v>
      </c>
      <c r="T136" s="12">
        <v>0</v>
      </c>
      <c r="U136" s="12">
        <v>0</v>
      </c>
      <c r="V136" s="12">
        <v>1</v>
      </c>
      <c r="W136" s="12">
        <v>0</v>
      </c>
      <c r="X136" s="12">
        <v>0</v>
      </c>
      <c r="Y136" s="12">
        <v>0</v>
      </c>
      <c r="Z136" s="12" t="s">
        <v>952</v>
      </c>
    </row>
    <row r="137" spans="1:26" s="12" customFormat="1" ht="15" customHeight="1" x14ac:dyDescent="0.15">
      <c r="A137" s="12">
        <v>146</v>
      </c>
      <c r="B137" s="12" t="s">
        <v>949</v>
      </c>
      <c r="C137" s="12">
        <f>G137+H137*2+I137*4+J137*8+K137*16</f>
        <v>5</v>
      </c>
      <c r="D137" s="12">
        <v>1</v>
      </c>
      <c r="F137" s="12">
        <v>0</v>
      </c>
      <c r="G137" s="13">
        <v>1</v>
      </c>
      <c r="H137" s="13">
        <v>0</v>
      </c>
      <c r="I137" s="13">
        <v>1</v>
      </c>
      <c r="J137" s="13">
        <v>0</v>
      </c>
      <c r="K137" s="13">
        <v>0</v>
      </c>
      <c r="L137" s="12">
        <v>1</v>
      </c>
      <c r="M137" s="12">
        <v>0</v>
      </c>
      <c r="N137" s="13">
        <v>0</v>
      </c>
      <c r="O137" s="13">
        <v>0</v>
      </c>
      <c r="P137" s="13">
        <v>0</v>
      </c>
      <c r="Q137" s="13">
        <v>0</v>
      </c>
      <c r="R137" s="13">
        <v>0</v>
      </c>
      <c r="S137" s="13">
        <v>0</v>
      </c>
      <c r="T137" s="12">
        <v>0</v>
      </c>
      <c r="U137" s="12">
        <v>0</v>
      </c>
      <c r="V137" s="12">
        <v>1</v>
      </c>
      <c r="W137" s="12">
        <v>0</v>
      </c>
      <c r="X137" s="12">
        <v>0</v>
      </c>
      <c r="Y137" s="12">
        <v>0</v>
      </c>
      <c r="Z137" s="12" t="s">
        <v>951</v>
      </c>
    </row>
    <row r="138" spans="1:26" s="12" customFormat="1" ht="15" customHeight="1" x14ac:dyDescent="0.15">
      <c r="A138" s="12">
        <v>147</v>
      </c>
      <c r="B138" s="12" t="s">
        <v>968</v>
      </c>
      <c r="C138" s="12">
        <f>G138+H138*2+I138*4+J138*8+K138*16</f>
        <v>0</v>
      </c>
      <c r="D138" s="12">
        <v>1</v>
      </c>
      <c r="F138" s="12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2">
        <v>1</v>
      </c>
      <c r="M138" s="12">
        <v>64</v>
      </c>
      <c r="N138" s="13">
        <v>0</v>
      </c>
      <c r="O138" s="13">
        <v>0</v>
      </c>
      <c r="P138" s="13">
        <v>0</v>
      </c>
      <c r="Q138" s="13">
        <v>0</v>
      </c>
      <c r="R138" s="13">
        <v>0</v>
      </c>
      <c r="S138" s="13">
        <v>0</v>
      </c>
      <c r="T138" s="12">
        <v>1</v>
      </c>
      <c r="U138" s="12">
        <v>1</v>
      </c>
      <c r="V138" s="12">
        <v>0</v>
      </c>
      <c r="W138" s="12">
        <v>0</v>
      </c>
      <c r="X138" s="12">
        <v>0</v>
      </c>
      <c r="Y138" s="12">
        <v>0</v>
      </c>
      <c r="Z138" s="12" t="s">
        <v>969</v>
      </c>
    </row>
    <row r="139" spans="1:26" s="12" customFormat="1" ht="15" customHeight="1" x14ac:dyDescent="0.15">
      <c r="A139" s="12">
        <v>148</v>
      </c>
      <c r="B139" s="12" t="s">
        <v>970</v>
      </c>
      <c r="C139" s="12">
        <f>G139+H139*2+I139*4+J139*8+K139*16</f>
        <v>0</v>
      </c>
      <c r="D139" s="12">
        <v>1</v>
      </c>
      <c r="F139" s="12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2">
        <v>1</v>
      </c>
      <c r="M139" s="12">
        <v>64</v>
      </c>
      <c r="N139" s="13">
        <v>0</v>
      </c>
      <c r="O139" s="13">
        <v>0</v>
      </c>
      <c r="P139" s="13">
        <v>0</v>
      </c>
      <c r="Q139" s="13">
        <v>0</v>
      </c>
      <c r="R139" s="13">
        <v>0</v>
      </c>
      <c r="S139" s="13">
        <v>0</v>
      </c>
      <c r="T139" s="12">
        <v>1</v>
      </c>
      <c r="U139" s="12">
        <v>1</v>
      </c>
      <c r="V139" s="12">
        <v>0</v>
      </c>
      <c r="W139" s="12">
        <v>0</v>
      </c>
      <c r="X139" s="12">
        <v>0</v>
      </c>
      <c r="Y139" s="12">
        <v>0</v>
      </c>
      <c r="Z139" s="12" t="s">
        <v>972</v>
      </c>
    </row>
    <row r="140" spans="1:26" s="12" customFormat="1" ht="15" customHeight="1" x14ac:dyDescent="0.15">
      <c r="A140" s="12">
        <v>149</v>
      </c>
      <c r="B140" s="12" t="s">
        <v>971</v>
      </c>
      <c r="C140" s="12">
        <f t="shared" ref="C140" si="23">G140+H140*2+I140*4+J140*8+K140*16</f>
        <v>1</v>
      </c>
      <c r="D140" s="12">
        <v>1</v>
      </c>
      <c r="F140" s="12">
        <v>0</v>
      </c>
      <c r="G140" s="13">
        <v>1</v>
      </c>
      <c r="H140" s="13">
        <v>0</v>
      </c>
      <c r="I140" s="13">
        <v>0</v>
      </c>
      <c r="J140" s="13">
        <v>0</v>
      </c>
      <c r="K140" s="13">
        <v>0</v>
      </c>
      <c r="L140" s="12">
        <v>1</v>
      </c>
      <c r="M140" s="12">
        <f>N140+O140*2+P140*4+Q140*8+R140*16+S140*32</f>
        <v>0</v>
      </c>
      <c r="N140" s="13">
        <v>0</v>
      </c>
      <c r="O140" s="13">
        <v>0</v>
      </c>
      <c r="P140" s="13">
        <v>0</v>
      </c>
      <c r="Q140" s="13">
        <v>0</v>
      </c>
      <c r="R140" s="13">
        <v>0</v>
      </c>
      <c r="S140" s="13">
        <v>0</v>
      </c>
      <c r="T140" s="12">
        <v>0</v>
      </c>
      <c r="U140" s="12">
        <v>1</v>
      </c>
      <c r="V140" s="12">
        <v>0</v>
      </c>
      <c r="W140" s="12">
        <v>0</v>
      </c>
      <c r="X140" s="12">
        <v>0</v>
      </c>
      <c r="Y140" s="12">
        <v>0</v>
      </c>
    </row>
    <row r="141" spans="1:26" s="12" customFormat="1" ht="15" customHeight="1" x14ac:dyDescent="0.15">
      <c r="A141" s="12">
        <v>150</v>
      </c>
      <c r="B141" s="12" t="s">
        <v>1701</v>
      </c>
      <c r="C141" s="12">
        <f t="shared" ref="C141:C146" si="24">G141+H141*2+I141*4+J141*8+K141*16</f>
        <v>29</v>
      </c>
      <c r="D141" s="12">
        <v>1</v>
      </c>
      <c r="F141" s="12">
        <v>0</v>
      </c>
      <c r="G141" s="13">
        <v>1</v>
      </c>
      <c r="H141" s="13">
        <v>0</v>
      </c>
      <c r="I141" s="13">
        <v>1</v>
      </c>
      <c r="J141" s="13">
        <v>1</v>
      </c>
      <c r="K141" s="13">
        <v>1</v>
      </c>
      <c r="L141" s="12">
        <v>1</v>
      </c>
      <c r="M141" s="12">
        <f>N141+O141*2+P141*4+Q141*8+R141*16+S141*32</f>
        <v>0</v>
      </c>
      <c r="N141" s="13">
        <v>0</v>
      </c>
      <c r="O141" s="13">
        <v>0</v>
      </c>
      <c r="P141" s="13">
        <v>0</v>
      </c>
      <c r="Q141" s="13">
        <v>0</v>
      </c>
      <c r="R141" s="13">
        <v>0</v>
      </c>
      <c r="S141" s="13">
        <v>0</v>
      </c>
      <c r="T141" s="12">
        <v>1</v>
      </c>
      <c r="U141" s="12">
        <v>1</v>
      </c>
      <c r="V141" s="12">
        <v>0</v>
      </c>
      <c r="W141" s="12">
        <v>0</v>
      </c>
      <c r="X141" s="12">
        <v>0</v>
      </c>
      <c r="Y141" s="12">
        <v>0</v>
      </c>
      <c r="Z141" s="12" t="s">
        <v>1702</v>
      </c>
    </row>
    <row r="142" spans="1:26" s="12" customFormat="1" ht="15" customHeight="1" x14ac:dyDescent="0.15">
      <c r="A142" s="12">
        <v>151</v>
      </c>
      <c r="B142" s="12" t="s">
        <v>1247</v>
      </c>
      <c r="C142" s="12">
        <f t="shared" si="24"/>
        <v>24</v>
      </c>
      <c r="D142" s="12">
        <v>1</v>
      </c>
      <c r="F142" s="12">
        <v>1</v>
      </c>
      <c r="G142" s="13">
        <v>0</v>
      </c>
      <c r="H142" s="13">
        <v>0</v>
      </c>
      <c r="I142" s="13">
        <v>0</v>
      </c>
      <c r="J142" s="13">
        <v>1</v>
      </c>
      <c r="K142" s="13">
        <v>1</v>
      </c>
      <c r="L142" s="12">
        <v>1</v>
      </c>
      <c r="M142" s="12">
        <v>64</v>
      </c>
      <c r="N142" s="13">
        <v>0</v>
      </c>
      <c r="O142" s="13">
        <v>0</v>
      </c>
      <c r="P142" s="13">
        <v>0</v>
      </c>
      <c r="Q142" s="13">
        <v>0</v>
      </c>
      <c r="R142" s="13">
        <v>0</v>
      </c>
      <c r="S142" s="13">
        <v>0</v>
      </c>
      <c r="T142" s="12">
        <v>1</v>
      </c>
      <c r="U142" s="12">
        <v>1</v>
      </c>
      <c r="V142" s="12">
        <v>1</v>
      </c>
      <c r="W142" s="12">
        <v>0</v>
      </c>
      <c r="X142" s="12">
        <v>0</v>
      </c>
      <c r="Y142" s="12">
        <v>0</v>
      </c>
      <c r="Z142" s="12" t="s">
        <v>921</v>
      </c>
    </row>
    <row r="143" spans="1:26" s="12" customFormat="1" ht="15" customHeight="1" x14ac:dyDescent="0.15">
      <c r="A143" s="12">
        <v>152</v>
      </c>
      <c r="B143" s="12" t="s">
        <v>1248</v>
      </c>
      <c r="C143" s="12">
        <f t="shared" si="24"/>
        <v>24</v>
      </c>
      <c r="D143" s="12">
        <v>1</v>
      </c>
      <c r="F143" s="12">
        <v>1</v>
      </c>
      <c r="G143" s="13">
        <v>0</v>
      </c>
      <c r="H143" s="13">
        <v>0</v>
      </c>
      <c r="I143" s="13">
        <v>0</v>
      </c>
      <c r="J143" s="13">
        <v>1</v>
      </c>
      <c r="K143" s="13">
        <v>1</v>
      </c>
      <c r="L143" s="12">
        <v>1</v>
      </c>
      <c r="M143" s="12">
        <v>64</v>
      </c>
      <c r="N143" s="13">
        <v>0</v>
      </c>
      <c r="O143" s="13">
        <v>0</v>
      </c>
      <c r="P143" s="13">
        <v>0</v>
      </c>
      <c r="Q143" s="13">
        <v>0</v>
      </c>
      <c r="R143" s="13">
        <v>0</v>
      </c>
      <c r="S143" s="13">
        <v>0</v>
      </c>
      <c r="T143" s="12">
        <v>1</v>
      </c>
      <c r="U143" s="12">
        <v>1</v>
      </c>
      <c r="V143" s="12">
        <v>1</v>
      </c>
      <c r="W143" s="12">
        <v>0</v>
      </c>
      <c r="X143" s="12">
        <v>0</v>
      </c>
      <c r="Y143" s="12">
        <v>0</v>
      </c>
      <c r="Z143" s="12" t="s">
        <v>922</v>
      </c>
    </row>
    <row r="144" spans="1:26" s="12" customFormat="1" ht="15" customHeight="1" x14ac:dyDescent="0.15">
      <c r="A144" s="12">
        <v>153</v>
      </c>
      <c r="B144" s="12" t="s">
        <v>1249</v>
      </c>
      <c r="C144" s="12">
        <f t="shared" si="24"/>
        <v>24</v>
      </c>
      <c r="D144" s="12">
        <v>1</v>
      </c>
      <c r="F144" s="12">
        <v>1</v>
      </c>
      <c r="G144" s="13">
        <v>0</v>
      </c>
      <c r="H144" s="13">
        <v>0</v>
      </c>
      <c r="I144" s="13">
        <v>0</v>
      </c>
      <c r="J144" s="13">
        <v>1</v>
      </c>
      <c r="K144" s="13">
        <v>1</v>
      </c>
      <c r="L144" s="12">
        <v>1</v>
      </c>
      <c r="M144" s="12">
        <v>64</v>
      </c>
      <c r="N144" s="13">
        <v>0</v>
      </c>
      <c r="O144" s="13">
        <v>0</v>
      </c>
      <c r="P144" s="13">
        <v>0</v>
      </c>
      <c r="Q144" s="13">
        <v>0</v>
      </c>
      <c r="R144" s="13">
        <v>0</v>
      </c>
      <c r="S144" s="13">
        <v>0</v>
      </c>
      <c r="T144" s="12">
        <v>1</v>
      </c>
      <c r="U144" s="12">
        <v>1</v>
      </c>
      <c r="V144" s="12">
        <v>1</v>
      </c>
      <c r="W144" s="12">
        <v>0</v>
      </c>
      <c r="X144" s="12">
        <v>0</v>
      </c>
      <c r="Y144" s="12">
        <v>0</v>
      </c>
      <c r="Z144" s="12" t="s">
        <v>923</v>
      </c>
    </row>
    <row r="145" spans="1:26" s="12" customFormat="1" ht="15" customHeight="1" x14ac:dyDescent="0.15">
      <c r="A145" s="12">
        <v>154</v>
      </c>
      <c r="B145" s="12" t="s">
        <v>1250</v>
      </c>
      <c r="C145" s="12">
        <f t="shared" si="24"/>
        <v>24</v>
      </c>
      <c r="D145" s="12">
        <v>1</v>
      </c>
      <c r="F145" s="12">
        <v>1</v>
      </c>
      <c r="G145" s="13">
        <v>0</v>
      </c>
      <c r="H145" s="13">
        <v>0</v>
      </c>
      <c r="I145" s="13">
        <v>0</v>
      </c>
      <c r="J145" s="13">
        <v>1</v>
      </c>
      <c r="K145" s="13">
        <v>1</v>
      </c>
      <c r="L145" s="12">
        <v>1</v>
      </c>
      <c r="M145" s="12">
        <v>64</v>
      </c>
      <c r="N145" s="13">
        <v>0</v>
      </c>
      <c r="O145" s="13">
        <v>0</v>
      </c>
      <c r="P145" s="13">
        <v>0</v>
      </c>
      <c r="Q145" s="13">
        <v>0</v>
      </c>
      <c r="R145" s="13">
        <v>0</v>
      </c>
      <c r="S145" s="13">
        <v>0</v>
      </c>
      <c r="T145" s="12">
        <v>1</v>
      </c>
      <c r="U145" s="12">
        <v>1</v>
      </c>
      <c r="V145" s="12">
        <v>1</v>
      </c>
      <c r="W145" s="12">
        <v>0</v>
      </c>
      <c r="X145" s="12">
        <v>0</v>
      </c>
      <c r="Y145" s="12">
        <v>0</v>
      </c>
      <c r="Z145" s="12" t="s">
        <v>924</v>
      </c>
    </row>
    <row r="146" spans="1:26" s="12" customFormat="1" ht="15" customHeight="1" x14ac:dyDescent="0.15">
      <c r="A146" s="12">
        <v>155</v>
      </c>
      <c r="B146" s="12" t="s">
        <v>1490</v>
      </c>
      <c r="C146" s="12">
        <f t="shared" si="24"/>
        <v>5</v>
      </c>
      <c r="D146" s="13">
        <v>1</v>
      </c>
      <c r="E146" s="13"/>
      <c r="F146" s="12">
        <v>0</v>
      </c>
      <c r="G146" s="13">
        <v>1</v>
      </c>
      <c r="H146" s="13">
        <v>0</v>
      </c>
      <c r="I146" s="13">
        <v>1</v>
      </c>
      <c r="J146" s="13">
        <v>0</v>
      </c>
      <c r="K146" s="13">
        <v>0</v>
      </c>
      <c r="L146" s="12">
        <v>1</v>
      </c>
      <c r="M146" s="12">
        <v>64</v>
      </c>
      <c r="N146" s="13">
        <v>0</v>
      </c>
      <c r="O146" s="13">
        <v>0</v>
      </c>
      <c r="P146" s="13">
        <v>0</v>
      </c>
      <c r="Q146" s="13">
        <v>0</v>
      </c>
      <c r="R146" s="13">
        <v>0</v>
      </c>
      <c r="S146" s="13">
        <v>0</v>
      </c>
      <c r="T146" s="12">
        <v>1</v>
      </c>
      <c r="U146" s="12">
        <v>1</v>
      </c>
      <c r="V146" s="12">
        <v>1</v>
      </c>
      <c r="W146" s="12">
        <v>0</v>
      </c>
      <c r="X146" s="12">
        <v>0</v>
      </c>
      <c r="Y146" s="12">
        <v>0</v>
      </c>
      <c r="Z146" s="17" t="s">
        <v>1262</v>
      </c>
    </row>
    <row r="147" spans="1:26" s="12" customFormat="1" ht="15" customHeight="1" x14ac:dyDescent="0.15">
      <c r="A147" s="12">
        <v>156</v>
      </c>
      <c r="B147" s="12" t="s">
        <v>1691</v>
      </c>
      <c r="C147" s="12">
        <f t="shared" ref="C147" si="25">G147+H147*2+I147*4+J147*8+K147*16</f>
        <v>25</v>
      </c>
      <c r="D147" s="13">
        <v>1</v>
      </c>
      <c r="E147" s="13"/>
      <c r="F147" s="12">
        <v>0</v>
      </c>
      <c r="G147" s="13">
        <v>1</v>
      </c>
      <c r="H147" s="13">
        <v>0</v>
      </c>
      <c r="I147" s="13">
        <v>0</v>
      </c>
      <c r="J147" s="13">
        <v>1</v>
      </c>
      <c r="K147" s="13">
        <v>1</v>
      </c>
      <c r="L147" s="12">
        <v>1</v>
      </c>
      <c r="M147" s="12">
        <v>64</v>
      </c>
      <c r="N147" s="13">
        <v>0</v>
      </c>
      <c r="O147" s="13">
        <v>0</v>
      </c>
      <c r="P147" s="13">
        <v>0</v>
      </c>
      <c r="Q147" s="13">
        <v>0</v>
      </c>
      <c r="R147" s="13">
        <v>0</v>
      </c>
      <c r="S147" s="13">
        <v>0</v>
      </c>
      <c r="T147" s="12">
        <v>1</v>
      </c>
      <c r="U147" s="12">
        <v>1</v>
      </c>
      <c r="V147" s="12">
        <v>1</v>
      </c>
      <c r="W147" s="12">
        <v>0</v>
      </c>
      <c r="X147" s="12">
        <v>0</v>
      </c>
      <c r="Y147" s="12">
        <v>0</v>
      </c>
      <c r="Z147" s="17" t="s">
        <v>1692</v>
      </c>
    </row>
    <row r="148" spans="1:26" s="12" customFormat="1" ht="15" customHeight="1" x14ac:dyDescent="0.15">
      <c r="A148" s="12">
        <v>157</v>
      </c>
      <c r="B148" s="12" t="s">
        <v>1296</v>
      </c>
      <c r="C148" s="12">
        <v>1</v>
      </c>
      <c r="D148" s="12">
        <v>1</v>
      </c>
      <c r="E148" s="12">
        <v>62</v>
      </c>
      <c r="F148" s="12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2">
        <v>1</v>
      </c>
      <c r="M148" s="12">
        <v>64</v>
      </c>
      <c r="N148" s="13">
        <v>0</v>
      </c>
      <c r="O148" s="13">
        <v>0</v>
      </c>
      <c r="P148" s="13">
        <v>0</v>
      </c>
      <c r="Q148" s="13">
        <v>0</v>
      </c>
      <c r="R148" s="13">
        <v>0</v>
      </c>
      <c r="S148" s="13">
        <v>0</v>
      </c>
      <c r="T148" s="12">
        <v>1</v>
      </c>
      <c r="U148" s="12">
        <v>1</v>
      </c>
      <c r="V148" s="12">
        <v>1</v>
      </c>
      <c r="W148" s="12">
        <v>0</v>
      </c>
      <c r="X148" s="12">
        <v>1</v>
      </c>
      <c r="Y148" s="12">
        <v>1</v>
      </c>
      <c r="Z148" s="17" t="str">
        <f>"----------------------
◇可领取"&amp;B148&amp;"级每日礼包
◇打怪经验提升30%"</f>
        <v>----------------------
◇可领取VIP5级每日礼包
◇打怪经验提升30%</v>
      </c>
    </row>
    <row r="149" spans="1:26" s="12" customFormat="1" ht="15" customHeight="1" x14ac:dyDescent="0.15">
      <c r="A149" s="12">
        <v>158</v>
      </c>
      <c r="B149" s="12" t="s">
        <v>1297</v>
      </c>
      <c r="C149" s="12">
        <f t="shared" ref="C149:C167" si="26">G149+H149*2+I149*4+J149*8+K149*16</f>
        <v>1</v>
      </c>
      <c r="D149" s="12">
        <v>1</v>
      </c>
      <c r="E149" s="12">
        <v>26</v>
      </c>
      <c r="F149" s="12">
        <v>0</v>
      </c>
      <c r="G149" s="13">
        <v>1</v>
      </c>
      <c r="H149" s="13">
        <v>0</v>
      </c>
      <c r="I149" s="13">
        <v>0</v>
      </c>
      <c r="J149" s="13">
        <v>0</v>
      </c>
      <c r="K149" s="13">
        <v>0</v>
      </c>
      <c r="L149" s="12">
        <v>1</v>
      </c>
      <c r="M149" s="12">
        <v>64</v>
      </c>
      <c r="N149" s="13">
        <v>0</v>
      </c>
      <c r="O149" s="13">
        <v>0</v>
      </c>
      <c r="P149" s="13">
        <v>0</v>
      </c>
      <c r="Q149" s="13">
        <v>0</v>
      </c>
      <c r="R149" s="13">
        <v>0</v>
      </c>
      <c r="S149" s="13">
        <v>0</v>
      </c>
      <c r="T149" s="12">
        <v>1</v>
      </c>
      <c r="U149" s="12">
        <v>1</v>
      </c>
      <c r="V149" s="12">
        <v>1</v>
      </c>
      <c r="W149" s="12">
        <v>0</v>
      </c>
      <c r="X149" s="12">
        <v>0</v>
      </c>
      <c r="Y149" s="12">
        <v>0</v>
      </c>
      <c r="Z149" s="12" t="s">
        <v>1716</v>
      </c>
    </row>
    <row r="150" spans="1:26" s="12" customFormat="1" ht="15" customHeight="1" x14ac:dyDescent="0.15">
      <c r="A150" s="12">
        <v>160</v>
      </c>
      <c r="B150" s="12" t="s">
        <v>1298</v>
      </c>
      <c r="C150" s="12">
        <f t="shared" si="26"/>
        <v>16</v>
      </c>
      <c r="D150" s="12">
        <v>1</v>
      </c>
      <c r="F150" s="12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1</v>
      </c>
      <c r="L150" s="12">
        <v>0</v>
      </c>
      <c r="M150" s="12">
        <f t="shared" ref="M150:M156" si="27">N150+O150*2+P150*4+Q150*8+R150*16+S150*32</f>
        <v>0</v>
      </c>
      <c r="N150" s="13">
        <v>0</v>
      </c>
      <c r="O150" s="13">
        <v>0</v>
      </c>
      <c r="P150" s="13">
        <v>0</v>
      </c>
      <c r="Q150" s="13">
        <v>0</v>
      </c>
      <c r="R150" s="13">
        <v>0</v>
      </c>
      <c r="S150" s="13">
        <v>0</v>
      </c>
      <c r="T150" s="12">
        <v>0</v>
      </c>
      <c r="U150" s="12">
        <v>1</v>
      </c>
      <c r="V150" s="12">
        <v>0</v>
      </c>
      <c r="W150" s="12">
        <v>0</v>
      </c>
      <c r="X150" s="12">
        <v>1</v>
      </c>
      <c r="Y150" s="12">
        <v>0</v>
      </c>
      <c r="Z150" s="12" t="s">
        <v>323</v>
      </c>
    </row>
    <row r="151" spans="1:26" s="12" customFormat="1" ht="15" customHeight="1" x14ac:dyDescent="0.15">
      <c r="A151" s="12">
        <v>161</v>
      </c>
      <c r="B151" s="12" t="s">
        <v>1299</v>
      </c>
      <c r="C151" s="12">
        <f t="shared" si="26"/>
        <v>16</v>
      </c>
      <c r="D151" s="12">
        <v>1</v>
      </c>
      <c r="F151" s="12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1</v>
      </c>
      <c r="L151" s="12">
        <v>0</v>
      </c>
      <c r="M151" s="12">
        <f t="shared" si="27"/>
        <v>0</v>
      </c>
      <c r="N151" s="13">
        <v>0</v>
      </c>
      <c r="O151" s="13">
        <v>0</v>
      </c>
      <c r="P151" s="13">
        <v>0</v>
      </c>
      <c r="Q151" s="13">
        <v>0</v>
      </c>
      <c r="R151" s="13">
        <v>0</v>
      </c>
      <c r="S151" s="13">
        <v>0</v>
      </c>
      <c r="T151" s="12">
        <v>0</v>
      </c>
      <c r="U151" s="12">
        <v>1</v>
      </c>
      <c r="V151" s="12">
        <v>0</v>
      </c>
      <c r="W151" s="12">
        <v>0</v>
      </c>
      <c r="X151" s="12">
        <v>1</v>
      </c>
      <c r="Y151" s="12">
        <v>0</v>
      </c>
      <c r="Z151" s="12" t="s">
        <v>323</v>
      </c>
    </row>
    <row r="152" spans="1:26" s="12" customFormat="1" ht="15" customHeight="1" x14ac:dyDescent="0.15">
      <c r="A152" s="12">
        <v>162</v>
      </c>
      <c r="B152" s="12" t="s">
        <v>1300</v>
      </c>
      <c r="C152" s="12">
        <f t="shared" si="26"/>
        <v>16</v>
      </c>
      <c r="D152" s="12">
        <v>1</v>
      </c>
      <c r="F152" s="12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1</v>
      </c>
      <c r="L152" s="12">
        <v>0</v>
      </c>
      <c r="M152" s="12">
        <f t="shared" si="27"/>
        <v>0</v>
      </c>
      <c r="N152" s="13">
        <v>0</v>
      </c>
      <c r="O152" s="13">
        <v>0</v>
      </c>
      <c r="P152" s="13">
        <v>0</v>
      </c>
      <c r="Q152" s="13">
        <v>0</v>
      </c>
      <c r="R152" s="13">
        <v>0</v>
      </c>
      <c r="S152" s="13">
        <v>0</v>
      </c>
      <c r="T152" s="12">
        <v>0</v>
      </c>
      <c r="U152" s="12">
        <v>1</v>
      </c>
      <c r="V152" s="12">
        <v>0</v>
      </c>
      <c r="W152" s="12">
        <v>0</v>
      </c>
      <c r="X152" s="12">
        <v>1</v>
      </c>
      <c r="Y152" s="12">
        <v>0</v>
      </c>
      <c r="Z152" s="12" t="s">
        <v>323</v>
      </c>
    </row>
    <row r="153" spans="1:26" s="12" customFormat="1" ht="15" customHeight="1" x14ac:dyDescent="0.15">
      <c r="A153" s="12">
        <v>163</v>
      </c>
      <c r="B153" s="12" t="s">
        <v>1301</v>
      </c>
      <c r="C153" s="12">
        <f t="shared" si="26"/>
        <v>16</v>
      </c>
      <c r="D153" s="12">
        <v>1</v>
      </c>
      <c r="F153" s="12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1</v>
      </c>
      <c r="L153" s="12">
        <v>0</v>
      </c>
      <c r="M153" s="12">
        <f t="shared" si="27"/>
        <v>0</v>
      </c>
      <c r="N153" s="13">
        <v>0</v>
      </c>
      <c r="O153" s="13">
        <v>0</v>
      </c>
      <c r="P153" s="13">
        <v>0</v>
      </c>
      <c r="Q153" s="13">
        <v>0</v>
      </c>
      <c r="R153" s="13">
        <v>0</v>
      </c>
      <c r="S153" s="13">
        <v>0</v>
      </c>
      <c r="T153" s="12">
        <v>0</v>
      </c>
      <c r="U153" s="12">
        <v>1</v>
      </c>
      <c r="V153" s="12">
        <v>0</v>
      </c>
      <c r="W153" s="12">
        <v>0</v>
      </c>
      <c r="X153" s="12">
        <v>1</v>
      </c>
      <c r="Y153" s="12">
        <v>0</v>
      </c>
      <c r="Z153" s="12" t="s">
        <v>323</v>
      </c>
    </row>
    <row r="154" spans="1:26" s="12" customFormat="1" ht="15" customHeight="1" x14ac:dyDescent="0.15">
      <c r="A154" s="12">
        <v>164</v>
      </c>
      <c r="B154" s="12" t="s">
        <v>1302</v>
      </c>
      <c r="C154" s="12">
        <f t="shared" si="26"/>
        <v>16</v>
      </c>
      <c r="D154" s="12">
        <v>1</v>
      </c>
      <c r="F154" s="12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1</v>
      </c>
      <c r="L154" s="12">
        <v>0</v>
      </c>
      <c r="M154" s="12">
        <f t="shared" si="27"/>
        <v>0</v>
      </c>
      <c r="N154" s="13">
        <v>0</v>
      </c>
      <c r="O154" s="13">
        <v>0</v>
      </c>
      <c r="P154" s="13">
        <v>0</v>
      </c>
      <c r="Q154" s="13">
        <v>0</v>
      </c>
      <c r="R154" s="13">
        <v>0</v>
      </c>
      <c r="S154" s="13">
        <v>0</v>
      </c>
      <c r="T154" s="12">
        <v>0</v>
      </c>
      <c r="U154" s="12">
        <v>1</v>
      </c>
      <c r="V154" s="12">
        <v>0</v>
      </c>
      <c r="W154" s="12">
        <v>0</v>
      </c>
      <c r="X154" s="12">
        <v>1</v>
      </c>
      <c r="Y154" s="12">
        <v>0</v>
      </c>
      <c r="Z154" s="12" t="s">
        <v>323</v>
      </c>
    </row>
    <row r="155" spans="1:26" s="12" customFormat="1" ht="15" customHeight="1" x14ac:dyDescent="0.15">
      <c r="A155" s="12">
        <v>165</v>
      </c>
      <c r="B155" s="12" t="s">
        <v>1303</v>
      </c>
      <c r="C155" s="12">
        <f t="shared" si="26"/>
        <v>16</v>
      </c>
      <c r="D155" s="12">
        <v>1</v>
      </c>
      <c r="F155" s="12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1</v>
      </c>
      <c r="L155" s="12">
        <v>0</v>
      </c>
      <c r="M155" s="12">
        <f t="shared" si="27"/>
        <v>0</v>
      </c>
      <c r="N155" s="13">
        <v>0</v>
      </c>
      <c r="O155" s="13">
        <v>0</v>
      </c>
      <c r="P155" s="13">
        <v>0</v>
      </c>
      <c r="Q155" s="13">
        <v>0</v>
      </c>
      <c r="R155" s="13">
        <v>0</v>
      </c>
      <c r="S155" s="13">
        <v>0</v>
      </c>
      <c r="T155" s="12">
        <v>0</v>
      </c>
      <c r="U155" s="12">
        <v>1</v>
      </c>
      <c r="V155" s="12">
        <v>0</v>
      </c>
      <c r="W155" s="12">
        <v>0</v>
      </c>
      <c r="X155" s="12">
        <v>1</v>
      </c>
      <c r="Y155" s="12">
        <v>0</v>
      </c>
      <c r="Z155" s="12" t="s">
        <v>323</v>
      </c>
    </row>
    <row r="156" spans="1:26" s="12" customFormat="1" ht="15" customHeight="1" x14ac:dyDescent="0.15">
      <c r="A156" s="12">
        <v>166</v>
      </c>
      <c r="B156" s="12" t="s">
        <v>1467</v>
      </c>
      <c r="C156" s="12">
        <f t="shared" si="26"/>
        <v>16</v>
      </c>
      <c r="D156" s="12">
        <v>1</v>
      </c>
      <c r="F156" s="12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1</v>
      </c>
      <c r="L156" s="12">
        <v>0</v>
      </c>
      <c r="M156" s="12">
        <f t="shared" si="27"/>
        <v>0</v>
      </c>
      <c r="N156" s="13">
        <v>0</v>
      </c>
      <c r="O156" s="13">
        <v>0</v>
      </c>
      <c r="P156" s="13">
        <v>0</v>
      </c>
      <c r="Q156" s="13">
        <v>0</v>
      </c>
      <c r="R156" s="13">
        <v>0</v>
      </c>
      <c r="S156" s="13">
        <v>0</v>
      </c>
      <c r="T156" s="12">
        <v>0</v>
      </c>
      <c r="U156" s="12">
        <v>1</v>
      </c>
      <c r="V156" s="12">
        <v>0</v>
      </c>
      <c r="W156" s="12">
        <v>0</v>
      </c>
      <c r="X156" s="12">
        <v>1</v>
      </c>
      <c r="Y156" s="12">
        <v>0</v>
      </c>
      <c r="Z156" s="12" t="s">
        <v>323</v>
      </c>
    </row>
    <row r="157" spans="1:26" s="12" customFormat="1" ht="15" customHeight="1" x14ac:dyDescent="0.15">
      <c r="A157" s="12">
        <v>167</v>
      </c>
      <c r="B157" s="12" t="s">
        <v>1491</v>
      </c>
      <c r="C157" s="12">
        <f t="shared" si="26"/>
        <v>5</v>
      </c>
      <c r="D157" s="13">
        <v>1</v>
      </c>
      <c r="E157" s="13"/>
      <c r="F157" s="12">
        <v>0</v>
      </c>
      <c r="G157" s="13">
        <v>1</v>
      </c>
      <c r="H157" s="13">
        <v>0</v>
      </c>
      <c r="I157" s="13">
        <v>1</v>
      </c>
      <c r="J157" s="13">
        <v>0</v>
      </c>
      <c r="K157" s="13">
        <v>0</v>
      </c>
      <c r="L157" s="12">
        <v>1</v>
      </c>
      <c r="M157" s="12">
        <v>64</v>
      </c>
      <c r="N157" s="13">
        <v>0</v>
      </c>
      <c r="O157" s="13">
        <v>0</v>
      </c>
      <c r="P157" s="13">
        <v>0</v>
      </c>
      <c r="Q157" s="13">
        <v>0</v>
      </c>
      <c r="R157" s="13">
        <v>0</v>
      </c>
      <c r="S157" s="13">
        <v>0</v>
      </c>
      <c r="T157" s="12">
        <v>1</v>
      </c>
      <c r="U157" s="12">
        <v>1</v>
      </c>
      <c r="V157" s="12">
        <v>1</v>
      </c>
      <c r="W157" s="12">
        <v>0</v>
      </c>
      <c r="X157" s="12">
        <v>0</v>
      </c>
      <c r="Y157" s="12">
        <v>0</v>
      </c>
      <c r="Z157" s="17" t="s">
        <v>1304</v>
      </c>
    </row>
    <row r="158" spans="1:26" s="12" customFormat="1" ht="15" customHeight="1" x14ac:dyDescent="0.15">
      <c r="A158" s="12">
        <v>168</v>
      </c>
      <c r="B158" s="12" t="s">
        <v>1492</v>
      </c>
      <c r="C158" s="12">
        <f t="shared" si="26"/>
        <v>5</v>
      </c>
      <c r="D158" s="13">
        <v>1</v>
      </c>
      <c r="E158" s="13"/>
      <c r="F158" s="12">
        <v>0</v>
      </c>
      <c r="G158" s="13">
        <v>1</v>
      </c>
      <c r="H158" s="13">
        <v>0</v>
      </c>
      <c r="I158" s="13">
        <v>1</v>
      </c>
      <c r="J158" s="13">
        <v>0</v>
      </c>
      <c r="K158" s="13">
        <v>0</v>
      </c>
      <c r="L158" s="12">
        <v>1</v>
      </c>
      <c r="M158" s="12">
        <v>64</v>
      </c>
      <c r="N158" s="13">
        <v>0</v>
      </c>
      <c r="O158" s="13">
        <v>0</v>
      </c>
      <c r="P158" s="13">
        <v>0</v>
      </c>
      <c r="Q158" s="13">
        <v>0</v>
      </c>
      <c r="R158" s="13">
        <v>0</v>
      </c>
      <c r="S158" s="13">
        <v>0</v>
      </c>
      <c r="T158" s="12">
        <v>1</v>
      </c>
      <c r="U158" s="12">
        <v>1</v>
      </c>
      <c r="V158" s="12">
        <v>1</v>
      </c>
      <c r="W158" s="12">
        <v>0</v>
      </c>
      <c r="X158" s="12">
        <v>0</v>
      </c>
      <c r="Y158" s="12">
        <v>0</v>
      </c>
      <c r="Z158" s="17" t="s">
        <v>1305</v>
      </c>
    </row>
    <row r="159" spans="1:26" s="12" customFormat="1" ht="15" customHeight="1" x14ac:dyDescent="0.15">
      <c r="A159" s="12">
        <v>169</v>
      </c>
      <c r="B159" s="12" t="s">
        <v>1493</v>
      </c>
      <c r="C159" s="12">
        <f t="shared" si="26"/>
        <v>5</v>
      </c>
      <c r="D159" s="13">
        <v>1</v>
      </c>
      <c r="E159" s="13"/>
      <c r="F159" s="12">
        <v>0</v>
      </c>
      <c r="G159" s="13">
        <v>1</v>
      </c>
      <c r="H159" s="13">
        <v>0</v>
      </c>
      <c r="I159" s="13">
        <v>1</v>
      </c>
      <c r="J159" s="13">
        <v>0</v>
      </c>
      <c r="K159" s="13">
        <v>0</v>
      </c>
      <c r="L159" s="12">
        <v>1</v>
      </c>
      <c r="M159" s="12">
        <v>64</v>
      </c>
      <c r="N159" s="13">
        <v>0</v>
      </c>
      <c r="O159" s="13">
        <v>0</v>
      </c>
      <c r="P159" s="13">
        <v>0</v>
      </c>
      <c r="Q159" s="13">
        <v>0</v>
      </c>
      <c r="R159" s="13">
        <v>0</v>
      </c>
      <c r="S159" s="13">
        <v>0</v>
      </c>
      <c r="T159" s="12">
        <v>1</v>
      </c>
      <c r="U159" s="12">
        <v>1</v>
      </c>
      <c r="V159" s="12">
        <v>1</v>
      </c>
      <c r="W159" s="12">
        <v>0</v>
      </c>
      <c r="X159" s="12">
        <v>0</v>
      </c>
      <c r="Y159" s="12">
        <v>0</v>
      </c>
      <c r="Z159" s="17" t="s">
        <v>1306</v>
      </c>
    </row>
    <row r="160" spans="1:26" s="12" customFormat="1" ht="15" customHeight="1" x14ac:dyDescent="0.15">
      <c r="A160" s="12">
        <v>170</v>
      </c>
      <c r="B160" s="12" t="s">
        <v>1494</v>
      </c>
      <c r="C160" s="12">
        <f t="shared" si="26"/>
        <v>5</v>
      </c>
      <c r="D160" s="13">
        <v>1</v>
      </c>
      <c r="E160" s="13"/>
      <c r="F160" s="12">
        <v>0</v>
      </c>
      <c r="G160" s="13">
        <v>1</v>
      </c>
      <c r="H160" s="13">
        <v>0</v>
      </c>
      <c r="I160" s="13">
        <v>1</v>
      </c>
      <c r="J160" s="13">
        <v>0</v>
      </c>
      <c r="K160" s="13">
        <v>0</v>
      </c>
      <c r="L160" s="12">
        <v>1</v>
      </c>
      <c r="M160" s="12">
        <v>64</v>
      </c>
      <c r="N160" s="13">
        <v>0</v>
      </c>
      <c r="O160" s="13">
        <v>0</v>
      </c>
      <c r="P160" s="13">
        <v>0</v>
      </c>
      <c r="Q160" s="13">
        <v>0</v>
      </c>
      <c r="R160" s="13">
        <v>0</v>
      </c>
      <c r="S160" s="13">
        <v>0</v>
      </c>
      <c r="T160" s="12">
        <v>1</v>
      </c>
      <c r="U160" s="12">
        <v>1</v>
      </c>
      <c r="V160" s="12">
        <v>1</v>
      </c>
      <c r="W160" s="12">
        <v>0</v>
      </c>
      <c r="X160" s="12">
        <v>0</v>
      </c>
      <c r="Y160" s="12">
        <v>0</v>
      </c>
      <c r="Z160" s="17" t="s">
        <v>1307</v>
      </c>
    </row>
    <row r="161" spans="1:26" s="12" customFormat="1" ht="15" customHeight="1" x14ac:dyDescent="0.15">
      <c r="A161" s="12">
        <v>171</v>
      </c>
      <c r="B161" s="12" t="s">
        <v>1495</v>
      </c>
      <c r="C161" s="12">
        <f t="shared" si="26"/>
        <v>5</v>
      </c>
      <c r="D161" s="13">
        <v>1</v>
      </c>
      <c r="E161" s="13"/>
      <c r="F161" s="12">
        <v>0</v>
      </c>
      <c r="G161" s="13">
        <v>1</v>
      </c>
      <c r="H161" s="13">
        <v>0</v>
      </c>
      <c r="I161" s="13">
        <v>1</v>
      </c>
      <c r="J161" s="13">
        <v>0</v>
      </c>
      <c r="K161" s="13">
        <v>0</v>
      </c>
      <c r="L161" s="12">
        <v>1</v>
      </c>
      <c r="M161" s="12">
        <v>64</v>
      </c>
      <c r="N161" s="13">
        <v>0</v>
      </c>
      <c r="O161" s="13">
        <v>0</v>
      </c>
      <c r="P161" s="13">
        <v>0</v>
      </c>
      <c r="Q161" s="13">
        <v>0</v>
      </c>
      <c r="R161" s="13">
        <v>0</v>
      </c>
      <c r="S161" s="13">
        <v>0</v>
      </c>
      <c r="T161" s="12">
        <v>1</v>
      </c>
      <c r="U161" s="12">
        <v>1</v>
      </c>
      <c r="V161" s="12">
        <v>1</v>
      </c>
      <c r="W161" s="12">
        <v>0</v>
      </c>
      <c r="X161" s="12">
        <v>0</v>
      </c>
      <c r="Y161" s="12">
        <v>0</v>
      </c>
      <c r="Z161" s="17" t="s">
        <v>1308</v>
      </c>
    </row>
    <row r="162" spans="1:26" s="12" customFormat="1" ht="15" customHeight="1" x14ac:dyDescent="0.15">
      <c r="A162" s="12">
        <v>172</v>
      </c>
      <c r="B162" s="12" t="s">
        <v>1496</v>
      </c>
      <c r="C162" s="12">
        <f t="shared" si="26"/>
        <v>5</v>
      </c>
      <c r="D162" s="13">
        <v>1</v>
      </c>
      <c r="E162" s="13"/>
      <c r="F162" s="12">
        <v>0</v>
      </c>
      <c r="G162" s="13">
        <v>1</v>
      </c>
      <c r="H162" s="13">
        <v>0</v>
      </c>
      <c r="I162" s="13">
        <v>1</v>
      </c>
      <c r="J162" s="13">
        <v>0</v>
      </c>
      <c r="K162" s="13">
        <v>0</v>
      </c>
      <c r="L162" s="12">
        <v>1</v>
      </c>
      <c r="M162" s="12">
        <v>64</v>
      </c>
      <c r="N162" s="13">
        <v>0</v>
      </c>
      <c r="O162" s="13">
        <v>0</v>
      </c>
      <c r="P162" s="13">
        <v>0</v>
      </c>
      <c r="Q162" s="13">
        <v>0</v>
      </c>
      <c r="R162" s="13">
        <v>0</v>
      </c>
      <c r="S162" s="13">
        <v>0</v>
      </c>
      <c r="T162" s="12">
        <v>1</v>
      </c>
      <c r="U162" s="12">
        <v>1</v>
      </c>
      <c r="V162" s="12">
        <v>1</v>
      </c>
      <c r="W162" s="12">
        <v>0</v>
      </c>
      <c r="X162" s="12">
        <v>0</v>
      </c>
      <c r="Y162" s="12">
        <v>0</v>
      </c>
      <c r="Z162" s="17" t="s">
        <v>1309</v>
      </c>
    </row>
    <row r="163" spans="1:26" s="12" customFormat="1" ht="15" customHeight="1" x14ac:dyDescent="0.15">
      <c r="A163" s="12">
        <v>173</v>
      </c>
      <c r="B163" s="12" t="s">
        <v>1497</v>
      </c>
      <c r="C163" s="12">
        <f t="shared" si="26"/>
        <v>5</v>
      </c>
      <c r="D163" s="13">
        <v>1</v>
      </c>
      <c r="E163" s="13"/>
      <c r="F163" s="12">
        <v>0</v>
      </c>
      <c r="G163" s="13">
        <v>1</v>
      </c>
      <c r="H163" s="13">
        <v>0</v>
      </c>
      <c r="I163" s="13">
        <v>1</v>
      </c>
      <c r="J163" s="13">
        <v>0</v>
      </c>
      <c r="K163" s="13">
        <v>0</v>
      </c>
      <c r="L163" s="12">
        <v>1</v>
      </c>
      <c r="M163" s="12">
        <v>64</v>
      </c>
      <c r="N163" s="13">
        <v>0</v>
      </c>
      <c r="O163" s="13">
        <v>0</v>
      </c>
      <c r="P163" s="13">
        <v>0</v>
      </c>
      <c r="Q163" s="13">
        <v>0</v>
      </c>
      <c r="R163" s="13">
        <v>0</v>
      </c>
      <c r="S163" s="13">
        <v>0</v>
      </c>
      <c r="T163" s="12">
        <v>1</v>
      </c>
      <c r="U163" s="12">
        <v>1</v>
      </c>
      <c r="V163" s="12">
        <v>1</v>
      </c>
      <c r="W163" s="12">
        <v>0</v>
      </c>
      <c r="X163" s="12">
        <v>0</v>
      </c>
      <c r="Y163" s="12">
        <v>0</v>
      </c>
      <c r="Z163" s="17" t="s">
        <v>1310</v>
      </c>
    </row>
    <row r="164" spans="1:26" s="12" customFormat="1" ht="15" customHeight="1" x14ac:dyDescent="0.15">
      <c r="A164" s="12">
        <v>174</v>
      </c>
      <c r="B164" s="12" t="s">
        <v>1311</v>
      </c>
      <c r="C164" s="12">
        <f t="shared" si="26"/>
        <v>0</v>
      </c>
      <c r="D164" s="13">
        <v>1</v>
      </c>
      <c r="E164" s="13"/>
      <c r="F164" s="12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2">
        <v>1</v>
      </c>
      <c r="M164" s="12">
        <v>64</v>
      </c>
      <c r="N164" s="13">
        <v>0</v>
      </c>
      <c r="O164" s="13">
        <v>0</v>
      </c>
      <c r="P164" s="13">
        <v>0</v>
      </c>
      <c r="Q164" s="13">
        <v>0</v>
      </c>
      <c r="R164" s="13">
        <v>0</v>
      </c>
      <c r="S164" s="13">
        <v>0</v>
      </c>
      <c r="T164" s="12">
        <v>1</v>
      </c>
      <c r="U164" s="12">
        <v>0</v>
      </c>
      <c r="V164" s="12">
        <v>1</v>
      </c>
      <c r="W164" s="12">
        <v>0</v>
      </c>
      <c r="X164" s="12">
        <v>0</v>
      </c>
      <c r="Y164" s="12">
        <v>0</v>
      </c>
      <c r="Z164" s="17" t="s">
        <v>1312</v>
      </c>
    </row>
    <row r="165" spans="1:26" s="12" customFormat="1" ht="15" customHeight="1" x14ac:dyDescent="0.15">
      <c r="A165" s="12">
        <v>175</v>
      </c>
      <c r="B165" s="12" t="s">
        <v>1332</v>
      </c>
      <c r="C165" s="12">
        <v>1</v>
      </c>
      <c r="D165" s="12">
        <v>1</v>
      </c>
      <c r="E165" s="12">
        <v>63</v>
      </c>
      <c r="F165" s="12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2">
        <v>1</v>
      </c>
      <c r="M165" s="12">
        <v>64</v>
      </c>
      <c r="N165" s="13">
        <v>0</v>
      </c>
      <c r="O165" s="13">
        <v>0</v>
      </c>
      <c r="P165" s="13">
        <v>0</v>
      </c>
      <c r="Q165" s="13">
        <v>0</v>
      </c>
      <c r="R165" s="13">
        <v>0</v>
      </c>
      <c r="S165" s="13">
        <v>0</v>
      </c>
      <c r="T165" s="12">
        <v>1</v>
      </c>
      <c r="U165" s="12">
        <v>1</v>
      </c>
      <c r="V165" s="12">
        <v>1</v>
      </c>
      <c r="W165" s="12">
        <v>0</v>
      </c>
      <c r="X165" s="12">
        <v>1</v>
      </c>
      <c r="Y165" s="12">
        <v>1</v>
      </c>
      <c r="Z165" s="17" t="str">
        <f>"----------------------
◇可领取"&amp;B165&amp;"级每日礼包
◇打怪经验提升50%"</f>
        <v>----------------------
◇可领取VIP6级每日礼包
◇打怪经验提升50%</v>
      </c>
    </row>
    <row r="166" spans="1:26" s="12" customFormat="1" ht="15" customHeight="1" x14ac:dyDescent="0.15">
      <c r="A166" s="12">
        <v>176</v>
      </c>
      <c r="B166" s="12" t="s">
        <v>1333</v>
      </c>
      <c r="C166" s="12">
        <v>1</v>
      </c>
      <c r="D166" s="12">
        <v>1</v>
      </c>
      <c r="E166" s="12">
        <v>64</v>
      </c>
      <c r="F166" s="12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2">
        <v>1</v>
      </c>
      <c r="M166" s="12">
        <v>64</v>
      </c>
      <c r="N166" s="13">
        <v>0</v>
      </c>
      <c r="O166" s="13">
        <v>0</v>
      </c>
      <c r="P166" s="13">
        <v>0</v>
      </c>
      <c r="Q166" s="13">
        <v>0</v>
      </c>
      <c r="R166" s="13">
        <v>0</v>
      </c>
      <c r="S166" s="13">
        <v>0</v>
      </c>
      <c r="T166" s="12">
        <v>1</v>
      </c>
      <c r="U166" s="12">
        <v>1</v>
      </c>
      <c r="V166" s="12">
        <v>1</v>
      </c>
      <c r="W166" s="12">
        <v>0</v>
      </c>
      <c r="X166" s="12">
        <v>1</v>
      </c>
      <c r="Y166" s="12">
        <v>1</v>
      </c>
      <c r="Z166" s="17" t="str">
        <f>"----------------------
◇可领取"&amp;B166&amp;"级每日礼包
◇打怪经验提升50%"</f>
        <v>----------------------
◇可领取VIP7级每日礼包
◇打怪经验提升50%</v>
      </c>
    </row>
    <row r="167" spans="1:26" s="12" customFormat="1" ht="15" customHeight="1" x14ac:dyDescent="0.15">
      <c r="A167" s="12">
        <v>177</v>
      </c>
      <c r="B167" s="12" t="s">
        <v>1596</v>
      </c>
      <c r="C167" s="12">
        <f t="shared" si="26"/>
        <v>0</v>
      </c>
      <c r="D167" s="13">
        <v>1</v>
      </c>
      <c r="E167" s="13"/>
      <c r="F167" s="12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2">
        <v>1</v>
      </c>
      <c r="M167" s="12">
        <v>64</v>
      </c>
      <c r="N167" s="13">
        <v>0</v>
      </c>
      <c r="O167" s="13">
        <v>0</v>
      </c>
      <c r="P167" s="13">
        <v>0</v>
      </c>
      <c r="Q167" s="13">
        <v>0</v>
      </c>
      <c r="R167" s="13">
        <v>0</v>
      </c>
      <c r="S167" s="13">
        <v>0</v>
      </c>
      <c r="T167" s="12">
        <v>1</v>
      </c>
      <c r="U167" s="12">
        <v>0</v>
      </c>
      <c r="V167" s="12">
        <v>0</v>
      </c>
      <c r="W167" s="12">
        <v>0</v>
      </c>
      <c r="X167" s="12">
        <v>0</v>
      </c>
      <c r="Y167" s="12">
        <v>0</v>
      </c>
      <c r="Z167" s="17" t="s">
        <v>1597</v>
      </c>
    </row>
    <row r="168" spans="1:26" s="12" customFormat="1" ht="15" customHeight="1" x14ac:dyDescent="0.15">
      <c r="A168" s="12">
        <v>178</v>
      </c>
      <c r="B168" s="12" t="s">
        <v>1598</v>
      </c>
      <c r="C168" s="12">
        <f>G168+H168*2+I168*4+J168*8+K168*16</f>
        <v>17</v>
      </c>
      <c r="D168" s="13">
        <v>1</v>
      </c>
      <c r="E168" s="13"/>
      <c r="F168" s="12">
        <v>0</v>
      </c>
      <c r="G168" s="13">
        <v>1</v>
      </c>
      <c r="H168" s="13">
        <v>0</v>
      </c>
      <c r="I168" s="13">
        <v>0</v>
      </c>
      <c r="J168" s="13">
        <v>0</v>
      </c>
      <c r="K168" s="13">
        <v>1</v>
      </c>
      <c r="L168" s="12">
        <v>1</v>
      </c>
      <c r="M168" s="12">
        <v>64</v>
      </c>
      <c r="N168" s="13">
        <v>0</v>
      </c>
      <c r="O168" s="13">
        <v>0</v>
      </c>
      <c r="P168" s="13">
        <v>0</v>
      </c>
      <c r="Q168" s="13">
        <v>0</v>
      </c>
      <c r="R168" s="13">
        <v>0</v>
      </c>
      <c r="S168" s="13">
        <v>0</v>
      </c>
      <c r="T168" s="12">
        <v>1</v>
      </c>
      <c r="U168" s="12">
        <v>0</v>
      </c>
      <c r="V168" s="12">
        <v>0</v>
      </c>
      <c r="W168" s="12">
        <v>0</v>
      </c>
      <c r="X168" s="12">
        <v>0</v>
      </c>
      <c r="Y168" s="12">
        <v>0</v>
      </c>
      <c r="Z168" s="17" t="s">
        <v>1599</v>
      </c>
    </row>
    <row r="169" spans="1:26" s="12" customFormat="1" ht="15" customHeight="1" x14ac:dyDescent="0.15">
      <c r="A169" s="12">
        <v>179</v>
      </c>
      <c r="B169" s="12" t="s">
        <v>1600</v>
      </c>
      <c r="C169" s="12">
        <f t="shared" ref="C169:C227" si="28">G169+H169*2+I169*4+J169*8+K169*16</f>
        <v>17</v>
      </c>
      <c r="D169" s="13">
        <v>1</v>
      </c>
      <c r="E169" s="13"/>
      <c r="F169" s="12">
        <v>0</v>
      </c>
      <c r="G169" s="13">
        <v>1</v>
      </c>
      <c r="H169" s="13">
        <v>0</v>
      </c>
      <c r="I169" s="13">
        <v>0</v>
      </c>
      <c r="J169" s="13">
        <v>0</v>
      </c>
      <c r="K169" s="13">
        <v>1</v>
      </c>
      <c r="L169" s="12">
        <v>1</v>
      </c>
      <c r="M169" s="12">
        <v>64</v>
      </c>
      <c r="N169" s="13">
        <v>0</v>
      </c>
      <c r="O169" s="13">
        <v>0</v>
      </c>
      <c r="P169" s="13">
        <v>0</v>
      </c>
      <c r="Q169" s="13">
        <v>0</v>
      </c>
      <c r="R169" s="13">
        <v>0</v>
      </c>
      <c r="S169" s="13">
        <v>0</v>
      </c>
      <c r="T169" s="12">
        <v>1</v>
      </c>
      <c r="U169" s="12">
        <v>0</v>
      </c>
      <c r="V169" s="12">
        <v>0</v>
      </c>
      <c r="W169" s="12">
        <v>0</v>
      </c>
      <c r="X169" s="12">
        <v>0</v>
      </c>
      <c r="Y169" s="12">
        <v>0</v>
      </c>
      <c r="Z169" s="17" t="s">
        <v>1601</v>
      </c>
    </row>
    <row r="170" spans="1:26" s="12" customFormat="1" ht="15" customHeight="1" x14ac:dyDescent="0.15">
      <c r="A170" s="12">
        <v>180</v>
      </c>
      <c r="B170" s="12" t="s">
        <v>1602</v>
      </c>
      <c r="C170" s="12">
        <f t="shared" si="28"/>
        <v>1</v>
      </c>
      <c r="D170" s="13">
        <v>1</v>
      </c>
      <c r="E170" s="13"/>
      <c r="F170" s="12">
        <v>0</v>
      </c>
      <c r="G170" s="13">
        <v>1</v>
      </c>
      <c r="H170" s="13">
        <v>0</v>
      </c>
      <c r="I170" s="13">
        <v>0</v>
      </c>
      <c r="J170" s="13">
        <v>0</v>
      </c>
      <c r="K170" s="13">
        <v>0</v>
      </c>
      <c r="L170" s="12">
        <v>1</v>
      </c>
      <c r="M170" s="12">
        <v>64</v>
      </c>
      <c r="N170" s="13">
        <v>0</v>
      </c>
      <c r="O170" s="13">
        <v>0</v>
      </c>
      <c r="P170" s="13">
        <v>0</v>
      </c>
      <c r="Q170" s="13">
        <v>0</v>
      </c>
      <c r="R170" s="13">
        <v>0</v>
      </c>
      <c r="S170" s="13">
        <v>0</v>
      </c>
      <c r="T170" s="12">
        <v>1</v>
      </c>
      <c r="U170" s="12">
        <v>0</v>
      </c>
      <c r="V170" s="12">
        <v>0</v>
      </c>
      <c r="W170" s="12">
        <v>0</v>
      </c>
      <c r="X170" s="12">
        <v>0</v>
      </c>
      <c r="Y170" s="12">
        <v>0</v>
      </c>
      <c r="Z170" s="17" t="s">
        <v>1603</v>
      </c>
    </row>
    <row r="171" spans="1:26" s="12" customFormat="1" ht="15" customHeight="1" x14ac:dyDescent="0.15">
      <c r="A171" s="12">
        <v>181</v>
      </c>
      <c r="B171" s="12" t="s">
        <v>1678</v>
      </c>
      <c r="C171" s="12">
        <v>1</v>
      </c>
      <c r="D171" s="12">
        <v>1</v>
      </c>
      <c r="E171" s="12">
        <v>65</v>
      </c>
      <c r="F171" s="12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2">
        <v>1</v>
      </c>
      <c r="M171" s="12">
        <v>64</v>
      </c>
      <c r="N171" s="13">
        <v>0</v>
      </c>
      <c r="O171" s="13">
        <v>0</v>
      </c>
      <c r="P171" s="13">
        <v>0</v>
      </c>
      <c r="Q171" s="13">
        <v>0</v>
      </c>
      <c r="R171" s="13">
        <v>0</v>
      </c>
      <c r="S171" s="13">
        <v>0</v>
      </c>
      <c r="T171" s="12">
        <v>1</v>
      </c>
      <c r="U171" s="12">
        <v>1</v>
      </c>
      <c r="V171" s="12">
        <v>1</v>
      </c>
      <c r="W171" s="12">
        <v>0</v>
      </c>
      <c r="X171" s="12">
        <v>1</v>
      </c>
      <c r="Y171" s="12">
        <v>1</v>
      </c>
      <c r="Z171" s="17" t="str">
        <f>"----------------------
◇可领取"&amp;B171&amp;"级每日礼包
◇打怪经验提升50%"</f>
        <v>----------------------
◇可领取VIP8级每日礼包
◇打怪经验提升50%</v>
      </c>
    </row>
    <row r="172" spans="1:26" s="12" customFormat="1" ht="15" customHeight="1" x14ac:dyDescent="0.15">
      <c r="A172" s="12">
        <v>182</v>
      </c>
      <c r="B172" s="12" t="s">
        <v>1679</v>
      </c>
      <c r="C172" s="12">
        <v>1</v>
      </c>
      <c r="D172" s="12">
        <v>1</v>
      </c>
      <c r="E172" s="12">
        <v>66</v>
      </c>
      <c r="F172" s="12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2">
        <v>1</v>
      </c>
      <c r="M172" s="12">
        <v>64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2">
        <v>1</v>
      </c>
      <c r="U172" s="12">
        <v>1</v>
      </c>
      <c r="V172" s="12">
        <v>1</v>
      </c>
      <c r="W172" s="12">
        <v>0</v>
      </c>
      <c r="X172" s="12">
        <v>1</v>
      </c>
      <c r="Y172" s="12">
        <v>1</v>
      </c>
      <c r="Z172" s="17" t="str">
        <f>"----------------------
◇可领取"&amp;B172&amp;"级每日礼包
◇打怪经验提升70%"</f>
        <v>----------------------
◇可领取VIP9级每日礼包
◇打怪经验提升70%</v>
      </c>
    </row>
    <row r="173" spans="1:26" s="12" customFormat="1" ht="15" customHeight="1" x14ac:dyDescent="0.15">
      <c r="A173" s="12">
        <v>183</v>
      </c>
      <c r="B173" s="12" t="s">
        <v>1680</v>
      </c>
      <c r="C173" s="12">
        <v>1</v>
      </c>
      <c r="D173" s="12">
        <v>1</v>
      </c>
      <c r="E173" s="12">
        <v>67</v>
      </c>
      <c r="F173" s="12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2">
        <v>1</v>
      </c>
      <c r="M173" s="12">
        <v>64</v>
      </c>
      <c r="N173" s="13">
        <v>0</v>
      </c>
      <c r="O173" s="13">
        <v>0</v>
      </c>
      <c r="P173" s="13">
        <v>0</v>
      </c>
      <c r="Q173" s="13">
        <v>0</v>
      </c>
      <c r="R173" s="13">
        <v>0</v>
      </c>
      <c r="S173" s="13">
        <v>0</v>
      </c>
      <c r="T173" s="12">
        <v>1</v>
      </c>
      <c r="U173" s="12">
        <v>1</v>
      </c>
      <c r="V173" s="12">
        <v>1</v>
      </c>
      <c r="W173" s="12">
        <v>0</v>
      </c>
      <c r="X173" s="12">
        <v>1</v>
      </c>
      <c r="Y173" s="12">
        <v>1</v>
      </c>
      <c r="Z173" s="17" t="str">
        <f>"----------------------
◇可领取"&amp;B173&amp;"级每日礼包
◇打怪经验提升80%"</f>
        <v>----------------------
◇可领取VIP10级每日礼包
◇打怪经验提升80%</v>
      </c>
    </row>
    <row r="174" spans="1:26" s="12" customFormat="1" ht="15" customHeight="1" x14ac:dyDescent="0.15">
      <c r="A174" s="12">
        <v>184</v>
      </c>
      <c r="B174" s="12" t="s">
        <v>1681</v>
      </c>
      <c r="C174" s="12">
        <v>1</v>
      </c>
      <c r="D174" s="12">
        <v>1</v>
      </c>
      <c r="E174" s="12">
        <v>68</v>
      </c>
      <c r="F174" s="12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2">
        <v>1</v>
      </c>
      <c r="M174" s="12">
        <v>64</v>
      </c>
      <c r="N174" s="13">
        <v>0</v>
      </c>
      <c r="O174" s="13">
        <v>0</v>
      </c>
      <c r="P174" s="13">
        <v>0</v>
      </c>
      <c r="Q174" s="13">
        <v>0</v>
      </c>
      <c r="R174" s="13">
        <v>0</v>
      </c>
      <c r="S174" s="13">
        <v>0</v>
      </c>
      <c r="T174" s="12">
        <v>1</v>
      </c>
      <c r="U174" s="12">
        <v>1</v>
      </c>
      <c r="V174" s="12">
        <v>1</v>
      </c>
      <c r="W174" s="12">
        <v>0</v>
      </c>
      <c r="X174" s="12">
        <v>1</v>
      </c>
      <c r="Y174" s="12">
        <v>1</v>
      </c>
      <c r="Z174" s="17" t="str">
        <f>"----------------------
◇可领取"&amp;B174&amp;"级每日礼包
◇打怪经验提升90%"</f>
        <v>----------------------
◇可领取VIP11级每日礼包
◇打怪经验提升90%</v>
      </c>
    </row>
    <row r="175" spans="1:26" s="12" customFormat="1" ht="15" customHeight="1" x14ac:dyDescent="0.15">
      <c r="A175" s="12">
        <v>185</v>
      </c>
      <c r="B175" s="12" t="s">
        <v>1682</v>
      </c>
      <c r="C175" s="12">
        <v>1</v>
      </c>
      <c r="D175" s="12">
        <v>1</v>
      </c>
      <c r="E175" s="12">
        <v>69</v>
      </c>
      <c r="F175" s="12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2">
        <v>1</v>
      </c>
      <c r="M175" s="12">
        <v>64</v>
      </c>
      <c r="N175" s="13">
        <v>0</v>
      </c>
      <c r="O175" s="13">
        <v>0</v>
      </c>
      <c r="P175" s="13">
        <v>0</v>
      </c>
      <c r="Q175" s="13">
        <v>0</v>
      </c>
      <c r="R175" s="13">
        <v>0</v>
      </c>
      <c r="S175" s="13">
        <v>0</v>
      </c>
      <c r="T175" s="12">
        <v>1</v>
      </c>
      <c r="U175" s="12">
        <v>1</v>
      </c>
      <c r="V175" s="12">
        <v>1</v>
      </c>
      <c r="W175" s="12">
        <v>0</v>
      </c>
      <c r="X175" s="12">
        <v>1</v>
      </c>
      <c r="Y175" s="12">
        <v>1</v>
      </c>
      <c r="Z175" s="17" t="str">
        <f>"----------------------
◇可领取"&amp;B175&amp;"级每日礼包
◇打怪经验提升100%"</f>
        <v>----------------------
◇可领取VIP12级每日礼包
◇打怪经验提升100%</v>
      </c>
    </row>
    <row r="176" spans="1:26" s="12" customFormat="1" ht="15" customHeight="1" x14ac:dyDescent="0.15">
      <c r="A176" s="12">
        <v>190</v>
      </c>
      <c r="B176" s="12" t="s">
        <v>1709</v>
      </c>
      <c r="C176" s="12">
        <v>1</v>
      </c>
      <c r="D176" s="12">
        <v>1</v>
      </c>
      <c r="F176" s="12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2">
        <v>1</v>
      </c>
      <c r="M176" s="12">
        <v>64</v>
      </c>
      <c r="N176" s="13">
        <v>0</v>
      </c>
      <c r="O176" s="13">
        <v>0</v>
      </c>
      <c r="P176" s="13">
        <v>0</v>
      </c>
      <c r="Q176" s="13">
        <v>0</v>
      </c>
      <c r="R176" s="13">
        <v>0</v>
      </c>
      <c r="S176" s="13">
        <v>0</v>
      </c>
      <c r="T176" s="12">
        <v>1</v>
      </c>
      <c r="U176" s="12">
        <v>1</v>
      </c>
      <c r="V176" s="12">
        <v>1</v>
      </c>
      <c r="W176" s="12">
        <v>0</v>
      </c>
      <c r="X176" s="12">
        <v>1</v>
      </c>
      <c r="Y176" s="12">
        <v>1</v>
      </c>
      <c r="Z176" s="17" t="str">
        <f>"----------------------
◇可领取"&amp;B176&amp;"级每日礼包"</f>
        <v>----------------------
◇可领取VIP1级每日礼包</v>
      </c>
    </row>
    <row r="177" spans="1:26" s="12" customFormat="1" ht="15" customHeight="1" x14ac:dyDescent="0.15">
      <c r="A177" s="12">
        <v>191</v>
      </c>
      <c r="B177" s="12" t="s">
        <v>1710</v>
      </c>
      <c r="C177" s="12">
        <v>1</v>
      </c>
      <c r="D177" s="12">
        <v>1</v>
      </c>
      <c r="F177" s="12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2">
        <v>1</v>
      </c>
      <c r="M177" s="12">
        <v>64</v>
      </c>
      <c r="N177" s="13">
        <v>0</v>
      </c>
      <c r="O177" s="13">
        <v>0</v>
      </c>
      <c r="P177" s="13">
        <v>0</v>
      </c>
      <c r="Q177" s="13">
        <v>0</v>
      </c>
      <c r="R177" s="13">
        <v>0</v>
      </c>
      <c r="S177" s="13">
        <v>0</v>
      </c>
      <c r="T177" s="12">
        <v>1</v>
      </c>
      <c r="U177" s="12">
        <v>1</v>
      </c>
      <c r="V177" s="12">
        <v>1</v>
      </c>
      <c r="W177" s="12">
        <v>0</v>
      </c>
      <c r="X177" s="12">
        <v>1</v>
      </c>
      <c r="Y177" s="12">
        <v>1</v>
      </c>
      <c r="Z177" s="17" t="str">
        <f>"----------------------
◇可领取"&amp;B177&amp;"级每日礼包
◇打怪经验提升20%"</f>
        <v>----------------------
◇可领取VIP2级每日礼包
◇打怪经验提升20%</v>
      </c>
    </row>
    <row r="178" spans="1:26" s="12" customFormat="1" ht="15" customHeight="1" x14ac:dyDescent="0.15">
      <c r="A178" s="12">
        <v>192</v>
      </c>
      <c r="B178" s="12" t="s">
        <v>838</v>
      </c>
      <c r="C178" s="12">
        <v>1</v>
      </c>
      <c r="D178" s="12">
        <v>1</v>
      </c>
      <c r="F178" s="12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2">
        <v>1</v>
      </c>
      <c r="M178" s="12">
        <v>64</v>
      </c>
      <c r="N178" s="13">
        <v>0</v>
      </c>
      <c r="O178" s="13">
        <v>0</v>
      </c>
      <c r="P178" s="13">
        <v>0</v>
      </c>
      <c r="Q178" s="13">
        <v>0</v>
      </c>
      <c r="R178" s="13">
        <v>0</v>
      </c>
      <c r="S178" s="13">
        <v>0</v>
      </c>
      <c r="T178" s="12">
        <v>1</v>
      </c>
      <c r="U178" s="12">
        <v>1</v>
      </c>
      <c r="V178" s="12">
        <v>1</v>
      </c>
      <c r="W178" s="12">
        <v>0</v>
      </c>
      <c r="X178" s="12">
        <v>1</v>
      </c>
      <c r="Y178" s="12">
        <v>1</v>
      </c>
      <c r="Z178" s="17" t="str">
        <f>"----------------------
◇可领取"&amp;B178&amp;"级每日礼包
◇打怪经验提升20%"</f>
        <v>----------------------
◇可领取VIP3级每日礼包
◇打怪经验提升20%</v>
      </c>
    </row>
    <row r="179" spans="1:26" s="12" customFormat="1" ht="15" customHeight="1" x14ac:dyDescent="0.15">
      <c r="A179" s="12">
        <v>193</v>
      </c>
      <c r="B179" s="12" t="s">
        <v>839</v>
      </c>
      <c r="C179" s="12">
        <v>1</v>
      </c>
      <c r="D179" s="12">
        <v>1</v>
      </c>
      <c r="F179" s="12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2">
        <v>1</v>
      </c>
      <c r="M179" s="12">
        <v>64</v>
      </c>
      <c r="N179" s="13">
        <v>0</v>
      </c>
      <c r="O179" s="13">
        <v>0</v>
      </c>
      <c r="P179" s="13">
        <v>0</v>
      </c>
      <c r="Q179" s="13">
        <v>0</v>
      </c>
      <c r="R179" s="13">
        <v>0</v>
      </c>
      <c r="S179" s="13">
        <v>0</v>
      </c>
      <c r="T179" s="12">
        <v>1</v>
      </c>
      <c r="U179" s="12">
        <v>1</v>
      </c>
      <c r="V179" s="12">
        <v>1</v>
      </c>
      <c r="W179" s="12">
        <v>0</v>
      </c>
      <c r="X179" s="12">
        <v>1</v>
      </c>
      <c r="Y179" s="12">
        <v>1</v>
      </c>
      <c r="Z179" s="17" t="str">
        <f>"----------------------
◇可领取"&amp;B179&amp;"级每日礼包
◇打怪经验提升20%"</f>
        <v>----------------------
◇可领取VIP4级每日礼包
◇打怪经验提升20%</v>
      </c>
    </row>
    <row r="180" spans="1:26" s="12" customFormat="1" ht="15" customHeight="1" x14ac:dyDescent="0.15">
      <c r="A180" s="12">
        <v>194</v>
      </c>
      <c r="B180" s="12" t="s">
        <v>1711</v>
      </c>
      <c r="C180" s="12">
        <v>1</v>
      </c>
      <c r="D180" s="12">
        <v>1</v>
      </c>
      <c r="F180" s="12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2">
        <v>1</v>
      </c>
      <c r="M180" s="12">
        <v>64</v>
      </c>
      <c r="N180" s="13">
        <v>0</v>
      </c>
      <c r="O180" s="13">
        <v>0</v>
      </c>
      <c r="P180" s="13">
        <v>0</v>
      </c>
      <c r="Q180" s="13">
        <v>0</v>
      </c>
      <c r="R180" s="13">
        <v>0</v>
      </c>
      <c r="S180" s="13">
        <v>0</v>
      </c>
      <c r="T180" s="12">
        <v>1</v>
      </c>
      <c r="U180" s="12">
        <v>1</v>
      </c>
      <c r="V180" s="12">
        <v>1</v>
      </c>
      <c r="W180" s="12">
        <v>0</v>
      </c>
      <c r="X180" s="12">
        <v>1</v>
      </c>
      <c r="Y180" s="12">
        <v>1</v>
      </c>
      <c r="Z180" s="17" t="str">
        <f>"----------------------
◇可领取"&amp;B180&amp;"级每日礼包
◇打怪经验提升40%"</f>
        <v>----------------------
◇可领取VIP5级每日礼包
◇打怪经验提升40%</v>
      </c>
    </row>
    <row r="181" spans="1:26" s="12" customFormat="1" ht="15" customHeight="1" x14ac:dyDescent="0.15">
      <c r="A181" s="12">
        <v>195</v>
      </c>
      <c r="B181" s="12" t="s">
        <v>1712</v>
      </c>
      <c r="C181" s="12">
        <v>1</v>
      </c>
      <c r="D181" s="12">
        <v>1</v>
      </c>
      <c r="F181" s="12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2">
        <v>1</v>
      </c>
      <c r="M181" s="12">
        <v>64</v>
      </c>
      <c r="N181" s="13">
        <v>0</v>
      </c>
      <c r="O181" s="13">
        <v>0</v>
      </c>
      <c r="P181" s="13">
        <v>0</v>
      </c>
      <c r="Q181" s="13">
        <v>0</v>
      </c>
      <c r="R181" s="13">
        <v>0</v>
      </c>
      <c r="S181" s="13">
        <v>0</v>
      </c>
      <c r="T181" s="12">
        <v>1</v>
      </c>
      <c r="U181" s="12">
        <v>1</v>
      </c>
      <c r="V181" s="12">
        <v>1</v>
      </c>
      <c r="W181" s="12">
        <v>0</v>
      </c>
      <c r="X181" s="12">
        <v>1</v>
      </c>
      <c r="Y181" s="12">
        <v>1</v>
      </c>
      <c r="Z181" s="17" t="str">
        <f>"----------------------
◇可领取"&amp;B181&amp;"级每日礼包
◇打怪经验提升40%"</f>
        <v>----------------------
◇可领取VIP6级每日礼包
◇打怪经验提升40%</v>
      </c>
    </row>
    <row r="182" spans="1:26" s="12" customFormat="1" ht="15" customHeight="1" x14ac:dyDescent="0.15">
      <c r="A182" s="12">
        <v>196</v>
      </c>
      <c r="B182" s="12" t="s">
        <v>1713</v>
      </c>
      <c r="C182" s="12">
        <v>1</v>
      </c>
      <c r="D182" s="12">
        <v>1</v>
      </c>
      <c r="F182" s="12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2">
        <v>1</v>
      </c>
      <c r="M182" s="12">
        <v>64</v>
      </c>
      <c r="N182" s="13">
        <v>0</v>
      </c>
      <c r="O182" s="13">
        <v>0</v>
      </c>
      <c r="P182" s="13">
        <v>0</v>
      </c>
      <c r="Q182" s="13">
        <v>0</v>
      </c>
      <c r="R182" s="13">
        <v>0</v>
      </c>
      <c r="S182" s="13">
        <v>0</v>
      </c>
      <c r="T182" s="12">
        <v>1</v>
      </c>
      <c r="U182" s="12">
        <v>1</v>
      </c>
      <c r="V182" s="12">
        <v>1</v>
      </c>
      <c r="W182" s="12">
        <v>0</v>
      </c>
      <c r="X182" s="12">
        <v>1</v>
      </c>
      <c r="Y182" s="12">
        <v>1</v>
      </c>
      <c r="Z182" s="17" t="str">
        <f>"----------------------
◇可领取"&amp;B182&amp;"级每日礼包
◇打怪经验提升40%"</f>
        <v>----------------------
◇可领取VIP7级每日礼包
◇打怪经验提升40%</v>
      </c>
    </row>
    <row r="183" spans="1:26" s="12" customFormat="1" ht="15" customHeight="1" x14ac:dyDescent="0.15">
      <c r="A183" s="12">
        <v>197</v>
      </c>
      <c r="B183" s="12" t="s">
        <v>1714</v>
      </c>
      <c r="C183" s="12">
        <v>1</v>
      </c>
      <c r="D183" s="12">
        <v>1</v>
      </c>
      <c r="F183" s="12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2">
        <v>1</v>
      </c>
      <c r="M183" s="12">
        <v>64</v>
      </c>
      <c r="N183" s="13">
        <v>0</v>
      </c>
      <c r="O183" s="13">
        <v>0</v>
      </c>
      <c r="P183" s="13">
        <v>0</v>
      </c>
      <c r="Q183" s="13">
        <v>0</v>
      </c>
      <c r="R183" s="13">
        <v>0</v>
      </c>
      <c r="S183" s="13">
        <v>0</v>
      </c>
      <c r="T183" s="12">
        <v>1</v>
      </c>
      <c r="U183" s="12">
        <v>1</v>
      </c>
      <c r="V183" s="12">
        <v>1</v>
      </c>
      <c r="W183" s="12">
        <v>0</v>
      </c>
      <c r="X183" s="12">
        <v>1</v>
      </c>
      <c r="Y183" s="12">
        <v>1</v>
      </c>
      <c r="Z183" s="17" t="str">
        <f>"----------------------
◇可领取"&amp;B183&amp;"级每日礼包
◇打怪经验提升60%"</f>
        <v>----------------------
◇可领取VIP8级每日礼包
◇打怪经验提升60%</v>
      </c>
    </row>
    <row r="184" spans="1:26" s="12" customFormat="1" ht="15" customHeight="1" x14ac:dyDescent="0.15">
      <c r="A184" s="12">
        <v>198</v>
      </c>
      <c r="B184" s="12" t="s">
        <v>1715</v>
      </c>
      <c r="C184" s="12">
        <v>1</v>
      </c>
      <c r="D184" s="12">
        <v>1</v>
      </c>
      <c r="F184" s="12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2">
        <v>1</v>
      </c>
      <c r="M184" s="12">
        <v>64</v>
      </c>
      <c r="N184" s="13">
        <v>0</v>
      </c>
      <c r="O184" s="13">
        <v>0</v>
      </c>
      <c r="P184" s="13">
        <v>0</v>
      </c>
      <c r="Q184" s="13">
        <v>0</v>
      </c>
      <c r="R184" s="13">
        <v>0</v>
      </c>
      <c r="S184" s="13">
        <v>0</v>
      </c>
      <c r="T184" s="12">
        <v>1</v>
      </c>
      <c r="U184" s="12">
        <v>1</v>
      </c>
      <c r="V184" s="12">
        <v>1</v>
      </c>
      <c r="W184" s="12">
        <v>0</v>
      </c>
      <c r="X184" s="12">
        <v>1</v>
      </c>
      <c r="Y184" s="12">
        <v>1</v>
      </c>
      <c r="Z184" s="17" t="str">
        <f>"----------------------
◇可领取"&amp;B184&amp;"级每日礼包
◇打怪经验提升60%"</f>
        <v>----------------------
◇可领取VIP9级每日礼包
◇打怪经验提升60%</v>
      </c>
    </row>
    <row r="185" spans="1:26" s="12" customFormat="1" ht="15" customHeight="1" x14ac:dyDescent="0.15">
      <c r="A185" s="12">
        <v>199</v>
      </c>
      <c r="B185" s="12" t="s">
        <v>1680</v>
      </c>
      <c r="C185" s="12">
        <v>1</v>
      </c>
      <c r="D185" s="12">
        <v>1</v>
      </c>
      <c r="F185" s="12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2">
        <v>1</v>
      </c>
      <c r="M185" s="12">
        <v>64</v>
      </c>
      <c r="N185" s="13">
        <v>0</v>
      </c>
      <c r="O185" s="13">
        <v>0</v>
      </c>
      <c r="P185" s="13">
        <v>0</v>
      </c>
      <c r="Q185" s="13">
        <v>0</v>
      </c>
      <c r="R185" s="13">
        <v>0</v>
      </c>
      <c r="S185" s="13">
        <v>0</v>
      </c>
      <c r="T185" s="12">
        <v>1</v>
      </c>
      <c r="U185" s="12">
        <v>1</v>
      </c>
      <c r="V185" s="12">
        <v>1</v>
      </c>
      <c r="W185" s="12">
        <v>0</v>
      </c>
      <c r="X185" s="12">
        <v>1</v>
      </c>
      <c r="Y185" s="12">
        <v>1</v>
      </c>
      <c r="Z185" s="17" t="str">
        <f>"----------------------
◇可领取"&amp;B185&amp;"级每日礼包
◇打怪经验提升60%"</f>
        <v>----------------------
◇可领取VIP10级每日礼包
◇打怪经验提升60%</v>
      </c>
    </row>
    <row r="186" spans="1:26" s="12" customFormat="1" ht="15" customHeight="1" x14ac:dyDescent="0.15">
      <c r="A186" s="12">
        <v>200</v>
      </c>
      <c r="B186" s="12" t="s">
        <v>1681</v>
      </c>
      <c r="C186" s="12">
        <v>1</v>
      </c>
      <c r="D186" s="12">
        <v>1</v>
      </c>
      <c r="F186" s="12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2">
        <v>1</v>
      </c>
      <c r="M186" s="12">
        <v>64</v>
      </c>
      <c r="N186" s="13">
        <v>0</v>
      </c>
      <c r="O186" s="13">
        <v>0</v>
      </c>
      <c r="P186" s="13">
        <v>0</v>
      </c>
      <c r="Q186" s="13">
        <v>0</v>
      </c>
      <c r="R186" s="13">
        <v>0</v>
      </c>
      <c r="S186" s="13">
        <v>0</v>
      </c>
      <c r="T186" s="12">
        <v>1</v>
      </c>
      <c r="U186" s="12">
        <v>1</v>
      </c>
      <c r="V186" s="12">
        <v>1</v>
      </c>
      <c r="W186" s="12">
        <v>0</v>
      </c>
      <c r="X186" s="12">
        <v>1</v>
      </c>
      <c r="Y186" s="12">
        <v>1</v>
      </c>
      <c r="Z186" s="17" t="str">
        <f>"----------------------
◇可领取"&amp;B186&amp;"级每日礼包
◇打怪经验提升80%"</f>
        <v>----------------------
◇可领取VIP11级每日礼包
◇打怪经验提升80%</v>
      </c>
    </row>
    <row r="187" spans="1:26" s="12" customFormat="1" ht="15" customHeight="1" x14ac:dyDescent="0.15">
      <c r="A187" s="12">
        <v>201</v>
      </c>
      <c r="B187" s="12" t="s">
        <v>1682</v>
      </c>
      <c r="C187" s="12">
        <v>1</v>
      </c>
      <c r="D187" s="12">
        <v>1</v>
      </c>
      <c r="F187" s="12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2">
        <v>1</v>
      </c>
      <c r="M187" s="12">
        <v>64</v>
      </c>
      <c r="N187" s="13">
        <v>0</v>
      </c>
      <c r="O187" s="13">
        <v>0</v>
      </c>
      <c r="P187" s="13">
        <v>0</v>
      </c>
      <c r="Q187" s="13">
        <v>0</v>
      </c>
      <c r="R187" s="13">
        <v>0</v>
      </c>
      <c r="S187" s="13">
        <v>0</v>
      </c>
      <c r="T187" s="12">
        <v>1</v>
      </c>
      <c r="U187" s="12">
        <v>1</v>
      </c>
      <c r="V187" s="12">
        <v>1</v>
      </c>
      <c r="W187" s="12">
        <v>0</v>
      </c>
      <c r="X187" s="12">
        <v>1</v>
      </c>
      <c r="Y187" s="12">
        <v>1</v>
      </c>
      <c r="Z187" s="17" t="str">
        <f>"----------------------
◇可领取"&amp;B187&amp;"级每日礼包
◇打怪经验提升100%"</f>
        <v>----------------------
◇可领取VIP12级每日礼包
◇打怪经验提升100%</v>
      </c>
    </row>
    <row r="188" spans="1:26" s="80" customFormat="1" ht="15" customHeight="1" x14ac:dyDescent="0.15">
      <c r="A188" s="80">
        <v>202</v>
      </c>
      <c r="B188" s="80" t="s">
        <v>1976</v>
      </c>
      <c r="C188" s="80">
        <f t="shared" ref="C188:C226" si="29">G188+H188*2+I188*4+J188*8+K188*16</f>
        <v>0</v>
      </c>
      <c r="D188" s="80">
        <v>1</v>
      </c>
      <c r="E188" s="80">
        <v>71</v>
      </c>
      <c r="F188" s="80">
        <v>0</v>
      </c>
      <c r="G188" s="81">
        <v>0</v>
      </c>
      <c r="H188" s="81">
        <v>0</v>
      </c>
      <c r="I188" s="81">
        <v>0</v>
      </c>
      <c r="J188" s="81">
        <v>0</v>
      </c>
      <c r="K188" s="81">
        <v>0</v>
      </c>
      <c r="L188" s="80">
        <v>0</v>
      </c>
      <c r="M188" s="80">
        <v>64</v>
      </c>
      <c r="N188" s="81">
        <v>0</v>
      </c>
      <c r="O188" s="81">
        <v>0</v>
      </c>
      <c r="P188" s="81">
        <v>0</v>
      </c>
      <c r="Q188" s="81">
        <v>0</v>
      </c>
      <c r="R188" s="81">
        <v>0</v>
      </c>
      <c r="S188" s="81">
        <v>0</v>
      </c>
      <c r="T188" s="80">
        <v>1</v>
      </c>
      <c r="U188" s="80">
        <v>1</v>
      </c>
      <c r="V188" s="80">
        <v>1</v>
      </c>
      <c r="W188" s="80">
        <v>0</v>
      </c>
      <c r="X188" s="80">
        <v>1</v>
      </c>
      <c r="Y188" s="80">
        <v>0</v>
      </c>
      <c r="Z188" s="80" t="s">
        <v>1991</v>
      </c>
    </row>
    <row r="189" spans="1:26" s="80" customFormat="1" ht="15" customHeight="1" x14ac:dyDescent="0.15">
      <c r="A189" s="80">
        <v>203</v>
      </c>
      <c r="B189" s="80" t="s">
        <v>1977</v>
      </c>
      <c r="C189" s="80">
        <f t="shared" si="29"/>
        <v>0</v>
      </c>
      <c r="D189" s="80">
        <v>1</v>
      </c>
      <c r="E189" s="80">
        <v>83</v>
      </c>
      <c r="F189" s="80">
        <v>0</v>
      </c>
      <c r="G189" s="81">
        <v>0</v>
      </c>
      <c r="H189" s="81">
        <v>0</v>
      </c>
      <c r="I189" s="81">
        <v>0</v>
      </c>
      <c r="J189" s="81">
        <v>0</v>
      </c>
      <c r="K189" s="81">
        <v>0</v>
      </c>
      <c r="L189" s="80">
        <v>0</v>
      </c>
      <c r="M189" s="80">
        <v>64</v>
      </c>
      <c r="N189" s="81">
        <v>0</v>
      </c>
      <c r="O189" s="81">
        <v>0</v>
      </c>
      <c r="P189" s="81">
        <v>0</v>
      </c>
      <c r="Q189" s="81">
        <v>0</v>
      </c>
      <c r="R189" s="81">
        <v>0</v>
      </c>
      <c r="S189" s="81">
        <v>0</v>
      </c>
      <c r="T189" s="80">
        <v>1</v>
      </c>
      <c r="U189" s="80">
        <v>1</v>
      </c>
      <c r="V189" s="80">
        <v>1</v>
      </c>
      <c r="W189" s="80">
        <v>0</v>
      </c>
      <c r="X189" s="80">
        <v>1</v>
      </c>
      <c r="Y189" s="80">
        <v>0</v>
      </c>
      <c r="Z189" s="82" t="s">
        <v>1992</v>
      </c>
    </row>
    <row r="190" spans="1:26" s="80" customFormat="1" ht="15" customHeight="1" x14ac:dyDescent="0.15">
      <c r="A190" s="80">
        <v>204</v>
      </c>
      <c r="B190" s="80" t="s">
        <v>1978</v>
      </c>
      <c r="C190" s="80">
        <f t="shared" si="29"/>
        <v>0</v>
      </c>
      <c r="D190" s="80">
        <v>1</v>
      </c>
      <c r="E190" s="80">
        <v>81</v>
      </c>
      <c r="F190" s="80">
        <v>0</v>
      </c>
      <c r="G190" s="81">
        <v>0</v>
      </c>
      <c r="H190" s="81">
        <v>0</v>
      </c>
      <c r="I190" s="81">
        <v>0</v>
      </c>
      <c r="J190" s="81">
        <v>0</v>
      </c>
      <c r="K190" s="81">
        <v>0</v>
      </c>
      <c r="L190" s="80">
        <v>0</v>
      </c>
      <c r="M190" s="80">
        <v>64</v>
      </c>
      <c r="N190" s="81">
        <v>0</v>
      </c>
      <c r="O190" s="81">
        <v>0</v>
      </c>
      <c r="P190" s="81">
        <v>0</v>
      </c>
      <c r="Q190" s="81">
        <v>0</v>
      </c>
      <c r="R190" s="81">
        <v>0</v>
      </c>
      <c r="S190" s="81">
        <v>0</v>
      </c>
      <c r="T190" s="80">
        <v>1</v>
      </c>
      <c r="U190" s="80">
        <v>1</v>
      </c>
      <c r="V190" s="80">
        <v>1</v>
      </c>
      <c r="W190" s="80">
        <v>0</v>
      </c>
      <c r="X190" s="80">
        <v>1</v>
      </c>
      <c r="Y190" s="80">
        <v>0</v>
      </c>
      <c r="Z190" s="82" t="s">
        <v>1992</v>
      </c>
    </row>
    <row r="191" spans="1:26" s="80" customFormat="1" ht="15" customHeight="1" x14ac:dyDescent="0.15">
      <c r="A191" s="80">
        <v>205</v>
      </c>
      <c r="B191" s="80" t="s">
        <v>1979</v>
      </c>
      <c r="C191" s="80">
        <f t="shared" si="29"/>
        <v>0</v>
      </c>
      <c r="D191" s="80">
        <v>1</v>
      </c>
      <c r="E191" s="80">
        <v>80</v>
      </c>
      <c r="F191" s="80">
        <v>0</v>
      </c>
      <c r="G191" s="81">
        <v>0</v>
      </c>
      <c r="H191" s="81">
        <v>0</v>
      </c>
      <c r="I191" s="81">
        <v>0</v>
      </c>
      <c r="J191" s="81">
        <v>0</v>
      </c>
      <c r="K191" s="81">
        <v>0</v>
      </c>
      <c r="L191" s="80">
        <v>0</v>
      </c>
      <c r="M191" s="80">
        <v>64</v>
      </c>
      <c r="N191" s="81">
        <v>0</v>
      </c>
      <c r="O191" s="81">
        <v>0</v>
      </c>
      <c r="P191" s="81">
        <v>0</v>
      </c>
      <c r="Q191" s="81">
        <v>0</v>
      </c>
      <c r="R191" s="81">
        <v>0</v>
      </c>
      <c r="S191" s="81">
        <v>0</v>
      </c>
      <c r="T191" s="80">
        <v>1</v>
      </c>
      <c r="U191" s="80">
        <v>1</v>
      </c>
      <c r="V191" s="80">
        <v>1</v>
      </c>
      <c r="W191" s="80">
        <v>0</v>
      </c>
      <c r="X191" s="80">
        <v>1</v>
      </c>
      <c r="Y191" s="80">
        <v>0</v>
      </c>
      <c r="Z191" s="82" t="s">
        <v>1993</v>
      </c>
    </row>
    <row r="192" spans="1:26" s="80" customFormat="1" ht="15" customHeight="1" x14ac:dyDescent="0.15">
      <c r="A192" s="80">
        <v>206</v>
      </c>
      <c r="B192" s="80" t="s">
        <v>1980</v>
      </c>
      <c r="C192" s="80">
        <f t="shared" si="29"/>
        <v>0</v>
      </c>
      <c r="D192" s="80">
        <v>1</v>
      </c>
      <c r="E192" s="80">
        <v>82</v>
      </c>
      <c r="F192" s="80">
        <v>0</v>
      </c>
      <c r="G192" s="81">
        <v>0</v>
      </c>
      <c r="H192" s="81">
        <v>0</v>
      </c>
      <c r="I192" s="81">
        <v>0</v>
      </c>
      <c r="J192" s="81">
        <v>0</v>
      </c>
      <c r="K192" s="81">
        <v>0</v>
      </c>
      <c r="L192" s="80">
        <v>0</v>
      </c>
      <c r="M192" s="80">
        <v>64</v>
      </c>
      <c r="N192" s="81">
        <v>0</v>
      </c>
      <c r="O192" s="81">
        <v>0</v>
      </c>
      <c r="P192" s="81">
        <v>0</v>
      </c>
      <c r="Q192" s="81">
        <v>0</v>
      </c>
      <c r="R192" s="81">
        <v>0</v>
      </c>
      <c r="S192" s="81">
        <v>0</v>
      </c>
      <c r="T192" s="80">
        <v>1</v>
      </c>
      <c r="U192" s="80">
        <v>1</v>
      </c>
      <c r="V192" s="80">
        <v>1</v>
      </c>
      <c r="W192" s="80">
        <v>0</v>
      </c>
      <c r="X192" s="80">
        <v>1</v>
      </c>
      <c r="Y192" s="80">
        <v>0</v>
      </c>
      <c r="Z192" s="82" t="s">
        <v>1993</v>
      </c>
    </row>
    <row r="193" spans="1:26" s="80" customFormat="1" ht="15" customHeight="1" x14ac:dyDescent="0.15">
      <c r="A193" s="80">
        <v>207</v>
      </c>
      <c r="B193" s="80" t="s">
        <v>1981</v>
      </c>
      <c r="C193" s="80">
        <f t="shared" si="29"/>
        <v>0</v>
      </c>
      <c r="D193" s="80">
        <v>1</v>
      </c>
      <c r="E193" s="80">
        <v>76</v>
      </c>
      <c r="F193" s="80">
        <v>0</v>
      </c>
      <c r="G193" s="81">
        <v>0</v>
      </c>
      <c r="H193" s="81">
        <v>0</v>
      </c>
      <c r="I193" s="81">
        <v>0</v>
      </c>
      <c r="J193" s="81">
        <v>0</v>
      </c>
      <c r="K193" s="81">
        <v>0</v>
      </c>
      <c r="L193" s="80">
        <v>0</v>
      </c>
      <c r="M193" s="80">
        <v>64</v>
      </c>
      <c r="N193" s="81">
        <v>0</v>
      </c>
      <c r="O193" s="81">
        <v>0</v>
      </c>
      <c r="P193" s="81">
        <v>0</v>
      </c>
      <c r="Q193" s="81">
        <v>0</v>
      </c>
      <c r="R193" s="81">
        <v>0</v>
      </c>
      <c r="S193" s="81">
        <v>0</v>
      </c>
      <c r="T193" s="80">
        <v>1</v>
      </c>
      <c r="U193" s="80">
        <v>1</v>
      </c>
      <c r="V193" s="80">
        <v>1</v>
      </c>
      <c r="W193" s="80">
        <v>0</v>
      </c>
      <c r="X193" s="80">
        <v>1</v>
      </c>
      <c r="Y193" s="80">
        <v>0</v>
      </c>
      <c r="Z193" s="80" t="s">
        <v>1991</v>
      </c>
    </row>
    <row r="194" spans="1:26" s="80" customFormat="1" ht="15" customHeight="1" x14ac:dyDescent="0.15">
      <c r="A194" s="80">
        <v>208</v>
      </c>
      <c r="B194" s="80" t="s">
        <v>1982</v>
      </c>
      <c r="C194" s="80">
        <f t="shared" si="29"/>
        <v>0</v>
      </c>
      <c r="D194" s="80">
        <v>1</v>
      </c>
      <c r="E194" s="80">
        <v>84</v>
      </c>
      <c r="F194" s="80">
        <v>0</v>
      </c>
      <c r="G194" s="81">
        <v>0</v>
      </c>
      <c r="H194" s="81">
        <v>0</v>
      </c>
      <c r="I194" s="81">
        <v>0</v>
      </c>
      <c r="J194" s="81">
        <v>0</v>
      </c>
      <c r="K194" s="81">
        <v>0</v>
      </c>
      <c r="L194" s="80">
        <v>0</v>
      </c>
      <c r="M194" s="80">
        <v>64</v>
      </c>
      <c r="N194" s="81">
        <v>0</v>
      </c>
      <c r="O194" s="81">
        <v>0</v>
      </c>
      <c r="P194" s="81">
        <v>0</v>
      </c>
      <c r="Q194" s="81">
        <v>0</v>
      </c>
      <c r="R194" s="81">
        <v>0</v>
      </c>
      <c r="S194" s="81">
        <v>0</v>
      </c>
      <c r="T194" s="80">
        <v>1</v>
      </c>
      <c r="U194" s="80">
        <v>1</v>
      </c>
      <c r="V194" s="80">
        <v>1</v>
      </c>
      <c r="W194" s="80">
        <v>0</v>
      </c>
      <c r="X194" s="80">
        <v>1</v>
      </c>
      <c r="Y194" s="80">
        <v>0</v>
      </c>
      <c r="Z194" s="82" t="s">
        <v>1992</v>
      </c>
    </row>
    <row r="195" spans="1:26" s="80" customFormat="1" ht="15" customHeight="1" x14ac:dyDescent="0.15">
      <c r="A195" s="80">
        <v>209</v>
      </c>
      <c r="B195" s="80" t="s">
        <v>1983</v>
      </c>
      <c r="C195" s="80">
        <f t="shared" si="29"/>
        <v>0</v>
      </c>
      <c r="D195" s="80">
        <v>1</v>
      </c>
      <c r="E195" s="80">
        <v>78</v>
      </c>
      <c r="F195" s="80">
        <v>0</v>
      </c>
      <c r="G195" s="81">
        <v>0</v>
      </c>
      <c r="H195" s="81">
        <v>0</v>
      </c>
      <c r="I195" s="81">
        <v>0</v>
      </c>
      <c r="J195" s="81">
        <v>0</v>
      </c>
      <c r="K195" s="81">
        <v>0</v>
      </c>
      <c r="L195" s="80">
        <v>0</v>
      </c>
      <c r="M195" s="80">
        <v>64</v>
      </c>
      <c r="N195" s="81">
        <v>0</v>
      </c>
      <c r="O195" s="81">
        <v>0</v>
      </c>
      <c r="P195" s="81">
        <v>0</v>
      </c>
      <c r="Q195" s="81">
        <v>0</v>
      </c>
      <c r="R195" s="81">
        <v>0</v>
      </c>
      <c r="S195" s="81">
        <v>0</v>
      </c>
      <c r="T195" s="80">
        <v>1</v>
      </c>
      <c r="U195" s="80">
        <v>1</v>
      </c>
      <c r="V195" s="80">
        <v>1</v>
      </c>
      <c r="W195" s="80">
        <v>0</v>
      </c>
      <c r="X195" s="80">
        <v>1</v>
      </c>
      <c r="Y195" s="80">
        <v>0</v>
      </c>
      <c r="Z195" s="82" t="s">
        <v>1992</v>
      </c>
    </row>
    <row r="196" spans="1:26" s="80" customFormat="1" ht="15" customHeight="1" x14ac:dyDescent="0.15">
      <c r="A196" s="80">
        <v>210</v>
      </c>
      <c r="B196" s="80" t="s">
        <v>1984</v>
      </c>
      <c r="C196" s="80">
        <f t="shared" si="29"/>
        <v>0</v>
      </c>
      <c r="D196" s="80">
        <v>1</v>
      </c>
      <c r="E196" s="80">
        <v>75</v>
      </c>
      <c r="F196" s="80">
        <v>0</v>
      </c>
      <c r="G196" s="81">
        <v>0</v>
      </c>
      <c r="H196" s="81">
        <v>0</v>
      </c>
      <c r="I196" s="81">
        <v>0</v>
      </c>
      <c r="J196" s="81">
        <v>0</v>
      </c>
      <c r="K196" s="81">
        <v>0</v>
      </c>
      <c r="L196" s="80">
        <v>0</v>
      </c>
      <c r="M196" s="80">
        <v>64</v>
      </c>
      <c r="N196" s="81">
        <v>0</v>
      </c>
      <c r="O196" s="81">
        <v>0</v>
      </c>
      <c r="P196" s="81">
        <v>0</v>
      </c>
      <c r="Q196" s="81">
        <v>0</v>
      </c>
      <c r="R196" s="81">
        <v>0</v>
      </c>
      <c r="S196" s="81">
        <v>0</v>
      </c>
      <c r="T196" s="80">
        <v>1</v>
      </c>
      <c r="U196" s="80">
        <v>1</v>
      </c>
      <c r="V196" s="80">
        <v>1</v>
      </c>
      <c r="W196" s="80">
        <v>0</v>
      </c>
      <c r="X196" s="80">
        <v>1</v>
      </c>
      <c r="Y196" s="80">
        <v>0</v>
      </c>
      <c r="Z196" s="82" t="s">
        <v>1993</v>
      </c>
    </row>
    <row r="197" spans="1:26" s="80" customFormat="1" ht="15" customHeight="1" x14ac:dyDescent="0.15">
      <c r="A197" s="80">
        <v>211</v>
      </c>
      <c r="B197" s="80" t="s">
        <v>1985</v>
      </c>
      <c r="C197" s="80">
        <f t="shared" si="29"/>
        <v>0</v>
      </c>
      <c r="D197" s="80">
        <v>1</v>
      </c>
      <c r="E197" s="80">
        <v>74</v>
      </c>
      <c r="F197" s="80">
        <v>0</v>
      </c>
      <c r="G197" s="81">
        <v>0</v>
      </c>
      <c r="H197" s="81">
        <v>0</v>
      </c>
      <c r="I197" s="81">
        <v>0</v>
      </c>
      <c r="J197" s="81">
        <v>0</v>
      </c>
      <c r="K197" s="81">
        <v>0</v>
      </c>
      <c r="L197" s="80">
        <v>0</v>
      </c>
      <c r="M197" s="80">
        <v>64</v>
      </c>
      <c r="N197" s="81">
        <v>0</v>
      </c>
      <c r="O197" s="81">
        <v>0</v>
      </c>
      <c r="P197" s="81">
        <v>0</v>
      </c>
      <c r="Q197" s="81">
        <v>0</v>
      </c>
      <c r="R197" s="81">
        <v>0</v>
      </c>
      <c r="S197" s="81">
        <v>0</v>
      </c>
      <c r="T197" s="80">
        <v>1</v>
      </c>
      <c r="U197" s="80">
        <v>1</v>
      </c>
      <c r="V197" s="80">
        <v>1</v>
      </c>
      <c r="W197" s="80">
        <v>0</v>
      </c>
      <c r="X197" s="80">
        <v>1</v>
      </c>
      <c r="Y197" s="80">
        <v>0</v>
      </c>
      <c r="Z197" s="82" t="s">
        <v>1993</v>
      </c>
    </row>
    <row r="198" spans="1:26" s="80" customFormat="1" ht="15" customHeight="1" x14ac:dyDescent="0.15">
      <c r="A198" s="80">
        <v>212</v>
      </c>
      <c r="B198" s="80" t="s">
        <v>1986</v>
      </c>
      <c r="C198" s="80">
        <f t="shared" si="29"/>
        <v>0</v>
      </c>
      <c r="D198" s="80">
        <v>1</v>
      </c>
      <c r="E198" s="80">
        <v>79</v>
      </c>
      <c r="F198" s="80">
        <v>0</v>
      </c>
      <c r="G198" s="81">
        <v>0</v>
      </c>
      <c r="H198" s="81">
        <v>0</v>
      </c>
      <c r="I198" s="81">
        <v>0</v>
      </c>
      <c r="J198" s="81">
        <v>0</v>
      </c>
      <c r="K198" s="81">
        <v>0</v>
      </c>
      <c r="L198" s="80">
        <v>0</v>
      </c>
      <c r="M198" s="80">
        <v>64</v>
      </c>
      <c r="N198" s="81">
        <v>0</v>
      </c>
      <c r="O198" s="81">
        <v>0</v>
      </c>
      <c r="P198" s="81">
        <v>0</v>
      </c>
      <c r="Q198" s="81">
        <v>0</v>
      </c>
      <c r="R198" s="81">
        <v>0</v>
      </c>
      <c r="S198" s="81">
        <v>0</v>
      </c>
      <c r="T198" s="80">
        <v>1</v>
      </c>
      <c r="U198" s="80">
        <v>1</v>
      </c>
      <c r="V198" s="80">
        <v>1</v>
      </c>
      <c r="W198" s="80">
        <v>0</v>
      </c>
      <c r="X198" s="80">
        <v>1</v>
      </c>
      <c r="Y198" s="80">
        <v>0</v>
      </c>
      <c r="Z198" s="80" t="s">
        <v>1991</v>
      </c>
    </row>
    <row r="199" spans="1:26" s="80" customFormat="1" ht="15" customHeight="1" x14ac:dyDescent="0.15">
      <c r="A199" s="80">
        <v>213</v>
      </c>
      <c r="B199" s="80" t="s">
        <v>1987</v>
      </c>
      <c r="C199" s="80">
        <f t="shared" si="29"/>
        <v>0</v>
      </c>
      <c r="D199" s="80">
        <v>1</v>
      </c>
      <c r="E199" s="80">
        <v>77</v>
      </c>
      <c r="F199" s="80">
        <v>0</v>
      </c>
      <c r="G199" s="81">
        <v>0</v>
      </c>
      <c r="H199" s="81">
        <v>0</v>
      </c>
      <c r="I199" s="81">
        <v>0</v>
      </c>
      <c r="J199" s="81">
        <v>0</v>
      </c>
      <c r="K199" s="81">
        <v>0</v>
      </c>
      <c r="L199" s="80">
        <v>0</v>
      </c>
      <c r="M199" s="80">
        <v>64</v>
      </c>
      <c r="N199" s="81">
        <v>0</v>
      </c>
      <c r="O199" s="81">
        <v>0</v>
      </c>
      <c r="P199" s="81">
        <v>0</v>
      </c>
      <c r="Q199" s="81">
        <v>0</v>
      </c>
      <c r="R199" s="81">
        <v>0</v>
      </c>
      <c r="S199" s="81">
        <v>0</v>
      </c>
      <c r="T199" s="80">
        <v>1</v>
      </c>
      <c r="U199" s="80">
        <v>1</v>
      </c>
      <c r="V199" s="80">
        <v>1</v>
      </c>
      <c r="W199" s="80">
        <v>0</v>
      </c>
      <c r="X199" s="80">
        <v>1</v>
      </c>
      <c r="Y199" s="80">
        <v>0</v>
      </c>
      <c r="Z199" s="82" t="s">
        <v>1992</v>
      </c>
    </row>
    <row r="200" spans="1:26" s="80" customFormat="1" ht="15" customHeight="1" x14ac:dyDescent="0.15">
      <c r="A200" s="80">
        <v>214</v>
      </c>
      <c r="B200" s="80" t="s">
        <v>1988</v>
      </c>
      <c r="C200" s="80">
        <f t="shared" si="29"/>
        <v>0</v>
      </c>
      <c r="D200" s="80">
        <v>1</v>
      </c>
      <c r="E200" s="80">
        <v>73</v>
      </c>
      <c r="F200" s="80">
        <v>0</v>
      </c>
      <c r="G200" s="81">
        <v>0</v>
      </c>
      <c r="H200" s="81">
        <v>0</v>
      </c>
      <c r="I200" s="81">
        <v>0</v>
      </c>
      <c r="J200" s="81">
        <v>0</v>
      </c>
      <c r="K200" s="81">
        <v>0</v>
      </c>
      <c r="L200" s="80">
        <v>0</v>
      </c>
      <c r="M200" s="80">
        <v>64</v>
      </c>
      <c r="N200" s="81">
        <v>0</v>
      </c>
      <c r="O200" s="81">
        <v>0</v>
      </c>
      <c r="P200" s="81">
        <v>0</v>
      </c>
      <c r="Q200" s="81">
        <v>0</v>
      </c>
      <c r="R200" s="81">
        <v>0</v>
      </c>
      <c r="S200" s="81">
        <v>0</v>
      </c>
      <c r="T200" s="80">
        <v>1</v>
      </c>
      <c r="U200" s="80">
        <v>1</v>
      </c>
      <c r="V200" s="80">
        <v>1</v>
      </c>
      <c r="W200" s="80">
        <v>0</v>
      </c>
      <c r="X200" s="80">
        <v>1</v>
      </c>
      <c r="Y200" s="80">
        <v>0</v>
      </c>
      <c r="Z200" s="82" t="s">
        <v>1992</v>
      </c>
    </row>
    <row r="201" spans="1:26" s="80" customFormat="1" ht="15" customHeight="1" x14ac:dyDescent="0.15">
      <c r="A201" s="80">
        <v>215</v>
      </c>
      <c r="B201" s="80" t="s">
        <v>1989</v>
      </c>
      <c r="C201" s="80">
        <f t="shared" si="29"/>
        <v>0</v>
      </c>
      <c r="D201" s="80">
        <v>1</v>
      </c>
      <c r="E201" s="80">
        <v>85</v>
      </c>
      <c r="F201" s="80">
        <v>0</v>
      </c>
      <c r="G201" s="81">
        <v>0</v>
      </c>
      <c r="H201" s="81">
        <v>0</v>
      </c>
      <c r="I201" s="81">
        <v>0</v>
      </c>
      <c r="J201" s="81">
        <v>0</v>
      </c>
      <c r="K201" s="81">
        <v>0</v>
      </c>
      <c r="L201" s="80">
        <v>0</v>
      </c>
      <c r="M201" s="80">
        <v>64</v>
      </c>
      <c r="N201" s="81">
        <v>0</v>
      </c>
      <c r="O201" s="81">
        <v>0</v>
      </c>
      <c r="P201" s="81">
        <v>0</v>
      </c>
      <c r="Q201" s="81">
        <v>0</v>
      </c>
      <c r="R201" s="81">
        <v>0</v>
      </c>
      <c r="S201" s="81">
        <v>0</v>
      </c>
      <c r="T201" s="80">
        <v>1</v>
      </c>
      <c r="U201" s="80">
        <v>1</v>
      </c>
      <c r="V201" s="80">
        <v>1</v>
      </c>
      <c r="W201" s="80">
        <v>0</v>
      </c>
      <c r="X201" s="80">
        <v>1</v>
      </c>
      <c r="Y201" s="80">
        <v>0</v>
      </c>
      <c r="Z201" s="82" t="s">
        <v>1993</v>
      </c>
    </row>
    <row r="202" spans="1:26" s="80" customFormat="1" ht="15" customHeight="1" x14ac:dyDescent="0.15">
      <c r="A202" s="80">
        <v>216</v>
      </c>
      <c r="B202" s="80" t="s">
        <v>1990</v>
      </c>
      <c r="C202" s="80">
        <f t="shared" si="29"/>
        <v>0</v>
      </c>
      <c r="D202" s="80">
        <v>1</v>
      </c>
      <c r="E202" s="80">
        <v>72</v>
      </c>
      <c r="F202" s="80">
        <v>0</v>
      </c>
      <c r="G202" s="81">
        <v>0</v>
      </c>
      <c r="H202" s="81">
        <v>0</v>
      </c>
      <c r="I202" s="81">
        <v>0</v>
      </c>
      <c r="J202" s="81">
        <v>0</v>
      </c>
      <c r="K202" s="81">
        <v>0</v>
      </c>
      <c r="L202" s="80">
        <v>0</v>
      </c>
      <c r="M202" s="80">
        <v>64</v>
      </c>
      <c r="N202" s="81">
        <v>0</v>
      </c>
      <c r="O202" s="81">
        <v>0</v>
      </c>
      <c r="P202" s="81">
        <v>0</v>
      </c>
      <c r="Q202" s="81">
        <v>0</v>
      </c>
      <c r="R202" s="81">
        <v>0</v>
      </c>
      <c r="S202" s="81">
        <v>0</v>
      </c>
      <c r="T202" s="80">
        <v>1</v>
      </c>
      <c r="U202" s="80">
        <v>1</v>
      </c>
      <c r="V202" s="80">
        <v>1</v>
      </c>
      <c r="W202" s="80">
        <v>0</v>
      </c>
      <c r="X202" s="80">
        <v>1</v>
      </c>
      <c r="Y202" s="80">
        <v>0</v>
      </c>
      <c r="Z202" s="82" t="s">
        <v>1993</v>
      </c>
    </row>
    <row r="203" spans="1:26" s="80" customFormat="1" ht="15" customHeight="1" x14ac:dyDescent="0.15">
      <c r="A203" s="80">
        <v>217</v>
      </c>
      <c r="B203" s="85" t="s">
        <v>2007</v>
      </c>
      <c r="C203" s="80">
        <f t="shared" si="29"/>
        <v>0</v>
      </c>
      <c r="D203" s="80">
        <v>1</v>
      </c>
      <c r="E203" s="80">
        <v>87</v>
      </c>
      <c r="F203" s="80">
        <v>0</v>
      </c>
      <c r="G203" s="81">
        <v>0</v>
      </c>
      <c r="H203" s="81">
        <v>0</v>
      </c>
      <c r="I203" s="81">
        <v>0</v>
      </c>
      <c r="J203" s="81">
        <v>0</v>
      </c>
      <c r="K203" s="81">
        <v>0</v>
      </c>
      <c r="L203" s="80">
        <v>0</v>
      </c>
      <c r="M203" s="80">
        <v>64</v>
      </c>
      <c r="N203" s="81">
        <v>0</v>
      </c>
      <c r="O203" s="81">
        <v>0</v>
      </c>
      <c r="P203" s="81">
        <v>0</v>
      </c>
      <c r="Q203" s="81">
        <v>0</v>
      </c>
      <c r="R203" s="81">
        <v>0</v>
      </c>
      <c r="S203" s="81">
        <v>0</v>
      </c>
      <c r="T203" s="80">
        <v>1</v>
      </c>
      <c r="U203" s="80">
        <v>1</v>
      </c>
      <c r="V203" s="80">
        <v>1</v>
      </c>
      <c r="W203" s="80">
        <v>0</v>
      </c>
      <c r="X203" s="80">
        <v>1</v>
      </c>
      <c r="Y203" s="80">
        <v>0</v>
      </c>
      <c r="Z203" s="82" t="s">
        <v>1993</v>
      </c>
    </row>
    <row r="204" spans="1:26" s="80" customFormat="1" ht="15" customHeight="1" x14ac:dyDescent="0.35">
      <c r="A204" s="80">
        <v>218</v>
      </c>
      <c r="B204" s="86" t="s">
        <v>2008</v>
      </c>
      <c r="C204" s="80">
        <f t="shared" si="29"/>
        <v>0</v>
      </c>
      <c r="D204" s="80">
        <v>1</v>
      </c>
      <c r="E204" s="80">
        <v>88</v>
      </c>
      <c r="F204" s="80">
        <v>0</v>
      </c>
      <c r="G204" s="81">
        <v>0</v>
      </c>
      <c r="H204" s="81">
        <v>0</v>
      </c>
      <c r="I204" s="81">
        <v>0</v>
      </c>
      <c r="J204" s="81">
        <v>0</v>
      </c>
      <c r="K204" s="81">
        <v>0</v>
      </c>
      <c r="L204" s="80">
        <v>0</v>
      </c>
      <c r="M204" s="80">
        <v>64</v>
      </c>
      <c r="N204" s="81">
        <v>0</v>
      </c>
      <c r="O204" s="81">
        <v>0</v>
      </c>
      <c r="P204" s="81">
        <v>0</v>
      </c>
      <c r="Q204" s="81">
        <v>0</v>
      </c>
      <c r="R204" s="81">
        <v>0</v>
      </c>
      <c r="S204" s="81">
        <v>0</v>
      </c>
      <c r="T204" s="80">
        <v>1</v>
      </c>
      <c r="U204" s="80">
        <v>1</v>
      </c>
      <c r="V204" s="80">
        <v>1</v>
      </c>
      <c r="W204" s="80">
        <v>0</v>
      </c>
      <c r="X204" s="80">
        <v>1</v>
      </c>
      <c r="Y204" s="80">
        <v>0</v>
      </c>
      <c r="Z204" s="82" t="s">
        <v>1993</v>
      </c>
    </row>
    <row r="205" spans="1:26" s="80" customFormat="1" ht="15" customHeight="1" x14ac:dyDescent="0.35">
      <c r="A205" s="80">
        <v>219</v>
      </c>
      <c r="B205" s="86" t="s">
        <v>2009</v>
      </c>
      <c r="C205" s="80">
        <f t="shared" si="29"/>
        <v>0</v>
      </c>
      <c r="D205" s="80">
        <v>1</v>
      </c>
      <c r="E205" s="80">
        <v>89</v>
      </c>
      <c r="F205" s="80">
        <v>0</v>
      </c>
      <c r="G205" s="81">
        <v>0</v>
      </c>
      <c r="H205" s="81">
        <v>0</v>
      </c>
      <c r="I205" s="81">
        <v>0</v>
      </c>
      <c r="J205" s="81">
        <v>0</v>
      </c>
      <c r="K205" s="81">
        <v>0</v>
      </c>
      <c r="L205" s="80">
        <v>0</v>
      </c>
      <c r="M205" s="80">
        <v>64</v>
      </c>
      <c r="N205" s="81">
        <v>0</v>
      </c>
      <c r="O205" s="81">
        <v>0</v>
      </c>
      <c r="P205" s="81">
        <v>0</v>
      </c>
      <c r="Q205" s="81">
        <v>0</v>
      </c>
      <c r="R205" s="81">
        <v>0</v>
      </c>
      <c r="S205" s="81">
        <v>0</v>
      </c>
      <c r="T205" s="80">
        <v>1</v>
      </c>
      <c r="U205" s="80">
        <v>1</v>
      </c>
      <c r="V205" s="80">
        <v>1</v>
      </c>
      <c r="W205" s="80">
        <v>0</v>
      </c>
      <c r="X205" s="80">
        <v>1</v>
      </c>
      <c r="Y205" s="80">
        <v>0</v>
      </c>
      <c r="Z205" s="82" t="s">
        <v>1993</v>
      </c>
    </row>
    <row r="206" spans="1:26" s="80" customFormat="1" ht="15" customHeight="1" x14ac:dyDescent="0.35">
      <c r="A206" s="80">
        <v>220</v>
      </c>
      <c r="B206" s="86" t="s">
        <v>2010</v>
      </c>
      <c r="C206" s="80">
        <f t="shared" si="29"/>
        <v>0</v>
      </c>
      <c r="D206" s="80">
        <v>1</v>
      </c>
      <c r="E206" s="80">
        <v>90</v>
      </c>
      <c r="F206" s="80">
        <v>0</v>
      </c>
      <c r="G206" s="81">
        <v>0</v>
      </c>
      <c r="H206" s="81">
        <v>0</v>
      </c>
      <c r="I206" s="81">
        <v>0</v>
      </c>
      <c r="J206" s="81">
        <v>0</v>
      </c>
      <c r="K206" s="81">
        <v>0</v>
      </c>
      <c r="L206" s="80">
        <v>0</v>
      </c>
      <c r="M206" s="80">
        <v>64</v>
      </c>
      <c r="N206" s="81">
        <v>0</v>
      </c>
      <c r="O206" s="81">
        <v>0</v>
      </c>
      <c r="P206" s="81">
        <v>0</v>
      </c>
      <c r="Q206" s="81">
        <v>0</v>
      </c>
      <c r="R206" s="81">
        <v>0</v>
      </c>
      <c r="S206" s="81">
        <v>0</v>
      </c>
      <c r="T206" s="80">
        <v>1</v>
      </c>
      <c r="U206" s="80">
        <v>1</v>
      </c>
      <c r="V206" s="80">
        <v>1</v>
      </c>
      <c r="W206" s="80">
        <v>0</v>
      </c>
      <c r="X206" s="80">
        <v>1</v>
      </c>
      <c r="Y206" s="80">
        <v>0</v>
      </c>
      <c r="Z206" s="82" t="s">
        <v>1993</v>
      </c>
    </row>
    <row r="207" spans="1:26" s="80" customFormat="1" ht="15" customHeight="1" x14ac:dyDescent="0.35">
      <c r="A207" s="80">
        <v>221</v>
      </c>
      <c r="B207" s="86" t="s">
        <v>2011</v>
      </c>
      <c r="C207" s="80">
        <f t="shared" si="29"/>
        <v>0</v>
      </c>
      <c r="D207" s="80">
        <v>1</v>
      </c>
      <c r="E207" s="80">
        <v>91</v>
      </c>
      <c r="F207" s="80">
        <v>0</v>
      </c>
      <c r="G207" s="81">
        <v>0</v>
      </c>
      <c r="H207" s="81">
        <v>0</v>
      </c>
      <c r="I207" s="81">
        <v>0</v>
      </c>
      <c r="J207" s="81">
        <v>0</v>
      </c>
      <c r="K207" s="81">
        <v>0</v>
      </c>
      <c r="L207" s="80">
        <v>0</v>
      </c>
      <c r="M207" s="80">
        <v>64</v>
      </c>
      <c r="N207" s="81">
        <v>0</v>
      </c>
      <c r="O207" s="81">
        <v>0</v>
      </c>
      <c r="P207" s="81">
        <v>0</v>
      </c>
      <c r="Q207" s="81">
        <v>0</v>
      </c>
      <c r="R207" s="81">
        <v>0</v>
      </c>
      <c r="S207" s="81">
        <v>0</v>
      </c>
      <c r="T207" s="80">
        <v>1</v>
      </c>
      <c r="U207" s="80">
        <v>1</v>
      </c>
      <c r="V207" s="80">
        <v>1</v>
      </c>
      <c r="W207" s="80">
        <v>0</v>
      </c>
      <c r="X207" s="80">
        <v>1</v>
      </c>
      <c r="Y207" s="80">
        <v>0</v>
      </c>
      <c r="Z207" s="82" t="s">
        <v>1993</v>
      </c>
    </row>
    <row r="208" spans="1:26" s="80" customFormat="1" ht="15" customHeight="1" x14ac:dyDescent="0.35">
      <c r="A208" s="80">
        <v>222</v>
      </c>
      <c r="B208" s="86" t="s">
        <v>2012</v>
      </c>
      <c r="C208" s="80">
        <f t="shared" si="29"/>
        <v>0</v>
      </c>
      <c r="D208" s="80">
        <v>1</v>
      </c>
      <c r="E208" s="80">
        <v>92</v>
      </c>
      <c r="F208" s="80">
        <v>0</v>
      </c>
      <c r="G208" s="81">
        <v>0</v>
      </c>
      <c r="H208" s="81">
        <v>0</v>
      </c>
      <c r="I208" s="81">
        <v>0</v>
      </c>
      <c r="J208" s="81">
        <v>0</v>
      </c>
      <c r="K208" s="81">
        <v>0</v>
      </c>
      <c r="L208" s="80">
        <v>0</v>
      </c>
      <c r="M208" s="80">
        <v>64</v>
      </c>
      <c r="N208" s="81">
        <v>0</v>
      </c>
      <c r="O208" s="81">
        <v>0</v>
      </c>
      <c r="P208" s="81">
        <v>0</v>
      </c>
      <c r="Q208" s="81">
        <v>0</v>
      </c>
      <c r="R208" s="81">
        <v>0</v>
      </c>
      <c r="S208" s="81">
        <v>0</v>
      </c>
      <c r="T208" s="80">
        <v>1</v>
      </c>
      <c r="U208" s="80">
        <v>1</v>
      </c>
      <c r="V208" s="80">
        <v>1</v>
      </c>
      <c r="W208" s="80">
        <v>0</v>
      </c>
      <c r="X208" s="80">
        <v>1</v>
      </c>
      <c r="Y208" s="80">
        <v>0</v>
      </c>
      <c r="Z208" s="82" t="s">
        <v>1993</v>
      </c>
    </row>
    <row r="209" spans="1:26" s="80" customFormat="1" ht="15" customHeight="1" x14ac:dyDescent="0.35">
      <c r="A209" s="80">
        <v>223</v>
      </c>
      <c r="B209" s="86" t="s">
        <v>2013</v>
      </c>
      <c r="C209" s="80">
        <f t="shared" si="29"/>
        <v>0</v>
      </c>
      <c r="D209" s="80">
        <v>1</v>
      </c>
      <c r="E209" s="80">
        <v>93</v>
      </c>
      <c r="F209" s="80">
        <v>0</v>
      </c>
      <c r="G209" s="81">
        <v>0</v>
      </c>
      <c r="H209" s="81">
        <v>0</v>
      </c>
      <c r="I209" s="81">
        <v>0</v>
      </c>
      <c r="J209" s="81">
        <v>0</v>
      </c>
      <c r="K209" s="81">
        <v>0</v>
      </c>
      <c r="L209" s="80">
        <v>0</v>
      </c>
      <c r="M209" s="80">
        <v>64</v>
      </c>
      <c r="N209" s="81">
        <v>0</v>
      </c>
      <c r="O209" s="81">
        <v>0</v>
      </c>
      <c r="P209" s="81">
        <v>0</v>
      </c>
      <c r="Q209" s="81">
        <v>0</v>
      </c>
      <c r="R209" s="81">
        <v>0</v>
      </c>
      <c r="S209" s="81">
        <v>0</v>
      </c>
      <c r="T209" s="80">
        <v>1</v>
      </c>
      <c r="U209" s="80">
        <v>1</v>
      </c>
      <c r="V209" s="80">
        <v>1</v>
      </c>
      <c r="W209" s="80">
        <v>0</v>
      </c>
      <c r="X209" s="80">
        <v>1</v>
      </c>
      <c r="Y209" s="80">
        <v>0</v>
      </c>
      <c r="Z209" s="82" t="s">
        <v>1993</v>
      </c>
    </row>
    <row r="210" spans="1:26" s="80" customFormat="1" ht="15" customHeight="1" x14ac:dyDescent="0.35">
      <c r="A210" s="80">
        <v>224</v>
      </c>
      <c r="B210" s="86" t="s">
        <v>2014</v>
      </c>
      <c r="C210" s="80">
        <f t="shared" si="29"/>
        <v>0</v>
      </c>
      <c r="D210" s="80">
        <v>1</v>
      </c>
      <c r="E210" s="80">
        <v>94</v>
      </c>
      <c r="F210" s="80">
        <v>0</v>
      </c>
      <c r="G210" s="81">
        <v>0</v>
      </c>
      <c r="H210" s="81">
        <v>0</v>
      </c>
      <c r="I210" s="81">
        <v>0</v>
      </c>
      <c r="J210" s="81">
        <v>0</v>
      </c>
      <c r="K210" s="81">
        <v>0</v>
      </c>
      <c r="L210" s="80">
        <v>0</v>
      </c>
      <c r="M210" s="80">
        <v>64</v>
      </c>
      <c r="N210" s="81">
        <v>0</v>
      </c>
      <c r="O210" s="81">
        <v>0</v>
      </c>
      <c r="P210" s="81">
        <v>0</v>
      </c>
      <c r="Q210" s="81">
        <v>0</v>
      </c>
      <c r="R210" s="81">
        <v>0</v>
      </c>
      <c r="S210" s="81">
        <v>0</v>
      </c>
      <c r="T210" s="80">
        <v>1</v>
      </c>
      <c r="U210" s="80">
        <v>1</v>
      </c>
      <c r="V210" s="80">
        <v>1</v>
      </c>
      <c r="W210" s="80">
        <v>0</v>
      </c>
      <c r="X210" s="80">
        <v>1</v>
      </c>
      <c r="Y210" s="80">
        <v>0</v>
      </c>
      <c r="Z210" s="82" t="s">
        <v>1993</v>
      </c>
    </row>
    <row r="211" spans="1:26" s="80" customFormat="1" ht="15" customHeight="1" x14ac:dyDescent="0.35">
      <c r="A211" s="80">
        <v>225</v>
      </c>
      <c r="B211" s="86" t="s">
        <v>2015</v>
      </c>
      <c r="C211" s="80">
        <f t="shared" si="29"/>
        <v>0</v>
      </c>
      <c r="D211" s="80">
        <v>1</v>
      </c>
      <c r="E211" s="80">
        <v>95</v>
      </c>
      <c r="F211" s="80">
        <v>0</v>
      </c>
      <c r="G211" s="81">
        <v>0</v>
      </c>
      <c r="H211" s="81">
        <v>0</v>
      </c>
      <c r="I211" s="81">
        <v>0</v>
      </c>
      <c r="J211" s="81">
        <v>0</v>
      </c>
      <c r="K211" s="81">
        <v>0</v>
      </c>
      <c r="L211" s="80">
        <v>0</v>
      </c>
      <c r="M211" s="80">
        <v>64</v>
      </c>
      <c r="N211" s="81">
        <v>0</v>
      </c>
      <c r="O211" s="81">
        <v>0</v>
      </c>
      <c r="P211" s="81">
        <v>0</v>
      </c>
      <c r="Q211" s="81">
        <v>0</v>
      </c>
      <c r="R211" s="81">
        <v>0</v>
      </c>
      <c r="S211" s="81">
        <v>0</v>
      </c>
      <c r="T211" s="80">
        <v>1</v>
      </c>
      <c r="U211" s="80">
        <v>1</v>
      </c>
      <c r="V211" s="80">
        <v>1</v>
      </c>
      <c r="W211" s="80">
        <v>0</v>
      </c>
      <c r="X211" s="80">
        <v>1</v>
      </c>
      <c r="Y211" s="80">
        <v>0</v>
      </c>
      <c r="Z211" s="82" t="s">
        <v>1993</v>
      </c>
    </row>
    <row r="212" spans="1:26" s="80" customFormat="1" ht="15" customHeight="1" x14ac:dyDescent="0.35">
      <c r="A212" s="80">
        <v>226</v>
      </c>
      <c r="B212" s="86" t="s">
        <v>2016</v>
      </c>
      <c r="C212" s="80">
        <f t="shared" si="29"/>
        <v>0</v>
      </c>
      <c r="D212" s="80">
        <v>1</v>
      </c>
      <c r="E212" s="80">
        <v>96</v>
      </c>
      <c r="F212" s="80">
        <v>0</v>
      </c>
      <c r="G212" s="81">
        <v>0</v>
      </c>
      <c r="H212" s="81">
        <v>0</v>
      </c>
      <c r="I212" s="81">
        <v>0</v>
      </c>
      <c r="J212" s="81">
        <v>0</v>
      </c>
      <c r="K212" s="81">
        <v>0</v>
      </c>
      <c r="L212" s="80">
        <v>0</v>
      </c>
      <c r="M212" s="80">
        <v>64</v>
      </c>
      <c r="N212" s="81">
        <v>0</v>
      </c>
      <c r="O212" s="81">
        <v>0</v>
      </c>
      <c r="P212" s="81">
        <v>0</v>
      </c>
      <c r="Q212" s="81">
        <v>0</v>
      </c>
      <c r="R212" s="81">
        <v>0</v>
      </c>
      <c r="S212" s="81">
        <v>0</v>
      </c>
      <c r="T212" s="80">
        <v>1</v>
      </c>
      <c r="U212" s="80">
        <v>1</v>
      </c>
      <c r="V212" s="80">
        <v>1</v>
      </c>
      <c r="W212" s="80">
        <v>0</v>
      </c>
      <c r="X212" s="80">
        <v>1</v>
      </c>
      <c r="Y212" s="80">
        <v>0</v>
      </c>
      <c r="Z212" s="82" t="s">
        <v>1993</v>
      </c>
    </row>
    <row r="213" spans="1:26" s="80" customFormat="1" ht="15" customHeight="1" x14ac:dyDescent="0.35">
      <c r="A213" s="80">
        <v>227</v>
      </c>
      <c r="B213" s="86" t="s">
        <v>2017</v>
      </c>
      <c r="C213" s="80">
        <f t="shared" si="29"/>
        <v>0</v>
      </c>
      <c r="D213" s="80">
        <v>1</v>
      </c>
      <c r="E213" s="80">
        <v>97</v>
      </c>
      <c r="F213" s="80">
        <v>0</v>
      </c>
      <c r="G213" s="81">
        <v>0</v>
      </c>
      <c r="H213" s="81">
        <v>0</v>
      </c>
      <c r="I213" s="81">
        <v>0</v>
      </c>
      <c r="J213" s="81">
        <v>0</v>
      </c>
      <c r="K213" s="81">
        <v>0</v>
      </c>
      <c r="L213" s="80">
        <v>0</v>
      </c>
      <c r="M213" s="80">
        <v>64</v>
      </c>
      <c r="N213" s="81">
        <v>0</v>
      </c>
      <c r="O213" s="81">
        <v>0</v>
      </c>
      <c r="P213" s="81">
        <v>0</v>
      </c>
      <c r="Q213" s="81">
        <v>0</v>
      </c>
      <c r="R213" s="81">
        <v>0</v>
      </c>
      <c r="S213" s="81">
        <v>0</v>
      </c>
      <c r="T213" s="80">
        <v>1</v>
      </c>
      <c r="U213" s="80">
        <v>1</v>
      </c>
      <c r="V213" s="80">
        <v>1</v>
      </c>
      <c r="W213" s="80">
        <v>0</v>
      </c>
      <c r="X213" s="80">
        <v>1</v>
      </c>
      <c r="Y213" s="80">
        <v>0</v>
      </c>
      <c r="Z213" s="82" t="s">
        <v>1993</v>
      </c>
    </row>
    <row r="214" spans="1:26" s="80" customFormat="1" ht="15" customHeight="1" x14ac:dyDescent="0.35">
      <c r="A214" s="80">
        <v>228</v>
      </c>
      <c r="B214" s="86" t="s">
        <v>2018</v>
      </c>
      <c r="C214" s="80">
        <f t="shared" si="29"/>
        <v>0</v>
      </c>
      <c r="D214" s="80">
        <v>1</v>
      </c>
      <c r="E214" s="80">
        <v>98</v>
      </c>
      <c r="F214" s="80">
        <v>0</v>
      </c>
      <c r="G214" s="81">
        <v>0</v>
      </c>
      <c r="H214" s="81">
        <v>0</v>
      </c>
      <c r="I214" s="81">
        <v>0</v>
      </c>
      <c r="J214" s="81">
        <v>0</v>
      </c>
      <c r="K214" s="81">
        <v>0</v>
      </c>
      <c r="L214" s="80">
        <v>0</v>
      </c>
      <c r="M214" s="80">
        <v>64</v>
      </c>
      <c r="N214" s="81">
        <v>0</v>
      </c>
      <c r="O214" s="81">
        <v>0</v>
      </c>
      <c r="P214" s="81">
        <v>0</v>
      </c>
      <c r="Q214" s="81">
        <v>0</v>
      </c>
      <c r="R214" s="81">
        <v>0</v>
      </c>
      <c r="S214" s="81">
        <v>0</v>
      </c>
      <c r="T214" s="80">
        <v>1</v>
      </c>
      <c r="U214" s="80">
        <v>1</v>
      </c>
      <c r="V214" s="80">
        <v>1</v>
      </c>
      <c r="W214" s="80">
        <v>0</v>
      </c>
      <c r="X214" s="80">
        <v>1</v>
      </c>
      <c r="Y214" s="80">
        <v>0</v>
      </c>
      <c r="Z214" s="82" t="s">
        <v>1993</v>
      </c>
    </row>
    <row r="215" spans="1:26" s="80" customFormat="1" ht="15" customHeight="1" x14ac:dyDescent="0.35">
      <c r="A215" s="80">
        <v>229</v>
      </c>
      <c r="B215" s="86" t="s">
        <v>2019</v>
      </c>
      <c r="C215" s="80">
        <f t="shared" si="29"/>
        <v>0</v>
      </c>
      <c r="D215" s="80">
        <v>1</v>
      </c>
      <c r="E215" s="80">
        <v>99</v>
      </c>
      <c r="F215" s="80">
        <v>0</v>
      </c>
      <c r="G215" s="81">
        <v>0</v>
      </c>
      <c r="H215" s="81">
        <v>0</v>
      </c>
      <c r="I215" s="81">
        <v>0</v>
      </c>
      <c r="J215" s="81">
        <v>0</v>
      </c>
      <c r="K215" s="81">
        <v>0</v>
      </c>
      <c r="L215" s="80">
        <v>0</v>
      </c>
      <c r="M215" s="80">
        <v>64</v>
      </c>
      <c r="N215" s="81">
        <v>0</v>
      </c>
      <c r="O215" s="81">
        <v>0</v>
      </c>
      <c r="P215" s="81">
        <v>0</v>
      </c>
      <c r="Q215" s="81">
        <v>0</v>
      </c>
      <c r="R215" s="81">
        <v>0</v>
      </c>
      <c r="S215" s="81">
        <v>0</v>
      </c>
      <c r="T215" s="80">
        <v>1</v>
      </c>
      <c r="U215" s="80">
        <v>1</v>
      </c>
      <c r="V215" s="80">
        <v>1</v>
      </c>
      <c r="W215" s="80">
        <v>0</v>
      </c>
      <c r="X215" s="80">
        <v>1</v>
      </c>
      <c r="Y215" s="80">
        <v>0</v>
      </c>
      <c r="Z215" s="82" t="s">
        <v>1993</v>
      </c>
    </row>
    <row r="216" spans="1:26" s="80" customFormat="1" ht="15" customHeight="1" x14ac:dyDescent="0.35">
      <c r="A216" s="80">
        <v>230</v>
      </c>
      <c r="B216" s="86" t="s">
        <v>2020</v>
      </c>
      <c r="C216" s="80">
        <f t="shared" si="29"/>
        <v>0</v>
      </c>
      <c r="D216" s="80">
        <v>1</v>
      </c>
      <c r="E216" s="80">
        <v>100</v>
      </c>
      <c r="F216" s="80">
        <v>0</v>
      </c>
      <c r="G216" s="81">
        <v>0</v>
      </c>
      <c r="H216" s="81">
        <v>0</v>
      </c>
      <c r="I216" s="81">
        <v>0</v>
      </c>
      <c r="J216" s="81">
        <v>0</v>
      </c>
      <c r="K216" s="81">
        <v>0</v>
      </c>
      <c r="L216" s="80">
        <v>0</v>
      </c>
      <c r="M216" s="80">
        <v>64</v>
      </c>
      <c r="N216" s="81">
        <v>0</v>
      </c>
      <c r="O216" s="81">
        <v>0</v>
      </c>
      <c r="P216" s="81">
        <v>0</v>
      </c>
      <c r="Q216" s="81">
        <v>0</v>
      </c>
      <c r="R216" s="81">
        <v>0</v>
      </c>
      <c r="S216" s="81">
        <v>0</v>
      </c>
      <c r="T216" s="80">
        <v>1</v>
      </c>
      <c r="U216" s="80">
        <v>1</v>
      </c>
      <c r="V216" s="80">
        <v>1</v>
      </c>
      <c r="W216" s="80">
        <v>0</v>
      </c>
      <c r="X216" s="80">
        <v>1</v>
      </c>
      <c r="Y216" s="80">
        <v>0</v>
      </c>
      <c r="Z216" s="82" t="s">
        <v>1993</v>
      </c>
    </row>
    <row r="217" spans="1:26" s="80" customFormat="1" ht="15" customHeight="1" x14ac:dyDescent="0.35">
      <c r="A217" s="80">
        <v>231</v>
      </c>
      <c r="B217" s="86" t="s">
        <v>2021</v>
      </c>
      <c r="C217" s="80">
        <f t="shared" si="29"/>
        <v>0</v>
      </c>
      <c r="D217" s="80">
        <v>1</v>
      </c>
      <c r="E217" s="80">
        <v>101</v>
      </c>
      <c r="F217" s="80">
        <v>0</v>
      </c>
      <c r="G217" s="81">
        <v>0</v>
      </c>
      <c r="H217" s="81">
        <v>0</v>
      </c>
      <c r="I217" s="81">
        <v>0</v>
      </c>
      <c r="J217" s="81">
        <v>0</v>
      </c>
      <c r="K217" s="81">
        <v>0</v>
      </c>
      <c r="L217" s="80">
        <v>0</v>
      </c>
      <c r="M217" s="80">
        <v>64</v>
      </c>
      <c r="N217" s="81">
        <v>0</v>
      </c>
      <c r="O217" s="81">
        <v>0</v>
      </c>
      <c r="P217" s="81">
        <v>0</v>
      </c>
      <c r="Q217" s="81">
        <v>0</v>
      </c>
      <c r="R217" s="81">
        <v>0</v>
      </c>
      <c r="S217" s="81">
        <v>0</v>
      </c>
      <c r="T217" s="80">
        <v>1</v>
      </c>
      <c r="U217" s="80">
        <v>1</v>
      </c>
      <c r="V217" s="80">
        <v>1</v>
      </c>
      <c r="W217" s="80">
        <v>0</v>
      </c>
      <c r="X217" s="80">
        <v>1</v>
      </c>
      <c r="Y217" s="80">
        <v>0</v>
      </c>
      <c r="Z217" s="82" t="s">
        <v>1993</v>
      </c>
    </row>
    <row r="218" spans="1:26" s="80" customFormat="1" ht="15" customHeight="1" x14ac:dyDescent="0.35">
      <c r="A218" s="80">
        <v>232</v>
      </c>
      <c r="B218" s="86" t="s">
        <v>2022</v>
      </c>
      <c r="C218" s="80">
        <f t="shared" si="29"/>
        <v>0</v>
      </c>
      <c r="D218" s="80">
        <v>1</v>
      </c>
      <c r="E218" s="80">
        <v>102</v>
      </c>
      <c r="F218" s="80">
        <v>0</v>
      </c>
      <c r="G218" s="81">
        <v>0</v>
      </c>
      <c r="H218" s="81">
        <v>0</v>
      </c>
      <c r="I218" s="81">
        <v>0</v>
      </c>
      <c r="J218" s="81">
        <v>0</v>
      </c>
      <c r="K218" s="81">
        <v>0</v>
      </c>
      <c r="L218" s="80">
        <v>0</v>
      </c>
      <c r="M218" s="80">
        <v>64</v>
      </c>
      <c r="N218" s="81">
        <v>0</v>
      </c>
      <c r="O218" s="81">
        <v>0</v>
      </c>
      <c r="P218" s="81">
        <v>0</v>
      </c>
      <c r="Q218" s="81">
        <v>0</v>
      </c>
      <c r="R218" s="81">
        <v>0</v>
      </c>
      <c r="S218" s="81">
        <v>0</v>
      </c>
      <c r="T218" s="80">
        <v>1</v>
      </c>
      <c r="U218" s="80">
        <v>1</v>
      </c>
      <c r="V218" s="80">
        <v>1</v>
      </c>
      <c r="W218" s="80">
        <v>0</v>
      </c>
      <c r="X218" s="80">
        <v>1</v>
      </c>
      <c r="Y218" s="80">
        <v>0</v>
      </c>
      <c r="Z218" s="82" t="s">
        <v>1993</v>
      </c>
    </row>
    <row r="219" spans="1:26" s="80" customFormat="1" ht="15" customHeight="1" x14ac:dyDescent="0.35">
      <c r="A219" s="80">
        <v>233</v>
      </c>
      <c r="B219" s="86" t="s">
        <v>2023</v>
      </c>
      <c r="C219" s="80">
        <f t="shared" si="29"/>
        <v>0</v>
      </c>
      <c r="D219" s="80">
        <v>1</v>
      </c>
      <c r="E219" s="80">
        <v>103</v>
      </c>
      <c r="F219" s="80">
        <v>0</v>
      </c>
      <c r="G219" s="81">
        <v>0</v>
      </c>
      <c r="H219" s="81">
        <v>0</v>
      </c>
      <c r="I219" s="81">
        <v>0</v>
      </c>
      <c r="J219" s="81">
        <v>0</v>
      </c>
      <c r="K219" s="81">
        <v>0</v>
      </c>
      <c r="L219" s="80">
        <v>0</v>
      </c>
      <c r="M219" s="80">
        <v>64</v>
      </c>
      <c r="N219" s="81">
        <v>0</v>
      </c>
      <c r="O219" s="81">
        <v>0</v>
      </c>
      <c r="P219" s="81">
        <v>0</v>
      </c>
      <c r="Q219" s="81">
        <v>0</v>
      </c>
      <c r="R219" s="81">
        <v>0</v>
      </c>
      <c r="S219" s="81">
        <v>0</v>
      </c>
      <c r="T219" s="80">
        <v>1</v>
      </c>
      <c r="U219" s="80">
        <v>1</v>
      </c>
      <c r="V219" s="80">
        <v>1</v>
      </c>
      <c r="W219" s="80">
        <v>0</v>
      </c>
      <c r="X219" s="80">
        <v>1</v>
      </c>
      <c r="Y219" s="80">
        <v>0</v>
      </c>
      <c r="Z219" s="82" t="s">
        <v>1993</v>
      </c>
    </row>
    <row r="220" spans="1:26" s="80" customFormat="1" ht="15" customHeight="1" x14ac:dyDescent="0.35">
      <c r="A220" s="80">
        <v>234</v>
      </c>
      <c r="B220" s="86" t="s">
        <v>2024</v>
      </c>
      <c r="C220" s="80">
        <f t="shared" si="29"/>
        <v>0</v>
      </c>
      <c r="D220" s="80">
        <v>1</v>
      </c>
      <c r="E220" s="80">
        <v>104</v>
      </c>
      <c r="F220" s="80">
        <v>0</v>
      </c>
      <c r="G220" s="81">
        <v>0</v>
      </c>
      <c r="H220" s="81">
        <v>0</v>
      </c>
      <c r="I220" s="81">
        <v>0</v>
      </c>
      <c r="J220" s="81">
        <v>0</v>
      </c>
      <c r="K220" s="81">
        <v>0</v>
      </c>
      <c r="L220" s="80">
        <v>0</v>
      </c>
      <c r="M220" s="80">
        <v>64</v>
      </c>
      <c r="N220" s="81">
        <v>0</v>
      </c>
      <c r="O220" s="81">
        <v>0</v>
      </c>
      <c r="P220" s="81">
        <v>0</v>
      </c>
      <c r="Q220" s="81">
        <v>0</v>
      </c>
      <c r="R220" s="81">
        <v>0</v>
      </c>
      <c r="S220" s="81">
        <v>0</v>
      </c>
      <c r="T220" s="80">
        <v>1</v>
      </c>
      <c r="U220" s="80">
        <v>1</v>
      </c>
      <c r="V220" s="80">
        <v>1</v>
      </c>
      <c r="W220" s="80">
        <v>0</v>
      </c>
      <c r="X220" s="80">
        <v>1</v>
      </c>
      <c r="Y220" s="80">
        <v>0</v>
      </c>
      <c r="Z220" s="82" t="s">
        <v>1993</v>
      </c>
    </row>
    <row r="221" spans="1:26" s="80" customFormat="1" ht="15" customHeight="1" x14ac:dyDescent="0.35">
      <c r="A221" s="80">
        <v>235</v>
      </c>
      <c r="B221" s="86" t="s">
        <v>2025</v>
      </c>
      <c r="C221" s="80">
        <f t="shared" si="29"/>
        <v>0</v>
      </c>
      <c r="D221" s="80">
        <v>1</v>
      </c>
      <c r="E221" s="80">
        <v>105</v>
      </c>
      <c r="F221" s="80">
        <v>0</v>
      </c>
      <c r="G221" s="81">
        <v>0</v>
      </c>
      <c r="H221" s="81">
        <v>0</v>
      </c>
      <c r="I221" s="81">
        <v>0</v>
      </c>
      <c r="J221" s="81">
        <v>0</v>
      </c>
      <c r="K221" s="81">
        <v>0</v>
      </c>
      <c r="L221" s="80">
        <v>0</v>
      </c>
      <c r="M221" s="80">
        <v>64</v>
      </c>
      <c r="N221" s="81">
        <v>0</v>
      </c>
      <c r="O221" s="81">
        <v>0</v>
      </c>
      <c r="P221" s="81">
        <v>0</v>
      </c>
      <c r="Q221" s="81">
        <v>0</v>
      </c>
      <c r="R221" s="81">
        <v>0</v>
      </c>
      <c r="S221" s="81">
        <v>0</v>
      </c>
      <c r="T221" s="80">
        <v>1</v>
      </c>
      <c r="U221" s="80">
        <v>1</v>
      </c>
      <c r="V221" s="80">
        <v>1</v>
      </c>
      <c r="W221" s="80">
        <v>0</v>
      </c>
      <c r="X221" s="80">
        <v>1</v>
      </c>
      <c r="Y221" s="80">
        <v>0</v>
      </c>
      <c r="Z221" s="82" t="s">
        <v>1993</v>
      </c>
    </row>
    <row r="222" spans="1:26" s="80" customFormat="1" ht="15" customHeight="1" x14ac:dyDescent="0.35">
      <c r="A222" s="80">
        <v>236</v>
      </c>
      <c r="B222" s="86" t="s">
        <v>2026</v>
      </c>
      <c r="C222" s="80">
        <f t="shared" si="29"/>
        <v>0</v>
      </c>
      <c r="D222" s="80">
        <v>1</v>
      </c>
      <c r="E222" s="80">
        <v>106</v>
      </c>
      <c r="F222" s="80">
        <v>0</v>
      </c>
      <c r="G222" s="81">
        <v>0</v>
      </c>
      <c r="H222" s="81">
        <v>0</v>
      </c>
      <c r="I222" s="81">
        <v>0</v>
      </c>
      <c r="J222" s="81">
        <v>0</v>
      </c>
      <c r="K222" s="81">
        <v>0</v>
      </c>
      <c r="L222" s="80">
        <v>0</v>
      </c>
      <c r="M222" s="80">
        <v>64</v>
      </c>
      <c r="N222" s="81">
        <v>0</v>
      </c>
      <c r="O222" s="81">
        <v>0</v>
      </c>
      <c r="P222" s="81">
        <v>0</v>
      </c>
      <c r="Q222" s="81">
        <v>0</v>
      </c>
      <c r="R222" s="81">
        <v>0</v>
      </c>
      <c r="S222" s="81">
        <v>0</v>
      </c>
      <c r="T222" s="80">
        <v>1</v>
      </c>
      <c r="U222" s="80">
        <v>1</v>
      </c>
      <c r="V222" s="80">
        <v>1</v>
      </c>
      <c r="W222" s="80">
        <v>0</v>
      </c>
      <c r="X222" s="80">
        <v>1</v>
      </c>
      <c r="Y222" s="80">
        <v>0</v>
      </c>
      <c r="Z222" s="82" t="s">
        <v>1993</v>
      </c>
    </row>
    <row r="223" spans="1:26" s="80" customFormat="1" ht="15" customHeight="1" x14ac:dyDescent="0.35">
      <c r="A223" s="80">
        <v>237</v>
      </c>
      <c r="B223" s="86" t="s">
        <v>2027</v>
      </c>
      <c r="C223" s="80">
        <f t="shared" si="29"/>
        <v>0</v>
      </c>
      <c r="D223" s="80">
        <v>1</v>
      </c>
      <c r="E223" s="80">
        <v>107</v>
      </c>
      <c r="F223" s="80">
        <v>0</v>
      </c>
      <c r="G223" s="81">
        <v>0</v>
      </c>
      <c r="H223" s="81">
        <v>0</v>
      </c>
      <c r="I223" s="81">
        <v>0</v>
      </c>
      <c r="J223" s="81">
        <v>0</v>
      </c>
      <c r="K223" s="81">
        <v>0</v>
      </c>
      <c r="L223" s="80">
        <v>0</v>
      </c>
      <c r="M223" s="80">
        <v>64</v>
      </c>
      <c r="N223" s="81">
        <v>0</v>
      </c>
      <c r="O223" s="81">
        <v>0</v>
      </c>
      <c r="P223" s="81">
        <v>0</v>
      </c>
      <c r="Q223" s="81">
        <v>0</v>
      </c>
      <c r="R223" s="81">
        <v>0</v>
      </c>
      <c r="S223" s="81">
        <v>0</v>
      </c>
      <c r="T223" s="80">
        <v>1</v>
      </c>
      <c r="U223" s="80">
        <v>1</v>
      </c>
      <c r="V223" s="80">
        <v>1</v>
      </c>
      <c r="W223" s="80">
        <v>0</v>
      </c>
      <c r="X223" s="80">
        <v>1</v>
      </c>
      <c r="Y223" s="80">
        <v>0</v>
      </c>
      <c r="Z223" s="82" t="s">
        <v>1993</v>
      </c>
    </row>
    <row r="224" spans="1:26" s="80" customFormat="1" ht="15" customHeight="1" x14ac:dyDescent="0.35">
      <c r="A224" s="80">
        <v>238</v>
      </c>
      <c r="B224" s="86" t="s">
        <v>2028</v>
      </c>
      <c r="C224" s="80">
        <f t="shared" si="29"/>
        <v>0</v>
      </c>
      <c r="D224" s="80">
        <v>1</v>
      </c>
      <c r="E224" s="80">
        <v>108</v>
      </c>
      <c r="F224" s="80">
        <v>0</v>
      </c>
      <c r="G224" s="81">
        <v>0</v>
      </c>
      <c r="H224" s="81">
        <v>0</v>
      </c>
      <c r="I224" s="81">
        <v>0</v>
      </c>
      <c r="J224" s="81">
        <v>0</v>
      </c>
      <c r="K224" s="81">
        <v>0</v>
      </c>
      <c r="L224" s="80">
        <v>0</v>
      </c>
      <c r="M224" s="80">
        <v>64</v>
      </c>
      <c r="N224" s="81">
        <v>0</v>
      </c>
      <c r="O224" s="81">
        <v>0</v>
      </c>
      <c r="P224" s="81">
        <v>0</v>
      </c>
      <c r="Q224" s="81">
        <v>0</v>
      </c>
      <c r="R224" s="81">
        <v>0</v>
      </c>
      <c r="S224" s="81">
        <v>0</v>
      </c>
      <c r="T224" s="80">
        <v>1</v>
      </c>
      <c r="U224" s="80">
        <v>1</v>
      </c>
      <c r="V224" s="80">
        <v>1</v>
      </c>
      <c r="W224" s="80">
        <v>0</v>
      </c>
      <c r="X224" s="80">
        <v>1</v>
      </c>
      <c r="Y224" s="80">
        <v>0</v>
      </c>
      <c r="Z224" s="82" t="s">
        <v>1993</v>
      </c>
    </row>
    <row r="225" spans="1:26" s="80" customFormat="1" ht="15" customHeight="1" x14ac:dyDescent="0.35">
      <c r="A225" s="80">
        <v>239</v>
      </c>
      <c r="B225" s="86" t="s">
        <v>2029</v>
      </c>
      <c r="C225" s="80">
        <f t="shared" si="29"/>
        <v>0</v>
      </c>
      <c r="D225" s="80">
        <v>1</v>
      </c>
      <c r="E225" s="80">
        <v>109</v>
      </c>
      <c r="F225" s="80">
        <v>0</v>
      </c>
      <c r="G225" s="81">
        <v>0</v>
      </c>
      <c r="H225" s="81">
        <v>0</v>
      </c>
      <c r="I225" s="81">
        <v>0</v>
      </c>
      <c r="J225" s="81">
        <v>0</v>
      </c>
      <c r="K225" s="81">
        <v>0</v>
      </c>
      <c r="L225" s="80">
        <v>0</v>
      </c>
      <c r="M225" s="80">
        <v>64</v>
      </c>
      <c r="N225" s="81">
        <v>0</v>
      </c>
      <c r="O225" s="81">
        <v>0</v>
      </c>
      <c r="P225" s="81">
        <v>0</v>
      </c>
      <c r="Q225" s="81">
        <v>0</v>
      </c>
      <c r="R225" s="81">
        <v>0</v>
      </c>
      <c r="S225" s="81">
        <v>0</v>
      </c>
      <c r="T225" s="80">
        <v>1</v>
      </c>
      <c r="U225" s="80">
        <v>1</v>
      </c>
      <c r="V225" s="80">
        <v>1</v>
      </c>
      <c r="W225" s="80">
        <v>0</v>
      </c>
      <c r="X225" s="80">
        <v>1</v>
      </c>
      <c r="Y225" s="80">
        <v>0</v>
      </c>
      <c r="Z225" s="82" t="s">
        <v>1993</v>
      </c>
    </row>
    <row r="226" spans="1:26" s="80" customFormat="1" ht="15" customHeight="1" x14ac:dyDescent="0.35">
      <c r="A226" s="80">
        <v>240</v>
      </c>
      <c r="B226" s="86" t="s">
        <v>2030</v>
      </c>
      <c r="C226" s="80">
        <f t="shared" si="29"/>
        <v>0</v>
      </c>
      <c r="D226" s="80">
        <v>1</v>
      </c>
      <c r="E226" s="80">
        <v>110</v>
      </c>
      <c r="F226" s="80">
        <v>0</v>
      </c>
      <c r="G226" s="81">
        <v>0</v>
      </c>
      <c r="H226" s="81">
        <v>0</v>
      </c>
      <c r="I226" s="81">
        <v>0</v>
      </c>
      <c r="J226" s="81">
        <v>0</v>
      </c>
      <c r="K226" s="81">
        <v>0</v>
      </c>
      <c r="L226" s="80">
        <v>0</v>
      </c>
      <c r="M226" s="80">
        <v>64</v>
      </c>
      <c r="N226" s="81">
        <v>0</v>
      </c>
      <c r="O226" s="81">
        <v>0</v>
      </c>
      <c r="P226" s="81">
        <v>0</v>
      </c>
      <c r="Q226" s="81">
        <v>0</v>
      </c>
      <c r="R226" s="81">
        <v>0</v>
      </c>
      <c r="S226" s="81">
        <v>0</v>
      </c>
      <c r="T226" s="80">
        <v>1</v>
      </c>
      <c r="U226" s="80">
        <v>1</v>
      </c>
      <c r="V226" s="80">
        <v>1</v>
      </c>
      <c r="W226" s="80">
        <v>0</v>
      </c>
      <c r="X226" s="80">
        <v>1</v>
      </c>
      <c r="Y226" s="80">
        <v>0</v>
      </c>
      <c r="Z226" s="82" t="s">
        <v>1993</v>
      </c>
    </row>
    <row r="227" spans="1:26" s="12" customFormat="1" ht="15" customHeight="1" x14ac:dyDescent="0.15">
      <c r="A227" s="12">
        <v>601</v>
      </c>
      <c r="B227" s="12" t="s">
        <v>1638</v>
      </c>
      <c r="C227" s="12">
        <f t="shared" si="28"/>
        <v>1</v>
      </c>
      <c r="D227" s="12">
        <v>1</v>
      </c>
      <c r="F227" s="12">
        <v>0</v>
      </c>
      <c r="G227" s="13">
        <v>1</v>
      </c>
      <c r="H227" s="13">
        <v>0</v>
      </c>
      <c r="I227" s="13">
        <v>0</v>
      </c>
      <c r="J227" s="13">
        <v>0</v>
      </c>
      <c r="K227" s="13">
        <v>0</v>
      </c>
      <c r="L227" s="12">
        <v>1</v>
      </c>
      <c r="M227" s="12">
        <v>64</v>
      </c>
      <c r="N227" s="13">
        <v>0</v>
      </c>
      <c r="O227" s="13">
        <v>0</v>
      </c>
      <c r="P227" s="13">
        <v>0</v>
      </c>
      <c r="Q227" s="13">
        <v>0</v>
      </c>
      <c r="R227" s="13">
        <v>0</v>
      </c>
      <c r="S227" s="13">
        <v>0</v>
      </c>
      <c r="T227" s="12">
        <v>1</v>
      </c>
      <c r="U227" s="12">
        <v>1</v>
      </c>
      <c r="V227" s="12">
        <v>1</v>
      </c>
      <c r="W227" s="12">
        <v>0</v>
      </c>
      <c r="X227" s="12">
        <v>1</v>
      </c>
      <c r="Y227" s="12">
        <v>0</v>
      </c>
      <c r="Z227" s="17" t="s">
        <v>1706</v>
      </c>
    </row>
    <row r="228" spans="1:26" s="12" customFormat="1" ht="15" customHeight="1" x14ac:dyDescent="0.15">
      <c r="A228" s="12">
        <v>602</v>
      </c>
      <c r="B228" s="12" t="s">
        <v>1649</v>
      </c>
      <c r="C228" s="12">
        <f t="shared" ref="C228:C229" si="30">G228+H228*2+I228*4+J228*8+K228*16</f>
        <v>1</v>
      </c>
      <c r="D228" s="12">
        <v>1</v>
      </c>
      <c r="F228" s="12">
        <v>0</v>
      </c>
      <c r="G228" s="13">
        <v>1</v>
      </c>
      <c r="H228" s="13">
        <v>0</v>
      </c>
      <c r="I228" s="13">
        <v>0</v>
      </c>
      <c r="J228" s="13">
        <v>0</v>
      </c>
      <c r="K228" s="13">
        <v>0</v>
      </c>
      <c r="L228" s="12">
        <v>1</v>
      </c>
      <c r="M228" s="12">
        <v>64</v>
      </c>
      <c r="N228" s="13">
        <v>0</v>
      </c>
      <c r="O228" s="13">
        <v>0</v>
      </c>
      <c r="P228" s="13">
        <v>0</v>
      </c>
      <c r="Q228" s="13">
        <v>0</v>
      </c>
      <c r="R228" s="13">
        <v>0</v>
      </c>
      <c r="S228" s="13">
        <v>0</v>
      </c>
      <c r="T228" s="12">
        <v>1</v>
      </c>
      <c r="U228" s="12">
        <v>1</v>
      </c>
      <c r="V228" s="12">
        <v>1</v>
      </c>
      <c r="W228" s="12">
        <v>0</v>
      </c>
      <c r="X228" s="12">
        <v>0</v>
      </c>
      <c r="Y228" s="12">
        <v>0</v>
      </c>
    </row>
    <row r="229" spans="1:26" s="50" customFormat="1" ht="15" customHeight="1" x14ac:dyDescent="0.15">
      <c r="A229" s="50">
        <v>603</v>
      </c>
      <c r="B229" s="50" t="s">
        <v>1652</v>
      </c>
      <c r="C229" s="50">
        <f t="shared" si="30"/>
        <v>5</v>
      </c>
      <c r="D229" s="50">
        <v>1</v>
      </c>
      <c r="F229" s="50">
        <v>0</v>
      </c>
      <c r="G229" s="51">
        <v>1</v>
      </c>
      <c r="H229" s="51">
        <v>0</v>
      </c>
      <c r="I229" s="51">
        <v>1</v>
      </c>
      <c r="J229" s="51">
        <v>0</v>
      </c>
      <c r="K229" s="51">
        <v>0</v>
      </c>
      <c r="L229" s="50">
        <v>1</v>
      </c>
      <c r="M229" s="50">
        <f t="shared" ref="M229" si="31">N229+O229*2+P229*4+Q229*8+R229*16+S229*32</f>
        <v>5</v>
      </c>
      <c r="N229" s="51">
        <v>1</v>
      </c>
      <c r="O229" s="51">
        <v>0</v>
      </c>
      <c r="P229" s="51">
        <v>1</v>
      </c>
      <c r="Q229" s="51">
        <v>0</v>
      </c>
      <c r="R229" s="51">
        <v>0</v>
      </c>
      <c r="S229" s="51">
        <v>0</v>
      </c>
      <c r="T229" s="50">
        <v>0</v>
      </c>
      <c r="U229" s="50">
        <v>0</v>
      </c>
      <c r="V229" s="50">
        <v>1</v>
      </c>
      <c r="W229" s="50">
        <v>0</v>
      </c>
      <c r="X229" s="50">
        <v>0</v>
      </c>
      <c r="Y229" s="50">
        <v>0</v>
      </c>
      <c r="Z229" s="50" t="s">
        <v>1653</v>
      </c>
    </row>
    <row r="230" spans="1:26" s="12" customFormat="1" ht="15" customHeight="1" x14ac:dyDescent="0.15">
      <c r="A230" s="12">
        <v>604</v>
      </c>
      <c r="B230" s="12" t="s">
        <v>1656</v>
      </c>
      <c r="C230" s="12">
        <f t="shared" ref="C230:C254" si="32">G230+H230*2+I230*4+J230*8+K230*16</f>
        <v>29</v>
      </c>
      <c r="D230" s="12">
        <v>1</v>
      </c>
      <c r="F230" s="12">
        <v>0</v>
      </c>
      <c r="G230" s="13">
        <v>1</v>
      </c>
      <c r="H230" s="13">
        <v>0</v>
      </c>
      <c r="I230" s="13">
        <v>1</v>
      </c>
      <c r="J230" s="13">
        <v>1</v>
      </c>
      <c r="K230" s="13">
        <v>1</v>
      </c>
      <c r="L230" s="12">
        <v>0</v>
      </c>
      <c r="M230" s="12">
        <v>0</v>
      </c>
      <c r="N230" s="13">
        <v>0</v>
      </c>
      <c r="O230" s="13">
        <v>0</v>
      </c>
      <c r="P230" s="13">
        <v>0</v>
      </c>
      <c r="Q230" s="13">
        <v>0</v>
      </c>
      <c r="R230" s="13">
        <v>0</v>
      </c>
      <c r="S230" s="13">
        <v>0</v>
      </c>
      <c r="T230" s="12">
        <v>1</v>
      </c>
      <c r="U230" s="12">
        <v>1</v>
      </c>
      <c r="V230" s="12">
        <v>1</v>
      </c>
      <c r="W230" s="12">
        <v>0</v>
      </c>
      <c r="X230" s="12">
        <v>1</v>
      </c>
      <c r="Y230" s="12">
        <v>0</v>
      </c>
      <c r="Z230" s="12" t="str">
        <f>"-------------------------
◇30秒内没有和玩家PK的状态下
◇每隔3秒会加满人物的生命
◇剩余容量用完,则无法自动恢复"</f>
        <v>-------------------------
◇30秒内没有和玩家PK的状态下
◇每隔3秒会加满人物的生命
◇剩余容量用完,则无法自动恢复</v>
      </c>
    </row>
    <row r="231" spans="1:26" s="12" customFormat="1" ht="15" customHeight="1" x14ac:dyDescent="0.15">
      <c r="A231" s="12">
        <v>605</v>
      </c>
      <c r="B231" s="12" t="s">
        <v>1683</v>
      </c>
      <c r="C231" s="12">
        <v>5</v>
      </c>
      <c r="D231" s="12">
        <v>1</v>
      </c>
      <c r="F231" s="50">
        <v>0</v>
      </c>
      <c r="G231" s="51">
        <v>1</v>
      </c>
      <c r="H231" s="51">
        <v>0</v>
      </c>
      <c r="I231" s="51">
        <v>1</v>
      </c>
      <c r="J231" s="51">
        <v>0</v>
      </c>
      <c r="K231" s="51">
        <v>0</v>
      </c>
      <c r="L231" s="50">
        <v>1</v>
      </c>
      <c r="M231" s="50">
        <f t="shared" ref="M231:M233" si="33">N231+O231*2+P231*4+Q231*8+R231*16+S231*32</f>
        <v>5</v>
      </c>
      <c r="N231" s="51">
        <v>1</v>
      </c>
      <c r="O231" s="51">
        <v>0</v>
      </c>
      <c r="P231" s="51">
        <v>1</v>
      </c>
      <c r="Q231" s="51">
        <v>0</v>
      </c>
      <c r="R231" s="51">
        <v>0</v>
      </c>
      <c r="S231" s="51">
        <v>0</v>
      </c>
      <c r="T231" s="50">
        <v>1</v>
      </c>
      <c r="U231" s="50">
        <v>1</v>
      </c>
      <c r="V231" s="50">
        <v>1</v>
      </c>
      <c r="W231" s="50">
        <v>0</v>
      </c>
      <c r="X231" s="50">
        <v>0</v>
      </c>
      <c r="Y231" s="50">
        <v>0</v>
      </c>
      <c r="Z231" s="50" t="s">
        <v>1688</v>
      </c>
    </row>
    <row r="232" spans="1:26" s="12" customFormat="1" ht="15" customHeight="1" x14ac:dyDescent="0.15">
      <c r="A232" s="12">
        <v>606</v>
      </c>
      <c r="B232" s="12" t="s">
        <v>1685</v>
      </c>
      <c r="C232" s="12">
        <v>5</v>
      </c>
      <c r="D232" s="12">
        <v>1</v>
      </c>
      <c r="F232" s="50">
        <v>0</v>
      </c>
      <c r="G232" s="51">
        <v>1</v>
      </c>
      <c r="H232" s="51">
        <v>0</v>
      </c>
      <c r="I232" s="51">
        <v>1</v>
      </c>
      <c r="J232" s="51">
        <v>0</v>
      </c>
      <c r="K232" s="51">
        <v>0</v>
      </c>
      <c r="L232" s="50">
        <v>1</v>
      </c>
      <c r="M232" s="50">
        <f t="shared" si="33"/>
        <v>5</v>
      </c>
      <c r="N232" s="51">
        <v>1</v>
      </c>
      <c r="O232" s="51">
        <v>0</v>
      </c>
      <c r="P232" s="51">
        <v>1</v>
      </c>
      <c r="Q232" s="51">
        <v>0</v>
      </c>
      <c r="R232" s="51">
        <v>0</v>
      </c>
      <c r="S232" s="51">
        <v>0</v>
      </c>
      <c r="T232" s="50">
        <v>1</v>
      </c>
      <c r="U232" s="50">
        <v>1</v>
      </c>
      <c r="V232" s="50">
        <v>1</v>
      </c>
      <c r="W232" s="50">
        <v>0</v>
      </c>
      <c r="X232" s="50">
        <v>0</v>
      </c>
      <c r="Y232" s="50">
        <v>0</v>
      </c>
      <c r="Z232" s="50" t="s">
        <v>1686</v>
      </c>
    </row>
    <row r="233" spans="1:26" s="12" customFormat="1" ht="15" customHeight="1" x14ac:dyDescent="0.15">
      <c r="A233" s="12">
        <v>607</v>
      </c>
      <c r="B233" s="12" t="s">
        <v>1684</v>
      </c>
      <c r="C233" s="12">
        <v>5</v>
      </c>
      <c r="D233" s="12">
        <v>1</v>
      </c>
      <c r="F233" s="50">
        <v>0</v>
      </c>
      <c r="G233" s="51">
        <v>1</v>
      </c>
      <c r="H233" s="51">
        <v>0</v>
      </c>
      <c r="I233" s="51">
        <v>1</v>
      </c>
      <c r="J233" s="51">
        <v>0</v>
      </c>
      <c r="K233" s="51">
        <v>0</v>
      </c>
      <c r="L233" s="50">
        <v>1</v>
      </c>
      <c r="M233" s="50">
        <f t="shared" si="33"/>
        <v>5</v>
      </c>
      <c r="N233" s="51">
        <v>1</v>
      </c>
      <c r="O233" s="51">
        <v>0</v>
      </c>
      <c r="P233" s="51">
        <v>1</v>
      </c>
      <c r="Q233" s="51">
        <v>0</v>
      </c>
      <c r="R233" s="51">
        <v>0</v>
      </c>
      <c r="S233" s="51">
        <v>0</v>
      </c>
      <c r="T233" s="50">
        <v>1</v>
      </c>
      <c r="U233" s="50">
        <v>1</v>
      </c>
      <c r="V233" s="50">
        <v>1</v>
      </c>
      <c r="W233" s="50">
        <v>0</v>
      </c>
      <c r="X233" s="50">
        <v>0</v>
      </c>
      <c r="Y233" s="50">
        <v>0</v>
      </c>
      <c r="Z233" s="50" t="s">
        <v>1687</v>
      </c>
    </row>
    <row r="234" spans="1:26" s="53" customFormat="1" ht="15" customHeight="1" x14ac:dyDescent="0.15">
      <c r="A234" s="53">
        <v>608</v>
      </c>
      <c r="B234" s="53" t="s">
        <v>1725</v>
      </c>
      <c r="C234" s="53">
        <v>1</v>
      </c>
      <c r="D234" s="53">
        <v>1</v>
      </c>
      <c r="F234" s="53">
        <v>0</v>
      </c>
      <c r="G234" s="54">
        <v>1</v>
      </c>
      <c r="H234" s="54">
        <v>0</v>
      </c>
      <c r="I234" s="54">
        <v>1</v>
      </c>
      <c r="J234" s="54">
        <v>0</v>
      </c>
      <c r="K234" s="54">
        <v>0</v>
      </c>
      <c r="L234" s="53">
        <v>1</v>
      </c>
      <c r="M234" s="53">
        <f t="shared" ref="M234:M236" si="34">N234+O234*2+P234*4+Q234*8+R234*16+S234*32</f>
        <v>5</v>
      </c>
      <c r="N234" s="54">
        <v>1</v>
      </c>
      <c r="O234" s="54">
        <v>0</v>
      </c>
      <c r="P234" s="54">
        <v>1</v>
      </c>
      <c r="Q234" s="54">
        <v>0</v>
      </c>
      <c r="R234" s="54">
        <v>0</v>
      </c>
      <c r="S234" s="54">
        <v>0</v>
      </c>
      <c r="T234" s="53">
        <v>1</v>
      </c>
      <c r="U234" s="53">
        <v>1</v>
      </c>
      <c r="V234" s="53">
        <v>1</v>
      </c>
      <c r="W234" s="53">
        <v>0</v>
      </c>
      <c r="X234" s="53">
        <v>0</v>
      </c>
      <c r="Y234" s="53">
        <v>0</v>
      </c>
      <c r="Z234" s="60" t="s">
        <v>1910</v>
      </c>
    </row>
    <row r="235" spans="1:26" s="53" customFormat="1" ht="15" customHeight="1" x14ac:dyDescent="0.15">
      <c r="A235" s="53">
        <v>609</v>
      </c>
      <c r="B235" s="53" t="s">
        <v>1726</v>
      </c>
      <c r="C235" s="53">
        <v>1</v>
      </c>
      <c r="D235" s="53">
        <v>1</v>
      </c>
      <c r="F235" s="53">
        <v>0</v>
      </c>
      <c r="G235" s="54">
        <v>1</v>
      </c>
      <c r="H235" s="54">
        <v>0</v>
      </c>
      <c r="I235" s="54">
        <v>1</v>
      </c>
      <c r="J235" s="54">
        <v>0</v>
      </c>
      <c r="K235" s="54">
        <v>0</v>
      </c>
      <c r="L235" s="53">
        <v>1</v>
      </c>
      <c r="M235" s="53">
        <f t="shared" si="34"/>
        <v>5</v>
      </c>
      <c r="N235" s="54">
        <v>1</v>
      </c>
      <c r="O235" s="54">
        <v>0</v>
      </c>
      <c r="P235" s="54">
        <v>1</v>
      </c>
      <c r="Q235" s="54">
        <v>0</v>
      </c>
      <c r="R235" s="54">
        <v>0</v>
      </c>
      <c r="S235" s="54">
        <v>0</v>
      </c>
      <c r="T235" s="53">
        <v>1</v>
      </c>
      <c r="U235" s="53">
        <v>1</v>
      </c>
      <c r="V235" s="53">
        <v>1</v>
      </c>
      <c r="W235" s="53">
        <v>0</v>
      </c>
      <c r="X235" s="53">
        <v>0</v>
      </c>
      <c r="Y235" s="53">
        <v>0</v>
      </c>
      <c r="Z235" s="60" t="s">
        <v>1911</v>
      </c>
    </row>
    <row r="236" spans="1:26" s="53" customFormat="1" ht="15" customHeight="1" x14ac:dyDescent="0.15">
      <c r="A236" s="53">
        <v>610</v>
      </c>
      <c r="B236" s="53" t="s">
        <v>1727</v>
      </c>
      <c r="C236" s="53">
        <v>1</v>
      </c>
      <c r="D236" s="53">
        <v>1</v>
      </c>
      <c r="F236" s="53">
        <v>0</v>
      </c>
      <c r="G236" s="54">
        <v>1</v>
      </c>
      <c r="H236" s="54">
        <v>0</v>
      </c>
      <c r="I236" s="54">
        <v>1</v>
      </c>
      <c r="J236" s="54">
        <v>0</v>
      </c>
      <c r="K236" s="54">
        <v>0</v>
      </c>
      <c r="L236" s="53">
        <v>1</v>
      </c>
      <c r="M236" s="53">
        <f t="shared" si="34"/>
        <v>5</v>
      </c>
      <c r="N236" s="54">
        <v>1</v>
      </c>
      <c r="O236" s="54">
        <v>0</v>
      </c>
      <c r="P236" s="54">
        <v>1</v>
      </c>
      <c r="Q236" s="54">
        <v>0</v>
      </c>
      <c r="R236" s="54">
        <v>0</v>
      </c>
      <c r="S236" s="54">
        <v>0</v>
      </c>
      <c r="T236" s="53">
        <v>1</v>
      </c>
      <c r="U236" s="53">
        <v>1</v>
      </c>
      <c r="V236" s="53">
        <v>1</v>
      </c>
      <c r="W236" s="53">
        <v>0</v>
      </c>
      <c r="X236" s="53">
        <v>0</v>
      </c>
      <c r="Y236" s="53">
        <v>0</v>
      </c>
      <c r="Z236" s="53" t="s">
        <v>1912</v>
      </c>
    </row>
    <row r="237" spans="1:26" s="53" customFormat="1" ht="15" customHeight="1" x14ac:dyDescent="0.15">
      <c r="A237" s="53">
        <v>620</v>
      </c>
      <c r="B237" s="53" t="s">
        <v>1913</v>
      </c>
      <c r="C237" s="53">
        <v>1</v>
      </c>
      <c r="D237" s="53">
        <v>1</v>
      </c>
      <c r="F237" s="53">
        <v>0</v>
      </c>
      <c r="G237" s="54">
        <v>1</v>
      </c>
      <c r="H237" s="54">
        <v>0</v>
      </c>
      <c r="I237" s="54">
        <v>1</v>
      </c>
      <c r="J237" s="54">
        <v>0</v>
      </c>
      <c r="K237" s="54">
        <v>0</v>
      </c>
      <c r="L237" s="53">
        <v>1</v>
      </c>
      <c r="M237" s="53">
        <f t="shared" ref="M237:M239" si="35">N237+O237*2+P237*4+Q237*8+R237*16+S237*32</f>
        <v>5</v>
      </c>
      <c r="N237" s="54">
        <v>1</v>
      </c>
      <c r="O237" s="54">
        <v>0</v>
      </c>
      <c r="P237" s="54">
        <v>1</v>
      </c>
      <c r="Q237" s="54">
        <v>0</v>
      </c>
      <c r="R237" s="54">
        <v>0</v>
      </c>
      <c r="S237" s="54">
        <v>0</v>
      </c>
      <c r="T237" s="53">
        <v>1</v>
      </c>
      <c r="U237" s="53">
        <v>1</v>
      </c>
      <c r="V237" s="53">
        <v>1</v>
      </c>
      <c r="W237" s="53">
        <v>0</v>
      </c>
      <c r="X237" s="53">
        <v>0</v>
      </c>
      <c r="Y237" s="53">
        <v>0</v>
      </c>
      <c r="Z237" s="53" t="s">
        <v>1914</v>
      </c>
    </row>
    <row r="238" spans="1:26" s="53" customFormat="1" ht="15" customHeight="1" x14ac:dyDescent="0.15">
      <c r="A238" s="53">
        <v>621</v>
      </c>
      <c r="B238" s="53" t="s">
        <v>1994</v>
      </c>
      <c r="C238" s="50">
        <v>1</v>
      </c>
      <c r="D238" s="12">
        <v>1</v>
      </c>
      <c r="E238" s="12"/>
      <c r="F238" s="50">
        <v>0</v>
      </c>
      <c r="G238" s="51">
        <v>1</v>
      </c>
      <c r="H238" s="51">
        <v>0</v>
      </c>
      <c r="I238" s="51">
        <v>1</v>
      </c>
      <c r="J238" s="51">
        <v>0</v>
      </c>
      <c r="K238" s="51">
        <v>0</v>
      </c>
      <c r="L238" s="50">
        <v>1</v>
      </c>
      <c r="M238" s="50">
        <f t="shared" si="35"/>
        <v>5</v>
      </c>
      <c r="N238" s="51">
        <v>1</v>
      </c>
      <c r="O238" s="51">
        <v>0</v>
      </c>
      <c r="P238" s="51">
        <v>1</v>
      </c>
      <c r="Q238" s="51">
        <v>0</v>
      </c>
      <c r="R238" s="51">
        <v>0</v>
      </c>
      <c r="S238" s="51">
        <v>0</v>
      </c>
      <c r="T238" s="50">
        <v>1</v>
      </c>
      <c r="U238" s="50">
        <v>1</v>
      </c>
      <c r="V238" s="50">
        <v>1</v>
      </c>
      <c r="W238" s="50">
        <v>0</v>
      </c>
      <c r="X238" s="50">
        <v>0</v>
      </c>
      <c r="Y238" s="50">
        <v>0</v>
      </c>
      <c r="Z238" s="50" t="s">
        <v>1996</v>
      </c>
    </row>
    <row r="239" spans="1:26" s="53" customFormat="1" ht="15" customHeight="1" x14ac:dyDescent="0.15">
      <c r="A239" s="53">
        <v>622</v>
      </c>
      <c r="B239" s="53" t="s">
        <v>1995</v>
      </c>
      <c r="C239" s="50">
        <v>1</v>
      </c>
      <c r="D239" s="12">
        <v>1</v>
      </c>
      <c r="E239" s="12"/>
      <c r="F239" s="50">
        <v>0</v>
      </c>
      <c r="G239" s="51">
        <v>1</v>
      </c>
      <c r="H239" s="51">
        <v>0</v>
      </c>
      <c r="I239" s="51">
        <v>1</v>
      </c>
      <c r="J239" s="51">
        <v>0</v>
      </c>
      <c r="K239" s="51">
        <v>0</v>
      </c>
      <c r="L239" s="50">
        <v>1</v>
      </c>
      <c r="M239" s="50">
        <f t="shared" si="35"/>
        <v>5</v>
      </c>
      <c r="N239" s="51">
        <v>1</v>
      </c>
      <c r="O239" s="51">
        <v>0</v>
      </c>
      <c r="P239" s="51">
        <v>1</v>
      </c>
      <c r="Q239" s="51">
        <v>0</v>
      </c>
      <c r="R239" s="51">
        <v>0</v>
      </c>
      <c r="S239" s="51">
        <v>0</v>
      </c>
      <c r="T239" s="50">
        <v>1</v>
      </c>
      <c r="U239" s="50">
        <v>1</v>
      </c>
      <c r="V239" s="50">
        <v>1</v>
      </c>
      <c r="W239" s="50">
        <v>0</v>
      </c>
      <c r="X239" s="50">
        <v>0</v>
      </c>
      <c r="Y239" s="50">
        <v>0</v>
      </c>
      <c r="Z239" s="50" t="s">
        <v>1996</v>
      </c>
    </row>
    <row r="240" spans="1:26" s="53" customFormat="1" ht="15" customHeight="1" x14ac:dyDescent="0.15">
      <c r="A240" s="53">
        <v>623</v>
      </c>
      <c r="B240" s="53" t="s">
        <v>1997</v>
      </c>
      <c r="C240" s="12">
        <v>5</v>
      </c>
      <c r="D240" s="12">
        <v>1</v>
      </c>
      <c r="E240" s="12"/>
      <c r="F240" s="50">
        <v>0</v>
      </c>
      <c r="G240" s="51">
        <v>1</v>
      </c>
      <c r="H240" s="51">
        <v>0</v>
      </c>
      <c r="I240" s="51">
        <v>1</v>
      </c>
      <c r="J240" s="51">
        <v>0</v>
      </c>
      <c r="K240" s="51">
        <v>0</v>
      </c>
      <c r="L240" s="50">
        <v>1</v>
      </c>
      <c r="M240" s="50">
        <f t="shared" ref="M240" si="36">N240+O240*2+P240*4+Q240*8+R240*16+S240*32</f>
        <v>5</v>
      </c>
      <c r="N240" s="51">
        <v>1</v>
      </c>
      <c r="O240" s="51">
        <v>0</v>
      </c>
      <c r="P240" s="51">
        <v>1</v>
      </c>
      <c r="Q240" s="51">
        <v>0</v>
      </c>
      <c r="R240" s="51">
        <v>0</v>
      </c>
      <c r="S240" s="51">
        <v>0</v>
      </c>
      <c r="T240" s="50">
        <v>1</v>
      </c>
      <c r="U240" s="50">
        <v>1</v>
      </c>
      <c r="V240" s="50">
        <v>1</v>
      </c>
      <c r="W240" s="50">
        <v>0</v>
      </c>
      <c r="X240" s="50">
        <v>0</v>
      </c>
      <c r="Y240" s="50">
        <v>0</v>
      </c>
      <c r="Z240" s="50" t="s">
        <v>1998</v>
      </c>
    </row>
    <row r="241" spans="1:26" s="53" customFormat="1" ht="15" customHeight="1" x14ac:dyDescent="0.15">
      <c r="A241" s="53">
        <v>624</v>
      </c>
      <c r="B241" s="53" t="s">
        <v>1999</v>
      </c>
      <c r="C241" s="12">
        <v>5</v>
      </c>
      <c r="D241" s="12">
        <v>1</v>
      </c>
      <c r="E241" s="12"/>
      <c r="F241" s="50">
        <v>0</v>
      </c>
      <c r="G241" s="51">
        <v>1</v>
      </c>
      <c r="H241" s="51">
        <v>0</v>
      </c>
      <c r="I241" s="51">
        <v>1</v>
      </c>
      <c r="J241" s="51">
        <v>0</v>
      </c>
      <c r="K241" s="51">
        <v>0</v>
      </c>
      <c r="L241" s="50">
        <v>1</v>
      </c>
      <c r="M241" s="50">
        <f t="shared" ref="M241:M242" si="37">N241+O241*2+P241*4+Q241*8+R241*16+S241*32</f>
        <v>5</v>
      </c>
      <c r="N241" s="51">
        <v>1</v>
      </c>
      <c r="O241" s="51">
        <v>0</v>
      </c>
      <c r="P241" s="51">
        <v>1</v>
      </c>
      <c r="Q241" s="51">
        <v>0</v>
      </c>
      <c r="R241" s="51">
        <v>0</v>
      </c>
      <c r="S241" s="51">
        <v>0</v>
      </c>
      <c r="T241" s="50">
        <v>1</v>
      </c>
      <c r="U241" s="50">
        <v>1</v>
      </c>
      <c r="V241" s="50">
        <v>1</v>
      </c>
      <c r="W241" s="50">
        <v>0</v>
      </c>
      <c r="X241" s="50">
        <v>0</v>
      </c>
      <c r="Y241" s="50">
        <v>0</v>
      </c>
      <c r="Z241" s="50" t="s">
        <v>2000</v>
      </c>
    </row>
    <row r="242" spans="1:26" s="53" customFormat="1" ht="15" customHeight="1" x14ac:dyDescent="0.15">
      <c r="A242" s="53">
        <v>625</v>
      </c>
      <c r="B242" s="53" t="s">
        <v>2001</v>
      </c>
      <c r="C242" s="12">
        <v>5</v>
      </c>
      <c r="D242" s="12">
        <v>1</v>
      </c>
      <c r="E242" s="12"/>
      <c r="F242" s="50">
        <v>0</v>
      </c>
      <c r="G242" s="51">
        <v>1</v>
      </c>
      <c r="H242" s="51">
        <v>0</v>
      </c>
      <c r="I242" s="51">
        <v>1</v>
      </c>
      <c r="J242" s="51">
        <v>0</v>
      </c>
      <c r="K242" s="51">
        <v>0</v>
      </c>
      <c r="L242" s="50">
        <v>1</v>
      </c>
      <c r="M242" s="50">
        <f t="shared" si="37"/>
        <v>5</v>
      </c>
      <c r="N242" s="51">
        <v>1</v>
      </c>
      <c r="O242" s="51">
        <v>0</v>
      </c>
      <c r="P242" s="51">
        <v>1</v>
      </c>
      <c r="Q242" s="51">
        <v>0</v>
      </c>
      <c r="R242" s="51">
        <v>0</v>
      </c>
      <c r="S242" s="51">
        <v>0</v>
      </c>
      <c r="T242" s="50">
        <v>1</v>
      </c>
      <c r="U242" s="50">
        <v>1</v>
      </c>
      <c r="V242" s="50">
        <v>1</v>
      </c>
      <c r="W242" s="50">
        <v>0</v>
      </c>
      <c r="X242" s="50">
        <v>0</v>
      </c>
      <c r="Y242" s="50">
        <v>0</v>
      </c>
      <c r="Z242" s="83" t="s">
        <v>2002</v>
      </c>
    </row>
    <row r="243" spans="1:26" s="53" customFormat="1" ht="15" customHeight="1" x14ac:dyDescent="0.15">
      <c r="A243" s="53">
        <v>626</v>
      </c>
      <c r="B243" s="53" t="s">
        <v>2003</v>
      </c>
      <c r="C243" s="12">
        <v>5</v>
      </c>
      <c r="D243" s="12">
        <v>1</v>
      </c>
      <c r="E243" s="12"/>
      <c r="F243" s="50">
        <v>0</v>
      </c>
      <c r="G243" s="51">
        <v>0</v>
      </c>
      <c r="H243" s="51">
        <v>0</v>
      </c>
      <c r="I243" s="51">
        <v>0</v>
      </c>
      <c r="J243" s="51">
        <v>0</v>
      </c>
      <c r="K243" s="51">
        <v>0</v>
      </c>
      <c r="L243" s="50">
        <v>1</v>
      </c>
      <c r="M243" s="50">
        <f t="shared" ref="M243" si="38">N243+O243*2+P243*4+Q243*8+R243*16+S243*32</f>
        <v>5</v>
      </c>
      <c r="N243" s="51">
        <v>1</v>
      </c>
      <c r="O243" s="51">
        <v>0</v>
      </c>
      <c r="P243" s="51">
        <v>1</v>
      </c>
      <c r="Q243" s="51">
        <v>0</v>
      </c>
      <c r="R243" s="51">
        <v>0</v>
      </c>
      <c r="S243" s="51">
        <v>0</v>
      </c>
      <c r="T243" s="50">
        <v>1</v>
      </c>
      <c r="U243" s="50">
        <v>1</v>
      </c>
      <c r="V243" s="50">
        <v>1</v>
      </c>
      <c r="W243" s="50">
        <v>0</v>
      </c>
      <c r="X243" s="50">
        <v>0</v>
      </c>
      <c r="Y243" s="50">
        <v>0</v>
      </c>
      <c r="Z243" s="84" t="s">
        <v>2005</v>
      </c>
    </row>
    <row r="244" spans="1:26" s="53" customFormat="1" ht="15" customHeight="1" x14ac:dyDescent="0.15">
      <c r="A244" s="53">
        <v>627</v>
      </c>
      <c r="B244" s="53" t="s">
        <v>2004</v>
      </c>
      <c r="C244" s="12">
        <v>5</v>
      </c>
      <c r="D244" s="12">
        <v>1</v>
      </c>
      <c r="E244" s="12"/>
      <c r="F244" s="50">
        <v>0</v>
      </c>
      <c r="G244" s="51">
        <v>0</v>
      </c>
      <c r="H244" s="51">
        <v>0</v>
      </c>
      <c r="I244" s="51">
        <v>0</v>
      </c>
      <c r="J244" s="51">
        <v>0</v>
      </c>
      <c r="K244" s="51">
        <v>0</v>
      </c>
      <c r="L244" s="50">
        <v>1</v>
      </c>
      <c r="M244" s="50">
        <f t="shared" ref="M244" si="39">N244+O244*2+P244*4+Q244*8+R244*16+S244*32</f>
        <v>5</v>
      </c>
      <c r="N244" s="51">
        <v>1</v>
      </c>
      <c r="O244" s="51">
        <v>0</v>
      </c>
      <c r="P244" s="51">
        <v>1</v>
      </c>
      <c r="Q244" s="51">
        <v>0</v>
      </c>
      <c r="R244" s="51">
        <v>0</v>
      </c>
      <c r="S244" s="51">
        <v>0</v>
      </c>
      <c r="T244" s="50">
        <v>1</v>
      </c>
      <c r="U244" s="50">
        <v>1</v>
      </c>
      <c r="V244" s="50">
        <v>1</v>
      </c>
      <c r="W244" s="50">
        <v>0</v>
      </c>
      <c r="X244" s="50">
        <v>0</v>
      </c>
      <c r="Y244" s="50">
        <v>0</v>
      </c>
      <c r="Z244" s="84" t="s">
        <v>2006</v>
      </c>
    </row>
    <row r="245" spans="1:26" s="12" customFormat="1" ht="15" customHeight="1" x14ac:dyDescent="0.15">
      <c r="A245" s="12">
        <v>801</v>
      </c>
      <c r="B245" s="12" t="s">
        <v>1664</v>
      </c>
      <c r="C245" s="12">
        <f t="shared" si="32"/>
        <v>29</v>
      </c>
      <c r="D245" s="12">
        <v>1</v>
      </c>
      <c r="F245" s="12">
        <v>0</v>
      </c>
      <c r="G245" s="13">
        <v>1</v>
      </c>
      <c r="H245" s="13">
        <v>0</v>
      </c>
      <c r="I245" s="13">
        <v>1</v>
      </c>
      <c r="J245" s="13">
        <v>1</v>
      </c>
      <c r="K245" s="13">
        <v>1</v>
      </c>
      <c r="L245" s="12">
        <v>0</v>
      </c>
      <c r="M245" s="12">
        <v>0</v>
      </c>
      <c r="N245" s="13">
        <v>0</v>
      </c>
      <c r="O245" s="13">
        <v>0</v>
      </c>
      <c r="P245" s="13">
        <v>0</v>
      </c>
      <c r="Q245" s="13">
        <v>0</v>
      </c>
      <c r="R245" s="13">
        <v>0</v>
      </c>
      <c r="S245" s="13">
        <v>0</v>
      </c>
      <c r="T245" s="12">
        <v>1</v>
      </c>
      <c r="U245" s="12">
        <v>1</v>
      </c>
      <c r="V245" s="12">
        <v>1</v>
      </c>
      <c r="W245" s="12">
        <v>0</v>
      </c>
      <c r="X245" s="12">
        <v>1</v>
      </c>
      <c r="Y245" s="12">
        <v>0</v>
      </c>
      <c r="Z245" s="17" t="str">
        <f>"----------------------
◇在三国战场本国处于不利境地
◇本国据点全部丢失，本国大将给予你攻血增加20%，双减增加20%。
◇每日20:00各国大将增援战斗！该国据点全部丢失就可击杀该国大将获取大量奖励！"</f>
        <v>----------------------
◇在三国战场本国处于不利境地
◇本国据点全部丢失，本国大将给予你攻血增加20%，双减增加20%。
◇每日20:00各国大将增援战斗！该国据点全部丢失就可击杀该国大将获取大量奖励！</v>
      </c>
    </row>
    <row r="246" spans="1:26" s="12" customFormat="1" ht="15" customHeight="1" x14ac:dyDescent="0.15">
      <c r="A246" s="12">
        <v>802</v>
      </c>
      <c r="B246" s="12" t="s">
        <v>1665</v>
      </c>
      <c r="C246" s="12">
        <f t="shared" si="32"/>
        <v>29</v>
      </c>
      <c r="D246" s="12">
        <v>1</v>
      </c>
      <c r="F246" s="12">
        <v>0</v>
      </c>
      <c r="G246" s="13">
        <v>1</v>
      </c>
      <c r="H246" s="13">
        <v>0</v>
      </c>
      <c r="I246" s="13">
        <v>1</v>
      </c>
      <c r="J246" s="13">
        <v>1</v>
      </c>
      <c r="K246" s="13">
        <v>1</v>
      </c>
      <c r="L246" s="12">
        <v>0</v>
      </c>
      <c r="M246" s="12">
        <v>0</v>
      </c>
      <c r="N246" s="13">
        <v>0</v>
      </c>
      <c r="O246" s="13">
        <v>0</v>
      </c>
      <c r="P246" s="13">
        <v>0</v>
      </c>
      <c r="Q246" s="13">
        <v>0</v>
      </c>
      <c r="R246" s="13">
        <v>0</v>
      </c>
      <c r="S246" s="13">
        <v>0</v>
      </c>
      <c r="T246" s="12">
        <v>1</v>
      </c>
      <c r="U246" s="12">
        <v>1</v>
      </c>
      <c r="V246" s="12">
        <v>1</v>
      </c>
      <c r="W246" s="12">
        <v>0</v>
      </c>
      <c r="X246" s="12">
        <v>1</v>
      </c>
      <c r="Y246" s="12">
        <v>0</v>
      </c>
      <c r="Z246" s="17" t="str">
        <f>"----------------------
◇在三国战场本国处于不利境地
◇本国据点丢失2个，本国大将给予你攻血增加10%，双减增加10%。
◇每日20:00各国大将增援战斗！该国据点全部丢失就可击杀该国大将获取大量奖励！"</f>
        <v>----------------------
◇在三国战场本国处于不利境地
◇本国据点丢失2个，本国大将给予你攻血增加10%，双减增加10%。
◇每日20:00各国大将增援战斗！该国据点全部丢失就可击杀该国大将获取大量奖励！</v>
      </c>
    </row>
    <row r="247" spans="1:26" s="12" customFormat="1" ht="15" customHeight="1" x14ac:dyDescent="0.15">
      <c r="A247" s="12">
        <v>803</v>
      </c>
      <c r="B247" s="12" t="s">
        <v>1667</v>
      </c>
      <c r="C247" s="12">
        <f t="shared" si="32"/>
        <v>29</v>
      </c>
      <c r="D247" s="12">
        <v>1</v>
      </c>
      <c r="F247" s="12">
        <v>0</v>
      </c>
      <c r="G247" s="13">
        <v>1</v>
      </c>
      <c r="H247" s="13">
        <v>0</v>
      </c>
      <c r="I247" s="13">
        <v>1</v>
      </c>
      <c r="J247" s="13">
        <v>1</v>
      </c>
      <c r="K247" s="13">
        <v>1</v>
      </c>
      <c r="L247" s="12">
        <v>0</v>
      </c>
      <c r="M247" s="12">
        <v>0</v>
      </c>
      <c r="N247" s="13">
        <v>0</v>
      </c>
      <c r="O247" s="13">
        <v>0</v>
      </c>
      <c r="P247" s="13">
        <v>0</v>
      </c>
      <c r="Q247" s="13">
        <v>0</v>
      </c>
      <c r="R247" s="13">
        <v>0</v>
      </c>
      <c r="S247" s="13">
        <v>0</v>
      </c>
      <c r="T247" s="12">
        <v>1</v>
      </c>
      <c r="U247" s="12">
        <v>1</v>
      </c>
      <c r="V247" s="12">
        <v>1</v>
      </c>
      <c r="W247" s="12">
        <v>0</v>
      </c>
      <c r="X247" s="12">
        <v>1</v>
      </c>
      <c r="Y247" s="12">
        <v>0</v>
      </c>
      <c r="Z247" s="17" t="str">
        <f>"----------------------
◇在三国战场本国处于不利境地
◇本国据点丢失1个，本国大将给予你攻血增加5%，双减增加5%。
◇每日20:00各国大将增援战斗！该国据点全部丢失就可击杀该国大将获取大量奖励！"</f>
        <v>----------------------
◇在三国战场本国处于不利境地
◇本国据点丢失1个，本国大将给予你攻血增加5%，双减增加5%。
◇每日20:00各国大将增援战斗！该国据点全部丢失就可击杀该国大将获取大量奖励！</v>
      </c>
    </row>
    <row r="248" spans="1:26" s="12" customFormat="1" ht="15" customHeight="1" x14ac:dyDescent="0.15">
      <c r="A248" s="12">
        <v>804</v>
      </c>
      <c r="B248" s="12" t="s">
        <v>1666</v>
      </c>
      <c r="C248" s="12">
        <f t="shared" si="32"/>
        <v>29</v>
      </c>
      <c r="D248" s="12">
        <v>1</v>
      </c>
      <c r="F248" s="12">
        <v>0</v>
      </c>
      <c r="G248" s="13">
        <v>1</v>
      </c>
      <c r="H248" s="13">
        <v>0</v>
      </c>
      <c r="I248" s="13">
        <v>1</v>
      </c>
      <c r="J248" s="13">
        <v>1</v>
      </c>
      <c r="K248" s="13">
        <v>1</v>
      </c>
      <c r="L248" s="12">
        <v>0</v>
      </c>
      <c r="M248" s="12">
        <v>0</v>
      </c>
      <c r="N248" s="13">
        <v>0</v>
      </c>
      <c r="O248" s="13">
        <v>0</v>
      </c>
      <c r="P248" s="13">
        <v>0</v>
      </c>
      <c r="Q248" s="13">
        <v>0</v>
      </c>
      <c r="R248" s="13">
        <v>0</v>
      </c>
      <c r="S248" s="13">
        <v>0</v>
      </c>
      <c r="T248" s="12">
        <v>1</v>
      </c>
      <c r="U248" s="12">
        <v>1</v>
      </c>
      <c r="V248" s="12">
        <v>1</v>
      </c>
      <c r="W248" s="12">
        <v>0</v>
      </c>
      <c r="X248" s="12">
        <v>1</v>
      </c>
      <c r="Y248" s="12">
        <v>0</v>
      </c>
      <c r="Z248" s="17" t="str">
        <f>"----------------------
◇在三国战场本国处于正常状态。
◇每日20:00各国大将增援战斗！该国据点全部丢失就可击杀该国大将获取大量奖励！
◇占领3个以上据点完成刺探、战阵夺营可额外获得经验！"</f>
        <v>----------------------
◇在三国战场本国处于正常状态。
◇每日20:00各国大将增援战斗！该国据点全部丢失就可击杀该国大将获取大量奖励！
◇占领3个以上据点完成刺探、战阵夺营可额外获得经验！</v>
      </c>
    </row>
    <row r="249" spans="1:26" s="12" customFormat="1" ht="15" customHeight="1" x14ac:dyDescent="0.15">
      <c r="A249" s="12">
        <v>805</v>
      </c>
      <c r="B249" s="12" t="s">
        <v>1669</v>
      </c>
      <c r="C249" s="12">
        <f t="shared" si="32"/>
        <v>29</v>
      </c>
      <c r="D249" s="12">
        <v>1</v>
      </c>
      <c r="F249" s="12">
        <v>0</v>
      </c>
      <c r="G249" s="13">
        <v>1</v>
      </c>
      <c r="H249" s="13">
        <v>0</v>
      </c>
      <c r="I249" s="13">
        <v>1</v>
      </c>
      <c r="J249" s="13">
        <v>1</v>
      </c>
      <c r="K249" s="13">
        <v>1</v>
      </c>
      <c r="L249" s="12">
        <v>0</v>
      </c>
      <c r="M249" s="12">
        <v>0</v>
      </c>
      <c r="N249" s="13">
        <v>0</v>
      </c>
      <c r="O249" s="13">
        <v>0</v>
      </c>
      <c r="P249" s="13">
        <v>0</v>
      </c>
      <c r="Q249" s="13">
        <v>0</v>
      </c>
      <c r="R249" s="13">
        <v>0</v>
      </c>
      <c r="S249" s="13">
        <v>0</v>
      </c>
      <c r="T249" s="12">
        <v>1</v>
      </c>
      <c r="U249" s="12">
        <v>1</v>
      </c>
      <c r="V249" s="12">
        <v>1</v>
      </c>
      <c r="W249" s="12">
        <v>0</v>
      </c>
      <c r="X249" s="12">
        <v>1</v>
      </c>
      <c r="Y249" s="12">
        <v>0</v>
      </c>
      <c r="Z249" s="17" t="str">
        <f>"----------------------
◇在三国战场本国处于优势状态。
◇已占领据点4个，完成战阵夺营、刺探任务经验额外加成5%
◇每日20:00各国大将增援战斗！该国据点全部丢失就可击杀该国大将获取大量奖励！"</f>
        <v>----------------------
◇在三国战场本国处于优势状态。
◇已占领据点4个，完成战阵夺营、刺探任务经验额外加成5%
◇每日20:00各国大将增援战斗！该国据点全部丢失就可击杀该国大将获取大量奖励！</v>
      </c>
    </row>
    <row r="250" spans="1:26" s="12" customFormat="1" ht="15" customHeight="1" x14ac:dyDescent="0.15">
      <c r="A250" s="12">
        <v>806</v>
      </c>
      <c r="B250" s="12" t="s">
        <v>1668</v>
      </c>
      <c r="C250" s="12">
        <f t="shared" si="32"/>
        <v>29</v>
      </c>
      <c r="D250" s="12">
        <v>1</v>
      </c>
      <c r="F250" s="12">
        <v>0</v>
      </c>
      <c r="G250" s="13">
        <v>1</v>
      </c>
      <c r="H250" s="13">
        <v>0</v>
      </c>
      <c r="I250" s="13">
        <v>1</v>
      </c>
      <c r="J250" s="13">
        <v>1</v>
      </c>
      <c r="K250" s="13">
        <v>1</v>
      </c>
      <c r="L250" s="12">
        <v>0</v>
      </c>
      <c r="M250" s="12">
        <v>0</v>
      </c>
      <c r="N250" s="13">
        <v>0</v>
      </c>
      <c r="O250" s="13">
        <v>0</v>
      </c>
      <c r="P250" s="13">
        <v>0</v>
      </c>
      <c r="Q250" s="13">
        <v>0</v>
      </c>
      <c r="R250" s="13">
        <v>0</v>
      </c>
      <c r="S250" s="13">
        <v>0</v>
      </c>
      <c r="T250" s="12">
        <v>1</v>
      </c>
      <c r="U250" s="12">
        <v>1</v>
      </c>
      <c r="V250" s="12">
        <v>1</v>
      </c>
      <c r="W250" s="12">
        <v>0</v>
      </c>
      <c r="X250" s="12">
        <v>1</v>
      </c>
      <c r="Y250" s="12">
        <v>0</v>
      </c>
      <c r="Z250" s="17" t="str">
        <f>"----------------------
◇在三国战场本国处于优势状态。
◇已占领据点5个，完成战阵夺营、刺探任务经验额外加成10%
◇每日20:00各国大将增援战斗！该国据点全部丢失就可击杀该国大将获取大量奖励！"</f>
        <v>----------------------
◇在三国战场本国处于优势状态。
◇已占领据点5个，完成战阵夺营、刺探任务经验额外加成10%
◇每日20:00各国大将增援战斗！该国据点全部丢失就可击杀该国大将获取大量奖励！</v>
      </c>
    </row>
    <row r="251" spans="1:26" s="12" customFormat="1" ht="15" customHeight="1" x14ac:dyDescent="0.15">
      <c r="A251" s="12">
        <v>807</v>
      </c>
      <c r="B251" s="12" t="s">
        <v>1670</v>
      </c>
      <c r="C251" s="12">
        <f t="shared" si="32"/>
        <v>29</v>
      </c>
      <c r="D251" s="12">
        <v>1</v>
      </c>
      <c r="F251" s="12">
        <v>0</v>
      </c>
      <c r="G251" s="13">
        <v>1</v>
      </c>
      <c r="H251" s="13">
        <v>0</v>
      </c>
      <c r="I251" s="13">
        <v>1</v>
      </c>
      <c r="J251" s="13">
        <v>1</v>
      </c>
      <c r="K251" s="13">
        <v>1</v>
      </c>
      <c r="L251" s="12">
        <v>0</v>
      </c>
      <c r="M251" s="12">
        <v>0</v>
      </c>
      <c r="N251" s="13">
        <v>0</v>
      </c>
      <c r="O251" s="13">
        <v>0</v>
      </c>
      <c r="P251" s="13">
        <v>0</v>
      </c>
      <c r="Q251" s="13">
        <v>0</v>
      </c>
      <c r="R251" s="13">
        <v>0</v>
      </c>
      <c r="S251" s="13">
        <v>0</v>
      </c>
      <c r="T251" s="12">
        <v>1</v>
      </c>
      <c r="U251" s="12">
        <v>1</v>
      </c>
      <c r="V251" s="12">
        <v>1</v>
      </c>
      <c r="W251" s="12">
        <v>0</v>
      </c>
      <c r="X251" s="12">
        <v>1</v>
      </c>
      <c r="Y251" s="12">
        <v>0</v>
      </c>
      <c r="Z251" s="17" t="str">
        <f>"----------------------
◇在三国战场本国处于优势状态。
◇已占领据点6个，完成战阵夺营、刺探任务经验额外加成15%
◇每日20:00各国大将增援战斗！该国据点全部丢失就可击杀该国大将获取大量奖励！"</f>
        <v>----------------------
◇在三国战场本国处于优势状态。
◇已占领据点6个，完成战阵夺营、刺探任务经验额外加成15%
◇每日20:00各国大将增援战斗！该国据点全部丢失就可击杀该国大将获取大量奖励！</v>
      </c>
    </row>
    <row r="252" spans="1:26" s="12" customFormat="1" ht="15" customHeight="1" x14ac:dyDescent="0.15">
      <c r="A252" s="12">
        <v>808</v>
      </c>
      <c r="B252" s="12" t="s">
        <v>1671</v>
      </c>
      <c r="C252" s="12">
        <f t="shared" si="32"/>
        <v>29</v>
      </c>
      <c r="D252" s="12">
        <v>1</v>
      </c>
      <c r="F252" s="12">
        <v>0</v>
      </c>
      <c r="G252" s="13">
        <v>1</v>
      </c>
      <c r="H252" s="13">
        <v>0</v>
      </c>
      <c r="I252" s="13">
        <v>1</v>
      </c>
      <c r="J252" s="13">
        <v>1</v>
      </c>
      <c r="K252" s="13">
        <v>1</v>
      </c>
      <c r="L252" s="12">
        <v>0</v>
      </c>
      <c r="M252" s="12">
        <v>0</v>
      </c>
      <c r="N252" s="13">
        <v>0</v>
      </c>
      <c r="O252" s="13">
        <v>0</v>
      </c>
      <c r="P252" s="13">
        <v>0</v>
      </c>
      <c r="Q252" s="13">
        <v>0</v>
      </c>
      <c r="R252" s="13">
        <v>0</v>
      </c>
      <c r="S252" s="13">
        <v>0</v>
      </c>
      <c r="T252" s="12">
        <v>1</v>
      </c>
      <c r="U252" s="12">
        <v>1</v>
      </c>
      <c r="V252" s="12">
        <v>1</v>
      </c>
      <c r="W252" s="12">
        <v>0</v>
      </c>
      <c r="X252" s="12">
        <v>1</v>
      </c>
      <c r="Y252" s="12">
        <v>0</v>
      </c>
      <c r="Z252" s="17" t="str">
        <f>"----------------------
◇在三国战场本国处于优势状态。
◇已占领据点7个，完成战阵夺营、刺探任务经验额外加成20%
◇每日20:00各国大将增援战斗！该国据点全部丢失就可击杀该国大将获取大量奖励！"</f>
        <v>----------------------
◇在三国战场本国处于优势状态。
◇已占领据点7个，完成战阵夺营、刺探任务经验额外加成20%
◇每日20:00各国大将增援战斗！该国据点全部丢失就可击杀该国大将获取大量奖励！</v>
      </c>
    </row>
    <row r="253" spans="1:26" s="12" customFormat="1" ht="15" customHeight="1" x14ac:dyDescent="0.15">
      <c r="A253" s="12">
        <v>809</v>
      </c>
      <c r="B253" s="12" t="s">
        <v>1672</v>
      </c>
      <c r="C253" s="12">
        <f t="shared" si="32"/>
        <v>29</v>
      </c>
      <c r="D253" s="12">
        <v>1</v>
      </c>
      <c r="F253" s="12">
        <v>0</v>
      </c>
      <c r="G253" s="13">
        <v>1</v>
      </c>
      <c r="H253" s="13">
        <v>0</v>
      </c>
      <c r="I253" s="13">
        <v>1</v>
      </c>
      <c r="J253" s="13">
        <v>1</v>
      </c>
      <c r="K253" s="13">
        <v>1</v>
      </c>
      <c r="L253" s="12">
        <v>0</v>
      </c>
      <c r="M253" s="12">
        <v>0</v>
      </c>
      <c r="N253" s="13">
        <v>0</v>
      </c>
      <c r="O253" s="13">
        <v>0</v>
      </c>
      <c r="P253" s="13">
        <v>0</v>
      </c>
      <c r="Q253" s="13">
        <v>0</v>
      </c>
      <c r="R253" s="13">
        <v>0</v>
      </c>
      <c r="S253" s="13">
        <v>0</v>
      </c>
      <c r="T253" s="12">
        <v>1</v>
      </c>
      <c r="U253" s="12">
        <v>1</v>
      </c>
      <c r="V253" s="12">
        <v>1</v>
      </c>
      <c r="W253" s="12">
        <v>0</v>
      </c>
      <c r="X253" s="12">
        <v>1</v>
      </c>
      <c r="Y253" s="12">
        <v>0</v>
      </c>
      <c r="Z253" s="17" t="str">
        <f>"----------------------
◇在三国战场本国处于优势状态。
◇已占领据点8个，完成战阵夺营、刺探任务经验额外加成25%
◇每日20:00各国大将增援战斗！该国据点全部丢失就可击杀该国大将获取大量奖励！"</f>
        <v>----------------------
◇在三国战场本国处于优势状态。
◇已占领据点8个，完成战阵夺营、刺探任务经验额外加成25%
◇每日20:00各国大将增援战斗！该国据点全部丢失就可击杀该国大将获取大量奖励！</v>
      </c>
    </row>
    <row r="254" spans="1:26" s="12" customFormat="1" ht="15" customHeight="1" x14ac:dyDescent="0.15">
      <c r="A254" s="12">
        <v>810</v>
      </c>
      <c r="B254" s="12" t="s">
        <v>1673</v>
      </c>
      <c r="C254" s="12">
        <f t="shared" si="32"/>
        <v>29</v>
      </c>
      <c r="D254" s="12">
        <v>1</v>
      </c>
      <c r="F254" s="12">
        <v>0</v>
      </c>
      <c r="G254" s="13">
        <v>1</v>
      </c>
      <c r="H254" s="13">
        <v>0</v>
      </c>
      <c r="I254" s="13">
        <v>1</v>
      </c>
      <c r="J254" s="13">
        <v>1</v>
      </c>
      <c r="K254" s="13">
        <v>1</v>
      </c>
      <c r="L254" s="12">
        <v>0</v>
      </c>
      <c r="M254" s="12">
        <v>0</v>
      </c>
      <c r="N254" s="13">
        <v>0</v>
      </c>
      <c r="O254" s="13">
        <v>0</v>
      </c>
      <c r="P254" s="13">
        <v>0</v>
      </c>
      <c r="Q254" s="13">
        <v>0</v>
      </c>
      <c r="R254" s="13">
        <v>0</v>
      </c>
      <c r="S254" s="13">
        <v>0</v>
      </c>
      <c r="T254" s="12">
        <v>1</v>
      </c>
      <c r="U254" s="12">
        <v>1</v>
      </c>
      <c r="V254" s="12">
        <v>1</v>
      </c>
      <c r="W254" s="12">
        <v>0</v>
      </c>
      <c r="X254" s="12">
        <v>1</v>
      </c>
      <c r="Y254" s="12">
        <v>0</v>
      </c>
      <c r="Z254" s="17" t="str">
        <f>"----------------------
◇在三国战场本国处于优势状态。
◇已占领据点9个，完成战阵夺营、刺探任务经验额外加成30%
◇每日20:00各国大将增援战斗！该国据点全部丢失就可击杀该国大将获取大量奖励！"</f>
        <v>----------------------
◇在三国战场本国处于优势状态。
◇已占领据点9个，完成战阵夺营、刺探任务经验额外加成30%
◇每日20:00各国大将增援战斗！该国据点全部丢失就可击杀该国大将获取大量奖励！</v>
      </c>
    </row>
    <row r="255" spans="1:26" s="12" customFormat="1" ht="15" customHeight="1" x14ac:dyDescent="0.15">
      <c r="A255" s="12">
        <v>811</v>
      </c>
      <c r="B255" s="12" t="s">
        <v>1676</v>
      </c>
      <c r="C255" s="12">
        <f t="shared" ref="C255" si="40">G255+H255*2+I255*4+J255*8+K255*16</f>
        <v>29</v>
      </c>
      <c r="D255" s="12">
        <v>1</v>
      </c>
      <c r="F255" s="12">
        <v>0</v>
      </c>
      <c r="G255" s="13">
        <v>1</v>
      </c>
      <c r="H255" s="13">
        <v>0</v>
      </c>
      <c r="I255" s="13">
        <v>1</v>
      </c>
      <c r="J255" s="13">
        <v>1</v>
      </c>
      <c r="K255" s="13">
        <v>1</v>
      </c>
      <c r="L255" s="12">
        <v>0</v>
      </c>
      <c r="M255" s="12">
        <v>0</v>
      </c>
      <c r="N255" s="13">
        <v>0</v>
      </c>
      <c r="O255" s="13">
        <v>0</v>
      </c>
      <c r="P255" s="13">
        <v>0</v>
      </c>
      <c r="Q255" s="13">
        <v>0</v>
      </c>
      <c r="R255" s="13">
        <v>0</v>
      </c>
      <c r="S255" s="13">
        <v>0</v>
      </c>
      <c r="T255" s="12">
        <v>1</v>
      </c>
      <c r="U255" s="12">
        <v>1</v>
      </c>
      <c r="V255" s="12">
        <v>1</v>
      </c>
      <c r="W255" s="12">
        <v>0</v>
      </c>
      <c r="X255" s="12">
        <v>1</v>
      </c>
      <c r="Y255" s="12">
        <v>0</v>
      </c>
      <c r="Z255" s="17" t="s">
        <v>1677</v>
      </c>
    </row>
    <row r="256" spans="1:26" s="12" customFormat="1" ht="15" customHeight="1" x14ac:dyDescent="0.15">
      <c r="A256" s="12">
        <v>812</v>
      </c>
      <c r="B256" s="12" t="s">
        <v>1703</v>
      </c>
      <c r="C256" s="12">
        <f t="shared" ref="C256" si="41">G256+H256*2+I256*4+J256*8+K256*16</f>
        <v>5</v>
      </c>
      <c r="D256" s="12">
        <v>1</v>
      </c>
      <c r="F256" s="12">
        <v>0</v>
      </c>
      <c r="G256" s="13">
        <v>1</v>
      </c>
      <c r="H256" s="13">
        <v>0</v>
      </c>
      <c r="I256" s="13">
        <v>1</v>
      </c>
      <c r="J256" s="13">
        <v>0</v>
      </c>
      <c r="K256" s="13">
        <v>0</v>
      </c>
      <c r="L256" s="12">
        <v>0</v>
      </c>
      <c r="M256" s="12">
        <v>64</v>
      </c>
      <c r="N256" s="13">
        <v>0</v>
      </c>
      <c r="O256" s="13">
        <v>0</v>
      </c>
      <c r="P256" s="13">
        <v>0</v>
      </c>
      <c r="Q256" s="13">
        <v>0</v>
      </c>
      <c r="R256" s="13">
        <v>0</v>
      </c>
      <c r="S256" s="13">
        <v>0</v>
      </c>
      <c r="T256" s="12">
        <v>0</v>
      </c>
      <c r="U256" s="12">
        <v>0</v>
      </c>
      <c r="V256" s="12">
        <v>1</v>
      </c>
      <c r="W256" s="12">
        <v>1</v>
      </c>
      <c r="X256" s="12">
        <v>1</v>
      </c>
      <c r="Y256" s="12">
        <v>0</v>
      </c>
      <c r="Z256" s="12" t="s">
        <v>32</v>
      </c>
    </row>
    <row r="257" spans="1:26" s="12" customFormat="1" ht="15" customHeight="1" x14ac:dyDescent="0.15">
      <c r="A257" s="12">
        <v>813</v>
      </c>
      <c r="B257" s="12" t="s">
        <v>1718</v>
      </c>
      <c r="C257" s="12">
        <f t="shared" ref="C257:C268" si="42">G257+H257*2+I257*4+J257*8+K257*16</f>
        <v>5</v>
      </c>
      <c r="D257" s="12">
        <v>1</v>
      </c>
      <c r="F257" s="12">
        <v>0</v>
      </c>
      <c r="G257" s="13">
        <v>1</v>
      </c>
      <c r="H257" s="13">
        <v>0</v>
      </c>
      <c r="I257" s="13">
        <v>1</v>
      </c>
      <c r="J257" s="13">
        <v>0</v>
      </c>
      <c r="K257" s="13">
        <v>0</v>
      </c>
      <c r="L257" s="12">
        <v>0</v>
      </c>
      <c r="M257" s="12">
        <v>64</v>
      </c>
      <c r="N257" s="13">
        <v>0</v>
      </c>
      <c r="O257" s="13">
        <v>0</v>
      </c>
      <c r="P257" s="13">
        <v>0</v>
      </c>
      <c r="Q257" s="13">
        <v>0</v>
      </c>
      <c r="R257" s="13">
        <v>0</v>
      </c>
      <c r="S257" s="13">
        <v>0</v>
      </c>
      <c r="T257" s="12">
        <v>0</v>
      </c>
      <c r="U257" s="12">
        <v>0</v>
      </c>
      <c r="V257" s="12">
        <v>1</v>
      </c>
      <c r="W257" s="12">
        <v>1</v>
      </c>
      <c r="X257" s="12">
        <v>1</v>
      </c>
      <c r="Y257" s="12">
        <v>0</v>
      </c>
      <c r="Z257" s="12" t="s">
        <v>32</v>
      </c>
    </row>
    <row r="258" spans="1:26" s="12" customFormat="1" ht="15" customHeight="1" x14ac:dyDescent="0.15">
      <c r="A258" s="12">
        <v>814</v>
      </c>
      <c r="B258" s="12" t="s">
        <v>1719</v>
      </c>
      <c r="C258" s="12">
        <f t="shared" si="42"/>
        <v>5</v>
      </c>
      <c r="D258" s="12">
        <v>1</v>
      </c>
      <c r="F258" s="12">
        <v>0</v>
      </c>
      <c r="G258" s="13">
        <v>1</v>
      </c>
      <c r="H258" s="13">
        <v>0</v>
      </c>
      <c r="I258" s="13">
        <v>1</v>
      </c>
      <c r="J258" s="13">
        <v>0</v>
      </c>
      <c r="K258" s="13">
        <v>0</v>
      </c>
      <c r="L258" s="12">
        <v>0</v>
      </c>
      <c r="M258" s="12">
        <v>64</v>
      </c>
      <c r="N258" s="13">
        <v>0</v>
      </c>
      <c r="O258" s="13">
        <v>0</v>
      </c>
      <c r="P258" s="13">
        <v>0</v>
      </c>
      <c r="Q258" s="13">
        <v>0</v>
      </c>
      <c r="R258" s="13">
        <v>0</v>
      </c>
      <c r="S258" s="13">
        <v>0</v>
      </c>
      <c r="T258" s="12">
        <v>0</v>
      </c>
      <c r="U258" s="12">
        <v>0</v>
      </c>
      <c r="V258" s="12">
        <v>1</v>
      </c>
      <c r="W258" s="12">
        <v>1</v>
      </c>
      <c r="X258" s="12">
        <v>1</v>
      </c>
      <c r="Y258" s="12">
        <v>0</v>
      </c>
      <c r="Z258" s="12" t="s">
        <v>32</v>
      </c>
    </row>
    <row r="259" spans="1:26" s="12" customFormat="1" ht="15" customHeight="1" x14ac:dyDescent="0.15">
      <c r="A259" s="12">
        <v>901</v>
      </c>
      <c r="B259" s="12" t="s">
        <v>1916</v>
      </c>
      <c r="C259" s="12">
        <f t="shared" si="42"/>
        <v>1</v>
      </c>
      <c r="D259" s="12">
        <v>1</v>
      </c>
      <c r="F259" s="12">
        <v>0</v>
      </c>
      <c r="G259" s="13">
        <v>1</v>
      </c>
      <c r="H259" s="13">
        <v>0</v>
      </c>
      <c r="I259" s="13">
        <v>0</v>
      </c>
      <c r="J259" s="13">
        <v>0</v>
      </c>
      <c r="K259" s="13">
        <v>0</v>
      </c>
      <c r="L259" s="12">
        <v>1</v>
      </c>
      <c r="M259" s="12">
        <f t="shared" ref="M259:M268" si="43">N259+O259*2+P259*4+Q259*8+R259*16+S259*32</f>
        <v>0</v>
      </c>
      <c r="N259" s="13">
        <v>0</v>
      </c>
      <c r="O259" s="13">
        <v>0</v>
      </c>
      <c r="P259" s="13">
        <v>0</v>
      </c>
      <c r="Q259" s="13">
        <v>0</v>
      </c>
      <c r="R259" s="13">
        <v>0</v>
      </c>
      <c r="S259" s="13">
        <v>0</v>
      </c>
      <c r="T259" s="12">
        <v>0</v>
      </c>
      <c r="U259" s="12">
        <v>1</v>
      </c>
      <c r="V259" s="12">
        <v>1</v>
      </c>
      <c r="W259" s="12">
        <v>0</v>
      </c>
      <c r="X259" s="12">
        <v>0</v>
      </c>
      <c r="Y259" s="12">
        <v>0</v>
      </c>
      <c r="Z259" s="79" t="str">
        <f>"提高自身攻击"&amp;ID段划分备注!G1*20&amp;",防御"&amp;ID段划分备注!G1*14&amp;",生命上限"&amp;ID段划分备注!G1*120&amp;"，(弱国可额外增加20%属性),持续10分钟"</f>
        <v>提高自身攻击20,防御14,生命上限120，(弱国可额外增加20%属性),持续10分钟</v>
      </c>
    </row>
    <row r="260" spans="1:26" s="12" customFormat="1" ht="15" customHeight="1" x14ac:dyDescent="0.15">
      <c r="A260" s="12">
        <v>902</v>
      </c>
      <c r="B260" s="12" t="s">
        <v>1917</v>
      </c>
      <c r="C260" s="12">
        <f t="shared" si="42"/>
        <v>1</v>
      </c>
      <c r="D260" s="12">
        <v>1</v>
      </c>
      <c r="F260" s="12">
        <v>0</v>
      </c>
      <c r="G260" s="13">
        <v>1</v>
      </c>
      <c r="H260" s="13">
        <v>0</v>
      </c>
      <c r="I260" s="13">
        <v>0</v>
      </c>
      <c r="J260" s="13">
        <v>0</v>
      </c>
      <c r="K260" s="13">
        <v>0</v>
      </c>
      <c r="L260" s="12">
        <v>1</v>
      </c>
      <c r="M260" s="12">
        <f t="shared" si="43"/>
        <v>0</v>
      </c>
      <c r="N260" s="13">
        <v>0</v>
      </c>
      <c r="O260" s="13">
        <v>0</v>
      </c>
      <c r="P260" s="13">
        <v>0</v>
      </c>
      <c r="Q260" s="13">
        <v>0</v>
      </c>
      <c r="R260" s="13">
        <v>0</v>
      </c>
      <c r="S260" s="13">
        <v>0</v>
      </c>
      <c r="T260" s="12">
        <v>0</v>
      </c>
      <c r="U260" s="12">
        <v>1</v>
      </c>
      <c r="V260" s="12">
        <v>1</v>
      </c>
      <c r="W260" s="12">
        <v>0</v>
      </c>
      <c r="X260" s="12">
        <v>0</v>
      </c>
      <c r="Y260" s="12">
        <v>0</v>
      </c>
      <c r="Z260" s="79" t="str">
        <f>"提高自身攻击"&amp;ID段划分备注!G2*20&amp;",防御"&amp;ID段划分备注!G2*14&amp;",生命上限"&amp;ID段划分备注!G2*120&amp;"，(弱国可额外增加20%属性),持续10分钟"</f>
        <v>提高自身攻击40,防御28,生命上限240，(弱国可额外增加20%属性),持续10分钟</v>
      </c>
    </row>
    <row r="261" spans="1:26" s="12" customFormat="1" ht="15" customHeight="1" x14ac:dyDescent="0.15">
      <c r="A261" s="12">
        <v>903</v>
      </c>
      <c r="B261" s="12" t="s">
        <v>1918</v>
      </c>
      <c r="C261" s="12">
        <f t="shared" si="42"/>
        <v>1</v>
      </c>
      <c r="D261" s="12">
        <v>1</v>
      </c>
      <c r="F261" s="12">
        <v>0</v>
      </c>
      <c r="G261" s="13">
        <v>1</v>
      </c>
      <c r="H261" s="13">
        <v>0</v>
      </c>
      <c r="I261" s="13">
        <v>0</v>
      </c>
      <c r="J261" s="13">
        <v>0</v>
      </c>
      <c r="K261" s="13">
        <v>0</v>
      </c>
      <c r="L261" s="12">
        <v>1</v>
      </c>
      <c r="M261" s="12">
        <f t="shared" si="43"/>
        <v>0</v>
      </c>
      <c r="N261" s="13">
        <v>0</v>
      </c>
      <c r="O261" s="13">
        <v>0</v>
      </c>
      <c r="P261" s="13">
        <v>0</v>
      </c>
      <c r="Q261" s="13">
        <v>0</v>
      </c>
      <c r="R261" s="13">
        <v>0</v>
      </c>
      <c r="S261" s="13">
        <v>0</v>
      </c>
      <c r="T261" s="12">
        <v>0</v>
      </c>
      <c r="U261" s="12">
        <v>1</v>
      </c>
      <c r="V261" s="12">
        <v>1</v>
      </c>
      <c r="W261" s="12">
        <v>0</v>
      </c>
      <c r="X261" s="12">
        <v>0</v>
      </c>
      <c r="Y261" s="12">
        <v>0</v>
      </c>
      <c r="Z261" s="79" t="str">
        <f>"提高自身攻击"&amp;ID段划分备注!G3*20&amp;",防御"&amp;ID段划分备注!G3*14&amp;",生命上限"&amp;ID段划分备注!G3*120&amp;"，(弱国可额外增加20%属性),持续10分钟"</f>
        <v>提高自身攻击60,防御42,生命上限360，(弱国可额外增加20%属性),持续10分钟</v>
      </c>
    </row>
    <row r="262" spans="1:26" s="12" customFormat="1" ht="15" customHeight="1" x14ac:dyDescent="0.15">
      <c r="A262" s="12">
        <v>904</v>
      </c>
      <c r="B262" s="12" t="s">
        <v>1919</v>
      </c>
      <c r="C262" s="12">
        <f t="shared" si="42"/>
        <v>1</v>
      </c>
      <c r="D262" s="12">
        <v>1</v>
      </c>
      <c r="F262" s="12">
        <v>0</v>
      </c>
      <c r="G262" s="13">
        <v>1</v>
      </c>
      <c r="H262" s="13">
        <v>0</v>
      </c>
      <c r="I262" s="13">
        <v>0</v>
      </c>
      <c r="J262" s="13">
        <v>0</v>
      </c>
      <c r="K262" s="13">
        <v>0</v>
      </c>
      <c r="L262" s="12">
        <v>1</v>
      </c>
      <c r="M262" s="12">
        <f t="shared" si="43"/>
        <v>0</v>
      </c>
      <c r="N262" s="13">
        <v>0</v>
      </c>
      <c r="O262" s="13">
        <v>0</v>
      </c>
      <c r="P262" s="13">
        <v>0</v>
      </c>
      <c r="Q262" s="13">
        <v>0</v>
      </c>
      <c r="R262" s="13">
        <v>0</v>
      </c>
      <c r="S262" s="13">
        <v>0</v>
      </c>
      <c r="T262" s="12">
        <v>0</v>
      </c>
      <c r="U262" s="12">
        <v>1</v>
      </c>
      <c r="V262" s="12">
        <v>1</v>
      </c>
      <c r="W262" s="12">
        <v>0</v>
      </c>
      <c r="X262" s="12">
        <v>0</v>
      </c>
      <c r="Y262" s="12">
        <v>0</v>
      </c>
      <c r="Z262" s="79" t="str">
        <f>"提高自身攻击"&amp;ID段划分备注!G4*20&amp;",防御"&amp;ID段划分备注!G4*14&amp;",生命上限"&amp;ID段划分备注!G4*120&amp;"，(弱国可额外增加20%属性),持续10分钟"</f>
        <v>提高自身攻击80,防御56,生命上限480，(弱国可额外增加20%属性),持续10分钟</v>
      </c>
    </row>
    <row r="263" spans="1:26" s="12" customFormat="1" ht="15" customHeight="1" x14ac:dyDescent="0.15">
      <c r="A263" s="12">
        <v>905</v>
      </c>
      <c r="B263" s="12" t="s">
        <v>1920</v>
      </c>
      <c r="C263" s="12">
        <f t="shared" si="42"/>
        <v>1</v>
      </c>
      <c r="D263" s="12">
        <v>1</v>
      </c>
      <c r="F263" s="12">
        <v>0</v>
      </c>
      <c r="G263" s="13">
        <v>1</v>
      </c>
      <c r="H263" s="13">
        <v>0</v>
      </c>
      <c r="I263" s="13">
        <v>0</v>
      </c>
      <c r="J263" s="13">
        <v>0</v>
      </c>
      <c r="K263" s="13">
        <v>0</v>
      </c>
      <c r="L263" s="12">
        <v>1</v>
      </c>
      <c r="M263" s="12">
        <f t="shared" si="43"/>
        <v>0</v>
      </c>
      <c r="N263" s="13">
        <v>0</v>
      </c>
      <c r="O263" s="13">
        <v>0</v>
      </c>
      <c r="P263" s="13">
        <v>0</v>
      </c>
      <c r="Q263" s="13">
        <v>0</v>
      </c>
      <c r="R263" s="13">
        <v>0</v>
      </c>
      <c r="S263" s="13">
        <v>0</v>
      </c>
      <c r="T263" s="12">
        <v>0</v>
      </c>
      <c r="U263" s="12">
        <v>1</v>
      </c>
      <c r="V263" s="12">
        <v>1</v>
      </c>
      <c r="W263" s="12">
        <v>0</v>
      </c>
      <c r="X263" s="12">
        <v>0</v>
      </c>
      <c r="Y263" s="12">
        <v>0</v>
      </c>
      <c r="Z263" s="79" t="str">
        <f>"提高自身攻击"&amp;ID段划分备注!G5*20&amp;",防御"&amp;ID段划分备注!G5*14&amp;",生命上限"&amp;ID段划分备注!G5*120&amp;"，(弱国可额外增加20%属性),持续10分钟"</f>
        <v>提高自身攻击100,防御70,生命上限600，(弱国可额外增加20%属性),持续10分钟</v>
      </c>
    </row>
    <row r="264" spans="1:26" s="12" customFormat="1" ht="15" customHeight="1" x14ac:dyDescent="0.15">
      <c r="A264" s="12">
        <v>906</v>
      </c>
      <c r="B264" s="12" t="s">
        <v>1921</v>
      </c>
      <c r="C264" s="12">
        <f t="shared" si="42"/>
        <v>1</v>
      </c>
      <c r="D264" s="12">
        <v>1</v>
      </c>
      <c r="F264" s="12">
        <v>0</v>
      </c>
      <c r="G264" s="13">
        <v>1</v>
      </c>
      <c r="H264" s="13">
        <v>0</v>
      </c>
      <c r="I264" s="13">
        <v>0</v>
      </c>
      <c r="J264" s="13">
        <v>0</v>
      </c>
      <c r="K264" s="13">
        <v>0</v>
      </c>
      <c r="L264" s="12">
        <v>1</v>
      </c>
      <c r="M264" s="12">
        <f t="shared" si="43"/>
        <v>0</v>
      </c>
      <c r="N264" s="13">
        <v>0</v>
      </c>
      <c r="O264" s="13">
        <v>0</v>
      </c>
      <c r="P264" s="13">
        <v>0</v>
      </c>
      <c r="Q264" s="13">
        <v>0</v>
      </c>
      <c r="R264" s="13">
        <v>0</v>
      </c>
      <c r="S264" s="13">
        <v>0</v>
      </c>
      <c r="T264" s="12">
        <v>0</v>
      </c>
      <c r="U264" s="12">
        <v>1</v>
      </c>
      <c r="V264" s="12">
        <v>1</v>
      </c>
      <c r="W264" s="12">
        <v>0</v>
      </c>
      <c r="X264" s="12">
        <v>0</v>
      </c>
      <c r="Y264" s="12">
        <v>0</v>
      </c>
      <c r="Z264" s="79" t="str">
        <f>"提高自身攻击"&amp;ID段划分备注!G6*20&amp;",防御"&amp;ID段划分备注!G6*14&amp;",生命上限"&amp;ID段划分备注!G6*120&amp;"，(弱国可额外增加20%属性),持续10分钟"</f>
        <v>提高自身攻击120,防御84,生命上限720，(弱国可额外增加20%属性),持续10分钟</v>
      </c>
    </row>
    <row r="265" spans="1:26" s="12" customFormat="1" ht="15" customHeight="1" x14ac:dyDescent="0.15">
      <c r="A265" s="12">
        <v>907</v>
      </c>
      <c r="B265" s="12" t="s">
        <v>1922</v>
      </c>
      <c r="C265" s="12">
        <f t="shared" si="42"/>
        <v>1</v>
      </c>
      <c r="D265" s="12">
        <v>1</v>
      </c>
      <c r="F265" s="12">
        <v>0</v>
      </c>
      <c r="G265" s="13">
        <v>1</v>
      </c>
      <c r="H265" s="13">
        <v>0</v>
      </c>
      <c r="I265" s="13">
        <v>0</v>
      </c>
      <c r="J265" s="13">
        <v>0</v>
      </c>
      <c r="K265" s="13">
        <v>0</v>
      </c>
      <c r="L265" s="12">
        <v>1</v>
      </c>
      <c r="M265" s="12">
        <f t="shared" si="43"/>
        <v>0</v>
      </c>
      <c r="N265" s="13">
        <v>0</v>
      </c>
      <c r="O265" s="13">
        <v>0</v>
      </c>
      <c r="P265" s="13">
        <v>0</v>
      </c>
      <c r="Q265" s="13">
        <v>0</v>
      </c>
      <c r="R265" s="13">
        <v>0</v>
      </c>
      <c r="S265" s="13">
        <v>0</v>
      </c>
      <c r="T265" s="12">
        <v>0</v>
      </c>
      <c r="U265" s="12">
        <v>1</v>
      </c>
      <c r="V265" s="12">
        <v>1</v>
      </c>
      <c r="W265" s="12">
        <v>0</v>
      </c>
      <c r="X265" s="12">
        <v>0</v>
      </c>
      <c r="Y265" s="12">
        <v>0</v>
      </c>
      <c r="Z265" s="79" t="str">
        <f>"提高自身攻击"&amp;ID段划分备注!G7*20&amp;",防御"&amp;ID段划分备注!G7*14&amp;",生命上限"&amp;ID段划分备注!G7*120&amp;"，(弱国可额外增加20%属性),持续10分钟"</f>
        <v>提高自身攻击140,防御98,生命上限840，(弱国可额外增加20%属性),持续10分钟</v>
      </c>
    </row>
    <row r="266" spans="1:26" s="12" customFormat="1" ht="15" customHeight="1" x14ac:dyDescent="0.15">
      <c r="A266" s="12">
        <v>908</v>
      </c>
      <c r="B266" s="12" t="s">
        <v>1923</v>
      </c>
      <c r="C266" s="12">
        <f t="shared" si="42"/>
        <v>1</v>
      </c>
      <c r="D266" s="12">
        <v>1</v>
      </c>
      <c r="F266" s="12">
        <v>0</v>
      </c>
      <c r="G266" s="13">
        <v>1</v>
      </c>
      <c r="H266" s="13">
        <v>0</v>
      </c>
      <c r="I266" s="13">
        <v>0</v>
      </c>
      <c r="J266" s="13">
        <v>0</v>
      </c>
      <c r="K266" s="13">
        <v>0</v>
      </c>
      <c r="L266" s="12">
        <v>1</v>
      </c>
      <c r="M266" s="12">
        <f t="shared" si="43"/>
        <v>0</v>
      </c>
      <c r="N266" s="13">
        <v>0</v>
      </c>
      <c r="O266" s="13">
        <v>0</v>
      </c>
      <c r="P266" s="13">
        <v>0</v>
      </c>
      <c r="Q266" s="13">
        <v>0</v>
      </c>
      <c r="R266" s="13">
        <v>0</v>
      </c>
      <c r="S266" s="13">
        <v>0</v>
      </c>
      <c r="T266" s="12">
        <v>0</v>
      </c>
      <c r="U266" s="12">
        <v>1</v>
      </c>
      <c r="V266" s="12">
        <v>1</v>
      </c>
      <c r="W266" s="12">
        <v>0</v>
      </c>
      <c r="X266" s="12">
        <v>0</v>
      </c>
      <c r="Y266" s="12">
        <v>0</v>
      </c>
      <c r="Z266" s="79" t="str">
        <f>"提高自身攻击"&amp;ID段划分备注!G8*20&amp;",防御"&amp;ID段划分备注!G8*14&amp;",生命上限"&amp;ID段划分备注!G8*120&amp;"，(弱国可额外增加20%属性),持续10分钟"</f>
        <v>提高自身攻击160,防御112,生命上限960，(弱国可额外增加20%属性),持续10分钟</v>
      </c>
    </row>
    <row r="267" spans="1:26" s="12" customFormat="1" ht="15" customHeight="1" x14ac:dyDescent="0.15">
      <c r="A267" s="12">
        <v>909</v>
      </c>
      <c r="B267" s="12" t="s">
        <v>1924</v>
      </c>
      <c r="C267" s="12">
        <f t="shared" si="42"/>
        <v>1</v>
      </c>
      <c r="D267" s="12">
        <v>1</v>
      </c>
      <c r="F267" s="12">
        <v>0</v>
      </c>
      <c r="G267" s="13">
        <v>1</v>
      </c>
      <c r="H267" s="13">
        <v>0</v>
      </c>
      <c r="I267" s="13">
        <v>0</v>
      </c>
      <c r="J267" s="13">
        <v>0</v>
      </c>
      <c r="K267" s="13">
        <v>0</v>
      </c>
      <c r="L267" s="12">
        <v>1</v>
      </c>
      <c r="M267" s="12">
        <f t="shared" si="43"/>
        <v>0</v>
      </c>
      <c r="N267" s="13">
        <v>0</v>
      </c>
      <c r="O267" s="13">
        <v>0</v>
      </c>
      <c r="P267" s="13">
        <v>0</v>
      </c>
      <c r="Q267" s="13">
        <v>0</v>
      </c>
      <c r="R267" s="13">
        <v>0</v>
      </c>
      <c r="S267" s="13">
        <v>0</v>
      </c>
      <c r="T267" s="12">
        <v>0</v>
      </c>
      <c r="U267" s="12">
        <v>1</v>
      </c>
      <c r="V267" s="12">
        <v>1</v>
      </c>
      <c r="W267" s="12">
        <v>0</v>
      </c>
      <c r="X267" s="12">
        <v>0</v>
      </c>
      <c r="Y267" s="12">
        <v>0</v>
      </c>
      <c r="Z267" s="79" t="str">
        <f>"提高自身攻击"&amp;ID段划分备注!G9*20&amp;",防御"&amp;ID段划分备注!G9*14&amp;",生命上限"&amp;ID段划分备注!G9*120&amp;"，(弱国可额外增加20%属性),持续10分钟"</f>
        <v>提高自身攻击180,防御126,生命上限1080，(弱国可额外增加20%属性),持续10分钟</v>
      </c>
    </row>
    <row r="268" spans="1:26" s="12" customFormat="1" ht="15" customHeight="1" x14ac:dyDescent="0.15">
      <c r="A268" s="12">
        <v>910</v>
      </c>
      <c r="B268" s="12" t="s">
        <v>1925</v>
      </c>
      <c r="C268" s="12">
        <f t="shared" si="42"/>
        <v>1</v>
      </c>
      <c r="D268" s="12">
        <v>1</v>
      </c>
      <c r="F268" s="12">
        <v>0</v>
      </c>
      <c r="G268" s="13">
        <v>1</v>
      </c>
      <c r="H268" s="13">
        <v>0</v>
      </c>
      <c r="I268" s="13">
        <v>0</v>
      </c>
      <c r="J268" s="13">
        <v>0</v>
      </c>
      <c r="K268" s="13">
        <v>0</v>
      </c>
      <c r="L268" s="12">
        <v>1</v>
      </c>
      <c r="M268" s="12">
        <f t="shared" si="43"/>
        <v>0</v>
      </c>
      <c r="N268" s="13">
        <v>0</v>
      </c>
      <c r="O268" s="13">
        <v>0</v>
      </c>
      <c r="P268" s="13">
        <v>0</v>
      </c>
      <c r="Q268" s="13">
        <v>0</v>
      </c>
      <c r="R268" s="13">
        <v>0</v>
      </c>
      <c r="S268" s="13">
        <v>0</v>
      </c>
      <c r="T268" s="12">
        <v>0</v>
      </c>
      <c r="U268" s="12">
        <v>1</v>
      </c>
      <c r="V268" s="12">
        <v>1</v>
      </c>
      <c r="W268" s="12">
        <v>0</v>
      </c>
      <c r="X268" s="12">
        <v>0</v>
      </c>
      <c r="Y268" s="12">
        <v>0</v>
      </c>
      <c r="Z268" s="79" t="str">
        <f>"提高自身攻击"&amp;ID段划分备注!G10*20&amp;",防御"&amp;ID段划分备注!G10*14&amp;",生命上限"&amp;ID段划分备注!G10*120&amp;"，(弱国可额外增加20%属性),持续10分钟"</f>
        <v>提高自身攻击200,防御140,生命上限1200，(弱国可额外增加20%属性),持续10分钟</v>
      </c>
    </row>
    <row r="269" spans="1:26" s="12" customFormat="1" ht="15" customHeight="1" x14ac:dyDescent="0.15">
      <c r="A269" s="12">
        <v>911</v>
      </c>
      <c r="B269" s="12" t="s">
        <v>1926</v>
      </c>
      <c r="C269" s="12">
        <f t="shared" ref="C269:C318" si="44">G269+H269*2+I269*4+J269*8+K269*16</f>
        <v>1</v>
      </c>
      <c r="D269" s="12">
        <v>1</v>
      </c>
      <c r="F269" s="12">
        <v>0</v>
      </c>
      <c r="G269" s="13">
        <v>1</v>
      </c>
      <c r="H269" s="13">
        <v>0</v>
      </c>
      <c r="I269" s="13">
        <v>0</v>
      </c>
      <c r="J269" s="13">
        <v>0</v>
      </c>
      <c r="K269" s="13">
        <v>0</v>
      </c>
      <c r="L269" s="12">
        <v>1</v>
      </c>
      <c r="M269" s="12">
        <f t="shared" ref="M269:M318" si="45">N269+O269*2+P269*4+Q269*8+R269*16+S269*32</f>
        <v>0</v>
      </c>
      <c r="N269" s="13">
        <v>0</v>
      </c>
      <c r="O269" s="13">
        <v>0</v>
      </c>
      <c r="P269" s="13">
        <v>0</v>
      </c>
      <c r="Q269" s="13">
        <v>0</v>
      </c>
      <c r="R269" s="13">
        <v>0</v>
      </c>
      <c r="S269" s="13">
        <v>0</v>
      </c>
      <c r="T269" s="12">
        <v>0</v>
      </c>
      <c r="U269" s="12">
        <v>1</v>
      </c>
      <c r="V269" s="12">
        <v>1</v>
      </c>
      <c r="W269" s="12">
        <v>0</v>
      </c>
      <c r="X269" s="12">
        <v>0</v>
      </c>
      <c r="Y269" s="12">
        <v>0</v>
      </c>
      <c r="Z269" s="79" t="str">
        <f>"提高自身攻击"&amp;ID段划分备注!G11*20&amp;",防御"&amp;ID段划分备注!G11*14&amp;",生命上限"&amp;ID段划分备注!G11*120&amp;"，(弱国可额外增加20%属性),持续10分钟"</f>
        <v>提高自身攻击220,防御154,生命上限1320，(弱国可额外增加20%属性),持续10分钟</v>
      </c>
    </row>
    <row r="270" spans="1:26" s="12" customFormat="1" ht="15" customHeight="1" x14ac:dyDescent="0.15">
      <c r="A270" s="12">
        <v>912</v>
      </c>
      <c r="B270" s="12" t="s">
        <v>1927</v>
      </c>
      <c r="C270" s="12">
        <f t="shared" si="44"/>
        <v>1</v>
      </c>
      <c r="D270" s="12">
        <v>1</v>
      </c>
      <c r="F270" s="12">
        <v>0</v>
      </c>
      <c r="G270" s="13">
        <v>1</v>
      </c>
      <c r="H270" s="13">
        <v>0</v>
      </c>
      <c r="I270" s="13">
        <v>0</v>
      </c>
      <c r="J270" s="13">
        <v>0</v>
      </c>
      <c r="K270" s="13">
        <v>0</v>
      </c>
      <c r="L270" s="12">
        <v>1</v>
      </c>
      <c r="M270" s="12">
        <f t="shared" si="45"/>
        <v>0</v>
      </c>
      <c r="N270" s="13">
        <v>0</v>
      </c>
      <c r="O270" s="13">
        <v>0</v>
      </c>
      <c r="P270" s="13">
        <v>0</v>
      </c>
      <c r="Q270" s="13">
        <v>0</v>
      </c>
      <c r="R270" s="13">
        <v>0</v>
      </c>
      <c r="S270" s="13">
        <v>0</v>
      </c>
      <c r="T270" s="12">
        <v>0</v>
      </c>
      <c r="U270" s="12">
        <v>1</v>
      </c>
      <c r="V270" s="12">
        <v>1</v>
      </c>
      <c r="W270" s="12">
        <v>0</v>
      </c>
      <c r="X270" s="12">
        <v>0</v>
      </c>
      <c r="Y270" s="12">
        <v>0</v>
      </c>
      <c r="Z270" s="79" t="str">
        <f>"提高自身攻击"&amp;ID段划分备注!G12*20&amp;",防御"&amp;ID段划分备注!G12*14&amp;",生命上限"&amp;ID段划分备注!G12*120&amp;"，(弱国可额外增加20%属性),持续10分钟"</f>
        <v>提高自身攻击240,防御168,生命上限1440，(弱国可额外增加20%属性),持续10分钟</v>
      </c>
    </row>
    <row r="271" spans="1:26" s="12" customFormat="1" ht="15" customHeight="1" x14ac:dyDescent="0.15">
      <c r="A271" s="12">
        <v>913</v>
      </c>
      <c r="B271" s="12" t="s">
        <v>1928</v>
      </c>
      <c r="C271" s="12">
        <f t="shared" si="44"/>
        <v>1</v>
      </c>
      <c r="D271" s="12">
        <v>1</v>
      </c>
      <c r="F271" s="12">
        <v>0</v>
      </c>
      <c r="G271" s="13">
        <v>1</v>
      </c>
      <c r="H271" s="13">
        <v>0</v>
      </c>
      <c r="I271" s="13">
        <v>0</v>
      </c>
      <c r="J271" s="13">
        <v>0</v>
      </c>
      <c r="K271" s="13">
        <v>0</v>
      </c>
      <c r="L271" s="12">
        <v>1</v>
      </c>
      <c r="M271" s="12">
        <f t="shared" si="45"/>
        <v>0</v>
      </c>
      <c r="N271" s="13">
        <v>0</v>
      </c>
      <c r="O271" s="13">
        <v>0</v>
      </c>
      <c r="P271" s="13">
        <v>0</v>
      </c>
      <c r="Q271" s="13">
        <v>0</v>
      </c>
      <c r="R271" s="13">
        <v>0</v>
      </c>
      <c r="S271" s="13">
        <v>0</v>
      </c>
      <c r="T271" s="12">
        <v>0</v>
      </c>
      <c r="U271" s="12">
        <v>1</v>
      </c>
      <c r="V271" s="12">
        <v>1</v>
      </c>
      <c r="W271" s="12">
        <v>0</v>
      </c>
      <c r="X271" s="12">
        <v>0</v>
      </c>
      <c r="Y271" s="12">
        <v>0</v>
      </c>
      <c r="Z271" s="79" t="str">
        <f>"提高自身攻击"&amp;ID段划分备注!G13*20&amp;",防御"&amp;ID段划分备注!G13*14&amp;",生命上限"&amp;ID段划分备注!G13*120&amp;"，(弱国可额外增加20%属性),持续10分钟"</f>
        <v>提高自身攻击260,防御182,生命上限1560，(弱国可额外增加20%属性),持续10分钟</v>
      </c>
    </row>
    <row r="272" spans="1:26" s="12" customFormat="1" ht="15" customHeight="1" x14ac:dyDescent="0.15">
      <c r="A272" s="12">
        <v>914</v>
      </c>
      <c r="B272" s="12" t="s">
        <v>1929</v>
      </c>
      <c r="C272" s="12">
        <f t="shared" si="44"/>
        <v>1</v>
      </c>
      <c r="D272" s="12">
        <v>1</v>
      </c>
      <c r="F272" s="12">
        <v>0</v>
      </c>
      <c r="G272" s="13">
        <v>1</v>
      </c>
      <c r="H272" s="13">
        <v>0</v>
      </c>
      <c r="I272" s="13">
        <v>0</v>
      </c>
      <c r="J272" s="13">
        <v>0</v>
      </c>
      <c r="K272" s="13">
        <v>0</v>
      </c>
      <c r="L272" s="12">
        <v>1</v>
      </c>
      <c r="M272" s="12">
        <f t="shared" si="45"/>
        <v>0</v>
      </c>
      <c r="N272" s="13">
        <v>0</v>
      </c>
      <c r="O272" s="13">
        <v>0</v>
      </c>
      <c r="P272" s="13">
        <v>0</v>
      </c>
      <c r="Q272" s="13">
        <v>0</v>
      </c>
      <c r="R272" s="13">
        <v>0</v>
      </c>
      <c r="S272" s="13">
        <v>0</v>
      </c>
      <c r="T272" s="12">
        <v>0</v>
      </c>
      <c r="U272" s="12">
        <v>1</v>
      </c>
      <c r="V272" s="12">
        <v>1</v>
      </c>
      <c r="W272" s="12">
        <v>0</v>
      </c>
      <c r="X272" s="12">
        <v>0</v>
      </c>
      <c r="Y272" s="12">
        <v>0</v>
      </c>
      <c r="Z272" s="79" t="str">
        <f>"提高自身攻击"&amp;ID段划分备注!G14*20&amp;",防御"&amp;ID段划分备注!G14*14&amp;",生命上限"&amp;ID段划分备注!G14*120&amp;"，(弱国可额外增加20%属性),持续10分钟"</f>
        <v>提高自身攻击280,防御196,生命上限1680，(弱国可额外增加20%属性),持续10分钟</v>
      </c>
    </row>
    <row r="273" spans="1:26" s="12" customFormat="1" ht="15" customHeight="1" x14ac:dyDescent="0.15">
      <c r="A273" s="12">
        <v>915</v>
      </c>
      <c r="B273" s="12" t="s">
        <v>1930</v>
      </c>
      <c r="C273" s="12">
        <f t="shared" si="44"/>
        <v>1</v>
      </c>
      <c r="D273" s="12">
        <v>1</v>
      </c>
      <c r="F273" s="12">
        <v>0</v>
      </c>
      <c r="G273" s="13">
        <v>1</v>
      </c>
      <c r="H273" s="13">
        <v>0</v>
      </c>
      <c r="I273" s="13">
        <v>0</v>
      </c>
      <c r="J273" s="13">
        <v>0</v>
      </c>
      <c r="K273" s="13">
        <v>0</v>
      </c>
      <c r="L273" s="12">
        <v>1</v>
      </c>
      <c r="M273" s="12">
        <f t="shared" si="45"/>
        <v>0</v>
      </c>
      <c r="N273" s="13">
        <v>0</v>
      </c>
      <c r="O273" s="13">
        <v>0</v>
      </c>
      <c r="P273" s="13">
        <v>0</v>
      </c>
      <c r="Q273" s="13">
        <v>0</v>
      </c>
      <c r="R273" s="13">
        <v>0</v>
      </c>
      <c r="S273" s="13">
        <v>0</v>
      </c>
      <c r="T273" s="12">
        <v>0</v>
      </c>
      <c r="U273" s="12">
        <v>1</v>
      </c>
      <c r="V273" s="12">
        <v>1</v>
      </c>
      <c r="W273" s="12">
        <v>0</v>
      </c>
      <c r="X273" s="12">
        <v>0</v>
      </c>
      <c r="Y273" s="12">
        <v>0</v>
      </c>
      <c r="Z273" s="79" t="str">
        <f>"提高自身攻击"&amp;ID段划分备注!G15*20&amp;",防御"&amp;ID段划分备注!G15*14&amp;",生命上限"&amp;ID段划分备注!G15*120&amp;"，(弱国可额外增加20%属性),持续10分钟"</f>
        <v>提高自身攻击300,防御210,生命上限1800，(弱国可额外增加20%属性),持续10分钟</v>
      </c>
    </row>
    <row r="274" spans="1:26" s="12" customFormat="1" ht="15" customHeight="1" x14ac:dyDescent="0.15">
      <c r="A274" s="12">
        <v>916</v>
      </c>
      <c r="B274" s="12" t="s">
        <v>1931</v>
      </c>
      <c r="C274" s="12">
        <f t="shared" si="44"/>
        <v>1</v>
      </c>
      <c r="D274" s="12">
        <v>1</v>
      </c>
      <c r="F274" s="12">
        <v>0</v>
      </c>
      <c r="G274" s="13">
        <v>1</v>
      </c>
      <c r="H274" s="13">
        <v>0</v>
      </c>
      <c r="I274" s="13">
        <v>0</v>
      </c>
      <c r="J274" s="13">
        <v>0</v>
      </c>
      <c r="K274" s="13">
        <v>0</v>
      </c>
      <c r="L274" s="12">
        <v>1</v>
      </c>
      <c r="M274" s="12">
        <f t="shared" si="45"/>
        <v>0</v>
      </c>
      <c r="N274" s="13">
        <v>0</v>
      </c>
      <c r="O274" s="13">
        <v>0</v>
      </c>
      <c r="P274" s="13">
        <v>0</v>
      </c>
      <c r="Q274" s="13">
        <v>0</v>
      </c>
      <c r="R274" s="13">
        <v>0</v>
      </c>
      <c r="S274" s="13">
        <v>0</v>
      </c>
      <c r="T274" s="12">
        <v>0</v>
      </c>
      <c r="U274" s="12">
        <v>1</v>
      </c>
      <c r="V274" s="12">
        <v>1</v>
      </c>
      <c r="W274" s="12">
        <v>0</v>
      </c>
      <c r="X274" s="12">
        <v>0</v>
      </c>
      <c r="Y274" s="12">
        <v>0</v>
      </c>
      <c r="Z274" s="79" t="str">
        <f>"提高自身攻击"&amp;ID段划分备注!G16*20&amp;",防御"&amp;ID段划分备注!G16*14&amp;",生命上限"&amp;ID段划分备注!G16*120&amp;"，(弱国可额外增加20%属性),持续10分钟"</f>
        <v>提高自身攻击320,防御224,生命上限1920，(弱国可额外增加20%属性),持续10分钟</v>
      </c>
    </row>
    <row r="275" spans="1:26" s="12" customFormat="1" ht="15" customHeight="1" x14ac:dyDescent="0.15">
      <c r="A275" s="12">
        <v>917</v>
      </c>
      <c r="B275" s="12" t="s">
        <v>1932</v>
      </c>
      <c r="C275" s="12">
        <f t="shared" si="44"/>
        <v>1</v>
      </c>
      <c r="D275" s="12">
        <v>1</v>
      </c>
      <c r="F275" s="12">
        <v>0</v>
      </c>
      <c r="G275" s="13">
        <v>1</v>
      </c>
      <c r="H275" s="13">
        <v>0</v>
      </c>
      <c r="I275" s="13">
        <v>0</v>
      </c>
      <c r="J275" s="13">
        <v>0</v>
      </c>
      <c r="K275" s="13">
        <v>0</v>
      </c>
      <c r="L275" s="12">
        <v>1</v>
      </c>
      <c r="M275" s="12">
        <f t="shared" si="45"/>
        <v>0</v>
      </c>
      <c r="N275" s="13">
        <v>0</v>
      </c>
      <c r="O275" s="13">
        <v>0</v>
      </c>
      <c r="P275" s="13">
        <v>0</v>
      </c>
      <c r="Q275" s="13">
        <v>0</v>
      </c>
      <c r="R275" s="13">
        <v>0</v>
      </c>
      <c r="S275" s="13">
        <v>0</v>
      </c>
      <c r="T275" s="12">
        <v>0</v>
      </c>
      <c r="U275" s="12">
        <v>1</v>
      </c>
      <c r="V275" s="12">
        <v>1</v>
      </c>
      <c r="W275" s="12">
        <v>0</v>
      </c>
      <c r="X275" s="12">
        <v>0</v>
      </c>
      <c r="Y275" s="12">
        <v>0</v>
      </c>
      <c r="Z275" s="79" t="str">
        <f>"提高自身攻击"&amp;ID段划分备注!G17*20&amp;",防御"&amp;ID段划分备注!G17*14&amp;",生命上限"&amp;ID段划分备注!G17*120&amp;"，(弱国可额外增加20%属性),持续10分钟"</f>
        <v>提高自身攻击340,防御238,生命上限2040，(弱国可额外增加20%属性),持续10分钟</v>
      </c>
    </row>
    <row r="276" spans="1:26" s="12" customFormat="1" ht="15" customHeight="1" x14ac:dyDescent="0.15">
      <c r="A276" s="12">
        <v>918</v>
      </c>
      <c r="B276" s="12" t="s">
        <v>1933</v>
      </c>
      <c r="C276" s="12">
        <f t="shared" si="44"/>
        <v>1</v>
      </c>
      <c r="D276" s="12">
        <v>1</v>
      </c>
      <c r="F276" s="12">
        <v>0</v>
      </c>
      <c r="G276" s="13">
        <v>1</v>
      </c>
      <c r="H276" s="13">
        <v>0</v>
      </c>
      <c r="I276" s="13">
        <v>0</v>
      </c>
      <c r="J276" s="13">
        <v>0</v>
      </c>
      <c r="K276" s="13">
        <v>0</v>
      </c>
      <c r="L276" s="12">
        <v>1</v>
      </c>
      <c r="M276" s="12">
        <f t="shared" si="45"/>
        <v>0</v>
      </c>
      <c r="N276" s="13">
        <v>0</v>
      </c>
      <c r="O276" s="13">
        <v>0</v>
      </c>
      <c r="P276" s="13">
        <v>0</v>
      </c>
      <c r="Q276" s="13">
        <v>0</v>
      </c>
      <c r="R276" s="13">
        <v>0</v>
      </c>
      <c r="S276" s="13">
        <v>0</v>
      </c>
      <c r="T276" s="12">
        <v>0</v>
      </c>
      <c r="U276" s="12">
        <v>1</v>
      </c>
      <c r="V276" s="12">
        <v>1</v>
      </c>
      <c r="W276" s="12">
        <v>0</v>
      </c>
      <c r="X276" s="12">
        <v>0</v>
      </c>
      <c r="Y276" s="12">
        <v>0</v>
      </c>
      <c r="Z276" s="79" t="str">
        <f>"提高自身攻击"&amp;ID段划分备注!G18*20&amp;",防御"&amp;ID段划分备注!G18*14&amp;",生命上限"&amp;ID段划分备注!G18*120&amp;"，(弱国可额外增加20%属性),持续10分钟"</f>
        <v>提高自身攻击360,防御252,生命上限2160，(弱国可额外增加20%属性),持续10分钟</v>
      </c>
    </row>
    <row r="277" spans="1:26" s="12" customFormat="1" ht="15" customHeight="1" x14ac:dyDescent="0.15">
      <c r="A277" s="12">
        <v>919</v>
      </c>
      <c r="B277" s="12" t="s">
        <v>1934</v>
      </c>
      <c r="C277" s="12">
        <f t="shared" si="44"/>
        <v>1</v>
      </c>
      <c r="D277" s="12">
        <v>1</v>
      </c>
      <c r="F277" s="12">
        <v>0</v>
      </c>
      <c r="G277" s="13">
        <v>1</v>
      </c>
      <c r="H277" s="13">
        <v>0</v>
      </c>
      <c r="I277" s="13">
        <v>0</v>
      </c>
      <c r="J277" s="13">
        <v>0</v>
      </c>
      <c r="K277" s="13">
        <v>0</v>
      </c>
      <c r="L277" s="12">
        <v>1</v>
      </c>
      <c r="M277" s="12">
        <f t="shared" si="45"/>
        <v>0</v>
      </c>
      <c r="N277" s="13">
        <v>0</v>
      </c>
      <c r="O277" s="13">
        <v>0</v>
      </c>
      <c r="P277" s="13">
        <v>0</v>
      </c>
      <c r="Q277" s="13">
        <v>0</v>
      </c>
      <c r="R277" s="13">
        <v>0</v>
      </c>
      <c r="S277" s="13">
        <v>0</v>
      </c>
      <c r="T277" s="12">
        <v>0</v>
      </c>
      <c r="U277" s="12">
        <v>1</v>
      </c>
      <c r="V277" s="12">
        <v>1</v>
      </c>
      <c r="W277" s="12">
        <v>0</v>
      </c>
      <c r="X277" s="12">
        <v>0</v>
      </c>
      <c r="Y277" s="12">
        <v>0</v>
      </c>
      <c r="Z277" s="79" t="str">
        <f>"提高自身攻击"&amp;ID段划分备注!G19*20&amp;",防御"&amp;ID段划分备注!G19*14&amp;",生命上限"&amp;ID段划分备注!G19*120&amp;"，(弱国可额外增加20%属性),持续10分钟"</f>
        <v>提高自身攻击380,防御266,生命上限2280，(弱国可额外增加20%属性),持续10分钟</v>
      </c>
    </row>
    <row r="278" spans="1:26" s="12" customFormat="1" ht="15" customHeight="1" x14ac:dyDescent="0.15">
      <c r="A278" s="12">
        <v>920</v>
      </c>
      <c r="B278" s="12" t="s">
        <v>1935</v>
      </c>
      <c r="C278" s="12">
        <f t="shared" si="44"/>
        <v>1</v>
      </c>
      <c r="D278" s="12">
        <v>1</v>
      </c>
      <c r="F278" s="12">
        <v>0</v>
      </c>
      <c r="G278" s="13">
        <v>1</v>
      </c>
      <c r="H278" s="13">
        <v>0</v>
      </c>
      <c r="I278" s="13">
        <v>0</v>
      </c>
      <c r="J278" s="13">
        <v>0</v>
      </c>
      <c r="K278" s="13">
        <v>0</v>
      </c>
      <c r="L278" s="12">
        <v>1</v>
      </c>
      <c r="M278" s="12">
        <f t="shared" si="45"/>
        <v>0</v>
      </c>
      <c r="N278" s="13">
        <v>0</v>
      </c>
      <c r="O278" s="13">
        <v>0</v>
      </c>
      <c r="P278" s="13">
        <v>0</v>
      </c>
      <c r="Q278" s="13">
        <v>0</v>
      </c>
      <c r="R278" s="13">
        <v>0</v>
      </c>
      <c r="S278" s="13">
        <v>0</v>
      </c>
      <c r="T278" s="12">
        <v>0</v>
      </c>
      <c r="U278" s="12">
        <v>1</v>
      </c>
      <c r="V278" s="12">
        <v>1</v>
      </c>
      <c r="W278" s="12">
        <v>0</v>
      </c>
      <c r="X278" s="12">
        <v>0</v>
      </c>
      <c r="Y278" s="12">
        <v>0</v>
      </c>
      <c r="Z278" s="79" t="str">
        <f>"提高自身攻击"&amp;ID段划分备注!G20*20&amp;",防御"&amp;ID段划分备注!G20*14&amp;",生命上限"&amp;ID段划分备注!G20*120&amp;"，(弱国可额外增加20%属性),持续10分钟"</f>
        <v>提高自身攻击400,防御280,生命上限2400，(弱国可额外增加20%属性),持续10分钟</v>
      </c>
    </row>
    <row r="279" spans="1:26" s="12" customFormat="1" ht="15" customHeight="1" x14ac:dyDescent="0.15">
      <c r="A279" s="12">
        <v>921</v>
      </c>
      <c r="B279" s="12" t="s">
        <v>1936</v>
      </c>
      <c r="C279" s="12">
        <f t="shared" si="44"/>
        <v>1</v>
      </c>
      <c r="D279" s="12">
        <v>1</v>
      </c>
      <c r="F279" s="12">
        <v>0</v>
      </c>
      <c r="G279" s="13">
        <v>1</v>
      </c>
      <c r="H279" s="13">
        <v>0</v>
      </c>
      <c r="I279" s="13">
        <v>0</v>
      </c>
      <c r="J279" s="13">
        <v>0</v>
      </c>
      <c r="K279" s="13">
        <v>0</v>
      </c>
      <c r="L279" s="12">
        <v>1</v>
      </c>
      <c r="M279" s="12">
        <f t="shared" si="45"/>
        <v>0</v>
      </c>
      <c r="N279" s="13">
        <v>0</v>
      </c>
      <c r="O279" s="13">
        <v>0</v>
      </c>
      <c r="P279" s="13">
        <v>0</v>
      </c>
      <c r="Q279" s="13">
        <v>0</v>
      </c>
      <c r="R279" s="13">
        <v>0</v>
      </c>
      <c r="S279" s="13">
        <v>0</v>
      </c>
      <c r="T279" s="12">
        <v>0</v>
      </c>
      <c r="U279" s="12">
        <v>1</v>
      </c>
      <c r="V279" s="12">
        <v>1</v>
      </c>
      <c r="W279" s="12">
        <v>0</v>
      </c>
      <c r="X279" s="12">
        <v>0</v>
      </c>
      <c r="Y279" s="12">
        <v>0</v>
      </c>
      <c r="Z279" s="79" t="str">
        <f>"提高自身攻击"&amp;ID段划分备注!G21*20&amp;",防御"&amp;ID段划分备注!G21*14&amp;",生命上限"&amp;ID段划分备注!G21*120&amp;"，(弱国可额外增加20%属性),持续10分钟"</f>
        <v>提高自身攻击420,防御294,生命上限2520，(弱国可额外增加20%属性),持续10分钟</v>
      </c>
    </row>
    <row r="280" spans="1:26" s="12" customFormat="1" ht="15" customHeight="1" x14ac:dyDescent="0.15">
      <c r="A280" s="12">
        <v>922</v>
      </c>
      <c r="B280" s="12" t="s">
        <v>1937</v>
      </c>
      <c r="C280" s="12">
        <f t="shared" si="44"/>
        <v>1</v>
      </c>
      <c r="D280" s="12">
        <v>1</v>
      </c>
      <c r="F280" s="12">
        <v>0</v>
      </c>
      <c r="G280" s="13">
        <v>1</v>
      </c>
      <c r="H280" s="13">
        <v>0</v>
      </c>
      <c r="I280" s="13">
        <v>0</v>
      </c>
      <c r="J280" s="13">
        <v>0</v>
      </c>
      <c r="K280" s="13">
        <v>0</v>
      </c>
      <c r="L280" s="12">
        <v>1</v>
      </c>
      <c r="M280" s="12">
        <f t="shared" si="45"/>
        <v>0</v>
      </c>
      <c r="N280" s="13">
        <v>0</v>
      </c>
      <c r="O280" s="13">
        <v>0</v>
      </c>
      <c r="P280" s="13">
        <v>0</v>
      </c>
      <c r="Q280" s="13">
        <v>0</v>
      </c>
      <c r="R280" s="13">
        <v>0</v>
      </c>
      <c r="S280" s="13">
        <v>0</v>
      </c>
      <c r="T280" s="12">
        <v>0</v>
      </c>
      <c r="U280" s="12">
        <v>1</v>
      </c>
      <c r="V280" s="12">
        <v>1</v>
      </c>
      <c r="W280" s="12">
        <v>0</v>
      </c>
      <c r="X280" s="12">
        <v>0</v>
      </c>
      <c r="Y280" s="12">
        <v>0</v>
      </c>
      <c r="Z280" s="79" t="str">
        <f>"提高自身攻击"&amp;ID段划分备注!G22*20&amp;",防御"&amp;ID段划分备注!G22*14&amp;",生命上限"&amp;ID段划分备注!G22*120&amp;"，(弱国可额外增加20%属性),持续10分钟"</f>
        <v>提高自身攻击440,防御308,生命上限2640，(弱国可额外增加20%属性),持续10分钟</v>
      </c>
    </row>
    <row r="281" spans="1:26" s="12" customFormat="1" ht="15" customHeight="1" x14ac:dyDescent="0.15">
      <c r="A281" s="12">
        <v>923</v>
      </c>
      <c r="B281" s="12" t="s">
        <v>1938</v>
      </c>
      <c r="C281" s="12">
        <f t="shared" si="44"/>
        <v>1</v>
      </c>
      <c r="D281" s="12">
        <v>1</v>
      </c>
      <c r="F281" s="12">
        <v>0</v>
      </c>
      <c r="G281" s="13">
        <v>1</v>
      </c>
      <c r="H281" s="13">
        <v>0</v>
      </c>
      <c r="I281" s="13">
        <v>0</v>
      </c>
      <c r="J281" s="13">
        <v>0</v>
      </c>
      <c r="K281" s="13">
        <v>0</v>
      </c>
      <c r="L281" s="12">
        <v>1</v>
      </c>
      <c r="M281" s="12">
        <f t="shared" si="45"/>
        <v>0</v>
      </c>
      <c r="N281" s="13">
        <v>0</v>
      </c>
      <c r="O281" s="13">
        <v>0</v>
      </c>
      <c r="P281" s="13">
        <v>0</v>
      </c>
      <c r="Q281" s="13">
        <v>0</v>
      </c>
      <c r="R281" s="13">
        <v>0</v>
      </c>
      <c r="S281" s="13">
        <v>0</v>
      </c>
      <c r="T281" s="12">
        <v>0</v>
      </c>
      <c r="U281" s="12">
        <v>1</v>
      </c>
      <c r="V281" s="12">
        <v>1</v>
      </c>
      <c r="W281" s="12">
        <v>0</v>
      </c>
      <c r="X281" s="12">
        <v>0</v>
      </c>
      <c r="Y281" s="12">
        <v>0</v>
      </c>
      <c r="Z281" s="79" t="str">
        <f>"提高自身攻击"&amp;ID段划分备注!G23*20&amp;",防御"&amp;ID段划分备注!G23*14&amp;",生命上限"&amp;ID段划分备注!G23*120&amp;"，(弱国可额外增加20%属性),持续10分钟"</f>
        <v>提高自身攻击460,防御322,生命上限2760，(弱国可额外增加20%属性),持续10分钟</v>
      </c>
    </row>
    <row r="282" spans="1:26" s="12" customFormat="1" ht="15" customHeight="1" x14ac:dyDescent="0.15">
      <c r="A282" s="12">
        <v>924</v>
      </c>
      <c r="B282" s="12" t="s">
        <v>1939</v>
      </c>
      <c r="C282" s="12">
        <f t="shared" si="44"/>
        <v>1</v>
      </c>
      <c r="D282" s="12">
        <v>1</v>
      </c>
      <c r="F282" s="12">
        <v>0</v>
      </c>
      <c r="G282" s="13">
        <v>1</v>
      </c>
      <c r="H282" s="13">
        <v>0</v>
      </c>
      <c r="I282" s="13">
        <v>0</v>
      </c>
      <c r="J282" s="13">
        <v>0</v>
      </c>
      <c r="K282" s="13">
        <v>0</v>
      </c>
      <c r="L282" s="12">
        <v>1</v>
      </c>
      <c r="M282" s="12">
        <f t="shared" si="45"/>
        <v>0</v>
      </c>
      <c r="N282" s="13">
        <v>0</v>
      </c>
      <c r="O282" s="13">
        <v>0</v>
      </c>
      <c r="P282" s="13">
        <v>0</v>
      </c>
      <c r="Q282" s="13">
        <v>0</v>
      </c>
      <c r="R282" s="13">
        <v>0</v>
      </c>
      <c r="S282" s="13">
        <v>0</v>
      </c>
      <c r="T282" s="12">
        <v>0</v>
      </c>
      <c r="U282" s="12">
        <v>1</v>
      </c>
      <c r="V282" s="12">
        <v>1</v>
      </c>
      <c r="W282" s="12">
        <v>0</v>
      </c>
      <c r="X282" s="12">
        <v>0</v>
      </c>
      <c r="Y282" s="12">
        <v>0</v>
      </c>
      <c r="Z282" s="79" t="str">
        <f>"提高自身攻击"&amp;ID段划分备注!G24*20&amp;",防御"&amp;ID段划分备注!G24*14&amp;",生命上限"&amp;ID段划分备注!G24*120&amp;"，(弱国可额外增加20%属性),持续10分钟"</f>
        <v>提高自身攻击480,防御336,生命上限2880，(弱国可额外增加20%属性),持续10分钟</v>
      </c>
    </row>
    <row r="283" spans="1:26" s="12" customFormat="1" ht="15" customHeight="1" x14ac:dyDescent="0.15">
      <c r="A283" s="12">
        <v>925</v>
      </c>
      <c r="B283" s="12" t="s">
        <v>1940</v>
      </c>
      <c r="C283" s="12">
        <f t="shared" si="44"/>
        <v>1</v>
      </c>
      <c r="D283" s="12">
        <v>1</v>
      </c>
      <c r="F283" s="12">
        <v>0</v>
      </c>
      <c r="G283" s="13">
        <v>1</v>
      </c>
      <c r="H283" s="13">
        <v>0</v>
      </c>
      <c r="I283" s="13">
        <v>0</v>
      </c>
      <c r="J283" s="13">
        <v>0</v>
      </c>
      <c r="K283" s="13">
        <v>0</v>
      </c>
      <c r="L283" s="12">
        <v>1</v>
      </c>
      <c r="M283" s="12">
        <f t="shared" si="45"/>
        <v>0</v>
      </c>
      <c r="N283" s="13">
        <v>0</v>
      </c>
      <c r="O283" s="13">
        <v>0</v>
      </c>
      <c r="P283" s="13">
        <v>0</v>
      </c>
      <c r="Q283" s="13">
        <v>0</v>
      </c>
      <c r="R283" s="13">
        <v>0</v>
      </c>
      <c r="S283" s="13">
        <v>0</v>
      </c>
      <c r="T283" s="12">
        <v>0</v>
      </c>
      <c r="U283" s="12">
        <v>1</v>
      </c>
      <c r="V283" s="12">
        <v>1</v>
      </c>
      <c r="W283" s="12">
        <v>0</v>
      </c>
      <c r="X283" s="12">
        <v>0</v>
      </c>
      <c r="Y283" s="12">
        <v>0</v>
      </c>
      <c r="Z283" s="79" t="str">
        <f>"提高自身攻击"&amp;ID段划分备注!G25*20&amp;",防御"&amp;ID段划分备注!G25*14&amp;",生命上限"&amp;ID段划分备注!G25*120&amp;"，(弱国可额外增加20%属性),持续10分钟"</f>
        <v>提高自身攻击500,防御350,生命上限3000，(弱国可额外增加20%属性),持续10分钟</v>
      </c>
    </row>
    <row r="284" spans="1:26" s="12" customFormat="1" ht="15" customHeight="1" x14ac:dyDescent="0.15">
      <c r="A284" s="12">
        <v>926</v>
      </c>
      <c r="B284" s="12" t="s">
        <v>1941</v>
      </c>
      <c r="C284" s="12">
        <f t="shared" si="44"/>
        <v>1</v>
      </c>
      <c r="D284" s="12">
        <v>1</v>
      </c>
      <c r="F284" s="12">
        <v>0</v>
      </c>
      <c r="G284" s="13">
        <v>1</v>
      </c>
      <c r="H284" s="13">
        <v>0</v>
      </c>
      <c r="I284" s="13">
        <v>0</v>
      </c>
      <c r="J284" s="13">
        <v>0</v>
      </c>
      <c r="K284" s="13">
        <v>0</v>
      </c>
      <c r="L284" s="12">
        <v>1</v>
      </c>
      <c r="M284" s="12">
        <f t="shared" si="45"/>
        <v>0</v>
      </c>
      <c r="N284" s="13">
        <v>0</v>
      </c>
      <c r="O284" s="13">
        <v>0</v>
      </c>
      <c r="P284" s="13">
        <v>0</v>
      </c>
      <c r="Q284" s="13">
        <v>0</v>
      </c>
      <c r="R284" s="13">
        <v>0</v>
      </c>
      <c r="S284" s="13">
        <v>0</v>
      </c>
      <c r="T284" s="12">
        <v>0</v>
      </c>
      <c r="U284" s="12">
        <v>1</v>
      </c>
      <c r="V284" s="12">
        <v>1</v>
      </c>
      <c r="W284" s="12">
        <v>0</v>
      </c>
      <c r="X284" s="12">
        <v>0</v>
      </c>
      <c r="Y284" s="12">
        <v>0</v>
      </c>
      <c r="Z284" s="79" t="str">
        <f>"提高自身攻击"&amp;ID段划分备注!G26*20&amp;",防御"&amp;ID段划分备注!G26*14&amp;",生命上限"&amp;ID段划分备注!G26*120&amp;"，(弱国可额外增加20%属性),持续10分钟"</f>
        <v>提高自身攻击520,防御364,生命上限3120，(弱国可额外增加20%属性),持续10分钟</v>
      </c>
    </row>
    <row r="285" spans="1:26" s="12" customFormat="1" ht="15" customHeight="1" x14ac:dyDescent="0.15">
      <c r="A285" s="12">
        <v>927</v>
      </c>
      <c r="B285" s="12" t="s">
        <v>1942</v>
      </c>
      <c r="C285" s="12">
        <f t="shared" si="44"/>
        <v>1</v>
      </c>
      <c r="D285" s="12">
        <v>1</v>
      </c>
      <c r="F285" s="12">
        <v>0</v>
      </c>
      <c r="G285" s="13">
        <v>1</v>
      </c>
      <c r="H285" s="13">
        <v>0</v>
      </c>
      <c r="I285" s="13">
        <v>0</v>
      </c>
      <c r="J285" s="13">
        <v>0</v>
      </c>
      <c r="K285" s="13">
        <v>0</v>
      </c>
      <c r="L285" s="12">
        <v>1</v>
      </c>
      <c r="M285" s="12">
        <f t="shared" si="45"/>
        <v>0</v>
      </c>
      <c r="N285" s="13">
        <v>0</v>
      </c>
      <c r="O285" s="13">
        <v>0</v>
      </c>
      <c r="P285" s="13">
        <v>0</v>
      </c>
      <c r="Q285" s="13">
        <v>0</v>
      </c>
      <c r="R285" s="13">
        <v>0</v>
      </c>
      <c r="S285" s="13">
        <v>0</v>
      </c>
      <c r="T285" s="12">
        <v>0</v>
      </c>
      <c r="U285" s="12">
        <v>1</v>
      </c>
      <c r="V285" s="12">
        <v>1</v>
      </c>
      <c r="W285" s="12">
        <v>0</v>
      </c>
      <c r="X285" s="12">
        <v>0</v>
      </c>
      <c r="Y285" s="12">
        <v>0</v>
      </c>
      <c r="Z285" s="79" t="str">
        <f>"提高自身攻击"&amp;ID段划分备注!G27*20&amp;",防御"&amp;ID段划分备注!G27*14&amp;",生命上限"&amp;ID段划分备注!G27*120&amp;"，(弱国可额外增加20%属性),持续10分钟"</f>
        <v>提高自身攻击540,防御378,生命上限3240，(弱国可额外增加20%属性),持续10分钟</v>
      </c>
    </row>
    <row r="286" spans="1:26" s="12" customFormat="1" ht="15" customHeight="1" x14ac:dyDescent="0.15">
      <c r="A286" s="12">
        <v>928</v>
      </c>
      <c r="B286" s="12" t="s">
        <v>1943</v>
      </c>
      <c r="C286" s="12">
        <f t="shared" si="44"/>
        <v>1</v>
      </c>
      <c r="D286" s="12">
        <v>1</v>
      </c>
      <c r="F286" s="12">
        <v>0</v>
      </c>
      <c r="G286" s="13">
        <v>1</v>
      </c>
      <c r="H286" s="13">
        <v>0</v>
      </c>
      <c r="I286" s="13">
        <v>0</v>
      </c>
      <c r="J286" s="13">
        <v>0</v>
      </c>
      <c r="K286" s="13">
        <v>0</v>
      </c>
      <c r="L286" s="12">
        <v>1</v>
      </c>
      <c r="M286" s="12">
        <f t="shared" si="45"/>
        <v>0</v>
      </c>
      <c r="N286" s="13">
        <v>0</v>
      </c>
      <c r="O286" s="13">
        <v>0</v>
      </c>
      <c r="P286" s="13">
        <v>0</v>
      </c>
      <c r="Q286" s="13">
        <v>0</v>
      </c>
      <c r="R286" s="13">
        <v>0</v>
      </c>
      <c r="S286" s="13">
        <v>0</v>
      </c>
      <c r="T286" s="12">
        <v>0</v>
      </c>
      <c r="U286" s="12">
        <v>1</v>
      </c>
      <c r="V286" s="12">
        <v>1</v>
      </c>
      <c r="W286" s="12">
        <v>0</v>
      </c>
      <c r="X286" s="12">
        <v>0</v>
      </c>
      <c r="Y286" s="12">
        <v>0</v>
      </c>
      <c r="Z286" s="79" t="str">
        <f>"提高自身攻击"&amp;ID段划分备注!G28*20&amp;",防御"&amp;ID段划分备注!G28*14&amp;",生命上限"&amp;ID段划分备注!G28*120&amp;"，(弱国可额外增加20%属性),持续10分钟"</f>
        <v>提高自身攻击560,防御392,生命上限3360，(弱国可额外增加20%属性),持续10分钟</v>
      </c>
    </row>
    <row r="287" spans="1:26" s="12" customFormat="1" ht="15" customHeight="1" x14ac:dyDescent="0.15">
      <c r="A287" s="12">
        <v>929</v>
      </c>
      <c r="B287" s="12" t="s">
        <v>1944</v>
      </c>
      <c r="C287" s="12">
        <f t="shared" si="44"/>
        <v>1</v>
      </c>
      <c r="D287" s="12">
        <v>1</v>
      </c>
      <c r="F287" s="12">
        <v>0</v>
      </c>
      <c r="G287" s="13">
        <v>1</v>
      </c>
      <c r="H287" s="13">
        <v>0</v>
      </c>
      <c r="I287" s="13">
        <v>0</v>
      </c>
      <c r="J287" s="13">
        <v>0</v>
      </c>
      <c r="K287" s="13">
        <v>0</v>
      </c>
      <c r="L287" s="12">
        <v>1</v>
      </c>
      <c r="M287" s="12">
        <f t="shared" si="45"/>
        <v>0</v>
      </c>
      <c r="N287" s="13">
        <v>0</v>
      </c>
      <c r="O287" s="13">
        <v>0</v>
      </c>
      <c r="P287" s="13">
        <v>0</v>
      </c>
      <c r="Q287" s="13">
        <v>0</v>
      </c>
      <c r="R287" s="13">
        <v>0</v>
      </c>
      <c r="S287" s="13">
        <v>0</v>
      </c>
      <c r="T287" s="12">
        <v>0</v>
      </c>
      <c r="U287" s="12">
        <v>1</v>
      </c>
      <c r="V287" s="12">
        <v>1</v>
      </c>
      <c r="W287" s="12">
        <v>0</v>
      </c>
      <c r="X287" s="12">
        <v>0</v>
      </c>
      <c r="Y287" s="12">
        <v>0</v>
      </c>
      <c r="Z287" s="79" t="str">
        <f>"提高自身攻击"&amp;ID段划分备注!G29*20&amp;",防御"&amp;ID段划分备注!G29*14&amp;",生命上限"&amp;ID段划分备注!G29*120&amp;"，(弱国可额外增加20%属性),持续10分钟"</f>
        <v>提高自身攻击580,防御406,生命上限3480，(弱国可额外增加20%属性),持续10分钟</v>
      </c>
    </row>
    <row r="288" spans="1:26" s="12" customFormat="1" ht="15" customHeight="1" x14ac:dyDescent="0.15">
      <c r="A288" s="12">
        <v>930</v>
      </c>
      <c r="B288" s="12" t="s">
        <v>1945</v>
      </c>
      <c r="C288" s="12">
        <f t="shared" si="44"/>
        <v>1</v>
      </c>
      <c r="D288" s="12">
        <v>1</v>
      </c>
      <c r="F288" s="12">
        <v>0</v>
      </c>
      <c r="G288" s="13">
        <v>1</v>
      </c>
      <c r="H288" s="13">
        <v>0</v>
      </c>
      <c r="I288" s="13">
        <v>0</v>
      </c>
      <c r="J288" s="13">
        <v>0</v>
      </c>
      <c r="K288" s="13">
        <v>0</v>
      </c>
      <c r="L288" s="12">
        <v>1</v>
      </c>
      <c r="M288" s="12">
        <f t="shared" si="45"/>
        <v>0</v>
      </c>
      <c r="N288" s="13">
        <v>0</v>
      </c>
      <c r="O288" s="13">
        <v>0</v>
      </c>
      <c r="P288" s="13">
        <v>0</v>
      </c>
      <c r="Q288" s="13">
        <v>0</v>
      </c>
      <c r="R288" s="13">
        <v>0</v>
      </c>
      <c r="S288" s="13">
        <v>0</v>
      </c>
      <c r="T288" s="12">
        <v>0</v>
      </c>
      <c r="U288" s="12">
        <v>1</v>
      </c>
      <c r="V288" s="12">
        <v>1</v>
      </c>
      <c r="W288" s="12">
        <v>0</v>
      </c>
      <c r="X288" s="12">
        <v>0</v>
      </c>
      <c r="Y288" s="12">
        <v>0</v>
      </c>
      <c r="Z288" s="79" t="str">
        <f>"提高自身攻击"&amp;ID段划分备注!G30*20&amp;",防御"&amp;ID段划分备注!G30*14&amp;",生命上限"&amp;ID段划分备注!G30*120&amp;"，(弱国可额外增加20%属性),持续10分钟"</f>
        <v>提高自身攻击600,防御420,生命上限3600，(弱国可额外增加20%属性),持续10分钟</v>
      </c>
    </row>
    <row r="289" spans="1:26" s="12" customFormat="1" ht="15" customHeight="1" x14ac:dyDescent="0.15">
      <c r="A289" s="12">
        <v>931</v>
      </c>
      <c r="B289" s="12" t="s">
        <v>1946</v>
      </c>
      <c r="C289" s="12">
        <f t="shared" si="44"/>
        <v>1</v>
      </c>
      <c r="D289" s="12">
        <v>1</v>
      </c>
      <c r="F289" s="12">
        <v>0</v>
      </c>
      <c r="G289" s="13">
        <v>1</v>
      </c>
      <c r="H289" s="13">
        <v>0</v>
      </c>
      <c r="I289" s="13">
        <v>0</v>
      </c>
      <c r="J289" s="13">
        <v>0</v>
      </c>
      <c r="K289" s="13">
        <v>0</v>
      </c>
      <c r="L289" s="12">
        <v>1</v>
      </c>
      <c r="M289" s="12">
        <f t="shared" si="45"/>
        <v>0</v>
      </c>
      <c r="N289" s="13">
        <v>0</v>
      </c>
      <c r="O289" s="13">
        <v>0</v>
      </c>
      <c r="P289" s="13">
        <v>0</v>
      </c>
      <c r="Q289" s="13">
        <v>0</v>
      </c>
      <c r="R289" s="13">
        <v>0</v>
      </c>
      <c r="S289" s="13">
        <v>0</v>
      </c>
      <c r="T289" s="12">
        <v>0</v>
      </c>
      <c r="U289" s="12">
        <v>1</v>
      </c>
      <c r="V289" s="12">
        <v>1</v>
      </c>
      <c r="W289" s="12">
        <v>0</v>
      </c>
      <c r="X289" s="12">
        <v>0</v>
      </c>
      <c r="Y289" s="12">
        <v>0</v>
      </c>
      <c r="Z289" s="79" t="str">
        <f>"提高自身攻击"&amp;ID段划分备注!G31*20&amp;",防御"&amp;ID段划分备注!G31*14&amp;",生命上限"&amp;ID段划分备注!G31*120&amp;"，(弱国可额外增加20%属性),持续10分钟"</f>
        <v>提高自身攻击620,防御434,生命上限3720，(弱国可额外增加20%属性),持续10分钟</v>
      </c>
    </row>
    <row r="290" spans="1:26" s="12" customFormat="1" ht="15" customHeight="1" x14ac:dyDescent="0.15">
      <c r="A290" s="12">
        <v>932</v>
      </c>
      <c r="B290" s="12" t="s">
        <v>1947</v>
      </c>
      <c r="C290" s="12">
        <f t="shared" si="44"/>
        <v>1</v>
      </c>
      <c r="D290" s="12">
        <v>1</v>
      </c>
      <c r="F290" s="12">
        <v>0</v>
      </c>
      <c r="G290" s="13">
        <v>1</v>
      </c>
      <c r="H290" s="13">
        <v>0</v>
      </c>
      <c r="I290" s="13">
        <v>0</v>
      </c>
      <c r="J290" s="13">
        <v>0</v>
      </c>
      <c r="K290" s="13">
        <v>0</v>
      </c>
      <c r="L290" s="12">
        <v>1</v>
      </c>
      <c r="M290" s="12">
        <f t="shared" si="45"/>
        <v>0</v>
      </c>
      <c r="N290" s="13">
        <v>0</v>
      </c>
      <c r="O290" s="13">
        <v>0</v>
      </c>
      <c r="P290" s="13">
        <v>0</v>
      </c>
      <c r="Q290" s="13">
        <v>0</v>
      </c>
      <c r="R290" s="13">
        <v>0</v>
      </c>
      <c r="S290" s="13">
        <v>0</v>
      </c>
      <c r="T290" s="12">
        <v>0</v>
      </c>
      <c r="U290" s="12">
        <v>1</v>
      </c>
      <c r="V290" s="12">
        <v>1</v>
      </c>
      <c r="W290" s="12">
        <v>0</v>
      </c>
      <c r="X290" s="12">
        <v>0</v>
      </c>
      <c r="Y290" s="12">
        <v>0</v>
      </c>
      <c r="Z290" s="79" t="str">
        <f>"提高自身攻击"&amp;ID段划分备注!G32*20&amp;",防御"&amp;ID段划分备注!G32*14&amp;",生命上限"&amp;ID段划分备注!G32*120&amp;"，(弱国可额外增加20%属性),持续10分钟"</f>
        <v>提高自身攻击640,防御448,生命上限3840，(弱国可额外增加20%属性),持续10分钟</v>
      </c>
    </row>
    <row r="291" spans="1:26" s="12" customFormat="1" ht="15" customHeight="1" x14ac:dyDescent="0.15">
      <c r="A291" s="12">
        <v>933</v>
      </c>
      <c r="B291" s="12" t="s">
        <v>1948</v>
      </c>
      <c r="C291" s="12">
        <f t="shared" si="44"/>
        <v>1</v>
      </c>
      <c r="D291" s="12">
        <v>1</v>
      </c>
      <c r="F291" s="12">
        <v>0</v>
      </c>
      <c r="G291" s="13">
        <v>1</v>
      </c>
      <c r="H291" s="13">
        <v>0</v>
      </c>
      <c r="I291" s="13">
        <v>0</v>
      </c>
      <c r="J291" s="13">
        <v>0</v>
      </c>
      <c r="K291" s="13">
        <v>0</v>
      </c>
      <c r="L291" s="12">
        <v>1</v>
      </c>
      <c r="M291" s="12">
        <f t="shared" si="45"/>
        <v>0</v>
      </c>
      <c r="N291" s="13">
        <v>0</v>
      </c>
      <c r="O291" s="13">
        <v>0</v>
      </c>
      <c r="P291" s="13">
        <v>0</v>
      </c>
      <c r="Q291" s="13">
        <v>0</v>
      </c>
      <c r="R291" s="13">
        <v>0</v>
      </c>
      <c r="S291" s="13">
        <v>0</v>
      </c>
      <c r="T291" s="12">
        <v>0</v>
      </c>
      <c r="U291" s="12">
        <v>1</v>
      </c>
      <c r="V291" s="12">
        <v>1</v>
      </c>
      <c r="W291" s="12">
        <v>0</v>
      </c>
      <c r="X291" s="12">
        <v>0</v>
      </c>
      <c r="Y291" s="12">
        <v>0</v>
      </c>
      <c r="Z291" s="79" t="str">
        <f>"提高自身攻击"&amp;ID段划分备注!G33*20&amp;",防御"&amp;ID段划分备注!G33*14&amp;",生命上限"&amp;ID段划分备注!G33*120&amp;"，(弱国可额外增加20%属性),持续10分钟"</f>
        <v>提高自身攻击660,防御462,生命上限3960，(弱国可额外增加20%属性),持续10分钟</v>
      </c>
    </row>
    <row r="292" spans="1:26" s="12" customFormat="1" ht="15" customHeight="1" x14ac:dyDescent="0.15">
      <c r="A292" s="12">
        <v>934</v>
      </c>
      <c r="B292" s="12" t="s">
        <v>1949</v>
      </c>
      <c r="C292" s="12">
        <f t="shared" si="44"/>
        <v>1</v>
      </c>
      <c r="D292" s="12">
        <v>1</v>
      </c>
      <c r="F292" s="12">
        <v>0</v>
      </c>
      <c r="G292" s="13">
        <v>1</v>
      </c>
      <c r="H292" s="13">
        <v>0</v>
      </c>
      <c r="I292" s="13">
        <v>0</v>
      </c>
      <c r="J292" s="13">
        <v>0</v>
      </c>
      <c r="K292" s="13">
        <v>0</v>
      </c>
      <c r="L292" s="12">
        <v>1</v>
      </c>
      <c r="M292" s="12">
        <f t="shared" si="45"/>
        <v>0</v>
      </c>
      <c r="N292" s="13">
        <v>0</v>
      </c>
      <c r="O292" s="13">
        <v>0</v>
      </c>
      <c r="P292" s="13">
        <v>0</v>
      </c>
      <c r="Q292" s="13">
        <v>0</v>
      </c>
      <c r="R292" s="13">
        <v>0</v>
      </c>
      <c r="S292" s="13">
        <v>0</v>
      </c>
      <c r="T292" s="12">
        <v>0</v>
      </c>
      <c r="U292" s="12">
        <v>1</v>
      </c>
      <c r="V292" s="12">
        <v>1</v>
      </c>
      <c r="W292" s="12">
        <v>0</v>
      </c>
      <c r="X292" s="12">
        <v>0</v>
      </c>
      <c r="Y292" s="12">
        <v>0</v>
      </c>
      <c r="Z292" s="79" t="str">
        <f>"提高自身攻击"&amp;ID段划分备注!G34*20&amp;",防御"&amp;ID段划分备注!G34*14&amp;",生命上限"&amp;ID段划分备注!G34*120&amp;"，(弱国可额外增加20%属性),持续10分钟"</f>
        <v>提高自身攻击680,防御476,生命上限4080，(弱国可额外增加20%属性),持续10分钟</v>
      </c>
    </row>
    <row r="293" spans="1:26" s="12" customFormat="1" ht="15" customHeight="1" x14ac:dyDescent="0.15">
      <c r="A293" s="12">
        <v>935</v>
      </c>
      <c r="B293" s="12" t="s">
        <v>1950</v>
      </c>
      <c r="C293" s="12">
        <f t="shared" si="44"/>
        <v>1</v>
      </c>
      <c r="D293" s="12">
        <v>1</v>
      </c>
      <c r="F293" s="12">
        <v>0</v>
      </c>
      <c r="G293" s="13">
        <v>1</v>
      </c>
      <c r="H293" s="13">
        <v>0</v>
      </c>
      <c r="I293" s="13">
        <v>0</v>
      </c>
      <c r="J293" s="13">
        <v>0</v>
      </c>
      <c r="K293" s="13">
        <v>0</v>
      </c>
      <c r="L293" s="12">
        <v>1</v>
      </c>
      <c r="M293" s="12">
        <f t="shared" si="45"/>
        <v>0</v>
      </c>
      <c r="N293" s="13">
        <v>0</v>
      </c>
      <c r="O293" s="13">
        <v>0</v>
      </c>
      <c r="P293" s="13">
        <v>0</v>
      </c>
      <c r="Q293" s="13">
        <v>0</v>
      </c>
      <c r="R293" s="13">
        <v>0</v>
      </c>
      <c r="S293" s="13">
        <v>0</v>
      </c>
      <c r="T293" s="12">
        <v>0</v>
      </c>
      <c r="U293" s="12">
        <v>1</v>
      </c>
      <c r="V293" s="12">
        <v>1</v>
      </c>
      <c r="W293" s="12">
        <v>0</v>
      </c>
      <c r="X293" s="12">
        <v>0</v>
      </c>
      <c r="Y293" s="12">
        <v>0</v>
      </c>
      <c r="Z293" s="79" t="str">
        <f>"提高自身攻击"&amp;ID段划分备注!G35*20&amp;",防御"&amp;ID段划分备注!G35*14&amp;",生命上限"&amp;ID段划分备注!G35*120&amp;"，(弱国可额外增加20%属性),持续10分钟"</f>
        <v>提高自身攻击700,防御490,生命上限4200，(弱国可额外增加20%属性),持续10分钟</v>
      </c>
    </row>
    <row r="294" spans="1:26" s="12" customFormat="1" ht="15" customHeight="1" x14ac:dyDescent="0.15">
      <c r="A294" s="12">
        <v>936</v>
      </c>
      <c r="B294" s="12" t="s">
        <v>1951</v>
      </c>
      <c r="C294" s="12">
        <f t="shared" si="44"/>
        <v>1</v>
      </c>
      <c r="D294" s="12">
        <v>1</v>
      </c>
      <c r="F294" s="12">
        <v>0</v>
      </c>
      <c r="G294" s="13">
        <v>1</v>
      </c>
      <c r="H294" s="13">
        <v>0</v>
      </c>
      <c r="I294" s="13">
        <v>0</v>
      </c>
      <c r="J294" s="13">
        <v>0</v>
      </c>
      <c r="K294" s="13">
        <v>0</v>
      </c>
      <c r="L294" s="12">
        <v>1</v>
      </c>
      <c r="M294" s="12">
        <f t="shared" si="45"/>
        <v>0</v>
      </c>
      <c r="N294" s="13">
        <v>0</v>
      </c>
      <c r="O294" s="13">
        <v>0</v>
      </c>
      <c r="P294" s="13">
        <v>0</v>
      </c>
      <c r="Q294" s="13">
        <v>0</v>
      </c>
      <c r="R294" s="13">
        <v>0</v>
      </c>
      <c r="S294" s="13">
        <v>0</v>
      </c>
      <c r="T294" s="12">
        <v>0</v>
      </c>
      <c r="U294" s="12">
        <v>1</v>
      </c>
      <c r="V294" s="12">
        <v>1</v>
      </c>
      <c r="W294" s="12">
        <v>0</v>
      </c>
      <c r="X294" s="12">
        <v>0</v>
      </c>
      <c r="Y294" s="12">
        <v>0</v>
      </c>
      <c r="Z294" s="79" t="str">
        <f>"提高自身攻击"&amp;ID段划分备注!G36*20&amp;",防御"&amp;ID段划分备注!G36*14&amp;",生命上限"&amp;ID段划分备注!G36*120&amp;"，(弱国可额外增加20%属性),持续10分钟"</f>
        <v>提高自身攻击720,防御504,生命上限4320，(弱国可额外增加20%属性),持续10分钟</v>
      </c>
    </row>
    <row r="295" spans="1:26" s="12" customFormat="1" ht="15" customHeight="1" x14ac:dyDescent="0.15">
      <c r="A295" s="12">
        <v>937</v>
      </c>
      <c r="B295" s="12" t="s">
        <v>1952</v>
      </c>
      <c r="C295" s="12">
        <f t="shared" si="44"/>
        <v>1</v>
      </c>
      <c r="D295" s="12">
        <v>1</v>
      </c>
      <c r="F295" s="12">
        <v>0</v>
      </c>
      <c r="G295" s="13">
        <v>1</v>
      </c>
      <c r="H295" s="13">
        <v>0</v>
      </c>
      <c r="I295" s="13">
        <v>0</v>
      </c>
      <c r="J295" s="13">
        <v>0</v>
      </c>
      <c r="K295" s="13">
        <v>0</v>
      </c>
      <c r="L295" s="12">
        <v>1</v>
      </c>
      <c r="M295" s="12">
        <f t="shared" si="45"/>
        <v>0</v>
      </c>
      <c r="N295" s="13">
        <v>0</v>
      </c>
      <c r="O295" s="13">
        <v>0</v>
      </c>
      <c r="P295" s="13">
        <v>0</v>
      </c>
      <c r="Q295" s="13">
        <v>0</v>
      </c>
      <c r="R295" s="13">
        <v>0</v>
      </c>
      <c r="S295" s="13">
        <v>0</v>
      </c>
      <c r="T295" s="12">
        <v>0</v>
      </c>
      <c r="U295" s="12">
        <v>1</v>
      </c>
      <c r="V295" s="12">
        <v>1</v>
      </c>
      <c r="W295" s="12">
        <v>0</v>
      </c>
      <c r="X295" s="12">
        <v>0</v>
      </c>
      <c r="Y295" s="12">
        <v>0</v>
      </c>
      <c r="Z295" s="79" t="str">
        <f>"提高自身攻击"&amp;ID段划分备注!G37*20&amp;",防御"&amp;ID段划分备注!G37*14&amp;",生命上限"&amp;ID段划分备注!G37*120&amp;"，(弱国可额外增加20%属性),持续10分钟"</f>
        <v>提高自身攻击740,防御518,生命上限4440，(弱国可额外增加20%属性),持续10分钟</v>
      </c>
    </row>
    <row r="296" spans="1:26" s="12" customFormat="1" ht="15" customHeight="1" x14ac:dyDescent="0.15">
      <c r="A296" s="12">
        <v>938</v>
      </c>
      <c r="B296" s="12" t="s">
        <v>1953</v>
      </c>
      <c r="C296" s="12">
        <f t="shared" si="44"/>
        <v>1</v>
      </c>
      <c r="D296" s="12">
        <v>1</v>
      </c>
      <c r="F296" s="12">
        <v>0</v>
      </c>
      <c r="G296" s="13">
        <v>1</v>
      </c>
      <c r="H296" s="13">
        <v>0</v>
      </c>
      <c r="I296" s="13">
        <v>0</v>
      </c>
      <c r="J296" s="13">
        <v>0</v>
      </c>
      <c r="K296" s="13">
        <v>0</v>
      </c>
      <c r="L296" s="12">
        <v>1</v>
      </c>
      <c r="M296" s="12">
        <f t="shared" si="45"/>
        <v>0</v>
      </c>
      <c r="N296" s="13">
        <v>0</v>
      </c>
      <c r="O296" s="13">
        <v>0</v>
      </c>
      <c r="P296" s="13">
        <v>0</v>
      </c>
      <c r="Q296" s="13">
        <v>0</v>
      </c>
      <c r="R296" s="13">
        <v>0</v>
      </c>
      <c r="S296" s="13">
        <v>0</v>
      </c>
      <c r="T296" s="12">
        <v>0</v>
      </c>
      <c r="U296" s="12">
        <v>1</v>
      </c>
      <c r="V296" s="12">
        <v>1</v>
      </c>
      <c r="W296" s="12">
        <v>0</v>
      </c>
      <c r="X296" s="12">
        <v>0</v>
      </c>
      <c r="Y296" s="12">
        <v>0</v>
      </c>
      <c r="Z296" s="79" t="str">
        <f>"提高自身攻击"&amp;ID段划分备注!G38*20&amp;",防御"&amp;ID段划分备注!G38*14&amp;",生命上限"&amp;ID段划分备注!G38*120&amp;"，(弱国可额外增加20%属性),持续10分钟"</f>
        <v>提高自身攻击760,防御532,生命上限4560，(弱国可额外增加20%属性),持续10分钟</v>
      </c>
    </row>
    <row r="297" spans="1:26" s="12" customFormat="1" ht="15" customHeight="1" x14ac:dyDescent="0.15">
      <c r="A297" s="12">
        <v>939</v>
      </c>
      <c r="B297" s="12" t="s">
        <v>1954</v>
      </c>
      <c r="C297" s="12">
        <f t="shared" si="44"/>
        <v>1</v>
      </c>
      <c r="D297" s="12">
        <v>1</v>
      </c>
      <c r="F297" s="12">
        <v>0</v>
      </c>
      <c r="G297" s="13">
        <v>1</v>
      </c>
      <c r="H297" s="13">
        <v>0</v>
      </c>
      <c r="I297" s="13">
        <v>0</v>
      </c>
      <c r="J297" s="13">
        <v>0</v>
      </c>
      <c r="K297" s="13">
        <v>0</v>
      </c>
      <c r="L297" s="12">
        <v>1</v>
      </c>
      <c r="M297" s="12">
        <f t="shared" si="45"/>
        <v>0</v>
      </c>
      <c r="N297" s="13">
        <v>0</v>
      </c>
      <c r="O297" s="13">
        <v>0</v>
      </c>
      <c r="P297" s="13">
        <v>0</v>
      </c>
      <c r="Q297" s="13">
        <v>0</v>
      </c>
      <c r="R297" s="13">
        <v>0</v>
      </c>
      <c r="S297" s="13">
        <v>0</v>
      </c>
      <c r="T297" s="12">
        <v>0</v>
      </c>
      <c r="U297" s="12">
        <v>1</v>
      </c>
      <c r="V297" s="12">
        <v>1</v>
      </c>
      <c r="W297" s="12">
        <v>0</v>
      </c>
      <c r="X297" s="12">
        <v>0</v>
      </c>
      <c r="Y297" s="12">
        <v>0</v>
      </c>
      <c r="Z297" s="79" t="str">
        <f>"提高自身攻击"&amp;ID段划分备注!G39*20&amp;",防御"&amp;ID段划分备注!G39*14&amp;",生命上限"&amp;ID段划分备注!G39*120&amp;"，(弱国可额外增加20%属性),持续10分钟"</f>
        <v>提高自身攻击780,防御546,生命上限4680，(弱国可额外增加20%属性),持续10分钟</v>
      </c>
    </row>
    <row r="298" spans="1:26" s="12" customFormat="1" ht="15" customHeight="1" x14ac:dyDescent="0.15">
      <c r="A298" s="12">
        <v>940</v>
      </c>
      <c r="B298" s="12" t="s">
        <v>1955</v>
      </c>
      <c r="C298" s="12">
        <f t="shared" si="44"/>
        <v>1</v>
      </c>
      <c r="D298" s="12">
        <v>1</v>
      </c>
      <c r="F298" s="12">
        <v>0</v>
      </c>
      <c r="G298" s="13">
        <v>1</v>
      </c>
      <c r="H298" s="13">
        <v>0</v>
      </c>
      <c r="I298" s="13">
        <v>0</v>
      </c>
      <c r="J298" s="13">
        <v>0</v>
      </c>
      <c r="K298" s="13">
        <v>0</v>
      </c>
      <c r="L298" s="12">
        <v>1</v>
      </c>
      <c r="M298" s="12">
        <f t="shared" si="45"/>
        <v>0</v>
      </c>
      <c r="N298" s="13">
        <v>0</v>
      </c>
      <c r="O298" s="13">
        <v>0</v>
      </c>
      <c r="P298" s="13">
        <v>0</v>
      </c>
      <c r="Q298" s="13">
        <v>0</v>
      </c>
      <c r="R298" s="13">
        <v>0</v>
      </c>
      <c r="S298" s="13">
        <v>0</v>
      </c>
      <c r="T298" s="12">
        <v>0</v>
      </c>
      <c r="U298" s="12">
        <v>1</v>
      </c>
      <c r="V298" s="12">
        <v>1</v>
      </c>
      <c r="W298" s="12">
        <v>0</v>
      </c>
      <c r="X298" s="12">
        <v>0</v>
      </c>
      <c r="Y298" s="12">
        <v>0</v>
      </c>
      <c r="Z298" s="79" t="str">
        <f>"提高自身攻击"&amp;ID段划分备注!G40*20&amp;",防御"&amp;ID段划分备注!G40*14&amp;",生命上限"&amp;ID段划分备注!G40*120&amp;"，(弱国可额外增加20%属性),持续10分钟"</f>
        <v>提高自身攻击800,防御560,生命上限4800，(弱国可额外增加20%属性),持续10分钟</v>
      </c>
    </row>
    <row r="299" spans="1:26" s="12" customFormat="1" ht="15" customHeight="1" x14ac:dyDescent="0.15">
      <c r="A299" s="12">
        <v>941</v>
      </c>
      <c r="B299" s="12" t="s">
        <v>1956</v>
      </c>
      <c r="C299" s="12">
        <f t="shared" si="44"/>
        <v>1</v>
      </c>
      <c r="D299" s="12">
        <v>1</v>
      </c>
      <c r="F299" s="12">
        <v>0</v>
      </c>
      <c r="G299" s="13">
        <v>1</v>
      </c>
      <c r="H299" s="13">
        <v>0</v>
      </c>
      <c r="I299" s="13">
        <v>0</v>
      </c>
      <c r="J299" s="13">
        <v>0</v>
      </c>
      <c r="K299" s="13">
        <v>0</v>
      </c>
      <c r="L299" s="12">
        <v>1</v>
      </c>
      <c r="M299" s="12">
        <f t="shared" si="45"/>
        <v>0</v>
      </c>
      <c r="N299" s="13">
        <v>0</v>
      </c>
      <c r="O299" s="13">
        <v>0</v>
      </c>
      <c r="P299" s="13">
        <v>0</v>
      </c>
      <c r="Q299" s="13">
        <v>0</v>
      </c>
      <c r="R299" s="13">
        <v>0</v>
      </c>
      <c r="S299" s="13">
        <v>0</v>
      </c>
      <c r="T299" s="12">
        <v>0</v>
      </c>
      <c r="U299" s="12">
        <v>1</v>
      </c>
      <c r="V299" s="12">
        <v>1</v>
      </c>
      <c r="W299" s="12">
        <v>0</v>
      </c>
      <c r="X299" s="12">
        <v>0</v>
      </c>
      <c r="Y299" s="12">
        <v>0</v>
      </c>
      <c r="Z299" s="79" t="str">
        <f>"提高自身攻击"&amp;ID段划分备注!G41*20&amp;",防御"&amp;ID段划分备注!G41*14&amp;",生命上限"&amp;ID段划分备注!G41*120&amp;"，(弱国可额外增加20%属性),持续10分钟"</f>
        <v>提高自身攻击820,防御574,生命上限4920，(弱国可额外增加20%属性),持续10分钟</v>
      </c>
    </row>
    <row r="300" spans="1:26" s="12" customFormat="1" ht="15" customHeight="1" x14ac:dyDescent="0.15">
      <c r="A300" s="12">
        <v>942</v>
      </c>
      <c r="B300" s="12" t="s">
        <v>1957</v>
      </c>
      <c r="C300" s="12">
        <f t="shared" si="44"/>
        <v>1</v>
      </c>
      <c r="D300" s="12">
        <v>1</v>
      </c>
      <c r="F300" s="12">
        <v>0</v>
      </c>
      <c r="G300" s="13">
        <v>1</v>
      </c>
      <c r="H300" s="13">
        <v>0</v>
      </c>
      <c r="I300" s="13">
        <v>0</v>
      </c>
      <c r="J300" s="13">
        <v>0</v>
      </c>
      <c r="K300" s="13">
        <v>0</v>
      </c>
      <c r="L300" s="12">
        <v>1</v>
      </c>
      <c r="M300" s="12">
        <f t="shared" si="45"/>
        <v>0</v>
      </c>
      <c r="N300" s="13">
        <v>0</v>
      </c>
      <c r="O300" s="13">
        <v>0</v>
      </c>
      <c r="P300" s="13">
        <v>0</v>
      </c>
      <c r="Q300" s="13">
        <v>0</v>
      </c>
      <c r="R300" s="13">
        <v>0</v>
      </c>
      <c r="S300" s="13">
        <v>0</v>
      </c>
      <c r="T300" s="12">
        <v>0</v>
      </c>
      <c r="U300" s="12">
        <v>1</v>
      </c>
      <c r="V300" s="12">
        <v>1</v>
      </c>
      <c r="W300" s="12">
        <v>0</v>
      </c>
      <c r="X300" s="12">
        <v>0</v>
      </c>
      <c r="Y300" s="12">
        <v>0</v>
      </c>
      <c r="Z300" s="79" t="str">
        <f>"提高自身攻击"&amp;ID段划分备注!G42*20&amp;",防御"&amp;ID段划分备注!G42*14&amp;",生命上限"&amp;ID段划分备注!G42*120&amp;"，(弱国可额外增加20%属性),持续10分钟"</f>
        <v>提高自身攻击840,防御588,生命上限5040，(弱国可额外增加20%属性),持续10分钟</v>
      </c>
    </row>
    <row r="301" spans="1:26" s="12" customFormat="1" ht="15" customHeight="1" x14ac:dyDescent="0.15">
      <c r="A301" s="12">
        <v>943</v>
      </c>
      <c r="B301" s="12" t="s">
        <v>1958</v>
      </c>
      <c r="C301" s="12">
        <f t="shared" si="44"/>
        <v>1</v>
      </c>
      <c r="D301" s="12">
        <v>1</v>
      </c>
      <c r="F301" s="12">
        <v>0</v>
      </c>
      <c r="G301" s="13">
        <v>1</v>
      </c>
      <c r="H301" s="13">
        <v>0</v>
      </c>
      <c r="I301" s="13">
        <v>0</v>
      </c>
      <c r="J301" s="13">
        <v>0</v>
      </c>
      <c r="K301" s="13">
        <v>0</v>
      </c>
      <c r="L301" s="12">
        <v>1</v>
      </c>
      <c r="M301" s="12">
        <f t="shared" si="45"/>
        <v>0</v>
      </c>
      <c r="N301" s="13">
        <v>0</v>
      </c>
      <c r="O301" s="13">
        <v>0</v>
      </c>
      <c r="P301" s="13">
        <v>0</v>
      </c>
      <c r="Q301" s="13">
        <v>0</v>
      </c>
      <c r="R301" s="13">
        <v>0</v>
      </c>
      <c r="S301" s="13">
        <v>0</v>
      </c>
      <c r="T301" s="12">
        <v>0</v>
      </c>
      <c r="U301" s="12">
        <v>1</v>
      </c>
      <c r="V301" s="12">
        <v>1</v>
      </c>
      <c r="W301" s="12">
        <v>0</v>
      </c>
      <c r="X301" s="12">
        <v>0</v>
      </c>
      <c r="Y301" s="12">
        <v>0</v>
      </c>
      <c r="Z301" s="79" t="str">
        <f>"提高自身攻击"&amp;ID段划分备注!G43*20&amp;",防御"&amp;ID段划分备注!G43*14&amp;",生命上限"&amp;ID段划分备注!G43*120&amp;"，(弱国可额外增加20%属性),持续10分钟"</f>
        <v>提高自身攻击860,防御602,生命上限5160，(弱国可额外增加20%属性),持续10分钟</v>
      </c>
    </row>
    <row r="302" spans="1:26" s="12" customFormat="1" ht="15" customHeight="1" x14ac:dyDescent="0.15">
      <c r="A302" s="12">
        <v>944</v>
      </c>
      <c r="B302" s="12" t="s">
        <v>1959</v>
      </c>
      <c r="C302" s="12">
        <f t="shared" si="44"/>
        <v>1</v>
      </c>
      <c r="D302" s="12">
        <v>1</v>
      </c>
      <c r="F302" s="12">
        <v>0</v>
      </c>
      <c r="G302" s="13">
        <v>1</v>
      </c>
      <c r="H302" s="13">
        <v>0</v>
      </c>
      <c r="I302" s="13">
        <v>0</v>
      </c>
      <c r="J302" s="13">
        <v>0</v>
      </c>
      <c r="K302" s="13">
        <v>0</v>
      </c>
      <c r="L302" s="12">
        <v>1</v>
      </c>
      <c r="M302" s="12">
        <f t="shared" si="45"/>
        <v>0</v>
      </c>
      <c r="N302" s="13">
        <v>0</v>
      </c>
      <c r="O302" s="13">
        <v>0</v>
      </c>
      <c r="P302" s="13">
        <v>0</v>
      </c>
      <c r="Q302" s="13">
        <v>0</v>
      </c>
      <c r="R302" s="13">
        <v>0</v>
      </c>
      <c r="S302" s="13">
        <v>0</v>
      </c>
      <c r="T302" s="12">
        <v>0</v>
      </c>
      <c r="U302" s="12">
        <v>1</v>
      </c>
      <c r="V302" s="12">
        <v>1</v>
      </c>
      <c r="W302" s="12">
        <v>0</v>
      </c>
      <c r="X302" s="12">
        <v>0</v>
      </c>
      <c r="Y302" s="12">
        <v>0</v>
      </c>
      <c r="Z302" s="79" t="str">
        <f>"提高自身攻击"&amp;ID段划分备注!G44*20&amp;",防御"&amp;ID段划分备注!G44*14&amp;",生命上限"&amp;ID段划分备注!G44*120&amp;"，(弱国可额外增加20%属性),持续10分钟"</f>
        <v>提高自身攻击880,防御616,生命上限5280，(弱国可额外增加20%属性),持续10分钟</v>
      </c>
    </row>
    <row r="303" spans="1:26" s="12" customFormat="1" ht="15" customHeight="1" x14ac:dyDescent="0.15">
      <c r="A303" s="12">
        <v>945</v>
      </c>
      <c r="B303" s="12" t="s">
        <v>1960</v>
      </c>
      <c r="C303" s="12">
        <f t="shared" si="44"/>
        <v>1</v>
      </c>
      <c r="D303" s="12">
        <v>1</v>
      </c>
      <c r="F303" s="12">
        <v>0</v>
      </c>
      <c r="G303" s="13">
        <v>1</v>
      </c>
      <c r="H303" s="13">
        <v>0</v>
      </c>
      <c r="I303" s="13">
        <v>0</v>
      </c>
      <c r="J303" s="13">
        <v>0</v>
      </c>
      <c r="K303" s="13">
        <v>0</v>
      </c>
      <c r="L303" s="12">
        <v>1</v>
      </c>
      <c r="M303" s="12">
        <f t="shared" si="45"/>
        <v>0</v>
      </c>
      <c r="N303" s="13">
        <v>0</v>
      </c>
      <c r="O303" s="13">
        <v>0</v>
      </c>
      <c r="P303" s="13">
        <v>0</v>
      </c>
      <c r="Q303" s="13">
        <v>0</v>
      </c>
      <c r="R303" s="13">
        <v>0</v>
      </c>
      <c r="S303" s="13">
        <v>0</v>
      </c>
      <c r="T303" s="12">
        <v>0</v>
      </c>
      <c r="U303" s="12">
        <v>1</v>
      </c>
      <c r="V303" s="12">
        <v>1</v>
      </c>
      <c r="W303" s="12">
        <v>0</v>
      </c>
      <c r="X303" s="12">
        <v>0</v>
      </c>
      <c r="Y303" s="12">
        <v>0</v>
      </c>
      <c r="Z303" s="79" t="str">
        <f>"提高自身攻击"&amp;ID段划分备注!G45*20&amp;",防御"&amp;ID段划分备注!G45*14&amp;",生命上限"&amp;ID段划分备注!G45*120&amp;"，(弱国可额外增加20%属性),持续10分钟"</f>
        <v>提高自身攻击900,防御630,生命上限5400，(弱国可额外增加20%属性),持续10分钟</v>
      </c>
    </row>
    <row r="304" spans="1:26" s="12" customFormat="1" ht="15" customHeight="1" x14ac:dyDescent="0.15">
      <c r="A304" s="12">
        <v>946</v>
      </c>
      <c r="B304" s="12" t="s">
        <v>1961</v>
      </c>
      <c r="C304" s="12">
        <f t="shared" si="44"/>
        <v>1</v>
      </c>
      <c r="D304" s="12">
        <v>1</v>
      </c>
      <c r="F304" s="12">
        <v>0</v>
      </c>
      <c r="G304" s="13">
        <v>1</v>
      </c>
      <c r="H304" s="13">
        <v>0</v>
      </c>
      <c r="I304" s="13">
        <v>0</v>
      </c>
      <c r="J304" s="13">
        <v>0</v>
      </c>
      <c r="K304" s="13">
        <v>0</v>
      </c>
      <c r="L304" s="12">
        <v>1</v>
      </c>
      <c r="M304" s="12">
        <f t="shared" si="45"/>
        <v>0</v>
      </c>
      <c r="N304" s="13">
        <v>0</v>
      </c>
      <c r="O304" s="13">
        <v>0</v>
      </c>
      <c r="P304" s="13">
        <v>0</v>
      </c>
      <c r="Q304" s="13">
        <v>0</v>
      </c>
      <c r="R304" s="13">
        <v>0</v>
      </c>
      <c r="S304" s="13">
        <v>0</v>
      </c>
      <c r="T304" s="12">
        <v>0</v>
      </c>
      <c r="U304" s="12">
        <v>1</v>
      </c>
      <c r="V304" s="12">
        <v>1</v>
      </c>
      <c r="W304" s="12">
        <v>0</v>
      </c>
      <c r="X304" s="12">
        <v>0</v>
      </c>
      <c r="Y304" s="12">
        <v>0</v>
      </c>
      <c r="Z304" s="79" t="str">
        <f>"提高自身攻击"&amp;ID段划分备注!G46*20&amp;",防御"&amp;ID段划分备注!G46*14&amp;",生命上限"&amp;ID段划分备注!G46*120&amp;"，(弱国可额外增加20%属性),持续10分钟"</f>
        <v>提高自身攻击920,防御644,生命上限5520，(弱国可额外增加20%属性),持续10分钟</v>
      </c>
    </row>
    <row r="305" spans="1:26" s="12" customFormat="1" ht="15" customHeight="1" x14ac:dyDescent="0.15">
      <c r="A305" s="12">
        <v>947</v>
      </c>
      <c r="B305" s="12" t="s">
        <v>1962</v>
      </c>
      <c r="C305" s="12">
        <f t="shared" si="44"/>
        <v>1</v>
      </c>
      <c r="D305" s="12">
        <v>1</v>
      </c>
      <c r="F305" s="12">
        <v>0</v>
      </c>
      <c r="G305" s="13">
        <v>1</v>
      </c>
      <c r="H305" s="13">
        <v>0</v>
      </c>
      <c r="I305" s="13">
        <v>0</v>
      </c>
      <c r="J305" s="13">
        <v>0</v>
      </c>
      <c r="K305" s="13">
        <v>0</v>
      </c>
      <c r="L305" s="12">
        <v>1</v>
      </c>
      <c r="M305" s="12">
        <f t="shared" si="45"/>
        <v>0</v>
      </c>
      <c r="N305" s="13">
        <v>0</v>
      </c>
      <c r="O305" s="13">
        <v>0</v>
      </c>
      <c r="P305" s="13">
        <v>0</v>
      </c>
      <c r="Q305" s="13">
        <v>0</v>
      </c>
      <c r="R305" s="13">
        <v>0</v>
      </c>
      <c r="S305" s="13">
        <v>0</v>
      </c>
      <c r="T305" s="12">
        <v>0</v>
      </c>
      <c r="U305" s="12">
        <v>1</v>
      </c>
      <c r="V305" s="12">
        <v>1</v>
      </c>
      <c r="W305" s="12">
        <v>0</v>
      </c>
      <c r="X305" s="12">
        <v>0</v>
      </c>
      <c r="Y305" s="12">
        <v>0</v>
      </c>
      <c r="Z305" s="79" t="str">
        <f>"提高自身攻击"&amp;ID段划分备注!G47*20&amp;",防御"&amp;ID段划分备注!G47*14&amp;",生命上限"&amp;ID段划分备注!G47*120&amp;"，(弱国可额外增加20%属性),持续10分钟"</f>
        <v>提高自身攻击940,防御658,生命上限5640，(弱国可额外增加20%属性),持续10分钟</v>
      </c>
    </row>
    <row r="306" spans="1:26" s="12" customFormat="1" ht="15" customHeight="1" x14ac:dyDescent="0.15">
      <c r="A306" s="12">
        <v>948</v>
      </c>
      <c r="B306" s="12" t="s">
        <v>1963</v>
      </c>
      <c r="C306" s="12">
        <f t="shared" si="44"/>
        <v>1</v>
      </c>
      <c r="D306" s="12">
        <v>1</v>
      </c>
      <c r="F306" s="12">
        <v>0</v>
      </c>
      <c r="G306" s="13">
        <v>1</v>
      </c>
      <c r="H306" s="13">
        <v>0</v>
      </c>
      <c r="I306" s="13">
        <v>0</v>
      </c>
      <c r="J306" s="13">
        <v>0</v>
      </c>
      <c r="K306" s="13">
        <v>0</v>
      </c>
      <c r="L306" s="12">
        <v>1</v>
      </c>
      <c r="M306" s="12">
        <f t="shared" si="45"/>
        <v>0</v>
      </c>
      <c r="N306" s="13">
        <v>0</v>
      </c>
      <c r="O306" s="13">
        <v>0</v>
      </c>
      <c r="P306" s="13">
        <v>0</v>
      </c>
      <c r="Q306" s="13">
        <v>0</v>
      </c>
      <c r="R306" s="13">
        <v>0</v>
      </c>
      <c r="S306" s="13">
        <v>0</v>
      </c>
      <c r="T306" s="12">
        <v>0</v>
      </c>
      <c r="U306" s="12">
        <v>1</v>
      </c>
      <c r="V306" s="12">
        <v>1</v>
      </c>
      <c r="W306" s="12">
        <v>0</v>
      </c>
      <c r="X306" s="12">
        <v>0</v>
      </c>
      <c r="Y306" s="12">
        <v>0</v>
      </c>
      <c r="Z306" s="79" t="str">
        <f>"提高自身攻击"&amp;ID段划分备注!G48*20&amp;",防御"&amp;ID段划分备注!G48*14&amp;",生命上限"&amp;ID段划分备注!G48*120&amp;"，(弱国可额外增加20%属性),持续10分钟"</f>
        <v>提高自身攻击960,防御672,生命上限5760，(弱国可额外增加20%属性),持续10分钟</v>
      </c>
    </row>
    <row r="307" spans="1:26" s="12" customFormat="1" ht="15" customHeight="1" x14ac:dyDescent="0.15">
      <c r="A307" s="12">
        <v>949</v>
      </c>
      <c r="B307" s="12" t="s">
        <v>1964</v>
      </c>
      <c r="C307" s="12">
        <f t="shared" si="44"/>
        <v>1</v>
      </c>
      <c r="D307" s="12">
        <v>1</v>
      </c>
      <c r="F307" s="12">
        <v>0</v>
      </c>
      <c r="G307" s="13">
        <v>1</v>
      </c>
      <c r="H307" s="13">
        <v>0</v>
      </c>
      <c r="I307" s="13">
        <v>0</v>
      </c>
      <c r="J307" s="13">
        <v>0</v>
      </c>
      <c r="K307" s="13">
        <v>0</v>
      </c>
      <c r="L307" s="12">
        <v>1</v>
      </c>
      <c r="M307" s="12">
        <f t="shared" si="45"/>
        <v>0</v>
      </c>
      <c r="N307" s="13">
        <v>0</v>
      </c>
      <c r="O307" s="13">
        <v>0</v>
      </c>
      <c r="P307" s="13">
        <v>0</v>
      </c>
      <c r="Q307" s="13">
        <v>0</v>
      </c>
      <c r="R307" s="13">
        <v>0</v>
      </c>
      <c r="S307" s="13">
        <v>0</v>
      </c>
      <c r="T307" s="12">
        <v>0</v>
      </c>
      <c r="U307" s="12">
        <v>1</v>
      </c>
      <c r="V307" s="12">
        <v>1</v>
      </c>
      <c r="W307" s="12">
        <v>0</v>
      </c>
      <c r="X307" s="12">
        <v>0</v>
      </c>
      <c r="Y307" s="12">
        <v>0</v>
      </c>
      <c r="Z307" s="79" t="str">
        <f>"提高自身攻击"&amp;ID段划分备注!G49*20&amp;",防御"&amp;ID段划分备注!G49*14&amp;",生命上限"&amp;ID段划分备注!G49*120&amp;"，(弱国可额外增加20%属性),持续10分钟"</f>
        <v>提高自身攻击980,防御686,生命上限5880，(弱国可额外增加20%属性),持续10分钟</v>
      </c>
    </row>
    <row r="308" spans="1:26" s="12" customFormat="1" ht="15" customHeight="1" x14ac:dyDescent="0.15">
      <c r="A308" s="12">
        <v>950</v>
      </c>
      <c r="B308" s="12" t="s">
        <v>1965</v>
      </c>
      <c r="C308" s="12">
        <f t="shared" si="44"/>
        <v>1</v>
      </c>
      <c r="D308" s="12">
        <v>1</v>
      </c>
      <c r="F308" s="12">
        <v>0</v>
      </c>
      <c r="G308" s="13">
        <v>1</v>
      </c>
      <c r="H308" s="13">
        <v>0</v>
      </c>
      <c r="I308" s="13">
        <v>0</v>
      </c>
      <c r="J308" s="13">
        <v>0</v>
      </c>
      <c r="K308" s="13">
        <v>0</v>
      </c>
      <c r="L308" s="12">
        <v>1</v>
      </c>
      <c r="M308" s="12">
        <f t="shared" si="45"/>
        <v>0</v>
      </c>
      <c r="N308" s="13">
        <v>0</v>
      </c>
      <c r="O308" s="13">
        <v>0</v>
      </c>
      <c r="P308" s="13">
        <v>0</v>
      </c>
      <c r="Q308" s="13">
        <v>0</v>
      </c>
      <c r="R308" s="13">
        <v>0</v>
      </c>
      <c r="S308" s="13">
        <v>0</v>
      </c>
      <c r="T308" s="12">
        <v>0</v>
      </c>
      <c r="U308" s="12">
        <v>1</v>
      </c>
      <c r="V308" s="12">
        <v>1</v>
      </c>
      <c r="W308" s="12">
        <v>0</v>
      </c>
      <c r="X308" s="12">
        <v>0</v>
      </c>
      <c r="Y308" s="12">
        <v>0</v>
      </c>
      <c r="Z308" s="79" t="str">
        <f>"提高自身攻击"&amp;ID段划分备注!G50*20&amp;",防御"&amp;ID段划分备注!G50*14&amp;",生命上限"&amp;ID段划分备注!G50*120&amp;"，(弱国可额外增加20%属性),持续10分钟"</f>
        <v>提高自身攻击1000,防御700,生命上限6000，(弱国可额外增加20%属性),持续10分钟</v>
      </c>
    </row>
    <row r="309" spans="1:26" s="12" customFormat="1" ht="15" customHeight="1" x14ac:dyDescent="0.15">
      <c r="A309" s="12">
        <v>951</v>
      </c>
      <c r="B309" s="12" t="s">
        <v>1966</v>
      </c>
      <c r="C309" s="12">
        <f t="shared" si="44"/>
        <v>1</v>
      </c>
      <c r="D309" s="12">
        <v>1</v>
      </c>
      <c r="F309" s="12">
        <v>0</v>
      </c>
      <c r="G309" s="13">
        <v>1</v>
      </c>
      <c r="H309" s="13">
        <v>0</v>
      </c>
      <c r="I309" s="13">
        <v>0</v>
      </c>
      <c r="J309" s="13">
        <v>0</v>
      </c>
      <c r="K309" s="13">
        <v>0</v>
      </c>
      <c r="L309" s="12">
        <v>1</v>
      </c>
      <c r="M309" s="12">
        <f t="shared" si="45"/>
        <v>0</v>
      </c>
      <c r="N309" s="13">
        <v>0</v>
      </c>
      <c r="O309" s="13">
        <v>0</v>
      </c>
      <c r="P309" s="13">
        <v>0</v>
      </c>
      <c r="Q309" s="13">
        <v>0</v>
      </c>
      <c r="R309" s="13">
        <v>0</v>
      </c>
      <c r="S309" s="13">
        <v>0</v>
      </c>
      <c r="T309" s="12">
        <v>0</v>
      </c>
      <c r="U309" s="12">
        <v>1</v>
      </c>
      <c r="V309" s="12">
        <v>1</v>
      </c>
      <c r="W309" s="12">
        <v>0</v>
      </c>
      <c r="X309" s="12">
        <v>0</v>
      </c>
      <c r="Y309" s="12">
        <v>0</v>
      </c>
      <c r="Z309" s="79" t="str">
        <f>"提高自身攻击"&amp;ID段划分备注!G51*20&amp;",防御"&amp;ID段划分备注!G51*14&amp;",生命上限"&amp;ID段划分备注!G51*120&amp;"，(弱国可额外增加20%属性),持续10分钟"</f>
        <v>提高自身攻击1020,防御714,生命上限6120，(弱国可额外增加20%属性),持续10分钟</v>
      </c>
    </row>
    <row r="310" spans="1:26" s="12" customFormat="1" ht="15" customHeight="1" x14ac:dyDescent="0.15">
      <c r="A310" s="12">
        <v>952</v>
      </c>
      <c r="B310" s="12" t="s">
        <v>1967</v>
      </c>
      <c r="C310" s="12">
        <f t="shared" si="44"/>
        <v>1</v>
      </c>
      <c r="D310" s="12">
        <v>1</v>
      </c>
      <c r="F310" s="12">
        <v>0</v>
      </c>
      <c r="G310" s="13">
        <v>1</v>
      </c>
      <c r="H310" s="13">
        <v>0</v>
      </c>
      <c r="I310" s="13">
        <v>0</v>
      </c>
      <c r="J310" s="13">
        <v>0</v>
      </c>
      <c r="K310" s="13">
        <v>0</v>
      </c>
      <c r="L310" s="12">
        <v>1</v>
      </c>
      <c r="M310" s="12">
        <f t="shared" si="45"/>
        <v>0</v>
      </c>
      <c r="N310" s="13">
        <v>0</v>
      </c>
      <c r="O310" s="13">
        <v>0</v>
      </c>
      <c r="P310" s="13">
        <v>0</v>
      </c>
      <c r="Q310" s="13">
        <v>0</v>
      </c>
      <c r="R310" s="13">
        <v>0</v>
      </c>
      <c r="S310" s="13">
        <v>0</v>
      </c>
      <c r="T310" s="12">
        <v>0</v>
      </c>
      <c r="U310" s="12">
        <v>1</v>
      </c>
      <c r="V310" s="12">
        <v>1</v>
      </c>
      <c r="W310" s="12">
        <v>0</v>
      </c>
      <c r="X310" s="12">
        <v>0</v>
      </c>
      <c r="Y310" s="12">
        <v>0</v>
      </c>
      <c r="Z310" s="79" t="str">
        <f>"提高自身攻击"&amp;ID段划分备注!G52*20&amp;",防御"&amp;ID段划分备注!G52*14&amp;",生命上限"&amp;ID段划分备注!G52*120&amp;"，(弱国可额外增加20%属性),持续10分钟"</f>
        <v>提高自身攻击1040,防御728,生命上限6240，(弱国可额外增加20%属性),持续10分钟</v>
      </c>
    </row>
    <row r="311" spans="1:26" s="12" customFormat="1" ht="15" customHeight="1" x14ac:dyDescent="0.15">
      <c r="A311" s="12">
        <v>953</v>
      </c>
      <c r="B311" s="12" t="s">
        <v>1968</v>
      </c>
      <c r="C311" s="12">
        <f t="shared" si="44"/>
        <v>1</v>
      </c>
      <c r="D311" s="12">
        <v>1</v>
      </c>
      <c r="F311" s="12">
        <v>0</v>
      </c>
      <c r="G311" s="13">
        <v>1</v>
      </c>
      <c r="H311" s="13">
        <v>0</v>
      </c>
      <c r="I311" s="13">
        <v>0</v>
      </c>
      <c r="J311" s="13">
        <v>0</v>
      </c>
      <c r="K311" s="13">
        <v>0</v>
      </c>
      <c r="L311" s="12">
        <v>1</v>
      </c>
      <c r="M311" s="12">
        <f t="shared" si="45"/>
        <v>0</v>
      </c>
      <c r="N311" s="13">
        <v>0</v>
      </c>
      <c r="O311" s="13">
        <v>0</v>
      </c>
      <c r="P311" s="13">
        <v>0</v>
      </c>
      <c r="Q311" s="13">
        <v>0</v>
      </c>
      <c r="R311" s="13">
        <v>0</v>
      </c>
      <c r="S311" s="13">
        <v>0</v>
      </c>
      <c r="T311" s="12">
        <v>0</v>
      </c>
      <c r="U311" s="12">
        <v>1</v>
      </c>
      <c r="V311" s="12">
        <v>1</v>
      </c>
      <c r="W311" s="12">
        <v>0</v>
      </c>
      <c r="X311" s="12">
        <v>0</v>
      </c>
      <c r="Y311" s="12">
        <v>0</v>
      </c>
      <c r="Z311" s="79" t="str">
        <f>"提高自身攻击"&amp;ID段划分备注!G53*20&amp;",防御"&amp;ID段划分备注!G53*14&amp;",生命上限"&amp;ID段划分备注!G53*120&amp;"，(弱国可额外增加20%属性),持续10分钟"</f>
        <v>提高自身攻击1060,防御742,生命上限6360，(弱国可额外增加20%属性),持续10分钟</v>
      </c>
    </row>
    <row r="312" spans="1:26" s="12" customFormat="1" ht="15" customHeight="1" x14ac:dyDescent="0.15">
      <c r="A312" s="12">
        <v>954</v>
      </c>
      <c r="B312" s="12" t="s">
        <v>1969</v>
      </c>
      <c r="C312" s="12">
        <f t="shared" si="44"/>
        <v>1</v>
      </c>
      <c r="D312" s="12">
        <v>1</v>
      </c>
      <c r="F312" s="12">
        <v>0</v>
      </c>
      <c r="G312" s="13">
        <v>1</v>
      </c>
      <c r="H312" s="13">
        <v>0</v>
      </c>
      <c r="I312" s="13">
        <v>0</v>
      </c>
      <c r="J312" s="13">
        <v>0</v>
      </c>
      <c r="K312" s="13">
        <v>0</v>
      </c>
      <c r="L312" s="12">
        <v>1</v>
      </c>
      <c r="M312" s="12">
        <f t="shared" si="45"/>
        <v>0</v>
      </c>
      <c r="N312" s="13">
        <v>0</v>
      </c>
      <c r="O312" s="13">
        <v>0</v>
      </c>
      <c r="P312" s="13">
        <v>0</v>
      </c>
      <c r="Q312" s="13">
        <v>0</v>
      </c>
      <c r="R312" s="13">
        <v>0</v>
      </c>
      <c r="S312" s="13">
        <v>0</v>
      </c>
      <c r="T312" s="12">
        <v>0</v>
      </c>
      <c r="U312" s="12">
        <v>1</v>
      </c>
      <c r="V312" s="12">
        <v>1</v>
      </c>
      <c r="W312" s="12">
        <v>0</v>
      </c>
      <c r="X312" s="12">
        <v>0</v>
      </c>
      <c r="Y312" s="12">
        <v>0</v>
      </c>
      <c r="Z312" s="79" t="str">
        <f>"提高自身攻击"&amp;ID段划分备注!G54*20&amp;",防御"&amp;ID段划分备注!G54*14&amp;",生命上限"&amp;ID段划分备注!G54*120&amp;"，(弱国可额外增加20%属性),持续10分钟"</f>
        <v>提高自身攻击1080,防御756,生命上限6480，(弱国可额外增加20%属性),持续10分钟</v>
      </c>
    </row>
    <row r="313" spans="1:26" s="12" customFormat="1" ht="15" customHeight="1" x14ac:dyDescent="0.15">
      <c r="A313" s="12">
        <v>955</v>
      </c>
      <c r="B313" s="12" t="s">
        <v>1970</v>
      </c>
      <c r="C313" s="12">
        <f t="shared" si="44"/>
        <v>1</v>
      </c>
      <c r="D313" s="12">
        <v>1</v>
      </c>
      <c r="F313" s="12">
        <v>0</v>
      </c>
      <c r="G313" s="13">
        <v>1</v>
      </c>
      <c r="H313" s="13">
        <v>0</v>
      </c>
      <c r="I313" s="13">
        <v>0</v>
      </c>
      <c r="J313" s="13">
        <v>0</v>
      </c>
      <c r="K313" s="13">
        <v>0</v>
      </c>
      <c r="L313" s="12">
        <v>1</v>
      </c>
      <c r="M313" s="12">
        <f t="shared" si="45"/>
        <v>0</v>
      </c>
      <c r="N313" s="13">
        <v>0</v>
      </c>
      <c r="O313" s="13">
        <v>0</v>
      </c>
      <c r="P313" s="13">
        <v>0</v>
      </c>
      <c r="Q313" s="13">
        <v>0</v>
      </c>
      <c r="R313" s="13">
        <v>0</v>
      </c>
      <c r="S313" s="13">
        <v>0</v>
      </c>
      <c r="T313" s="12">
        <v>0</v>
      </c>
      <c r="U313" s="12">
        <v>1</v>
      </c>
      <c r="V313" s="12">
        <v>1</v>
      </c>
      <c r="W313" s="12">
        <v>0</v>
      </c>
      <c r="X313" s="12">
        <v>0</v>
      </c>
      <c r="Y313" s="12">
        <v>0</v>
      </c>
      <c r="Z313" s="79" t="str">
        <f>"提高自身攻击"&amp;ID段划分备注!G55*20&amp;",防御"&amp;ID段划分备注!G55*14&amp;",生命上限"&amp;ID段划分备注!G55*120&amp;"，(弱国可额外增加20%属性),持续10分钟"</f>
        <v>提高自身攻击1100,防御770,生命上限6600，(弱国可额外增加20%属性),持续10分钟</v>
      </c>
    </row>
    <row r="314" spans="1:26" s="12" customFormat="1" ht="15" customHeight="1" x14ac:dyDescent="0.15">
      <c r="A314" s="12">
        <v>956</v>
      </c>
      <c r="B314" s="12" t="s">
        <v>1971</v>
      </c>
      <c r="C314" s="12">
        <f t="shared" si="44"/>
        <v>1</v>
      </c>
      <c r="D314" s="12">
        <v>1</v>
      </c>
      <c r="F314" s="12">
        <v>0</v>
      </c>
      <c r="G314" s="13">
        <v>1</v>
      </c>
      <c r="H314" s="13">
        <v>0</v>
      </c>
      <c r="I314" s="13">
        <v>0</v>
      </c>
      <c r="J314" s="13">
        <v>0</v>
      </c>
      <c r="K314" s="13">
        <v>0</v>
      </c>
      <c r="L314" s="12">
        <v>1</v>
      </c>
      <c r="M314" s="12">
        <f t="shared" si="45"/>
        <v>0</v>
      </c>
      <c r="N314" s="13">
        <v>0</v>
      </c>
      <c r="O314" s="13">
        <v>0</v>
      </c>
      <c r="P314" s="13">
        <v>0</v>
      </c>
      <c r="Q314" s="13">
        <v>0</v>
      </c>
      <c r="R314" s="13">
        <v>0</v>
      </c>
      <c r="S314" s="13">
        <v>0</v>
      </c>
      <c r="T314" s="12">
        <v>0</v>
      </c>
      <c r="U314" s="12">
        <v>1</v>
      </c>
      <c r="V314" s="12">
        <v>1</v>
      </c>
      <c r="W314" s="12">
        <v>0</v>
      </c>
      <c r="X314" s="12">
        <v>0</v>
      </c>
      <c r="Y314" s="12">
        <v>0</v>
      </c>
      <c r="Z314" s="79" t="str">
        <f>"提高自身攻击"&amp;ID段划分备注!G56*20&amp;",防御"&amp;ID段划分备注!G56*14&amp;",生命上限"&amp;ID段划分备注!G56*120&amp;"，(弱国可额外增加20%属性),持续10分钟"</f>
        <v>提高自身攻击1120,防御784,生命上限6720，(弱国可额外增加20%属性),持续10分钟</v>
      </c>
    </row>
    <row r="315" spans="1:26" s="12" customFormat="1" ht="15" customHeight="1" x14ac:dyDescent="0.15">
      <c r="A315" s="12">
        <v>957</v>
      </c>
      <c r="B315" s="12" t="s">
        <v>1972</v>
      </c>
      <c r="C315" s="12">
        <f t="shared" si="44"/>
        <v>1</v>
      </c>
      <c r="D315" s="12">
        <v>1</v>
      </c>
      <c r="F315" s="12">
        <v>0</v>
      </c>
      <c r="G315" s="13">
        <v>1</v>
      </c>
      <c r="H315" s="13">
        <v>0</v>
      </c>
      <c r="I315" s="13">
        <v>0</v>
      </c>
      <c r="J315" s="13">
        <v>0</v>
      </c>
      <c r="K315" s="13">
        <v>0</v>
      </c>
      <c r="L315" s="12">
        <v>1</v>
      </c>
      <c r="M315" s="12">
        <f t="shared" si="45"/>
        <v>0</v>
      </c>
      <c r="N315" s="13">
        <v>0</v>
      </c>
      <c r="O315" s="13">
        <v>0</v>
      </c>
      <c r="P315" s="13">
        <v>0</v>
      </c>
      <c r="Q315" s="13">
        <v>0</v>
      </c>
      <c r="R315" s="13">
        <v>0</v>
      </c>
      <c r="S315" s="13">
        <v>0</v>
      </c>
      <c r="T315" s="12">
        <v>0</v>
      </c>
      <c r="U315" s="12">
        <v>1</v>
      </c>
      <c r="V315" s="12">
        <v>1</v>
      </c>
      <c r="W315" s="12">
        <v>0</v>
      </c>
      <c r="X315" s="12">
        <v>0</v>
      </c>
      <c r="Y315" s="12">
        <v>0</v>
      </c>
      <c r="Z315" s="79" t="str">
        <f>"提高自身攻击"&amp;ID段划分备注!G57*20&amp;",防御"&amp;ID段划分备注!G57*14&amp;",生命上限"&amp;ID段划分备注!G57*120&amp;"，(弱国可额外增加20%属性),持续10分钟"</f>
        <v>提高自身攻击1140,防御798,生命上限6840，(弱国可额外增加20%属性),持续10分钟</v>
      </c>
    </row>
    <row r="316" spans="1:26" s="12" customFormat="1" ht="15" customHeight="1" x14ac:dyDescent="0.15">
      <c r="A316" s="12">
        <v>958</v>
      </c>
      <c r="B316" s="12" t="s">
        <v>1973</v>
      </c>
      <c r="C316" s="12">
        <f t="shared" si="44"/>
        <v>1</v>
      </c>
      <c r="D316" s="12">
        <v>1</v>
      </c>
      <c r="F316" s="12">
        <v>0</v>
      </c>
      <c r="G316" s="13">
        <v>1</v>
      </c>
      <c r="H316" s="13">
        <v>0</v>
      </c>
      <c r="I316" s="13">
        <v>0</v>
      </c>
      <c r="J316" s="13">
        <v>0</v>
      </c>
      <c r="K316" s="13">
        <v>0</v>
      </c>
      <c r="L316" s="12">
        <v>1</v>
      </c>
      <c r="M316" s="12">
        <f t="shared" si="45"/>
        <v>0</v>
      </c>
      <c r="N316" s="13">
        <v>0</v>
      </c>
      <c r="O316" s="13">
        <v>0</v>
      </c>
      <c r="P316" s="13">
        <v>0</v>
      </c>
      <c r="Q316" s="13">
        <v>0</v>
      </c>
      <c r="R316" s="13">
        <v>0</v>
      </c>
      <c r="S316" s="13">
        <v>0</v>
      </c>
      <c r="T316" s="12">
        <v>0</v>
      </c>
      <c r="U316" s="12">
        <v>1</v>
      </c>
      <c r="V316" s="12">
        <v>1</v>
      </c>
      <c r="W316" s="12">
        <v>0</v>
      </c>
      <c r="X316" s="12">
        <v>0</v>
      </c>
      <c r="Y316" s="12">
        <v>0</v>
      </c>
      <c r="Z316" s="79" t="str">
        <f>"提高自身攻击"&amp;ID段划分备注!G58*20&amp;",防御"&amp;ID段划分备注!G58*14&amp;",生命上限"&amp;ID段划分备注!G58*120&amp;"，(弱国可额外增加20%属性),持续10分钟"</f>
        <v>提高自身攻击1160,防御812,生命上限6960，(弱国可额外增加20%属性),持续10分钟</v>
      </c>
    </row>
    <row r="317" spans="1:26" s="12" customFormat="1" ht="15" customHeight="1" x14ac:dyDescent="0.15">
      <c r="A317" s="12">
        <v>959</v>
      </c>
      <c r="B317" s="12" t="s">
        <v>1974</v>
      </c>
      <c r="C317" s="12">
        <f t="shared" si="44"/>
        <v>1</v>
      </c>
      <c r="D317" s="12">
        <v>1</v>
      </c>
      <c r="F317" s="12">
        <v>0</v>
      </c>
      <c r="G317" s="13">
        <v>1</v>
      </c>
      <c r="H317" s="13">
        <v>0</v>
      </c>
      <c r="I317" s="13">
        <v>0</v>
      </c>
      <c r="J317" s="13">
        <v>0</v>
      </c>
      <c r="K317" s="13">
        <v>0</v>
      </c>
      <c r="L317" s="12">
        <v>1</v>
      </c>
      <c r="M317" s="12">
        <f t="shared" si="45"/>
        <v>0</v>
      </c>
      <c r="N317" s="13">
        <v>0</v>
      </c>
      <c r="O317" s="13">
        <v>0</v>
      </c>
      <c r="P317" s="13">
        <v>0</v>
      </c>
      <c r="Q317" s="13">
        <v>0</v>
      </c>
      <c r="R317" s="13">
        <v>0</v>
      </c>
      <c r="S317" s="13">
        <v>0</v>
      </c>
      <c r="T317" s="12">
        <v>0</v>
      </c>
      <c r="U317" s="12">
        <v>1</v>
      </c>
      <c r="V317" s="12">
        <v>1</v>
      </c>
      <c r="W317" s="12">
        <v>0</v>
      </c>
      <c r="X317" s="12">
        <v>0</v>
      </c>
      <c r="Y317" s="12">
        <v>0</v>
      </c>
      <c r="Z317" s="79" t="str">
        <f>"提高自身攻击"&amp;ID段划分备注!G59*20&amp;",防御"&amp;ID段划分备注!G59*14&amp;",生命上限"&amp;ID段划分备注!G59*120&amp;"，(弱国可额外增加20%属性),持续10分钟"</f>
        <v>提高自身攻击1180,防御826,生命上限7080，(弱国可额外增加20%属性),持续10分钟</v>
      </c>
    </row>
    <row r="318" spans="1:26" s="12" customFormat="1" ht="15" customHeight="1" x14ac:dyDescent="0.15">
      <c r="A318" s="12">
        <v>960</v>
      </c>
      <c r="B318" s="12" t="s">
        <v>1975</v>
      </c>
      <c r="C318" s="12">
        <f t="shared" si="44"/>
        <v>1</v>
      </c>
      <c r="D318" s="12">
        <v>1</v>
      </c>
      <c r="F318" s="12">
        <v>0</v>
      </c>
      <c r="G318" s="13">
        <v>1</v>
      </c>
      <c r="H318" s="13">
        <v>0</v>
      </c>
      <c r="I318" s="13">
        <v>0</v>
      </c>
      <c r="J318" s="13">
        <v>0</v>
      </c>
      <c r="K318" s="13">
        <v>0</v>
      </c>
      <c r="L318" s="12">
        <v>1</v>
      </c>
      <c r="M318" s="12">
        <f t="shared" si="45"/>
        <v>0</v>
      </c>
      <c r="N318" s="13">
        <v>0</v>
      </c>
      <c r="O318" s="13">
        <v>0</v>
      </c>
      <c r="P318" s="13">
        <v>0</v>
      </c>
      <c r="Q318" s="13">
        <v>0</v>
      </c>
      <c r="R318" s="13">
        <v>0</v>
      </c>
      <c r="S318" s="13">
        <v>0</v>
      </c>
      <c r="T318" s="12">
        <v>0</v>
      </c>
      <c r="U318" s="12">
        <v>1</v>
      </c>
      <c r="V318" s="12">
        <v>1</v>
      </c>
      <c r="W318" s="12">
        <v>0</v>
      </c>
      <c r="X318" s="12">
        <v>0</v>
      </c>
      <c r="Y318" s="12">
        <v>0</v>
      </c>
      <c r="Z318" s="79" t="str">
        <f>"提高自身攻击"&amp;ID段划分备注!G60*20&amp;",防御"&amp;ID段划分备注!G60*14&amp;",生命上限"&amp;ID段划分备注!G60*120&amp;"，(弱国可额外增加20%属性),持续10分钟"</f>
        <v>提高自身攻击1200,防御840,生命上限7200，(弱国可额外增加20%属性),持续10分钟</v>
      </c>
    </row>
    <row r="319" spans="1:26" s="15" customFormat="1" ht="15" customHeight="1" x14ac:dyDescent="0.15">
      <c r="A319" s="15">
        <v>1005</v>
      </c>
      <c r="B319" s="15" t="s">
        <v>141</v>
      </c>
      <c r="C319" s="15">
        <f t="shared" si="18"/>
        <v>5</v>
      </c>
      <c r="D319" s="15">
        <v>1</v>
      </c>
      <c r="F319" s="12">
        <v>0</v>
      </c>
      <c r="G319" s="16">
        <v>1</v>
      </c>
      <c r="H319" s="16">
        <v>0</v>
      </c>
      <c r="I319" s="16">
        <v>1</v>
      </c>
      <c r="J319" s="16">
        <v>0</v>
      </c>
      <c r="K319" s="16">
        <v>0</v>
      </c>
      <c r="L319" s="15">
        <v>1</v>
      </c>
      <c r="M319" s="15">
        <f t="shared" ref="M319:M326" si="46">N319+O319*2+P319*4+Q319*8+R319*16+S319*32</f>
        <v>5</v>
      </c>
      <c r="N319" s="16">
        <v>1</v>
      </c>
      <c r="O319" s="16">
        <v>0</v>
      </c>
      <c r="P319" s="16">
        <v>1</v>
      </c>
      <c r="Q319" s="16">
        <v>0</v>
      </c>
      <c r="R319" s="16">
        <v>0</v>
      </c>
      <c r="S319" s="16">
        <v>0</v>
      </c>
      <c r="T319" s="15">
        <v>0</v>
      </c>
      <c r="U319" s="15">
        <v>0</v>
      </c>
      <c r="V319" s="15">
        <v>1</v>
      </c>
      <c r="W319" s="15">
        <v>0</v>
      </c>
      <c r="X319" s="15">
        <v>0</v>
      </c>
      <c r="Y319" s="15">
        <v>0</v>
      </c>
      <c r="Z319" s="15" t="s">
        <v>962</v>
      </c>
    </row>
    <row r="320" spans="1:26" s="15" customFormat="1" ht="15" customHeight="1" x14ac:dyDescent="0.15">
      <c r="A320" s="15">
        <v>1014</v>
      </c>
      <c r="B320" s="15" t="s">
        <v>142</v>
      </c>
      <c r="C320" s="15">
        <f t="shared" si="18"/>
        <v>5</v>
      </c>
      <c r="D320" s="15">
        <v>1</v>
      </c>
      <c r="F320" s="12">
        <v>0</v>
      </c>
      <c r="G320" s="16">
        <v>1</v>
      </c>
      <c r="H320" s="16">
        <v>0</v>
      </c>
      <c r="I320" s="16">
        <v>1</v>
      </c>
      <c r="J320" s="16">
        <v>0</v>
      </c>
      <c r="K320" s="16">
        <v>0</v>
      </c>
      <c r="L320" s="15">
        <v>1</v>
      </c>
      <c r="M320" s="15">
        <f t="shared" si="46"/>
        <v>5</v>
      </c>
      <c r="N320" s="16">
        <v>1</v>
      </c>
      <c r="O320" s="16">
        <v>0</v>
      </c>
      <c r="P320" s="16">
        <v>1</v>
      </c>
      <c r="Q320" s="16">
        <v>0</v>
      </c>
      <c r="R320" s="16">
        <v>0</v>
      </c>
      <c r="S320" s="16">
        <v>0</v>
      </c>
      <c r="T320" s="15">
        <v>0</v>
      </c>
      <c r="U320" s="15">
        <v>0</v>
      </c>
      <c r="V320" s="15">
        <v>1</v>
      </c>
      <c r="W320" s="15">
        <v>0</v>
      </c>
      <c r="X320" s="15">
        <v>0</v>
      </c>
      <c r="Y320" s="15">
        <v>0</v>
      </c>
      <c r="Z320" s="15" t="s">
        <v>960</v>
      </c>
    </row>
    <row r="321" spans="1:27" s="15" customFormat="1" ht="15" customHeight="1" x14ac:dyDescent="0.15">
      <c r="A321" s="15">
        <v>1015</v>
      </c>
      <c r="B321" s="15" t="s">
        <v>143</v>
      </c>
      <c r="C321" s="15">
        <f t="shared" si="18"/>
        <v>5</v>
      </c>
      <c r="D321" s="15">
        <v>1</v>
      </c>
      <c r="F321" s="12">
        <v>0</v>
      </c>
      <c r="G321" s="16">
        <v>1</v>
      </c>
      <c r="H321" s="16">
        <v>0</v>
      </c>
      <c r="I321" s="16">
        <v>1</v>
      </c>
      <c r="J321" s="16">
        <v>0</v>
      </c>
      <c r="K321" s="16">
        <v>0</v>
      </c>
      <c r="L321" s="15">
        <v>1</v>
      </c>
      <c r="M321" s="15">
        <f t="shared" si="46"/>
        <v>5</v>
      </c>
      <c r="N321" s="16">
        <v>1</v>
      </c>
      <c r="O321" s="16">
        <v>0</v>
      </c>
      <c r="P321" s="16">
        <v>1</v>
      </c>
      <c r="Q321" s="16">
        <v>0</v>
      </c>
      <c r="R321" s="16">
        <v>0</v>
      </c>
      <c r="S321" s="16">
        <v>0</v>
      </c>
      <c r="T321" s="15">
        <v>0</v>
      </c>
      <c r="U321" s="15">
        <v>0</v>
      </c>
      <c r="V321" s="15">
        <v>1</v>
      </c>
      <c r="W321" s="15">
        <v>0</v>
      </c>
      <c r="X321" s="15">
        <v>0</v>
      </c>
      <c r="Y321" s="15">
        <v>0</v>
      </c>
      <c r="Z321" s="15" t="s">
        <v>961</v>
      </c>
    </row>
    <row r="322" spans="1:27" s="15" customFormat="1" ht="15" customHeight="1" x14ac:dyDescent="0.15">
      <c r="A322" s="15">
        <v>1016</v>
      </c>
      <c r="B322" s="15" t="s">
        <v>118</v>
      </c>
      <c r="C322" s="15">
        <f t="shared" si="18"/>
        <v>21</v>
      </c>
      <c r="D322" s="15">
        <v>1</v>
      </c>
      <c r="F322" s="12">
        <v>0</v>
      </c>
      <c r="G322" s="16">
        <v>1</v>
      </c>
      <c r="H322" s="16">
        <v>0</v>
      </c>
      <c r="I322" s="16">
        <v>1</v>
      </c>
      <c r="J322" s="16">
        <v>0</v>
      </c>
      <c r="K322" s="16">
        <v>1</v>
      </c>
      <c r="L322" s="15">
        <v>1</v>
      </c>
      <c r="M322" s="15">
        <f t="shared" si="46"/>
        <v>0</v>
      </c>
      <c r="N322" s="16">
        <v>0</v>
      </c>
      <c r="O322" s="16">
        <v>0</v>
      </c>
      <c r="P322" s="16">
        <v>0</v>
      </c>
      <c r="Q322" s="16">
        <v>0</v>
      </c>
      <c r="R322" s="16">
        <v>0</v>
      </c>
      <c r="S322" s="16">
        <v>0</v>
      </c>
      <c r="T322" s="15">
        <v>0</v>
      </c>
      <c r="U322" s="15">
        <v>0</v>
      </c>
      <c r="V322" s="15">
        <v>1</v>
      </c>
      <c r="W322" s="15">
        <v>0</v>
      </c>
      <c r="X322" s="15">
        <v>0</v>
      </c>
      <c r="Y322" s="15">
        <v>0</v>
      </c>
      <c r="Z322" s="15" t="s">
        <v>120</v>
      </c>
      <c r="AA322" s="15" t="s">
        <v>122</v>
      </c>
    </row>
    <row r="323" spans="1:27" s="15" customFormat="1" ht="14.25" customHeight="1" x14ac:dyDescent="0.15">
      <c r="A323" s="15">
        <v>1017</v>
      </c>
      <c r="B323" s="15" t="s">
        <v>119</v>
      </c>
      <c r="C323" s="15">
        <f t="shared" si="18"/>
        <v>21</v>
      </c>
      <c r="D323" s="15">
        <v>1</v>
      </c>
      <c r="F323" s="12">
        <v>0</v>
      </c>
      <c r="G323" s="16">
        <v>1</v>
      </c>
      <c r="H323" s="16">
        <v>0</v>
      </c>
      <c r="I323" s="16">
        <v>1</v>
      </c>
      <c r="J323" s="16">
        <v>0</v>
      </c>
      <c r="K323" s="16">
        <v>1</v>
      </c>
      <c r="L323" s="15">
        <v>1</v>
      </c>
      <c r="M323" s="15">
        <f t="shared" si="46"/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5">
        <v>0</v>
      </c>
      <c r="U323" s="15">
        <v>0</v>
      </c>
      <c r="V323" s="15">
        <v>1</v>
      </c>
      <c r="W323" s="15">
        <v>0</v>
      </c>
      <c r="X323" s="15">
        <v>0</v>
      </c>
      <c r="Y323" s="15">
        <v>0</v>
      </c>
      <c r="Z323" s="15" t="s">
        <v>121</v>
      </c>
    </row>
    <row r="324" spans="1:27" s="15" customFormat="1" ht="15" customHeight="1" x14ac:dyDescent="0.15">
      <c r="A324" s="15">
        <v>1026</v>
      </c>
      <c r="B324" s="15" t="s">
        <v>140</v>
      </c>
      <c r="C324" s="15">
        <f t="shared" si="18"/>
        <v>20</v>
      </c>
      <c r="D324" s="15">
        <v>1</v>
      </c>
      <c r="F324" s="12">
        <v>0</v>
      </c>
      <c r="G324" s="16">
        <v>0</v>
      </c>
      <c r="H324" s="16">
        <v>0</v>
      </c>
      <c r="I324" s="16">
        <v>1</v>
      </c>
      <c r="J324" s="16">
        <v>0</v>
      </c>
      <c r="K324" s="16">
        <v>1</v>
      </c>
      <c r="L324" s="15">
        <v>0</v>
      </c>
      <c r="M324" s="15">
        <f t="shared" si="46"/>
        <v>0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5">
        <v>0</v>
      </c>
      <c r="U324" s="15">
        <v>0</v>
      </c>
      <c r="V324" s="15">
        <v>0</v>
      </c>
      <c r="W324" s="15">
        <v>0</v>
      </c>
      <c r="X324" s="15">
        <v>1</v>
      </c>
      <c r="Y324" s="15">
        <v>0</v>
      </c>
      <c r="Z324" s="15" t="s">
        <v>527</v>
      </c>
    </row>
    <row r="325" spans="1:27" s="15" customFormat="1" ht="15" customHeight="1" x14ac:dyDescent="0.15">
      <c r="A325" s="15">
        <v>1027</v>
      </c>
      <c r="B325" s="15" t="s">
        <v>446</v>
      </c>
      <c r="C325" s="15">
        <f t="shared" si="18"/>
        <v>20</v>
      </c>
      <c r="D325" s="15">
        <v>1</v>
      </c>
      <c r="F325" s="12">
        <v>0</v>
      </c>
      <c r="G325" s="16">
        <v>0</v>
      </c>
      <c r="H325" s="16">
        <v>0</v>
      </c>
      <c r="I325" s="16">
        <v>1</v>
      </c>
      <c r="J325" s="16">
        <v>0</v>
      </c>
      <c r="K325" s="16">
        <v>1</v>
      </c>
      <c r="L325" s="15">
        <v>0</v>
      </c>
      <c r="M325" s="15">
        <f t="shared" si="46"/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5">
        <v>0</v>
      </c>
      <c r="U325" s="15">
        <v>0</v>
      </c>
      <c r="V325" s="15">
        <v>0</v>
      </c>
      <c r="W325" s="15">
        <v>0</v>
      </c>
      <c r="X325" s="15">
        <v>1</v>
      </c>
      <c r="Y325" s="15">
        <v>0</v>
      </c>
      <c r="Z325" s="15" t="s">
        <v>528</v>
      </c>
    </row>
    <row r="326" spans="1:27" s="15" customFormat="1" ht="15" customHeight="1" x14ac:dyDescent="0.15">
      <c r="A326" s="15">
        <v>1028</v>
      </c>
      <c r="B326" s="15" t="s">
        <v>144</v>
      </c>
      <c r="C326" s="15">
        <f t="shared" si="18"/>
        <v>20</v>
      </c>
      <c r="D326" s="15">
        <v>1</v>
      </c>
      <c r="F326" s="12">
        <v>0</v>
      </c>
      <c r="G326" s="16">
        <v>0</v>
      </c>
      <c r="H326" s="16">
        <v>0</v>
      </c>
      <c r="I326" s="16">
        <v>1</v>
      </c>
      <c r="J326" s="16">
        <v>0</v>
      </c>
      <c r="K326" s="16">
        <v>1</v>
      </c>
      <c r="L326" s="15">
        <v>0</v>
      </c>
      <c r="M326" s="15">
        <f t="shared" si="46"/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5">
        <v>0</v>
      </c>
      <c r="U326" s="15">
        <v>0</v>
      </c>
      <c r="V326" s="15">
        <v>0</v>
      </c>
      <c r="W326" s="15">
        <v>0</v>
      </c>
      <c r="X326" s="15">
        <v>1</v>
      </c>
      <c r="Y326" s="15">
        <v>0</v>
      </c>
      <c r="Z326" s="15" t="s">
        <v>529</v>
      </c>
    </row>
    <row r="327" spans="1:27" s="15" customFormat="1" ht="15" customHeight="1" x14ac:dyDescent="0.15">
      <c r="A327" s="15">
        <v>1029</v>
      </c>
      <c r="B327" s="15" t="s">
        <v>775</v>
      </c>
      <c r="C327" s="15">
        <f t="shared" si="18"/>
        <v>20</v>
      </c>
      <c r="D327" s="15">
        <v>1</v>
      </c>
      <c r="F327" s="12">
        <v>0</v>
      </c>
      <c r="G327" s="16">
        <v>0</v>
      </c>
      <c r="H327" s="16">
        <v>0</v>
      </c>
      <c r="I327" s="16">
        <v>1</v>
      </c>
      <c r="J327" s="16">
        <v>0</v>
      </c>
      <c r="K327" s="16">
        <v>1</v>
      </c>
      <c r="L327" s="15">
        <v>0</v>
      </c>
      <c r="M327" s="15">
        <f t="shared" ref="M327:M353" si="47">N327+O327*2+P327*4+Q327*8+R327*16+S327*32</f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5">
        <v>0</v>
      </c>
      <c r="U327" s="15">
        <v>0</v>
      </c>
      <c r="V327" s="15">
        <v>0</v>
      </c>
      <c r="W327" s="15">
        <v>0</v>
      </c>
      <c r="X327" s="15">
        <v>1</v>
      </c>
      <c r="Y327" s="15">
        <v>0</v>
      </c>
      <c r="Z327" s="33" t="s">
        <v>1180</v>
      </c>
    </row>
    <row r="328" spans="1:27" s="15" customFormat="1" ht="15" customHeight="1" x14ac:dyDescent="0.15">
      <c r="A328" s="15">
        <v>1030</v>
      </c>
      <c r="B328" s="15" t="s">
        <v>776</v>
      </c>
      <c r="C328" s="15">
        <f t="shared" si="18"/>
        <v>20</v>
      </c>
      <c r="D328" s="15">
        <v>1</v>
      </c>
      <c r="F328" s="12">
        <v>0</v>
      </c>
      <c r="G328" s="16">
        <v>0</v>
      </c>
      <c r="H328" s="16">
        <v>0</v>
      </c>
      <c r="I328" s="16">
        <v>1</v>
      </c>
      <c r="J328" s="16">
        <v>0</v>
      </c>
      <c r="K328" s="16">
        <v>1</v>
      </c>
      <c r="L328" s="15">
        <v>0</v>
      </c>
      <c r="M328" s="15">
        <f t="shared" si="47"/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5">
        <v>0</v>
      </c>
      <c r="U328" s="15">
        <v>0</v>
      </c>
      <c r="V328" s="15">
        <v>0</v>
      </c>
      <c r="W328" s="15">
        <v>0</v>
      </c>
      <c r="X328" s="15">
        <v>1</v>
      </c>
      <c r="Y328" s="15">
        <v>0</v>
      </c>
      <c r="Z328" s="33" t="s">
        <v>1181</v>
      </c>
    </row>
    <row r="329" spans="1:27" s="15" customFormat="1" ht="15" customHeight="1" x14ac:dyDescent="0.15">
      <c r="A329" s="15">
        <v>1031</v>
      </c>
      <c r="B329" s="15" t="s">
        <v>777</v>
      </c>
      <c r="C329" s="15">
        <f t="shared" si="18"/>
        <v>20</v>
      </c>
      <c r="D329" s="15">
        <v>1</v>
      </c>
      <c r="F329" s="12">
        <v>0</v>
      </c>
      <c r="G329" s="16">
        <v>0</v>
      </c>
      <c r="H329" s="16">
        <v>0</v>
      </c>
      <c r="I329" s="16">
        <v>1</v>
      </c>
      <c r="J329" s="16">
        <v>0</v>
      </c>
      <c r="K329" s="16">
        <v>1</v>
      </c>
      <c r="L329" s="15">
        <v>0</v>
      </c>
      <c r="M329" s="15">
        <f t="shared" si="47"/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5">
        <v>0</v>
      </c>
      <c r="U329" s="15">
        <v>0</v>
      </c>
      <c r="V329" s="15">
        <v>0</v>
      </c>
      <c r="W329" s="15">
        <v>0</v>
      </c>
      <c r="X329" s="15">
        <v>1</v>
      </c>
      <c r="Y329" s="15">
        <v>0</v>
      </c>
      <c r="Z329" s="33" t="s">
        <v>1182</v>
      </c>
    </row>
    <row r="330" spans="1:27" s="15" customFormat="1" ht="15" customHeight="1" x14ac:dyDescent="0.15">
      <c r="A330" s="15">
        <v>1032</v>
      </c>
      <c r="B330" s="15" t="s">
        <v>778</v>
      </c>
      <c r="C330" s="15">
        <f t="shared" si="18"/>
        <v>20</v>
      </c>
      <c r="D330" s="15">
        <v>1</v>
      </c>
      <c r="F330" s="12">
        <v>0</v>
      </c>
      <c r="G330" s="16">
        <v>0</v>
      </c>
      <c r="H330" s="16">
        <v>0</v>
      </c>
      <c r="I330" s="16">
        <v>1</v>
      </c>
      <c r="J330" s="16">
        <v>0</v>
      </c>
      <c r="K330" s="16">
        <v>1</v>
      </c>
      <c r="L330" s="15">
        <v>0</v>
      </c>
      <c r="M330" s="15">
        <f t="shared" si="47"/>
        <v>0</v>
      </c>
      <c r="N330" s="16">
        <v>0</v>
      </c>
      <c r="O330" s="16">
        <v>0</v>
      </c>
      <c r="P330" s="16">
        <v>0</v>
      </c>
      <c r="Q330" s="16">
        <v>0</v>
      </c>
      <c r="R330" s="16">
        <v>0</v>
      </c>
      <c r="S330" s="16">
        <v>0</v>
      </c>
      <c r="T330" s="15">
        <v>0</v>
      </c>
      <c r="U330" s="15">
        <v>0</v>
      </c>
      <c r="V330" s="15">
        <v>0</v>
      </c>
      <c r="W330" s="15">
        <v>0</v>
      </c>
      <c r="X330" s="15">
        <v>1</v>
      </c>
      <c r="Y330" s="15">
        <v>0</v>
      </c>
      <c r="Z330" s="33" t="s">
        <v>1183</v>
      </c>
    </row>
    <row r="331" spans="1:27" s="15" customFormat="1" ht="15" customHeight="1" x14ac:dyDescent="0.15">
      <c r="A331" s="15">
        <v>1033</v>
      </c>
      <c r="B331" s="15" t="s">
        <v>779</v>
      </c>
      <c r="C331" s="15">
        <f t="shared" si="18"/>
        <v>20</v>
      </c>
      <c r="D331" s="15">
        <v>1</v>
      </c>
      <c r="F331" s="12">
        <v>0</v>
      </c>
      <c r="G331" s="16">
        <v>0</v>
      </c>
      <c r="H331" s="16">
        <v>0</v>
      </c>
      <c r="I331" s="16">
        <v>1</v>
      </c>
      <c r="J331" s="16">
        <v>0</v>
      </c>
      <c r="K331" s="16">
        <v>1</v>
      </c>
      <c r="L331" s="15">
        <v>0</v>
      </c>
      <c r="M331" s="15">
        <f t="shared" si="47"/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5">
        <v>0</v>
      </c>
      <c r="U331" s="15">
        <v>0</v>
      </c>
      <c r="V331" s="15">
        <v>0</v>
      </c>
      <c r="W331" s="15">
        <v>0</v>
      </c>
      <c r="X331" s="15">
        <v>1</v>
      </c>
      <c r="Y331" s="15">
        <v>0</v>
      </c>
      <c r="Z331" s="33" t="s">
        <v>1184</v>
      </c>
    </row>
    <row r="332" spans="1:27" s="15" customFormat="1" ht="15" customHeight="1" x14ac:dyDescent="0.15">
      <c r="A332" s="15">
        <v>1034</v>
      </c>
      <c r="B332" s="15" t="s">
        <v>780</v>
      </c>
      <c r="C332" s="15">
        <f t="shared" si="18"/>
        <v>20</v>
      </c>
      <c r="D332" s="15">
        <v>1</v>
      </c>
      <c r="F332" s="12">
        <v>0</v>
      </c>
      <c r="G332" s="16">
        <v>0</v>
      </c>
      <c r="H332" s="16">
        <v>0</v>
      </c>
      <c r="I332" s="16">
        <v>1</v>
      </c>
      <c r="J332" s="16">
        <v>0</v>
      </c>
      <c r="K332" s="16">
        <v>1</v>
      </c>
      <c r="L332" s="15">
        <v>0</v>
      </c>
      <c r="M332" s="15">
        <f t="shared" si="47"/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5">
        <v>0</v>
      </c>
      <c r="U332" s="15">
        <v>0</v>
      </c>
      <c r="V332" s="15">
        <v>0</v>
      </c>
      <c r="W332" s="15">
        <v>0</v>
      </c>
      <c r="X332" s="15">
        <v>1</v>
      </c>
      <c r="Y332" s="15">
        <v>0</v>
      </c>
      <c r="Z332" s="33" t="s">
        <v>1185</v>
      </c>
    </row>
    <row r="333" spans="1:27" s="15" customFormat="1" ht="15" customHeight="1" x14ac:dyDescent="0.15">
      <c r="A333" s="15">
        <v>1035</v>
      </c>
      <c r="B333" s="15" t="s">
        <v>781</v>
      </c>
      <c r="C333" s="15">
        <f t="shared" si="18"/>
        <v>20</v>
      </c>
      <c r="D333" s="15">
        <v>1</v>
      </c>
      <c r="F333" s="12">
        <v>0</v>
      </c>
      <c r="G333" s="16">
        <v>0</v>
      </c>
      <c r="H333" s="16">
        <v>0</v>
      </c>
      <c r="I333" s="16">
        <v>1</v>
      </c>
      <c r="J333" s="16">
        <v>0</v>
      </c>
      <c r="K333" s="16">
        <v>1</v>
      </c>
      <c r="L333" s="15">
        <v>0</v>
      </c>
      <c r="M333" s="15">
        <f t="shared" si="47"/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5">
        <v>0</v>
      </c>
      <c r="U333" s="15">
        <v>0</v>
      </c>
      <c r="V333" s="15">
        <v>0</v>
      </c>
      <c r="W333" s="15">
        <v>0</v>
      </c>
      <c r="X333" s="15">
        <v>1</v>
      </c>
      <c r="Y333" s="15">
        <v>0</v>
      </c>
      <c r="Z333" s="33" t="s">
        <v>1186</v>
      </c>
    </row>
    <row r="334" spans="1:27" s="15" customFormat="1" ht="15" customHeight="1" x14ac:dyDescent="0.15">
      <c r="A334" s="15">
        <v>1036</v>
      </c>
      <c r="B334" s="15" t="s">
        <v>782</v>
      </c>
      <c r="C334" s="15">
        <f t="shared" si="18"/>
        <v>20</v>
      </c>
      <c r="D334" s="15">
        <v>1</v>
      </c>
      <c r="F334" s="12">
        <v>0</v>
      </c>
      <c r="G334" s="16">
        <v>0</v>
      </c>
      <c r="H334" s="16">
        <v>0</v>
      </c>
      <c r="I334" s="16">
        <v>1</v>
      </c>
      <c r="J334" s="16">
        <v>0</v>
      </c>
      <c r="K334" s="16">
        <v>1</v>
      </c>
      <c r="L334" s="15">
        <v>0</v>
      </c>
      <c r="M334" s="15">
        <f t="shared" si="47"/>
        <v>0</v>
      </c>
      <c r="N334" s="16">
        <v>0</v>
      </c>
      <c r="O334" s="16">
        <v>0</v>
      </c>
      <c r="P334" s="16">
        <v>0</v>
      </c>
      <c r="Q334" s="16">
        <v>0</v>
      </c>
      <c r="R334" s="16">
        <v>0</v>
      </c>
      <c r="S334" s="16">
        <v>0</v>
      </c>
      <c r="T334" s="15">
        <v>0</v>
      </c>
      <c r="U334" s="15">
        <v>0</v>
      </c>
      <c r="V334" s="15">
        <v>0</v>
      </c>
      <c r="W334" s="15">
        <v>0</v>
      </c>
      <c r="X334" s="15">
        <v>1</v>
      </c>
      <c r="Y334" s="15">
        <v>0</v>
      </c>
      <c r="Z334" s="33" t="s">
        <v>1187</v>
      </c>
    </row>
    <row r="335" spans="1:27" s="15" customFormat="1" ht="15" customHeight="1" x14ac:dyDescent="0.15">
      <c r="A335" s="15">
        <v>1037</v>
      </c>
      <c r="B335" s="15" t="s">
        <v>783</v>
      </c>
      <c r="C335" s="15">
        <f t="shared" si="18"/>
        <v>20</v>
      </c>
      <c r="D335" s="15">
        <v>1</v>
      </c>
      <c r="F335" s="12">
        <v>0</v>
      </c>
      <c r="G335" s="16">
        <v>0</v>
      </c>
      <c r="H335" s="16">
        <v>0</v>
      </c>
      <c r="I335" s="16">
        <v>1</v>
      </c>
      <c r="J335" s="16">
        <v>0</v>
      </c>
      <c r="K335" s="16">
        <v>1</v>
      </c>
      <c r="L335" s="15">
        <v>0</v>
      </c>
      <c r="M335" s="15">
        <f t="shared" si="47"/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5">
        <v>0</v>
      </c>
      <c r="U335" s="15">
        <v>0</v>
      </c>
      <c r="V335" s="15">
        <v>0</v>
      </c>
      <c r="W335" s="15">
        <v>0</v>
      </c>
      <c r="X335" s="15">
        <v>1</v>
      </c>
      <c r="Y335" s="15">
        <v>0</v>
      </c>
      <c r="Z335" s="33" t="s">
        <v>1188</v>
      </c>
    </row>
    <row r="336" spans="1:27" s="15" customFormat="1" ht="15" customHeight="1" x14ac:dyDescent="0.15">
      <c r="A336" s="15">
        <v>1038</v>
      </c>
      <c r="B336" s="15" t="s">
        <v>784</v>
      </c>
      <c r="C336" s="15">
        <f t="shared" si="18"/>
        <v>20</v>
      </c>
      <c r="D336" s="15">
        <v>1</v>
      </c>
      <c r="F336" s="12">
        <v>0</v>
      </c>
      <c r="G336" s="16">
        <v>0</v>
      </c>
      <c r="H336" s="16">
        <v>0</v>
      </c>
      <c r="I336" s="16">
        <v>1</v>
      </c>
      <c r="J336" s="16">
        <v>0</v>
      </c>
      <c r="K336" s="16">
        <v>1</v>
      </c>
      <c r="L336" s="15">
        <v>0</v>
      </c>
      <c r="M336" s="15">
        <f t="shared" si="47"/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5">
        <v>0</v>
      </c>
      <c r="U336" s="15">
        <v>0</v>
      </c>
      <c r="V336" s="15">
        <v>0</v>
      </c>
      <c r="W336" s="15">
        <v>0</v>
      </c>
      <c r="X336" s="15">
        <v>1</v>
      </c>
      <c r="Y336" s="15">
        <v>0</v>
      </c>
      <c r="Z336" s="33" t="s">
        <v>1189</v>
      </c>
    </row>
    <row r="337" spans="1:26" s="15" customFormat="1" ht="15" customHeight="1" x14ac:dyDescent="0.15">
      <c r="A337" s="15">
        <v>1039</v>
      </c>
      <c r="B337" s="15" t="s">
        <v>785</v>
      </c>
      <c r="C337" s="15">
        <f t="shared" si="18"/>
        <v>20</v>
      </c>
      <c r="D337" s="15">
        <v>1</v>
      </c>
      <c r="F337" s="12">
        <v>0</v>
      </c>
      <c r="G337" s="16">
        <v>0</v>
      </c>
      <c r="H337" s="16">
        <v>0</v>
      </c>
      <c r="I337" s="16">
        <v>1</v>
      </c>
      <c r="J337" s="16">
        <v>0</v>
      </c>
      <c r="K337" s="16">
        <v>1</v>
      </c>
      <c r="L337" s="15">
        <v>0</v>
      </c>
      <c r="M337" s="15">
        <f t="shared" si="47"/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5">
        <v>0</v>
      </c>
      <c r="U337" s="15">
        <v>0</v>
      </c>
      <c r="V337" s="15">
        <v>0</v>
      </c>
      <c r="W337" s="15">
        <v>0</v>
      </c>
      <c r="X337" s="15">
        <v>1</v>
      </c>
      <c r="Y337" s="15">
        <v>0</v>
      </c>
      <c r="Z337" s="33" t="s">
        <v>1190</v>
      </c>
    </row>
    <row r="338" spans="1:26" s="15" customFormat="1" ht="15" customHeight="1" x14ac:dyDescent="0.15">
      <c r="A338" s="15">
        <v>1040</v>
      </c>
      <c r="B338" s="15" t="s">
        <v>786</v>
      </c>
      <c r="C338" s="15">
        <f t="shared" si="18"/>
        <v>20</v>
      </c>
      <c r="D338" s="15">
        <v>1</v>
      </c>
      <c r="F338" s="12">
        <v>0</v>
      </c>
      <c r="G338" s="16">
        <v>0</v>
      </c>
      <c r="H338" s="16">
        <v>0</v>
      </c>
      <c r="I338" s="16">
        <v>1</v>
      </c>
      <c r="J338" s="16">
        <v>0</v>
      </c>
      <c r="K338" s="16">
        <v>1</v>
      </c>
      <c r="L338" s="15">
        <v>0</v>
      </c>
      <c r="M338" s="15">
        <f t="shared" si="47"/>
        <v>0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5">
        <v>0</v>
      </c>
      <c r="U338" s="15">
        <v>0</v>
      </c>
      <c r="V338" s="15">
        <v>0</v>
      </c>
      <c r="W338" s="15">
        <v>0</v>
      </c>
      <c r="X338" s="15">
        <v>1</v>
      </c>
      <c r="Y338" s="15">
        <v>0</v>
      </c>
      <c r="Z338" s="33" t="s">
        <v>1191</v>
      </c>
    </row>
    <row r="339" spans="1:26" s="15" customFormat="1" ht="15" customHeight="1" x14ac:dyDescent="0.15">
      <c r="A339" s="15">
        <v>1041</v>
      </c>
      <c r="B339" s="15" t="s">
        <v>787</v>
      </c>
      <c r="C339" s="15">
        <f t="shared" si="18"/>
        <v>20</v>
      </c>
      <c r="D339" s="15">
        <v>1</v>
      </c>
      <c r="F339" s="12">
        <v>0</v>
      </c>
      <c r="G339" s="16">
        <v>0</v>
      </c>
      <c r="H339" s="16">
        <v>0</v>
      </c>
      <c r="I339" s="16">
        <v>1</v>
      </c>
      <c r="J339" s="16">
        <v>0</v>
      </c>
      <c r="K339" s="16">
        <v>1</v>
      </c>
      <c r="L339" s="15">
        <v>0</v>
      </c>
      <c r="M339" s="15">
        <f t="shared" si="47"/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5">
        <v>0</v>
      </c>
      <c r="U339" s="15">
        <v>0</v>
      </c>
      <c r="V339" s="15">
        <v>0</v>
      </c>
      <c r="W339" s="15">
        <v>0</v>
      </c>
      <c r="X339" s="15">
        <v>1</v>
      </c>
      <c r="Y339" s="15">
        <v>0</v>
      </c>
      <c r="Z339" s="33" t="s">
        <v>1192</v>
      </c>
    </row>
    <row r="340" spans="1:26" s="15" customFormat="1" ht="15" customHeight="1" x14ac:dyDescent="0.15">
      <c r="A340" s="15">
        <v>1042</v>
      </c>
      <c r="B340" s="15" t="s">
        <v>788</v>
      </c>
      <c r="C340" s="15">
        <f t="shared" si="18"/>
        <v>20</v>
      </c>
      <c r="D340" s="15">
        <v>1</v>
      </c>
      <c r="F340" s="12">
        <v>0</v>
      </c>
      <c r="G340" s="16">
        <v>0</v>
      </c>
      <c r="H340" s="16">
        <v>0</v>
      </c>
      <c r="I340" s="16">
        <v>1</v>
      </c>
      <c r="J340" s="16">
        <v>0</v>
      </c>
      <c r="K340" s="16">
        <v>1</v>
      </c>
      <c r="L340" s="15">
        <v>0</v>
      </c>
      <c r="M340" s="15">
        <f t="shared" si="47"/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5">
        <v>0</v>
      </c>
      <c r="U340" s="15">
        <v>0</v>
      </c>
      <c r="V340" s="15">
        <v>0</v>
      </c>
      <c r="W340" s="15">
        <v>0</v>
      </c>
      <c r="X340" s="15">
        <v>1</v>
      </c>
      <c r="Y340" s="15">
        <v>0</v>
      </c>
      <c r="Z340" s="33" t="s">
        <v>1193</v>
      </c>
    </row>
    <row r="341" spans="1:26" s="15" customFormat="1" ht="15" customHeight="1" x14ac:dyDescent="0.15">
      <c r="A341" s="15">
        <v>1043</v>
      </c>
      <c r="B341" s="15" t="s">
        <v>789</v>
      </c>
      <c r="C341" s="15">
        <f t="shared" si="18"/>
        <v>20</v>
      </c>
      <c r="D341" s="15">
        <v>1</v>
      </c>
      <c r="F341" s="12">
        <v>0</v>
      </c>
      <c r="G341" s="16">
        <v>0</v>
      </c>
      <c r="H341" s="16">
        <v>0</v>
      </c>
      <c r="I341" s="16">
        <v>1</v>
      </c>
      <c r="J341" s="16">
        <v>0</v>
      </c>
      <c r="K341" s="16">
        <v>1</v>
      </c>
      <c r="L341" s="15">
        <v>0</v>
      </c>
      <c r="M341" s="15">
        <f t="shared" si="47"/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5">
        <v>0</v>
      </c>
      <c r="U341" s="15">
        <v>0</v>
      </c>
      <c r="V341" s="15">
        <v>0</v>
      </c>
      <c r="W341" s="15">
        <v>0</v>
      </c>
      <c r="X341" s="15">
        <v>1</v>
      </c>
      <c r="Y341" s="15">
        <v>0</v>
      </c>
      <c r="Z341" s="33" t="s">
        <v>1194</v>
      </c>
    </row>
    <row r="342" spans="1:26" s="15" customFormat="1" ht="15" customHeight="1" x14ac:dyDescent="0.15">
      <c r="A342" s="15">
        <v>1044</v>
      </c>
      <c r="B342" s="15" t="s">
        <v>790</v>
      </c>
      <c r="C342" s="15">
        <f t="shared" si="18"/>
        <v>20</v>
      </c>
      <c r="D342" s="15">
        <v>1</v>
      </c>
      <c r="F342" s="12">
        <v>0</v>
      </c>
      <c r="G342" s="16">
        <v>0</v>
      </c>
      <c r="H342" s="16">
        <v>0</v>
      </c>
      <c r="I342" s="16">
        <v>1</v>
      </c>
      <c r="J342" s="16">
        <v>0</v>
      </c>
      <c r="K342" s="16">
        <v>1</v>
      </c>
      <c r="L342" s="15">
        <v>0</v>
      </c>
      <c r="M342" s="15">
        <f t="shared" si="47"/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5">
        <v>0</v>
      </c>
      <c r="U342" s="15">
        <v>0</v>
      </c>
      <c r="V342" s="15">
        <v>0</v>
      </c>
      <c r="W342" s="15">
        <v>0</v>
      </c>
      <c r="X342" s="15">
        <v>1</v>
      </c>
      <c r="Y342" s="15">
        <v>0</v>
      </c>
      <c r="Z342" s="33" t="s">
        <v>1110</v>
      </c>
    </row>
    <row r="343" spans="1:26" s="15" customFormat="1" ht="15" customHeight="1" x14ac:dyDescent="0.15">
      <c r="A343" s="15">
        <v>1045</v>
      </c>
      <c r="B343" s="15" t="s">
        <v>791</v>
      </c>
      <c r="C343" s="15">
        <f t="shared" si="18"/>
        <v>20</v>
      </c>
      <c r="D343" s="15">
        <v>1</v>
      </c>
      <c r="F343" s="12">
        <v>0</v>
      </c>
      <c r="G343" s="16">
        <v>0</v>
      </c>
      <c r="H343" s="16">
        <v>0</v>
      </c>
      <c r="I343" s="16">
        <v>1</v>
      </c>
      <c r="J343" s="16">
        <v>0</v>
      </c>
      <c r="K343" s="16">
        <v>1</v>
      </c>
      <c r="L343" s="15">
        <v>0</v>
      </c>
      <c r="M343" s="15">
        <f t="shared" si="47"/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5">
        <v>0</v>
      </c>
      <c r="U343" s="15">
        <v>0</v>
      </c>
      <c r="V343" s="15">
        <v>0</v>
      </c>
      <c r="W343" s="15">
        <v>0</v>
      </c>
      <c r="X343" s="15">
        <v>1</v>
      </c>
      <c r="Y343" s="15">
        <v>0</v>
      </c>
      <c r="Z343" s="33" t="s">
        <v>1111</v>
      </c>
    </row>
    <row r="344" spans="1:26" s="15" customFormat="1" ht="15" customHeight="1" x14ac:dyDescent="0.15">
      <c r="A344" s="15">
        <v>1046</v>
      </c>
      <c r="B344" s="15" t="s">
        <v>792</v>
      </c>
      <c r="C344" s="15">
        <f t="shared" si="18"/>
        <v>20</v>
      </c>
      <c r="D344" s="15">
        <v>1</v>
      </c>
      <c r="F344" s="12">
        <v>0</v>
      </c>
      <c r="G344" s="16">
        <v>0</v>
      </c>
      <c r="H344" s="16">
        <v>0</v>
      </c>
      <c r="I344" s="16">
        <v>1</v>
      </c>
      <c r="J344" s="16">
        <v>0</v>
      </c>
      <c r="K344" s="16">
        <v>1</v>
      </c>
      <c r="L344" s="15">
        <v>0</v>
      </c>
      <c r="M344" s="15">
        <f t="shared" si="47"/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5">
        <v>0</v>
      </c>
      <c r="U344" s="15">
        <v>0</v>
      </c>
      <c r="V344" s="15">
        <v>0</v>
      </c>
      <c r="W344" s="15">
        <v>0</v>
      </c>
      <c r="X344" s="15">
        <v>1</v>
      </c>
      <c r="Y344" s="15">
        <v>0</v>
      </c>
      <c r="Z344" s="33" t="s">
        <v>1112</v>
      </c>
    </row>
    <row r="345" spans="1:26" s="15" customFormat="1" ht="15" customHeight="1" x14ac:dyDescent="0.15">
      <c r="A345" s="15">
        <v>1047</v>
      </c>
      <c r="B345" s="15" t="s">
        <v>793</v>
      </c>
      <c r="C345" s="15">
        <f t="shared" si="18"/>
        <v>20</v>
      </c>
      <c r="D345" s="15">
        <v>1</v>
      </c>
      <c r="F345" s="12">
        <v>0</v>
      </c>
      <c r="G345" s="16">
        <v>0</v>
      </c>
      <c r="H345" s="16">
        <v>0</v>
      </c>
      <c r="I345" s="16">
        <v>1</v>
      </c>
      <c r="J345" s="16">
        <v>0</v>
      </c>
      <c r="K345" s="16">
        <v>1</v>
      </c>
      <c r="L345" s="15">
        <v>0</v>
      </c>
      <c r="M345" s="15">
        <f t="shared" si="47"/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5">
        <v>0</v>
      </c>
      <c r="U345" s="15">
        <v>0</v>
      </c>
      <c r="V345" s="15">
        <v>0</v>
      </c>
      <c r="W345" s="15">
        <v>0</v>
      </c>
      <c r="X345" s="15">
        <v>1</v>
      </c>
      <c r="Y345" s="15">
        <v>0</v>
      </c>
      <c r="Z345" s="33" t="s">
        <v>1113</v>
      </c>
    </row>
    <row r="346" spans="1:26" s="15" customFormat="1" ht="15" customHeight="1" x14ac:dyDescent="0.15">
      <c r="A346" s="15">
        <v>1048</v>
      </c>
      <c r="B346" s="15" t="s">
        <v>794</v>
      </c>
      <c r="C346" s="15">
        <f t="shared" si="18"/>
        <v>20</v>
      </c>
      <c r="D346" s="15">
        <v>1</v>
      </c>
      <c r="F346" s="12">
        <v>0</v>
      </c>
      <c r="G346" s="16">
        <v>0</v>
      </c>
      <c r="H346" s="16">
        <v>0</v>
      </c>
      <c r="I346" s="16">
        <v>1</v>
      </c>
      <c r="J346" s="16">
        <v>0</v>
      </c>
      <c r="K346" s="16">
        <v>1</v>
      </c>
      <c r="L346" s="15">
        <v>0</v>
      </c>
      <c r="M346" s="15">
        <f t="shared" si="47"/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5">
        <v>0</v>
      </c>
      <c r="U346" s="15">
        <v>0</v>
      </c>
      <c r="V346" s="15">
        <v>0</v>
      </c>
      <c r="W346" s="15">
        <v>0</v>
      </c>
      <c r="X346" s="15">
        <v>1</v>
      </c>
      <c r="Y346" s="15">
        <v>0</v>
      </c>
      <c r="Z346" s="33" t="s">
        <v>1114</v>
      </c>
    </row>
    <row r="347" spans="1:26" s="15" customFormat="1" ht="15" customHeight="1" x14ac:dyDescent="0.15">
      <c r="A347" s="15">
        <v>1049</v>
      </c>
      <c r="B347" s="15" t="s">
        <v>795</v>
      </c>
      <c r="C347" s="15">
        <f t="shared" si="18"/>
        <v>20</v>
      </c>
      <c r="D347" s="15">
        <v>1</v>
      </c>
      <c r="F347" s="12">
        <v>0</v>
      </c>
      <c r="G347" s="16">
        <v>0</v>
      </c>
      <c r="H347" s="16">
        <v>0</v>
      </c>
      <c r="I347" s="16">
        <v>1</v>
      </c>
      <c r="J347" s="16">
        <v>0</v>
      </c>
      <c r="K347" s="16">
        <v>1</v>
      </c>
      <c r="L347" s="15">
        <v>0</v>
      </c>
      <c r="M347" s="15">
        <f t="shared" si="47"/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5">
        <v>0</v>
      </c>
      <c r="U347" s="15">
        <v>0</v>
      </c>
      <c r="V347" s="15">
        <v>0</v>
      </c>
      <c r="W347" s="15">
        <v>0</v>
      </c>
      <c r="X347" s="15">
        <v>1</v>
      </c>
      <c r="Y347" s="15">
        <v>0</v>
      </c>
      <c r="Z347" s="33" t="s">
        <v>1115</v>
      </c>
    </row>
    <row r="348" spans="1:26" s="15" customFormat="1" ht="15" customHeight="1" x14ac:dyDescent="0.15">
      <c r="A348" s="15">
        <v>1050</v>
      </c>
      <c r="B348" s="15" t="s">
        <v>796</v>
      </c>
      <c r="C348" s="15">
        <f t="shared" si="18"/>
        <v>20</v>
      </c>
      <c r="D348" s="15">
        <v>1</v>
      </c>
      <c r="F348" s="12">
        <v>0</v>
      </c>
      <c r="G348" s="16">
        <v>0</v>
      </c>
      <c r="H348" s="16">
        <v>0</v>
      </c>
      <c r="I348" s="16">
        <v>1</v>
      </c>
      <c r="J348" s="16">
        <v>0</v>
      </c>
      <c r="K348" s="16">
        <v>1</v>
      </c>
      <c r="L348" s="15">
        <v>0</v>
      </c>
      <c r="M348" s="15">
        <f t="shared" si="47"/>
        <v>0</v>
      </c>
      <c r="N348" s="16">
        <v>0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5">
        <v>0</v>
      </c>
      <c r="U348" s="15">
        <v>0</v>
      </c>
      <c r="V348" s="15">
        <v>0</v>
      </c>
      <c r="W348" s="15">
        <v>0</v>
      </c>
      <c r="X348" s="15">
        <v>1</v>
      </c>
      <c r="Y348" s="15">
        <v>0</v>
      </c>
      <c r="Z348" s="33" t="s">
        <v>1116</v>
      </c>
    </row>
    <row r="349" spans="1:26" s="15" customFormat="1" ht="15" customHeight="1" x14ac:dyDescent="0.15">
      <c r="A349" s="15">
        <v>1051</v>
      </c>
      <c r="B349" s="15" t="s">
        <v>797</v>
      </c>
      <c r="C349" s="15">
        <f t="shared" si="18"/>
        <v>20</v>
      </c>
      <c r="D349" s="15">
        <v>1</v>
      </c>
      <c r="F349" s="12">
        <v>0</v>
      </c>
      <c r="G349" s="16">
        <v>0</v>
      </c>
      <c r="H349" s="16">
        <v>0</v>
      </c>
      <c r="I349" s="16">
        <v>1</v>
      </c>
      <c r="J349" s="16">
        <v>0</v>
      </c>
      <c r="K349" s="16">
        <v>1</v>
      </c>
      <c r="L349" s="15">
        <v>0</v>
      </c>
      <c r="M349" s="15">
        <f t="shared" si="47"/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5">
        <v>0</v>
      </c>
      <c r="U349" s="15">
        <v>0</v>
      </c>
      <c r="V349" s="15">
        <v>0</v>
      </c>
      <c r="W349" s="15">
        <v>0</v>
      </c>
      <c r="X349" s="15">
        <v>1</v>
      </c>
      <c r="Y349" s="15">
        <v>0</v>
      </c>
      <c r="Z349" s="33" t="s">
        <v>1117</v>
      </c>
    </row>
    <row r="350" spans="1:26" s="15" customFormat="1" ht="15" customHeight="1" x14ac:dyDescent="0.15">
      <c r="A350" s="15">
        <v>1052</v>
      </c>
      <c r="B350" s="15" t="s">
        <v>798</v>
      </c>
      <c r="C350" s="15">
        <f t="shared" si="18"/>
        <v>20</v>
      </c>
      <c r="D350" s="15">
        <v>1</v>
      </c>
      <c r="F350" s="12">
        <v>0</v>
      </c>
      <c r="G350" s="16">
        <v>0</v>
      </c>
      <c r="H350" s="16">
        <v>0</v>
      </c>
      <c r="I350" s="16">
        <v>1</v>
      </c>
      <c r="J350" s="16">
        <v>0</v>
      </c>
      <c r="K350" s="16">
        <v>1</v>
      </c>
      <c r="L350" s="15">
        <v>0</v>
      </c>
      <c r="M350" s="15">
        <f t="shared" si="47"/>
        <v>0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5">
        <v>0</v>
      </c>
      <c r="U350" s="15">
        <v>0</v>
      </c>
      <c r="V350" s="15">
        <v>0</v>
      </c>
      <c r="W350" s="15">
        <v>0</v>
      </c>
      <c r="X350" s="15">
        <v>1</v>
      </c>
      <c r="Y350" s="15">
        <v>0</v>
      </c>
      <c r="Z350" s="33" t="s">
        <v>1118</v>
      </c>
    </row>
    <row r="351" spans="1:26" s="15" customFormat="1" ht="15" customHeight="1" x14ac:dyDescent="0.15">
      <c r="A351" s="15">
        <v>1053</v>
      </c>
      <c r="B351" s="15" t="s">
        <v>799</v>
      </c>
      <c r="C351" s="15">
        <f t="shared" si="18"/>
        <v>20</v>
      </c>
      <c r="D351" s="15">
        <v>1</v>
      </c>
      <c r="F351" s="12">
        <v>0</v>
      </c>
      <c r="G351" s="16">
        <v>0</v>
      </c>
      <c r="H351" s="16">
        <v>0</v>
      </c>
      <c r="I351" s="16">
        <v>1</v>
      </c>
      <c r="J351" s="16">
        <v>0</v>
      </c>
      <c r="K351" s="16">
        <v>1</v>
      </c>
      <c r="L351" s="15">
        <v>0</v>
      </c>
      <c r="M351" s="15">
        <f t="shared" si="47"/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5">
        <v>0</v>
      </c>
      <c r="U351" s="15">
        <v>0</v>
      </c>
      <c r="V351" s="15">
        <v>0</v>
      </c>
      <c r="W351" s="15">
        <v>0</v>
      </c>
      <c r="X351" s="15">
        <v>1</v>
      </c>
      <c r="Y351" s="15">
        <v>0</v>
      </c>
      <c r="Z351" s="33" t="s">
        <v>1369</v>
      </c>
    </row>
    <row r="352" spans="1:26" s="15" customFormat="1" ht="15" customHeight="1" x14ac:dyDescent="0.15">
      <c r="A352" s="15">
        <v>1054</v>
      </c>
      <c r="B352" s="15" t="s">
        <v>800</v>
      </c>
      <c r="C352" s="15">
        <f t="shared" si="18"/>
        <v>20</v>
      </c>
      <c r="D352" s="15">
        <v>1</v>
      </c>
      <c r="F352" s="12">
        <v>0</v>
      </c>
      <c r="G352" s="16">
        <v>0</v>
      </c>
      <c r="H352" s="16">
        <v>0</v>
      </c>
      <c r="I352" s="16">
        <v>1</v>
      </c>
      <c r="J352" s="16">
        <v>0</v>
      </c>
      <c r="K352" s="16">
        <v>1</v>
      </c>
      <c r="L352" s="15">
        <v>0</v>
      </c>
      <c r="M352" s="15">
        <f t="shared" si="47"/>
        <v>0</v>
      </c>
      <c r="N352" s="16">
        <v>0</v>
      </c>
      <c r="O352" s="16">
        <v>0</v>
      </c>
      <c r="P352" s="16">
        <v>0</v>
      </c>
      <c r="Q352" s="16">
        <v>0</v>
      </c>
      <c r="R352" s="16">
        <v>0</v>
      </c>
      <c r="S352" s="16">
        <v>0</v>
      </c>
      <c r="T352" s="15">
        <v>0</v>
      </c>
      <c r="U352" s="15">
        <v>0</v>
      </c>
      <c r="V352" s="15">
        <v>0</v>
      </c>
      <c r="W352" s="15">
        <v>0</v>
      </c>
      <c r="X352" s="15">
        <v>1</v>
      </c>
      <c r="Y352" s="15">
        <v>0</v>
      </c>
      <c r="Z352" s="33" t="s">
        <v>1370</v>
      </c>
    </row>
    <row r="353" spans="1:26" s="15" customFormat="1" ht="15" customHeight="1" x14ac:dyDescent="0.15">
      <c r="A353" s="15">
        <v>1055</v>
      </c>
      <c r="B353" s="15" t="s">
        <v>801</v>
      </c>
      <c r="C353" s="15">
        <f t="shared" si="18"/>
        <v>20</v>
      </c>
      <c r="D353" s="15">
        <v>1</v>
      </c>
      <c r="F353" s="12">
        <v>0</v>
      </c>
      <c r="G353" s="16">
        <v>0</v>
      </c>
      <c r="H353" s="16">
        <v>0</v>
      </c>
      <c r="I353" s="16">
        <v>1</v>
      </c>
      <c r="J353" s="16">
        <v>0</v>
      </c>
      <c r="K353" s="16">
        <v>1</v>
      </c>
      <c r="L353" s="15">
        <v>0</v>
      </c>
      <c r="M353" s="15">
        <f t="shared" si="47"/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5">
        <v>0</v>
      </c>
      <c r="U353" s="15">
        <v>0</v>
      </c>
      <c r="V353" s="15">
        <v>0</v>
      </c>
      <c r="W353" s="15">
        <v>0</v>
      </c>
      <c r="X353" s="15">
        <v>1</v>
      </c>
      <c r="Y353" s="15">
        <v>0</v>
      </c>
      <c r="Z353" s="33" t="s">
        <v>1371</v>
      </c>
    </row>
    <row r="354" spans="1:26" s="15" customFormat="1" ht="15" customHeight="1" x14ac:dyDescent="0.15">
      <c r="A354" s="15">
        <v>1056</v>
      </c>
      <c r="B354" s="15" t="s">
        <v>802</v>
      </c>
      <c r="C354" s="15">
        <f t="shared" si="18"/>
        <v>20</v>
      </c>
      <c r="D354" s="15">
        <v>1</v>
      </c>
      <c r="F354" s="12">
        <v>0</v>
      </c>
      <c r="G354" s="16">
        <v>0</v>
      </c>
      <c r="H354" s="16">
        <v>0</v>
      </c>
      <c r="I354" s="16">
        <v>1</v>
      </c>
      <c r="J354" s="16">
        <v>0</v>
      </c>
      <c r="K354" s="16">
        <v>1</v>
      </c>
      <c r="L354" s="15">
        <v>0</v>
      </c>
      <c r="M354" s="15">
        <f t="shared" ref="M354:M362" si="48">N354+O354*2+P354*4+Q354*8+R354*16+S354*32</f>
        <v>0</v>
      </c>
      <c r="N354" s="16">
        <v>0</v>
      </c>
      <c r="O354" s="16">
        <v>0</v>
      </c>
      <c r="P354" s="16">
        <v>0</v>
      </c>
      <c r="Q354" s="16">
        <v>0</v>
      </c>
      <c r="R354" s="16">
        <v>0</v>
      </c>
      <c r="S354" s="16">
        <v>0</v>
      </c>
      <c r="T354" s="15">
        <v>0</v>
      </c>
      <c r="U354" s="15">
        <v>0</v>
      </c>
      <c r="V354" s="15">
        <v>0</v>
      </c>
      <c r="W354" s="15">
        <v>0</v>
      </c>
      <c r="X354" s="15">
        <v>1</v>
      </c>
      <c r="Y354" s="15">
        <v>0</v>
      </c>
      <c r="Z354" s="33" t="s">
        <v>1119</v>
      </c>
    </row>
    <row r="355" spans="1:26" s="15" customFormat="1" ht="15" customHeight="1" x14ac:dyDescent="0.15">
      <c r="A355" s="15">
        <v>1057</v>
      </c>
      <c r="B355" s="15" t="s">
        <v>803</v>
      </c>
      <c r="C355" s="15">
        <f t="shared" si="18"/>
        <v>20</v>
      </c>
      <c r="D355" s="15">
        <v>1</v>
      </c>
      <c r="F355" s="12">
        <v>0</v>
      </c>
      <c r="G355" s="16">
        <v>0</v>
      </c>
      <c r="H355" s="16">
        <v>0</v>
      </c>
      <c r="I355" s="16">
        <v>1</v>
      </c>
      <c r="J355" s="16">
        <v>0</v>
      </c>
      <c r="K355" s="16">
        <v>1</v>
      </c>
      <c r="L355" s="15">
        <v>0</v>
      </c>
      <c r="M355" s="15">
        <f t="shared" si="48"/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5">
        <v>0</v>
      </c>
      <c r="U355" s="15">
        <v>0</v>
      </c>
      <c r="V355" s="15">
        <v>0</v>
      </c>
      <c r="W355" s="15">
        <v>0</v>
      </c>
      <c r="X355" s="15">
        <v>1</v>
      </c>
      <c r="Y355" s="15">
        <v>0</v>
      </c>
      <c r="Z355" s="33" t="s">
        <v>1120</v>
      </c>
    </row>
    <row r="356" spans="1:26" s="15" customFormat="1" ht="15" customHeight="1" x14ac:dyDescent="0.15">
      <c r="A356" s="15">
        <v>1058</v>
      </c>
      <c r="B356" s="15" t="s">
        <v>804</v>
      </c>
      <c r="C356" s="15">
        <f t="shared" si="18"/>
        <v>20</v>
      </c>
      <c r="D356" s="15">
        <v>1</v>
      </c>
      <c r="F356" s="12">
        <v>0</v>
      </c>
      <c r="G356" s="16">
        <v>0</v>
      </c>
      <c r="H356" s="16">
        <v>0</v>
      </c>
      <c r="I356" s="16">
        <v>1</v>
      </c>
      <c r="J356" s="16">
        <v>0</v>
      </c>
      <c r="K356" s="16">
        <v>1</v>
      </c>
      <c r="L356" s="15">
        <v>0</v>
      </c>
      <c r="M356" s="15">
        <f t="shared" si="48"/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5">
        <v>0</v>
      </c>
      <c r="U356" s="15">
        <v>0</v>
      </c>
      <c r="V356" s="15">
        <v>0</v>
      </c>
      <c r="W356" s="15">
        <v>0</v>
      </c>
      <c r="X356" s="15">
        <v>1</v>
      </c>
      <c r="Y356" s="15">
        <v>0</v>
      </c>
      <c r="Z356" s="33" t="s">
        <v>1121</v>
      </c>
    </row>
    <row r="357" spans="1:26" s="15" customFormat="1" ht="15" customHeight="1" x14ac:dyDescent="0.15">
      <c r="A357" s="15">
        <v>1059</v>
      </c>
      <c r="B357" s="15" t="s">
        <v>805</v>
      </c>
      <c r="C357" s="15">
        <f t="shared" si="18"/>
        <v>20</v>
      </c>
      <c r="D357" s="15">
        <v>1</v>
      </c>
      <c r="F357" s="12">
        <v>0</v>
      </c>
      <c r="G357" s="16">
        <v>0</v>
      </c>
      <c r="H357" s="16">
        <v>0</v>
      </c>
      <c r="I357" s="16">
        <v>1</v>
      </c>
      <c r="J357" s="16">
        <v>0</v>
      </c>
      <c r="K357" s="16">
        <v>1</v>
      </c>
      <c r="L357" s="15">
        <v>0</v>
      </c>
      <c r="M357" s="15">
        <f t="shared" si="48"/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5">
        <v>0</v>
      </c>
      <c r="U357" s="15">
        <v>0</v>
      </c>
      <c r="V357" s="15">
        <v>0</v>
      </c>
      <c r="W357" s="15">
        <v>0</v>
      </c>
      <c r="X357" s="15">
        <v>1</v>
      </c>
      <c r="Y357" s="15">
        <v>0</v>
      </c>
      <c r="Z357" s="33" t="s">
        <v>1419</v>
      </c>
    </row>
    <row r="358" spans="1:26" s="15" customFormat="1" ht="15" customHeight="1" x14ac:dyDescent="0.15">
      <c r="A358" s="15">
        <v>1060</v>
      </c>
      <c r="B358" s="15" t="s">
        <v>806</v>
      </c>
      <c r="C358" s="15">
        <f t="shared" si="18"/>
        <v>20</v>
      </c>
      <c r="D358" s="15">
        <v>1</v>
      </c>
      <c r="F358" s="12">
        <v>0</v>
      </c>
      <c r="G358" s="16">
        <v>0</v>
      </c>
      <c r="H358" s="16">
        <v>0</v>
      </c>
      <c r="I358" s="16">
        <v>1</v>
      </c>
      <c r="J358" s="16">
        <v>0</v>
      </c>
      <c r="K358" s="16">
        <v>1</v>
      </c>
      <c r="L358" s="15">
        <v>0</v>
      </c>
      <c r="M358" s="15">
        <f t="shared" si="48"/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5">
        <v>0</v>
      </c>
      <c r="U358" s="15">
        <v>0</v>
      </c>
      <c r="V358" s="15">
        <v>0</v>
      </c>
      <c r="W358" s="15">
        <v>0</v>
      </c>
      <c r="X358" s="15">
        <v>1</v>
      </c>
      <c r="Y358" s="15">
        <v>0</v>
      </c>
      <c r="Z358" s="33" t="s">
        <v>1420</v>
      </c>
    </row>
    <row r="359" spans="1:26" s="15" customFormat="1" ht="15" customHeight="1" x14ac:dyDescent="0.15">
      <c r="A359" s="15">
        <v>1061</v>
      </c>
      <c r="B359" s="15" t="s">
        <v>807</v>
      </c>
      <c r="C359" s="15">
        <f t="shared" si="18"/>
        <v>20</v>
      </c>
      <c r="D359" s="15">
        <v>1</v>
      </c>
      <c r="F359" s="12">
        <v>0</v>
      </c>
      <c r="G359" s="16">
        <v>0</v>
      </c>
      <c r="H359" s="16">
        <v>0</v>
      </c>
      <c r="I359" s="16">
        <v>1</v>
      </c>
      <c r="J359" s="16">
        <v>0</v>
      </c>
      <c r="K359" s="16">
        <v>1</v>
      </c>
      <c r="L359" s="15">
        <v>0</v>
      </c>
      <c r="M359" s="15">
        <f t="shared" si="48"/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5">
        <v>0</v>
      </c>
      <c r="U359" s="15">
        <v>0</v>
      </c>
      <c r="V359" s="15">
        <v>0</v>
      </c>
      <c r="W359" s="15">
        <v>0</v>
      </c>
      <c r="X359" s="15">
        <v>1</v>
      </c>
      <c r="Y359" s="15">
        <v>0</v>
      </c>
      <c r="Z359" s="33" t="s">
        <v>1421</v>
      </c>
    </row>
    <row r="360" spans="1:26" s="15" customFormat="1" ht="15" customHeight="1" x14ac:dyDescent="0.15">
      <c r="A360" s="15">
        <v>1062</v>
      </c>
      <c r="B360" s="15" t="s">
        <v>810</v>
      </c>
      <c r="C360" s="15">
        <f>G360+H360*2+I360*4+J360*8+K360*16</f>
        <v>5</v>
      </c>
      <c r="D360" s="15">
        <v>1</v>
      </c>
      <c r="F360" s="12">
        <v>0</v>
      </c>
      <c r="G360" s="16">
        <v>1</v>
      </c>
      <c r="H360" s="16">
        <v>0</v>
      </c>
      <c r="I360" s="16">
        <v>1</v>
      </c>
      <c r="J360" s="16">
        <v>0</v>
      </c>
      <c r="K360" s="16">
        <v>0</v>
      </c>
      <c r="L360" s="15">
        <v>1</v>
      </c>
      <c r="M360" s="15">
        <f t="shared" si="48"/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5">
        <v>1</v>
      </c>
      <c r="U360" s="15">
        <v>1</v>
      </c>
      <c r="V360" s="15">
        <v>1</v>
      </c>
      <c r="W360" s="15">
        <v>0</v>
      </c>
      <c r="X360" s="15">
        <v>0</v>
      </c>
      <c r="Y360" s="15">
        <v>0</v>
      </c>
      <c r="Z360" s="33" t="s">
        <v>1122</v>
      </c>
    </row>
    <row r="361" spans="1:26" s="15" customFormat="1" ht="15" customHeight="1" x14ac:dyDescent="0.15">
      <c r="A361" s="15">
        <v>1063</v>
      </c>
      <c r="B361" s="15" t="s">
        <v>811</v>
      </c>
      <c r="C361" s="15">
        <f>G361+H361*2+I361*4+J361*8+K361*16</f>
        <v>5</v>
      </c>
      <c r="D361" s="15">
        <v>1</v>
      </c>
      <c r="F361" s="12">
        <v>0</v>
      </c>
      <c r="G361" s="16">
        <v>1</v>
      </c>
      <c r="H361" s="16">
        <v>0</v>
      </c>
      <c r="I361" s="16">
        <v>1</v>
      </c>
      <c r="J361" s="16">
        <v>0</v>
      </c>
      <c r="K361" s="16">
        <v>0</v>
      </c>
      <c r="L361" s="15">
        <v>1</v>
      </c>
      <c r="M361" s="15">
        <f t="shared" si="48"/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5">
        <v>1</v>
      </c>
      <c r="U361" s="15">
        <v>1</v>
      </c>
      <c r="V361" s="15">
        <v>1</v>
      </c>
      <c r="W361" s="15">
        <v>0</v>
      </c>
      <c r="X361" s="15">
        <v>0</v>
      </c>
      <c r="Y361" s="15">
        <v>0</v>
      </c>
      <c r="Z361" s="33" t="s">
        <v>1123</v>
      </c>
    </row>
    <row r="362" spans="1:26" s="15" customFormat="1" ht="15" customHeight="1" x14ac:dyDescent="0.15">
      <c r="A362" s="15">
        <v>1064</v>
      </c>
      <c r="B362" s="15" t="s">
        <v>812</v>
      </c>
      <c r="C362" s="15">
        <f>G362+H362*2+I362*4+J362*8+K362*16</f>
        <v>5</v>
      </c>
      <c r="D362" s="15">
        <v>1</v>
      </c>
      <c r="F362" s="12">
        <v>0</v>
      </c>
      <c r="G362" s="16">
        <v>1</v>
      </c>
      <c r="H362" s="16">
        <v>0</v>
      </c>
      <c r="I362" s="16">
        <v>1</v>
      </c>
      <c r="J362" s="16">
        <v>0</v>
      </c>
      <c r="K362" s="16">
        <v>0</v>
      </c>
      <c r="L362" s="15">
        <v>1</v>
      </c>
      <c r="M362" s="15">
        <f t="shared" si="48"/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5">
        <v>1</v>
      </c>
      <c r="U362" s="15">
        <v>1</v>
      </c>
      <c r="V362" s="15">
        <v>1</v>
      </c>
      <c r="W362" s="15">
        <v>0</v>
      </c>
      <c r="X362" s="15">
        <v>0</v>
      </c>
      <c r="Y362" s="15">
        <v>0</v>
      </c>
      <c r="Z362" s="33" t="s">
        <v>1124</v>
      </c>
    </row>
    <row r="363" spans="1:26" s="15" customFormat="1" ht="15" customHeight="1" x14ac:dyDescent="0.15">
      <c r="A363" s="15">
        <v>1065</v>
      </c>
      <c r="B363" s="15" t="s">
        <v>1372</v>
      </c>
      <c r="C363" s="15">
        <f t="shared" ref="C363:C416" si="49">G363+H363*2+I363*4+J363*8+K363*16</f>
        <v>5</v>
      </c>
      <c r="D363" s="15">
        <v>1</v>
      </c>
      <c r="F363" s="12">
        <v>0</v>
      </c>
      <c r="G363" s="16">
        <v>1</v>
      </c>
      <c r="H363" s="16">
        <v>0</v>
      </c>
      <c r="I363" s="16">
        <v>1</v>
      </c>
      <c r="J363" s="16">
        <v>0</v>
      </c>
      <c r="K363" s="16">
        <v>0</v>
      </c>
      <c r="L363" s="15">
        <v>1</v>
      </c>
      <c r="M363" s="15">
        <f t="shared" ref="M363:M416" si="50">N363+O363*2+P363*4+Q363*8+R363*16+S363*32</f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5">
        <v>1</v>
      </c>
      <c r="U363" s="15">
        <v>1</v>
      </c>
      <c r="V363" s="15">
        <v>1</v>
      </c>
      <c r="W363" s="15">
        <v>0</v>
      </c>
      <c r="X363" s="15">
        <v>0</v>
      </c>
      <c r="Y363" s="15">
        <v>0</v>
      </c>
      <c r="Z363" s="33" t="s">
        <v>1373</v>
      </c>
    </row>
    <row r="364" spans="1:26" s="15" customFormat="1" ht="15" customHeight="1" x14ac:dyDescent="0.15">
      <c r="A364" s="15">
        <v>1066</v>
      </c>
      <c r="B364" s="15" t="s">
        <v>1374</v>
      </c>
      <c r="C364" s="15">
        <f t="shared" si="49"/>
        <v>5</v>
      </c>
      <c r="D364" s="15">
        <v>1</v>
      </c>
      <c r="F364" s="12">
        <v>0</v>
      </c>
      <c r="G364" s="16">
        <v>1</v>
      </c>
      <c r="H364" s="16">
        <v>0</v>
      </c>
      <c r="I364" s="16">
        <v>1</v>
      </c>
      <c r="J364" s="16">
        <v>0</v>
      </c>
      <c r="K364" s="16">
        <v>0</v>
      </c>
      <c r="L364" s="15">
        <v>1</v>
      </c>
      <c r="M364" s="15">
        <f t="shared" si="50"/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5">
        <v>1</v>
      </c>
      <c r="U364" s="15">
        <v>1</v>
      </c>
      <c r="V364" s="15">
        <v>1</v>
      </c>
      <c r="W364" s="15">
        <v>0</v>
      </c>
      <c r="X364" s="15">
        <v>0</v>
      </c>
      <c r="Y364" s="15">
        <v>0</v>
      </c>
      <c r="Z364" s="33" t="s">
        <v>1375</v>
      </c>
    </row>
    <row r="365" spans="1:26" s="15" customFormat="1" ht="15" customHeight="1" x14ac:dyDescent="0.15">
      <c r="A365" s="15">
        <v>1067</v>
      </c>
      <c r="B365" s="15" t="s">
        <v>1376</v>
      </c>
      <c r="C365" s="15">
        <f t="shared" si="49"/>
        <v>5</v>
      </c>
      <c r="D365" s="15">
        <v>1</v>
      </c>
      <c r="F365" s="12">
        <v>0</v>
      </c>
      <c r="G365" s="16">
        <v>1</v>
      </c>
      <c r="H365" s="16">
        <v>0</v>
      </c>
      <c r="I365" s="16">
        <v>1</v>
      </c>
      <c r="J365" s="16">
        <v>0</v>
      </c>
      <c r="K365" s="16">
        <v>0</v>
      </c>
      <c r="L365" s="15">
        <v>1</v>
      </c>
      <c r="M365" s="15">
        <f t="shared" si="50"/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5">
        <v>1</v>
      </c>
      <c r="U365" s="15">
        <v>1</v>
      </c>
      <c r="V365" s="15">
        <v>1</v>
      </c>
      <c r="W365" s="15">
        <v>0</v>
      </c>
      <c r="X365" s="15">
        <v>0</v>
      </c>
      <c r="Y365" s="15">
        <v>0</v>
      </c>
      <c r="Z365" s="33" t="s">
        <v>1377</v>
      </c>
    </row>
    <row r="366" spans="1:26" s="15" customFormat="1" ht="15" customHeight="1" x14ac:dyDescent="0.15">
      <c r="A366" s="15">
        <v>1068</v>
      </c>
      <c r="B366" s="15" t="s">
        <v>813</v>
      </c>
      <c r="C366" s="15">
        <f t="shared" si="49"/>
        <v>5</v>
      </c>
      <c r="D366" s="15">
        <v>1</v>
      </c>
      <c r="F366" s="12">
        <v>0</v>
      </c>
      <c r="G366" s="16">
        <v>1</v>
      </c>
      <c r="H366" s="16">
        <v>0</v>
      </c>
      <c r="I366" s="16">
        <v>1</v>
      </c>
      <c r="J366" s="16">
        <v>0</v>
      </c>
      <c r="K366" s="16">
        <v>0</v>
      </c>
      <c r="L366" s="15">
        <v>1</v>
      </c>
      <c r="M366" s="15">
        <f t="shared" si="50"/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5">
        <v>1</v>
      </c>
      <c r="U366" s="15">
        <v>1</v>
      </c>
      <c r="V366" s="15">
        <v>1</v>
      </c>
      <c r="W366" s="15">
        <v>0</v>
      </c>
      <c r="X366" s="15">
        <v>0</v>
      </c>
      <c r="Y366" s="15">
        <v>0</v>
      </c>
      <c r="Z366" s="33" t="s">
        <v>1170</v>
      </c>
    </row>
    <row r="367" spans="1:26" s="15" customFormat="1" ht="15" customHeight="1" x14ac:dyDescent="0.15">
      <c r="A367" s="15">
        <v>1069</v>
      </c>
      <c r="B367" s="15" t="s">
        <v>814</v>
      </c>
      <c r="C367" s="15">
        <f t="shared" si="49"/>
        <v>5</v>
      </c>
      <c r="D367" s="15">
        <v>1</v>
      </c>
      <c r="F367" s="12">
        <v>0</v>
      </c>
      <c r="G367" s="16">
        <v>1</v>
      </c>
      <c r="H367" s="16">
        <v>0</v>
      </c>
      <c r="I367" s="16">
        <v>1</v>
      </c>
      <c r="J367" s="16">
        <v>0</v>
      </c>
      <c r="K367" s="16">
        <v>0</v>
      </c>
      <c r="L367" s="15">
        <v>1</v>
      </c>
      <c r="M367" s="15">
        <f t="shared" si="50"/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5">
        <v>1</v>
      </c>
      <c r="U367" s="15">
        <v>1</v>
      </c>
      <c r="V367" s="15">
        <v>1</v>
      </c>
      <c r="W367" s="15">
        <v>0</v>
      </c>
      <c r="X367" s="15">
        <v>0</v>
      </c>
      <c r="Y367" s="15">
        <v>0</v>
      </c>
      <c r="Z367" s="33" t="s">
        <v>1171</v>
      </c>
    </row>
    <row r="368" spans="1:26" s="15" customFormat="1" ht="15" customHeight="1" x14ac:dyDescent="0.15">
      <c r="A368" s="15">
        <v>1070</v>
      </c>
      <c r="B368" s="15" t="s">
        <v>815</v>
      </c>
      <c r="C368" s="15">
        <f t="shared" si="49"/>
        <v>5</v>
      </c>
      <c r="D368" s="15">
        <v>1</v>
      </c>
      <c r="F368" s="12">
        <v>0</v>
      </c>
      <c r="G368" s="16">
        <v>1</v>
      </c>
      <c r="H368" s="16">
        <v>0</v>
      </c>
      <c r="I368" s="16">
        <v>1</v>
      </c>
      <c r="J368" s="16">
        <v>0</v>
      </c>
      <c r="K368" s="16">
        <v>0</v>
      </c>
      <c r="L368" s="15">
        <v>1</v>
      </c>
      <c r="M368" s="15">
        <f t="shared" si="50"/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5">
        <v>1</v>
      </c>
      <c r="U368" s="15">
        <v>1</v>
      </c>
      <c r="V368" s="15">
        <v>1</v>
      </c>
      <c r="W368" s="15">
        <v>0</v>
      </c>
      <c r="X368" s="15">
        <v>0</v>
      </c>
      <c r="Y368" s="15">
        <v>0</v>
      </c>
      <c r="Z368" s="33" t="s">
        <v>1172</v>
      </c>
    </row>
    <row r="369" spans="1:26" s="15" customFormat="1" ht="15" customHeight="1" x14ac:dyDescent="0.15">
      <c r="A369" s="15">
        <v>1071</v>
      </c>
      <c r="B369" s="15" t="s">
        <v>1422</v>
      </c>
      <c r="C369" s="15">
        <f t="shared" si="49"/>
        <v>5</v>
      </c>
      <c r="D369" s="15">
        <v>1</v>
      </c>
      <c r="F369" s="12">
        <v>0</v>
      </c>
      <c r="G369" s="16">
        <v>1</v>
      </c>
      <c r="H369" s="16">
        <v>0</v>
      </c>
      <c r="I369" s="16">
        <v>1</v>
      </c>
      <c r="J369" s="16">
        <v>0</v>
      </c>
      <c r="K369" s="16">
        <v>0</v>
      </c>
      <c r="L369" s="15">
        <v>1</v>
      </c>
      <c r="M369" s="15">
        <f t="shared" si="50"/>
        <v>0</v>
      </c>
      <c r="N369" s="16">
        <v>0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5">
        <v>1</v>
      </c>
      <c r="U369" s="15">
        <v>1</v>
      </c>
      <c r="V369" s="15">
        <v>1</v>
      </c>
      <c r="W369" s="15">
        <v>0</v>
      </c>
      <c r="X369" s="15">
        <v>0</v>
      </c>
      <c r="Y369" s="15">
        <v>0</v>
      </c>
      <c r="Z369" s="33" t="s">
        <v>1423</v>
      </c>
    </row>
    <row r="370" spans="1:26" s="15" customFormat="1" ht="15" customHeight="1" x14ac:dyDescent="0.15">
      <c r="A370" s="15">
        <v>1072</v>
      </c>
      <c r="B370" s="15" t="s">
        <v>1424</v>
      </c>
      <c r="C370" s="15">
        <f t="shared" si="49"/>
        <v>5</v>
      </c>
      <c r="D370" s="15">
        <v>1</v>
      </c>
      <c r="F370" s="12">
        <v>0</v>
      </c>
      <c r="G370" s="16">
        <v>1</v>
      </c>
      <c r="H370" s="16">
        <v>0</v>
      </c>
      <c r="I370" s="16">
        <v>1</v>
      </c>
      <c r="J370" s="16">
        <v>0</v>
      </c>
      <c r="K370" s="16">
        <v>0</v>
      </c>
      <c r="L370" s="15">
        <v>1</v>
      </c>
      <c r="M370" s="15">
        <f t="shared" si="50"/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5">
        <v>1</v>
      </c>
      <c r="U370" s="15">
        <v>1</v>
      </c>
      <c r="V370" s="15">
        <v>1</v>
      </c>
      <c r="W370" s="15">
        <v>0</v>
      </c>
      <c r="X370" s="15">
        <v>0</v>
      </c>
      <c r="Y370" s="15">
        <v>0</v>
      </c>
      <c r="Z370" s="33" t="s">
        <v>1425</v>
      </c>
    </row>
    <row r="371" spans="1:26" s="15" customFormat="1" ht="15" customHeight="1" x14ac:dyDescent="0.15">
      <c r="A371" s="15">
        <v>1073</v>
      </c>
      <c r="B371" s="15" t="s">
        <v>1426</v>
      </c>
      <c r="C371" s="15">
        <f t="shared" si="49"/>
        <v>5</v>
      </c>
      <c r="D371" s="15">
        <v>1</v>
      </c>
      <c r="F371" s="12">
        <v>0</v>
      </c>
      <c r="G371" s="16">
        <v>1</v>
      </c>
      <c r="H371" s="16">
        <v>0</v>
      </c>
      <c r="I371" s="16">
        <v>1</v>
      </c>
      <c r="J371" s="16">
        <v>0</v>
      </c>
      <c r="K371" s="16">
        <v>0</v>
      </c>
      <c r="L371" s="15">
        <v>1</v>
      </c>
      <c r="M371" s="15">
        <f t="shared" si="50"/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5">
        <v>1</v>
      </c>
      <c r="U371" s="15">
        <v>1</v>
      </c>
      <c r="V371" s="15">
        <v>1</v>
      </c>
      <c r="W371" s="15">
        <v>0</v>
      </c>
      <c r="X371" s="15">
        <v>0</v>
      </c>
      <c r="Y371" s="15">
        <v>0</v>
      </c>
      <c r="Z371" s="33" t="s">
        <v>1427</v>
      </c>
    </row>
    <row r="372" spans="1:26" s="15" customFormat="1" ht="15" customHeight="1" x14ac:dyDescent="0.15">
      <c r="A372" s="15">
        <v>1074</v>
      </c>
      <c r="B372" s="15" t="s">
        <v>816</v>
      </c>
      <c r="C372" s="15">
        <f t="shared" si="49"/>
        <v>5</v>
      </c>
      <c r="D372" s="15">
        <v>1</v>
      </c>
      <c r="F372" s="12">
        <v>0</v>
      </c>
      <c r="G372" s="16">
        <v>1</v>
      </c>
      <c r="H372" s="16">
        <v>0</v>
      </c>
      <c r="I372" s="16">
        <v>1</v>
      </c>
      <c r="J372" s="16">
        <v>0</v>
      </c>
      <c r="K372" s="16">
        <v>0</v>
      </c>
      <c r="L372" s="15">
        <v>1</v>
      </c>
      <c r="M372" s="15">
        <f t="shared" si="50"/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0</v>
      </c>
      <c r="S372" s="16">
        <v>0</v>
      </c>
      <c r="T372" s="15">
        <v>1</v>
      </c>
      <c r="U372" s="15">
        <v>1</v>
      </c>
      <c r="V372" s="15">
        <v>1</v>
      </c>
      <c r="W372" s="15">
        <v>0</v>
      </c>
      <c r="X372" s="15">
        <v>0</v>
      </c>
      <c r="Y372" s="15">
        <v>0</v>
      </c>
      <c r="Z372" s="33" t="s">
        <v>1125</v>
      </c>
    </row>
    <row r="373" spans="1:26" s="15" customFormat="1" ht="15" customHeight="1" x14ac:dyDescent="0.15">
      <c r="A373" s="15">
        <v>1075</v>
      </c>
      <c r="B373" s="15" t="s">
        <v>817</v>
      </c>
      <c r="C373" s="15">
        <f t="shared" si="49"/>
        <v>5</v>
      </c>
      <c r="D373" s="15">
        <v>1</v>
      </c>
      <c r="F373" s="12">
        <v>0</v>
      </c>
      <c r="G373" s="16">
        <v>1</v>
      </c>
      <c r="H373" s="16">
        <v>0</v>
      </c>
      <c r="I373" s="16">
        <v>1</v>
      </c>
      <c r="J373" s="16">
        <v>0</v>
      </c>
      <c r="K373" s="16">
        <v>0</v>
      </c>
      <c r="L373" s="15">
        <v>1</v>
      </c>
      <c r="M373" s="15">
        <f t="shared" si="50"/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5">
        <v>1</v>
      </c>
      <c r="U373" s="15">
        <v>1</v>
      </c>
      <c r="V373" s="15">
        <v>1</v>
      </c>
      <c r="W373" s="15">
        <v>0</v>
      </c>
      <c r="X373" s="15">
        <v>0</v>
      </c>
      <c r="Y373" s="15">
        <v>0</v>
      </c>
      <c r="Z373" s="33" t="s">
        <v>1126</v>
      </c>
    </row>
    <row r="374" spans="1:26" s="15" customFormat="1" ht="15" customHeight="1" x14ac:dyDescent="0.15">
      <c r="A374" s="15">
        <v>1076</v>
      </c>
      <c r="B374" s="15" t="s">
        <v>818</v>
      </c>
      <c r="C374" s="15">
        <f t="shared" si="49"/>
        <v>5</v>
      </c>
      <c r="D374" s="15">
        <v>1</v>
      </c>
      <c r="F374" s="12">
        <v>0</v>
      </c>
      <c r="G374" s="16">
        <v>1</v>
      </c>
      <c r="H374" s="16">
        <v>0</v>
      </c>
      <c r="I374" s="16">
        <v>1</v>
      </c>
      <c r="J374" s="16">
        <v>0</v>
      </c>
      <c r="K374" s="16">
        <v>0</v>
      </c>
      <c r="L374" s="15">
        <v>1</v>
      </c>
      <c r="M374" s="15">
        <f t="shared" si="50"/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5">
        <v>1</v>
      </c>
      <c r="U374" s="15">
        <v>1</v>
      </c>
      <c r="V374" s="15">
        <v>1</v>
      </c>
      <c r="W374" s="15">
        <v>0</v>
      </c>
      <c r="X374" s="15">
        <v>0</v>
      </c>
      <c r="Y374" s="15">
        <v>0</v>
      </c>
      <c r="Z374" s="33" t="s">
        <v>1127</v>
      </c>
    </row>
    <row r="375" spans="1:26" s="15" customFormat="1" ht="15" customHeight="1" x14ac:dyDescent="0.15">
      <c r="A375" s="15">
        <v>1077</v>
      </c>
      <c r="B375" s="15" t="s">
        <v>819</v>
      </c>
      <c r="C375" s="15">
        <f t="shared" si="49"/>
        <v>5</v>
      </c>
      <c r="D375" s="15">
        <v>1</v>
      </c>
      <c r="F375" s="12">
        <v>0</v>
      </c>
      <c r="G375" s="16">
        <v>1</v>
      </c>
      <c r="H375" s="16">
        <v>0</v>
      </c>
      <c r="I375" s="16">
        <v>1</v>
      </c>
      <c r="J375" s="16">
        <v>0</v>
      </c>
      <c r="K375" s="16">
        <v>0</v>
      </c>
      <c r="L375" s="15">
        <v>1</v>
      </c>
      <c r="M375" s="15">
        <f t="shared" si="50"/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5">
        <v>1</v>
      </c>
      <c r="U375" s="15">
        <v>1</v>
      </c>
      <c r="V375" s="15">
        <v>1</v>
      </c>
      <c r="W375" s="15">
        <v>0</v>
      </c>
      <c r="X375" s="15">
        <v>0</v>
      </c>
      <c r="Y375" s="15">
        <v>0</v>
      </c>
      <c r="Z375" s="33" t="s">
        <v>1378</v>
      </c>
    </row>
    <row r="376" spans="1:26" s="15" customFormat="1" ht="15" customHeight="1" x14ac:dyDescent="0.15">
      <c r="A376" s="15">
        <v>1078</v>
      </c>
      <c r="B376" s="15" t="s">
        <v>820</v>
      </c>
      <c r="C376" s="15">
        <f t="shared" si="49"/>
        <v>5</v>
      </c>
      <c r="D376" s="15">
        <v>1</v>
      </c>
      <c r="F376" s="12">
        <v>0</v>
      </c>
      <c r="G376" s="16">
        <v>1</v>
      </c>
      <c r="H376" s="16">
        <v>0</v>
      </c>
      <c r="I376" s="16">
        <v>1</v>
      </c>
      <c r="J376" s="16">
        <v>0</v>
      </c>
      <c r="K376" s="16">
        <v>0</v>
      </c>
      <c r="L376" s="15">
        <v>1</v>
      </c>
      <c r="M376" s="15">
        <f t="shared" si="50"/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5">
        <v>1</v>
      </c>
      <c r="U376" s="15">
        <v>1</v>
      </c>
      <c r="V376" s="15">
        <v>1</v>
      </c>
      <c r="W376" s="15">
        <v>0</v>
      </c>
      <c r="X376" s="15">
        <v>0</v>
      </c>
      <c r="Y376" s="15">
        <v>0</v>
      </c>
      <c r="Z376" s="33" t="s">
        <v>1379</v>
      </c>
    </row>
    <row r="377" spans="1:26" s="15" customFormat="1" ht="15" customHeight="1" x14ac:dyDescent="0.15">
      <c r="A377" s="15">
        <v>1079</v>
      </c>
      <c r="B377" s="15" t="s">
        <v>821</v>
      </c>
      <c r="C377" s="15">
        <f t="shared" si="49"/>
        <v>5</v>
      </c>
      <c r="D377" s="15">
        <v>1</v>
      </c>
      <c r="F377" s="12">
        <v>0</v>
      </c>
      <c r="G377" s="16">
        <v>1</v>
      </c>
      <c r="H377" s="16">
        <v>0</v>
      </c>
      <c r="I377" s="16">
        <v>1</v>
      </c>
      <c r="J377" s="16">
        <v>0</v>
      </c>
      <c r="K377" s="16">
        <v>0</v>
      </c>
      <c r="L377" s="15">
        <v>1</v>
      </c>
      <c r="M377" s="15">
        <f t="shared" si="50"/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5">
        <v>1</v>
      </c>
      <c r="U377" s="15">
        <v>1</v>
      </c>
      <c r="V377" s="15">
        <v>1</v>
      </c>
      <c r="W377" s="15">
        <v>0</v>
      </c>
      <c r="X377" s="15">
        <v>0</v>
      </c>
      <c r="Y377" s="15">
        <v>0</v>
      </c>
      <c r="Z377" s="33" t="s">
        <v>1380</v>
      </c>
    </row>
    <row r="378" spans="1:26" s="15" customFormat="1" ht="15" customHeight="1" x14ac:dyDescent="0.15">
      <c r="A378" s="15">
        <v>1080</v>
      </c>
      <c r="B378" s="15" t="s">
        <v>822</v>
      </c>
      <c r="C378" s="15">
        <f t="shared" si="49"/>
        <v>5</v>
      </c>
      <c r="D378" s="15">
        <v>1</v>
      </c>
      <c r="F378" s="12">
        <v>0</v>
      </c>
      <c r="G378" s="16">
        <v>1</v>
      </c>
      <c r="H378" s="16">
        <v>0</v>
      </c>
      <c r="I378" s="16">
        <v>1</v>
      </c>
      <c r="J378" s="16">
        <v>0</v>
      </c>
      <c r="K378" s="16">
        <v>0</v>
      </c>
      <c r="L378" s="15">
        <v>1</v>
      </c>
      <c r="M378" s="15">
        <f t="shared" si="50"/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5">
        <v>1</v>
      </c>
      <c r="U378" s="15">
        <v>1</v>
      </c>
      <c r="V378" s="15">
        <v>1</v>
      </c>
      <c r="W378" s="15">
        <v>0</v>
      </c>
      <c r="X378" s="15">
        <v>0</v>
      </c>
      <c r="Y378" s="15">
        <v>0</v>
      </c>
      <c r="Z378" s="33" t="s">
        <v>1428</v>
      </c>
    </row>
    <row r="379" spans="1:26" s="15" customFormat="1" ht="15" customHeight="1" x14ac:dyDescent="0.15">
      <c r="A379" s="15">
        <v>1081</v>
      </c>
      <c r="B379" s="15" t="s">
        <v>823</v>
      </c>
      <c r="C379" s="15">
        <f t="shared" si="49"/>
        <v>5</v>
      </c>
      <c r="D379" s="15">
        <v>1</v>
      </c>
      <c r="F379" s="12">
        <v>0</v>
      </c>
      <c r="G379" s="16">
        <v>1</v>
      </c>
      <c r="H379" s="16">
        <v>0</v>
      </c>
      <c r="I379" s="16">
        <v>1</v>
      </c>
      <c r="J379" s="16">
        <v>0</v>
      </c>
      <c r="K379" s="16">
        <v>0</v>
      </c>
      <c r="L379" s="15">
        <v>1</v>
      </c>
      <c r="M379" s="15">
        <f t="shared" si="50"/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5">
        <v>1</v>
      </c>
      <c r="U379" s="15">
        <v>1</v>
      </c>
      <c r="V379" s="15">
        <v>1</v>
      </c>
      <c r="W379" s="15">
        <v>0</v>
      </c>
      <c r="X379" s="15">
        <v>0</v>
      </c>
      <c r="Y379" s="15">
        <v>0</v>
      </c>
      <c r="Z379" s="33" t="s">
        <v>1429</v>
      </c>
    </row>
    <row r="380" spans="1:26" s="15" customFormat="1" ht="15" customHeight="1" x14ac:dyDescent="0.15">
      <c r="A380" s="15">
        <v>1082</v>
      </c>
      <c r="B380" s="15" t="s">
        <v>824</v>
      </c>
      <c r="C380" s="15">
        <f t="shared" si="49"/>
        <v>5</v>
      </c>
      <c r="D380" s="15">
        <v>1</v>
      </c>
      <c r="F380" s="12">
        <v>0</v>
      </c>
      <c r="G380" s="16">
        <v>1</v>
      </c>
      <c r="H380" s="16">
        <v>0</v>
      </c>
      <c r="I380" s="16">
        <v>1</v>
      </c>
      <c r="J380" s="16">
        <v>0</v>
      </c>
      <c r="K380" s="16">
        <v>0</v>
      </c>
      <c r="L380" s="15">
        <v>1</v>
      </c>
      <c r="M380" s="15">
        <f t="shared" si="50"/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5">
        <v>1</v>
      </c>
      <c r="U380" s="15">
        <v>1</v>
      </c>
      <c r="V380" s="15">
        <v>1</v>
      </c>
      <c r="W380" s="15">
        <v>0</v>
      </c>
      <c r="X380" s="15">
        <v>0</v>
      </c>
      <c r="Y380" s="15">
        <v>0</v>
      </c>
      <c r="Z380" s="33" t="s">
        <v>1430</v>
      </c>
    </row>
    <row r="381" spans="1:26" s="15" customFormat="1" ht="15" customHeight="1" x14ac:dyDescent="0.15">
      <c r="A381" s="15">
        <v>1083</v>
      </c>
      <c r="B381" s="15" t="s">
        <v>825</v>
      </c>
      <c r="C381" s="15">
        <f t="shared" si="49"/>
        <v>5</v>
      </c>
      <c r="D381" s="15">
        <v>1</v>
      </c>
      <c r="F381" s="12">
        <v>0</v>
      </c>
      <c r="G381" s="16">
        <v>1</v>
      </c>
      <c r="H381" s="16">
        <v>0</v>
      </c>
      <c r="I381" s="16">
        <v>1</v>
      </c>
      <c r="J381" s="16">
        <v>0</v>
      </c>
      <c r="K381" s="16">
        <v>0</v>
      </c>
      <c r="L381" s="15">
        <v>1</v>
      </c>
      <c r="M381" s="15">
        <f t="shared" si="50"/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5">
        <v>1</v>
      </c>
      <c r="U381" s="15">
        <v>1</v>
      </c>
      <c r="V381" s="15">
        <v>1</v>
      </c>
      <c r="W381" s="15">
        <v>0</v>
      </c>
      <c r="X381" s="15">
        <v>0</v>
      </c>
      <c r="Y381" s="15">
        <v>0</v>
      </c>
      <c r="Z381" s="33" t="s">
        <v>1125</v>
      </c>
    </row>
    <row r="382" spans="1:26" s="15" customFormat="1" ht="15" customHeight="1" x14ac:dyDescent="0.15">
      <c r="A382" s="15">
        <v>1084</v>
      </c>
      <c r="B382" s="15" t="s">
        <v>826</v>
      </c>
      <c r="C382" s="15">
        <f t="shared" si="49"/>
        <v>5</v>
      </c>
      <c r="D382" s="15">
        <v>1</v>
      </c>
      <c r="F382" s="12">
        <v>0</v>
      </c>
      <c r="G382" s="16">
        <v>1</v>
      </c>
      <c r="H382" s="16">
        <v>0</v>
      </c>
      <c r="I382" s="16">
        <v>1</v>
      </c>
      <c r="J382" s="16">
        <v>0</v>
      </c>
      <c r="K382" s="16">
        <v>0</v>
      </c>
      <c r="L382" s="15">
        <v>1</v>
      </c>
      <c r="M382" s="15">
        <f t="shared" si="50"/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5">
        <v>1</v>
      </c>
      <c r="U382" s="15">
        <v>1</v>
      </c>
      <c r="V382" s="15">
        <v>1</v>
      </c>
      <c r="W382" s="15">
        <v>0</v>
      </c>
      <c r="X382" s="15">
        <v>0</v>
      </c>
      <c r="Y382" s="15">
        <v>0</v>
      </c>
      <c r="Z382" s="33" t="s">
        <v>1126</v>
      </c>
    </row>
    <row r="383" spans="1:26" s="15" customFormat="1" ht="15" customHeight="1" x14ac:dyDescent="0.15">
      <c r="A383" s="15">
        <v>1085</v>
      </c>
      <c r="B383" s="15" t="s">
        <v>827</v>
      </c>
      <c r="C383" s="15">
        <f t="shared" si="49"/>
        <v>5</v>
      </c>
      <c r="D383" s="15">
        <v>1</v>
      </c>
      <c r="F383" s="12">
        <v>0</v>
      </c>
      <c r="G383" s="16">
        <v>1</v>
      </c>
      <c r="H383" s="16">
        <v>0</v>
      </c>
      <c r="I383" s="16">
        <v>1</v>
      </c>
      <c r="J383" s="16">
        <v>0</v>
      </c>
      <c r="K383" s="16">
        <v>0</v>
      </c>
      <c r="L383" s="15">
        <v>1</v>
      </c>
      <c r="M383" s="15">
        <f t="shared" si="50"/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5">
        <v>1</v>
      </c>
      <c r="U383" s="15">
        <v>1</v>
      </c>
      <c r="V383" s="15">
        <v>1</v>
      </c>
      <c r="W383" s="15">
        <v>0</v>
      </c>
      <c r="X383" s="15">
        <v>0</v>
      </c>
      <c r="Y383" s="15">
        <v>0</v>
      </c>
      <c r="Z383" s="33" t="s">
        <v>1127</v>
      </c>
    </row>
    <row r="384" spans="1:26" s="15" customFormat="1" ht="15" customHeight="1" x14ac:dyDescent="0.15">
      <c r="A384" s="45">
        <v>1086</v>
      </c>
      <c r="B384" s="45" t="s">
        <v>990</v>
      </c>
      <c r="C384" s="15">
        <f t="shared" si="49"/>
        <v>20</v>
      </c>
      <c r="D384" s="15">
        <v>1</v>
      </c>
      <c r="F384" s="12">
        <v>0</v>
      </c>
      <c r="G384" s="16">
        <v>0</v>
      </c>
      <c r="H384" s="16">
        <v>0</v>
      </c>
      <c r="I384" s="16">
        <v>1</v>
      </c>
      <c r="J384" s="16">
        <v>0</v>
      </c>
      <c r="K384" s="16">
        <v>1</v>
      </c>
      <c r="L384" s="15">
        <v>0</v>
      </c>
      <c r="M384" s="15">
        <f t="shared" si="50"/>
        <v>0</v>
      </c>
      <c r="N384" s="16">
        <v>0</v>
      </c>
      <c r="O384" s="16">
        <v>0</v>
      </c>
      <c r="P384" s="16">
        <v>0</v>
      </c>
      <c r="Q384" s="16">
        <v>0</v>
      </c>
      <c r="R384" s="16">
        <v>0</v>
      </c>
      <c r="S384" s="16">
        <v>0</v>
      </c>
      <c r="T384" s="15">
        <v>0</v>
      </c>
      <c r="U384" s="15">
        <v>0</v>
      </c>
      <c r="V384" s="15">
        <v>0</v>
      </c>
      <c r="W384" s="15">
        <v>0</v>
      </c>
      <c r="X384" s="15">
        <v>1</v>
      </c>
      <c r="Y384" s="15">
        <v>0</v>
      </c>
      <c r="Z384" s="33" t="s">
        <v>1195</v>
      </c>
    </row>
    <row r="385" spans="1:26" s="15" customFormat="1" ht="15" customHeight="1" x14ac:dyDescent="0.15">
      <c r="A385" s="15">
        <v>1087</v>
      </c>
      <c r="B385" s="15" t="s">
        <v>991</v>
      </c>
      <c r="C385" s="15">
        <f t="shared" si="49"/>
        <v>20</v>
      </c>
      <c r="D385" s="15">
        <v>1</v>
      </c>
      <c r="F385" s="12">
        <v>0</v>
      </c>
      <c r="G385" s="16">
        <v>0</v>
      </c>
      <c r="H385" s="16">
        <v>0</v>
      </c>
      <c r="I385" s="16">
        <v>1</v>
      </c>
      <c r="J385" s="16">
        <v>0</v>
      </c>
      <c r="K385" s="16">
        <v>1</v>
      </c>
      <c r="L385" s="15">
        <v>0</v>
      </c>
      <c r="M385" s="15">
        <f t="shared" si="50"/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5">
        <v>0</v>
      </c>
      <c r="U385" s="15">
        <v>0</v>
      </c>
      <c r="V385" s="15">
        <v>0</v>
      </c>
      <c r="W385" s="15">
        <v>0</v>
      </c>
      <c r="X385" s="15">
        <v>1</v>
      </c>
      <c r="Y385" s="15">
        <v>0</v>
      </c>
      <c r="Z385" s="33" t="s">
        <v>1196</v>
      </c>
    </row>
    <row r="386" spans="1:26" s="15" customFormat="1" ht="15" customHeight="1" x14ac:dyDescent="0.15">
      <c r="A386" s="15">
        <v>1088</v>
      </c>
      <c r="B386" s="15" t="s">
        <v>992</v>
      </c>
      <c r="C386" s="15">
        <f t="shared" si="49"/>
        <v>20</v>
      </c>
      <c r="D386" s="15">
        <v>1</v>
      </c>
      <c r="F386" s="12">
        <v>0</v>
      </c>
      <c r="G386" s="16">
        <v>0</v>
      </c>
      <c r="H386" s="16">
        <v>0</v>
      </c>
      <c r="I386" s="16">
        <v>1</v>
      </c>
      <c r="J386" s="16">
        <v>0</v>
      </c>
      <c r="K386" s="16">
        <v>1</v>
      </c>
      <c r="L386" s="15">
        <v>0</v>
      </c>
      <c r="M386" s="15">
        <f t="shared" si="50"/>
        <v>0</v>
      </c>
      <c r="N386" s="16">
        <v>0</v>
      </c>
      <c r="O386" s="16">
        <v>0</v>
      </c>
      <c r="P386" s="16">
        <v>0</v>
      </c>
      <c r="Q386" s="16">
        <v>0</v>
      </c>
      <c r="R386" s="16">
        <v>0</v>
      </c>
      <c r="S386" s="16">
        <v>0</v>
      </c>
      <c r="T386" s="15">
        <v>0</v>
      </c>
      <c r="U386" s="15">
        <v>0</v>
      </c>
      <c r="V386" s="15">
        <v>0</v>
      </c>
      <c r="W386" s="15">
        <v>0</v>
      </c>
      <c r="X386" s="15">
        <v>1</v>
      </c>
      <c r="Y386" s="15">
        <v>0</v>
      </c>
      <c r="Z386" s="33" t="s">
        <v>1197</v>
      </c>
    </row>
    <row r="387" spans="1:26" s="15" customFormat="1" ht="15" customHeight="1" x14ac:dyDescent="0.15">
      <c r="A387" s="15">
        <v>1089</v>
      </c>
      <c r="B387" s="15" t="s">
        <v>993</v>
      </c>
      <c r="C387" s="15">
        <f t="shared" si="49"/>
        <v>20</v>
      </c>
      <c r="D387" s="15">
        <v>1</v>
      </c>
      <c r="F387" s="12">
        <v>0</v>
      </c>
      <c r="G387" s="16">
        <v>0</v>
      </c>
      <c r="H387" s="16">
        <v>0</v>
      </c>
      <c r="I387" s="16">
        <v>1</v>
      </c>
      <c r="J387" s="16">
        <v>0</v>
      </c>
      <c r="K387" s="16">
        <v>1</v>
      </c>
      <c r="L387" s="15">
        <v>0</v>
      </c>
      <c r="M387" s="15">
        <f t="shared" si="50"/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5">
        <v>0</v>
      </c>
      <c r="U387" s="15">
        <v>0</v>
      </c>
      <c r="V387" s="15">
        <v>0</v>
      </c>
      <c r="W387" s="15">
        <v>0</v>
      </c>
      <c r="X387" s="15">
        <v>1</v>
      </c>
      <c r="Y387" s="15">
        <v>0</v>
      </c>
      <c r="Z387" s="33" t="s">
        <v>1198</v>
      </c>
    </row>
    <row r="388" spans="1:26" s="15" customFormat="1" ht="15" customHeight="1" x14ac:dyDescent="0.15">
      <c r="A388" s="15">
        <v>1090</v>
      </c>
      <c r="B388" s="15" t="s">
        <v>994</v>
      </c>
      <c r="C388" s="15">
        <f t="shared" si="49"/>
        <v>20</v>
      </c>
      <c r="D388" s="15">
        <v>1</v>
      </c>
      <c r="F388" s="12">
        <v>0</v>
      </c>
      <c r="G388" s="16">
        <v>0</v>
      </c>
      <c r="H388" s="16">
        <v>0</v>
      </c>
      <c r="I388" s="16">
        <v>1</v>
      </c>
      <c r="J388" s="16">
        <v>0</v>
      </c>
      <c r="K388" s="16">
        <v>1</v>
      </c>
      <c r="L388" s="15">
        <v>0</v>
      </c>
      <c r="M388" s="15">
        <f t="shared" si="50"/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0</v>
      </c>
      <c r="S388" s="16">
        <v>0</v>
      </c>
      <c r="T388" s="15">
        <v>0</v>
      </c>
      <c r="U388" s="15">
        <v>0</v>
      </c>
      <c r="V388" s="15">
        <v>0</v>
      </c>
      <c r="W388" s="15">
        <v>0</v>
      </c>
      <c r="X388" s="15">
        <v>1</v>
      </c>
      <c r="Y388" s="15">
        <v>0</v>
      </c>
      <c r="Z388" s="33" t="s">
        <v>1199</v>
      </c>
    </row>
    <row r="389" spans="1:26" s="15" customFormat="1" ht="15" customHeight="1" x14ac:dyDescent="0.15">
      <c r="A389" s="15">
        <v>1091</v>
      </c>
      <c r="B389" s="15" t="s">
        <v>995</v>
      </c>
      <c r="C389" s="15">
        <f t="shared" si="49"/>
        <v>20</v>
      </c>
      <c r="D389" s="15">
        <v>1</v>
      </c>
      <c r="F389" s="12">
        <v>0</v>
      </c>
      <c r="G389" s="16">
        <v>0</v>
      </c>
      <c r="H389" s="16">
        <v>0</v>
      </c>
      <c r="I389" s="16">
        <v>1</v>
      </c>
      <c r="J389" s="16">
        <v>0</v>
      </c>
      <c r="K389" s="16">
        <v>1</v>
      </c>
      <c r="L389" s="15">
        <v>0</v>
      </c>
      <c r="M389" s="15">
        <f t="shared" si="50"/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5">
        <v>0</v>
      </c>
      <c r="U389" s="15">
        <v>0</v>
      </c>
      <c r="V389" s="15">
        <v>0</v>
      </c>
      <c r="W389" s="15">
        <v>0</v>
      </c>
      <c r="X389" s="15">
        <v>1</v>
      </c>
      <c r="Y389" s="15">
        <v>0</v>
      </c>
      <c r="Z389" s="33" t="s">
        <v>1200</v>
      </c>
    </row>
    <row r="390" spans="1:26" s="15" customFormat="1" ht="15" customHeight="1" x14ac:dyDescent="0.15">
      <c r="A390" s="15">
        <v>1092</v>
      </c>
      <c r="B390" s="15" t="s">
        <v>996</v>
      </c>
      <c r="C390" s="15">
        <f t="shared" si="49"/>
        <v>20</v>
      </c>
      <c r="D390" s="15">
        <v>1</v>
      </c>
      <c r="F390" s="12">
        <v>0</v>
      </c>
      <c r="G390" s="16">
        <v>0</v>
      </c>
      <c r="H390" s="16">
        <v>0</v>
      </c>
      <c r="I390" s="16">
        <v>1</v>
      </c>
      <c r="J390" s="16">
        <v>0</v>
      </c>
      <c r="K390" s="16">
        <v>1</v>
      </c>
      <c r="L390" s="15">
        <v>0</v>
      </c>
      <c r="M390" s="15">
        <f t="shared" si="50"/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5">
        <v>0</v>
      </c>
      <c r="U390" s="15">
        <v>0</v>
      </c>
      <c r="V390" s="15">
        <v>0</v>
      </c>
      <c r="W390" s="15">
        <v>0</v>
      </c>
      <c r="X390" s="15">
        <v>1</v>
      </c>
      <c r="Y390" s="15">
        <v>0</v>
      </c>
      <c r="Z390" s="33" t="s">
        <v>1201</v>
      </c>
    </row>
    <row r="391" spans="1:26" s="15" customFormat="1" ht="15" customHeight="1" x14ac:dyDescent="0.15">
      <c r="A391" s="15">
        <v>1093</v>
      </c>
      <c r="B391" s="15" t="s">
        <v>997</v>
      </c>
      <c r="C391" s="15">
        <f t="shared" si="49"/>
        <v>20</v>
      </c>
      <c r="D391" s="15">
        <v>1</v>
      </c>
      <c r="F391" s="12">
        <v>0</v>
      </c>
      <c r="G391" s="16">
        <v>0</v>
      </c>
      <c r="H391" s="16">
        <v>0</v>
      </c>
      <c r="I391" s="16">
        <v>1</v>
      </c>
      <c r="J391" s="16">
        <v>0</v>
      </c>
      <c r="K391" s="16">
        <v>1</v>
      </c>
      <c r="L391" s="15">
        <v>0</v>
      </c>
      <c r="M391" s="15">
        <f t="shared" si="50"/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5">
        <v>0</v>
      </c>
      <c r="U391" s="15">
        <v>0</v>
      </c>
      <c r="V391" s="15">
        <v>0</v>
      </c>
      <c r="W391" s="15">
        <v>0</v>
      </c>
      <c r="X391" s="15">
        <v>1</v>
      </c>
      <c r="Y391" s="15">
        <v>0</v>
      </c>
      <c r="Z391" s="33" t="s">
        <v>1202</v>
      </c>
    </row>
    <row r="392" spans="1:26" s="15" customFormat="1" ht="15" customHeight="1" x14ac:dyDescent="0.15">
      <c r="A392" s="15">
        <v>1094</v>
      </c>
      <c r="B392" s="15" t="s">
        <v>998</v>
      </c>
      <c r="C392" s="15">
        <f t="shared" si="49"/>
        <v>20</v>
      </c>
      <c r="D392" s="15">
        <v>1</v>
      </c>
      <c r="F392" s="12">
        <v>0</v>
      </c>
      <c r="G392" s="16">
        <v>0</v>
      </c>
      <c r="H392" s="16">
        <v>0</v>
      </c>
      <c r="I392" s="16">
        <v>1</v>
      </c>
      <c r="J392" s="16">
        <v>0</v>
      </c>
      <c r="K392" s="16">
        <v>1</v>
      </c>
      <c r="L392" s="15">
        <v>0</v>
      </c>
      <c r="M392" s="15">
        <f t="shared" si="50"/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5">
        <v>0</v>
      </c>
      <c r="U392" s="15">
        <v>0</v>
      </c>
      <c r="V392" s="15">
        <v>0</v>
      </c>
      <c r="W392" s="15">
        <v>0</v>
      </c>
      <c r="X392" s="15">
        <v>1</v>
      </c>
      <c r="Y392" s="15">
        <v>0</v>
      </c>
      <c r="Z392" s="33" t="s">
        <v>1203</v>
      </c>
    </row>
    <row r="393" spans="1:26" s="15" customFormat="1" ht="15" customHeight="1" x14ac:dyDescent="0.15">
      <c r="A393" s="15">
        <v>1095</v>
      </c>
      <c r="B393" s="15" t="s">
        <v>999</v>
      </c>
      <c r="C393" s="15">
        <f t="shared" si="49"/>
        <v>20</v>
      </c>
      <c r="D393" s="15">
        <v>1</v>
      </c>
      <c r="F393" s="12">
        <v>0</v>
      </c>
      <c r="G393" s="16">
        <v>0</v>
      </c>
      <c r="H393" s="16">
        <v>0</v>
      </c>
      <c r="I393" s="16">
        <v>1</v>
      </c>
      <c r="J393" s="16">
        <v>0</v>
      </c>
      <c r="K393" s="16">
        <v>1</v>
      </c>
      <c r="L393" s="15">
        <v>0</v>
      </c>
      <c r="M393" s="15">
        <f t="shared" si="50"/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5">
        <v>0</v>
      </c>
      <c r="U393" s="15">
        <v>0</v>
      </c>
      <c r="V393" s="15">
        <v>0</v>
      </c>
      <c r="W393" s="15">
        <v>0</v>
      </c>
      <c r="X393" s="15">
        <v>1</v>
      </c>
      <c r="Y393" s="15">
        <v>0</v>
      </c>
      <c r="Z393" s="33" t="s">
        <v>1204</v>
      </c>
    </row>
    <row r="394" spans="1:26" s="15" customFormat="1" ht="15" customHeight="1" x14ac:dyDescent="0.15">
      <c r="A394" s="15">
        <v>1096</v>
      </c>
      <c r="B394" s="15" t="s">
        <v>1000</v>
      </c>
      <c r="C394" s="15">
        <f t="shared" si="49"/>
        <v>20</v>
      </c>
      <c r="D394" s="15">
        <v>1</v>
      </c>
      <c r="F394" s="12">
        <v>0</v>
      </c>
      <c r="G394" s="16">
        <v>0</v>
      </c>
      <c r="H394" s="16">
        <v>0</v>
      </c>
      <c r="I394" s="16">
        <v>1</v>
      </c>
      <c r="J394" s="16">
        <v>0</v>
      </c>
      <c r="K394" s="16">
        <v>1</v>
      </c>
      <c r="L394" s="15">
        <v>0</v>
      </c>
      <c r="M394" s="15">
        <f t="shared" si="50"/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5">
        <v>0</v>
      </c>
      <c r="U394" s="15">
        <v>0</v>
      </c>
      <c r="V394" s="15">
        <v>0</v>
      </c>
      <c r="W394" s="15">
        <v>0</v>
      </c>
      <c r="X394" s="15">
        <v>1</v>
      </c>
      <c r="Y394" s="15">
        <v>0</v>
      </c>
      <c r="Z394" s="33" t="s">
        <v>1205</v>
      </c>
    </row>
    <row r="395" spans="1:26" s="15" customFormat="1" ht="15" customHeight="1" x14ac:dyDescent="0.15">
      <c r="A395" s="15">
        <v>1097</v>
      </c>
      <c r="B395" s="15" t="s">
        <v>1001</v>
      </c>
      <c r="C395" s="15">
        <f t="shared" si="49"/>
        <v>20</v>
      </c>
      <c r="D395" s="15">
        <v>1</v>
      </c>
      <c r="F395" s="12">
        <v>0</v>
      </c>
      <c r="G395" s="16">
        <v>0</v>
      </c>
      <c r="H395" s="16">
        <v>0</v>
      </c>
      <c r="I395" s="16">
        <v>1</v>
      </c>
      <c r="J395" s="16">
        <v>0</v>
      </c>
      <c r="K395" s="16">
        <v>1</v>
      </c>
      <c r="L395" s="15">
        <v>0</v>
      </c>
      <c r="M395" s="15">
        <f t="shared" si="50"/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5">
        <v>0</v>
      </c>
      <c r="U395" s="15">
        <v>0</v>
      </c>
      <c r="V395" s="15">
        <v>0</v>
      </c>
      <c r="W395" s="15">
        <v>0</v>
      </c>
      <c r="X395" s="15">
        <v>1</v>
      </c>
      <c r="Y395" s="15">
        <v>0</v>
      </c>
      <c r="Z395" s="33" t="s">
        <v>1206</v>
      </c>
    </row>
    <row r="396" spans="1:26" s="15" customFormat="1" ht="15" customHeight="1" x14ac:dyDescent="0.15">
      <c r="A396" s="15">
        <v>1098</v>
      </c>
      <c r="B396" s="15" t="s">
        <v>1002</v>
      </c>
      <c r="C396" s="15">
        <f t="shared" si="49"/>
        <v>20</v>
      </c>
      <c r="D396" s="15">
        <v>1</v>
      </c>
      <c r="F396" s="12">
        <v>0</v>
      </c>
      <c r="G396" s="16">
        <v>0</v>
      </c>
      <c r="H396" s="16">
        <v>0</v>
      </c>
      <c r="I396" s="16">
        <v>1</v>
      </c>
      <c r="J396" s="16">
        <v>0</v>
      </c>
      <c r="K396" s="16">
        <v>1</v>
      </c>
      <c r="L396" s="15">
        <v>0</v>
      </c>
      <c r="M396" s="15">
        <f t="shared" si="50"/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5">
        <v>0</v>
      </c>
      <c r="U396" s="15">
        <v>0</v>
      </c>
      <c r="V396" s="15">
        <v>0</v>
      </c>
      <c r="W396" s="15">
        <v>0</v>
      </c>
      <c r="X396" s="15">
        <v>1</v>
      </c>
      <c r="Y396" s="15">
        <v>0</v>
      </c>
      <c r="Z396" s="33" t="s">
        <v>1207</v>
      </c>
    </row>
    <row r="397" spans="1:26" s="15" customFormat="1" ht="15" customHeight="1" x14ac:dyDescent="0.15">
      <c r="A397" s="15">
        <v>1099</v>
      </c>
      <c r="B397" s="15" t="s">
        <v>1003</v>
      </c>
      <c r="C397" s="15">
        <f t="shared" si="49"/>
        <v>20</v>
      </c>
      <c r="D397" s="15">
        <v>1</v>
      </c>
      <c r="F397" s="12">
        <v>0</v>
      </c>
      <c r="G397" s="16">
        <v>0</v>
      </c>
      <c r="H397" s="16">
        <v>0</v>
      </c>
      <c r="I397" s="16">
        <v>1</v>
      </c>
      <c r="J397" s="16">
        <v>0</v>
      </c>
      <c r="K397" s="16">
        <v>1</v>
      </c>
      <c r="L397" s="15">
        <v>0</v>
      </c>
      <c r="M397" s="15">
        <f t="shared" si="50"/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5">
        <v>0</v>
      </c>
      <c r="U397" s="15">
        <v>0</v>
      </c>
      <c r="V397" s="15">
        <v>0</v>
      </c>
      <c r="W397" s="15">
        <v>0</v>
      </c>
      <c r="X397" s="15">
        <v>1</v>
      </c>
      <c r="Y397" s="15">
        <v>0</v>
      </c>
      <c r="Z397" s="33" t="s">
        <v>1208</v>
      </c>
    </row>
    <row r="398" spans="1:26" s="15" customFormat="1" ht="15" customHeight="1" x14ac:dyDescent="0.15">
      <c r="A398" s="15">
        <v>1100</v>
      </c>
      <c r="B398" s="15" t="s">
        <v>1004</v>
      </c>
      <c r="C398" s="15">
        <f t="shared" si="49"/>
        <v>20</v>
      </c>
      <c r="D398" s="15">
        <v>1</v>
      </c>
      <c r="F398" s="12">
        <v>0</v>
      </c>
      <c r="G398" s="16">
        <v>0</v>
      </c>
      <c r="H398" s="16">
        <v>0</v>
      </c>
      <c r="I398" s="16">
        <v>1</v>
      </c>
      <c r="J398" s="16">
        <v>0</v>
      </c>
      <c r="K398" s="16">
        <v>1</v>
      </c>
      <c r="L398" s="15">
        <v>0</v>
      </c>
      <c r="M398" s="15">
        <f t="shared" si="50"/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5">
        <v>0</v>
      </c>
      <c r="U398" s="15">
        <v>0</v>
      </c>
      <c r="V398" s="15">
        <v>0</v>
      </c>
      <c r="W398" s="15">
        <v>0</v>
      </c>
      <c r="X398" s="15">
        <v>1</v>
      </c>
      <c r="Y398" s="15">
        <v>0</v>
      </c>
      <c r="Z398" s="33" t="s">
        <v>1209</v>
      </c>
    </row>
    <row r="399" spans="1:26" s="15" customFormat="1" ht="15" customHeight="1" x14ac:dyDescent="0.15">
      <c r="A399" s="15">
        <v>1101</v>
      </c>
      <c r="B399" s="15" t="s">
        <v>1005</v>
      </c>
      <c r="C399" s="15">
        <f t="shared" si="49"/>
        <v>20</v>
      </c>
      <c r="D399" s="15">
        <v>1</v>
      </c>
      <c r="F399" s="12">
        <v>0</v>
      </c>
      <c r="G399" s="16">
        <v>0</v>
      </c>
      <c r="H399" s="16">
        <v>0</v>
      </c>
      <c r="I399" s="16">
        <v>1</v>
      </c>
      <c r="J399" s="16">
        <v>0</v>
      </c>
      <c r="K399" s="16">
        <v>1</v>
      </c>
      <c r="L399" s="15">
        <v>0</v>
      </c>
      <c r="M399" s="15">
        <f t="shared" si="50"/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5">
        <v>0</v>
      </c>
      <c r="U399" s="15">
        <v>0</v>
      </c>
      <c r="V399" s="15">
        <v>0</v>
      </c>
      <c r="W399" s="15">
        <v>0</v>
      </c>
      <c r="X399" s="15">
        <v>1</v>
      </c>
      <c r="Y399" s="15">
        <v>0</v>
      </c>
      <c r="Z399" s="33" t="s">
        <v>1210</v>
      </c>
    </row>
    <row r="400" spans="1:26" s="15" customFormat="1" ht="15" customHeight="1" x14ac:dyDescent="0.15">
      <c r="A400" s="15">
        <v>1102</v>
      </c>
      <c r="B400" s="15" t="s">
        <v>1006</v>
      </c>
      <c r="C400" s="15">
        <f t="shared" si="49"/>
        <v>20</v>
      </c>
      <c r="D400" s="15">
        <v>1</v>
      </c>
      <c r="F400" s="12">
        <v>0</v>
      </c>
      <c r="G400" s="16">
        <v>0</v>
      </c>
      <c r="H400" s="16">
        <v>0</v>
      </c>
      <c r="I400" s="16">
        <v>1</v>
      </c>
      <c r="J400" s="16">
        <v>0</v>
      </c>
      <c r="K400" s="16">
        <v>1</v>
      </c>
      <c r="L400" s="15">
        <v>0</v>
      </c>
      <c r="M400" s="15">
        <f t="shared" si="50"/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5">
        <v>0</v>
      </c>
      <c r="U400" s="15">
        <v>0</v>
      </c>
      <c r="V400" s="15">
        <v>0</v>
      </c>
      <c r="W400" s="15">
        <v>0</v>
      </c>
      <c r="X400" s="15">
        <v>1</v>
      </c>
      <c r="Y400" s="15">
        <v>0</v>
      </c>
      <c r="Z400" s="33" t="s">
        <v>1211</v>
      </c>
    </row>
    <row r="401" spans="1:26" s="15" customFormat="1" ht="15" customHeight="1" x14ac:dyDescent="0.15">
      <c r="A401" s="15">
        <v>1103</v>
      </c>
      <c r="B401" s="15" t="s">
        <v>1007</v>
      </c>
      <c r="C401" s="15">
        <f t="shared" si="49"/>
        <v>20</v>
      </c>
      <c r="D401" s="15">
        <v>1</v>
      </c>
      <c r="F401" s="12">
        <v>0</v>
      </c>
      <c r="G401" s="16">
        <v>0</v>
      </c>
      <c r="H401" s="16">
        <v>0</v>
      </c>
      <c r="I401" s="16">
        <v>1</v>
      </c>
      <c r="J401" s="16">
        <v>0</v>
      </c>
      <c r="K401" s="16">
        <v>1</v>
      </c>
      <c r="L401" s="15">
        <v>0</v>
      </c>
      <c r="M401" s="15">
        <f t="shared" si="50"/>
        <v>0</v>
      </c>
      <c r="N401" s="16">
        <v>0</v>
      </c>
      <c r="O401" s="16">
        <v>0</v>
      </c>
      <c r="P401" s="16">
        <v>0</v>
      </c>
      <c r="Q401" s="16">
        <v>0</v>
      </c>
      <c r="R401" s="16">
        <v>0</v>
      </c>
      <c r="S401" s="16">
        <v>0</v>
      </c>
      <c r="T401" s="15">
        <v>0</v>
      </c>
      <c r="U401" s="15">
        <v>0</v>
      </c>
      <c r="V401" s="15">
        <v>0</v>
      </c>
      <c r="W401" s="15">
        <v>0</v>
      </c>
      <c r="X401" s="15">
        <v>1</v>
      </c>
      <c r="Y401" s="15">
        <v>0</v>
      </c>
      <c r="Z401" s="33" t="s">
        <v>1212</v>
      </c>
    </row>
    <row r="402" spans="1:26" s="15" customFormat="1" ht="15" customHeight="1" x14ac:dyDescent="0.15">
      <c r="A402" s="15">
        <v>1104</v>
      </c>
      <c r="B402" s="15" t="s">
        <v>1008</v>
      </c>
      <c r="C402" s="15">
        <f t="shared" si="49"/>
        <v>20</v>
      </c>
      <c r="D402" s="15">
        <v>1</v>
      </c>
      <c r="F402" s="12">
        <v>0</v>
      </c>
      <c r="G402" s="16">
        <v>0</v>
      </c>
      <c r="H402" s="16">
        <v>0</v>
      </c>
      <c r="I402" s="16">
        <v>1</v>
      </c>
      <c r="J402" s="16">
        <v>0</v>
      </c>
      <c r="K402" s="16">
        <v>1</v>
      </c>
      <c r="L402" s="15">
        <v>0</v>
      </c>
      <c r="M402" s="15">
        <f t="shared" si="50"/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5">
        <v>0</v>
      </c>
      <c r="U402" s="15">
        <v>0</v>
      </c>
      <c r="V402" s="15">
        <v>0</v>
      </c>
      <c r="W402" s="15">
        <v>0</v>
      </c>
      <c r="X402" s="15">
        <v>1</v>
      </c>
      <c r="Y402" s="15">
        <v>0</v>
      </c>
      <c r="Z402" s="33" t="s">
        <v>1213</v>
      </c>
    </row>
    <row r="403" spans="1:26" s="15" customFormat="1" ht="15" customHeight="1" x14ac:dyDescent="0.15">
      <c r="A403" s="15">
        <v>1105</v>
      </c>
      <c r="B403" s="15" t="s">
        <v>1009</v>
      </c>
      <c r="C403" s="15">
        <f t="shared" si="49"/>
        <v>20</v>
      </c>
      <c r="D403" s="15">
        <v>1</v>
      </c>
      <c r="F403" s="12">
        <v>0</v>
      </c>
      <c r="G403" s="16">
        <v>0</v>
      </c>
      <c r="H403" s="16">
        <v>0</v>
      </c>
      <c r="I403" s="16">
        <v>1</v>
      </c>
      <c r="J403" s="16">
        <v>0</v>
      </c>
      <c r="K403" s="16">
        <v>1</v>
      </c>
      <c r="L403" s="15">
        <v>0</v>
      </c>
      <c r="M403" s="15">
        <f t="shared" si="50"/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0</v>
      </c>
      <c r="S403" s="16">
        <v>0</v>
      </c>
      <c r="T403" s="15">
        <v>0</v>
      </c>
      <c r="U403" s="15">
        <v>0</v>
      </c>
      <c r="V403" s="15">
        <v>0</v>
      </c>
      <c r="W403" s="15">
        <v>0</v>
      </c>
      <c r="X403" s="15">
        <v>1</v>
      </c>
      <c r="Y403" s="15">
        <v>0</v>
      </c>
      <c r="Z403" s="33" t="s">
        <v>1214</v>
      </c>
    </row>
    <row r="404" spans="1:26" s="15" customFormat="1" ht="15" customHeight="1" x14ac:dyDescent="0.15">
      <c r="A404" s="15">
        <v>1106</v>
      </c>
      <c r="B404" s="15" t="s">
        <v>1010</v>
      </c>
      <c r="C404" s="15">
        <f t="shared" si="49"/>
        <v>20</v>
      </c>
      <c r="D404" s="15">
        <v>1</v>
      </c>
      <c r="F404" s="12">
        <v>0</v>
      </c>
      <c r="G404" s="16">
        <v>0</v>
      </c>
      <c r="H404" s="16">
        <v>0</v>
      </c>
      <c r="I404" s="16">
        <v>1</v>
      </c>
      <c r="J404" s="16">
        <v>0</v>
      </c>
      <c r="K404" s="16">
        <v>1</v>
      </c>
      <c r="L404" s="15">
        <v>0</v>
      </c>
      <c r="M404" s="15">
        <f t="shared" si="50"/>
        <v>0</v>
      </c>
      <c r="N404" s="16">
        <v>0</v>
      </c>
      <c r="O404" s="16">
        <v>0</v>
      </c>
      <c r="P404" s="16">
        <v>0</v>
      </c>
      <c r="Q404" s="16">
        <v>0</v>
      </c>
      <c r="R404" s="16">
        <v>0</v>
      </c>
      <c r="S404" s="16">
        <v>0</v>
      </c>
      <c r="T404" s="15">
        <v>0</v>
      </c>
      <c r="U404" s="15">
        <v>0</v>
      </c>
      <c r="V404" s="15">
        <v>0</v>
      </c>
      <c r="W404" s="15">
        <v>0</v>
      </c>
      <c r="X404" s="15">
        <v>1</v>
      </c>
      <c r="Y404" s="15">
        <v>0</v>
      </c>
      <c r="Z404" s="33" t="s">
        <v>1215</v>
      </c>
    </row>
    <row r="405" spans="1:26" s="15" customFormat="1" ht="15" customHeight="1" x14ac:dyDescent="0.15">
      <c r="A405" s="15">
        <v>1107</v>
      </c>
      <c r="B405" s="15" t="s">
        <v>1011</v>
      </c>
      <c r="C405" s="15">
        <f t="shared" si="49"/>
        <v>20</v>
      </c>
      <c r="D405" s="15">
        <v>1</v>
      </c>
      <c r="F405" s="12">
        <v>0</v>
      </c>
      <c r="G405" s="16">
        <v>0</v>
      </c>
      <c r="H405" s="16">
        <v>0</v>
      </c>
      <c r="I405" s="16">
        <v>1</v>
      </c>
      <c r="J405" s="16">
        <v>0</v>
      </c>
      <c r="K405" s="16">
        <v>1</v>
      </c>
      <c r="L405" s="15">
        <v>0</v>
      </c>
      <c r="M405" s="15">
        <f t="shared" si="50"/>
        <v>0</v>
      </c>
      <c r="N405" s="16">
        <v>0</v>
      </c>
      <c r="O405" s="16">
        <v>0</v>
      </c>
      <c r="P405" s="16">
        <v>0</v>
      </c>
      <c r="Q405" s="16">
        <v>0</v>
      </c>
      <c r="R405" s="16">
        <v>0</v>
      </c>
      <c r="S405" s="16">
        <v>0</v>
      </c>
      <c r="T405" s="15">
        <v>0</v>
      </c>
      <c r="U405" s="15">
        <v>0</v>
      </c>
      <c r="V405" s="15">
        <v>0</v>
      </c>
      <c r="W405" s="15">
        <v>0</v>
      </c>
      <c r="X405" s="15">
        <v>1</v>
      </c>
      <c r="Y405" s="15">
        <v>0</v>
      </c>
      <c r="Z405" s="33" t="s">
        <v>1216</v>
      </c>
    </row>
    <row r="406" spans="1:26" s="15" customFormat="1" ht="15" customHeight="1" x14ac:dyDescent="0.15">
      <c r="A406" s="15">
        <v>1108</v>
      </c>
      <c r="B406" s="15" t="s">
        <v>1012</v>
      </c>
      <c r="C406" s="15">
        <f t="shared" si="49"/>
        <v>20</v>
      </c>
      <c r="D406" s="15">
        <v>1</v>
      </c>
      <c r="F406" s="12">
        <v>0</v>
      </c>
      <c r="G406" s="16">
        <v>0</v>
      </c>
      <c r="H406" s="16">
        <v>0</v>
      </c>
      <c r="I406" s="16">
        <v>1</v>
      </c>
      <c r="J406" s="16">
        <v>0</v>
      </c>
      <c r="K406" s="16">
        <v>1</v>
      </c>
      <c r="L406" s="15">
        <v>0</v>
      </c>
      <c r="M406" s="15">
        <f t="shared" si="50"/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5">
        <v>0</v>
      </c>
      <c r="U406" s="15">
        <v>0</v>
      </c>
      <c r="V406" s="15">
        <v>0</v>
      </c>
      <c r="W406" s="15">
        <v>0</v>
      </c>
      <c r="X406" s="15">
        <v>1</v>
      </c>
      <c r="Y406" s="15">
        <v>0</v>
      </c>
      <c r="Z406" s="33" t="s">
        <v>1217</v>
      </c>
    </row>
    <row r="407" spans="1:26" s="15" customFormat="1" ht="15" customHeight="1" x14ac:dyDescent="0.15">
      <c r="A407" s="15">
        <v>1109</v>
      </c>
      <c r="B407" s="15" t="s">
        <v>1013</v>
      </c>
      <c r="C407" s="15">
        <f t="shared" si="49"/>
        <v>20</v>
      </c>
      <c r="D407" s="15">
        <v>1</v>
      </c>
      <c r="F407" s="12">
        <v>0</v>
      </c>
      <c r="G407" s="16">
        <v>0</v>
      </c>
      <c r="H407" s="16">
        <v>0</v>
      </c>
      <c r="I407" s="16">
        <v>1</v>
      </c>
      <c r="J407" s="16">
        <v>0</v>
      </c>
      <c r="K407" s="16">
        <v>1</v>
      </c>
      <c r="L407" s="15">
        <v>0</v>
      </c>
      <c r="M407" s="15">
        <f t="shared" si="50"/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5">
        <v>0</v>
      </c>
      <c r="U407" s="15">
        <v>0</v>
      </c>
      <c r="V407" s="15">
        <v>0</v>
      </c>
      <c r="W407" s="15">
        <v>0</v>
      </c>
      <c r="X407" s="15">
        <v>1</v>
      </c>
      <c r="Y407" s="15">
        <v>0</v>
      </c>
      <c r="Z407" s="33" t="s">
        <v>1218</v>
      </c>
    </row>
    <row r="408" spans="1:26" s="15" customFormat="1" ht="15" customHeight="1" x14ac:dyDescent="0.15">
      <c r="A408" s="15">
        <v>1110</v>
      </c>
      <c r="B408" s="15" t="s">
        <v>1014</v>
      </c>
      <c r="C408" s="15">
        <f t="shared" si="49"/>
        <v>20</v>
      </c>
      <c r="D408" s="15">
        <v>1</v>
      </c>
      <c r="F408" s="12">
        <v>0</v>
      </c>
      <c r="G408" s="16">
        <v>0</v>
      </c>
      <c r="H408" s="16">
        <v>0</v>
      </c>
      <c r="I408" s="16">
        <v>1</v>
      </c>
      <c r="J408" s="16">
        <v>0</v>
      </c>
      <c r="K408" s="16">
        <v>1</v>
      </c>
      <c r="L408" s="15">
        <v>0</v>
      </c>
      <c r="M408" s="15">
        <f t="shared" si="50"/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5">
        <v>0</v>
      </c>
      <c r="U408" s="15">
        <v>0</v>
      </c>
      <c r="V408" s="15">
        <v>0</v>
      </c>
      <c r="W408" s="15">
        <v>0</v>
      </c>
      <c r="X408" s="15">
        <v>1</v>
      </c>
      <c r="Y408" s="15">
        <v>0</v>
      </c>
      <c r="Z408" s="33" t="s">
        <v>1219</v>
      </c>
    </row>
    <row r="409" spans="1:26" s="15" customFormat="1" ht="15" customHeight="1" x14ac:dyDescent="0.15">
      <c r="A409" s="15">
        <v>1111</v>
      </c>
      <c r="B409" s="15" t="s">
        <v>1015</v>
      </c>
      <c r="C409" s="15">
        <f t="shared" si="49"/>
        <v>20</v>
      </c>
      <c r="D409" s="15">
        <v>1</v>
      </c>
      <c r="F409" s="12">
        <v>0</v>
      </c>
      <c r="G409" s="16">
        <v>0</v>
      </c>
      <c r="H409" s="16">
        <v>0</v>
      </c>
      <c r="I409" s="16">
        <v>1</v>
      </c>
      <c r="J409" s="16">
        <v>0</v>
      </c>
      <c r="K409" s="16">
        <v>1</v>
      </c>
      <c r="L409" s="15">
        <v>0</v>
      </c>
      <c r="M409" s="15">
        <f t="shared" si="50"/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5">
        <v>0</v>
      </c>
      <c r="U409" s="15">
        <v>0</v>
      </c>
      <c r="V409" s="15">
        <v>0</v>
      </c>
      <c r="W409" s="15">
        <v>0</v>
      </c>
      <c r="X409" s="15">
        <v>1</v>
      </c>
      <c r="Y409" s="15">
        <v>0</v>
      </c>
      <c r="Z409" s="33" t="s">
        <v>1220</v>
      </c>
    </row>
    <row r="410" spans="1:26" s="15" customFormat="1" ht="15" customHeight="1" x14ac:dyDescent="0.15">
      <c r="A410" s="15">
        <v>1112</v>
      </c>
      <c r="B410" s="15" t="s">
        <v>1016</v>
      </c>
      <c r="C410" s="15">
        <f t="shared" si="49"/>
        <v>20</v>
      </c>
      <c r="D410" s="15">
        <v>1</v>
      </c>
      <c r="F410" s="12">
        <v>0</v>
      </c>
      <c r="G410" s="16">
        <v>0</v>
      </c>
      <c r="H410" s="16">
        <v>0</v>
      </c>
      <c r="I410" s="16">
        <v>1</v>
      </c>
      <c r="J410" s="16">
        <v>0</v>
      </c>
      <c r="K410" s="16">
        <v>1</v>
      </c>
      <c r="L410" s="15">
        <v>0</v>
      </c>
      <c r="M410" s="15">
        <f t="shared" si="50"/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5">
        <v>0</v>
      </c>
      <c r="U410" s="15">
        <v>0</v>
      </c>
      <c r="V410" s="15">
        <v>0</v>
      </c>
      <c r="W410" s="15">
        <v>0</v>
      </c>
      <c r="X410" s="15">
        <v>1</v>
      </c>
      <c r="Y410" s="15">
        <v>0</v>
      </c>
      <c r="Z410" s="33" t="s">
        <v>1221</v>
      </c>
    </row>
    <row r="411" spans="1:26" s="15" customFormat="1" ht="15" customHeight="1" x14ac:dyDescent="0.15">
      <c r="A411" s="15">
        <v>1113</v>
      </c>
      <c r="B411" s="15" t="s">
        <v>1017</v>
      </c>
      <c r="C411" s="15">
        <f t="shared" si="49"/>
        <v>20</v>
      </c>
      <c r="D411" s="15">
        <v>1</v>
      </c>
      <c r="F411" s="12">
        <v>0</v>
      </c>
      <c r="G411" s="16">
        <v>0</v>
      </c>
      <c r="H411" s="16">
        <v>0</v>
      </c>
      <c r="I411" s="16">
        <v>1</v>
      </c>
      <c r="J411" s="16">
        <v>0</v>
      </c>
      <c r="K411" s="16">
        <v>1</v>
      </c>
      <c r="L411" s="15">
        <v>0</v>
      </c>
      <c r="M411" s="15">
        <f t="shared" si="50"/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5">
        <v>0</v>
      </c>
      <c r="U411" s="15">
        <v>0</v>
      </c>
      <c r="V411" s="15">
        <v>0</v>
      </c>
      <c r="W411" s="15">
        <v>0</v>
      </c>
      <c r="X411" s="15">
        <v>1</v>
      </c>
      <c r="Y411" s="15">
        <v>0</v>
      </c>
      <c r="Z411" s="33" t="s">
        <v>1222</v>
      </c>
    </row>
    <row r="412" spans="1:26" s="15" customFormat="1" ht="15" customHeight="1" x14ac:dyDescent="0.15">
      <c r="A412" s="15">
        <v>1114</v>
      </c>
      <c r="B412" s="15" t="s">
        <v>1018</v>
      </c>
      <c r="C412" s="15">
        <f t="shared" si="49"/>
        <v>20</v>
      </c>
      <c r="D412" s="15">
        <v>1</v>
      </c>
      <c r="F412" s="12">
        <v>0</v>
      </c>
      <c r="G412" s="16">
        <v>0</v>
      </c>
      <c r="H412" s="16">
        <v>0</v>
      </c>
      <c r="I412" s="16">
        <v>1</v>
      </c>
      <c r="J412" s="16">
        <v>0</v>
      </c>
      <c r="K412" s="16">
        <v>1</v>
      </c>
      <c r="L412" s="15">
        <v>0</v>
      </c>
      <c r="M412" s="15">
        <f t="shared" si="50"/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5">
        <v>0</v>
      </c>
      <c r="U412" s="15">
        <v>0</v>
      </c>
      <c r="V412" s="15">
        <v>0</v>
      </c>
      <c r="W412" s="15">
        <v>0</v>
      </c>
      <c r="X412" s="15">
        <v>1</v>
      </c>
      <c r="Y412" s="15">
        <v>0</v>
      </c>
      <c r="Z412" s="33" t="s">
        <v>1223</v>
      </c>
    </row>
    <row r="413" spans="1:26" s="15" customFormat="1" ht="15" customHeight="1" x14ac:dyDescent="0.15">
      <c r="A413" s="15">
        <v>1115</v>
      </c>
      <c r="B413" s="15" t="s">
        <v>1019</v>
      </c>
      <c r="C413" s="15">
        <f t="shared" si="49"/>
        <v>20</v>
      </c>
      <c r="D413" s="15">
        <v>1</v>
      </c>
      <c r="F413" s="12">
        <v>0</v>
      </c>
      <c r="G413" s="16">
        <v>0</v>
      </c>
      <c r="H413" s="16">
        <v>0</v>
      </c>
      <c r="I413" s="16">
        <v>1</v>
      </c>
      <c r="J413" s="16">
        <v>0</v>
      </c>
      <c r="K413" s="16">
        <v>1</v>
      </c>
      <c r="L413" s="15">
        <v>0</v>
      </c>
      <c r="M413" s="15">
        <f t="shared" si="50"/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5">
        <v>0</v>
      </c>
      <c r="U413" s="15">
        <v>0</v>
      </c>
      <c r="V413" s="15">
        <v>0</v>
      </c>
      <c r="W413" s="15">
        <v>0</v>
      </c>
      <c r="X413" s="15">
        <v>1</v>
      </c>
      <c r="Y413" s="15">
        <v>0</v>
      </c>
      <c r="Z413" s="33" t="s">
        <v>1224</v>
      </c>
    </row>
    <row r="414" spans="1:26" s="15" customFormat="1" ht="15" customHeight="1" x14ac:dyDescent="0.15">
      <c r="A414" s="15">
        <v>1116</v>
      </c>
      <c r="B414" s="15" t="s">
        <v>1020</v>
      </c>
      <c r="C414" s="15">
        <f t="shared" si="49"/>
        <v>20</v>
      </c>
      <c r="D414" s="15">
        <v>1</v>
      </c>
      <c r="F414" s="12">
        <v>0</v>
      </c>
      <c r="G414" s="16">
        <v>0</v>
      </c>
      <c r="H414" s="16">
        <v>0</v>
      </c>
      <c r="I414" s="16">
        <v>1</v>
      </c>
      <c r="J414" s="16">
        <v>0</v>
      </c>
      <c r="K414" s="16">
        <v>1</v>
      </c>
      <c r="L414" s="15">
        <v>0</v>
      </c>
      <c r="M414" s="15">
        <f t="shared" si="50"/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5">
        <v>0</v>
      </c>
      <c r="U414" s="15">
        <v>0</v>
      </c>
      <c r="V414" s="15">
        <v>0</v>
      </c>
      <c r="W414" s="15">
        <v>0</v>
      </c>
      <c r="X414" s="15">
        <v>1</v>
      </c>
      <c r="Y414" s="15">
        <v>0</v>
      </c>
      <c r="Z414" s="33" t="s">
        <v>1225</v>
      </c>
    </row>
    <row r="415" spans="1:26" s="15" customFormat="1" ht="15" customHeight="1" x14ac:dyDescent="0.15">
      <c r="A415" s="15">
        <v>1117</v>
      </c>
      <c r="B415" s="15" t="s">
        <v>1021</v>
      </c>
      <c r="C415" s="15">
        <f t="shared" si="49"/>
        <v>20</v>
      </c>
      <c r="D415" s="15">
        <v>1</v>
      </c>
      <c r="F415" s="12">
        <v>0</v>
      </c>
      <c r="G415" s="16">
        <v>0</v>
      </c>
      <c r="H415" s="16">
        <v>0</v>
      </c>
      <c r="I415" s="16">
        <v>1</v>
      </c>
      <c r="J415" s="16">
        <v>0</v>
      </c>
      <c r="K415" s="16">
        <v>1</v>
      </c>
      <c r="L415" s="15">
        <v>0</v>
      </c>
      <c r="M415" s="15">
        <f t="shared" si="50"/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5">
        <v>0</v>
      </c>
      <c r="U415" s="15">
        <v>0</v>
      </c>
      <c r="V415" s="15">
        <v>0</v>
      </c>
      <c r="W415" s="15">
        <v>0</v>
      </c>
      <c r="X415" s="15">
        <v>1</v>
      </c>
      <c r="Y415" s="15">
        <v>0</v>
      </c>
      <c r="Z415" s="33" t="s">
        <v>1226</v>
      </c>
    </row>
    <row r="416" spans="1:26" s="15" customFormat="1" ht="15" customHeight="1" x14ac:dyDescent="0.15">
      <c r="A416" s="15">
        <v>1118</v>
      </c>
      <c r="B416" s="15" t="s">
        <v>1022</v>
      </c>
      <c r="C416" s="15">
        <f t="shared" si="49"/>
        <v>20</v>
      </c>
      <c r="D416" s="15">
        <v>1</v>
      </c>
      <c r="F416" s="12">
        <v>0</v>
      </c>
      <c r="G416" s="16">
        <v>0</v>
      </c>
      <c r="H416" s="16">
        <v>0</v>
      </c>
      <c r="I416" s="16">
        <v>1</v>
      </c>
      <c r="J416" s="16">
        <v>0</v>
      </c>
      <c r="K416" s="16">
        <v>1</v>
      </c>
      <c r="L416" s="15">
        <v>0</v>
      </c>
      <c r="M416" s="15">
        <f t="shared" si="50"/>
        <v>0</v>
      </c>
      <c r="N416" s="16">
        <v>0</v>
      </c>
      <c r="O416" s="16">
        <v>0</v>
      </c>
      <c r="P416" s="16">
        <v>0</v>
      </c>
      <c r="Q416" s="16">
        <v>0</v>
      </c>
      <c r="R416" s="16">
        <v>0</v>
      </c>
      <c r="S416" s="16">
        <v>0</v>
      </c>
      <c r="T416" s="15">
        <v>0</v>
      </c>
      <c r="U416" s="15">
        <v>0</v>
      </c>
      <c r="V416" s="15">
        <v>0</v>
      </c>
      <c r="W416" s="15">
        <v>0</v>
      </c>
      <c r="X416" s="15">
        <v>1</v>
      </c>
      <c r="Y416" s="15">
        <v>0</v>
      </c>
      <c r="Z416" s="33" t="s">
        <v>1227</v>
      </c>
    </row>
    <row r="417" spans="1:26" s="15" customFormat="1" ht="15" customHeight="1" x14ac:dyDescent="0.15">
      <c r="A417" s="15">
        <v>1119</v>
      </c>
      <c r="B417" s="15" t="s">
        <v>1023</v>
      </c>
      <c r="C417" s="15">
        <f t="shared" ref="C417:C444" si="51">G417+H417*2+I417*4+J417*8+K417*16</f>
        <v>20</v>
      </c>
      <c r="D417" s="15">
        <v>1</v>
      </c>
      <c r="F417" s="12">
        <v>0</v>
      </c>
      <c r="G417" s="16">
        <v>0</v>
      </c>
      <c r="H417" s="16">
        <v>0</v>
      </c>
      <c r="I417" s="16">
        <v>1</v>
      </c>
      <c r="J417" s="16">
        <v>0</v>
      </c>
      <c r="K417" s="16">
        <v>1</v>
      </c>
      <c r="L417" s="15">
        <v>0</v>
      </c>
      <c r="M417" s="15">
        <f t="shared" ref="M417:M444" si="52">N417+O417*2+P417*4+Q417*8+R417*16+S417*32</f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5">
        <v>0</v>
      </c>
      <c r="U417" s="15">
        <v>0</v>
      </c>
      <c r="V417" s="15">
        <v>0</v>
      </c>
      <c r="W417" s="15">
        <v>0</v>
      </c>
      <c r="X417" s="15">
        <v>1</v>
      </c>
      <c r="Y417" s="15">
        <v>0</v>
      </c>
      <c r="Z417" s="33" t="s">
        <v>1228</v>
      </c>
    </row>
    <row r="418" spans="1:26" s="15" customFormat="1" ht="15" customHeight="1" x14ac:dyDescent="0.15">
      <c r="A418" s="15">
        <v>1120</v>
      </c>
      <c r="B418" s="15" t="s">
        <v>1024</v>
      </c>
      <c r="C418" s="15">
        <f t="shared" si="51"/>
        <v>20</v>
      </c>
      <c r="D418" s="15">
        <v>1</v>
      </c>
      <c r="F418" s="12">
        <v>0</v>
      </c>
      <c r="G418" s="16">
        <v>0</v>
      </c>
      <c r="H418" s="16">
        <v>0</v>
      </c>
      <c r="I418" s="16">
        <v>1</v>
      </c>
      <c r="J418" s="16">
        <v>0</v>
      </c>
      <c r="K418" s="16">
        <v>1</v>
      </c>
      <c r="L418" s="15">
        <v>0</v>
      </c>
      <c r="M418" s="15">
        <f t="shared" si="52"/>
        <v>0</v>
      </c>
      <c r="N418" s="16">
        <v>0</v>
      </c>
      <c r="O418" s="16">
        <v>0</v>
      </c>
      <c r="P418" s="16">
        <v>0</v>
      </c>
      <c r="Q418" s="16">
        <v>0</v>
      </c>
      <c r="R418" s="16">
        <v>0</v>
      </c>
      <c r="S418" s="16">
        <v>0</v>
      </c>
      <c r="T418" s="15">
        <v>0</v>
      </c>
      <c r="U418" s="15">
        <v>0</v>
      </c>
      <c r="V418" s="15">
        <v>0</v>
      </c>
      <c r="W418" s="15">
        <v>0</v>
      </c>
      <c r="X418" s="15">
        <v>1</v>
      </c>
      <c r="Y418" s="15">
        <v>0</v>
      </c>
      <c r="Z418" s="33" t="s">
        <v>1229</v>
      </c>
    </row>
    <row r="419" spans="1:26" s="15" customFormat="1" ht="15" customHeight="1" x14ac:dyDescent="0.15">
      <c r="A419" s="15">
        <v>1121</v>
      </c>
      <c r="B419" s="15" t="s">
        <v>1025</v>
      </c>
      <c r="C419" s="15">
        <f t="shared" si="51"/>
        <v>20</v>
      </c>
      <c r="D419" s="15">
        <v>1</v>
      </c>
      <c r="F419" s="12">
        <v>0</v>
      </c>
      <c r="G419" s="16">
        <v>0</v>
      </c>
      <c r="H419" s="16">
        <v>0</v>
      </c>
      <c r="I419" s="16">
        <v>1</v>
      </c>
      <c r="J419" s="16">
        <v>0</v>
      </c>
      <c r="K419" s="16">
        <v>1</v>
      </c>
      <c r="L419" s="15">
        <v>0</v>
      </c>
      <c r="M419" s="15">
        <f t="shared" si="52"/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5">
        <v>0</v>
      </c>
      <c r="U419" s="15">
        <v>0</v>
      </c>
      <c r="V419" s="15">
        <v>0</v>
      </c>
      <c r="W419" s="15">
        <v>0</v>
      </c>
      <c r="X419" s="15">
        <v>1</v>
      </c>
      <c r="Y419" s="15">
        <v>0</v>
      </c>
      <c r="Z419" s="33" t="s">
        <v>1128</v>
      </c>
    </row>
    <row r="420" spans="1:26" s="15" customFormat="1" ht="15" customHeight="1" x14ac:dyDescent="0.15">
      <c r="A420" s="15">
        <v>1122</v>
      </c>
      <c r="B420" s="15" t="s">
        <v>1026</v>
      </c>
      <c r="C420" s="15">
        <f t="shared" si="51"/>
        <v>20</v>
      </c>
      <c r="D420" s="15">
        <v>1</v>
      </c>
      <c r="F420" s="12">
        <v>0</v>
      </c>
      <c r="G420" s="16">
        <v>0</v>
      </c>
      <c r="H420" s="16">
        <v>0</v>
      </c>
      <c r="I420" s="16">
        <v>1</v>
      </c>
      <c r="J420" s="16">
        <v>0</v>
      </c>
      <c r="K420" s="16">
        <v>1</v>
      </c>
      <c r="L420" s="15">
        <v>0</v>
      </c>
      <c r="M420" s="15">
        <f t="shared" si="52"/>
        <v>0</v>
      </c>
      <c r="N420" s="16">
        <v>0</v>
      </c>
      <c r="O420" s="16">
        <v>0</v>
      </c>
      <c r="P420" s="16">
        <v>0</v>
      </c>
      <c r="Q420" s="16">
        <v>0</v>
      </c>
      <c r="R420" s="16">
        <v>0</v>
      </c>
      <c r="S420" s="16">
        <v>0</v>
      </c>
      <c r="T420" s="15">
        <v>0</v>
      </c>
      <c r="U420" s="15">
        <v>0</v>
      </c>
      <c r="V420" s="15">
        <v>0</v>
      </c>
      <c r="W420" s="15">
        <v>0</v>
      </c>
      <c r="X420" s="15">
        <v>1</v>
      </c>
      <c r="Y420" s="15">
        <v>0</v>
      </c>
      <c r="Z420" s="33" t="s">
        <v>1129</v>
      </c>
    </row>
    <row r="421" spans="1:26" s="15" customFormat="1" ht="15" customHeight="1" x14ac:dyDescent="0.15">
      <c r="A421" s="15">
        <v>1123</v>
      </c>
      <c r="B421" s="15" t="s">
        <v>1027</v>
      </c>
      <c r="C421" s="15">
        <f t="shared" si="51"/>
        <v>20</v>
      </c>
      <c r="D421" s="15">
        <v>1</v>
      </c>
      <c r="F421" s="12">
        <v>0</v>
      </c>
      <c r="G421" s="16">
        <v>0</v>
      </c>
      <c r="H421" s="16">
        <v>0</v>
      </c>
      <c r="I421" s="16">
        <v>1</v>
      </c>
      <c r="J421" s="16">
        <v>0</v>
      </c>
      <c r="K421" s="16">
        <v>1</v>
      </c>
      <c r="L421" s="15">
        <v>0</v>
      </c>
      <c r="M421" s="15">
        <f t="shared" si="52"/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5">
        <v>0</v>
      </c>
      <c r="U421" s="15">
        <v>0</v>
      </c>
      <c r="V421" s="15">
        <v>0</v>
      </c>
      <c r="W421" s="15">
        <v>0</v>
      </c>
      <c r="X421" s="15">
        <v>1</v>
      </c>
      <c r="Y421" s="15">
        <v>0</v>
      </c>
      <c r="Z421" s="33" t="s">
        <v>1130</v>
      </c>
    </row>
    <row r="422" spans="1:26" s="15" customFormat="1" ht="15" customHeight="1" x14ac:dyDescent="0.15">
      <c r="A422" s="15">
        <v>1124</v>
      </c>
      <c r="B422" s="15" t="s">
        <v>1028</v>
      </c>
      <c r="C422" s="15">
        <f t="shared" si="51"/>
        <v>20</v>
      </c>
      <c r="D422" s="15">
        <v>1</v>
      </c>
      <c r="F422" s="12">
        <v>0</v>
      </c>
      <c r="G422" s="16">
        <v>0</v>
      </c>
      <c r="H422" s="16">
        <v>0</v>
      </c>
      <c r="I422" s="16">
        <v>1</v>
      </c>
      <c r="J422" s="16">
        <v>0</v>
      </c>
      <c r="K422" s="16">
        <v>1</v>
      </c>
      <c r="L422" s="15">
        <v>0</v>
      </c>
      <c r="M422" s="15">
        <f t="shared" si="52"/>
        <v>0</v>
      </c>
      <c r="N422" s="16">
        <v>0</v>
      </c>
      <c r="O422" s="16">
        <v>0</v>
      </c>
      <c r="P422" s="16">
        <v>0</v>
      </c>
      <c r="Q422" s="16">
        <v>0</v>
      </c>
      <c r="R422" s="16">
        <v>0</v>
      </c>
      <c r="S422" s="16">
        <v>0</v>
      </c>
      <c r="T422" s="15">
        <v>0</v>
      </c>
      <c r="U422" s="15">
        <v>0</v>
      </c>
      <c r="V422" s="15">
        <v>0</v>
      </c>
      <c r="W422" s="15">
        <v>0</v>
      </c>
      <c r="X422" s="15">
        <v>1</v>
      </c>
      <c r="Y422" s="15">
        <v>0</v>
      </c>
      <c r="Z422" s="33" t="s">
        <v>1131</v>
      </c>
    </row>
    <row r="423" spans="1:26" s="15" customFormat="1" ht="15" customHeight="1" x14ac:dyDescent="0.15">
      <c r="A423" s="15">
        <v>1125</v>
      </c>
      <c r="B423" s="15" t="s">
        <v>1029</v>
      </c>
      <c r="C423" s="15">
        <f t="shared" si="51"/>
        <v>20</v>
      </c>
      <c r="D423" s="15">
        <v>1</v>
      </c>
      <c r="F423" s="12">
        <v>0</v>
      </c>
      <c r="G423" s="16">
        <v>0</v>
      </c>
      <c r="H423" s="16">
        <v>0</v>
      </c>
      <c r="I423" s="16">
        <v>1</v>
      </c>
      <c r="J423" s="16">
        <v>0</v>
      </c>
      <c r="K423" s="16">
        <v>1</v>
      </c>
      <c r="L423" s="15">
        <v>0</v>
      </c>
      <c r="M423" s="15">
        <f t="shared" si="52"/>
        <v>0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5">
        <v>0</v>
      </c>
      <c r="U423" s="15">
        <v>0</v>
      </c>
      <c r="V423" s="15">
        <v>0</v>
      </c>
      <c r="W423" s="15">
        <v>0</v>
      </c>
      <c r="X423" s="15">
        <v>1</v>
      </c>
      <c r="Y423" s="15">
        <v>0</v>
      </c>
      <c r="Z423" s="33" t="s">
        <v>1132</v>
      </c>
    </row>
    <row r="424" spans="1:26" s="15" customFormat="1" ht="15" customHeight="1" x14ac:dyDescent="0.15">
      <c r="A424" s="15">
        <v>1126</v>
      </c>
      <c r="B424" s="15" t="s">
        <v>1030</v>
      </c>
      <c r="C424" s="15">
        <f t="shared" si="51"/>
        <v>20</v>
      </c>
      <c r="D424" s="15">
        <v>1</v>
      </c>
      <c r="F424" s="12">
        <v>0</v>
      </c>
      <c r="G424" s="16">
        <v>0</v>
      </c>
      <c r="H424" s="16">
        <v>0</v>
      </c>
      <c r="I424" s="16">
        <v>1</v>
      </c>
      <c r="J424" s="16">
        <v>0</v>
      </c>
      <c r="K424" s="16">
        <v>1</v>
      </c>
      <c r="L424" s="15">
        <v>0</v>
      </c>
      <c r="M424" s="15">
        <f t="shared" si="52"/>
        <v>0</v>
      </c>
      <c r="N424" s="16">
        <v>0</v>
      </c>
      <c r="O424" s="16">
        <v>0</v>
      </c>
      <c r="P424" s="16">
        <v>0</v>
      </c>
      <c r="Q424" s="16">
        <v>0</v>
      </c>
      <c r="R424" s="16">
        <v>0</v>
      </c>
      <c r="S424" s="16">
        <v>0</v>
      </c>
      <c r="T424" s="15">
        <v>0</v>
      </c>
      <c r="U424" s="15">
        <v>0</v>
      </c>
      <c r="V424" s="15">
        <v>0</v>
      </c>
      <c r="W424" s="15">
        <v>0</v>
      </c>
      <c r="X424" s="15">
        <v>1</v>
      </c>
      <c r="Y424" s="15">
        <v>0</v>
      </c>
      <c r="Z424" s="33" t="s">
        <v>1133</v>
      </c>
    </row>
    <row r="425" spans="1:26" s="15" customFormat="1" ht="15" customHeight="1" x14ac:dyDescent="0.15">
      <c r="A425" s="15">
        <v>1127</v>
      </c>
      <c r="B425" s="15" t="s">
        <v>1031</v>
      </c>
      <c r="C425" s="15">
        <f t="shared" si="51"/>
        <v>20</v>
      </c>
      <c r="D425" s="15">
        <v>1</v>
      </c>
      <c r="F425" s="12">
        <v>0</v>
      </c>
      <c r="G425" s="16">
        <v>0</v>
      </c>
      <c r="H425" s="16">
        <v>0</v>
      </c>
      <c r="I425" s="16">
        <v>1</v>
      </c>
      <c r="J425" s="16">
        <v>0</v>
      </c>
      <c r="K425" s="16">
        <v>1</v>
      </c>
      <c r="L425" s="15">
        <v>0</v>
      </c>
      <c r="M425" s="15">
        <f t="shared" si="52"/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5">
        <v>0</v>
      </c>
      <c r="U425" s="15">
        <v>0</v>
      </c>
      <c r="V425" s="15">
        <v>0</v>
      </c>
      <c r="W425" s="15">
        <v>0</v>
      </c>
      <c r="X425" s="15">
        <v>1</v>
      </c>
      <c r="Y425" s="15">
        <v>0</v>
      </c>
      <c r="Z425" s="33" t="s">
        <v>1134</v>
      </c>
    </row>
    <row r="426" spans="1:26" s="15" customFormat="1" ht="15" customHeight="1" x14ac:dyDescent="0.15">
      <c r="A426" s="15">
        <v>1128</v>
      </c>
      <c r="B426" s="15" t="s">
        <v>1032</v>
      </c>
      <c r="C426" s="15">
        <f t="shared" si="51"/>
        <v>20</v>
      </c>
      <c r="D426" s="15">
        <v>1</v>
      </c>
      <c r="F426" s="12">
        <v>0</v>
      </c>
      <c r="G426" s="16">
        <v>0</v>
      </c>
      <c r="H426" s="16">
        <v>0</v>
      </c>
      <c r="I426" s="16">
        <v>1</v>
      </c>
      <c r="J426" s="16">
        <v>0</v>
      </c>
      <c r="K426" s="16">
        <v>1</v>
      </c>
      <c r="L426" s="15">
        <v>0</v>
      </c>
      <c r="M426" s="15">
        <f t="shared" si="52"/>
        <v>0</v>
      </c>
      <c r="N426" s="16">
        <v>0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5">
        <v>0</v>
      </c>
      <c r="U426" s="15">
        <v>0</v>
      </c>
      <c r="V426" s="15">
        <v>0</v>
      </c>
      <c r="W426" s="15">
        <v>0</v>
      </c>
      <c r="X426" s="15">
        <v>1</v>
      </c>
      <c r="Y426" s="15">
        <v>0</v>
      </c>
      <c r="Z426" s="33" t="s">
        <v>1135</v>
      </c>
    </row>
    <row r="427" spans="1:26" s="15" customFormat="1" ht="15" customHeight="1" x14ac:dyDescent="0.15">
      <c r="A427" s="15">
        <v>1129</v>
      </c>
      <c r="B427" s="15" t="s">
        <v>1033</v>
      </c>
      <c r="C427" s="15">
        <f t="shared" si="51"/>
        <v>20</v>
      </c>
      <c r="D427" s="15">
        <v>1</v>
      </c>
      <c r="F427" s="12">
        <v>0</v>
      </c>
      <c r="G427" s="16">
        <v>0</v>
      </c>
      <c r="H427" s="16">
        <v>0</v>
      </c>
      <c r="I427" s="16">
        <v>1</v>
      </c>
      <c r="J427" s="16">
        <v>0</v>
      </c>
      <c r="K427" s="16">
        <v>1</v>
      </c>
      <c r="L427" s="15">
        <v>0</v>
      </c>
      <c r="M427" s="15">
        <f t="shared" si="52"/>
        <v>0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5">
        <v>0</v>
      </c>
      <c r="U427" s="15">
        <v>0</v>
      </c>
      <c r="V427" s="15">
        <v>0</v>
      </c>
      <c r="W427" s="15">
        <v>0</v>
      </c>
      <c r="X427" s="15">
        <v>1</v>
      </c>
      <c r="Y427" s="15">
        <v>0</v>
      </c>
      <c r="Z427" s="33" t="s">
        <v>1136</v>
      </c>
    </row>
    <row r="428" spans="1:26" s="15" customFormat="1" ht="15" customHeight="1" x14ac:dyDescent="0.15">
      <c r="A428" s="15">
        <v>1130</v>
      </c>
      <c r="B428" s="15" t="s">
        <v>1034</v>
      </c>
      <c r="C428" s="15">
        <f t="shared" si="51"/>
        <v>20</v>
      </c>
      <c r="D428" s="15">
        <v>1</v>
      </c>
      <c r="F428" s="12">
        <v>0</v>
      </c>
      <c r="G428" s="16">
        <v>0</v>
      </c>
      <c r="H428" s="16">
        <v>0</v>
      </c>
      <c r="I428" s="16">
        <v>1</v>
      </c>
      <c r="J428" s="16">
        <v>0</v>
      </c>
      <c r="K428" s="16">
        <v>1</v>
      </c>
      <c r="L428" s="15">
        <v>0</v>
      </c>
      <c r="M428" s="15">
        <f t="shared" si="52"/>
        <v>0</v>
      </c>
      <c r="N428" s="16">
        <v>0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5">
        <v>0</v>
      </c>
      <c r="U428" s="15">
        <v>0</v>
      </c>
      <c r="V428" s="15">
        <v>0</v>
      </c>
      <c r="W428" s="15">
        <v>0</v>
      </c>
      <c r="X428" s="15">
        <v>1</v>
      </c>
      <c r="Y428" s="15">
        <v>0</v>
      </c>
      <c r="Z428" s="33" t="s">
        <v>1137</v>
      </c>
    </row>
    <row r="429" spans="1:26" s="15" customFormat="1" ht="15" customHeight="1" x14ac:dyDescent="0.15">
      <c r="A429" s="15">
        <v>1131</v>
      </c>
      <c r="B429" s="15" t="s">
        <v>1035</v>
      </c>
      <c r="C429" s="15">
        <f t="shared" si="51"/>
        <v>20</v>
      </c>
      <c r="D429" s="15">
        <v>1</v>
      </c>
      <c r="F429" s="12">
        <v>0</v>
      </c>
      <c r="G429" s="16">
        <v>0</v>
      </c>
      <c r="H429" s="16">
        <v>0</v>
      </c>
      <c r="I429" s="16">
        <v>1</v>
      </c>
      <c r="J429" s="16">
        <v>0</v>
      </c>
      <c r="K429" s="16">
        <v>1</v>
      </c>
      <c r="L429" s="15">
        <v>0</v>
      </c>
      <c r="M429" s="15">
        <f t="shared" si="52"/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5">
        <v>0</v>
      </c>
      <c r="U429" s="15">
        <v>0</v>
      </c>
      <c r="V429" s="15">
        <v>0</v>
      </c>
      <c r="W429" s="15">
        <v>0</v>
      </c>
      <c r="X429" s="15">
        <v>1</v>
      </c>
      <c r="Y429" s="15">
        <v>0</v>
      </c>
      <c r="Z429" s="33" t="s">
        <v>1138</v>
      </c>
    </row>
    <row r="430" spans="1:26" s="15" customFormat="1" ht="15" customHeight="1" x14ac:dyDescent="0.15">
      <c r="A430" s="15">
        <v>1132</v>
      </c>
      <c r="B430" s="15" t="s">
        <v>1036</v>
      </c>
      <c r="C430" s="15">
        <f t="shared" si="51"/>
        <v>20</v>
      </c>
      <c r="D430" s="15">
        <v>1</v>
      </c>
      <c r="F430" s="12">
        <v>0</v>
      </c>
      <c r="G430" s="16">
        <v>0</v>
      </c>
      <c r="H430" s="16">
        <v>0</v>
      </c>
      <c r="I430" s="16">
        <v>1</v>
      </c>
      <c r="J430" s="16">
        <v>0</v>
      </c>
      <c r="K430" s="16">
        <v>1</v>
      </c>
      <c r="L430" s="15">
        <v>0</v>
      </c>
      <c r="M430" s="15">
        <f t="shared" si="52"/>
        <v>0</v>
      </c>
      <c r="N430" s="16">
        <v>0</v>
      </c>
      <c r="O430" s="16">
        <v>0</v>
      </c>
      <c r="P430" s="16">
        <v>0</v>
      </c>
      <c r="Q430" s="16">
        <v>0</v>
      </c>
      <c r="R430" s="16">
        <v>0</v>
      </c>
      <c r="S430" s="16">
        <v>0</v>
      </c>
      <c r="T430" s="15">
        <v>0</v>
      </c>
      <c r="U430" s="15">
        <v>0</v>
      </c>
      <c r="V430" s="15">
        <v>0</v>
      </c>
      <c r="W430" s="15">
        <v>0</v>
      </c>
      <c r="X430" s="15">
        <v>1</v>
      </c>
      <c r="Y430" s="15">
        <v>0</v>
      </c>
      <c r="Z430" s="33" t="s">
        <v>1139</v>
      </c>
    </row>
    <row r="431" spans="1:26" s="15" customFormat="1" ht="15" customHeight="1" x14ac:dyDescent="0.15">
      <c r="A431" s="15">
        <v>1133</v>
      </c>
      <c r="B431" s="15" t="s">
        <v>1037</v>
      </c>
      <c r="C431" s="15">
        <f t="shared" si="51"/>
        <v>20</v>
      </c>
      <c r="D431" s="15">
        <v>1</v>
      </c>
      <c r="F431" s="12">
        <v>0</v>
      </c>
      <c r="G431" s="16">
        <v>0</v>
      </c>
      <c r="H431" s="16">
        <v>0</v>
      </c>
      <c r="I431" s="16">
        <v>1</v>
      </c>
      <c r="J431" s="16">
        <v>0</v>
      </c>
      <c r="K431" s="16">
        <v>1</v>
      </c>
      <c r="L431" s="15">
        <v>0</v>
      </c>
      <c r="M431" s="15">
        <f t="shared" si="52"/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5">
        <v>0</v>
      </c>
      <c r="U431" s="15">
        <v>0</v>
      </c>
      <c r="V431" s="15">
        <v>0</v>
      </c>
      <c r="W431" s="15">
        <v>0</v>
      </c>
      <c r="X431" s="15">
        <v>1</v>
      </c>
      <c r="Y431" s="15">
        <v>0</v>
      </c>
      <c r="Z431" s="33" t="s">
        <v>1140</v>
      </c>
    </row>
    <row r="432" spans="1:26" s="15" customFormat="1" ht="15" customHeight="1" x14ac:dyDescent="0.15">
      <c r="A432" s="15">
        <v>1134</v>
      </c>
      <c r="B432" s="15" t="s">
        <v>1038</v>
      </c>
      <c r="C432" s="15">
        <f t="shared" si="51"/>
        <v>20</v>
      </c>
      <c r="D432" s="15">
        <v>1</v>
      </c>
      <c r="F432" s="12">
        <v>0</v>
      </c>
      <c r="G432" s="16">
        <v>0</v>
      </c>
      <c r="H432" s="16">
        <v>0</v>
      </c>
      <c r="I432" s="16">
        <v>1</v>
      </c>
      <c r="J432" s="16">
        <v>0</v>
      </c>
      <c r="K432" s="16">
        <v>1</v>
      </c>
      <c r="L432" s="15">
        <v>0</v>
      </c>
      <c r="M432" s="15">
        <f t="shared" si="52"/>
        <v>0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0</v>
      </c>
      <c r="T432" s="15">
        <v>0</v>
      </c>
      <c r="U432" s="15">
        <v>0</v>
      </c>
      <c r="V432" s="15">
        <v>0</v>
      </c>
      <c r="W432" s="15">
        <v>0</v>
      </c>
      <c r="X432" s="15">
        <v>1</v>
      </c>
      <c r="Y432" s="15">
        <v>0</v>
      </c>
      <c r="Z432" s="33" t="s">
        <v>1141</v>
      </c>
    </row>
    <row r="433" spans="1:26" s="15" customFormat="1" ht="15" customHeight="1" x14ac:dyDescent="0.15">
      <c r="A433" s="15">
        <v>1135</v>
      </c>
      <c r="B433" s="15" t="s">
        <v>1039</v>
      </c>
      <c r="C433" s="15">
        <f t="shared" si="51"/>
        <v>20</v>
      </c>
      <c r="D433" s="15">
        <v>1</v>
      </c>
      <c r="F433" s="12">
        <v>0</v>
      </c>
      <c r="G433" s="16">
        <v>0</v>
      </c>
      <c r="H433" s="16">
        <v>0</v>
      </c>
      <c r="I433" s="16">
        <v>1</v>
      </c>
      <c r="J433" s="16">
        <v>0</v>
      </c>
      <c r="K433" s="16">
        <v>1</v>
      </c>
      <c r="L433" s="15">
        <v>0</v>
      </c>
      <c r="M433" s="15">
        <f t="shared" si="52"/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5">
        <v>0</v>
      </c>
      <c r="U433" s="15">
        <v>0</v>
      </c>
      <c r="V433" s="15">
        <v>0</v>
      </c>
      <c r="W433" s="15">
        <v>0</v>
      </c>
      <c r="X433" s="15">
        <v>1</v>
      </c>
      <c r="Y433" s="15">
        <v>0</v>
      </c>
      <c r="Z433" s="33" t="s">
        <v>1142</v>
      </c>
    </row>
    <row r="434" spans="1:26" s="15" customFormat="1" ht="15" customHeight="1" x14ac:dyDescent="0.15">
      <c r="A434" s="15">
        <v>1136</v>
      </c>
      <c r="B434" s="15" t="s">
        <v>1040</v>
      </c>
      <c r="C434" s="15">
        <f t="shared" si="51"/>
        <v>20</v>
      </c>
      <c r="D434" s="15">
        <v>1</v>
      </c>
      <c r="F434" s="12">
        <v>0</v>
      </c>
      <c r="G434" s="16">
        <v>0</v>
      </c>
      <c r="H434" s="16">
        <v>0</v>
      </c>
      <c r="I434" s="16">
        <v>1</v>
      </c>
      <c r="J434" s="16">
        <v>0</v>
      </c>
      <c r="K434" s="16">
        <v>1</v>
      </c>
      <c r="L434" s="15">
        <v>0</v>
      </c>
      <c r="M434" s="15">
        <f t="shared" si="52"/>
        <v>0</v>
      </c>
      <c r="N434" s="16">
        <v>0</v>
      </c>
      <c r="O434" s="16">
        <v>0</v>
      </c>
      <c r="P434" s="16">
        <v>0</v>
      </c>
      <c r="Q434" s="16">
        <v>0</v>
      </c>
      <c r="R434" s="16">
        <v>0</v>
      </c>
      <c r="S434" s="16">
        <v>0</v>
      </c>
      <c r="T434" s="15">
        <v>0</v>
      </c>
      <c r="U434" s="15">
        <v>0</v>
      </c>
      <c r="V434" s="15">
        <v>0</v>
      </c>
      <c r="W434" s="15">
        <v>0</v>
      </c>
      <c r="X434" s="15">
        <v>1</v>
      </c>
      <c r="Y434" s="15">
        <v>0</v>
      </c>
      <c r="Z434" s="33" t="s">
        <v>1143</v>
      </c>
    </row>
    <row r="435" spans="1:26" s="15" customFormat="1" ht="15" customHeight="1" x14ac:dyDescent="0.15">
      <c r="A435" s="15">
        <v>1137</v>
      </c>
      <c r="B435" s="15" t="s">
        <v>1041</v>
      </c>
      <c r="C435" s="15">
        <f t="shared" si="51"/>
        <v>20</v>
      </c>
      <c r="D435" s="15">
        <v>1</v>
      </c>
      <c r="F435" s="12">
        <v>0</v>
      </c>
      <c r="G435" s="16">
        <v>0</v>
      </c>
      <c r="H435" s="16">
        <v>0</v>
      </c>
      <c r="I435" s="16">
        <v>1</v>
      </c>
      <c r="J435" s="16">
        <v>0</v>
      </c>
      <c r="K435" s="16">
        <v>1</v>
      </c>
      <c r="L435" s="15">
        <v>0</v>
      </c>
      <c r="M435" s="15">
        <f t="shared" si="52"/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5">
        <v>0</v>
      </c>
      <c r="U435" s="15">
        <v>0</v>
      </c>
      <c r="V435" s="15">
        <v>0</v>
      </c>
      <c r="W435" s="15">
        <v>0</v>
      </c>
      <c r="X435" s="15">
        <v>1</v>
      </c>
      <c r="Y435" s="15">
        <v>0</v>
      </c>
      <c r="Z435" s="33" t="s">
        <v>1144</v>
      </c>
    </row>
    <row r="436" spans="1:26" s="15" customFormat="1" ht="15" customHeight="1" x14ac:dyDescent="0.15">
      <c r="A436" s="15">
        <v>1138</v>
      </c>
      <c r="B436" s="15" t="s">
        <v>1042</v>
      </c>
      <c r="C436" s="15">
        <f t="shared" si="51"/>
        <v>20</v>
      </c>
      <c r="D436" s="15">
        <v>1</v>
      </c>
      <c r="F436" s="12">
        <v>0</v>
      </c>
      <c r="G436" s="16">
        <v>0</v>
      </c>
      <c r="H436" s="16">
        <v>0</v>
      </c>
      <c r="I436" s="16">
        <v>1</v>
      </c>
      <c r="J436" s="16">
        <v>0</v>
      </c>
      <c r="K436" s="16">
        <v>1</v>
      </c>
      <c r="L436" s="15">
        <v>0</v>
      </c>
      <c r="M436" s="15">
        <f t="shared" si="52"/>
        <v>0</v>
      </c>
      <c r="N436" s="16">
        <v>0</v>
      </c>
      <c r="O436" s="16">
        <v>0</v>
      </c>
      <c r="P436" s="16">
        <v>0</v>
      </c>
      <c r="Q436" s="16">
        <v>0</v>
      </c>
      <c r="R436" s="16">
        <v>0</v>
      </c>
      <c r="S436" s="16">
        <v>0</v>
      </c>
      <c r="T436" s="15">
        <v>0</v>
      </c>
      <c r="U436" s="15">
        <v>0</v>
      </c>
      <c r="V436" s="15">
        <v>0</v>
      </c>
      <c r="W436" s="15">
        <v>0</v>
      </c>
      <c r="X436" s="15">
        <v>1</v>
      </c>
      <c r="Y436" s="15">
        <v>0</v>
      </c>
      <c r="Z436" s="33" t="s">
        <v>1145</v>
      </c>
    </row>
    <row r="437" spans="1:26" s="15" customFormat="1" ht="15" customHeight="1" x14ac:dyDescent="0.15">
      <c r="A437" s="15">
        <v>1139</v>
      </c>
      <c r="B437" s="15" t="s">
        <v>1043</v>
      </c>
      <c r="C437" s="15">
        <f t="shared" si="51"/>
        <v>20</v>
      </c>
      <c r="D437" s="15">
        <v>1</v>
      </c>
      <c r="F437" s="12">
        <v>0</v>
      </c>
      <c r="G437" s="16">
        <v>0</v>
      </c>
      <c r="H437" s="16">
        <v>0</v>
      </c>
      <c r="I437" s="16">
        <v>1</v>
      </c>
      <c r="J437" s="16">
        <v>0</v>
      </c>
      <c r="K437" s="16">
        <v>1</v>
      </c>
      <c r="L437" s="15">
        <v>0</v>
      </c>
      <c r="M437" s="15">
        <f t="shared" si="52"/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5">
        <v>0</v>
      </c>
      <c r="U437" s="15">
        <v>0</v>
      </c>
      <c r="V437" s="15">
        <v>0</v>
      </c>
      <c r="W437" s="15">
        <v>0</v>
      </c>
      <c r="X437" s="15">
        <v>1</v>
      </c>
      <c r="Y437" s="15">
        <v>0</v>
      </c>
      <c r="Z437" s="33" t="s">
        <v>1146</v>
      </c>
    </row>
    <row r="438" spans="1:26" s="15" customFormat="1" ht="15" customHeight="1" x14ac:dyDescent="0.15">
      <c r="A438" s="15">
        <v>1140</v>
      </c>
      <c r="B438" s="15" t="s">
        <v>1044</v>
      </c>
      <c r="C438" s="15">
        <f t="shared" si="51"/>
        <v>20</v>
      </c>
      <c r="D438" s="15">
        <v>1</v>
      </c>
      <c r="F438" s="12">
        <v>0</v>
      </c>
      <c r="G438" s="16">
        <v>0</v>
      </c>
      <c r="H438" s="16">
        <v>0</v>
      </c>
      <c r="I438" s="16">
        <v>1</v>
      </c>
      <c r="J438" s="16">
        <v>0</v>
      </c>
      <c r="K438" s="16">
        <v>1</v>
      </c>
      <c r="L438" s="15">
        <v>0</v>
      </c>
      <c r="M438" s="15">
        <f t="shared" si="52"/>
        <v>0</v>
      </c>
      <c r="N438" s="16">
        <v>0</v>
      </c>
      <c r="O438" s="16">
        <v>0</v>
      </c>
      <c r="P438" s="16">
        <v>0</v>
      </c>
      <c r="Q438" s="16">
        <v>0</v>
      </c>
      <c r="R438" s="16">
        <v>0</v>
      </c>
      <c r="S438" s="16">
        <v>0</v>
      </c>
      <c r="T438" s="15">
        <v>0</v>
      </c>
      <c r="U438" s="15">
        <v>0</v>
      </c>
      <c r="V438" s="15">
        <v>0</v>
      </c>
      <c r="W438" s="15">
        <v>0</v>
      </c>
      <c r="X438" s="15">
        <v>1</v>
      </c>
      <c r="Y438" s="15">
        <v>0</v>
      </c>
      <c r="Z438" s="33" t="s">
        <v>1147</v>
      </c>
    </row>
    <row r="439" spans="1:26" s="15" customFormat="1" ht="15" customHeight="1" x14ac:dyDescent="0.15">
      <c r="A439" s="15">
        <v>1141</v>
      </c>
      <c r="B439" s="15" t="s">
        <v>1045</v>
      </c>
      <c r="C439" s="15">
        <f t="shared" si="51"/>
        <v>20</v>
      </c>
      <c r="D439" s="15">
        <v>1</v>
      </c>
      <c r="F439" s="12">
        <v>0</v>
      </c>
      <c r="G439" s="16">
        <v>0</v>
      </c>
      <c r="H439" s="16">
        <v>0</v>
      </c>
      <c r="I439" s="16">
        <v>1</v>
      </c>
      <c r="J439" s="16">
        <v>0</v>
      </c>
      <c r="K439" s="16">
        <v>1</v>
      </c>
      <c r="L439" s="15">
        <v>0</v>
      </c>
      <c r="M439" s="15">
        <f t="shared" si="52"/>
        <v>0</v>
      </c>
      <c r="N439" s="16">
        <v>0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5">
        <v>0</v>
      </c>
      <c r="U439" s="15">
        <v>0</v>
      </c>
      <c r="V439" s="15">
        <v>0</v>
      </c>
      <c r="W439" s="15">
        <v>0</v>
      </c>
      <c r="X439" s="15">
        <v>1</v>
      </c>
      <c r="Y439" s="15">
        <v>0</v>
      </c>
      <c r="Z439" s="33" t="s">
        <v>1148</v>
      </c>
    </row>
    <row r="440" spans="1:26" s="15" customFormat="1" ht="15" customHeight="1" x14ac:dyDescent="0.15">
      <c r="A440" s="15">
        <v>1142</v>
      </c>
      <c r="B440" s="15" t="s">
        <v>1046</v>
      </c>
      <c r="C440" s="15">
        <f t="shared" si="51"/>
        <v>20</v>
      </c>
      <c r="D440" s="15">
        <v>1</v>
      </c>
      <c r="F440" s="12">
        <v>0</v>
      </c>
      <c r="G440" s="16">
        <v>0</v>
      </c>
      <c r="H440" s="16">
        <v>0</v>
      </c>
      <c r="I440" s="16">
        <v>1</v>
      </c>
      <c r="J440" s="16">
        <v>0</v>
      </c>
      <c r="K440" s="16">
        <v>1</v>
      </c>
      <c r="L440" s="15">
        <v>0</v>
      </c>
      <c r="M440" s="15">
        <f t="shared" si="52"/>
        <v>0</v>
      </c>
      <c r="N440" s="16">
        <v>0</v>
      </c>
      <c r="O440" s="16">
        <v>0</v>
      </c>
      <c r="P440" s="16">
        <v>0</v>
      </c>
      <c r="Q440" s="16">
        <v>0</v>
      </c>
      <c r="R440" s="16">
        <v>0</v>
      </c>
      <c r="S440" s="16">
        <v>0</v>
      </c>
      <c r="T440" s="15">
        <v>0</v>
      </c>
      <c r="U440" s="15">
        <v>0</v>
      </c>
      <c r="V440" s="15">
        <v>0</v>
      </c>
      <c r="W440" s="15">
        <v>0</v>
      </c>
      <c r="X440" s="15">
        <v>1</v>
      </c>
      <c r="Y440" s="15">
        <v>0</v>
      </c>
      <c r="Z440" s="33" t="s">
        <v>1381</v>
      </c>
    </row>
    <row r="441" spans="1:26" s="15" customFormat="1" ht="15" customHeight="1" x14ac:dyDescent="0.15">
      <c r="A441" s="15">
        <v>1143</v>
      </c>
      <c r="B441" s="15" t="s">
        <v>1047</v>
      </c>
      <c r="C441" s="15">
        <f t="shared" si="51"/>
        <v>20</v>
      </c>
      <c r="D441" s="15">
        <v>1</v>
      </c>
      <c r="F441" s="12">
        <v>0</v>
      </c>
      <c r="G441" s="16">
        <v>0</v>
      </c>
      <c r="H441" s="16">
        <v>0</v>
      </c>
      <c r="I441" s="16">
        <v>1</v>
      </c>
      <c r="J441" s="16">
        <v>0</v>
      </c>
      <c r="K441" s="16">
        <v>1</v>
      </c>
      <c r="L441" s="15">
        <v>0</v>
      </c>
      <c r="M441" s="15">
        <f t="shared" si="52"/>
        <v>0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5">
        <v>0</v>
      </c>
      <c r="U441" s="15">
        <v>0</v>
      </c>
      <c r="V441" s="15">
        <v>0</v>
      </c>
      <c r="W441" s="15">
        <v>0</v>
      </c>
      <c r="X441" s="15">
        <v>1</v>
      </c>
      <c r="Y441" s="15">
        <v>0</v>
      </c>
      <c r="Z441" s="33" t="s">
        <v>1382</v>
      </c>
    </row>
    <row r="442" spans="1:26" s="15" customFormat="1" ht="15" customHeight="1" x14ac:dyDescent="0.15">
      <c r="A442" s="15">
        <v>1144</v>
      </c>
      <c r="B442" s="15" t="s">
        <v>1048</v>
      </c>
      <c r="C442" s="15">
        <f t="shared" si="51"/>
        <v>20</v>
      </c>
      <c r="D442" s="15">
        <v>1</v>
      </c>
      <c r="F442" s="12">
        <v>0</v>
      </c>
      <c r="G442" s="16">
        <v>0</v>
      </c>
      <c r="H442" s="16">
        <v>0</v>
      </c>
      <c r="I442" s="16">
        <v>1</v>
      </c>
      <c r="J442" s="16">
        <v>0</v>
      </c>
      <c r="K442" s="16">
        <v>1</v>
      </c>
      <c r="L442" s="15">
        <v>0</v>
      </c>
      <c r="M442" s="15">
        <f t="shared" si="52"/>
        <v>0</v>
      </c>
      <c r="N442" s="16">
        <v>0</v>
      </c>
      <c r="O442" s="16">
        <v>0</v>
      </c>
      <c r="P442" s="16">
        <v>0</v>
      </c>
      <c r="Q442" s="16">
        <v>0</v>
      </c>
      <c r="R442" s="16">
        <v>0</v>
      </c>
      <c r="S442" s="16">
        <v>0</v>
      </c>
      <c r="T442" s="15">
        <v>0</v>
      </c>
      <c r="U442" s="15">
        <v>0</v>
      </c>
      <c r="V442" s="15">
        <v>0</v>
      </c>
      <c r="W442" s="15">
        <v>0</v>
      </c>
      <c r="X442" s="15">
        <v>1</v>
      </c>
      <c r="Y442" s="15">
        <v>0</v>
      </c>
      <c r="Z442" s="33" t="s">
        <v>1383</v>
      </c>
    </row>
    <row r="443" spans="1:26" s="15" customFormat="1" ht="15" customHeight="1" x14ac:dyDescent="0.15">
      <c r="A443" s="15">
        <v>1145</v>
      </c>
      <c r="B443" s="15" t="s">
        <v>1049</v>
      </c>
      <c r="C443" s="15">
        <f t="shared" si="51"/>
        <v>20</v>
      </c>
      <c r="D443" s="15">
        <v>1</v>
      </c>
      <c r="F443" s="12">
        <v>0</v>
      </c>
      <c r="G443" s="16">
        <v>0</v>
      </c>
      <c r="H443" s="16">
        <v>0</v>
      </c>
      <c r="I443" s="16">
        <v>1</v>
      </c>
      <c r="J443" s="16">
        <v>0</v>
      </c>
      <c r="K443" s="16">
        <v>1</v>
      </c>
      <c r="L443" s="15">
        <v>0</v>
      </c>
      <c r="M443" s="15">
        <f t="shared" si="52"/>
        <v>0</v>
      </c>
      <c r="N443" s="16">
        <v>0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5">
        <v>0</v>
      </c>
      <c r="U443" s="15">
        <v>0</v>
      </c>
      <c r="V443" s="15">
        <v>0</v>
      </c>
      <c r="W443" s="15">
        <v>0</v>
      </c>
      <c r="X443" s="15">
        <v>1</v>
      </c>
      <c r="Y443" s="15">
        <v>0</v>
      </c>
      <c r="Z443" s="33" t="s">
        <v>1384</v>
      </c>
    </row>
    <row r="444" spans="1:26" s="15" customFormat="1" ht="15" customHeight="1" x14ac:dyDescent="0.15">
      <c r="A444" s="15">
        <v>1146</v>
      </c>
      <c r="B444" s="15" t="s">
        <v>1050</v>
      </c>
      <c r="C444" s="15">
        <f t="shared" si="51"/>
        <v>20</v>
      </c>
      <c r="D444" s="15">
        <v>1</v>
      </c>
      <c r="F444" s="12">
        <v>0</v>
      </c>
      <c r="G444" s="16">
        <v>0</v>
      </c>
      <c r="H444" s="16">
        <v>0</v>
      </c>
      <c r="I444" s="16">
        <v>1</v>
      </c>
      <c r="J444" s="16">
        <v>0</v>
      </c>
      <c r="K444" s="16">
        <v>1</v>
      </c>
      <c r="L444" s="15">
        <v>0</v>
      </c>
      <c r="M444" s="15">
        <f t="shared" si="52"/>
        <v>0</v>
      </c>
      <c r="N444" s="16">
        <v>0</v>
      </c>
      <c r="O444" s="16">
        <v>0</v>
      </c>
      <c r="P444" s="16">
        <v>0</v>
      </c>
      <c r="Q444" s="16">
        <v>0</v>
      </c>
      <c r="R444" s="16">
        <v>0</v>
      </c>
      <c r="S444" s="16">
        <v>0</v>
      </c>
      <c r="T444" s="15">
        <v>0</v>
      </c>
      <c r="U444" s="15">
        <v>0</v>
      </c>
      <c r="V444" s="15">
        <v>0</v>
      </c>
      <c r="W444" s="15">
        <v>0</v>
      </c>
      <c r="X444" s="15">
        <v>1</v>
      </c>
      <c r="Y444" s="15">
        <v>0</v>
      </c>
      <c r="Z444" s="33" t="s">
        <v>1385</v>
      </c>
    </row>
    <row r="445" spans="1:26" s="15" customFormat="1" ht="15" customHeight="1" x14ac:dyDescent="0.15">
      <c r="A445" s="15">
        <v>1147</v>
      </c>
      <c r="B445" s="15" t="s">
        <v>1051</v>
      </c>
      <c r="C445" s="15">
        <f t="shared" ref="C445:C458" si="53">G445+H445*2+I445*4+J445*8+K445*16</f>
        <v>20</v>
      </c>
      <c r="D445" s="15">
        <v>1</v>
      </c>
      <c r="F445" s="12">
        <v>0</v>
      </c>
      <c r="G445" s="16">
        <v>0</v>
      </c>
      <c r="H445" s="16">
        <v>0</v>
      </c>
      <c r="I445" s="16">
        <v>1</v>
      </c>
      <c r="J445" s="16">
        <v>0</v>
      </c>
      <c r="K445" s="16">
        <v>1</v>
      </c>
      <c r="L445" s="15">
        <v>0</v>
      </c>
      <c r="M445" s="15">
        <f t="shared" ref="M445:M458" si="54">N445+O445*2+P445*4+Q445*8+R445*16+S445*32</f>
        <v>0</v>
      </c>
      <c r="N445" s="16">
        <v>0</v>
      </c>
      <c r="O445" s="16">
        <v>0</v>
      </c>
      <c r="P445" s="16">
        <v>0</v>
      </c>
      <c r="Q445" s="16">
        <v>0</v>
      </c>
      <c r="R445" s="16">
        <v>0</v>
      </c>
      <c r="S445" s="16">
        <v>0</v>
      </c>
      <c r="T445" s="15">
        <v>0</v>
      </c>
      <c r="U445" s="15">
        <v>0</v>
      </c>
      <c r="V445" s="15">
        <v>0</v>
      </c>
      <c r="W445" s="15">
        <v>0</v>
      </c>
      <c r="X445" s="15">
        <v>1</v>
      </c>
      <c r="Y445" s="15">
        <v>0</v>
      </c>
      <c r="Z445" s="33" t="s">
        <v>1386</v>
      </c>
    </row>
    <row r="446" spans="1:26" s="15" customFormat="1" ht="15" customHeight="1" x14ac:dyDescent="0.15">
      <c r="A446" s="15">
        <v>1148</v>
      </c>
      <c r="B446" s="15" t="s">
        <v>1052</v>
      </c>
      <c r="C446" s="15">
        <f t="shared" si="53"/>
        <v>20</v>
      </c>
      <c r="D446" s="15">
        <v>1</v>
      </c>
      <c r="F446" s="12">
        <v>0</v>
      </c>
      <c r="G446" s="16">
        <v>0</v>
      </c>
      <c r="H446" s="16">
        <v>0</v>
      </c>
      <c r="I446" s="16">
        <v>1</v>
      </c>
      <c r="J446" s="16">
        <v>0</v>
      </c>
      <c r="K446" s="16">
        <v>1</v>
      </c>
      <c r="L446" s="15">
        <v>0</v>
      </c>
      <c r="M446" s="15">
        <f t="shared" si="54"/>
        <v>0</v>
      </c>
      <c r="N446" s="16">
        <v>0</v>
      </c>
      <c r="O446" s="16">
        <v>0</v>
      </c>
      <c r="P446" s="16">
        <v>0</v>
      </c>
      <c r="Q446" s="16">
        <v>0</v>
      </c>
      <c r="R446" s="16">
        <v>0</v>
      </c>
      <c r="S446" s="16">
        <v>0</v>
      </c>
      <c r="T446" s="15">
        <v>0</v>
      </c>
      <c r="U446" s="15">
        <v>0</v>
      </c>
      <c r="V446" s="15">
        <v>0</v>
      </c>
      <c r="W446" s="15">
        <v>0</v>
      </c>
      <c r="X446" s="15">
        <v>1</v>
      </c>
      <c r="Y446" s="15">
        <v>0</v>
      </c>
      <c r="Z446" s="33" t="s">
        <v>1387</v>
      </c>
    </row>
    <row r="447" spans="1:26" s="15" customFormat="1" ht="15" customHeight="1" x14ac:dyDescent="0.15">
      <c r="A447" s="15">
        <v>1149</v>
      </c>
      <c r="B447" s="15" t="s">
        <v>1053</v>
      </c>
      <c r="C447" s="15">
        <f t="shared" si="53"/>
        <v>20</v>
      </c>
      <c r="D447" s="15">
        <v>1</v>
      </c>
      <c r="F447" s="12">
        <v>0</v>
      </c>
      <c r="G447" s="16">
        <v>0</v>
      </c>
      <c r="H447" s="16">
        <v>0</v>
      </c>
      <c r="I447" s="16">
        <v>1</v>
      </c>
      <c r="J447" s="16">
        <v>0</v>
      </c>
      <c r="K447" s="16">
        <v>1</v>
      </c>
      <c r="L447" s="15">
        <v>0</v>
      </c>
      <c r="M447" s="15">
        <f t="shared" si="54"/>
        <v>0</v>
      </c>
      <c r="N447" s="16">
        <v>0</v>
      </c>
      <c r="O447" s="16">
        <v>0</v>
      </c>
      <c r="P447" s="16">
        <v>0</v>
      </c>
      <c r="Q447" s="16">
        <v>0</v>
      </c>
      <c r="R447" s="16">
        <v>0</v>
      </c>
      <c r="S447" s="16">
        <v>0</v>
      </c>
      <c r="T447" s="15">
        <v>0</v>
      </c>
      <c r="U447" s="15">
        <v>0</v>
      </c>
      <c r="V447" s="15">
        <v>0</v>
      </c>
      <c r="W447" s="15">
        <v>0</v>
      </c>
      <c r="X447" s="15">
        <v>1</v>
      </c>
      <c r="Y447" s="15">
        <v>0</v>
      </c>
      <c r="Z447" s="33" t="s">
        <v>1149</v>
      </c>
    </row>
    <row r="448" spans="1:26" s="15" customFormat="1" ht="15" customHeight="1" x14ac:dyDescent="0.15">
      <c r="A448" s="15">
        <v>1150</v>
      </c>
      <c r="B448" s="15" t="s">
        <v>1054</v>
      </c>
      <c r="C448" s="15">
        <f t="shared" si="53"/>
        <v>20</v>
      </c>
      <c r="D448" s="15">
        <v>1</v>
      </c>
      <c r="F448" s="12">
        <v>0</v>
      </c>
      <c r="G448" s="16">
        <v>0</v>
      </c>
      <c r="H448" s="16">
        <v>0</v>
      </c>
      <c r="I448" s="16">
        <v>1</v>
      </c>
      <c r="J448" s="16">
        <v>0</v>
      </c>
      <c r="K448" s="16">
        <v>1</v>
      </c>
      <c r="L448" s="15">
        <v>0</v>
      </c>
      <c r="M448" s="15">
        <f t="shared" si="54"/>
        <v>0</v>
      </c>
      <c r="N448" s="16">
        <v>0</v>
      </c>
      <c r="O448" s="16">
        <v>0</v>
      </c>
      <c r="P448" s="16">
        <v>0</v>
      </c>
      <c r="Q448" s="16">
        <v>0</v>
      </c>
      <c r="R448" s="16">
        <v>0</v>
      </c>
      <c r="S448" s="16">
        <v>0</v>
      </c>
      <c r="T448" s="15">
        <v>0</v>
      </c>
      <c r="U448" s="15">
        <v>0</v>
      </c>
      <c r="V448" s="15">
        <v>0</v>
      </c>
      <c r="W448" s="15">
        <v>0</v>
      </c>
      <c r="X448" s="15">
        <v>1</v>
      </c>
      <c r="Y448" s="15">
        <v>0</v>
      </c>
      <c r="Z448" s="33" t="s">
        <v>1150</v>
      </c>
    </row>
    <row r="449" spans="1:26" s="15" customFormat="1" ht="15" customHeight="1" x14ac:dyDescent="0.15">
      <c r="A449" s="15">
        <v>1151</v>
      </c>
      <c r="B449" s="15" t="s">
        <v>1055</v>
      </c>
      <c r="C449" s="15">
        <f t="shared" si="53"/>
        <v>20</v>
      </c>
      <c r="D449" s="15">
        <v>1</v>
      </c>
      <c r="F449" s="12">
        <v>0</v>
      </c>
      <c r="G449" s="16">
        <v>0</v>
      </c>
      <c r="H449" s="16">
        <v>0</v>
      </c>
      <c r="I449" s="16">
        <v>1</v>
      </c>
      <c r="J449" s="16">
        <v>0</v>
      </c>
      <c r="K449" s="16">
        <v>1</v>
      </c>
      <c r="L449" s="15">
        <v>0</v>
      </c>
      <c r="M449" s="15">
        <f t="shared" si="54"/>
        <v>0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5">
        <v>0</v>
      </c>
      <c r="U449" s="15">
        <v>0</v>
      </c>
      <c r="V449" s="15">
        <v>0</v>
      </c>
      <c r="W449" s="15">
        <v>0</v>
      </c>
      <c r="X449" s="15">
        <v>1</v>
      </c>
      <c r="Y449" s="15">
        <v>0</v>
      </c>
      <c r="Z449" s="33" t="s">
        <v>1151</v>
      </c>
    </row>
    <row r="450" spans="1:26" s="15" customFormat="1" ht="15" customHeight="1" x14ac:dyDescent="0.15">
      <c r="A450" s="15">
        <v>1152</v>
      </c>
      <c r="B450" s="15" t="s">
        <v>1056</v>
      </c>
      <c r="C450" s="15">
        <f t="shared" si="53"/>
        <v>20</v>
      </c>
      <c r="D450" s="15">
        <v>1</v>
      </c>
      <c r="F450" s="12">
        <v>0</v>
      </c>
      <c r="G450" s="16">
        <v>0</v>
      </c>
      <c r="H450" s="16">
        <v>0</v>
      </c>
      <c r="I450" s="16">
        <v>1</v>
      </c>
      <c r="J450" s="16">
        <v>0</v>
      </c>
      <c r="K450" s="16">
        <v>1</v>
      </c>
      <c r="L450" s="15">
        <v>0</v>
      </c>
      <c r="M450" s="15">
        <f t="shared" si="54"/>
        <v>0</v>
      </c>
      <c r="N450" s="16">
        <v>0</v>
      </c>
      <c r="O450" s="16">
        <v>0</v>
      </c>
      <c r="P450" s="16">
        <v>0</v>
      </c>
      <c r="Q450" s="16">
        <v>0</v>
      </c>
      <c r="R450" s="16">
        <v>0</v>
      </c>
      <c r="S450" s="16">
        <v>0</v>
      </c>
      <c r="T450" s="15">
        <v>0</v>
      </c>
      <c r="U450" s="15">
        <v>0</v>
      </c>
      <c r="V450" s="15">
        <v>0</v>
      </c>
      <c r="W450" s="15">
        <v>0</v>
      </c>
      <c r="X450" s="15">
        <v>1</v>
      </c>
      <c r="Y450" s="15">
        <v>0</v>
      </c>
      <c r="Z450" s="33" t="s">
        <v>1152</v>
      </c>
    </row>
    <row r="451" spans="1:26" s="15" customFormat="1" ht="15" customHeight="1" x14ac:dyDescent="0.15">
      <c r="A451" s="15">
        <v>1153</v>
      </c>
      <c r="B451" s="15" t="s">
        <v>1057</v>
      </c>
      <c r="C451" s="15">
        <f t="shared" si="53"/>
        <v>20</v>
      </c>
      <c r="D451" s="15">
        <v>1</v>
      </c>
      <c r="F451" s="12">
        <v>0</v>
      </c>
      <c r="G451" s="16">
        <v>0</v>
      </c>
      <c r="H451" s="16">
        <v>0</v>
      </c>
      <c r="I451" s="16">
        <v>1</v>
      </c>
      <c r="J451" s="16">
        <v>0</v>
      </c>
      <c r="K451" s="16">
        <v>1</v>
      </c>
      <c r="L451" s="15">
        <v>0</v>
      </c>
      <c r="M451" s="15">
        <f t="shared" si="54"/>
        <v>0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5">
        <v>0</v>
      </c>
      <c r="U451" s="15">
        <v>0</v>
      </c>
      <c r="V451" s="15">
        <v>0</v>
      </c>
      <c r="W451" s="15">
        <v>0</v>
      </c>
      <c r="X451" s="15">
        <v>1</v>
      </c>
      <c r="Y451" s="15">
        <v>0</v>
      </c>
      <c r="Z451" s="33" t="s">
        <v>1153</v>
      </c>
    </row>
    <row r="452" spans="1:26" s="15" customFormat="1" ht="15" customHeight="1" x14ac:dyDescent="0.15">
      <c r="A452" s="15">
        <v>1154</v>
      </c>
      <c r="B452" s="15" t="s">
        <v>1058</v>
      </c>
      <c r="C452" s="15">
        <f t="shared" si="53"/>
        <v>20</v>
      </c>
      <c r="D452" s="15">
        <v>1</v>
      </c>
      <c r="F452" s="12">
        <v>0</v>
      </c>
      <c r="G452" s="16">
        <v>0</v>
      </c>
      <c r="H452" s="16">
        <v>0</v>
      </c>
      <c r="I452" s="16">
        <v>1</v>
      </c>
      <c r="J452" s="16">
        <v>0</v>
      </c>
      <c r="K452" s="16">
        <v>1</v>
      </c>
      <c r="L452" s="15">
        <v>0</v>
      </c>
      <c r="M452" s="15">
        <f t="shared" si="54"/>
        <v>0</v>
      </c>
      <c r="N452" s="16">
        <v>0</v>
      </c>
      <c r="O452" s="16">
        <v>0</v>
      </c>
      <c r="P452" s="16">
        <v>0</v>
      </c>
      <c r="Q452" s="16">
        <v>0</v>
      </c>
      <c r="R452" s="16">
        <v>0</v>
      </c>
      <c r="S452" s="16">
        <v>0</v>
      </c>
      <c r="T452" s="15">
        <v>0</v>
      </c>
      <c r="U452" s="15">
        <v>0</v>
      </c>
      <c r="V452" s="15">
        <v>0</v>
      </c>
      <c r="W452" s="15">
        <v>0</v>
      </c>
      <c r="X452" s="15">
        <v>1</v>
      </c>
      <c r="Y452" s="15">
        <v>0</v>
      </c>
      <c r="Z452" s="33" t="s">
        <v>1154</v>
      </c>
    </row>
    <row r="453" spans="1:26" s="15" customFormat="1" ht="15" customHeight="1" x14ac:dyDescent="0.15">
      <c r="A453" s="15">
        <v>1155</v>
      </c>
      <c r="B453" s="15" t="s">
        <v>1059</v>
      </c>
      <c r="C453" s="15">
        <f t="shared" si="53"/>
        <v>20</v>
      </c>
      <c r="D453" s="15">
        <v>1</v>
      </c>
      <c r="F453" s="12">
        <v>0</v>
      </c>
      <c r="G453" s="16">
        <v>0</v>
      </c>
      <c r="H453" s="16">
        <v>0</v>
      </c>
      <c r="I453" s="16">
        <v>1</v>
      </c>
      <c r="J453" s="16">
        <v>0</v>
      </c>
      <c r="K453" s="16">
        <v>1</v>
      </c>
      <c r="L453" s="15">
        <v>0</v>
      </c>
      <c r="M453" s="15">
        <f t="shared" si="54"/>
        <v>0</v>
      </c>
      <c r="N453" s="16">
        <v>0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5">
        <v>0</v>
      </c>
      <c r="U453" s="15">
        <v>0</v>
      </c>
      <c r="V453" s="15">
        <v>0</v>
      </c>
      <c r="W453" s="15">
        <v>0</v>
      </c>
      <c r="X453" s="15">
        <v>1</v>
      </c>
      <c r="Y453" s="15">
        <v>0</v>
      </c>
      <c r="Z453" s="33" t="s">
        <v>1155</v>
      </c>
    </row>
    <row r="454" spans="1:26" s="15" customFormat="1" ht="15" customHeight="1" x14ac:dyDescent="0.15">
      <c r="A454" s="15">
        <v>1156</v>
      </c>
      <c r="B454" s="15" t="s">
        <v>1060</v>
      </c>
      <c r="C454" s="15">
        <f t="shared" si="53"/>
        <v>20</v>
      </c>
      <c r="D454" s="15">
        <v>1</v>
      </c>
      <c r="F454" s="12">
        <v>0</v>
      </c>
      <c r="G454" s="16">
        <v>0</v>
      </c>
      <c r="H454" s="16">
        <v>0</v>
      </c>
      <c r="I454" s="16">
        <v>1</v>
      </c>
      <c r="J454" s="16">
        <v>0</v>
      </c>
      <c r="K454" s="16">
        <v>1</v>
      </c>
      <c r="L454" s="15">
        <v>0</v>
      </c>
      <c r="M454" s="15">
        <f t="shared" si="54"/>
        <v>0</v>
      </c>
      <c r="N454" s="16">
        <v>0</v>
      </c>
      <c r="O454" s="16">
        <v>0</v>
      </c>
      <c r="P454" s="16">
        <v>0</v>
      </c>
      <c r="Q454" s="16">
        <v>0</v>
      </c>
      <c r="R454" s="16">
        <v>0</v>
      </c>
      <c r="S454" s="16">
        <v>0</v>
      </c>
      <c r="T454" s="15">
        <v>0</v>
      </c>
      <c r="U454" s="15">
        <v>0</v>
      </c>
      <c r="V454" s="15">
        <v>0</v>
      </c>
      <c r="W454" s="15">
        <v>0</v>
      </c>
      <c r="X454" s="15">
        <v>1</v>
      </c>
      <c r="Y454" s="15">
        <v>0</v>
      </c>
      <c r="Z454" s="33" t="s">
        <v>1431</v>
      </c>
    </row>
    <row r="455" spans="1:26" s="15" customFormat="1" ht="15" customHeight="1" x14ac:dyDescent="0.15">
      <c r="A455" s="15">
        <v>1157</v>
      </c>
      <c r="B455" s="15" t="s">
        <v>1061</v>
      </c>
      <c r="C455" s="15">
        <f t="shared" si="53"/>
        <v>20</v>
      </c>
      <c r="D455" s="15">
        <v>1</v>
      </c>
      <c r="F455" s="12">
        <v>0</v>
      </c>
      <c r="G455" s="16">
        <v>0</v>
      </c>
      <c r="H455" s="16">
        <v>0</v>
      </c>
      <c r="I455" s="16">
        <v>1</v>
      </c>
      <c r="J455" s="16">
        <v>0</v>
      </c>
      <c r="K455" s="16">
        <v>1</v>
      </c>
      <c r="L455" s="15">
        <v>0</v>
      </c>
      <c r="M455" s="15">
        <f t="shared" si="54"/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5">
        <v>0</v>
      </c>
      <c r="U455" s="15">
        <v>0</v>
      </c>
      <c r="V455" s="15">
        <v>0</v>
      </c>
      <c r="W455" s="15">
        <v>0</v>
      </c>
      <c r="X455" s="15">
        <v>1</v>
      </c>
      <c r="Y455" s="15">
        <v>0</v>
      </c>
      <c r="Z455" s="33" t="s">
        <v>1432</v>
      </c>
    </row>
    <row r="456" spans="1:26" s="15" customFormat="1" ht="15" customHeight="1" x14ac:dyDescent="0.15">
      <c r="A456" s="15">
        <v>1158</v>
      </c>
      <c r="B456" s="15" t="s">
        <v>1062</v>
      </c>
      <c r="C456" s="15">
        <f t="shared" si="53"/>
        <v>20</v>
      </c>
      <c r="D456" s="15">
        <v>1</v>
      </c>
      <c r="F456" s="12">
        <v>0</v>
      </c>
      <c r="G456" s="16">
        <v>0</v>
      </c>
      <c r="H456" s="16">
        <v>0</v>
      </c>
      <c r="I456" s="16">
        <v>1</v>
      </c>
      <c r="J456" s="16">
        <v>0</v>
      </c>
      <c r="K456" s="16">
        <v>1</v>
      </c>
      <c r="L456" s="15">
        <v>0</v>
      </c>
      <c r="M456" s="15">
        <f t="shared" si="54"/>
        <v>0</v>
      </c>
      <c r="N456" s="16">
        <v>0</v>
      </c>
      <c r="O456" s="16">
        <v>0</v>
      </c>
      <c r="P456" s="16">
        <v>0</v>
      </c>
      <c r="Q456" s="16">
        <v>0</v>
      </c>
      <c r="R456" s="16">
        <v>0</v>
      </c>
      <c r="S456" s="16">
        <v>0</v>
      </c>
      <c r="T456" s="15">
        <v>0</v>
      </c>
      <c r="U456" s="15">
        <v>0</v>
      </c>
      <c r="V456" s="15">
        <v>0</v>
      </c>
      <c r="W456" s="15">
        <v>0</v>
      </c>
      <c r="X456" s="15">
        <v>1</v>
      </c>
      <c r="Y456" s="15">
        <v>0</v>
      </c>
      <c r="Z456" s="33" t="s">
        <v>1433</v>
      </c>
    </row>
    <row r="457" spans="1:26" s="15" customFormat="1" ht="15" customHeight="1" x14ac:dyDescent="0.15">
      <c r="A457" s="15">
        <v>1159</v>
      </c>
      <c r="B457" s="15" t="s">
        <v>1063</v>
      </c>
      <c r="C457" s="15">
        <f t="shared" si="53"/>
        <v>20</v>
      </c>
      <c r="D457" s="15">
        <v>1</v>
      </c>
      <c r="F457" s="12">
        <v>0</v>
      </c>
      <c r="G457" s="16">
        <v>0</v>
      </c>
      <c r="H457" s="16">
        <v>0</v>
      </c>
      <c r="I457" s="16">
        <v>1</v>
      </c>
      <c r="J457" s="16">
        <v>0</v>
      </c>
      <c r="K457" s="16">
        <v>1</v>
      </c>
      <c r="L457" s="15">
        <v>0</v>
      </c>
      <c r="M457" s="15">
        <f t="shared" si="54"/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5">
        <v>0</v>
      </c>
      <c r="U457" s="15">
        <v>0</v>
      </c>
      <c r="V457" s="15">
        <v>0</v>
      </c>
      <c r="W457" s="15">
        <v>0</v>
      </c>
      <c r="X457" s="15">
        <v>1</v>
      </c>
      <c r="Y457" s="15">
        <v>0</v>
      </c>
      <c r="Z457" s="33" t="s">
        <v>1434</v>
      </c>
    </row>
    <row r="458" spans="1:26" s="15" customFormat="1" ht="15" customHeight="1" x14ac:dyDescent="0.15">
      <c r="A458" s="15">
        <v>1160</v>
      </c>
      <c r="B458" s="15" t="s">
        <v>1064</v>
      </c>
      <c r="C458" s="15">
        <f t="shared" si="53"/>
        <v>20</v>
      </c>
      <c r="D458" s="15">
        <v>1</v>
      </c>
      <c r="F458" s="12">
        <v>0</v>
      </c>
      <c r="G458" s="16">
        <v>0</v>
      </c>
      <c r="H458" s="16">
        <v>0</v>
      </c>
      <c r="I458" s="16">
        <v>1</v>
      </c>
      <c r="J458" s="16">
        <v>0</v>
      </c>
      <c r="K458" s="16">
        <v>1</v>
      </c>
      <c r="L458" s="15">
        <v>0</v>
      </c>
      <c r="M458" s="15">
        <f t="shared" si="54"/>
        <v>0</v>
      </c>
      <c r="N458" s="16">
        <v>0</v>
      </c>
      <c r="O458" s="16">
        <v>0</v>
      </c>
      <c r="P458" s="16">
        <v>0</v>
      </c>
      <c r="Q458" s="16">
        <v>0</v>
      </c>
      <c r="R458" s="16">
        <v>0</v>
      </c>
      <c r="S458" s="16">
        <v>0</v>
      </c>
      <c r="T458" s="15">
        <v>0</v>
      </c>
      <c r="U458" s="15">
        <v>0</v>
      </c>
      <c r="V458" s="15">
        <v>0</v>
      </c>
      <c r="W458" s="15">
        <v>0</v>
      </c>
      <c r="X458" s="15">
        <v>1</v>
      </c>
      <c r="Y458" s="15">
        <v>0</v>
      </c>
      <c r="Z458" s="33" t="s">
        <v>1435</v>
      </c>
    </row>
    <row r="459" spans="1:26" s="15" customFormat="1" ht="15" customHeight="1" x14ac:dyDescent="0.15">
      <c r="A459" s="15">
        <v>1161</v>
      </c>
      <c r="B459" s="15" t="s">
        <v>1065</v>
      </c>
      <c r="C459" s="15">
        <f t="shared" ref="C459:C460" si="55">G459+H459*2+I459*4+J459*8+K459*16</f>
        <v>20</v>
      </c>
      <c r="D459" s="15">
        <v>1</v>
      </c>
      <c r="F459" s="12">
        <v>0</v>
      </c>
      <c r="G459" s="16">
        <v>0</v>
      </c>
      <c r="H459" s="16">
        <v>0</v>
      </c>
      <c r="I459" s="16">
        <v>1</v>
      </c>
      <c r="J459" s="16">
        <v>0</v>
      </c>
      <c r="K459" s="16">
        <v>1</v>
      </c>
      <c r="L459" s="15">
        <v>0</v>
      </c>
      <c r="M459" s="15">
        <f t="shared" ref="M459:M486" si="56">N459+O459*2+P459*4+Q459*8+R459*16+S459*32</f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5">
        <v>0</v>
      </c>
      <c r="U459" s="15">
        <v>0</v>
      </c>
      <c r="V459" s="15">
        <v>0</v>
      </c>
      <c r="W459" s="15">
        <v>0</v>
      </c>
      <c r="X459" s="15">
        <v>1</v>
      </c>
      <c r="Y459" s="15">
        <v>0</v>
      </c>
      <c r="Z459" s="33" t="s">
        <v>1436</v>
      </c>
    </row>
    <row r="460" spans="1:26" s="15" customFormat="1" ht="15" customHeight="1" x14ac:dyDescent="0.15">
      <c r="A460" s="15">
        <v>1162</v>
      </c>
      <c r="B460" s="15" t="s">
        <v>1066</v>
      </c>
      <c r="C460" s="15">
        <f t="shared" si="55"/>
        <v>20</v>
      </c>
      <c r="D460" s="15">
        <v>1</v>
      </c>
      <c r="F460" s="12">
        <v>0</v>
      </c>
      <c r="G460" s="16">
        <v>0</v>
      </c>
      <c r="H460" s="16">
        <v>0</v>
      </c>
      <c r="I460" s="16">
        <v>1</v>
      </c>
      <c r="J460" s="16">
        <v>0</v>
      </c>
      <c r="K460" s="16">
        <v>1</v>
      </c>
      <c r="L460" s="15">
        <v>0</v>
      </c>
      <c r="M460" s="15">
        <f t="shared" si="56"/>
        <v>0</v>
      </c>
      <c r="N460" s="16">
        <v>0</v>
      </c>
      <c r="O460" s="16">
        <v>0</v>
      </c>
      <c r="P460" s="16">
        <v>0</v>
      </c>
      <c r="Q460" s="16">
        <v>0</v>
      </c>
      <c r="R460" s="16">
        <v>0</v>
      </c>
      <c r="S460" s="16">
        <v>0</v>
      </c>
      <c r="T460" s="15">
        <v>0</v>
      </c>
      <c r="U460" s="15">
        <v>0</v>
      </c>
      <c r="V460" s="15">
        <v>0</v>
      </c>
      <c r="W460" s="15">
        <v>0</v>
      </c>
      <c r="X460" s="15">
        <v>1</v>
      </c>
      <c r="Y460" s="15">
        <v>0</v>
      </c>
      <c r="Z460" s="33" t="s">
        <v>1437</v>
      </c>
    </row>
    <row r="461" spans="1:26" s="15" customFormat="1" ht="15" customHeight="1" x14ac:dyDescent="0.15">
      <c r="A461" s="15">
        <v>1163</v>
      </c>
      <c r="B461" s="15" t="s">
        <v>1067</v>
      </c>
      <c r="C461" s="15">
        <f>G461+H461*2+I461*4+J461*8+K461*16</f>
        <v>5</v>
      </c>
      <c r="D461" s="15">
        <v>1</v>
      </c>
      <c r="F461" s="12">
        <v>0</v>
      </c>
      <c r="G461" s="16">
        <v>1</v>
      </c>
      <c r="H461" s="16">
        <v>0</v>
      </c>
      <c r="I461" s="16">
        <v>1</v>
      </c>
      <c r="J461" s="16">
        <v>0</v>
      </c>
      <c r="K461" s="16">
        <v>0</v>
      </c>
      <c r="L461" s="15">
        <v>1</v>
      </c>
      <c r="M461" s="15">
        <f t="shared" si="56"/>
        <v>0</v>
      </c>
      <c r="N461" s="16">
        <v>0</v>
      </c>
      <c r="O461" s="16">
        <v>0</v>
      </c>
      <c r="P461" s="16">
        <v>0</v>
      </c>
      <c r="Q461" s="16">
        <v>0</v>
      </c>
      <c r="R461" s="16">
        <v>0</v>
      </c>
      <c r="S461" s="16">
        <v>0</v>
      </c>
      <c r="T461" s="15">
        <v>1</v>
      </c>
      <c r="U461" s="15">
        <v>1</v>
      </c>
      <c r="V461" s="15">
        <v>1</v>
      </c>
      <c r="W461" s="15">
        <v>0</v>
      </c>
      <c r="X461" s="15">
        <v>0</v>
      </c>
      <c r="Y461" s="15">
        <v>0</v>
      </c>
      <c r="Z461" s="33" t="s">
        <v>1156</v>
      </c>
    </row>
    <row r="462" spans="1:26" s="15" customFormat="1" ht="15" customHeight="1" x14ac:dyDescent="0.15">
      <c r="A462" s="15">
        <v>1164</v>
      </c>
      <c r="B462" s="15" t="s">
        <v>1068</v>
      </c>
      <c r="C462" s="15">
        <f>G462+H462*2+I462*4+J462*8+K462*16</f>
        <v>5</v>
      </c>
      <c r="D462" s="15">
        <v>1</v>
      </c>
      <c r="F462" s="12">
        <v>0</v>
      </c>
      <c r="G462" s="16">
        <v>1</v>
      </c>
      <c r="H462" s="16">
        <v>0</v>
      </c>
      <c r="I462" s="16">
        <v>1</v>
      </c>
      <c r="J462" s="16">
        <v>0</v>
      </c>
      <c r="K462" s="16">
        <v>0</v>
      </c>
      <c r="L462" s="15">
        <v>1</v>
      </c>
      <c r="M462" s="15">
        <f t="shared" si="56"/>
        <v>0</v>
      </c>
      <c r="N462" s="16">
        <v>0</v>
      </c>
      <c r="O462" s="16">
        <v>0</v>
      </c>
      <c r="P462" s="16">
        <v>0</v>
      </c>
      <c r="Q462" s="16">
        <v>0</v>
      </c>
      <c r="R462" s="16">
        <v>0</v>
      </c>
      <c r="S462" s="16">
        <v>0</v>
      </c>
      <c r="T462" s="15">
        <v>1</v>
      </c>
      <c r="U462" s="15">
        <v>1</v>
      </c>
      <c r="V462" s="15">
        <v>1</v>
      </c>
      <c r="W462" s="15">
        <v>0</v>
      </c>
      <c r="X462" s="15">
        <v>0</v>
      </c>
      <c r="Y462" s="15">
        <v>0</v>
      </c>
      <c r="Z462" s="33" t="s">
        <v>1157</v>
      </c>
    </row>
    <row r="463" spans="1:26" s="15" customFormat="1" ht="15" customHeight="1" x14ac:dyDescent="0.15">
      <c r="A463" s="15">
        <v>1165</v>
      </c>
      <c r="B463" s="15" t="s">
        <v>1069</v>
      </c>
      <c r="C463" s="15">
        <f>G463+H463*2+I463*4+J463*8+K463*16</f>
        <v>5</v>
      </c>
      <c r="D463" s="15">
        <v>1</v>
      </c>
      <c r="F463" s="12">
        <v>0</v>
      </c>
      <c r="G463" s="16">
        <v>1</v>
      </c>
      <c r="H463" s="16">
        <v>0</v>
      </c>
      <c r="I463" s="16">
        <v>1</v>
      </c>
      <c r="J463" s="16">
        <v>0</v>
      </c>
      <c r="K463" s="16">
        <v>0</v>
      </c>
      <c r="L463" s="15">
        <v>1</v>
      </c>
      <c r="M463" s="15">
        <f t="shared" si="56"/>
        <v>0</v>
      </c>
      <c r="N463" s="16">
        <v>0</v>
      </c>
      <c r="O463" s="16">
        <v>0</v>
      </c>
      <c r="P463" s="16">
        <v>0</v>
      </c>
      <c r="Q463" s="16">
        <v>0</v>
      </c>
      <c r="R463" s="16">
        <v>0</v>
      </c>
      <c r="S463" s="16">
        <v>0</v>
      </c>
      <c r="T463" s="15">
        <v>1</v>
      </c>
      <c r="U463" s="15">
        <v>1</v>
      </c>
      <c r="V463" s="15">
        <v>1</v>
      </c>
      <c r="W463" s="15">
        <v>0</v>
      </c>
      <c r="X463" s="15">
        <v>0</v>
      </c>
      <c r="Y463" s="15">
        <v>0</v>
      </c>
      <c r="Z463" s="33" t="s">
        <v>1158</v>
      </c>
    </row>
    <row r="464" spans="1:26" s="15" customFormat="1" ht="15" customHeight="1" x14ac:dyDescent="0.15">
      <c r="A464" s="15">
        <v>1166</v>
      </c>
      <c r="B464" s="15" t="s">
        <v>1070</v>
      </c>
      <c r="C464" s="15">
        <f t="shared" ref="C464:C473" si="57">G464+H464*2+I464*4+J464*8+K464*16</f>
        <v>5</v>
      </c>
      <c r="D464" s="15">
        <v>1</v>
      </c>
      <c r="F464" s="12">
        <v>0</v>
      </c>
      <c r="G464" s="16">
        <v>1</v>
      </c>
      <c r="H464" s="16">
        <v>0</v>
      </c>
      <c r="I464" s="16">
        <v>1</v>
      </c>
      <c r="J464" s="16">
        <v>0</v>
      </c>
      <c r="K464" s="16">
        <v>0</v>
      </c>
      <c r="L464" s="15">
        <v>1</v>
      </c>
      <c r="M464" s="15">
        <f t="shared" si="56"/>
        <v>0</v>
      </c>
      <c r="N464" s="16">
        <v>0</v>
      </c>
      <c r="O464" s="16">
        <v>0</v>
      </c>
      <c r="P464" s="16">
        <v>0</v>
      </c>
      <c r="Q464" s="16">
        <v>0</v>
      </c>
      <c r="R464" s="16">
        <v>0</v>
      </c>
      <c r="S464" s="16">
        <v>0</v>
      </c>
      <c r="T464" s="15">
        <v>1</v>
      </c>
      <c r="U464" s="15">
        <v>1</v>
      </c>
      <c r="V464" s="15">
        <v>1</v>
      </c>
      <c r="W464" s="15">
        <v>0</v>
      </c>
      <c r="X464" s="15">
        <v>0</v>
      </c>
      <c r="Y464" s="15">
        <v>0</v>
      </c>
      <c r="Z464" s="33" t="s">
        <v>1159</v>
      </c>
    </row>
    <row r="465" spans="1:26" s="15" customFormat="1" ht="15" customHeight="1" x14ac:dyDescent="0.15">
      <c r="A465" s="15">
        <v>1167</v>
      </c>
      <c r="B465" s="15" t="s">
        <v>1071</v>
      </c>
      <c r="C465" s="15">
        <f t="shared" si="57"/>
        <v>5</v>
      </c>
      <c r="D465" s="15">
        <v>1</v>
      </c>
      <c r="F465" s="12">
        <v>0</v>
      </c>
      <c r="G465" s="16">
        <v>1</v>
      </c>
      <c r="H465" s="16">
        <v>0</v>
      </c>
      <c r="I465" s="16">
        <v>1</v>
      </c>
      <c r="J465" s="16">
        <v>0</v>
      </c>
      <c r="K465" s="16">
        <v>0</v>
      </c>
      <c r="L465" s="15">
        <v>1</v>
      </c>
      <c r="M465" s="15">
        <f t="shared" si="56"/>
        <v>0</v>
      </c>
      <c r="N465" s="16">
        <v>0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5">
        <v>1</v>
      </c>
      <c r="U465" s="15">
        <v>1</v>
      </c>
      <c r="V465" s="15">
        <v>1</v>
      </c>
      <c r="W465" s="15">
        <v>0</v>
      </c>
      <c r="X465" s="15">
        <v>0</v>
      </c>
      <c r="Y465" s="15">
        <v>0</v>
      </c>
      <c r="Z465" s="33" t="s">
        <v>1160</v>
      </c>
    </row>
    <row r="466" spans="1:26" s="15" customFormat="1" ht="15" customHeight="1" x14ac:dyDescent="0.15">
      <c r="A466" s="15">
        <v>1168</v>
      </c>
      <c r="B466" s="15" t="s">
        <v>1072</v>
      </c>
      <c r="C466" s="15">
        <f t="shared" si="57"/>
        <v>5</v>
      </c>
      <c r="D466" s="15">
        <v>1</v>
      </c>
      <c r="F466" s="12">
        <v>0</v>
      </c>
      <c r="G466" s="16">
        <v>1</v>
      </c>
      <c r="H466" s="16">
        <v>0</v>
      </c>
      <c r="I466" s="16">
        <v>1</v>
      </c>
      <c r="J466" s="16">
        <v>0</v>
      </c>
      <c r="K466" s="16">
        <v>0</v>
      </c>
      <c r="L466" s="15">
        <v>1</v>
      </c>
      <c r="M466" s="15">
        <f t="shared" si="56"/>
        <v>0</v>
      </c>
      <c r="N466" s="16">
        <v>0</v>
      </c>
      <c r="O466" s="16">
        <v>0</v>
      </c>
      <c r="P466" s="16">
        <v>0</v>
      </c>
      <c r="Q466" s="16">
        <v>0</v>
      </c>
      <c r="R466" s="16">
        <v>0</v>
      </c>
      <c r="S466" s="16">
        <v>0</v>
      </c>
      <c r="T466" s="15">
        <v>1</v>
      </c>
      <c r="U466" s="15">
        <v>1</v>
      </c>
      <c r="V466" s="15">
        <v>1</v>
      </c>
      <c r="W466" s="15">
        <v>0</v>
      </c>
      <c r="X466" s="15">
        <v>0</v>
      </c>
      <c r="Y466" s="15">
        <v>0</v>
      </c>
      <c r="Z466" s="33" t="s">
        <v>1161</v>
      </c>
    </row>
    <row r="467" spans="1:26" s="15" customFormat="1" ht="15" customHeight="1" x14ac:dyDescent="0.15">
      <c r="A467" s="15">
        <v>1169</v>
      </c>
      <c r="B467" s="15" t="s">
        <v>1073</v>
      </c>
      <c r="C467" s="15">
        <f t="shared" si="57"/>
        <v>5</v>
      </c>
      <c r="D467" s="15">
        <v>1</v>
      </c>
      <c r="F467" s="12">
        <v>0</v>
      </c>
      <c r="G467" s="16">
        <v>1</v>
      </c>
      <c r="H467" s="16">
        <v>0</v>
      </c>
      <c r="I467" s="16">
        <v>1</v>
      </c>
      <c r="J467" s="16">
        <v>0</v>
      </c>
      <c r="K467" s="16">
        <v>0</v>
      </c>
      <c r="L467" s="15">
        <v>1</v>
      </c>
      <c r="M467" s="15">
        <f t="shared" si="56"/>
        <v>0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5">
        <v>1</v>
      </c>
      <c r="U467" s="15">
        <v>1</v>
      </c>
      <c r="V467" s="15">
        <v>1</v>
      </c>
      <c r="W467" s="15">
        <v>0</v>
      </c>
      <c r="X467" s="15">
        <v>0</v>
      </c>
      <c r="Y467" s="15">
        <v>0</v>
      </c>
      <c r="Z467" s="33" t="s">
        <v>1162</v>
      </c>
    </row>
    <row r="468" spans="1:26" s="15" customFormat="1" ht="15" customHeight="1" x14ac:dyDescent="0.15">
      <c r="A468" s="15">
        <v>1170</v>
      </c>
      <c r="B468" s="15" t="s">
        <v>1388</v>
      </c>
      <c r="C468" s="15">
        <f t="shared" si="57"/>
        <v>5</v>
      </c>
      <c r="D468" s="15">
        <v>1</v>
      </c>
      <c r="F468" s="12">
        <v>0</v>
      </c>
      <c r="G468" s="16">
        <v>1</v>
      </c>
      <c r="H468" s="16">
        <v>0</v>
      </c>
      <c r="I468" s="16">
        <v>1</v>
      </c>
      <c r="J468" s="16">
        <v>0</v>
      </c>
      <c r="K468" s="16">
        <v>0</v>
      </c>
      <c r="L468" s="15">
        <v>1</v>
      </c>
      <c r="M468" s="15">
        <f t="shared" si="56"/>
        <v>0</v>
      </c>
      <c r="N468" s="16">
        <v>0</v>
      </c>
      <c r="O468" s="16">
        <v>0</v>
      </c>
      <c r="P468" s="16">
        <v>0</v>
      </c>
      <c r="Q468" s="16">
        <v>0</v>
      </c>
      <c r="R468" s="16">
        <v>0</v>
      </c>
      <c r="S468" s="16">
        <v>0</v>
      </c>
      <c r="T468" s="15">
        <v>1</v>
      </c>
      <c r="U468" s="15">
        <v>1</v>
      </c>
      <c r="V468" s="15">
        <v>1</v>
      </c>
      <c r="W468" s="15">
        <v>0</v>
      </c>
      <c r="X468" s="15">
        <v>0</v>
      </c>
      <c r="Y468" s="15">
        <v>0</v>
      </c>
      <c r="Z468" s="33" t="s">
        <v>1389</v>
      </c>
    </row>
    <row r="469" spans="1:26" s="15" customFormat="1" ht="15" customHeight="1" x14ac:dyDescent="0.15">
      <c r="A469" s="15">
        <v>1171</v>
      </c>
      <c r="B469" s="15" t="s">
        <v>1390</v>
      </c>
      <c r="C469" s="15">
        <f t="shared" si="57"/>
        <v>5</v>
      </c>
      <c r="D469" s="15">
        <v>1</v>
      </c>
      <c r="F469" s="12">
        <v>0</v>
      </c>
      <c r="G469" s="16">
        <v>1</v>
      </c>
      <c r="H469" s="16">
        <v>0</v>
      </c>
      <c r="I469" s="16">
        <v>1</v>
      </c>
      <c r="J469" s="16">
        <v>0</v>
      </c>
      <c r="K469" s="16">
        <v>0</v>
      </c>
      <c r="L469" s="15">
        <v>1</v>
      </c>
      <c r="M469" s="15">
        <f t="shared" si="56"/>
        <v>0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5">
        <v>1</v>
      </c>
      <c r="U469" s="15">
        <v>1</v>
      </c>
      <c r="V469" s="15">
        <v>1</v>
      </c>
      <c r="W469" s="15">
        <v>0</v>
      </c>
      <c r="X469" s="15">
        <v>0</v>
      </c>
      <c r="Y469" s="15">
        <v>0</v>
      </c>
      <c r="Z469" s="33" t="s">
        <v>1391</v>
      </c>
    </row>
    <row r="470" spans="1:26" s="15" customFormat="1" ht="15" customHeight="1" x14ac:dyDescent="0.15">
      <c r="A470" s="15">
        <v>1172</v>
      </c>
      <c r="B470" s="15" t="s">
        <v>1392</v>
      </c>
      <c r="C470" s="15">
        <f t="shared" si="57"/>
        <v>5</v>
      </c>
      <c r="D470" s="15">
        <v>1</v>
      </c>
      <c r="F470" s="12">
        <v>0</v>
      </c>
      <c r="G470" s="16">
        <v>1</v>
      </c>
      <c r="H470" s="16">
        <v>0</v>
      </c>
      <c r="I470" s="16">
        <v>1</v>
      </c>
      <c r="J470" s="16">
        <v>0</v>
      </c>
      <c r="K470" s="16">
        <v>0</v>
      </c>
      <c r="L470" s="15">
        <v>1</v>
      </c>
      <c r="M470" s="15">
        <f t="shared" si="56"/>
        <v>0</v>
      </c>
      <c r="N470" s="16">
        <v>0</v>
      </c>
      <c r="O470" s="16">
        <v>0</v>
      </c>
      <c r="P470" s="16">
        <v>0</v>
      </c>
      <c r="Q470" s="16">
        <v>0</v>
      </c>
      <c r="R470" s="16">
        <v>0</v>
      </c>
      <c r="S470" s="16">
        <v>0</v>
      </c>
      <c r="T470" s="15">
        <v>1</v>
      </c>
      <c r="U470" s="15">
        <v>1</v>
      </c>
      <c r="V470" s="15">
        <v>1</v>
      </c>
      <c r="W470" s="15">
        <v>0</v>
      </c>
      <c r="X470" s="15">
        <v>0</v>
      </c>
      <c r="Y470" s="15">
        <v>0</v>
      </c>
      <c r="Z470" s="33" t="s">
        <v>1393</v>
      </c>
    </row>
    <row r="471" spans="1:26" s="15" customFormat="1" ht="15" customHeight="1" x14ac:dyDescent="0.15">
      <c r="A471" s="15">
        <v>1173</v>
      </c>
      <c r="B471" s="15" t="s">
        <v>1394</v>
      </c>
      <c r="C471" s="15">
        <f t="shared" si="57"/>
        <v>5</v>
      </c>
      <c r="D471" s="15">
        <v>1</v>
      </c>
      <c r="F471" s="12">
        <v>0</v>
      </c>
      <c r="G471" s="16">
        <v>1</v>
      </c>
      <c r="H471" s="16">
        <v>0</v>
      </c>
      <c r="I471" s="16">
        <v>1</v>
      </c>
      <c r="J471" s="16">
        <v>0</v>
      </c>
      <c r="K471" s="16">
        <v>0</v>
      </c>
      <c r="L471" s="15">
        <v>1</v>
      </c>
      <c r="M471" s="15">
        <f t="shared" si="56"/>
        <v>0</v>
      </c>
      <c r="N471" s="16">
        <v>0</v>
      </c>
      <c r="O471" s="16">
        <v>0</v>
      </c>
      <c r="P471" s="16">
        <v>0</v>
      </c>
      <c r="Q471" s="16">
        <v>0</v>
      </c>
      <c r="R471" s="16">
        <v>0</v>
      </c>
      <c r="S471" s="16">
        <v>0</v>
      </c>
      <c r="T471" s="15">
        <v>1</v>
      </c>
      <c r="U471" s="15">
        <v>1</v>
      </c>
      <c r="V471" s="15">
        <v>1</v>
      </c>
      <c r="W471" s="15">
        <v>0</v>
      </c>
      <c r="X471" s="15">
        <v>0</v>
      </c>
      <c r="Y471" s="15">
        <v>0</v>
      </c>
      <c r="Z471" s="33" t="s">
        <v>1395</v>
      </c>
    </row>
    <row r="472" spans="1:26" s="15" customFormat="1" ht="15" customHeight="1" x14ac:dyDescent="0.15">
      <c r="A472" s="15">
        <v>1174</v>
      </c>
      <c r="B472" s="15" t="s">
        <v>1396</v>
      </c>
      <c r="C472" s="15">
        <f t="shared" si="57"/>
        <v>5</v>
      </c>
      <c r="D472" s="15">
        <v>1</v>
      </c>
      <c r="F472" s="12">
        <v>0</v>
      </c>
      <c r="G472" s="16">
        <v>1</v>
      </c>
      <c r="H472" s="16">
        <v>0</v>
      </c>
      <c r="I472" s="16">
        <v>1</v>
      </c>
      <c r="J472" s="16">
        <v>0</v>
      </c>
      <c r="K472" s="16">
        <v>0</v>
      </c>
      <c r="L472" s="15">
        <v>1</v>
      </c>
      <c r="M472" s="15">
        <f t="shared" si="56"/>
        <v>0</v>
      </c>
      <c r="N472" s="16">
        <v>0</v>
      </c>
      <c r="O472" s="16">
        <v>0</v>
      </c>
      <c r="P472" s="16">
        <v>0</v>
      </c>
      <c r="Q472" s="16">
        <v>0</v>
      </c>
      <c r="R472" s="16">
        <v>0</v>
      </c>
      <c r="S472" s="16">
        <v>0</v>
      </c>
      <c r="T472" s="15">
        <v>1</v>
      </c>
      <c r="U472" s="15">
        <v>1</v>
      </c>
      <c r="V472" s="15">
        <v>1</v>
      </c>
      <c r="W472" s="15">
        <v>0</v>
      </c>
      <c r="X472" s="15">
        <v>0</v>
      </c>
      <c r="Y472" s="15">
        <v>0</v>
      </c>
      <c r="Z472" s="33" t="s">
        <v>1397</v>
      </c>
    </row>
    <row r="473" spans="1:26" s="15" customFormat="1" ht="15" customHeight="1" x14ac:dyDescent="0.15">
      <c r="A473" s="15">
        <v>1175</v>
      </c>
      <c r="B473" s="15" t="s">
        <v>1398</v>
      </c>
      <c r="C473" s="15">
        <f t="shared" si="57"/>
        <v>5</v>
      </c>
      <c r="D473" s="15">
        <v>1</v>
      </c>
      <c r="F473" s="12">
        <v>0</v>
      </c>
      <c r="G473" s="16">
        <v>1</v>
      </c>
      <c r="H473" s="16">
        <v>0</v>
      </c>
      <c r="I473" s="16">
        <v>1</v>
      </c>
      <c r="J473" s="16">
        <v>0</v>
      </c>
      <c r="K473" s="16">
        <v>0</v>
      </c>
      <c r="L473" s="15">
        <v>1</v>
      </c>
      <c r="M473" s="15">
        <f t="shared" si="56"/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5">
        <v>1</v>
      </c>
      <c r="U473" s="15">
        <v>1</v>
      </c>
      <c r="V473" s="15">
        <v>1</v>
      </c>
      <c r="W473" s="15">
        <v>0</v>
      </c>
      <c r="X473" s="15">
        <v>0</v>
      </c>
      <c r="Y473" s="15">
        <v>0</v>
      </c>
      <c r="Z473" s="33" t="s">
        <v>1399</v>
      </c>
    </row>
    <row r="474" spans="1:26" s="15" customFormat="1" ht="15" customHeight="1" x14ac:dyDescent="0.15">
      <c r="A474" s="15">
        <v>1176</v>
      </c>
      <c r="B474" s="15" t="s">
        <v>1400</v>
      </c>
      <c r="C474" s="15">
        <f>G474+H474*2+I474*4+J474*8+K474*16</f>
        <v>5</v>
      </c>
      <c r="D474" s="15">
        <v>1</v>
      </c>
      <c r="F474" s="12">
        <v>0</v>
      </c>
      <c r="G474" s="16">
        <v>1</v>
      </c>
      <c r="H474" s="16">
        <v>0</v>
      </c>
      <c r="I474" s="16">
        <v>1</v>
      </c>
      <c r="J474" s="16">
        <v>0</v>
      </c>
      <c r="K474" s="16">
        <v>0</v>
      </c>
      <c r="L474" s="15">
        <v>1</v>
      </c>
      <c r="M474" s="15">
        <f t="shared" si="56"/>
        <v>0</v>
      </c>
      <c r="N474" s="16">
        <v>0</v>
      </c>
      <c r="O474" s="16">
        <v>0</v>
      </c>
      <c r="P474" s="16">
        <v>0</v>
      </c>
      <c r="Q474" s="16">
        <v>0</v>
      </c>
      <c r="R474" s="16">
        <v>0</v>
      </c>
      <c r="S474" s="16">
        <v>0</v>
      </c>
      <c r="T474" s="15">
        <v>1</v>
      </c>
      <c r="U474" s="15">
        <v>1</v>
      </c>
      <c r="V474" s="15">
        <v>1</v>
      </c>
      <c r="W474" s="15">
        <v>0</v>
      </c>
      <c r="X474" s="15">
        <v>0</v>
      </c>
      <c r="Y474" s="15">
        <v>0</v>
      </c>
      <c r="Z474" s="33" t="s">
        <v>1401</v>
      </c>
    </row>
    <row r="475" spans="1:26" s="15" customFormat="1" ht="15" customHeight="1" x14ac:dyDescent="0.15">
      <c r="A475" s="15">
        <v>1177</v>
      </c>
      <c r="B475" s="15" t="s">
        <v>1074</v>
      </c>
      <c r="C475" s="15">
        <f>G475+H475*2+I475*4+J475*8+K475*16</f>
        <v>5</v>
      </c>
      <c r="D475" s="15">
        <v>1</v>
      </c>
      <c r="F475" s="12">
        <v>0</v>
      </c>
      <c r="G475" s="16">
        <v>1</v>
      </c>
      <c r="H475" s="16">
        <v>0</v>
      </c>
      <c r="I475" s="16">
        <v>1</v>
      </c>
      <c r="J475" s="16">
        <v>0</v>
      </c>
      <c r="K475" s="16">
        <v>0</v>
      </c>
      <c r="L475" s="15">
        <v>1</v>
      </c>
      <c r="M475" s="15">
        <f t="shared" si="56"/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5">
        <v>1</v>
      </c>
      <c r="U475" s="15">
        <v>1</v>
      </c>
      <c r="V475" s="15">
        <v>1</v>
      </c>
      <c r="W475" s="15">
        <v>0</v>
      </c>
      <c r="X475" s="15">
        <v>0</v>
      </c>
      <c r="Y475" s="15">
        <v>0</v>
      </c>
      <c r="Z475" s="33" t="s">
        <v>1173</v>
      </c>
    </row>
    <row r="476" spans="1:26" s="15" customFormat="1" ht="15" customHeight="1" x14ac:dyDescent="0.15">
      <c r="A476" s="15">
        <v>1178</v>
      </c>
      <c r="B476" s="15" t="s">
        <v>1075</v>
      </c>
      <c r="C476" s="15">
        <f>G476+H476*2+I476*4+J476*8+K476*16</f>
        <v>5</v>
      </c>
      <c r="D476" s="15">
        <v>1</v>
      </c>
      <c r="F476" s="12">
        <v>0</v>
      </c>
      <c r="G476" s="16">
        <v>1</v>
      </c>
      <c r="H476" s="16">
        <v>0</v>
      </c>
      <c r="I476" s="16">
        <v>1</v>
      </c>
      <c r="J476" s="16">
        <v>0</v>
      </c>
      <c r="K476" s="16">
        <v>0</v>
      </c>
      <c r="L476" s="15">
        <v>1</v>
      </c>
      <c r="M476" s="15">
        <f t="shared" si="56"/>
        <v>0</v>
      </c>
      <c r="N476" s="16">
        <v>0</v>
      </c>
      <c r="O476" s="16">
        <v>0</v>
      </c>
      <c r="P476" s="16">
        <v>0</v>
      </c>
      <c r="Q476" s="16">
        <v>0</v>
      </c>
      <c r="R476" s="16">
        <v>0</v>
      </c>
      <c r="S476" s="16">
        <v>0</v>
      </c>
      <c r="T476" s="15">
        <v>1</v>
      </c>
      <c r="U476" s="15">
        <v>1</v>
      </c>
      <c r="V476" s="15">
        <v>1</v>
      </c>
      <c r="W476" s="15">
        <v>0</v>
      </c>
      <c r="X476" s="15">
        <v>0</v>
      </c>
      <c r="Y476" s="15">
        <v>0</v>
      </c>
      <c r="Z476" s="33" t="s">
        <v>1174</v>
      </c>
    </row>
    <row r="477" spans="1:26" s="15" customFormat="1" ht="15" customHeight="1" x14ac:dyDescent="0.15">
      <c r="A477" s="15">
        <v>1179</v>
      </c>
      <c r="B477" s="15" t="s">
        <v>1076</v>
      </c>
      <c r="C477" s="15">
        <f t="shared" ref="C477:C486" si="58">G477+H477*2+I477*4+J477*8+K477*16</f>
        <v>5</v>
      </c>
      <c r="D477" s="15">
        <v>1</v>
      </c>
      <c r="F477" s="12">
        <v>0</v>
      </c>
      <c r="G477" s="16">
        <v>1</v>
      </c>
      <c r="H477" s="16">
        <v>0</v>
      </c>
      <c r="I477" s="16">
        <v>1</v>
      </c>
      <c r="J477" s="16">
        <v>0</v>
      </c>
      <c r="K477" s="16">
        <v>0</v>
      </c>
      <c r="L477" s="15">
        <v>1</v>
      </c>
      <c r="M477" s="15">
        <f t="shared" si="56"/>
        <v>0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5">
        <v>1</v>
      </c>
      <c r="U477" s="15">
        <v>1</v>
      </c>
      <c r="V477" s="15">
        <v>1</v>
      </c>
      <c r="W477" s="15">
        <v>0</v>
      </c>
      <c r="X477" s="15">
        <v>0</v>
      </c>
      <c r="Y477" s="15">
        <v>0</v>
      </c>
      <c r="Z477" s="33" t="s">
        <v>1175</v>
      </c>
    </row>
    <row r="478" spans="1:26" s="15" customFormat="1" ht="15" customHeight="1" x14ac:dyDescent="0.15">
      <c r="A478" s="15">
        <v>1180</v>
      </c>
      <c r="B478" s="15" t="s">
        <v>1077</v>
      </c>
      <c r="C478" s="15">
        <f t="shared" si="58"/>
        <v>5</v>
      </c>
      <c r="D478" s="15">
        <v>1</v>
      </c>
      <c r="F478" s="12">
        <v>0</v>
      </c>
      <c r="G478" s="16">
        <v>1</v>
      </c>
      <c r="H478" s="16">
        <v>0</v>
      </c>
      <c r="I478" s="16">
        <v>1</v>
      </c>
      <c r="J478" s="16">
        <v>0</v>
      </c>
      <c r="K478" s="16">
        <v>0</v>
      </c>
      <c r="L478" s="15">
        <v>1</v>
      </c>
      <c r="M478" s="15">
        <f t="shared" si="56"/>
        <v>0</v>
      </c>
      <c r="N478" s="16">
        <v>0</v>
      </c>
      <c r="O478" s="16">
        <v>0</v>
      </c>
      <c r="P478" s="16">
        <v>0</v>
      </c>
      <c r="Q478" s="16">
        <v>0</v>
      </c>
      <c r="R478" s="16">
        <v>0</v>
      </c>
      <c r="S478" s="16">
        <v>0</v>
      </c>
      <c r="T478" s="15">
        <v>1</v>
      </c>
      <c r="U478" s="15">
        <v>1</v>
      </c>
      <c r="V478" s="15">
        <v>1</v>
      </c>
      <c r="W478" s="15">
        <v>0</v>
      </c>
      <c r="X478" s="15">
        <v>0</v>
      </c>
      <c r="Y478" s="15">
        <v>0</v>
      </c>
      <c r="Z478" s="33" t="s">
        <v>1176</v>
      </c>
    </row>
    <row r="479" spans="1:26" s="15" customFormat="1" ht="15" customHeight="1" x14ac:dyDescent="0.15">
      <c r="A479" s="15">
        <v>1181</v>
      </c>
      <c r="B479" s="15" t="s">
        <v>1078</v>
      </c>
      <c r="C479" s="15">
        <f t="shared" si="58"/>
        <v>5</v>
      </c>
      <c r="D479" s="15">
        <v>1</v>
      </c>
      <c r="F479" s="12">
        <v>0</v>
      </c>
      <c r="G479" s="16">
        <v>1</v>
      </c>
      <c r="H479" s="16">
        <v>0</v>
      </c>
      <c r="I479" s="16">
        <v>1</v>
      </c>
      <c r="J479" s="16">
        <v>0</v>
      </c>
      <c r="K479" s="16">
        <v>0</v>
      </c>
      <c r="L479" s="15">
        <v>1</v>
      </c>
      <c r="M479" s="15">
        <f t="shared" si="56"/>
        <v>0</v>
      </c>
      <c r="N479" s="16">
        <v>0</v>
      </c>
      <c r="O479" s="16">
        <v>0</v>
      </c>
      <c r="P479" s="16">
        <v>0</v>
      </c>
      <c r="Q479" s="16">
        <v>0</v>
      </c>
      <c r="R479" s="16">
        <v>0</v>
      </c>
      <c r="S479" s="16">
        <v>0</v>
      </c>
      <c r="T479" s="15">
        <v>1</v>
      </c>
      <c r="U479" s="15">
        <v>1</v>
      </c>
      <c r="V479" s="15">
        <v>1</v>
      </c>
      <c r="W479" s="15">
        <v>0</v>
      </c>
      <c r="X479" s="15">
        <v>0</v>
      </c>
      <c r="Y479" s="15">
        <v>0</v>
      </c>
      <c r="Z479" s="33" t="s">
        <v>1177</v>
      </c>
    </row>
    <row r="480" spans="1:26" s="15" customFormat="1" ht="15" customHeight="1" x14ac:dyDescent="0.15">
      <c r="A480" s="15">
        <v>1182</v>
      </c>
      <c r="B480" s="15" t="s">
        <v>1079</v>
      </c>
      <c r="C480" s="15">
        <f t="shared" si="58"/>
        <v>5</v>
      </c>
      <c r="D480" s="15">
        <v>1</v>
      </c>
      <c r="F480" s="12">
        <v>0</v>
      </c>
      <c r="G480" s="16">
        <v>1</v>
      </c>
      <c r="H480" s="16">
        <v>0</v>
      </c>
      <c r="I480" s="16">
        <v>1</v>
      </c>
      <c r="J480" s="16">
        <v>0</v>
      </c>
      <c r="K480" s="16">
        <v>0</v>
      </c>
      <c r="L480" s="15">
        <v>1</v>
      </c>
      <c r="M480" s="15">
        <f t="shared" si="56"/>
        <v>0</v>
      </c>
      <c r="N480" s="16">
        <v>0</v>
      </c>
      <c r="O480" s="16">
        <v>0</v>
      </c>
      <c r="P480" s="16">
        <v>0</v>
      </c>
      <c r="Q480" s="16">
        <v>0</v>
      </c>
      <c r="R480" s="16">
        <v>0</v>
      </c>
      <c r="S480" s="16">
        <v>0</v>
      </c>
      <c r="T480" s="15">
        <v>1</v>
      </c>
      <c r="U480" s="15">
        <v>1</v>
      </c>
      <c r="V480" s="15">
        <v>1</v>
      </c>
      <c r="W480" s="15">
        <v>0</v>
      </c>
      <c r="X480" s="15">
        <v>0</v>
      </c>
      <c r="Y480" s="15">
        <v>0</v>
      </c>
      <c r="Z480" s="33" t="s">
        <v>1178</v>
      </c>
    </row>
    <row r="481" spans="1:26" s="15" customFormat="1" ht="15" customHeight="1" x14ac:dyDescent="0.15">
      <c r="A481" s="15">
        <v>1183</v>
      </c>
      <c r="B481" s="15" t="s">
        <v>1080</v>
      </c>
      <c r="C481" s="15">
        <f t="shared" si="58"/>
        <v>5</v>
      </c>
      <c r="D481" s="15">
        <v>1</v>
      </c>
      <c r="F481" s="12">
        <v>0</v>
      </c>
      <c r="G481" s="16">
        <v>1</v>
      </c>
      <c r="H481" s="16">
        <v>0</v>
      </c>
      <c r="I481" s="16">
        <v>1</v>
      </c>
      <c r="J481" s="16">
        <v>0</v>
      </c>
      <c r="K481" s="16">
        <v>0</v>
      </c>
      <c r="L481" s="15">
        <v>1</v>
      </c>
      <c r="M481" s="15">
        <f t="shared" si="56"/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5">
        <v>1</v>
      </c>
      <c r="U481" s="15">
        <v>1</v>
      </c>
      <c r="V481" s="15">
        <v>1</v>
      </c>
      <c r="W481" s="15">
        <v>0</v>
      </c>
      <c r="X481" s="15">
        <v>0</v>
      </c>
      <c r="Y481" s="15">
        <v>0</v>
      </c>
      <c r="Z481" s="33" t="s">
        <v>1179</v>
      </c>
    </row>
    <row r="482" spans="1:26" s="15" customFormat="1" ht="15" customHeight="1" x14ac:dyDescent="0.15">
      <c r="A482" s="15">
        <v>1184</v>
      </c>
      <c r="B482" s="15" t="s">
        <v>1438</v>
      </c>
      <c r="C482" s="15">
        <f t="shared" si="58"/>
        <v>5</v>
      </c>
      <c r="D482" s="15">
        <v>1</v>
      </c>
      <c r="F482" s="12">
        <v>0</v>
      </c>
      <c r="G482" s="16">
        <v>1</v>
      </c>
      <c r="H482" s="16">
        <v>0</v>
      </c>
      <c r="I482" s="16">
        <v>1</v>
      </c>
      <c r="J482" s="16">
        <v>0</v>
      </c>
      <c r="K482" s="16">
        <v>0</v>
      </c>
      <c r="L482" s="15">
        <v>1</v>
      </c>
      <c r="M482" s="15">
        <f t="shared" si="56"/>
        <v>0</v>
      </c>
      <c r="N482" s="16">
        <v>0</v>
      </c>
      <c r="O482" s="16">
        <v>0</v>
      </c>
      <c r="P482" s="16">
        <v>0</v>
      </c>
      <c r="Q482" s="16">
        <v>0</v>
      </c>
      <c r="R482" s="16">
        <v>0</v>
      </c>
      <c r="S482" s="16">
        <v>0</v>
      </c>
      <c r="T482" s="15">
        <v>1</v>
      </c>
      <c r="U482" s="15">
        <v>1</v>
      </c>
      <c r="V482" s="15">
        <v>1</v>
      </c>
      <c r="W482" s="15">
        <v>0</v>
      </c>
      <c r="X482" s="15">
        <v>0</v>
      </c>
      <c r="Y482" s="15">
        <v>0</v>
      </c>
      <c r="Z482" s="33" t="s">
        <v>1439</v>
      </c>
    </row>
    <row r="483" spans="1:26" s="15" customFormat="1" ht="15" customHeight="1" x14ac:dyDescent="0.15">
      <c r="A483" s="15">
        <v>1185</v>
      </c>
      <c r="B483" s="15" t="s">
        <v>1440</v>
      </c>
      <c r="C483" s="15">
        <f t="shared" si="58"/>
        <v>5</v>
      </c>
      <c r="D483" s="15">
        <v>1</v>
      </c>
      <c r="F483" s="12">
        <v>0</v>
      </c>
      <c r="G483" s="16">
        <v>1</v>
      </c>
      <c r="H483" s="16">
        <v>0</v>
      </c>
      <c r="I483" s="16">
        <v>1</v>
      </c>
      <c r="J483" s="16">
        <v>0</v>
      </c>
      <c r="K483" s="16">
        <v>0</v>
      </c>
      <c r="L483" s="15">
        <v>1</v>
      </c>
      <c r="M483" s="15">
        <f t="shared" si="56"/>
        <v>0</v>
      </c>
      <c r="N483" s="16">
        <v>0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5">
        <v>1</v>
      </c>
      <c r="U483" s="15">
        <v>1</v>
      </c>
      <c r="V483" s="15">
        <v>1</v>
      </c>
      <c r="W483" s="15">
        <v>0</v>
      </c>
      <c r="X483" s="15">
        <v>0</v>
      </c>
      <c r="Y483" s="15">
        <v>0</v>
      </c>
      <c r="Z483" s="33" t="s">
        <v>1441</v>
      </c>
    </row>
    <row r="484" spans="1:26" s="15" customFormat="1" ht="15" customHeight="1" x14ac:dyDescent="0.15">
      <c r="A484" s="15">
        <v>1186</v>
      </c>
      <c r="B484" s="15" t="s">
        <v>1442</v>
      </c>
      <c r="C484" s="15">
        <f t="shared" si="58"/>
        <v>5</v>
      </c>
      <c r="D484" s="15">
        <v>1</v>
      </c>
      <c r="F484" s="12">
        <v>0</v>
      </c>
      <c r="G484" s="16">
        <v>1</v>
      </c>
      <c r="H484" s="16">
        <v>0</v>
      </c>
      <c r="I484" s="16">
        <v>1</v>
      </c>
      <c r="J484" s="16">
        <v>0</v>
      </c>
      <c r="K484" s="16">
        <v>0</v>
      </c>
      <c r="L484" s="15">
        <v>1</v>
      </c>
      <c r="M484" s="15">
        <f t="shared" si="56"/>
        <v>0</v>
      </c>
      <c r="N484" s="16">
        <v>0</v>
      </c>
      <c r="O484" s="16">
        <v>0</v>
      </c>
      <c r="P484" s="16">
        <v>0</v>
      </c>
      <c r="Q484" s="16">
        <v>0</v>
      </c>
      <c r="R484" s="16">
        <v>0</v>
      </c>
      <c r="S484" s="16">
        <v>0</v>
      </c>
      <c r="T484" s="15">
        <v>1</v>
      </c>
      <c r="U484" s="15">
        <v>1</v>
      </c>
      <c r="V484" s="15">
        <v>1</v>
      </c>
      <c r="W484" s="15">
        <v>0</v>
      </c>
      <c r="X484" s="15">
        <v>0</v>
      </c>
      <c r="Y484" s="15">
        <v>0</v>
      </c>
      <c r="Z484" s="33" t="s">
        <v>1443</v>
      </c>
    </row>
    <row r="485" spans="1:26" s="15" customFormat="1" ht="15" customHeight="1" x14ac:dyDescent="0.15">
      <c r="A485" s="15">
        <v>1187</v>
      </c>
      <c r="B485" s="15" t="s">
        <v>1444</v>
      </c>
      <c r="C485" s="15">
        <f t="shared" si="58"/>
        <v>5</v>
      </c>
      <c r="D485" s="15">
        <v>1</v>
      </c>
      <c r="F485" s="12">
        <v>0</v>
      </c>
      <c r="G485" s="16">
        <v>1</v>
      </c>
      <c r="H485" s="16">
        <v>0</v>
      </c>
      <c r="I485" s="16">
        <v>1</v>
      </c>
      <c r="J485" s="16">
        <v>0</v>
      </c>
      <c r="K485" s="16">
        <v>0</v>
      </c>
      <c r="L485" s="15">
        <v>1</v>
      </c>
      <c r="M485" s="15">
        <f t="shared" si="56"/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5">
        <v>1</v>
      </c>
      <c r="U485" s="15">
        <v>1</v>
      </c>
      <c r="V485" s="15">
        <v>1</v>
      </c>
      <c r="W485" s="15">
        <v>0</v>
      </c>
      <c r="X485" s="15">
        <v>0</v>
      </c>
      <c r="Y485" s="15">
        <v>0</v>
      </c>
      <c r="Z485" s="33" t="s">
        <v>1445</v>
      </c>
    </row>
    <row r="486" spans="1:26" s="15" customFormat="1" ht="15" customHeight="1" x14ac:dyDescent="0.15">
      <c r="A486" s="15">
        <v>1188</v>
      </c>
      <c r="B486" s="15" t="s">
        <v>1446</v>
      </c>
      <c r="C486" s="15">
        <f t="shared" si="58"/>
        <v>5</v>
      </c>
      <c r="D486" s="15">
        <v>1</v>
      </c>
      <c r="F486" s="12">
        <v>0</v>
      </c>
      <c r="G486" s="16">
        <v>1</v>
      </c>
      <c r="H486" s="16">
        <v>0</v>
      </c>
      <c r="I486" s="16">
        <v>1</v>
      </c>
      <c r="J486" s="16">
        <v>0</v>
      </c>
      <c r="K486" s="16">
        <v>0</v>
      </c>
      <c r="L486" s="15">
        <v>1</v>
      </c>
      <c r="M486" s="15">
        <f t="shared" si="56"/>
        <v>0</v>
      </c>
      <c r="N486" s="16">
        <v>0</v>
      </c>
      <c r="O486" s="16">
        <v>0</v>
      </c>
      <c r="P486" s="16">
        <v>0</v>
      </c>
      <c r="Q486" s="16">
        <v>0</v>
      </c>
      <c r="R486" s="16">
        <v>0</v>
      </c>
      <c r="S486" s="16">
        <v>0</v>
      </c>
      <c r="T486" s="15">
        <v>1</v>
      </c>
      <c r="U486" s="15">
        <v>1</v>
      </c>
      <c r="V486" s="15">
        <v>1</v>
      </c>
      <c r="W486" s="15">
        <v>0</v>
      </c>
      <c r="X486" s="15">
        <v>0</v>
      </c>
      <c r="Y486" s="15">
        <v>0</v>
      </c>
      <c r="Z486" s="33" t="s">
        <v>1447</v>
      </c>
    </row>
    <row r="487" spans="1:26" s="15" customFormat="1" ht="15" customHeight="1" x14ac:dyDescent="0.15">
      <c r="A487" s="15">
        <v>1189</v>
      </c>
      <c r="B487" s="15" t="s">
        <v>1448</v>
      </c>
      <c r="C487" s="15">
        <f>G487+H487*2+I487*4+J487*8+K487*16</f>
        <v>5</v>
      </c>
      <c r="D487" s="15">
        <v>1</v>
      </c>
      <c r="F487" s="12">
        <v>0</v>
      </c>
      <c r="G487" s="16">
        <v>1</v>
      </c>
      <c r="H487" s="16">
        <v>0</v>
      </c>
      <c r="I487" s="16">
        <v>1</v>
      </c>
      <c r="J487" s="16">
        <v>0</v>
      </c>
      <c r="K487" s="16">
        <v>0</v>
      </c>
      <c r="L487" s="15">
        <v>1</v>
      </c>
      <c r="M487" s="15">
        <f t="shared" ref="M487:M512" si="59">N487+O487*2+P487*4+Q487*8+R487*16+S487*32</f>
        <v>0</v>
      </c>
      <c r="N487" s="16">
        <v>0</v>
      </c>
      <c r="O487" s="16">
        <v>0</v>
      </c>
      <c r="P487" s="16">
        <v>0</v>
      </c>
      <c r="Q487" s="16">
        <v>0</v>
      </c>
      <c r="R487" s="16">
        <v>0</v>
      </c>
      <c r="S487" s="16">
        <v>0</v>
      </c>
      <c r="T487" s="15">
        <v>1</v>
      </c>
      <c r="U487" s="15">
        <v>1</v>
      </c>
      <c r="V487" s="15">
        <v>1</v>
      </c>
      <c r="W487" s="15">
        <v>0</v>
      </c>
      <c r="X487" s="15">
        <v>0</v>
      </c>
      <c r="Y487" s="15">
        <v>0</v>
      </c>
      <c r="Z487" s="33" t="s">
        <v>1449</v>
      </c>
    </row>
    <row r="488" spans="1:26" s="15" customFormat="1" ht="15" customHeight="1" x14ac:dyDescent="0.15">
      <c r="A488" s="15">
        <v>1190</v>
      </c>
      <c r="B488" s="15" t="s">
        <v>1450</v>
      </c>
      <c r="C488" s="15">
        <f>G488+H488*2+I488*4+J488*8+K488*16</f>
        <v>5</v>
      </c>
      <c r="D488" s="15">
        <v>1</v>
      </c>
      <c r="F488" s="12">
        <v>0</v>
      </c>
      <c r="G488" s="16">
        <v>1</v>
      </c>
      <c r="H488" s="16">
        <v>0</v>
      </c>
      <c r="I488" s="16">
        <v>1</v>
      </c>
      <c r="J488" s="16">
        <v>0</v>
      </c>
      <c r="K488" s="16">
        <v>0</v>
      </c>
      <c r="L488" s="15">
        <v>1</v>
      </c>
      <c r="M488" s="15">
        <f t="shared" si="59"/>
        <v>0</v>
      </c>
      <c r="N488" s="16">
        <v>0</v>
      </c>
      <c r="O488" s="16">
        <v>0</v>
      </c>
      <c r="P488" s="16">
        <v>0</v>
      </c>
      <c r="Q488" s="16">
        <v>0</v>
      </c>
      <c r="R488" s="16">
        <v>0</v>
      </c>
      <c r="S488" s="16">
        <v>0</v>
      </c>
      <c r="T488" s="15">
        <v>1</v>
      </c>
      <c r="U488" s="15">
        <v>1</v>
      </c>
      <c r="V488" s="15">
        <v>1</v>
      </c>
      <c r="W488" s="15">
        <v>0</v>
      </c>
      <c r="X488" s="15">
        <v>0</v>
      </c>
      <c r="Y488" s="15">
        <v>0</v>
      </c>
      <c r="Z488" s="33" t="s">
        <v>1451</v>
      </c>
    </row>
    <row r="489" spans="1:26" s="15" customFormat="1" ht="15" customHeight="1" x14ac:dyDescent="0.15">
      <c r="A489" s="15">
        <v>1191</v>
      </c>
      <c r="B489" s="15" t="s">
        <v>1081</v>
      </c>
      <c r="C489" s="15">
        <f>G489+H489*2+I489*4+J489*8+K489*16</f>
        <v>5</v>
      </c>
      <c r="D489" s="15">
        <v>1</v>
      </c>
      <c r="F489" s="12">
        <v>0</v>
      </c>
      <c r="G489" s="16">
        <v>1</v>
      </c>
      <c r="H489" s="16">
        <v>0</v>
      </c>
      <c r="I489" s="16">
        <v>1</v>
      </c>
      <c r="J489" s="16">
        <v>0</v>
      </c>
      <c r="K489" s="16">
        <v>0</v>
      </c>
      <c r="L489" s="15">
        <v>1</v>
      </c>
      <c r="M489" s="15">
        <f t="shared" si="59"/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5">
        <v>1</v>
      </c>
      <c r="U489" s="15">
        <v>1</v>
      </c>
      <c r="V489" s="15">
        <v>1</v>
      </c>
      <c r="W489" s="15">
        <v>0</v>
      </c>
      <c r="X489" s="15">
        <v>0</v>
      </c>
      <c r="Y489" s="15">
        <v>0</v>
      </c>
      <c r="Z489" s="33" t="s">
        <v>1163</v>
      </c>
    </row>
    <row r="490" spans="1:26" s="15" customFormat="1" ht="15" customHeight="1" x14ac:dyDescent="0.15">
      <c r="A490" s="15">
        <v>1192</v>
      </c>
      <c r="B490" s="15" t="s">
        <v>1082</v>
      </c>
      <c r="C490" s="15">
        <f t="shared" ref="C490:C499" si="60">G490+H490*2+I490*4+J490*8+K490*16</f>
        <v>5</v>
      </c>
      <c r="D490" s="15">
        <v>1</v>
      </c>
      <c r="F490" s="12">
        <v>0</v>
      </c>
      <c r="G490" s="16">
        <v>1</v>
      </c>
      <c r="H490" s="16">
        <v>0</v>
      </c>
      <c r="I490" s="16">
        <v>1</v>
      </c>
      <c r="J490" s="16">
        <v>0</v>
      </c>
      <c r="K490" s="16">
        <v>0</v>
      </c>
      <c r="L490" s="15">
        <v>1</v>
      </c>
      <c r="M490" s="15">
        <f t="shared" si="59"/>
        <v>0</v>
      </c>
      <c r="N490" s="16">
        <v>0</v>
      </c>
      <c r="O490" s="16">
        <v>0</v>
      </c>
      <c r="P490" s="16">
        <v>0</v>
      </c>
      <c r="Q490" s="16">
        <v>0</v>
      </c>
      <c r="R490" s="16">
        <v>0</v>
      </c>
      <c r="S490" s="16">
        <v>0</v>
      </c>
      <c r="T490" s="15">
        <v>1</v>
      </c>
      <c r="U490" s="15">
        <v>1</v>
      </c>
      <c r="V490" s="15">
        <v>1</v>
      </c>
      <c r="W490" s="15">
        <v>0</v>
      </c>
      <c r="X490" s="15">
        <v>0</v>
      </c>
      <c r="Y490" s="15">
        <v>0</v>
      </c>
      <c r="Z490" s="33" t="s">
        <v>1164</v>
      </c>
    </row>
    <row r="491" spans="1:26" s="15" customFormat="1" ht="15" customHeight="1" x14ac:dyDescent="0.15">
      <c r="A491" s="15">
        <v>1193</v>
      </c>
      <c r="B491" s="15" t="s">
        <v>1083</v>
      </c>
      <c r="C491" s="15">
        <f t="shared" si="60"/>
        <v>5</v>
      </c>
      <c r="D491" s="15">
        <v>1</v>
      </c>
      <c r="F491" s="12">
        <v>0</v>
      </c>
      <c r="G491" s="16">
        <v>1</v>
      </c>
      <c r="H491" s="16">
        <v>0</v>
      </c>
      <c r="I491" s="16">
        <v>1</v>
      </c>
      <c r="J491" s="16">
        <v>0</v>
      </c>
      <c r="K491" s="16">
        <v>0</v>
      </c>
      <c r="L491" s="15">
        <v>1</v>
      </c>
      <c r="M491" s="15">
        <f t="shared" si="59"/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5">
        <v>1</v>
      </c>
      <c r="U491" s="15">
        <v>1</v>
      </c>
      <c r="V491" s="15">
        <v>1</v>
      </c>
      <c r="W491" s="15">
        <v>0</v>
      </c>
      <c r="X491" s="15">
        <v>0</v>
      </c>
      <c r="Y491" s="15">
        <v>0</v>
      </c>
      <c r="Z491" s="33" t="s">
        <v>1165</v>
      </c>
    </row>
    <row r="492" spans="1:26" s="15" customFormat="1" ht="15" customHeight="1" x14ac:dyDescent="0.15">
      <c r="A492" s="15">
        <v>1194</v>
      </c>
      <c r="B492" s="15" t="s">
        <v>1084</v>
      </c>
      <c r="C492" s="15">
        <f t="shared" si="60"/>
        <v>5</v>
      </c>
      <c r="D492" s="15">
        <v>1</v>
      </c>
      <c r="F492" s="12">
        <v>0</v>
      </c>
      <c r="G492" s="16">
        <v>1</v>
      </c>
      <c r="H492" s="16">
        <v>0</v>
      </c>
      <c r="I492" s="16">
        <v>1</v>
      </c>
      <c r="J492" s="16">
        <v>0</v>
      </c>
      <c r="K492" s="16">
        <v>0</v>
      </c>
      <c r="L492" s="15">
        <v>1</v>
      </c>
      <c r="M492" s="15">
        <f t="shared" si="59"/>
        <v>0</v>
      </c>
      <c r="N492" s="16">
        <v>0</v>
      </c>
      <c r="O492" s="16">
        <v>0</v>
      </c>
      <c r="P492" s="16">
        <v>0</v>
      </c>
      <c r="Q492" s="16">
        <v>0</v>
      </c>
      <c r="R492" s="16">
        <v>0</v>
      </c>
      <c r="S492" s="16">
        <v>0</v>
      </c>
      <c r="T492" s="15">
        <v>1</v>
      </c>
      <c r="U492" s="15">
        <v>1</v>
      </c>
      <c r="V492" s="15">
        <v>1</v>
      </c>
      <c r="W492" s="15">
        <v>0</v>
      </c>
      <c r="X492" s="15">
        <v>0</v>
      </c>
      <c r="Y492" s="15">
        <v>0</v>
      </c>
      <c r="Z492" s="33" t="s">
        <v>1166</v>
      </c>
    </row>
    <row r="493" spans="1:26" s="15" customFormat="1" ht="15" customHeight="1" x14ac:dyDescent="0.15">
      <c r="A493" s="15">
        <v>1195</v>
      </c>
      <c r="B493" s="15" t="s">
        <v>1085</v>
      </c>
      <c r="C493" s="15">
        <f t="shared" si="60"/>
        <v>5</v>
      </c>
      <c r="D493" s="15">
        <v>1</v>
      </c>
      <c r="F493" s="12">
        <v>0</v>
      </c>
      <c r="G493" s="16">
        <v>1</v>
      </c>
      <c r="H493" s="16">
        <v>0</v>
      </c>
      <c r="I493" s="16">
        <v>1</v>
      </c>
      <c r="J493" s="16">
        <v>0</v>
      </c>
      <c r="K493" s="16">
        <v>0</v>
      </c>
      <c r="L493" s="15">
        <v>1</v>
      </c>
      <c r="M493" s="15">
        <f t="shared" si="59"/>
        <v>0</v>
      </c>
      <c r="N493" s="16">
        <v>0</v>
      </c>
      <c r="O493" s="16">
        <v>0</v>
      </c>
      <c r="P493" s="16">
        <v>0</v>
      </c>
      <c r="Q493" s="16">
        <v>0</v>
      </c>
      <c r="R493" s="16">
        <v>0</v>
      </c>
      <c r="S493" s="16">
        <v>0</v>
      </c>
      <c r="T493" s="15">
        <v>1</v>
      </c>
      <c r="U493" s="15">
        <v>1</v>
      </c>
      <c r="V493" s="15">
        <v>1</v>
      </c>
      <c r="W493" s="15">
        <v>0</v>
      </c>
      <c r="X493" s="15">
        <v>0</v>
      </c>
      <c r="Y493" s="15">
        <v>0</v>
      </c>
      <c r="Z493" s="33" t="s">
        <v>1167</v>
      </c>
    </row>
    <row r="494" spans="1:26" s="15" customFormat="1" ht="15" customHeight="1" x14ac:dyDescent="0.15">
      <c r="A494" s="15">
        <v>1196</v>
      </c>
      <c r="B494" s="15" t="s">
        <v>1086</v>
      </c>
      <c r="C494" s="15">
        <f t="shared" si="60"/>
        <v>5</v>
      </c>
      <c r="D494" s="15">
        <v>1</v>
      </c>
      <c r="F494" s="12">
        <v>0</v>
      </c>
      <c r="G494" s="16">
        <v>1</v>
      </c>
      <c r="H494" s="16">
        <v>0</v>
      </c>
      <c r="I494" s="16">
        <v>1</v>
      </c>
      <c r="J494" s="16">
        <v>0</v>
      </c>
      <c r="K494" s="16">
        <v>0</v>
      </c>
      <c r="L494" s="15">
        <v>1</v>
      </c>
      <c r="M494" s="15">
        <f t="shared" si="59"/>
        <v>0</v>
      </c>
      <c r="N494" s="16">
        <v>0</v>
      </c>
      <c r="O494" s="16">
        <v>0</v>
      </c>
      <c r="P494" s="16">
        <v>0</v>
      </c>
      <c r="Q494" s="16">
        <v>0</v>
      </c>
      <c r="R494" s="16">
        <v>0</v>
      </c>
      <c r="S494" s="16">
        <v>0</v>
      </c>
      <c r="T494" s="15">
        <v>1</v>
      </c>
      <c r="U494" s="15">
        <v>1</v>
      </c>
      <c r="V494" s="15">
        <v>1</v>
      </c>
      <c r="W494" s="15">
        <v>0</v>
      </c>
      <c r="X494" s="15">
        <v>0</v>
      </c>
      <c r="Y494" s="15">
        <v>0</v>
      </c>
      <c r="Z494" s="33" t="s">
        <v>1168</v>
      </c>
    </row>
    <row r="495" spans="1:26" s="15" customFormat="1" ht="15" customHeight="1" x14ac:dyDescent="0.15">
      <c r="A495" s="15">
        <v>1197</v>
      </c>
      <c r="B495" s="15" t="s">
        <v>1087</v>
      </c>
      <c r="C495" s="15">
        <f t="shared" si="60"/>
        <v>5</v>
      </c>
      <c r="D495" s="15">
        <v>1</v>
      </c>
      <c r="F495" s="12">
        <v>0</v>
      </c>
      <c r="G495" s="16">
        <v>1</v>
      </c>
      <c r="H495" s="16">
        <v>0</v>
      </c>
      <c r="I495" s="16">
        <v>1</v>
      </c>
      <c r="J495" s="16">
        <v>0</v>
      </c>
      <c r="K495" s="16">
        <v>0</v>
      </c>
      <c r="L495" s="15">
        <v>1</v>
      </c>
      <c r="M495" s="15">
        <f t="shared" si="59"/>
        <v>0</v>
      </c>
      <c r="N495" s="16">
        <v>0</v>
      </c>
      <c r="O495" s="16">
        <v>0</v>
      </c>
      <c r="P495" s="16">
        <v>0</v>
      </c>
      <c r="Q495" s="16">
        <v>0</v>
      </c>
      <c r="R495" s="16">
        <v>0</v>
      </c>
      <c r="S495" s="16">
        <v>0</v>
      </c>
      <c r="T495" s="15">
        <v>1</v>
      </c>
      <c r="U495" s="15">
        <v>1</v>
      </c>
      <c r="V495" s="15">
        <v>1</v>
      </c>
      <c r="W495" s="15">
        <v>0</v>
      </c>
      <c r="X495" s="15">
        <v>0</v>
      </c>
      <c r="Y495" s="15">
        <v>0</v>
      </c>
      <c r="Z495" s="33" t="s">
        <v>1169</v>
      </c>
    </row>
    <row r="496" spans="1:26" s="15" customFormat="1" ht="15" customHeight="1" x14ac:dyDescent="0.15">
      <c r="A496" s="15">
        <v>1198</v>
      </c>
      <c r="B496" s="15" t="s">
        <v>1088</v>
      </c>
      <c r="C496" s="15">
        <f t="shared" si="60"/>
        <v>5</v>
      </c>
      <c r="D496" s="15">
        <v>1</v>
      </c>
      <c r="F496" s="12">
        <v>0</v>
      </c>
      <c r="G496" s="16">
        <v>1</v>
      </c>
      <c r="H496" s="16">
        <v>0</v>
      </c>
      <c r="I496" s="16">
        <v>1</v>
      </c>
      <c r="J496" s="16">
        <v>0</v>
      </c>
      <c r="K496" s="16">
        <v>0</v>
      </c>
      <c r="L496" s="15">
        <v>1</v>
      </c>
      <c r="M496" s="15">
        <f t="shared" si="59"/>
        <v>0</v>
      </c>
      <c r="N496" s="16">
        <v>0</v>
      </c>
      <c r="O496" s="16">
        <v>0</v>
      </c>
      <c r="P496" s="16">
        <v>0</v>
      </c>
      <c r="Q496" s="16">
        <v>0</v>
      </c>
      <c r="R496" s="16">
        <v>0</v>
      </c>
      <c r="S496" s="16">
        <v>0</v>
      </c>
      <c r="T496" s="15">
        <v>1</v>
      </c>
      <c r="U496" s="15">
        <v>1</v>
      </c>
      <c r="V496" s="15">
        <v>1</v>
      </c>
      <c r="W496" s="15">
        <v>0</v>
      </c>
      <c r="X496" s="15">
        <v>0</v>
      </c>
      <c r="Y496" s="15">
        <v>0</v>
      </c>
      <c r="Z496" s="33" t="s">
        <v>1402</v>
      </c>
    </row>
    <row r="497" spans="1:26" s="15" customFormat="1" ht="15" customHeight="1" x14ac:dyDescent="0.15">
      <c r="A497" s="15">
        <v>1199</v>
      </c>
      <c r="B497" s="15" t="s">
        <v>1089</v>
      </c>
      <c r="C497" s="15">
        <f t="shared" si="60"/>
        <v>5</v>
      </c>
      <c r="D497" s="15">
        <v>1</v>
      </c>
      <c r="F497" s="12">
        <v>0</v>
      </c>
      <c r="G497" s="16">
        <v>1</v>
      </c>
      <c r="H497" s="16">
        <v>0</v>
      </c>
      <c r="I497" s="16">
        <v>1</v>
      </c>
      <c r="J497" s="16">
        <v>0</v>
      </c>
      <c r="K497" s="16">
        <v>0</v>
      </c>
      <c r="L497" s="15">
        <v>1</v>
      </c>
      <c r="M497" s="15">
        <f t="shared" si="59"/>
        <v>0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5">
        <v>1</v>
      </c>
      <c r="U497" s="15">
        <v>1</v>
      </c>
      <c r="V497" s="15">
        <v>1</v>
      </c>
      <c r="W497" s="15">
        <v>0</v>
      </c>
      <c r="X497" s="15">
        <v>0</v>
      </c>
      <c r="Y497" s="15">
        <v>0</v>
      </c>
      <c r="Z497" s="33" t="s">
        <v>1403</v>
      </c>
    </row>
    <row r="498" spans="1:26" s="15" customFormat="1" ht="15" customHeight="1" x14ac:dyDescent="0.15">
      <c r="A498" s="15">
        <v>1200</v>
      </c>
      <c r="B498" s="15" t="s">
        <v>1090</v>
      </c>
      <c r="C498" s="15">
        <f t="shared" si="60"/>
        <v>5</v>
      </c>
      <c r="D498" s="15">
        <v>1</v>
      </c>
      <c r="F498" s="12">
        <v>0</v>
      </c>
      <c r="G498" s="16">
        <v>1</v>
      </c>
      <c r="H498" s="16">
        <v>0</v>
      </c>
      <c r="I498" s="16">
        <v>1</v>
      </c>
      <c r="J498" s="16">
        <v>0</v>
      </c>
      <c r="K498" s="16">
        <v>0</v>
      </c>
      <c r="L498" s="15">
        <v>1</v>
      </c>
      <c r="M498" s="15">
        <f t="shared" si="59"/>
        <v>0</v>
      </c>
      <c r="N498" s="16">
        <v>0</v>
      </c>
      <c r="O498" s="16">
        <v>0</v>
      </c>
      <c r="P498" s="16">
        <v>0</v>
      </c>
      <c r="Q498" s="16">
        <v>0</v>
      </c>
      <c r="R498" s="16">
        <v>0</v>
      </c>
      <c r="S498" s="16">
        <v>0</v>
      </c>
      <c r="T498" s="15">
        <v>1</v>
      </c>
      <c r="U498" s="15">
        <v>1</v>
      </c>
      <c r="V498" s="15">
        <v>1</v>
      </c>
      <c r="W498" s="15">
        <v>0</v>
      </c>
      <c r="X498" s="15">
        <v>0</v>
      </c>
      <c r="Y498" s="15">
        <v>0</v>
      </c>
      <c r="Z498" s="33" t="s">
        <v>1404</v>
      </c>
    </row>
    <row r="499" spans="1:26" s="15" customFormat="1" ht="15" customHeight="1" x14ac:dyDescent="0.15">
      <c r="A499" s="15">
        <v>1201</v>
      </c>
      <c r="B499" s="15" t="s">
        <v>1091</v>
      </c>
      <c r="C499" s="15">
        <f t="shared" si="60"/>
        <v>5</v>
      </c>
      <c r="D499" s="15">
        <v>1</v>
      </c>
      <c r="F499" s="12">
        <v>0</v>
      </c>
      <c r="G499" s="16">
        <v>1</v>
      </c>
      <c r="H499" s="16">
        <v>0</v>
      </c>
      <c r="I499" s="16">
        <v>1</v>
      </c>
      <c r="J499" s="16">
        <v>0</v>
      </c>
      <c r="K499" s="16">
        <v>0</v>
      </c>
      <c r="L499" s="15">
        <v>1</v>
      </c>
      <c r="M499" s="15">
        <f t="shared" si="59"/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5">
        <v>1</v>
      </c>
      <c r="U499" s="15">
        <v>1</v>
      </c>
      <c r="V499" s="15">
        <v>1</v>
      </c>
      <c r="W499" s="15">
        <v>0</v>
      </c>
      <c r="X499" s="15">
        <v>0</v>
      </c>
      <c r="Y499" s="15">
        <v>0</v>
      </c>
      <c r="Z499" s="33" t="s">
        <v>1405</v>
      </c>
    </row>
    <row r="500" spans="1:26" s="15" customFormat="1" ht="15" customHeight="1" x14ac:dyDescent="0.15">
      <c r="A500" s="15">
        <v>1202</v>
      </c>
      <c r="B500" s="15" t="s">
        <v>1092</v>
      </c>
      <c r="C500" s="15">
        <f>G500+H500*2+I500*4+J500*8+K500*16</f>
        <v>5</v>
      </c>
      <c r="D500" s="15">
        <v>1</v>
      </c>
      <c r="F500" s="12">
        <v>0</v>
      </c>
      <c r="G500" s="16">
        <v>1</v>
      </c>
      <c r="H500" s="16">
        <v>0</v>
      </c>
      <c r="I500" s="16">
        <v>1</v>
      </c>
      <c r="J500" s="16">
        <v>0</v>
      </c>
      <c r="K500" s="16">
        <v>0</v>
      </c>
      <c r="L500" s="15">
        <v>1</v>
      </c>
      <c r="M500" s="15">
        <f t="shared" si="59"/>
        <v>0</v>
      </c>
      <c r="N500" s="16">
        <v>0</v>
      </c>
      <c r="O500" s="16">
        <v>0</v>
      </c>
      <c r="P500" s="16">
        <v>0</v>
      </c>
      <c r="Q500" s="16">
        <v>0</v>
      </c>
      <c r="R500" s="16">
        <v>0</v>
      </c>
      <c r="S500" s="16">
        <v>0</v>
      </c>
      <c r="T500" s="15">
        <v>1</v>
      </c>
      <c r="U500" s="15">
        <v>1</v>
      </c>
      <c r="V500" s="15">
        <v>1</v>
      </c>
      <c r="W500" s="15">
        <v>0</v>
      </c>
      <c r="X500" s="15">
        <v>0</v>
      </c>
      <c r="Y500" s="15">
        <v>0</v>
      </c>
      <c r="Z500" s="33" t="s">
        <v>1406</v>
      </c>
    </row>
    <row r="501" spans="1:26" s="15" customFormat="1" ht="15" customHeight="1" x14ac:dyDescent="0.15">
      <c r="A501" s="15">
        <v>1203</v>
      </c>
      <c r="B501" s="15" t="s">
        <v>1093</v>
      </c>
      <c r="C501" s="15">
        <f>G501+H501*2+I501*4+J501*8+K501*16</f>
        <v>5</v>
      </c>
      <c r="D501" s="15">
        <v>1</v>
      </c>
      <c r="F501" s="12">
        <v>0</v>
      </c>
      <c r="G501" s="16">
        <v>1</v>
      </c>
      <c r="H501" s="16">
        <v>0</v>
      </c>
      <c r="I501" s="16">
        <v>1</v>
      </c>
      <c r="J501" s="16">
        <v>0</v>
      </c>
      <c r="K501" s="16">
        <v>0</v>
      </c>
      <c r="L501" s="15">
        <v>1</v>
      </c>
      <c r="M501" s="15">
        <f t="shared" si="59"/>
        <v>0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5">
        <v>1</v>
      </c>
      <c r="U501" s="15">
        <v>1</v>
      </c>
      <c r="V501" s="15">
        <v>1</v>
      </c>
      <c r="W501" s="15">
        <v>0</v>
      </c>
      <c r="X501" s="15">
        <v>0</v>
      </c>
      <c r="Y501" s="15">
        <v>0</v>
      </c>
      <c r="Z501" s="33" t="s">
        <v>1407</v>
      </c>
    </row>
    <row r="502" spans="1:26" s="15" customFormat="1" ht="15" customHeight="1" x14ac:dyDescent="0.15">
      <c r="A502" s="15">
        <v>1204</v>
      </c>
      <c r="B502" s="15" t="s">
        <v>1094</v>
      </c>
      <c r="C502" s="15">
        <f>G502+H502*2+I502*4+J502*8+K502*16</f>
        <v>5</v>
      </c>
      <c r="D502" s="15">
        <v>1</v>
      </c>
      <c r="F502" s="12">
        <v>0</v>
      </c>
      <c r="G502" s="16">
        <v>1</v>
      </c>
      <c r="H502" s="16">
        <v>0</v>
      </c>
      <c r="I502" s="16">
        <v>1</v>
      </c>
      <c r="J502" s="16">
        <v>0</v>
      </c>
      <c r="K502" s="16">
        <v>0</v>
      </c>
      <c r="L502" s="15">
        <v>1</v>
      </c>
      <c r="M502" s="15">
        <f t="shared" si="59"/>
        <v>0</v>
      </c>
      <c r="N502" s="16">
        <v>0</v>
      </c>
      <c r="O502" s="16">
        <v>0</v>
      </c>
      <c r="P502" s="16">
        <v>0</v>
      </c>
      <c r="Q502" s="16">
        <v>0</v>
      </c>
      <c r="R502" s="16">
        <v>0</v>
      </c>
      <c r="S502" s="16">
        <v>0</v>
      </c>
      <c r="T502" s="15">
        <v>1</v>
      </c>
      <c r="U502" s="15">
        <v>1</v>
      </c>
      <c r="V502" s="15">
        <v>1</v>
      </c>
      <c r="W502" s="15">
        <v>0</v>
      </c>
      <c r="X502" s="15">
        <v>0</v>
      </c>
      <c r="Y502" s="15">
        <v>0</v>
      </c>
      <c r="Z502" s="33" t="s">
        <v>1408</v>
      </c>
    </row>
    <row r="503" spans="1:26" s="15" customFormat="1" ht="15" customHeight="1" x14ac:dyDescent="0.15">
      <c r="A503" s="15">
        <v>1205</v>
      </c>
      <c r="B503" s="15" t="s">
        <v>1095</v>
      </c>
      <c r="C503" s="15">
        <f t="shared" ref="C503:C512" si="61">G503+H503*2+I503*4+J503*8+K503*16</f>
        <v>5</v>
      </c>
      <c r="D503" s="15">
        <v>1</v>
      </c>
      <c r="F503" s="12">
        <v>0</v>
      </c>
      <c r="G503" s="16">
        <v>1</v>
      </c>
      <c r="H503" s="16">
        <v>0</v>
      </c>
      <c r="I503" s="16">
        <v>1</v>
      </c>
      <c r="J503" s="16">
        <v>0</v>
      </c>
      <c r="K503" s="16">
        <v>0</v>
      </c>
      <c r="L503" s="15">
        <v>1</v>
      </c>
      <c r="M503" s="15">
        <f t="shared" si="59"/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5">
        <v>1</v>
      </c>
      <c r="U503" s="15">
        <v>1</v>
      </c>
      <c r="V503" s="15">
        <v>1</v>
      </c>
      <c r="W503" s="15">
        <v>0</v>
      </c>
      <c r="X503" s="15">
        <v>0</v>
      </c>
      <c r="Y503" s="15">
        <v>0</v>
      </c>
      <c r="Z503" s="33" t="s">
        <v>1452</v>
      </c>
    </row>
    <row r="504" spans="1:26" s="15" customFormat="1" ht="15" customHeight="1" x14ac:dyDescent="0.15">
      <c r="A504" s="15">
        <v>1206</v>
      </c>
      <c r="B504" s="15" t="s">
        <v>1096</v>
      </c>
      <c r="C504" s="15">
        <f t="shared" si="61"/>
        <v>5</v>
      </c>
      <c r="D504" s="15">
        <v>1</v>
      </c>
      <c r="F504" s="12">
        <v>0</v>
      </c>
      <c r="G504" s="16">
        <v>1</v>
      </c>
      <c r="H504" s="16">
        <v>0</v>
      </c>
      <c r="I504" s="16">
        <v>1</v>
      </c>
      <c r="J504" s="16">
        <v>0</v>
      </c>
      <c r="K504" s="16">
        <v>0</v>
      </c>
      <c r="L504" s="15">
        <v>1</v>
      </c>
      <c r="M504" s="15">
        <f t="shared" si="59"/>
        <v>0</v>
      </c>
      <c r="N504" s="16">
        <v>0</v>
      </c>
      <c r="O504" s="16">
        <v>0</v>
      </c>
      <c r="P504" s="16">
        <v>0</v>
      </c>
      <c r="Q504" s="16">
        <v>0</v>
      </c>
      <c r="R504" s="16">
        <v>0</v>
      </c>
      <c r="S504" s="16">
        <v>0</v>
      </c>
      <c r="T504" s="15">
        <v>1</v>
      </c>
      <c r="U504" s="15">
        <v>1</v>
      </c>
      <c r="V504" s="15">
        <v>1</v>
      </c>
      <c r="W504" s="15">
        <v>0</v>
      </c>
      <c r="X504" s="15">
        <v>0</v>
      </c>
      <c r="Y504" s="15">
        <v>0</v>
      </c>
      <c r="Z504" s="33" t="s">
        <v>1453</v>
      </c>
    </row>
    <row r="505" spans="1:26" s="15" customFormat="1" ht="15" customHeight="1" x14ac:dyDescent="0.15">
      <c r="A505" s="15">
        <v>1207</v>
      </c>
      <c r="B505" s="15" t="s">
        <v>1097</v>
      </c>
      <c r="C505" s="15">
        <f t="shared" si="61"/>
        <v>5</v>
      </c>
      <c r="D505" s="15">
        <v>1</v>
      </c>
      <c r="F505" s="12">
        <v>0</v>
      </c>
      <c r="G505" s="16">
        <v>1</v>
      </c>
      <c r="H505" s="16">
        <v>0</v>
      </c>
      <c r="I505" s="16">
        <v>1</v>
      </c>
      <c r="J505" s="16">
        <v>0</v>
      </c>
      <c r="K505" s="16">
        <v>0</v>
      </c>
      <c r="L505" s="15">
        <v>1</v>
      </c>
      <c r="M505" s="15">
        <f t="shared" si="59"/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5">
        <v>1</v>
      </c>
      <c r="U505" s="15">
        <v>1</v>
      </c>
      <c r="V505" s="15">
        <v>1</v>
      </c>
      <c r="W505" s="15">
        <v>0</v>
      </c>
      <c r="X505" s="15">
        <v>0</v>
      </c>
      <c r="Y505" s="15">
        <v>0</v>
      </c>
      <c r="Z505" s="33" t="s">
        <v>1454</v>
      </c>
    </row>
    <row r="506" spans="1:26" s="15" customFormat="1" ht="15" customHeight="1" x14ac:dyDescent="0.15">
      <c r="A506" s="15">
        <v>1208</v>
      </c>
      <c r="B506" s="15" t="s">
        <v>1098</v>
      </c>
      <c r="C506" s="15">
        <f t="shared" si="61"/>
        <v>5</v>
      </c>
      <c r="D506" s="15">
        <v>1</v>
      </c>
      <c r="F506" s="12">
        <v>0</v>
      </c>
      <c r="G506" s="16">
        <v>1</v>
      </c>
      <c r="H506" s="16">
        <v>0</v>
      </c>
      <c r="I506" s="16">
        <v>1</v>
      </c>
      <c r="J506" s="16">
        <v>0</v>
      </c>
      <c r="K506" s="16">
        <v>0</v>
      </c>
      <c r="L506" s="15">
        <v>1</v>
      </c>
      <c r="M506" s="15">
        <f t="shared" si="59"/>
        <v>0</v>
      </c>
      <c r="N506" s="16">
        <v>0</v>
      </c>
      <c r="O506" s="16">
        <v>0</v>
      </c>
      <c r="P506" s="16">
        <v>0</v>
      </c>
      <c r="Q506" s="16">
        <v>0</v>
      </c>
      <c r="R506" s="16">
        <v>0</v>
      </c>
      <c r="S506" s="16">
        <v>0</v>
      </c>
      <c r="T506" s="15">
        <v>1</v>
      </c>
      <c r="U506" s="15">
        <v>1</v>
      </c>
      <c r="V506" s="15">
        <v>1</v>
      </c>
      <c r="W506" s="15">
        <v>0</v>
      </c>
      <c r="X506" s="15">
        <v>0</v>
      </c>
      <c r="Y506" s="15">
        <v>0</v>
      </c>
      <c r="Z506" s="33" t="s">
        <v>1455</v>
      </c>
    </row>
    <row r="507" spans="1:26" s="15" customFormat="1" ht="15" customHeight="1" x14ac:dyDescent="0.15">
      <c r="A507" s="15">
        <v>1209</v>
      </c>
      <c r="B507" s="15" t="s">
        <v>1099</v>
      </c>
      <c r="C507" s="15">
        <f t="shared" si="61"/>
        <v>5</v>
      </c>
      <c r="D507" s="15">
        <v>1</v>
      </c>
      <c r="F507" s="12">
        <v>0</v>
      </c>
      <c r="G507" s="16">
        <v>1</v>
      </c>
      <c r="H507" s="16">
        <v>0</v>
      </c>
      <c r="I507" s="16">
        <v>1</v>
      </c>
      <c r="J507" s="16">
        <v>0</v>
      </c>
      <c r="K507" s="16">
        <v>0</v>
      </c>
      <c r="L507" s="15">
        <v>1</v>
      </c>
      <c r="M507" s="15">
        <f t="shared" si="59"/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0</v>
      </c>
      <c r="T507" s="15">
        <v>1</v>
      </c>
      <c r="U507" s="15">
        <v>1</v>
      </c>
      <c r="V507" s="15">
        <v>1</v>
      </c>
      <c r="W507" s="15">
        <v>0</v>
      </c>
      <c r="X507" s="15">
        <v>0</v>
      </c>
      <c r="Y507" s="15">
        <v>0</v>
      </c>
      <c r="Z507" s="33" t="s">
        <v>1456</v>
      </c>
    </row>
    <row r="508" spans="1:26" s="15" customFormat="1" ht="15" customHeight="1" x14ac:dyDescent="0.15">
      <c r="A508" s="15">
        <v>1210</v>
      </c>
      <c r="B508" s="15" t="s">
        <v>1100</v>
      </c>
      <c r="C508" s="15">
        <f t="shared" si="61"/>
        <v>5</v>
      </c>
      <c r="D508" s="15">
        <v>1</v>
      </c>
      <c r="F508" s="12">
        <v>0</v>
      </c>
      <c r="G508" s="16">
        <v>1</v>
      </c>
      <c r="H508" s="16">
        <v>0</v>
      </c>
      <c r="I508" s="16">
        <v>1</v>
      </c>
      <c r="J508" s="16">
        <v>0</v>
      </c>
      <c r="K508" s="16">
        <v>0</v>
      </c>
      <c r="L508" s="15">
        <v>1</v>
      </c>
      <c r="M508" s="15">
        <f t="shared" si="59"/>
        <v>0</v>
      </c>
      <c r="N508" s="16">
        <v>0</v>
      </c>
      <c r="O508" s="16">
        <v>0</v>
      </c>
      <c r="P508" s="16">
        <v>0</v>
      </c>
      <c r="Q508" s="16">
        <v>0</v>
      </c>
      <c r="R508" s="16">
        <v>0</v>
      </c>
      <c r="S508" s="16">
        <v>0</v>
      </c>
      <c r="T508" s="15">
        <v>1</v>
      </c>
      <c r="U508" s="15">
        <v>1</v>
      </c>
      <c r="V508" s="15">
        <v>1</v>
      </c>
      <c r="W508" s="15">
        <v>0</v>
      </c>
      <c r="X508" s="15">
        <v>0</v>
      </c>
      <c r="Y508" s="15">
        <v>0</v>
      </c>
      <c r="Z508" s="33" t="s">
        <v>1457</v>
      </c>
    </row>
    <row r="509" spans="1:26" s="15" customFormat="1" ht="15" customHeight="1" x14ac:dyDescent="0.15">
      <c r="A509" s="15">
        <v>1211</v>
      </c>
      <c r="B509" s="15" t="s">
        <v>1101</v>
      </c>
      <c r="C509" s="15">
        <f t="shared" si="61"/>
        <v>5</v>
      </c>
      <c r="D509" s="15">
        <v>1</v>
      </c>
      <c r="F509" s="12">
        <v>0</v>
      </c>
      <c r="G509" s="16">
        <v>1</v>
      </c>
      <c r="H509" s="16">
        <v>0</v>
      </c>
      <c r="I509" s="16">
        <v>1</v>
      </c>
      <c r="J509" s="16">
        <v>0</v>
      </c>
      <c r="K509" s="16">
        <v>0</v>
      </c>
      <c r="L509" s="15">
        <v>1</v>
      </c>
      <c r="M509" s="15">
        <f t="shared" si="59"/>
        <v>0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5">
        <v>1</v>
      </c>
      <c r="U509" s="15">
        <v>1</v>
      </c>
      <c r="V509" s="15">
        <v>1</v>
      </c>
      <c r="W509" s="15">
        <v>0</v>
      </c>
      <c r="X509" s="15">
        <v>0</v>
      </c>
      <c r="Y509" s="15">
        <v>0</v>
      </c>
      <c r="Z509" s="33" t="s">
        <v>1458</v>
      </c>
    </row>
    <row r="510" spans="1:26" s="15" customFormat="1" ht="15" customHeight="1" x14ac:dyDescent="0.15">
      <c r="A510" s="15">
        <v>1212</v>
      </c>
      <c r="B510" s="15" t="s">
        <v>1102</v>
      </c>
      <c r="C510" s="15">
        <f t="shared" si="61"/>
        <v>5</v>
      </c>
      <c r="D510" s="15">
        <v>1</v>
      </c>
      <c r="F510" s="12">
        <v>0</v>
      </c>
      <c r="G510" s="16">
        <v>1</v>
      </c>
      <c r="H510" s="16">
        <v>0</v>
      </c>
      <c r="I510" s="16">
        <v>1</v>
      </c>
      <c r="J510" s="16">
        <v>0</v>
      </c>
      <c r="K510" s="16">
        <v>0</v>
      </c>
      <c r="L510" s="15">
        <v>1</v>
      </c>
      <c r="M510" s="15">
        <f t="shared" si="59"/>
        <v>0</v>
      </c>
      <c r="N510" s="16">
        <v>0</v>
      </c>
      <c r="O510" s="16">
        <v>0</v>
      </c>
      <c r="P510" s="16">
        <v>0</v>
      </c>
      <c r="Q510" s="16">
        <v>0</v>
      </c>
      <c r="R510" s="16">
        <v>0</v>
      </c>
      <c r="S510" s="16">
        <v>0</v>
      </c>
      <c r="T510" s="15">
        <v>1</v>
      </c>
      <c r="U510" s="15">
        <v>1</v>
      </c>
      <c r="V510" s="15">
        <v>1</v>
      </c>
      <c r="W510" s="15">
        <v>0</v>
      </c>
      <c r="X510" s="15">
        <v>0</v>
      </c>
      <c r="Y510" s="15">
        <v>0</v>
      </c>
      <c r="Z510" s="33" t="s">
        <v>1163</v>
      </c>
    </row>
    <row r="511" spans="1:26" s="15" customFormat="1" ht="15" customHeight="1" x14ac:dyDescent="0.15">
      <c r="A511" s="15">
        <v>1213</v>
      </c>
      <c r="B511" s="15" t="s">
        <v>1103</v>
      </c>
      <c r="C511" s="15">
        <f t="shared" si="61"/>
        <v>5</v>
      </c>
      <c r="D511" s="15">
        <v>1</v>
      </c>
      <c r="F511" s="12">
        <v>0</v>
      </c>
      <c r="G511" s="16">
        <v>1</v>
      </c>
      <c r="H511" s="16">
        <v>0</v>
      </c>
      <c r="I511" s="16">
        <v>1</v>
      </c>
      <c r="J511" s="16">
        <v>0</v>
      </c>
      <c r="K511" s="16">
        <v>0</v>
      </c>
      <c r="L511" s="15">
        <v>1</v>
      </c>
      <c r="M511" s="15">
        <f t="shared" si="59"/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5">
        <v>1</v>
      </c>
      <c r="U511" s="15">
        <v>1</v>
      </c>
      <c r="V511" s="15">
        <v>1</v>
      </c>
      <c r="W511" s="15">
        <v>0</v>
      </c>
      <c r="X511" s="15">
        <v>0</v>
      </c>
      <c r="Y511" s="15">
        <v>0</v>
      </c>
      <c r="Z511" s="33" t="s">
        <v>1164</v>
      </c>
    </row>
    <row r="512" spans="1:26" s="15" customFormat="1" ht="15" customHeight="1" x14ac:dyDescent="0.15">
      <c r="A512" s="15">
        <v>1214</v>
      </c>
      <c r="B512" s="15" t="s">
        <v>1104</v>
      </c>
      <c r="C512" s="15">
        <f t="shared" si="61"/>
        <v>5</v>
      </c>
      <c r="D512" s="15">
        <v>1</v>
      </c>
      <c r="F512" s="12">
        <v>0</v>
      </c>
      <c r="G512" s="16">
        <v>1</v>
      </c>
      <c r="H512" s="16">
        <v>0</v>
      </c>
      <c r="I512" s="16">
        <v>1</v>
      </c>
      <c r="J512" s="16">
        <v>0</v>
      </c>
      <c r="K512" s="16">
        <v>0</v>
      </c>
      <c r="L512" s="15">
        <v>1</v>
      </c>
      <c r="M512" s="15">
        <f t="shared" si="59"/>
        <v>0</v>
      </c>
      <c r="N512" s="16">
        <v>0</v>
      </c>
      <c r="O512" s="16">
        <v>0</v>
      </c>
      <c r="P512" s="16">
        <v>0</v>
      </c>
      <c r="Q512" s="16">
        <v>0</v>
      </c>
      <c r="R512" s="16">
        <v>0</v>
      </c>
      <c r="S512" s="16">
        <v>0</v>
      </c>
      <c r="T512" s="15">
        <v>1</v>
      </c>
      <c r="U512" s="15">
        <v>1</v>
      </c>
      <c r="V512" s="15">
        <v>1</v>
      </c>
      <c r="W512" s="15">
        <v>0</v>
      </c>
      <c r="X512" s="15">
        <v>0</v>
      </c>
      <c r="Y512" s="15">
        <v>0</v>
      </c>
      <c r="Z512" s="33" t="s">
        <v>1165</v>
      </c>
    </row>
    <row r="513" spans="1:26" s="15" customFormat="1" ht="15" customHeight="1" x14ac:dyDescent="0.15">
      <c r="A513" s="15">
        <v>1215</v>
      </c>
      <c r="B513" s="15" t="s">
        <v>1105</v>
      </c>
      <c r="C513" s="15">
        <f t="shared" ref="C513:C516" si="62">G513+H513*2+I513*4+J513*8+K513*16</f>
        <v>5</v>
      </c>
      <c r="D513" s="15">
        <v>1</v>
      </c>
      <c r="F513" s="12">
        <v>0</v>
      </c>
      <c r="G513" s="16">
        <v>1</v>
      </c>
      <c r="H513" s="16">
        <v>0</v>
      </c>
      <c r="I513" s="16">
        <v>1</v>
      </c>
      <c r="J513" s="16">
        <v>0</v>
      </c>
      <c r="K513" s="16">
        <v>0</v>
      </c>
      <c r="L513" s="15">
        <v>1</v>
      </c>
      <c r="M513" s="15">
        <f t="shared" ref="M513:M516" si="63">N513+O513*2+P513*4+Q513*8+R513*16+S513*32</f>
        <v>0</v>
      </c>
      <c r="N513" s="16">
        <v>0</v>
      </c>
      <c r="O513" s="16">
        <v>0</v>
      </c>
      <c r="P513" s="16">
        <v>0</v>
      </c>
      <c r="Q513" s="16">
        <v>0</v>
      </c>
      <c r="R513" s="16">
        <v>0</v>
      </c>
      <c r="S513" s="16">
        <v>0</v>
      </c>
      <c r="T513" s="15">
        <v>1</v>
      </c>
      <c r="U513" s="15">
        <v>1</v>
      </c>
      <c r="V513" s="15">
        <v>1</v>
      </c>
      <c r="W513" s="15">
        <v>0</v>
      </c>
      <c r="X513" s="15">
        <v>0</v>
      </c>
      <c r="Y513" s="15">
        <v>0</v>
      </c>
      <c r="Z513" s="33" t="s">
        <v>1166</v>
      </c>
    </row>
    <row r="514" spans="1:26" s="15" customFormat="1" ht="15" customHeight="1" x14ac:dyDescent="0.15">
      <c r="A514" s="15">
        <v>1216</v>
      </c>
      <c r="B514" s="15" t="s">
        <v>1106</v>
      </c>
      <c r="C514" s="15">
        <f t="shared" si="62"/>
        <v>5</v>
      </c>
      <c r="D514" s="15">
        <v>1</v>
      </c>
      <c r="F514" s="12">
        <v>0</v>
      </c>
      <c r="G514" s="16">
        <v>1</v>
      </c>
      <c r="H514" s="16">
        <v>0</v>
      </c>
      <c r="I514" s="16">
        <v>1</v>
      </c>
      <c r="J514" s="16">
        <v>0</v>
      </c>
      <c r="K514" s="16">
        <v>0</v>
      </c>
      <c r="L514" s="15">
        <v>1</v>
      </c>
      <c r="M514" s="15">
        <f t="shared" si="63"/>
        <v>0</v>
      </c>
      <c r="N514" s="16">
        <v>0</v>
      </c>
      <c r="O514" s="16">
        <v>0</v>
      </c>
      <c r="P514" s="16">
        <v>0</v>
      </c>
      <c r="Q514" s="16">
        <v>0</v>
      </c>
      <c r="R514" s="16">
        <v>0</v>
      </c>
      <c r="S514" s="16">
        <v>0</v>
      </c>
      <c r="T514" s="15">
        <v>1</v>
      </c>
      <c r="U514" s="15">
        <v>1</v>
      </c>
      <c r="V514" s="15">
        <v>1</v>
      </c>
      <c r="W514" s="15">
        <v>0</v>
      </c>
      <c r="X514" s="15">
        <v>0</v>
      </c>
      <c r="Y514" s="15">
        <v>0</v>
      </c>
      <c r="Z514" s="33" t="s">
        <v>1167</v>
      </c>
    </row>
    <row r="515" spans="1:26" s="15" customFormat="1" ht="15" customHeight="1" x14ac:dyDescent="0.15">
      <c r="A515" s="15">
        <v>1217</v>
      </c>
      <c r="B515" s="15" t="s">
        <v>1107</v>
      </c>
      <c r="C515" s="15">
        <f t="shared" si="62"/>
        <v>5</v>
      </c>
      <c r="D515" s="15">
        <v>1</v>
      </c>
      <c r="F515" s="12">
        <v>0</v>
      </c>
      <c r="G515" s="16">
        <v>1</v>
      </c>
      <c r="H515" s="16">
        <v>0</v>
      </c>
      <c r="I515" s="16">
        <v>1</v>
      </c>
      <c r="J515" s="16">
        <v>0</v>
      </c>
      <c r="K515" s="16">
        <v>0</v>
      </c>
      <c r="L515" s="15">
        <v>1</v>
      </c>
      <c r="M515" s="15">
        <f t="shared" si="63"/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5">
        <v>1</v>
      </c>
      <c r="U515" s="15">
        <v>1</v>
      </c>
      <c r="V515" s="15">
        <v>1</v>
      </c>
      <c r="W515" s="15">
        <v>0</v>
      </c>
      <c r="X515" s="15">
        <v>0</v>
      </c>
      <c r="Y515" s="15">
        <v>0</v>
      </c>
      <c r="Z515" s="33" t="s">
        <v>1168</v>
      </c>
    </row>
    <row r="516" spans="1:26" s="15" customFormat="1" ht="15" customHeight="1" x14ac:dyDescent="0.15">
      <c r="A516" s="15">
        <v>1218</v>
      </c>
      <c r="B516" s="15" t="s">
        <v>1108</v>
      </c>
      <c r="C516" s="15">
        <f t="shared" si="62"/>
        <v>5</v>
      </c>
      <c r="D516" s="15">
        <v>1</v>
      </c>
      <c r="F516" s="12">
        <v>0</v>
      </c>
      <c r="G516" s="16">
        <v>1</v>
      </c>
      <c r="H516" s="16">
        <v>0</v>
      </c>
      <c r="I516" s="16">
        <v>1</v>
      </c>
      <c r="J516" s="16">
        <v>0</v>
      </c>
      <c r="K516" s="16">
        <v>0</v>
      </c>
      <c r="L516" s="15">
        <v>1</v>
      </c>
      <c r="M516" s="15">
        <f t="shared" si="63"/>
        <v>0</v>
      </c>
      <c r="N516" s="16">
        <v>0</v>
      </c>
      <c r="O516" s="16">
        <v>0</v>
      </c>
      <c r="P516" s="16">
        <v>0</v>
      </c>
      <c r="Q516" s="16">
        <v>0</v>
      </c>
      <c r="R516" s="16">
        <v>0</v>
      </c>
      <c r="S516" s="16">
        <v>0</v>
      </c>
      <c r="T516" s="15">
        <v>1</v>
      </c>
      <c r="U516" s="15">
        <v>1</v>
      </c>
      <c r="V516" s="15">
        <v>1</v>
      </c>
      <c r="W516" s="15">
        <v>0</v>
      </c>
      <c r="X516" s="15">
        <v>0</v>
      </c>
      <c r="Y516" s="15">
        <v>0</v>
      </c>
      <c r="Z516" s="33" t="s">
        <v>1169</v>
      </c>
    </row>
    <row r="517" spans="1:26" s="12" customFormat="1" ht="15" customHeight="1" x14ac:dyDescent="0.15">
      <c r="A517" s="12">
        <v>2001</v>
      </c>
      <c r="B517" s="12" t="s">
        <v>459</v>
      </c>
      <c r="C517" s="12">
        <f t="shared" ref="C517:C522" si="64">G517+H517*2+I517*4+J517*8+K517*16</f>
        <v>5</v>
      </c>
      <c r="D517" s="12">
        <v>1</v>
      </c>
      <c r="F517" s="12">
        <v>0</v>
      </c>
      <c r="G517" s="13">
        <v>1</v>
      </c>
      <c r="H517" s="13">
        <v>0</v>
      </c>
      <c r="I517" s="13">
        <v>1</v>
      </c>
      <c r="J517" s="13">
        <v>0</v>
      </c>
      <c r="K517" s="13">
        <v>0</v>
      </c>
      <c r="L517" s="12">
        <v>0</v>
      </c>
      <c r="M517" s="12">
        <f t="shared" ref="M517:M522" si="65">N517+O517*2+P517*4+Q517*8+R517*16+S517*32</f>
        <v>0</v>
      </c>
      <c r="N517" s="13">
        <v>0</v>
      </c>
      <c r="O517" s="13">
        <v>0</v>
      </c>
      <c r="P517" s="13">
        <v>0</v>
      </c>
      <c r="Q517" s="13">
        <v>0</v>
      </c>
      <c r="R517" s="13">
        <v>0</v>
      </c>
      <c r="S517" s="13">
        <v>0</v>
      </c>
      <c r="T517" s="12">
        <v>1</v>
      </c>
      <c r="U517" s="12">
        <v>0</v>
      </c>
      <c r="V517" s="12">
        <v>1</v>
      </c>
      <c r="W517" s="12">
        <v>0</v>
      </c>
      <c r="X517" s="12">
        <v>0</v>
      </c>
      <c r="Y517" s="12">
        <v>0</v>
      </c>
      <c r="Z517" s="12" t="s">
        <v>549</v>
      </c>
    </row>
    <row r="518" spans="1:26" s="12" customFormat="1" ht="15" customHeight="1" x14ac:dyDescent="0.15">
      <c r="A518" s="12">
        <v>2002</v>
      </c>
      <c r="B518" s="12" t="s">
        <v>131</v>
      </c>
      <c r="C518" s="12">
        <f t="shared" si="64"/>
        <v>5</v>
      </c>
      <c r="D518" s="12">
        <v>1</v>
      </c>
      <c r="F518" s="12">
        <v>0</v>
      </c>
      <c r="G518" s="13">
        <v>1</v>
      </c>
      <c r="H518" s="13">
        <v>0</v>
      </c>
      <c r="I518" s="13">
        <v>1</v>
      </c>
      <c r="J518" s="13">
        <v>0</v>
      </c>
      <c r="K518" s="13">
        <v>0</v>
      </c>
      <c r="L518" s="12">
        <v>0</v>
      </c>
      <c r="M518" s="12">
        <f t="shared" si="65"/>
        <v>0</v>
      </c>
      <c r="N518" s="13">
        <v>0</v>
      </c>
      <c r="O518" s="13">
        <v>0</v>
      </c>
      <c r="P518" s="13">
        <v>0</v>
      </c>
      <c r="Q518" s="13">
        <v>0</v>
      </c>
      <c r="R518" s="13">
        <v>0</v>
      </c>
      <c r="S518" s="13">
        <v>0</v>
      </c>
      <c r="T518" s="12">
        <v>1</v>
      </c>
      <c r="U518" s="12">
        <v>0</v>
      </c>
      <c r="V518" s="12">
        <v>1</v>
      </c>
      <c r="W518" s="12">
        <v>0</v>
      </c>
      <c r="X518" s="12">
        <v>0</v>
      </c>
      <c r="Y518" s="12">
        <v>0</v>
      </c>
      <c r="Z518" s="17" t="s">
        <v>1470</v>
      </c>
    </row>
    <row r="519" spans="1:26" s="12" customFormat="1" ht="15" customHeight="1" x14ac:dyDescent="0.15">
      <c r="A519" s="12">
        <v>2003</v>
      </c>
      <c r="B519" s="12" t="s">
        <v>132</v>
      </c>
      <c r="C519" s="12">
        <f t="shared" si="64"/>
        <v>5</v>
      </c>
      <c r="D519" s="12">
        <v>1</v>
      </c>
      <c r="F519" s="12">
        <v>0</v>
      </c>
      <c r="G519" s="13">
        <v>1</v>
      </c>
      <c r="H519" s="13">
        <v>0</v>
      </c>
      <c r="I519" s="13">
        <v>1</v>
      </c>
      <c r="J519" s="13">
        <v>0</v>
      </c>
      <c r="K519" s="13">
        <v>0</v>
      </c>
      <c r="L519" s="12">
        <v>0</v>
      </c>
      <c r="M519" s="12">
        <f t="shared" si="65"/>
        <v>0</v>
      </c>
      <c r="N519" s="13">
        <v>0</v>
      </c>
      <c r="O519" s="13">
        <v>0</v>
      </c>
      <c r="P519" s="13">
        <v>0</v>
      </c>
      <c r="Q519" s="13">
        <v>0</v>
      </c>
      <c r="R519" s="13">
        <v>0</v>
      </c>
      <c r="S519" s="13">
        <v>0</v>
      </c>
      <c r="T519" s="12">
        <v>1</v>
      </c>
      <c r="U519" s="12">
        <v>0</v>
      </c>
      <c r="V519" s="12">
        <v>1</v>
      </c>
      <c r="W519" s="12">
        <v>0</v>
      </c>
      <c r="X519" s="12">
        <v>0</v>
      </c>
      <c r="Y519" s="12">
        <v>0</v>
      </c>
      <c r="Z519" s="17" t="s">
        <v>1471</v>
      </c>
    </row>
    <row r="520" spans="1:26" s="12" customFormat="1" ht="15" customHeight="1" x14ac:dyDescent="0.15">
      <c r="A520" s="12">
        <v>2004</v>
      </c>
      <c r="B520" s="12" t="s">
        <v>224</v>
      </c>
      <c r="C520" s="12">
        <f t="shared" si="64"/>
        <v>1</v>
      </c>
      <c r="D520" s="12">
        <v>1</v>
      </c>
      <c r="F520" s="12">
        <v>0</v>
      </c>
      <c r="G520" s="13">
        <v>1</v>
      </c>
      <c r="H520" s="13">
        <v>0</v>
      </c>
      <c r="I520" s="13">
        <v>0</v>
      </c>
      <c r="J520" s="13">
        <v>0</v>
      </c>
      <c r="K520" s="13">
        <v>0</v>
      </c>
      <c r="L520" s="12">
        <v>0</v>
      </c>
      <c r="M520" s="12">
        <f t="shared" si="65"/>
        <v>0</v>
      </c>
      <c r="N520" s="13">
        <v>0</v>
      </c>
      <c r="O520" s="13">
        <v>0</v>
      </c>
      <c r="P520" s="13">
        <v>0</v>
      </c>
      <c r="Q520" s="13">
        <v>0</v>
      </c>
      <c r="R520" s="13">
        <v>0</v>
      </c>
      <c r="S520" s="13">
        <v>0</v>
      </c>
      <c r="T520" s="12">
        <v>0</v>
      </c>
      <c r="U520" s="12">
        <v>0</v>
      </c>
      <c r="V520" s="12">
        <v>0</v>
      </c>
      <c r="W520" s="12">
        <v>0</v>
      </c>
      <c r="X520" s="12">
        <v>1</v>
      </c>
      <c r="Y520" s="12">
        <v>0</v>
      </c>
      <c r="Z520" s="17" t="s">
        <v>1472</v>
      </c>
    </row>
    <row r="521" spans="1:26" s="12" customFormat="1" ht="15" customHeight="1" x14ac:dyDescent="0.15">
      <c r="A521" s="12">
        <v>2005</v>
      </c>
      <c r="B521" s="12" t="s">
        <v>339</v>
      </c>
      <c r="C521" s="12">
        <f>G521+H521*2+I521*4+J521*8+K521*16</f>
        <v>5</v>
      </c>
      <c r="D521" s="12">
        <v>1</v>
      </c>
      <c r="F521" s="12">
        <v>0</v>
      </c>
      <c r="G521" s="13">
        <v>1</v>
      </c>
      <c r="H521" s="13">
        <v>0</v>
      </c>
      <c r="I521" s="13">
        <v>1</v>
      </c>
      <c r="J521" s="13">
        <v>0</v>
      </c>
      <c r="K521" s="13">
        <v>0</v>
      </c>
      <c r="L521" s="12">
        <v>0</v>
      </c>
      <c r="M521" s="12">
        <f t="shared" si="65"/>
        <v>0</v>
      </c>
      <c r="N521" s="13">
        <v>0</v>
      </c>
      <c r="O521" s="13">
        <v>0</v>
      </c>
      <c r="P521" s="13">
        <v>0</v>
      </c>
      <c r="Q521" s="13">
        <v>0</v>
      </c>
      <c r="R521" s="13">
        <v>0</v>
      </c>
      <c r="S521" s="13">
        <v>0</v>
      </c>
      <c r="T521" s="12">
        <v>1</v>
      </c>
      <c r="U521" s="12">
        <v>0</v>
      </c>
      <c r="V521" s="12">
        <v>1</v>
      </c>
      <c r="W521" s="12">
        <v>0</v>
      </c>
      <c r="X521" s="12">
        <v>0</v>
      </c>
      <c r="Y521" s="12">
        <v>0</v>
      </c>
      <c r="Z521" s="17" t="s">
        <v>1361</v>
      </c>
    </row>
    <row r="522" spans="1:26" s="12" customFormat="1" ht="15" customHeight="1" x14ac:dyDescent="0.15">
      <c r="A522" s="12">
        <v>2006</v>
      </c>
      <c r="B522" s="12" t="s">
        <v>477</v>
      </c>
      <c r="C522" s="12">
        <f t="shared" si="64"/>
        <v>5</v>
      </c>
      <c r="D522" s="12">
        <v>1</v>
      </c>
      <c r="F522" s="12">
        <v>0</v>
      </c>
      <c r="G522" s="13">
        <v>1</v>
      </c>
      <c r="H522" s="13">
        <v>0</v>
      </c>
      <c r="I522" s="13">
        <v>1</v>
      </c>
      <c r="J522" s="13">
        <v>0</v>
      </c>
      <c r="K522" s="13">
        <v>0</v>
      </c>
      <c r="L522" s="12">
        <v>0</v>
      </c>
      <c r="M522" s="12">
        <f t="shared" si="65"/>
        <v>0</v>
      </c>
      <c r="N522" s="13">
        <v>0</v>
      </c>
      <c r="O522" s="13">
        <v>0</v>
      </c>
      <c r="P522" s="13">
        <v>0</v>
      </c>
      <c r="Q522" s="13">
        <v>0</v>
      </c>
      <c r="R522" s="13">
        <v>0</v>
      </c>
      <c r="S522" s="13">
        <v>0</v>
      </c>
      <c r="T522" s="12">
        <v>1</v>
      </c>
      <c r="U522" s="12">
        <v>0</v>
      </c>
      <c r="V522" s="12">
        <v>1</v>
      </c>
      <c r="W522" s="12">
        <v>0</v>
      </c>
      <c r="X522" s="12">
        <v>1</v>
      </c>
      <c r="Y522" s="12">
        <v>0</v>
      </c>
      <c r="Z522" s="12" t="s">
        <v>486</v>
      </c>
    </row>
    <row r="523" spans="1:26" s="12" customFormat="1" ht="15" customHeight="1" x14ac:dyDescent="0.15">
      <c r="A523" s="12">
        <v>2007</v>
      </c>
      <c r="B523" s="12" t="s">
        <v>476</v>
      </c>
      <c r="C523" s="12">
        <f t="shared" ref="C523:C531" si="66">G523+H523*2+I523*4+J523*8+K523*16</f>
        <v>5</v>
      </c>
      <c r="D523" s="12">
        <v>1</v>
      </c>
      <c r="F523" s="12">
        <v>0</v>
      </c>
      <c r="G523" s="13">
        <v>1</v>
      </c>
      <c r="H523" s="13">
        <v>0</v>
      </c>
      <c r="I523" s="13">
        <v>1</v>
      </c>
      <c r="J523" s="13">
        <v>0</v>
      </c>
      <c r="K523" s="13">
        <v>0</v>
      </c>
      <c r="L523" s="12">
        <v>0</v>
      </c>
      <c r="M523" s="12">
        <f t="shared" ref="M523:M531" si="67">N523+O523*2+P523*4+Q523*8+R523*16+S523*32</f>
        <v>0</v>
      </c>
      <c r="N523" s="13">
        <v>0</v>
      </c>
      <c r="O523" s="13">
        <v>0</v>
      </c>
      <c r="P523" s="13">
        <v>0</v>
      </c>
      <c r="Q523" s="13">
        <v>0</v>
      </c>
      <c r="R523" s="13">
        <v>0</v>
      </c>
      <c r="S523" s="13">
        <v>0</v>
      </c>
      <c r="T523" s="12">
        <v>1</v>
      </c>
      <c r="U523" s="12">
        <v>0</v>
      </c>
      <c r="V523" s="12">
        <v>1</v>
      </c>
      <c r="W523" s="12">
        <v>0</v>
      </c>
      <c r="X523" s="12">
        <v>1</v>
      </c>
      <c r="Y523" s="12">
        <v>0</v>
      </c>
      <c r="Z523" s="12" t="s">
        <v>487</v>
      </c>
    </row>
    <row r="524" spans="1:26" s="12" customFormat="1" ht="15" customHeight="1" x14ac:dyDescent="0.15">
      <c r="A524" s="12">
        <v>2008</v>
      </c>
      <c r="B524" s="12" t="s">
        <v>478</v>
      </c>
      <c r="C524" s="12">
        <f t="shared" si="66"/>
        <v>5</v>
      </c>
      <c r="D524" s="12">
        <v>1</v>
      </c>
      <c r="F524" s="12">
        <v>0</v>
      </c>
      <c r="G524" s="13">
        <v>1</v>
      </c>
      <c r="H524" s="13">
        <v>0</v>
      </c>
      <c r="I524" s="13">
        <v>1</v>
      </c>
      <c r="J524" s="13">
        <v>0</v>
      </c>
      <c r="K524" s="13">
        <v>0</v>
      </c>
      <c r="L524" s="12">
        <v>0</v>
      </c>
      <c r="M524" s="12">
        <f t="shared" si="67"/>
        <v>0</v>
      </c>
      <c r="N524" s="13">
        <v>0</v>
      </c>
      <c r="O524" s="13">
        <v>0</v>
      </c>
      <c r="P524" s="13">
        <v>0</v>
      </c>
      <c r="Q524" s="13">
        <v>0</v>
      </c>
      <c r="R524" s="13">
        <v>0</v>
      </c>
      <c r="S524" s="13">
        <v>0</v>
      </c>
      <c r="T524" s="12">
        <v>1</v>
      </c>
      <c r="U524" s="12">
        <v>0</v>
      </c>
      <c r="V524" s="12">
        <v>1</v>
      </c>
      <c r="W524" s="12">
        <v>0</v>
      </c>
      <c r="X524" s="12">
        <v>1</v>
      </c>
      <c r="Y524" s="12">
        <v>0</v>
      </c>
      <c r="Z524" s="12" t="s">
        <v>488</v>
      </c>
    </row>
    <row r="525" spans="1:26" s="12" customFormat="1" ht="15" customHeight="1" x14ac:dyDescent="0.15">
      <c r="A525" s="12">
        <v>2009</v>
      </c>
      <c r="B525" s="12" t="s">
        <v>479</v>
      </c>
      <c r="C525" s="12">
        <f t="shared" si="66"/>
        <v>5</v>
      </c>
      <c r="D525" s="12">
        <v>1</v>
      </c>
      <c r="F525" s="12">
        <v>0</v>
      </c>
      <c r="G525" s="13">
        <v>1</v>
      </c>
      <c r="H525" s="13">
        <v>0</v>
      </c>
      <c r="I525" s="13">
        <v>1</v>
      </c>
      <c r="J525" s="13">
        <v>0</v>
      </c>
      <c r="K525" s="13">
        <v>0</v>
      </c>
      <c r="L525" s="12">
        <v>0</v>
      </c>
      <c r="M525" s="12">
        <f t="shared" si="67"/>
        <v>0</v>
      </c>
      <c r="N525" s="13">
        <v>0</v>
      </c>
      <c r="O525" s="13">
        <v>0</v>
      </c>
      <c r="P525" s="13">
        <v>0</v>
      </c>
      <c r="Q525" s="13">
        <v>0</v>
      </c>
      <c r="R525" s="13">
        <v>0</v>
      </c>
      <c r="S525" s="13">
        <v>0</v>
      </c>
      <c r="T525" s="12">
        <v>1</v>
      </c>
      <c r="U525" s="12">
        <v>0</v>
      </c>
      <c r="V525" s="12">
        <v>1</v>
      </c>
      <c r="W525" s="12">
        <v>0</v>
      </c>
      <c r="X525" s="12">
        <v>1</v>
      </c>
      <c r="Y525" s="12">
        <v>0</v>
      </c>
      <c r="Z525" s="12" t="s">
        <v>489</v>
      </c>
    </row>
    <row r="526" spans="1:26" s="12" customFormat="1" ht="15" customHeight="1" x14ac:dyDescent="0.15">
      <c r="A526" s="12">
        <v>2010</v>
      </c>
      <c r="B526" s="12" t="s">
        <v>480</v>
      </c>
      <c r="C526" s="12">
        <f t="shared" si="66"/>
        <v>5</v>
      </c>
      <c r="D526" s="12">
        <v>1</v>
      </c>
      <c r="F526" s="12">
        <v>0</v>
      </c>
      <c r="G526" s="13">
        <v>1</v>
      </c>
      <c r="H526" s="13">
        <v>0</v>
      </c>
      <c r="I526" s="13">
        <v>1</v>
      </c>
      <c r="J526" s="13">
        <v>0</v>
      </c>
      <c r="K526" s="13">
        <v>0</v>
      </c>
      <c r="L526" s="12">
        <v>0</v>
      </c>
      <c r="M526" s="12">
        <f t="shared" si="67"/>
        <v>0</v>
      </c>
      <c r="N526" s="13">
        <v>0</v>
      </c>
      <c r="O526" s="13">
        <v>0</v>
      </c>
      <c r="P526" s="13">
        <v>0</v>
      </c>
      <c r="Q526" s="13">
        <v>0</v>
      </c>
      <c r="R526" s="13">
        <v>0</v>
      </c>
      <c r="S526" s="13">
        <v>0</v>
      </c>
      <c r="T526" s="12">
        <v>1</v>
      </c>
      <c r="U526" s="12">
        <v>0</v>
      </c>
      <c r="V526" s="12">
        <v>1</v>
      </c>
      <c r="W526" s="12">
        <v>0</v>
      </c>
      <c r="X526" s="12">
        <v>1</v>
      </c>
      <c r="Y526" s="12">
        <v>0</v>
      </c>
      <c r="Z526" s="12" t="s">
        <v>490</v>
      </c>
    </row>
    <row r="527" spans="1:26" s="12" customFormat="1" ht="15" customHeight="1" x14ac:dyDescent="0.15">
      <c r="A527" s="12">
        <v>2011</v>
      </c>
      <c r="B527" s="12" t="s">
        <v>481</v>
      </c>
      <c r="C527" s="12">
        <f t="shared" si="66"/>
        <v>5</v>
      </c>
      <c r="D527" s="12">
        <v>1</v>
      </c>
      <c r="F527" s="12">
        <v>0</v>
      </c>
      <c r="G527" s="13">
        <v>1</v>
      </c>
      <c r="H527" s="13">
        <v>0</v>
      </c>
      <c r="I527" s="13">
        <v>1</v>
      </c>
      <c r="J527" s="13">
        <v>0</v>
      </c>
      <c r="K527" s="13">
        <v>0</v>
      </c>
      <c r="L527" s="12">
        <v>0</v>
      </c>
      <c r="M527" s="12">
        <f t="shared" si="67"/>
        <v>0</v>
      </c>
      <c r="N527" s="13">
        <v>0</v>
      </c>
      <c r="O527" s="13">
        <v>0</v>
      </c>
      <c r="P527" s="13">
        <v>0</v>
      </c>
      <c r="Q527" s="13">
        <v>0</v>
      </c>
      <c r="R527" s="13">
        <v>0</v>
      </c>
      <c r="S527" s="13">
        <v>0</v>
      </c>
      <c r="T527" s="12">
        <v>1</v>
      </c>
      <c r="U527" s="12">
        <v>0</v>
      </c>
      <c r="V527" s="12">
        <v>1</v>
      </c>
      <c r="W527" s="12">
        <v>0</v>
      </c>
      <c r="X527" s="12">
        <v>1</v>
      </c>
      <c r="Y527" s="12">
        <v>0</v>
      </c>
      <c r="Z527" s="12" t="s">
        <v>491</v>
      </c>
    </row>
    <row r="528" spans="1:26" s="12" customFormat="1" ht="15" customHeight="1" x14ac:dyDescent="0.15">
      <c r="A528" s="12">
        <v>2012</v>
      </c>
      <c r="B528" s="12" t="s">
        <v>482</v>
      </c>
      <c r="C528" s="12">
        <f t="shared" si="66"/>
        <v>5</v>
      </c>
      <c r="D528" s="12">
        <v>1</v>
      </c>
      <c r="F528" s="12">
        <v>0</v>
      </c>
      <c r="G528" s="13">
        <v>1</v>
      </c>
      <c r="H528" s="13">
        <v>0</v>
      </c>
      <c r="I528" s="13">
        <v>1</v>
      </c>
      <c r="J528" s="13">
        <v>0</v>
      </c>
      <c r="K528" s="13">
        <v>0</v>
      </c>
      <c r="L528" s="12">
        <v>0</v>
      </c>
      <c r="M528" s="12">
        <f t="shared" si="67"/>
        <v>0</v>
      </c>
      <c r="N528" s="13">
        <v>0</v>
      </c>
      <c r="O528" s="13">
        <v>0</v>
      </c>
      <c r="P528" s="13">
        <v>0</v>
      </c>
      <c r="Q528" s="13">
        <v>0</v>
      </c>
      <c r="R528" s="13">
        <v>0</v>
      </c>
      <c r="S528" s="13">
        <v>0</v>
      </c>
      <c r="T528" s="12">
        <v>1</v>
      </c>
      <c r="U528" s="12">
        <v>0</v>
      </c>
      <c r="V528" s="12">
        <v>1</v>
      </c>
      <c r="W528" s="12">
        <v>0</v>
      </c>
      <c r="X528" s="12">
        <v>1</v>
      </c>
      <c r="Y528" s="12">
        <v>0</v>
      </c>
      <c r="Z528" s="12" t="s">
        <v>492</v>
      </c>
    </row>
    <row r="529" spans="1:26" s="12" customFormat="1" ht="15" customHeight="1" x14ac:dyDescent="0.15">
      <c r="A529" s="12">
        <v>2013</v>
      </c>
      <c r="B529" s="12" t="s">
        <v>483</v>
      </c>
      <c r="C529" s="12">
        <f t="shared" si="66"/>
        <v>5</v>
      </c>
      <c r="D529" s="12">
        <v>1</v>
      </c>
      <c r="F529" s="12">
        <v>0</v>
      </c>
      <c r="G529" s="13">
        <v>1</v>
      </c>
      <c r="H529" s="13">
        <v>0</v>
      </c>
      <c r="I529" s="13">
        <v>1</v>
      </c>
      <c r="J529" s="13">
        <v>0</v>
      </c>
      <c r="K529" s="13">
        <v>0</v>
      </c>
      <c r="L529" s="12">
        <v>0</v>
      </c>
      <c r="M529" s="12">
        <f t="shared" si="67"/>
        <v>0</v>
      </c>
      <c r="N529" s="13">
        <v>0</v>
      </c>
      <c r="O529" s="13">
        <v>0</v>
      </c>
      <c r="P529" s="13">
        <v>0</v>
      </c>
      <c r="Q529" s="13">
        <v>0</v>
      </c>
      <c r="R529" s="13">
        <v>0</v>
      </c>
      <c r="S529" s="13">
        <v>0</v>
      </c>
      <c r="T529" s="12">
        <v>1</v>
      </c>
      <c r="U529" s="12">
        <v>0</v>
      </c>
      <c r="V529" s="12">
        <v>1</v>
      </c>
      <c r="W529" s="12">
        <v>0</v>
      </c>
      <c r="X529" s="12">
        <v>1</v>
      </c>
      <c r="Y529" s="12">
        <v>0</v>
      </c>
      <c r="Z529" s="12" t="s">
        <v>493</v>
      </c>
    </row>
    <row r="530" spans="1:26" s="12" customFormat="1" ht="15" customHeight="1" x14ac:dyDescent="0.15">
      <c r="A530" s="12">
        <v>2014</v>
      </c>
      <c r="B530" s="12" t="s">
        <v>484</v>
      </c>
      <c r="C530" s="12">
        <f t="shared" si="66"/>
        <v>5</v>
      </c>
      <c r="D530" s="12">
        <v>1</v>
      </c>
      <c r="F530" s="12">
        <v>0</v>
      </c>
      <c r="G530" s="13">
        <v>1</v>
      </c>
      <c r="H530" s="13">
        <v>0</v>
      </c>
      <c r="I530" s="13">
        <v>1</v>
      </c>
      <c r="J530" s="13">
        <v>0</v>
      </c>
      <c r="K530" s="13">
        <v>0</v>
      </c>
      <c r="L530" s="12">
        <v>0</v>
      </c>
      <c r="M530" s="12">
        <f t="shared" si="67"/>
        <v>0</v>
      </c>
      <c r="N530" s="13">
        <v>0</v>
      </c>
      <c r="O530" s="13">
        <v>0</v>
      </c>
      <c r="P530" s="13">
        <v>0</v>
      </c>
      <c r="Q530" s="13">
        <v>0</v>
      </c>
      <c r="R530" s="13">
        <v>0</v>
      </c>
      <c r="S530" s="13">
        <v>0</v>
      </c>
      <c r="T530" s="12">
        <v>1</v>
      </c>
      <c r="U530" s="12">
        <v>0</v>
      </c>
      <c r="V530" s="12">
        <v>1</v>
      </c>
      <c r="W530" s="12">
        <v>0</v>
      </c>
      <c r="X530" s="12">
        <v>1</v>
      </c>
      <c r="Y530" s="12">
        <v>0</v>
      </c>
      <c r="Z530" s="12" t="s">
        <v>494</v>
      </c>
    </row>
    <row r="531" spans="1:26" s="12" customFormat="1" ht="17.25" customHeight="1" x14ac:dyDescent="0.15">
      <c r="A531" s="12">
        <v>2015</v>
      </c>
      <c r="B531" s="12" t="s">
        <v>485</v>
      </c>
      <c r="C531" s="12">
        <f t="shared" si="66"/>
        <v>5</v>
      </c>
      <c r="D531" s="12">
        <v>1</v>
      </c>
      <c r="F531" s="12">
        <v>0</v>
      </c>
      <c r="G531" s="13">
        <v>1</v>
      </c>
      <c r="H531" s="13">
        <v>0</v>
      </c>
      <c r="I531" s="13">
        <v>1</v>
      </c>
      <c r="J531" s="13">
        <v>0</v>
      </c>
      <c r="K531" s="13">
        <v>0</v>
      </c>
      <c r="L531" s="12">
        <v>0</v>
      </c>
      <c r="M531" s="12">
        <f t="shared" si="67"/>
        <v>0</v>
      </c>
      <c r="N531" s="13">
        <v>0</v>
      </c>
      <c r="O531" s="13">
        <v>0</v>
      </c>
      <c r="P531" s="13">
        <v>0</v>
      </c>
      <c r="Q531" s="13">
        <v>0</v>
      </c>
      <c r="R531" s="13">
        <v>0</v>
      </c>
      <c r="S531" s="13">
        <v>0</v>
      </c>
      <c r="T531" s="12">
        <v>1</v>
      </c>
      <c r="U531" s="12">
        <v>0</v>
      </c>
      <c r="V531" s="12">
        <v>1</v>
      </c>
      <c r="W531" s="12">
        <v>0</v>
      </c>
      <c r="X531" s="12">
        <v>1</v>
      </c>
      <c r="Y531" s="12">
        <v>0</v>
      </c>
      <c r="Z531" s="12" t="s">
        <v>495</v>
      </c>
    </row>
    <row r="532" spans="1:26" s="12" customFormat="1" ht="17.25" customHeight="1" x14ac:dyDescent="0.15">
      <c r="A532" s="12">
        <v>2016</v>
      </c>
      <c r="B532" s="12" t="s">
        <v>519</v>
      </c>
      <c r="C532" s="12">
        <f>G532+H532*2+I532*4+J532*8+K532*16</f>
        <v>5</v>
      </c>
      <c r="D532" s="12">
        <v>1</v>
      </c>
      <c r="F532" s="12">
        <v>0</v>
      </c>
      <c r="G532" s="13">
        <v>1</v>
      </c>
      <c r="H532" s="13">
        <v>0</v>
      </c>
      <c r="I532" s="13">
        <v>1</v>
      </c>
      <c r="J532" s="13">
        <v>0</v>
      </c>
      <c r="K532" s="13">
        <v>0</v>
      </c>
      <c r="L532" s="12">
        <v>0</v>
      </c>
      <c r="M532" s="12">
        <f>N532+O532*2+P532*4+Q532*8+R532*16+S532*32</f>
        <v>0</v>
      </c>
      <c r="N532" s="13">
        <v>0</v>
      </c>
      <c r="O532" s="13">
        <v>0</v>
      </c>
      <c r="P532" s="13">
        <v>0</v>
      </c>
      <c r="Q532" s="13">
        <v>0</v>
      </c>
      <c r="R532" s="13">
        <v>0</v>
      </c>
      <c r="S532" s="13">
        <v>0</v>
      </c>
      <c r="T532" s="12">
        <v>1</v>
      </c>
      <c r="U532" s="12">
        <v>0</v>
      </c>
      <c r="V532" s="12">
        <v>1</v>
      </c>
      <c r="W532" s="12">
        <v>0</v>
      </c>
      <c r="X532" s="12">
        <v>1</v>
      </c>
      <c r="Y532" s="12">
        <v>0</v>
      </c>
      <c r="Z532" s="12" t="s">
        <v>520</v>
      </c>
    </row>
    <row r="533" spans="1:26" s="12" customFormat="1" ht="17.25" customHeight="1" x14ac:dyDescent="0.15">
      <c r="A533" s="12">
        <v>2017</v>
      </c>
      <c r="B533" s="12" t="s">
        <v>613</v>
      </c>
      <c r="C533" s="12">
        <f t="shared" ref="C533:C540" si="68">G533+H533*2+I533*4+J533*8+K533*16</f>
        <v>5</v>
      </c>
      <c r="D533" s="12">
        <v>1</v>
      </c>
      <c r="F533" s="12">
        <v>0</v>
      </c>
      <c r="G533" s="13">
        <v>1</v>
      </c>
      <c r="H533" s="13">
        <v>0</v>
      </c>
      <c r="I533" s="13">
        <v>1</v>
      </c>
      <c r="J533" s="13">
        <v>0</v>
      </c>
      <c r="K533" s="13">
        <v>0</v>
      </c>
      <c r="L533" s="12">
        <v>0</v>
      </c>
      <c r="M533" s="12">
        <f t="shared" ref="M533:M540" si="69">N533+O533*2+P533*4+Q533*8+R533*16+S533*32</f>
        <v>0</v>
      </c>
      <c r="N533" s="13">
        <v>0</v>
      </c>
      <c r="O533" s="13">
        <v>0</v>
      </c>
      <c r="P533" s="13">
        <v>0</v>
      </c>
      <c r="Q533" s="13">
        <v>0</v>
      </c>
      <c r="R533" s="13">
        <v>0</v>
      </c>
      <c r="S533" s="13">
        <v>0</v>
      </c>
      <c r="T533" s="12">
        <v>1</v>
      </c>
      <c r="U533" s="12">
        <v>0</v>
      </c>
      <c r="V533" s="12">
        <v>1</v>
      </c>
      <c r="W533" s="12">
        <v>0</v>
      </c>
      <c r="X533" s="12">
        <v>1</v>
      </c>
      <c r="Y533" s="12">
        <v>0</v>
      </c>
      <c r="Z533" s="12" t="s">
        <v>614</v>
      </c>
    </row>
    <row r="534" spans="1:26" s="12" customFormat="1" ht="17.25" customHeight="1" x14ac:dyDescent="0.15">
      <c r="A534" s="12">
        <v>2018</v>
      </c>
      <c r="B534" s="12" t="s">
        <v>601</v>
      </c>
      <c r="C534" s="12">
        <f t="shared" si="68"/>
        <v>5</v>
      </c>
      <c r="D534" s="12">
        <v>1</v>
      </c>
      <c r="F534" s="12">
        <v>0</v>
      </c>
      <c r="G534" s="13">
        <v>1</v>
      </c>
      <c r="H534" s="13">
        <v>0</v>
      </c>
      <c r="I534" s="13">
        <v>1</v>
      </c>
      <c r="J534" s="13">
        <v>0</v>
      </c>
      <c r="K534" s="13">
        <v>0</v>
      </c>
      <c r="L534" s="12">
        <v>0</v>
      </c>
      <c r="M534" s="12">
        <f t="shared" si="69"/>
        <v>0</v>
      </c>
      <c r="N534" s="13">
        <v>0</v>
      </c>
      <c r="O534" s="13">
        <v>0</v>
      </c>
      <c r="P534" s="13">
        <v>0</v>
      </c>
      <c r="Q534" s="13">
        <v>0</v>
      </c>
      <c r="R534" s="13">
        <v>0</v>
      </c>
      <c r="S534" s="13">
        <v>0</v>
      </c>
      <c r="T534" s="12">
        <v>1</v>
      </c>
      <c r="U534" s="12">
        <v>0</v>
      </c>
      <c r="V534" s="12">
        <v>1</v>
      </c>
      <c r="W534" s="12">
        <v>0</v>
      </c>
      <c r="X534" s="12">
        <v>1</v>
      </c>
      <c r="Y534" s="12">
        <v>0</v>
      </c>
      <c r="Z534" s="12" t="s">
        <v>615</v>
      </c>
    </row>
    <row r="535" spans="1:26" s="12" customFormat="1" ht="17.25" customHeight="1" x14ac:dyDescent="0.15">
      <c r="A535" s="12">
        <v>2019</v>
      </c>
      <c r="B535" s="12" t="s">
        <v>602</v>
      </c>
      <c r="C535" s="12">
        <f t="shared" si="68"/>
        <v>5</v>
      </c>
      <c r="D535" s="12">
        <v>1</v>
      </c>
      <c r="F535" s="12">
        <v>0</v>
      </c>
      <c r="G535" s="13">
        <v>1</v>
      </c>
      <c r="H535" s="13">
        <v>0</v>
      </c>
      <c r="I535" s="13">
        <v>1</v>
      </c>
      <c r="J535" s="13">
        <v>0</v>
      </c>
      <c r="K535" s="13">
        <v>0</v>
      </c>
      <c r="L535" s="12">
        <v>0</v>
      </c>
      <c r="M535" s="12">
        <f t="shared" si="69"/>
        <v>0</v>
      </c>
      <c r="N535" s="13">
        <v>0</v>
      </c>
      <c r="O535" s="13">
        <v>0</v>
      </c>
      <c r="P535" s="13">
        <v>0</v>
      </c>
      <c r="Q535" s="13">
        <v>0</v>
      </c>
      <c r="R535" s="13">
        <v>0</v>
      </c>
      <c r="S535" s="13">
        <v>0</v>
      </c>
      <c r="T535" s="12">
        <v>1</v>
      </c>
      <c r="U535" s="12">
        <v>0</v>
      </c>
      <c r="V535" s="12">
        <v>1</v>
      </c>
      <c r="W535" s="12">
        <v>0</v>
      </c>
      <c r="X535" s="12">
        <v>1</v>
      </c>
      <c r="Y535" s="12">
        <v>0</v>
      </c>
      <c r="Z535" s="12" t="s">
        <v>616</v>
      </c>
    </row>
    <row r="536" spans="1:26" s="12" customFormat="1" ht="17.25" customHeight="1" x14ac:dyDescent="0.15">
      <c r="A536" s="12">
        <v>2020</v>
      </c>
      <c r="B536" s="12" t="s">
        <v>603</v>
      </c>
      <c r="C536" s="12">
        <f t="shared" si="68"/>
        <v>5</v>
      </c>
      <c r="D536" s="12">
        <v>1</v>
      </c>
      <c r="F536" s="12">
        <v>0</v>
      </c>
      <c r="G536" s="13">
        <v>1</v>
      </c>
      <c r="H536" s="13">
        <v>0</v>
      </c>
      <c r="I536" s="13">
        <v>1</v>
      </c>
      <c r="J536" s="13">
        <v>0</v>
      </c>
      <c r="K536" s="13">
        <v>0</v>
      </c>
      <c r="L536" s="12">
        <v>0</v>
      </c>
      <c r="M536" s="12">
        <f t="shared" si="69"/>
        <v>0</v>
      </c>
      <c r="N536" s="13">
        <v>0</v>
      </c>
      <c r="O536" s="13">
        <v>0</v>
      </c>
      <c r="P536" s="13">
        <v>0</v>
      </c>
      <c r="Q536" s="13">
        <v>0</v>
      </c>
      <c r="R536" s="13">
        <v>0</v>
      </c>
      <c r="S536" s="13">
        <v>0</v>
      </c>
      <c r="T536" s="12">
        <v>1</v>
      </c>
      <c r="U536" s="12">
        <v>0</v>
      </c>
      <c r="V536" s="12">
        <v>1</v>
      </c>
      <c r="W536" s="12">
        <v>0</v>
      </c>
      <c r="X536" s="12">
        <v>1</v>
      </c>
      <c r="Y536" s="12">
        <v>0</v>
      </c>
      <c r="Z536" s="12" t="s">
        <v>617</v>
      </c>
    </row>
    <row r="537" spans="1:26" s="12" customFormat="1" ht="17.25" customHeight="1" x14ac:dyDescent="0.15">
      <c r="A537" s="12">
        <v>2021</v>
      </c>
      <c r="B537" s="12" t="s">
        <v>604</v>
      </c>
      <c r="C537" s="12">
        <f t="shared" si="68"/>
        <v>5</v>
      </c>
      <c r="D537" s="12">
        <v>1</v>
      </c>
      <c r="F537" s="12">
        <v>0</v>
      </c>
      <c r="G537" s="13">
        <v>1</v>
      </c>
      <c r="H537" s="13">
        <v>0</v>
      </c>
      <c r="I537" s="13">
        <v>1</v>
      </c>
      <c r="J537" s="13">
        <v>0</v>
      </c>
      <c r="K537" s="13">
        <v>0</v>
      </c>
      <c r="L537" s="12">
        <v>0</v>
      </c>
      <c r="M537" s="12">
        <f t="shared" si="69"/>
        <v>0</v>
      </c>
      <c r="N537" s="13">
        <v>0</v>
      </c>
      <c r="O537" s="13">
        <v>0</v>
      </c>
      <c r="P537" s="13">
        <v>0</v>
      </c>
      <c r="Q537" s="13">
        <v>0</v>
      </c>
      <c r="R537" s="13">
        <v>0</v>
      </c>
      <c r="S537" s="13">
        <v>0</v>
      </c>
      <c r="T537" s="12">
        <v>1</v>
      </c>
      <c r="U537" s="12">
        <v>0</v>
      </c>
      <c r="V537" s="12">
        <v>1</v>
      </c>
      <c r="W537" s="12">
        <v>0</v>
      </c>
      <c r="X537" s="12">
        <v>1</v>
      </c>
      <c r="Y537" s="12">
        <v>0</v>
      </c>
      <c r="Z537" s="12" t="s">
        <v>618</v>
      </c>
    </row>
    <row r="538" spans="1:26" s="12" customFormat="1" ht="17.25" customHeight="1" x14ac:dyDescent="0.15">
      <c r="A538" s="12">
        <v>2022</v>
      </c>
      <c r="B538" s="12" t="s">
        <v>605</v>
      </c>
      <c r="C538" s="12">
        <f t="shared" si="68"/>
        <v>5</v>
      </c>
      <c r="D538" s="12">
        <v>1</v>
      </c>
      <c r="F538" s="12">
        <v>0</v>
      </c>
      <c r="G538" s="13">
        <v>1</v>
      </c>
      <c r="H538" s="13">
        <v>0</v>
      </c>
      <c r="I538" s="13">
        <v>1</v>
      </c>
      <c r="J538" s="13">
        <v>0</v>
      </c>
      <c r="K538" s="13">
        <v>0</v>
      </c>
      <c r="L538" s="12">
        <v>0</v>
      </c>
      <c r="M538" s="12">
        <f t="shared" si="69"/>
        <v>0</v>
      </c>
      <c r="N538" s="13">
        <v>0</v>
      </c>
      <c r="O538" s="13">
        <v>0</v>
      </c>
      <c r="P538" s="13">
        <v>0</v>
      </c>
      <c r="Q538" s="13">
        <v>0</v>
      </c>
      <c r="R538" s="13">
        <v>0</v>
      </c>
      <c r="S538" s="13">
        <v>0</v>
      </c>
      <c r="T538" s="12">
        <v>1</v>
      </c>
      <c r="U538" s="12">
        <v>0</v>
      </c>
      <c r="V538" s="12">
        <v>1</v>
      </c>
      <c r="W538" s="12">
        <v>0</v>
      </c>
      <c r="X538" s="12">
        <v>1</v>
      </c>
      <c r="Y538" s="12">
        <v>0</v>
      </c>
      <c r="Z538" s="12" t="s">
        <v>619</v>
      </c>
    </row>
    <row r="539" spans="1:26" s="12" customFormat="1" ht="17.25" customHeight="1" x14ac:dyDescent="0.15">
      <c r="A539" s="12">
        <v>2023</v>
      </c>
      <c r="B539" s="12" t="s">
        <v>606</v>
      </c>
      <c r="C539" s="12">
        <f t="shared" si="68"/>
        <v>5</v>
      </c>
      <c r="D539" s="12">
        <v>1</v>
      </c>
      <c r="F539" s="12">
        <v>0</v>
      </c>
      <c r="G539" s="13">
        <v>1</v>
      </c>
      <c r="H539" s="13">
        <v>0</v>
      </c>
      <c r="I539" s="13">
        <v>1</v>
      </c>
      <c r="J539" s="13">
        <v>0</v>
      </c>
      <c r="K539" s="13">
        <v>0</v>
      </c>
      <c r="L539" s="12">
        <v>0</v>
      </c>
      <c r="M539" s="12">
        <f t="shared" si="69"/>
        <v>0</v>
      </c>
      <c r="N539" s="13">
        <v>0</v>
      </c>
      <c r="O539" s="13">
        <v>0</v>
      </c>
      <c r="P539" s="13">
        <v>0</v>
      </c>
      <c r="Q539" s="13">
        <v>0</v>
      </c>
      <c r="R539" s="13">
        <v>0</v>
      </c>
      <c r="S539" s="13">
        <v>0</v>
      </c>
      <c r="T539" s="12">
        <v>1</v>
      </c>
      <c r="U539" s="12">
        <v>0</v>
      </c>
      <c r="V539" s="12">
        <v>1</v>
      </c>
      <c r="W539" s="12">
        <v>0</v>
      </c>
      <c r="X539" s="12">
        <v>1</v>
      </c>
      <c r="Y539" s="12">
        <v>0</v>
      </c>
      <c r="Z539" s="12" t="s">
        <v>620</v>
      </c>
    </row>
    <row r="540" spans="1:26" s="12" customFormat="1" ht="17.25" customHeight="1" x14ac:dyDescent="0.15">
      <c r="A540" s="12">
        <v>2024</v>
      </c>
      <c r="B540" s="12" t="s">
        <v>484</v>
      </c>
      <c r="C540" s="12">
        <f t="shared" si="68"/>
        <v>5</v>
      </c>
      <c r="D540" s="12">
        <v>1</v>
      </c>
      <c r="F540" s="12">
        <v>0</v>
      </c>
      <c r="G540" s="13">
        <v>1</v>
      </c>
      <c r="H540" s="13">
        <v>0</v>
      </c>
      <c r="I540" s="13">
        <v>1</v>
      </c>
      <c r="J540" s="13">
        <v>0</v>
      </c>
      <c r="K540" s="13">
        <v>0</v>
      </c>
      <c r="L540" s="12">
        <v>0</v>
      </c>
      <c r="M540" s="12">
        <f t="shared" si="69"/>
        <v>0</v>
      </c>
      <c r="N540" s="13">
        <v>0</v>
      </c>
      <c r="O540" s="13">
        <v>0</v>
      </c>
      <c r="P540" s="13">
        <v>0</v>
      </c>
      <c r="Q540" s="13">
        <v>0</v>
      </c>
      <c r="R540" s="13">
        <v>0</v>
      </c>
      <c r="S540" s="13">
        <v>0</v>
      </c>
      <c r="T540" s="12">
        <v>1</v>
      </c>
      <c r="U540" s="12">
        <v>0</v>
      </c>
      <c r="V540" s="12">
        <v>1</v>
      </c>
      <c r="W540" s="12">
        <v>0</v>
      </c>
      <c r="X540" s="12">
        <v>1</v>
      </c>
      <c r="Y540" s="12">
        <v>0</v>
      </c>
      <c r="Z540" s="12" t="s">
        <v>621</v>
      </c>
    </row>
    <row r="541" spans="1:26" s="53" customFormat="1" ht="15" customHeight="1" x14ac:dyDescent="0.15">
      <c r="A541" s="53">
        <v>3000</v>
      </c>
      <c r="B541" s="53" t="s">
        <v>1314</v>
      </c>
      <c r="C541" s="53">
        <f>G541+H541*2+I541*4+J541*8+K541*16</f>
        <v>1</v>
      </c>
      <c r="D541" s="53">
        <v>1</v>
      </c>
      <c r="E541" s="53">
        <v>1</v>
      </c>
      <c r="F541" s="53">
        <v>0</v>
      </c>
      <c r="G541" s="54">
        <v>1</v>
      </c>
      <c r="H541" s="54">
        <v>0</v>
      </c>
      <c r="I541" s="54">
        <v>0</v>
      </c>
      <c r="J541" s="54">
        <v>0</v>
      </c>
      <c r="K541" s="54">
        <v>0</v>
      </c>
      <c r="L541" s="53">
        <v>1</v>
      </c>
      <c r="M541" s="12">
        <v>64</v>
      </c>
      <c r="N541" s="54">
        <v>0</v>
      </c>
      <c r="O541" s="54">
        <v>0</v>
      </c>
      <c r="P541" s="54">
        <v>0</v>
      </c>
      <c r="Q541" s="54">
        <v>0</v>
      </c>
      <c r="R541" s="54">
        <v>0</v>
      </c>
      <c r="S541" s="54">
        <v>0</v>
      </c>
      <c r="T541" s="53">
        <v>1</v>
      </c>
      <c r="U541" s="53">
        <v>1</v>
      </c>
      <c r="V541" s="53">
        <v>1</v>
      </c>
      <c r="W541" s="53">
        <v>0</v>
      </c>
      <c r="X541" s="53">
        <v>0</v>
      </c>
      <c r="Y541" s="53">
        <v>0</v>
      </c>
      <c r="Z541" s="53" t="s">
        <v>751</v>
      </c>
    </row>
    <row r="542" spans="1:26" s="53" customFormat="1" ht="15" customHeight="1" x14ac:dyDescent="0.15">
      <c r="A542" s="53">
        <v>3001</v>
      </c>
      <c r="B542" s="53" t="s">
        <v>1315</v>
      </c>
      <c r="C542" s="53">
        <f t="shared" ref="C542:C544" si="70">G542+H542*2+I542*4+J542*8+K542*16</f>
        <v>1</v>
      </c>
      <c r="D542" s="53">
        <v>1</v>
      </c>
      <c r="E542" s="53">
        <v>2</v>
      </c>
      <c r="F542" s="53">
        <v>0</v>
      </c>
      <c r="G542" s="54">
        <v>1</v>
      </c>
      <c r="H542" s="54">
        <v>0</v>
      </c>
      <c r="I542" s="54">
        <v>0</v>
      </c>
      <c r="J542" s="54">
        <v>0</v>
      </c>
      <c r="K542" s="54">
        <v>0</v>
      </c>
      <c r="L542" s="53">
        <v>1</v>
      </c>
      <c r="M542" s="12">
        <v>64</v>
      </c>
      <c r="N542" s="54">
        <v>0</v>
      </c>
      <c r="O542" s="54">
        <v>0</v>
      </c>
      <c r="P542" s="54">
        <v>0</v>
      </c>
      <c r="Q542" s="54">
        <v>0</v>
      </c>
      <c r="R542" s="54">
        <v>0</v>
      </c>
      <c r="S542" s="54">
        <v>0</v>
      </c>
      <c r="T542" s="53">
        <v>1</v>
      </c>
      <c r="U542" s="53">
        <v>1</v>
      </c>
      <c r="V542" s="53">
        <v>1</v>
      </c>
      <c r="W542" s="53">
        <v>0</v>
      </c>
      <c r="X542" s="53">
        <v>0</v>
      </c>
      <c r="Y542" s="53">
        <v>0</v>
      </c>
      <c r="Z542" s="53" t="s">
        <v>751</v>
      </c>
    </row>
    <row r="543" spans="1:26" s="53" customFormat="1" ht="15" customHeight="1" x14ac:dyDescent="0.15">
      <c r="A543" s="53">
        <v>3002</v>
      </c>
      <c r="B543" s="53" t="s">
        <v>1316</v>
      </c>
      <c r="C543" s="53">
        <f t="shared" si="70"/>
        <v>1</v>
      </c>
      <c r="D543" s="53">
        <v>1</v>
      </c>
      <c r="E543" s="53">
        <v>3</v>
      </c>
      <c r="F543" s="53">
        <v>0</v>
      </c>
      <c r="G543" s="54">
        <v>1</v>
      </c>
      <c r="H543" s="54">
        <v>0</v>
      </c>
      <c r="I543" s="54">
        <v>0</v>
      </c>
      <c r="J543" s="54">
        <v>0</v>
      </c>
      <c r="K543" s="54">
        <v>0</v>
      </c>
      <c r="L543" s="53">
        <v>1</v>
      </c>
      <c r="M543" s="12">
        <v>64</v>
      </c>
      <c r="N543" s="54">
        <v>0</v>
      </c>
      <c r="O543" s="54">
        <v>0</v>
      </c>
      <c r="P543" s="54">
        <v>0</v>
      </c>
      <c r="Q543" s="54">
        <v>0</v>
      </c>
      <c r="R543" s="54">
        <v>0</v>
      </c>
      <c r="S543" s="54">
        <v>0</v>
      </c>
      <c r="T543" s="53">
        <v>1</v>
      </c>
      <c r="U543" s="53">
        <v>1</v>
      </c>
      <c r="V543" s="53">
        <v>1</v>
      </c>
      <c r="W543" s="53">
        <v>0</v>
      </c>
      <c r="X543" s="53">
        <v>0</v>
      </c>
      <c r="Y543" s="53">
        <v>0</v>
      </c>
      <c r="Z543" s="53" t="s">
        <v>751</v>
      </c>
    </row>
    <row r="544" spans="1:26" s="53" customFormat="1" ht="15" customHeight="1" x14ac:dyDescent="0.15">
      <c r="A544" s="53">
        <v>3003</v>
      </c>
      <c r="B544" s="53" t="s">
        <v>1317</v>
      </c>
      <c r="C544" s="53">
        <f t="shared" si="70"/>
        <v>1</v>
      </c>
      <c r="D544" s="53">
        <v>1</v>
      </c>
      <c r="E544" s="53">
        <v>4</v>
      </c>
      <c r="F544" s="53">
        <v>0</v>
      </c>
      <c r="G544" s="54">
        <v>1</v>
      </c>
      <c r="H544" s="54">
        <v>0</v>
      </c>
      <c r="I544" s="54">
        <v>0</v>
      </c>
      <c r="J544" s="54">
        <v>0</v>
      </c>
      <c r="K544" s="54">
        <v>0</v>
      </c>
      <c r="L544" s="53">
        <v>1</v>
      </c>
      <c r="M544" s="12">
        <v>64</v>
      </c>
      <c r="N544" s="54">
        <v>0</v>
      </c>
      <c r="O544" s="54">
        <v>0</v>
      </c>
      <c r="P544" s="54">
        <v>0</v>
      </c>
      <c r="Q544" s="54">
        <v>0</v>
      </c>
      <c r="R544" s="54">
        <v>0</v>
      </c>
      <c r="S544" s="54">
        <v>0</v>
      </c>
      <c r="T544" s="53">
        <v>1</v>
      </c>
      <c r="U544" s="53">
        <v>1</v>
      </c>
      <c r="V544" s="53">
        <v>1</v>
      </c>
      <c r="W544" s="53">
        <v>0</v>
      </c>
      <c r="X544" s="53">
        <v>0</v>
      </c>
      <c r="Y544" s="53">
        <v>0</v>
      </c>
      <c r="Z544" s="53" t="s">
        <v>751</v>
      </c>
    </row>
    <row r="545" spans="1:26" s="53" customFormat="1" ht="15" customHeight="1" x14ac:dyDescent="0.15">
      <c r="A545" s="53">
        <v>3004</v>
      </c>
      <c r="B545" s="53" t="s">
        <v>1318</v>
      </c>
      <c r="C545" s="53">
        <f t="shared" ref="C545" si="71">G545+H545*2+I545*4+J545*8+K545*16</f>
        <v>1</v>
      </c>
      <c r="D545" s="53">
        <v>1</v>
      </c>
      <c r="E545" s="53">
        <v>5</v>
      </c>
      <c r="F545" s="53">
        <v>0</v>
      </c>
      <c r="G545" s="54">
        <v>1</v>
      </c>
      <c r="H545" s="54">
        <v>0</v>
      </c>
      <c r="I545" s="54">
        <v>0</v>
      </c>
      <c r="J545" s="54">
        <v>0</v>
      </c>
      <c r="K545" s="54">
        <v>0</v>
      </c>
      <c r="L545" s="53">
        <v>1</v>
      </c>
      <c r="M545" s="12">
        <v>64</v>
      </c>
      <c r="N545" s="54">
        <v>0</v>
      </c>
      <c r="O545" s="54">
        <v>0</v>
      </c>
      <c r="P545" s="54">
        <v>0</v>
      </c>
      <c r="Q545" s="54">
        <v>0</v>
      </c>
      <c r="R545" s="54">
        <v>0</v>
      </c>
      <c r="S545" s="54">
        <v>0</v>
      </c>
      <c r="T545" s="53">
        <v>1</v>
      </c>
      <c r="U545" s="53">
        <v>1</v>
      </c>
      <c r="V545" s="53">
        <v>1</v>
      </c>
      <c r="W545" s="53">
        <v>0</v>
      </c>
      <c r="X545" s="53">
        <v>0</v>
      </c>
      <c r="Y545" s="53">
        <v>0</v>
      </c>
      <c r="Z545" s="53" t="s">
        <v>751</v>
      </c>
    </row>
    <row r="546" spans="1:26" s="53" customFormat="1" ht="15" customHeight="1" x14ac:dyDescent="0.15">
      <c r="A546" s="53">
        <v>3005</v>
      </c>
      <c r="B546" s="53" t="s">
        <v>1319</v>
      </c>
      <c r="C546" s="53">
        <f t="shared" ref="C546:C559" si="72">G546+H546*2+I546*4+J546*8+K546*16</f>
        <v>1</v>
      </c>
      <c r="D546" s="53">
        <v>1</v>
      </c>
      <c r="E546" s="53">
        <v>6</v>
      </c>
      <c r="F546" s="53">
        <v>0</v>
      </c>
      <c r="G546" s="54">
        <v>1</v>
      </c>
      <c r="H546" s="54">
        <v>0</v>
      </c>
      <c r="I546" s="54">
        <v>0</v>
      </c>
      <c r="J546" s="54">
        <v>0</v>
      </c>
      <c r="K546" s="54">
        <v>0</v>
      </c>
      <c r="L546" s="53">
        <v>1</v>
      </c>
      <c r="M546" s="12">
        <v>64</v>
      </c>
      <c r="N546" s="54">
        <v>0</v>
      </c>
      <c r="O546" s="54">
        <v>0</v>
      </c>
      <c r="P546" s="54">
        <v>0</v>
      </c>
      <c r="Q546" s="54">
        <v>0</v>
      </c>
      <c r="R546" s="54">
        <v>0</v>
      </c>
      <c r="S546" s="54">
        <v>0</v>
      </c>
      <c r="T546" s="53">
        <v>1</v>
      </c>
      <c r="U546" s="53">
        <v>1</v>
      </c>
      <c r="V546" s="53">
        <v>1</v>
      </c>
      <c r="W546" s="53">
        <v>0</v>
      </c>
      <c r="X546" s="53">
        <v>0</v>
      </c>
      <c r="Y546" s="53">
        <v>0</v>
      </c>
      <c r="Z546" s="53" t="s">
        <v>751</v>
      </c>
    </row>
    <row r="547" spans="1:26" s="53" customFormat="1" ht="15" customHeight="1" x14ac:dyDescent="0.15">
      <c r="A547" s="53">
        <v>3006</v>
      </c>
      <c r="B547" s="53" t="s">
        <v>1320</v>
      </c>
      <c r="C547" s="53">
        <f t="shared" si="72"/>
        <v>1</v>
      </c>
      <c r="D547" s="53">
        <v>1</v>
      </c>
      <c r="E547" s="53">
        <v>7</v>
      </c>
      <c r="F547" s="53">
        <v>0</v>
      </c>
      <c r="G547" s="54">
        <v>1</v>
      </c>
      <c r="H547" s="54">
        <v>0</v>
      </c>
      <c r="I547" s="54">
        <v>0</v>
      </c>
      <c r="J547" s="54">
        <v>0</v>
      </c>
      <c r="K547" s="54">
        <v>0</v>
      </c>
      <c r="L547" s="53">
        <v>1</v>
      </c>
      <c r="M547" s="12">
        <v>64</v>
      </c>
      <c r="N547" s="54">
        <v>0</v>
      </c>
      <c r="O547" s="54">
        <v>0</v>
      </c>
      <c r="P547" s="54">
        <v>0</v>
      </c>
      <c r="Q547" s="54">
        <v>0</v>
      </c>
      <c r="R547" s="54">
        <v>0</v>
      </c>
      <c r="S547" s="54">
        <v>0</v>
      </c>
      <c r="T547" s="53">
        <v>1</v>
      </c>
      <c r="U547" s="53">
        <v>1</v>
      </c>
      <c r="V547" s="53">
        <v>1</v>
      </c>
      <c r="W547" s="53">
        <v>0</v>
      </c>
      <c r="X547" s="53">
        <v>0</v>
      </c>
      <c r="Y547" s="53">
        <v>0</v>
      </c>
      <c r="Z547" s="53" t="s">
        <v>751</v>
      </c>
    </row>
    <row r="548" spans="1:26" s="53" customFormat="1" ht="15" customHeight="1" x14ac:dyDescent="0.15">
      <c r="A548" s="53">
        <v>3007</v>
      </c>
      <c r="B548" s="53" t="s">
        <v>1321</v>
      </c>
      <c r="C548" s="53">
        <f t="shared" si="72"/>
        <v>1</v>
      </c>
      <c r="D548" s="53">
        <v>1</v>
      </c>
      <c r="E548" s="53">
        <v>8</v>
      </c>
      <c r="F548" s="53">
        <v>0</v>
      </c>
      <c r="G548" s="54">
        <v>1</v>
      </c>
      <c r="H548" s="54">
        <v>0</v>
      </c>
      <c r="I548" s="54">
        <v>0</v>
      </c>
      <c r="J548" s="54">
        <v>0</v>
      </c>
      <c r="K548" s="54">
        <v>0</v>
      </c>
      <c r="L548" s="53">
        <v>1</v>
      </c>
      <c r="M548" s="12">
        <v>64</v>
      </c>
      <c r="N548" s="54">
        <v>0</v>
      </c>
      <c r="O548" s="54">
        <v>0</v>
      </c>
      <c r="P548" s="54">
        <v>0</v>
      </c>
      <c r="Q548" s="54">
        <v>0</v>
      </c>
      <c r="R548" s="54">
        <v>0</v>
      </c>
      <c r="S548" s="54">
        <v>0</v>
      </c>
      <c r="T548" s="53">
        <v>1</v>
      </c>
      <c r="U548" s="53">
        <v>1</v>
      </c>
      <c r="V548" s="53">
        <v>1</v>
      </c>
      <c r="W548" s="53">
        <v>0</v>
      </c>
      <c r="X548" s="53">
        <v>0</v>
      </c>
      <c r="Y548" s="53">
        <v>0</v>
      </c>
      <c r="Z548" s="53" t="s">
        <v>751</v>
      </c>
    </row>
    <row r="549" spans="1:26" s="53" customFormat="1" ht="15" customHeight="1" x14ac:dyDescent="0.15">
      <c r="A549" s="53">
        <v>3008</v>
      </c>
      <c r="B549" s="53" t="s">
        <v>1322</v>
      </c>
      <c r="C549" s="53">
        <f t="shared" si="72"/>
        <v>1</v>
      </c>
      <c r="D549" s="53">
        <v>1</v>
      </c>
      <c r="E549" s="53">
        <v>9</v>
      </c>
      <c r="F549" s="53">
        <v>0</v>
      </c>
      <c r="G549" s="54">
        <v>1</v>
      </c>
      <c r="H549" s="54">
        <v>0</v>
      </c>
      <c r="I549" s="54">
        <v>0</v>
      </c>
      <c r="J549" s="54">
        <v>0</v>
      </c>
      <c r="K549" s="54">
        <v>0</v>
      </c>
      <c r="L549" s="53">
        <v>1</v>
      </c>
      <c r="M549" s="12">
        <v>64</v>
      </c>
      <c r="N549" s="54">
        <v>0</v>
      </c>
      <c r="O549" s="54">
        <v>0</v>
      </c>
      <c r="P549" s="54">
        <v>0</v>
      </c>
      <c r="Q549" s="54">
        <v>0</v>
      </c>
      <c r="R549" s="54">
        <v>0</v>
      </c>
      <c r="S549" s="54">
        <v>0</v>
      </c>
      <c r="T549" s="53">
        <v>1</v>
      </c>
      <c r="U549" s="53">
        <v>1</v>
      </c>
      <c r="V549" s="53">
        <v>1</v>
      </c>
      <c r="W549" s="53">
        <v>0</v>
      </c>
      <c r="X549" s="53">
        <v>0</v>
      </c>
      <c r="Y549" s="53">
        <v>0</v>
      </c>
      <c r="Z549" s="53" t="s">
        <v>751</v>
      </c>
    </row>
    <row r="550" spans="1:26" s="53" customFormat="1" ht="15" customHeight="1" x14ac:dyDescent="0.15">
      <c r="A550" s="53">
        <v>3009</v>
      </c>
      <c r="B550" s="53" t="s">
        <v>1323</v>
      </c>
      <c r="C550" s="53">
        <f t="shared" si="72"/>
        <v>1</v>
      </c>
      <c r="D550" s="53">
        <v>1</v>
      </c>
      <c r="E550" s="53">
        <v>10</v>
      </c>
      <c r="F550" s="53">
        <v>0</v>
      </c>
      <c r="G550" s="54">
        <v>1</v>
      </c>
      <c r="H550" s="54">
        <v>0</v>
      </c>
      <c r="I550" s="54">
        <v>0</v>
      </c>
      <c r="J550" s="54">
        <v>0</v>
      </c>
      <c r="K550" s="54">
        <v>0</v>
      </c>
      <c r="L550" s="53">
        <v>1</v>
      </c>
      <c r="M550" s="12">
        <v>64</v>
      </c>
      <c r="N550" s="54">
        <v>0</v>
      </c>
      <c r="O550" s="54">
        <v>0</v>
      </c>
      <c r="P550" s="54">
        <v>0</v>
      </c>
      <c r="Q550" s="54">
        <v>0</v>
      </c>
      <c r="R550" s="54">
        <v>0</v>
      </c>
      <c r="S550" s="54">
        <v>0</v>
      </c>
      <c r="T550" s="53">
        <v>1</v>
      </c>
      <c r="U550" s="53">
        <v>1</v>
      </c>
      <c r="V550" s="53">
        <v>1</v>
      </c>
      <c r="W550" s="53">
        <v>0</v>
      </c>
      <c r="X550" s="53">
        <v>0</v>
      </c>
      <c r="Y550" s="53">
        <v>0</v>
      </c>
      <c r="Z550" s="53" t="s">
        <v>751</v>
      </c>
    </row>
    <row r="551" spans="1:26" s="53" customFormat="1" ht="15" customHeight="1" x14ac:dyDescent="0.15">
      <c r="A551" s="53">
        <v>3010</v>
      </c>
      <c r="B551" s="53" t="s">
        <v>1324</v>
      </c>
      <c r="C551" s="53">
        <f t="shared" si="72"/>
        <v>1</v>
      </c>
      <c r="D551" s="53">
        <v>1</v>
      </c>
      <c r="E551" s="53">
        <v>11</v>
      </c>
      <c r="F551" s="53">
        <v>0</v>
      </c>
      <c r="G551" s="54">
        <v>1</v>
      </c>
      <c r="H551" s="54">
        <v>0</v>
      </c>
      <c r="I551" s="54">
        <v>0</v>
      </c>
      <c r="J551" s="54">
        <v>0</v>
      </c>
      <c r="K551" s="54">
        <v>0</v>
      </c>
      <c r="L551" s="53">
        <v>1</v>
      </c>
      <c r="M551" s="12">
        <v>64</v>
      </c>
      <c r="N551" s="54">
        <v>0</v>
      </c>
      <c r="O551" s="54">
        <v>0</v>
      </c>
      <c r="P551" s="54">
        <v>0</v>
      </c>
      <c r="Q551" s="54">
        <v>0</v>
      </c>
      <c r="R551" s="54">
        <v>0</v>
      </c>
      <c r="S551" s="54">
        <v>0</v>
      </c>
      <c r="T551" s="53">
        <v>1</v>
      </c>
      <c r="U551" s="53">
        <v>1</v>
      </c>
      <c r="V551" s="53">
        <v>1</v>
      </c>
      <c r="W551" s="53">
        <v>0</v>
      </c>
      <c r="X551" s="53">
        <v>0</v>
      </c>
      <c r="Y551" s="53">
        <v>0</v>
      </c>
      <c r="Z551" s="53" t="s">
        <v>751</v>
      </c>
    </row>
    <row r="552" spans="1:26" s="53" customFormat="1" ht="15" customHeight="1" x14ac:dyDescent="0.15">
      <c r="A552" s="53">
        <v>3011</v>
      </c>
      <c r="B552" s="53" t="s">
        <v>1577</v>
      </c>
      <c r="C552" s="53">
        <f t="shared" si="72"/>
        <v>1</v>
      </c>
      <c r="D552" s="53">
        <v>1</v>
      </c>
      <c r="E552" s="53">
        <v>40</v>
      </c>
      <c r="F552" s="53">
        <v>0</v>
      </c>
      <c r="G552" s="54">
        <v>1</v>
      </c>
      <c r="H552" s="54">
        <v>0</v>
      </c>
      <c r="I552" s="54">
        <v>0</v>
      </c>
      <c r="J552" s="54">
        <v>0</v>
      </c>
      <c r="K552" s="54">
        <v>0</v>
      </c>
      <c r="L552" s="53">
        <v>1</v>
      </c>
      <c r="M552" s="12">
        <v>64</v>
      </c>
      <c r="N552" s="54">
        <v>0</v>
      </c>
      <c r="O552" s="54">
        <v>0</v>
      </c>
      <c r="P552" s="54">
        <v>0</v>
      </c>
      <c r="Q552" s="54">
        <v>0</v>
      </c>
      <c r="R552" s="54">
        <v>0</v>
      </c>
      <c r="S552" s="54">
        <v>0</v>
      </c>
      <c r="T552" s="53">
        <v>1</v>
      </c>
      <c r="U552" s="53">
        <v>1</v>
      </c>
      <c r="V552" s="53">
        <v>1</v>
      </c>
      <c r="W552" s="53">
        <v>0</v>
      </c>
      <c r="X552" s="53">
        <v>0</v>
      </c>
      <c r="Y552" s="53">
        <v>0</v>
      </c>
      <c r="Z552" s="53" t="s">
        <v>751</v>
      </c>
    </row>
    <row r="553" spans="1:26" s="53" customFormat="1" ht="15" customHeight="1" x14ac:dyDescent="0.15">
      <c r="A553" s="53">
        <v>3012</v>
      </c>
      <c r="B553" s="53" t="s">
        <v>1578</v>
      </c>
      <c r="C553" s="53">
        <f t="shared" si="72"/>
        <v>1</v>
      </c>
      <c r="D553" s="53">
        <v>1</v>
      </c>
      <c r="E553" s="53">
        <v>43</v>
      </c>
      <c r="F553" s="53">
        <v>0</v>
      </c>
      <c r="G553" s="54">
        <v>1</v>
      </c>
      <c r="H553" s="54">
        <v>0</v>
      </c>
      <c r="I553" s="54">
        <v>0</v>
      </c>
      <c r="J553" s="54">
        <v>0</v>
      </c>
      <c r="K553" s="54">
        <v>0</v>
      </c>
      <c r="L553" s="53">
        <v>1</v>
      </c>
      <c r="M553" s="12">
        <v>64</v>
      </c>
      <c r="N553" s="54">
        <v>0</v>
      </c>
      <c r="O553" s="54">
        <v>0</v>
      </c>
      <c r="P553" s="54">
        <v>0</v>
      </c>
      <c r="Q553" s="54">
        <v>0</v>
      </c>
      <c r="R553" s="54">
        <v>0</v>
      </c>
      <c r="S553" s="54">
        <v>0</v>
      </c>
      <c r="T553" s="53">
        <v>1</v>
      </c>
      <c r="U553" s="53">
        <v>1</v>
      </c>
      <c r="V553" s="53">
        <v>1</v>
      </c>
      <c r="W553" s="53">
        <v>0</v>
      </c>
      <c r="X553" s="53">
        <v>0</v>
      </c>
      <c r="Y553" s="53">
        <v>0</v>
      </c>
      <c r="Z553" s="53" t="s">
        <v>751</v>
      </c>
    </row>
    <row r="554" spans="1:26" s="53" customFormat="1" ht="15" customHeight="1" x14ac:dyDescent="0.15">
      <c r="A554" s="53">
        <v>3013</v>
      </c>
      <c r="B554" s="53" t="s">
        <v>1576</v>
      </c>
      <c r="C554" s="53">
        <f t="shared" si="72"/>
        <v>1</v>
      </c>
      <c r="D554" s="53">
        <v>1</v>
      </c>
      <c r="E554" s="53">
        <v>41</v>
      </c>
      <c r="F554" s="53">
        <v>0</v>
      </c>
      <c r="G554" s="54">
        <v>1</v>
      </c>
      <c r="H554" s="54">
        <v>0</v>
      </c>
      <c r="I554" s="54">
        <v>0</v>
      </c>
      <c r="J554" s="54">
        <v>0</v>
      </c>
      <c r="K554" s="54">
        <v>0</v>
      </c>
      <c r="L554" s="53">
        <v>1</v>
      </c>
      <c r="M554" s="12">
        <v>64</v>
      </c>
      <c r="N554" s="54">
        <v>0</v>
      </c>
      <c r="O554" s="54">
        <v>0</v>
      </c>
      <c r="P554" s="54">
        <v>0</v>
      </c>
      <c r="Q554" s="54">
        <v>0</v>
      </c>
      <c r="R554" s="54">
        <v>0</v>
      </c>
      <c r="S554" s="54">
        <v>0</v>
      </c>
      <c r="T554" s="53">
        <v>1</v>
      </c>
      <c r="U554" s="53">
        <v>1</v>
      </c>
      <c r="V554" s="53">
        <v>1</v>
      </c>
      <c r="W554" s="53">
        <v>0</v>
      </c>
      <c r="X554" s="53">
        <v>0</v>
      </c>
      <c r="Y554" s="53">
        <v>0</v>
      </c>
      <c r="Z554" s="53" t="s">
        <v>751</v>
      </c>
    </row>
    <row r="555" spans="1:26" s="53" customFormat="1" ht="15" customHeight="1" x14ac:dyDescent="0.15">
      <c r="A555" s="53">
        <v>3014</v>
      </c>
      <c r="B555" s="53" t="s">
        <v>1325</v>
      </c>
      <c r="C555" s="53">
        <f t="shared" si="72"/>
        <v>1</v>
      </c>
      <c r="D555" s="53">
        <v>1</v>
      </c>
      <c r="E555" s="53">
        <v>13</v>
      </c>
      <c r="F555" s="53">
        <v>0</v>
      </c>
      <c r="G555" s="54">
        <v>1</v>
      </c>
      <c r="H555" s="54">
        <v>0</v>
      </c>
      <c r="I555" s="54">
        <v>0</v>
      </c>
      <c r="J555" s="54">
        <v>0</v>
      </c>
      <c r="K555" s="54">
        <v>0</v>
      </c>
      <c r="L555" s="53">
        <v>1</v>
      </c>
      <c r="M555" s="12">
        <v>64</v>
      </c>
      <c r="N555" s="54">
        <v>0</v>
      </c>
      <c r="O555" s="54">
        <v>0</v>
      </c>
      <c r="P555" s="54">
        <v>0</v>
      </c>
      <c r="Q555" s="54">
        <v>0</v>
      </c>
      <c r="R555" s="54">
        <v>0</v>
      </c>
      <c r="S555" s="54">
        <v>0</v>
      </c>
      <c r="T555" s="53">
        <v>1</v>
      </c>
      <c r="U555" s="53">
        <v>1</v>
      </c>
      <c r="V555" s="53">
        <v>1</v>
      </c>
      <c r="W555" s="53">
        <v>0</v>
      </c>
      <c r="X555" s="53">
        <v>0</v>
      </c>
      <c r="Y555" s="53">
        <v>0</v>
      </c>
      <c r="Z555" s="53" t="s">
        <v>751</v>
      </c>
    </row>
    <row r="556" spans="1:26" s="53" customFormat="1" ht="15" customHeight="1" x14ac:dyDescent="0.15">
      <c r="A556" s="53">
        <v>3015</v>
      </c>
      <c r="B556" s="53" t="s">
        <v>1326</v>
      </c>
      <c r="C556" s="53">
        <f t="shared" si="72"/>
        <v>1</v>
      </c>
      <c r="D556" s="53">
        <v>1</v>
      </c>
      <c r="E556" s="53">
        <v>14</v>
      </c>
      <c r="F556" s="53">
        <v>0</v>
      </c>
      <c r="G556" s="54">
        <v>1</v>
      </c>
      <c r="H556" s="54">
        <v>0</v>
      </c>
      <c r="I556" s="54">
        <v>0</v>
      </c>
      <c r="J556" s="54">
        <v>0</v>
      </c>
      <c r="K556" s="54">
        <v>0</v>
      </c>
      <c r="L556" s="53">
        <v>1</v>
      </c>
      <c r="M556" s="12">
        <v>64</v>
      </c>
      <c r="N556" s="54">
        <v>0</v>
      </c>
      <c r="O556" s="54">
        <v>0</v>
      </c>
      <c r="P556" s="54">
        <v>0</v>
      </c>
      <c r="Q556" s="54">
        <v>0</v>
      </c>
      <c r="R556" s="54">
        <v>0</v>
      </c>
      <c r="S556" s="54">
        <v>0</v>
      </c>
      <c r="T556" s="53">
        <v>1</v>
      </c>
      <c r="U556" s="53">
        <v>1</v>
      </c>
      <c r="V556" s="53">
        <v>1</v>
      </c>
      <c r="W556" s="53">
        <v>0</v>
      </c>
      <c r="X556" s="53">
        <v>0</v>
      </c>
      <c r="Y556" s="53">
        <v>0</v>
      </c>
      <c r="Z556" s="53" t="s">
        <v>751</v>
      </c>
    </row>
    <row r="557" spans="1:26" s="53" customFormat="1" ht="15" customHeight="1" x14ac:dyDescent="0.15">
      <c r="A557" s="53">
        <v>3016</v>
      </c>
      <c r="B557" s="53" t="s">
        <v>1327</v>
      </c>
      <c r="C557" s="53">
        <f t="shared" si="72"/>
        <v>1</v>
      </c>
      <c r="D557" s="53">
        <v>1</v>
      </c>
      <c r="E557" s="53">
        <v>15</v>
      </c>
      <c r="F557" s="53">
        <v>0</v>
      </c>
      <c r="G557" s="54">
        <v>1</v>
      </c>
      <c r="H557" s="54">
        <v>0</v>
      </c>
      <c r="I557" s="54">
        <v>0</v>
      </c>
      <c r="J557" s="54">
        <v>0</v>
      </c>
      <c r="K557" s="54">
        <v>0</v>
      </c>
      <c r="L557" s="53">
        <v>1</v>
      </c>
      <c r="M557" s="12">
        <v>64</v>
      </c>
      <c r="N557" s="54">
        <v>0</v>
      </c>
      <c r="O557" s="54">
        <v>0</v>
      </c>
      <c r="P557" s="54">
        <v>0</v>
      </c>
      <c r="Q557" s="54">
        <v>0</v>
      </c>
      <c r="R557" s="54">
        <v>0</v>
      </c>
      <c r="S557" s="54">
        <v>0</v>
      </c>
      <c r="T557" s="53">
        <v>1</v>
      </c>
      <c r="U557" s="53">
        <v>1</v>
      </c>
      <c r="V557" s="53">
        <v>1</v>
      </c>
      <c r="W557" s="53">
        <v>0</v>
      </c>
      <c r="X557" s="53">
        <v>0</v>
      </c>
      <c r="Y557" s="53">
        <v>0</v>
      </c>
      <c r="Z557" s="53" t="s">
        <v>751</v>
      </c>
    </row>
    <row r="558" spans="1:26" s="53" customFormat="1" ht="15" customHeight="1" x14ac:dyDescent="0.15">
      <c r="A558" s="53">
        <v>3017</v>
      </c>
      <c r="B558" s="53" t="s">
        <v>1328</v>
      </c>
      <c r="C558" s="53">
        <f t="shared" si="72"/>
        <v>1</v>
      </c>
      <c r="D558" s="53">
        <v>1</v>
      </c>
      <c r="E558" s="53">
        <v>16</v>
      </c>
      <c r="F558" s="53">
        <v>0</v>
      </c>
      <c r="G558" s="54">
        <v>1</v>
      </c>
      <c r="H558" s="54">
        <v>0</v>
      </c>
      <c r="I558" s="54">
        <v>0</v>
      </c>
      <c r="J558" s="54">
        <v>0</v>
      </c>
      <c r="K558" s="54">
        <v>0</v>
      </c>
      <c r="L558" s="53">
        <v>1</v>
      </c>
      <c r="M558" s="12">
        <v>64</v>
      </c>
      <c r="N558" s="54">
        <v>0</v>
      </c>
      <c r="O558" s="54">
        <v>0</v>
      </c>
      <c r="P558" s="54">
        <v>0</v>
      </c>
      <c r="Q558" s="54">
        <v>0</v>
      </c>
      <c r="R558" s="54">
        <v>0</v>
      </c>
      <c r="S558" s="54">
        <v>0</v>
      </c>
      <c r="T558" s="53">
        <v>1</v>
      </c>
      <c r="U558" s="53">
        <v>1</v>
      </c>
      <c r="V558" s="53">
        <v>1</v>
      </c>
      <c r="W558" s="53">
        <v>0</v>
      </c>
      <c r="X558" s="53">
        <v>0</v>
      </c>
      <c r="Y558" s="53">
        <v>0</v>
      </c>
      <c r="Z558" s="53" t="s">
        <v>751</v>
      </c>
    </row>
    <row r="559" spans="1:26" s="53" customFormat="1" ht="15" customHeight="1" x14ac:dyDescent="0.15">
      <c r="A559" s="53">
        <v>3018</v>
      </c>
      <c r="B559" s="53" t="s">
        <v>1329</v>
      </c>
      <c r="C559" s="53">
        <f t="shared" si="72"/>
        <v>1</v>
      </c>
      <c r="D559" s="53">
        <v>1</v>
      </c>
      <c r="E559" s="53">
        <v>19</v>
      </c>
      <c r="F559" s="53">
        <v>0</v>
      </c>
      <c r="G559" s="54">
        <v>1</v>
      </c>
      <c r="H559" s="54">
        <v>0</v>
      </c>
      <c r="I559" s="54">
        <v>0</v>
      </c>
      <c r="J559" s="54">
        <v>0</v>
      </c>
      <c r="K559" s="54">
        <v>0</v>
      </c>
      <c r="L559" s="53">
        <v>1</v>
      </c>
      <c r="M559" s="12">
        <v>64</v>
      </c>
      <c r="N559" s="54">
        <v>0</v>
      </c>
      <c r="O559" s="54">
        <v>0</v>
      </c>
      <c r="P559" s="54">
        <v>0</v>
      </c>
      <c r="Q559" s="54">
        <v>0</v>
      </c>
      <c r="R559" s="54">
        <v>0</v>
      </c>
      <c r="S559" s="54">
        <v>0</v>
      </c>
      <c r="T559" s="53">
        <v>1</v>
      </c>
      <c r="U559" s="53">
        <v>1</v>
      </c>
      <c r="V559" s="53">
        <v>1</v>
      </c>
      <c r="W559" s="53">
        <v>0</v>
      </c>
      <c r="X559" s="53">
        <v>0</v>
      </c>
      <c r="Y559" s="53">
        <v>0</v>
      </c>
      <c r="Z559" s="53" t="s">
        <v>751</v>
      </c>
    </row>
    <row r="560" spans="1:26" s="53" customFormat="1" ht="15" customHeight="1" x14ac:dyDescent="0.15">
      <c r="A560" s="53">
        <v>3019</v>
      </c>
      <c r="B560" s="53" t="s">
        <v>1330</v>
      </c>
      <c r="C560" s="53">
        <f t="shared" ref="C560:C570" si="73">G560+H560*2+I560*4+J560*8+K560*16</f>
        <v>1</v>
      </c>
      <c r="D560" s="53">
        <v>1</v>
      </c>
      <c r="E560" s="53">
        <v>20</v>
      </c>
      <c r="F560" s="53">
        <v>0</v>
      </c>
      <c r="G560" s="54">
        <v>1</v>
      </c>
      <c r="H560" s="54">
        <v>0</v>
      </c>
      <c r="I560" s="54">
        <v>0</v>
      </c>
      <c r="J560" s="54">
        <v>0</v>
      </c>
      <c r="K560" s="54">
        <v>0</v>
      </c>
      <c r="L560" s="53">
        <v>1</v>
      </c>
      <c r="M560" s="12">
        <v>64</v>
      </c>
      <c r="N560" s="54">
        <v>0</v>
      </c>
      <c r="O560" s="54">
        <v>0</v>
      </c>
      <c r="P560" s="54">
        <v>0</v>
      </c>
      <c r="Q560" s="54">
        <v>0</v>
      </c>
      <c r="R560" s="54">
        <v>0</v>
      </c>
      <c r="S560" s="54">
        <v>0</v>
      </c>
      <c r="T560" s="53">
        <v>1</v>
      </c>
      <c r="U560" s="53">
        <v>1</v>
      </c>
      <c r="V560" s="53">
        <v>1</v>
      </c>
      <c r="W560" s="53">
        <v>0</v>
      </c>
      <c r="X560" s="53">
        <v>0</v>
      </c>
      <c r="Y560" s="53">
        <v>0</v>
      </c>
      <c r="Z560" s="53" t="s">
        <v>751</v>
      </c>
    </row>
    <row r="561" spans="1:26" s="53" customFormat="1" ht="15" customHeight="1" x14ac:dyDescent="0.15">
      <c r="A561" s="53">
        <v>3020</v>
      </c>
      <c r="B561" s="53" t="s">
        <v>1331</v>
      </c>
      <c r="C561" s="53">
        <f t="shared" si="73"/>
        <v>1</v>
      </c>
      <c r="D561" s="53">
        <v>1</v>
      </c>
      <c r="E561" s="53">
        <v>21</v>
      </c>
      <c r="F561" s="53">
        <v>0</v>
      </c>
      <c r="G561" s="54">
        <v>1</v>
      </c>
      <c r="H561" s="54">
        <v>0</v>
      </c>
      <c r="I561" s="54">
        <v>0</v>
      </c>
      <c r="J561" s="54">
        <v>0</v>
      </c>
      <c r="K561" s="54">
        <v>0</v>
      </c>
      <c r="L561" s="53">
        <v>1</v>
      </c>
      <c r="M561" s="12">
        <v>64</v>
      </c>
      <c r="N561" s="54">
        <v>0</v>
      </c>
      <c r="O561" s="54">
        <v>0</v>
      </c>
      <c r="P561" s="54">
        <v>0</v>
      </c>
      <c r="Q561" s="54">
        <v>0</v>
      </c>
      <c r="R561" s="54">
        <v>0</v>
      </c>
      <c r="S561" s="54">
        <v>0</v>
      </c>
      <c r="T561" s="53">
        <v>1</v>
      </c>
      <c r="U561" s="53">
        <v>1</v>
      </c>
      <c r="V561" s="53">
        <v>1</v>
      </c>
      <c r="W561" s="53">
        <v>0</v>
      </c>
      <c r="X561" s="53">
        <v>0</v>
      </c>
      <c r="Y561" s="53">
        <v>0</v>
      </c>
      <c r="Z561" s="53" t="s">
        <v>751</v>
      </c>
    </row>
    <row r="562" spans="1:26" s="53" customFormat="1" ht="15" customHeight="1" x14ac:dyDescent="0.15">
      <c r="A562" s="53">
        <v>3021</v>
      </c>
      <c r="B562" s="53" t="s">
        <v>1604</v>
      </c>
      <c r="C562" s="53">
        <f t="shared" si="73"/>
        <v>1</v>
      </c>
      <c r="D562" s="53">
        <v>1</v>
      </c>
      <c r="E562" s="53">
        <v>40</v>
      </c>
      <c r="F562" s="53">
        <v>0</v>
      </c>
      <c r="G562" s="54">
        <v>1</v>
      </c>
      <c r="H562" s="54">
        <v>0</v>
      </c>
      <c r="I562" s="54">
        <v>0</v>
      </c>
      <c r="J562" s="54">
        <v>0</v>
      </c>
      <c r="K562" s="54">
        <v>0</v>
      </c>
      <c r="L562" s="53">
        <v>1</v>
      </c>
      <c r="M562" s="12">
        <v>64</v>
      </c>
      <c r="N562" s="54">
        <v>0</v>
      </c>
      <c r="O562" s="54">
        <v>0</v>
      </c>
      <c r="P562" s="54">
        <v>0</v>
      </c>
      <c r="Q562" s="54">
        <v>0</v>
      </c>
      <c r="R562" s="54">
        <v>0</v>
      </c>
      <c r="S562" s="54">
        <v>0</v>
      </c>
      <c r="T562" s="53">
        <v>1</v>
      </c>
      <c r="U562" s="53">
        <v>1</v>
      </c>
      <c r="V562" s="53">
        <v>1</v>
      </c>
      <c r="W562" s="53">
        <v>0</v>
      </c>
      <c r="X562" s="53">
        <v>0</v>
      </c>
      <c r="Y562" s="53">
        <v>0</v>
      </c>
      <c r="Z562" s="60" t="s">
        <v>1605</v>
      </c>
    </row>
    <row r="563" spans="1:26" s="53" customFormat="1" ht="15" customHeight="1" x14ac:dyDescent="0.15">
      <c r="A563" s="53">
        <v>3022</v>
      </c>
      <c r="B563" s="53" t="s">
        <v>1606</v>
      </c>
      <c r="C563" s="53">
        <f t="shared" si="73"/>
        <v>1</v>
      </c>
      <c r="D563" s="53">
        <v>1</v>
      </c>
      <c r="E563" s="53">
        <v>38</v>
      </c>
      <c r="F563" s="53">
        <v>0</v>
      </c>
      <c r="G563" s="54">
        <v>1</v>
      </c>
      <c r="H563" s="54">
        <v>0</v>
      </c>
      <c r="I563" s="54">
        <v>0</v>
      </c>
      <c r="J563" s="54">
        <v>0</v>
      </c>
      <c r="K563" s="54">
        <v>0</v>
      </c>
      <c r="L563" s="53">
        <v>1</v>
      </c>
      <c r="M563" s="12">
        <v>64</v>
      </c>
      <c r="N563" s="54">
        <v>0</v>
      </c>
      <c r="O563" s="54">
        <v>0</v>
      </c>
      <c r="P563" s="54">
        <v>0</v>
      </c>
      <c r="Q563" s="54">
        <v>0</v>
      </c>
      <c r="R563" s="54">
        <v>0</v>
      </c>
      <c r="S563" s="54">
        <v>0</v>
      </c>
      <c r="T563" s="53">
        <v>1</v>
      </c>
      <c r="U563" s="53">
        <v>1</v>
      </c>
      <c r="V563" s="53">
        <v>1</v>
      </c>
      <c r="W563" s="53">
        <v>0</v>
      </c>
      <c r="X563" s="53">
        <v>0</v>
      </c>
      <c r="Y563" s="53">
        <v>0</v>
      </c>
      <c r="Z563" s="60" t="s">
        <v>1607</v>
      </c>
    </row>
    <row r="564" spans="1:26" s="53" customFormat="1" ht="15" customHeight="1" x14ac:dyDescent="0.15">
      <c r="A564" s="53">
        <v>3023</v>
      </c>
      <c r="B564" s="53" t="s">
        <v>1608</v>
      </c>
      <c r="C564" s="53">
        <f t="shared" si="73"/>
        <v>1</v>
      </c>
      <c r="D564" s="53">
        <v>1</v>
      </c>
      <c r="E564" s="53">
        <v>39</v>
      </c>
      <c r="F564" s="53">
        <v>0</v>
      </c>
      <c r="G564" s="54">
        <v>1</v>
      </c>
      <c r="H564" s="54">
        <v>0</v>
      </c>
      <c r="I564" s="54">
        <v>0</v>
      </c>
      <c r="J564" s="54">
        <v>0</v>
      </c>
      <c r="K564" s="54">
        <v>0</v>
      </c>
      <c r="L564" s="53">
        <v>1</v>
      </c>
      <c r="M564" s="12">
        <v>64</v>
      </c>
      <c r="N564" s="54">
        <v>0</v>
      </c>
      <c r="O564" s="54">
        <v>0</v>
      </c>
      <c r="P564" s="54">
        <v>0</v>
      </c>
      <c r="Q564" s="54">
        <v>0</v>
      </c>
      <c r="R564" s="54">
        <v>0</v>
      </c>
      <c r="S564" s="54">
        <v>0</v>
      </c>
      <c r="T564" s="53">
        <v>1</v>
      </c>
      <c r="U564" s="53">
        <v>1</v>
      </c>
      <c r="V564" s="53">
        <v>1</v>
      </c>
      <c r="W564" s="53">
        <v>0</v>
      </c>
      <c r="X564" s="53">
        <v>0</v>
      </c>
      <c r="Y564" s="53">
        <v>0</v>
      </c>
      <c r="Z564" s="60" t="s">
        <v>1609</v>
      </c>
    </row>
    <row r="565" spans="1:26" s="53" customFormat="1" ht="15" customHeight="1" x14ac:dyDescent="0.15">
      <c r="A565" s="53">
        <v>3100</v>
      </c>
      <c r="B565" s="53" t="s">
        <v>1610</v>
      </c>
      <c r="C565" s="53">
        <f t="shared" si="73"/>
        <v>0</v>
      </c>
      <c r="D565" s="53">
        <v>1</v>
      </c>
      <c r="E565" s="53">
        <v>49</v>
      </c>
      <c r="F565" s="53">
        <v>0</v>
      </c>
      <c r="G565" s="54">
        <v>0</v>
      </c>
      <c r="H565" s="54">
        <v>0</v>
      </c>
      <c r="I565" s="54">
        <v>0</v>
      </c>
      <c r="J565" s="54">
        <v>0</v>
      </c>
      <c r="K565" s="54">
        <v>0</v>
      </c>
      <c r="L565" s="53">
        <v>0</v>
      </c>
      <c r="M565" s="12">
        <v>64</v>
      </c>
      <c r="N565" s="54">
        <v>0</v>
      </c>
      <c r="O565" s="54">
        <v>0</v>
      </c>
      <c r="P565" s="54">
        <v>0</v>
      </c>
      <c r="Q565" s="54">
        <v>0</v>
      </c>
      <c r="R565" s="54">
        <v>0</v>
      </c>
      <c r="S565" s="54">
        <v>0</v>
      </c>
      <c r="T565" s="53">
        <v>1</v>
      </c>
      <c r="U565" s="53">
        <v>1</v>
      </c>
      <c r="V565" s="53">
        <v>1</v>
      </c>
      <c r="W565" s="53">
        <v>0</v>
      </c>
      <c r="X565" s="53">
        <v>1</v>
      </c>
      <c r="Y565" s="53">
        <v>0</v>
      </c>
      <c r="Z565" s="53" t="s">
        <v>1611</v>
      </c>
    </row>
    <row r="566" spans="1:26" s="53" customFormat="1" ht="15" customHeight="1" x14ac:dyDescent="0.15">
      <c r="A566" s="53">
        <v>3101</v>
      </c>
      <c r="B566" s="53" t="s">
        <v>1612</v>
      </c>
      <c r="C566" s="53">
        <f t="shared" si="73"/>
        <v>0</v>
      </c>
      <c r="D566" s="53">
        <v>1</v>
      </c>
      <c r="E566" s="53">
        <v>50</v>
      </c>
      <c r="F566" s="53">
        <v>0</v>
      </c>
      <c r="G566" s="54">
        <v>0</v>
      </c>
      <c r="H566" s="54">
        <v>0</v>
      </c>
      <c r="I566" s="54">
        <v>0</v>
      </c>
      <c r="J566" s="54">
        <v>0</v>
      </c>
      <c r="K566" s="54">
        <v>0</v>
      </c>
      <c r="L566" s="53">
        <v>0</v>
      </c>
      <c r="M566" s="12">
        <v>64</v>
      </c>
      <c r="N566" s="54">
        <v>0</v>
      </c>
      <c r="O566" s="54">
        <v>0</v>
      </c>
      <c r="P566" s="54">
        <v>0</v>
      </c>
      <c r="Q566" s="54">
        <v>0</v>
      </c>
      <c r="R566" s="54">
        <v>0</v>
      </c>
      <c r="S566" s="54">
        <v>0</v>
      </c>
      <c r="T566" s="53">
        <v>1</v>
      </c>
      <c r="U566" s="53">
        <v>1</v>
      </c>
      <c r="V566" s="53">
        <v>1</v>
      </c>
      <c r="W566" s="53">
        <v>0</v>
      </c>
      <c r="X566" s="53">
        <v>1</v>
      </c>
      <c r="Y566" s="53">
        <v>0</v>
      </c>
      <c r="Z566" s="53" t="s">
        <v>1613</v>
      </c>
    </row>
    <row r="567" spans="1:26" s="53" customFormat="1" ht="15" customHeight="1" x14ac:dyDescent="0.15">
      <c r="A567" s="53">
        <v>3102</v>
      </c>
      <c r="B567" s="53" t="s">
        <v>1614</v>
      </c>
      <c r="C567" s="53">
        <f t="shared" si="73"/>
        <v>0</v>
      </c>
      <c r="D567" s="53">
        <v>1</v>
      </c>
      <c r="E567" s="53">
        <v>51</v>
      </c>
      <c r="F567" s="53">
        <v>0</v>
      </c>
      <c r="G567" s="54">
        <v>0</v>
      </c>
      <c r="H567" s="54">
        <v>0</v>
      </c>
      <c r="I567" s="54">
        <v>0</v>
      </c>
      <c r="J567" s="54">
        <v>0</v>
      </c>
      <c r="K567" s="54">
        <v>0</v>
      </c>
      <c r="L567" s="53">
        <v>0</v>
      </c>
      <c r="M567" s="12">
        <v>64</v>
      </c>
      <c r="N567" s="54">
        <v>0</v>
      </c>
      <c r="O567" s="54">
        <v>0</v>
      </c>
      <c r="P567" s="54">
        <v>0</v>
      </c>
      <c r="Q567" s="54">
        <v>0</v>
      </c>
      <c r="R567" s="54">
        <v>0</v>
      </c>
      <c r="S567" s="54">
        <v>0</v>
      </c>
      <c r="T567" s="53">
        <v>1</v>
      </c>
      <c r="U567" s="53">
        <v>1</v>
      </c>
      <c r="V567" s="53">
        <v>1</v>
      </c>
      <c r="W567" s="53">
        <v>0</v>
      </c>
      <c r="X567" s="53">
        <v>1</v>
      </c>
      <c r="Y567" s="53">
        <v>0</v>
      </c>
      <c r="Z567" s="53" t="s">
        <v>1615</v>
      </c>
    </row>
    <row r="568" spans="1:26" s="53" customFormat="1" ht="15" customHeight="1" x14ac:dyDescent="0.15">
      <c r="A568" s="53">
        <v>3103</v>
      </c>
      <c r="B568" s="53" t="s">
        <v>1616</v>
      </c>
      <c r="C568" s="53">
        <f t="shared" si="73"/>
        <v>0</v>
      </c>
      <c r="D568" s="53">
        <v>1</v>
      </c>
      <c r="E568" s="53">
        <v>52</v>
      </c>
      <c r="F568" s="53">
        <v>0</v>
      </c>
      <c r="G568" s="54">
        <v>0</v>
      </c>
      <c r="H568" s="54">
        <v>0</v>
      </c>
      <c r="I568" s="54">
        <v>0</v>
      </c>
      <c r="J568" s="54">
        <v>0</v>
      </c>
      <c r="K568" s="54">
        <v>0</v>
      </c>
      <c r="L568" s="53">
        <v>0</v>
      </c>
      <c r="M568" s="12">
        <v>64</v>
      </c>
      <c r="N568" s="54">
        <v>0</v>
      </c>
      <c r="O568" s="54">
        <v>0</v>
      </c>
      <c r="P568" s="54">
        <v>0</v>
      </c>
      <c r="Q568" s="54">
        <v>0</v>
      </c>
      <c r="R568" s="54">
        <v>0</v>
      </c>
      <c r="S568" s="54">
        <v>0</v>
      </c>
      <c r="T568" s="53">
        <v>1</v>
      </c>
      <c r="U568" s="53">
        <v>1</v>
      </c>
      <c r="V568" s="53">
        <v>1</v>
      </c>
      <c r="W568" s="53">
        <v>0</v>
      </c>
      <c r="X568" s="53">
        <v>1</v>
      </c>
      <c r="Y568" s="53">
        <v>0</v>
      </c>
      <c r="Z568" s="53" t="s">
        <v>1617</v>
      </c>
    </row>
    <row r="569" spans="1:26" s="53" customFormat="1" ht="15" customHeight="1" x14ac:dyDescent="0.15">
      <c r="A569" s="53">
        <v>3104</v>
      </c>
      <c r="B569" s="53" t="s">
        <v>1618</v>
      </c>
      <c r="C569" s="53">
        <f t="shared" si="73"/>
        <v>0</v>
      </c>
      <c r="D569" s="53">
        <v>1</v>
      </c>
      <c r="E569" s="53">
        <v>53</v>
      </c>
      <c r="F569" s="53">
        <v>0</v>
      </c>
      <c r="G569" s="54">
        <v>0</v>
      </c>
      <c r="H569" s="54">
        <v>0</v>
      </c>
      <c r="I569" s="54">
        <v>0</v>
      </c>
      <c r="J569" s="54">
        <v>0</v>
      </c>
      <c r="K569" s="54">
        <v>0</v>
      </c>
      <c r="L569" s="53">
        <v>0</v>
      </c>
      <c r="M569" s="12">
        <v>64</v>
      </c>
      <c r="N569" s="54">
        <v>0</v>
      </c>
      <c r="O569" s="54">
        <v>0</v>
      </c>
      <c r="P569" s="54">
        <v>0</v>
      </c>
      <c r="Q569" s="54">
        <v>0</v>
      </c>
      <c r="R569" s="54">
        <v>0</v>
      </c>
      <c r="S569" s="54">
        <v>0</v>
      </c>
      <c r="T569" s="53">
        <v>1</v>
      </c>
      <c r="U569" s="53">
        <v>1</v>
      </c>
      <c r="V569" s="53">
        <v>1</v>
      </c>
      <c r="W569" s="53">
        <v>0</v>
      </c>
      <c r="X569" s="53">
        <v>1</v>
      </c>
      <c r="Y569" s="53">
        <v>0</v>
      </c>
      <c r="Z569" s="53" t="s">
        <v>1619</v>
      </c>
    </row>
    <row r="570" spans="1:26" s="53" customFormat="1" ht="15" customHeight="1" x14ac:dyDescent="0.15">
      <c r="A570" s="53">
        <v>3105</v>
      </c>
      <c r="B570" s="53" t="s">
        <v>1620</v>
      </c>
      <c r="C570" s="53">
        <f t="shared" si="73"/>
        <v>0</v>
      </c>
      <c r="D570" s="53">
        <v>1</v>
      </c>
      <c r="E570" s="53">
        <v>54</v>
      </c>
      <c r="F570" s="53">
        <v>0</v>
      </c>
      <c r="G570" s="54">
        <v>0</v>
      </c>
      <c r="H570" s="54">
        <v>0</v>
      </c>
      <c r="I570" s="54">
        <v>0</v>
      </c>
      <c r="J570" s="54">
        <v>0</v>
      </c>
      <c r="K570" s="54">
        <v>0</v>
      </c>
      <c r="L570" s="53">
        <v>0</v>
      </c>
      <c r="M570" s="12">
        <v>64</v>
      </c>
      <c r="N570" s="54">
        <v>0</v>
      </c>
      <c r="O570" s="54">
        <v>0</v>
      </c>
      <c r="P570" s="54">
        <v>0</v>
      </c>
      <c r="Q570" s="54">
        <v>0</v>
      </c>
      <c r="R570" s="54">
        <v>0</v>
      </c>
      <c r="S570" s="54">
        <v>0</v>
      </c>
      <c r="T570" s="53">
        <v>1</v>
      </c>
      <c r="U570" s="53">
        <v>1</v>
      </c>
      <c r="V570" s="53">
        <v>1</v>
      </c>
      <c r="W570" s="53">
        <v>0</v>
      </c>
      <c r="X570" s="53">
        <v>1</v>
      </c>
      <c r="Y570" s="53">
        <v>0</v>
      </c>
      <c r="Z570" s="53" t="s">
        <v>1621</v>
      </c>
    </row>
    <row r="571" spans="1:26" s="26" customFormat="1" ht="15" customHeight="1" x14ac:dyDescent="0.15">
      <c r="A571" s="26">
        <v>5000</v>
      </c>
      <c r="B571" s="26" t="s">
        <v>676</v>
      </c>
      <c r="C571" s="26">
        <f>G571+H571*2+I571*4+J571*8+K571*16</f>
        <v>0</v>
      </c>
      <c r="D571" s="26">
        <v>1</v>
      </c>
      <c r="F571" s="12">
        <v>0</v>
      </c>
      <c r="G571" s="27">
        <v>0</v>
      </c>
      <c r="H571" s="27">
        <v>0</v>
      </c>
      <c r="I571" s="27">
        <v>0</v>
      </c>
      <c r="J571" s="27">
        <v>0</v>
      </c>
      <c r="K571" s="27">
        <v>0</v>
      </c>
      <c r="L571" s="26">
        <v>1</v>
      </c>
      <c r="M571" s="26">
        <v>0</v>
      </c>
      <c r="N571" s="27">
        <v>0</v>
      </c>
      <c r="O571" s="27">
        <v>0</v>
      </c>
      <c r="P571" s="27">
        <v>0</v>
      </c>
      <c r="Q571" s="27">
        <v>0</v>
      </c>
      <c r="R571" s="27">
        <v>0</v>
      </c>
      <c r="S571" s="27">
        <v>0</v>
      </c>
      <c r="T571" s="26">
        <v>1</v>
      </c>
      <c r="U571" s="26">
        <v>1</v>
      </c>
      <c r="V571" s="26">
        <v>1</v>
      </c>
      <c r="W571" s="26">
        <v>1</v>
      </c>
      <c r="X571" s="26">
        <v>0</v>
      </c>
      <c r="Y571" s="26">
        <v>0</v>
      </c>
      <c r="Z571" s="26" t="s">
        <v>751</v>
      </c>
    </row>
    <row r="572" spans="1:26" s="26" customFormat="1" ht="15" customHeight="1" x14ac:dyDescent="0.15">
      <c r="A572" s="26">
        <v>5001</v>
      </c>
      <c r="B572" s="26" t="s">
        <v>677</v>
      </c>
      <c r="C572" s="26">
        <f t="shared" ref="C572:C581" si="74">G572+H572*2+I572*4+J572*8+K572*16</f>
        <v>0</v>
      </c>
      <c r="D572" s="26">
        <v>1</v>
      </c>
      <c r="F572" s="12">
        <v>0</v>
      </c>
      <c r="G572" s="27">
        <v>0</v>
      </c>
      <c r="H572" s="27">
        <v>0</v>
      </c>
      <c r="I572" s="27">
        <v>0</v>
      </c>
      <c r="J572" s="27">
        <v>0</v>
      </c>
      <c r="K572" s="27">
        <v>0</v>
      </c>
      <c r="L572" s="26">
        <v>1</v>
      </c>
      <c r="M572" s="26">
        <v>0</v>
      </c>
      <c r="N572" s="27">
        <v>0</v>
      </c>
      <c r="O572" s="27">
        <v>0</v>
      </c>
      <c r="P572" s="27">
        <v>0</v>
      </c>
      <c r="Q572" s="27">
        <v>0</v>
      </c>
      <c r="R572" s="27">
        <v>0</v>
      </c>
      <c r="S572" s="27">
        <v>0</v>
      </c>
      <c r="T572" s="26">
        <v>1</v>
      </c>
      <c r="U572" s="26">
        <v>1</v>
      </c>
      <c r="V572" s="26">
        <v>1</v>
      </c>
      <c r="W572" s="26">
        <v>1</v>
      </c>
      <c r="X572" s="26">
        <v>0</v>
      </c>
      <c r="Y572" s="26">
        <v>0</v>
      </c>
      <c r="Z572" s="26" t="s">
        <v>751</v>
      </c>
    </row>
    <row r="573" spans="1:26" s="26" customFormat="1" ht="15" customHeight="1" x14ac:dyDescent="0.15">
      <c r="A573" s="26">
        <v>5002</v>
      </c>
      <c r="B573" s="26" t="s">
        <v>678</v>
      </c>
      <c r="C573" s="26">
        <f t="shared" si="74"/>
        <v>0</v>
      </c>
      <c r="D573" s="26">
        <v>1</v>
      </c>
      <c r="F573" s="12">
        <v>0</v>
      </c>
      <c r="G573" s="27">
        <v>0</v>
      </c>
      <c r="H573" s="27">
        <v>0</v>
      </c>
      <c r="I573" s="27">
        <v>0</v>
      </c>
      <c r="J573" s="27">
        <v>0</v>
      </c>
      <c r="K573" s="27">
        <v>0</v>
      </c>
      <c r="L573" s="26">
        <v>1</v>
      </c>
      <c r="M573" s="26">
        <v>0</v>
      </c>
      <c r="N573" s="27">
        <v>0</v>
      </c>
      <c r="O573" s="27">
        <v>0</v>
      </c>
      <c r="P573" s="27">
        <v>0</v>
      </c>
      <c r="Q573" s="27">
        <v>0</v>
      </c>
      <c r="R573" s="27">
        <v>0</v>
      </c>
      <c r="S573" s="27">
        <v>0</v>
      </c>
      <c r="T573" s="26">
        <v>1</v>
      </c>
      <c r="U573" s="26">
        <v>1</v>
      </c>
      <c r="V573" s="26">
        <v>1</v>
      </c>
      <c r="W573" s="26">
        <v>1</v>
      </c>
      <c r="X573" s="26">
        <v>0</v>
      </c>
      <c r="Y573" s="26">
        <v>0</v>
      </c>
      <c r="Z573" s="26" t="s">
        <v>751</v>
      </c>
    </row>
    <row r="574" spans="1:26" s="26" customFormat="1" ht="15" customHeight="1" x14ac:dyDescent="0.15">
      <c r="A574" s="26">
        <v>5003</v>
      </c>
      <c r="B574" s="26" t="s">
        <v>679</v>
      </c>
      <c r="C574" s="26">
        <f t="shared" si="74"/>
        <v>0</v>
      </c>
      <c r="D574" s="26">
        <v>1</v>
      </c>
      <c r="F574" s="12">
        <v>0</v>
      </c>
      <c r="G574" s="27">
        <v>0</v>
      </c>
      <c r="H574" s="27">
        <v>0</v>
      </c>
      <c r="I574" s="27">
        <v>0</v>
      </c>
      <c r="J574" s="27">
        <v>0</v>
      </c>
      <c r="K574" s="27">
        <v>0</v>
      </c>
      <c r="L574" s="26">
        <v>1</v>
      </c>
      <c r="M574" s="26">
        <v>0</v>
      </c>
      <c r="N574" s="27">
        <v>0</v>
      </c>
      <c r="O574" s="27">
        <v>0</v>
      </c>
      <c r="P574" s="27">
        <v>0</v>
      </c>
      <c r="Q574" s="27">
        <v>0</v>
      </c>
      <c r="R574" s="27">
        <v>0</v>
      </c>
      <c r="S574" s="27">
        <v>0</v>
      </c>
      <c r="T574" s="26">
        <v>1</v>
      </c>
      <c r="U574" s="26">
        <v>1</v>
      </c>
      <c r="V574" s="26">
        <v>1</v>
      </c>
      <c r="W574" s="26">
        <v>1</v>
      </c>
      <c r="X574" s="26">
        <v>0</v>
      </c>
      <c r="Y574" s="26">
        <v>0</v>
      </c>
      <c r="Z574" s="26" t="s">
        <v>751</v>
      </c>
    </row>
    <row r="575" spans="1:26" s="26" customFormat="1" ht="15" customHeight="1" x14ac:dyDescent="0.15">
      <c r="A575" s="26">
        <v>5004</v>
      </c>
      <c r="B575" s="26" t="s">
        <v>680</v>
      </c>
      <c r="C575" s="26">
        <f t="shared" si="74"/>
        <v>0</v>
      </c>
      <c r="D575" s="26">
        <v>1</v>
      </c>
      <c r="F575" s="12">
        <v>0</v>
      </c>
      <c r="G575" s="27">
        <v>0</v>
      </c>
      <c r="H575" s="27">
        <v>0</v>
      </c>
      <c r="I575" s="27">
        <v>0</v>
      </c>
      <c r="J575" s="27">
        <v>0</v>
      </c>
      <c r="K575" s="27">
        <v>0</v>
      </c>
      <c r="L575" s="26">
        <v>1</v>
      </c>
      <c r="M575" s="26">
        <v>0</v>
      </c>
      <c r="N575" s="27">
        <v>0</v>
      </c>
      <c r="O575" s="27">
        <v>0</v>
      </c>
      <c r="P575" s="27">
        <v>0</v>
      </c>
      <c r="Q575" s="27">
        <v>0</v>
      </c>
      <c r="R575" s="27">
        <v>0</v>
      </c>
      <c r="S575" s="27">
        <v>0</v>
      </c>
      <c r="T575" s="26">
        <v>1</v>
      </c>
      <c r="U575" s="26">
        <v>1</v>
      </c>
      <c r="V575" s="26">
        <v>1</v>
      </c>
      <c r="W575" s="26">
        <v>1</v>
      </c>
      <c r="X575" s="26">
        <v>0</v>
      </c>
      <c r="Y575" s="26">
        <v>0</v>
      </c>
      <c r="Z575" s="26" t="s">
        <v>751</v>
      </c>
    </row>
    <row r="576" spans="1:26" s="26" customFormat="1" ht="15" customHeight="1" x14ac:dyDescent="0.15">
      <c r="A576" s="26">
        <v>5005</v>
      </c>
      <c r="B576" s="26" t="s">
        <v>681</v>
      </c>
      <c r="C576" s="26">
        <f t="shared" si="74"/>
        <v>0</v>
      </c>
      <c r="D576" s="26">
        <v>1</v>
      </c>
      <c r="F576" s="12">
        <v>0</v>
      </c>
      <c r="G576" s="27">
        <v>0</v>
      </c>
      <c r="H576" s="27">
        <v>0</v>
      </c>
      <c r="I576" s="27">
        <v>0</v>
      </c>
      <c r="J576" s="27">
        <v>0</v>
      </c>
      <c r="K576" s="27">
        <v>0</v>
      </c>
      <c r="L576" s="26">
        <v>1</v>
      </c>
      <c r="M576" s="26">
        <v>0</v>
      </c>
      <c r="N576" s="27">
        <v>0</v>
      </c>
      <c r="O576" s="27">
        <v>0</v>
      </c>
      <c r="P576" s="27">
        <v>0</v>
      </c>
      <c r="Q576" s="27">
        <v>0</v>
      </c>
      <c r="R576" s="27">
        <v>0</v>
      </c>
      <c r="S576" s="27">
        <v>0</v>
      </c>
      <c r="T576" s="26">
        <v>1</v>
      </c>
      <c r="U576" s="26">
        <v>1</v>
      </c>
      <c r="V576" s="26">
        <v>1</v>
      </c>
      <c r="W576" s="26">
        <v>1</v>
      </c>
      <c r="X576" s="26">
        <v>0</v>
      </c>
      <c r="Y576" s="26">
        <v>0</v>
      </c>
      <c r="Z576" s="26" t="s">
        <v>751</v>
      </c>
    </row>
    <row r="577" spans="1:26" s="26" customFormat="1" ht="15" customHeight="1" x14ac:dyDescent="0.15">
      <c r="A577" s="26">
        <v>5006</v>
      </c>
      <c r="B577" s="26" t="s">
        <v>701</v>
      </c>
      <c r="C577" s="26">
        <f t="shared" si="74"/>
        <v>0</v>
      </c>
      <c r="D577" s="26">
        <v>1</v>
      </c>
      <c r="F577" s="12">
        <v>0</v>
      </c>
      <c r="G577" s="27">
        <v>0</v>
      </c>
      <c r="H577" s="27">
        <v>0</v>
      </c>
      <c r="I577" s="27">
        <v>0</v>
      </c>
      <c r="J577" s="27">
        <v>0</v>
      </c>
      <c r="K577" s="27">
        <v>0</v>
      </c>
      <c r="L577" s="26">
        <v>1</v>
      </c>
      <c r="M577" s="26">
        <v>0</v>
      </c>
      <c r="N577" s="27">
        <v>0</v>
      </c>
      <c r="O577" s="27">
        <v>0</v>
      </c>
      <c r="P577" s="27">
        <v>0</v>
      </c>
      <c r="Q577" s="27">
        <v>0</v>
      </c>
      <c r="R577" s="27">
        <v>0</v>
      </c>
      <c r="S577" s="27">
        <v>0</v>
      </c>
      <c r="T577" s="26">
        <v>1</v>
      </c>
      <c r="U577" s="26">
        <v>1</v>
      </c>
      <c r="V577" s="26">
        <v>1</v>
      </c>
      <c r="W577" s="26">
        <v>1</v>
      </c>
      <c r="X577" s="26">
        <v>0</v>
      </c>
      <c r="Y577" s="26">
        <v>0</v>
      </c>
      <c r="Z577" s="26" t="s">
        <v>751</v>
      </c>
    </row>
    <row r="578" spans="1:26" s="26" customFormat="1" ht="15" customHeight="1" x14ac:dyDescent="0.15">
      <c r="A578" s="26">
        <v>5007</v>
      </c>
      <c r="B578" s="26" t="s">
        <v>702</v>
      </c>
      <c r="C578" s="26">
        <f t="shared" si="74"/>
        <v>0</v>
      </c>
      <c r="D578" s="26">
        <v>1</v>
      </c>
      <c r="F578" s="12">
        <v>0</v>
      </c>
      <c r="G578" s="27">
        <v>0</v>
      </c>
      <c r="H578" s="27">
        <v>0</v>
      </c>
      <c r="I578" s="27">
        <v>0</v>
      </c>
      <c r="J578" s="27">
        <v>0</v>
      </c>
      <c r="K578" s="27">
        <v>0</v>
      </c>
      <c r="L578" s="26">
        <v>1</v>
      </c>
      <c r="M578" s="26">
        <v>0</v>
      </c>
      <c r="N578" s="27">
        <v>0</v>
      </c>
      <c r="O578" s="27">
        <v>0</v>
      </c>
      <c r="P578" s="27">
        <v>0</v>
      </c>
      <c r="Q578" s="27">
        <v>0</v>
      </c>
      <c r="R578" s="27">
        <v>0</v>
      </c>
      <c r="S578" s="27">
        <v>0</v>
      </c>
      <c r="T578" s="26">
        <v>1</v>
      </c>
      <c r="U578" s="26">
        <v>1</v>
      </c>
      <c r="V578" s="26">
        <v>1</v>
      </c>
      <c r="W578" s="26">
        <v>1</v>
      </c>
      <c r="X578" s="26">
        <v>0</v>
      </c>
      <c r="Y578" s="26">
        <v>0</v>
      </c>
      <c r="Z578" s="26" t="s">
        <v>751</v>
      </c>
    </row>
    <row r="579" spans="1:26" s="26" customFormat="1" ht="15" customHeight="1" x14ac:dyDescent="0.15">
      <c r="A579" s="26">
        <v>5008</v>
      </c>
      <c r="B579" s="26" t="s">
        <v>703</v>
      </c>
      <c r="C579" s="26">
        <f t="shared" si="74"/>
        <v>0</v>
      </c>
      <c r="D579" s="26">
        <v>1</v>
      </c>
      <c r="F579" s="12">
        <v>0</v>
      </c>
      <c r="G579" s="27">
        <v>0</v>
      </c>
      <c r="H579" s="27">
        <v>0</v>
      </c>
      <c r="I579" s="27">
        <v>0</v>
      </c>
      <c r="J579" s="27">
        <v>0</v>
      </c>
      <c r="K579" s="27">
        <v>0</v>
      </c>
      <c r="L579" s="26">
        <v>1</v>
      </c>
      <c r="M579" s="26">
        <v>0</v>
      </c>
      <c r="N579" s="27">
        <v>0</v>
      </c>
      <c r="O579" s="27">
        <v>0</v>
      </c>
      <c r="P579" s="27">
        <v>0</v>
      </c>
      <c r="Q579" s="27">
        <v>0</v>
      </c>
      <c r="R579" s="27">
        <v>0</v>
      </c>
      <c r="S579" s="27">
        <v>0</v>
      </c>
      <c r="T579" s="26">
        <v>1</v>
      </c>
      <c r="U579" s="26">
        <v>1</v>
      </c>
      <c r="V579" s="26">
        <v>1</v>
      </c>
      <c r="W579" s="26">
        <v>1</v>
      </c>
      <c r="X579" s="26">
        <v>0</v>
      </c>
      <c r="Y579" s="26">
        <v>0</v>
      </c>
      <c r="Z579" s="26" t="s">
        <v>751</v>
      </c>
    </row>
    <row r="580" spans="1:26" s="26" customFormat="1" ht="15" customHeight="1" x14ac:dyDescent="0.15">
      <c r="A580" s="26">
        <v>5009</v>
      </c>
      <c r="B580" s="26" t="s">
        <v>704</v>
      </c>
      <c r="C580" s="26">
        <f t="shared" si="74"/>
        <v>0</v>
      </c>
      <c r="D580" s="26">
        <v>1</v>
      </c>
      <c r="F580" s="12">
        <v>0</v>
      </c>
      <c r="G580" s="27">
        <v>0</v>
      </c>
      <c r="H580" s="27">
        <v>0</v>
      </c>
      <c r="I580" s="27">
        <v>0</v>
      </c>
      <c r="J580" s="27">
        <v>0</v>
      </c>
      <c r="K580" s="27">
        <v>0</v>
      </c>
      <c r="L580" s="26">
        <v>1</v>
      </c>
      <c r="M580" s="26">
        <v>0</v>
      </c>
      <c r="N580" s="27">
        <v>0</v>
      </c>
      <c r="O580" s="27">
        <v>0</v>
      </c>
      <c r="P580" s="27">
        <v>0</v>
      </c>
      <c r="Q580" s="27">
        <v>0</v>
      </c>
      <c r="R580" s="27">
        <v>0</v>
      </c>
      <c r="S580" s="27">
        <v>0</v>
      </c>
      <c r="T580" s="26">
        <v>1</v>
      </c>
      <c r="U580" s="26">
        <v>1</v>
      </c>
      <c r="V580" s="26">
        <v>1</v>
      </c>
      <c r="W580" s="26">
        <v>1</v>
      </c>
      <c r="X580" s="26">
        <v>0</v>
      </c>
      <c r="Y580" s="26">
        <v>0</v>
      </c>
      <c r="Z580" s="26" t="s">
        <v>751</v>
      </c>
    </row>
    <row r="581" spans="1:26" s="26" customFormat="1" ht="15" customHeight="1" x14ac:dyDescent="0.15">
      <c r="A581" s="26">
        <v>5010</v>
      </c>
      <c r="B581" s="26" t="s">
        <v>705</v>
      </c>
      <c r="C581" s="26">
        <f t="shared" si="74"/>
        <v>0</v>
      </c>
      <c r="D581" s="26">
        <v>1</v>
      </c>
      <c r="F581" s="12">
        <v>0</v>
      </c>
      <c r="G581" s="27">
        <v>0</v>
      </c>
      <c r="H581" s="27">
        <v>0</v>
      </c>
      <c r="I581" s="27">
        <v>0</v>
      </c>
      <c r="J581" s="27">
        <v>0</v>
      </c>
      <c r="K581" s="27">
        <v>0</v>
      </c>
      <c r="L581" s="26">
        <v>1</v>
      </c>
      <c r="M581" s="26">
        <v>0</v>
      </c>
      <c r="N581" s="27">
        <v>0</v>
      </c>
      <c r="O581" s="27">
        <v>0</v>
      </c>
      <c r="P581" s="27">
        <v>0</v>
      </c>
      <c r="Q581" s="27">
        <v>0</v>
      </c>
      <c r="R581" s="27">
        <v>0</v>
      </c>
      <c r="S581" s="27">
        <v>0</v>
      </c>
      <c r="T581" s="26">
        <v>1</v>
      </c>
      <c r="U581" s="26">
        <v>1</v>
      </c>
      <c r="V581" s="26">
        <v>1</v>
      </c>
      <c r="W581" s="26">
        <v>1</v>
      </c>
      <c r="X581" s="26">
        <v>0</v>
      </c>
      <c r="Y581" s="26">
        <v>0</v>
      </c>
      <c r="Z581" s="26" t="s">
        <v>751</v>
      </c>
    </row>
    <row r="582" spans="1:26" s="26" customFormat="1" ht="15" customHeight="1" x14ac:dyDescent="0.15">
      <c r="A582" s="26">
        <v>5011</v>
      </c>
      <c r="B582" s="26" t="s">
        <v>719</v>
      </c>
      <c r="C582" s="26">
        <f t="shared" ref="C582:C588" si="75">G582+H582*2+I582*4+J582*8+K582*16</f>
        <v>0</v>
      </c>
      <c r="D582" s="26">
        <v>1</v>
      </c>
      <c r="F582" s="12">
        <v>0</v>
      </c>
      <c r="G582" s="27">
        <v>0</v>
      </c>
      <c r="H582" s="27">
        <v>0</v>
      </c>
      <c r="I582" s="27">
        <v>0</v>
      </c>
      <c r="J582" s="27">
        <v>0</v>
      </c>
      <c r="K582" s="27">
        <v>0</v>
      </c>
      <c r="L582" s="26">
        <v>1</v>
      </c>
      <c r="M582" s="26">
        <v>0</v>
      </c>
      <c r="N582" s="27">
        <v>0</v>
      </c>
      <c r="O582" s="27">
        <v>0</v>
      </c>
      <c r="P582" s="27">
        <v>0</v>
      </c>
      <c r="Q582" s="27">
        <v>0</v>
      </c>
      <c r="R582" s="27">
        <v>0</v>
      </c>
      <c r="S582" s="27">
        <v>0</v>
      </c>
      <c r="T582" s="26">
        <v>1</v>
      </c>
      <c r="U582" s="26">
        <v>1</v>
      </c>
      <c r="V582" s="26">
        <v>1</v>
      </c>
      <c r="W582" s="26">
        <v>1</v>
      </c>
      <c r="X582" s="26">
        <v>0</v>
      </c>
      <c r="Y582" s="26">
        <v>0</v>
      </c>
      <c r="Z582" s="26" t="s">
        <v>751</v>
      </c>
    </row>
    <row r="583" spans="1:26" s="26" customFormat="1" ht="15" customHeight="1" x14ac:dyDescent="0.15">
      <c r="A583" s="26">
        <v>5012</v>
      </c>
      <c r="B583" s="26" t="s">
        <v>720</v>
      </c>
      <c r="C583" s="26">
        <f t="shared" si="75"/>
        <v>0</v>
      </c>
      <c r="D583" s="26">
        <v>1</v>
      </c>
      <c r="F583" s="12">
        <v>0</v>
      </c>
      <c r="G583" s="27">
        <v>0</v>
      </c>
      <c r="H583" s="27">
        <v>0</v>
      </c>
      <c r="I583" s="27">
        <v>0</v>
      </c>
      <c r="J583" s="27">
        <v>0</v>
      </c>
      <c r="K583" s="27">
        <v>0</v>
      </c>
      <c r="L583" s="26">
        <v>1</v>
      </c>
      <c r="M583" s="26">
        <v>0</v>
      </c>
      <c r="N583" s="27">
        <v>0</v>
      </c>
      <c r="O583" s="27">
        <v>0</v>
      </c>
      <c r="P583" s="27">
        <v>0</v>
      </c>
      <c r="Q583" s="27">
        <v>0</v>
      </c>
      <c r="R583" s="27">
        <v>0</v>
      </c>
      <c r="S583" s="27">
        <v>0</v>
      </c>
      <c r="T583" s="26">
        <v>1</v>
      </c>
      <c r="U583" s="26">
        <v>1</v>
      </c>
      <c r="V583" s="26">
        <v>1</v>
      </c>
      <c r="W583" s="26">
        <v>1</v>
      </c>
      <c r="X583" s="26">
        <v>0</v>
      </c>
      <c r="Y583" s="26">
        <v>0</v>
      </c>
      <c r="Z583" s="26" t="s">
        <v>751</v>
      </c>
    </row>
    <row r="584" spans="1:26" s="26" customFormat="1" ht="15" customHeight="1" x14ac:dyDescent="0.15">
      <c r="A584" s="26">
        <v>5013</v>
      </c>
      <c r="B584" s="26" t="s">
        <v>721</v>
      </c>
      <c r="C584" s="26">
        <f t="shared" si="75"/>
        <v>0</v>
      </c>
      <c r="D584" s="26">
        <v>1</v>
      </c>
      <c r="F584" s="12">
        <v>0</v>
      </c>
      <c r="G584" s="27">
        <v>0</v>
      </c>
      <c r="H584" s="27">
        <v>0</v>
      </c>
      <c r="I584" s="27">
        <v>0</v>
      </c>
      <c r="J584" s="27">
        <v>0</v>
      </c>
      <c r="K584" s="27">
        <v>0</v>
      </c>
      <c r="L584" s="26">
        <v>1</v>
      </c>
      <c r="M584" s="26">
        <v>0</v>
      </c>
      <c r="N584" s="27">
        <v>0</v>
      </c>
      <c r="O584" s="27">
        <v>0</v>
      </c>
      <c r="P584" s="27">
        <v>0</v>
      </c>
      <c r="Q584" s="27">
        <v>0</v>
      </c>
      <c r="R584" s="27">
        <v>0</v>
      </c>
      <c r="S584" s="27">
        <v>0</v>
      </c>
      <c r="T584" s="26">
        <v>1</v>
      </c>
      <c r="U584" s="26">
        <v>1</v>
      </c>
      <c r="V584" s="26">
        <v>1</v>
      </c>
      <c r="W584" s="26">
        <v>1</v>
      </c>
      <c r="X584" s="26">
        <v>0</v>
      </c>
      <c r="Y584" s="26">
        <v>0</v>
      </c>
      <c r="Z584" s="26" t="s">
        <v>751</v>
      </c>
    </row>
    <row r="585" spans="1:26" s="26" customFormat="1" ht="15" customHeight="1" x14ac:dyDescent="0.15">
      <c r="A585" s="26">
        <v>5014</v>
      </c>
      <c r="B585" s="26" t="s">
        <v>747</v>
      </c>
      <c r="C585" s="26">
        <f t="shared" si="75"/>
        <v>0</v>
      </c>
      <c r="D585" s="26">
        <v>1</v>
      </c>
      <c r="F585" s="12">
        <v>0</v>
      </c>
      <c r="G585" s="27">
        <v>0</v>
      </c>
      <c r="H585" s="27">
        <v>0</v>
      </c>
      <c r="I585" s="27">
        <v>0</v>
      </c>
      <c r="J585" s="27">
        <v>0</v>
      </c>
      <c r="K585" s="27">
        <v>0</v>
      </c>
      <c r="L585" s="26">
        <v>1</v>
      </c>
      <c r="M585" s="26">
        <v>0</v>
      </c>
      <c r="N585" s="27">
        <v>0</v>
      </c>
      <c r="O585" s="27">
        <v>0</v>
      </c>
      <c r="P585" s="27">
        <v>0</v>
      </c>
      <c r="Q585" s="27">
        <v>0</v>
      </c>
      <c r="R585" s="27">
        <v>0</v>
      </c>
      <c r="S585" s="27">
        <v>0</v>
      </c>
      <c r="T585" s="26">
        <v>1</v>
      </c>
      <c r="U585" s="26">
        <v>1</v>
      </c>
      <c r="V585" s="26">
        <v>1</v>
      </c>
      <c r="W585" s="26">
        <v>1</v>
      </c>
      <c r="X585" s="26">
        <v>0</v>
      </c>
      <c r="Y585" s="26">
        <v>0</v>
      </c>
      <c r="Z585" s="26" t="s">
        <v>751</v>
      </c>
    </row>
    <row r="586" spans="1:26" s="26" customFormat="1" ht="15" customHeight="1" x14ac:dyDescent="0.15">
      <c r="A586" s="26">
        <v>5015</v>
      </c>
      <c r="B586" s="26" t="s">
        <v>748</v>
      </c>
      <c r="C586" s="26">
        <f t="shared" si="75"/>
        <v>0</v>
      </c>
      <c r="D586" s="26">
        <v>1</v>
      </c>
      <c r="F586" s="12">
        <v>0</v>
      </c>
      <c r="G586" s="27">
        <v>0</v>
      </c>
      <c r="H586" s="27">
        <v>0</v>
      </c>
      <c r="I586" s="27">
        <v>0</v>
      </c>
      <c r="J586" s="27">
        <v>0</v>
      </c>
      <c r="K586" s="27">
        <v>0</v>
      </c>
      <c r="L586" s="26">
        <v>1</v>
      </c>
      <c r="M586" s="26">
        <v>0</v>
      </c>
      <c r="N586" s="27">
        <v>0</v>
      </c>
      <c r="O586" s="27">
        <v>0</v>
      </c>
      <c r="P586" s="27">
        <v>0</v>
      </c>
      <c r="Q586" s="27">
        <v>0</v>
      </c>
      <c r="R586" s="27">
        <v>0</v>
      </c>
      <c r="S586" s="27">
        <v>0</v>
      </c>
      <c r="T586" s="26">
        <v>1</v>
      </c>
      <c r="U586" s="26">
        <v>1</v>
      </c>
      <c r="V586" s="26">
        <v>1</v>
      </c>
      <c r="W586" s="26">
        <v>1</v>
      </c>
      <c r="X586" s="26">
        <v>0</v>
      </c>
      <c r="Y586" s="26">
        <v>0</v>
      </c>
      <c r="Z586" s="26" t="s">
        <v>751</v>
      </c>
    </row>
    <row r="587" spans="1:26" s="26" customFormat="1" ht="15" customHeight="1" x14ac:dyDescent="0.15">
      <c r="A587" s="26">
        <v>5016</v>
      </c>
      <c r="B587" s="26" t="s">
        <v>749</v>
      </c>
      <c r="C587" s="26">
        <f t="shared" si="75"/>
        <v>0</v>
      </c>
      <c r="D587" s="26">
        <v>1</v>
      </c>
      <c r="F587" s="12">
        <v>0</v>
      </c>
      <c r="G587" s="27">
        <v>0</v>
      </c>
      <c r="H587" s="27">
        <v>0</v>
      </c>
      <c r="I587" s="27">
        <v>0</v>
      </c>
      <c r="J587" s="27">
        <v>0</v>
      </c>
      <c r="K587" s="27">
        <v>0</v>
      </c>
      <c r="L587" s="26">
        <v>1</v>
      </c>
      <c r="M587" s="26">
        <v>0</v>
      </c>
      <c r="N587" s="27">
        <v>0</v>
      </c>
      <c r="O587" s="27">
        <v>0</v>
      </c>
      <c r="P587" s="27">
        <v>0</v>
      </c>
      <c r="Q587" s="27">
        <v>0</v>
      </c>
      <c r="R587" s="27">
        <v>0</v>
      </c>
      <c r="S587" s="27">
        <v>0</v>
      </c>
      <c r="T587" s="26">
        <v>1</v>
      </c>
      <c r="U587" s="26">
        <v>1</v>
      </c>
      <c r="V587" s="26">
        <v>1</v>
      </c>
      <c r="W587" s="26">
        <v>1</v>
      </c>
      <c r="X587" s="26">
        <v>0</v>
      </c>
      <c r="Y587" s="26">
        <v>0</v>
      </c>
      <c r="Z587" s="26" t="s">
        <v>751</v>
      </c>
    </row>
    <row r="588" spans="1:26" s="26" customFormat="1" ht="15" customHeight="1" x14ac:dyDescent="0.15">
      <c r="A588" s="26">
        <v>5017</v>
      </c>
      <c r="B588" s="26" t="s">
        <v>750</v>
      </c>
      <c r="C588" s="26">
        <f t="shared" si="75"/>
        <v>0</v>
      </c>
      <c r="D588" s="26">
        <v>1</v>
      </c>
      <c r="F588" s="12">
        <v>0</v>
      </c>
      <c r="G588" s="27">
        <v>0</v>
      </c>
      <c r="H588" s="27">
        <v>0</v>
      </c>
      <c r="I588" s="27">
        <v>0</v>
      </c>
      <c r="J588" s="27">
        <v>0</v>
      </c>
      <c r="K588" s="27">
        <v>0</v>
      </c>
      <c r="L588" s="26">
        <v>1</v>
      </c>
      <c r="M588" s="26">
        <v>0</v>
      </c>
      <c r="N588" s="27">
        <v>0</v>
      </c>
      <c r="O588" s="27">
        <v>0</v>
      </c>
      <c r="P588" s="27">
        <v>0</v>
      </c>
      <c r="Q588" s="27">
        <v>0</v>
      </c>
      <c r="R588" s="27">
        <v>0</v>
      </c>
      <c r="S588" s="27">
        <v>0</v>
      </c>
      <c r="T588" s="26">
        <v>1</v>
      </c>
      <c r="U588" s="26">
        <v>1</v>
      </c>
      <c r="V588" s="26">
        <v>1</v>
      </c>
      <c r="W588" s="26">
        <v>1</v>
      </c>
      <c r="X588" s="26">
        <v>0</v>
      </c>
      <c r="Y588" s="26">
        <v>0</v>
      </c>
      <c r="Z588" s="26" t="s">
        <v>751</v>
      </c>
    </row>
    <row r="589" spans="1:26" s="26" customFormat="1" ht="15" customHeight="1" x14ac:dyDescent="0.15">
      <c r="A589" s="26">
        <v>5018</v>
      </c>
      <c r="B589" s="26" t="s">
        <v>857</v>
      </c>
      <c r="C589" s="26">
        <f>G589+H589*2+I589*4+J589*8+K589*16</f>
        <v>0</v>
      </c>
      <c r="D589" s="26">
        <v>1</v>
      </c>
      <c r="F589" s="12">
        <v>0</v>
      </c>
      <c r="G589" s="27">
        <v>0</v>
      </c>
      <c r="H589" s="27">
        <v>0</v>
      </c>
      <c r="I589" s="27">
        <v>0</v>
      </c>
      <c r="J589" s="27">
        <v>0</v>
      </c>
      <c r="K589" s="27">
        <v>0</v>
      </c>
      <c r="L589" s="26">
        <v>1</v>
      </c>
      <c r="M589" s="26">
        <v>0</v>
      </c>
      <c r="N589" s="27">
        <v>0</v>
      </c>
      <c r="O589" s="27">
        <v>0</v>
      </c>
      <c r="P589" s="27">
        <v>0</v>
      </c>
      <c r="Q589" s="27">
        <v>0</v>
      </c>
      <c r="R589" s="27">
        <v>0</v>
      </c>
      <c r="S589" s="27">
        <v>0</v>
      </c>
      <c r="T589" s="26">
        <v>1</v>
      </c>
      <c r="U589" s="26">
        <v>1</v>
      </c>
      <c r="V589" s="26">
        <v>1</v>
      </c>
      <c r="W589" s="26">
        <v>1</v>
      </c>
      <c r="X589" s="26">
        <v>0</v>
      </c>
      <c r="Y589" s="26">
        <v>0</v>
      </c>
      <c r="Z589" s="26" t="s">
        <v>751</v>
      </c>
    </row>
    <row r="590" spans="1:26" s="26" customFormat="1" ht="15" customHeight="1" x14ac:dyDescent="0.15">
      <c r="A590" s="26">
        <v>5019</v>
      </c>
      <c r="B590" s="26" t="s">
        <v>858</v>
      </c>
      <c r="C590" s="26">
        <f>G590+H590*2+I590*4+J590*8+K590*16</f>
        <v>0</v>
      </c>
      <c r="D590" s="26">
        <v>1</v>
      </c>
      <c r="F590" s="12">
        <v>0</v>
      </c>
      <c r="G590" s="27">
        <v>0</v>
      </c>
      <c r="H590" s="27">
        <v>0</v>
      </c>
      <c r="I590" s="27">
        <v>0</v>
      </c>
      <c r="J590" s="27">
        <v>0</v>
      </c>
      <c r="K590" s="27">
        <v>0</v>
      </c>
      <c r="L590" s="26">
        <v>1</v>
      </c>
      <c r="M590" s="26">
        <v>0</v>
      </c>
      <c r="N590" s="27">
        <v>0</v>
      </c>
      <c r="O590" s="27">
        <v>0</v>
      </c>
      <c r="P590" s="27">
        <v>0</v>
      </c>
      <c r="Q590" s="27">
        <v>0</v>
      </c>
      <c r="R590" s="27">
        <v>0</v>
      </c>
      <c r="S590" s="27">
        <v>0</v>
      </c>
      <c r="T590" s="26">
        <v>1</v>
      </c>
      <c r="U590" s="26">
        <v>1</v>
      </c>
      <c r="V590" s="26">
        <v>1</v>
      </c>
      <c r="W590" s="26">
        <v>1</v>
      </c>
      <c r="X590" s="26">
        <v>0</v>
      </c>
      <c r="Y590" s="26">
        <v>0</v>
      </c>
      <c r="Z590" s="26" t="s">
        <v>751</v>
      </c>
    </row>
    <row r="591" spans="1:26" s="26" customFormat="1" ht="15" customHeight="1" x14ac:dyDescent="0.15">
      <c r="A591" s="26">
        <v>5020</v>
      </c>
      <c r="B591" s="26" t="s">
        <v>859</v>
      </c>
      <c r="C591" s="26">
        <f>G591+H591*2+I591*4+J591*8+K591*16</f>
        <v>0</v>
      </c>
      <c r="D591" s="26">
        <v>1</v>
      </c>
      <c r="F591" s="12">
        <v>0</v>
      </c>
      <c r="G591" s="27">
        <v>0</v>
      </c>
      <c r="H591" s="27">
        <v>0</v>
      </c>
      <c r="I591" s="27">
        <v>0</v>
      </c>
      <c r="J591" s="27">
        <v>0</v>
      </c>
      <c r="K591" s="27">
        <v>0</v>
      </c>
      <c r="L591" s="26">
        <v>1</v>
      </c>
      <c r="M591" s="26">
        <v>0</v>
      </c>
      <c r="N591" s="27">
        <v>0</v>
      </c>
      <c r="O591" s="27">
        <v>0</v>
      </c>
      <c r="P591" s="27">
        <v>0</v>
      </c>
      <c r="Q591" s="27">
        <v>0</v>
      </c>
      <c r="R591" s="27">
        <v>0</v>
      </c>
      <c r="S591" s="27">
        <v>0</v>
      </c>
      <c r="T591" s="26">
        <v>1</v>
      </c>
      <c r="U591" s="26">
        <v>1</v>
      </c>
      <c r="V591" s="26">
        <v>1</v>
      </c>
      <c r="W591" s="26">
        <v>1</v>
      </c>
      <c r="X591" s="26">
        <v>0</v>
      </c>
      <c r="Y591" s="26">
        <v>0</v>
      </c>
      <c r="Z591" s="26" t="s">
        <v>882</v>
      </c>
    </row>
    <row r="592" spans="1:26" s="26" customFormat="1" ht="15" customHeight="1" x14ac:dyDescent="0.15">
      <c r="A592" s="26">
        <v>5021</v>
      </c>
      <c r="B592" s="26" t="s">
        <v>1487</v>
      </c>
      <c r="C592" s="26">
        <f t="shared" ref="C592:C598" si="76">G592+H592*2+I592*4+J592*8+K592*16</f>
        <v>0</v>
      </c>
      <c r="D592" s="26">
        <v>1</v>
      </c>
      <c r="F592" s="12">
        <v>0</v>
      </c>
      <c r="G592" s="27">
        <v>0</v>
      </c>
      <c r="H592" s="27">
        <v>0</v>
      </c>
      <c r="I592" s="27">
        <v>0</v>
      </c>
      <c r="J592" s="27">
        <v>0</v>
      </c>
      <c r="K592" s="27">
        <v>0</v>
      </c>
      <c r="L592" s="26">
        <v>1</v>
      </c>
      <c r="M592" s="26">
        <v>0</v>
      </c>
      <c r="N592" s="27">
        <v>0</v>
      </c>
      <c r="O592" s="27">
        <v>0</v>
      </c>
      <c r="P592" s="27">
        <v>0</v>
      </c>
      <c r="Q592" s="27">
        <v>0</v>
      </c>
      <c r="R592" s="27">
        <v>0</v>
      </c>
      <c r="S592" s="27">
        <v>0</v>
      </c>
      <c r="T592" s="26">
        <v>1</v>
      </c>
      <c r="U592" s="26">
        <v>1</v>
      </c>
      <c r="V592" s="26">
        <v>1</v>
      </c>
      <c r="W592" s="26">
        <v>1</v>
      </c>
      <c r="X592" s="26">
        <v>0</v>
      </c>
      <c r="Y592" s="26">
        <v>0</v>
      </c>
      <c r="Z592" s="26" t="s">
        <v>882</v>
      </c>
    </row>
    <row r="593" spans="1:26" s="26" customFormat="1" ht="15" customHeight="1" x14ac:dyDescent="0.15">
      <c r="A593" s="26">
        <v>5022</v>
      </c>
      <c r="B593" s="26" t="s">
        <v>1485</v>
      </c>
      <c r="C593" s="26">
        <f t="shared" si="76"/>
        <v>0</v>
      </c>
      <c r="D593" s="26">
        <v>1</v>
      </c>
      <c r="F593" s="12">
        <v>0</v>
      </c>
      <c r="G593" s="27">
        <v>0</v>
      </c>
      <c r="H593" s="27">
        <v>0</v>
      </c>
      <c r="I593" s="27">
        <v>0</v>
      </c>
      <c r="J593" s="27">
        <v>0</v>
      </c>
      <c r="K593" s="27">
        <v>0</v>
      </c>
      <c r="L593" s="26">
        <v>1</v>
      </c>
      <c r="M593" s="26">
        <v>0</v>
      </c>
      <c r="N593" s="27">
        <v>0</v>
      </c>
      <c r="O593" s="27">
        <v>0</v>
      </c>
      <c r="P593" s="27">
        <v>0</v>
      </c>
      <c r="Q593" s="27">
        <v>0</v>
      </c>
      <c r="R593" s="27">
        <v>0</v>
      </c>
      <c r="S593" s="27">
        <v>0</v>
      </c>
      <c r="T593" s="26">
        <v>1</v>
      </c>
      <c r="U593" s="26">
        <v>1</v>
      </c>
      <c r="V593" s="26">
        <v>1</v>
      </c>
      <c r="W593" s="26">
        <v>1</v>
      </c>
      <c r="X593" s="26">
        <v>0</v>
      </c>
      <c r="Y593" s="26">
        <v>0</v>
      </c>
      <c r="Z593" s="26" t="s">
        <v>882</v>
      </c>
    </row>
    <row r="594" spans="1:26" s="26" customFormat="1" ht="15" customHeight="1" x14ac:dyDescent="0.15">
      <c r="A594" s="26">
        <v>5023</v>
      </c>
      <c r="B594" s="26" t="s">
        <v>860</v>
      </c>
      <c r="C594" s="26">
        <f t="shared" si="76"/>
        <v>0</v>
      </c>
      <c r="D594" s="26">
        <v>1</v>
      </c>
      <c r="F594" s="12">
        <v>0</v>
      </c>
      <c r="G594" s="27">
        <v>0</v>
      </c>
      <c r="H594" s="27">
        <v>0</v>
      </c>
      <c r="I594" s="27">
        <v>0</v>
      </c>
      <c r="J594" s="27">
        <v>0</v>
      </c>
      <c r="K594" s="27">
        <v>0</v>
      </c>
      <c r="L594" s="26">
        <v>1</v>
      </c>
      <c r="M594" s="26">
        <v>0</v>
      </c>
      <c r="N594" s="27">
        <v>0</v>
      </c>
      <c r="O594" s="27">
        <v>0</v>
      </c>
      <c r="P594" s="27">
        <v>0</v>
      </c>
      <c r="Q594" s="27">
        <v>0</v>
      </c>
      <c r="R594" s="27">
        <v>0</v>
      </c>
      <c r="S594" s="27">
        <v>0</v>
      </c>
      <c r="T594" s="26">
        <v>1</v>
      </c>
      <c r="U594" s="26">
        <v>1</v>
      </c>
      <c r="V594" s="26">
        <v>1</v>
      </c>
      <c r="W594" s="26">
        <v>1</v>
      </c>
      <c r="X594" s="26">
        <v>0</v>
      </c>
      <c r="Y594" s="26">
        <v>0</v>
      </c>
      <c r="Z594" s="26" t="s">
        <v>882</v>
      </c>
    </row>
    <row r="595" spans="1:26" s="26" customFormat="1" ht="15" customHeight="1" x14ac:dyDescent="0.15">
      <c r="A595" s="26">
        <v>5024</v>
      </c>
      <c r="B595" s="26" t="s">
        <v>861</v>
      </c>
      <c r="C595" s="26">
        <f t="shared" si="76"/>
        <v>0</v>
      </c>
      <c r="D595" s="26">
        <v>1</v>
      </c>
      <c r="F595" s="12">
        <v>0</v>
      </c>
      <c r="G595" s="27">
        <v>0</v>
      </c>
      <c r="H595" s="27">
        <v>0</v>
      </c>
      <c r="I595" s="27">
        <v>0</v>
      </c>
      <c r="J595" s="27">
        <v>0</v>
      </c>
      <c r="K595" s="27">
        <v>0</v>
      </c>
      <c r="L595" s="26">
        <v>1</v>
      </c>
      <c r="M595" s="26">
        <v>0</v>
      </c>
      <c r="N595" s="27">
        <v>0</v>
      </c>
      <c r="O595" s="27">
        <v>0</v>
      </c>
      <c r="P595" s="27">
        <v>0</v>
      </c>
      <c r="Q595" s="27">
        <v>0</v>
      </c>
      <c r="R595" s="27">
        <v>0</v>
      </c>
      <c r="S595" s="27">
        <v>0</v>
      </c>
      <c r="T595" s="26">
        <v>1</v>
      </c>
      <c r="U595" s="26">
        <v>1</v>
      </c>
      <c r="V595" s="26">
        <v>1</v>
      </c>
      <c r="W595" s="26">
        <v>1</v>
      </c>
      <c r="X595" s="26">
        <v>0</v>
      </c>
      <c r="Y595" s="26">
        <v>0</v>
      </c>
      <c r="Z595" s="26" t="s">
        <v>882</v>
      </c>
    </row>
    <row r="596" spans="1:26" s="26" customFormat="1" ht="15" customHeight="1" x14ac:dyDescent="0.15">
      <c r="A596" s="26">
        <v>5025</v>
      </c>
      <c r="B596" s="26" t="s">
        <v>1483</v>
      </c>
      <c r="C596" s="26">
        <f t="shared" si="76"/>
        <v>0</v>
      </c>
      <c r="D596" s="26">
        <v>1</v>
      </c>
      <c r="F596" s="12">
        <v>0</v>
      </c>
      <c r="G596" s="27">
        <v>0</v>
      </c>
      <c r="H596" s="27">
        <v>0</v>
      </c>
      <c r="I596" s="27">
        <v>0</v>
      </c>
      <c r="J596" s="27">
        <v>0</v>
      </c>
      <c r="K596" s="27">
        <v>0</v>
      </c>
      <c r="L596" s="26">
        <v>1</v>
      </c>
      <c r="M596" s="26">
        <v>0</v>
      </c>
      <c r="N596" s="27">
        <v>0</v>
      </c>
      <c r="O596" s="27">
        <v>0</v>
      </c>
      <c r="P596" s="27">
        <v>0</v>
      </c>
      <c r="Q596" s="27">
        <v>0</v>
      </c>
      <c r="R596" s="27">
        <v>0</v>
      </c>
      <c r="S596" s="27">
        <v>0</v>
      </c>
      <c r="T596" s="26">
        <v>1</v>
      </c>
      <c r="U596" s="26">
        <v>1</v>
      </c>
      <c r="V596" s="26">
        <v>1</v>
      </c>
      <c r="W596" s="26">
        <v>1</v>
      </c>
      <c r="X596" s="26">
        <v>0</v>
      </c>
      <c r="Y596" s="26">
        <v>0</v>
      </c>
      <c r="Z596" s="26" t="s">
        <v>882</v>
      </c>
    </row>
    <row r="597" spans="1:26" s="26" customFormat="1" ht="15" customHeight="1" x14ac:dyDescent="0.15">
      <c r="A597" s="26">
        <v>5026</v>
      </c>
      <c r="B597" s="26" t="s">
        <v>881</v>
      </c>
      <c r="C597" s="26">
        <f t="shared" si="76"/>
        <v>0</v>
      </c>
      <c r="D597" s="26">
        <v>1</v>
      </c>
      <c r="F597" s="12">
        <v>0</v>
      </c>
      <c r="G597" s="27">
        <v>0</v>
      </c>
      <c r="H597" s="27">
        <v>0</v>
      </c>
      <c r="I597" s="27">
        <v>0</v>
      </c>
      <c r="J597" s="27">
        <v>0</v>
      </c>
      <c r="K597" s="27">
        <v>0</v>
      </c>
      <c r="L597" s="26">
        <v>1</v>
      </c>
      <c r="M597" s="26">
        <v>0</v>
      </c>
      <c r="N597" s="27">
        <v>0</v>
      </c>
      <c r="O597" s="27">
        <v>0</v>
      </c>
      <c r="P597" s="27">
        <v>0</v>
      </c>
      <c r="Q597" s="27">
        <v>0</v>
      </c>
      <c r="R597" s="27">
        <v>0</v>
      </c>
      <c r="S597" s="27">
        <v>0</v>
      </c>
      <c r="T597" s="26">
        <v>1</v>
      </c>
      <c r="U597" s="26">
        <v>1</v>
      </c>
      <c r="V597" s="26">
        <v>1</v>
      </c>
      <c r="W597" s="26">
        <v>1</v>
      </c>
      <c r="X597" s="26">
        <v>0</v>
      </c>
      <c r="Y597" s="26">
        <v>0</v>
      </c>
      <c r="Z597" s="26" t="s">
        <v>882</v>
      </c>
    </row>
    <row r="598" spans="1:26" s="26" customFormat="1" ht="15" customHeight="1" x14ac:dyDescent="0.15">
      <c r="A598" s="26">
        <v>5027</v>
      </c>
      <c r="B598" s="26" t="s">
        <v>862</v>
      </c>
      <c r="C598" s="26">
        <f t="shared" si="76"/>
        <v>0</v>
      </c>
      <c r="D598" s="26">
        <v>1</v>
      </c>
      <c r="F598" s="12">
        <v>0</v>
      </c>
      <c r="G598" s="27">
        <v>0</v>
      </c>
      <c r="H598" s="27">
        <v>0</v>
      </c>
      <c r="I598" s="27">
        <v>0</v>
      </c>
      <c r="J598" s="27">
        <v>0</v>
      </c>
      <c r="K598" s="27">
        <v>0</v>
      </c>
      <c r="L598" s="26">
        <v>1</v>
      </c>
      <c r="M598" s="26">
        <v>0</v>
      </c>
      <c r="N598" s="27">
        <v>0</v>
      </c>
      <c r="O598" s="27">
        <v>0</v>
      </c>
      <c r="P598" s="27">
        <v>0</v>
      </c>
      <c r="Q598" s="27">
        <v>0</v>
      </c>
      <c r="R598" s="27">
        <v>0</v>
      </c>
      <c r="S598" s="27">
        <v>0</v>
      </c>
      <c r="T598" s="26">
        <v>1</v>
      </c>
      <c r="U598" s="26">
        <v>1</v>
      </c>
      <c r="V598" s="26">
        <v>1</v>
      </c>
      <c r="W598" s="26">
        <v>1</v>
      </c>
      <c r="X598" s="26">
        <v>0</v>
      </c>
      <c r="Y598" s="26">
        <v>0</v>
      </c>
      <c r="Z598" s="26" t="s">
        <v>882</v>
      </c>
    </row>
    <row r="599" spans="1:26" s="26" customFormat="1" ht="15" customHeight="1" x14ac:dyDescent="0.15">
      <c r="A599" s="26">
        <v>5028</v>
      </c>
      <c r="B599" s="26" t="s">
        <v>886</v>
      </c>
      <c r="C599" s="26">
        <f t="shared" ref="C599:C604" si="77">G599+H599*2+I599*4+J599*8+K599*16</f>
        <v>0</v>
      </c>
      <c r="D599" s="26">
        <v>1</v>
      </c>
      <c r="F599" s="12">
        <v>0</v>
      </c>
      <c r="G599" s="27">
        <v>0</v>
      </c>
      <c r="H599" s="27">
        <v>0</v>
      </c>
      <c r="I599" s="27">
        <v>0</v>
      </c>
      <c r="J599" s="27">
        <v>0</v>
      </c>
      <c r="K599" s="27">
        <v>0</v>
      </c>
      <c r="L599" s="26">
        <v>1</v>
      </c>
      <c r="M599" s="26">
        <v>0</v>
      </c>
      <c r="N599" s="27">
        <v>0</v>
      </c>
      <c r="O599" s="27">
        <v>0</v>
      </c>
      <c r="P599" s="27">
        <v>0</v>
      </c>
      <c r="Q599" s="27">
        <v>0</v>
      </c>
      <c r="R599" s="27">
        <v>0</v>
      </c>
      <c r="S599" s="27">
        <v>0</v>
      </c>
      <c r="T599" s="26">
        <v>1</v>
      </c>
      <c r="U599" s="26">
        <v>1</v>
      </c>
      <c r="V599" s="26">
        <v>1</v>
      </c>
      <c r="W599" s="26">
        <v>1</v>
      </c>
      <c r="X599" s="26">
        <v>0</v>
      </c>
      <c r="Y599" s="26">
        <v>0</v>
      </c>
      <c r="Z599" s="26" t="s">
        <v>751</v>
      </c>
    </row>
    <row r="600" spans="1:26" s="26" customFormat="1" ht="15" customHeight="1" x14ac:dyDescent="0.15">
      <c r="A600" s="26">
        <v>5029</v>
      </c>
      <c r="B600" s="26" t="s">
        <v>863</v>
      </c>
      <c r="C600" s="26">
        <f t="shared" si="77"/>
        <v>0</v>
      </c>
      <c r="D600" s="26">
        <v>1</v>
      </c>
      <c r="F600" s="12">
        <v>0</v>
      </c>
      <c r="G600" s="27">
        <v>0</v>
      </c>
      <c r="H600" s="27">
        <v>0</v>
      </c>
      <c r="I600" s="27">
        <v>0</v>
      </c>
      <c r="J600" s="27">
        <v>0</v>
      </c>
      <c r="K600" s="27">
        <v>0</v>
      </c>
      <c r="L600" s="26">
        <v>1</v>
      </c>
      <c r="M600" s="26">
        <v>0</v>
      </c>
      <c r="N600" s="27">
        <v>0</v>
      </c>
      <c r="O600" s="27">
        <v>0</v>
      </c>
      <c r="P600" s="27">
        <v>0</v>
      </c>
      <c r="Q600" s="27">
        <v>0</v>
      </c>
      <c r="R600" s="27">
        <v>0</v>
      </c>
      <c r="S600" s="27">
        <v>0</v>
      </c>
      <c r="T600" s="26">
        <v>1</v>
      </c>
      <c r="U600" s="26">
        <v>1</v>
      </c>
      <c r="V600" s="26">
        <v>1</v>
      </c>
      <c r="W600" s="26">
        <v>1</v>
      </c>
      <c r="X600" s="26">
        <v>0</v>
      </c>
      <c r="Y600" s="26">
        <v>0</v>
      </c>
      <c r="Z600" s="26" t="s">
        <v>751</v>
      </c>
    </row>
    <row r="601" spans="1:26" s="26" customFormat="1" ht="15" customHeight="1" x14ac:dyDescent="0.15">
      <c r="A601" s="26">
        <v>5030</v>
      </c>
      <c r="B601" s="26" t="s">
        <v>864</v>
      </c>
      <c r="C601" s="26">
        <f t="shared" si="77"/>
        <v>0</v>
      </c>
      <c r="D601" s="26">
        <v>1</v>
      </c>
      <c r="F601" s="12">
        <v>0</v>
      </c>
      <c r="G601" s="27">
        <v>0</v>
      </c>
      <c r="H601" s="27">
        <v>0</v>
      </c>
      <c r="I601" s="27">
        <v>0</v>
      </c>
      <c r="J601" s="27">
        <v>0</v>
      </c>
      <c r="K601" s="27">
        <v>0</v>
      </c>
      <c r="L601" s="26">
        <v>1</v>
      </c>
      <c r="M601" s="26">
        <v>0</v>
      </c>
      <c r="N601" s="27">
        <v>0</v>
      </c>
      <c r="O601" s="27">
        <v>0</v>
      </c>
      <c r="P601" s="27">
        <v>0</v>
      </c>
      <c r="Q601" s="27">
        <v>0</v>
      </c>
      <c r="R601" s="27">
        <v>0</v>
      </c>
      <c r="S601" s="27">
        <v>0</v>
      </c>
      <c r="T601" s="26">
        <v>1</v>
      </c>
      <c r="U601" s="26">
        <v>1</v>
      </c>
      <c r="V601" s="26">
        <v>1</v>
      </c>
      <c r="W601" s="26">
        <v>1</v>
      </c>
      <c r="X601" s="26">
        <v>0</v>
      </c>
      <c r="Y601" s="26">
        <v>0</v>
      </c>
      <c r="Z601" s="26" t="s">
        <v>751</v>
      </c>
    </row>
    <row r="602" spans="1:26" s="26" customFormat="1" ht="15" customHeight="1" x14ac:dyDescent="0.15">
      <c r="A602" s="26">
        <v>5031</v>
      </c>
      <c r="B602" s="26" t="s">
        <v>883</v>
      </c>
      <c r="C602" s="26">
        <f t="shared" si="77"/>
        <v>0</v>
      </c>
      <c r="D602" s="26">
        <v>1</v>
      </c>
      <c r="F602" s="12">
        <v>0</v>
      </c>
      <c r="G602" s="27">
        <v>0</v>
      </c>
      <c r="H602" s="27">
        <v>0</v>
      </c>
      <c r="I602" s="27">
        <v>0</v>
      </c>
      <c r="J602" s="27">
        <v>0</v>
      </c>
      <c r="K602" s="27">
        <v>0</v>
      </c>
      <c r="L602" s="26">
        <v>1</v>
      </c>
      <c r="M602" s="26">
        <v>0</v>
      </c>
      <c r="N602" s="27">
        <v>0</v>
      </c>
      <c r="O602" s="27">
        <v>0</v>
      </c>
      <c r="P602" s="27">
        <v>0</v>
      </c>
      <c r="Q602" s="27">
        <v>0</v>
      </c>
      <c r="R602" s="27">
        <v>0</v>
      </c>
      <c r="S602" s="27">
        <v>0</v>
      </c>
      <c r="T602" s="26">
        <v>1</v>
      </c>
      <c r="U602" s="26">
        <v>1</v>
      </c>
      <c r="V602" s="26">
        <v>1</v>
      </c>
      <c r="W602" s="26">
        <v>1</v>
      </c>
      <c r="X602" s="26">
        <v>0</v>
      </c>
      <c r="Y602" s="26">
        <v>0</v>
      </c>
      <c r="Z602" s="26" t="s">
        <v>751</v>
      </c>
    </row>
    <row r="603" spans="1:26" s="26" customFormat="1" ht="15" customHeight="1" x14ac:dyDescent="0.15">
      <c r="A603" s="26">
        <v>5032</v>
      </c>
      <c r="B603" s="26" t="s">
        <v>865</v>
      </c>
      <c r="C603" s="26">
        <f t="shared" si="77"/>
        <v>0</v>
      </c>
      <c r="D603" s="26">
        <v>1</v>
      </c>
      <c r="F603" s="12">
        <v>0</v>
      </c>
      <c r="G603" s="27">
        <v>0</v>
      </c>
      <c r="H603" s="27">
        <v>0</v>
      </c>
      <c r="I603" s="27">
        <v>0</v>
      </c>
      <c r="J603" s="27">
        <v>0</v>
      </c>
      <c r="K603" s="27">
        <v>0</v>
      </c>
      <c r="L603" s="26">
        <v>1</v>
      </c>
      <c r="M603" s="26">
        <v>0</v>
      </c>
      <c r="N603" s="27">
        <v>0</v>
      </c>
      <c r="O603" s="27">
        <v>0</v>
      </c>
      <c r="P603" s="27">
        <v>0</v>
      </c>
      <c r="Q603" s="27">
        <v>0</v>
      </c>
      <c r="R603" s="27">
        <v>0</v>
      </c>
      <c r="S603" s="27">
        <v>0</v>
      </c>
      <c r="T603" s="26">
        <v>1</v>
      </c>
      <c r="U603" s="26">
        <v>1</v>
      </c>
      <c r="V603" s="26">
        <v>1</v>
      </c>
      <c r="W603" s="26">
        <v>1</v>
      </c>
      <c r="X603" s="26">
        <v>0</v>
      </c>
      <c r="Y603" s="26">
        <v>0</v>
      </c>
      <c r="Z603" s="26" t="s">
        <v>751</v>
      </c>
    </row>
    <row r="604" spans="1:26" s="26" customFormat="1" ht="15" customHeight="1" x14ac:dyDescent="0.15">
      <c r="A604" s="26">
        <v>5033</v>
      </c>
      <c r="B604" s="26" t="s">
        <v>885</v>
      </c>
      <c r="C604" s="26">
        <f t="shared" si="77"/>
        <v>0</v>
      </c>
      <c r="D604" s="26">
        <v>1</v>
      </c>
      <c r="F604" s="12">
        <v>0</v>
      </c>
      <c r="G604" s="27">
        <v>0</v>
      </c>
      <c r="H604" s="27">
        <v>0</v>
      </c>
      <c r="I604" s="27">
        <v>0</v>
      </c>
      <c r="J604" s="27">
        <v>0</v>
      </c>
      <c r="K604" s="27">
        <v>0</v>
      </c>
      <c r="L604" s="26">
        <v>1</v>
      </c>
      <c r="M604" s="26">
        <v>0</v>
      </c>
      <c r="N604" s="27">
        <v>0</v>
      </c>
      <c r="O604" s="27">
        <v>0</v>
      </c>
      <c r="P604" s="27">
        <v>0</v>
      </c>
      <c r="Q604" s="27">
        <v>0</v>
      </c>
      <c r="R604" s="27">
        <v>0</v>
      </c>
      <c r="S604" s="27">
        <v>0</v>
      </c>
      <c r="T604" s="26">
        <v>1</v>
      </c>
      <c r="U604" s="26">
        <v>1</v>
      </c>
      <c r="V604" s="26">
        <v>1</v>
      </c>
      <c r="W604" s="26">
        <v>1</v>
      </c>
      <c r="X604" s="26">
        <v>0</v>
      </c>
      <c r="Y604" s="26">
        <v>0</v>
      </c>
      <c r="Z604" s="26" t="s">
        <v>751</v>
      </c>
    </row>
    <row r="605" spans="1:26" s="38" customFormat="1" ht="15" customHeight="1" x14ac:dyDescent="0.15">
      <c r="A605" s="38">
        <v>5034</v>
      </c>
      <c r="B605" s="38" t="s">
        <v>899</v>
      </c>
      <c r="C605" s="38">
        <f t="shared" ref="C605:C619" si="78">G605+H605*2+I605*4+J605*8+K605*16</f>
        <v>1</v>
      </c>
      <c r="D605" s="38">
        <v>1</v>
      </c>
      <c r="F605" s="12">
        <v>0</v>
      </c>
      <c r="G605" s="40">
        <v>1</v>
      </c>
      <c r="H605" s="40">
        <v>0</v>
      </c>
      <c r="I605" s="40">
        <v>0</v>
      </c>
      <c r="J605" s="40">
        <v>0</v>
      </c>
      <c r="K605" s="40">
        <v>0</v>
      </c>
      <c r="L605" s="38">
        <v>1</v>
      </c>
      <c r="M605" s="38">
        <f t="shared" ref="M605:M617" si="79">N605+O605*2+P605*4+Q605*8+R605*16+S605*32</f>
        <v>0</v>
      </c>
      <c r="N605" s="40">
        <v>0</v>
      </c>
      <c r="O605" s="40">
        <v>0</v>
      </c>
      <c r="P605" s="40">
        <v>0</v>
      </c>
      <c r="Q605" s="40">
        <v>0</v>
      </c>
      <c r="R605" s="40">
        <v>0</v>
      </c>
      <c r="S605" s="40">
        <v>0</v>
      </c>
      <c r="T605" s="38">
        <v>1</v>
      </c>
      <c r="U605" s="38">
        <v>1</v>
      </c>
      <c r="V605" s="38">
        <v>0</v>
      </c>
      <c r="W605" s="38">
        <v>1</v>
      </c>
      <c r="X605" s="38">
        <v>0</v>
      </c>
      <c r="Y605" s="38">
        <v>0</v>
      </c>
      <c r="Z605" s="38" t="s">
        <v>904</v>
      </c>
    </row>
    <row r="606" spans="1:26" s="38" customFormat="1" ht="15" customHeight="1" x14ac:dyDescent="0.15">
      <c r="A606" s="38">
        <v>5035</v>
      </c>
      <c r="B606" s="38" t="s">
        <v>887</v>
      </c>
      <c r="C606" s="38">
        <f t="shared" si="78"/>
        <v>0</v>
      </c>
      <c r="D606" s="38">
        <v>1</v>
      </c>
      <c r="F606" s="12">
        <v>0</v>
      </c>
      <c r="G606" s="40">
        <v>0</v>
      </c>
      <c r="H606" s="40">
        <v>0</v>
      </c>
      <c r="I606" s="40">
        <v>0</v>
      </c>
      <c r="J606" s="40">
        <v>0</v>
      </c>
      <c r="K606" s="40">
        <v>0</v>
      </c>
      <c r="L606" s="38">
        <v>1</v>
      </c>
      <c r="M606" s="38">
        <f t="shared" si="79"/>
        <v>0</v>
      </c>
      <c r="N606" s="40">
        <v>0</v>
      </c>
      <c r="O606" s="40">
        <v>0</v>
      </c>
      <c r="P606" s="40">
        <v>0</v>
      </c>
      <c r="Q606" s="40">
        <v>0</v>
      </c>
      <c r="R606" s="40">
        <v>0</v>
      </c>
      <c r="S606" s="40">
        <v>0</v>
      </c>
      <c r="T606" s="38">
        <v>1</v>
      </c>
      <c r="U606" s="38">
        <v>1</v>
      </c>
      <c r="V606" s="38">
        <v>0</v>
      </c>
      <c r="W606" s="38">
        <v>1</v>
      </c>
      <c r="X606" s="38">
        <v>0</v>
      </c>
      <c r="Y606" s="38">
        <v>0</v>
      </c>
      <c r="Z606" s="38" t="s">
        <v>898</v>
      </c>
    </row>
    <row r="607" spans="1:26" s="38" customFormat="1" ht="15" customHeight="1" x14ac:dyDescent="0.15">
      <c r="A607" s="38">
        <v>5036</v>
      </c>
      <c r="B607" s="38" t="s">
        <v>888</v>
      </c>
      <c r="C607" s="38">
        <f t="shared" si="78"/>
        <v>0</v>
      </c>
      <c r="D607" s="38">
        <v>1</v>
      </c>
      <c r="F607" s="12">
        <v>0</v>
      </c>
      <c r="G607" s="40">
        <v>0</v>
      </c>
      <c r="H607" s="40">
        <v>0</v>
      </c>
      <c r="I607" s="40">
        <v>0</v>
      </c>
      <c r="J607" s="40">
        <v>0</v>
      </c>
      <c r="K607" s="40">
        <v>0</v>
      </c>
      <c r="L607" s="38">
        <v>1</v>
      </c>
      <c r="M607" s="38">
        <f t="shared" si="79"/>
        <v>0</v>
      </c>
      <c r="N607" s="40">
        <v>0</v>
      </c>
      <c r="O607" s="40">
        <v>0</v>
      </c>
      <c r="P607" s="40">
        <v>0</v>
      </c>
      <c r="Q607" s="40">
        <v>0</v>
      </c>
      <c r="R607" s="40">
        <v>0</v>
      </c>
      <c r="S607" s="40">
        <v>0</v>
      </c>
      <c r="T607" s="38">
        <v>1</v>
      </c>
      <c r="U607" s="38">
        <v>1</v>
      </c>
      <c r="V607" s="38">
        <v>0</v>
      </c>
      <c r="W607" s="38">
        <v>1</v>
      </c>
      <c r="X607" s="38">
        <v>0</v>
      </c>
      <c r="Y607" s="38">
        <v>0</v>
      </c>
      <c r="Z607" s="38" t="s">
        <v>898</v>
      </c>
    </row>
    <row r="608" spans="1:26" s="38" customFormat="1" ht="15" customHeight="1" x14ac:dyDescent="0.15">
      <c r="A608" s="38">
        <v>5037</v>
      </c>
      <c r="B608" s="38" t="s">
        <v>889</v>
      </c>
      <c r="C608" s="38">
        <f t="shared" si="78"/>
        <v>0</v>
      </c>
      <c r="D608" s="38">
        <v>1</v>
      </c>
      <c r="F608" s="12">
        <v>0</v>
      </c>
      <c r="G608" s="40">
        <v>0</v>
      </c>
      <c r="H608" s="40">
        <v>0</v>
      </c>
      <c r="I608" s="40">
        <v>0</v>
      </c>
      <c r="J608" s="40">
        <v>0</v>
      </c>
      <c r="K608" s="40">
        <v>0</v>
      </c>
      <c r="L608" s="38">
        <v>1</v>
      </c>
      <c r="M608" s="38">
        <f t="shared" si="79"/>
        <v>0</v>
      </c>
      <c r="N608" s="40">
        <v>0</v>
      </c>
      <c r="O608" s="40">
        <v>0</v>
      </c>
      <c r="P608" s="40">
        <v>0</v>
      </c>
      <c r="Q608" s="40">
        <v>0</v>
      </c>
      <c r="R608" s="40">
        <v>0</v>
      </c>
      <c r="S608" s="40">
        <v>0</v>
      </c>
      <c r="T608" s="38">
        <v>1</v>
      </c>
      <c r="U608" s="38">
        <v>1</v>
      </c>
      <c r="V608" s="38">
        <v>0</v>
      </c>
      <c r="W608" s="38">
        <v>1</v>
      </c>
      <c r="X608" s="38">
        <v>0</v>
      </c>
      <c r="Y608" s="38">
        <v>0</v>
      </c>
      <c r="Z608" s="38" t="s">
        <v>898</v>
      </c>
    </row>
    <row r="609" spans="1:26" s="38" customFormat="1" ht="15" customHeight="1" x14ac:dyDescent="0.15">
      <c r="A609" s="38">
        <v>5038</v>
      </c>
      <c r="B609" s="38" t="s">
        <v>890</v>
      </c>
      <c r="C609" s="38">
        <f t="shared" si="78"/>
        <v>0</v>
      </c>
      <c r="D609" s="38">
        <v>1</v>
      </c>
      <c r="F609" s="12">
        <v>0</v>
      </c>
      <c r="G609" s="40">
        <v>0</v>
      </c>
      <c r="H609" s="40">
        <v>0</v>
      </c>
      <c r="I609" s="40">
        <v>0</v>
      </c>
      <c r="J609" s="40">
        <v>0</v>
      </c>
      <c r="K609" s="40">
        <v>0</v>
      </c>
      <c r="L609" s="38">
        <v>1</v>
      </c>
      <c r="M609" s="38">
        <f t="shared" si="79"/>
        <v>0</v>
      </c>
      <c r="N609" s="40">
        <v>0</v>
      </c>
      <c r="O609" s="40">
        <v>0</v>
      </c>
      <c r="P609" s="40">
        <v>0</v>
      </c>
      <c r="Q609" s="40">
        <v>0</v>
      </c>
      <c r="R609" s="40">
        <v>0</v>
      </c>
      <c r="S609" s="40">
        <v>0</v>
      </c>
      <c r="T609" s="38">
        <v>1</v>
      </c>
      <c r="U609" s="38">
        <v>1</v>
      </c>
      <c r="V609" s="38">
        <v>0</v>
      </c>
      <c r="W609" s="38">
        <v>1</v>
      </c>
      <c r="X609" s="38">
        <v>0</v>
      </c>
      <c r="Y609" s="38">
        <v>0</v>
      </c>
      <c r="Z609" s="38" t="s">
        <v>898</v>
      </c>
    </row>
    <row r="610" spans="1:26" s="38" customFormat="1" ht="15" customHeight="1" x14ac:dyDescent="0.15">
      <c r="A610" s="38">
        <v>5039</v>
      </c>
      <c r="B610" s="38" t="s">
        <v>891</v>
      </c>
      <c r="C610" s="38">
        <f t="shared" si="78"/>
        <v>0</v>
      </c>
      <c r="D610" s="38">
        <v>1</v>
      </c>
      <c r="F610" s="12">
        <v>0</v>
      </c>
      <c r="G610" s="40">
        <v>0</v>
      </c>
      <c r="H610" s="40">
        <v>0</v>
      </c>
      <c r="I610" s="40">
        <v>0</v>
      </c>
      <c r="J610" s="40">
        <v>0</v>
      </c>
      <c r="K610" s="40">
        <v>0</v>
      </c>
      <c r="L610" s="38">
        <v>1</v>
      </c>
      <c r="M610" s="38">
        <f t="shared" si="79"/>
        <v>0</v>
      </c>
      <c r="N610" s="40">
        <v>0</v>
      </c>
      <c r="O610" s="40">
        <v>0</v>
      </c>
      <c r="P610" s="40">
        <v>0</v>
      </c>
      <c r="Q610" s="40">
        <v>0</v>
      </c>
      <c r="R610" s="40">
        <v>0</v>
      </c>
      <c r="S610" s="40">
        <v>0</v>
      </c>
      <c r="T610" s="38">
        <v>1</v>
      </c>
      <c r="U610" s="38">
        <v>1</v>
      </c>
      <c r="V610" s="38">
        <v>0</v>
      </c>
      <c r="W610" s="38">
        <v>1</v>
      </c>
      <c r="X610" s="38">
        <v>0</v>
      </c>
      <c r="Y610" s="38">
        <v>0</v>
      </c>
      <c r="Z610" s="38" t="s">
        <v>898</v>
      </c>
    </row>
    <row r="611" spans="1:26" s="38" customFormat="1" ht="15" customHeight="1" x14ac:dyDescent="0.15">
      <c r="A611" s="38">
        <v>5040</v>
      </c>
      <c r="B611" s="38" t="s">
        <v>892</v>
      </c>
      <c r="C611" s="38">
        <f t="shared" si="78"/>
        <v>0</v>
      </c>
      <c r="D611" s="38">
        <v>1</v>
      </c>
      <c r="F611" s="12">
        <v>0</v>
      </c>
      <c r="G611" s="40">
        <v>0</v>
      </c>
      <c r="H611" s="40">
        <v>0</v>
      </c>
      <c r="I611" s="40">
        <v>0</v>
      </c>
      <c r="J611" s="40">
        <v>0</v>
      </c>
      <c r="K611" s="40">
        <v>0</v>
      </c>
      <c r="L611" s="38">
        <v>1</v>
      </c>
      <c r="M611" s="38">
        <f t="shared" si="79"/>
        <v>0</v>
      </c>
      <c r="N611" s="40">
        <v>0</v>
      </c>
      <c r="O611" s="40">
        <v>0</v>
      </c>
      <c r="P611" s="40">
        <v>0</v>
      </c>
      <c r="Q611" s="40">
        <v>0</v>
      </c>
      <c r="R611" s="40">
        <v>0</v>
      </c>
      <c r="S611" s="40">
        <v>0</v>
      </c>
      <c r="T611" s="38">
        <v>1</v>
      </c>
      <c r="U611" s="38">
        <v>1</v>
      </c>
      <c r="V611" s="38">
        <v>0</v>
      </c>
      <c r="W611" s="38">
        <v>1</v>
      </c>
      <c r="X611" s="38">
        <v>0</v>
      </c>
      <c r="Y611" s="38">
        <v>0</v>
      </c>
      <c r="Z611" s="38" t="s">
        <v>898</v>
      </c>
    </row>
    <row r="612" spans="1:26" s="38" customFormat="1" ht="15" customHeight="1" x14ac:dyDescent="0.15">
      <c r="A612" s="38">
        <v>5041</v>
      </c>
      <c r="B612" s="38" t="s">
        <v>893</v>
      </c>
      <c r="C612" s="38">
        <f t="shared" si="78"/>
        <v>0</v>
      </c>
      <c r="D612" s="38">
        <v>1</v>
      </c>
      <c r="F612" s="12">
        <v>0</v>
      </c>
      <c r="G612" s="40">
        <v>0</v>
      </c>
      <c r="H612" s="40">
        <v>0</v>
      </c>
      <c r="I612" s="40">
        <v>0</v>
      </c>
      <c r="J612" s="40">
        <v>0</v>
      </c>
      <c r="K612" s="40">
        <v>0</v>
      </c>
      <c r="L612" s="38">
        <v>1</v>
      </c>
      <c r="M612" s="38">
        <f t="shared" si="79"/>
        <v>0</v>
      </c>
      <c r="N612" s="40">
        <v>0</v>
      </c>
      <c r="O612" s="40">
        <v>0</v>
      </c>
      <c r="P612" s="40">
        <v>0</v>
      </c>
      <c r="Q612" s="40">
        <v>0</v>
      </c>
      <c r="R612" s="40">
        <v>0</v>
      </c>
      <c r="S612" s="40">
        <v>0</v>
      </c>
      <c r="T612" s="38">
        <v>1</v>
      </c>
      <c r="U612" s="38">
        <v>1</v>
      </c>
      <c r="V612" s="38">
        <v>0</v>
      </c>
      <c r="W612" s="38">
        <v>1</v>
      </c>
      <c r="X612" s="38">
        <v>0</v>
      </c>
      <c r="Y612" s="38">
        <v>0</v>
      </c>
      <c r="Z612" s="38" t="s">
        <v>898</v>
      </c>
    </row>
    <row r="613" spans="1:26" s="38" customFormat="1" ht="15" customHeight="1" x14ac:dyDescent="0.15">
      <c r="A613" s="38">
        <v>5042</v>
      </c>
      <c r="B613" s="38" t="s">
        <v>894</v>
      </c>
      <c r="C613" s="38">
        <f t="shared" si="78"/>
        <v>0</v>
      </c>
      <c r="D613" s="38">
        <v>1</v>
      </c>
      <c r="F613" s="12">
        <v>0</v>
      </c>
      <c r="G613" s="40">
        <v>0</v>
      </c>
      <c r="H613" s="40">
        <v>0</v>
      </c>
      <c r="I613" s="40">
        <v>0</v>
      </c>
      <c r="J613" s="40">
        <v>0</v>
      </c>
      <c r="K613" s="40">
        <v>0</v>
      </c>
      <c r="L613" s="38">
        <v>1</v>
      </c>
      <c r="M613" s="38">
        <f t="shared" si="79"/>
        <v>0</v>
      </c>
      <c r="N613" s="40">
        <v>0</v>
      </c>
      <c r="O613" s="40">
        <v>0</v>
      </c>
      <c r="P613" s="40">
        <v>0</v>
      </c>
      <c r="Q613" s="40">
        <v>0</v>
      </c>
      <c r="R613" s="40">
        <v>0</v>
      </c>
      <c r="S613" s="40">
        <v>0</v>
      </c>
      <c r="T613" s="38">
        <v>1</v>
      </c>
      <c r="U613" s="38">
        <v>1</v>
      </c>
      <c r="V613" s="38">
        <v>0</v>
      </c>
      <c r="W613" s="38">
        <v>1</v>
      </c>
      <c r="X613" s="38">
        <v>0</v>
      </c>
      <c r="Y613" s="38">
        <v>0</v>
      </c>
      <c r="Z613" s="38" t="s">
        <v>898</v>
      </c>
    </row>
    <row r="614" spans="1:26" s="38" customFormat="1" ht="15" customHeight="1" x14ac:dyDescent="0.15">
      <c r="A614" s="38">
        <v>5043</v>
      </c>
      <c r="B614" s="38" t="s">
        <v>895</v>
      </c>
      <c r="C614" s="38">
        <f t="shared" si="78"/>
        <v>0</v>
      </c>
      <c r="D614" s="38">
        <v>1</v>
      </c>
      <c r="F614" s="12">
        <v>0</v>
      </c>
      <c r="G614" s="40">
        <v>0</v>
      </c>
      <c r="H614" s="40">
        <v>0</v>
      </c>
      <c r="I614" s="40">
        <v>0</v>
      </c>
      <c r="J614" s="40">
        <v>0</v>
      </c>
      <c r="K614" s="40">
        <v>0</v>
      </c>
      <c r="L614" s="38">
        <v>1</v>
      </c>
      <c r="M614" s="38">
        <f t="shared" si="79"/>
        <v>0</v>
      </c>
      <c r="N614" s="40">
        <v>0</v>
      </c>
      <c r="O614" s="40">
        <v>0</v>
      </c>
      <c r="P614" s="40">
        <v>0</v>
      </c>
      <c r="Q614" s="40">
        <v>0</v>
      </c>
      <c r="R614" s="40">
        <v>0</v>
      </c>
      <c r="S614" s="40">
        <v>0</v>
      </c>
      <c r="T614" s="38">
        <v>1</v>
      </c>
      <c r="U614" s="38">
        <v>1</v>
      </c>
      <c r="V614" s="38">
        <v>0</v>
      </c>
      <c r="W614" s="38">
        <v>1</v>
      </c>
      <c r="X614" s="38">
        <v>0</v>
      </c>
      <c r="Y614" s="38">
        <v>0</v>
      </c>
      <c r="Z614" s="38" t="s">
        <v>898</v>
      </c>
    </row>
    <row r="615" spans="1:26" s="38" customFormat="1" ht="15" customHeight="1" x14ac:dyDescent="0.15">
      <c r="A615" s="38">
        <v>5044</v>
      </c>
      <c r="B615" s="38" t="s">
        <v>896</v>
      </c>
      <c r="C615" s="38">
        <f t="shared" si="78"/>
        <v>0</v>
      </c>
      <c r="D615" s="38">
        <v>1</v>
      </c>
      <c r="F615" s="12">
        <v>0</v>
      </c>
      <c r="G615" s="40">
        <v>0</v>
      </c>
      <c r="H615" s="40">
        <v>0</v>
      </c>
      <c r="I615" s="40">
        <v>0</v>
      </c>
      <c r="J615" s="40">
        <v>0</v>
      </c>
      <c r="K615" s="40">
        <v>0</v>
      </c>
      <c r="L615" s="38">
        <v>1</v>
      </c>
      <c r="M615" s="38">
        <f t="shared" si="79"/>
        <v>0</v>
      </c>
      <c r="N615" s="40">
        <v>0</v>
      </c>
      <c r="O615" s="40">
        <v>0</v>
      </c>
      <c r="P615" s="40">
        <v>0</v>
      </c>
      <c r="Q615" s="40">
        <v>0</v>
      </c>
      <c r="R615" s="40">
        <v>0</v>
      </c>
      <c r="S615" s="40">
        <v>0</v>
      </c>
      <c r="T615" s="38">
        <v>1</v>
      </c>
      <c r="U615" s="38">
        <v>1</v>
      </c>
      <c r="V615" s="38">
        <v>0</v>
      </c>
      <c r="W615" s="38">
        <v>1</v>
      </c>
      <c r="X615" s="38">
        <v>0</v>
      </c>
      <c r="Y615" s="38">
        <v>0</v>
      </c>
      <c r="Z615" s="38" t="s">
        <v>898</v>
      </c>
    </row>
    <row r="616" spans="1:26" s="38" customFormat="1" ht="15" customHeight="1" x14ac:dyDescent="0.15">
      <c r="A616" s="38">
        <v>5045</v>
      </c>
      <c r="B616" s="38" t="s">
        <v>897</v>
      </c>
      <c r="C616" s="38">
        <f t="shared" si="78"/>
        <v>0</v>
      </c>
      <c r="D616" s="38">
        <v>1</v>
      </c>
      <c r="F616" s="12">
        <v>0</v>
      </c>
      <c r="G616" s="40">
        <v>0</v>
      </c>
      <c r="H616" s="40">
        <v>0</v>
      </c>
      <c r="I616" s="40">
        <v>0</v>
      </c>
      <c r="J616" s="40">
        <v>0</v>
      </c>
      <c r="K616" s="40">
        <v>0</v>
      </c>
      <c r="L616" s="38">
        <v>1</v>
      </c>
      <c r="M616" s="38">
        <f t="shared" si="79"/>
        <v>0</v>
      </c>
      <c r="N616" s="40">
        <v>0</v>
      </c>
      <c r="O616" s="40">
        <v>0</v>
      </c>
      <c r="P616" s="40">
        <v>0</v>
      </c>
      <c r="Q616" s="40">
        <v>0</v>
      </c>
      <c r="R616" s="40">
        <v>0</v>
      </c>
      <c r="S616" s="40">
        <v>0</v>
      </c>
      <c r="T616" s="38">
        <v>1</v>
      </c>
      <c r="U616" s="38">
        <v>1</v>
      </c>
      <c r="V616" s="38">
        <v>0</v>
      </c>
      <c r="W616" s="38">
        <v>1</v>
      </c>
      <c r="X616" s="38">
        <v>0</v>
      </c>
      <c r="Y616" s="38">
        <v>0</v>
      </c>
      <c r="Z616" s="38" t="s">
        <v>898</v>
      </c>
    </row>
    <row r="617" spans="1:26" s="38" customFormat="1" ht="15" customHeight="1" x14ac:dyDescent="0.15">
      <c r="A617" s="38">
        <v>5046</v>
      </c>
      <c r="B617" s="39" t="s">
        <v>902</v>
      </c>
      <c r="C617" s="38">
        <f t="shared" si="78"/>
        <v>1</v>
      </c>
      <c r="D617" s="38">
        <v>1</v>
      </c>
      <c r="F617" s="12">
        <v>0</v>
      </c>
      <c r="G617" s="40">
        <v>1</v>
      </c>
      <c r="H617" s="40">
        <v>0</v>
      </c>
      <c r="I617" s="40">
        <v>0</v>
      </c>
      <c r="J617" s="40">
        <v>0</v>
      </c>
      <c r="K617" s="40">
        <v>0</v>
      </c>
      <c r="L617" s="38">
        <v>1</v>
      </c>
      <c r="M617" s="38">
        <f t="shared" si="79"/>
        <v>0</v>
      </c>
      <c r="N617" s="40">
        <v>0</v>
      </c>
      <c r="O617" s="40">
        <v>0</v>
      </c>
      <c r="P617" s="40">
        <v>0</v>
      </c>
      <c r="Q617" s="40">
        <v>0</v>
      </c>
      <c r="R617" s="40">
        <v>0</v>
      </c>
      <c r="S617" s="40">
        <v>0</v>
      </c>
      <c r="T617" s="38">
        <v>1</v>
      </c>
      <c r="U617" s="38">
        <v>1</v>
      </c>
      <c r="V617" s="38">
        <v>1</v>
      </c>
      <c r="W617" s="38">
        <v>1</v>
      </c>
      <c r="X617" s="38">
        <v>0</v>
      </c>
      <c r="Y617" s="38">
        <v>0</v>
      </c>
      <c r="Z617" s="38" t="s">
        <v>905</v>
      </c>
    </row>
    <row r="618" spans="1:26" s="26" customFormat="1" ht="15" customHeight="1" x14ac:dyDescent="0.15">
      <c r="A618" s="38">
        <v>5047</v>
      </c>
      <c r="B618" s="26" t="s">
        <v>959</v>
      </c>
      <c r="C618" s="26">
        <f t="shared" si="78"/>
        <v>0</v>
      </c>
      <c r="D618" s="26">
        <v>1</v>
      </c>
      <c r="F618" s="12">
        <v>0</v>
      </c>
      <c r="G618" s="27">
        <v>0</v>
      </c>
      <c r="H618" s="27">
        <v>0</v>
      </c>
      <c r="I618" s="27">
        <v>0</v>
      </c>
      <c r="J618" s="27">
        <v>0</v>
      </c>
      <c r="K618" s="27">
        <v>0</v>
      </c>
      <c r="L618" s="26">
        <v>1</v>
      </c>
      <c r="M618" s="26">
        <v>0</v>
      </c>
      <c r="N618" s="27">
        <v>0</v>
      </c>
      <c r="O618" s="27">
        <v>0</v>
      </c>
      <c r="P618" s="27">
        <v>0</v>
      </c>
      <c r="Q618" s="27">
        <v>0</v>
      </c>
      <c r="R618" s="27">
        <v>0</v>
      </c>
      <c r="S618" s="27">
        <v>0</v>
      </c>
      <c r="T618" s="26">
        <v>1</v>
      </c>
      <c r="U618" s="26">
        <v>1</v>
      </c>
      <c r="V618" s="26">
        <v>1</v>
      </c>
      <c r="W618" s="26">
        <v>1</v>
      </c>
      <c r="X618" s="26">
        <v>0</v>
      </c>
      <c r="Y618" s="26">
        <v>0</v>
      </c>
      <c r="Z618" s="26" t="s">
        <v>751</v>
      </c>
    </row>
    <row r="619" spans="1:26" s="26" customFormat="1" ht="15" customHeight="1" x14ac:dyDescent="0.15">
      <c r="A619" s="38">
        <v>5048</v>
      </c>
      <c r="B619" s="26" t="s">
        <v>1489</v>
      </c>
      <c r="C619" s="26">
        <f t="shared" si="78"/>
        <v>0</v>
      </c>
      <c r="D619" s="26">
        <v>1</v>
      </c>
      <c r="F619" s="12">
        <v>0</v>
      </c>
      <c r="G619" s="27">
        <v>0</v>
      </c>
      <c r="H619" s="27">
        <v>0</v>
      </c>
      <c r="I619" s="27">
        <v>0</v>
      </c>
      <c r="J619" s="27">
        <v>0</v>
      </c>
      <c r="K619" s="27">
        <v>0</v>
      </c>
      <c r="L619" s="26">
        <v>1</v>
      </c>
      <c r="M619" s="26">
        <v>0</v>
      </c>
      <c r="N619" s="27">
        <v>0</v>
      </c>
      <c r="O619" s="27">
        <v>0</v>
      </c>
      <c r="P619" s="27">
        <v>0</v>
      </c>
      <c r="Q619" s="27">
        <v>0</v>
      </c>
      <c r="R619" s="27">
        <v>0</v>
      </c>
      <c r="S619" s="27">
        <v>0</v>
      </c>
      <c r="T619" s="26">
        <v>1</v>
      </c>
      <c r="U619" s="26">
        <v>1</v>
      </c>
      <c r="V619" s="26">
        <v>1</v>
      </c>
      <c r="W619" s="26">
        <v>1</v>
      </c>
      <c r="X619" s="26">
        <v>0</v>
      </c>
      <c r="Y619" s="26">
        <v>0</v>
      </c>
      <c r="Z619" s="26" t="s">
        <v>751</v>
      </c>
    </row>
    <row r="620" spans="1:26" s="26" customFormat="1" ht="15" customHeight="1" x14ac:dyDescent="0.15">
      <c r="A620" s="38">
        <v>5049</v>
      </c>
      <c r="B620" s="26" t="s">
        <v>1263</v>
      </c>
      <c r="C620" s="26">
        <f t="shared" ref="C620:C633" si="80">G620+H620*2+I620*4+J620*8+K620*16</f>
        <v>0</v>
      </c>
      <c r="D620" s="26">
        <v>1</v>
      </c>
      <c r="F620" s="12">
        <v>0</v>
      </c>
      <c r="G620" s="27">
        <v>0</v>
      </c>
      <c r="H620" s="27">
        <v>0</v>
      </c>
      <c r="I620" s="27">
        <v>0</v>
      </c>
      <c r="J620" s="27">
        <v>0</v>
      </c>
      <c r="K620" s="27">
        <v>0</v>
      </c>
      <c r="L620" s="26">
        <v>1</v>
      </c>
      <c r="M620" s="26">
        <v>0</v>
      </c>
      <c r="N620" s="27">
        <v>0</v>
      </c>
      <c r="O620" s="27">
        <v>0</v>
      </c>
      <c r="P620" s="27">
        <v>0</v>
      </c>
      <c r="Q620" s="27">
        <v>0</v>
      </c>
      <c r="R620" s="27">
        <v>0</v>
      </c>
      <c r="S620" s="27">
        <v>0</v>
      </c>
      <c r="T620" s="26">
        <v>1</v>
      </c>
      <c r="U620" s="26">
        <v>1</v>
      </c>
      <c r="V620" s="26">
        <v>1</v>
      </c>
      <c r="W620" s="26">
        <v>1</v>
      </c>
      <c r="X620" s="26">
        <v>0</v>
      </c>
      <c r="Y620" s="26">
        <v>0</v>
      </c>
      <c r="Z620" s="26" t="s">
        <v>1268</v>
      </c>
    </row>
    <row r="621" spans="1:26" s="26" customFormat="1" ht="15" customHeight="1" x14ac:dyDescent="0.15">
      <c r="A621" s="38">
        <v>5050</v>
      </c>
      <c r="B621" s="26" t="s">
        <v>1488</v>
      </c>
      <c r="C621" s="26">
        <f t="shared" si="80"/>
        <v>0</v>
      </c>
      <c r="D621" s="26">
        <v>1</v>
      </c>
      <c r="F621" s="12">
        <v>0</v>
      </c>
      <c r="G621" s="27">
        <v>0</v>
      </c>
      <c r="H621" s="27">
        <v>0</v>
      </c>
      <c r="I621" s="27">
        <v>0</v>
      </c>
      <c r="J621" s="27">
        <v>0</v>
      </c>
      <c r="K621" s="27">
        <v>0</v>
      </c>
      <c r="L621" s="26">
        <v>1</v>
      </c>
      <c r="M621" s="26">
        <v>0</v>
      </c>
      <c r="N621" s="27">
        <v>0</v>
      </c>
      <c r="O621" s="27">
        <v>0</v>
      </c>
      <c r="P621" s="27">
        <v>0</v>
      </c>
      <c r="Q621" s="27">
        <v>0</v>
      </c>
      <c r="R621" s="27">
        <v>0</v>
      </c>
      <c r="S621" s="27">
        <v>0</v>
      </c>
      <c r="T621" s="26">
        <v>1</v>
      </c>
      <c r="U621" s="26">
        <v>1</v>
      </c>
      <c r="V621" s="26">
        <v>1</v>
      </c>
      <c r="W621" s="26">
        <v>1</v>
      </c>
      <c r="X621" s="26">
        <v>0</v>
      </c>
      <c r="Y621" s="26">
        <v>0</v>
      </c>
      <c r="Z621" s="26" t="s">
        <v>1268</v>
      </c>
    </row>
    <row r="622" spans="1:26" s="26" customFormat="1" ht="15" customHeight="1" x14ac:dyDescent="0.15">
      <c r="A622" s="38">
        <v>5051</v>
      </c>
      <c r="B622" s="26" t="s">
        <v>1486</v>
      </c>
      <c r="C622" s="26">
        <f t="shared" si="80"/>
        <v>0</v>
      </c>
      <c r="D622" s="26">
        <v>1</v>
      </c>
      <c r="F622" s="12">
        <v>0</v>
      </c>
      <c r="G622" s="27">
        <v>0</v>
      </c>
      <c r="H622" s="27">
        <v>0</v>
      </c>
      <c r="I622" s="27">
        <v>0</v>
      </c>
      <c r="J622" s="27">
        <v>0</v>
      </c>
      <c r="K622" s="27">
        <v>0</v>
      </c>
      <c r="L622" s="26">
        <v>1</v>
      </c>
      <c r="M622" s="26">
        <v>0</v>
      </c>
      <c r="N622" s="27">
        <v>0</v>
      </c>
      <c r="O622" s="27">
        <v>0</v>
      </c>
      <c r="P622" s="27">
        <v>0</v>
      </c>
      <c r="Q622" s="27">
        <v>0</v>
      </c>
      <c r="R622" s="27">
        <v>0</v>
      </c>
      <c r="S622" s="27">
        <v>0</v>
      </c>
      <c r="T622" s="26">
        <v>1</v>
      </c>
      <c r="U622" s="26">
        <v>1</v>
      </c>
      <c r="V622" s="26">
        <v>1</v>
      </c>
      <c r="W622" s="26">
        <v>1</v>
      </c>
      <c r="X622" s="26">
        <v>0</v>
      </c>
      <c r="Y622" s="26">
        <v>0</v>
      </c>
      <c r="Z622" s="26" t="s">
        <v>1268</v>
      </c>
    </row>
    <row r="623" spans="1:26" s="26" customFormat="1" ht="15" customHeight="1" x14ac:dyDescent="0.15">
      <c r="A623" s="38">
        <v>5052</v>
      </c>
      <c r="B623" s="26" t="s">
        <v>1265</v>
      </c>
      <c r="C623" s="26">
        <f t="shared" si="80"/>
        <v>0</v>
      </c>
      <c r="D623" s="26">
        <v>1</v>
      </c>
      <c r="F623" s="12">
        <v>0</v>
      </c>
      <c r="G623" s="27">
        <v>0</v>
      </c>
      <c r="H623" s="27">
        <v>0</v>
      </c>
      <c r="I623" s="27">
        <v>0</v>
      </c>
      <c r="J623" s="27">
        <v>0</v>
      </c>
      <c r="K623" s="27">
        <v>0</v>
      </c>
      <c r="L623" s="26">
        <v>1</v>
      </c>
      <c r="M623" s="26">
        <v>0</v>
      </c>
      <c r="N623" s="27">
        <v>0</v>
      </c>
      <c r="O623" s="27">
        <v>0</v>
      </c>
      <c r="P623" s="27">
        <v>0</v>
      </c>
      <c r="Q623" s="27">
        <v>0</v>
      </c>
      <c r="R623" s="27">
        <v>0</v>
      </c>
      <c r="S623" s="27">
        <v>0</v>
      </c>
      <c r="T623" s="26">
        <v>1</v>
      </c>
      <c r="U623" s="26">
        <v>1</v>
      </c>
      <c r="V623" s="26">
        <v>1</v>
      </c>
      <c r="W623" s="26">
        <v>1</v>
      </c>
      <c r="X623" s="26">
        <v>0</v>
      </c>
      <c r="Y623" s="26">
        <v>0</v>
      </c>
      <c r="Z623" s="26" t="s">
        <v>1268</v>
      </c>
    </row>
    <row r="624" spans="1:26" s="26" customFormat="1" ht="15" customHeight="1" x14ac:dyDescent="0.15">
      <c r="A624" s="38">
        <v>5053</v>
      </c>
      <c r="B624" s="26" t="s">
        <v>1266</v>
      </c>
      <c r="C624" s="26">
        <f t="shared" si="80"/>
        <v>0</v>
      </c>
      <c r="D624" s="26">
        <v>1</v>
      </c>
      <c r="F624" s="12">
        <v>0</v>
      </c>
      <c r="G624" s="27">
        <v>0</v>
      </c>
      <c r="H624" s="27">
        <v>0</v>
      </c>
      <c r="I624" s="27">
        <v>0</v>
      </c>
      <c r="J624" s="27">
        <v>0</v>
      </c>
      <c r="K624" s="27">
        <v>0</v>
      </c>
      <c r="L624" s="26">
        <v>1</v>
      </c>
      <c r="M624" s="26">
        <v>0</v>
      </c>
      <c r="N624" s="27">
        <v>0</v>
      </c>
      <c r="O624" s="27">
        <v>0</v>
      </c>
      <c r="P624" s="27">
        <v>0</v>
      </c>
      <c r="Q624" s="27">
        <v>0</v>
      </c>
      <c r="R624" s="27">
        <v>0</v>
      </c>
      <c r="S624" s="27">
        <v>0</v>
      </c>
      <c r="T624" s="26">
        <v>1</v>
      </c>
      <c r="U624" s="26">
        <v>1</v>
      </c>
      <c r="V624" s="26">
        <v>1</v>
      </c>
      <c r="W624" s="26">
        <v>1</v>
      </c>
      <c r="X624" s="26">
        <v>0</v>
      </c>
      <c r="Y624" s="26">
        <v>0</v>
      </c>
      <c r="Z624" s="26" t="s">
        <v>1268</v>
      </c>
    </row>
    <row r="625" spans="1:26" s="26" customFormat="1" ht="15" customHeight="1" x14ac:dyDescent="0.15">
      <c r="A625" s="38">
        <v>5054</v>
      </c>
      <c r="B625" s="26" t="s">
        <v>1484</v>
      </c>
      <c r="C625" s="26">
        <f t="shared" si="80"/>
        <v>0</v>
      </c>
      <c r="D625" s="26">
        <v>1</v>
      </c>
      <c r="F625" s="12">
        <v>0</v>
      </c>
      <c r="G625" s="27">
        <v>0</v>
      </c>
      <c r="H625" s="27">
        <v>0</v>
      </c>
      <c r="I625" s="27">
        <v>0</v>
      </c>
      <c r="J625" s="27">
        <v>0</v>
      </c>
      <c r="K625" s="27">
        <v>0</v>
      </c>
      <c r="L625" s="26">
        <v>1</v>
      </c>
      <c r="M625" s="26">
        <v>0</v>
      </c>
      <c r="N625" s="27">
        <v>0</v>
      </c>
      <c r="O625" s="27">
        <v>0</v>
      </c>
      <c r="P625" s="27">
        <v>0</v>
      </c>
      <c r="Q625" s="27">
        <v>0</v>
      </c>
      <c r="R625" s="27">
        <v>0</v>
      </c>
      <c r="S625" s="27">
        <v>0</v>
      </c>
      <c r="T625" s="26">
        <v>1</v>
      </c>
      <c r="U625" s="26">
        <v>1</v>
      </c>
      <c r="V625" s="26">
        <v>1</v>
      </c>
      <c r="W625" s="26">
        <v>1</v>
      </c>
      <c r="X625" s="26">
        <v>0</v>
      </c>
      <c r="Y625" s="26">
        <v>0</v>
      </c>
      <c r="Z625" s="26" t="s">
        <v>1268</v>
      </c>
    </row>
    <row r="626" spans="1:26" s="26" customFormat="1" ht="15" customHeight="1" x14ac:dyDescent="0.15">
      <c r="A626" s="38">
        <v>5055</v>
      </c>
      <c r="B626" s="26" t="s">
        <v>1267</v>
      </c>
      <c r="C626" s="26">
        <f t="shared" si="80"/>
        <v>0</v>
      </c>
      <c r="D626" s="26">
        <v>1</v>
      </c>
      <c r="F626" s="12">
        <v>0</v>
      </c>
      <c r="G626" s="27">
        <v>0</v>
      </c>
      <c r="H626" s="27">
        <v>0</v>
      </c>
      <c r="I626" s="27">
        <v>0</v>
      </c>
      <c r="J626" s="27">
        <v>0</v>
      </c>
      <c r="K626" s="27">
        <v>0</v>
      </c>
      <c r="L626" s="26">
        <v>1</v>
      </c>
      <c r="M626" s="26">
        <v>0</v>
      </c>
      <c r="N626" s="27">
        <v>0</v>
      </c>
      <c r="O626" s="27">
        <v>0</v>
      </c>
      <c r="P626" s="27">
        <v>0</v>
      </c>
      <c r="Q626" s="27">
        <v>0</v>
      </c>
      <c r="R626" s="27">
        <v>0</v>
      </c>
      <c r="S626" s="27">
        <v>0</v>
      </c>
      <c r="T626" s="26">
        <v>1</v>
      </c>
      <c r="U626" s="26">
        <v>1</v>
      </c>
      <c r="V626" s="26">
        <v>1</v>
      </c>
      <c r="W626" s="26">
        <v>1</v>
      </c>
      <c r="X626" s="26">
        <v>0</v>
      </c>
      <c r="Y626" s="26">
        <v>0</v>
      </c>
      <c r="Z626" s="26" t="s">
        <v>1268</v>
      </c>
    </row>
    <row r="627" spans="1:26" s="26" customFormat="1" ht="15" customHeight="1" x14ac:dyDescent="0.15">
      <c r="A627" s="38">
        <v>5056</v>
      </c>
      <c r="B627" s="26" t="s">
        <v>1264</v>
      </c>
      <c r="C627" s="26">
        <f t="shared" si="80"/>
        <v>0</v>
      </c>
      <c r="D627" s="26">
        <v>1</v>
      </c>
      <c r="F627" s="12">
        <v>0</v>
      </c>
      <c r="G627" s="27">
        <v>0</v>
      </c>
      <c r="H627" s="27">
        <v>0</v>
      </c>
      <c r="I627" s="27">
        <v>0</v>
      </c>
      <c r="J627" s="27">
        <v>0</v>
      </c>
      <c r="K627" s="27">
        <v>0</v>
      </c>
      <c r="L627" s="26">
        <v>1</v>
      </c>
      <c r="M627" s="26">
        <v>0</v>
      </c>
      <c r="N627" s="27">
        <v>0</v>
      </c>
      <c r="O627" s="27">
        <v>0</v>
      </c>
      <c r="P627" s="27">
        <v>0</v>
      </c>
      <c r="Q627" s="27">
        <v>0</v>
      </c>
      <c r="R627" s="27">
        <v>0</v>
      </c>
      <c r="S627" s="27">
        <v>0</v>
      </c>
      <c r="T627" s="26">
        <v>1</v>
      </c>
      <c r="U627" s="26">
        <v>1</v>
      </c>
      <c r="V627" s="26">
        <v>1</v>
      </c>
      <c r="W627" s="26">
        <v>1</v>
      </c>
      <c r="X627" s="26">
        <v>0</v>
      </c>
      <c r="Y627" s="26">
        <v>0</v>
      </c>
      <c r="Z627" s="26" t="s">
        <v>1268</v>
      </c>
    </row>
    <row r="628" spans="1:26" s="53" customFormat="1" ht="15" customHeight="1" x14ac:dyDescent="0.15">
      <c r="A628" s="53">
        <v>5101</v>
      </c>
      <c r="B628" s="53" t="s">
        <v>1610</v>
      </c>
      <c r="C628" s="53">
        <f t="shared" si="80"/>
        <v>0</v>
      </c>
      <c r="D628" s="53">
        <v>1</v>
      </c>
      <c r="E628" s="53">
        <v>49</v>
      </c>
      <c r="F628" s="53">
        <v>0</v>
      </c>
      <c r="G628" s="54">
        <v>0</v>
      </c>
      <c r="H628" s="54">
        <v>0</v>
      </c>
      <c r="I628" s="54">
        <v>0</v>
      </c>
      <c r="J628" s="54">
        <v>0</v>
      </c>
      <c r="K628" s="54">
        <v>0</v>
      </c>
      <c r="L628" s="53">
        <v>0</v>
      </c>
      <c r="M628" s="12">
        <v>64</v>
      </c>
      <c r="N628" s="54">
        <v>0</v>
      </c>
      <c r="O628" s="54">
        <v>0</v>
      </c>
      <c r="P628" s="54">
        <v>0</v>
      </c>
      <c r="Q628" s="54">
        <v>0</v>
      </c>
      <c r="R628" s="54">
        <v>0</v>
      </c>
      <c r="S628" s="54">
        <v>0</v>
      </c>
      <c r="T628" s="53">
        <v>1</v>
      </c>
      <c r="U628" s="53">
        <v>1</v>
      </c>
      <c r="V628" s="53">
        <v>1</v>
      </c>
      <c r="W628" s="53">
        <v>0</v>
      </c>
      <c r="X628" s="53">
        <v>1</v>
      </c>
      <c r="Y628" s="53">
        <v>0</v>
      </c>
      <c r="Z628" s="53" t="s">
        <v>1611</v>
      </c>
    </row>
    <row r="629" spans="1:26" s="53" customFormat="1" ht="15" customHeight="1" x14ac:dyDescent="0.15">
      <c r="A629" s="53">
        <v>5102</v>
      </c>
      <c r="B629" s="53" t="s">
        <v>1612</v>
      </c>
      <c r="C629" s="53">
        <f t="shared" si="80"/>
        <v>0</v>
      </c>
      <c r="D629" s="53">
        <v>1</v>
      </c>
      <c r="E629" s="53">
        <v>50</v>
      </c>
      <c r="F629" s="53">
        <v>0</v>
      </c>
      <c r="G629" s="54">
        <v>0</v>
      </c>
      <c r="H629" s="54">
        <v>0</v>
      </c>
      <c r="I629" s="54">
        <v>0</v>
      </c>
      <c r="J629" s="54">
        <v>0</v>
      </c>
      <c r="K629" s="54">
        <v>0</v>
      </c>
      <c r="L629" s="53">
        <v>0</v>
      </c>
      <c r="M629" s="12">
        <v>64</v>
      </c>
      <c r="N629" s="54">
        <v>0</v>
      </c>
      <c r="O629" s="54">
        <v>0</v>
      </c>
      <c r="P629" s="54">
        <v>0</v>
      </c>
      <c r="Q629" s="54">
        <v>0</v>
      </c>
      <c r="R629" s="54">
        <v>0</v>
      </c>
      <c r="S629" s="54">
        <v>0</v>
      </c>
      <c r="T629" s="53">
        <v>1</v>
      </c>
      <c r="U629" s="53">
        <v>1</v>
      </c>
      <c r="V629" s="53">
        <v>1</v>
      </c>
      <c r="W629" s="53">
        <v>0</v>
      </c>
      <c r="X629" s="53">
        <v>1</v>
      </c>
      <c r="Y629" s="53">
        <v>0</v>
      </c>
      <c r="Z629" s="53" t="s">
        <v>1613</v>
      </c>
    </row>
    <row r="630" spans="1:26" s="53" customFormat="1" ht="15" customHeight="1" x14ac:dyDescent="0.15">
      <c r="A630" s="53">
        <v>5103</v>
      </c>
      <c r="B630" s="53" t="s">
        <v>1614</v>
      </c>
      <c r="C630" s="53">
        <f t="shared" si="80"/>
        <v>0</v>
      </c>
      <c r="D630" s="53">
        <v>1</v>
      </c>
      <c r="E630" s="53">
        <v>51</v>
      </c>
      <c r="F630" s="53">
        <v>0</v>
      </c>
      <c r="G630" s="54">
        <v>0</v>
      </c>
      <c r="H630" s="54">
        <v>0</v>
      </c>
      <c r="I630" s="54">
        <v>0</v>
      </c>
      <c r="J630" s="54">
        <v>0</v>
      </c>
      <c r="K630" s="54">
        <v>0</v>
      </c>
      <c r="L630" s="53">
        <v>0</v>
      </c>
      <c r="M630" s="12">
        <v>64</v>
      </c>
      <c r="N630" s="54">
        <v>0</v>
      </c>
      <c r="O630" s="54">
        <v>0</v>
      </c>
      <c r="P630" s="54">
        <v>0</v>
      </c>
      <c r="Q630" s="54">
        <v>0</v>
      </c>
      <c r="R630" s="54">
        <v>0</v>
      </c>
      <c r="S630" s="54">
        <v>0</v>
      </c>
      <c r="T630" s="53">
        <v>1</v>
      </c>
      <c r="U630" s="53">
        <v>1</v>
      </c>
      <c r="V630" s="53">
        <v>1</v>
      </c>
      <c r="W630" s="53">
        <v>0</v>
      </c>
      <c r="X630" s="53">
        <v>1</v>
      </c>
      <c r="Y630" s="53">
        <v>0</v>
      </c>
      <c r="Z630" s="53" t="s">
        <v>1615</v>
      </c>
    </row>
    <row r="631" spans="1:26" s="53" customFormat="1" ht="15" customHeight="1" x14ac:dyDescent="0.15">
      <c r="A631" s="53">
        <v>5104</v>
      </c>
      <c r="B631" s="53" t="s">
        <v>1616</v>
      </c>
      <c r="C631" s="53">
        <f t="shared" si="80"/>
        <v>0</v>
      </c>
      <c r="D631" s="53">
        <v>1</v>
      </c>
      <c r="E631" s="53">
        <v>52</v>
      </c>
      <c r="F631" s="53">
        <v>0</v>
      </c>
      <c r="G631" s="54">
        <v>0</v>
      </c>
      <c r="H631" s="54">
        <v>0</v>
      </c>
      <c r="I631" s="54">
        <v>0</v>
      </c>
      <c r="J631" s="54">
        <v>0</v>
      </c>
      <c r="K631" s="54">
        <v>0</v>
      </c>
      <c r="L631" s="53">
        <v>0</v>
      </c>
      <c r="M631" s="12">
        <v>64</v>
      </c>
      <c r="N631" s="54">
        <v>0</v>
      </c>
      <c r="O631" s="54">
        <v>0</v>
      </c>
      <c r="P631" s="54">
        <v>0</v>
      </c>
      <c r="Q631" s="54">
        <v>0</v>
      </c>
      <c r="R631" s="54">
        <v>0</v>
      </c>
      <c r="S631" s="54">
        <v>0</v>
      </c>
      <c r="T631" s="53">
        <v>1</v>
      </c>
      <c r="U631" s="53">
        <v>1</v>
      </c>
      <c r="V631" s="53">
        <v>1</v>
      </c>
      <c r="W631" s="53">
        <v>0</v>
      </c>
      <c r="X631" s="53">
        <v>1</v>
      </c>
      <c r="Y631" s="53">
        <v>0</v>
      </c>
      <c r="Z631" s="53" t="s">
        <v>1617</v>
      </c>
    </row>
    <row r="632" spans="1:26" s="53" customFormat="1" ht="15" customHeight="1" x14ac:dyDescent="0.15">
      <c r="A632" s="53">
        <v>5105</v>
      </c>
      <c r="B632" s="53" t="s">
        <v>1618</v>
      </c>
      <c r="C632" s="53">
        <f t="shared" si="80"/>
        <v>0</v>
      </c>
      <c r="D632" s="53">
        <v>1</v>
      </c>
      <c r="E632" s="53">
        <v>53</v>
      </c>
      <c r="F632" s="53">
        <v>0</v>
      </c>
      <c r="G632" s="54">
        <v>0</v>
      </c>
      <c r="H632" s="54">
        <v>0</v>
      </c>
      <c r="I632" s="54">
        <v>0</v>
      </c>
      <c r="J632" s="54">
        <v>0</v>
      </c>
      <c r="K632" s="54">
        <v>0</v>
      </c>
      <c r="L632" s="53">
        <v>0</v>
      </c>
      <c r="M632" s="12">
        <v>64</v>
      </c>
      <c r="N632" s="54">
        <v>0</v>
      </c>
      <c r="O632" s="54">
        <v>0</v>
      </c>
      <c r="P632" s="54">
        <v>0</v>
      </c>
      <c r="Q632" s="54">
        <v>0</v>
      </c>
      <c r="R632" s="54">
        <v>0</v>
      </c>
      <c r="S632" s="54">
        <v>0</v>
      </c>
      <c r="T632" s="53">
        <v>1</v>
      </c>
      <c r="U632" s="53">
        <v>1</v>
      </c>
      <c r="V632" s="53">
        <v>1</v>
      </c>
      <c r="W632" s="53">
        <v>0</v>
      </c>
      <c r="X632" s="53">
        <v>1</v>
      </c>
      <c r="Y632" s="53">
        <v>0</v>
      </c>
      <c r="Z632" s="53" t="s">
        <v>1619</v>
      </c>
    </row>
    <row r="633" spans="1:26" s="53" customFormat="1" ht="15" customHeight="1" x14ac:dyDescent="0.15">
      <c r="A633" s="53">
        <v>5106</v>
      </c>
      <c r="B633" s="53" t="s">
        <v>1620</v>
      </c>
      <c r="C633" s="53">
        <f t="shared" si="80"/>
        <v>0</v>
      </c>
      <c r="D633" s="53">
        <v>1</v>
      </c>
      <c r="E633" s="53">
        <v>54</v>
      </c>
      <c r="F633" s="53">
        <v>0</v>
      </c>
      <c r="G633" s="54">
        <v>0</v>
      </c>
      <c r="H633" s="54">
        <v>0</v>
      </c>
      <c r="I633" s="54">
        <v>0</v>
      </c>
      <c r="J633" s="54">
        <v>0</v>
      </c>
      <c r="K633" s="54">
        <v>0</v>
      </c>
      <c r="L633" s="53">
        <v>0</v>
      </c>
      <c r="M633" s="12">
        <v>64</v>
      </c>
      <c r="N633" s="54">
        <v>0</v>
      </c>
      <c r="O633" s="54">
        <v>0</v>
      </c>
      <c r="P633" s="54">
        <v>0</v>
      </c>
      <c r="Q633" s="54">
        <v>0</v>
      </c>
      <c r="R633" s="54">
        <v>0</v>
      </c>
      <c r="S633" s="54">
        <v>0</v>
      </c>
      <c r="T633" s="53">
        <v>1</v>
      </c>
      <c r="U633" s="53">
        <v>1</v>
      </c>
      <c r="V633" s="53">
        <v>1</v>
      </c>
      <c r="W633" s="53">
        <v>0</v>
      </c>
      <c r="X633" s="53">
        <v>1</v>
      </c>
      <c r="Y633" s="53">
        <v>0</v>
      </c>
      <c r="Z633" s="53" t="s">
        <v>1621</v>
      </c>
    </row>
    <row r="634" spans="1:26" s="64" customFormat="1" ht="15" customHeight="1" x14ac:dyDescent="0.15">
      <c r="A634" s="64">
        <v>5107</v>
      </c>
      <c r="B634" s="64" t="s">
        <v>1657</v>
      </c>
      <c r="C634" s="64">
        <f t="shared" ref="C634:C636" si="81">G634+H634*2+I634*4+J634*8+K634*16</f>
        <v>0</v>
      </c>
      <c r="D634" s="64">
        <v>1</v>
      </c>
      <c r="E634" s="64">
        <v>55</v>
      </c>
      <c r="F634" s="64">
        <v>0</v>
      </c>
      <c r="G634" s="65">
        <v>0</v>
      </c>
      <c r="H634" s="65">
        <v>0</v>
      </c>
      <c r="I634" s="65">
        <v>0</v>
      </c>
      <c r="J634" s="65">
        <v>0</v>
      </c>
      <c r="K634" s="65">
        <v>0</v>
      </c>
      <c r="L634" s="64">
        <v>0</v>
      </c>
      <c r="M634" s="64">
        <v>64</v>
      </c>
      <c r="N634" s="65">
        <v>0</v>
      </c>
      <c r="O634" s="65">
        <v>0</v>
      </c>
      <c r="P634" s="65">
        <v>0</v>
      </c>
      <c r="Q634" s="65">
        <v>0</v>
      </c>
      <c r="R634" s="65">
        <v>0</v>
      </c>
      <c r="S634" s="65">
        <v>0</v>
      </c>
      <c r="T634" s="64">
        <v>1</v>
      </c>
      <c r="U634" s="64">
        <v>1</v>
      </c>
      <c r="V634" s="64">
        <v>1</v>
      </c>
      <c r="W634" s="64">
        <v>0</v>
      </c>
      <c r="X634" s="64">
        <v>1</v>
      </c>
      <c r="Y634" s="64">
        <v>0</v>
      </c>
      <c r="Z634" s="64" t="s">
        <v>1657</v>
      </c>
    </row>
    <row r="635" spans="1:26" s="64" customFormat="1" ht="15" customHeight="1" x14ac:dyDescent="0.15">
      <c r="A635" s="64">
        <v>5108</v>
      </c>
      <c r="B635" s="64" t="s">
        <v>1658</v>
      </c>
      <c r="C635" s="64">
        <f t="shared" si="81"/>
        <v>0</v>
      </c>
      <c r="D635" s="64">
        <v>1</v>
      </c>
      <c r="E635" s="64">
        <v>56</v>
      </c>
      <c r="F635" s="64">
        <v>0</v>
      </c>
      <c r="G635" s="65">
        <v>0</v>
      </c>
      <c r="H635" s="65">
        <v>0</v>
      </c>
      <c r="I635" s="65">
        <v>0</v>
      </c>
      <c r="J635" s="65">
        <v>0</v>
      </c>
      <c r="K635" s="65">
        <v>0</v>
      </c>
      <c r="L635" s="64">
        <v>0</v>
      </c>
      <c r="M635" s="64">
        <v>64</v>
      </c>
      <c r="N635" s="65">
        <v>0</v>
      </c>
      <c r="O635" s="65">
        <v>0</v>
      </c>
      <c r="P635" s="65">
        <v>0</v>
      </c>
      <c r="Q635" s="65">
        <v>0</v>
      </c>
      <c r="R635" s="65">
        <v>0</v>
      </c>
      <c r="S635" s="65">
        <v>0</v>
      </c>
      <c r="T635" s="64">
        <v>1</v>
      </c>
      <c r="U635" s="64">
        <v>1</v>
      </c>
      <c r="V635" s="64">
        <v>1</v>
      </c>
      <c r="W635" s="64">
        <v>0</v>
      </c>
      <c r="X635" s="64">
        <v>1</v>
      </c>
      <c r="Y635" s="64">
        <v>0</v>
      </c>
      <c r="Z635" s="64" t="s">
        <v>1658</v>
      </c>
    </row>
    <row r="636" spans="1:26" s="64" customFormat="1" ht="15" customHeight="1" x14ac:dyDescent="0.15">
      <c r="A636" s="64">
        <v>5109</v>
      </c>
      <c r="B636" s="64" t="s">
        <v>1659</v>
      </c>
      <c r="C636" s="64">
        <f t="shared" si="81"/>
        <v>0</v>
      </c>
      <c r="D636" s="64">
        <v>1</v>
      </c>
      <c r="E636" s="64">
        <v>57</v>
      </c>
      <c r="F636" s="64">
        <v>0</v>
      </c>
      <c r="G636" s="65">
        <v>0</v>
      </c>
      <c r="H636" s="65">
        <v>0</v>
      </c>
      <c r="I636" s="65">
        <v>0</v>
      </c>
      <c r="J636" s="65">
        <v>0</v>
      </c>
      <c r="K636" s="65">
        <v>0</v>
      </c>
      <c r="L636" s="64">
        <v>0</v>
      </c>
      <c r="M636" s="64">
        <v>64</v>
      </c>
      <c r="N636" s="65">
        <v>0</v>
      </c>
      <c r="O636" s="65">
        <v>0</v>
      </c>
      <c r="P636" s="65">
        <v>0</v>
      </c>
      <c r="Q636" s="65">
        <v>0</v>
      </c>
      <c r="R636" s="65">
        <v>0</v>
      </c>
      <c r="S636" s="65">
        <v>0</v>
      </c>
      <c r="T636" s="64">
        <v>1</v>
      </c>
      <c r="U636" s="64">
        <v>1</v>
      </c>
      <c r="V636" s="64">
        <v>1</v>
      </c>
      <c r="W636" s="64">
        <v>0</v>
      </c>
      <c r="X636" s="64">
        <v>1</v>
      </c>
      <c r="Y636" s="64">
        <v>0</v>
      </c>
      <c r="Z636" s="64" t="s">
        <v>1659</v>
      </c>
    </row>
    <row r="637" spans="1:26" s="64" customFormat="1" ht="15" customHeight="1" x14ac:dyDescent="0.15">
      <c r="A637" s="64">
        <v>5110</v>
      </c>
      <c r="B637" s="64" t="s">
        <v>1915</v>
      </c>
      <c r="C637" s="64">
        <f t="shared" ref="C637" si="82">G637+H637*2+I637*4+J637*8+K637*16</f>
        <v>0</v>
      </c>
      <c r="D637" s="64">
        <v>1</v>
      </c>
      <c r="E637" s="64">
        <v>70</v>
      </c>
      <c r="F637" s="64">
        <v>0</v>
      </c>
      <c r="G637" s="65">
        <v>0</v>
      </c>
      <c r="H637" s="65">
        <v>0</v>
      </c>
      <c r="I637" s="65">
        <v>0</v>
      </c>
      <c r="J637" s="65">
        <v>0</v>
      </c>
      <c r="K637" s="65">
        <v>0</v>
      </c>
      <c r="L637" s="64">
        <v>0</v>
      </c>
      <c r="M637" s="64">
        <v>64</v>
      </c>
      <c r="N637" s="65">
        <v>0</v>
      </c>
      <c r="O637" s="65">
        <v>0</v>
      </c>
      <c r="P637" s="65">
        <v>0</v>
      </c>
      <c r="Q637" s="65">
        <v>0</v>
      </c>
      <c r="R637" s="65">
        <v>0</v>
      </c>
      <c r="S637" s="65">
        <v>0</v>
      </c>
      <c r="T637" s="64">
        <v>1</v>
      </c>
      <c r="U637" s="64">
        <v>1</v>
      </c>
      <c r="V637" s="64">
        <v>1</v>
      </c>
      <c r="W637" s="64">
        <v>0</v>
      </c>
      <c r="X637" s="64">
        <v>1</v>
      </c>
      <c r="Y637" s="64">
        <v>0</v>
      </c>
      <c r="Z637" s="64" t="s">
        <v>1915</v>
      </c>
    </row>
    <row r="638" spans="1:26" s="9" customFormat="1" ht="15" customHeight="1" x14ac:dyDescent="0.15">
      <c r="A638" s="9">
        <v>10098</v>
      </c>
      <c r="B638" s="9" t="s">
        <v>254</v>
      </c>
      <c r="C638" s="9">
        <f t="shared" ref="C638:C644" si="83">G638+H638*2+I638*4+J638*8+K638*16</f>
        <v>0</v>
      </c>
      <c r="D638" s="9">
        <v>1</v>
      </c>
      <c r="F638" s="12">
        <v>0</v>
      </c>
      <c r="G638" s="10">
        <v>0</v>
      </c>
      <c r="H638" s="10">
        <v>0</v>
      </c>
      <c r="I638" s="10">
        <v>0</v>
      </c>
      <c r="J638" s="10">
        <v>0</v>
      </c>
      <c r="K638" s="10">
        <v>0</v>
      </c>
      <c r="L638" s="9">
        <v>1</v>
      </c>
      <c r="M638" s="9">
        <f t="shared" ref="M638:M657" si="84">N638+O638*2+P638*4+Q638*8+R638*16+S638*32</f>
        <v>0</v>
      </c>
      <c r="N638" s="10">
        <v>0</v>
      </c>
      <c r="O638" s="10">
        <v>0</v>
      </c>
      <c r="P638" s="10">
        <v>0</v>
      </c>
      <c r="Q638" s="10">
        <v>0</v>
      </c>
      <c r="R638" s="10">
        <v>0</v>
      </c>
      <c r="S638" s="10">
        <v>0</v>
      </c>
      <c r="T638" s="9">
        <v>1</v>
      </c>
      <c r="U638" s="9">
        <v>0</v>
      </c>
      <c r="V638" s="9">
        <v>1</v>
      </c>
      <c r="W638" s="9">
        <v>0</v>
      </c>
      <c r="X638" s="9">
        <v>0</v>
      </c>
      <c r="Y638" s="9">
        <v>0</v>
      </c>
      <c r="Z638" s="11" t="s">
        <v>252</v>
      </c>
    </row>
    <row r="639" spans="1:26" s="9" customFormat="1" ht="15" customHeight="1" x14ac:dyDescent="0.15">
      <c r="A639" s="9">
        <v>10099</v>
      </c>
      <c r="B639" s="9" t="s">
        <v>255</v>
      </c>
      <c r="C639" s="9">
        <f t="shared" si="83"/>
        <v>0</v>
      </c>
      <c r="D639" s="9">
        <v>1</v>
      </c>
      <c r="F639" s="12">
        <v>0</v>
      </c>
      <c r="G639" s="10">
        <v>0</v>
      </c>
      <c r="H639" s="10">
        <v>0</v>
      </c>
      <c r="I639" s="10">
        <v>0</v>
      </c>
      <c r="J639" s="10">
        <v>0</v>
      </c>
      <c r="K639" s="10">
        <v>0</v>
      </c>
      <c r="L639" s="9">
        <v>1</v>
      </c>
      <c r="M639" s="9">
        <f t="shared" si="84"/>
        <v>0</v>
      </c>
      <c r="N639" s="10">
        <v>0</v>
      </c>
      <c r="O639" s="10">
        <v>0</v>
      </c>
      <c r="P639" s="10">
        <v>0</v>
      </c>
      <c r="Q639" s="10">
        <v>0</v>
      </c>
      <c r="R639" s="10">
        <v>0</v>
      </c>
      <c r="S639" s="10">
        <v>0</v>
      </c>
      <c r="T639" s="9">
        <v>1</v>
      </c>
      <c r="U639" s="9">
        <v>0</v>
      </c>
      <c r="V639" s="9">
        <v>1</v>
      </c>
      <c r="W639" s="9">
        <v>0</v>
      </c>
      <c r="X639" s="9">
        <v>0</v>
      </c>
      <c r="Y639" s="9">
        <v>0</v>
      </c>
      <c r="Z639" s="11" t="s">
        <v>253</v>
      </c>
    </row>
    <row r="640" spans="1:26" s="9" customFormat="1" ht="30.75" customHeight="1" x14ac:dyDescent="0.15">
      <c r="A640" s="9">
        <v>10100</v>
      </c>
      <c r="B640" s="9" t="s">
        <v>545</v>
      </c>
      <c r="C640" s="9">
        <f t="shared" si="83"/>
        <v>1</v>
      </c>
      <c r="D640" s="9">
        <v>1</v>
      </c>
      <c r="F640" s="12">
        <v>0</v>
      </c>
      <c r="G640" s="10">
        <v>1</v>
      </c>
      <c r="H640" s="10">
        <v>0</v>
      </c>
      <c r="I640" s="10">
        <v>0</v>
      </c>
      <c r="J640" s="10">
        <v>0</v>
      </c>
      <c r="K640" s="10">
        <v>0</v>
      </c>
      <c r="L640" s="9">
        <v>0</v>
      </c>
      <c r="M640" s="9">
        <f t="shared" si="84"/>
        <v>0</v>
      </c>
      <c r="N640" s="10">
        <v>0</v>
      </c>
      <c r="O640" s="10">
        <v>0</v>
      </c>
      <c r="P640" s="10">
        <v>0</v>
      </c>
      <c r="Q640" s="10">
        <v>0</v>
      </c>
      <c r="R640" s="10">
        <v>0</v>
      </c>
      <c r="S640" s="10">
        <v>0</v>
      </c>
      <c r="T640" s="9">
        <v>1</v>
      </c>
      <c r="U640" s="9">
        <v>0</v>
      </c>
      <c r="V640" s="9">
        <v>1</v>
      </c>
      <c r="W640" s="9">
        <v>1</v>
      </c>
      <c r="X640" s="9">
        <v>1</v>
      </c>
      <c r="Y640" s="9">
        <v>0</v>
      </c>
      <c r="Z640" s="11" t="s">
        <v>1568</v>
      </c>
    </row>
    <row r="641" spans="1:27" s="9" customFormat="1" ht="15" customHeight="1" x14ac:dyDescent="0.15">
      <c r="A641" s="9">
        <v>10103</v>
      </c>
      <c r="B641" s="9" t="s">
        <v>24</v>
      </c>
      <c r="C641" s="9">
        <f t="shared" si="83"/>
        <v>16</v>
      </c>
      <c r="D641" s="9">
        <v>1</v>
      </c>
      <c r="F641" s="12">
        <v>0</v>
      </c>
      <c r="G641" s="10">
        <v>0</v>
      </c>
      <c r="H641" s="10">
        <v>0</v>
      </c>
      <c r="I641" s="10">
        <v>0</v>
      </c>
      <c r="J641" s="10">
        <v>0</v>
      </c>
      <c r="K641" s="10">
        <v>1</v>
      </c>
      <c r="L641" s="9">
        <v>1</v>
      </c>
      <c r="M641" s="9">
        <f t="shared" si="84"/>
        <v>0</v>
      </c>
      <c r="N641" s="10">
        <v>0</v>
      </c>
      <c r="O641" s="10">
        <v>0</v>
      </c>
      <c r="P641" s="10">
        <v>0</v>
      </c>
      <c r="Q641" s="10">
        <v>0</v>
      </c>
      <c r="R641" s="10">
        <v>0</v>
      </c>
      <c r="S641" s="10">
        <v>0</v>
      </c>
      <c r="T641" s="9">
        <v>1</v>
      </c>
      <c r="U641" s="9">
        <v>0</v>
      </c>
      <c r="V641" s="9">
        <v>1</v>
      </c>
      <c r="W641" s="9">
        <v>0</v>
      </c>
      <c r="X641" s="9">
        <v>0</v>
      </c>
      <c r="Y641" s="9">
        <v>0</v>
      </c>
      <c r="Z641" s="11" t="s">
        <v>559</v>
      </c>
    </row>
    <row r="642" spans="1:27" s="9" customFormat="1" ht="15" customHeight="1" x14ac:dyDescent="0.15">
      <c r="A642" s="9">
        <v>10104</v>
      </c>
      <c r="B642" s="9" t="s">
        <v>31</v>
      </c>
      <c r="C642" s="9">
        <f t="shared" si="83"/>
        <v>1</v>
      </c>
      <c r="D642" s="9">
        <v>1</v>
      </c>
      <c r="F642" s="12">
        <v>0</v>
      </c>
      <c r="G642" s="10">
        <v>1</v>
      </c>
      <c r="H642" s="10">
        <v>0</v>
      </c>
      <c r="I642" s="10">
        <v>0</v>
      </c>
      <c r="J642" s="10">
        <v>0</v>
      </c>
      <c r="K642" s="10">
        <v>0</v>
      </c>
      <c r="L642" s="9">
        <v>1</v>
      </c>
      <c r="M642" s="9">
        <f t="shared" si="84"/>
        <v>17</v>
      </c>
      <c r="N642" s="10">
        <v>1</v>
      </c>
      <c r="O642" s="10">
        <v>0</v>
      </c>
      <c r="P642" s="10">
        <v>0</v>
      </c>
      <c r="Q642" s="10">
        <v>0</v>
      </c>
      <c r="R642" s="10">
        <v>1</v>
      </c>
      <c r="S642" s="10">
        <v>0</v>
      </c>
      <c r="T642" s="9">
        <v>1</v>
      </c>
      <c r="U642" s="9">
        <v>1</v>
      </c>
      <c r="V642" s="9">
        <v>1</v>
      </c>
      <c r="W642" s="9">
        <v>1</v>
      </c>
      <c r="X642" s="9">
        <v>0</v>
      </c>
      <c r="Y642" s="9">
        <v>0</v>
      </c>
      <c r="Z642" s="11" t="s">
        <v>556</v>
      </c>
    </row>
    <row r="643" spans="1:27" s="9" customFormat="1" ht="15" customHeight="1" x14ac:dyDescent="0.15">
      <c r="A643" s="9">
        <v>10108</v>
      </c>
      <c r="B643" s="9" t="s">
        <v>537</v>
      </c>
      <c r="C643" s="9">
        <f t="shared" si="83"/>
        <v>1</v>
      </c>
      <c r="D643" s="9">
        <v>1</v>
      </c>
      <c r="F643" s="12">
        <v>0</v>
      </c>
      <c r="G643" s="10">
        <v>1</v>
      </c>
      <c r="H643" s="10">
        <v>0</v>
      </c>
      <c r="I643" s="10">
        <v>0</v>
      </c>
      <c r="J643" s="10">
        <v>0</v>
      </c>
      <c r="K643" s="10">
        <v>0</v>
      </c>
      <c r="L643" s="9">
        <v>1</v>
      </c>
      <c r="M643" s="9">
        <f t="shared" si="84"/>
        <v>32</v>
      </c>
      <c r="N643" s="10">
        <v>0</v>
      </c>
      <c r="O643" s="10">
        <v>0</v>
      </c>
      <c r="P643" s="10">
        <v>0</v>
      </c>
      <c r="Q643" s="10">
        <v>0</v>
      </c>
      <c r="R643" s="10">
        <v>0</v>
      </c>
      <c r="S643" s="10">
        <v>1</v>
      </c>
      <c r="T643" s="9">
        <v>1</v>
      </c>
      <c r="U643" s="9">
        <v>0</v>
      </c>
      <c r="V643" s="9">
        <v>1</v>
      </c>
      <c r="W643" s="9">
        <v>0</v>
      </c>
      <c r="X643" s="9">
        <v>0</v>
      </c>
      <c r="Y643" s="9">
        <v>0</v>
      </c>
      <c r="Z643" s="11" t="s">
        <v>270</v>
      </c>
    </row>
    <row r="644" spans="1:27" s="9" customFormat="1" ht="15" customHeight="1" x14ac:dyDescent="0.15">
      <c r="A644" s="9">
        <v>10110</v>
      </c>
      <c r="B644" s="9" t="s">
        <v>25</v>
      </c>
      <c r="C644" s="9">
        <f t="shared" si="83"/>
        <v>17</v>
      </c>
      <c r="D644" s="9">
        <v>1</v>
      </c>
      <c r="F644" s="12">
        <v>0</v>
      </c>
      <c r="G644" s="10">
        <v>1</v>
      </c>
      <c r="H644" s="10">
        <v>0</v>
      </c>
      <c r="I644" s="10">
        <v>0</v>
      </c>
      <c r="J644" s="10">
        <v>0</v>
      </c>
      <c r="K644" s="10">
        <v>1</v>
      </c>
      <c r="L644" s="9">
        <v>1</v>
      </c>
      <c r="M644" s="9">
        <f t="shared" si="84"/>
        <v>0</v>
      </c>
      <c r="N644" s="10">
        <v>0</v>
      </c>
      <c r="O644" s="10">
        <v>0</v>
      </c>
      <c r="P644" s="10">
        <v>0</v>
      </c>
      <c r="Q644" s="10">
        <v>0</v>
      </c>
      <c r="R644" s="10">
        <v>0</v>
      </c>
      <c r="S644" s="10">
        <v>0</v>
      </c>
      <c r="T644" s="9">
        <v>1</v>
      </c>
      <c r="U644" s="9">
        <v>0</v>
      </c>
      <c r="V644" s="9">
        <v>1</v>
      </c>
      <c r="W644" s="9">
        <v>0</v>
      </c>
      <c r="X644" s="9">
        <v>0</v>
      </c>
      <c r="Y644" s="9">
        <v>0</v>
      </c>
      <c r="Z644" s="11" t="s">
        <v>560</v>
      </c>
    </row>
    <row r="645" spans="1:27" s="9" customFormat="1" ht="15" customHeight="1" x14ac:dyDescent="0.15">
      <c r="A645" s="9">
        <v>10111</v>
      </c>
      <c r="B645" s="9" t="s">
        <v>225</v>
      </c>
      <c r="C645" s="9">
        <f t="shared" ref="C645:C892" si="85">G645+H645*2+I645*4+J645*8+K645*16</f>
        <v>1</v>
      </c>
      <c r="D645" s="9">
        <v>1</v>
      </c>
      <c r="F645" s="12">
        <v>0</v>
      </c>
      <c r="G645" s="10">
        <v>1</v>
      </c>
      <c r="H645" s="10">
        <v>0</v>
      </c>
      <c r="I645" s="10">
        <v>0</v>
      </c>
      <c r="J645" s="10">
        <v>0</v>
      </c>
      <c r="K645" s="10">
        <v>0</v>
      </c>
      <c r="L645" s="9">
        <v>1</v>
      </c>
      <c r="M645" s="9">
        <f t="shared" si="84"/>
        <v>0</v>
      </c>
      <c r="N645" s="10">
        <v>0</v>
      </c>
      <c r="O645" s="10">
        <v>0</v>
      </c>
      <c r="P645" s="10">
        <v>0</v>
      </c>
      <c r="Q645" s="10">
        <v>0</v>
      </c>
      <c r="R645" s="10">
        <v>0</v>
      </c>
      <c r="S645" s="10">
        <v>0</v>
      </c>
      <c r="T645" s="9">
        <v>1</v>
      </c>
      <c r="U645" s="9">
        <v>0</v>
      </c>
      <c r="V645" s="9">
        <v>1</v>
      </c>
      <c r="W645" s="9">
        <v>1</v>
      </c>
      <c r="X645" s="9">
        <v>0</v>
      </c>
      <c r="Y645" s="9">
        <v>0</v>
      </c>
      <c r="Z645" s="11" t="s">
        <v>850</v>
      </c>
    </row>
    <row r="646" spans="1:27" s="9" customFormat="1" ht="14.25" customHeight="1" x14ac:dyDescent="0.15">
      <c r="A646" s="9">
        <v>10500</v>
      </c>
      <c r="B646" s="9" t="s">
        <v>1516</v>
      </c>
      <c r="C646" s="9">
        <f t="shared" si="85"/>
        <v>1</v>
      </c>
      <c r="D646" s="9">
        <v>1</v>
      </c>
      <c r="F646" s="12">
        <v>0</v>
      </c>
      <c r="G646" s="10">
        <v>1</v>
      </c>
      <c r="H646" s="10">
        <v>0</v>
      </c>
      <c r="I646" s="10">
        <v>0</v>
      </c>
      <c r="J646" s="10">
        <v>0</v>
      </c>
      <c r="K646" s="10">
        <v>0</v>
      </c>
      <c r="L646" s="9">
        <v>0</v>
      </c>
      <c r="M646" s="9">
        <f t="shared" si="84"/>
        <v>0</v>
      </c>
      <c r="N646" s="10">
        <v>0</v>
      </c>
      <c r="O646" s="10">
        <v>0</v>
      </c>
      <c r="P646" s="10">
        <v>0</v>
      </c>
      <c r="Q646" s="10">
        <v>0</v>
      </c>
      <c r="R646" s="10">
        <v>0</v>
      </c>
      <c r="S646" s="10">
        <v>0</v>
      </c>
      <c r="T646" s="9">
        <v>1</v>
      </c>
      <c r="U646" s="9">
        <v>0</v>
      </c>
      <c r="V646" s="9">
        <v>1</v>
      </c>
      <c r="W646" s="9">
        <v>1</v>
      </c>
      <c r="X646" s="9">
        <v>1</v>
      </c>
      <c r="Y646" s="9">
        <v>0</v>
      </c>
      <c r="Z646" s="9" t="s">
        <v>1515</v>
      </c>
    </row>
    <row r="647" spans="1:27" s="9" customFormat="1" ht="15" customHeight="1" x14ac:dyDescent="0.15">
      <c r="A647" s="9">
        <v>10201</v>
      </c>
      <c r="B647" s="9" t="s">
        <v>217</v>
      </c>
      <c r="C647" s="9">
        <f t="shared" si="85"/>
        <v>1</v>
      </c>
      <c r="D647" s="9">
        <v>1</v>
      </c>
      <c r="F647" s="12">
        <v>0</v>
      </c>
      <c r="G647" s="10">
        <v>1</v>
      </c>
      <c r="H647" s="10">
        <v>0</v>
      </c>
      <c r="I647" s="10">
        <v>0</v>
      </c>
      <c r="J647" s="10">
        <v>0</v>
      </c>
      <c r="K647" s="10">
        <v>0</v>
      </c>
      <c r="L647" s="9">
        <v>1</v>
      </c>
      <c r="M647" s="9">
        <f t="shared" si="84"/>
        <v>0</v>
      </c>
      <c r="N647" s="10">
        <v>0</v>
      </c>
      <c r="O647" s="10">
        <v>0</v>
      </c>
      <c r="P647" s="10">
        <v>0</v>
      </c>
      <c r="Q647" s="10">
        <v>0</v>
      </c>
      <c r="R647" s="10">
        <v>0</v>
      </c>
      <c r="S647" s="10">
        <v>0</v>
      </c>
      <c r="T647" s="9">
        <v>1</v>
      </c>
      <c r="U647" s="9">
        <v>0</v>
      </c>
      <c r="V647" s="9">
        <v>1</v>
      </c>
      <c r="W647" s="9">
        <v>0</v>
      </c>
      <c r="X647" s="9">
        <v>0</v>
      </c>
      <c r="Y647" s="9">
        <v>0</v>
      </c>
      <c r="Z647" s="9" t="s">
        <v>235</v>
      </c>
    </row>
    <row r="648" spans="1:27" s="9" customFormat="1" ht="15" customHeight="1" x14ac:dyDescent="0.15">
      <c r="A648" s="9">
        <v>10202</v>
      </c>
      <c r="B648" s="9" t="s">
        <v>218</v>
      </c>
      <c r="C648" s="9">
        <f t="shared" si="85"/>
        <v>1</v>
      </c>
      <c r="D648" s="9">
        <v>1</v>
      </c>
      <c r="F648" s="12">
        <v>0</v>
      </c>
      <c r="G648" s="10">
        <v>1</v>
      </c>
      <c r="H648" s="10">
        <v>0</v>
      </c>
      <c r="I648" s="10">
        <v>0</v>
      </c>
      <c r="J648" s="10">
        <v>0</v>
      </c>
      <c r="K648" s="10">
        <v>0</v>
      </c>
      <c r="L648" s="9">
        <v>1</v>
      </c>
      <c r="M648" s="9">
        <f t="shared" si="84"/>
        <v>0</v>
      </c>
      <c r="N648" s="10">
        <v>0</v>
      </c>
      <c r="O648" s="10">
        <v>0</v>
      </c>
      <c r="P648" s="10">
        <v>0</v>
      </c>
      <c r="Q648" s="10">
        <v>0</v>
      </c>
      <c r="R648" s="10">
        <v>0</v>
      </c>
      <c r="S648" s="10">
        <v>0</v>
      </c>
      <c r="T648" s="9">
        <v>1</v>
      </c>
      <c r="U648" s="9">
        <v>0</v>
      </c>
      <c r="V648" s="9">
        <v>1</v>
      </c>
      <c r="W648" s="9">
        <v>0</v>
      </c>
      <c r="X648" s="9">
        <v>0</v>
      </c>
      <c r="Y648" s="9">
        <v>0</v>
      </c>
      <c r="Z648" s="9" t="s">
        <v>236</v>
      </c>
    </row>
    <row r="649" spans="1:27" s="9" customFormat="1" ht="15" customHeight="1" x14ac:dyDescent="0.15">
      <c r="A649" s="9">
        <v>10203</v>
      </c>
      <c r="B649" s="9" t="s">
        <v>34</v>
      </c>
      <c r="C649" s="9">
        <f t="shared" si="85"/>
        <v>1</v>
      </c>
      <c r="D649" s="9">
        <v>1</v>
      </c>
      <c r="F649" s="12">
        <v>0</v>
      </c>
      <c r="G649" s="10">
        <v>1</v>
      </c>
      <c r="H649" s="10">
        <v>0</v>
      </c>
      <c r="I649" s="10">
        <v>0</v>
      </c>
      <c r="J649" s="10">
        <v>0</v>
      </c>
      <c r="K649" s="10">
        <v>0</v>
      </c>
      <c r="L649" s="9">
        <v>1</v>
      </c>
      <c r="M649" s="9">
        <f t="shared" si="84"/>
        <v>32</v>
      </c>
      <c r="N649" s="10">
        <v>0</v>
      </c>
      <c r="O649" s="10">
        <v>0</v>
      </c>
      <c r="P649" s="10">
        <v>0</v>
      </c>
      <c r="Q649" s="10">
        <v>0</v>
      </c>
      <c r="R649" s="10">
        <v>0</v>
      </c>
      <c r="S649" s="10">
        <v>1</v>
      </c>
      <c r="T649" s="9">
        <v>1</v>
      </c>
      <c r="U649" s="9">
        <v>0</v>
      </c>
      <c r="V649" s="9">
        <v>1</v>
      </c>
      <c r="W649" s="9">
        <v>0</v>
      </c>
      <c r="X649" s="9">
        <v>0</v>
      </c>
      <c r="Y649" s="9">
        <v>0</v>
      </c>
      <c r="Z649" s="9" t="s">
        <v>45</v>
      </c>
    </row>
    <row r="650" spans="1:27" s="9" customFormat="1" ht="15" customHeight="1" x14ac:dyDescent="0.15">
      <c r="A650" s="9">
        <v>10204</v>
      </c>
      <c r="B650" s="9" t="s">
        <v>421</v>
      </c>
      <c r="C650" s="9">
        <f t="shared" si="85"/>
        <v>1</v>
      </c>
      <c r="D650" s="9">
        <v>1</v>
      </c>
      <c r="F650" s="12">
        <v>0</v>
      </c>
      <c r="G650" s="10">
        <v>1</v>
      </c>
      <c r="H650" s="10">
        <v>0</v>
      </c>
      <c r="I650" s="10">
        <v>0</v>
      </c>
      <c r="J650" s="10">
        <v>0</v>
      </c>
      <c r="K650" s="10">
        <v>0</v>
      </c>
      <c r="L650" s="9">
        <v>1</v>
      </c>
      <c r="M650" s="9">
        <f t="shared" si="84"/>
        <v>33</v>
      </c>
      <c r="N650" s="10">
        <v>1</v>
      </c>
      <c r="O650" s="10">
        <v>0</v>
      </c>
      <c r="P650" s="10">
        <v>0</v>
      </c>
      <c r="Q650" s="10">
        <v>0</v>
      </c>
      <c r="R650" s="10">
        <v>0</v>
      </c>
      <c r="S650" s="10">
        <v>1</v>
      </c>
      <c r="T650" s="9">
        <v>1</v>
      </c>
      <c r="U650" s="9">
        <v>1</v>
      </c>
      <c r="V650" s="9">
        <v>1</v>
      </c>
      <c r="W650" s="9">
        <v>1</v>
      </c>
      <c r="X650" s="9">
        <v>0</v>
      </c>
      <c r="Y650" s="9">
        <v>0</v>
      </c>
      <c r="Z650" s="9" t="s">
        <v>46</v>
      </c>
    </row>
    <row r="651" spans="1:27" s="9" customFormat="1" ht="15" customHeight="1" x14ac:dyDescent="0.15">
      <c r="A651" s="9">
        <v>10205</v>
      </c>
      <c r="B651" s="9" t="s">
        <v>60</v>
      </c>
      <c r="C651" s="9">
        <f t="shared" si="85"/>
        <v>1</v>
      </c>
      <c r="D651" s="9">
        <v>1</v>
      </c>
      <c r="F651" s="12">
        <v>0</v>
      </c>
      <c r="G651" s="10">
        <v>1</v>
      </c>
      <c r="H651" s="10">
        <v>0</v>
      </c>
      <c r="I651" s="10">
        <v>0</v>
      </c>
      <c r="J651" s="10">
        <v>0</v>
      </c>
      <c r="K651" s="10">
        <v>0</v>
      </c>
      <c r="L651" s="9">
        <v>1</v>
      </c>
      <c r="M651" s="9">
        <f t="shared" si="84"/>
        <v>5</v>
      </c>
      <c r="N651" s="10">
        <v>1</v>
      </c>
      <c r="O651" s="10">
        <v>0</v>
      </c>
      <c r="P651" s="10">
        <v>1</v>
      </c>
      <c r="Q651" s="10">
        <v>0</v>
      </c>
      <c r="R651" s="10">
        <v>0</v>
      </c>
      <c r="S651" s="10">
        <v>0</v>
      </c>
      <c r="T651" s="9">
        <v>1</v>
      </c>
      <c r="U651" s="9">
        <v>0</v>
      </c>
      <c r="V651" s="9">
        <v>1</v>
      </c>
      <c r="W651" s="9">
        <v>1</v>
      </c>
      <c r="X651" s="9">
        <v>0</v>
      </c>
      <c r="Y651" s="9">
        <v>0</v>
      </c>
      <c r="Z651" s="9" t="s">
        <v>61</v>
      </c>
      <c r="AA651" s="9" t="s">
        <v>266</v>
      </c>
    </row>
    <row r="652" spans="1:27" s="9" customFormat="1" ht="15" customHeight="1" x14ac:dyDescent="0.15">
      <c r="A652" s="9">
        <v>10211</v>
      </c>
      <c r="B652" s="9" t="s">
        <v>64</v>
      </c>
      <c r="C652" s="9">
        <f t="shared" si="85"/>
        <v>17</v>
      </c>
      <c r="D652" s="9">
        <v>1</v>
      </c>
      <c r="F652" s="12">
        <v>0</v>
      </c>
      <c r="G652" s="10">
        <v>1</v>
      </c>
      <c r="H652" s="10">
        <v>0</v>
      </c>
      <c r="I652" s="10">
        <v>0</v>
      </c>
      <c r="J652" s="10">
        <v>0</v>
      </c>
      <c r="K652" s="10">
        <v>1</v>
      </c>
      <c r="L652" s="9">
        <v>1</v>
      </c>
      <c r="M652" s="9">
        <f t="shared" si="84"/>
        <v>0</v>
      </c>
      <c r="N652" s="10">
        <v>0</v>
      </c>
      <c r="O652" s="10">
        <v>0</v>
      </c>
      <c r="P652" s="10">
        <v>0</v>
      </c>
      <c r="Q652" s="10">
        <v>0</v>
      </c>
      <c r="R652" s="10">
        <v>0</v>
      </c>
      <c r="S652" s="10">
        <v>0</v>
      </c>
      <c r="T652" s="9">
        <v>1</v>
      </c>
      <c r="U652" s="9">
        <v>0</v>
      </c>
      <c r="V652" s="9">
        <v>1</v>
      </c>
      <c r="W652" s="9">
        <v>1</v>
      </c>
      <c r="X652" s="9">
        <v>0</v>
      </c>
      <c r="Y652" s="9">
        <v>0</v>
      </c>
      <c r="Z652" s="9" t="s">
        <v>62</v>
      </c>
      <c r="AA652" s="9" t="s">
        <v>547</v>
      </c>
    </row>
    <row r="653" spans="1:27" s="9" customFormat="1" ht="15" customHeight="1" x14ac:dyDescent="0.15">
      <c r="A653" s="9">
        <v>10214</v>
      </c>
      <c r="B653" s="9" t="s">
        <v>219</v>
      </c>
      <c r="C653" s="9">
        <f t="shared" si="85"/>
        <v>17</v>
      </c>
      <c r="D653" s="9">
        <v>1</v>
      </c>
      <c r="F653" s="12">
        <v>0</v>
      </c>
      <c r="G653" s="10">
        <v>1</v>
      </c>
      <c r="H653" s="10">
        <v>0</v>
      </c>
      <c r="I653" s="10">
        <v>0</v>
      </c>
      <c r="J653" s="10">
        <v>0</v>
      </c>
      <c r="K653" s="10">
        <v>1</v>
      </c>
      <c r="L653" s="9">
        <v>1</v>
      </c>
      <c r="M653" s="9">
        <f t="shared" si="84"/>
        <v>0</v>
      </c>
      <c r="N653" s="10">
        <v>0</v>
      </c>
      <c r="O653" s="10">
        <v>0</v>
      </c>
      <c r="P653" s="10">
        <v>0</v>
      </c>
      <c r="Q653" s="10">
        <v>0</v>
      </c>
      <c r="R653" s="10">
        <v>0</v>
      </c>
      <c r="S653" s="10">
        <v>0</v>
      </c>
      <c r="T653" s="9">
        <v>1</v>
      </c>
      <c r="U653" s="9">
        <v>0</v>
      </c>
      <c r="V653" s="9">
        <v>1</v>
      </c>
      <c r="W653" s="9">
        <v>1</v>
      </c>
      <c r="X653" s="9">
        <v>0</v>
      </c>
      <c r="Y653" s="9">
        <v>0</v>
      </c>
      <c r="Z653" s="9" t="s">
        <v>237</v>
      </c>
    </row>
    <row r="654" spans="1:27" s="9" customFormat="1" ht="15" customHeight="1" x14ac:dyDescent="0.15">
      <c r="A654" s="9">
        <v>10215</v>
      </c>
      <c r="B654" s="9" t="s">
        <v>583</v>
      </c>
      <c r="C654" s="9">
        <f>G654+H654*2+I654*4+J654*8+K654*16</f>
        <v>1</v>
      </c>
      <c r="D654" s="9">
        <v>1</v>
      </c>
      <c r="F654" s="12">
        <v>0</v>
      </c>
      <c r="G654" s="10">
        <v>1</v>
      </c>
      <c r="H654" s="10">
        <v>0</v>
      </c>
      <c r="I654" s="10">
        <v>0</v>
      </c>
      <c r="J654" s="10">
        <v>0</v>
      </c>
      <c r="K654" s="10">
        <v>0</v>
      </c>
      <c r="L654" s="9">
        <v>1</v>
      </c>
      <c r="M654" s="9">
        <f>N654+O654*2+P654*4+Q654*8+R654*16+S654*32</f>
        <v>0</v>
      </c>
      <c r="N654" s="10">
        <v>0</v>
      </c>
      <c r="O654" s="10">
        <v>0</v>
      </c>
      <c r="P654" s="10">
        <v>0</v>
      </c>
      <c r="Q654" s="10">
        <v>0</v>
      </c>
      <c r="R654" s="10">
        <v>0</v>
      </c>
      <c r="S654" s="10">
        <v>0</v>
      </c>
      <c r="T654" s="9">
        <v>0</v>
      </c>
      <c r="U654" s="9">
        <v>0</v>
      </c>
      <c r="V654" s="9">
        <v>1</v>
      </c>
      <c r="W654" s="9">
        <v>1</v>
      </c>
      <c r="X654" s="9">
        <v>0</v>
      </c>
      <c r="Y654" s="9">
        <v>0</v>
      </c>
      <c r="Z654" s="9" t="s">
        <v>585</v>
      </c>
    </row>
    <row r="655" spans="1:27" s="9" customFormat="1" ht="15" customHeight="1" x14ac:dyDescent="0.15">
      <c r="A655" s="9">
        <v>10216</v>
      </c>
      <c r="B655" s="9" t="s">
        <v>1243</v>
      </c>
      <c r="C655" s="9">
        <f t="shared" si="85"/>
        <v>1</v>
      </c>
      <c r="D655" s="9">
        <v>1</v>
      </c>
      <c r="F655" s="12">
        <v>0</v>
      </c>
      <c r="G655" s="10">
        <v>1</v>
      </c>
      <c r="H655" s="10">
        <v>0</v>
      </c>
      <c r="I655" s="10">
        <v>0</v>
      </c>
      <c r="J655" s="10">
        <v>0</v>
      </c>
      <c r="K655" s="10">
        <v>0</v>
      </c>
      <c r="L655" s="9">
        <v>1</v>
      </c>
      <c r="M655" s="9">
        <f>N655+O655*2+P655*4+Q655*8+R655*16+S655*32</f>
        <v>0</v>
      </c>
      <c r="N655" s="10">
        <v>0</v>
      </c>
      <c r="O655" s="10">
        <v>0</v>
      </c>
      <c r="P655" s="10">
        <v>0</v>
      </c>
      <c r="Q655" s="10">
        <v>0</v>
      </c>
      <c r="R655" s="10">
        <v>0</v>
      </c>
      <c r="S655" s="10">
        <v>0</v>
      </c>
      <c r="T655" s="9">
        <v>0</v>
      </c>
      <c r="U655" s="9">
        <v>0</v>
      </c>
      <c r="V655" s="9">
        <v>1</v>
      </c>
      <c r="W655" s="9">
        <v>0</v>
      </c>
      <c r="X655" s="9">
        <v>0</v>
      </c>
      <c r="Y655" s="9">
        <v>0</v>
      </c>
      <c r="Z655" s="9" t="s">
        <v>1242</v>
      </c>
    </row>
    <row r="656" spans="1:27" s="9" customFormat="1" ht="15" customHeight="1" x14ac:dyDescent="0.15">
      <c r="A656" s="9">
        <v>10600</v>
      </c>
      <c r="B656" s="9" t="s">
        <v>548</v>
      </c>
      <c r="C656" s="9">
        <f t="shared" si="85"/>
        <v>1</v>
      </c>
      <c r="D656" s="9">
        <v>1</v>
      </c>
      <c r="F656" s="12">
        <v>0</v>
      </c>
      <c r="G656" s="10">
        <v>1</v>
      </c>
      <c r="H656" s="10">
        <v>0</v>
      </c>
      <c r="I656" s="10">
        <v>0</v>
      </c>
      <c r="J656" s="10">
        <v>0</v>
      </c>
      <c r="K656" s="10">
        <v>0</v>
      </c>
      <c r="L656" s="9">
        <v>0</v>
      </c>
      <c r="M656" s="9">
        <f t="shared" si="84"/>
        <v>0</v>
      </c>
      <c r="N656" s="10">
        <v>0</v>
      </c>
      <c r="O656" s="10">
        <v>0</v>
      </c>
      <c r="P656" s="10">
        <v>0</v>
      </c>
      <c r="Q656" s="10">
        <v>0</v>
      </c>
      <c r="R656" s="10">
        <v>0</v>
      </c>
      <c r="S656" s="10">
        <v>0</v>
      </c>
      <c r="T656" s="9">
        <v>1</v>
      </c>
      <c r="U656" s="9">
        <v>0</v>
      </c>
      <c r="V656" s="9">
        <v>1</v>
      </c>
      <c r="W656" s="9">
        <v>1</v>
      </c>
      <c r="X656" s="9">
        <v>1</v>
      </c>
      <c r="Y656" s="9">
        <v>0</v>
      </c>
      <c r="Z656" s="9" t="s">
        <v>40</v>
      </c>
    </row>
    <row r="657" spans="1:26" s="9" customFormat="1" ht="15" customHeight="1" x14ac:dyDescent="0.15">
      <c r="A657" s="9">
        <v>10304</v>
      </c>
      <c r="B657" s="9" t="s">
        <v>538</v>
      </c>
      <c r="C657" s="9">
        <f t="shared" si="85"/>
        <v>1</v>
      </c>
      <c r="D657" s="9">
        <v>1</v>
      </c>
      <c r="F657" s="12">
        <v>0</v>
      </c>
      <c r="G657" s="10">
        <v>1</v>
      </c>
      <c r="H657" s="10">
        <v>0</v>
      </c>
      <c r="I657" s="10">
        <v>0</v>
      </c>
      <c r="J657" s="10">
        <v>0</v>
      </c>
      <c r="K657" s="10">
        <v>0</v>
      </c>
      <c r="L657" s="9">
        <v>1</v>
      </c>
      <c r="M657" s="9">
        <f t="shared" si="84"/>
        <v>34</v>
      </c>
      <c r="N657" s="10">
        <v>0</v>
      </c>
      <c r="O657" s="10">
        <v>1</v>
      </c>
      <c r="P657" s="10">
        <v>0</v>
      </c>
      <c r="Q657" s="10">
        <v>0</v>
      </c>
      <c r="R657" s="10">
        <v>0</v>
      </c>
      <c r="S657" s="10">
        <v>1</v>
      </c>
      <c r="T657" s="9">
        <v>1</v>
      </c>
      <c r="U657" s="9">
        <v>0</v>
      </c>
      <c r="V657" s="9">
        <v>1</v>
      </c>
      <c r="W657" s="9">
        <v>0</v>
      </c>
      <c r="X657" s="9">
        <v>0</v>
      </c>
      <c r="Y657" s="9">
        <v>0</v>
      </c>
      <c r="Z657" s="9" t="s">
        <v>454</v>
      </c>
    </row>
    <row r="658" spans="1:26" s="9" customFormat="1" ht="15" customHeight="1" x14ac:dyDescent="0.15">
      <c r="A658" s="9">
        <v>10305</v>
      </c>
      <c r="B658" s="9" t="s">
        <v>27</v>
      </c>
      <c r="C658" s="9">
        <f t="shared" si="85"/>
        <v>1</v>
      </c>
      <c r="D658" s="9">
        <v>1</v>
      </c>
      <c r="F658" s="12">
        <v>0</v>
      </c>
      <c r="G658" s="10">
        <v>1</v>
      </c>
      <c r="H658" s="10">
        <v>0</v>
      </c>
      <c r="I658" s="10">
        <v>0</v>
      </c>
      <c r="J658" s="10">
        <v>0</v>
      </c>
      <c r="K658" s="10">
        <v>0</v>
      </c>
      <c r="L658" s="9">
        <v>1</v>
      </c>
      <c r="M658" s="9">
        <f t="shared" ref="M658:M905" si="86">N658+O658*2+P658*4+Q658*8+R658*16+S658*32</f>
        <v>9</v>
      </c>
      <c r="N658" s="10">
        <v>1</v>
      </c>
      <c r="O658" s="10">
        <v>0</v>
      </c>
      <c r="P658" s="10">
        <v>0</v>
      </c>
      <c r="Q658" s="10">
        <v>1</v>
      </c>
      <c r="R658" s="10">
        <v>0</v>
      </c>
      <c r="S658" s="10">
        <v>0</v>
      </c>
      <c r="T658" s="9">
        <v>1</v>
      </c>
      <c r="U658" s="9">
        <v>1</v>
      </c>
      <c r="V658" s="9">
        <v>1</v>
      </c>
      <c r="W658" s="9">
        <v>1</v>
      </c>
      <c r="X658" s="9">
        <v>0</v>
      </c>
      <c r="Y658" s="9">
        <v>0</v>
      </c>
      <c r="Z658" s="9" t="s">
        <v>47</v>
      </c>
    </row>
    <row r="659" spans="1:26" s="9" customFormat="1" ht="15" customHeight="1" x14ac:dyDescent="0.15">
      <c r="A659" s="9">
        <v>10606</v>
      </c>
      <c r="B659" s="9" t="s">
        <v>238</v>
      </c>
      <c r="C659" s="9">
        <f t="shared" si="85"/>
        <v>1</v>
      </c>
      <c r="D659" s="9">
        <v>1</v>
      </c>
      <c r="F659" s="12">
        <v>0</v>
      </c>
      <c r="G659" s="10">
        <v>1</v>
      </c>
      <c r="H659" s="10">
        <v>0</v>
      </c>
      <c r="I659" s="10">
        <v>0</v>
      </c>
      <c r="J659" s="10">
        <v>0</v>
      </c>
      <c r="K659" s="10">
        <v>0</v>
      </c>
      <c r="L659" s="9">
        <v>1</v>
      </c>
      <c r="M659" s="9">
        <f t="shared" si="86"/>
        <v>0</v>
      </c>
      <c r="N659" s="10">
        <v>0</v>
      </c>
      <c r="O659" s="10">
        <v>0</v>
      </c>
      <c r="P659" s="10">
        <v>0</v>
      </c>
      <c r="Q659" s="10">
        <v>0</v>
      </c>
      <c r="R659" s="10">
        <v>0</v>
      </c>
      <c r="S659" s="10">
        <v>0</v>
      </c>
      <c r="T659" s="9">
        <v>1</v>
      </c>
      <c r="U659" s="9">
        <v>0</v>
      </c>
      <c r="V659" s="9">
        <v>1</v>
      </c>
      <c r="W659" s="9">
        <v>0</v>
      </c>
      <c r="X659" s="9">
        <v>0</v>
      </c>
      <c r="Y659" s="9">
        <v>0</v>
      </c>
      <c r="Z659" s="9" t="s">
        <v>241</v>
      </c>
    </row>
    <row r="660" spans="1:26" s="9" customFormat="1" ht="15" customHeight="1" x14ac:dyDescent="0.15">
      <c r="A660" s="9">
        <v>10307</v>
      </c>
      <c r="B660" s="9" t="s">
        <v>240</v>
      </c>
      <c r="C660" s="9">
        <f t="shared" si="85"/>
        <v>1</v>
      </c>
      <c r="D660" s="9">
        <v>1</v>
      </c>
      <c r="F660" s="12">
        <v>0</v>
      </c>
      <c r="G660" s="10">
        <v>1</v>
      </c>
      <c r="H660" s="10">
        <v>0</v>
      </c>
      <c r="I660" s="10">
        <v>0</v>
      </c>
      <c r="J660" s="10">
        <v>0</v>
      </c>
      <c r="K660" s="10">
        <v>0</v>
      </c>
      <c r="L660" s="9">
        <v>1</v>
      </c>
      <c r="M660" s="9">
        <f t="shared" si="86"/>
        <v>33</v>
      </c>
      <c r="N660" s="10">
        <v>1</v>
      </c>
      <c r="O660" s="10">
        <v>0</v>
      </c>
      <c r="P660" s="10">
        <v>0</v>
      </c>
      <c r="Q660" s="10">
        <v>0</v>
      </c>
      <c r="R660" s="10">
        <v>0</v>
      </c>
      <c r="S660" s="10">
        <v>1</v>
      </c>
      <c r="T660" s="9">
        <v>1</v>
      </c>
      <c r="U660" s="9">
        <v>0</v>
      </c>
      <c r="V660" s="9">
        <v>1</v>
      </c>
      <c r="W660" s="9">
        <v>1</v>
      </c>
      <c r="X660" s="9">
        <v>0</v>
      </c>
      <c r="Y660" s="9">
        <v>0</v>
      </c>
      <c r="Z660" s="9" t="s">
        <v>269</v>
      </c>
    </row>
    <row r="661" spans="1:26" s="9" customFormat="1" ht="15" customHeight="1" x14ac:dyDescent="0.15">
      <c r="A661" s="9">
        <v>10308</v>
      </c>
      <c r="B661" s="9" t="s">
        <v>33</v>
      </c>
      <c r="C661" s="9">
        <f t="shared" si="85"/>
        <v>1</v>
      </c>
      <c r="D661" s="9">
        <v>1</v>
      </c>
      <c r="F661" s="12">
        <v>0</v>
      </c>
      <c r="G661" s="10">
        <v>1</v>
      </c>
      <c r="H661" s="10">
        <v>0</v>
      </c>
      <c r="I661" s="10">
        <v>0</v>
      </c>
      <c r="J661" s="10">
        <v>0</v>
      </c>
      <c r="K661" s="10">
        <v>0</v>
      </c>
      <c r="L661" s="9">
        <v>1</v>
      </c>
      <c r="M661" s="9">
        <f t="shared" si="86"/>
        <v>2</v>
      </c>
      <c r="N661" s="10">
        <v>0</v>
      </c>
      <c r="O661" s="10">
        <v>1</v>
      </c>
      <c r="P661" s="10">
        <v>0</v>
      </c>
      <c r="Q661" s="10">
        <v>0</v>
      </c>
      <c r="R661" s="10">
        <v>0</v>
      </c>
      <c r="S661" s="10">
        <v>0</v>
      </c>
      <c r="T661" s="9">
        <v>1</v>
      </c>
      <c r="U661" s="9">
        <v>0</v>
      </c>
      <c r="V661" s="9">
        <v>1</v>
      </c>
      <c r="W661" s="9">
        <v>0</v>
      </c>
      <c r="X661" s="9">
        <v>0</v>
      </c>
      <c r="Y661" s="9">
        <v>0</v>
      </c>
      <c r="Z661" s="11" t="s">
        <v>453</v>
      </c>
    </row>
    <row r="662" spans="1:26" s="9" customFormat="1" ht="15" customHeight="1" x14ac:dyDescent="0.15">
      <c r="A662" s="9">
        <v>10309</v>
      </c>
      <c r="B662" s="9" t="s">
        <v>539</v>
      </c>
      <c r="C662" s="9">
        <f t="shared" si="85"/>
        <v>1</v>
      </c>
      <c r="D662" s="9">
        <v>1</v>
      </c>
      <c r="F662" s="12">
        <v>0</v>
      </c>
      <c r="G662" s="10">
        <v>1</v>
      </c>
      <c r="H662" s="10">
        <v>0</v>
      </c>
      <c r="I662" s="10">
        <v>0</v>
      </c>
      <c r="J662" s="10">
        <v>0</v>
      </c>
      <c r="K662" s="10">
        <v>0</v>
      </c>
      <c r="L662" s="9">
        <v>1</v>
      </c>
      <c r="M662" s="9">
        <f t="shared" si="86"/>
        <v>34</v>
      </c>
      <c r="N662" s="10">
        <v>0</v>
      </c>
      <c r="O662" s="10">
        <v>1</v>
      </c>
      <c r="P662" s="10">
        <v>0</v>
      </c>
      <c r="Q662" s="10">
        <v>0</v>
      </c>
      <c r="R662" s="10">
        <v>0</v>
      </c>
      <c r="S662" s="10">
        <v>1</v>
      </c>
      <c r="T662" s="9">
        <v>1</v>
      </c>
      <c r="U662" s="9">
        <v>0</v>
      </c>
      <c r="V662" s="9">
        <v>1</v>
      </c>
      <c r="W662" s="9">
        <v>0</v>
      </c>
      <c r="X662" s="9">
        <v>0</v>
      </c>
      <c r="Y662" s="9">
        <v>0</v>
      </c>
      <c r="Z662" s="9" t="s">
        <v>239</v>
      </c>
    </row>
    <row r="663" spans="1:26" s="9" customFormat="1" ht="15" customHeight="1" x14ac:dyDescent="0.15">
      <c r="A663" s="9">
        <v>10312</v>
      </c>
      <c r="B663" s="9" t="s">
        <v>215</v>
      </c>
      <c r="C663" s="9">
        <f t="shared" si="85"/>
        <v>17</v>
      </c>
      <c r="D663" s="9">
        <v>1</v>
      </c>
      <c r="F663" s="12">
        <v>0</v>
      </c>
      <c r="G663" s="10">
        <v>1</v>
      </c>
      <c r="H663" s="10">
        <v>0</v>
      </c>
      <c r="I663" s="10">
        <v>0</v>
      </c>
      <c r="J663" s="10">
        <v>0</v>
      </c>
      <c r="K663" s="10">
        <v>1</v>
      </c>
      <c r="L663" s="9">
        <v>1</v>
      </c>
      <c r="M663" s="9">
        <f t="shared" si="86"/>
        <v>0</v>
      </c>
      <c r="N663" s="10">
        <v>0</v>
      </c>
      <c r="O663" s="10">
        <v>0</v>
      </c>
      <c r="P663" s="10">
        <v>0</v>
      </c>
      <c r="Q663" s="10">
        <v>0</v>
      </c>
      <c r="R663" s="10">
        <v>0</v>
      </c>
      <c r="S663" s="10">
        <v>0</v>
      </c>
      <c r="T663" s="9">
        <v>1</v>
      </c>
      <c r="U663" s="9">
        <v>0</v>
      </c>
      <c r="V663" s="9">
        <v>1</v>
      </c>
      <c r="W663" s="9">
        <v>0</v>
      </c>
      <c r="X663" s="9">
        <v>0</v>
      </c>
      <c r="Y663" s="9">
        <v>0</v>
      </c>
      <c r="Z663" s="9" t="s">
        <v>268</v>
      </c>
    </row>
    <row r="664" spans="1:26" s="9" customFormat="1" ht="15" customHeight="1" x14ac:dyDescent="0.15">
      <c r="A664" s="9">
        <v>10313</v>
      </c>
      <c r="B664" s="9" t="s">
        <v>403</v>
      </c>
      <c r="C664" s="9">
        <f>G664+H664*2+I664*4+J664*8+K664*16</f>
        <v>1</v>
      </c>
      <c r="D664" s="9">
        <v>1</v>
      </c>
      <c r="F664" s="12">
        <v>0</v>
      </c>
      <c r="G664" s="10">
        <v>1</v>
      </c>
      <c r="H664" s="10">
        <v>0</v>
      </c>
      <c r="I664" s="10">
        <v>0</v>
      </c>
      <c r="J664" s="10">
        <v>0</v>
      </c>
      <c r="K664" s="10">
        <v>0</v>
      </c>
      <c r="L664" s="9">
        <v>1</v>
      </c>
      <c r="M664" s="9">
        <f>N664+O664*2+P664*4+Q664*8+R664*16+S664*32</f>
        <v>0</v>
      </c>
      <c r="N664" s="10">
        <v>0</v>
      </c>
      <c r="O664" s="10">
        <v>0</v>
      </c>
      <c r="P664" s="10">
        <v>0</v>
      </c>
      <c r="Q664" s="10">
        <v>0</v>
      </c>
      <c r="R664" s="10">
        <v>0</v>
      </c>
      <c r="S664" s="10">
        <v>0</v>
      </c>
      <c r="T664" s="9">
        <v>1</v>
      </c>
      <c r="U664" s="9">
        <v>0</v>
      </c>
      <c r="V664" s="9">
        <v>1</v>
      </c>
      <c r="W664" s="9">
        <v>0</v>
      </c>
      <c r="X664" s="9">
        <v>0</v>
      </c>
      <c r="Y664" s="9">
        <v>0</v>
      </c>
      <c r="Z664" s="9" t="s">
        <v>241</v>
      </c>
    </row>
    <row r="665" spans="1:26" s="9" customFormat="1" ht="15" customHeight="1" x14ac:dyDescent="0.15">
      <c r="A665" s="9">
        <v>10316</v>
      </c>
      <c r="B665" s="9" t="s">
        <v>849</v>
      </c>
      <c r="C665" s="9">
        <f>G665+H665*2+I665*4+J665*8+K665*16</f>
        <v>1</v>
      </c>
      <c r="D665" s="9">
        <v>1</v>
      </c>
      <c r="F665" s="12">
        <v>0</v>
      </c>
      <c r="G665" s="10">
        <v>1</v>
      </c>
      <c r="H665" s="10">
        <v>0</v>
      </c>
      <c r="I665" s="10">
        <v>0</v>
      </c>
      <c r="J665" s="10">
        <v>0</v>
      </c>
      <c r="K665" s="10">
        <v>0</v>
      </c>
      <c r="L665" s="9">
        <v>1</v>
      </c>
      <c r="M665" s="9">
        <f>N665+O665*2+P665*4+Q665*8+R665*16+S665*32</f>
        <v>0</v>
      </c>
      <c r="N665" s="10">
        <v>0</v>
      </c>
      <c r="O665" s="10">
        <v>0</v>
      </c>
      <c r="P665" s="10">
        <v>0</v>
      </c>
      <c r="Q665" s="10">
        <v>0</v>
      </c>
      <c r="R665" s="10">
        <v>0</v>
      </c>
      <c r="S665" s="10">
        <v>0</v>
      </c>
      <c r="T665" s="9">
        <v>1</v>
      </c>
      <c r="U665" s="9">
        <v>1</v>
      </c>
      <c r="V665" s="9">
        <v>1</v>
      </c>
      <c r="W665" s="9">
        <v>0</v>
      </c>
      <c r="X665" s="9">
        <v>0</v>
      </c>
      <c r="Y665" s="9">
        <v>0</v>
      </c>
      <c r="Z665" s="9" t="s">
        <v>842</v>
      </c>
    </row>
    <row r="666" spans="1:26" s="9" customFormat="1" ht="15" customHeight="1" x14ac:dyDescent="0.15">
      <c r="A666" s="9">
        <v>10317</v>
      </c>
      <c r="B666" s="9" t="s">
        <v>1239</v>
      </c>
      <c r="C666" s="9">
        <f>G666+H666*2+I666*4+J666*8+K666*16</f>
        <v>1</v>
      </c>
      <c r="D666" s="9">
        <v>1</v>
      </c>
      <c r="F666" s="12">
        <v>0</v>
      </c>
      <c r="G666" s="10">
        <v>1</v>
      </c>
      <c r="H666" s="10">
        <v>0</v>
      </c>
      <c r="I666" s="10">
        <v>0</v>
      </c>
      <c r="J666" s="10">
        <v>0</v>
      </c>
      <c r="K666" s="10">
        <v>0</v>
      </c>
      <c r="L666" s="9">
        <v>1</v>
      </c>
      <c r="M666" s="9">
        <f>N666+O666*2+P666*4+Q666*8+R666*16+S666*32</f>
        <v>0</v>
      </c>
      <c r="N666" s="10">
        <v>0</v>
      </c>
      <c r="O666" s="10">
        <v>0</v>
      </c>
      <c r="P666" s="10">
        <v>0</v>
      </c>
      <c r="Q666" s="10">
        <v>0</v>
      </c>
      <c r="R666" s="10">
        <v>0</v>
      </c>
      <c r="S666" s="10">
        <v>0</v>
      </c>
      <c r="T666" s="9">
        <v>1</v>
      </c>
      <c r="U666" s="9">
        <v>1</v>
      </c>
      <c r="V666" s="9">
        <v>1</v>
      </c>
      <c r="W666" s="9">
        <v>0</v>
      </c>
      <c r="X666" s="9">
        <v>0</v>
      </c>
      <c r="Y666" s="9">
        <v>0</v>
      </c>
      <c r="Z666" s="9" t="s">
        <v>989</v>
      </c>
    </row>
    <row r="667" spans="1:26" s="9" customFormat="1" ht="15" customHeight="1" x14ac:dyDescent="0.15">
      <c r="A667" s="9">
        <v>10400</v>
      </c>
      <c r="B667" s="9" t="s">
        <v>546</v>
      </c>
      <c r="C667" s="9">
        <f t="shared" si="85"/>
        <v>1</v>
      </c>
      <c r="D667" s="9">
        <v>1</v>
      </c>
      <c r="F667" s="12">
        <v>0</v>
      </c>
      <c r="G667" s="10">
        <v>1</v>
      </c>
      <c r="H667" s="10">
        <v>0</v>
      </c>
      <c r="I667" s="10">
        <v>0</v>
      </c>
      <c r="J667" s="10">
        <v>0</v>
      </c>
      <c r="K667" s="10">
        <v>0</v>
      </c>
      <c r="L667" s="9">
        <v>0</v>
      </c>
      <c r="M667" s="9">
        <f t="shared" si="86"/>
        <v>0</v>
      </c>
      <c r="N667" s="10">
        <v>0</v>
      </c>
      <c r="O667" s="10">
        <v>0</v>
      </c>
      <c r="P667" s="10">
        <v>0</v>
      </c>
      <c r="Q667" s="10">
        <v>0</v>
      </c>
      <c r="R667" s="10">
        <v>0</v>
      </c>
      <c r="S667" s="10">
        <v>0</v>
      </c>
      <c r="T667" s="9">
        <v>1</v>
      </c>
      <c r="U667" s="9">
        <v>0</v>
      </c>
      <c r="V667" s="9">
        <v>1</v>
      </c>
      <c r="W667" s="9">
        <v>1</v>
      </c>
      <c r="X667" s="9">
        <v>1</v>
      </c>
      <c r="Y667" s="9">
        <v>0</v>
      </c>
      <c r="Z667" s="9" t="s">
        <v>1478</v>
      </c>
    </row>
    <row r="668" spans="1:26" s="9" customFormat="1" ht="15" customHeight="1" x14ac:dyDescent="0.15">
      <c r="A668" s="9">
        <v>10404</v>
      </c>
      <c r="B668" s="9" t="s">
        <v>29</v>
      </c>
      <c r="C668" s="9">
        <f t="shared" si="85"/>
        <v>1</v>
      </c>
      <c r="D668" s="9">
        <v>1</v>
      </c>
      <c r="F668" s="12">
        <v>0</v>
      </c>
      <c r="G668" s="10">
        <v>1</v>
      </c>
      <c r="H668" s="10">
        <v>0</v>
      </c>
      <c r="I668" s="10">
        <v>0</v>
      </c>
      <c r="J668" s="10">
        <v>0</v>
      </c>
      <c r="K668" s="10">
        <v>0</v>
      </c>
      <c r="L668" s="9">
        <v>1</v>
      </c>
      <c r="M668" s="9">
        <f t="shared" si="86"/>
        <v>9</v>
      </c>
      <c r="N668" s="10">
        <v>1</v>
      </c>
      <c r="O668" s="10">
        <v>0</v>
      </c>
      <c r="P668" s="10">
        <v>0</v>
      </c>
      <c r="Q668" s="10">
        <v>1</v>
      </c>
      <c r="R668" s="10">
        <v>0</v>
      </c>
      <c r="S668" s="10">
        <v>0</v>
      </c>
      <c r="T668" s="9">
        <v>1</v>
      </c>
      <c r="U668" s="9">
        <v>1</v>
      </c>
      <c r="V668" s="9">
        <v>1</v>
      </c>
      <c r="W668" s="9">
        <v>1</v>
      </c>
      <c r="X668" s="9">
        <v>0</v>
      </c>
      <c r="Y668" s="9">
        <v>0</v>
      </c>
      <c r="Z668" s="9" t="s">
        <v>557</v>
      </c>
    </row>
    <row r="669" spans="1:26" s="9" customFormat="1" ht="15" customHeight="1" x14ac:dyDescent="0.15">
      <c r="A669" s="9">
        <v>10405</v>
      </c>
      <c r="B669" s="9" t="s">
        <v>242</v>
      </c>
      <c r="C669" s="9">
        <f t="shared" si="85"/>
        <v>1</v>
      </c>
      <c r="D669" s="9">
        <v>1</v>
      </c>
      <c r="F669" s="12">
        <v>0</v>
      </c>
      <c r="G669" s="10">
        <v>1</v>
      </c>
      <c r="H669" s="10">
        <v>0</v>
      </c>
      <c r="I669" s="10">
        <v>0</v>
      </c>
      <c r="J669" s="10">
        <v>0</v>
      </c>
      <c r="K669" s="10">
        <v>0</v>
      </c>
      <c r="L669" s="9">
        <v>1</v>
      </c>
      <c r="M669" s="9">
        <f t="shared" si="86"/>
        <v>0</v>
      </c>
      <c r="N669" s="10">
        <v>0</v>
      </c>
      <c r="O669" s="10">
        <v>0</v>
      </c>
      <c r="P669" s="10">
        <v>0</v>
      </c>
      <c r="Q669" s="10">
        <v>0</v>
      </c>
      <c r="R669" s="10">
        <v>0</v>
      </c>
      <c r="S669" s="10">
        <v>0</v>
      </c>
      <c r="T669" s="9">
        <v>1</v>
      </c>
      <c r="U669" s="9">
        <v>0</v>
      </c>
      <c r="V669" s="9">
        <v>1</v>
      </c>
      <c r="W669" s="9">
        <v>0</v>
      </c>
      <c r="X669" s="9">
        <v>0</v>
      </c>
      <c r="Y669" s="9">
        <v>0</v>
      </c>
      <c r="Z669" s="9" t="s">
        <v>243</v>
      </c>
    </row>
    <row r="670" spans="1:26" s="9" customFormat="1" ht="15" customHeight="1" x14ac:dyDescent="0.15">
      <c r="A670" s="9">
        <v>10406</v>
      </c>
      <c r="B670" s="9" t="s">
        <v>37</v>
      </c>
      <c r="C670" s="9">
        <f t="shared" si="85"/>
        <v>0</v>
      </c>
      <c r="D670" s="9">
        <v>1</v>
      </c>
      <c r="F670" s="12">
        <v>0</v>
      </c>
      <c r="G670" s="10">
        <v>0</v>
      </c>
      <c r="H670" s="10">
        <v>0</v>
      </c>
      <c r="I670" s="10">
        <v>0</v>
      </c>
      <c r="J670" s="10">
        <v>0</v>
      </c>
      <c r="K670" s="10">
        <v>0</v>
      </c>
      <c r="L670" s="9">
        <v>1</v>
      </c>
      <c r="M670" s="9">
        <f t="shared" si="86"/>
        <v>0</v>
      </c>
      <c r="N670" s="10">
        <v>0</v>
      </c>
      <c r="O670" s="10">
        <v>0</v>
      </c>
      <c r="P670" s="10">
        <v>0</v>
      </c>
      <c r="Q670" s="10">
        <v>0</v>
      </c>
      <c r="R670" s="10">
        <v>0</v>
      </c>
      <c r="S670" s="10">
        <v>0</v>
      </c>
      <c r="T670" s="9">
        <v>1</v>
      </c>
      <c r="U670" s="9">
        <v>0</v>
      </c>
      <c r="V670" s="9">
        <v>1</v>
      </c>
      <c r="W670" s="9">
        <v>0</v>
      </c>
      <c r="X670" s="9">
        <v>0</v>
      </c>
      <c r="Y670" s="9">
        <v>0</v>
      </c>
      <c r="Z670" s="9" t="s">
        <v>344</v>
      </c>
    </row>
    <row r="671" spans="1:26" s="9" customFormat="1" ht="15" customHeight="1" x14ac:dyDescent="0.15">
      <c r="A671" s="9">
        <v>10407</v>
      </c>
      <c r="B671" s="9" t="s">
        <v>37</v>
      </c>
      <c r="C671" s="9">
        <f>G671+H671*2+I671*4+J671*8+K671*16</f>
        <v>1</v>
      </c>
      <c r="D671" s="9">
        <v>1</v>
      </c>
      <c r="F671" s="12">
        <v>0</v>
      </c>
      <c r="G671" s="10">
        <v>1</v>
      </c>
      <c r="H671" s="10">
        <v>0</v>
      </c>
      <c r="I671" s="10">
        <v>0</v>
      </c>
      <c r="J671" s="10">
        <v>0</v>
      </c>
      <c r="K671" s="10">
        <v>0</v>
      </c>
      <c r="L671" s="9">
        <v>0</v>
      </c>
      <c r="M671" s="9">
        <f>N671+O671*2+P671*4+Q671*8+R671*16+S671*32</f>
        <v>2</v>
      </c>
      <c r="N671" s="10">
        <v>0</v>
      </c>
      <c r="O671" s="10">
        <v>1</v>
      </c>
      <c r="P671" s="10">
        <v>0</v>
      </c>
      <c r="Q671" s="10">
        <v>0</v>
      </c>
      <c r="R671" s="10">
        <v>0</v>
      </c>
      <c r="S671" s="10">
        <v>0</v>
      </c>
      <c r="T671" s="9">
        <v>1</v>
      </c>
      <c r="U671" s="9">
        <v>0</v>
      </c>
      <c r="V671" s="9">
        <v>1</v>
      </c>
      <c r="W671" s="9">
        <v>0</v>
      </c>
      <c r="X671" s="9">
        <v>0</v>
      </c>
      <c r="Y671" s="9">
        <v>0</v>
      </c>
      <c r="Z671" s="9" t="s">
        <v>49</v>
      </c>
    </row>
    <row r="672" spans="1:26" s="9" customFormat="1" ht="15" customHeight="1" x14ac:dyDescent="0.15">
      <c r="A672" s="9">
        <v>10410</v>
      </c>
      <c r="B672" s="9" t="s">
        <v>847</v>
      </c>
      <c r="C672" s="9">
        <f>G672+H672*2+I672*4+J672*8+K672*16</f>
        <v>1</v>
      </c>
      <c r="D672" s="9">
        <v>1</v>
      </c>
      <c r="F672" s="12">
        <v>0</v>
      </c>
      <c r="G672" s="10">
        <v>1</v>
      </c>
      <c r="H672" s="10">
        <v>0</v>
      </c>
      <c r="I672" s="10">
        <v>0</v>
      </c>
      <c r="J672" s="10">
        <v>0</v>
      </c>
      <c r="K672" s="10">
        <v>0</v>
      </c>
      <c r="L672" s="9">
        <v>0</v>
      </c>
      <c r="M672" s="9">
        <f>N672+O672*2+P672*4+Q672*8+R672*16+S672*32</f>
        <v>0</v>
      </c>
      <c r="N672" s="10">
        <v>0</v>
      </c>
      <c r="O672" s="10">
        <v>0</v>
      </c>
      <c r="P672" s="10">
        <v>0</v>
      </c>
      <c r="Q672" s="10">
        <v>0</v>
      </c>
      <c r="R672" s="10">
        <v>0</v>
      </c>
      <c r="S672" s="10">
        <v>0</v>
      </c>
      <c r="T672" s="9">
        <v>1</v>
      </c>
      <c r="U672" s="9">
        <v>0</v>
      </c>
      <c r="V672" s="9">
        <v>1</v>
      </c>
      <c r="W672" s="9">
        <v>0</v>
      </c>
      <c r="X672" s="9">
        <v>0</v>
      </c>
      <c r="Y672" s="9">
        <v>0</v>
      </c>
      <c r="Z672" s="9" t="s">
        <v>848</v>
      </c>
    </row>
    <row r="673" spans="1:26" s="9" customFormat="1" ht="15" customHeight="1" x14ac:dyDescent="0.15">
      <c r="A673" s="9">
        <v>10413</v>
      </c>
      <c r="B673" s="9" t="s">
        <v>221</v>
      </c>
      <c r="C673" s="9">
        <f t="shared" si="85"/>
        <v>1</v>
      </c>
      <c r="D673" s="9">
        <v>1</v>
      </c>
      <c r="F673" s="12">
        <v>0</v>
      </c>
      <c r="G673" s="10">
        <v>1</v>
      </c>
      <c r="H673" s="10">
        <v>0</v>
      </c>
      <c r="I673" s="10">
        <v>0</v>
      </c>
      <c r="J673" s="10">
        <v>0</v>
      </c>
      <c r="K673" s="10">
        <v>0</v>
      </c>
      <c r="L673" s="9">
        <v>1</v>
      </c>
      <c r="M673" s="9">
        <f t="shared" si="86"/>
        <v>0</v>
      </c>
      <c r="N673" s="10">
        <v>0</v>
      </c>
      <c r="O673" s="10">
        <v>0</v>
      </c>
      <c r="P673" s="10">
        <v>0</v>
      </c>
      <c r="Q673" s="10">
        <v>0</v>
      </c>
      <c r="R673" s="10">
        <v>0</v>
      </c>
      <c r="S673" s="10">
        <v>0</v>
      </c>
      <c r="T673" s="9">
        <v>1</v>
      </c>
      <c r="U673" s="9">
        <v>0</v>
      </c>
      <c r="V673" s="9">
        <v>1</v>
      </c>
      <c r="W673" s="9">
        <v>0</v>
      </c>
      <c r="X673" s="9">
        <v>0</v>
      </c>
      <c r="Y673" s="9">
        <v>0</v>
      </c>
      <c r="Z673" s="9" t="s">
        <v>222</v>
      </c>
    </row>
    <row r="674" spans="1:26" s="9" customFormat="1" ht="15" customHeight="1" x14ac:dyDescent="0.15">
      <c r="A674" s="9">
        <v>10414</v>
      </c>
      <c r="B674" s="9" t="s">
        <v>843</v>
      </c>
      <c r="C674" s="9">
        <f>G674+H674*2+I674*4+J674*8+K674*16</f>
        <v>1</v>
      </c>
      <c r="D674" s="9">
        <v>1</v>
      </c>
      <c r="F674" s="12">
        <v>0</v>
      </c>
      <c r="G674" s="10">
        <v>1</v>
      </c>
      <c r="H674" s="10">
        <v>0</v>
      </c>
      <c r="I674" s="10">
        <v>0</v>
      </c>
      <c r="J674" s="10">
        <v>0</v>
      </c>
      <c r="K674" s="10">
        <v>0</v>
      </c>
      <c r="L674" s="9">
        <v>1</v>
      </c>
      <c r="M674" s="9">
        <f t="shared" si="86"/>
        <v>0</v>
      </c>
      <c r="N674" s="10">
        <v>0</v>
      </c>
      <c r="O674" s="10">
        <v>0</v>
      </c>
      <c r="P674" s="10">
        <v>0</v>
      </c>
      <c r="Q674" s="10">
        <v>0</v>
      </c>
      <c r="R674" s="10">
        <v>0</v>
      </c>
      <c r="S674" s="10">
        <v>0</v>
      </c>
      <c r="T674" s="9">
        <v>1</v>
      </c>
      <c r="U674" s="9">
        <v>0</v>
      </c>
      <c r="V674" s="9">
        <v>1</v>
      </c>
      <c r="W674" s="9">
        <v>0</v>
      </c>
      <c r="X674" s="9">
        <v>0</v>
      </c>
      <c r="Y674" s="9">
        <v>0</v>
      </c>
      <c r="Z674" s="9" t="s">
        <v>844</v>
      </c>
    </row>
    <row r="675" spans="1:26" s="9" customFormat="1" ht="15.75" customHeight="1" x14ac:dyDescent="0.15">
      <c r="A675" s="9">
        <v>10415</v>
      </c>
      <c r="B675" s="9" t="s">
        <v>1238</v>
      </c>
      <c r="C675" s="9">
        <f t="shared" ref="C675" si="87">G675+H675*2+I675*4+J675*8+K675*16</f>
        <v>1</v>
      </c>
      <c r="D675" s="9">
        <v>1</v>
      </c>
      <c r="F675" s="12">
        <v>0</v>
      </c>
      <c r="G675" s="10">
        <v>1</v>
      </c>
      <c r="H675" s="10">
        <v>0</v>
      </c>
      <c r="I675" s="10">
        <v>0</v>
      </c>
      <c r="J675" s="10">
        <v>0</v>
      </c>
      <c r="K675" s="10">
        <v>0</v>
      </c>
      <c r="L675" s="9">
        <v>1</v>
      </c>
      <c r="M675" s="9">
        <f t="shared" ref="M675" si="88">N675+O675*2+P675*4+Q675*8+R675*16+S675*32</f>
        <v>34</v>
      </c>
      <c r="N675" s="10">
        <v>0</v>
      </c>
      <c r="O675" s="10">
        <v>1</v>
      </c>
      <c r="P675" s="10">
        <v>0</v>
      </c>
      <c r="Q675" s="10">
        <v>0</v>
      </c>
      <c r="R675" s="10">
        <v>0</v>
      </c>
      <c r="S675" s="10">
        <v>1</v>
      </c>
      <c r="T675" s="9">
        <v>1</v>
      </c>
      <c r="U675" s="9">
        <v>0</v>
      </c>
      <c r="V675" s="9">
        <v>1</v>
      </c>
      <c r="W675" s="9">
        <v>0</v>
      </c>
      <c r="X675" s="9">
        <v>0</v>
      </c>
      <c r="Y675" s="9">
        <v>0</v>
      </c>
      <c r="Z675" s="9" t="s">
        <v>1230</v>
      </c>
    </row>
    <row r="676" spans="1:26" s="9" customFormat="1" ht="15" customHeight="1" x14ac:dyDescent="0.15">
      <c r="A676" s="9">
        <v>10200</v>
      </c>
      <c r="B676" s="9" t="s">
        <v>1566</v>
      </c>
      <c r="C676" s="9">
        <f t="shared" si="85"/>
        <v>1</v>
      </c>
      <c r="D676" s="9">
        <v>1</v>
      </c>
      <c r="F676" s="12">
        <v>0</v>
      </c>
      <c r="G676" s="10">
        <v>1</v>
      </c>
      <c r="H676" s="10">
        <v>0</v>
      </c>
      <c r="I676" s="10">
        <v>0</v>
      </c>
      <c r="J676" s="10">
        <v>0</v>
      </c>
      <c r="K676" s="10">
        <v>0</v>
      </c>
      <c r="L676" s="9">
        <v>0</v>
      </c>
      <c r="M676" s="9">
        <f t="shared" si="86"/>
        <v>0</v>
      </c>
      <c r="N676" s="10">
        <v>0</v>
      </c>
      <c r="O676" s="10">
        <v>0</v>
      </c>
      <c r="P676" s="10">
        <v>0</v>
      </c>
      <c r="Q676" s="10">
        <v>0</v>
      </c>
      <c r="R676" s="10">
        <v>0</v>
      </c>
      <c r="S676" s="10">
        <v>0</v>
      </c>
      <c r="T676" s="9">
        <v>1</v>
      </c>
      <c r="U676" s="9">
        <v>0</v>
      </c>
      <c r="V676" s="9">
        <v>1</v>
      </c>
      <c r="W676" s="9">
        <v>1</v>
      </c>
      <c r="X676" s="9">
        <v>1</v>
      </c>
      <c r="Y676" s="9">
        <v>0</v>
      </c>
      <c r="Z676" s="9" t="s">
        <v>1567</v>
      </c>
    </row>
    <row r="677" spans="1:26" s="9" customFormat="1" ht="15" customHeight="1" x14ac:dyDescent="0.15">
      <c r="A677" s="9">
        <v>10502</v>
      </c>
      <c r="B677" s="9" t="s">
        <v>112</v>
      </c>
      <c r="C677" s="9">
        <f t="shared" si="85"/>
        <v>1</v>
      </c>
      <c r="D677" s="9">
        <v>1</v>
      </c>
      <c r="F677" s="12">
        <v>0</v>
      </c>
      <c r="G677" s="10">
        <v>1</v>
      </c>
      <c r="H677" s="10">
        <v>0</v>
      </c>
      <c r="I677" s="10">
        <v>0</v>
      </c>
      <c r="J677" s="10">
        <v>0</v>
      </c>
      <c r="K677" s="10">
        <v>0</v>
      </c>
      <c r="L677" s="9">
        <v>1</v>
      </c>
      <c r="M677" s="9">
        <f t="shared" si="86"/>
        <v>34</v>
      </c>
      <c r="N677" s="10">
        <v>0</v>
      </c>
      <c r="O677" s="10">
        <v>1</v>
      </c>
      <c r="P677" s="10">
        <v>0</v>
      </c>
      <c r="Q677" s="10">
        <v>0</v>
      </c>
      <c r="R677" s="10">
        <v>0</v>
      </c>
      <c r="S677" s="10">
        <v>1</v>
      </c>
      <c r="T677" s="9">
        <v>1</v>
      </c>
      <c r="U677" s="9">
        <v>0</v>
      </c>
      <c r="V677" s="9">
        <v>1</v>
      </c>
      <c r="W677" s="9">
        <v>0</v>
      </c>
      <c r="X677" s="9">
        <v>0</v>
      </c>
      <c r="Y677" s="9">
        <v>0</v>
      </c>
      <c r="Z677" s="9" t="s">
        <v>267</v>
      </c>
    </row>
    <row r="678" spans="1:26" s="9" customFormat="1" ht="15" customHeight="1" x14ac:dyDescent="0.15">
      <c r="A678" s="9">
        <v>10504</v>
      </c>
      <c r="B678" s="9" t="s">
        <v>38</v>
      </c>
      <c r="C678" s="9">
        <f t="shared" si="85"/>
        <v>1</v>
      </c>
      <c r="D678" s="9">
        <v>1</v>
      </c>
      <c r="F678" s="12">
        <v>0</v>
      </c>
      <c r="G678" s="10">
        <v>1</v>
      </c>
      <c r="H678" s="10">
        <v>0</v>
      </c>
      <c r="I678" s="10">
        <v>0</v>
      </c>
      <c r="J678" s="10">
        <v>0</v>
      </c>
      <c r="K678" s="10">
        <v>0</v>
      </c>
      <c r="L678" s="9">
        <v>1</v>
      </c>
      <c r="M678" s="9">
        <f t="shared" si="86"/>
        <v>33</v>
      </c>
      <c r="N678" s="10">
        <v>1</v>
      </c>
      <c r="O678" s="10">
        <v>0</v>
      </c>
      <c r="P678" s="10">
        <v>0</v>
      </c>
      <c r="Q678" s="10">
        <v>0</v>
      </c>
      <c r="R678" s="10">
        <v>0</v>
      </c>
      <c r="S678" s="10">
        <v>1</v>
      </c>
      <c r="T678" s="9">
        <v>1</v>
      </c>
      <c r="U678" s="9">
        <v>0</v>
      </c>
      <c r="V678" s="9">
        <v>1</v>
      </c>
      <c r="W678" s="9">
        <v>1</v>
      </c>
      <c r="X678" s="9">
        <v>0</v>
      </c>
      <c r="Y678" s="9">
        <v>0</v>
      </c>
      <c r="Z678" s="9" t="s">
        <v>264</v>
      </c>
    </row>
    <row r="679" spans="1:26" s="9" customFormat="1" ht="15" customHeight="1" x14ac:dyDescent="0.15">
      <c r="A679" s="9">
        <v>10505</v>
      </c>
      <c r="B679" s="9" t="s">
        <v>39</v>
      </c>
      <c r="C679" s="9">
        <f t="shared" si="85"/>
        <v>1</v>
      </c>
      <c r="D679" s="9">
        <v>1</v>
      </c>
      <c r="F679" s="12">
        <v>0</v>
      </c>
      <c r="G679" s="10">
        <v>1</v>
      </c>
      <c r="H679" s="10">
        <v>0</v>
      </c>
      <c r="I679" s="10">
        <v>0</v>
      </c>
      <c r="J679" s="10">
        <v>0</v>
      </c>
      <c r="K679" s="10">
        <v>0</v>
      </c>
      <c r="L679" s="9">
        <v>1</v>
      </c>
      <c r="M679" s="9">
        <f t="shared" si="86"/>
        <v>33</v>
      </c>
      <c r="N679" s="10">
        <v>1</v>
      </c>
      <c r="O679" s="10">
        <v>0</v>
      </c>
      <c r="P679" s="10">
        <v>0</v>
      </c>
      <c r="Q679" s="10">
        <v>0</v>
      </c>
      <c r="R679" s="10">
        <v>0</v>
      </c>
      <c r="S679" s="10">
        <v>1</v>
      </c>
      <c r="T679" s="9">
        <v>1</v>
      </c>
      <c r="U679" s="9">
        <v>0</v>
      </c>
      <c r="V679" s="9">
        <v>1</v>
      </c>
      <c r="W679" s="9">
        <v>1</v>
      </c>
      <c r="X679" s="9">
        <v>0</v>
      </c>
      <c r="Y679" s="9">
        <v>0</v>
      </c>
      <c r="Z679" s="9" t="s">
        <v>265</v>
      </c>
    </row>
    <row r="680" spans="1:26" s="9" customFormat="1" ht="15" customHeight="1" x14ac:dyDescent="0.15">
      <c r="A680" s="9">
        <v>10506</v>
      </c>
      <c r="B680" s="9" t="s">
        <v>244</v>
      </c>
      <c r="C680" s="9">
        <f t="shared" si="85"/>
        <v>1</v>
      </c>
      <c r="D680" s="9">
        <v>1</v>
      </c>
      <c r="F680" s="12">
        <v>0</v>
      </c>
      <c r="G680" s="10">
        <v>1</v>
      </c>
      <c r="H680" s="10">
        <v>0</v>
      </c>
      <c r="I680" s="10">
        <v>0</v>
      </c>
      <c r="J680" s="10">
        <v>0</v>
      </c>
      <c r="K680" s="10">
        <v>0</v>
      </c>
      <c r="L680" s="9">
        <v>1</v>
      </c>
      <c r="M680" s="9">
        <f t="shared" si="86"/>
        <v>34</v>
      </c>
      <c r="N680" s="10">
        <v>0</v>
      </c>
      <c r="O680" s="10">
        <v>1</v>
      </c>
      <c r="P680" s="10">
        <v>0</v>
      </c>
      <c r="Q680" s="10">
        <v>0</v>
      </c>
      <c r="R680" s="10">
        <v>0</v>
      </c>
      <c r="S680" s="10">
        <v>1</v>
      </c>
      <c r="T680" s="9">
        <v>1</v>
      </c>
      <c r="U680" s="9">
        <v>0</v>
      </c>
      <c r="V680" s="9">
        <v>1</v>
      </c>
      <c r="W680" s="9">
        <v>0</v>
      </c>
      <c r="X680" s="9">
        <v>0</v>
      </c>
      <c r="Y680" s="9">
        <v>0</v>
      </c>
      <c r="Z680" s="11" t="s">
        <v>84</v>
      </c>
    </row>
    <row r="681" spans="1:26" s="9" customFormat="1" ht="15" customHeight="1" x14ac:dyDescent="0.15">
      <c r="A681" s="9">
        <v>10507</v>
      </c>
      <c r="B681" s="9" t="s">
        <v>50</v>
      </c>
      <c r="C681" s="9">
        <f t="shared" si="85"/>
        <v>1</v>
      </c>
      <c r="D681" s="9">
        <v>1</v>
      </c>
      <c r="F681" s="12">
        <v>0</v>
      </c>
      <c r="G681" s="10">
        <v>1</v>
      </c>
      <c r="H681" s="10">
        <v>0</v>
      </c>
      <c r="I681" s="10">
        <v>0</v>
      </c>
      <c r="J681" s="10">
        <v>0</v>
      </c>
      <c r="K681" s="10">
        <v>0</v>
      </c>
      <c r="L681" s="9">
        <v>1</v>
      </c>
      <c r="M681" s="9">
        <f t="shared" si="86"/>
        <v>34</v>
      </c>
      <c r="N681" s="10">
        <v>0</v>
      </c>
      <c r="O681" s="10">
        <v>1</v>
      </c>
      <c r="P681" s="10">
        <v>0</v>
      </c>
      <c r="Q681" s="10">
        <v>0</v>
      </c>
      <c r="R681" s="10">
        <v>0</v>
      </c>
      <c r="S681" s="10">
        <v>1</v>
      </c>
      <c r="T681" s="9">
        <v>1</v>
      </c>
      <c r="U681" s="9">
        <v>0</v>
      </c>
      <c r="V681" s="9">
        <v>1</v>
      </c>
      <c r="W681" s="9">
        <v>0</v>
      </c>
      <c r="X681" s="9">
        <v>0</v>
      </c>
      <c r="Y681" s="9">
        <v>0</v>
      </c>
      <c r="Z681" s="9" t="s">
        <v>544</v>
      </c>
    </row>
    <row r="682" spans="1:26" s="9" customFormat="1" ht="15" customHeight="1" x14ac:dyDescent="0.15">
      <c r="A682" s="9">
        <v>10509</v>
      </c>
      <c r="B682" s="9" t="s">
        <v>1650</v>
      </c>
      <c r="C682" s="9">
        <f t="shared" si="85"/>
        <v>1</v>
      </c>
      <c r="D682" s="9">
        <v>1</v>
      </c>
      <c r="F682" s="12">
        <v>0</v>
      </c>
      <c r="G682" s="10">
        <v>1</v>
      </c>
      <c r="H682" s="10">
        <v>0</v>
      </c>
      <c r="I682" s="10">
        <v>0</v>
      </c>
      <c r="J682" s="10">
        <v>0</v>
      </c>
      <c r="K682" s="10">
        <v>0</v>
      </c>
      <c r="L682" s="9">
        <v>1</v>
      </c>
      <c r="M682" s="9">
        <f t="shared" si="86"/>
        <v>0</v>
      </c>
      <c r="N682" s="10">
        <v>0</v>
      </c>
      <c r="O682" s="10">
        <v>0</v>
      </c>
      <c r="P682" s="10">
        <v>0</v>
      </c>
      <c r="Q682" s="10">
        <v>0</v>
      </c>
      <c r="R682" s="10">
        <v>0</v>
      </c>
      <c r="S682" s="10">
        <v>0</v>
      </c>
      <c r="T682" s="9">
        <v>1</v>
      </c>
      <c r="U682" s="9">
        <v>0</v>
      </c>
      <c r="V682" s="9">
        <v>1</v>
      </c>
      <c r="W682" s="9">
        <v>0</v>
      </c>
      <c r="X682" s="9">
        <v>0</v>
      </c>
      <c r="Y682" s="9">
        <v>0</v>
      </c>
      <c r="Z682" s="9" t="s">
        <v>1651</v>
      </c>
    </row>
    <row r="683" spans="1:26" s="9" customFormat="1" ht="15" customHeight="1" x14ac:dyDescent="0.15">
      <c r="A683" s="9">
        <v>10512</v>
      </c>
      <c r="B683" s="9" t="s">
        <v>220</v>
      </c>
      <c r="C683" s="9">
        <f t="shared" si="85"/>
        <v>1</v>
      </c>
      <c r="D683" s="9">
        <v>1</v>
      </c>
      <c r="F683" s="12">
        <v>0</v>
      </c>
      <c r="G683" s="10">
        <v>1</v>
      </c>
      <c r="H683" s="10">
        <v>0</v>
      </c>
      <c r="I683" s="10">
        <v>0</v>
      </c>
      <c r="J683" s="10">
        <v>0</v>
      </c>
      <c r="K683" s="10">
        <v>0</v>
      </c>
      <c r="L683" s="9">
        <v>1</v>
      </c>
      <c r="M683" s="9">
        <f t="shared" si="86"/>
        <v>0</v>
      </c>
      <c r="N683" s="10">
        <v>0</v>
      </c>
      <c r="O683" s="10">
        <v>0</v>
      </c>
      <c r="P683" s="10">
        <v>0</v>
      </c>
      <c r="Q683" s="10">
        <v>0</v>
      </c>
      <c r="R683" s="10">
        <v>0</v>
      </c>
      <c r="S683" s="10">
        <v>0</v>
      </c>
      <c r="T683" s="9">
        <v>1</v>
      </c>
      <c r="U683" s="9">
        <v>0</v>
      </c>
      <c r="V683" s="9">
        <v>1</v>
      </c>
      <c r="W683" s="9">
        <v>1</v>
      </c>
      <c r="X683" s="9">
        <v>0</v>
      </c>
      <c r="Y683" s="9">
        <v>0</v>
      </c>
      <c r="Z683" s="9" t="s">
        <v>558</v>
      </c>
    </row>
    <row r="684" spans="1:26" s="9" customFormat="1" ht="15" customHeight="1" x14ac:dyDescent="0.15">
      <c r="A684" s="9">
        <v>10513</v>
      </c>
      <c r="B684" s="9" t="s">
        <v>987</v>
      </c>
      <c r="C684" s="9">
        <f t="shared" ref="C684" si="89">G684+H684*2+I684*4+J684*8+K684*16</f>
        <v>1</v>
      </c>
      <c r="D684" s="9">
        <v>1</v>
      </c>
      <c r="F684" s="12">
        <v>0</v>
      </c>
      <c r="G684" s="10">
        <v>1</v>
      </c>
      <c r="H684" s="10">
        <v>0</v>
      </c>
      <c r="I684" s="10">
        <v>0</v>
      </c>
      <c r="J684" s="10">
        <v>0</v>
      </c>
      <c r="K684" s="10">
        <v>0</v>
      </c>
      <c r="L684" s="9">
        <v>1</v>
      </c>
      <c r="M684" s="9">
        <f t="shared" ref="M684" si="90">N684+O684*2+P684*4+Q684*8+R684*16+S684*32</f>
        <v>0</v>
      </c>
      <c r="N684" s="10">
        <v>0</v>
      </c>
      <c r="O684" s="10">
        <v>0</v>
      </c>
      <c r="P684" s="10">
        <v>0</v>
      </c>
      <c r="Q684" s="10">
        <v>0</v>
      </c>
      <c r="R684" s="10">
        <v>0</v>
      </c>
      <c r="S684" s="10">
        <v>0</v>
      </c>
      <c r="T684" s="9">
        <v>1</v>
      </c>
      <c r="U684" s="9">
        <v>0</v>
      </c>
      <c r="V684" s="9">
        <v>1</v>
      </c>
      <c r="W684" s="9">
        <v>1</v>
      </c>
      <c r="X684" s="9">
        <v>0</v>
      </c>
      <c r="Y684" s="9">
        <v>0</v>
      </c>
      <c r="Z684" s="9" t="s">
        <v>988</v>
      </c>
    </row>
    <row r="685" spans="1:26" s="9" customFormat="1" ht="15" customHeight="1" x14ac:dyDescent="0.15">
      <c r="A685" s="9">
        <v>10300</v>
      </c>
      <c r="B685" s="9" t="s">
        <v>1565</v>
      </c>
      <c r="C685" s="9">
        <f t="shared" si="85"/>
        <v>1</v>
      </c>
      <c r="D685" s="9">
        <v>1</v>
      </c>
      <c r="F685" s="12">
        <v>0</v>
      </c>
      <c r="G685" s="10">
        <v>1</v>
      </c>
      <c r="H685" s="10">
        <v>0</v>
      </c>
      <c r="I685" s="10">
        <v>0</v>
      </c>
      <c r="J685" s="10">
        <v>0</v>
      </c>
      <c r="K685" s="10">
        <v>0</v>
      </c>
      <c r="L685" s="9">
        <v>0</v>
      </c>
      <c r="M685" s="9">
        <f t="shared" si="86"/>
        <v>0</v>
      </c>
      <c r="N685" s="10">
        <v>0</v>
      </c>
      <c r="O685" s="10">
        <v>0</v>
      </c>
      <c r="P685" s="10">
        <v>0</v>
      </c>
      <c r="Q685" s="10">
        <v>0</v>
      </c>
      <c r="R685" s="10">
        <v>0</v>
      </c>
      <c r="S685" s="10">
        <v>0</v>
      </c>
      <c r="T685" s="9">
        <v>1</v>
      </c>
      <c r="U685" s="9">
        <v>0</v>
      </c>
      <c r="V685" s="9">
        <v>1</v>
      </c>
      <c r="W685" s="9">
        <v>1</v>
      </c>
      <c r="X685" s="9">
        <v>1</v>
      </c>
      <c r="Y685" s="9">
        <v>0</v>
      </c>
      <c r="Z685" s="9" t="s">
        <v>1569</v>
      </c>
    </row>
    <row r="686" spans="1:26" s="9" customFormat="1" ht="15" customHeight="1" x14ac:dyDescent="0.15">
      <c r="A686" s="9">
        <v>10603</v>
      </c>
      <c r="B686" s="9" t="s">
        <v>367</v>
      </c>
      <c r="C686" s="9">
        <f>G686+H686*2+I686*4+J686*8+K686*16</f>
        <v>1</v>
      </c>
      <c r="D686" s="9">
        <v>1</v>
      </c>
      <c r="F686" s="12">
        <v>0</v>
      </c>
      <c r="G686" s="10">
        <v>1</v>
      </c>
      <c r="H686" s="10">
        <v>0</v>
      </c>
      <c r="I686" s="10">
        <v>0</v>
      </c>
      <c r="J686" s="10">
        <v>0</v>
      </c>
      <c r="K686" s="10">
        <v>0</v>
      </c>
      <c r="L686" s="9">
        <v>1</v>
      </c>
      <c r="M686" s="9">
        <f>N686+O686*2+P686*4+Q686*8+R686*16+S686*32</f>
        <v>0</v>
      </c>
      <c r="N686" s="10">
        <v>0</v>
      </c>
      <c r="O686" s="10">
        <v>0</v>
      </c>
      <c r="P686" s="10">
        <v>0</v>
      </c>
      <c r="Q686" s="10">
        <v>0</v>
      </c>
      <c r="R686" s="10">
        <v>0</v>
      </c>
      <c r="S686" s="10">
        <v>0</v>
      </c>
      <c r="T686" s="9">
        <v>1</v>
      </c>
      <c r="U686" s="9">
        <v>0</v>
      </c>
      <c r="V686" s="9">
        <v>1</v>
      </c>
      <c r="W686" s="9">
        <v>0</v>
      </c>
      <c r="X686" s="9">
        <v>0</v>
      </c>
      <c r="Y686" s="9">
        <v>0</v>
      </c>
      <c r="Z686" s="9" t="s">
        <v>368</v>
      </c>
    </row>
    <row r="687" spans="1:26" s="9" customFormat="1" ht="15" customHeight="1" x14ac:dyDescent="0.15">
      <c r="A687" s="9">
        <v>10306</v>
      </c>
      <c r="B687" s="9" t="s">
        <v>845</v>
      </c>
      <c r="C687" s="9">
        <f>G687+H687*2+I687*4+J687*8+K687*16</f>
        <v>1</v>
      </c>
      <c r="D687" s="9">
        <v>1</v>
      </c>
      <c r="F687" s="12">
        <v>0</v>
      </c>
      <c r="G687" s="10">
        <v>1</v>
      </c>
      <c r="H687" s="10">
        <v>0</v>
      </c>
      <c r="I687" s="10">
        <v>0</v>
      </c>
      <c r="J687" s="10">
        <v>0</v>
      </c>
      <c r="K687" s="10">
        <v>0</v>
      </c>
      <c r="L687" s="9">
        <v>1</v>
      </c>
      <c r="M687" s="9">
        <f>N687+O687*2+P687*4+Q687*8+R687*16+S687*32</f>
        <v>0</v>
      </c>
      <c r="N687" s="10">
        <v>0</v>
      </c>
      <c r="O687" s="10">
        <v>0</v>
      </c>
      <c r="P687" s="10">
        <v>0</v>
      </c>
      <c r="Q687" s="10">
        <v>0</v>
      </c>
      <c r="R687" s="10">
        <v>0</v>
      </c>
      <c r="S687" s="10">
        <v>0</v>
      </c>
      <c r="T687" s="9">
        <v>1</v>
      </c>
      <c r="U687" s="9">
        <v>0</v>
      </c>
      <c r="V687" s="9">
        <v>1</v>
      </c>
      <c r="W687" s="9">
        <v>0</v>
      </c>
      <c r="X687" s="9">
        <v>0</v>
      </c>
      <c r="Y687" s="9">
        <v>0</v>
      </c>
      <c r="Z687" s="9" t="s">
        <v>846</v>
      </c>
    </row>
    <row r="688" spans="1:26" s="9" customFormat="1" ht="15" customHeight="1" x14ac:dyDescent="0.15">
      <c r="A688" s="9">
        <v>10608</v>
      </c>
      <c r="B688" s="9" t="s">
        <v>245</v>
      </c>
      <c r="C688" s="9">
        <f t="shared" si="85"/>
        <v>1</v>
      </c>
      <c r="D688" s="9">
        <v>1</v>
      </c>
      <c r="F688" s="12">
        <v>0</v>
      </c>
      <c r="G688" s="10">
        <v>1</v>
      </c>
      <c r="H688" s="10">
        <v>0</v>
      </c>
      <c r="I688" s="10">
        <v>0</v>
      </c>
      <c r="J688" s="10">
        <v>0</v>
      </c>
      <c r="K688" s="10">
        <v>0</v>
      </c>
      <c r="L688" s="9">
        <v>1</v>
      </c>
      <c r="M688" s="9">
        <f t="shared" si="86"/>
        <v>5</v>
      </c>
      <c r="N688" s="10">
        <v>1</v>
      </c>
      <c r="O688" s="10">
        <v>0</v>
      </c>
      <c r="P688" s="10">
        <v>1</v>
      </c>
      <c r="Q688" s="10">
        <v>0</v>
      </c>
      <c r="R688" s="10">
        <v>0</v>
      </c>
      <c r="S688" s="10">
        <v>0</v>
      </c>
      <c r="T688" s="9">
        <v>1</v>
      </c>
      <c r="U688" s="9">
        <v>0</v>
      </c>
      <c r="V688" s="9">
        <v>1</v>
      </c>
      <c r="W688" s="9">
        <v>1</v>
      </c>
      <c r="X688" s="9">
        <v>0</v>
      </c>
      <c r="Y688" s="9">
        <v>0</v>
      </c>
      <c r="Z688" s="9" t="s">
        <v>456</v>
      </c>
    </row>
    <row r="689" spans="1:28" s="9" customFormat="1" ht="15" customHeight="1" x14ac:dyDescent="0.15">
      <c r="A689" s="9">
        <v>10611</v>
      </c>
      <c r="B689" s="9" t="s">
        <v>223</v>
      </c>
      <c r="C689" s="9">
        <f t="shared" si="85"/>
        <v>17</v>
      </c>
      <c r="D689" s="9">
        <v>1</v>
      </c>
      <c r="F689" s="12">
        <v>0</v>
      </c>
      <c r="G689" s="10">
        <v>1</v>
      </c>
      <c r="H689" s="10">
        <v>0</v>
      </c>
      <c r="I689" s="10">
        <v>0</v>
      </c>
      <c r="J689" s="10">
        <v>0</v>
      </c>
      <c r="K689" s="10">
        <v>1</v>
      </c>
      <c r="L689" s="9">
        <v>1</v>
      </c>
      <c r="M689" s="9">
        <f t="shared" si="86"/>
        <v>34</v>
      </c>
      <c r="N689" s="10">
        <v>0</v>
      </c>
      <c r="O689" s="10">
        <v>1</v>
      </c>
      <c r="P689" s="10">
        <v>0</v>
      </c>
      <c r="Q689" s="10">
        <v>0</v>
      </c>
      <c r="R689" s="10">
        <v>0</v>
      </c>
      <c r="S689" s="10">
        <v>1</v>
      </c>
      <c r="T689" s="9">
        <v>1</v>
      </c>
      <c r="U689" s="9">
        <v>0</v>
      </c>
      <c r="V689" s="9">
        <v>1</v>
      </c>
      <c r="W689" s="9">
        <v>0</v>
      </c>
      <c r="X689" s="9">
        <v>0</v>
      </c>
      <c r="Y689" s="9">
        <v>0</v>
      </c>
      <c r="Z689" s="9" t="s">
        <v>246</v>
      </c>
    </row>
    <row r="690" spans="1:28" s="9" customFormat="1" ht="15" customHeight="1" x14ac:dyDescent="0.15">
      <c r="A690" s="9">
        <v>10612</v>
      </c>
      <c r="B690" s="9" t="s">
        <v>30</v>
      </c>
      <c r="C690" s="9">
        <f t="shared" si="85"/>
        <v>1</v>
      </c>
      <c r="D690" s="9">
        <v>1</v>
      </c>
      <c r="F690" s="12">
        <v>0</v>
      </c>
      <c r="G690" s="10">
        <v>1</v>
      </c>
      <c r="H690" s="10">
        <v>0</v>
      </c>
      <c r="I690" s="10">
        <v>0</v>
      </c>
      <c r="J690" s="10">
        <v>0</v>
      </c>
      <c r="K690" s="10">
        <v>0</v>
      </c>
      <c r="L690" s="9">
        <v>1</v>
      </c>
      <c r="M690" s="9">
        <f t="shared" si="86"/>
        <v>0</v>
      </c>
      <c r="N690" s="10">
        <v>0</v>
      </c>
      <c r="O690" s="10">
        <v>0</v>
      </c>
      <c r="P690" s="10">
        <v>0</v>
      </c>
      <c r="Q690" s="10">
        <v>0</v>
      </c>
      <c r="R690" s="10">
        <v>0</v>
      </c>
      <c r="S690" s="10">
        <v>0</v>
      </c>
      <c r="T690" s="9">
        <v>1</v>
      </c>
      <c r="U690" s="9">
        <v>0</v>
      </c>
      <c r="V690" s="9">
        <v>1</v>
      </c>
      <c r="W690" s="9">
        <v>1</v>
      </c>
      <c r="X690" s="9">
        <v>0</v>
      </c>
      <c r="Y690" s="9">
        <v>0</v>
      </c>
      <c r="Z690" s="9" t="s">
        <v>263</v>
      </c>
    </row>
    <row r="691" spans="1:28" s="9" customFormat="1" ht="15" customHeight="1" x14ac:dyDescent="0.15">
      <c r="A691" s="12">
        <v>10613</v>
      </c>
      <c r="B691" s="12" t="s">
        <v>418</v>
      </c>
      <c r="C691" s="9">
        <f t="shared" ref="C691:C709" si="91">G691+H691*2+I691*4+J691*8+K691*16</f>
        <v>1</v>
      </c>
      <c r="D691" s="9">
        <v>1</v>
      </c>
      <c r="F691" s="12">
        <v>0</v>
      </c>
      <c r="G691" s="10">
        <v>1</v>
      </c>
      <c r="H691" s="10">
        <v>0</v>
      </c>
      <c r="I691" s="10">
        <v>0</v>
      </c>
      <c r="J691" s="10">
        <v>0</v>
      </c>
      <c r="K691" s="10">
        <v>0</v>
      </c>
      <c r="L691" s="9">
        <v>1</v>
      </c>
      <c r="M691" s="9">
        <f t="shared" ref="M691:M709" si="92">N691+O691*2+P691*4+Q691*8+R691*16+S691*32</f>
        <v>1</v>
      </c>
      <c r="N691" s="10">
        <v>1</v>
      </c>
      <c r="O691" s="10">
        <v>0</v>
      </c>
      <c r="P691" s="10">
        <v>0</v>
      </c>
      <c r="Q691" s="10">
        <v>0</v>
      </c>
      <c r="R691" s="10">
        <v>0</v>
      </c>
      <c r="S691" s="10">
        <v>0</v>
      </c>
      <c r="T691" s="9">
        <v>1</v>
      </c>
      <c r="U691" s="9">
        <v>1</v>
      </c>
      <c r="V691" s="9">
        <v>1</v>
      </c>
      <c r="W691" s="9">
        <v>1</v>
      </c>
      <c r="X691" s="9">
        <v>0</v>
      </c>
      <c r="Y691" s="9">
        <v>0</v>
      </c>
      <c r="Z691" s="9" t="s">
        <v>976</v>
      </c>
    </row>
    <row r="692" spans="1:28" s="9" customFormat="1" ht="15" customHeight="1" x14ac:dyDescent="0.15">
      <c r="A692" s="12">
        <v>10614</v>
      </c>
      <c r="B692" s="12" t="s">
        <v>418</v>
      </c>
      <c r="C692" s="9">
        <f t="shared" si="91"/>
        <v>1</v>
      </c>
      <c r="D692" s="9">
        <v>1</v>
      </c>
      <c r="F692" s="12">
        <v>0</v>
      </c>
      <c r="G692" s="10">
        <v>1</v>
      </c>
      <c r="H692" s="10">
        <v>0</v>
      </c>
      <c r="I692" s="10">
        <v>0</v>
      </c>
      <c r="J692" s="10">
        <v>0</v>
      </c>
      <c r="K692" s="10">
        <v>0</v>
      </c>
      <c r="L692" s="9">
        <v>1</v>
      </c>
      <c r="M692" s="9">
        <f t="shared" si="92"/>
        <v>1</v>
      </c>
      <c r="N692" s="10">
        <v>1</v>
      </c>
      <c r="O692" s="10">
        <v>0</v>
      </c>
      <c r="P692" s="10">
        <v>0</v>
      </c>
      <c r="Q692" s="10">
        <v>0</v>
      </c>
      <c r="R692" s="10">
        <v>0</v>
      </c>
      <c r="S692" s="10">
        <v>0</v>
      </c>
      <c r="T692" s="9">
        <v>1</v>
      </c>
      <c r="U692" s="9">
        <v>1</v>
      </c>
      <c r="V692" s="9">
        <v>1</v>
      </c>
      <c r="W692" s="9">
        <v>1</v>
      </c>
      <c r="X692" s="9">
        <v>0</v>
      </c>
      <c r="Y692" s="9">
        <v>0</v>
      </c>
      <c r="Z692" s="9" t="s">
        <v>977</v>
      </c>
    </row>
    <row r="693" spans="1:28" s="9" customFormat="1" ht="15" customHeight="1" x14ac:dyDescent="0.15">
      <c r="A693" s="12">
        <v>10615</v>
      </c>
      <c r="B693" s="12" t="s">
        <v>418</v>
      </c>
      <c r="C693" s="9">
        <f t="shared" si="91"/>
        <v>1</v>
      </c>
      <c r="D693" s="9">
        <v>1</v>
      </c>
      <c r="F693" s="12">
        <v>0</v>
      </c>
      <c r="G693" s="10">
        <v>1</v>
      </c>
      <c r="H693" s="10">
        <v>0</v>
      </c>
      <c r="I693" s="10">
        <v>0</v>
      </c>
      <c r="J693" s="10">
        <v>0</v>
      </c>
      <c r="K693" s="10">
        <v>0</v>
      </c>
      <c r="L693" s="9">
        <v>1</v>
      </c>
      <c r="M693" s="9">
        <f t="shared" si="92"/>
        <v>1</v>
      </c>
      <c r="N693" s="10">
        <v>1</v>
      </c>
      <c r="O693" s="10">
        <v>0</v>
      </c>
      <c r="P693" s="10">
        <v>0</v>
      </c>
      <c r="Q693" s="10">
        <v>0</v>
      </c>
      <c r="R693" s="10">
        <v>0</v>
      </c>
      <c r="S693" s="10">
        <v>0</v>
      </c>
      <c r="T693" s="9">
        <v>1</v>
      </c>
      <c r="U693" s="9">
        <v>1</v>
      </c>
      <c r="V693" s="9">
        <v>1</v>
      </c>
      <c r="W693" s="9">
        <v>1</v>
      </c>
      <c r="X693" s="9">
        <v>0</v>
      </c>
      <c r="Y693" s="9">
        <v>0</v>
      </c>
      <c r="Z693" s="9" t="s">
        <v>978</v>
      </c>
    </row>
    <row r="694" spans="1:28" s="9" customFormat="1" ht="15" customHeight="1" x14ac:dyDescent="0.15">
      <c r="A694" s="12">
        <v>10616</v>
      </c>
      <c r="B694" s="12" t="s">
        <v>418</v>
      </c>
      <c r="C694" s="9">
        <f t="shared" si="91"/>
        <v>1</v>
      </c>
      <c r="D694" s="9">
        <v>1</v>
      </c>
      <c r="F694" s="12">
        <v>0</v>
      </c>
      <c r="G694" s="10">
        <v>1</v>
      </c>
      <c r="H694" s="10">
        <v>0</v>
      </c>
      <c r="I694" s="10">
        <v>0</v>
      </c>
      <c r="J694" s="10">
        <v>0</v>
      </c>
      <c r="K694" s="10">
        <v>0</v>
      </c>
      <c r="L694" s="9">
        <v>1</v>
      </c>
      <c r="M694" s="9">
        <f t="shared" si="92"/>
        <v>1</v>
      </c>
      <c r="N694" s="10">
        <v>1</v>
      </c>
      <c r="O694" s="10">
        <v>0</v>
      </c>
      <c r="P694" s="10">
        <v>0</v>
      </c>
      <c r="Q694" s="10">
        <v>0</v>
      </c>
      <c r="R694" s="10">
        <v>0</v>
      </c>
      <c r="S694" s="10">
        <v>0</v>
      </c>
      <c r="T694" s="9">
        <v>1</v>
      </c>
      <c r="U694" s="9">
        <v>1</v>
      </c>
      <c r="V694" s="9">
        <v>1</v>
      </c>
      <c r="W694" s="9">
        <v>1</v>
      </c>
      <c r="X694" s="9">
        <v>0</v>
      </c>
      <c r="Y694" s="9">
        <v>0</v>
      </c>
      <c r="Z694" s="9" t="s">
        <v>979</v>
      </c>
    </row>
    <row r="695" spans="1:28" s="9" customFormat="1" ht="15" customHeight="1" x14ac:dyDescent="0.15">
      <c r="A695" s="12">
        <v>10617</v>
      </c>
      <c r="B695" s="12" t="s">
        <v>418</v>
      </c>
      <c r="C695" s="9">
        <f t="shared" si="91"/>
        <v>1</v>
      </c>
      <c r="D695" s="9">
        <v>1</v>
      </c>
      <c r="F695" s="12">
        <v>0</v>
      </c>
      <c r="G695" s="10">
        <v>1</v>
      </c>
      <c r="H695" s="10">
        <v>0</v>
      </c>
      <c r="I695" s="10">
        <v>0</v>
      </c>
      <c r="J695" s="10">
        <v>0</v>
      </c>
      <c r="K695" s="10">
        <v>0</v>
      </c>
      <c r="L695" s="9">
        <v>1</v>
      </c>
      <c r="M695" s="9">
        <f t="shared" si="92"/>
        <v>1</v>
      </c>
      <c r="N695" s="10">
        <v>1</v>
      </c>
      <c r="O695" s="10">
        <v>0</v>
      </c>
      <c r="P695" s="10">
        <v>0</v>
      </c>
      <c r="Q695" s="10">
        <v>0</v>
      </c>
      <c r="R695" s="10">
        <v>0</v>
      </c>
      <c r="S695" s="10">
        <v>0</v>
      </c>
      <c r="T695" s="9">
        <v>1</v>
      </c>
      <c r="U695" s="9">
        <v>1</v>
      </c>
      <c r="V695" s="9">
        <v>1</v>
      </c>
      <c r="W695" s="9">
        <v>1</v>
      </c>
      <c r="X695" s="9">
        <v>0</v>
      </c>
      <c r="Y695" s="9">
        <v>0</v>
      </c>
      <c r="Z695" s="9" t="s">
        <v>980</v>
      </c>
    </row>
    <row r="696" spans="1:28" s="9" customFormat="1" ht="15" customHeight="1" x14ac:dyDescent="0.15">
      <c r="A696" s="12">
        <v>10618</v>
      </c>
      <c r="B696" s="12" t="s">
        <v>418</v>
      </c>
      <c r="C696" s="9">
        <f t="shared" si="91"/>
        <v>1</v>
      </c>
      <c r="D696" s="9">
        <v>1</v>
      </c>
      <c r="F696" s="12">
        <v>0</v>
      </c>
      <c r="G696" s="10">
        <v>1</v>
      </c>
      <c r="H696" s="10">
        <v>0</v>
      </c>
      <c r="I696" s="10">
        <v>0</v>
      </c>
      <c r="J696" s="10">
        <v>0</v>
      </c>
      <c r="K696" s="10">
        <v>0</v>
      </c>
      <c r="L696" s="9">
        <v>1</v>
      </c>
      <c r="M696" s="9">
        <f t="shared" si="92"/>
        <v>1</v>
      </c>
      <c r="N696" s="10">
        <v>1</v>
      </c>
      <c r="O696" s="10">
        <v>0</v>
      </c>
      <c r="P696" s="10">
        <v>0</v>
      </c>
      <c r="Q696" s="10">
        <v>0</v>
      </c>
      <c r="R696" s="10">
        <v>0</v>
      </c>
      <c r="S696" s="10">
        <v>0</v>
      </c>
      <c r="T696" s="9">
        <v>1</v>
      </c>
      <c r="U696" s="9">
        <v>1</v>
      </c>
      <c r="V696" s="9">
        <v>1</v>
      </c>
      <c r="W696" s="9">
        <v>1</v>
      </c>
      <c r="X696" s="9">
        <v>0</v>
      </c>
      <c r="Y696" s="9">
        <v>0</v>
      </c>
      <c r="Z696" s="9" t="s">
        <v>981</v>
      </c>
    </row>
    <row r="697" spans="1:28" s="9" customFormat="1" ht="15" customHeight="1" x14ac:dyDescent="0.15">
      <c r="A697" s="12">
        <v>10619</v>
      </c>
      <c r="B697" s="12" t="s">
        <v>418</v>
      </c>
      <c r="C697" s="9">
        <f t="shared" si="91"/>
        <v>1</v>
      </c>
      <c r="D697" s="9">
        <v>1</v>
      </c>
      <c r="F697" s="12">
        <v>0</v>
      </c>
      <c r="G697" s="10">
        <v>1</v>
      </c>
      <c r="H697" s="10">
        <v>0</v>
      </c>
      <c r="I697" s="10">
        <v>0</v>
      </c>
      <c r="J697" s="10">
        <v>0</v>
      </c>
      <c r="K697" s="10">
        <v>0</v>
      </c>
      <c r="L697" s="9">
        <v>1</v>
      </c>
      <c r="M697" s="9">
        <f t="shared" si="92"/>
        <v>1</v>
      </c>
      <c r="N697" s="10">
        <v>1</v>
      </c>
      <c r="O697" s="10">
        <v>0</v>
      </c>
      <c r="P697" s="10">
        <v>0</v>
      </c>
      <c r="Q697" s="10">
        <v>0</v>
      </c>
      <c r="R697" s="10">
        <v>0</v>
      </c>
      <c r="S697" s="10">
        <v>0</v>
      </c>
      <c r="T697" s="9">
        <v>1</v>
      </c>
      <c r="U697" s="9">
        <v>1</v>
      </c>
      <c r="V697" s="9">
        <v>1</v>
      </c>
      <c r="W697" s="9">
        <v>1</v>
      </c>
      <c r="X697" s="9">
        <v>0</v>
      </c>
      <c r="Y697" s="9">
        <v>0</v>
      </c>
      <c r="Z697" s="9" t="s">
        <v>982</v>
      </c>
    </row>
    <row r="698" spans="1:28" s="9" customFormat="1" ht="15" customHeight="1" x14ac:dyDescent="0.15">
      <c r="A698" s="12">
        <v>10620</v>
      </c>
      <c r="B698" s="12" t="s">
        <v>418</v>
      </c>
      <c r="C698" s="9">
        <f t="shared" si="91"/>
        <v>1</v>
      </c>
      <c r="D698" s="9">
        <v>1</v>
      </c>
      <c r="F698" s="12">
        <v>0</v>
      </c>
      <c r="G698" s="10">
        <v>1</v>
      </c>
      <c r="H698" s="10">
        <v>0</v>
      </c>
      <c r="I698" s="10">
        <v>0</v>
      </c>
      <c r="J698" s="10">
        <v>0</v>
      </c>
      <c r="K698" s="10">
        <v>0</v>
      </c>
      <c r="L698" s="9">
        <v>1</v>
      </c>
      <c r="M698" s="9">
        <f t="shared" si="92"/>
        <v>1</v>
      </c>
      <c r="N698" s="10">
        <v>1</v>
      </c>
      <c r="O698" s="10">
        <v>0</v>
      </c>
      <c r="P698" s="10">
        <v>0</v>
      </c>
      <c r="Q698" s="10">
        <v>0</v>
      </c>
      <c r="R698" s="10">
        <v>0</v>
      </c>
      <c r="S698" s="10">
        <v>0</v>
      </c>
      <c r="T698" s="9">
        <v>1</v>
      </c>
      <c r="U698" s="9">
        <v>1</v>
      </c>
      <c r="V698" s="9">
        <v>1</v>
      </c>
      <c r="W698" s="9">
        <v>1</v>
      </c>
      <c r="X698" s="9">
        <v>0</v>
      </c>
      <c r="Y698" s="9">
        <v>0</v>
      </c>
      <c r="Z698" s="9" t="s">
        <v>983</v>
      </c>
    </row>
    <row r="699" spans="1:28" s="9" customFormat="1" ht="15" customHeight="1" x14ac:dyDescent="0.15">
      <c r="A699" s="12">
        <v>10621</v>
      </c>
      <c r="B699" s="12" t="s">
        <v>418</v>
      </c>
      <c r="C699" s="9">
        <f t="shared" si="91"/>
        <v>1</v>
      </c>
      <c r="D699" s="9">
        <v>1</v>
      </c>
      <c r="F699" s="12">
        <v>0</v>
      </c>
      <c r="G699" s="10">
        <v>1</v>
      </c>
      <c r="H699" s="10">
        <v>0</v>
      </c>
      <c r="I699" s="10">
        <v>0</v>
      </c>
      <c r="J699" s="10">
        <v>0</v>
      </c>
      <c r="K699" s="10">
        <v>0</v>
      </c>
      <c r="L699" s="9">
        <v>1</v>
      </c>
      <c r="M699" s="9">
        <f t="shared" si="92"/>
        <v>1</v>
      </c>
      <c r="N699" s="10">
        <v>1</v>
      </c>
      <c r="O699" s="10">
        <v>0</v>
      </c>
      <c r="P699" s="10">
        <v>0</v>
      </c>
      <c r="Q699" s="10">
        <v>0</v>
      </c>
      <c r="R699" s="10">
        <v>0</v>
      </c>
      <c r="S699" s="10">
        <v>0</v>
      </c>
      <c r="T699" s="9">
        <v>1</v>
      </c>
      <c r="U699" s="9">
        <v>1</v>
      </c>
      <c r="V699" s="9">
        <v>1</v>
      </c>
      <c r="W699" s="9">
        <v>1</v>
      </c>
      <c r="X699" s="9">
        <v>0</v>
      </c>
      <c r="Y699" s="9">
        <v>0</v>
      </c>
      <c r="Z699" s="9" t="s">
        <v>984</v>
      </c>
    </row>
    <row r="700" spans="1:28" s="9" customFormat="1" ht="15" customHeight="1" x14ac:dyDescent="0.15">
      <c r="A700" s="12">
        <v>10622</v>
      </c>
      <c r="B700" s="12" t="s">
        <v>418</v>
      </c>
      <c r="C700" s="9">
        <f t="shared" si="91"/>
        <v>1</v>
      </c>
      <c r="D700" s="9">
        <v>1</v>
      </c>
      <c r="F700" s="12">
        <v>0</v>
      </c>
      <c r="G700" s="10">
        <v>1</v>
      </c>
      <c r="H700" s="10">
        <v>0</v>
      </c>
      <c r="I700" s="10">
        <v>0</v>
      </c>
      <c r="J700" s="10">
        <v>0</v>
      </c>
      <c r="K700" s="10">
        <v>0</v>
      </c>
      <c r="L700" s="9">
        <v>1</v>
      </c>
      <c r="M700" s="9">
        <f t="shared" si="92"/>
        <v>1</v>
      </c>
      <c r="N700" s="10">
        <v>1</v>
      </c>
      <c r="O700" s="10">
        <v>0</v>
      </c>
      <c r="P700" s="10">
        <v>0</v>
      </c>
      <c r="Q700" s="10">
        <v>0</v>
      </c>
      <c r="R700" s="10">
        <v>0</v>
      </c>
      <c r="S700" s="10">
        <v>0</v>
      </c>
      <c r="T700" s="9">
        <v>1</v>
      </c>
      <c r="U700" s="9">
        <v>1</v>
      </c>
      <c r="V700" s="9">
        <v>1</v>
      </c>
      <c r="W700" s="9">
        <v>1</v>
      </c>
      <c r="X700" s="9">
        <v>0</v>
      </c>
      <c r="Y700" s="9">
        <v>0</v>
      </c>
      <c r="Z700" s="9" t="s">
        <v>985</v>
      </c>
    </row>
    <row r="701" spans="1:28" s="9" customFormat="1" ht="15" customHeight="1" x14ac:dyDescent="0.15">
      <c r="A701" s="12">
        <v>10623</v>
      </c>
      <c r="B701" s="12" t="s">
        <v>418</v>
      </c>
      <c r="C701" s="9">
        <f t="shared" si="91"/>
        <v>1</v>
      </c>
      <c r="D701" s="9">
        <v>1</v>
      </c>
      <c r="F701" s="12">
        <v>0</v>
      </c>
      <c r="G701" s="10">
        <v>1</v>
      </c>
      <c r="H701" s="10">
        <v>0</v>
      </c>
      <c r="I701" s="10">
        <v>0</v>
      </c>
      <c r="J701" s="10">
        <v>0</v>
      </c>
      <c r="K701" s="10">
        <v>0</v>
      </c>
      <c r="L701" s="9">
        <v>1</v>
      </c>
      <c r="M701" s="9">
        <f t="shared" si="92"/>
        <v>1</v>
      </c>
      <c r="N701" s="10">
        <v>1</v>
      </c>
      <c r="O701" s="10">
        <v>0</v>
      </c>
      <c r="P701" s="10">
        <v>0</v>
      </c>
      <c r="Q701" s="10">
        <v>0</v>
      </c>
      <c r="R701" s="10">
        <v>0</v>
      </c>
      <c r="S701" s="10">
        <v>0</v>
      </c>
      <c r="T701" s="9">
        <v>1</v>
      </c>
      <c r="U701" s="9">
        <v>1</v>
      </c>
      <c r="V701" s="9">
        <v>1</v>
      </c>
      <c r="W701" s="9">
        <v>1</v>
      </c>
      <c r="X701" s="9">
        <v>0</v>
      </c>
      <c r="Y701" s="9">
        <v>0</v>
      </c>
      <c r="Z701" s="9" t="s">
        <v>986</v>
      </c>
    </row>
    <row r="702" spans="1:28" s="9" customFormat="1" ht="15" customHeight="1" x14ac:dyDescent="0.15">
      <c r="A702" s="9">
        <v>10624</v>
      </c>
      <c r="B702" s="9" t="s">
        <v>1240</v>
      </c>
      <c r="C702" s="9">
        <f t="shared" si="91"/>
        <v>1</v>
      </c>
      <c r="D702" s="9">
        <v>1</v>
      </c>
      <c r="F702" s="12">
        <v>0</v>
      </c>
      <c r="G702" s="10">
        <v>1</v>
      </c>
      <c r="H702" s="10">
        <v>0</v>
      </c>
      <c r="I702" s="10">
        <v>0</v>
      </c>
      <c r="J702" s="10">
        <v>0</v>
      </c>
      <c r="K702" s="10">
        <v>0</v>
      </c>
      <c r="L702" s="9">
        <v>1</v>
      </c>
      <c r="M702" s="9">
        <f t="shared" si="92"/>
        <v>5</v>
      </c>
      <c r="N702" s="10">
        <v>1</v>
      </c>
      <c r="O702" s="10">
        <v>0</v>
      </c>
      <c r="P702" s="10">
        <v>1</v>
      </c>
      <c r="Q702" s="10">
        <v>0</v>
      </c>
      <c r="R702" s="10">
        <v>0</v>
      </c>
      <c r="S702" s="10">
        <v>0</v>
      </c>
      <c r="T702" s="9">
        <v>1</v>
      </c>
      <c r="U702" s="9">
        <v>0</v>
      </c>
      <c r="V702" s="9">
        <v>1</v>
      </c>
      <c r="W702" s="9">
        <v>1</v>
      </c>
      <c r="X702" s="9">
        <v>0</v>
      </c>
      <c r="Y702" s="9">
        <v>0</v>
      </c>
      <c r="Z702" s="9" t="s">
        <v>1109</v>
      </c>
      <c r="AA702" s="9" t="s">
        <v>266</v>
      </c>
    </row>
    <row r="703" spans="1:28" s="72" customFormat="1" ht="14.25" x14ac:dyDescent="0.15">
      <c r="A703" s="72">
        <v>10625</v>
      </c>
      <c r="B703" s="72" t="s">
        <v>1517</v>
      </c>
      <c r="C703" s="72">
        <f t="shared" si="91"/>
        <v>1</v>
      </c>
      <c r="D703" s="72">
        <v>1</v>
      </c>
      <c r="F703" s="72">
        <v>0</v>
      </c>
      <c r="G703" s="73">
        <v>1</v>
      </c>
      <c r="H703" s="73">
        <v>0</v>
      </c>
      <c r="I703" s="73">
        <v>0</v>
      </c>
      <c r="J703" s="73">
        <v>0</v>
      </c>
      <c r="K703" s="73">
        <v>0</v>
      </c>
      <c r="L703" s="72">
        <v>1</v>
      </c>
      <c r="M703" s="72">
        <f t="shared" si="92"/>
        <v>17</v>
      </c>
      <c r="N703" s="73">
        <v>1</v>
      </c>
      <c r="O703" s="73">
        <v>0</v>
      </c>
      <c r="P703" s="73">
        <v>0</v>
      </c>
      <c r="Q703" s="73">
        <v>0</v>
      </c>
      <c r="R703" s="73">
        <v>1</v>
      </c>
      <c r="S703" s="73">
        <v>0</v>
      </c>
      <c r="T703" s="72">
        <v>1</v>
      </c>
      <c r="U703" s="72">
        <v>1</v>
      </c>
      <c r="V703" s="72">
        <v>1</v>
      </c>
      <c r="W703" s="72">
        <v>1</v>
      </c>
      <c r="X703" s="72">
        <v>0</v>
      </c>
      <c r="Y703" s="72">
        <v>0</v>
      </c>
      <c r="Z703" s="74" t="str">
        <f>"提升"&amp;AA703&amp;"%攻击，"&amp;AB703&amp;"点防御"</f>
        <v>提升3%攻击，15点防御</v>
      </c>
      <c r="AA703" s="75">
        <v>3</v>
      </c>
      <c r="AB703" s="75">
        <v>15</v>
      </c>
    </row>
    <row r="704" spans="1:28" s="72" customFormat="1" ht="14.25" x14ac:dyDescent="0.15">
      <c r="A704" s="72">
        <v>10626</v>
      </c>
      <c r="B704" s="72" t="s">
        <v>1518</v>
      </c>
      <c r="C704" s="72">
        <f t="shared" si="91"/>
        <v>1</v>
      </c>
      <c r="D704" s="72">
        <v>1</v>
      </c>
      <c r="F704" s="72">
        <v>0</v>
      </c>
      <c r="G704" s="73">
        <v>1</v>
      </c>
      <c r="H704" s="73">
        <v>0</v>
      </c>
      <c r="I704" s="73">
        <v>0</v>
      </c>
      <c r="J704" s="73">
        <v>0</v>
      </c>
      <c r="K704" s="73">
        <v>0</v>
      </c>
      <c r="L704" s="72">
        <v>1</v>
      </c>
      <c r="M704" s="72">
        <f t="shared" si="92"/>
        <v>17</v>
      </c>
      <c r="N704" s="73">
        <v>1</v>
      </c>
      <c r="O704" s="73">
        <v>0</v>
      </c>
      <c r="P704" s="73">
        <v>0</v>
      </c>
      <c r="Q704" s="73">
        <v>0</v>
      </c>
      <c r="R704" s="73">
        <v>1</v>
      </c>
      <c r="S704" s="73">
        <v>0</v>
      </c>
      <c r="T704" s="72">
        <v>1</v>
      </c>
      <c r="U704" s="72">
        <v>1</v>
      </c>
      <c r="V704" s="72">
        <v>1</v>
      </c>
      <c r="W704" s="72">
        <v>1</v>
      </c>
      <c r="X704" s="72">
        <v>0</v>
      </c>
      <c r="Y704" s="72">
        <v>0</v>
      </c>
      <c r="Z704" s="74" t="str">
        <f t="shared" ref="Z704:Z717" si="93">"提升"&amp;AA704&amp;"%攻击，"&amp;AB704&amp;"点防御"</f>
        <v>提升3.5%攻击，18点防御</v>
      </c>
      <c r="AA704" s="75">
        <v>3.5</v>
      </c>
      <c r="AB704" s="75">
        <v>18</v>
      </c>
    </row>
    <row r="705" spans="1:28" s="72" customFormat="1" ht="14.25" x14ac:dyDescent="0.15">
      <c r="A705" s="72">
        <v>10627</v>
      </c>
      <c r="B705" s="72" t="s">
        <v>1519</v>
      </c>
      <c r="C705" s="72">
        <f t="shared" si="91"/>
        <v>1</v>
      </c>
      <c r="D705" s="72">
        <v>1</v>
      </c>
      <c r="F705" s="72">
        <v>0</v>
      </c>
      <c r="G705" s="73">
        <v>1</v>
      </c>
      <c r="H705" s="73">
        <v>0</v>
      </c>
      <c r="I705" s="73">
        <v>0</v>
      </c>
      <c r="J705" s="73">
        <v>0</v>
      </c>
      <c r="K705" s="73">
        <v>0</v>
      </c>
      <c r="L705" s="72">
        <v>1</v>
      </c>
      <c r="M705" s="72">
        <f t="shared" si="92"/>
        <v>17</v>
      </c>
      <c r="N705" s="73">
        <v>1</v>
      </c>
      <c r="O705" s="73">
        <v>0</v>
      </c>
      <c r="P705" s="73">
        <v>0</v>
      </c>
      <c r="Q705" s="73">
        <v>0</v>
      </c>
      <c r="R705" s="73">
        <v>1</v>
      </c>
      <c r="S705" s="73">
        <v>0</v>
      </c>
      <c r="T705" s="72">
        <v>1</v>
      </c>
      <c r="U705" s="72">
        <v>1</v>
      </c>
      <c r="V705" s="72">
        <v>1</v>
      </c>
      <c r="W705" s="72">
        <v>1</v>
      </c>
      <c r="X705" s="72">
        <v>0</v>
      </c>
      <c r="Y705" s="72">
        <v>0</v>
      </c>
      <c r="Z705" s="74" t="str">
        <f t="shared" si="93"/>
        <v>提升4%攻击，21点防御</v>
      </c>
      <c r="AA705" s="75">
        <v>4</v>
      </c>
      <c r="AB705" s="75">
        <v>21</v>
      </c>
    </row>
    <row r="706" spans="1:28" s="72" customFormat="1" ht="14.25" x14ac:dyDescent="0.15">
      <c r="A706" s="72">
        <v>10628</v>
      </c>
      <c r="B706" s="72" t="s">
        <v>1520</v>
      </c>
      <c r="C706" s="72">
        <f t="shared" si="91"/>
        <v>1</v>
      </c>
      <c r="D706" s="72">
        <v>1</v>
      </c>
      <c r="F706" s="72">
        <v>0</v>
      </c>
      <c r="G706" s="73">
        <v>1</v>
      </c>
      <c r="H706" s="73">
        <v>0</v>
      </c>
      <c r="I706" s="73">
        <v>0</v>
      </c>
      <c r="J706" s="73">
        <v>0</v>
      </c>
      <c r="K706" s="73">
        <v>0</v>
      </c>
      <c r="L706" s="72">
        <v>1</v>
      </c>
      <c r="M706" s="72">
        <f t="shared" si="92"/>
        <v>17</v>
      </c>
      <c r="N706" s="73">
        <v>1</v>
      </c>
      <c r="O706" s="73">
        <v>0</v>
      </c>
      <c r="P706" s="73">
        <v>0</v>
      </c>
      <c r="Q706" s="73">
        <v>0</v>
      </c>
      <c r="R706" s="73">
        <v>1</v>
      </c>
      <c r="S706" s="73">
        <v>0</v>
      </c>
      <c r="T706" s="72">
        <v>1</v>
      </c>
      <c r="U706" s="72">
        <v>1</v>
      </c>
      <c r="V706" s="72">
        <v>1</v>
      </c>
      <c r="W706" s="72">
        <v>1</v>
      </c>
      <c r="X706" s="72">
        <v>0</v>
      </c>
      <c r="Y706" s="72">
        <v>0</v>
      </c>
      <c r="Z706" s="74" t="str">
        <f t="shared" si="93"/>
        <v>提升4.5%攻击，25点防御</v>
      </c>
      <c r="AA706" s="75">
        <v>4.5</v>
      </c>
      <c r="AB706" s="75">
        <v>25</v>
      </c>
    </row>
    <row r="707" spans="1:28" s="72" customFormat="1" ht="14.25" x14ac:dyDescent="0.15">
      <c r="A707" s="72">
        <v>10629</v>
      </c>
      <c r="B707" s="72" t="s">
        <v>1521</v>
      </c>
      <c r="C707" s="72">
        <f t="shared" si="91"/>
        <v>1</v>
      </c>
      <c r="D707" s="72">
        <v>1</v>
      </c>
      <c r="F707" s="72">
        <v>0</v>
      </c>
      <c r="G707" s="73">
        <v>1</v>
      </c>
      <c r="H707" s="73">
        <v>0</v>
      </c>
      <c r="I707" s="73">
        <v>0</v>
      </c>
      <c r="J707" s="73">
        <v>0</v>
      </c>
      <c r="K707" s="73">
        <v>0</v>
      </c>
      <c r="L707" s="72">
        <v>1</v>
      </c>
      <c r="M707" s="72">
        <f t="shared" si="92"/>
        <v>17</v>
      </c>
      <c r="N707" s="73">
        <v>1</v>
      </c>
      <c r="O707" s="73">
        <v>0</v>
      </c>
      <c r="P707" s="73">
        <v>0</v>
      </c>
      <c r="Q707" s="73">
        <v>0</v>
      </c>
      <c r="R707" s="73">
        <v>1</v>
      </c>
      <c r="S707" s="73">
        <v>0</v>
      </c>
      <c r="T707" s="72">
        <v>1</v>
      </c>
      <c r="U707" s="72">
        <v>1</v>
      </c>
      <c r="V707" s="72">
        <v>1</v>
      </c>
      <c r="W707" s="72">
        <v>1</v>
      </c>
      <c r="X707" s="72">
        <v>0</v>
      </c>
      <c r="Y707" s="72">
        <v>0</v>
      </c>
      <c r="Z707" s="74" t="str">
        <f t="shared" si="93"/>
        <v>提升5%攻击，29点防御</v>
      </c>
      <c r="AA707" s="75">
        <v>5</v>
      </c>
      <c r="AB707" s="75">
        <v>29</v>
      </c>
    </row>
    <row r="708" spans="1:28" s="72" customFormat="1" ht="14.25" x14ac:dyDescent="0.15">
      <c r="A708" s="72">
        <v>10630</v>
      </c>
      <c r="B708" s="72" t="s">
        <v>1522</v>
      </c>
      <c r="C708" s="72">
        <f t="shared" si="91"/>
        <v>1</v>
      </c>
      <c r="D708" s="72">
        <v>1</v>
      </c>
      <c r="F708" s="72">
        <v>0</v>
      </c>
      <c r="G708" s="73">
        <v>1</v>
      </c>
      <c r="H708" s="73">
        <v>0</v>
      </c>
      <c r="I708" s="73">
        <v>0</v>
      </c>
      <c r="J708" s="73">
        <v>0</v>
      </c>
      <c r="K708" s="73">
        <v>0</v>
      </c>
      <c r="L708" s="72">
        <v>1</v>
      </c>
      <c r="M708" s="72">
        <f t="shared" si="92"/>
        <v>17</v>
      </c>
      <c r="N708" s="73">
        <v>1</v>
      </c>
      <c r="O708" s="73">
        <v>0</v>
      </c>
      <c r="P708" s="73">
        <v>0</v>
      </c>
      <c r="Q708" s="73">
        <v>0</v>
      </c>
      <c r="R708" s="73">
        <v>1</v>
      </c>
      <c r="S708" s="73">
        <v>0</v>
      </c>
      <c r="T708" s="72">
        <v>1</v>
      </c>
      <c r="U708" s="72">
        <v>1</v>
      </c>
      <c r="V708" s="72">
        <v>1</v>
      </c>
      <c r="W708" s="72">
        <v>1</v>
      </c>
      <c r="X708" s="72">
        <v>0</v>
      </c>
      <c r="Y708" s="72">
        <v>0</v>
      </c>
      <c r="Z708" s="74" t="str">
        <f t="shared" si="93"/>
        <v>提升5.5%攻击，34点防御</v>
      </c>
      <c r="AA708" s="75">
        <v>5.5</v>
      </c>
      <c r="AB708" s="75">
        <v>34</v>
      </c>
    </row>
    <row r="709" spans="1:28" s="72" customFormat="1" ht="14.25" x14ac:dyDescent="0.15">
      <c r="A709" s="72">
        <v>10631</v>
      </c>
      <c r="B709" s="72" t="s">
        <v>1523</v>
      </c>
      <c r="C709" s="72">
        <f t="shared" si="91"/>
        <v>1</v>
      </c>
      <c r="D709" s="72">
        <v>1</v>
      </c>
      <c r="F709" s="72">
        <v>0</v>
      </c>
      <c r="G709" s="73">
        <v>1</v>
      </c>
      <c r="H709" s="73">
        <v>0</v>
      </c>
      <c r="I709" s="73">
        <v>0</v>
      </c>
      <c r="J709" s="73">
        <v>0</v>
      </c>
      <c r="K709" s="73">
        <v>0</v>
      </c>
      <c r="L709" s="72">
        <v>1</v>
      </c>
      <c r="M709" s="72">
        <f t="shared" si="92"/>
        <v>17</v>
      </c>
      <c r="N709" s="73">
        <v>1</v>
      </c>
      <c r="O709" s="73">
        <v>0</v>
      </c>
      <c r="P709" s="73">
        <v>0</v>
      </c>
      <c r="Q709" s="73">
        <v>0</v>
      </c>
      <c r="R709" s="73">
        <v>1</v>
      </c>
      <c r="S709" s="73">
        <v>0</v>
      </c>
      <c r="T709" s="72">
        <v>1</v>
      </c>
      <c r="U709" s="72">
        <v>1</v>
      </c>
      <c r="V709" s="72">
        <v>1</v>
      </c>
      <c r="W709" s="72">
        <v>1</v>
      </c>
      <c r="X709" s="72">
        <v>0</v>
      </c>
      <c r="Y709" s="72">
        <v>0</v>
      </c>
      <c r="Z709" s="74" t="str">
        <f t="shared" si="93"/>
        <v>提升6%攻击，41点防御</v>
      </c>
      <c r="AA709" s="75">
        <v>6</v>
      </c>
      <c r="AB709" s="75">
        <v>41</v>
      </c>
    </row>
    <row r="710" spans="1:28" s="72" customFormat="1" ht="14.25" x14ac:dyDescent="0.15">
      <c r="A710" s="72">
        <v>10632</v>
      </c>
      <c r="B710" s="72" t="s">
        <v>1524</v>
      </c>
      <c r="C710" s="72">
        <f t="shared" ref="C710:C717" si="94">G710+H710*2+I710*4+J710*8+K710*16</f>
        <v>1</v>
      </c>
      <c r="D710" s="72">
        <v>1</v>
      </c>
      <c r="F710" s="72">
        <v>0</v>
      </c>
      <c r="G710" s="73">
        <v>1</v>
      </c>
      <c r="H710" s="73">
        <v>0</v>
      </c>
      <c r="I710" s="73">
        <v>0</v>
      </c>
      <c r="J710" s="73">
        <v>0</v>
      </c>
      <c r="K710" s="73">
        <v>0</v>
      </c>
      <c r="L710" s="72">
        <v>1</v>
      </c>
      <c r="M710" s="72">
        <f t="shared" ref="M710:M717" si="95">N710+O710*2+P710*4+Q710*8+R710*16+S710*32</f>
        <v>17</v>
      </c>
      <c r="N710" s="73">
        <v>1</v>
      </c>
      <c r="O710" s="73">
        <v>0</v>
      </c>
      <c r="P710" s="73">
        <v>0</v>
      </c>
      <c r="Q710" s="73">
        <v>0</v>
      </c>
      <c r="R710" s="73">
        <v>1</v>
      </c>
      <c r="S710" s="73">
        <v>0</v>
      </c>
      <c r="T710" s="72">
        <v>1</v>
      </c>
      <c r="U710" s="72">
        <v>1</v>
      </c>
      <c r="V710" s="72">
        <v>1</v>
      </c>
      <c r="W710" s="72">
        <v>1</v>
      </c>
      <c r="X710" s="72">
        <v>0</v>
      </c>
      <c r="Y710" s="72">
        <v>0</v>
      </c>
      <c r="Z710" s="74" t="str">
        <f t="shared" si="93"/>
        <v>提升6.5%攻击，48点防御</v>
      </c>
      <c r="AA710" s="75">
        <v>6.5</v>
      </c>
      <c r="AB710" s="75">
        <v>48</v>
      </c>
    </row>
    <row r="711" spans="1:28" s="72" customFormat="1" ht="14.25" x14ac:dyDescent="0.15">
      <c r="A711" s="72">
        <v>10633</v>
      </c>
      <c r="B711" s="72" t="s">
        <v>1525</v>
      </c>
      <c r="C711" s="72">
        <f t="shared" si="94"/>
        <v>1</v>
      </c>
      <c r="D711" s="72">
        <v>1</v>
      </c>
      <c r="F711" s="72">
        <v>0</v>
      </c>
      <c r="G711" s="73">
        <v>1</v>
      </c>
      <c r="H711" s="73">
        <v>0</v>
      </c>
      <c r="I711" s="73">
        <v>0</v>
      </c>
      <c r="J711" s="73">
        <v>0</v>
      </c>
      <c r="K711" s="73">
        <v>0</v>
      </c>
      <c r="L711" s="72">
        <v>1</v>
      </c>
      <c r="M711" s="72">
        <f t="shared" si="95"/>
        <v>17</v>
      </c>
      <c r="N711" s="73">
        <v>1</v>
      </c>
      <c r="O711" s="73">
        <v>0</v>
      </c>
      <c r="P711" s="73">
        <v>0</v>
      </c>
      <c r="Q711" s="73">
        <v>0</v>
      </c>
      <c r="R711" s="73">
        <v>1</v>
      </c>
      <c r="S711" s="73">
        <v>0</v>
      </c>
      <c r="T711" s="72">
        <v>1</v>
      </c>
      <c r="U711" s="72">
        <v>1</v>
      </c>
      <c r="V711" s="72">
        <v>1</v>
      </c>
      <c r="W711" s="72">
        <v>1</v>
      </c>
      <c r="X711" s="72">
        <v>0</v>
      </c>
      <c r="Y711" s="72">
        <v>0</v>
      </c>
      <c r="Z711" s="74" t="str">
        <f t="shared" si="93"/>
        <v>提升7%攻击，57点防御</v>
      </c>
      <c r="AA711" s="75">
        <v>7</v>
      </c>
      <c r="AB711" s="75">
        <v>57</v>
      </c>
    </row>
    <row r="712" spans="1:28" s="72" customFormat="1" ht="14.25" x14ac:dyDescent="0.15">
      <c r="A712" s="72">
        <v>10634</v>
      </c>
      <c r="B712" s="72" t="s">
        <v>1526</v>
      </c>
      <c r="C712" s="72">
        <f t="shared" si="94"/>
        <v>1</v>
      </c>
      <c r="D712" s="72">
        <v>1</v>
      </c>
      <c r="F712" s="72">
        <v>0</v>
      </c>
      <c r="G712" s="73">
        <v>1</v>
      </c>
      <c r="H712" s="73">
        <v>0</v>
      </c>
      <c r="I712" s="73">
        <v>0</v>
      </c>
      <c r="J712" s="73">
        <v>0</v>
      </c>
      <c r="K712" s="73">
        <v>0</v>
      </c>
      <c r="L712" s="72">
        <v>1</v>
      </c>
      <c r="M712" s="72">
        <f t="shared" si="95"/>
        <v>17</v>
      </c>
      <c r="N712" s="73">
        <v>1</v>
      </c>
      <c r="O712" s="73">
        <v>0</v>
      </c>
      <c r="P712" s="73">
        <v>0</v>
      </c>
      <c r="Q712" s="73">
        <v>0</v>
      </c>
      <c r="R712" s="73">
        <v>1</v>
      </c>
      <c r="S712" s="73">
        <v>0</v>
      </c>
      <c r="T712" s="72">
        <v>1</v>
      </c>
      <c r="U712" s="72">
        <v>1</v>
      </c>
      <c r="V712" s="72">
        <v>1</v>
      </c>
      <c r="W712" s="72">
        <v>1</v>
      </c>
      <c r="X712" s="72">
        <v>0</v>
      </c>
      <c r="Y712" s="72">
        <v>0</v>
      </c>
      <c r="Z712" s="74" t="str">
        <f t="shared" si="93"/>
        <v>提升7.5%攻击，67点防御</v>
      </c>
      <c r="AA712" s="75">
        <v>7.5</v>
      </c>
      <c r="AB712" s="75">
        <v>67</v>
      </c>
    </row>
    <row r="713" spans="1:28" s="72" customFormat="1" ht="14.25" x14ac:dyDescent="0.15">
      <c r="A713" s="72">
        <v>10635</v>
      </c>
      <c r="B713" s="72" t="s">
        <v>1527</v>
      </c>
      <c r="C713" s="72">
        <f t="shared" si="94"/>
        <v>1</v>
      </c>
      <c r="D713" s="72">
        <v>1</v>
      </c>
      <c r="F713" s="72">
        <v>0</v>
      </c>
      <c r="G713" s="73">
        <v>1</v>
      </c>
      <c r="H713" s="73">
        <v>0</v>
      </c>
      <c r="I713" s="73">
        <v>0</v>
      </c>
      <c r="J713" s="73">
        <v>0</v>
      </c>
      <c r="K713" s="73">
        <v>0</v>
      </c>
      <c r="L713" s="72">
        <v>1</v>
      </c>
      <c r="M713" s="72">
        <f t="shared" si="95"/>
        <v>17</v>
      </c>
      <c r="N713" s="73">
        <v>1</v>
      </c>
      <c r="O713" s="73">
        <v>0</v>
      </c>
      <c r="P713" s="73">
        <v>0</v>
      </c>
      <c r="Q713" s="73">
        <v>0</v>
      </c>
      <c r="R713" s="73">
        <v>1</v>
      </c>
      <c r="S713" s="73">
        <v>0</v>
      </c>
      <c r="T713" s="72">
        <v>1</v>
      </c>
      <c r="U713" s="72">
        <v>1</v>
      </c>
      <c r="V713" s="72">
        <v>1</v>
      </c>
      <c r="W713" s="72">
        <v>1</v>
      </c>
      <c r="X713" s="72">
        <v>0</v>
      </c>
      <c r="Y713" s="72">
        <v>0</v>
      </c>
      <c r="Z713" s="74" t="str">
        <f t="shared" si="93"/>
        <v>提升8%攻击，80点防御</v>
      </c>
      <c r="AA713" s="75">
        <v>8</v>
      </c>
      <c r="AB713" s="75">
        <v>80</v>
      </c>
    </row>
    <row r="714" spans="1:28" s="72" customFormat="1" ht="14.25" x14ac:dyDescent="0.15">
      <c r="A714" s="72">
        <v>10636</v>
      </c>
      <c r="B714" s="72" t="s">
        <v>1528</v>
      </c>
      <c r="C714" s="72">
        <f t="shared" si="94"/>
        <v>1</v>
      </c>
      <c r="D714" s="72">
        <v>1</v>
      </c>
      <c r="F714" s="72">
        <v>0</v>
      </c>
      <c r="G714" s="73">
        <v>1</v>
      </c>
      <c r="H714" s="73">
        <v>0</v>
      </c>
      <c r="I714" s="73">
        <v>0</v>
      </c>
      <c r="J714" s="73">
        <v>0</v>
      </c>
      <c r="K714" s="73">
        <v>0</v>
      </c>
      <c r="L714" s="72">
        <v>1</v>
      </c>
      <c r="M714" s="72">
        <f t="shared" si="95"/>
        <v>17</v>
      </c>
      <c r="N714" s="73">
        <v>1</v>
      </c>
      <c r="O714" s="73">
        <v>0</v>
      </c>
      <c r="P714" s="73">
        <v>0</v>
      </c>
      <c r="Q714" s="73">
        <v>0</v>
      </c>
      <c r="R714" s="73">
        <v>1</v>
      </c>
      <c r="S714" s="73">
        <v>0</v>
      </c>
      <c r="T714" s="72">
        <v>1</v>
      </c>
      <c r="U714" s="72">
        <v>1</v>
      </c>
      <c r="V714" s="72">
        <v>1</v>
      </c>
      <c r="W714" s="72">
        <v>1</v>
      </c>
      <c r="X714" s="72">
        <v>0</v>
      </c>
      <c r="Y714" s="72">
        <v>0</v>
      </c>
      <c r="Z714" s="74" t="str">
        <f t="shared" si="93"/>
        <v>提升8.5%攻击，94点防御</v>
      </c>
      <c r="AA714" s="75">
        <v>8.5</v>
      </c>
      <c r="AB714" s="75">
        <v>94</v>
      </c>
    </row>
    <row r="715" spans="1:28" s="72" customFormat="1" ht="14.25" x14ac:dyDescent="0.15">
      <c r="A715" s="72">
        <v>10637</v>
      </c>
      <c r="B715" s="72" t="s">
        <v>1529</v>
      </c>
      <c r="C715" s="72">
        <f t="shared" si="94"/>
        <v>1</v>
      </c>
      <c r="D715" s="72">
        <v>1</v>
      </c>
      <c r="F715" s="72">
        <v>0</v>
      </c>
      <c r="G715" s="73">
        <v>1</v>
      </c>
      <c r="H715" s="73">
        <v>0</v>
      </c>
      <c r="I715" s="73">
        <v>0</v>
      </c>
      <c r="J715" s="73">
        <v>0</v>
      </c>
      <c r="K715" s="73">
        <v>0</v>
      </c>
      <c r="L715" s="72">
        <v>1</v>
      </c>
      <c r="M715" s="72">
        <f t="shared" si="95"/>
        <v>17</v>
      </c>
      <c r="N715" s="73">
        <v>1</v>
      </c>
      <c r="O715" s="73">
        <v>0</v>
      </c>
      <c r="P715" s="73">
        <v>0</v>
      </c>
      <c r="Q715" s="73">
        <v>0</v>
      </c>
      <c r="R715" s="73">
        <v>1</v>
      </c>
      <c r="S715" s="73">
        <v>0</v>
      </c>
      <c r="T715" s="72">
        <v>1</v>
      </c>
      <c r="U715" s="72">
        <v>1</v>
      </c>
      <c r="V715" s="72">
        <v>1</v>
      </c>
      <c r="W715" s="72">
        <v>1</v>
      </c>
      <c r="X715" s="72">
        <v>0</v>
      </c>
      <c r="Y715" s="72">
        <v>0</v>
      </c>
      <c r="Z715" s="74" t="str">
        <f t="shared" si="93"/>
        <v>提升9%攻击，112点防御</v>
      </c>
      <c r="AA715" s="75">
        <v>9</v>
      </c>
      <c r="AB715" s="75">
        <v>112</v>
      </c>
    </row>
    <row r="716" spans="1:28" s="72" customFormat="1" ht="14.25" x14ac:dyDescent="0.15">
      <c r="A716" s="72">
        <v>10638</v>
      </c>
      <c r="B716" s="72" t="s">
        <v>1530</v>
      </c>
      <c r="C716" s="72">
        <f t="shared" si="94"/>
        <v>1</v>
      </c>
      <c r="D716" s="72">
        <v>1</v>
      </c>
      <c r="F716" s="72">
        <v>0</v>
      </c>
      <c r="G716" s="73">
        <v>1</v>
      </c>
      <c r="H716" s="73">
        <v>0</v>
      </c>
      <c r="I716" s="73">
        <v>0</v>
      </c>
      <c r="J716" s="73">
        <v>0</v>
      </c>
      <c r="K716" s="73">
        <v>0</v>
      </c>
      <c r="L716" s="72">
        <v>1</v>
      </c>
      <c r="M716" s="72">
        <f t="shared" si="95"/>
        <v>17</v>
      </c>
      <c r="N716" s="73">
        <v>1</v>
      </c>
      <c r="O716" s="73">
        <v>0</v>
      </c>
      <c r="P716" s="73">
        <v>0</v>
      </c>
      <c r="Q716" s="73">
        <v>0</v>
      </c>
      <c r="R716" s="73">
        <v>1</v>
      </c>
      <c r="S716" s="73">
        <v>0</v>
      </c>
      <c r="T716" s="72">
        <v>1</v>
      </c>
      <c r="U716" s="72">
        <v>1</v>
      </c>
      <c r="V716" s="72">
        <v>1</v>
      </c>
      <c r="W716" s="72">
        <v>1</v>
      </c>
      <c r="X716" s="72">
        <v>0</v>
      </c>
      <c r="Y716" s="72">
        <v>0</v>
      </c>
      <c r="Z716" s="74" t="str">
        <f t="shared" si="93"/>
        <v>提升9.5%攻击，132点防御</v>
      </c>
      <c r="AA716" s="75">
        <v>9.5</v>
      </c>
      <c r="AB716" s="75">
        <v>132</v>
      </c>
    </row>
    <row r="717" spans="1:28" s="72" customFormat="1" ht="14.25" x14ac:dyDescent="0.15">
      <c r="A717" s="72">
        <v>10639</v>
      </c>
      <c r="B717" s="72" t="s">
        <v>1531</v>
      </c>
      <c r="C717" s="72">
        <f t="shared" si="94"/>
        <v>1</v>
      </c>
      <c r="D717" s="72">
        <v>1</v>
      </c>
      <c r="F717" s="72">
        <v>0</v>
      </c>
      <c r="G717" s="73">
        <v>1</v>
      </c>
      <c r="H717" s="73">
        <v>0</v>
      </c>
      <c r="I717" s="73">
        <v>0</v>
      </c>
      <c r="J717" s="73">
        <v>0</v>
      </c>
      <c r="K717" s="73">
        <v>0</v>
      </c>
      <c r="L717" s="72">
        <v>1</v>
      </c>
      <c r="M717" s="72">
        <f t="shared" si="95"/>
        <v>17</v>
      </c>
      <c r="N717" s="73">
        <v>1</v>
      </c>
      <c r="O717" s="73">
        <v>0</v>
      </c>
      <c r="P717" s="73">
        <v>0</v>
      </c>
      <c r="Q717" s="73">
        <v>0</v>
      </c>
      <c r="R717" s="73">
        <v>1</v>
      </c>
      <c r="S717" s="73">
        <v>0</v>
      </c>
      <c r="T717" s="72">
        <v>1</v>
      </c>
      <c r="U717" s="72">
        <v>1</v>
      </c>
      <c r="V717" s="72">
        <v>1</v>
      </c>
      <c r="W717" s="72">
        <v>1</v>
      </c>
      <c r="X717" s="72">
        <v>0</v>
      </c>
      <c r="Y717" s="72">
        <v>0</v>
      </c>
      <c r="Z717" s="74" t="str">
        <f t="shared" si="93"/>
        <v>提升10%攻击，156点防御</v>
      </c>
      <c r="AA717" s="75">
        <v>10</v>
      </c>
      <c r="AB717" s="75">
        <v>156</v>
      </c>
    </row>
    <row r="718" spans="1:28" s="72" customFormat="1" ht="12" x14ac:dyDescent="0.15">
      <c r="A718" s="72">
        <v>10640</v>
      </c>
      <c r="B718" s="72" t="s">
        <v>1532</v>
      </c>
      <c r="C718" s="72">
        <f>G718+H718*2+I718*4+J718*8+K718*16</f>
        <v>1</v>
      </c>
      <c r="D718" s="72">
        <v>1</v>
      </c>
      <c r="F718" s="72">
        <v>0</v>
      </c>
      <c r="G718" s="73">
        <v>1</v>
      </c>
      <c r="H718" s="73">
        <v>0</v>
      </c>
      <c r="I718" s="73">
        <v>0</v>
      </c>
      <c r="J718" s="73">
        <v>0</v>
      </c>
      <c r="K718" s="73">
        <v>0</v>
      </c>
      <c r="L718" s="72">
        <v>1</v>
      </c>
      <c r="M718" s="72">
        <f>N718+O718*2+P718*4+Q718*8+R718*16+S718*32</f>
        <v>17</v>
      </c>
      <c r="N718" s="73">
        <v>1</v>
      </c>
      <c r="O718" s="73">
        <v>0</v>
      </c>
      <c r="P718" s="73">
        <v>0</v>
      </c>
      <c r="Q718" s="73">
        <v>0</v>
      </c>
      <c r="R718" s="73">
        <v>1</v>
      </c>
      <c r="S718" s="73">
        <v>0</v>
      </c>
      <c r="T718" s="72">
        <v>1</v>
      </c>
      <c r="U718" s="72">
        <v>1</v>
      </c>
      <c r="V718" s="72">
        <v>1</v>
      </c>
      <c r="W718" s="72">
        <v>1</v>
      </c>
      <c r="X718" s="72">
        <v>0</v>
      </c>
      <c r="Y718" s="72">
        <v>0</v>
      </c>
      <c r="Z718" s="74" t="s">
        <v>1514</v>
      </c>
    </row>
    <row r="719" spans="1:28" s="9" customFormat="1" ht="14.25" x14ac:dyDescent="0.15">
      <c r="A719" s="23">
        <v>10641</v>
      </c>
      <c r="B719" s="23" t="s">
        <v>1498</v>
      </c>
      <c r="C719" s="9">
        <f t="shared" ref="C719:C733" si="96">G719+H719*2+I719*4+J719*8+K719*16</f>
        <v>1</v>
      </c>
      <c r="D719" s="9">
        <v>1</v>
      </c>
      <c r="F719" s="12">
        <v>0</v>
      </c>
      <c r="G719" s="10">
        <v>1</v>
      </c>
      <c r="H719" s="10">
        <v>0</v>
      </c>
      <c r="I719" s="10">
        <v>0</v>
      </c>
      <c r="J719" s="10">
        <v>0</v>
      </c>
      <c r="K719" s="10">
        <v>0</v>
      </c>
      <c r="L719" s="9">
        <v>1</v>
      </c>
      <c r="M719" s="9">
        <f t="shared" ref="M719:M733" si="97">N719+O719*2+P719*4+Q719*8+R719*16+S719*32</f>
        <v>17</v>
      </c>
      <c r="N719" s="10">
        <v>1</v>
      </c>
      <c r="O719" s="10">
        <v>0</v>
      </c>
      <c r="P719" s="10">
        <v>0</v>
      </c>
      <c r="Q719" s="10">
        <v>0</v>
      </c>
      <c r="R719" s="10">
        <v>1</v>
      </c>
      <c r="S719" s="10">
        <v>0</v>
      </c>
      <c r="T719" s="9">
        <v>1</v>
      </c>
      <c r="U719" s="9">
        <v>1</v>
      </c>
      <c r="V719" s="9">
        <v>1</v>
      </c>
      <c r="W719" s="9">
        <v>1</v>
      </c>
      <c r="X719" s="9">
        <v>0</v>
      </c>
      <c r="Y719" s="9">
        <v>0</v>
      </c>
      <c r="Z719" s="11" t="str">
        <f>"物攻上限提升"&amp;AA719&amp;"%并额外增加"&amp;AB719&amp;"点"</f>
        <v>物攻上限提升2%并额外增加10点</v>
      </c>
      <c r="AA719" s="57">
        <v>2</v>
      </c>
      <c r="AB719" s="57">
        <v>10</v>
      </c>
    </row>
    <row r="720" spans="1:28" s="9" customFormat="1" ht="14.25" x14ac:dyDescent="0.15">
      <c r="A720" s="23">
        <v>10642</v>
      </c>
      <c r="B720" s="23" t="s">
        <v>1499</v>
      </c>
      <c r="C720" s="9">
        <f t="shared" si="96"/>
        <v>1</v>
      </c>
      <c r="D720" s="9">
        <v>1</v>
      </c>
      <c r="F720" s="12">
        <v>0</v>
      </c>
      <c r="G720" s="10">
        <v>1</v>
      </c>
      <c r="H720" s="10">
        <v>0</v>
      </c>
      <c r="I720" s="10">
        <v>0</v>
      </c>
      <c r="J720" s="10">
        <v>0</v>
      </c>
      <c r="K720" s="10">
        <v>0</v>
      </c>
      <c r="L720" s="9">
        <v>1</v>
      </c>
      <c r="M720" s="9">
        <f t="shared" si="97"/>
        <v>17</v>
      </c>
      <c r="N720" s="10">
        <v>1</v>
      </c>
      <c r="O720" s="10">
        <v>0</v>
      </c>
      <c r="P720" s="10">
        <v>0</v>
      </c>
      <c r="Q720" s="10">
        <v>0</v>
      </c>
      <c r="R720" s="10">
        <v>1</v>
      </c>
      <c r="S720" s="10">
        <v>0</v>
      </c>
      <c r="T720" s="9">
        <v>1</v>
      </c>
      <c r="U720" s="9">
        <v>1</v>
      </c>
      <c r="V720" s="9">
        <v>1</v>
      </c>
      <c r="W720" s="9">
        <v>1</v>
      </c>
      <c r="X720" s="9">
        <v>0</v>
      </c>
      <c r="Y720" s="9">
        <v>0</v>
      </c>
      <c r="Z720" s="11" t="str">
        <f t="shared" ref="Z720:Z733" si="98">"物攻上限提升"&amp;AA720&amp;"%并额外增加"&amp;AB720&amp;"点"</f>
        <v>物攻上限提升2.5%并额外增加20点</v>
      </c>
      <c r="AA720" s="57">
        <v>2.5</v>
      </c>
      <c r="AB720" s="57">
        <v>20</v>
      </c>
    </row>
    <row r="721" spans="1:28" s="9" customFormat="1" ht="14.25" x14ac:dyDescent="0.15">
      <c r="A721" s="23">
        <v>10643</v>
      </c>
      <c r="B721" s="23" t="s">
        <v>1500</v>
      </c>
      <c r="C721" s="9">
        <f t="shared" si="96"/>
        <v>1</v>
      </c>
      <c r="D721" s="9">
        <v>1</v>
      </c>
      <c r="F721" s="12">
        <v>0</v>
      </c>
      <c r="G721" s="10">
        <v>1</v>
      </c>
      <c r="H721" s="10">
        <v>0</v>
      </c>
      <c r="I721" s="10">
        <v>0</v>
      </c>
      <c r="J721" s="10">
        <v>0</v>
      </c>
      <c r="K721" s="10">
        <v>0</v>
      </c>
      <c r="L721" s="9">
        <v>1</v>
      </c>
      <c r="M721" s="9">
        <f t="shared" si="97"/>
        <v>17</v>
      </c>
      <c r="N721" s="10">
        <v>1</v>
      </c>
      <c r="O721" s="10">
        <v>0</v>
      </c>
      <c r="P721" s="10">
        <v>0</v>
      </c>
      <c r="Q721" s="10">
        <v>0</v>
      </c>
      <c r="R721" s="10">
        <v>1</v>
      </c>
      <c r="S721" s="10">
        <v>0</v>
      </c>
      <c r="T721" s="9">
        <v>1</v>
      </c>
      <c r="U721" s="9">
        <v>1</v>
      </c>
      <c r="V721" s="9">
        <v>1</v>
      </c>
      <c r="W721" s="9">
        <v>1</v>
      </c>
      <c r="X721" s="9">
        <v>0</v>
      </c>
      <c r="Y721" s="9">
        <v>0</v>
      </c>
      <c r="Z721" s="11" t="str">
        <f t="shared" si="98"/>
        <v>物攻上限提升3%并额外增加30点</v>
      </c>
      <c r="AA721" s="57">
        <v>3</v>
      </c>
      <c r="AB721" s="57">
        <v>30</v>
      </c>
    </row>
    <row r="722" spans="1:28" s="9" customFormat="1" ht="14.25" x14ac:dyDescent="0.15">
      <c r="A722" s="23">
        <v>10644</v>
      </c>
      <c r="B722" s="23" t="s">
        <v>1501</v>
      </c>
      <c r="C722" s="9">
        <f t="shared" si="96"/>
        <v>1</v>
      </c>
      <c r="D722" s="9">
        <v>1</v>
      </c>
      <c r="F722" s="12">
        <v>0</v>
      </c>
      <c r="G722" s="10">
        <v>1</v>
      </c>
      <c r="H722" s="10">
        <v>0</v>
      </c>
      <c r="I722" s="10">
        <v>0</v>
      </c>
      <c r="J722" s="10">
        <v>0</v>
      </c>
      <c r="K722" s="10">
        <v>0</v>
      </c>
      <c r="L722" s="9">
        <v>1</v>
      </c>
      <c r="M722" s="9">
        <f t="shared" si="97"/>
        <v>17</v>
      </c>
      <c r="N722" s="10">
        <v>1</v>
      </c>
      <c r="O722" s="10">
        <v>0</v>
      </c>
      <c r="P722" s="10">
        <v>0</v>
      </c>
      <c r="Q722" s="10">
        <v>0</v>
      </c>
      <c r="R722" s="10">
        <v>1</v>
      </c>
      <c r="S722" s="10">
        <v>0</v>
      </c>
      <c r="T722" s="9">
        <v>1</v>
      </c>
      <c r="U722" s="9">
        <v>1</v>
      </c>
      <c r="V722" s="9">
        <v>1</v>
      </c>
      <c r="W722" s="9">
        <v>1</v>
      </c>
      <c r="X722" s="9">
        <v>0</v>
      </c>
      <c r="Y722" s="9">
        <v>0</v>
      </c>
      <c r="Z722" s="11" t="str">
        <f t="shared" si="98"/>
        <v>物攻上限提升4%并额外增加40点</v>
      </c>
      <c r="AA722" s="57">
        <v>4</v>
      </c>
      <c r="AB722" s="57">
        <v>40</v>
      </c>
    </row>
    <row r="723" spans="1:28" s="9" customFormat="1" ht="14.25" x14ac:dyDescent="0.15">
      <c r="A723" s="23">
        <v>10645</v>
      </c>
      <c r="B723" s="23" t="s">
        <v>1502</v>
      </c>
      <c r="C723" s="9">
        <f t="shared" si="96"/>
        <v>1</v>
      </c>
      <c r="D723" s="9">
        <v>1</v>
      </c>
      <c r="F723" s="12">
        <v>0</v>
      </c>
      <c r="G723" s="10">
        <v>1</v>
      </c>
      <c r="H723" s="10">
        <v>0</v>
      </c>
      <c r="I723" s="10">
        <v>0</v>
      </c>
      <c r="J723" s="10">
        <v>0</v>
      </c>
      <c r="K723" s="10">
        <v>0</v>
      </c>
      <c r="L723" s="9">
        <v>1</v>
      </c>
      <c r="M723" s="9">
        <f t="shared" si="97"/>
        <v>17</v>
      </c>
      <c r="N723" s="10">
        <v>1</v>
      </c>
      <c r="O723" s="10">
        <v>0</v>
      </c>
      <c r="P723" s="10">
        <v>0</v>
      </c>
      <c r="Q723" s="10">
        <v>0</v>
      </c>
      <c r="R723" s="10">
        <v>1</v>
      </c>
      <c r="S723" s="10">
        <v>0</v>
      </c>
      <c r="T723" s="9">
        <v>1</v>
      </c>
      <c r="U723" s="9">
        <v>1</v>
      </c>
      <c r="V723" s="9">
        <v>1</v>
      </c>
      <c r="W723" s="9">
        <v>1</v>
      </c>
      <c r="X723" s="9">
        <v>0</v>
      </c>
      <c r="Y723" s="9">
        <v>0</v>
      </c>
      <c r="Z723" s="11" t="str">
        <f t="shared" si="98"/>
        <v>物攻上限提升4.5%并额外增加50点</v>
      </c>
      <c r="AA723" s="57">
        <v>4.5</v>
      </c>
      <c r="AB723" s="57">
        <v>50</v>
      </c>
    </row>
    <row r="724" spans="1:28" s="9" customFormat="1" ht="14.25" x14ac:dyDescent="0.15">
      <c r="A724" s="23">
        <v>10646</v>
      </c>
      <c r="B724" s="23" t="s">
        <v>1503</v>
      </c>
      <c r="C724" s="9">
        <f t="shared" si="96"/>
        <v>1</v>
      </c>
      <c r="D724" s="9">
        <v>1</v>
      </c>
      <c r="F724" s="12">
        <v>0</v>
      </c>
      <c r="G724" s="10">
        <v>1</v>
      </c>
      <c r="H724" s="10">
        <v>0</v>
      </c>
      <c r="I724" s="10">
        <v>0</v>
      </c>
      <c r="J724" s="10">
        <v>0</v>
      </c>
      <c r="K724" s="10">
        <v>0</v>
      </c>
      <c r="L724" s="9">
        <v>1</v>
      </c>
      <c r="M724" s="9">
        <f t="shared" si="97"/>
        <v>17</v>
      </c>
      <c r="N724" s="10">
        <v>1</v>
      </c>
      <c r="O724" s="10">
        <v>0</v>
      </c>
      <c r="P724" s="10">
        <v>0</v>
      </c>
      <c r="Q724" s="10">
        <v>0</v>
      </c>
      <c r="R724" s="10">
        <v>1</v>
      </c>
      <c r="S724" s="10">
        <v>0</v>
      </c>
      <c r="T724" s="9">
        <v>1</v>
      </c>
      <c r="U724" s="9">
        <v>1</v>
      </c>
      <c r="V724" s="9">
        <v>1</v>
      </c>
      <c r="W724" s="9">
        <v>1</v>
      </c>
      <c r="X724" s="9">
        <v>0</v>
      </c>
      <c r="Y724" s="9">
        <v>0</v>
      </c>
      <c r="Z724" s="11" t="str">
        <f t="shared" si="98"/>
        <v>物攻上限提升5%并额外增加60点</v>
      </c>
      <c r="AA724" s="57">
        <v>5</v>
      </c>
      <c r="AB724" s="57">
        <v>60</v>
      </c>
    </row>
    <row r="725" spans="1:28" s="9" customFormat="1" ht="14.25" x14ac:dyDescent="0.15">
      <c r="A725" s="23">
        <v>10647</v>
      </c>
      <c r="B725" s="23" t="s">
        <v>1504</v>
      </c>
      <c r="C725" s="9">
        <f t="shared" si="96"/>
        <v>1</v>
      </c>
      <c r="D725" s="9">
        <v>1</v>
      </c>
      <c r="F725" s="12">
        <v>0</v>
      </c>
      <c r="G725" s="10">
        <v>1</v>
      </c>
      <c r="H725" s="10">
        <v>0</v>
      </c>
      <c r="I725" s="10">
        <v>0</v>
      </c>
      <c r="J725" s="10">
        <v>0</v>
      </c>
      <c r="K725" s="10">
        <v>0</v>
      </c>
      <c r="L725" s="9">
        <v>1</v>
      </c>
      <c r="M725" s="9">
        <f t="shared" si="97"/>
        <v>17</v>
      </c>
      <c r="N725" s="10">
        <v>1</v>
      </c>
      <c r="O725" s="10">
        <v>0</v>
      </c>
      <c r="P725" s="10">
        <v>0</v>
      </c>
      <c r="Q725" s="10">
        <v>0</v>
      </c>
      <c r="R725" s="10">
        <v>1</v>
      </c>
      <c r="S725" s="10">
        <v>0</v>
      </c>
      <c r="T725" s="9">
        <v>1</v>
      </c>
      <c r="U725" s="9">
        <v>1</v>
      </c>
      <c r="V725" s="9">
        <v>1</v>
      </c>
      <c r="W725" s="9">
        <v>1</v>
      </c>
      <c r="X725" s="9">
        <v>0</v>
      </c>
      <c r="Y725" s="9">
        <v>0</v>
      </c>
      <c r="Z725" s="11" t="str">
        <f t="shared" si="98"/>
        <v>物攻上限提升5.5%并额外增加70点</v>
      </c>
      <c r="AA725" s="57">
        <v>5.5</v>
      </c>
      <c r="AB725" s="57">
        <v>70</v>
      </c>
    </row>
    <row r="726" spans="1:28" s="9" customFormat="1" ht="14.25" x14ac:dyDescent="0.15">
      <c r="A726" s="23">
        <v>10648</v>
      </c>
      <c r="B726" s="23" t="s">
        <v>1505</v>
      </c>
      <c r="C726" s="9">
        <f t="shared" si="96"/>
        <v>1</v>
      </c>
      <c r="D726" s="9">
        <v>1</v>
      </c>
      <c r="F726" s="12">
        <v>0</v>
      </c>
      <c r="G726" s="10">
        <v>1</v>
      </c>
      <c r="H726" s="10">
        <v>0</v>
      </c>
      <c r="I726" s="10">
        <v>0</v>
      </c>
      <c r="J726" s="10">
        <v>0</v>
      </c>
      <c r="K726" s="10">
        <v>0</v>
      </c>
      <c r="L726" s="9">
        <v>1</v>
      </c>
      <c r="M726" s="9">
        <f t="shared" si="97"/>
        <v>17</v>
      </c>
      <c r="N726" s="10">
        <v>1</v>
      </c>
      <c r="O726" s="10">
        <v>0</v>
      </c>
      <c r="P726" s="10">
        <v>0</v>
      </c>
      <c r="Q726" s="10">
        <v>0</v>
      </c>
      <c r="R726" s="10">
        <v>1</v>
      </c>
      <c r="S726" s="10">
        <v>0</v>
      </c>
      <c r="T726" s="9">
        <v>1</v>
      </c>
      <c r="U726" s="9">
        <v>1</v>
      </c>
      <c r="V726" s="9">
        <v>1</v>
      </c>
      <c r="W726" s="9">
        <v>1</v>
      </c>
      <c r="X726" s="9">
        <v>0</v>
      </c>
      <c r="Y726" s="9">
        <v>0</v>
      </c>
      <c r="Z726" s="11" t="str">
        <f t="shared" si="98"/>
        <v>物攻上限提升6%并额外增加80点</v>
      </c>
      <c r="AA726" s="57">
        <v>6</v>
      </c>
      <c r="AB726" s="57">
        <v>80</v>
      </c>
    </row>
    <row r="727" spans="1:28" s="9" customFormat="1" ht="14.25" x14ac:dyDescent="0.15">
      <c r="A727" s="23">
        <v>10649</v>
      </c>
      <c r="B727" s="23" t="s">
        <v>1506</v>
      </c>
      <c r="C727" s="9">
        <f t="shared" si="96"/>
        <v>1</v>
      </c>
      <c r="D727" s="9">
        <v>1</v>
      </c>
      <c r="F727" s="12">
        <v>0</v>
      </c>
      <c r="G727" s="10">
        <v>1</v>
      </c>
      <c r="H727" s="10">
        <v>0</v>
      </c>
      <c r="I727" s="10">
        <v>0</v>
      </c>
      <c r="J727" s="10">
        <v>0</v>
      </c>
      <c r="K727" s="10">
        <v>0</v>
      </c>
      <c r="L727" s="9">
        <v>1</v>
      </c>
      <c r="M727" s="9">
        <f t="shared" si="97"/>
        <v>17</v>
      </c>
      <c r="N727" s="10">
        <v>1</v>
      </c>
      <c r="O727" s="10">
        <v>0</v>
      </c>
      <c r="P727" s="10">
        <v>0</v>
      </c>
      <c r="Q727" s="10">
        <v>0</v>
      </c>
      <c r="R727" s="10">
        <v>1</v>
      </c>
      <c r="S727" s="10">
        <v>0</v>
      </c>
      <c r="T727" s="9">
        <v>1</v>
      </c>
      <c r="U727" s="9">
        <v>1</v>
      </c>
      <c r="V727" s="9">
        <v>1</v>
      </c>
      <c r="W727" s="9">
        <v>1</v>
      </c>
      <c r="X727" s="9">
        <v>0</v>
      </c>
      <c r="Y727" s="9">
        <v>0</v>
      </c>
      <c r="Z727" s="11" t="str">
        <f t="shared" si="98"/>
        <v>物攻上限提升6.5%并额外增加90点</v>
      </c>
      <c r="AA727" s="57">
        <v>6.5</v>
      </c>
      <c r="AB727" s="57">
        <v>90</v>
      </c>
    </row>
    <row r="728" spans="1:28" s="9" customFormat="1" ht="14.25" x14ac:dyDescent="0.15">
      <c r="A728" s="23">
        <v>10650</v>
      </c>
      <c r="B728" s="23" t="s">
        <v>1507</v>
      </c>
      <c r="C728" s="9">
        <f t="shared" si="96"/>
        <v>1</v>
      </c>
      <c r="D728" s="9">
        <v>1</v>
      </c>
      <c r="F728" s="12">
        <v>0</v>
      </c>
      <c r="G728" s="10">
        <v>1</v>
      </c>
      <c r="H728" s="10">
        <v>0</v>
      </c>
      <c r="I728" s="10">
        <v>0</v>
      </c>
      <c r="J728" s="10">
        <v>0</v>
      </c>
      <c r="K728" s="10">
        <v>0</v>
      </c>
      <c r="L728" s="9">
        <v>1</v>
      </c>
      <c r="M728" s="9">
        <f t="shared" si="97"/>
        <v>17</v>
      </c>
      <c r="N728" s="10">
        <v>1</v>
      </c>
      <c r="O728" s="10">
        <v>0</v>
      </c>
      <c r="P728" s="10">
        <v>0</v>
      </c>
      <c r="Q728" s="10">
        <v>0</v>
      </c>
      <c r="R728" s="10">
        <v>1</v>
      </c>
      <c r="S728" s="10">
        <v>0</v>
      </c>
      <c r="T728" s="9">
        <v>1</v>
      </c>
      <c r="U728" s="9">
        <v>1</v>
      </c>
      <c r="V728" s="9">
        <v>1</v>
      </c>
      <c r="W728" s="9">
        <v>1</v>
      </c>
      <c r="X728" s="9">
        <v>0</v>
      </c>
      <c r="Y728" s="9">
        <v>0</v>
      </c>
      <c r="Z728" s="11" t="str">
        <f t="shared" si="98"/>
        <v>物攻上限提升7%并额外增加100点</v>
      </c>
      <c r="AA728" s="57">
        <v>7</v>
      </c>
      <c r="AB728" s="57">
        <v>100</v>
      </c>
    </row>
    <row r="729" spans="1:28" s="9" customFormat="1" ht="14.25" x14ac:dyDescent="0.15">
      <c r="A729" s="23">
        <v>10651</v>
      </c>
      <c r="B729" s="23" t="s">
        <v>1508</v>
      </c>
      <c r="C729" s="9">
        <f t="shared" si="96"/>
        <v>1</v>
      </c>
      <c r="D729" s="9">
        <v>1</v>
      </c>
      <c r="F729" s="12">
        <v>0</v>
      </c>
      <c r="G729" s="10">
        <v>1</v>
      </c>
      <c r="H729" s="10">
        <v>0</v>
      </c>
      <c r="I729" s="10">
        <v>0</v>
      </c>
      <c r="J729" s="10">
        <v>0</v>
      </c>
      <c r="K729" s="10">
        <v>0</v>
      </c>
      <c r="L729" s="9">
        <v>1</v>
      </c>
      <c r="M729" s="9">
        <f t="shared" si="97"/>
        <v>17</v>
      </c>
      <c r="N729" s="10">
        <v>1</v>
      </c>
      <c r="O729" s="10">
        <v>0</v>
      </c>
      <c r="P729" s="10">
        <v>0</v>
      </c>
      <c r="Q729" s="10">
        <v>0</v>
      </c>
      <c r="R729" s="10">
        <v>1</v>
      </c>
      <c r="S729" s="10">
        <v>0</v>
      </c>
      <c r="T729" s="9">
        <v>1</v>
      </c>
      <c r="U729" s="9">
        <v>1</v>
      </c>
      <c r="V729" s="9">
        <v>1</v>
      </c>
      <c r="W729" s="9">
        <v>1</v>
      </c>
      <c r="X729" s="9">
        <v>0</v>
      </c>
      <c r="Y729" s="9">
        <v>0</v>
      </c>
      <c r="Z729" s="11" t="str">
        <f t="shared" si="98"/>
        <v>物攻上限提升8%并额外增加110点</v>
      </c>
      <c r="AA729" s="57">
        <v>8</v>
      </c>
      <c r="AB729" s="57">
        <v>110</v>
      </c>
    </row>
    <row r="730" spans="1:28" s="9" customFormat="1" ht="14.25" x14ac:dyDescent="0.15">
      <c r="A730" s="23">
        <v>10652</v>
      </c>
      <c r="B730" s="23" t="s">
        <v>1509</v>
      </c>
      <c r="C730" s="9">
        <f t="shared" si="96"/>
        <v>1</v>
      </c>
      <c r="D730" s="9">
        <v>1</v>
      </c>
      <c r="F730" s="12">
        <v>0</v>
      </c>
      <c r="G730" s="10">
        <v>1</v>
      </c>
      <c r="H730" s="10">
        <v>0</v>
      </c>
      <c r="I730" s="10">
        <v>0</v>
      </c>
      <c r="J730" s="10">
        <v>0</v>
      </c>
      <c r="K730" s="10">
        <v>0</v>
      </c>
      <c r="L730" s="9">
        <v>1</v>
      </c>
      <c r="M730" s="9">
        <f t="shared" si="97"/>
        <v>17</v>
      </c>
      <c r="N730" s="10">
        <v>1</v>
      </c>
      <c r="O730" s="10">
        <v>0</v>
      </c>
      <c r="P730" s="10">
        <v>0</v>
      </c>
      <c r="Q730" s="10">
        <v>0</v>
      </c>
      <c r="R730" s="10">
        <v>1</v>
      </c>
      <c r="S730" s="10">
        <v>0</v>
      </c>
      <c r="T730" s="9">
        <v>1</v>
      </c>
      <c r="U730" s="9">
        <v>1</v>
      </c>
      <c r="V730" s="9">
        <v>1</v>
      </c>
      <c r="W730" s="9">
        <v>1</v>
      </c>
      <c r="X730" s="9">
        <v>0</v>
      </c>
      <c r="Y730" s="9">
        <v>0</v>
      </c>
      <c r="Z730" s="11" t="str">
        <f t="shared" si="98"/>
        <v>物攻上限提升9%并额外增加120点</v>
      </c>
      <c r="AA730" s="57">
        <v>9</v>
      </c>
      <c r="AB730" s="57">
        <v>120</v>
      </c>
    </row>
    <row r="731" spans="1:28" s="9" customFormat="1" ht="14.25" x14ac:dyDescent="0.15">
      <c r="A731" s="23">
        <v>10653</v>
      </c>
      <c r="B731" s="23" t="s">
        <v>1510</v>
      </c>
      <c r="C731" s="9">
        <f t="shared" si="96"/>
        <v>1</v>
      </c>
      <c r="D731" s="9">
        <v>1</v>
      </c>
      <c r="F731" s="12">
        <v>0</v>
      </c>
      <c r="G731" s="10">
        <v>1</v>
      </c>
      <c r="H731" s="10">
        <v>0</v>
      </c>
      <c r="I731" s="10">
        <v>0</v>
      </c>
      <c r="J731" s="10">
        <v>0</v>
      </c>
      <c r="K731" s="10">
        <v>0</v>
      </c>
      <c r="L731" s="9">
        <v>1</v>
      </c>
      <c r="M731" s="9">
        <f t="shared" si="97"/>
        <v>17</v>
      </c>
      <c r="N731" s="10">
        <v>1</v>
      </c>
      <c r="O731" s="10">
        <v>0</v>
      </c>
      <c r="P731" s="10">
        <v>0</v>
      </c>
      <c r="Q731" s="10">
        <v>0</v>
      </c>
      <c r="R731" s="10">
        <v>1</v>
      </c>
      <c r="S731" s="10">
        <v>0</v>
      </c>
      <c r="T731" s="9">
        <v>1</v>
      </c>
      <c r="U731" s="9">
        <v>1</v>
      </c>
      <c r="V731" s="9">
        <v>1</v>
      </c>
      <c r="W731" s="9">
        <v>1</v>
      </c>
      <c r="X731" s="9">
        <v>0</v>
      </c>
      <c r="Y731" s="9">
        <v>0</v>
      </c>
      <c r="Z731" s="11" t="str">
        <f t="shared" si="98"/>
        <v>物攻上限提升10%并额外增加130点</v>
      </c>
      <c r="AA731" s="57">
        <v>10</v>
      </c>
      <c r="AB731" s="57">
        <v>130</v>
      </c>
    </row>
    <row r="732" spans="1:28" s="9" customFormat="1" ht="14.25" x14ac:dyDescent="0.15">
      <c r="A732" s="23">
        <v>10654</v>
      </c>
      <c r="B732" s="23" t="s">
        <v>1511</v>
      </c>
      <c r="C732" s="9">
        <f t="shared" si="96"/>
        <v>1</v>
      </c>
      <c r="D732" s="9">
        <v>1</v>
      </c>
      <c r="F732" s="12">
        <v>0</v>
      </c>
      <c r="G732" s="10">
        <v>1</v>
      </c>
      <c r="H732" s="10">
        <v>0</v>
      </c>
      <c r="I732" s="10">
        <v>0</v>
      </c>
      <c r="J732" s="10">
        <v>0</v>
      </c>
      <c r="K732" s="10">
        <v>0</v>
      </c>
      <c r="L732" s="9">
        <v>1</v>
      </c>
      <c r="M732" s="9">
        <f t="shared" si="97"/>
        <v>17</v>
      </c>
      <c r="N732" s="10">
        <v>1</v>
      </c>
      <c r="O732" s="10">
        <v>0</v>
      </c>
      <c r="P732" s="10">
        <v>0</v>
      </c>
      <c r="Q732" s="10">
        <v>0</v>
      </c>
      <c r="R732" s="10">
        <v>1</v>
      </c>
      <c r="S732" s="10">
        <v>0</v>
      </c>
      <c r="T732" s="9">
        <v>1</v>
      </c>
      <c r="U732" s="9">
        <v>1</v>
      </c>
      <c r="V732" s="9">
        <v>1</v>
      </c>
      <c r="W732" s="9">
        <v>1</v>
      </c>
      <c r="X732" s="9">
        <v>0</v>
      </c>
      <c r="Y732" s="9">
        <v>0</v>
      </c>
      <c r="Z732" s="11" t="str">
        <f t="shared" si="98"/>
        <v>物攻上限提升11%并额外增加140点</v>
      </c>
      <c r="AA732" s="57">
        <v>11</v>
      </c>
      <c r="AB732" s="57">
        <v>140</v>
      </c>
    </row>
    <row r="733" spans="1:28" s="9" customFormat="1" ht="14.25" x14ac:dyDescent="0.15">
      <c r="A733" s="23">
        <v>10655</v>
      </c>
      <c r="B733" s="23" t="s">
        <v>1512</v>
      </c>
      <c r="C733" s="9">
        <f t="shared" si="96"/>
        <v>1</v>
      </c>
      <c r="D733" s="9">
        <v>1</v>
      </c>
      <c r="F733" s="12">
        <v>0</v>
      </c>
      <c r="G733" s="10">
        <v>1</v>
      </c>
      <c r="H733" s="10">
        <v>0</v>
      </c>
      <c r="I733" s="10">
        <v>0</v>
      </c>
      <c r="J733" s="10">
        <v>0</v>
      </c>
      <c r="K733" s="10">
        <v>0</v>
      </c>
      <c r="L733" s="9">
        <v>1</v>
      </c>
      <c r="M733" s="9">
        <f t="shared" si="97"/>
        <v>17</v>
      </c>
      <c r="N733" s="10">
        <v>1</v>
      </c>
      <c r="O733" s="10">
        <v>0</v>
      </c>
      <c r="P733" s="10">
        <v>0</v>
      </c>
      <c r="Q733" s="10">
        <v>0</v>
      </c>
      <c r="R733" s="10">
        <v>1</v>
      </c>
      <c r="S733" s="10">
        <v>0</v>
      </c>
      <c r="T733" s="9">
        <v>1</v>
      </c>
      <c r="U733" s="9">
        <v>1</v>
      </c>
      <c r="V733" s="9">
        <v>1</v>
      </c>
      <c r="W733" s="9">
        <v>1</v>
      </c>
      <c r="X733" s="9">
        <v>0</v>
      </c>
      <c r="Y733" s="9">
        <v>0</v>
      </c>
      <c r="Z733" s="11" t="str">
        <f t="shared" si="98"/>
        <v>物攻上限提升12%并额外增加150点</v>
      </c>
      <c r="AA733" s="57">
        <v>12</v>
      </c>
      <c r="AB733" s="57">
        <v>150</v>
      </c>
    </row>
    <row r="734" spans="1:28" s="9" customFormat="1" ht="12" x14ac:dyDescent="0.15">
      <c r="A734" s="23">
        <v>10656</v>
      </c>
      <c r="B734" s="23" t="s">
        <v>1513</v>
      </c>
      <c r="C734" s="9">
        <f>G734+H734*2+I734*4+J734*8+K734*16</f>
        <v>1</v>
      </c>
      <c r="D734" s="9">
        <v>1</v>
      </c>
      <c r="F734" s="12">
        <v>0</v>
      </c>
      <c r="G734" s="10">
        <v>1</v>
      </c>
      <c r="H734" s="10">
        <v>0</v>
      </c>
      <c r="I734" s="10">
        <v>0</v>
      </c>
      <c r="J734" s="10">
        <v>0</v>
      </c>
      <c r="K734" s="10">
        <v>0</v>
      </c>
      <c r="L734" s="9">
        <v>1</v>
      </c>
      <c r="M734" s="9">
        <f>N734+O734*2+P734*4+Q734*8+R734*16+S734*32</f>
        <v>17</v>
      </c>
      <c r="N734" s="10">
        <v>1</v>
      </c>
      <c r="O734" s="10">
        <v>0</v>
      </c>
      <c r="P734" s="10">
        <v>0</v>
      </c>
      <c r="Q734" s="10">
        <v>0</v>
      </c>
      <c r="R734" s="10">
        <v>1</v>
      </c>
      <c r="S734" s="10">
        <v>0</v>
      </c>
      <c r="T734" s="9">
        <v>1</v>
      </c>
      <c r="U734" s="9">
        <v>1</v>
      </c>
      <c r="V734" s="9">
        <v>1</v>
      </c>
      <c r="W734" s="9">
        <v>1</v>
      </c>
      <c r="X734" s="9">
        <v>0</v>
      </c>
      <c r="Y734" s="9">
        <v>0</v>
      </c>
      <c r="Z734" s="11" t="s">
        <v>1514</v>
      </c>
    </row>
    <row r="735" spans="1:28" s="9" customFormat="1" ht="14.25" x14ac:dyDescent="0.15">
      <c r="A735" s="23">
        <v>10670</v>
      </c>
      <c r="B735" s="23" t="s">
        <v>1533</v>
      </c>
      <c r="C735" s="9">
        <f t="shared" ref="C735:C749" si="99">G735+H735*2+I735*4+J735*8+K735*16</f>
        <v>1</v>
      </c>
      <c r="D735" s="9">
        <v>1</v>
      </c>
      <c r="F735" s="12">
        <v>0</v>
      </c>
      <c r="G735" s="10">
        <v>1</v>
      </c>
      <c r="H735" s="10">
        <v>0</v>
      </c>
      <c r="I735" s="10">
        <v>0</v>
      </c>
      <c r="J735" s="10">
        <v>0</v>
      </c>
      <c r="K735" s="10">
        <v>0</v>
      </c>
      <c r="L735" s="9">
        <v>1</v>
      </c>
      <c r="M735" s="9">
        <f t="shared" ref="M735:M749" si="100">N735+O735*2+P735*4+Q735*8+R735*16+S735*32</f>
        <v>17</v>
      </c>
      <c r="N735" s="10">
        <v>1</v>
      </c>
      <c r="O735" s="10">
        <v>0</v>
      </c>
      <c r="P735" s="10">
        <v>0</v>
      </c>
      <c r="Q735" s="10">
        <v>0</v>
      </c>
      <c r="R735" s="10">
        <v>1</v>
      </c>
      <c r="S735" s="10">
        <v>0</v>
      </c>
      <c r="T735" s="9">
        <v>1</v>
      </c>
      <c r="U735" s="9">
        <v>1</v>
      </c>
      <c r="V735" s="9">
        <v>1</v>
      </c>
      <c r="W735" s="9">
        <v>1</v>
      </c>
      <c r="X735" s="9">
        <v>0</v>
      </c>
      <c r="Y735" s="9">
        <v>0</v>
      </c>
      <c r="Z735" s="11" t="str">
        <f>"物、法防御提升"&amp;AA735&amp;"%并额外增加"&amp;AB735&amp;"点"</f>
        <v>物、法防御提升2%并额外增加10点</v>
      </c>
      <c r="AA735" s="58">
        <v>2</v>
      </c>
      <c r="AB735" s="58">
        <v>10</v>
      </c>
    </row>
    <row r="736" spans="1:28" s="9" customFormat="1" ht="14.25" x14ac:dyDescent="0.15">
      <c r="A736" s="23">
        <v>10671</v>
      </c>
      <c r="B736" s="23" t="s">
        <v>1534</v>
      </c>
      <c r="C736" s="9">
        <f t="shared" si="99"/>
        <v>1</v>
      </c>
      <c r="D736" s="9">
        <v>1</v>
      </c>
      <c r="F736" s="12">
        <v>0</v>
      </c>
      <c r="G736" s="10">
        <v>1</v>
      </c>
      <c r="H736" s="10">
        <v>0</v>
      </c>
      <c r="I736" s="10">
        <v>0</v>
      </c>
      <c r="J736" s="10">
        <v>0</v>
      </c>
      <c r="K736" s="10">
        <v>0</v>
      </c>
      <c r="L736" s="9">
        <v>1</v>
      </c>
      <c r="M736" s="9">
        <f t="shared" si="100"/>
        <v>17</v>
      </c>
      <c r="N736" s="10">
        <v>1</v>
      </c>
      <c r="O736" s="10">
        <v>0</v>
      </c>
      <c r="P736" s="10">
        <v>0</v>
      </c>
      <c r="Q736" s="10">
        <v>0</v>
      </c>
      <c r="R736" s="10">
        <v>1</v>
      </c>
      <c r="S736" s="10">
        <v>0</v>
      </c>
      <c r="T736" s="9">
        <v>1</v>
      </c>
      <c r="U736" s="9">
        <v>1</v>
      </c>
      <c r="V736" s="9">
        <v>1</v>
      </c>
      <c r="W736" s="9">
        <v>1</v>
      </c>
      <c r="X736" s="9">
        <v>0</v>
      </c>
      <c r="Y736" s="9">
        <v>0</v>
      </c>
      <c r="Z736" s="11" t="str">
        <f t="shared" ref="Z736:Z749" si="101">"物、法防御提升"&amp;AA736&amp;"%并额外增加"&amp;AB736&amp;"点"</f>
        <v>物、法防御提升3%并额外增加20点</v>
      </c>
      <c r="AA736" s="58">
        <v>3</v>
      </c>
      <c r="AB736" s="58">
        <v>20</v>
      </c>
    </row>
    <row r="737" spans="1:28" s="9" customFormat="1" ht="14.25" x14ac:dyDescent="0.15">
      <c r="A737" s="23">
        <v>10672</v>
      </c>
      <c r="B737" s="23" t="s">
        <v>1535</v>
      </c>
      <c r="C737" s="9">
        <f t="shared" si="99"/>
        <v>1</v>
      </c>
      <c r="D737" s="9">
        <v>1</v>
      </c>
      <c r="F737" s="12">
        <v>0</v>
      </c>
      <c r="G737" s="10">
        <v>1</v>
      </c>
      <c r="H737" s="10">
        <v>0</v>
      </c>
      <c r="I737" s="10">
        <v>0</v>
      </c>
      <c r="J737" s="10">
        <v>0</v>
      </c>
      <c r="K737" s="10">
        <v>0</v>
      </c>
      <c r="L737" s="9">
        <v>1</v>
      </c>
      <c r="M737" s="9">
        <f t="shared" si="100"/>
        <v>17</v>
      </c>
      <c r="N737" s="10">
        <v>1</v>
      </c>
      <c r="O737" s="10">
        <v>0</v>
      </c>
      <c r="P737" s="10">
        <v>0</v>
      </c>
      <c r="Q737" s="10">
        <v>0</v>
      </c>
      <c r="R737" s="10">
        <v>1</v>
      </c>
      <c r="S737" s="10">
        <v>0</v>
      </c>
      <c r="T737" s="9">
        <v>1</v>
      </c>
      <c r="U737" s="9">
        <v>1</v>
      </c>
      <c r="V737" s="9">
        <v>1</v>
      </c>
      <c r="W737" s="9">
        <v>1</v>
      </c>
      <c r="X737" s="9">
        <v>0</v>
      </c>
      <c r="Y737" s="9">
        <v>0</v>
      </c>
      <c r="Z737" s="11" t="str">
        <f t="shared" si="101"/>
        <v>物、法防御提升4%并额外增加30点</v>
      </c>
      <c r="AA737" s="58">
        <v>4</v>
      </c>
      <c r="AB737" s="58">
        <v>30</v>
      </c>
    </row>
    <row r="738" spans="1:28" s="9" customFormat="1" ht="14.25" x14ac:dyDescent="0.15">
      <c r="A738" s="23">
        <v>10673</v>
      </c>
      <c r="B738" s="23" t="s">
        <v>1536</v>
      </c>
      <c r="C738" s="9">
        <f t="shared" si="99"/>
        <v>1</v>
      </c>
      <c r="D738" s="9">
        <v>1</v>
      </c>
      <c r="F738" s="12">
        <v>0</v>
      </c>
      <c r="G738" s="10">
        <v>1</v>
      </c>
      <c r="H738" s="10">
        <v>0</v>
      </c>
      <c r="I738" s="10">
        <v>0</v>
      </c>
      <c r="J738" s="10">
        <v>0</v>
      </c>
      <c r="K738" s="10">
        <v>0</v>
      </c>
      <c r="L738" s="9">
        <v>1</v>
      </c>
      <c r="M738" s="9">
        <f t="shared" si="100"/>
        <v>17</v>
      </c>
      <c r="N738" s="10">
        <v>1</v>
      </c>
      <c r="O738" s="10">
        <v>0</v>
      </c>
      <c r="P738" s="10">
        <v>0</v>
      </c>
      <c r="Q738" s="10">
        <v>0</v>
      </c>
      <c r="R738" s="10">
        <v>1</v>
      </c>
      <c r="S738" s="10">
        <v>0</v>
      </c>
      <c r="T738" s="9">
        <v>1</v>
      </c>
      <c r="U738" s="9">
        <v>1</v>
      </c>
      <c r="V738" s="9">
        <v>1</v>
      </c>
      <c r="W738" s="9">
        <v>1</v>
      </c>
      <c r="X738" s="9">
        <v>0</v>
      </c>
      <c r="Y738" s="9">
        <v>0</v>
      </c>
      <c r="Z738" s="11" t="str">
        <f t="shared" si="101"/>
        <v>物、法防御提升5%并额外增加40点</v>
      </c>
      <c r="AA738" s="58">
        <v>5</v>
      </c>
      <c r="AB738" s="58">
        <v>40</v>
      </c>
    </row>
    <row r="739" spans="1:28" s="9" customFormat="1" ht="14.25" x14ac:dyDescent="0.15">
      <c r="A739" s="23">
        <v>10674</v>
      </c>
      <c r="B739" s="23" t="s">
        <v>1537</v>
      </c>
      <c r="C739" s="9">
        <f t="shared" si="99"/>
        <v>1</v>
      </c>
      <c r="D739" s="9">
        <v>1</v>
      </c>
      <c r="F739" s="12">
        <v>0</v>
      </c>
      <c r="G739" s="10">
        <v>1</v>
      </c>
      <c r="H739" s="10">
        <v>0</v>
      </c>
      <c r="I739" s="10">
        <v>0</v>
      </c>
      <c r="J739" s="10">
        <v>0</v>
      </c>
      <c r="K739" s="10">
        <v>0</v>
      </c>
      <c r="L739" s="9">
        <v>1</v>
      </c>
      <c r="M739" s="9">
        <f t="shared" si="100"/>
        <v>17</v>
      </c>
      <c r="N739" s="10">
        <v>1</v>
      </c>
      <c r="O739" s="10">
        <v>0</v>
      </c>
      <c r="P739" s="10">
        <v>0</v>
      </c>
      <c r="Q739" s="10">
        <v>0</v>
      </c>
      <c r="R739" s="10">
        <v>1</v>
      </c>
      <c r="S739" s="10">
        <v>0</v>
      </c>
      <c r="T739" s="9">
        <v>1</v>
      </c>
      <c r="U739" s="9">
        <v>1</v>
      </c>
      <c r="V739" s="9">
        <v>1</v>
      </c>
      <c r="W739" s="9">
        <v>1</v>
      </c>
      <c r="X739" s="9">
        <v>0</v>
      </c>
      <c r="Y739" s="9">
        <v>0</v>
      </c>
      <c r="Z739" s="11" t="str">
        <f t="shared" si="101"/>
        <v>物、法防御提升6%并额外增加50点</v>
      </c>
      <c r="AA739" s="58">
        <v>6</v>
      </c>
      <c r="AB739" s="58">
        <v>50</v>
      </c>
    </row>
    <row r="740" spans="1:28" s="9" customFormat="1" ht="14.25" x14ac:dyDescent="0.15">
      <c r="A740" s="23">
        <v>10675</v>
      </c>
      <c r="B740" s="23" t="s">
        <v>1538</v>
      </c>
      <c r="C740" s="9">
        <f t="shared" si="99"/>
        <v>1</v>
      </c>
      <c r="D740" s="9">
        <v>1</v>
      </c>
      <c r="F740" s="12">
        <v>0</v>
      </c>
      <c r="G740" s="10">
        <v>1</v>
      </c>
      <c r="H740" s="10">
        <v>0</v>
      </c>
      <c r="I740" s="10">
        <v>0</v>
      </c>
      <c r="J740" s="10">
        <v>0</v>
      </c>
      <c r="K740" s="10">
        <v>0</v>
      </c>
      <c r="L740" s="9">
        <v>1</v>
      </c>
      <c r="M740" s="9">
        <f t="shared" si="100"/>
        <v>17</v>
      </c>
      <c r="N740" s="10">
        <v>1</v>
      </c>
      <c r="O740" s="10">
        <v>0</v>
      </c>
      <c r="P740" s="10">
        <v>0</v>
      </c>
      <c r="Q740" s="10">
        <v>0</v>
      </c>
      <c r="R740" s="10">
        <v>1</v>
      </c>
      <c r="S740" s="10">
        <v>0</v>
      </c>
      <c r="T740" s="9">
        <v>1</v>
      </c>
      <c r="U740" s="9">
        <v>1</v>
      </c>
      <c r="V740" s="9">
        <v>1</v>
      </c>
      <c r="W740" s="9">
        <v>1</v>
      </c>
      <c r="X740" s="9">
        <v>0</v>
      </c>
      <c r="Y740" s="9">
        <v>0</v>
      </c>
      <c r="Z740" s="11" t="str">
        <f t="shared" si="101"/>
        <v>物、法防御提升8%并额外增加60点</v>
      </c>
      <c r="AA740" s="58">
        <v>8</v>
      </c>
      <c r="AB740" s="58">
        <v>60</v>
      </c>
    </row>
    <row r="741" spans="1:28" s="9" customFormat="1" ht="14.25" x14ac:dyDescent="0.15">
      <c r="A741" s="23">
        <v>10676</v>
      </c>
      <c r="B741" s="23" t="s">
        <v>1539</v>
      </c>
      <c r="C741" s="9">
        <f t="shared" si="99"/>
        <v>1</v>
      </c>
      <c r="D741" s="9">
        <v>1</v>
      </c>
      <c r="F741" s="12">
        <v>0</v>
      </c>
      <c r="G741" s="10">
        <v>1</v>
      </c>
      <c r="H741" s="10">
        <v>0</v>
      </c>
      <c r="I741" s="10">
        <v>0</v>
      </c>
      <c r="J741" s="10">
        <v>0</v>
      </c>
      <c r="K741" s="10">
        <v>0</v>
      </c>
      <c r="L741" s="9">
        <v>1</v>
      </c>
      <c r="M741" s="9">
        <f t="shared" si="100"/>
        <v>17</v>
      </c>
      <c r="N741" s="10">
        <v>1</v>
      </c>
      <c r="O741" s="10">
        <v>0</v>
      </c>
      <c r="P741" s="10">
        <v>0</v>
      </c>
      <c r="Q741" s="10">
        <v>0</v>
      </c>
      <c r="R741" s="10">
        <v>1</v>
      </c>
      <c r="S741" s="10">
        <v>0</v>
      </c>
      <c r="T741" s="9">
        <v>1</v>
      </c>
      <c r="U741" s="9">
        <v>1</v>
      </c>
      <c r="V741" s="9">
        <v>1</v>
      </c>
      <c r="W741" s="9">
        <v>1</v>
      </c>
      <c r="X741" s="9">
        <v>0</v>
      </c>
      <c r="Y741" s="9">
        <v>0</v>
      </c>
      <c r="Z741" s="11" t="str">
        <f t="shared" si="101"/>
        <v>物、法防御提升9%并额外增加70点</v>
      </c>
      <c r="AA741" s="58">
        <v>9</v>
      </c>
      <c r="AB741" s="58">
        <v>70</v>
      </c>
    </row>
    <row r="742" spans="1:28" s="9" customFormat="1" ht="14.25" x14ac:dyDescent="0.15">
      <c r="A742" s="23">
        <v>10677</v>
      </c>
      <c r="B742" s="23" t="s">
        <v>1540</v>
      </c>
      <c r="C742" s="9">
        <f t="shared" si="99"/>
        <v>1</v>
      </c>
      <c r="D742" s="9">
        <v>1</v>
      </c>
      <c r="F742" s="12">
        <v>0</v>
      </c>
      <c r="G742" s="10">
        <v>1</v>
      </c>
      <c r="H742" s="10">
        <v>0</v>
      </c>
      <c r="I742" s="10">
        <v>0</v>
      </c>
      <c r="J742" s="10">
        <v>0</v>
      </c>
      <c r="K742" s="10">
        <v>0</v>
      </c>
      <c r="L742" s="9">
        <v>1</v>
      </c>
      <c r="M742" s="9">
        <f t="shared" si="100"/>
        <v>17</v>
      </c>
      <c r="N742" s="10">
        <v>1</v>
      </c>
      <c r="O742" s="10">
        <v>0</v>
      </c>
      <c r="P742" s="10">
        <v>0</v>
      </c>
      <c r="Q742" s="10">
        <v>0</v>
      </c>
      <c r="R742" s="10">
        <v>1</v>
      </c>
      <c r="S742" s="10">
        <v>0</v>
      </c>
      <c r="T742" s="9">
        <v>1</v>
      </c>
      <c r="U742" s="9">
        <v>1</v>
      </c>
      <c r="V742" s="9">
        <v>1</v>
      </c>
      <c r="W742" s="9">
        <v>1</v>
      </c>
      <c r="X742" s="9">
        <v>0</v>
      </c>
      <c r="Y742" s="9">
        <v>0</v>
      </c>
      <c r="Z742" s="11" t="str">
        <f t="shared" si="101"/>
        <v>物、法防御提升10%并额外增加80点</v>
      </c>
      <c r="AA742" s="58">
        <v>10</v>
      </c>
      <c r="AB742" s="58">
        <v>80</v>
      </c>
    </row>
    <row r="743" spans="1:28" s="9" customFormat="1" ht="14.25" x14ac:dyDescent="0.15">
      <c r="A743" s="23">
        <v>10678</v>
      </c>
      <c r="B743" s="23" t="s">
        <v>1541</v>
      </c>
      <c r="C743" s="9">
        <f t="shared" si="99"/>
        <v>1</v>
      </c>
      <c r="D743" s="9">
        <v>1</v>
      </c>
      <c r="F743" s="12">
        <v>0</v>
      </c>
      <c r="G743" s="10">
        <v>1</v>
      </c>
      <c r="H743" s="10">
        <v>0</v>
      </c>
      <c r="I743" s="10">
        <v>0</v>
      </c>
      <c r="J743" s="10">
        <v>0</v>
      </c>
      <c r="K743" s="10">
        <v>0</v>
      </c>
      <c r="L743" s="9">
        <v>1</v>
      </c>
      <c r="M743" s="9">
        <f t="shared" si="100"/>
        <v>17</v>
      </c>
      <c r="N743" s="10">
        <v>1</v>
      </c>
      <c r="O743" s="10">
        <v>0</v>
      </c>
      <c r="P743" s="10">
        <v>0</v>
      </c>
      <c r="Q743" s="10">
        <v>0</v>
      </c>
      <c r="R743" s="10">
        <v>1</v>
      </c>
      <c r="S743" s="10">
        <v>0</v>
      </c>
      <c r="T743" s="9">
        <v>1</v>
      </c>
      <c r="U743" s="9">
        <v>1</v>
      </c>
      <c r="V743" s="9">
        <v>1</v>
      </c>
      <c r="W743" s="9">
        <v>1</v>
      </c>
      <c r="X743" s="9">
        <v>0</v>
      </c>
      <c r="Y743" s="9">
        <v>0</v>
      </c>
      <c r="Z743" s="11" t="str">
        <f t="shared" si="101"/>
        <v>物、法防御提升11%并额外增加90点</v>
      </c>
      <c r="AA743" s="58">
        <v>11</v>
      </c>
      <c r="AB743" s="58">
        <v>90</v>
      </c>
    </row>
    <row r="744" spans="1:28" s="9" customFormat="1" ht="14.25" x14ac:dyDescent="0.15">
      <c r="A744" s="23">
        <v>10679</v>
      </c>
      <c r="B744" s="23" t="s">
        <v>1542</v>
      </c>
      <c r="C744" s="9">
        <f t="shared" si="99"/>
        <v>1</v>
      </c>
      <c r="D744" s="9">
        <v>1</v>
      </c>
      <c r="F744" s="12">
        <v>0</v>
      </c>
      <c r="G744" s="10">
        <v>1</v>
      </c>
      <c r="H744" s="10">
        <v>0</v>
      </c>
      <c r="I744" s="10">
        <v>0</v>
      </c>
      <c r="J744" s="10">
        <v>0</v>
      </c>
      <c r="K744" s="10">
        <v>0</v>
      </c>
      <c r="L744" s="9">
        <v>1</v>
      </c>
      <c r="M744" s="9">
        <f t="shared" si="100"/>
        <v>17</v>
      </c>
      <c r="N744" s="10">
        <v>1</v>
      </c>
      <c r="O744" s="10">
        <v>0</v>
      </c>
      <c r="P744" s="10">
        <v>0</v>
      </c>
      <c r="Q744" s="10">
        <v>0</v>
      </c>
      <c r="R744" s="10">
        <v>1</v>
      </c>
      <c r="S744" s="10">
        <v>0</v>
      </c>
      <c r="T744" s="9">
        <v>1</v>
      </c>
      <c r="U744" s="9">
        <v>1</v>
      </c>
      <c r="V744" s="9">
        <v>1</v>
      </c>
      <c r="W744" s="9">
        <v>1</v>
      </c>
      <c r="X744" s="9">
        <v>0</v>
      </c>
      <c r="Y744" s="9">
        <v>0</v>
      </c>
      <c r="Z744" s="11" t="str">
        <f t="shared" si="101"/>
        <v>物、法防御提升12%并额外增加100点</v>
      </c>
      <c r="AA744" s="58">
        <v>12</v>
      </c>
      <c r="AB744" s="58">
        <v>100</v>
      </c>
    </row>
    <row r="745" spans="1:28" s="9" customFormat="1" ht="14.25" x14ac:dyDescent="0.15">
      <c r="A745" s="23">
        <v>10680</v>
      </c>
      <c r="B745" s="23" t="s">
        <v>1543</v>
      </c>
      <c r="C745" s="9">
        <f t="shared" si="99"/>
        <v>1</v>
      </c>
      <c r="D745" s="9">
        <v>1</v>
      </c>
      <c r="F745" s="12">
        <v>0</v>
      </c>
      <c r="G745" s="10">
        <v>1</v>
      </c>
      <c r="H745" s="10">
        <v>0</v>
      </c>
      <c r="I745" s="10">
        <v>0</v>
      </c>
      <c r="J745" s="10">
        <v>0</v>
      </c>
      <c r="K745" s="10">
        <v>0</v>
      </c>
      <c r="L745" s="9">
        <v>1</v>
      </c>
      <c r="M745" s="9">
        <f t="shared" si="100"/>
        <v>17</v>
      </c>
      <c r="N745" s="10">
        <v>1</v>
      </c>
      <c r="O745" s="10">
        <v>0</v>
      </c>
      <c r="P745" s="10">
        <v>0</v>
      </c>
      <c r="Q745" s="10">
        <v>0</v>
      </c>
      <c r="R745" s="10">
        <v>1</v>
      </c>
      <c r="S745" s="10">
        <v>0</v>
      </c>
      <c r="T745" s="9">
        <v>1</v>
      </c>
      <c r="U745" s="9">
        <v>1</v>
      </c>
      <c r="V745" s="9">
        <v>1</v>
      </c>
      <c r="W745" s="9">
        <v>1</v>
      </c>
      <c r="X745" s="9">
        <v>0</v>
      </c>
      <c r="Y745" s="9">
        <v>0</v>
      </c>
      <c r="Z745" s="11" t="str">
        <f t="shared" si="101"/>
        <v>物、法防御提升14%并额外增加110点</v>
      </c>
      <c r="AA745" s="58">
        <v>14</v>
      </c>
      <c r="AB745" s="58">
        <v>110</v>
      </c>
    </row>
    <row r="746" spans="1:28" s="9" customFormat="1" ht="14.25" x14ac:dyDescent="0.15">
      <c r="A746" s="23">
        <v>10681</v>
      </c>
      <c r="B746" s="23" t="s">
        <v>1544</v>
      </c>
      <c r="C746" s="9">
        <f t="shared" si="99"/>
        <v>1</v>
      </c>
      <c r="D746" s="9">
        <v>1</v>
      </c>
      <c r="F746" s="12">
        <v>0</v>
      </c>
      <c r="G746" s="10">
        <v>1</v>
      </c>
      <c r="H746" s="10">
        <v>0</v>
      </c>
      <c r="I746" s="10">
        <v>0</v>
      </c>
      <c r="J746" s="10">
        <v>0</v>
      </c>
      <c r="K746" s="10">
        <v>0</v>
      </c>
      <c r="L746" s="9">
        <v>1</v>
      </c>
      <c r="M746" s="9">
        <f t="shared" si="100"/>
        <v>17</v>
      </c>
      <c r="N746" s="10">
        <v>1</v>
      </c>
      <c r="O746" s="10">
        <v>0</v>
      </c>
      <c r="P746" s="10">
        <v>0</v>
      </c>
      <c r="Q746" s="10">
        <v>0</v>
      </c>
      <c r="R746" s="10">
        <v>1</v>
      </c>
      <c r="S746" s="10">
        <v>0</v>
      </c>
      <c r="T746" s="9">
        <v>1</v>
      </c>
      <c r="U746" s="9">
        <v>1</v>
      </c>
      <c r="V746" s="9">
        <v>1</v>
      </c>
      <c r="W746" s="9">
        <v>1</v>
      </c>
      <c r="X746" s="9">
        <v>0</v>
      </c>
      <c r="Y746" s="9">
        <v>0</v>
      </c>
      <c r="Z746" s="11" t="str">
        <f t="shared" si="101"/>
        <v>物、法防御提升15%并额外增加120点</v>
      </c>
      <c r="AA746" s="58">
        <v>15</v>
      </c>
      <c r="AB746" s="58">
        <v>120</v>
      </c>
    </row>
    <row r="747" spans="1:28" s="9" customFormat="1" ht="14.25" x14ac:dyDescent="0.15">
      <c r="A747" s="23">
        <v>10682</v>
      </c>
      <c r="B747" s="23" t="s">
        <v>1545</v>
      </c>
      <c r="C747" s="9">
        <f t="shared" si="99"/>
        <v>1</v>
      </c>
      <c r="D747" s="9">
        <v>1</v>
      </c>
      <c r="F747" s="12">
        <v>0</v>
      </c>
      <c r="G747" s="10">
        <v>1</v>
      </c>
      <c r="H747" s="10">
        <v>0</v>
      </c>
      <c r="I747" s="10">
        <v>0</v>
      </c>
      <c r="J747" s="10">
        <v>0</v>
      </c>
      <c r="K747" s="10">
        <v>0</v>
      </c>
      <c r="L747" s="9">
        <v>1</v>
      </c>
      <c r="M747" s="9">
        <f t="shared" si="100"/>
        <v>17</v>
      </c>
      <c r="N747" s="10">
        <v>1</v>
      </c>
      <c r="O747" s="10">
        <v>0</v>
      </c>
      <c r="P747" s="10">
        <v>0</v>
      </c>
      <c r="Q747" s="10">
        <v>0</v>
      </c>
      <c r="R747" s="10">
        <v>1</v>
      </c>
      <c r="S747" s="10">
        <v>0</v>
      </c>
      <c r="T747" s="9">
        <v>1</v>
      </c>
      <c r="U747" s="9">
        <v>1</v>
      </c>
      <c r="V747" s="9">
        <v>1</v>
      </c>
      <c r="W747" s="9">
        <v>1</v>
      </c>
      <c r="X747" s="9">
        <v>0</v>
      </c>
      <c r="Y747" s="9">
        <v>0</v>
      </c>
      <c r="Z747" s="11" t="str">
        <f t="shared" si="101"/>
        <v>物、法防御提升16%并额外增加130点</v>
      </c>
      <c r="AA747" s="58">
        <v>16</v>
      </c>
      <c r="AB747" s="58">
        <v>130</v>
      </c>
    </row>
    <row r="748" spans="1:28" s="9" customFormat="1" ht="14.25" x14ac:dyDescent="0.15">
      <c r="A748" s="23">
        <v>10683</v>
      </c>
      <c r="B748" s="23" t="s">
        <v>1546</v>
      </c>
      <c r="C748" s="9">
        <f t="shared" si="99"/>
        <v>1</v>
      </c>
      <c r="D748" s="9">
        <v>1</v>
      </c>
      <c r="F748" s="12">
        <v>0</v>
      </c>
      <c r="G748" s="10">
        <v>1</v>
      </c>
      <c r="H748" s="10">
        <v>0</v>
      </c>
      <c r="I748" s="10">
        <v>0</v>
      </c>
      <c r="J748" s="10">
        <v>0</v>
      </c>
      <c r="K748" s="10">
        <v>0</v>
      </c>
      <c r="L748" s="9">
        <v>1</v>
      </c>
      <c r="M748" s="9">
        <f t="shared" si="100"/>
        <v>17</v>
      </c>
      <c r="N748" s="10">
        <v>1</v>
      </c>
      <c r="O748" s="10">
        <v>0</v>
      </c>
      <c r="P748" s="10">
        <v>0</v>
      </c>
      <c r="Q748" s="10">
        <v>0</v>
      </c>
      <c r="R748" s="10">
        <v>1</v>
      </c>
      <c r="S748" s="10">
        <v>0</v>
      </c>
      <c r="T748" s="9">
        <v>1</v>
      </c>
      <c r="U748" s="9">
        <v>1</v>
      </c>
      <c r="V748" s="9">
        <v>1</v>
      </c>
      <c r="W748" s="9">
        <v>1</v>
      </c>
      <c r="X748" s="9">
        <v>0</v>
      </c>
      <c r="Y748" s="9">
        <v>0</v>
      </c>
      <c r="Z748" s="11" t="str">
        <f t="shared" si="101"/>
        <v>物、法防御提升18%并额外增加140点</v>
      </c>
      <c r="AA748" s="58">
        <v>18</v>
      </c>
      <c r="AB748" s="58">
        <v>140</v>
      </c>
    </row>
    <row r="749" spans="1:28" s="9" customFormat="1" ht="14.25" x14ac:dyDescent="0.15">
      <c r="A749" s="23">
        <v>10684</v>
      </c>
      <c r="B749" s="23" t="s">
        <v>1547</v>
      </c>
      <c r="C749" s="9">
        <f t="shared" si="99"/>
        <v>1</v>
      </c>
      <c r="D749" s="9">
        <v>1</v>
      </c>
      <c r="F749" s="12">
        <v>0</v>
      </c>
      <c r="G749" s="10">
        <v>1</v>
      </c>
      <c r="H749" s="10">
        <v>0</v>
      </c>
      <c r="I749" s="10">
        <v>0</v>
      </c>
      <c r="J749" s="10">
        <v>0</v>
      </c>
      <c r="K749" s="10">
        <v>0</v>
      </c>
      <c r="L749" s="9">
        <v>1</v>
      </c>
      <c r="M749" s="9">
        <f t="shared" si="100"/>
        <v>17</v>
      </c>
      <c r="N749" s="10">
        <v>1</v>
      </c>
      <c r="O749" s="10">
        <v>0</v>
      </c>
      <c r="P749" s="10">
        <v>0</v>
      </c>
      <c r="Q749" s="10">
        <v>0</v>
      </c>
      <c r="R749" s="10">
        <v>1</v>
      </c>
      <c r="S749" s="10">
        <v>0</v>
      </c>
      <c r="T749" s="9">
        <v>1</v>
      </c>
      <c r="U749" s="9">
        <v>1</v>
      </c>
      <c r="V749" s="9">
        <v>1</v>
      </c>
      <c r="W749" s="9">
        <v>1</v>
      </c>
      <c r="X749" s="9">
        <v>0</v>
      </c>
      <c r="Y749" s="9">
        <v>0</v>
      </c>
      <c r="Z749" s="11" t="str">
        <f t="shared" si="101"/>
        <v>物、法防御提升20%并额外增加150点</v>
      </c>
      <c r="AA749" s="58">
        <v>20</v>
      </c>
      <c r="AB749" s="58">
        <v>150</v>
      </c>
    </row>
    <row r="750" spans="1:28" s="9" customFormat="1" ht="12" x14ac:dyDescent="0.15">
      <c r="A750" s="23">
        <v>10685</v>
      </c>
      <c r="B750" s="23" t="s">
        <v>1548</v>
      </c>
      <c r="C750" s="9">
        <f>G750+H750*2+I750*4+J750*8+K750*16</f>
        <v>1</v>
      </c>
      <c r="D750" s="9">
        <v>1</v>
      </c>
      <c r="F750" s="12">
        <v>0</v>
      </c>
      <c r="G750" s="10">
        <v>1</v>
      </c>
      <c r="H750" s="10">
        <v>0</v>
      </c>
      <c r="I750" s="10">
        <v>0</v>
      </c>
      <c r="J750" s="10">
        <v>0</v>
      </c>
      <c r="K750" s="10">
        <v>0</v>
      </c>
      <c r="L750" s="9">
        <v>1</v>
      </c>
      <c r="M750" s="9">
        <f>N750+O750*2+P750*4+Q750*8+R750*16+S750*32</f>
        <v>17</v>
      </c>
      <c r="N750" s="10">
        <v>1</v>
      </c>
      <c r="O750" s="10">
        <v>0</v>
      </c>
      <c r="P750" s="10">
        <v>0</v>
      </c>
      <c r="Q750" s="10">
        <v>0</v>
      </c>
      <c r="R750" s="10">
        <v>1</v>
      </c>
      <c r="S750" s="10">
        <v>0</v>
      </c>
      <c r="T750" s="9">
        <v>1</v>
      </c>
      <c r="U750" s="9">
        <v>1</v>
      </c>
      <c r="V750" s="9">
        <v>1</v>
      </c>
      <c r="W750" s="9">
        <v>1</v>
      </c>
      <c r="X750" s="9">
        <v>0</v>
      </c>
      <c r="Y750" s="9">
        <v>0</v>
      </c>
      <c r="Z750" s="11" t="s">
        <v>1514</v>
      </c>
    </row>
    <row r="751" spans="1:28" s="9" customFormat="1" ht="14.25" x14ac:dyDescent="0.15">
      <c r="A751" s="23">
        <v>10686</v>
      </c>
      <c r="B751" s="23" t="s">
        <v>1549</v>
      </c>
      <c r="C751" s="9">
        <f t="shared" ref="C751:C765" si="102">G751+H751*2+I751*4+J751*8+K751*16</f>
        <v>1</v>
      </c>
      <c r="D751" s="9">
        <v>1</v>
      </c>
      <c r="F751" s="12">
        <v>0</v>
      </c>
      <c r="G751" s="10">
        <v>1</v>
      </c>
      <c r="H751" s="10">
        <v>0</v>
      </c>
      <c r="I751" s="10">
        <v>0</v>
      </c>
      <c r="J751" s="10">
        <v>0</v>
      </c>
      <c r="K751" s="10">
        <v>0</v>
      </c>
      <c r="L751" s="9">
        <v>1</v>
      </c>
      <c r="M751" s="9">
        <f t="shared" ref="M751:M765" si="103">N751+O751*2+P751*4+Q751*8+R751*16+S751*32</f>
        <v>17</v>
      </c>
      <c r="N751" s="10">
        <v>1</v>
      </c>
      <c r="O751" s="10">
        <v>0</v>
      </c>
      <c r="P751" s="10">
        <v>0</v>
      </c>
      <c r="Q751" s="10">
        <v>0</v>
      </c>
      <c r="R751" s="10">
        <v>1</v>
      </c>
      <c r="S751" s="10">
        <v>0</v>
      </c>
      <c r="T751" s="9">
        <v>1</v>
      </c>
      <c r="U751" s="9">
        <v>1</v>
      </c>
      <c r="V751" s="9">
        <v>1</v>
      </c>
      <c r="W751" s="9">
        <v>1</v>
      </c>
      <c r="X751" s="9">
        <v>0</v>
      </c>
      <c r="Y751" s="9">
        <v>0</v>
      </c>
      <c r="Z751" s="11" t="str">
        <f>"提升角色血量上限"&amp;AA751&amp;"点"</f>
        <v>提升角色血量上限1000点</v>
      </c>
      <c r="AA751" s="59">
        <v>1000</v>
      </c>
      <c r="AB751" s="58">
        <v>10</v>
      </c>
    </row>
    <row r="752" spans="1:28" s="9" customFormat="1" ht="14.25" x14ac:dyDescent="0.15">
      <c r="A752" s="23">
        <v>10687</v>
      </c>
      <c r="B752" s="23" t="s">
        <v>1550</v>
      </c>
      <c r="C752" s="9">
        <f t="shared" si="102"/>
        <v>1</v>
      </c>
      <c r="D752" s="9">
        <v>1</v>
      </c>
      <c r="F752" s="12">
        <v>0</v>
      </c>
      <c r="G752" s="10">
        <v>1</v>
      </c>
      <c r="H752" s="10">
        <v>0</v>
      </c>
      <c r="I752" s="10">
        <v>0</v>
      </c>
      <c r="J752" s="10">
        <v>0</v>
      </c>
      <c r="K752" s="10">
        <v>0</v>
      </c>
      <c r="L752" s="9">
        <v>1</v>
      </c>
      <c r="M752" s="9">
        <f t="shared" si="103"/>
        <v>17</v>
      </c>
      <c r="N752" s="10">
        <v>1</v>
      </c>
      <c r="O752" s="10">
        <v>0</v>
      </c>
      <c r="P752" s="10">
        <v>0</v>
      </c>
      <c r="Q752" s="10">
        <v>0</v>
      </c>
      <c r="R752" s="10">
        <v>1</v>
      </c>
      <c r="S752" s="10">
        <v>0</v>
      </c>
      <c r="T752" s="9">
        <v>1</v>
      </c>
      <c r="U752" s="9">
        <v>1</v>
      </c>
      <c r="V752" s="9">
        <v>1</v>
      </c>
      <c r="W752" s="9">
        <v>1</v>
      </c>
      <c r="X752" s="9">
        <v>0</v>
      </c>
      <c r="Y752" s="9">
        <v>0</v>
      </c>
      <c r="Z752" s="11" t="str">
        <f t="shared" ref="Z752:Z765" si="104">"提升角色血量上限"&amp;AA752&amp;"点"</f>
        <v>提升角色血量上限4000点</v>
      </c>
      <c r="AA752" s="59">
        <v>4000</v>
      </c>
      <c r="AB752" s="58">
        <v>20</v>
      </c>
    </row>
    <row r="753" spans="1:28" s="9" customFormat="1" ht="14.25" x14ac:dyDescent="0.15">
      <c r="A753" s="23">
        <v>10688</v>
      </c>
      <c r="B753" s="23" t="s">
        <v>1551</v>
      </c>
      <c r="C753" s="9">
        <f t="shared" si="102"/>
        <v>1</v>
      </c>
      <c r="D753" s="9">
        <v>1</v>
      </c>
      <c r="F753" s="12">
        <v>0</v>
      </c>
      <c r="G753" s="10">
        <v>1</v>
      </c>
      <c r="H753" s="10">
        <v>0</v>
      </c>
      <c r="I753" s="10">
        <v>0</v>
      </c>
      <c r="J753" s="10">
        <v>0</v>
      </c>
      <c r="K753" s="10">
        <v>0</v>
      </c>
      <c r="L753" s="9">
        <v>1</v>
      </c>
      <c r="M753" s="9">
        <f t="shared" si="103"/>
        <v>17</v>
      </c>
      <c r="N753" s="10">
        <v>1</v>
      </c>
      <c r="O753" s="10">
        <v>0</v>
      </c>
      <c r="P753" s="10">
        <v>0</v>
      </c>
      <c r="Q753" s="10">
        <v>0</v>
      </c>
      <c r="R753" s="10">
        <v>1</v>
      </c>
      <c r="S753" s="10">
        <v>0</v>
      </c>
      <c r="T753" s="9">
        <v>1</v>
      </c>
      <c r="U753" s="9">
        <v>1</v>
      </c>
      <c r="V753" s="9">
        <v>1</v>
      </c>
      <c r="W753" s="9">
        <v>1</v>
      </c>
      <c r="X753" s="9">
        <v>0</v>
      </c>
      <c r="Y753" s="9">
        <v>0</v>
      </c>
      <c r="Z753" s="11" t="str">
        <f t="shared" si="104"/>
        <v>提升角色血量上限7000点</v>
      </c>
      <c r="AA753" s="59">
        <v>7000</v>
      </c>
      <c r="AB753" s="58">
        <v>30</v>
      </c>
    </row>
    <row r="754" spans="1:28" s="9" customFormat="1" ht="14.25" x14ac:dyDescent="0.15">
      <c r="A754" s="23">
        <v>10689</v>
      </c>
      <c r="B754" s="23" t="s">
        <v>1552</v>
      </c>
      <c r="C754" s="9">
        <f t="shared" si="102"/>
        <v>1</v>
      </c>
      <c r="D754" s="9">
        <v>1</v>
      </c>
      <c r="F754" s="12">
        <v>0</v>
      </c>
      <c r="G754" s="10">
        <v>1</v>
      </c>
      <c r="H754" s="10">
        <v>0</v>
      </c>
      <c r="I754" s="10">
        <v>0</v>
      </c>
      <c r="J754" s="10">
        <v>0</v>
      </c>
      <c r="K754" s="10">
        <v>0</v>
      </c>
      <c r="L754" s="9">
        <v>1</v>
      </c>
      <c r="M754" s="9">
        <f t="shared" si="103"/>
        <v>17</v>
      </c>
      <c r="N754" s="10">
        <v>1</v>
      </c>
      <c r="O754" s="10">
        <v>0</v>
      </c>
      <c r="P754" s="10">
        <v>0</v>
      </c>
      <c r="Q754" s="10">
        <v>0</v>
      </c>
      <c r="R754" s="10">
        <v>1</v>
      </c>
      <c r="S754" s="10">
        <v>0</v>
      </c>
      <c r="T754" s="9">
        <v>1</v>
      </c>
      <c r="U754" s="9">
        <v>1</v>
      </c>
      <c r="V754" s="9">
        <v>1</v>
      </c>
      <c r="W754" s="9">
        <v>1</v>
      </c>
      <c r="X754" s="9">
        <v>0</v>
      </c>
      <c r="Y754" s="9">
        <v>0</v>
      </c>
      <c r="Z754" s="11" t="str">
        <f t="shared" si="104"/>
        <v>提升角色血量上限10000点</v>
      </c>
      <c r="AA754" s="59">
        <v>10000</v>
      </c>
      <c r="AB754" s="58">
        <v>40</v>
      </c>
    </row>
    <row r="755" spans="1:28" s="9" customFormat="1" ht="14.25" x14ac:dyDescent="0.15">
      <c r="A755" s="23">
        <v>10690</v>
      </c>
      <c r="B755" s="23" t="s">
        <v>1553</v>
      </c>
      <c r="C755" s="9">
        <f t="shared" si="102"/>
        <v>1</v>
      </c>
      <c r="D755" s="9">
        <v>1</v>
      </c>
      <c r="F755" s="12">
        <v>0</v>
      </c>
      <c r="G755" s="10">
        <v>1</v>
      </c>
      <c r="H755" s="10">
        <v>0</v>
      </c>
      <c r="I755" s="10">
        <v>0</v>
      </c>
      <c r="J755" s="10">
        <v>0</v>
      </c>
      <c r="K755" s="10">
        <v>0</v>
      </c>
      <c r="L755" s="9">
        <v>1</v>
      </c>
      <c r="M755" s="9">
        <f t="shared" si="103"/>
        <v>17</v>
      </c>
      <c r="N755" s="10">
        <v>1</v>
      </c>
      <c r="O755" s="10">
        <v>0</v>
      </c>
      <c r="P755" s="10">
        <v>0</v>
      </c>
      <c r="Q755" s="10">
        <v>0</v>
      </c>
      <c r="R755" s="10">
        <v>1</v>
      </c>
      <c r="S755" s="10">
        <v>0</v>
      </c>
      <c r="T755" s="9">
        <v>1</v>
      </c>
      <c r="U755" s="9">
        <v>1</v>
      </c>
      <c r="V755" s="9">
        <v>1</v>
      </c>
      <c r="W755" s="9">
        <v>1</v>
      </c>
      <c r="X755" s="9">
        <v>0</v>
      </c>
      <c r="Y755" s="9">
        <v>0</v>
      </c>
      <c r="Z755" s="11" t="str">
        <f t="shared" si="104"/>
        <v>提升角色血量上限13000点</v>
      </c>
      <c r="AA755" s="59">
        <v>13000</v>
      </c>
      <c r="AB755" s="58">
        <v>50</v>
      </c>
    </row>
    <row r="756" spans="1:28" s="9" customFormat="1" ht="14.25" x14ac:dyDescent="0.15">
      <c r="A756" s="23">
        <v>10691</v>
      </c>
      <c r="B756" s="23" t="s">
        <v>1554</v>
      </c>
      <c r="C756" s="9">
        <f t="shared" si="102"/>
        <v>1</v>
      </c>
      <c r="D756" s="9">
        <v>1</v>
      </c>
      <c r="F756" s="12">
        <v>0</v>
      </c>
      <c r="G756" s="10">
        <v>1</v>
      </c>
      <c r="H756" s="10">
        <v>0</v>
      </c>
      <c r="I756" s="10">
        <v>0</v>
      </c>
      <c r="J756" s="10">
        <v>0</v>
      </c>
      <c r="K756" s="10">
        <v>0</v>
      </c>
      <c r="L756" s="9">
        <v>1</v>
      </c>
      <c r="M756" s="9">
        <f t="shared" si="103"/>
        <v>17</v>
      </c>
      <c r="N756" s="10">
        <v>1</v>
      </c>
      <c r="O756" s="10">
        <v>0</v>
      </c>
      <c r="P756" s="10">
        <v>0</v>
      </c>
      <c r="Q756" s="10">
        <v>0</v>
      </c>
      <c r="R756" s="10">
        <v>1</v>
      </c>
      <c r="S756" s="10">
        <v>0</v>
      </c>
      <c r="T756" s="9">
        <v>1</v>
      </c>
      <c r="U756" s="9">
        <v>1</v>
      </c>
      <c r="V756" s="9">
        <v>1</v>
      </c>
      <c r="W756" s="9">
        <v>1</v>
      </c>
      <c r="X756" s="9">
        <v>0</v>
      </c>
      <c r="Y756" s="9">
        <v>0</v>
      </c>
      <c r="Z756" s="11" t="str">
        <f t="shared" si="104"/>
        <v>提升角色血量上限16000点</v>
      </c>
      <c r="AA756" s="59">
        <v>16000</v>
      </c>
      <c r="AB756" s="58">
        <v>60</v>
      </c>
    </row>
    <row r="757" spans="1:28" s="9" customFormat="1" ht="14.25" x14ac:dyDescent="0.15">
      <c r="A757" s="23">
        <v>10692</v>
      </c>
      <c r="B757" s="23" t="s">
        <v>1555</v>
      </c>
      <c r="C757" s="9">
        <f t="shared" si="102"/>
        <v>1</v>
      </c>
      <c r="D757" s="9">
        <v>1</v>
      </c>
      <c r="F757" s="12">
        <v>0</v>
      </c>
      <c r="G757" s="10">
        <v>1</v>
      </c>
      <c r="H757" s="10">
        <v>0</v>
      </c>
      <c r="I757" s="10">
        <v>0</v>
      </c>
      <c r="J757" s="10">
        <v>0</v>
      </c>
      <c r="K757" s="10">
        <v>0</v>
      </c>
      <c r="L757" s="9">
        <v>1</v>
      </c>
      <c r="M757" s="9">
        <f t="shared" si="103"/>
        <v>17</v>
      </c>
      <c r="N757" s="10">
        <v>1</v>
      </c>
      <c r="O757" s="10">
        <v>0</v>
      </c>
      <c r="P757" s="10">
        <v>0</v>
      </c>
      <c r="Q757" s="10">
        <v>0</v>
      </c>
      <c r="R757" s="10">
        <v>1</v>
      </c>
      <c r="S757" s="10">
        <v>0</v>
      </c>
      <c r="T757" s="9">
        <v>1</v>
      </c>
      <c r="U757" s="9">
        <v>1</v>
      </c>
      <c r="V757" s="9">
        <v>1</v>
      </c>
      <c r="W757" s="9">
        <v>1</v>
      </c>
      <c r="X757" s="9">
        <v>0</v>
      </c>
      <c r="Y757" s="9">
        <v>0</v>
      </c>
      <c r="Z757" s="11" t="str">
        <f t="shared" si="104"/>
        <v>提升角色血量上限19000点</v>
      </c>
      <c r="AA757" s="59">
        <v>19000</v>
      </c>
      <c r="AB757" s="58">
        <v>70</v>
      </c>
    </row>
    <row r="758" spans="1:28" s="9" customFormat="1" ht="14.25" x14ac:dyDescent="0.15">
      <c r="A758" s="23">
        <v>10693</v>
      </c>
      <c r="B758" s="23" t="s">
        <v>1556</v>
      </c>
      <c r="C758" s="9">
        <f t="shared" si="102"/>
        <v>1</v>
      </c>
      <c r="D758" s="9">
        <v>1</v>
      </c>
      <c r="F758" s="12">
        <v>0</v>
      </c>
      <c r="G758" s="10">
        <v>1</v>
      </c>
      <c r="H758" s="10">
        <v>0</v>
      </c>
      <c r="I758" s="10">
        <v>0</v>
      </c>
      <c r="J758" s="10">
        <v>0</v>
      </c>
      <c r="K758" s="10">
        <v>0</v>
      </c>
      <c r="L758" s="9">
        <v>1</v>
      </c>
      <c r="M758" s="9">
        <f t="shared" si="103"/>
        <v>17</v>
      </c>
      <c r="N758" s="10">
        <v>1</v>
      </c>
      <c r="O758" s="10">
        <v>0</v>
      </c>
      <c r="P758" s="10">
        <v>0</v>
      </c>
      <c r="Q758" s="10">
        <v>0</v>
      </c>
      <c r="R758" s="10">
        <v>1</v>
      </c>
      <c r="S758" s="10">
        <v>0</v>
      </c>
      <c r="T758" s="9">
        <v>1</v>
      </c>
      <c r="U758" s="9">
        <v>1</v>
      </c>
      <c r="V758" s="9">
        <v>1</v>
      </c>
      <c r="W758" s="9">
        <v>1</v>
      </c>
      <c r="X758" s="9">
        <v>0</v>
      </c>
      <c r="Y758" s="9">
        <v>0</v>
      </c>
      <c r="Z758" s="11" t="str">
        <f t="shared" si="104"/>
        <v>提升角色血量上限22000点</v>
      </c>
      <c r="AA758" s="59">
        <v>22000</v>
      </c>
      <c r="AB758" s="58">
        <v>80</v>
      </c>
    </row>
    <row r="759" spans="1:28" s="9" customFormat="1" ht="14.25" x14ac:dyDescent="0.15">
      <c r="A759" s="23">
        <v>10694</v>
      </c>
      <c r="B759" s="23" t="s">
        <v>1557</v>
      </c>
      <c r="C759" s="9">
        <f t="shared" si="102"/>
        <v>1</v>
      </c>
      <c r="D759" s="9">
        <v>1</v>
      </c>
      <c r="F759" s="12">
        <v>0</v>
      </c>
      <c r="G759" s="10">
        <v>1</v>
      </c>
      <c r="H759" s="10">
        <v>0</v>
      </c>
      <c r="I759" s="10">
        <v>0</v>
      </c>
      <c r="J759" s="10">
        <v>0</v>
      </c>
      <c r="K759" s="10">
        <v>0</v>
      </c>
      <c r="L759" s="9">
        <v>1</v>
      </c>
      <c r="M759" s="9">
        <f t="shared" si="103"/>
        <v>17</v>
      </c>
      <c r="N759" s="10">
        <v>1</v>
      </c>
      <c r="O759" s="10">
        <v>0</v>
      </c>
      <c r="P759" s="10">
        <v>0</v>
      </c>
      <c r="Q759" s="10">
        <v>0</v>
      </c>
      <c r="R759" s="10">
        <v>1</v>
      </c>
      <c r="S759" s="10">
        <v>0</v>
      </c>
      <c r="T759" s="9">
        <v>1</v>
      </c>
      <c r="U759" s="9">
        <v>1</v>
      </c>
      <c r="V759" s="9">
        <v>1</v>
      </c>
      <c r="W759" s="9">
        <v>1</v>
      </c>
      <c r="X759" s="9">
        <v>0</v>
      </c>
      <c r="Y759" s="9">
        <v>0</v>
      </c>
      <c r="Z759" s="11" t="str">
        <f t="shared" si="104"/>
        <v>提升角色血量上限25000点</v>
      </c>
      <c r="AA759" s="59">
        <v>25000</v>
      </c>
      <c r="AB759" s="58">
        <v>90</v>
      </c>
    </row>
    <row r="760" spans="1:28" s="9" customFormat="1" ht="14.25" x14ac:dyDescent="0.15">
      <c r="A760" s="23">
        <v>10695</v>
      </c>
      <c r="B760" s="23" t="s">
        <v>1558</v>
      </c>
      <c r="C760" s="9">
        <f t="shared" si="102"/>
        <v>1</v>
      </c>
      <c r="D760" s="9">
        <v>1</v>
      </c>
      <c r="F760" s="12">
        <v>0</v>
      </c>
      <c r="G760" s="10">
        <v>1</v>
      </c>
      <c r="H760" s="10">
        <v>0</v>
      </c>
      <c r="I760" s="10">
        <v>0</v>
      </c>
      <c r="J760" s="10">
        <v>0</v>
      </c>
      <c r="K760" s="10">
        <v>0</v>
      </c>
      <c r="L760" s="9">
        <v>1</v>
      </c>
      <c r="M760" s="9">
        <f t="shared" si="103"/>
        <v>17</v>
      </c>
      <c r="N760" s="10">
        <v>1</v>
      </c>
      <c r="O760" s="10">
        <v>0</v>
      </c>
      <c r="P760" s="10">
        <v>0</v>
      </c>
      <c r="Q760" s="10">
        <v>0</v>
      </c>
      <c r="R760" s="10">
        <v>1</v>
      </c>
      <c r="S760" s="10">
        <v>0</v>
      </c>
      <c r="T760" s="9">
        <v>1</v>
      </c>
      <c r="U760" s="9">
        <v>1</v>
      </c>
      <c r="V760" s="9">
        <v>1</v>
      </c>
      <c r="W760" s="9">
        <v>1</v>
      </c>
      <c r="X760" s="9">
        <v>0</v>
      </c>
      <c r="Y760" s="9">
        <v>0</v>
      </c>
      <c r="Z760" s="11" t="str">
        <f t="shared" si="104"/>
        <v>提升角色血量上限28000点</v>
      </c>
      <c r="AA760" s="59">
        <v>28000</v>
      </c>
      <c r="AB760" s="58">
        <v>100</v>
      </c>
    </row>
    <row r="761" spans="1:28" s="9" customFormat="1" ht="14.25" x14ac:dyDescent="0.15">
      <c r="A761" s="23">
        <v>10696</v>
      </c>
      <c r="B761" s="23" t="s">
        <v>1559</v>
      </c>
      <c r="C761" s="9">
        <f t="shared" si="102"/>
        <v>1</v>
      </c>
      <c r="D761" s="9">
        <v>1</v>
      </c>
      <c r="F761" s="12">
        <v>0</v>
      </c>
      <c r="G761" s="10">
        <v>1</v>
      </c>
      <c r="H761" s="10">
        <v>0</v>
      </c>
      <c r="I761" s="10">
        <v>0</v>
      </c>
      <c r="J761" s="10">
        <v>0</v>
      </c>
      <c r="K761" s="10">
        <v>0</v>
      </c>
      <c r="L761" s="9">
        <v>1</v>
      </c>
      <c r="M761" s="9">
        <f t="shared" si="103"/>
        <v>17</v>
      </c>
      <c r="N761" s="10">
        <v>1</v>
      </c>
      <c r="O761" s="10">
        <v>0</v>
      </c>
      <c r="P761" s="10">
        <v>0</v>
      </c>
      <c r="Q761" s="10">
        <v>0</v>
      </c>
      <c r="R761" s="10">
        <v>1</v>
      </c>
      <c r="S761" s="10">
        <v>0</v>
      </c>
      <c r="T761" s="9">
        <v>1</v>
      </c>
      <c r="U761" s="9">
        <v>1</v>
      </c>
      <c r="V761" s="9">
        <v>1</v>
      </c>
      <c r="W761" s="9">
        <v>1</v>
      </c>
      <c r="X761" s="9">
        <v>0</v>
      </c>
      <c r="Y761" s="9">
        <v>0</v>
      </c>
      <c r="Z761" s="11" t="str">
        <f t="shared" si="104"/>
        <v>提升角色血量上限31000点</v>
      </c>
      <c r="AA761" s="59">
        <v>31000</v>
      </c>
      <c r="AB761" s="58">
        <v>110</v>
      </c>
    </row>
    <row r="762" spans="1:28" s="9" customFormat="1" ht="14.25" x14ac:dyDescent="0.15">
      <c r="A762" s="23">
        <v>10697</v>
      </c>
      <c r="B762" s="23" t="s">
        <v>1560</v>
      </c>
      <c r="C762" s="9">
        <f t="shared" si="102"/>
        <v>1</v>
      </c>
      <c r="D762" s="9">
        <v>1</v>
      </c>
      <c r="F762" s="12">
        <v>0</v>
      </c>
      <c r="G762" s="10">
        <v>1</v>
      </c>
      <c r="H762" s="10">
        <v>0</v>
      </c>
      <c r="I762" s="10">
        <v>0</v>
      </c>
      <c r="J762" s="10">
        <v>0</v>
      </c>
      <c r="K762" s="10">
        <v>0</v>
      </c>
      <c r="L762" s="9">
        <v>1</v>
      </c>
      <c r="M762" s="9">
        <f t="shared" si="103"/>
        <v>17</v>
      </c>
      <c r="N762" s="10">
        <v>1</v>
      </c>
      <c r="O762" s="10">
        <v>0</v>
      </c>
      <c r="P762" s="10">
        <v>0</v>
      </c>
      <c r="Q762" s="10">
        <v>0</v>
      </c>
      <c r="R762" s="10">
        <v>1</v>
      </c>
      <c r="S762" s="10">
        <v>0</v>
      </c>
      <c r="T762" s="9">
        <v>1</v>
      </c>
      <c r="U762" s="9">
        <v>1</v>
      </c>
      <c r="V762" s="9">
        <v>1</v>
      </c>
      <c r="W762" s="9">
        <v>1</v>
      </c>
      <c r="X762" s="9">
        <v>0</v>
      </c>
      <c r="Y762" s="9">
        <v>0</v>
      </c>
      <c r="Z762" s="11" t="str">
        <f t="shared" si="104"/>
        <v>提升角色血量上限34000点</v>
      </c>
      <c r="AA762" s="59">
        <v>34000</v>
      </c>
      <c r="AB762" s="58">
        <v>120</v>
      </c>
    </row>
    <row r="763" spans="1:28" s="9" customFormat="1" ht="14.25" x14ac:dyDescent="0.15">
      <c r="A763" s="23">
        <v>10698</v>
      </c>
      <c r="B763" s="23" t="s">
        <v>1561</v>
      </c>
      <c r="C763" s="9">
        <f t="shared" si="102"/>
        <v>1</v>
      </c>
      <c r="D763" s="9">
        <v>1</v>
      </c>
      <c r="F763" s="12">
        <v>0</v>
      </c>
      <c r="G763" s="10">
        <v>1</v>
      </c>
      <c r="H763" s="10">
        <v>0</v>
      </c>
      <c r="I763" s="10">
        <v>0</v>
      </c>
      <c r="J763" s="10">
        <v>0</v>
      </c>
      <c r="K763" s="10">
        <v>0</v>
      </c>
      <c r="L763" s="9">
        <v>1</v>
      </c>
      <c r="M763" s="9">
        <f t="shared" si="103"/>
        <v>17</v>
      </c>
      <c r="N763" s="10">
        <v>1</v>
      </c>
      <c r="O763" s="10">
        <v>0</v>
      </c>
      <c r="P763" s="10">
        <v>0</v>
      </c>
      <c r="Q763" s="10">
        <v>0</v>
      </c>
      <c r="R763" s="10">
        <v>1</v>
      </c>
      <c r="S763" s="10">
        <v>0</v>
      </c>
      <c r="T763" s="9">
        <v>1</v>
      </c>
      <c r="U763" s="9">
        <v>1</v>
      </c>
      <c r="V763" s="9">
        <v>1</v>
      </c>
      <c r="W763" s="9">
        <v>1</v>
      </c>
      <c r="X763" s="9">
        <v>0</v>
      </c>
      <c r="Y763" s="9">
        <v>0</v>
      </c>
      <c r="Z763" s="11" t="str">
        <f t="shared" si="104"/>
        <v>提升角色血量上限37000点</v>
      </c>
      <c r="AA763" s="59">
        <v>37000</v>
      </c>
      <c r="AB763" s="58">
        <v>130</v>
      </c>
    </row>
    <row r="764" spans="1:28" s="9" customFormat="1" ht="14.25" x14ac:dyDescent="0.15">
      <c r="A764" s="23">
        <v>10699</v>
      </c>
      <c r="B764" s="23" t="s">
        <v>1562</v>
      </c>
      <c r="C764" s="9">
        <f t="shared" si="102"/>
        <v>1</v>
      </c>
      <c r="D764" s="9">
        <v>1</v>
      </c>
      <c r="F764" s="12">
        <v>0</v>
      </c>
      <c r="G764" s="10">
        <v>1</v>
      </c>
      <c r="H764" s="10">
        <v>0</v>
      </c>
      <c r="I764" s="10">
        <v>0</v>
      </c>
      <c r="J764" s="10">
        <v>0</v>
      </c>
      <c r="K764" s="10">
        <v>0</v>
      </c>
      <c r="L764" s="9">
        <v>1</v>
      </c>
      <c r="M764" s="9">
        <f t="shared" si="103"/>
        <v>17</v>
      </c>
      <c r="N764" s="10">
        <v>1</v>
      </c>
      <c r="O764" s="10">
        <v>0</v>
      </c>
      <c r="P764" s="10">
        <v>0</v>
      </c>
      <c r="Q764" s="10">
        <v>0</v>
      </c>
      <c r="R764" s="10">
        <v>1</v>
      </c>
      <c r="S764" s="10">
        <v>0</v>
      </c>
      <c r="T764" s="9">
        <v>1</v>
      </c>
      <c r="U764" s="9">
        <v>1</v>
      </c>
      <c r="V764" s="9">
        <v>1</v>
      </c>
      <c r="W764" s="9">
        <v>1</v>
      </c>
      <c r="X764" s="9">
        <v>0</v>
      </c>
      <c r="Y764" s="9">
        <v>0</v>
      </c>
      <c r="Z764" s="11" t="str">
        <f t="shared" si="104"/>
        <v>提升角色血量上限40000点</v>
      </c>
      <c r="AA764" s="59">
        <v>40000</v>
      </c>
      <c r="AB764" s="58">
        <v>140</v>
      </c>
    </row>
    <row r="765" spans="1:28" s="9" customFormat="1" ht="14.25" x14ac:dyDescent="0.15">
      <c r="A765" s="23">
        <v>10700</v>
      </c>
      <c r="B765" s="23" t="s">
        <v>1563</v>
      </c>
      <c r="C765" s="9">
        <f t="shared" si="102"/>
        <v>1</v>
      </c>
      <c r="D765" s="9">
        <v>1</v>
      </c>
      <c r="F765" s="12">
        <v>0</v>
      </c>
      <c r="G765" s="10">
        <v>1</v>
      </c>
      <c r="H765" s="10">
        <v>0</v>
      </c>
      <c r="I765" s="10">
        <v>0</v>
      </c>
      <c r="J765" s="10">
        <v>0</v>
      </c>
      <c r="K765" s="10">
        <v>0</v>
      </c>
      <c r="L765" s="9">
        <v>1</v>
      </c>
      <c r="M765" s="9">
        <f t="shared" si="103"/>
        <v>17</v>
      </c>
      <c r="N765" s="10">
        <v>1</v>
      </c>
      <c r="O765" s="10">
        <v>0</v>
      </c>
      <c r="P765" s="10">
        <v>0</v>
      </c>
      <c r="Q765" s="10">
        <v>0</v>
      </c>
      <c r="R765" s="10">
        <v>1</v>
      </c>
      <c r="S765" s="10">
        <v>0</v>
      </c>
      <c r="T765" s="9">
        <v>1</v>
      </c>
      <c r="U765" s="9">
        <v>1</v>
      </c>
      <c r="V765" s="9">
        <v>1</v>
      </c>
      <c r="W765" s="9">
        <v>1</v>
      </c>
      <c r="X765" s="9">
        <v>0</v>
      </c>
      <c r="Y765" s="9">
        <v>0</v>
      </c>
      <c r="Z765" s="11" t="str">
        <f t="shared" si="104"/>
        <v>提升角色血量上限43000点</v>
      </c>
      <c r="AA765" s="59">
        <v>43000</v>
      </c>
      <c r="AB765" s="58">
        <v>150</v>
      </c>
    </row>
    <row r="766" spans="1:28" s="9" customFormat="1" ht="12" x14ac:dyDescent="0.15">
      <c r="A766" s="23">
        <v>10701</v>
      </c>
      <c r="B766" s="23" t="s">
        <v>1564</v>
      </c>
      <c r="C766" s="9">
        <f>G766+H766*2+I766*4+J766*8+K766*16</f>
        <v>1</v>
      </c>
      <c r="D766" s="9">
        <v>1</v>
      </c>
      <c r="F766" s="12">
        <v>0</v>
      </c>
      <c r="G766" s="10">
        <v>1</v>
      </c>
      <c r="H766" s="10">
        <v>0</v>
      </c>
      <c r="I766" s="10">
        <v>0</v>
      </c>
      <c r="J766" s="10">
        <v>0</v>
      </c>
      <c r="K766" s="10">
        <v>0</v>
      </c>
      <c r="L766" s="9">
        <v>1</v>
      </c>
      <c r="M766" s="9">
        <f>N766+O766*2+P766*4+Q766*8+R766*16+S766*32</f>
        <v>17</v>
      </c>
      <c r="N766" s="10">
        <v>1</v>
      </c>
      <c r="O766" s="10">
        <v>0</v>
      </c>
      <c r="P766" s="10">
        <v>0</v>
      </c>
      <c r="Q766" s="10">
        <v>0</v>
      </c>
      <c r="R766" s="10">
        <v>1</v>
      </c>
      <c r="S766" s="10">
        <v>0</v>
      </c>
      <c r="T766" s="9">
        <v>1</v>
      </c>
      <c r="U766" s="9">
        <v>1</v>
      </c>
      <c r="V766" s="9">
        <v>1</v>
      </c>
      <c r="W766" s="9">
        <v>1</v>
      </c>
      <c r="X766" s="9">
        <v>0</v>
      </c>
      <c r="Y766" s="9">
        <v>0</v>
      </c>
      <c r="Z766" s="11" t="s">
        <v>1514</v>
      </c>
    </row>
    <row r="767" spans="1:28" s="9" customFormat="1" ht="14.25" x14ac:dyDescent="0.15">
      <c r="A767" s="23">
        <v>10720</v>
      </c>
      <c r="B767" s="23" t="s">
        <v>1517</v>
      </c>
      <c r="C767" s="9">
        <f t="shared" ref="C767:C781" si="105">G767+H767*2+I767*4+J767*8+K767*16</f>
        <v>1</v>
      </c>
      <c r="D767" s="9">
        <v>1</v>
      </c>
      <c r="F767" s="12">
        <v>0</v>
      </c>
      <c r="G767" s="10">
        <v>1</v>
      </c>
      <c r="H767" s="10">
        <v>0</v>
      </c>
      <c r="I767" s="10">
        <v>0</v>
      </c>
      <c r="J767" s="10">
        <v>0</v>
      </c>
      <c r="K767" s="10">
        <v>0</v>
      </c>
      <c r="L767" s="9">
        <v>1</v>
      </c>
      <c r="M767" s="9">
        <f t="shared" ref="M767:M781" si="106">N767+O767*2+P767*4+Q767*8+R767*16+S767*32</f>
        <v>17</v>
      </c>
      <c r="N767" s="10">
        <v>1</v>
      </c>
      <c r="O767" s="10">
        <v>0</v>
      </c>
      <c r="P767" s="10">
        <v>0</v>
      </c>
      <c r="Q767" s="10">
        <v>0</v>
      </c>
      <c r="R767" s="10">
        <v>1</v>
      </c>
      <c r="S767" s="10">
        <v>0</v>
      </c>
      <c r="T767" s="9">
        <v>1</v>
      </c>
      <c r="U767" s="9">
        <v>1</v>
      </c>
      <c r="V767" s="9">
        <v>1</v>
      </c>
      <c r="W767" s="9">
        <v>1</v>
      </c>
      <c r="X767" s="9">
        <v>0</v>
      </c>
      <c r="Y767" s="9">
        <v>0</v>
      </c>
      <c r="Z767" s="11" t="str">
        <f>"法攻上限提升"&amp;AA767&amp;"%并额外增加"&amp;AB767&amp;"点"</f>
        <v>法攻上限提升2%并额外增加10点</v>
      </c>
      <c r="AA767" s="57">
        <v>2</v>
      </c>
      <c r="AB767" s="57">
        <v>10</v>
      </c>
    </row>
    <row r="768" spans="1:28" s="9" customFormat="1" ht="14.25" x14ac:dyDescent="0.15">
      <c r="A768" s="23">
        <v>10721</v>
      </c>
      <c r="B768" s="23" t="s">
        <v>1518</v>
      </c>
      <c r="C768" s="9">
        <f t="shared" si="105"/>
        <v>1</v>
      </c>
      <c r="D768" s="9">
        <v>1</v>
      </c>
      <c r="F768" s="12">
        <v>0</v>
      </c>
      <c r="G768" s="10">
        <v>1</v>
      </c>
      <c r="H768" s="10">
        <v>0</v>
      </c>
      <c r="I768" s="10">
        <v>0</v>
      </c>
      <c r="J768" s="10">
        <v>0</v>
      </c>
      <c r="K768" s="10">
        <v>0</v>
      </c>
      <c r="L768" s="9">
        <v>1</v>
      </c>
      <c r="M768" s="9">
        <f t="shared" si="106"/>
        <v>17</v>
      </c>
      <c r="N768" s="10">
        <v>1</v>
      </c>
      <c r="O768" s="10">
        <v>0</v>
      </c>
      <c r="P768" s="10">
        <v>0</v>
      </c>
      <c r="Q768" s="10">
        <v>0</v>
      </c>
      <c r="R768" s="10">
        <v>1</v>
      </c>
      <c r="S768" s="10">
        <v>0</v>
      </c>
      <c r="T768" s="9">
        <v>1</v>
      </c>
      <c r="U768" s="9">
        <v>1</v>
      </c>
      <c r="V768" s="9">
        <v>1</v>
      </c>
      <c r="W768" s="9">
        <v>1</v>
      </c>
      <c r="X768" s="9">
        <v>0</v>
      </c>
      <c r="Y768" s="9">
        <v>0</v>
      </c>
      <c r="Z768" s="11" t="str">
        <f t="shared" ref="Z768:Z781" si="107">"法攻上限提升"&amp;AA768&amp;"%并额外增加"&amp;AB768&amp;"点"</f>
        <v>法攻上限提升2.5%并额外增加20点</v>
      </c>
      <c r="AA768" s="57">
        <v>2.5</v>
      </c>
      <c r="AB768" s="57">
        <v>20</v>
      </c>
    </row>
    <row r="769" spans="1:28" s="9" customFormat="1" ht="14.25" x14ac:dyDescent="0.15">
      <c r="A769" s="23">
        <v>10722</v>
      </c>
      <c r="B769" s="23" t="s">
        <v>1519</v>
      </c>
      <c r="C769" s="9">
        <f t="shared" si="105"/>
        <v>1</v>
      </c>
      <c r="D769" s="9">
        <v>1</v>
      </c>
      <c r="F769" s="12">
        <v>0</v>
      </c>
      <c r="G769" s="10">
        <v>1</v>
      </c>
      <c r="H769" s="10">
        <v>0</v>
      </c>
      <c r="I769" s="10">
        <v>0</v>
      </c>
      <c r="J769" s="10">
        <v>0</v>
      </c>
      <c r="K769" s="10">
        <v>0</v>
      </c>
      <c r="L769" s="9">
        <v>1</v>
      </c>
      <c r="M769" s="9">
        <f t="shared" si="106"/>
        <v>17</v>
      </c>
      <c r="N769" s="10">
        <v>1</v>
      </c>
      <c r="O769" s="10">
        <v>0</v>
      </c>
      <c r="P769" s="10">
        <v>0</v>
      </c>
      <c r="Q769" s="10">
        <v>0</v>
      </c>
      <c r="R769" s="10">
        <v>1</v>
      </c>
      <c r="S769" s="10">
        <v>0</v>
      </c>
      <c r="T769" s="9">
        <v>1</v>
      </c>
      <c r="U769" s="9">
        <v>1</v>
      </c>
      <c r="V769" s="9">
        <v>1</v>
      </c>
      <c r="W769" s="9">
        <v>1</v>
      </c>
      <c r="X769" s="9">
        <v>0</v>
      </c>
      <c r="Y769" s="9">
        <v>0</v>
      </c>
      <c r="Z769" s="11" t="str">
        <f t="shared" si="107"/>
        <v>法攻上限提升3%并额外增加30点</v>
      </c>
      <c r="AA769" s="57">
        <v>3</v>
      </c>
      <c r="AB769" s="57">
        <v>30</v>
      </c>
    </row>
    <row r="770" spans="1:28" s="9" customFormat="1" ht="14.25" x14ac:dyDescent="0.15">
      <c r="A770" s="23">
        <v>10723</v>
      </c>
      <c r="B770" s="23" t="s">
        <v>1520</v>
      </c>
      <c r="C770" s="9">
        <f t="shared" si="105"/>
        <v>1</v>
      </c>
      <c r="D770" s="9">
        <v>1</v>
      </c>
      <c r="F770" s="12">
        <v>0</v>
      </c>
      <c r="G770" s="10">
        <v>1</v>
      </c>
      <c r="H770" s="10">
        <v>0</v>
      </c>
      <c r="I770" s="10">
        <v>0</v>
      </c>
      <c r="J770" s="10">
        <v>0</v>
      </c>
      <c r="K770" s="10">
        <v>0</v>
      </c>
      <c r="L770" s="9">
        <v>1</v>
      </c>
      <c r="M770" s="9">
        <f t="shared" si="106"/>
        <v>17</v>
      </c>
      <c r="N770" s="10">
        <v>1</v>
      </c>
      <c r="O770" s="10">
        <v>0</v>
      </c>
      <c r="P770" s="10">
        <v>0</v>
      </c>
      <c r="Q770" s="10">
        <v>0</v>
      </c>
      <c r="R770" s="10">
        <v>1</v>
      </c>
      <c r="S770" s="10">
        <v>0</v>
      </c>
      <c r="T770" s="9">
        <v>1</v>
      </c>
      <c r="U770" s="9">
        <v>1</v>
      </c>
      <c r="V770" s="9">
        <v>1</v>
      </c>
      <c r="W770" s="9">
        <v>1</v>
      </c>
      <c r="X770" s="9">
        <v>0</v>
      </c>
      <c r="Y770" s="9">
        <v>0</v>
      </c>
      <c r="Z770" s="11" t="str">
        <f t="shared" si="107"/>
        <v>法攻上限提升4%并额外增加40点</v>
      </c>
      <c r="AA770" s="57">
        <v>4</v>
      </c>
      <c r="AB770" s="57">
        <v>40</v>
      </c>
    </row>
    <row r="771" spans="1:28" s="9" customFormat="1" ht="14.25" x14ac:dyDescent="0.15">
      <c r="A771" s="23">
        <v>10724</v>
      </c>
      <c r="B771" s="23" t="s">
        <v>1521</v>
      </c>
      <c r="C771" s="9">
        <f t="shared" si="105"/>
        <v>1</v>
      </c>
      <c r="D771" s="9">
        <v>1</v>
      </c>
      <c r="F771" s="12">
        <v>0</v>
      </c>
      <c r="G771" s="10">
        <v>1</v>
      </c>
      <c r="H771" s="10">
        <v>0</v>
      </c>
      <c r="I771" s="10">
        <v>0</v>
      </c>
      <c r="J771" s="10">
        <v>0</v>
      </c>
      <c r="K771" s="10">
        <v>0</v>
      </c>
      <c r="L771" s="9">
        <v>1</v>
      </c>
      <c r="M771" s="9">
        <f t="shared" si="106"/>
        <v>17</v>
      </c>
      <c r="N771" s="10">
        <v>1</v>
      </c>
      <c r="O771" s="10">
        <v>0</v>
      </c>
      <c r="P771" s="10">
        <v>0</v>
      </c>
      <c r="Q771" s="10">
        <v>0</v>
      </c>
      <c r="R771" s="10">
        <v>1</v>
      </c>
      <c r="S771" s="10">
        <v>0</v>
      </c>
      <c r="T771" s="9">
        <v>1</v>
      </c>
      <c r="U771" s="9">
        <v>1</v>
      </c>
      <c r="V771" s="9">
        <v>1</v>
      </c>
      <c r="W771" s="9">
        <v>1</v>
      </c>
      <c r="X771" s="9">
        <v>0</v>
      </c>
      <c r="Y771" s="9">
        <v>0</v>
      </c>
      <c r="Z771" s="11" t="str">
        <f t="shared" si="107"/>
        <v>法攻上限提升4.5%并额外增加50点</v>
      </c>
      <c r="AA771" s="57">
        <v>4.5</v>
      </c>
      <c r="AB771" s="57">
        <v>50</v>
      </c>
    </row>
    <row r="772" spans="1:28" s="9" customFormat="1" ht="14.25" x14ac:dyDescent="0.15">
      <c r="A772" s="23">
        <v>10725</v>
      </c>
      <c r="B772" s="23" t="s">
        <v>1522</v>
      </c>
      <c r="C772" s="9">
        <f t="shared" si="105"/>
        <v>1</v>
      </c>
      <c r="D772" s="9">
        <v>1</v>
      </c>
      <c r="F772" s="12">
        <v>0</v>
      </c>
      <c r="G772" s="10">
        <v>1</v>
      </c>
      <c r="H772" s="10">
        <v>0</v>
      </c>
      <c r="I772" s="10">
        <v>0</v>
      </c>
      <c r="J772" s="10">
        <v>0</v>
      </c>
      <c r="K772" s="10">
        <v>0</v>
      </c>
      <c r="L772" s="9">
        <v>1</v>
      </c>
      <c r="M772" s="9">
        <f t="shared" si="106"/>
        <v>17</v>
      </c>
      <c r="N772" s="10">
        <v>1</v>
      </c>
      <c r="O772" s="10">
        <v>0</v>
      </c>
      <c r="P772" s="10">
        <v>0</v>
      </c>
      <c r="Q772" s="10">
        <v>0</v>
      </c>
      <c r="R772" s="10">
        <v>1</v>
      </c>
      <c r="S772" s="10">
        <v>0</v>
      </c>
      <c r="T772" s="9">
        <v>1</v>
      </c>
      <c r="U772" s="9">
        <v>1</v>
      </c>
      <c r="V772" s="9">
        <v>1</v>
      </c>
      <c r="W772" s="9">
        <v>1</v>
      </c>
      <c r="X772" s="9">
        <v>0</v>
      </c>
      <c r="Y772" s="9">
        <v>0</v>
      </c>
      <c r="Z772" s="11" t="str">
        <f t="shared" si="107"/>
        <v>法攻上限提升5%并额外增加60点</v>
      </c>
      <c r="AA772" s="57">
        <v>5</v>
      </c>
      <c r="AB772" s="57">
        <v>60</v>
      </c>
    </row>
    <row r="773" spans="1:28" s="9" customFormat="1" ht="14.25" x14ac:dyDescent="0.15">
      <c r="A773" s="23">
        <v>10726</v>
      </c>
      <c r="B773" s="23" t="s">
        <v>1523</v>
      </c>
      <c r="C773" s="9">
        <f t="shared" si="105"/>
        <v>1</v>
      </c>
      <c r="D773" s="9">
        <v>1</v>
      </c>
      <c r="F773" s="12">
        <v>0</v>
      </c>
      <c r="G773" s="10">
        <v>1</v>
      </c>
      <c r="H773" s="10">
        <v>0</v>
      </c>
      <c r="I773" s="10">
        <v>0</v>
      </c>
      <c r="J773" s="10">
        <v>0</v>
      </c>
      <c r="K773" s="10">
        <v>0</v>
      </c>
      <c r="L773" s="9">
        <v>1</v>
      </c>
      <c r="M773" s="9">
        <f t="shared" si="106"/>
        <v>17</v>
      </c>
      <c r="N773" s="10">
        <v>1</v>
      </c>
      <c r="O773" s="10">
        <v>0</v>
      </c>
      <c r="P773" s="10">
        <v>0</v>
      </c>
      <c r="Q773" s="10">
        <v>0</v>
      </c>
      <c r="R773" s="10">
        <v>1</v>
      </c>
      <c r="S773" s="10">
        <v>0</v>
      </c>
      <c r="T773" s="9">
        <v>1</v>
      </c>
      <c r="U773" s="9">
        <v>1</v>
      </c>
      <c r="V773" s="9">
        <v>1</v>
      </c>
      <c r="W773" s="9">
        <v>1</v>
      </c>
      <c r="X773" s="9">
        <v>0</v>
      </c>
      <c r="Y773" s="9">
        <v>0</v>
      </c>
      <c r="Z773" s="11" t="str">
        <f t="shared" si="107"/>
        <v>法攻上限提升5.5%并额外增加70点</v>
      </c>
      <c r="AA773" s="57">
        <v>5.5</v>
      </c>
      <c r="AB773" s="57">
        <v>70</v>
      </c>
    </row>
    <row r="774" spans="1:28" s="9" customFormat="1" ht="14.25" x14ac:dyDescent="0.15">
      <c r="A774" s="23">
        <v>10727</v>
      </c>
      <c r="B774" s="23" t="s">
        <v>1524</v>
      </c>
      <c r="C774" s="9">
        <f t="shared" si="105"/>
        <v>1</v>
      </c>
      <c r="D774" s="9">
        <v>1</v>
      </c>
      <c r="F774" s="12">
        <v>0</v>
      </c>
      <c r="G774" s="10">
        <v>1</v>
      </c>
      <c r="H774" s="10">
        <v>0</v>
      </c>
      <c r="I774" s="10">
        <v>0</v>
      </c>
      <c r="J774" s="10">
        <v>0</v>
      </c>
      <c r="K774" s="10">
        <v>0</v>
      </c>
      <c r="L774" s="9">
        <v>1</v>
      </c>
      <c r="M774" s="9">
        <f t="shared" si="106"/>
        <v>17</v>
      </c>
      <c r="N774" s="10">
        <v>1</v>
      </c>
      <c r="O774" s="10">
        <v>0</v>
      </c>
      <c r="P774" s="10">
        <v>0</v>
      </c>
      <c r="Q774" s="10">
        <v>0</v>
      </c>
      <c r="R774" s="10">
        <v>1</v>
      </c>
      <c r="S774" s="10">
        <v>0</v>
      </c>
      <c r="T774" s="9">
        <v>1</v>
      </c>
      <c r="U774" s="9">
        <v>1</v>
      </c>
      <c r="V774" s="9">
        <v>1</v>
      </c>
      <c r="W774" s="9">
        <v>1</v>
      </c>
      <c r="X774" s="9">
        <v>0</v>
      </c>
      <c r="Y774" s="9">
        <v>0</v>
      </c>
      <c r="Z774" s="11" t="str">
        <f t="shared" si="107"/>
        <v>法攻上限提升6%并额外增加80点</v>
      </c>
      <c r="AA774" s="57">
        <v>6</v>
      </c>
      <c r="AB774" s="57">
        <v>80</v>
      </c>
    </row>
    <row r="775" spans="1:28" s="9" customFormat="1" ht="14.25" x14ac:dyDescent="0.15">
      <c r="A775" s="23">
        <v>10728</v>
      </c>
      <c r="B775" s="23" t="s">
        <v>1525</v>
      </c>
      <c r="C775" s="9">
        <f t="shared" si="105"/>
        <v>1</v>
      </c>
      <c r="D775" s="9">
        <v>1</v>
      </c>
      <c r="F775" s="12">
        <v>0</v>
      </c>
      <c r="G775" s="10">
        <v>1</v>
      </c>
      <c r="H775" s="10">
        <v>0</v>
      </c>
      <c r="I775" s="10">
        <v>0</v>
      </c>
      <c r="J775" s="10">
        <v>0</v>
      </c>
      <c r="K775" s="10">
        <v>0</v>
      </c>
      <c r="L775" s="9">
        <v>1</v>
      </c>
      <c r="M775" s="9">
        <f t="shared" si="106"/>
        <v>17</v>
      </c>
      <c r="N775" s="10">
        <v>1</v>
      </c>
      <c r="O775" s="10">
        <v>0</v>
      </c>
      <c r="P775" s="10">
        <v>0</v>
      </c>
      <c r="Q775" s="10">
        <v>0</v>
      </c>
      <c r="R775" s="10">
        <v>1</v>
      </c>
      <c r="S775" s="10">
        <v>0</v>
      </c>
      <c r="T775" s="9">
        <v>1</v>
      </c>
      <c r="U775" s="9">
        <v>1</v>
      </c>
      <c r="V775" s="9">
        <v>1</v>
      </c>
      <c r="W775" s="9">
        <v>1</v>
      </c>
      <c r="X775" s="9">
        <v>0</v>
      </c>
      <c r="Y775" s="9">
        <v>0</v>
      </c>
      <c r="Z775" s="11" t="str">
        <f t="shared" si="107"/>
        <v>法攻上限提升6.5%并额外增加90点</v>
      </c>
      <c r="AA775" s="57">
        <v>6.5</v>
      </c>
      <c r="AB775" s="57">
        <v>90</v>
      </c>
    </row>
    <row r="776" spans="1:28" s="9" customFormat="1" ht="14.25" x14ac:dyDescent="0.15">
      <c r="A776" s="23">
        <v>10729</v>
      </c>
      <c r="B776" s="23" t="s">
        <v>1526</v>
      </c>
      <c r="C776" s="9">
        <f t="shared" si="105"/>
        <v>1</v>
      </c>
      <c r="D776" s="9">
        <v>1</v>
      </c>
      <c r="F776" s="12">
        <v>0</v>
      </c>
      <c r="G776" s="10">
        <v>1</v>
      </c>
      <c r="H776" s="10">
        <v>0</v>
      </c>
      <c r="I776" s="10">
        <v>0</v>
      </c>
      <c r="J776" s="10">
        <v>0</v>
      </c>
      <c r="K776" s="10">
        <v>0</v>
      </c>
      <c r="L776" s="9">
        <v>1</v>
      </c>
      <c r="M776" s="9">
        <f t="shared" si="106"/>
        <v>17</v>
      </c>
      <c r="N776" s="10">
        <v>1</v>
      </c>
      <c r="O776" s="10">
        <v>0</v>
      </c>
      <c r="P776" s="10">
        <v>0</v>
      </c>
      <c r="Q776" s="10">
        <v>0</v>
      </c>
      <c r="R776" s="10">
        <v>1</v>
      </c>
      <c r="S776" s="10">
        <v>0</v>
      </c>
      <c r="T776" s="9">
        <v>1</v>
      </c>
      <c r="U776" s="9">
        <v>1</v>
      </c>
      <c r="V776" s="9">
        <v>1</v>
      </c>
      <c r="W776" s="9">
        <v>1</v>
      </c>
      <c r="X776" s="9">
        <v>0</v>
      </c>
      <c r="Y776" s="9">
        <v>0</v>
      </c>
      <c r="Z776" s="11" t="str">
        <f t="shared" si="107"/>
        <v>法攻上限提升7%并额外增加100点</v>
      </c>
      <c r="AA776" s="57">
        <v>7</v>
      </c>
      <c r="AB776" s="57">
        <v>100</v>
      </c>
    </row>
    <row r="777" spans="1:28" s="9" customFormat="1" ht="14.25" x14ac:dyDescent="0.15">
      <c r="A777" s="23">
        <v>10730</v>
      </c>
      <c r="B777" s="23" t="s">
        <v>1527</v>
      </c>
      <c r="C777" s="9">
        <f t="shared" si="105"/>
        <v>1</v>
      </c>
      <c r="D777" s="9">
        <v>1</v>
      </c>
      <c r="F777" s="12">
        <v>0</v>
      </c>
      <c r="G777" s="10">
        <v>1</v>
      </c>
      <c r="H777" s="10">
        <v>0</v>
      </c>
      <c r="I777" s="10">
        <v>0</v>
      </c>
      <c r="J777" s="10">
        <v>0</v>
      </c>
      <c r="K777" s="10">
        <v>0</v>
      </c>
      <c r="L777" s="9">
        <v>1</v>
      </c>
      <c r="M777" s="9">
        <f t="shared" si="106"/>
        <v>17</v>
      </c>
      <c r="N777" s="10">
        <v>1</v>
      </c>
      <c r="O777" s="10">
        <v>0</v>
      </c>
      <c r="P777" s="10">
        <v>0</v>
      </c>
      <c r="Q777" s="10">
        <v>0</v>
      </c>
      <c r="R777" s="10">
        <v>1</v>
      </c>
      <c r="S777" s="10">
        <v>0</v>
      </c>
      <c r="T777" s="9">
        <v>1</v>
      </c>
      <c r="U777" s="9">
        <v>1</v>
      </c>
      <c r="V777" s="9">
        <v>1</v>
      </c>
      <c r="W777" s="9">
        <v>1</v>
      </c>
      <c r="X777" s="9">
        <v>0</v>
      </c>
      <c r="Y777" s="9">
        <v>0</v>
      </c>
      <c r="Z777" s="11" t="str">
        <f t="shared" si="107"/>
        <v>法攻上限提升8%并额外增加110点</v>
      </c>
      <c r="AA777" s="57">
        <v>8</v>
      </c>
      <c r="AB777" s="57">
        <v>110</v>
      </c>
    </row>
    <row r="778" spans="1:28" s="9" customFormat="1" ht="14.25" x14ac:dyDescent="0.15">
      <c r="A778" s="23">
        <v>10731</v>
      </c>
      <c r="B778" s="23" t="s">
        <v>1528</v>
      </c>
      <c r="C778" s="9">
        <f t="shared" si="105"/>
        <v>1</v>
      </c>
      <c r="D778" s="9">
        <v>1</v>
      </c>
      <c r="F778" s="12">
        <v>0</v>
      </c>
      <c r="G778" s="10">
        <v>1</v>
      </c>
      <c r="H778" s="10">
        <v>0</v>
      </c>
      <c r="I778" s="10">
        <v>0</v>
      </c>
      <c r="J778" s="10">
        <v>0</v>
      </c>
      <c r="K778" s="10">
        <v>0</v>
      </c>
      <c r="L778" s="9">
        <v>1</v>
      </c>
      <c r="M778" s="9">
        <f t="shared" si="106"/>
        <v>17</v>
      </c>
      <c r="N778" s="10">
        <v>1</v>
      </c>
      <c r="O778" s="10">
        <v>0</v>
      </c>
      <c r="P778" s="10">
        <v>0</v>
      </c>
      <c r="Q778" s="10">
        <v>0</v>
      </c>
      <c r="R778" s="10">
        <v>1</v>
      </c>
      <c r="S778" s="10">
        <v>0</v>
      </c>
      <c r="T778" s="9">
        <v>1</v>
      </c>
      <c r="U778" s="9">
        <v>1</v>
      </c>
      <c r="V778" s="9">
        <v>1</v>
      </c>
      <c r="W778" s="9">
        <v>1</v>
      </c>
      <c r="X778" s="9">
        <v>0</v>
      </c>
      <c r="Y778" s="9">
        <v>0</v>
      </c>
      <c r="Z778" s="11" t="str">
        <f t="shared" si="107"/>
        <v>法攻上限提升9%并额外增加120点</v>
      </c>
      <c r="AA778" s="57">
        <v>9</v>
      </c>
      <c r="AB778" s="57">
        <v>120</v>
      </c>
    </row>
    <row r="779" spans="1:28" s="9" customFormat="1" ht="14.25" x14ac:dyDescent="0.15">
      <c r="A779" s="23">
        <v>10732</v>
      </c>
      <c r="B779" s="23" t="s">
        <v>1529</v>
      </c>
      <c r="C779" s="9">
        <f t="shared" si="105"/>
        <v>1</v>
      </c>
      <c r="D779" s="9">
        <v>1</v>
      </c>
      <c r="F779" s="12">
        <v>0</v>
      </c>
      <c r="G779" s="10">
        <v>1</v>
      </c>
      <c r="H779" s="10">
        <v>0</v>
      </c>
      <c r="I779" s="10">
        <v>0</v>
      </c>
      <c r="J779" s="10">
        <v>0</v>
      </c>
      <c r="K779" s="10">
        <v>0</v>
      </c>
      <c r="L779" s="9">
        <v>1</v>
      </c>
      <c r="M779" s="9">
        <f t="shared" si="106"/>
        <v>17</v>
      </c>
      <c r="N779" s="10">
        <v>1</v>
      </c>
      <c r="O779" s="10">
        <v>0</v>
      </c>
      <c r="P779" s="10">
        <v>0</v>
      </c>
      <c r="Q779" s="10">
        <v>0</v>
      </c>
      <c r="R779" s="10">
        <v>1</v>
      </c>
      <c r="S779" s="10">
        <v>0</v>
      </c>
      <c r="T779" s="9">
        <v>1</v>
      </c>
      <c r="U779" s="9">
        <v>1</v>
      </c>
      <c r="V779" s="9">
        <v>1</v>
      </c>
      <c r="W779" s="9">
        <v>1</v>
      </c>
      <c r="X779" s="9">
        <v>0</v>
      </c>
      <c r="Y779" s="9">
        <v>0</v>
      </c>
      <c r="Z779" s="11" t="str">
        <f t="shared" si="107"/>
        <v>法攻上限提升10%并额外增加130点</v>
      </c>
      <c r="AA779" s="57">
        <v>10</v>
      </c>
      <c r="AB779" s="57">
        <v>130</v>
      </c>
    </row>
    <row r="780" spans="1:28" s="9" customFormat="1" ht="14.25" x14ac:dyDescent="0.15">
      <c r="A780" s="23">
        <v>10733</v>
      </c>
      <c r="B780" s="23" t="s">
        <v>1530</v>
      </c>
      <c r="C780" s="9">
        <f t="shared" si="105"/>
        <v>1</v>
      </c>
      <c r="D780" s="9">
        <v>1</v>
      </c>
      <c r="F780" s="12">
        <v>0</v>
      </c>
      <c r="G780" s="10">
        <v>1</v>
      </c>
      <c r="H780" s="10">
        <v>0</v>
      </c>
      <c r="I780" s="10">
        <v>0</v>
      </c>
      <c r="J780" s="10">
        <v>0</v>
      </c>
      <c r="K780" s="10">
        <v>0</v>
      </c>
      <c r="L780" s="9">
        <v>1</v>
      </c>
      <c r="M780" s="9">
        <f t="shared" si="106"/>
        <v>17</v>
      </c>
      <c r="N780" s="10">
        <v>1</v>
      </c>
      <c r="O780" s="10">
        <v>0</v>
      </c>
      <c r="P780" s="10">
        <v>0</v>
      </c>
      <c r="Q780" s="10">
        <v>0</v>
      </c>
      <c r="R780" s="10">
        <v>1</v>
      </c>
      <c r="S780" s="10">
        <v>0</v>
      </c>
      <c r="T780" s="9">
        <v>1</v>
      </c>
      <c r="U780" s="9">
        <v>1</v>
      </c>
      <c r="V780" s="9">
        <v>1</v>
      </c>
      <c r="W780" s="9">
        <v>1</v>
      </c>
      <c r="X780" s="9">
        <v>0</v>
      </c>
      <c r="Y780" s="9">
        <v>0</v>
      </c>
      <c r="Z780" s="11" t="str">
        <f t="shared" si="107"/>
        <v>法攻上限提升11%并额外增加140点</v>
      </c>
      <c r="AA780" s="57">
        <v>11</v>
      </c>
      <c r="AB780" s="57">
        <v>140</v>
      </c>
    </row>
    <row r="781" spans="1:28" s="9" customFormat="1" ht="14.25" x14ac:dyDescent="0.15">
      <c r="A781" s="23">
        <v>10734</v>
      </c>
      <c r="B781" s="23" t="s">
        <v>1531</v>
      </c>
      <c r="C781" s="9">
        <f t="shared" si="105"/>
        <v>1</v>
      </c>
      <c r="D781" s="9">
        <v>1</v>
      </c>
      <c r="F781" s="12">
        <v>0</v>
      </c>
      <c r="G781" s="10">
        <v>1</v>
      </c>
      <c r="H781" s="10">
        <v>0</v>
      </c>
      <c r="I781" s="10">
        <v>0</v>
      </c>
      <c r="J781" s="10">
        <v>0</v>
      </c>
      <c r="K781" s="10">
        <v>0</v>
      </c>
      <c r="L781" s="9">
        <v>1</v>
      </c>
      <c r="M781" s="9">
        <f t="shared" si="106"/>
        <v>17</v>
      </c>
      <c r="N781" s="10">
        <v>1</v>
      </c>
      <c r="O781" s="10">
        <v>0</v>
      </c>
      <c r="P781" s="10">
        <v>0</v>
      </c>
      <c r="Q781" s="10">
        <v>0</v>
      </c>
      <c r="R781" s="10">
        <v>1</v>
      </c>
      <c r="S781" s="10">
        <v>0</v>
      </c>
      <c r="T781" s="9">
        <v>1</v>
      </c>
      <c r="U781" s="9">
        <v>1</v>
      </c>
      <c r="V781" s="9">
        <v>1</v>
      </c>
      <c r="W781" s="9">
        <v>1</v>
      </c>
      <c r="X781" s="9">
        <v>0</v>
      </c>
      <c r="Y781" s="9">
        <v>0</v>
      </c>
      <c r="Z781" s="11" t="str">
        <f t="shared" si="107"/>
        <v>法攻上限提升12%并额外增加150点</v>
      </c>
      <c r="AA781" s="57">
        <v>12</v>
      </c>
      <c r="AB781" s="57">
        <v>150</v>
      </c>
    </row>
    <row r="782" spans="1:28" s="9" customFormat="1" ht="12" x14ac:dyDescent="0.15">
      <c r="A782" s="23">
        <v>10735</v>
      </c>
      <c r="B782" s="23" t="s">
        <v>1532</v>
      </c>
      <c r="C782" s="9">
        <f>G782+H782*2+I782*4+J782*8+K782*16</f>
        <v>1</v>
      </c>
      <c r="D782" s="9">
        <v>1</v>
      </c>
      <c r="F782" s="12">
        <v>0</v>
      </c>
      <c r="G782" s="10">
        <v>1</v>
      </c>
      <c r="H782" s="10">
        <v>0</v>
      </c>
      <c r="I782" s="10">
        <v>0</v>
      </c>
      <c r="J782" s="10">
        <v>0</v>
      </c>
      <c r="K782" s="10">
        <v>0</v>
      </c>
      <c r="L782" s="9">
        <v>1</v>
      </c>
      <c r="M782" s="9">
        <f>N782+O782*2+P782*4+Q782*8+R782*16+S782*32</f>
        <v>17</v>
      </c>
      <c r="N782" s="10">
        <v>1</v>
      </c>
      <c r="O782" s="10">
        <v>0</v>
      </c>
      <c r="P782" s="10">
        <v>0</v>
      </c>
      <c r="Q782" s="10">
        <v>0</v>
      </c>
      <c r="R782" s="10">
        <v>1</v>
      </c>
      <c r="S782" s="10">
        <v>0</v>
      </c>
      <c r="T782" s="9">
        <v>1</v>
      </c>
      <c r="U782" s="9">
        <v>1</v>
      </c>
      <c r="V782" s="9">
        <v>1</v>
      </c>
      <c r="W782" s="9">
        <v>1</v>
      </c>
      <c r="X782" s="9">
        <v>0</v>
      </c>
      <c r="Y782" s="9">
        <v>0</v>
      </c>
      <c r="Z782" s="11" t="s">
        <v>1514</v>
      </c>
    </row>
    <row r="783" spans="1:28" s="9" customFormat="1" ht="15" customHeight="1" x14ac:dyDescent="0.15">
      <c r="A783" s="9">
        <v>10900</v>
      </c>
      <c r="B783" s="9" t="s">
        <v>63</v>
      </c>
      <c r="C783" s="9">
        <f t="shared" si="85"/>
        <v>1</v>
      </c>
      <c r="D783" s="9">
        <v>1</v>
      </c>
      <c r="F783" s="12">
        <v>0</v>
      </c>
      <c r="G783" s="10">
        <v>1</v>
      </c>
      <c r="H783" s="10">
        <v>0</v>
      </c>
      <c r="I783" s="10">
        <v>0</v>
      </c>
      <c r="J783" s="10">
        <v>0</v>
      </c>
      <c r="K783" s="10">
        <v>0</v>
      </c>
      <c r="L783" s="9">
        <v>1</v>
      </c>
      <c r="M783" s="9">
        <f t="shared" si="86"/>
        <v>0</v>
      </c>
      <c r="N783" s="10">
        <v>0</v>
      </c>
      <c r="O783" s="10">
        <v>0</v>
      </c>
      <c r="P783" s="10">
        <v>0</v>
      </c>
      <c r="Q783" s="10">
        <v>0</v>
      </c>
      <c r="R783" s="10">
        <v>0</v>
      </c>
      <c r="S783" s="10">
        <v>0</v>
      </c>
      <c r="T783" s="9">
        <v>1</v>
      </c>
      <c r="U783" s="9">
        <v>0</v>
      </c>
      <c r="V783" s="9">
        <v>1</v>
      </c>
      <c r="W783" s="9">
        <v>0</v>
      </c>
      <c r="X783" s="9">
        <v>0</v>
      </c>
      <c r="Y783" s="9">
        <v>0</v>
      </c>
      <c r="Z783" s="9" t="s">
        <v>262</v>
      </c>
    </row>
    <row r="784" spans="1:28" s="9" customFormat="1" ht="15" customHeight="1" x14ac:dyDescent="0.15">
      <c r="A784" s="9">
        <v>10702</v>
      </c>
      <c r="B784" s="9" t="s">
        <v>304</v>
      </c>
      <c r="C784" s="9">
        <f t="shared" si="85"/>
        <v>1</v>
      </c>
      <c r="D784" s="9">
        <v>1</v>
      </c>
      <c r="F784" s="12">
        <v>0</v>
      </c>
      <c r="G784" s="10">
        <v>1</v>
      </c>
      <c r="H784" s="10">
        <v>0</v>
      </c>
      <c r="I784" s="10">
        <v>0</v>
      </c>
      <c r="J784" s="10">
        <v>0</v>
      </c>
      <c r="K784" s="10">
        <v>0</v>
      </c>
      <c r="L784" s="9">
        <v>1</v>
      </c>
      <c r="M784" s="9">
        <f t="shared" si="86"/>
        <v>32</v>
      </c>
      <c r="N784" s="10">
        <v>0</v>
      </c>
      <c r="O784" s="10">
        <v>0</v>
      </c>
      <c r="P784" s="10">
        <v>0</v>
      </c>
      <c r="Q784" s="10">
        <v>0</v>
      </c>
      <c r="R784" s="10">
        <v>0</v>
      </c>
      <c r="S784" s="10">
        <v>1</v>
      </c>
      <c r="T784" s="9">
        <v>1</v>
      </c>
      <c r="U784" s="9">
        <v>0</v>
      </c>
      <c r="V784" s="9">
        <v>1</v>
      </c>
      <c r="W784" s="9">
        <v>0</v>
      </c>
      <c r="X784" s="9">
        <v>0</v>
      </c>
      <c r="Y784" s="9">
        <v>0</v>
      </c>
      <c r="Z784" s="9" t="s">
        <v>48</v>
      </c>
    </row>
    <row r="785" spans="1:27" s="9" customFormat="1" ht="15" customHeight="1" x14ac:dyDescent="0.15">
      <c r="A785" s="9">
        <v>10703</v>
      </c>
      <c r="B785" s="9" t="s">
        <v>111</v>
      </c>
      <c r="C785" s="9">
        <f t="shared" si="85"/>
        <v>1</v>
      </c>
      <c r="D785" s="9">
        <v>1</v>
      </c>
      <c r="F785" s="12">
        <v>0</v>
      </c>
      <c r="G785" s="10">
        <v>1</v>
      </c>
      <c r="H785" s="10">
        <v>0</v>
      </c>
      <c r="I785" s="10">
        <v>0</v>
      </c>
      <c r="J785" s="10">
        <v>0</v>
      </c>
      <c r="K785" s="10">
        <v>0</v>
      </c>
      <c r="L785" s="9">
        <v>1</v>
      </c>
      <c r="M785" s="9">
        <f t="shared" si="86"/>
        <v>32</v>
      </c>
      <c r="N785" s="10">
        <v>0</v>
      </c>
      <c r="O785" s="10">
        <v>0</v>
      </c>
      <c r="P785" s="10">
        <v>0</v>
      </c>
      <c r="Q785" s="10">
        <v>0</v>
      </c>
      <c r="R785" s="10">
        <v>0</v>
      </c>
      <c r="S785" s="10">
        <v>1</v>
      </c>
      <c r="T785" s="9">
        <v>1</v>
      </c>
      <c r="U785" s="9">
        <v>0</v>
      </c>
      <c r="V785" s="9">
        <v>1</v>
      </c>
      <c r="W785" s="9">
        <v>0</v>
      </c>
      <c r="X785" s="9">
        <v>0</v>
      </c>
      <c r="Y785" s="9">
        <v>0</v>
      </c>
      <c r="Z785" s="9" t="s">
        <v>455</v>
      </c>
      <c r="AA785" s="9" t="s">
        <v>259</v>
      </c>
    </row>
    <row r="786" spans="1:27" s="9" customFormat="1" ht="15.75" customHeight="1" x14ac:dyDescent="0.15">
      <c r="A786" s="9">
        <v>10705</v>
      </c>
      <c r="B786" s="9" t="s">
        <v>90</v>
      </c>
      <c r="C786" s="9">
        <f t="shared" si="85"/>
        <v>1</v>
      </c>
      <c r="D786" s="9">
        <v>1</v>
      </c>
      <c r="F786" s="12">
        <v>0</v>
      </c>
      <c r="G786" s="10">
        <v>1</v>
      </c>
      <c r="H786" s="10">
        <v>0</v>
      </c>
      <c r="I786" s="10">
        <v>0</v>
      </c>
      <c r="J786" s="10">
        <v>0</v>
      </c>
      <c r="K786" s="10">
        <v>0</v>
      </c>
      <c r="L786" s="9">
        <v>1</v>
      </c>
      <c r="M786" s="9">
        <f t="shared" si="86"/>
        <v>34</v>
      </c>
      <c r="N786" s="10">
        <v>0</v>
      </c>
      <c r="O786" s="10">
        <v>1</v>
      </c>
      <c r="P786" s="10">
        <v>0</v>
      </c>
      <c r="Q786" s="10">
        <v>0</v>
      </c>
      <c r="R786" s="10">
        <v>0</v>
      </c>
      <c r="S786" s="10">
        <v>1</v>
      </c>
      <c r="T786" s="9">
        <v>1</v>
      </c>
      <c r="U786" s="9">
        <v>0</v>
      </c>
      <c r="V786" s="9">
        <v>1</v>
      </c>
      <c r="W786" s="9">
        <v>0</v>
      </c>
      <c r="X786" s="9">
        <v>0</v>
      </c>
      <c r="Y786" s="9">
        <v>0</v>
      </c>
      <c r="Z786" s="9" t="s">
        <v>87</v>
      </c>
    </row>
    <row r="787" spans="1:27" s="9" customFormat="1" ht="15" customHeight="1" x14ac:dyDescent="0.15">
      <c r="A787" s="9">
        <v>10706</v>
      </c>
      <c r="B787" s="9" t="s">
        <v>91</v>
      </c>
      <c r="C787" s="9">
        <f t="shared" si="85"/>
        <v>1</v>
      </c>
      <c r="D787" s="9">
        <v>1</v>
      </c>
      <c r="F787" s="12">
        <v>0</v>
      </c>
      <c r="G787" s="10">
        <v>1</v>
      </c>
      <c r="H787" s="10">
        <v>0</v>
      </c>
      <c r="I787" s="10">
        <v>0</v>
      </c>
      <c r="J787" s="10">
        <v>0</v>
      </c>
      <c r="K787" s="10">
        <v>0</v>
      </c>
      <c r="L787" s="9">
        <v>1</v>
      </c>
      <c r="M787" s="9">
        <f t="shared" si="86"/>
        <v>32</v>
      </c>
      <c r="N787" s="10">
        <v>0</v>
      </c>
      <c r="O787" s="10">
        <v>0</v>
      </c>
      <c r="P787" s="10">
        <v>0</v>
      </c>
      <c r="Q787" s="10">
        <v>0</v>
      </c>
      <c r="R787" s="10">
        <v>0</v>
      </c>
      <c r="S787" s="10">
        <v>1</v>
      </c>
      <c r="T787" s="9">
        <v>1</v>
      </c>
      <c r="U787" s="9">
        <v>0</v>
      </c>
      <c r="V787" s="9">
        <v>1</v>
      </c>
      <c r="W787" s="9">
        <v>0</v>
      </c>
      <c r="X787" s="9">
        <v>0</v>
      </c>
      <c r="Y787" s="9">
        <v>0</v>
      </c>
      <c r="Z787" s="9" t="s">
        <v>85</v>
      </c>
    </row>
    <row r="788" spans="1:27" s="9" customFormat="1" ht="15" customHeight="1" x14ac:dyDescent="0.15">
      <c r="A788" s="9">
        <v>10707</v>
      </c>
      <c r="B788" s="9" t="s">
        <v>92</v>
      </c>
      <c r="C788" s="9">
        <f t="shared" si="85"/>
        <v>1</v>
      </c>
      <c r="D788" s="9">
        <v>1</v>
      </c>
      <c r="F788" s="12">
        <v>0</v>
      </c>
      <c r="G788" s="10">
        <v>1</v>
      </c>
      <c r="H788" s="10">
        <v>0</v>
      </c>
      <c r="I788" s="10">
        <v>0</v>
      </c>
      <c r="J788" s="10">
        <v>0</v>
      </c>
      <c r="K788" s="10">
        <v>0</v>
      </c>
      <c r="L788" s="9">
        <v>1</v>
      </c>
      <c r="M788" s="9">
        <f t="shared" si="86"/>
        <v>32</v>
      </c>
      <c r="N788" s="10">
        <v>0</v>
      </c>
      <c r="O788" s="10">
        <v>0</v>
      </c>
      <c r="P788" s="10">
        <v>0</v>
      </c>
      <c r="Q788" s="10">
        <v>0</v>
      </c>
      <c r="R788" s="10">
        <v>0</v>
      </c>
      <c r="S788" s="10">
        <v>1</v>
      </c>
      <c r="T788" s="9">
        <v>1</v>
      </c>
      <c r="U788" s="9">
        <v>0</v>
      </c>
      <c r="V788" s="9">
        <v>1</v>
      </c>
      <c r="W788" s="9">
        <v>0</v>
      </c>
      <c r="X788" s="9">
        <v>0</v>
      </c>
      <c r="Y788" s="9">
        <v>0</v>
      </c>
      <c r="Z788" s="9" t="s">
        <v>261</v>
      </c>
    </row>
    <row r="789" spans="1:27" s="9" customFormat="1" ht="15" customHeight="1" x14ac:dyDescent="0.15">
      <c r="A789" s="9">
        <v>10710</v>
      </c>
      <c r="B789" s="9" t="s">
        <v>93</v>
      </c>
      <c r="C789" s="9">
        <f t="shared" si="85"/>
        <v>1</v>
      </c>
      <c r="D789" s="9">
        <v>1</v>
      </c>
      <c r="F789" s="12">
        <v>0</v>
      </c>
      <c r="G789" s="10">
        <v>1</v>
      </c>
      <c r="H789" s="10">
        <v>0</v>
      </c>
      <c r="I789" s="10">
        <v>0</v>
      </c>
      <c r="J789" s="10">
        <v>0</v>
      </c>
      <c r="K789" s="10">
        <v>0</v>
      </c>
      <c r="L789" s="9">
        <v>1</v>
      </c>
      <c r="M789" s="9">
        <f t="shared" si="86"/>
        <v>0</v>
      </c>
      <c r="N789" s="10">
        <v>0</v>
      </c>
      <c r="O789" s="10">
        <v>0</v>
      </c>
      <c r="P789" s="10">
        <v>0</v>
      </c>
      <c r="Q789" s="10">
        <v>0</v>
      </c>
      <c r="R789" s="10">
        <v>0</v>
      </c>
      <c r="S789" s="10">
        <v>0</v>
      </c>
      <c r="T789" s="9">
        <v>1</v>
      </c>
      <c r="U789" s="9">
        <v>0</v>
      </c>
      <c r="V789" s="9">
        <v>1</v>
      </c>
      <c r="W789" s="9">
        <v>0</v>
      </c>
      <c r="X789" s="9">
        <v>0</v>
      </c>
      <c r="Y789" s="9">
        <v>0</v>
      </c>
      <c r="Z789" s="9" t="s">
        <v>81</v>
      </c>
    </row>
    <row r="790" spans="1:27" s="9" customFormat="1" ht="15" customHeight="1" x14ac:dyDescent="0.15">
      <c r="A790" s="9">
        <v>10711</v>
      </c>
      <c r="B790" s="9" t="s">
        <v>301</v>
      </c>
      <c r="C790" s="9">
        <f t="shared" si="85"/>
        <v>1</v>
      </c>
      <c r="D790" s="9">
        <v>1</v>
      </c>
      <c r="F790" s="12">
        <v>0</v>
      </c>
      <c r="G790" s="10">
        <v>1</v>
      </c>
      <c r="H790" s="10">
        <v>0</v>
      </c>
      <c r="I790" s="10">
        <v>0</v>
      </c>
      <c r="J790" s="10">
        <v>0</v>
      </c>
      <c r="K790" s="10">
        <v>0</v>
      </c>
      <c r="L790" s="9">
        <v>1</v>
      </c>
      <c r="M790" s="9">
        <f t="shared" si="86"/>
        <v>34</v>
      </c>
      <c r="N790" s="10">
        <v>0</v>
      </c>
      <c r="O790" s="10">
        <v>1</v>
      </c>
      <c r="P790" s="10">
        <v>0</v>
      </c>
      <c r="Q790" s="10">
        <v>0</v>
      </c>
      <c r="R790" s="10">
        <v>0</v>
      </c>
      <c r="S790" s="10">
        <v>1</v>
      </c>
      <c r="T790" s="9">
        <v>1</v>
      </c>
      <c r="U790" s="9">
        <v>0</v>
      </c>
      <c r="V790" s="9">
        <v>1</v>
      </c>
      <c r="W790" s="9">
        <v>0</v>
      </c>
      <c r="X790" s="9">
        <v>0</v>
      </c>
      <c r="Y790" s="9">
        <v>0</v>
      </c>
      <c r="Z790" s="9" t="s">
        <v>300</v>
      </c>
    </row>
    <row r="791" spans="1:27" s="9" customFormat="1" ht="15" customHeight="1" x14ac:dyDescent="0.15">
      <c r="A791" s="9">
        <v>10712</v>
      </c>
      <c r="B791" s="9" t="s">
        <v>302</v>
      </c>
      <c r="C791" s="9">
        <f t="shared" si="85"/>
        <v>1</v>
      </c>
      <c r="D791" s="9">
        <v>1</v>
      </c>
      <c r="F791" s="12">
        <v>0</v>
      </c>
      <c r="G791" s="10">
        <v>1</v>
      </c>
      <c r="H791" s="10">
        <v>0</v>
      </c>
      <c r="I791" s="10">
        <v>0</v>
      </c>
      <c r="J791" s="10">
        <v>0</v>
      </c>
      <c r="K791" s="10">
        <v>0</v>
      </c>
      <c r="L791" s="9">
        <v>1</v>
      </c>
      <c r="M791" s="9">
        <f t="shared" si="86"/>
        <v>34</v>
      </c>
      <c r="N791" s="10">
        <v>0</v>
      </c>
      <c r="O791" s="10">
        <v>1</v>
      </c>
      <c r="P791" s="10">
        <v>0</v>
      </c>
      <c r="Q791" s="10">
        <v>0</v>
      </c>
      <c r="R791" s="10">
        <v>0</v>
      </c>
      <c r="S791" s="10">
        <v>1</v>
      </c>
      <c r="T791" s="9">
        <v>1</v>
      </c>
      <c r="U791" s="9">
        <v>0</v>
      </c>
      <c r="V791" s="9">
        <v>1</v>
      </c>
      <c r="W791" s="9">
        <v>0</v>
      </c>
      <c r="X791" s="9">
        <v>0</v>
      </c>
      <c r="Y791" s="9">
        <v>0</v>
      </c>
      <c r="Z791" s="9" t="s">
        <v>298</v>
      </c>
    </row>
    <row r="792" spans="1:27" s="9" customFormat="1" ht="15" customHeight="1" x14ac:dyDescent="0.15">
      <c r="A792" s="9">
        <v>10713</v>
      </c>
      <c r="B792" s="9" t="s">
        <v>303</v>
      </c>
      <c r="C792" s="9">
        <f t="shared" si="85"/>
        <v>1</v>
      </c>
      <c r="D792" s="9">
        <v>1</v>
      </c>
      <c r="F792" s="12">
        <v>0</v>
      </c>
      <c r="G792" s="10">
        <v>1</v>
      </c>
      <c r="H792" s="10">
        <v>0</v>
      </c>
      <c r="I792" s="10">
        <v>0</v>
      </c>
      <c r="J792" s="10">
        <v>0</v>
      </c>
      <c r="K792" s="10">
        <v>0</v>
      </c>
      <c r="L792" s="9">
        <v>1</v>
      </c>
      <c r="M792" s="9">
        <f t="shared" si="86"/>
        <v>34</v>
      </c>
      <c r="N792" s="10">
        <v>0</v>
      </c>
      <c r="O792" s="10">
        <v>1</v>
      </c>
      <c r="P792" s="10">
        <v>0</v>
      </c>
      <c r="Q792" s="10">
        <v>0</v>
      </c>
      <c r="R792" s="10">
        <v>0</v>
      </c>
      <c r="S792" s="10">
        <v>1</v>
      </c>
      <c r="T792" s="9">
        <v>1</v>
      </c>
      <c r="U792" s="9">
        <v>0</v>
      </c>
      <c r="V792" s="9">
        <v>1</v>
      </c>
      <c r="W792" s="9">
        <v>0</v>
      </c>
      <c r="X792" s="9">
        <v>0</v>
      </c>
      <c r="Y792" s="9">
        <v>0</v>
      </c>
      <c r="Z792" s="9" t="s">
        <v>299</v>
      </c>
    </row>
    <row r="793" spans="1:27" s="9" customFormat="1" ht="15" customHeight="1" x14ac:dyDescent="0.15">
      <c r="A793" s="9">
        <v>10714</v>
      </c>
      <c r="B793" s="9" t="s">
        <v>277</v>
      </c>
      <c r="C793" s="9">
        <f t="shared" si="85"/>
        <v>1</v>
      </c>
      <c r="D793" s="9">
        <v>1</v>
      </c>
      <c r="F793" s="12">
        <v>0</v>
      </c>
      <c r="G793" s="10">
        <v>1</v>
      </c>
      <c r="H793" s="10">
        <v>0</v>
      </c>
      <c r="I793" s="10">
        <v>0</v>
      </c>
      <c r="J793" s="10">
        <v>0</v>
      </c>
      <c r="K793" s="10">
        <v>0</v>
      </c>
      <c r="L793" s="9">
        <v>1</v>
      </c>
      <c r="M793" s="9">
        <f t="shared" ref="M793:M799" si="108">N793+O793*2+P793*4+Q793*8+R793*16+S793*32</f>
        <v>0</v>
      </c>
      <c r="N793" s="10">
        <v>0</v>
      </c>
      <c r="O793" s="10">
        <v>0</v>
      </c>
      <c r="P793" s="10">
        <v>0</v>
      </c>
      <c r="Q793" s="10">
        <v>0</v>
      </c>
      <c r="R793" s="10">
        <v>0</v>
      </c>
      <c r="S793" s="10">
        <v>0</v>
      </c>
      <c r="T793" s="9">
        <v>1</v>
      </c>
      <c r="U793" s="9">
        <v>0</v>
      </c>
      <c r="V793" s="9">
        <v>1</v>
      </c>
      <c r="W793" s="9">
        <v>0</v>
      </c>
      <c r="X793" s="9">
        <v>0</v>
      </c>
      <c r="Y793" s="9">
        <v>0</v>
      </c>
      <c r="Z793" s="9" t="s">
        <v>578</v>
      </c>
    </row>
    <row r="794" spans="1:27" s="9" customFormat="1" ht="15" customHeight="1" x14ac:dyDescent="0.15">
      <c r="A794" s="9">
        <v>10715</v>
      </c>
      <c r="B794" s="9" t="s">
        <v>577</v>
      </c>
      <c r="C794" s="9">
        <f t="shared" si="85"/>
        <v>1</v>
      </c>
      <c r="D794" s="9">
        <v>1</v>
      </c>
      <c r="F794" s="12">
        <v>0</v>
      </c>
      <c r="G794" s="10">
        <v>1</v>
      </c>
      <c r="H794" s="10">
        <v>0</v>
      </c>
      <c r="I794" s="10">
        <v>0</v>
      </c>
      <c r="J794" s="10">
        <v>0</v>
      </c>
      <c r="K794" s="10">
        <v>0</v>
      </c>
      <c r="L794" s="9">
        <v>1</v>
      </c>
      <c r="M794" s="9">
        <f t="shared" si="108"/>
        <v>0</v>
      </c>
      <c r="N794" s="10">
        <v>0</v>
      </c>
      <c r="O794" s="10">
        <v>0</v>
      </c>
      <c r="P794" s="10">
        <v>0</v>
      </c>
      <c r="Q794" s="10">
        <v>0</v>
      </c>
      <c r="R794" s="10">
        <v>0</v>
      </c>
      <c r="S794" s="10">
        <v>0</v>
      </c>
      <c r="T794" s="9">
        <v>1</v>
      </c>
      <c r="U794" s="9">
        <v>0</v>
      </c>
      <c r="V794" s="9">
        <v>1</v>
      </c>
      <c r="W794" s="9">
        <v>0</v>
      </c>
      <c r="X794" s="9">
        <v>0</v>
      </c>
      <c r="Y794" s="9">
        <v>0</v>
      </c>
      <c r="Z794" s="9" t="s">
        <v>579</v>
      </c>
    </row>
    <row r="795" spans="1:27" s="9" customFormat="1" ht="15" customHeight="1" x14ac:dyDescent="0.15">
      <c r="A795" s="9">
        <v>10716</v>
      </c>
      <c r="B795" s="9" t="s">
        <v>278</v>
      </c>
      <c r="C795" s="9">
        <f t="shared" si="85"/>
        <v>1</v>
      </c>
      <c r="D795" s="9">
        <v>1</v>
      </c>
      <c r="F795" s="12">
        <v>0</v>
      </c>
      <c r="G795" s="10">
        <v>1</v>
      </c>
      <c r="H795" s="10">
        <v>0</v>
      </c>
      <c r="I795" s="10">
        <v>0</v>
      </c>
      <c r="J795" s="10">
        <v>0</v>
      </c>
      <c r="K795" s="10">
        <v>0</v>
      </c>
      <c r="L795" s="9">
        <v>1</v>
      </c>
      <c r="M795" s="9">
        <f t="shared" si="108"/>
        <v>0</v>
      </c>
      <c r="N795" s="10">
        <v>0</v>
      </c>
      <c r="O795" s="10">
        <v>0</v>
      </c>
      <c r="P795" s="10">
        <v>0</v>
      </c>
      <c r="Q795" s="10">
        <v>0</v>
      </c>
      <c r="R795" s="10">
        <v>0</v>
      </c>
      <c r="S795" s="10">
        <v>0</v>
      </c>
      <c r="T795" s="9">
        <v>1</v>
      </c>
      <c r="U795" s="9">
        <v>0</v>
      </c>
      <c r="V795" s="9">
        <v>1</v>
      </c>
      <c r="W795" s="9">
        <v>0</v>
      </c>
      <c r="X795" s="9">
        <v>0</v>
      </c>
      <c r="Y795" s="9">
        <v>0</v>
      </c>
      <c r="Z795" s="9" t="s">
        <v>580</v>
      </c>
    </row>
    <row r="796" spans="1:27" s="9" customFormat="1" ht="15" customHeight="1" x14ac:dyDescent="0.15">
      <c r="A796" s="9">
        <v>10717</v>
      </c>
      <c r="B796" s="9" t="s">
        <v>364</v>
      </c>
      <c r="C796" s="9">
        <f t="shared" ref="C796:C801" si="109">G796+H796*2+I796*4+J796*8+K796*16</f>
        <v>1</v>
      </c>
      <c r="D796" s="9">
        <v>1</v>
      </c>
      <c r="F796" s="12">
        <v>0</v>
      </c>
      <c r="G796" s="10">
        <v>1</v>
      </c>
      <c r="H796" s="10">
        <v>0</v>
      </c>
      <c r="I796" s="10">
        <v>0</v>
      </c>
      <c r="J796" s="10">
        <v>0</v>
      </c>
      <c r="K796" s="10">
        <v>0</v>
      </c>
      <c r="L796" s="9">
        <v>1</v>
      </c>
      <c r="M796" s="9">
        <f t="shared" si="108"/>
        <v>0</v>
      </c>
      <c r="N796" s="10">
        <v>0</v>
      </c>
      <c r="O796" s="10">
        <v>0</v>
      </c>
      <c r="P796" s="10">
        <v>0</v>
      </c>
      <c r="Q796" s="10">
        <v>0</v>
      </c>
      <c r="R796" s="10">
        <v>0</v>
      </c>
      <c r="S796" s="10">
        <v>0</v>
      </c>
      <c r="T796" s="9">
        <v>1</v>
      </c>
      <c r="U796" s="9">
        <v>0</v>
      </c>
      <c r="V796" s="9">
        <v>1</v>
      </c>
      <c r="W796" s="9">
        <v>0</v>
      </c>
      <c r="X796" s="9">
        <v>0</v>
      </c>
      <c r="Y796" s="9">
        <v>0</v>
      </c>
      <c r="Z796" s="9" t="s">
        <v>581</v>
      </c>
    </row>
    <row r="797" spans="1:27" s="9" customFormat="1" ht="15" customHeight="1" x14ac:dyDescent="0.15">
      <c r="A797" s="9">
        <v>10718</v>
      </c>
      <c r="B797" s="9" t="s">
        <v>365</v>
      </c>
      <c r="C797" s="9">
        <f t="shared" si="109"/>
        <v>1</v>
      </c>
      <c r="D797" s="9">
        <v>1</v>
      </c>
      <c r="F797" s="12">
        <v>0</v>
      </c>
      <c r="G797" s="10">
        <v>1</v>
      </c>
      <c r="H797" s="10">
        <v>0</v>
      </c>
      <c r="I797" s="10">
        <v>0</v>
      </c>
      <c r="J797" s="10">
        <v>0</v>
      </c>
      <c r="K797" s="10">
        <v>0</v>
      </c>
      <c r="L797" s="9">
        <v>1</v>
      </c>
      <c r="M797" s="9">
        <f t="shared" si="108"/>
        <v>0</v>
      </c>
      <c r="N797" s="10">
        <v>0</v>
      </c>
      <c r="O797" s="10">
        <v>0</v>
      </c>
      <c r="P797" s="10">
        <v>0</v>
      </c>
      <c r="Q797" s="10">
        <v>0</v>
      </c>
      <c r="R797" s="10">
        <v>0</v>
      </c>
      <c r="S797" s="10">
        <v>0</v>
      </c>
      <c r="T797" s="9">
        <v>1</v>
      </c>
      <c r="U797" s="9">
        <v>0</v>
      </c>
      <c r="V797" s="9">
        <v>1</v>
      </c>
      <c r="W797" s="9">
        <v>0</v>
      </c>
      <c r="X797" s="9">
        <v>0</v>
      </c>
      <c r="Y797" s="9">
        <v>0</v>
      </c>
      <c r="Z797" s="9" t="s">
        <v>582</v>
      </c>
    </row>
    <row r="798" spans="1:27" s="9" customFormat="1" ht="15.75" customHeight="1" x14ac:dyDescent="0.15">
      <c r="A798" s="9">
        <v>10719</v>
      </c>
      <c r="B798" s="9" t="s">
        <v>497</v>
      </c>
      <c r="C798" s="9">
        <f t="shared" si="109"/>
        <v>1</v>
      </c>
      <c r="D798" s="9">
        <v>1</v>
      </c>
      <c r="F798" s="12">
        <v>0</v>
      </c>
      <c r="G798" s="10">
        <v>1</v>
      </c>
      <c r="H798" s="10">
        <v>0</v>
      </c>
      <c r="I798" s="10">
        <v>0</v>
      </c>
      <c r="J798" s="10">
        <v>0</v>
      </c>
      <c r="K798" s="10">
        <v>0</v>
      </c>
      <c r="L798" s="9">
        <v>1</v>
      </c>
      <c r="M798" s="9">
        <f t="shared" si="108"/>
        <v>34</v>
      </c>
      <c r="N798" s="10">
        <v>0</v>
      </c>
      <c r="O798" s="10">
        <v>1</v>
      </c>
      <c r="P798" s="10">
        <v>0</v>
      </c>
      <c r="Q798" s="10">
        <v>0</v>
      </c>
      <c r="R798" s="10">
        <v>0</v>
      </c>
      <c r="S798" s="10">
        <v>1</v>
      </c>
      <c r="T798" s="9">
        <v>1</v>
      </c>
      <c r="U798" s="9">
        <v>0</v>
      </c>
      <c r="V798" s="9">
        <v>1</v>
      </c>
      <c r="W798" s="9">
        <v>0</v>
      </c>
      <c r="X798" s="9">
        <v>0</v>
      </c>
      <c r="Y798" s="9">
        <v>0</v>
      </c>
      <c r="Z798" s="9" t="s">
        <v>87</v>
      </c>
    </row>
    <row r="799" spans="1:27" s="9" customFormat="1" ht="15" customHeight="1" x14ac:dyDescent="0.15">
      <c r="A799" s="9">
        <v>10807</v>
      </c>
      <c r="B799" s="9" t="s">
        <v>662</v>
      </c>
      <c r="C799" s="9">
        <f t="shared" si="109"/>
        <v>1</v>
      </c>
      <c r="D799" s="9">
        <v>1</v>
      </c>
      <c r="F799" s="12">
        <v>0</v>
      </c>
      <c r="G799" s="10">
        <v>1</v>
      </c>
      <c r="H799" s="10">
        <v>0</v>
      </c>
      <c r="I799" s="10">
        <v>0</v>
      </c>
      <c r="J799" s="10">
        <v>0</v>
      </c>
      <c r="K799" s="10">
        <v>0</v>
      </c>
      <c r="L799" s="9">
        <v>1</v>
      </c>
      <c r="M799" s="9">
        <f t="shared" si="108"/>
        <v>0</v>
      </c>
      <c r="N799" s="10">
        <v>0</v>
      </c>
      <c r="O799" s="10">
        <v>0</v>
      </c>
      <c r="P799" s="10">
        <v>0</v>
      </c>
      <c r="Q799" s="10">
        <v>0</v>
      </c>
      <c r="R799" s="10">
        <v>0</v>
      </c>
      <c r="S799" s="10">
        <v>0</v>
      </c>
      <c r="T799" s="9">
        <v>1</v>
      </c>
      <c r="U799" s="9">
        <v>0</v>
      </c>
      <c r="V799" s="9">
        <v>1</v>
      </c>
      <c r="W799" s="9">
        <v>0</v>
      </c>
      <c r="X799" s="9">
        <v>0</v>
      </c>
      <c r="Y799" s="9">
        <v>0</v>
      </c>
      <c r="Z799" s="9" t="s">
        <v>663</v>
      </c>
    </row>
    <row r="800" spans="1:27" s="9" customFormat="1" ht="15" customHeight="1" x14ac:dyDescent="0.15">
      <c r="A800" s="9">
        <v>10821</v>
      </c>
      <c r="B800" s="9" t="s">
        <v>1258</v>
      </c>
      <c r="C800" s="9">
        <f t="shared" si="109"/>
        <v>1</v>
      </c>
      <c r="D800" s="9">
        <v>1</v>
      </c>
      <c r="F800" s="12">
        <v>0</v>
      </c>
      <c r="G800" s="10">
        <v>1</v>
      </c>
      <c r="H800" s="10">
        <v>0</v>
      </c>
      <c r="I800" s="10">
        <v>0</v>
      </c>
      <c r="J800" s="10">
        <v>0</v>
      </c>
      <c r="K800" s="10">
        <v>0</v>
      </c>
      <c r="L800" s="9">
        <v>1</v>
      </c>
      <c r="M800" s="9">
        <f t="shared" ref="M800" si="110">N800+O800*2+P800*4+Q800*8+R800*16+S800*32</f>
        <v>0</v>
      </c>
      <c r="N800" s="10">
        <v>0</v>
      </c>
      <c r="O800" s="10">
        <v>0</v>
      </c>
      <c r="P800" s="10">
        <v>0</v>
      </c>
      <c r="Q800" s="10">
        <v>0</v>
      </c>
      <c r="R800" s="10">
        <v>0</v>
      </c>
      <c r="S800" s="10">
        <v>0</v>
      </c>
      <c r="T800" s="9">
        <v>1</v>
      </c>
      <c r="U800" s="9">
        <v>0</v>
      </c>
      <c r="V800" s="9">
        <v>1</v>
      </c>
      <c r="W800" s="9">
        <v>0</v>
      </c>
      <c r="X800" s="9">
        <v>0</v>
      </c>
      <c r="Y800" s="9">
        <v>0</v>
      </c>
      <c r="Z800" s="9" t="s">
        <v>1260</v>
      </c>
    </row>
    <row r="801" spans="1:28" s="9" customFormat="1" ht="15" customHeight="1" x14ac:dyDescent="0.15">
      <c r="A801" s="9">
        <v>10822</v>
      </c>
      <c r="B801" s="9" t="s">
        <v>1259</v>
      </c>
      <c r="C801" s="9">
        <f t="shared" si="109"/>
        <v>1</v>
      </c>
      <c r="D801" s="9">
        <v>1</v>
      </c>
      <c r="F801" s="12">
        <v>0</v>
      </c>
      <c r="G801" s="10">
        <v>1</v>
      </c>
      <c r="H801" s="10">
        <v>0</v>
      </c>
      <c r="I801" s="10">
        <v>0</v>
      </c>
      <c r="J801" s="10">
        <v>0</v>
      </c>
      <c r="K801" s="10">
        <v>0</v>
      </c>
      <c r="L801" s="9">
        <v>1</v>
      </c>
      <c r="M801" s="9">
        <f t="shared" ref="M801" si="111">N801+O801*2+P801*4+Q801*8+R801*16+S801*32</f>
        <v>0</v>
      </c>
      <c r="N801" s="10">
        <v>0</v>
      </c>
      <c r="O801" s="10">
        <v>0</v>
      </c>
      <c r="P801" s="10">
        <v>0</v>
      </c>
      <c r="Q801" s="10">
        <v>0</v>
      </c>
      <c r="R801" s="10">
        <v>0</v>
      </c>
      <c r="S801" s="10">
        <v>0</v>
      </c>
      <c r="T801" s="9">
        <v>1</v>
      </c>
      <c r="U801" s="9">
        <v>0</v>
      </c>
      <c r="V801" s="9">
        <v>1</v>
      </c>
      <c r="W801" s="9">
        <v>0</v>
      </c>
      <c r="X801" s="9">
        <v>0</v>
      </c>
      <c r="Y801" s="9">
        <v>0</v>
      </c>
      <c r="Z801" s="9" t="s">
        <v>1261</v>
      </c>
    </row>
    <row r="802" spans="1:28" s="9" customFormat="1" ht="15" customHeight="1" x14ac:dyDescent="0.15">
      <c r="A802" s="9">
        <v>10801</v>
      </c>
      <c r="B802" s="9" t="s">
        <v>496</v>
      </c>
      <c r="C802" s="9">
        <f t="shared" si="85"/>
        <v>1</v>
      </c>
      <c r="D802" s="9">
        <v>1</v>
      </c>
      <c r="F802" s="12">
        <v>0</v>
      </c>
      <c r="G802" s="10">
        <v>1</v>
      </c>
      <c r="H802" s="10">
        <v>0</v>
      </c>
      <c r="I802" s="10">
        <v>0</v>
      </c>
      <c r="J802" s="10">
        <v>0</v>
      </c>
      <c r="K802" s="10">
        <v>0</v>
      </c>
      <c r="L802" s="9">
        <v>1</v>
      </c>
      <c r="M802" s="9">
        <f t="shared" si="86"/>
        <v>0</v>
      </c>
      <c r="N802" s="10">
        <v>0</v>
      </c>
      <c r="O802" s="10">
        <v>0</v>
      </c>
      <c r="P802" s="10">
        <v>0</v>
      </c>
      <c r="Q802" s="10">
        <v>0</v>
      </c>
      <c r="R802" s="10">
        <v>0</v>
      </c>
      <c r="S802" s="10">
        <v>0</v>
      </c>
      <c r="T802" s="9">
        <v>1</v>
      </c>
      <c r="U802" s="9">
        <v>0</v>
      </c>
      <c r="V802" s="9">
        <v>1</v>
      </c>
      <c r="W802" s="9">
        <v>0</v>
      </c>
      <c r="X802" s="9">
        <v>0</v>
      </c>
      <c r="Y802" s="9">
        <v>0</v>
      </c>
      <c r="Z802" s="9" t="s">
        <v>232</v>
      </c>
    </row>
    <row r="803" spans="1:28" s="9" customFormat="1" ht="15" customHeight="1" x14ac:dyDescent="0.15">
      <c r="A803" s="9">
        <v>10802</v>
      </c>
      <c r="B803" s="9" t="s">
        <v>226</v>
      </c>
      <c r="C803" s="9">
        <f t="shared" si="85"/>
        <v>1</v>
      </c>
      <c r="D803" s="9">
        <v>1</v>
      </c>
      <c r="F803" s="12">
        <v>0</v>
      </c>
      <c r="G803" s="10">
        <v>1</v>
      </c>
      <c r="H803" s="10">
        <v>0</v>
      </c>
      <c r="I803" s="10">
        <v>0</v>
      </c>
      <c r="J803" s="10">
        <v>0</v>
      </c>
      <c r="K803" s="10">
        <v>0</v>
      </c>
      <c r="L803" s="9">
        <v>1</v>
      </c>
      <c r="M803" s="9">
        <f t="shared" si="86"/>
        <v>0</v>
      </c>
      <c r="N803" s="10">
        <v>0</v>
      </c>
      <c r="O803" s="10">
        <v>0</v>
      </c>
      <c r="P803" s="10">
        <v>0</v>
      </c>
      <c r="Q803" s="10">
        <v>0</v>
      </c>
      <c r="R803" s="10">
        <v>0</v>
      </c>
      <c r="S803" s="10">
        <v>0</v>
      </c>
      <c r="T803" s="9">
        <v>1</v>
      </c>
      <c r="U803" s="9">
        <v>0</v>
      </c>
      <c r="V803" s="9">
        <v>1</v>
      </c>
      <c r="W803" s="9">
        <v>0</v>
      </c>
      <c r="X803" s="9">
        <v>0</v>
      </c>
      <c r="Y803" s="9">
        <v>0</v>
      </c>
      <c r="Z803" s="9" t="s">
        <v>229</v>
      </c>
    </row>
    <row r="804" spans="1:28" s="9" customFormat="1" ht="15" customHeight="1" x14ac:dyDescent="0.15">
      <c r="A804" s="9">
        <v>10803</v>
      </c>
      <c r="B804" s="9" t="s">
        <v>227</v>
      </c>
      <c r="C804" s="9">
        <f t="shared" si="85"/>
        <v>1</v>
      </c>
      <c r="D804" s="9">
        <v>1</v>
      </c>
      <c r="F804" s="12">
        <v>0</v>
      </c>
      <c r="G804" s="10">
        <v>1</v>
      </c>
      <c r="H804" s="10">
        <v>0</v>
      </c>
      <c r="I804" s="10">
        <v>0</v>
      </c>
      <c r="J804" s="10">
        <v>0</v>
      </c>
      <c r="K804" s="10">
        <v>0</v>
      </c>
      <c r="L804" s="9">
        <v>1</v>
      </c>
      <c r="M804" s="9">
        <f t="shared" si="86"/>
        <v>0</v>
      </c>
      <c r="N804" s="10">
        <v>0</v>
      </c>
      <c r="O804" s="10">
        <v>0</v>
      </c>
      <c r="P804" s="10">
        <v>0</v>
      </c>
      <c r="Q804" s="10">
        <v>0</v>
      </c>
      <c r="R804" s="10">
        <v>0</v>
      </c>
      <c r="S804" s="10">
        <v>0</v>
      </c>
      <c r="T804" s="9">
        <v>1</v>
      </c>
      <c r="U804" s="9">
        <v>0</v>
      </c>
      <c r="V804" s="9">
        <v>1</v>
      </c>
      <c r="W804" s="9">
        <v>0</v>
      </c>
      <c r="X804" s="9">
        <v>0</v>
      </c>
      <c r="Y804" s="9">
        <v>0</v>
      </c>
      <c r="Z804" s="9" t="s">
        <v>233</v>
      </c>
    </row>
    <row r="805" spans="1:28" s="9" customFormat="1" ht="15" customHeight="1" x14ac:dyDescent="0.15">
      <c r="A805" s="9">
        <v>10804</v>
      </c>
      <c r="B805" s="9" t="s">
        <v>227</v>
      </c>
      <c r="C805" s="9">
        <f t="shared" si="85"/>
        <v>1</v>
      </c>
      <c r="D805" s="9">
        <v>1</v>
      </c>
      <c r="F805" s="12">
        <v>0</v>
      </c>
      <c r="G805" s="10">
        <v>1</v>
      </c>
      <c r="H805" s="10">
        <v>0</v>
      </c>
      <c r="I805" s="10">
        <v>0</v>
      </c>
      <c r="J805" s="10">
        <v>0</v>
      </c>
      <c r="K805" s="10">
        <v>0</v>
      </c>
      <c r="L805" s="9">
        <v>1</v>
      </c>
      <c r="M805" s="9">
        <f t="shared" si="86"/>
        <v>0</v>
      </c>
      <c r="N805" s="10">
        <v>0</v>
      </c>
      <c r="O805" s="10">
        <v>0</v>
      </c>
      <c r="P805" s="10">
        <v>0</v>
      </c>
      <c r="Q805" s="10">
        <v>0</v>
      </c>
      <c r="R805" s="10">
        <v>0</v>
      </c>
      <c r="S805" s="10">
        <v>0</v>
      </c>
      <c r="T805" s="9">
        <v>1</v>
      </c>
      <c r="U805" s="9">
        <v>0</v>
      </c>
      <c r="V805" s="9">
        <v>1</v>
      </c>
      <c r="W805" s="9">
        <v>0</v>
      </c>
      <c r="X805" s="9">
        <v>0</v>
      </c>
      <c r="Y805" s="9">
        <v>0</v>
      </c>
      <c r="Z805" s="9" t="s">
        <v>230</v>
      </c>
    </row>
    <row r="806" spans="1:28" s="9" customFormat="1" ht="15" customHeight="1" x14ac:dyDescent="0.15">
      <c r="A806" s="9">
        <v>10805</v>
      </c>
      <c r="B806" s="9" t="s">
        <v>228</v>
      </c>
      <c r="C806" s="9">
        <f t="shared" si="85"/>
        <v>1</v>
      </c>
      <c r="D806" s="9">
        <v>1</v>
      </c>
      <c r="F806" s="12">
        <v>0</v>
      </c>
      <c r="G806" s="10">
        <v>1</v>
      </c>
      <c r="H806" s="10">
        <v>0</v>
      </c>
      <c r="I806" s="10">
        <v>0</v>
      </c>
      <c r="J806" s="10">
        <v>0</v>
      </c>
      <c r="K806" s="10">
        <v>0</v>
      </c>
      <c r="L806" s="9">
        <v>1</v>
      </c>
      <c r="M806" s="9">
        <f t="shared" si="86"/>
        <v>0</v>
      </c>
      <c r="N806" s="10">
        <v>0</v>
      </c>
      <c r="O806" s="10">
        <v>0</v>
      </c>
      <c r="P806" s="10">
        <v>0</v>
      </c>
      <c r="Q806" s="10">
        <v>0</v>
      </c>
      <c r="R806" s="10">
        <v>0</v>
      </c>
      <c r="S806" s="10">
        <v>0</v>
      </c>
      <c r="T806" s="9">
        <v>1</v>
      </c>
      <c r="U806" s="9">
        <v>0</v>
      </c>
      <c r="V806" s="9">
        <v>1</v>
      </c>
      <c r="W806" s="9">
        <v>0</v>
      </c>
      <c r="X806" s="9">
        <v>0</v>
      </c>
      <c r="Y806" s="9">
        <v>0</v>
      </c>
      <c r="Z806" s="9" t="s">
        <v>234</v>
      </c>
    </row>
    <row r="807" spans="1:28" s="9" customFormat="1" ht="15" customHeight="1" x14ac:dyDescent="0.15">
      <c r="A807" s="9">
        <v>10806</v>
      </c>
      <c r="B807" s="9" t="s">
        <v>228</v>
      </c>
      <c r="C807" s="9">
        <f t="shared" si="85"/>
        <v>1</v>
      </c>
      <c r="D807" s="9">
        <v>1</v>
      </c>
      <c r="F807" s="12">
        <v>0</v>
      </c>
      <c r="G807" s="10">
        <v>1</v>
      </c>
      <c r="H807" s="10">
        <v>0</v>
      </c>
      <c r="I807" s="10">
        <v>0</v>
      </c>
      <c r="J807" s="10">
        <v>0</v>
      </c>
      <c r="K807" s="10">
        <v>0</v>
      </c>
      <c r="L807" s="9">
        <v>1</v>
      </c>
      <c r="M807" s="9">
        <f t="shared" si="86"/>
        <v>0</v>
      </c>
      <c r="N807" s="10">
        <v>0</v>
      </c>
      <c r="O807" s="10">
        <v>0</v>
      </c>
      <c r="P807" s="10">
        <v>0</v>
      </c>
      <c r="Q807" s="10">
        <v>0</v>
      </c>
      <c r="R807" s="10">
        <v>0</v>
      </c>
      <c r="S807" s="10">
        <v>0</v>
      </c>
      <c r="T807" s="9">
        <v>1</v>
      </c>
      <c r="U807" s="9">
        <v>0</v>
      </c>
      <c r="V807" s="9">
        <v>1</v>
      </c>
      <c r="W807" s="9">
        <v>0</v>
      </c>
      <c r="X807" s="9">
        <v>0</v>
      </c>
      <c r="Y807" s="9">
        <v>0</v>
      </c>
      <c r="Z807" s="9" t="s">
        <v>231</v>
      </c>
    </row>
    <row r="808" spans="1:28" s="15" customFormat="1" ht="15" customHeight="1" x14ac:dyDescent="0.15">
      <c r="A808" s="9">
        <v>10810</v>
      </c>
      <c r="B808" s="15" t="s">
        <v>1570</v>
      </c>
      <c r="C808" s="15">
        <f t="shared" si="85"/>
        <v>5</v>
      </c>
      <c r="D808" s="15">
        <v>1</v>
      </c>
      <c r="F808" s="12">
        <v>0</v>
      </c>
      <c r="G808" s="16">
        <v>1</v>
      </c>
      <c r="H808" s="16">
        <v>0</v>
      </c>
      <c r="I808" s="16">
        <v>1</v>
      </c>
      <c r="J808" s="16">
        <v>0</v>
      </c>
      <c r="K808" s="16">
        <v>0</v>
      </c>
      <c r="L808" s="15">
        <v>1</v>
      </c>
      <c r="M808" s="15">
        <f t="shared" si="86"/>
        <v>5</v>
      </c>
      <c r="N808" s="16">
        <v>1</v>
      </c>
      <c r="O808" s="16">
        <v>0</v>
      </c>
      <c r="P808" s="16">
        <v>1</v>
      </c>
      <c r="Q808" s="16">
        <v>0</v>
      </c>
      <c r="R808" s="16">
        <v>0</v>
      </c>
      <c r="S808" s="16">
        <v>0</v>
      </c>
      <c r="T808" s="15">
        <v>0</v>
      </c>
      <c r="U808" s="15">
        <v>0</v>
      </c>
      <c r="V808" s="15">
        <v>1</v>
      </c>
      <c r="W808" s="15">
        <v>0</v>
      </c>
      <c r="X808" s="15">
        <v>0</v>
      </c>
      <c r="Y808" s="15">
        <v>0</v>
      </c>
      <c r="Z808" s="15" t="s">
        <v>1573</v>
      </c>
    </row>
    <row r="809" spans="1:28" s="15" customFormat="1" ht="15" customHeight="1" x14ac:dyDescent="0.15">
      <c r="A809" s="9">
        <v>10808</v>
      </c>
      <c r="B809" s="15" t="s">
        <v>1571</v>
      </c>
      <c r="C809" s="15">
        <f t="shared" si="85"/>
        <v>5</v>
      </c>
      <c r="D809" s="15">
        <v>1</v>
      </c>
      <c r="F809" s="12">
        <v>0</v>
      </c>
      <c r="G809" s="16">
        <v>1</v>
      </c>
      <c r="H809" s="16">
        <v>0</v>
      </c>
      <c r="I809" s="16">
        <v>1</v>
      </c>
      <c r="J809" s="16">
        <v>0</v>
      </c>
      <c r="K809" s="16">
        <v>0</v>
      </c>
      <c r="L809" s="15">
        <v>1</v>
      </c>
      <c r="M809" s="15">
        <f t="shared" si="86"/>
        <v>5</v>
      </c>
      <c r="N809" s="16">
        <v>1</v>
      </c>
      <c r="O809" s="16">
        <v>0</v>
      </c>
      <c r="P809" s="16">
        <v>1</v>
      </c>
      <c r="Q809" s="16">
        <v>0</v>
      </c>
      <c r="R809" s="16">
        <v>0</v>
      </c>
      <c r="S809" s="16">
        <v>0</v>
      </c>
      <c r="T809" s="15">
        <v>0</v>
      </c>
      <c r="U809" s="15">
        <v>0</v>
      </c>
      <c r="V809" s="15">
        <v>1</v>
      </c>
      <c r="W809" s="15">
        <v>0</v>
      </c>
      <c r="X809" s="15">
        <v>0</v>
      </c>
      <c r="Y809" s="15">
        <v>0</v>
      </c>
      <c r="Z809" s="15" t="s">
        <v>1574</v>
      </c>
    </row>
    <row r="810" spans="1:28" s="15" customFormat="1" ht="15" customHeight="1" x14ac:dyDescent="0.15">
      <c r="A810" s="9">
        <v>10809</v>
      </c>
      <c r="B810" s="15" t="s">
        <v>1572</v>
      </c>
      <c r="C810" s="15">
        <f t="shared" si="85"/>
        <v>5</v>
      </c>
      <c r="D810" s="15">
        <v>1</v>
      </c>
      <c r="F810" s="12">
        <v>0</v>
      </c>
      <c r="G810" s="16">
        <v>1</v>
      </c>
      <c r="H810" s="16">
        <v>0</v>
      </c>
      <c r="I810" s="16">
        <v>1</v>
      </c>
      <c r="J810" s="16">
        <v>0</v>
      </c>
      <c r="K810" s="16">
        <v>0</v>
      </c>
      <c r="L810" s="15">
        <v>1</v>
      </c>
      <c r="M810" s="15">
        <f t="shared" si="86"/>
        <v>5</v>
      </c>
      <c r="N810" s="16">
        <v>1</v>
      </c>
      <c r="O810" s="16">
        <v>0</v>
      </c>
      <c r="P810" s="16">
        <v>1</v>
      </c>
      <c r="Q810" s="16">
        <v>0</v>
      </c>
      <c r="R810" s="16">
        <v>0</v>
      </c>
      <c r="S810" s="16">
        <v>0</v>
      </c>
      <c r="T810" s="15">
        <v>0</v>
      </c>
      <c r="U810" s="15">
        <v>0</v>
      </c>
      <c r="V810" s="15">
        <v>1</v>
      </c>
      <c r="W810" s="15">
        <v>0</v>
      </c>
      <c r="X810" s="15">
        <v>0</v>
      </c>
      <c r="Y810" s="15">
        <v>0</v>
      </c>
      <c r="Z810" s="15" t="s">
        <v>1575</v>
      </c>
    </row>
    <row r="811" spans="1:28" s="64" customFormat="1" ht="15" customHeight="1" x14ac:dyDescent="0.15">
      <c r="A811" s="64">
        <v>11001</v>
      </c>
      <c r="B811" s="64" t="s">
        <v>1730</v>
      </c>
      <c r="C811" s="8">
        <f t="shared" ref="C811:C813" si="112">G811+H811*2+I811*4+J811*8+K811*16</f>
        <v>5</v>
      </c>
      <c r="D811" s="8">
        <v>1</v>
      </c>
      <c r="E811" s="8"/>
      <c r="F811" s="12">
        <v>0</v>
      </c>
      <c r="G811" s="14">
        <v>1</v>
      </c>
      <c r="H811" s="14">
        <v>0</v>
      </c>
      <c r="I811" s="14">
        <v>1</v>
      </c>
      <c r="J811" s="14">
        <v>0</v>
      </c>
      <c r="K811" s="14">
        <v>0</v>
      </c>
      <c r="L811" s="8">
        <v>1</v>
      </c>
      <c r="M811" s="8">
        <f t="shared" ref="M811:M813" si="113">N811+O811*2+P811*4+Q811*8+R811*16+S811*32</f>
        <v>34</v>
      </c>
      <c r="N811" s="14">
        <v>0</v>
      </c>
      <c r="O811" s="14">
        <v>1</v>
      </c>
      <c r="P811" s="14">
        <v>0</v>
      </c>
      <c r="Q811" s="14">
        <v>0</v>
      </c>
      <c r="R811" s="14">
        <v>0</v>
      </c>
      <c r="S811" s="14">
        <v>1</v>
      </c>
      <c r="T811" s="8">
        <v>1</v>
      </c>
      <c r="U811" s="8">
        <v>0</v>
      </c>
      <c r="V811" s="8">
        <v>1</v>
      </c>
      <c r="W811" s="8">
        <v>0</v>
      </c>
      <c r="X811" s="8">
        <v>0</v>
      </c>
      <c r="Y811" s="8">
        <v>0</v>
      </c>
      <c r="Z811" s="11" t="str">
        <f>"降低"&amp;AA811&amp;"点攻击"</f>
        <v>降低58点攻击</v>
      </c>
      <c r="AA811" s="64">
        <f>VLOOKUP(AB811,[1]战士技能!$A$4:$I$153,3,FALSE)</f>
        <v>58</v>
      </c>
      <c r="AB811" s="66">
        <v>60</v>
      </c>
    </row>
    <row r="812" spans="1:28" s="64" customFormat="1" ht="15" customHeight="1" x14ac:dyDescent="0.15">
      <c r="A812" s="64">
        <v>11002</v>
      </c>
      <c r="B812" s="64" t="s">
        <v>1731</v>
      </c>
      <c r="C812" s="8">
        <f t="shared" si="112"/>
        <v>5</v>
      </c>
      <c r="D812" s="8">
        <v>1</v>
      </c>
      <c r="E812" s="8"/>
      <c r="F812" s="12">
        <v>0</v>
      </c>
      <c r="G812" s="14">
        <v>1</v>
      </c>
      <c r="H812" s="14">
        <v>0</v>
      </c>
      <c r="I812" s="14">
        <v>1</v>
      </c>
      <c r="J812" s="14">
        <v>0</v>
      </c>
      <c r="K812" s="14">
        <v>0</v>
      </c>
      <c r="L812" s="8">
        <v>1</v>
      </c>
      <c r="M812" s="8">
        <f t="shared" si="113"/>
        <v>34</v>
      </c>
      <c r="N812" s="14">
        <v>0</v>
      </c>
      <c r="O812" s="14">
        <v>1</v>
      </c>
      <c r="P812" s="14">
        <v>0</v>
      </c>
      <c r="Q812" s="14">
        <v>0</v>
      </c>
      <c r="R812" s="14">
        <v>0</v>
      </c>
      <c r="S812" s="14">
        <v>1</v>
      </c>
      <c r="T812" s="8">
        <v>1</v>
      </c>
      <c r="U812" s="8">
        <v>0</v>
      </c>
      <c r="V812" s="8">
        <v>1</v>
      </c>
      <c r="W812" s="8">
        <v>0</v>
      </c>
      <c r="X812" s="8">
        <v>0</v>
      </c>
      <c r="Y812" s="8">
        <v>0</v>
      </c>
      <c r="Z812" s="11" t="str">
        <f t="shared" ref="Z812:Z865" si="114">"降低"&amp;AA812&amp;"点攻击"</f>
        <v>降低60点攻击</v>
      </c>
      <c r="AA812" s="64">
        <f>VLOOKUP(AB812,[1]战士技能!$A$4:$I$153,3,FALSE)</f>
        <v>60</v>
      </c>
      <c r="AB812" s="66">
        <v>61</v>
      </c>
    </row>
    <row r="813" spans="1:28" s="64" customFormat="1" ht="15" customHeight="1" x14ac:dyDescent="0.15">
      <c r="A813" s="64">
        <v>11003</v>
      </c>
      <c r="B813" s="64" t="s">
        <v>1732</v>
      </c>
      <c r="C813" s="8">
        <f t="shared" si="112"/>
        <v>5</v>
      </c>
      <c r="D813" s="8">
        <v>1</v>
      </c>
      <c r="E813" s="8"/>
      <c r="F813" s="12">
        <v>0</v>
      </c>
      <c r="G813" s="14">
        <v>1</v>
      </c>
      <c r="H813" s="14">
        <v>0</v>
      </c>
      <c r="I813" s="14">
        <v>1</v>
      </c>
      <c r="J813" s="14">
        <v>0</v>
      </c>
      <c r="K813" s="14">
        <v>0</v>
      </c>
      <c r="L813" s="8">
        <v>1</v>
      </c>
      <c r="M813" s="8">
        <f t="shared" si="113"/>
        <v>34</v>
      </c>
      <c r="N813" s="14">
        <v>0</v>
      </c>
      <c r="O813" s="14">
        <v>1</v>
      </c>
      <c r="P813" s="14">
        <v>0</v>
      </c>
      <c r="Q813" s="14">
        <v>0</v>
      </c>
      <c r="R813" s="14">
        <v>0</v>
      </c>
      <c r="S813" s="14">
        <v>1</v>
      </c>
      <c r="T813" s="8">
        <v>1</v>
      </c>
      <c r="U813" s="8">
        <v>0</v>
      </c>
      <c r="V813" s="8">
        <v>1</v>
      </c>
      <c r="W813" s="8">
        <v>0</v>
      </c>
      <c r="X813" s="8">
        <v>0</v>
      </c>
      <c r="Y813" s="8">
        <v>0</v>
      </c>
      <c r="Z813" s="11" t="str">
        <f t="shared" si="114"/>
        <v>降低62点攻击</v>
      </c>
      <c r="AA813" s="64">
        <f>VLOOKUP(AB813,[1]战士技能!$A$4:$I$153,3,FALSE)</f>
        <v>62</v>
      </c>
      <c r="AB813" s="66">
        <v>62</v>
      </c>
    </row>
    <row r="814" spans="1:28" s="64" customFormat="1" ht="15" customHeight="1" x14ac:dyDescent="0.15">
      <c r="A814" s="64">
        <v>11004</v>
      </c>
      <c r="B814" s="64" t="s">
        <v>1733</v>
      </c>
      <c r="C814" s="8">
        <f t="shared" ref="C814:C815" si="115">G814+H814*2+I814*4+J814*8+K814*16</f>
        <v>5</v>
      </c>
      <c r="D814" s="8">
        <v>1</v>
      </c>
      <c r="E814" s="8"/>
      <c r="F814" s="12">
        <v>0</v>
      </c>
      <c r="G814" s="14">
        <v>1</v>
      </c>
      <c r="H814" s="14">
        <v>0</v>
      </c>
      <c r="I814" s="14">
        <v>1</v>
      </c>
      <c r="J814" s="14">
        <v>0</v>
      </c>
      <c r="K814" s="14">
        <v>0</v>
      </c>
      <c r="L814" s="8">
        <v>1</v>
      </c>
      <c r="M814" s="8">
        <f t="shared" ref="M814:M815" si="116">N814+O814*2+P814*4+Q814*8+R814*16+S814*32</f>
        <v>34</v>
      </c>
      <c r="N814" s="14">
        <v>0</v>
      </c>
      <c r="O814" s="14">
        <v>1</v>
      </c>
      <c r="P814" s="14">
        <v>0</v>
      </c>
      <c r="Q814" s="14">
        <v>0</v>
      </c>
      <c r="R814" s="14">
        <v>0</v>
      </c>
      <c r="S814" s="14">
        <v>1</v>
      </c>
      <c r="T814" s="8">
        <v>1</v>
      </c>
      <c r="U814" s="8">
        <v>0</v>
      </c>
      <c r="V814" s="8">
        <v>1</v>
      </c>
      <c r="W814" s="8">
        <v>0</v>
      </c>
      <c r="X814" s="8">
        <v>0</v>
      </c>
      <c r="Y814" s="8">
        <v>0</v>
      </c>
      <c r="Z814" s="11" t="str">
        <f t="shared" si="114"/>
        <v>降低64点攻击</v>
      </c>
      <c r="AA814" s="64">
        <f>VLOOKUP(AB814,[1]战士技能!$A$4:$I$153,3,FALSE)</f>
        <v>64</v>
      </c>
      <c r="AB814" s="66">
        <v>63</v>
      </c>
    </row>
    <row r="815" spans="1:28" s="64" customFormat="1" ht="15" customHeight="1" x14ac:dyDescent="0.15">
      <c r="A815" s="64">
        <v>11005</v>
      </c>
      <c r="B815" s="64" t="s">
        <v>1734</v>
      </c>
      <c r="C815" s="8">
        <f t="shared" si="115"/>
        <v>5</v>
      </c>
      <c r="D815" s="8">
        <v>1</v>
      </c>
      <c r="E815" s="8"/>
      <c r="F815" s="12">
        <v>0</v>
      </c>
      <c r="G815" s="14">
        <v>1</v>
      </c>
      <c r="H815" s="14">
        <v>0</v>
      </c>
      <c r="I815" s="14">
        <v>1</v>
      </c>
      <c r="J815" s="14">
        <v>0</v>
      </c>
      <c r="K815" s="14">
        <v>0</v>
      </c>
      <c r="L815" s="8">
        <v>1</v>
      </c>
      <c r="M815" s="8">
        <f t="shared" si="116"/>
        <v>34</v>
      </c>
      <c r="N815" s="14">
        <v>0</v>
      </c>
      <c r="O815" s="14">
        <v>1</v>
      </c>
      <c r="P815" s="14">
        <v>0</v>
      </c>
      <c r="Q815" s="14">
        <v>0</v>
      </c>
      <c r="R815" s="14">
        <v>0</v>
      </c>
      <c r="S815" s="14">
        <v>1</v>
      </c>
      <c r="T815" s="8">
        <v>1</v>
      </c>
      <c r="U815" s="8">
        <v>0</v>
      </c>
      <c r="V815" s="8">
        <v>1</v>
      </c>
      <c r="W815" s="8">
        <v>0</v>
      </c>
      <c r="X815" s="8">
        <v>0</v>
      </c>
      <c r="Y815" s="8">
        <v>0</v>
      </c>
      <c r="Z815" s="11" t="str">
        <f t="shared" si="114"/>
        <v>降低67点攻击</v>
      </c>
      <c r="AA815" s="64">
        <f>VLOOKUP(AB815,[1]战士技能!$A$4:$I$153,3,FALSE)</f>
        <v>67</v>
      </c>
      <c r="AB815" s="66">
        <v>64</v>
      </c>
    </row>
    <row r="816" spans="1:28" s="64" customFormat="1" ht="15" customHeight="1" x14ac:dyDescent="0.15">
      <c r="A816" s="64">
        <v>11006</v>
      </c>
      <c r="B816" s="64" t="s">
        <v>1735</v>
      </c>
      <c r="C816" s="8">
        <f t="shared" ref="C816:C866" si="117">G816+H816*2+I816*4+J816*8+K816*16</f>
        <v>5</v>
      </c>
      <c r="D816" s="8">
        <v>1</v>
      </c>
      <c r="E816" s="8"/>
      <c r="F816" s="12">
        <v>0</v>
      </c>
      <c r="G816" s="14">
        <v>1</v>
      </c>
      <c r="H816" s="14">
        <v>0</v>
      </c>
      <c r="I816" s="14">
        <v>1</v>
      </c>
      <c r="J816" s="14">
        <v>0</v>
      </c>
      <c r="K816" s="14">
        <v>0</v>
      </c>
      <c r="L816" s="8">
        <v>1</v>
      </c>
      <c r="M816" s="8">
        <f t="shared" ref="M816:M866" si="118">N816+O816*2+P816*4+Q816*8+R816*16+S816*32</f>
        <v>34</v>
      </c>
      <c r="N816" s="14">
        <v>0</v>
      </c>
      <c r="O816" s="14">
        <v>1</v>
      </c>
      <c r="P816" s="14">
        <v>0</v>
      </c>
      <c r="Q816" s="14">
        <v>0</v>
      </c>
      <c r="R816" s="14">
        <v>0</v>
      </c>
      <c r="S816" s="14">
        <v>1</v>
      </c>
      <c r="T816" s="8">
        <v>1</v>
      </c>
      <c r="U816" s="8">
        <v>0</v>
      </c>
      <c r="V816" s="8">
        <v>1</v>
      </c>
      <c r="W816" s="8">
        <v>0</v>
      </c>
      <c r="X816" s="8">
        <v>0</v>
      </c>
      <c r="Y816" s="8">
        <v>0</v>
      </c>
      <c r="Z816" s="11" t="str">
        <f t="shared" si="114"/>
        <v>降低69点攻击</v>
      </c>
      <c r="AA816" s="64">
        <f>VLOOKUP(AB816,[1]战士技能!$A$4:$I$153,3,FALSE)</f>
        <v>69</v>
      </c>
      <c r="AB816" s="66">
        <v>65</v>
      </c>
    </row>
    <row r="817" spans="1:28" s="64" customFormat="1" ht="15" customHeight="1" x14ac:dyDescent="0.15">
      <c r="A817" s="64">
        <v>11007</v>
      </c>
      <c r="B817" s="64" t="s">
        <v>1736</v>
      </c>
      <c r="C817" s="8">
        <f t="shared" si="117"/>
        <v>5</v>
      </c>
      <c r="D817" s="8">
        <v>1</v>
      </c>
      <c r="E817" s="8"/>
      <c r="F817" s="12">
        <v>0</v>
      </c>
      <c r="G817" s="14">
        <v>1</v>
      </c>
      <c r="H817" s="14">
        <v>0</v>
      </c>
      <c r="I817" s="14">
        <v>1</v>
      </c>
      <c r="J817" s="14">
        <v>0</v>
      </c>
      <c r="K817" s="14">
        <v>0</v>
      </c>
      <c r="L817" s="8">
        <v>1</v>
      </c>
      <c r="M817" s="8">
        <f t="shared" si="118"/>
        <v>34</v>
      </c>
      <c r="N817" s="14">
        <v>0</v>
      </c>
      <c r="O817" s="14">
        <v>1</v>
      </c>
      <c r="P817" s="14">
        <v>0</v>
      </c>
      <c r="Q817" s="14">
        <v>0</v>
      </c>
      <c r="R817" s="14">
        <v>0</v>
      </c>
      <c r="S817" s="14">
        <v>1</v>
      </c>
      <c r="T817" s="8">
        <v>1</v>
      </c>
      <c r="U817" s="8">
        <v>0</v>
      </c>
      <c r="V817" s="8">
        <v>1</v>
      </c>
      <c r="W817" s="8">
        <v>0</v>
      </c>
      <c r="X817" s="8">
        <v>0</v>
      </c>
      <c r="Y817" s="8">
        <v>0</v>
      </c>
      <c r="Z817" s="11" t="str">
        <f t="shared" si="114"/>
        <v>降低71点攻击</v>
      </c>
      <c r="AA817" s="64">
        <f>VLOOKUP(AB817,[1]战士技能!$A$4:$I$153,3,FALSE)</f>
        <v>71</v>
      </c>
      <c r="AB817" s="66">
        <v>66</v>
      </c>
    </row>
    <row r="818" spans="1:28" s="64" customFormat="1" ht="15" customHeight="1" x14ac:dyDescent="0.15">
      <c r="A818" s="64">
        <v>11008</v>
      </c>
      <c r="B818" s="64" t="s">
        <v>1737</v>
      </c>
      <c r="C818" s="8">
        <f t="shared" si="117"/>
        <v>5</v>
      </c>
      <c r="D818" s="8">
        <v>1</v>
      </c>
      <c r="E818" s="8"/>
      <c r="F818" s="12">
        <v>0</v>
      </c>
      <c r="G818" s="14">
        <v>1</v>
      </c>
      <c r="H818" s="14">
        <v>0</v>
      </c>
      <c r="I818" s="14">
        <v>1</v>
      </c>
      <c r="J818" s="14">
        <v>0</v>
      </c>
      <c r="K818" s="14">
        <v>0</v>
      </c>
      <c r="L818" s="8">
        <v>1</v>
      </c>
      <c r="M818" s="8">
        <f t="shared" si="118"/>
        <v>34</v>
      </c>
      <c r="N818" s="14">
        <v>0</v>
      </c>
      <c r="O818" s="14">
        <v>1</v>
      </c>
      <c r="P818" s="14">
        <v>0</v>
      </c>
      <c r="Q818" s="14">
        <v>0</v>
      </c>
      <c r="R818" s="14">
        <v>0</v>
      </c>
      <c r="S818" s="14">
        <v>1</v>
      </c>
      <c r="T818" s="8">
        <v>1</v>
      </c>
      <c r="U818" s="8">
        <v>0</v>
      </c>
      <c r="V818" s="8">
        <v>1</v>
      </c>
      <c r="W818" s="8">
        <v>0</v>
      </c>
      <c r="X818" s="8">
        <v>0</v>
      </c>
      <c r="Y818" s="8">
        <v>0</v>
      </c>
      <c r="Z818" s="11" t="str">
        <f t="shared" si="114"/>
        <v>降低74点攻击</v>
      </c>
      <c r="AA818" s="64">
        <f>VLOOKUP(AB818,[1]战士技能!$A$4:$I$153,3,FALSE)</f>
        <v>74</v>
      </c>
      <c r="AB818" s="66">
        <v>67</v>
      </c>
    </row>
    <row r="819" spans="1:28" s="64" customFormat="1" ht="15" customHeight="1" x14ac:dyDescent="0.15">
      <c r="A819" s="64">
        <v>11009</v>
      </c>
      <c r="B819" s="64" t="s">
        <v>1738</v>
      </c>
      <c r="C819" s="8">
        <f t="shared" si="117"/>
        <v>5</v>
      </c>
      <c r="D819" s="8">
        <v>1</v>
      </c>
      <c r="E819" s="8"/>
      <c r="F819" s="12">
        <v>0</v>
      </c>
      <c r="G819" s="14">
        <v>1</v>
      </c>
      <c r="H819" s="14">
        <v>0</v>
      </c>
      <c r="I819" s="14">
        <v>1</v>
      </c>
      <c r="J819" s="14">
        <v>0</v>
      </c>
      <c r="K819" s="14">
        <v>0</v>
      </c>
      <c r="L819" s="8">
        <v>1</v>
      </c>
      <c r="M819" s="8">
        <f t="shared" si="118"/>
        <v>34</v>
      </c>
      <c r="N819" s="14">
        <v>0</v>
      </c>
      <c r="O819" s="14">
        <v>1</v>
      </c>
      <c r="P819" s="14">
        <v>0</v>
      </c>
      <c r="Q819" s="14">
        <v>0</v>
      </c>
      <c r="R819" s="14">
        <v>0</v>
      </c>
      <c r="S819" s="14">
        <v>1</v>
      </c>
      <c r="T819" s="8">
        <v>1</v>
      </c>
      <c r="U819" s="8">
        <v>0</v>
      </c>
      <c r="V819" s="8">
        <v>1</v>
      </c>
      <c r="W819" s="8">
        <v>0</v>
      </c>
      <c r="X819" s="8">
        <v>0</v>
      </c>
      <c r="Y819" s="8">
        <v>0</v>
      </c>
      <c r="Z819" s="11" t="str">
        <f t="shared" si="114"/>
        <v>降低76点攻击</v>
      </c>
      <c r="AA819" s="64">
        <f>VLOOKUP(AB819,[1]战士技能!$A$4:$I$153,3,FALSE)</f>
        <v>76</v>
      </c>
      <c r="AB819" s="66">
        <v>68</v>
      </c>
    </row>
    <row r="820" spans="1:28" s="64" customFormat="1" ht="15" customHeight="1" x14ac:dyDescent="0.15">
      <c r="A820" s="64">
        <v>11010</v>
      </c>
      <c r="B820" s="64" t="s">
        <v>1739</v>
      </c>
      <c r="C820" s="8">
        <f t="shared" si="117"/>
        <v>5</v>
      </c>
      <c r="D820" s="8">
        <v>1</v>
      </c>
      <c r="E820" s="8"/>
      <c r="F820" s="12">
        <v>0</v>
      </c>
      <c r="G820" s="14">
        <v>1</v>
      </c>
      <c r="H820" s="14">
        <v>0</v>
      </c>
      <c r="I820" s="14">
        <v>1</v>
      </c>
      <c r="J820" s="14">
        <v>0</v>
      </c>
      <c r="K820" s="14">
        <v>0</v>
      </c>
      <c r="L820" s="8">
        <v>1</v>
      </c>
      <c r="M820" s="8">
        <f t="shared" si="118"/>
        <v>34</v>
      </c>
      <c r="N820" s="14">
        <v>0</v>
      </c>
      <c r="O820" s="14">
        <v>1</v>
      </c>
      <c r="P820" s="14">
        <v>0</v>
      </c>
      <c r="Q820" s="14">
        <v>0</v>
      </c>
      <c r="R820" s="14">
        <v>0</v>
      </c>
      <c r="S820" s="14">
        <v>1</v>
      </c>
      <c r="T820" s="8">
        <v>1</v>
      </c>
      <c r="U820" s="8">
        <v>0</v>
      </c>
      <c r="V820" s="8">
        <v>1</v>
      </c>
      <c r="W820" s="8">
        <v>0</v>
      </c>
      <c r="X820" s="8">
        <v>0</v>
      </c>
      <c r="Y820" s="8">
        <v>0</v>
      </c>
      <c r="Z820" s="11" t="str">
        <f t="shared" si="114"/>
        <v>降低79点攻击</v>
      </c>
      <c r="AA820" s="64">
        <f>VLOOKUP(AB820,[1]战士技能!$A$4:$I$153,3,FALSE)</f>
        <v>79</v>
      </c>
      <c r="AB820" s="66">
        <v>69</v>
      </c>
    </row>
    <row r="821" spans="1:28" s="64" customFormat="1" ht="15" customHeight="1" x14ac:dyDescent="0.15">
      <c r="A821" s="64">
        <v>11011</v>
      </c>
      <c r="B821" s="64" t="s">
        <v>1740</v>
      </c>
      <c r="C821" s="8">
        <f t="shared" si="117"/>
        <v>5</v>
      </c>
      <c r="D821" s="8">
        <v>1</v>
      </c>
      <c r="E821" s="8"/>
      <c r="F821" s="12">
        <v>0</v>
      </c>
      <c r="G821" s="14">
        <v>1</v>
      </c>
      <c r="H821" s="14">
        <v>0</v>
      </c>
      <c r="I821" s="14">
        <v>1</v>
      </c>
      <c r="J821" s="14">
        <v>0</v>
      </c>
      <c r="K821" s="14">
        <v>0</v>
      </c>
      <c r="L821" s="8">
        <v>1</v>
      </c>
      <c r="M821" s="8">
        <f t="shared" si="118"/>
        <v>34</v>
      </c>
      <c r="N821" s="14">
        <v>0</v>
      </c>
      <c r="O821" s="14">
        <v>1</v>
      </c>
      <c r="P821" s="14">
        <v>0</v>
      </c>
      <c r="Q821" s="14">
        <v>0</v>
      </c>
      <c r="R821" s="14">
        <v>0</v>
      </c>
      <c r="S821" s="14">
        <v>1</v>
      </c>
      <c r="T821" s="8">
        <v>1</v>
      </c>
      <c r="U821" s="8">
        <v>0</v>
      </c>
      <c r="V821" s="8">
        <v>1</v>
      </c>
      <c r="W821" s="8">
        <v>0</v>
      </c>
      <c r="X821" s="8">
        <v>0</v>
      </c>
      <c r="Y821" s="8">
        <v>0</v>
      </c>
      <c r="Z821" s="11" t="str">
        <f t="shared" si="114"/>
        <v>降低81点攻击</v>
      </c>
      <c r="AA821" s="64">
        <f>VLOOKUP(AB821,[1]战士技能!$A$4:$I$153,3,FALSE)</f>
        <v>81</v>
      </c>
      <c r="AB821" s="66">
        <v>70</v>
      </c>
    </row>
    <row r="822" spans="1:28" s="64" customFormat="1" ht="15" customHeight="1" x14ac:dyDescent="0.15">
      <c r="A822" s="64">
        <v>11012</v>
      </c>
      <c r="B822" s="64" t="s">
        <v>1741</v>
      </c>
      <c r="C822" s="8">
        <f t="shared" si="117"/>
        <v>5</v>
      </c>
      <c r="D822" s="8">
        <v>1</v>
      </c>
      <c r="E822" s="8"/>
      <c r="F822" s="12">
        <v>0</v>
      </c>
      <c r="G822" s="14">
        <v>1</v>
      </c>
      <c r="H822" s="14">
        <v>0</v>
      </c>
      <c r="I822" s="14">
        <v>1</v>
      </c>
      <c r="J822" s="14">
        <v>0</v>
      </c>
      <c r="K822" s="14">
        <v>0</v>
      </c>
      <c r="L822" s="8">
        <v>1</v>
      </c>
      <c r="M822" s="8">
        <f t="shared" si="118"/>
        <v>34</v>
      </c>
      <c r="N822" s="14">
        <v>0</v>
      </c>
      <c r="O822" s="14">
        <v>1</v>
      </c>
      <c r="P822" s="14">
        <v>0</v>
      </c>
      <c r="Q822" s="14">
        <v>0</v>
      </c>
      <c r="R822" s="14">
        <v>0</v>
      </c>
      <c r="S822" s="14">
        <v>1</v>
      </c>
      <c r="T822" s="8">
        <v>1</v>
      </c>
      <c r="U822" s="8">
        <v>0</v>
      </c>
      <c r="V822" s="8">
        <v>1</v>
      </c>
      <c r="W822" s="8">
        <v>0</v>
      </c>
      <c r="X822" s="8">
        <v>0</v>
      </c>
      <c r="Y822" s="8">
        <v>0</v>
      </c>
      <c r="Z822" s="11" t="str">
        <f t="shared" si="114"/>
        <v>降低84点攻击</v>
      </c>
      <c r="AA822" s="64">
        <f>VLOOKUP(AB822,[1]战士技能!$A$4:$I$153,3,FALSE)</f>
        <v>84</v>
      </c>
      <c r="AB822" s="66">
        <v>71</v>
      </c>
    </row>
    <row r="823" spans="1:28" s="64" customFormat="1" ht="15" customHeight="1" x14ac:dyDescent="0.15">
      <c r="A823" s="64">
        <v>11013</v>
      </c>
      <c r="B823" s="64" t="s">
        <v>1742</v>
      </c>
      <c r="C823" s="8">
        <f t="shared" si="117"/>
        <v>5</v>
      </c>
      <c r="D823" s="8">
        <v>1</v>
      </c>
      <c r="E823" s="8"/>
      <c r="F823" s="12">
        <v>0</v>
      </c>
      <c r="G823" s="14">
        <v>1</v>
      </c>
      <c r="H823" s="14">
        <v>0</v>
      </c>
      <c r="I823" s="14">
        <v>1</v>
      </c>
      <c r="J823" s="14">
        <v>0</v>
      </c>
      <c r="K823" s="14">
        <v>0</v>
      </c>
      <c r="L823" s="8">
        <v>1</v>
      </c>
      <c r="M823" s="8">
        <f t="shared" si="118"/>
        <v>34</v>
      </c>
      <c r="N823" s="14">
        <v>0</v>
      </c>
      <c r="O823" s="14">
        <v>1</v>
      </c>
      <c r="P823" s="14">
        <v>0</v>
      </c>
      <c r="Q823" s="14">
        <v>0</v>
      </c>
      <c r="R823" s="14">
        <v>0</v>
      </c>
      <c r="S823" s="14">
        <v>1</v>
      </c>
      <c r="T823" s="8">
        <v>1</v>
      </c>
      <c r="U823" s="8">
        <v>0</v>
      </c>
      <c r="V823" s="8">
        <v>1</v>
      </c>
      <c r="W823" s="8">
        <v>0</v>
      </c>
      <c r="X823" s="8">
        <v>0</v>
      </c>
      <c r="Y823" s="8">
        <v>0</v>
      </c>
      <c r="Z823" s="11" t="str">
        <f t="shared" si="114"/>
        <v>降低87点攻击</v>
      </c>
      <c r="AA823" s="64">
        <f>VLOOKUP(AB823,[1]战士技能!$A$4:$I$153,3,FALSE)</f>
        <v>87</v>
      </c>
      <c r="AB823" s="66">
        <v>72</v>
      </c>
    </row>
    <row r="824" spans="1:28" s="64" customFormat="1" ht="15" customHeight="1" x14ac:dyDescent="0.15">
      <c r="A824" s="64">
        <v>11014</v>
      </c>
      <c r="B824" s="64" t="s">
        <v>1743</v>
      </c>
      <c r="C824" s="8">
        <f t="shared" si="117"/>
        <v>5</v>
      </c>
      <c r="D824" s="8">
        <v>1</v>
      </c>
      <c r="E824" s="8"/>
      <c r="F824" s="12">
        <v>0</v>
      </c>
      <c r="G824" s="14">
        <v>1</v>
      </c>
      <c r="H824" s="14">
        <v>0</v>
      </c>
      <c r="I824" s="14">
        <v>1</v>
      </c>
      <c r="J824" s="14">
        <v>0</v>
      </c>
      <c r="K824" s="14">
        <v>0</v>
      </c>
      <c r="L824" s="8">
        <v>1</v>
      </c>
      <c r="M824" s="8">
        <f t="shared" si="118"/>
        <v>34</v>
      </c>
      <c r="N824" s="14">
        <v>0</v>
      </c>
      <c r="O824" s="14">
        <v>1</v>
      </c>
      <c r="P824" s="14">
        <v>0</v>
      </c>
      <c r="Q824" s="14">
        <v>0</v>
      </c>
      <c r="R824" s="14">
        <v>0</v>
      </c>
      <c r="S824" s="14">
        <v>1</v>
      </c>
      <c r="T824" s="8">
        <v>1</v>
      </c>
      <c r="U824" s="8">
        <v>0</v>
      </c>
      <c r="V824" s="8">
        <v>1</v>
      </c>
      <c r="W824" s="8">
        <v>0</v>
      </c>
      <c r="X824" s="8">
        <v>0</v>
      </c>
      <c r="Y824" s="8">
        <v>0</v>
      </c>
      <c r="Z824" s="11" t="str">
        <f t="shared" si="114"/>
        <v>降低90点攻击</v>
      </c>
      <c r="AA824" s="64">
        <f>VLOOKUP(AB824,[1]战士技能!$A$4:$I$153,3,FALSE)</f>
        <v>90</v>
      </c>
      <c r="AB824" s="66">
        <v>73</v>
      </c>
    </row>
    <row r="825" spans="1:28" s="64" customFormat="1" ht="15" customHeight="1" x14ac:dyDescent="0.15">
      <c r="A825" s="64">
        <v>11015</v>
      </c>
      <c r="B825" s="64" t="s">
        <v>1744</v>
      </c>
      <c r="C825" s="8">
        <f t="shared" si="117"/>
        <v>5</v>
      </c>
      <c r="D825" s="8">
        <v>1</v>
      </c>
      <c r="E825" s="8"/>
      <c r="F825" s="12">
        <v>0</v>
      </c>
      <c r="G825" s="14">
        <v>1</v>
      </c>
      <c r="H825" s="14">
        <v>0</v>
      </c>
      <c r="I825" s="14">
        <v>1</v>
      </c>
      <c r="J825" s="14">
        <v>0</v>
      </c>
      <c r="K825" s="14">
        <v>0</v>
      </c>
      <c r="L825" s="8">
        <v>1</v>
      </c>
      <c r="M825" s="8">
        <f t="shared" si="118"/>
        <v>34</v>
      </c>
      <c r="N825" s="14">
        <v>0</v>
      </c>
      <c r="O825" s="14">
        <v>1</v>
      </c>
      <c r="P825" s="14">
        <v>0</v>
      </c>
      <c r="Q825" s="14">
        <v>0</v>
      </c>
      <c r="R825" s="14">
        <v>0</v>
      </c>
      <c r="S825" s="14">
        <v>1</v>
      </c>
      <c r="T825" s="8">
        <v>1</v>
      </c>
      <c r="U825" s="8">
        <v>0</v>
      </c>
      <c r="V825" s="8">
        <v>1</v>
      </c>
      <c r="W825" s="8">
        <v>0</v>
      </c>
      <c r="X825" s="8">
        <v>0</v>
      </c>
      <c r="Y825" s="8">
        <v>0</v>
      </c>
      <c r="Z825" s="11" t="str">
        <f t="shared" si="114"/>
        <v>降低93点攻击</v>
      </c>
      <c r="AA825" s="64">
        <f>VLOOKUP(AB825,[1]战士技能!$A$4:$I$153,3,FALSE)</f>
        <v>93</v>
      </c>
      <c r="AB825" s="66">
        <v>74</v>
      </c>
    </row>
    <row r="826" spans="1:28" s="64" customFormat="1" ht="15" customHeight="1" x14ac:dyDescent="0.15">
      <c r="A826" s="64">
        <v>11016</v>
      </c>
      <c r="B826" s="64" t="s">
        <v>1745</v>
      </c>
      <c r="C826" s="8">
        <f t="shared" si="117"/>
        <v>5</v>
      </c>
      <c r="D826" s="8">
        <v>1</v>
      </c>
      <c r="E826" s="8"/>
      <c r="F826" s="12">
        <v>0</v>
      </c>
      <c r="G826" s="14">
        <v>1</v>
      </c>
      <c r="H826" s="14">
        <v>0</v>
      </c>
      <c r="I826" s="14">
        <v>1</v>
      </c>
      <c r="J826" s="14">
        <v>0</v>
      </c>
      <c r="K826" s="14">
        <v>0</v>
      </c>
      <c r="L826" s="8">
        <v>1</v>
      </c>
      <c r="M826" s="8">
        <f t="shared" si="118"/>
        <v>34</v>
      </c>
      <c r="N826" s="14">
        <v>0</v>
      </c>
      <c r="O826" s="14">
        <v>1</v>
      </c>
      <c r="P826" s="14">
        <v>0</v>
      </c>
      <c r="Q826" s="14">
        <v>0</v>
      </c>
      <c r="R826" s="14">
        <v>0</v>
      </c>
      <c r="S826" s="14">
        <v>1</v>
      </c>
      <c r="T826" s="8">
        <v>1</v>
      </c>
      <c r="U826" s="8">
        <v>0</v>
      </c>
      <c r="V826" s="8">
        <v>1</v>
      </c>
      <c r="W826" s="8">
        <v>0</v>
      </c>
      <c r="X826" s="8">
        <v>0</v>
      </c>
      <c r="Y826" s="8">
        <v>0</v>
      </c>
      <c r="Z826" s="11" t="str">
        <f t="shared" si="114"/>
        <v>降低96点攻击</v>
      </c>
      <c r="AA826" s="64">
        <f>VLOOKUP(AB826,[1]战士技能!$A$4:$I$153,3,FALSE)</f>
        <v>96</v>
      </c>
      <c r="AB826" s="66">
        <v>75</v>
      </c>
    </row>
    <row r="827" spans="1:28" s="64" customFormat="1" ht="15" customHeight="1" x14ac:dyDescent="0.15">
      <c r="A827" s="64">
        <v>11017</v>
      </c>
      <c r="B827" s="64" t="s">
        <v>1746</v>
      </c>
      <c r="C827" s="8">
        <f t="shared" si="117"/>
        <v>5</v>
      </c>
      <c r="D827" s="8">
        <v>1</v>
      </c>
      <c r="E827" s="8"/>
      <c r="F827" s="12">
        <v>0</v>
      </c>
      <c r="G827" s="14">
        <v>1</v>
      </c>
      <c r="H827" s="14">
        <v>0</v>
      </c>
      <c r="I827" s="14">
        <v>1</v>
      </c>
      <c r="J827" s="14">
        <v>0</v>
      </c>
      <c r="K827" s="14">
        <v>0</v>
      </c>
      <c r="L827" s="8">
        <v>1</v>
      </c>
      <c r="M827" s="8">
        <f t="shared" si="118"/>
        <v>34</v>
      </c>
      <c r="N827" s="14">
        <v>0</v>
      </c>
      <c r="O827" s="14">
        <v>1</v>
      </c>
      <c r="P827" s="14">
        <v>0</v>
      </c>
      <c r="Q827" s="14">
        <v>0</v>
      </c>
      <c r="R827" s="14">
        <v>0</v>
      </c>
      <c r="S827" s="14">
        <v>1</v>
      </c>
      <c r="T827" s="8">
        <v>1</v>
      </c>
      <c r="U827" s="8">
        <v>0</v>
      </c>
      <c r="V827" s="8">
        <v>1</v>
      </c>
      <c r="W827" s="8">
        <v>0</v>
      </c>
      <c r="X827" s="8">
        <v>0</v>
      </c>
      <c r="Y827" s="8">
        <v>0</v>
      </c>
      <c r="Z827" s="11" t="str">
        <f t="shared" si="114"/>
        <v>降低100点攻击</v>
      </c>
      <c r="AA827" s="64">
        <f>VLOOKUP(AB827,[1]战士技能!$A$4:$I$153,3,FALSE)</f>
        <v>100</v>
      </c>
      <c r="AB827" s="66">
        <v>76</v>
      </c>
    </row>
    <row r="828" spans="1:28" s="64" customFormat="1" ht="15" customHeight="1" x14ac:dyDescent="0.15">
      <c r="A828" s="64">
        <v>11018</v>
      </c>
      <c r="B828" s="64" t="s">
        <v>1747</v>
      </c>
      <c r="C828" s="8">
        <f t="shared" si="117"/>
        <v>5</v>
      </c>
      <c r="D828" s="8">
        <v>1</v>
      </c>
      <c r="E828" s="8"/>
      <c r="F828" s="12">
        <v>0</v>
      </c>
      <c r="G828" s="14">
        <v>1</v>
      </c>
      <c r="H828" s="14">
        <v>0</v>
      </c>
      <c r="I828" s="14">
        <v>1</v>
      </c>
      <c r="J828" s="14">
        <v>0</v>
      </c>
      <c r="K828" s="14">
        <v>0</v>
      </c>
      <c r="L828" s="8">
        <v>1</v>
      </c>
      <c r="M828" s="8">
        <f t="shared" si="118"/>
        <v>34</v>
      </c>
      <c r="N828" s="14">
        <v>0</v>
      </c>
      <c r="O828" s="14">
        <v>1</v>
      </c>
      <c r="P828" s="14">
        <v>0</v>
      </c>
      <c r="Q828" s="14">
        <v>0</v>
      </c>
      <c r="R828" s="14">
        <v>0</v>
      </c>
      <c r="S828" s="14">
        <v>1</v>
      </c>
      <c r="T828" s="8">
        <v>1</v>
      </c>
      <c r="U828" s="8">
        <v>0</v>
      </c>
      <c r="V828" s="8">
        <v>1</v>
      </c>
      <c r="W828" s="8">
        <v>0</v>
      </c>
      <c r="X828" s="8">
        <v>0</v>
      </c>
      <c r="Y828" s="8">
        <v>0</v>
      </c>
      <c r="Z828" s="11" t="str">
        <f t="shared" si="114"/>
        <v>降低103点攻击</v>
      </c>
      <c r="AA828" s="64">
        <f>VLOOKUP(AB828,[1]战士技能!$A$4:$I$153,3,FALSE)</f>
        <v>103</v>
      </c>
      <c r="AB828" s="66">
        <v>77</v>
      </c>
    </row>
    <row r="829" spans="1:28" s="64" customFormat="1" ht="15" customHeight="1" x14ac:dyDescent="0.15">
      <c r="A829" s="64">
        <v>11019</v>
      </c>
      <c r="B829" s="64" t="s">
        <v>1748</v>
      </c>
      <c r="C829" s="8">
        <f t="shared" si="117"/>
        <v>5</v>
      </c>
      <c r="D829" s="8">
        <v>1</v>
      </c>
      <c r="E829" s="8"/>
      <c r="F829" s="12">
        <v>0</v>
      </c>
      <c r="G829" s="14">
        <v>1</v>
      </c>
      <c r="H829" s="14">
        <v>0</v>
      </c>
      <c r="I829" s="14">
        <v>1</v>
      </c>
      <c r="J829" s="14">
        <v>0</v>
      </c>
      <c r="K829" s="14">
        <v>0</v>
      </c>
      <c r="L829" s="8">
        <v>1</v>
      </c>
      <c r="M829" s="8">
        <f t="shared" si="118"/>
        <v>34</v>
      </c>
      <c r="N829" s="14">
        <v>0</v>
      </c>
      <c r="O829" s="14">
        <v>1</v>
      </c>
      <c r="P829" s="14">
        <v>0</v>
      </c>
      <c r="Q829" s="14">
        <v>0</v>
      </c>
      <c r="R829" s="14">
        <v>0</v>
      </c>
      <c r="S829" s="14">
        <v>1</v>
      </c>
      <c r="T829" s="8">
        <v>1</v>
      </c>
      <c r="U829" s="8">
        <v>0</v>
      </c>
      <c r="V829" s="8">
        <v>1</v>
      </c>
      <c r="W829" s="8">
        <v>0</v>
      </c>
      <c r="X829" s="8">
        <v>0</v>
      </c>
      <c r="Y829" s="8">
        <v>0</v>
      </c>
      <c r="Z829" s="11" t="str">
        <f t="shared" si="114"/>
        <v>降低107点攻击</v>
      </c>
      <c r="AA829" s="64">
        <f>VLOOKUP(AB829,[1]战士技能!$A$4:$I$153,3,FALSE)</f>
        <v>107</v>
      </c>
      <c r="AB829" s="66">
        <v>78</v>
      </c>
    </row>
    <row r="830" spans="1:28" s="64" customFormat="1" ht="15" customHeight="1" x14ac:dyDescent="0.15">
      <c r="A830" s="64">
        <v>11020</v>
      </c>
      <c r="B830" s="64" t="s">
        <v>1749</v>
      </c>
      <c r="C830" s="8">
        <f t="shared" si="117"/>
        <v>5</v>
      </c>
      <c r="D830" s="8">
        <v>1</v>
      </c>
      <c r="E830" s="8"/>
      <c r="F830" s="12">
        <v>0</v>
      </c>
      <c r="G830" s="14">
        <v>1</v>
      </c>
      <c r="H830" s="14">
        <v>0</v>
      </c>
      <c r="I830" s="14">
        <v>1</v>
      </c>
      <c r="J830" s="14">
        <v>0</v>
      </c>
      <c r="K830" s="14">
        <v>0</v>
      </c>
      <c r="L830" s="8">
        <v>1</v>
      </c>
      <c r="M830" s="8">
        <f t="shared" si="118"/>
        <v>34</v>
      </c>
      <c r="N830" s="14">
        <v>0</v>
      </c>
      <c r="O830" s="14">
        <v>1</v>
      </c>
      <c r="P830" s="14">
        <v>0</v>
      </c>
      <c r="Q830" s="14">
        <v>0</v>
      </c>
      <c r="R830" s="14">
        <v>0</v>
      </c>
      <c r="S830" s="14">
        <v>1</v>
      </c>
      <c r="T830" s="8">
        <v>1</v>
      </c>
      <c r="U830" s="8">
        <v>0</v>
      </c>
      <c r="V830" s="8">
        <v>1</v>
      </c>
      <c r="W830" s="8">
        <v>0</v>
      </c>
      <c r="X830" s="8">
        <v>0</v>
      </c>
      <c r="Y830" s="8">
        <v>0</v>
      </c>
      <c r="Z830" s="11" t="str">
        <f t="shared" si="114"/>
        <v>降低110点攻击</v>
      </c>
      <c r="AA830" s="64">
        <f>VLOOKUP(AB830,[1]战士技能!$A$4:$I$153,3,FALSE)</f>
        <v>110</v>
      </c>
      <c r="AB830" s="66">
        <v>79</v>
      </c>
    </row>
    <row r="831" spans="1:28" s="64" customFormat="1" ht="15" customHeight="1" x14ac:dyDescent="0.15">
      <c r="A831" s="64">
        <v>11021</v>
      </c>
      <c r="B831" s="64" t="s">
        <v>1750</v>
      </c>
      <c r="C831" s="8">
        <f t="shared" si="117"/>
        <v>5</v>
      </c>
      <c r="D831" s="8">
        <v>1</v>
      </c>
      <c r="E831" s="8"/>
      <c r="F831" s="12">
        <v>0</v>
      </c>
      <c r="G831" s="14">
        <v>1</v>
      </c>
      <c r="H831" s="14">
        <v>0</v>
      </c>
      <c r="I831" s="14">
        <v>1</v>
      </c>
      <c r="J831" s="14">
        <v>0</v>
      </c>
      <c r="K831" s="14">
        <v>0</v>
      </c>
      <c r="L831" s="8">
        <v>1</v>
      </c>
      <c r="M831" s="8">
        <f t="shared" si="118"/>
        <v>34</v>
      </c>
      <c r="N831" s="14">
        <v>0</v>
      </c>
      <c r="O831" s="14">
        <v>1</v>
      </c>
      <c r="P831" s="14">
        <v>0</v>
      </c>
      <c r="Q831" s="14">
        <v>0</v>
      </c>
      <c r="R831" s="14">
        <v>0</v>
      </c>
      <c r="S831" s="14">
        <v>1</v>
      </c>
      <c r="T831" s="8">
        <v>1</v>
      </c>
      <c r="U831" s="8">
        <v>0</v>
      </c>
      <c r="V831" s="8">
        <v>1</v>
      </c>
      <c r="W831" s="8">
        <v>0</v>
      </c>
      <c r="X831" s="8">
        <v>0</v>
      </c>
      <c r="Y831" s="8">
        <v>0</v>
      </c>
      <c r="Z831" s="11" t="str">
        <f t="shared" si="114"/>
        <v>降低114点攻击</v>
      </c>
      <c r="AA831" s="64">
        <f>VLOOKUP(AB831,[1]战士技能!$A$4:$I$153,3,FALSE)</f>
        <v>114</v>
      </c>
      <c r="AB831" s="66">
        <v>80</v>
      </c>
    </row>
    <row r="832" spans="1:28" s="64" customFormat="1" ht="15" customHeight="1" x14ac:dyDescent="0.15">
      <c r="A832" s="64">
        <v>11022</v>
      </c>
      <c r="B832" s="64" t="s">
        <v>1751</v>
      </c>
      <c r="C832" s="8">
        <f t="shared" si="117"/>
        <v>5</v>
      </c>
      <c r="D832" s="8">
        <v>1</v>
      </c>
      <c r="E832" s="8"/>
      <c r="F832" s="12">
        <v>0</v>
      </c>
      <c r="G832" s="14">
        <v>1</v>
      </c>
      <c r="H832" s="14">
        <v>0</v>
      </c>
      <c r="I832" s="14">
        <v>1</v>
      </c>
      <c r="J832" s="14">
        <v>0</v>
      </c>
      <c r="K832" s="14">
        <v>0</v>
      </c>
      <c r="L832" s="8">
        <v>1</v>
      </c>
      <c r="M832" s="8">
        <f t="shared" si="118"/>
        <v>34</v>
      </c>
      <c r="N832" s="14">
        <v>0</v>
      </c>
      <c r="O832" s="14">
        <v>1</v>
      </c>
      <c r="P832" s="14">
        <v>0</v>
      </c>
      <c r="Q832" s="14">
        <v>0</v>
      </c>
      <c r="R832" s="14">
        <v>0</v>
      </c>
      <c r="S832" s="14">
        <v>1</v>
      </c>
      <c r="T832" s="8">
        <v>1</v>
      </c>
      <c r="U832" s="8">
        <v>0</v>
      </c>
      <c r="V832" s="8">
        <v>1</v>
      </c>
      <c r="W832" s="8">
        <v>0</v>
      </c>
      <c r="X832" s="8">
        <v>0</v>
      </c>
      <c r="Y832" s="8">
        <v>0</v>
      </c>
      <c r="Z832" s="11" t="str">
        <f t="shared" si="114"/>
        <v>降低118点攻击</v>
      </c>
      <c r="AA832" s="64">
        <f>VLOOKUP(AB832,[1]战士技能!$A$4:$I$153,3,FALSE)</f>
        <v>118</v>
      </c>
      <c r="AB832" s="66">
        <v>81</v>
      </c>
    </row>
    <row r="833" spans="1:28" s="64" customFormat="1" ht="15" customHeight="1" x14ac:dyDescent="0.15">
      <c r="A833" s="64">
        <v>11023</v>
      </c>
      <c r="B833" s="64" t="s">
        <v>1752</v>
      </c>
      <c r="C833" s="8">
        <f t="shared" si="117"/>
        <v>5</v>
      </c>
      <c r="D833" s="8">
        <v>1</v>
      </c>
      <c r="E833" s="8"/>
      <c r="F833" s="12">
        <v>0</v>
      </c>
      <c r="G833" s="14">
        <v>1</v>
      </c>
      <c r="H833" s="14">
        <v>0</v>
      </c>
      <c r="I833" s="14">
        <v>1</v>
      </c>
      <c r="J833" s="14">
        <v>0</v>
      </c>
      <c r="K833" s="14">
        <v>0</v>
      </c>
      <c r="L833" s="8">
        <v>1</v>
      </c>
      <c r="M833" s="8">
        <f t="shared" si="118"/>
        <v>34</v>
      </c>
      <c r="N833" s="14">
        <v>0</v>
      </c>
      <c r="O833" s="14">
        <v>1</v>
      </c>
      <c r="P833" s="14">
        <v>0</v>
      </c>
      <c r="Q833" s="14">
        <v>0</v>
      </c>
      <c r="R833" s="14">
        <v>0</v>
      </c>
      <c r="S833" s="14">
        <v>1</v>
      </c>
      <c r="T833" s="8">
        <v>1</v>
      </c>
      <c r="U833" s="8">
        <v>0</v>
      </c>
      <c r="V833" s="8">
        <v>1</v>
      </c>
      <c r="W833" s="8">
        <v>0</v>
      </c>
      <c r="X833" s="8">
        <v>0</v>
      </c>
      <c r="Y833" s="8">
        <v>0</v>
      </c>
      <c r="Z833" s="11" t="str">
        <f t="shared" si="114"/>
        <v>降低122点攻击</v>
      </c>
      <c r="AA833" s="64">
        <f>VLOOKUP(AB833,[1]战士技能!$A$4:$I$153,3,FALSE)</f>
        <v>122</v>
      </c>
      <c r="AB833" s="66">
        <v>82</v>
      </c>
    </row>
    <row r="834" spans="1:28" s="64" customFormat="1" ht="15" customHeight="1" x14ac:dyDescent="0.15">
      <c r="A834" s="64">
        <v>11024</v>
      </c>
      <c r="B834" s="64" t="s">
        <v>1753</v>
      </c>
      <c r="C834" s="8">
        <f t="shared" si="117"/>
        <v>5</v>
      </c>
      <c r="D834" s="8">
        <v>1</v>
      </c>
      <c r="E834" s="8"/>
      <c r="F834" s="12">
        <v>0</v>
      </c>
      <c r="G834" s="14">
        <v>1</v>
      </c>
      <c r="H834" s="14">
        <v>0</v>
      </c>
      <c r="I834" s="14">
        <v>1</v>
      </c>
      <c r="J834" s="14">
        <v>0</v>
      </c>
      <c r="K834" s="14">
        <v>0</v>
      </c>
      <c r="L834" s="8">
        <v>1</v>
      </c>
      <c r="M834" s="8">
        <f t="shared" si="118"/>
        <v>34</v>
      </c>
      <c r="N834" s="14">
        <v>0</v>
      </c>
      <c r="O834" s="14">
        <v>1</v>
      </c>
      <c r="P834" s="14">
        <v>0</v>
      </c>
      <c r="Q834" s="14">
        <v>0</v>
      </c>
      <c r="R834" s="14">
        <v>0</v>
      </c>
      <c r="S834" s="14">
        <v>1</v>
      </c>
      <c r="T834" s="8">
        <v>1</v>
      </c>
      <c r="U834" s="8">
        <v>0</v>
      </c>
      <c r="V834" s="8">
        <v>1</v>
      </c>
      <c r="W834" s="8">
        <v>0</v>
      </c>
      <c r="X834" s="8">
        <v>0</v>
      </c>
      <c r="Y834" s="8">
        <v>0</v>
      </c>
      <c r="Z834" s="11" t="str">
        <f t="shared" si="114"/>
        <v>降低126点攻击</v>
      </c>
      <c r="AA834" s="64">
        <f>VLOOKUP(AB834,[1]战士技能!$A$4:$I$153,3,FALSE)</f>
        <v>126</v>
      </c>
      <c r="AB834" s="66">
        <v>83</v>
      </c>
    </row>
    <row r="835" spans="1:28" s="64" customFormat="1" ht="15" customHeight="1" x14ac:dyDescent="0.15">
      <c r="A835" s="64">
        <v>11025</v>
      </c>
      <c r="B835" s="64" t="s">
        <v>1754</v>
      </c>
      <c r="C835" s="8">
        <f t="shared" si="117"/>
        <v>5</v>
      </c>
      <c r="D835" s="8">
        <v>1</v>
      </c>
      <c r="E835" s="8"/>
      <c r="F835" s="12">
        <v>0</v>
      </c>
      <c r="G835" s="14">
        <v>1</v>
      </c>
      <c r="H835" s="14">
        <v>0</v>
      </c>
      <c r="I835" s="14">
        <v>1</v>
      </c>
      <c r="J835" s="14">
        <v>0</v>
      </c>
      <c r="K835" s="14">
        <v>0</v>
      </c>
      <c r="L835" s="8">
        <v>1</v>
      </c>
      <c r="M835" s="8">
        <f t="shared" si="118"/>
        <v>34</v>
      </c>
      <c r="N835" s="14">
        <v>0</v>
      </c>
      <c r="O835" s="14">
        <v>1</v>
      </c>
      <c r="P835" s="14">
        <v>0</v>
      </c>
      <c r="Q835" s="14">
        <v>0</v>
      </c>
      <c r="R835" s="14">
        <v>0</v>
      </c>
      <c r="S835" s="14">
        <v>1</v>
      </c>
      <c r="T835" s="8">
        <v>1</v>
      </c>
      <c r="U835" s="8">
        <v>0</v>
      </c>
      <c r="V835" s="8">
        <v>1</v>
      </c>
      <c r="W835" s="8">
        <v>0</v>
      </c>
      <c r="X835" s="8">
        <v>0</v>
      </c>
      <c r="Y835" s="8">
        <v>0</v>
      </c>
      <c r="Z835" s="11" t="str">
        <f t="shared" si="114"/>
        <v>降低130点攻击</v>
      </c>
      <c r="AA835" s="64">
        <f>VLOOKUP(AB835,[1]战士技能!$A$4:$I$153,3,FALSE)</f>
        <v>130</v>
      </c>
      <c r="AB835" s="66">
        <v>84</v>
      </c>
    </row>
    <row r="836" spans="1:28" s="64" customFormat="1" ht="15" customHeight="1" x14ac:dyDescent="0.15">
      <c r="A836" s="64">
        <v>12001</v>
      </c>
      <c r="B836" s="64" t="s">
        <v>1756</v>
      </c>
      <c r="C836" s="8">
        <f t="shared" si="117"/>
        <v>5</v>
      </c>
      <c r="D836" s="8">
        <v>1</v>
      </c>
      <c r="E836" s="8"/>
      <c r="F836" s="12">
        <v>0</v>
      </c>
      <c r="G836" s="14">
        <v>1</v>
      </c>
      <c r="H836" s="14">
        <v>0</v>
      </c>
      <c r="I836" s="14">
        <v>1</v>
      </c>
      <c r="J836" s="14">
        <v>0</v>
      </c>
      <c r="K836" s="14">
        <v>0</v>
      </c>
      <c r="L836" s="8">
        <v>1</v>
      </c>
      <c r="M836" s="8">
        <f t="shared" si="118"/>
        <v>34</v>
      </c>
      <c r="N836" s="14">
        <v>0</v>
      </c>
      <c r="O836" s="14">
        <v>1</v>
      </c>
      <c r="P836" s="14">
        <v>0</v>
      </c>
      <c r="Q836" s="14">
        <v>0</v>
      </c>
      <c r="R836" s="14">
        <v>0</v>
      </c>
      <c r="S836" s="14">
        <v>1</v>
      </c>
      <c r="T836" s="8">
        <v>1</v>
      </c>
      <c r="U836" s="8">
        <v>0</v>
      </c>
      <c r="V836" s="8">
        <v>1</v>
      </c>
      <c r="W836" s="8">
        <v>0</v>
      </c>
      <c r="X836" s="8">
        <v>0</v>
      </c>
      <c r="Y836" s="8">
        <v>0</v>
      </c>
      <c r="Z836" s="11" t="str">
        <f t="shared" si="114"/>
        <v>降低165点攻击</v>
      </c>
      <c r="AA836" s="64">
        <f>VLOOKUP(AB836,[1]战士技能!$A$4:$I$153,3,FALSE)</f>
        <v>165</v>
      </c>
      <c r="AB836" s="67">
        <v>91</v>
      </c>
    </row>
    <row r="837" spans="1:28" s="64" customFormat="1" ht="15" customHeight="1" x14ac:dyDescent="0.15">
      <c r="A837" s="64">
        <v>12002</v>
      </c>
      <c r="B837" s="64" t="s">
        <v>1757</v>
      </c>
      <c r="C837" s="8">
        <f t="shared" si="117"/>
        <v>5</v>
      </c>
      <c r="D837" s="8">
        <v>1</v>
      </c>
      <c r="E837" s="8"/>
      <c r="F837" s="12">
        <v>0</v>
      </c>
      <c r="G837" s="14">
        <v>1</v>
      </c>
      <c r="H837" s="14">
        <v>0</v>
      </c>
      <c r="I837" s="14">
        <v>1</v>
      </c>
      <c r="J837" s="14">
        <v>0</v>
      </c>
      <c r="K837" s="14">
        <v>0</v>
      </c>
      <c r="L837" s="8">
        <v>1</v>
      </c>
      <c r="M837" s="8">
        <f t="shared" si="118"/>
        <v>34</v>
      </c>
      <c r="N837" s="14">
        <v>0</v>
      </c>
      <c r="O837" s="14">
        <v>1</v>
      </c>
      <c r="P837" s="14">
        <v>0</v>
      </c>
      <c r="Q837" s="14">
        <v>0</v>
      </c>
      <c r="R837" s="14">
        <v>0</v>
      </c>
      <c r="S837" s="14">
        <v>1</v>
      </c>
      <c r="T837" s="8">
        <v>1</v>
      </c>
      <c r="U837" s="8">
        <v>0</v>
      </c>
      <c r="V837" s="8">
        <v>1</v>
      </c>
      <c r="W837" s="8">
        <v>0</v>
      </c>
      <c r="X837" s="8">
        <v>0</v>
      </c>
      <c r="Y837" s="8">
        <v>0</v>
      </c>
      <c r="Z837" s="11" t="str">
        <f t="shared" si="114"/>
        <v>降低171点攻击</v>
      </c>
      <c r="AA837" s="64">
        <f>VLOOKUP(AB837,[1]战士技能!$A$4:$I$153,3,FALSE)</f>
        <v>171</v>
      </c>
      <c r="AB837" s="67">
        <v>92</v>
      </c>
    </row>
    <row r="838" spans="1:28" s="64" customFormat="1" ht="15" customHeight="1" x14ac:dyDescent="0.15">
      <c r="A838" s="64">
        <v>12003</v>
      </c>
      <c r="B838" s="64" t="s">
        <v>1758</v>
      </c>
      <c r="C838" s="8">
        <f t="shared" si="117"/>
        <v>5</v>
      </c>
      <c r="D838" s="8">
        <v>1</v>
      </c>
      <c r="E838" s="8"/>
      <c r="F838" s="12">
        <v>0</v>
      </c>
      <c r="G838" s="14">
        <v>1</v>
      </c>
      <c r="H838" s="14">
        <v>0</v>
      </c>
      <c r="I838" s="14">
        <v>1</v>
      </c>
      <c r="J838" s="14">
        <v>0</v>
      </c>
      <c r="K838" s="14">
        <v>0</v>
      </c>
      <c r="L838" s="8">
        <v>1</v>
      </c>
      <c r="M838" s="8">
        <f t="shared" si="118"/>
        <v>34</v>
      </c>
      <c r="N838" s="14">
        <v>0</v>
      </c>
      <c r="O838" s="14">
        <v>1</v>
      </c>
      <c r="P838" s="14">
        <v>0</v>
      </c>
      <c r="Q838" s="14">
        <v>0</v>
      </c>
      <c r="R838" s="14">
        <v>0</v>
      </c>
      <c r="S838" s="14">
        <v>1</v>
      </c>
      <c r="T838" s="8">
        <v>1</v>
      </c>
      <c r="U838" s="8">
        <v>0</v>
      </c>
      <c r="V838" s="8">
        <v>1</v>
      </c>
      <c r="W838" s="8">
        <v>0</v>
      </c>
      <c r="X838" s="8">
        <v>0</v>
      </c>
      <c r="Y838" s="8">
        <v>0</v>
      </c>
      <c r="Z838" s="11" t="str">
        <f t="shared" si="114"/>
        <v>降低177点攻击</v>
      </c>
      <c r="AA838" s="64">
        <f>VLOOKUP(AB838,[1]战士技能!$A$4:$I$153,3,FALSE)</f>
        <v>177</v>
      </c>
      <c r="AB838" s="67">
        <v>93</v>
      </c>
    </row>
    <row r="839" spans="1:28" s="64" customFormat="1" ht="15" customHeight="1" x14ac:dyDescent="0.15">
      <c r="A839" s="64">
        <v>12004</v>
      </c>
      <c r="B839" s="64" t="s">
        <v>1759</v>
      </c>
      <c r="C839" s="8">
        <f t="shared" si="117"/>
        <v>5</v>
      </c>
      <c r="D839" s="8">
        <v>1</v>
      </c>
      <c r="E839" s="8"/>
      <c r="F839" s="12">
        <v>0</v>
      </c>
      <c r="G839" s="14">
        <v>1</v>
      </c>
      <c r="H839" s="14">
        <v>0</v>
      </c>
      <c r="I839" s="14">
        <v>1</v>
      </c>
      <c r="J839" s="14">
        <v>0</v>
      </c>
      <c r="K839" s="14">
        <v>0</v>
      </c>
      <c r="L839" s="8">
        <v>1</v>
      </c>
      <c r="M839" s="8">
        <f t="shared" si="118"/>
        <v>34</v>
      </c>
      <c r="N839" s="14">
        <v>0</v>
      </c>
      <c r="O839" s="14">
        <v>1</v>
      </c>
      <c r="P839" s="14">
        <v>0</v>
      </c>
      <c r="Q839" s="14">
        <v>0</v>
      </c>
      <c r="R839" s="14">
        <v>0</v>
      </c>
      <c r="S839" s="14">
        <v>1</v>
      </c>
      <c r="T839" s="8">
        <v>1</v>
      </c>
      <c r="U839" s="8">
        <v>0</v>
      </c>
      <c r="V839" s="8">
        <v>1</v>
      </c>
      <c r="W839" s="8">
        <v>0</v>
      </c>
      <c r="X839" s="8">
        <v>0</v>
      </c>
      <c r="Y839" s="8">
        <v>0</v>
      </c>
      <c r="Z839" s="11" t="str">
        <f>"降低"&amp;AA839&amp;"点攻击"</f>
        <v>降低183点攻击</v>
      </c>
      <c r="AA839" s="64">
        <f>VLOOKUP(AB839,[1]战士技能!$A$4:$I$153,3,FALSE)</f>
        <v>183</v>
      </c>
      <c r="AB839" s="67">
        <v>94</v>
      </c>
    </row>
    <row r="840" spans="1:28" s="64" customFormat="1" ht="15" customHeight="1" x14ac:dyDescent="0.15">
      <c r="A840" s="64">
        <v>12005</v>
      </c>
      <c r="B840" s="64" t="s">
        <v>1760</v>
      </c>
      <c r="C840" s="8">
        <f t="shared" si="117"/>
        <v>5</v>
      </c>
      <c r="D840" s="8">
        <v>1</v>
      </c>
      <c r="E840" s="8"/>
      <c r="F840" s="12">
        <v>0</v>
      </c>
      <c r="G840" s="14">
        <v>1</v>
      </c>
      <c r="H840" s="14">
        <v>0</v>
      </c>
      <c r="I840" s="14">
        <v>1</v>
      </c>
      <c r="J840" s="14">
        <v>0</v>
      </c>
      <c r="K840" s="14">
        <v>0</v>
      </c>
      <c r="L840" s="8">
        <v>1</v>
      </c>
      <c r="M840" s="8">
        <f t="shared" si="118"/>
        <v>34</v>
      </c>
      <c r="N840" s="14">
        <v>0</v>
      </c>
      <c r="O840" s="14">
        <v>1</v>
      </c>
      <c r="P840" s="14">
        <v>0</v>
      </c>
      <c r="Q840" s="14">
        <v>0</v>
      </c>
      <c r="R840" s="14">
        <v>0</v>
      </c>
      <c r="S840" s="14">
        <v>1</v>
      </c>
      <c r="T840" s="8">
        <v>1</v>
      </c>
      <c r="U840" s="8">
        <v>0</v>
      </c>
      <c r="V840" s="8">
        <v>1</v>
      </c>
      <c r="W840" s="8">
        <v>0</v>
      </c>
      <c r="X840" s="8">
        <v>0</v>
      </c>
      <c r="Y840" s="8">
        <v>0</v>
      </c>
      <c r="Z840" s="11" t="str">
        <f t="shared" si="114"/>
        <v>降低189点攻击</v>
      </c>
      <c r="AA840" s="64">
        <f>VLOOKUP(AB840,[1]战士技能!$A$4:$I$153,3,FALSE)</f>
        <v>189</v>
      </c>
      <c r="AB840" s="67">
        <v>95</v>
      </c>
    </row>
    <row r="841" spans="1:28" s="64" customFormat="1" ht="15" customHeight="1" x14ac:dyDescent="0.15">
      <c r="A841" s="64">
        <v>12006</v>
      </c>
      <c r="B841" s="64" t="s">
        <v>1761</v>
      </c>
      <c r="C841" s="8">
        <f t="shared" si="117"/>
        <v>5</v>
      </c>
      <c r="D841" s="8">
        <v>1</v>
      </c>
      <c r="E841" s="8"/>
      <c r="F841" s="12">
        <v>0</v>
      </c>
      <c r="G841" s="14">
        <v>1</v>
      </c>
      <c r="H841" s="14">
        <v>0</v>
      </c>
      <c r="I841" s="14">
        <v>1</v>
      </c>
      <c r="J841" s="14">
        <v>0</v>
      </c>
      <c r="K841" s="14">
        <v>0</v>
      </c>
      <c r="L841" s="8">
        <v>1</v>
      </c>
      <c r="M841" s="8">
        <f t="shared" si="118"/>
        <v>34</v>
      </c>
      <c r="N841" s="14">
        <v>0</v>
      </c>
      <c r="O841" s="14">
        <v>1</v>
      </c>
      <c r="P841" s="14">
        <v>0</v>
      </c>
      <c r="Q841" s="14">
        <v>0</v>
      </c>
      <c r="R841" s="14">
        <v>0</v>
      </c>
      <c r="S841" s="14">
        <v>1</v>
      </c>
      <c r="T841" s="8">
        <v>1</v>
      </c>
      <c r="U841" s="8">
        <v>0</v>
      </c>
      <c r="V841" s="8">
        <v>1</v>
      </c>
      <c r="W841" s="8">
        <v>0</v>
      </c>
      <c r="X841" s="8">
        <v>0</v>
      </c>
      <c r="Y841" s="8">
        <v>0</v>
      </c>
      <c r="Z841" s="11" t="str">
        <f t="shared" si="114"/>
        <v>降低195点攻击</v>
      </c>
      <c r="AA841" s="64">
        <f>VLOOKUP(AB841,[1]战士技能!$A$4:$I$153,3,FALSE)</f>
        <v>195</v>
      </c>
      <c r="AB841" s="67">
        <v>96</v>
      </c>
    </row>
    <row r="842" spans="1:28" s="64" customFormat="1" ht="15" customHeight="1" x14ac:dyDescent="0.15">
      <c r="A842" s="64">
        <v>12007</v>
      </c>
      <c r="B842" s="64" t="s">
        <v>1762</v>
      </c>
      <c r="C842" s="8">
        <f t="shared" si="117"/>
        <v>5</v>
      </c>
      <c r="D842" s="8">
        <v>1</v>
      </c>
      <c r="E842" s="8"/>
      <c r="F842" s="12">
        <v>0</v>
      </c>
      <c r="G842" s="14">
        <v>1</v>
      </c>
      <c r="H842" s="14">
        <v>0</v>
      </c>
      <c r="I842" s="14">
        <v>1</v>
      </c>
      <c r="J842" s="14">
        <v>0</v>
      </c>
      <c r="K842" s="14">
        <v>0</v>
      </c>
      <c r="L842" s="8">
        <v>1</v>
      </c>
      <c r="M842" s="8">
        <f t="shared" si="118"/>
        <v>34</v>
      </c>
      <c r="N842" s="14">
        <v>0</v>
      </c>
      <c r="O842" s="14">
        <v>1</v>
      </c>
      <c r="P842" s="14">
        <v>0</v>
      </c>
      <c r="Q842" s="14">
        <v>0</v>
      </c>
      <c r="R842" s="14">
        <v>0</v>
      </c>
      <c r="S842" s="14">
        <v>1</v>
      </c>
      <c r="T842" s="8">
        <v>1</v>
      </c>
      <c r="U842" s="8">
        <v>0</v>
      </c>
      <c r="V842" s="8">
        <v>1</v>
      </c>
      <c r="W842" s="8">
        <v>0</v>
      </c>
      <c r="X842" s="8">
        <v>0</v>
      </c>
      <c r="Y842" s="8">
        <v>0</v>
      </c>
      <c r="Z842" s="11" t="str">
        <f t="shared" si="114"/>
        <v>降低202点攻击</v>
      </c>
      <c r="AA842" s="64">
        <f>VLOOKUP(AB842,[1]战士技能!$A$4:$I$153,3,FALSE)</f>
        <v>202</v>
      </c>
      <c r="AB842" s="67">
        <v>97</v>
      </c>
    </row>
    <row r="843" spans="1:28" s="64" customFormat="1" ht="15" customHeight="1" x14ac:dyDescent="0.15">
      <c r="A843" s="64">
        <v>12008</v>
      </c>
      <c r="B843" s="64" t="s">
        <v>1763</v>
      </c>
      <c r="C843" s="8">
        <f t="shared" si="117"/>
        <v>5</v>
      </c>
      <c r="D843" s="8">
        <v>1</v>
      </c>
      <c r="E843" s="8"/>
      <c r="F843" s="12">
        <v>0</v>
      </c>
      <c r="G843" s="14">
        <v>1</v>
      </c>
      <c r="H843" s="14">
        <v>0</v>
      </c>
      <c r="I843" s="14">
        <v>1</v>
      </c>
      <c r="J843" s="14">
        <v>0</v>
      </c>
      <c r="K843" s="14">
        <v>0</v>
      </c>
      <c r="L843" s="8">
        <v>1</v>
      </c>
      <c r="M843" s="8">
        <f t="shared" si="118"/>
        <v>34</v>
      </c>
      <c r="N843" s="14">
        <v>0</v>
      </c>
      <c r="O843" s="14">
        <v>1</v>
      </c>
      <c r="P843" s="14">
        <v>0</v>
      </c>
      <c r="Q843" s="14">
        <v>0</v>
      </c>
      <c r="R843" s="14">
        <v>0</v>
      </c>
      <c r="S843" s="14">
        <v>1</v>
      </c>
      <c r="T843" s="8">
        <v>1</v>
      </c>
      <c r="U843" s="8">
        <v>0</v>
      </c>
      <c r="V843" s="8">
        <v>1</v>
      </c>
      <c r="W843" s="8">
        <v>0</v>
      </c>
      <c r="X843" s="8">
        <v>0</v>
      </c>
      <c r="Y843" s="8">
        <v>0</v>
      </c>
      <c r="Z843" s="11" t="str">
        <f t="shared" si="114"/>
        <v>降低209点攻击</v>
      </c>
      <c r="AA843" s="64">
        <f>VLOOKUP(AB843,[1]战士技能!$A$4:$I$153,3,FALSE)</f>
        <v>209</v>
      </c>
      <c r="AB843" s="67">
        <v>98</v>
      </c>
    </row>
    <row r="844" spans="1:28" s="64" customFormat="1" ht="15" customHeight="1" x14ac:dyDescent="0.15">
      <c r="A844" s="64">
        <v>12009</v>
      </c>
      <c r="B844" s="64" t="s">
        <v>1764</v>
      </c>
      <c r="C844" s="8">
        <f t="shared" si="117"/>
        <v>5</v>
      </c>
      <c r="D844" s="8">
        <v>1</v>
      </c>
      <c r="E844" s="8"/>
      <c r="F844" s="12">
        <v>0</v>
      </c>
      <c r="G844" s="14">
        <v>1</v>
      </c>
      <c r="H844" s="14">
        <v>0</v>
      </c>
      <c r="I844" s="14">
        <v>1</v>
      </c>
      <c r="J844" s="14">
        <v>0</v>
      </c>
      <c r="K844" s="14">
        <v>0</v>
      </c>
      <c r="L844" s="8">
        <v>1</v>
      </c>
      <c r="M844" s="8">
        <f t="shared" si="118"/>
        <v>34</v>
      </c>
      <c r="N844" s="14">
        <v>0</v>
      </c>
      <c r="O844" s="14">
        <v>1</v>
      </c>
      <c r="P844" s="14">
        <v>0</v>
      </c>
      <c r="Q844" s="14">
        <v>0</v>
      </c>
      <c r="R844" s="14">
        <v>0</v>
      </c>
      <c r="S844" s="14">
        <v>1</v>
      </c>
      <c r="T844" s="8">
        <v>1</v>
      </c>
      <c r="U844" s="8">
        <v>0</v>
      </c>
      <c r="V844" s="8">
        <v>1</v>
      </c>
      <c r="W844" s="8">
        <v>0</v>
      </c>
      <c r="X844" s="8">
        <v>0</v>
      </c>
      <c r="Y844" s="8">
        <v>0</v>
      </c>
      <c r="Z844" s="11" t="str">
        <f t="shared" si="114"/>
        <v>降低216点攻击</v>
      </c>
      <c r="AA844" s="64">
        <f>VLOOKUP(AB844,[1]战士技能!$A$4:$I$153,3,FALSE)</f>
        <v>216</v>
      </c>
      <c r="AB844" s="67">
        <v>99</v>
      </c>
    </row>
    <row r="845" spans="1:28" s="64" customFormat="1" ht="15" customHeight="1" x14ac:dyDescent="0.15">
      <c r="A845" s="64">
        <v>12010</v>
      </c>
      <c r="B845" s="64" t="s">
        <v>1765</v>
      </c>
      <c r="C845" s="8">
        <f t="shared" si="117"/>
        <v>5</v>
      </c>
      <c r="D845" s="8">
        <v>1</v>
      </c>
      <c r="E845" s="8"/>
      <c r="F845" s="12">
        <v>0</v>
      </c>
      <c r="G845" s="14">
        <v>1</v>
      </c>
      <c r="H845" s="14">
        <v>0</v>
      </c>
      <c r="I845" s="14">
        <v>1</v>
      </c>
      <c r="J845" s="14">
        <v>0</v>
      </c>
      <c r="K845" s="14">
        <v>0</v>
      </c>
      <c r="L845" s="8">
        <v>1</v>
      </c>
      <c r="M845" s="8">
        <f t="shared" si="118"/>
        <v>34</v>
      </c>
      <c r="N845" s="14">
        <v>0</v>
      </c>
      <c r="O845" s="14">
        <v>1</v>
      </c>
      <c r="P845" s="14">
        <v>0</v>
      </c>
      <c r="Q845" s="14">
        <v>0</v>
      </c>
      <c r="R845" s="14">
        <v>0</v>
      </c>
      <c r="S845" s="14">
        <v>1</v>
      </c>
      <c r="T845" s="8">
        <v>1</v>
      </c>
      <c r="U845" s="8">
        <v>0</v>
      </c>
      <c r="V845" s="8">
        <v>1</v>
      </c>
      <c r="W845" s="8">
        <v>0</v>
      </c>
      <c r="X845" s="8">
        <v>0</v>
      </c>
      <c r="Y845" s="8">
        <v>0</v>
      </c>
      <c r="Z845" s="11" t="str">
        <f t="shared" si="114"/>
        <v>降低223点攻击</v>
      </c>
      <c r="AA845" s="64">
        <f>VLOOKUP(AB845,[1]战士技能!$A$4:$I$153,3,FALSE)</f>
        <v>223</v>
      </c>
      <c r="AB845" s="67">
        <v>100</v>
      </c>
    </row>
    <row r="846" spans="1:28" s="64" customFormat="1" ht="15" customHeight="1" x14ac:dyDescent="0.15">
      <c r="A846" s="64">
        <v>12011</v>
      </c>
      <c r="B846" s="64" t="s">
        <v>1766</v>
      </c>
      <c r="C846" s="8">
        <f t="shared" si="117"/>
        <v>5</v>
      </c>
      <c r="D846" s="8">
        <v>1</v>
      </c>
      <c r="E846" s="8"/>
      <c r="F846" s="12">
        <v>0</v>
      </c>
      <c r="G846" s="14">
        <v>1</v>
      </c>
      <c r="H846" s="14">
        <v>0</v>
      </c>
      <c r="I846" s="14">
        <v>1</v>
      </c>
      <c r="J846" s="14">
        <v>0</v>
      </c>
      <c r="K846" s="14">
        <v>0</v>
      </c>
      <c r="L846" s="8">
        <v>1</v>
      </c>
      <c r="M846" s="8">
        <f t="shared" si="118"/>
        <v>34</v>
      </c>
      <c r="N846" s="14">
        <v>0</v>
      </c>
      <c r="O846" s="14">
        <v>1</v>
      </c>
      <c r="P846" s="14">
        <v>0</v>
      </c>
      <c r="Q846" s="14">
        <v>0</v>
      </c>
      <c r="R846" s="14">
        <v>0</v>
      </c>
      <c r="S846" s="14">
        <v>1</v>
      </c>
      <c r="T846" s="8">
        <v>1</v>
      </c>
      <c r="U846" s="8">
        <v>0</v>
      </c>
      <c r="V846" s="8">
        <v>1</v>
      </c>
      <c r="W846" s="8">
        <v>0</v>
      </c>
      <c r="X846" s="8">
        <v>0</v>
      </c>
      <c r="Y846" s="8">
        <v>0</v>
      </c>
      <c r="Z846" s="11" t="str">
        <f t="shared" si="114"/>
        <v>降低231点攻击</v>
      </c>
      <c r="AA846" s="64">
        <f>VLOOKUP(AB846,[1]战士技能!$A$4:$I$153,3,FALSE)</f>
        <v>231</v>
      </c>
      <c r="AB846" s="67">
        <v>101</v>
      </c>
    </row>
    <row r="847" spans="1:28" s="64" customFormat="1" ht="15" customHeight="1" x14ac:dyDescent="0.15">
      <c r="A847" s="64">
        <v>12012</v>
      </c>
      <c r="B847" s="64" t="s">
        <v>1767</v>
      </c>
      <c r="C847" s="8">
        <f t="shared" si="117"/>
        <v>5</v>
      </c>
      <c r="D847" s="8">
        <v>1</v>
      </c>
      <c r="E847" s="8"/>
      <c r="F847" s="12">
        <v>0</v>
      </c>
      <c r="G847" s="14">
        <v>1</v>
      </c>
      <c r="H847" s="14">
        <v>0</v>
      </c>
      <c r="I847" s="14">
        <v>1</v>
      </c>
      <c r="J847" s="14">
        <v>0</v>
      </c>
      <c r="K847" s="14">
        <v>0</v>
      </c>
      <c r="L847" s="8">
        <v>1</v>
      </c>
      <c r="M847" s="8">
        <f t="shared" si="118"/>
        <v>34</v>
      </c>
      <c r="N847" s="14">
        <v>0</v>
      </c>
      <c r="O847" s="14">
        <v>1</v>
      </c>
      <c r="P847" s="14">
        <v>0</v>
      </c>
      <c r="Q847" s="14">
        <v>0</v>
      </c>
      <c r="R847" s="14">
        <v>0</v>
      </c>
      <c r="S847" s="14">
        <v>1</v>
      </c>
      <c r="T847" s="8">
        <v>1</v>
      </c>
      <c r="U847" s="8">
        <v>0</v>
      </c>
      <c r="V847" s="8">
        <v>1</v>
      </c>
      <c r="W847" s="8">
        <v>0</v>
      </c>
      <c r="X847" s="8">
        <v>0</v>
      </c>
      <c r="Y847" s="8">
        <v>0</v>
      </c>
      <c r="Z847" s="11" t="str">
        <f t="shared" si="114"/>
        <v>降低239点攻击</v>
      </c>
      <c r="AA847" s="64">
        <f>VLOOKUP(AB847,[1]战士技能!$A$4:$I$153,3,FALSE)</f>
        <v>239</v>
      </c>
      <c r="AB847" s="67">
        <v>102</v>
      </c>
    </row>
    <row r="848" spans="1:28" s="64" customFormat="1" ht="15" customHeight="1" x14ac:dyDescent="0.15">
      <c r="A848" s="64">
        <v>12013</v>
      </c>
      <c r="B848" s="64" t="s">
        <v>1768</v>
      </c>
      <c r="C848" s="8">
        <f t="shared" si="117"/>
        <v>5</v>
      </c>
      <c r="D848" s="8">
        <v>1</v>
      </c>
      <c r="E848" s="8"/>
      <c r="F848" s="12">
        <v>0</v>
      </c>
      <c r="G848" s="14">
        <v>1</v>
      </c>
      <c r="H848" s="14">
        <v>0</v>
      </c>
      <c r="I848" s="14">
        <v>1</v>
      </c>
      <c r="J848" s="14">
        <v>0</v>
      </c>
      <c r="K848" s="14">
        <v>0</v>
      </c>
      <c r="L848" s="8">
        <v>1</v>
      </c>
      <c r="M848" s="8">
        <f t="shared" si="118"/>
        <v>34</v>
      </c>
      <c r="N848" s="14">
        <v>0</v>
      </c>
      <c r="O848" s="14">
        <v>1</v>
      </c>
      <c r="P848" s="14">
        <v>0</v>
      </c>
      <c r="Q848" s="14">
        <v>0</v>
      </c>
      <c r="R848" s="14">
        <v>0</v>
      </c>
      <c r="S848" s="14">
        <v>1</v>
      </c>
      <c r="T848" s="8">
        <v>1</v>
      </c>
      <c r="U848" s="8">
        <v>0</v>
      </c>
      <c r="V848" s="8">
        <v>1</v>
      </c>
      <c r="W848" s="8">
        <v>0</v>
      </c>
      <c r="X848" s="8">
        <v>0</v>
      </c>
      <c r="Y848" s="8">
        <v>0</v>
      </c>
      <c r="Z848" s="11" t="str">
        <f t="shared" si="114"/>
        <v>降低247点攻击</v>
      </c>
      <c r="AA848" s="64">
        <f>VLOOKUP(AB848,[1]战士技能!$A$4:$I$153,3,FALSE)</f>
        <v>247</v>
      </c>
      <c r="AB848" s="67">
        <v>103</v>
      </c>
    </row>
    <row r="849" spans="1:28" s="64" customFormat="1" ht="15" customHeight="1" x14ac:dyDescent="0.15">
      <c r="A849" s="64">
        <v>12014</v>
      </c>
      <c r="B849" s="64" t="s">
        <v>1769</v>
      </c>
      <c r="C849" s="8">
        <f t="shared" si="117"/>
        <v>5</v>
      </c>
      <c r="D849" s="8">
        <v>1</v>
      </c>
      <c r="E849" s="8"/>
      <c r="F849" s="12">
        <v>0</v>
      </c>
      <c r="G849" s="14">
        <v>1</v>
      </c>
      <c r="H849" s="14">
        <v>0</v>
      </c>
      <c r="I849" s="14">
        <v>1</v>
      </c>
      <c r="J849" s="14">
        <v>0</v>
      </c>
      <c r="K849" s="14">
        <v>0</v>
      </c>
      <c r="L849" s="8">
        <v>1</v>
      </c>
      <c r="M849" s="8">
        <f t="shared" si="118"/>
        <v>34</v>
      </c>
      <c r="N849" s="14">
        <v>0</v>
      </c>
      <c r="O849" s="14">
        <v>1</v>
      </c>
      <c r="P849" s="14">
        <v>0</v>
      </c>
      <c r="Q849" s="14">
        <v>0</v>
      </c>
      <c r="R849" s="14">
        <v>0</v>
      </c>
      <c r="S849" s="14">
        <v>1</v>
      </c>
      <c r="T849" s="8">
        <v>1</v>
      </c>
      <c r="U849" s="8">
        <v>0</v>
      </c>
      <c r="V849" s="8">
        <v>1</v>
      </c>
      <c r="W849" s="8">
        <v>0</v>
      </c>
      <c r="X849" s="8">
        <v>0</v>
      </c>
      <c r="Y849" s="8">
        <v>0</v>
      </c>
      <c r="Z849" s="11" t="str">
        <f t="shared" si="114"/>
        <v>降低256点攻击</v>
      </c>
      <c r="AA849" s="64">
        <f>VLOOKUP(AB849,[1]战士技能!$A$4:$I$153,3,FALSE)</f>
        <v>256</v>
      </c>
      <c r="AB849" s="67">
        <v>104</v>
      </c>
    </row>
    <row r="850" spans="1:28" s="64" customFormat="1" ht="15" customHeight="1" x14ac:dyDescent="0.15">
      <c r="A850" s="64">
        <v>12015</v>
      </c>
      <c r="B850" s="64" t="s">
        <v>1770</v>
      </c>
      <c r="C850" s="8">
        <f t="shared" si="117"/>
        <v>5</v>
      </c>
      <c r="D850" s="8">
        <v>1</v>
      </c>
      <c r="E850" s="8"/>
      <c r="F850" s="12">
        <v>0</v>
      </c>
      <c r="G850" s="14">
        <v>1</v>
      </c>
      <c r="H850" s="14">
        <v>0</v>
      </c>
      <c r="I850" s="14">
        <v>1</v>
      </c>
      <c r="J850" s="14">
        <v>0</v>
      </c>
      <c r="K850" s="14">
        <v>0</v>
      </c>
      <c r="L850" s="8">
        <v>1</v>
      </c>
      <c r="M850" s="8">
        <f t="shared" si="118"/>
        <v>34</v>
      </c>
      <c r="N850" s="14">
        <v>0</v>
      </c>
      <c r="O850" s="14">
        <v>1</v>
      </c>
      <c r="P850" s="14">
        <v>0</v>
      </c>
      <c r="Q850" s="14">
        <v>0</v>
      </c>
      <c r="R850" s="14">
        <v>0</v>
      </c>
      <c r="S850" s="14">
        <v>1</v>
      </c>
      <c r="T850" s="8">
        <v>1</v>
      </c>
      <c r="U850" s="8">
        <v>0</v>
      </c>
      <c r="V850" s="8">
        <v>1</v>
      </c>
      <c r="W850" s="8">
        <v>0</v>
      </c>
      <c r="X850" s="8">
        <v>0</v>
      </c>
      <c r="Y850" s="8">
        <v>0</v>
      </c>
      <c r="Z850" s="11" t="str">
        <f t="shared" si="114"/>
        <v>降低264点攻击</v>
      </c>
      <c r="AA850" s="64">
        <f>VLOOKUP(AB850,[1]战士技能!$A$4:$I$153,3,FALSE)</f>
        <v>264</v>
      </c>
      <c r="AB850" s="67">
        <v>105</v>
      </c>
    </row>
    <row r="851" spans="1:28" s="64" customFormat="1" ht="15" customHeight="1" x14ac:dyDescent="0.15">
      <c r="A851" s="64">
        <v>12016</v>
      </c>
      <c r="B851" s="64" t="s">
        <v>1771</v>
      </c>
      <c r="C851" s="8">
        <f t="shared" si="117"/>
        <v>5</v>
      </c>
      <c r="D851" s="8">
        <v>1</v>
      </c>
      <c r="E851" s="8"/>
      <c r="F851" s="12">
        <v>0</v>
      </c>
      <c r="G851" s="14">
        <v>1</v>
      </c>
      <c r="H851" s="14">
        <v>0</v>
      </c>
      <c r="I851" s="14">
        <v>1</v>
      </c>
      <c r="J851" s="14">
        <v>0</v>
      </c>
      <c r="K851" s="14">
        <v>0</v>
      </c>
      <c r="L851" s="8">
        <v>1</v>
      </c>
      <c r="M851" s="8">
        <f t="shared" si="118"/>
        <v>34</v>
      </c>
      <c r="N851" s="14">
        <v>0</v>
      </c>
      <c r="O851" s="14">
        <v>1</v>
      </c>
      <c r="P851" s="14">
        <v>0</v>
      </c>
      <c r="Q851" s="14">
        <v>0</v>
      </c>
      <c r="R851" s="14">
        <v>0</v>
      </c>
      <c r="S851" s="14">
        <v>1</v>
      </c>
      <c r="T851" s="8">
        <v>1</v>
      </c>
      <c r="U851" s="8">
        <v>0</v>
      </c>
      <c r="V851" s="8">
        <v>1</v>
      </c>
      <c r="W851" s="8">
        <v>0</v>
      </c>
      <c r="X851" s="8">
        <v>0</v>
      </c>
      <c r="Y851" s="8">
        <v>0</v>
      </c>
      <c r="Z851" s="11" t="str">
        <f t="shared" si="114"/>
        <v>降低273点攻击</v>
      </c>
      <c r="AA851" s="64">
        <f>VLOOKUP(AB851,[1]战士技能!$A$4:$I$153,3,FALSE)</f>
        <v>273</v>
      </c>
      <c r="AB851" s="67">
        <v>106</v>
      </c>
    </row>
    <row r="852" spans="1:28" s="64" customFormat="1" ht="15" customHeight="1" x14ac:dyDescent="0.15">
      <c r="A852" s="64">
        <v>12017</v>
      </c>
      <c r="B852" s="64" t="s">
        <v>1772</v>
      </c>
      <c r="C852" s="8">
        <f t="shared" si="117"/>
        <v>5</v>
      </c>
      <c r="D852" s="8">
        <v>1</v>
      </c>
      <c r="E852" s="8"/>
      <c r="F852" s="12">
        <v>0</v>
      </c>
      <c r="G852" s="14">
        <v>1</v>
      </c>
      <c r="H852" s="14">
        <v>0</v>
      </c>
      <c r="I852" s="14">
        <v>1</v>
      </c>
      <c r="J852" s="14">
        <v>0</v>
      </c>
      <c r="K852" s="14">
        <v>0</v>
      </c>
      <c r="L852" s="8">
        <v>1</v>
      </c>
      <c r="M852" s="8">
        <f t="shared" si="118"/>
        <v>34</v>
      </c>
      <c r="N852" s="14">
        <v>0</v>
      </c>
      <c r="O852" s="14">
        <v>1</v>
      </c>
      <c r="P852" s="14">
        <v>0</v>
      </c>
      <c r="Q852" s="14">
        <v>0</v>
      </c>
      <c r="R852" s="14">
        <v>0</v>
      </c>
      <c r="S852" s="14">
        <v>1</v>
      </c>
      <c r="T852" s="8">
        <v>1</v>
      </c>
      <c r="U852" s="8">
        <v>0</v>
      </c>
      <c r="V852" s="8">
        <v>1</v>
      </c>
      <c r="W852" s="8">
        <v>0</v>
      </c>
      <c r="X852" s="8">
        <v>0</v>
      </c>
      <c r="Y852" s="8">
        <v>0</v>
      </c>
      <c r="Z852" s="11" t="str">
        <f t="shared" si="114"/>
        <v>降低283点攻击</v>
      </c>
      <c r="AA852" s="64">
        <f>VLOOKUP(AB852,[1]战士技能!$A$4:$I$153,3,FALSE)</f>
        <v>283</v>
      </c>
      <c r="AB852" s="67">
        <v>107</v>
      </c>
    </row>
    <row r="853" spans="1:28" s="64" customFormat="1" ht="15" customHeight="1" x14ac:dyDescent="0.15">
      <c r="A853" s="64">
        <v>12018</v>
      </c>
      <c r="B853" s="64" t="s">
        <v>1773</v>
      </c>
      <c r="C853" s="8">
        <f t="shared" si="117"/>
        <v>5</v>
      </c>
      <c r="D853" s="8">
        <v>1</v>
      </c>
      <c r="E853" s="8"/>
      <c r="F853" s="12">
        <v>0</v>
      </c>
      <c r="G853" s="14">
        <v>1</v>
      </c>
      <c r="H853" s="14">
        <v>0</v>
      </c>
      <c r="I853" s="14">
        <v>1</v>
      </c>
      <c r="J853" s="14">
        <v>0</v>
      </c>
      <c r="K853" s="14">
        <v>0</v>
      </c>
      <c r="L853" s="8">
        <v>1</v>
      </c>
      <c r="M853" s="8">
        <f t="shared" si="118"/>
        <v>34</v>
      </c>
      <c r="N853" s="14">
        <v>0</v>
      </c>
      <c r="O853" s="14">
        <v>1</v>
      </c>
      <c r="P853" s="14">
        <v>0</v>
      </c>
      <c r="Q853" s="14">
        <v>0</v>
      </c>
      <c r="R853" s="14">
        <v>0</v>
      </c>
      <c r="S853" s="14">
        <v>1</v>
      </c>
      <c r="T853" s="8">
        <v>1</v>
      </c>
      <c r="U853" s="8">
        <v>0</v>
      </c>
      <c r="V853" s="8">
        <v>1</v>
      </c>
      <c r="W853" s="8">
        <v>0</v>
      </c>
      <c r="X853" s="8">
        <v>0</v>
      </c>
      <c r="Y853" s="8">
        <v>0</v>
      </c>
      <c r="Z853" s="11" t="str">
        <f t="shared" si="114"/>
        <v>降低292点攻击</v>
      </c>
      <c r="AA853" s="64">
        <f>VLOOKUP(AB853,[1]战士技能!$A$4:$I$153,3,FALSE)</f>
        <v>292</v>
      </c>
      <c r="AB853" s="67">
        <v>108</v>
      </c>
    </row>
    <row r="854" spans="1:28" s="64" customFormat="1" ht="15" customHeight="1" x14ac:dyDescent="0.15">
      <c r="A854" s="64">
        <v>12019</v>
      </c>
      <c r="B854" s="64" t="s">
        <v>1774</v>
      </c>
      <c r="C854" s="8">
        <f t="shared" si="117"/>
        <v>5</v>
      </c>
      <c r="D854" s="8">
        <v>1</v>
      </c>
      <c r="E854" s="8"/>
      <c r="F854" s="12">
        <v>0</v>
      </c>
      <c r="G854" s="14">
        <v>1</v>
      </c>
      <c r="H854" s="14">
        <v>0</v>
      </c>
      <c r="I854" s="14">
        <v>1</v>
      </c>
      <c r="J854" s="14">
        <v>0</v>
      </c>
      <c r="K854" s="14">
        <v>0</v>
      </c>
      <c r="L854" s="8">
        <v>1</v>
      </c>
      <c r="M854" s="8">
        <f t="shared" si="118"/>
        <v>34</v>
      </c>
      <c r="N854" s="14">
        <v>0</v>
      </c>
      <c r="O854" s="14">
        <v>1</v>
      </c>
      <c r="P854" s="14">
        <v>0</v>
      </c>
      <c r="Q854" s="14">
        <v>0</v>
      </c>
      <c r="R854" s="14">
        <v>0</v>
      </c>
      <c r="S854" s="14">
        <v>1</v>
      </c>
      <c r="T854" s="8">
        <v>1</v>
      </c>
      <c r="U854" s="8">
        <v>0</v>
      </c>
      <c r="V854" s="8">
        <v>1</v>
      </c>
      <c r="W854" s="8">
        <v>0</v>
      </c>
      <c r="X854" s="8">
        <v>0</v>
      </c>
      <c r="Y854" s="8">
        <v>0</v>
      </c>
      <c r="Z854" s="11" t="str">
        <f t="shared" si="114"/>
        <v>降低302点攻击</v>
      </c>
      <c r="AA854" s="64">
        <f>VLOOKUP(AB854,[1]战士技能!$A$4:$I$153,3,FALSE)</f>
        <v>302</v>
      </c>
      <c r="AB854" s="67">
        <v>109</v>
      </c>
    </row>
    <row r="855" spans="1:28" s="64" customFormat="1" ht="15" customHeight="1" x14ac:dyDescent="0.15">
      <c r="A855" s="64">
        <v>12020</v>
      </c>
      <c r="B855" s="64" t="s">
        <v>1775</v>
      </c>
      <c r="C855" s="8">
        <f t="shared" si="117"/>
        <v>5</v>
      </c>
      <c r="D855" s="8">
        <v>1</v>
      </c>
      <c r="E855" s="8"/>
      <c r="F855" s="12">
        <v>0</v>
      </c>
      <c r="G855" s="14">
        <v>1</v>
      </c>
      <c r="H855" s="14">
        <v>0</v>
      </c>
      <c r="I855" s="14">
        <v>1</v>
      </c>
      <c r="J855" s="14">
        <v>0</v>
      </c>
      <c r="K855" s="14">
        <v>0</v>
      </c>
      <c r="L855" s="8">
        <v>1</v>
      </c>
      <c r="M855" s="8">
        <f t="shared" si="118"/>
        <v>34</v>
      </c>
      <c r="N855" s="14">
        <v>0</v>
      </c>
      <c r="O855" s="14">
        <v>1</v>
      </c>
      <c r="P855" s="14">
        <v>0</v>
      </c>
      <c r="Q855" s="14">
        <v>0</v>
      </c>
      <c r="R855" s="14">
        <v>0</v>
      </c>
      <c r="S855" s="14">
        <v>1</v>
      </c>
      <c r="T855" s="8">
        <v>1</v>
      </c>
      <c r="U855" s="8">
        <v>0</v>
      </c>
      <c r="V855" s="8">
        <v>1</v>
      </c>
      <c r="W855" s="8">
        <v>0</v>
      </c>
      <c r="X855" s="8">
        <v>0</v>
      </c>
      <c r="Y855" s="8">
        <v>0</v>
      </c>
      <c r="Z855" s="11" t="str">
        <f t="shared" si="114"/>
        <v>降低313点攻击</v>
      </c>
      <c r="AA855" s="64">
        <f>VLOOKUP(AB855,[1]战士技能!$A$4:$I$153,3,FALSE)</f>
        <v>313</v>
      </c>
      <c r="AB855" s="67">
        <v>110</v>
      </c>
    </row>
    <row r="856" spans="1:28" s="64" customFormat="1" ht="15" customHeight="1" x14ac:dyDescent="0.15">
      <c r="A856" s="64">
        <v>12021</v>
      </c>
      <c r="B856" s="64" t="s">
        <v>1776</v>
      </c>
      <c r="C856" s="8">
        <f t="shared" si="117"/>
        <v>5</v>
      </c>
      <c r="D856" s="8">
        <v>1</v>
      </c>
      <c r="E856" s="8"/>
      <c r="F856" s="12">
        <v>0</v>
      </c>
      <c r="G856" s="14">
        <v>1</v>
      </c>
      <c r="H856" s="14">
        <v>0</v>
      </c>
      <c r="I856" s="14">
        <v>1</v>
      </c>
      <c r="J856" s="14">
        <v>0</v>
      </c>
      <c r="K856" s="14">
        <v>0</v>
      </c>
      <c r="L856" s="8">
        <v>1</v>
      </c>
      <c r="M856" s="8">
        <f t="shared" si="118"/>
        <v>34</v>
      </c>
      <c r="N856" s="14">
        <v>0</v>
      </c>
      <c r="O856" s="14">
        <v>1</v>
      </c>
      <c r="P856" s="14">
        <v>0</v>
      </c>
      <c r="Q856" s="14">
        <v>0</v>
      </c>
      <c r="R856" s="14">
        <v>0</v>
      </c>
      <c r="S856" s="14">
        <v>1</v>
      </c>
      <c r="T856" s="8">
        <v>1</v>
      </c>
      <c r="U856" s="8">
        <v>0</v>
      </c>
      <c r="V856" s="8">
        <v>1</v>
      </c>
      <c r="W856" s="8">
        <v>0</v>
      </c>
      <c r="X856" s="8">
        <v>0</v>
      </c>
      <c r="Y856" s="8">
        <v>0</v>
      </c>
      <c r="Z856" s="11" t="str">
        <f t="shared" si="114"/>
        <v>降低323点攻击</v>
      </c>
      <c r="AA856" s="64">
        <f>VLOOKUP(AB856,[1]战士技能!$A$4:$I$153,3,FALSE)</f>
        <v>323</v>
      </c>
      <c r="AB856" s="67">
        <v>111</v>
      </c>
    </row>
    <row r="857" spans="1:28" s="64" customFormat="1" ht="15" customHeight="1" x14ac:dyDescent="0.15">
      <c r="A857" s="64">
        <v>12022</v>
      </c>
      <c r="B857" s="64" t="s">
        <v>1777</v>
      </c>
      <c r="C857" s="8">
        <f t="shared" si="117"/>
        <v>5</v>
      </c>
      <c r="D857" s="8">
        <v>1</v>
      </c>
      <c r="E857" s="8"/>
      <c r="F857" s="12">
        <v>0</v>
      </c>
      <c r="G857" s="14">
        <v>1</v>
      </c>
      <c r="H857" s="14">
        <v>0</v>
      </c>
      <c r="I857" s="14">
        <v>1</v>
      </c>
      <c r="J857" s="14">
        <v>0</v>
      </c>
      <c r="K857" s="14">
        <v>0</v>
      </c>
      <c r="L857" s="8">
        <v>1</v>
      </c>
      <c r="M857" s="8">
        <f t="shared" si="118"/>
        <v>34</v>
      </c>
      <c r="N857" s="14">
        <v>0</v>
      </c>
      <c r="O857" s="14">
        <v>1</v>
      </c>
      <c r="P857" s="14">
        <v>0</v>
      </c>
      <c r="Q857" s="14">
        <v>0</v>
      </c>
      <c r="R857" s="14">
        <v>0</v>
      </c>
      <c r="S857" s="14">
        <v>1</v>
      </c>
      <c r="T857" s="8">
        <v>1</v>
      </c>
      <c r="U857" s="8">
        <v>0</v>
      </c>
      <c r="V857" s="8">
        <v>1</v>
      </c>
      <c r="W857" s="8">
        <v>0</v>
      </c>
      <c r="X857" s="8">
        <v>0</v>
      </c>
      <c r="Y857" s="8">
        <v>0</v>
      </c>
      <c r="Z857" s="11" t="str">
        <f t="shared" si="114"/>
        <v>降低334点攻击</v>
      </c>
      <c r="AA857" s="64">
        <f>VLOOKUP(AB857,[1]战士技能!$A$4:$I$153,3,FALSE)</f>
        <v>334</v>
      </c>
      <c r="AB857" s="67">
        <v>112</v>
      </c>
    </row>
    <row r="858" spans="1:28" s="64" customFormat="1" ht="15" customHeight="1" x14ac:dyDescent="0.15">
      <c r="A858" s="64">
        <v>12023</v>
      </c>
      <c r="B858" s="64" t="s">
        <v>1778</v>
      </c>
      <c r="C858" s="8">
        <f t="shared" si="117"/>
        <v>5</v>
      </c>
      <c r="D858" s="8">
        <v>1</v>
      </c>
      <c r="E858" s="8"/>
      <c r="F858" s="12">
        <v>0</v>
      </c>
      <c r="G858" s="14">
        <v>1</v>
      </c>
      <c r="H858" s="14">
        <v>0</v>
      </c>
      <c r="I858" s="14">
        <v>1</v>
      </c>
      <c r="J858" s="14">
        <v>0</v>
      </c>
      <c r="K858" s="14">
        <v>0</v>
      </c>
      <c r="L858" s="8">
        <v>1</v>
      </c>
      <c r="M858" s="8">
        <f t="shared" si="118"/>
        <v>34</v>
      </c>
      <c r="N858" s="14">
        <v>0</v>
      </c>
      <c r="O858" s="14">
        <v>1</v>
      </c>
      <c r="P858" s="14">
        <v>0</v>
      </c>
      <c r="Q858" s="14">
        <v>0</v>
      </c>
      <c r="R858" s="14">
        <v>0</v>
      </c>
      <c r="S858" s="14">
        <v>1</v>
      </c>
      <c r="T858" s="8">
        <v>1</v>
      </c>
      <c r="U858" s="8">
        <v>0</v>
      </c>
      <c r="V858" s="8">
        <v>1</v>
      </c>
      <c r="W858" s="8">
        <v>0</v>
      </c>
      <c r="X858" s="8">
        <v>0</v>
      </c>
      <c r="Y858" s="8">
        <v>0</v>
      </c>
      <c r="Z858" s="11" t="str">
        <f t="shared" si="114"/>
        <v>降低346点攻击</v>
      </c>
      <c r="AA858" s="64">
        <f>VLOOKUP(AB858,[1]战士技能!$A$4:$I$153,3,FALSE)</f>
        <v>346</v>
      </c>
      <c r="AB858" s="67">
        <v>113</v>
      </c>
    </row>
    <row r="859" spans="1:28" s="64" customFormat="1" ht="15" customHeight="1" x14ac:dyDescent="0.15">
      <c r="A859" s="64">
        <v>12024</v>
      </c>
      <c r="B859" s="64" t="s">
        <v>1779</v>
      </c>
      <c r="C859" s="8">
        <f t="shared" si="117"/>
        <v>5</v>
      </c>
      <c r="D859" s="8">
        <v>1</v>
      </c>
      <c r="E859" s="8"/>
      <c r="F859" s="12">
        <v>0</v>
      </c>
      <c r="G859" s="14">
        <v>1</v>
      </c>
      <c r="H859" s="14">
        <v>0</v>
      </c>
      <c r="I859" s="14">
        <v>1</v>
      </c>
      <c r="J859" s="14">
        <v>0</v>
      </c>
      <c r="K859" s="14">
        <v>0</v>
      </c>
      <c r="L859" s="8">
        <v>1</v>
      </c>
      <c r="M859" s="8">
        <f t="shared" si="118"/>
        <v>34</v>
      </c>
      <c r="N859" s="14">
        <v>0</v>
      </c>
      <c r="O859" s="14">
        <v>1</v>
      </c>
      <c r="P859" s="14">
        <v>0</v>
      </c>
      <c r="Q859" s="14">
        <v>0</v>
      </c>
      <c r="R859" s="14">
        <v>0</v>
      </c>
      <c r="S859" s="14">
        <v>1</v>
      </c>
      <c r="T859" s="8">
        <v>1</v>
      </c>
      <c r="U859" s="8">
        <v>0</v>
      </c>
      <c r="V859" s="8">
        <v>1</v>
      </c>
      <c r="W859" s="8">
        <v>0</v>
      </c>
      <c r="X859" s="8">
        <v>0</v>
      </c>
      <c r="Y859" s="8">
        <v>0</v>
      </c>
      <c r="Z859" s="11" t="str">
        <f t="shared" si="114"/>
        <v>降低358点攻击</v>
      </c>
      <c r="AA859" s="64">
        <f>VLOOKUP(AB859,[1]战士技能!$A$4:$I$153,3,FALSE)</f>
        <v>358</v>
      </c>
      <c r="AB859" s="67">
        <v>114</v>
      </c>
    </row>
    <row r="860" spans="1:28" s="64" customFormat="1" ht="15" customHeight="1" x14ac:dyDescent="0.15">
      <c r="A860" s="64">
        <v>12025</v>
      </c>
      <c r="B860" s="64" t="s">
        <v>1780</v>
      </c>
      <c r="C860" s="8">
        <f t="shared" si="117"/>
        <v>5</v>
      </c>
      <c r="D860" s="8">
        <v>1</v>
      </c>
      <c r="E860" s="8"/>
      <c r="F860" s="12">
        <v>0</v>
      </c>
      <c r="G860" s="14">
        <v>1</v>
      </c>
      <c r="H860" s="14">
        <v>0</v>
      </c>
      <c r="I860" s="14">
        <v>1</v>
      </c>
      <c r="J860" s="14">
        <v>0</v>
      </c>
      <c r="K860" s="14">
        <v>0</v>
      </c>
      <c r="L860" s="8">
        <v>1</v>
      </c>
      <c r="M860" s="8">
        <f t="shared" si="118"/>
        <v>34</v>
      </c>
      <c r="N860" s="14">
        <v>0</v>
      </c>
      <c r="O860" s="14">
        <v>1</v>
      </c>
      <c r="P860" s="14">
        <v>0</v>
      </c>
      <c r="Q860" s="14">
        <v>0</v>
      </c>
      <c r="R860" s="14">
        <v>0</v>
      </c>
      <c r="S860" s="14">
        <v>1</v>
      </c>
      <c r="T860" s="8">
        <v>1</v>
      </c>
      <c r="U860" s="8">
        <v>0</v>
      </c>
      <c r="V860" s="8">
        <v>1</v>
      </c>
      <c r="W860" s="8">
        <v>0</v>
      </c>
      <c r="X860" s="8">
        <v>0</v>
      </c>
      <c r="Y860" s="8">
        <v>0</v>
      </c>
      <c r="Z860" s="11" t="str">
        <f t="shared" si="114"/>
        <v>降低370点攻击</v>
      </c>
      <c r="AA860" s="64">
        <f>VLOOKUP(AB860,[1]战士技能!$A$4:$I$153,3,FALSE)</f>
        <v>370</v>
      </c>
      <c r="AB860" s="67">
        <v>115</v>
      </c>
    </row>
    <row r="861" spans="1:28" s="64" customFormat="1" ht="15" customHeight="1" x14ac:dyDescent="0.15">
      <c r="A861" s="64">
        <v>12026</v>
      </c>
      <c r="B861" s="64" t="s">
        <v>1755</v>
      </c>
      <c r="C861" s="8">
        <f t="shared" si="117"/>
        <v>5</v>
      </c>
      <c r="D861" s="8">
        <v>1</v>
      </c>
      <c r="E861" s="8"/>
      <c r="F861" s="12">
        <v>0</v>
      </c>
      <c r="G861" s="14">
        <v>1</v>
      </c>
      <c r="H861" s="14">
        <v>0</v>
      </c>
      <c r="I861" s="14">
        <v>1</v>
      </c>
      <c r="J861" s="14">
        <v>0</v>
      </c>
      <c r="K861" s="14">
        <v>0</v>
      </c>
      <c r="L861" s="8">
        <v>1</v>
      </c>
      <c r="M861" s="8">
        <f t="shared" si="118"/>
        <v>34</v>
      </c>
      <c r="N861" s="14">
        <v>0</v>
      </c>
      <c r="O861" s="14">
        <v>1</v>
      </c>
      <c r="P861" s="14">
        <v>0</v>
      </c>
      <c r="Q861" s="14">
        <v>0</v>
      </c>
      <c r="R861" s="14">
        <v>0</v>
      </c>
      <c r="S861" s="14">
        <v>1</v>
      </c>
      <c r="T861" s="8">
        <v>1</v>
      </c>
      <c r="U861" s="8">
        <v>0</v>
      </c>
      <c r="V861" s="8">
        <v>1</v>
      </c>
      <c r="W861" s="8">
        <v>0</v>
      </c>
      <c r="X861" s="8">
        <v>0</v>
      </c>
      <c r="Y861" s="8">
        <v>0</v>
      </c>
      <c r="Z861" s="11" t="str">
        <f t="shared" si="114"/>
        <v>降低383点攻击</v>
      </c>
      <c r="AA861" s="64">
        <f>VLOOKUP(AB861,[1]战士技能!$A$4:$I$153,3,FALSE)</f>
        <v>383</v>
      </c>
      <c r="AB861" s="67">
        <v>116</v>
      </c>
    </row>
    <row r="862" spans="1:28" s="64" customFormat="1" ht="15" customHeight="1" x14ac:dyDescent="0.15">
      <c r="A862" s="64">
        <v>12027</v>
      </c>
      <c r="B862" s="64" t="s">
        <v>1781</v>
      </c>
      <c r="C862" s="8">
        <f t="shared" si="117"/>
        <v>5</v>
      </c>
      <c r="D862" s="8">
        <v>1</v>
      </c>
      <c r="E862" s="8"/>
      <c r="F862" s="12">
        <v>0</v>
      </c>
      <c r="G862" s="14">
        <v>1</v>
      </c>
      <c r="H862" s="14">
        <v>0</v>
      </c>
      <c r="I862" s="14">
        <v>1</v>
      </c>
      <c r="J862" s="14">
        <v>0</v>
      </c>
      <c r="K862" s="14">
        <v>0</v>
      </c>
      <c r="L862" s="8">
        <v>1</v>
      </c>
      <c r="M862" s="8">
        <f t="shared" si="118"/>
        <v>34</v>
      </c>
      <c r="N862" s="14">
        <v>0</v>
      </c>
      <c r="O862" s="14">
        <v>1</v>
      </c>
      <c r="P862" s="14">
        <v>0</v>
      </c>
      <c r="Q862" s="14">
        <v>0</v>
      </c>
      <c r="R862" s="14">
        <v>0</v>
      </c>
      <c r="S862" s="14">
        <v>1</v>
      </c>
      <c r="T862" s="8">
        <v>1</v>
      </c>
      <c r="U862" s="8">
        <v>0</v>
      </c>
      <c r="V862" s="8">
        <v>1</v>
      </c>
      <c r="W862" s="8">
        <v>0</v>
      </c>
      <c r="X862" s="8">
        <v>0</v>
      </c>
      <c r="Y862" s="8">
        <v>0</v>
      </c>
      <c r="Z862" s="11" t="str">
        <f t="shared" si="114"/>
        <v>降低396点攻击</v>
      </c>
      <c r="AA862" s="64">
        <f>VLOOKUP(AB862,[1]战士技能!$A$4:$I$153,3,FALSE)</f>
        <v>396</v>
      </c>
      <c r="AB862" s="67">
        <v>117</v>
      </c>
    </row>
    <row r="863" spans="1:28" s="64" customFormat="1" ht="15" customHeight="1" x14ac:dyDescent="0.15">
      <c r="A863" s="64">
        <v>12028</v>
      </c>
      <c r="B863" s="64" t="s">
        <v>1782</v>
      </c>
      <c r="C863" s="8">
        <f t="shared" si="117"/>
        <v>5</v>
      </c>
      <c r="D863" s="8">
        <v>1</v>
      </c>
      <c r="E863" s="8"/>
      <c r="F863" s="12">
        <v>0</v>
      </c>
      <c r="G863" s="14">
        <v>1</v>
      </c>
      <c r="H863" s="14">
        <v>0</v>
      </c>
      <c r="I863" s="14">
        <v>1</v>
      </c>
      <c r="J863" s="14">
        <v>0</v>
      </c>
      <c r="K863" s="14">
        <v>0</v>
      </c>
      <c r="L863" s="8">
        <v>1</v>
      </c>
      <c r="M863" s="8">
        <f t="shared" si="118"/>
        <v>34</v>
      </c>
      <c r="N863" s="14">
        <v>0</v>
      </c>
      <c r="O863" s="14">
        <v>1</v>
      </c>
      <c r="P863" s="14">
        <v>0</v>
      </c>
      <c r="Q863" s="14">
        <v>0</v>
      </c>
      <c r="R863" s="14">
        <v>0</v>
      </c>
      <c r="S863" s="14">
        <v>1</v>
      </c>
      <c r="T863" s="8">
        <v>1</v>
      </c>
      <c r="U863" s="8">
        <v>0</v>
      </c>
      <c r="V863" s="8">
        <v>1</v>
      </c>
      <c r="W863" s="8">
        <v>0</v>
      </c>
      <c r="X863" s="8">
        <v>0</v>
      </c>
      <c r="Y863" s="8">
        <v>0</v>
      </c>
      <c r="Z863" s="11" t="str">
        <f t="shared" si="114"/>
        <v>降低409点攻击</v>
      </c>
      <c r="AA863" s="64">
        <f>VLOOKUP(AB863,[1]战士技能!$A$4:$I$153,3,FALSE)</f>
        <v>409</v>
      </c>
      <c r="AB863" s="67">
        <v>118</v>
      </c>
    </row>
    <row r="864" spans="1:28" s="64" customFormat="1" ht="15" customHeight="1" x14ac:dyDescent="0.15">
      <c r="A864" s="64">
        <v>12029</v>
      </c>
      <c r="B864" s="64" t="s">
        <v>1783</v>
      </c>
      <c r="C864" s="8">
        <f t="shared" si="117"/>
        <v>5</v>
      </c>
      <c r="D864" s="8">
        <v>1</v>
      </c>
      <c r="E864" s="8"/>
      <c r="F864" s="12">
        <v>0</v>
      </c>
      <c r="G864" s="14">
        <v>1</v>
      </c>
      <c r="H864" s="14">
        <v>0</v>
      </c>
      <c r="I864" s="14">
        <v>1</v>
      </c>
      <c r="J864" s="14">
        <v>0</v>
      </c>
      <c r="K864" s="14">
        <v>0</v>
      </c>
      <c r="L864" s="8">
        <v>1</v>
      </c>
      <c r="M864" s="8">
        <f t="shared" si="118"/>
        <v>34</v>
      </c>
      <c r="N864" s="14">
        <v>0</v>
      </c>
      <c r="O864" s="14">
        <v>1</v>
      </c>
      <c r="P864" s="14">
        <v>0</v>
      </c>
      <c r="Q864" s="14">
        <v>0</v>
      </c>
      <c r="R864" s="14">
        <v>0</v>
      </c>
      <c r="S864" s="14">
        <v>1</v>
      </c>
      <c r="T864" s="8">
        <v>1</v>
      </c>
      <c r="U864" s="8">
        <v>0</v>
      </c>
      <c r="V864" s="8">
        <v>1</v>
      </c>
      <c r="W864" s="8">
        <v>0</v>
      </c>
      <c r="X864" s="8">
        <v>0</v>
      </c>
      <c r="Y864" s="8">
        <v>0</v>
      </c>
      <c r="Z864" s="11" t="str">
        <f t="shared" si="114"/>
        <v>降低423点攻击</v>
      </c>
      <c r="AA864" s="64">
        <f>VLOOKUP(AB864,[1]战士技能!$A$4:$I$153,3,FALSE)</f>
        <v>423</v>
      </c>
      <c r="AB864" s="67">
        <v>119</v>
      </c>
    </row>
    <row r="865" spans="1:30" s="64" customFormat="1" ht="15" customHeight="1" thickBot="1" x14ac:dyDescent="0.2">
      <c r="A865" s="64">
        <v>12030</v>
      </c>
      <c r="B865" s="64" t="s">
        <v>1784</v>
      </c>
      <c r="C865" s="8">
        <f t="shared" si="117"/>
        <v>5</v>
      </c>
      <c r="D865" s="8">
        <v>1</v>
      </c>
      <c r="E865" s="8"/>
      <c r="F865" s="12">
        <v>0</v>
      </c>
      <c r="G865" s="14">
        <v>1</v>
      </c>
      <c r="H865" s="14">
        <v>0</v>
      </c>
      <c r="I865" s="14">
        <v>1</v>
      </c>
      <c r="J865" s="14">
        <v>0</v>
      </c>
      <c r="K865" s="14">
        <v>0</v>
      </c>
      <c r="L865" s="8">
        <v>1</v>
      </c>
      <c r="M865" s="8">
        <f t="shared" si="118"/>
        <v>34</v>
      </c>
      <c r="N865" s="14">
        <v>0</v>
      </c>
      <c r="O865" s="14">
        <v>1</v>
      </c>
      <c r="P865" s="14">
        <v>0</v>
      </c>
      <c r="Q865" s="14">
        <v>0</v>
      </c>
      <c r="R865" s="14">
        <v>0</v>
      </c>
      <c r="S865" s="14">
        <v>1</v>
      </c>
      <c r="T865" s="8">
        <v>1</v>
      </c>
      <c r="U865" s="8">
        <v>0</v>
      </c>
      <c r="V865" s="8">
        <v>1</v>
      </c>
      <c r="W865" s="8">
        <v>0</v>
      </c>
      <c r="X865" s="8">
        <v>0</v>
      </c>
      <c r="Y865" s="8">
        <v>0</v>
      </c>
      <c r="Z865" s="11" t="str">
        <f t="shared" si="114"/>
        <v>降低438点攻击</v>
      </c>
      <c r="AA865" s="64">
        <f>VLOOKUP(AB865,[1]战士技能!$A$4:$I$153,3,FALSE)</f>
        <v>438</v>
      </c>
      <c r="AB865" s="68">
        <v>120</v>
      </c>
    </row>
    <row r="866" spans="1:30" s="64" customFormat="1" ht="15" customHeight="1" x14ac:dyDescent="0.15">
      <c r="A866" s="64">
        <v>13001</v>
      </c>
      <c r="B866" s="64" t="s">
        <v>1785</v>
      </c>
      <c r="C866" s="9">
        <f t="shared" si="117"/>
        <v>1</v>
      </c>
      <c r="D866" s="9">
        <v>1</v>
      </c>
      <c r="E866" s="9"/>
      <c r="F866" s="12">
        <v>0</v>
      </c>
      <c r="G866" s="10">
        <v>1</v>
      </c>
      <c r="H866" s="10">
        <v>0</v>
      </c>
      <c r="I866" s="10">
        <v>0</v>
      </c>
      <c r="J866" s="10">
        <v>0</v>
      </c>
      <c r="K866" s="10">
        <v>0</v>
      </c>
      <c r="L866" s="9">
        <v>1</v>
      </c>
      <c r="M866" s="9">
        <f t="shared" si="118"/>
        <v>17</v>
      </c>
      <c r="N866" s="10">
        <v>1</v>
      </c>
      <c r="O866" s="10">
        <v>0</v>
      </c>
      <c r="P866" s="10">
        <v>0</v>
      </c>
      <c r="Q866" s="10">
        <v>0</v>
      </c>
      <c r="R866" s="10">
        <v>1</v>
      </c>
      <c r="S866" s="10">
        <v>0</v>
      </c>
      <c r="T866" s="9">
        <v>1</v>
      </c>
      <c r="U866" s="9">
        <v>1</v>
      </c>
      <c r="V866" s="9">
        <v>1</v>
      </c>
      <c r="W866" s="9">
        <v>1</v>
      </c>
      <c r="X866" s="9">
        <v>0</v>
      </c>
      <c r="Y866" s="9">
        <v>0</v>
      </c>
      <c r="Z866" s="11" t="str">
        <f>"提升"&amp;AA866&amp;"点生命，"&amp;AC866&amp;"点攻击，"&amp;AD866&amp;"点防御"</f>
        <v>提升108点生命，18点攻击，13点防御</v>
      </c>
      <c r="AA866" s="64">
        <f>VLOOKUP(AB866,[1]战士技能!$A$4:$I$153,5,FALSE)</f>
        <v>108</v>
      </c>
      <c r="AB866" s="69">
        <v>25</v>
      </c>
      <c r="AC866" s="64">
        <f>VLOOKUP(AB866,[1]战士技能!$A$4:$I$153,6,FALSE)</f>
        <v>18</v>
      </c>
      <c r="AD866" s="64">
        <f>VLOOKUP(AB866,[1]战士技能!$A$4:$I$153,7,FALSE)</f>
        <v>13</v>
      </c>
    </row>
    <row r="867" spans="1:30" s="64" customFormat="1" ht="15" customHeight="1" x14ac:dyDescent="0.15">
      <c r="A867" s="64">
        <v>13002</v>
      </c>
      <c r="B867" s="64" t="s">
        <v>1786</v>
      </c>
      <c r="C867" s="9">
        <f t="shared" ref="C867:C881" si="119">G867+H867*2+I867*4+J867*8+K867*16</f>
        <v>1</v>
      </c>
      <c r="D867" s="9">
        <v>1</v>
      </c>
      <c r="E867" s="9"/>
      <c r="F867" s="12">
        <v>0</v>
      </c>
      <c r="G867" s="10">
        <v>1</v>
      </c>
      <c r="H867" s="10">
        <v>0</v>
      </c>
      <c r="I867" s="10">
        <v>0</v>
      </c>
      <c r="J867" s="10">
        <v>0</v>
      </c>
      <c r="K867" s="10">
        <v>0</v>
      </c>
      <c r="L867" s="9">
        <v>1</v>
      </c>
      <c r="M867" s="9">
        <f t="shared" ref="M867:M881" si="120">N867+O867*2+P867*4+Q867*8+R867*16+S867*32</f>
        <v>17</v>
      </c>
      <c r="N867" s="10">
        <v>1</v>
      </c>
      <c r="O867" s="10">
        <v>0</v>
      </c>
      <c r="P867" s="10">
        <v>0</v>
      </c>
      <c r="Q867" s="10">
        <v>0</v>
      </c>
      <c r="R867" s="10">
        <v>1</v>
      </c>
      <c r="S867" s="10">
        <v>0</v>
      </c>
      <c r="T867" s="9">
        <v>1</v>
      </c>
      <c r="U867" s="9">
        <v>1</v>
      </c>
      <c r="V867" s="9">
        <v>1</v>
      </c>
      <c r="W867" s="9">
        <v>1</v>
      </c>
      <c r="X867" s="9">
        <v>0</v>
      </c>
      <c r="Y867" s="9">
        <v>0</v>
      </c>
      <c r="Z867" s="11" t="str">
        <f t="shared" ref="Z867:Z880" si="121">"提升"&amp;AA867&amp;"点生命，"&amp;AC867&amp;"点攻击，"&amp;AD867&amp;"点防御"</f>
        <v>提升127点生命，21点攻击，15点防御</v>
      </c>
      <c r="AA867" s="64">
        <f>VLOOKUP(AB867,[1]战士技能!$A$4:$I$153,5,FALSE)</f>
        <v>127</v>
      </c>
      <c r="AB867" s="69">
        <v>30</v>
      </c>
      <c r="AC867" s="64">
        <f>VLOOKUP(AB867,[1]战士技能!$A$4:$I$153,6,FALSE)</f>
        <v>21</v>
      </c>
      <c r="AD867" s="64">
        <f>VLOOKUP(AB867,[1]战士技能!$A$4:$I$153,7,FALSE)</f>
        <v>15</v>
      </c>
    </row>
    <row r="868" spans="1:30" s="64" customFormat="1" ht="15" customHeight="1" x14ac:dyDescent="0.15">
      <c r="A868" s="64">
        <v>13003</v>
      </c>
      <c r="B868" s="64" t="s">
        <v>1787</v>
      </c>
      <c r="C868" s="9">
        <f t="shared" si="119"/>
        <v>1</v>
      </c>
      <c r="D868" s="9">
        <v>1</v>
      </c>
      <c r="E868" s="9"/>
      <c r="F868" s="12">
        <v>0</v>
      </c>
      <c r="G868" s="10">
        <v>1</v>
      </c>
      <c r="H868" s="10">
        <v>0</v>
      </c>
      <c r="I868" s="10">
        <v>0</v>
      </c>
      <c r="J868" s="10">
        <v>0</v>
      </c>
      <c r="K868" s="10">
        <v>0</v>
      </c>
      <c r="L868" s="9">
        <v>1</v>
      </c>
      <c r="M868" s="9">
        <f t="shared" si="120"/>
        <v>17</v>
      </c>
      <c r="N868" s="10">
        <v>1</v>
      </c>
      <c r="O868" s="10">
        <v>0</v>
      </c>
      <c r="P868" s="10">
        <v>0</v>
      </c>
      <c r="Q868" s="10">
        <v>0</v>
      </c>
      <c r="R868" s="10">
        <v>1</v>
      </c>
      <c r="S868" s="10">
        <v>0</v>
      </c>
      <c r="T868" s="9">
        <v>1</v>
      </c>
      <c r="U868" s="9">
        <v>1</v>
      </c>
      <c r="V868" s="9">
        <v>1</v>
      </c>
      <c r="W868" s="9">
        <v>1</v>
      </c>
      <c r="X868" s="9">
        <v>0</v>
      </c>
      <c r="Y868" s="9">
        <v>0</v>
      </c>
      <c r="Z868" s="11" t="str">
        <f t="shared" si="121"/>
        <v>提升151点生命，25点攻击，18点防御</v>
      </c>
      <c r="AA868" s="64">
        <f>VLOOKUP(AB868,[1]战士技能!$A$4:$I$153,5,FALSE)</f>
        <v>151</v>
      </c>
      <c r="AB868" s="69">
        <v>35</v>
      </c>
      <c r="AC868" s="64">
        <f>VLOOKUP(AB868,[1]战士技能!$A$4:$I$153,6,FALSE)</f>
        <v>25</v>
      </c>
      <c r="AD868" s="64">
        <f>VLOOKUP(AB868,[1]战士技能!$A$4:$I$153,7,FALSE)</f>
        <v>18</v>
      </c>
    </row>
    <row r="869" spans="1:30" s="64" customFormat="1" ht="15" customHeight="1" x14ac:dyDescent="0.15">
      <c r="A869" s="64">
        <v>13004</v>
      </c>
      <c r="B869" s="64" t="s">
        <v>1788</v>
      </c>
      <c r="C869" s="9">
        <f t="shared" si="119"/>
        <v>1</v>
      </c>
      <c r="D869" s="9">
        <v>1</v>
      </c>
      <c r="E869" s="9"/>
      <c r="F869" s="12">
        <v>0</v>
      </c>
      <c r="G869" s="10">
        <v>1</v>
      </c>
      <c r="H869" s="10">
        <v>0</v>
      </c>
      <c r="I869" s="10">
        <v>0</v>
      </c>
      <c r="J869" s="10">
        <v>0</v>
      </c>
      <c r="K869" s="10">
        <v>0</v>
      </c>
      <c r="L869" s="9">
        <v>1</v>
      </c>
      <c r="M869" s="9">
        <f t="shared" si="120"/>
        <v>17</v>
      </c>
      <c r="N869" s="10">
        <v>1</v>
      </c>
      <c r="O869" s="10">
        <v>0</v>
      </c>
      <c r="P869" s="10">
        <v>0</v>
      </c>
      <c r="Q869" s="10">
        <v>0</v>
      </c>
      <c r="R869" s="10">
        <v>1</v>
      </c>
      <c r="S869" s="10">
        <v>0</v>
      </c>
      <c r="T869" s="9">
        <v>1</v>
      </c>
      <c r="U869" s="9">
        <v>1</v>
      </c>
      <c r="V869" s="9">
        <v>1</v>
      </c>
      <c r="W869" s="9">
        <v>1</v>
      </c>
      <c r="X869" s="9">
        <v>0</v>
      </c>
      <c r="Y869" s="9">
        <v>0</v>
      </c>
      <c r="Z869" s="11" t="str">
        <f t="shared" si="121"/>
        <v>提升178点生命，30点攻击，21点防御</v>
      </c>
      <c r="AA869" s="64">
        <f>VLOOKUP(AB869,[1]战士技能!$A$4:$I$153,5,FALSE)</f>
        <v>178</v>
      </c>
      <c r="AB869" s="69">
        <v>40</v>
      </c>
      <c r="AC869" s="64">
        <f>VLOOKUP(AB869,[1]战士技能!$A$4:$I$153,6,FALSE)</f>
        <v>30</v>
      </c>
      <c r="AD869" s="64">
        <f>VLOOKUP(AB869,[1]战士技能!$A$4:$I$153,7,FALSE)</f>
        <v>21</v>
      </c>
    </row>
    <row r="870" spans="1:30" s="64" customFormat="1" ht="15" customHeight="1" x14ac:dyDescent="0.15">
      <c r="A870" s="64">
        <v>13005</v>
      </c>
      <c r="B870" s="64" t="s">
        <v>1789</v>
      </c>
      <c r="C870" s="9">
        <f t="shared" si="119"/>
        <v>1</v>
      </c>
      <c r="D870" s="9">
        <v>1</v>
      </c>
      <c r="E870" s="9"/>
      <c r="F870" s="12">
        <v>0</v>
      </c>
      <c r="G870" s="10">
        <v>1</v>
      </c>
      <c r="H870" s="10">
        <v>0</v>
      </c>
      <c r="I870" s="10">
        <v>0</v>
      </c>
      <c r="J870" s="10">
        <v>0</v>
      </c>
      <c r="K870" s="10">
        <v>0</v>
      </c>
      <c r="L870" s="9">
        <v>1</v>
      </c>
      <c r="M870" s="9">
        <f t="shared" si="120"/>
        <v>17</v>
      </c>
      <c r="N870" s="10">
        <v>1</v>
      </c>
      <c r="O870" s="10">
        <v>0</v>
      </c>
      <c r="P870" s="10">
        <v>0</v>
      </c>
      <c r="Q870" s="10">
        <v>0</v>
      </c>
      <c r="R870" s="10">
        <v>1</v>
      </c>
      <c r="S870" s="10">
        <v>0</v>
      </c>
      <c r="T870" s="9">
        <v>1</v>
      </c>
      <c r="U870" s="9">
        <v>1</v>
      </c>
      <c r="V870" s="9">
        <v>1</v>
      </c>
      <c r="W870" s="9">
        <v>1</v>
      </c>
      <c r="X870" s="9">
        <v>0</v>
      </c>
      <c r="Y870" s="9">
        <v>0</v>
      </c>
      <c r="Z870" s="11" t="str">
        <f t="shared" si="121"/>
        <v>提升211点生命，35点攻击，25点防御</v>
      </c>
      <c r="AA870" s="64">
        <f>VLOOKUP(AB870,[1]战士技能!$A$4:$I$153,5,FALSE)</f>
        <v>211</v>
      </c>
      <c r="AB870" s="69">
        <v>45</v>
      </c>
      <c r="AC870" s="64">
        <f>VLOOKUP(AB870,[1]战士技能!$A$4:$I$153,6,FALSE)</f>
        <v>35</v>
      </c>
      <c r="AD870" s="64">
        <f>VLOOKUP(AB870,[1]战士技能!$A$4:$I$153,7,FALSE)</f>
        <v>25</v>
      </c>
    </row>
    <row r="871" spans="1:30" s="64" customFormat="1" ht="15" customHeight="1" x14ac:dyDescent="0.15">
      <c r="A871" s="64">
        <v>13006</v>
      </c>
      <c r="B871" s="64" t="s">
        <v>1790</v>
      </c>
      <c r="C871" s="9">
        <f t="shared" si="119"/>
        <v>1</v>
      </c>
      <c r="D871" s="9">
        <v>1</v>
      </c>
      <c r="E871" s="9"/>
      <c r="F871" s="12">
        <v>0</v>
      </c>
      <c r="G871" s="10">
        <v>1</v>
      </c>
      <c r="H871" s="10">
        <v>0</v>
      </c>
      <c r="I871" s="10">
        <v>0</v>
      </c>
      <c r="J871" s="10">
        <v>0</v>
      </c>
      <c r="K871" s="10">
        <v>0</v>
      </c>
      <c r="L871" s="9">
        <v>1</v>
      </c>
      <c r="M871" s="9">
        <f t="shared" si="120"/>
        <v>17</v>
      </c>
      <c r="N871" s="10">
        <v>1</v>
      </c>
      <c r="O871" s="10">
        <v>0</v>
      </c>
      <c r="P871" s="10">
        <v>0</v>
      </c>
      <c r="Q871" s="10">
        <v>0</v>
      </c>
      <c r="R871" s="10">
        <v>1</v>
      </c>
      <c r="S871" s="10">
        <v>0</v>
      </c>
      <c r="T871" s="9">
        <v>1</v>
      </c>
      <c r="U871" s="9">
        <v>1</v>
      </c>
      <c r="V871" s="9">
        <v>1</v>
      </c>
      <c r="W871" s="9">
        <v>1</v>
      </c>
      <c r="X871" s="9">
        <v>0</v>
      </c>
      <c r="Y871" s="9">
        <v>0</v>
      </c>
      <c r="Z871" s="11" t="str">
        <f t="shared" si="121"/>
        <v>提升249点生命，42点攻击，29点防御</v>
      </c>
      <c r="AA871" s="64">
        <f>VLOOKUP(AB871,[1]战士技能!$A$4:$I$153,5,FALSE)</f>
        <v>249</v>
      </c>
      <c r="AB871" s="69">
        <v>50</v>
      </c>
      <c r="AC871" s="64">
        <f>VLOOKUP(AB871,[1]战士技能!$A$4:$I$153,6,FALSE)</f>
        <v>42</v>
      </c>
      <c r="AD871" s="64">
        <f>VLOOKUP(AB871,[1]战士技能!$A$4:$I$153,7,FALSE)</f>
        <v>29</v>
      </c>
    </row>
    <row r="872" spans="1:30" s="64" customFormat="1" ht="15" customHeight="1" x14ac:dyDescent="0.15">
      <c r="A872" s="64">
        <v>13007</v>
      </c>
      <c r="B872" s="64" t="s">
        <v>1791</v>
      </c>
      <c r="C872" s="9">
        <f t="shared" si="119"/>
        <v>1</v>
      </c>
      <c r="D872" s="9">
        <v>1</v>
      </c>
      <c r="E872" s="9"/>
      <c r="F872" s="12">
        <v>0</v>
      </c>
      <c r="G872" s="10">
        <v>1</v>
      </c>
      <c r="H872" s="10">
        <v>0</v>
      </c>
      <c r="I872" s="10">
        <v>0</v>
      </c>
      <c r="J872" s="10">
        <v>0</v>
      </c>
      <c r="K872" s="10">
        <v>0</v>
      </c>
      <c r="L872" s="9">
        <v>1</v>
      </c>
      <c r="M872" s="9">
        <f t="shared" si="120"/>
        <v>17</v>
      </c>
      <c r="N872" s="10">
        <v>1</v>
      </c>
      <c r="O872" s="10">
        <v>0</v>
      </c>
      <c r="P872" s="10">
        <v>0</v>
      </c>
      <c r="Q872" s="10">
        <v>0</v>
      </c>
      <c r="R872" s="10">
        <v>1</v>
      </c>
      <c r="S872" s="10">
        <v>0</v>
      </c>
      <c r="T872" s="9">
        <v>1</v>
      </c>
      <c r="U872" s="9">
        <v>1</v>
      </c>
      <c r="V872" s="9">
        <v>1</v>
      </c>
      <c r="W872" s="9">
        <v>1</v>
      </c>
      <c r="X872" s="9">
        <v>0</v>
      </c>
      <c r="Y872" s="9">
        <v>0</v>
      </c>
      <c r="Z872" s="11" t="str">
        <f t="shared" si="121"/>
        <v>提升295点生命，49点攻击，34点防御</v>
      </c>
      <c r="AA872" s="64">
        <f>VLOOKUP(AB872,[1]战士技能!$A$4:$I$153,5,FALSE)</f>
        <v>295</v>
      </c>
      <c r="AB872" s="69">
        <v>55</v>
      </c>
      <c r="AC872" s="64">
        <f>VLOOKUP(AB872,[1]战士技能!$A$4:$I$153,6,FALSE)</f>
        <v>49</v>
      </c>
      <c r="AD872" s="64">
        <f>VLOOKUP(AB872,[1]战士技能!$A$4:$I$153,7,FALSE)</f>
        <v>34</v>
      </c>
    </row>
    <row r="873" spans="1:30" s="64" customFormat="1" ht="15" customHeight="1" x14ac:dyDescent="0.15">
      <c r="A873" s="64">
        <v>13008</v>
      </c>
      <c r="B873" s="64" t="s">
        <v>1792</v>
      </c>
      <c r="C873" s="9">
        <f t="shared" si="119"/>
        <v>1</v>
      </c>
      <c r="D873" s="9">
        <v>1</v>
      </c>
      <c r="E873" s="9"/>
      <c r="F873" s="12">
        <v>0</v>
      </c>
      <c r="G873" s="10">
        <v>1</v>
      </c>
      <c r="H873" s="10">
        <v>0</v>
      </c>
      <c r="I873" s="10">
        <v>0</v>
      </c>
      <c r="J873" s="10">
        <v>0</v>
      </c>
      <c r="K873" s="10">
        <v>0</v>
      </c>
      <c r="L873" s="9">
        <v>1</v>
      </c>
      <c r="M873" s="9">
        <f t="shared" si="120"/>
        <v>17</v>
      </c>
      <c r="N873" s="10">
        <v>1</v>
      </c>
      <c r="O873" s="10">
        <v>0</v>
      </c>
      <c r="P873" s="10">
        <v>0</v>
      </c>
      <c r="Q873" s="10">
        <v>0</v>
      </c>
      <c r="R873" s="10">
        <v>1</v>
      </c>
      <c r="S873" s="10">
        <v>0</v>
      </c>
      <c r="T873" s="9">
        <v>1</v>
      </c>
      <c r="U873" s="9">
        <v>1</v>
      </c>
      <c r="V873" s="9">
        <v>1</v>
      </c>
      <c r="W873" s="9">
        <v>1</v>
      </c>
      <c r="X873" s="9">
        <v>0</v>
      </c>
      <c r="Y873" s="9">
        <v>0</v>
      </c>
      <c r="Z873" s="11" t="str">
        <f t="shared" si="121"/>
        <v>提升349点生命，58点攻击，41点防御</v>
      </c>
      <c r="AA873" s="64">
        <f>VLOOKUP(AB873,[1]战士技能!$A$4:$I$153,5,FALSE)</f>
        <v>349</v>
      </c>
      <c r="AB873" s="69">
        <v>60</v>
      </c>
      <c r="AC873" s="64">
        <f>VLOOKUP(AB873,[1]战士技能!$A$4:$I$153,6,FALSE)</f>
        <v>58</v>
      </c>
      <c r="AD873" s="64">
        <f>VLOOKUP(AB873,[1]战士技能!$A$4:$I$153,7,FALSE)</f>
        <v>41</v>
      </c>
    </row>
    <row r="874" spans="1:30" s="64" customFormat="1" ht="15" customHeight="1" x14ac:dyDescent="0.15">
      <c r="A874" s="64">
        <v>13009</v>
      </c>
      <c r="B874" s="64" t="s">
        <v>1793</v>
      </c>
      <c r="C874" s="9">
        <f t="shared" si="119"/>
        <v>1</v>
      </c>
      <c r="D874" s="9">
        <v>1</v>
      </c>
      <c r="E874" s="9"/>
      <c r="F874" s="12">
        <v>0</v>
      </c>
      <c r="G874" s="10">
        <v>1</v>
      </c>
      <c r="H874" s="10">
        <v>0</v>
      </c>
      <c r="I874" s="10">
        <v>0</v>
      </c>
      <c r="J874" s="10">
        <v>0</v>
      </c>
      <c r="K874" s="10">
        <v>0</v>
      </c>
      <c r="L874" s="9">
        <v>1</v>
      </c>
      <c r="M874" s="9">
        <f t="shared" si="120"/>
        <v>17</v>
      </c>
      <c r="N874" s="10">
        <v>1</v>
      </c>
      <c r="O874" s="10">
        <v>0</v>
      </c>
      <c r="P874" s="10">
        <v>0</v>
      </c>
      <c r="Q874" s="10">
        <v>0</v>
      </c>
      <c r="R874" s="10">
        <v>1</v>
      </c>
      <c r="S874" s="10">
        <v>0</v>
      </c>
      <c r="T874" s="9">
        <v>1</v>
      </c>
      <c r="U874" s="9">
        <v>1</v>
      </c>
      <c r="V874" s="9">
        <v>1</v>
      </c>
      <c r="W874" s="9">
        <v>1</v>
      </c>
      <c r="X874" s="9">
        <v>0</v>
      </c>
      <c r="Y874" s="9">
        <v>0</v>
      </c>
      <c r="Z874" s="11" t="str">
        <f t="shared" si="121"/>
        <v>提升413点生命，69点攻击，48点防御</v>
      </c>
      <c r="AA874" s="64">
        <f>VLOOKUP(AB874,[1]战士技能!$A$4:$I$153,5,FALSE)</f>
        <v>413</v>
      </c>
      <c r="AB874" s="69">
        <v>65</v>
      </c>
      <c r="AC874" s="64">
        <f>VLOOKUP(AB874,[1]战士技能!$A$4:$I$153,6,FALSE)</f>
        <v>69</v>
      </c>
      <c r="AD874" s="64">
        <f>VLOOKUP(AB874,[1]战士技能!$A$4:$I$153,7,FALSE)</f>
        <v>48</v>
      </c>
    </row>
    <row r="875" spans="1:30" s="64" customFormat="1" ht="15" customHeight="1" x14ac:dyDescent="0.15">
      <c r="A875" s="64">
        <v>13010</v>
      </c>
      <c r="B875" s="64" t="s">
        <v>1794</v>
      </c>
      <c r="C875" s="9">
        <f t="shared" si="119"/>
        <v>1</v>
      </c>
      <c r="D875" s="9">
        <v>1</v>
      </c>
      <c r="E875" s="9"/>
      <c r="F875" s="12">
        <v>0</v>
      </c>
      <c r="G875" s="10">
        <v>1</v>
      </c>
      <c r="H875" s="10">
        <v>0</v>
      </c>
      <c r="I875" s="10">
        <v>0</v>
      </c>
      <c r="J875" s="10">
        <v>0</v>
      </c>
      <c r="K875" s="10">
        <v>0</v>
      </c>
      <c r="L875" s="9">
        <v>1</v>
      </c>
      <c r="M875" s="9">
        <f t="shared" si="120"/>
        <v>17</v>
      </c>
      <c r="N875" s="10">
        <v>1</v>
      </c>
      <c r="O875" s="10">
        <v>0</v>
      </c>
      <c r="P875" s="10">
        <v>0</v>
      </c>
      <c r="Q875" s="10">
        <v>0</v>
      </c>
      <c r="R875" s="10">
        <v>1</v>
      </c>
      <c r="S875" s="10">
        <v>0</v>
      </c>
      <c r="T875" s="9">
        <v>1</v>
      </c>
      <c r="U875" s="9">
        <v>1</v>
      </c>
      <c r="V875" s="9">
        <v>1</v>
      </c>
      <c r="W875" s="9">
        <v>1</v>
      </c>
      <c r="X875" s="9">
        <v>0</v>
      </c>
      <c r="Y875" s="9">
        <v>0</v>
      </c>
      <c r="Z875" s="11" t="str">
        <f t="shared" si="121"/>
        <v>提升489点生命，81点攻击，57点防御</v>
      </c>
      <c r="AA875" s="64">
        <f>VLOOKUP(AB875,[1]战士技能!$A$4:$I$153,5,FALSE)</f>
        <v>489</v>
      </c>
      <c r="AB875" s="69">
        <v>70</v>
      </c>
      <c r="AC875" s="64">
        <f>VLOOKUP(AB875,[1]战士技能!$A$4:$I$153,6,FALSE)</f>
        <v>81</v>
      </c>
      <c r="AD875" s="64">
        <f>VLOOKUP(AB875,[1]战士技能!$A$4:$I$153,7,FALSE)</f>
        <v>57</v>
      </c>
    </row>
    <row r="876" spans="1:30" s="64" customFormat="1" ht="15" customHeight="1" x14ac:dyDescent="0.15">
      <c r="A876" s="64">
        <v>13011</v>
      </c>
      <c r="B876" s="64" t="s">
        <v>1795</v>
      </c>
      <c r="C876" s="9">
        <f t="shared" si="119"/>
        <v>1</v>
      </c>
      <c r="D876" s="9">
        <v>1</v>
      </c>
      <c r="E876" s="9"/>
      <c r="F876" s="12">
        <v>0</v>
      </c>
      <c r="G876" s="10">
        <v>1</v>
      </c>
      <c r="H876" s="10">
        <v>0</v>
      </c>
      <c r="I876" s="10">
        <v>0</v>
      </c>
      <c r="J876" s="10">
        <v>0</v>
      </c>
      <c r="K876" s="10">
        <v>0</v>
      </c>
      <c r="L876" s="9">
        <v>1</v>
      </c>
      <c r="M876" s="9">
        <f t="shared" si="120"/>
        <v>17</v>
      </c>
      <c r="N876" s="10">
        <v>1</v>
      </c>
      <c r="O876" s="10">
        <v>0</v>
      </c>
      <c r="P876" s="10">
        <v>0</v>
      </c>
      <c r="Q876" s="10">
        <v>0</v>
      </c>
      <c r="R876" s="10">
        <v>1</v>
      </c>
      <c r="S876" s="10">
        <v>0</v>
      </c>
      <c r="T876" s="9">
        <v>1</v>
      </c>
      <c r="U876" s="9">
        <v>1</v>
      </c>
      <c r="V876" s="9">
        <v>1</v>
      </c>
      <c r="W876" s="9">
        <v>1</v>
      </c>
      <c r="X876" s="9">
        <v>0</v>
      </c>
      <c r="Y876" s="9">
        <v>0</v>
      </c>
      <c r="Z876" s="11" t="str">
        <f t="shared" si="121"/>
        <v>提升578点生命，96点攻击，67点防御</v>
      </c>
      <c r="AA876" s="64">
        <f>VLOOKUP(AB876,[1]战士技能!$A$4:$I$153,5,FALSE)</f>
        <v>578</v>
      </c>
      <c r="AB876" s="69">
        <v>75</v>
      </c>
      <c r="AC876" s="64">
        <f>VLOOKUP(AB876,[1]战士技能!$A$4:$I$153,6,FALSE)</f>
        <v>96</v>
      </c>
      <c r="AD876" s="64">
        <f>VLOOKUP(AB876,[1]战士技能!$A$4:$I$153,7,FALSE)</f>
        <v>67</v>
      </c>
    </row>
    <row r="877" spans="1:30" s="64" customFormat="1" ht="15" customHeight="1" x14ac:dyDescent="0.15">
      <c r="A877" s="64">
        <v>13012</v>
      </c>
      <c r="B877" s="64" t="s">
        <v>1796</v>
      </c>
      <c r="C877" s="9">
        <f t="shared" si="119"/>
        <v>1</v>
      </c>
      <c r="D877" s="9">
        <v>1</v>
      </c>
      <c r="E877" s="9"/>
      <c r="F877" s="12">
        <v>0</v>
      </c>
      <c r="G877" s="10">
        <v>1</v>
      </c>
      <c r="H877" s="10">
        <v>0</v>
      </c>
      <c r="I877" s="10">
        <v>0</v>
      </c>
      <c r="J877" s="10">
        <v>0</v>
      </c>
      <c r="K877" s="10">
        <v>0</v>
      </c>
      <c r="L877" s="9">
        <v>1</v>
      </c>
      <c r="M877" s="9">
        <f t="shared" si="120"/>
        <v>17</v>
      </c>
      <c r="N877" s="10">
        <v>1</v>
      </c>
      <c r="O877" s="10">
        <v>0</v>
      </c>
      <c r="P877" s="10">
        <v>0</v>
      </c>
      <c r="Q877" s="10">
        <v>0</v>
      </c>
      <c r="R877" s="10">
        <v>1</v>
      </c>
      <c r="S877" s="10">
        <v>0</v>
      </c>
      <c r="T877" s="9">
        <v>1</v>
      </c>
      <c r="U877" s="9">
        <v>1</v>
      </c>
      <c r="V877" s="9">
        <v>1</v>
      </c>
      <c r="W877" s="9">
        <v>1</v>
      </c>
      <c r="X877" s="9">
        <v>0</v>
      </c>
      <c r="Y877" s="9">
        <v>0</v>
      </c>
      <c r="Z877" s="11" t="str">
        <f t="shared" si="121"/>
        <v>提升684点生命，114点攻击，80点防御</v>
      </c>
      <c r="AA877" s="64">
        <f>VLOOKUP(AB877,[1]战士技能!$A$4:$I$153,5,FALSE)</f>
        <v>684</v>
      </c>
      <c r="AB877" s="69">
        <v>80</v>
      </c>
      <c r="AC877" s="64">
        <f>VLOOKUP(AB877,[1]战士技能!$A$4:$I$153,6,FALSE)</f>
        <v>114</v>
      </c>
      <c r="AD877" s="64">
        <f>VLOOKUP(AB877,[1]战士技能!$A$4:$I$153,7,FALSE)</f>
        <v>80</v>
      </c>
    </row>
    <row r="878" spans="1:30" s="64" customFormat="1" ht="15" customHeight="1" x14ac:dyDescent="0.15">
      <c r="A878" s="64">
        <v>13013</v>
      </c>
      <c r="B878" s="64" t="s">
        <v>1797</v>
      </c>
      <c r="C878" s="9">
        <f t="shared" si="119"/>
        <v>1</v>
      </c>
      <c r="D878" s="9">
        <v>1</v>
      </c>
      <c r="E878" s="9"/>
      <c r="F878" s="12">
        <v>0</v>
      </c>
      <c r="G878" s="10">
        <v>1</v>
      </c>
      <c r="H878" s="10">
        <v>0</v>
      </c>
      <c r="I878" s="10">
        <v>0</v>
      </c>
      <c r="J878" s="10">
        <v>0</v>
      </c>
      <c r="K878" s="10">
        <v>0</v>
      </c>
      <c r="L878" s="9">
        <v>1</v>
      </c>
      <c r="M878" s="9">
        <f t="shared" si="120"/>
        <v>17</v>
      </c>
      <c r="N878" s="10">
        <v>1</v>
      </c>
      <c r="O878" s="10">
        <v>0</v>
      </c>
      <c r="P878" s="10">
        <v>0</v>
      </c>
      <c r="Q878" s="10">
        <v>0</v>
      </c>
      <c r="R878" s="10">
        <v>1</v>
      </c>
      <c r="S878" s="10">
        <v>0</v>
      </c>
      <c r="T878" s="9">
        <v>1</v>
      </c>
      <c r="U878" s="9">
        <v>1</v>
      </c>
      <c r="V878" s="9">
        <v>1</v>
      </c>
      <c r="W878" s="9">
        <v>1</v>
      </c>
      <c r="X878" s="9">
        <v>0</v>
      </c>
      <c r="Y878" s="9">
        <v>0</v>
      </c>
      <c r="Z878" s="11" t="str">
        <f t="shared" si="121"/>
        <v>提升809点生命，135点攻击，94点防御</v>
      </c>
      <c r="AA878" s="64">
        <f>VLOOKUP(AB878,[1]战士技能!$A$4:$I$153,5,FALSE)</f>
        <v>809</v>
      </c>
      <c r="AB878" s="69">
        <v>85</v>
      </c>
      <c r="AC878" s="64">
        <f>VLOOKUP(AB878,[1]战士技能!$A$4:$I$153,6,FALSE)</f>
        <v>135</v>
      </c>
      <c r="AD878" s="64">
        <f>VLOOKUP(AB878,[1]战士技能!$A$4:$I$153,7,FALSE)</f>
        <v>94</v>
      </c>
    </row>
    <row r="879" spans="1:30" s="64" customFormat="1" ht="15" customHeight="1" x14ac:dyDescent="0.15">
      <c r="A879" s="64">
        <v>13014</v>
      </c>
      <c r="B879" s="64" t="s">
        <v>1798</v>
      </c>
      <c r="C879" s="9">
        <f t="shared" si="119"/>
        <v>1</v>
      </c>
      <c r="D879" s="9">
        <v>1</v>
      </c>
      <c r="E879" s="9"/>
      <c r="F879" s="12">
        <v>0</v>
      </c>
      <c r="G879" s="10">
        <v>1</v>
      </c>
      <c r="H879" s="10">
        <v>0</v>
      </c>
      <c r="I879" s="10">
        <v>0</v>
      </c>
      <c r="J879" s="10">
        <v>0</v>
      </c>
      <c r="K879" s="10">
        <v>0</v>
      </c>
      <c r="L879" s="9">
        <v>1</v>
      </c>
      <c r="M879" s="9">
        <f t="shared" si="120"/>
        <v>17</v>
      </c>
      <c r="N879" s="10">
        <v>1</v>
      </c>
      <c r="O879" s="10">
        <v>0</v>
      </c>
      <c r="P879" s="10">
        <v>0</v>
      </c>
      <c r="Q879" s="10">
        <v>0</v>
      </c>
      <c r="R879" s="10">
        <v>1</v>
      </c>
      <c r="S879" s="10">
        <v>0</v>
      </c>
      <c r="T879" s="9">
        <v>1</v>
      </c>
      <c r="U879" s="9">
        <v>1</v>
      </c>
      <c r="V879" s="9">
        <v>1</v>
      </c>
      <c r="W879" s="9">
        <v>1</v>
      </c>
      <c r="X879" s="9">
        <v>0</v>
      </c>
      <c r="Y879" s="9">
        <v>0</v>
      </c>
      <c r="Z879" s="11" t="str">
        <f t="shared" si="121"/>
        <v>提升957点生命，160点攻击，112点防御</v>
      </c>
      <c r="AA879" s="64">
        <f>VLOOKUP(AB879,[1]战士技能!$A$4:$I$153,5,FALSE)</f>
        <v>957</v>
      </c>
      <c r="AB879" s="69">
        <v>90</v>
      </c>
      <c r="AC879" s="64">
        <f>VLOOKUP(AB879,[1]战士技能!$A$4:$I$153,6,FALSE)</f>
        <v>160</v>
      </c>
      <c r="AD879" s="64">
        <f>VLOOKUP(AB879,[1]战士技能!$A$4:$I$153,7,FALSE)</f>
        <v>112</v>
      </c>
    </row>
    <row r="880" spans="1:30" s="64" customFormat="1" ht="15" customHeight="1" x14ac:dyDescent="0.15">
      <c r="A880" s="64">
        <v>13015</v>
      </c>
      <c r="B880" s="64" t="s">
        <v>1799</v>
      </c>
      <c r="C880" s="9">
        <f t="shared" si="119"/>
        <v>1</v>
      </c>
      <c r="D880" s="9">
        <v>1</v>
      </c>
      <c r="E880" s="9"/>
      <c r="F880" s="12">
        <v>0</v>
      </c>
      <c r="G880" s="10">
        <v>1</v>
      </c>
      <c r="H880" s="10">
        <v>0</v>
      </c>
      <c r="I880" s="10">
        <v>0</v>
      </c>
      <c r="J880" s="10">
        <v>0</v>
      </c>
      <c r="K880" s="10">
        <v>0</v>
      </c>
      <c r="L880" s="9">
        <v>1</v>
      </c>
      <c r="M880" s="9">
        <f t="shared" si="120"/>
        <v>17</v>
      </c>
      <c r="N880" s="10">
        <v>1</v>
      </c>
      <c r="O880" s="10">
        <v>0</v>
      </c>
      <c r="P880" s="10">
        <v>0</v>
      </c>
      <c r="Q880" s="10">
        <v>0</v>
      </c>
      <c r="R880" s="10">
        <v>1</v>
      </c>
      <c r="S880" s="10">
        <v>0</v>
      </c>
      <c r="T880" s="9">
        <v>1</v>
      </c>
      <c r="U880" s="9">
        <v>1</v>
      </c>
      <c r="V880" s="9">
        <v>1</v>
      </c>
      <c r="W880" s="9">
        <v>1</v>
      </c>
      <c r="X880" s="9">
        <v>0</v>
      </c>
      <c r="Y880" s="9">
        <v>0</v>
      </c>
      <c r="Z880" s="11" t="str">
        <f t="shared" si="121"/>
        <v>提升1133点生命，189点攻击，132点防御</v>
      </c>
      <c r="AA880" s="64">
        <f>VLOOKUP(AB880,[1]战士技能!$A$4:$I$153,5,FALSE)</f>
        <v>1133</v>
      </c>
      <c r="AB880" s="69">
        <v>95</v>
      </c>
      <c r="AC880" s="64">
        <f>VLOOKUP(AB880,[1]战士技能!$A$4:$I$153,6,FALSE)</f>
        <v>189</v>
      </c>
      <c r="AD880" s="64">
        <f>VLOOKUP(AB880,[1]战士技能!$A$4:$I$153,7,FALSE)</f>
        <v>132</v>
      </c>
    </row>
    <row r="881" spans="1:28" s="64" customFormat="1" ht="15" customHeight="1" x14ac:dyDescent="0.15">
      <c r="A881" s="64">
        <v>18001</v>
      </c>
      <c r="B881" s="8" t="s">
        <v>111</v>
      </c>
      <c r="C881" s="8">
        <f t="shared" si="119"/>
        <v>5</v>
      </c>
      <c r="D881" s="8">
        <v>1</v>
      </c>
      <c r="E881" s="8"/>
      <c r="F881" s="12">
        <v>0</v>
      </c>
      <c r="G881" s="14">
        <v>1</v>
      </c>
      <c r="H881" s="14">
        <v>0</v>
      </c>
      <c r="I881" s="14">
        <v>1</v>
      </c>
      <c r="J881" s="14">
        <v>0</v>
      </c>
      <c r="K881" s="14">
        <v>0</v>
      </c>
      <c r="L881" s="8">
        <v>1</v>
      </c>
      <c r="M881" s="8">
        <f t="shared" si="120"/>
        <v>34</v>
      </c>
      <c r="N881" s="14">
        <v>0</v>
      </c>
      <c r="O881" s="14">
        <v>1</v>
      </c>
      <c r="P881" s="14">
        <v>0</v>
      </c>
      <c r="Q881" s="14">
        <v>0</v>
      </c>
      <c r="R881" s="14">
        <v>0</v>
      </c>
      <c r="S881" s="14">
        <v>1</v>
      </c>
      <c r="T881" s="8">
        <v>1</v>
      </c>
      <c r="U881" s="8">
        <v>0</v>
      </c>
      <c r="V881" s="8">
        <v>1</v>
      </c>
      <c r="W881" s="8">
        <v>0</v>
      </c>
      <c r="X881" s="8">
        <v>0</v>
      </c>
      <c r="Y881" s="8">
        <v>0</v>
      </c>
      <c r="Z881" s="7" t="s">
        <v>1722</v>
      </c>
      <c r="AB881" s="69"/>
    </row>
    <row r="882" spans="1:28" s="8" customFormat="1" ht="15" customHeight="1" x14ac:dyDescent="0.15">
      <c r="A882" s="8">
        <v>20001</v>
      </c>
      <c r="B882" s="8" t="s">
        <v>124</v>
      </c>
      <c r="C882" s="8">
        <f t="shared" si="85"/>
        <v>5</v>
      </c>
      <c r="D882" s="8">
        <v>1</v>
      </c>
      <c r="F882" s="12">
        <v>0</v>
      </c>
      <c r="G882" s="14">
        <v>1</v>
      </c>
      <c r="H882" s="14">
        <v>0</v>
      </c>
      <c r="I882" s="14">
        <v>1</v>
      </c>
      <c r="J882" s="14">
        <v>0</v>
      </c>
      <c r="K882" s="14">
        <v>0</v>
      </c>
      <c r="L882" s="8">
        <v>1</v>
      </c>
      <c r="M882" s="8">
        <f t="shared" si="86"/>
        <v>2</v>
      </c>
      <c r="N882" s="14">
        <v>0</v>
      </c>
      <c r="O882" s="14">
        <v>1</v>
      </c>
      <c r="P882" s="14">
        <v>0</v>
      </c>
      <c r="Q882" s="14">
        <v>0</v>
      </c>
      <c r="R882" s="14">
        <v>0</v>
      </c>
      <c r="S882" s="14">
        <v>0</v>
      </c>
      <c r="T882" s="8">
        <v>1</v>
      </c>
      <c r="U882" s="8">
        <v>0</v>
      </c>
      <c r="V882" s="8">
        <v>0</v>
      </c>
      <c r="W882" s="8">
        <v>0</v>
      </c>
      <c r="X882" s="8">
        <v>0</v>
      </c>
      <c r="Y882" s="8">
        <v>0</v>
      </c>
      <c r="Z882" s="7" t="s">
        <v>145</v>
      </c>
    </row>
    <row r="883" spans="1:28" s="8" customFormat="1" ht="15" customHeight="1" x14ac:dyDescent="0.15">
      <c r="A883" s="8">
        <v>20002</v>
      </c>
      <c r="B883" s="8" t="s">
        <v>125</v>
      </c>
      <c r="C883" s="8">
        <f t="shared" si="85"/>
        <v>5</v>
      </c>
      <c r="D883" s="8">
        <v>1</v>
      </c>
      <c r="F883" s="12">
        <v>0</v>
      </c>
      <c r="G883" s="14">
        <v>1</v>
      </c>
      <c r="H883" s="14">
        <v>0</v>
      </c>
      <c r="I883" s="14">
        <v>1</v>
      </c>
      <c r="J883" s="14">
        <v>0</v>
      </c>
      <c r="K883" s="14">
        <v>0</v>
      </c>
      <c r="L883" s="8">
        <v>1</v>
      </c>
      <c r="M883" s="8">
        <f t="shared" si="86"/>
        <v>2</v>
      </c>
      <c r="N883" s="14">
        <v>0</v>
      </c>
      <c r="O883" s="14">
        <v>1</v>
      </c>
      <c r="P883" s="14">
        <v>0</v>
      </c>
      <c r="Q883" s="14">
        <v>0</v>
      </c>
      <c r="R883" s="14">
        <v>0</v>
      </c>
      <c r="S883" s="14">
        <v>0</v>
      </c>
      <c r="T883" s="8">
        <v>1</v>
      </c>
      <c r="U883" s="8">
        <v>0</v>
      </c>
      <c r="V883" s="8">
        <v>1</v>
      </c>
      <c r="W883" s="8">
        <v>0</v>
      </c>
      <c r="X883" s="8">
        <v>0</v>
      </c>
      <c r="Y883" s="8">
        <v>0</v>
      </c>
      <c r="Z883" s="8" t="s">
        <v>473</v>
      </c>
    </row>
    <row r="884" spans="1:28" s="8" customFormat="1" ht="15" customHeight="1" x14ac:dyDescent="0.15">
      <c r="A884" s="8">
        <v>20003</v>
      </c>
      <c r="B884" s="8" t="s">
        <v>117</v>
      </c>
      <c r="C884" s="8">
        <f t="shared" si="85"/>
        <v>5</v>
      </c>
      <c r="D884" s="8">
        <v>1</v>
      </c>
      <c r="F884" s="12">
        <v>0</v>
      </c>
      <c r="G884" s="14">
        <v>1</v>
      </c>
      <c r="H884" s="14">
        <v>0</v>
      </c>
      <c r="I884" s="14">
        <v>1</v>
      </c>
      <c r="J884" s="14">
        <v>0</v>
      </c>
      <c r="K884" s="14">
        <v>0</v>
      </c>
      <c r="L884" s="8">
        <v>1</v>
      </c>
      <c r="M884" s="8">
        <f t="shared" si="86"/>
        <v>34</v>
      </c>
      <c r="N884" s="14">
        <v>0</v>
      </c>
      <c r="O884" s="14">
        <v>1</v>
      </c>
      <c r="P884" s="14">
        <v>0</v>
      </c>
      <c r="Q884" s="14">
        <v>0</v>
      </c>
      <c r="R884" s="14">
        <v>0</v>
      </c>
      <c r="S884" s="14">
        <v>1</v>
      </c>
      <c r="T884" s="8">
        <v>1</v>
      </c>
      <c r="U884" s="8">
        <v>0</v>
      </c>
      <c r="V884" s="8">
        <v>1</v>
      </c>
      <c r="W884" s="8">
        <v>0</v>
      </c>
      <c r="X884" s="8">
        <v>0</v>
      </c>
      <c r="Y884" s="8">
        <v>0</v>
      </c>
      <c r="Z884" s="7" t="s">
        <v>146</v>
      </c>
    </row>
    <row r="885" spans="1:28" s="8" customFormat="1" ht="15" customHeight="1" x14ac:dyDescent="0.15">
      <c r="A885" s="8">
        <v>20004</v>
      </c>
      <c r="B885" s="8" t="s">
        <v>111</v>
      </c>
      <c r="C885" s="8">
        <f t="shared" si="85"/>
        <v>5</v>
      </c>
      <c r="D885" s="8">
        <v>1</v>
      </c>
      <c r="F885" s="12">
        <v>0</v>
      </c>
      <c r="G885" s="14">
        <v>1</v>
      </c>
      <c r="H885" s="14">
        <v>0</v>
      </c>
      <c r="I885" s="14">
        <v>1</v>
      </c>
      <c r="J885" s="14">
        <v>0</v>
      </c>
      <c r="K885" s="14">
        <v>0</v>
      </c>
      <c r="L885" s="8">
        <v>1</v>
      </c>
      <c r="M885" s="8">
        <f t="shared" si="86"/>
        <v>34</v>
      </c>
      <c r="N885" s="14">
        <v>0</v>
      </c>
      <c r="O885" s="14">
        <v>1</v>
      </c>
      <c r="P885" s="14">
        <v>0</v>
      </c>
      <c r="Q885" s="14">
        <v>0</v>
      </c>
      <c r="R885" s="14">
        <v>0</v>
      </c>
      <c r="S885" s="14">
        <v>1</v>
      </c>
      <c r="T885" s="8">
        <v>1</v>
      </c>
      <c r="U885" s="8">
        <v>0</v>
      </c>
      <c r="V885" s="8">
        <v>1</v>
      </c>
      <c r="W885" s="8">
        <v>0</v>
      </c>
      <c r="X885" s="8">
        <v>0</v>
      </c>
      <c r="Y885" s="8">
        <v>0</v>
      </c>
      <c r="Z885" s="7" t="s">
        <v>530</v>
      </c>
    </row>
    <row r="886" spans="1:28" s="8" customFormat="1" ht="15" customHeight="1" x14ac:dyDescent="0.15">
      <c r="A886" s="8">
        <v>20005</v>
      </c>
      <c r="B886" s="8" t="s">
        <v>88</v>
      </c>
      <c r="C886" s="8">
        <f t="shared" si="85"/>
        <v>5</v>
      </c>
      <c r="D886" s="8">
        <v>1</v>
      </c>
      <c r="F886" s="12">
        <v>0</v>
      </c>
      <c r="G886" s="14">
        <v>1</v>
      </c>
      <c r="H886" s="14">
        <v>0</v>
      </c>
      <c r="I886" s="14">
        <v>1</v>
      </c>
      <c r="J886" s="14">
        <v>0</v>
      </c>
      <c r="K886" s="14">
        <v>0</v>
      </c>
      <c r="L886" s="8">
        <v>1</v>
      </c>
      <c r="M886" s="8">
        <f t="shared" si="86"/>
        <v>34</v>
      </c>
      <c r="N886" s="14">
        <v>0</v>
      </c>
      <c r="O886" s="14">
        <v>1</v>
      </c>
      <c r="P886" s="14">
        <v>0</v>
      </c>
      <c r="Q886" s="14">
        <v>0</v>
      </c>
      <c r="R886" s="14">
        <v>0</v>
      </c>
      <c r="S886" s="14">
        <v>1</v>
      </c>
      <c r="T886" s="8">
        <v>1</v>
      </c>
      <c r="U886" s="8">
        <v>0</v>
      </c>
      <c r="V886" s="8">
        <v>1</v>
      </c>
      <c r="W886" s="8">
        <v>0</v>
      </c>
      <c r="X886" s="8">
        <v>0</v>
      </c>
      <c r="Y886" s="8">
        <v>0</v>
      </c>
      <c r="Z886" s="7" t="s">
        <v>147</v>
      </c>
    </row>
    <row r="887" spans="1:28" s="8" customFormat="1" ht="15" customHeight="1" x14ac:dyDescent="0.15">
      <c r="A887" s="8">
        <v>20006</v>
      </c>
      <c r="B887" s="8" t="s">
        <v>89</v>
      </c>
      <c r="C887" s="8">
        <f t="shared" si="85"/>
        <v>5</v>
      </c>
      <c r="D887" s="8">
        <v>1</v>
      </c>
      <c r="F887" s="12">
        <v>0</v>
      </c>
      <c r="G887" s="14">
        <v>1</v>
      </c>
      <c r="H887" s="14">
        <v>0</v>
      </c>
      <c r="I887" s="14">
        <v>1</v>
      </c>
      <c r="J887" s="14">
        <v>0</v>
      </c>
      <c r="K887" s="14">
        <v>0</v>
      </c>
      <c r="L887" s="8">
        <v>1</v>
      </c>
      <c r="M887" s="8">
        <f t="shared" si="86"/>
        <v>34</v>
      </c>
      <c r="N887" s="14">
        <v>0</v>
      </c>
      <c r="O887" s="14">
        <v>1</v>
      </c>
      <c r="P887" s="14">
        <v>0</v>
      </c>
      <c r="Q887" s="14">
        <v>0</v>
      </c>
      <c r="R887" s="14">
        <v>0</v>
      </c>
      <c r="S887" s="14">
        <v>1</v>
      </c>
      <c r="T887" s="8">
        <v>1</v>
      </c>
      <c r="U887" s="8">
        <v>0</v>
      </c>
      <c r="V887" s="8">
        <v>1</v>
      </c>
      <c r="W887" s="8">
        <v>0</v>
      </c>
      <c r="X887" s="8">
        <v>0</v>
      </c>
      <c r="Y887" s="8">
        <v>0</v>
      </c>
      <c r="Z887" s="7" t="s">
        <v>148</v>
      </c>
    </row>
    <row r="888" spans="1:28" s="8" customFormat="1" ht="15" customHeight="1" x14ac:dyDescent="0.15">
      <c r="A888" s="8">
        <v>20007</v>
      </c>
      <c r="B888" s="8" t="s">
        <v>86</v>
      </c>
      <c r="C888" s="8">
        <f t="shared" si="85"/>
        <v>5</v>
      </c>
      <c r="D888" s="8">
        <v>1</v>
      </c>
      <c r="F888" s="12">
        <v>0</v>
      </c>
      <c r="G888" s="14">
        <v>1</v>
      </c>
      <c r="H888" s="14">
        <v>0</v>
      </c>
      <c r="I888" s="14">
        <v>1</v>
      </c>
      <c r="J888" s="14">
        <v>0</v>
      </c>
      <c r="K888" s="14">
        <v>0</v>
      </c>
      <c r="L888" s="8">
        <v>1</v>
      </c>
      <c r="M888" s="8">
        <f t="shared" si="86"/>
        <v>34</v>
      </c>
      <c r="N888" s="14">
        <v>0</v>
      </c>
      <c r="O888" s="14">
        <v>1</v>
      </c>
      <c r="P888" s="14">
        <v>0</v>
      </c>
      <c r="Q888" s="14">
        <v>0</v>
      </c>
      <c r="R888" s="14">
        <v>0</v>
      </c>
      <c r="S888" s="14">
        <v>1</v>
      </c>
      <c r="T888" s="8">
        <v>1</v>
      </c>
      <c r="U888" s="8">
        <v>0</v>
      </c>
      <c r="V888" s="8">
        <v>1</v>
      </c>
      <c r="W888" s="8">
        <v>0</v>
      </c>
      <c r="X888" s="8">
        <v>0</v>
      </c>
      <c r="Y888" s="8">
        <v>0</v>
      </c>
      <c r="Z888" s="7" t="s">
        <v>149</v>
      </c>
    </row>
    <row r="889" spans="1:28" s="8" customFormat="1" ht="15" customHeight="1" x14ac:dyDescent="0.15">
      <c r="A889" s="8">
        <v>20008</v>
      </c>
      <c r="B889" s="8" t="s">
        <v>113</v>
      </c>
      <c r="C889" s="8">
        <f t="shared" si="85"/>
        <v>5</v>
      </c>
      <c r="D889" s="8">
        <v>1</v>
      </c>
      <c r="F889" s="12">
        <v>0</v>
      </c>
      <c r="G889" s="14">
        <v>1</v>
      </c>
      <c r="H889" s="14">
        <v>0</v>
      </c>
      <c r="I889" s="14">
        <v>1</v>
      </c>
      <c r="J889" s="14">
        <v>0</v>
      </c>
      <c r="K889" s="14">
        <v>0</v>
      </c>
      <c r="L889" s="8">
        <v>1</v>
      </c>
      <c r="M889" s="8">
        <f t="shared" si="86"/>
        <v>34</v>
      </c>
      <c r="N889" s="14">
        <v>0</v>
      </c>
      <c r="O889" s="14">
        <v>1</v>
      </c>
      <c r="P889" s="14">
        <v>0</v>
      </c>
      <c r="Q889" s="14">
        <v>0</v>
      </c>
      <c r="R889" s="14">
        <v>0</v>
      </c>
      <c r="S889" s="14">
        <v>1</v>
      </c>
      <c r="T889" s="8">
        <v>1</v>
      </c>
      <c r="U889" s="8">
        <v>0</v>
      </c>
      <c r="V889" s="8">
        <v>1</v>
      </c>
      <c r="W889" s="8">
        <v>0</v>
      </c>
      <c r="X889" s="8">
        <v>0</v>
      </c>
      <c r="Y889" s="8">
        <v>0</v>
      </c>
      <c r="Z889" s="7" t="s">
        <v>150</v>
      </c>
    </row>
    <row r="890" spans="1:28" s="8" customFormat="1" ht="29.25" customHeight="1" x14ac:dyDescent="0.15">
      <c r="A890" s="8">
        <v>20009</v>
      </c>
      <c r="B890" s="8" t="s">
        <v>133</v>
      </c>
      <c r="C890" s="8">
        <f t="shared" si="85"/>
        <v>5</v>
      </c>
      <c r="D890" s="8">
        <v>1</v>
      </c>
      <c r="F890" s="12">
        <v>0</v>
      </c>
      <c r="G890" s="14">
        <v>1</v>
      </c>
      <c r="H890" s="14">
        <v>0</v>
      </c>
      <c r="I890" s="14">
        <v>1</v>
      </c>
      <c r="J890" s="14">
        <v>0</v>
      </c>
      <c r="K890" s="14">
        <v>0</v>
      </c>
      <c r="L890" s="8">
        <v>1</v>
      </c>
      <c r="M890" s="8">
        <f t="shared" si="86"/>
        <v>34</v>
      </c>
      <c r="N890" s="14">
        <v>0</v>
      </c>
      <c r="O890" s="14">
        <v>1</v>
      </c>
      <c r="P890" s="14">
        <v>0</v>
      </c>
      <c r="Q890" s="14">
        <v>0</v>
      </c>
      <c r="R890" s="14">
        <v>0</v>
      </c>
      <c r="S890" s="14">
        <v>1</v>
      </c>
      <c r="T890" s="8">
        <v>1</v>
      </c>
      <c r="U890" s="8">
        <v>0</v>
      </c>
      <c r="V890" s="8">
        <v>1</v>
      </c>
      <c r="W890" s="8">
        <v>0</v>
      </c>
      <c r="X890" s="8">
        <v>0</v>
      </c>
      <c r="Y890" s="8">
        <v>0</v>
      </c>
      <c r="Z890" s="7" t="s">
        <v>472</v>
      </c>
    </row>
    <row r="891" spans="1:28" s="8" customFormat="1" ht="35.25" customHeight="1" x14ac:dyDescent="0.15">
      <c r="A891" s="8">
        <v>20010</v>
      </c>
      <c r="B891" s="8" t="s">
        <v>134</v>
      </c>
      <c r="C891" s="8">
        <f t="shared" si="85"/>
        <v>5</v>
      </c>
      <c r="D891" s="8">
        <v>1</v>
      </c>
      <c r="F891" s="12">
        <v>0</v>
      </c>
      <c r="G891" s="14">
        <v>1</v>
      </c>
      <c r="H891" s="14">
        <v>0</v>
      </c>
      <c r="I891" s="14">
        <v>1</v>
      </c>
      <c r="J891" s="14">
        <v>0</v>
      </c>
      <c r="K891" s="14">
        <v>0</v>
      </c>
      <c r="L891" s="8">
        <v>1</v>
      </c>
      <c r="M891" s="8">
        <f t="shared" si="86"/>
        <v>34</v>
      </c>
      <c r="N891" s="14">
        <v>0</v>
      </c>
      <c r="O891" s="14">
        <v>1</v>
      </c>
      <c r="P891" s="14">
        <v>0</v>
      </c>
      <c r="Q891" s="14">
        <v>0</v>
      </c>
      <c r="R891" s="14">
        <v>0</v>
      </c>
      <c r="S891" s="14">
        <v>1</v>
      </c>
      <c r="T891" s="8">
        <v>1</v>
      </c>
      <c r="U891" s="8">
        <v>0</v>
      </c>
      <c r="V891" s="8">
        <v>1</v>
      </c>
      <c r="W891" s="8">
        <v>0</v>
      </c>
      <c r="X891" s="8">
        <v>0</v>
      </c>
      <c r="Y891" s="8">
        <v>0</v>
      </c>
      <c r="Z891" s="7" t="s">
        <v>151</v>
      </c>
    </row>
    <row r="892" spans="1:28" s="8" customFormat="1" ht="41.25" customHeight="1" x14ac:dyDescent="0.15">
      <c r="A892" s="8">
        <v>20011</v>
      </c>
      <c r="B892" s="8" t="s">
        <v>135</v>
      </c>
      <c r="C892" s="8">
        <f t="shared" si="85"/>
        <v>5</v>
      </c>
      <c r="D892" s="8">
        <v>1</v>
      </c>
      <c r="F892" s="12">
        <v>0</v>
      </c>
      <c r="G892" s="14">
        <v>1</v>
      </c>
      <c r="H892" s="14">
        <v>0</v>
      </c>
      <c r="I892" s="14">
        <v>1</v>
      </c>
      <c r="J892" s="14">
        <v>0</v>
      </c>
      <c r="K892" s="14">
        <v>0</v>
      </c>
      <c r="L892" s="8">
        <v>1</v>
      </c>
      <c r="M892" s="8">
        <f>N892+O892*2+P892*4+Q892*8+R892*16+S892*32</f>
        <v>34</v>
      </c>
      <c r="N892" s="14">
        <v>0</v>
      </c>
      <c r="O892" s="14">
        <v>1</v>
      </c>
      <c r="P892" s="14">
        <v>0</v>
      </c>
      <c r="Q892" s="14">
        <v>0</v>
      </c>
      <c r="R892" s="14">
        <v>0</v>
      </c>
      <c r="S892" s="14">
        <v>1</v>
      </c>
      <c r="T892" s="8">
        <v>1</v>
      </c>
      <c r="U892" s="8">
        <v>0</v>
      </c>
      <c r="V892" s="8">
        <v>1</v>
      </c>
      <c r="W892" s="8">
        <v>0</v>
      </c>
      <c r="X892" s="8">
        <v>0</v>
      </c>
      <c r="Y892" s="8">
        <v>0</v>
      </c>
      <c r="Z892" s="7" t="s">
        <v>194</v>
      </c>
    </row>
    <row r="893" spans="1:28" s="8" customFormat="1" ht="53.25" customHeight="1" x14ac:dyDescent="0.15">
      <c r="A893" s="8">
        <v>20012</v>
      </c>
      <c r="B893" s="8" t="s">
        <v>136</v>
      </c>
      <c r="C893" s="8">
        <f t="shared" ref="C893:C935" si="122">G893+H893*2+I893*4+J893*8+K893*16</f>
        <v>5</v>
      </c>
      <c r="D893" s="8">
        <v>1</v>
      </c>
      <c r="F893" s="12">
        <v>0</v>
      </c>
      <c r="G893" s="14">
        <v>1</v>
      </c>
      <c r="H893" s="14">
        <v>0</v>
      </c>
      <c r="I893" s="14">
        <v>1</v>
      </c>
      <c r="J893" s="14">
        <v>0</v>
      </c>
      <c r="K893" s="14">
        <v>0</v>
      </c>
      <c r="L893" s="8">
        <v>1</v>
      </c>
      <c r="M893" s="8">
        <f t="shared" si="86"/>
        <v>34</v>
      </c>
      <c r="N893" s="14">
        <v>0</v>
      </c>
      <c r="O893" s="14">
        <v>1</v>
      </c>
      <c r="P893" s="14">
        <v>0</v>
      </c>
      <c r="Q893" s="14">
        <v>0</v>
      </c>
      <c r="R893" s="14">
        <v>0</v>
      </c>
      <c r="S893" s="14">
        <v>1</v>
      </c>
      <c r="T893" s="8">
        <v>1</v>
      </c>
      <c r="U893" s="8">
        <v>0</v>
      </c>
      <c r="V893" s="8">
        <v>1</v>
      </c>
      <c r="W893" s="8">
        <v>0</v>
      </c>
      <c r="X893" s="8">
        <v>0</v>
      </c>
      <c r="Y893" s="8">
        <v>0</v>
      </c>
      <c r="Z893" s="7" t="s">
        <v>474</v>
      </c>
    </row>
    <row r="894" spans="1:28" s="8" customFormat="1" ht="53.25" customHeight="1" x14ac:dyDescent="0.15">
      <c r="A894" s="8">
        <v>20013</v>
      </c>
      <c r="B894" s="8" t="s">
        <v>137</v>
      </c>
      <c r="C894" s="8">
        <f t="shared" si="122"/>
        <v>5</v>
      </c>
      <c r="D894" s="8">
        <v>1</v>
      </c>
      <c r="F894" s="12">
        <v>0</v>
      </c>
      <c r="G894" s="14">
        <v>1</v>
      </c>
      <c r="H894" s="14">
        <v>0</v>
      </c>
      <c r="I894" s="14">
        <v>1</v>
      </c>
      <c r="J894" s="14">
        <v>0</v>
      </c>
      <c r="K894" s="14">
        <v>0</v>
      </c>
      <c r="L894" s="8">
        <v>1</v>
      </c>
      <c r="M894" s="8">
        <f t="shared" si="86"/>
        <v>34</v>
      </c>
      <c r="N894" s="14">
        <v>0</v>
      </c>
      <c r="O894" s="14">
        <v>1</v>
      </c>
      <c r="P894" s="14">
        <v>0</v>
      </c>
      <c r="Q894" s="14">
        <v>0</v>
      </c>
      <c r="R894" s="14">
        <v>0</v>
      </c>
      <c r="S894" s="14">
        <v>1</v>
      </c>
      <c r="T894" s="8">
        <v>1</v>
      </c>
      <c r="U894" s="8">
        <v>0</v>
      </c>
      <c r="V894" s="8">
        <v>1</v>
      </c>
      <c r="W894" s="8">
        <v>0</v>
      </c>
      <c r="X894" s="8">
        <v>0</v>
      </c>
      <c r="Y894" s="8">
        <v>0</v>
      </c>
      <c r="Z894" s="7" t="s">
        <v>152</v>
      </c>
    </row>
    <row r="895" spans="1:28" s="8" customFormat="1" ht="53.25" customHeight="1" x14ac:dyDescent="0.15">
      <c r="A895" s="8">
        <v>20014</v>
      </c>
      <c r="B895" s="8" t="s">
        <v>138</v>
      </c>
      <c r="C895" s="8">
        <f t="shared" si="122"/>
        <v>5</v>
      </c>
      <c r="D895" s="8">
        <v>1</v>
      </c>
      <c r="F895" s="12">
        <v>0</v>
      </c>
      <c r="G895" s="14">
        <v>1</v>
      </c>
      <c r="H895" s="14">
        <v>0</v>
      </c>
      <c r="I895" s="14">
        <v>1</v>
      </c>
      <c r="J895" s="14">
        <v>0</v>
      </c>
      <c r="K895" s="14">
        <v>0</v>
      </c>
      <c r="L895" s="8">
        <v>1</v>
      </c>
      <c r="M895" s="8">
        <f t="shared" si="86"/>
        <v>34</v>
      </c>
      <c r="N895" s="14">
        <v>0</v>
      </c>
      <c r="O895" s="14">
        <v>1</v>
      </c>
      <c r="P895" s="14">
        <v>0</v>
      </c>
      <c r="Q895" s="14">
        <v>0</v>
      </c>
      <c r="R895" s="14">
        <v>0</v>
      </c>
      <c r="S895" s="14">
        <v>1</v>
      </c>
      <c r="T895" s="8">
        <v>1</v>
      </c>
      <c r="U895" s="8">
        <v>0</v>
      </c>
      <c r="V895" s="8">
        <v>1</v>
      </c>
      <c r="W895" s="8">
        <v>0</v>
      </c>
      <c r="X895" s="8">
        <v>0</v>
      </c>
      <c r="Y895" s="8">
        <v>0</v>
      </c>
      <c r="Z895" s="7" t="s">
        <v>153</v>
      </c>
    </row>
    <row r="896" spans="1:28" s="8" customFormat="1" ht="53.25" customHeight="1" x14ac:dyDescent="0.15">
      <c r="A896" s="8">
        <v>20015</v>
      </c>
      <c r="B896" s="8" t="s">
        <v>139</v>
      </c>
      <c r="C896" s="8">
        <f t="shared" si="122"/>
        <v>5</v>
      </c>
      <c r="D896" s="8">
        <v>1</v>
      </c>
      <c r="F896" s="12">
        <v>0</v>
      </c>
      <c r="G896" s="14">
        <v>1</v>
      </c>
      <c r="H896" s="14">
        <v>0</v>
      </c>
      <c r="I896" s="14">
        <v>1</v>
      </c>
      <c r="J896" s="14">
        <v>0</v>
      </c>
      <c r="K896" s="14">
        <v>0</v>
      </c>
      <c r="L896" s="8">
        <v>1</v>
      </c>
      <c r="M896" s="8">
        <f t="shared" si="86"/>
        <v>34</v>
      </c>
      <c r="N896" s="14">
        <v>0</v>
      </c>
      <c r="O896" s="14">
        <v>1</v>
      </c>
      <c r="P896" s="14">
        <v>0</v>
      </c>
      <c r="Q896" s="14">
        <v>0</v>
      </c>
      <c r="R896" s="14">
        <v>0</v>
      </c>
      <c r="S896" s="14">
        <v>1</v>
      </c>
      <c r="T896" s="8">
        <v>1</v>
      </c>
      <c r="U896" s="8">
        <v>0</v>
      </c>
      <c r="V896" s="8">
        <v>1</v>
      </c>
      <c r="W896" s="8">
        <v>0</v>
      </c>
      <c r="X896" s="8">
        <v>0</v>
      </c>
      <c r="Y896" s="8">
        <v>0</v>
      </c>
      <c r="Z896" s="7" t="s">
        <v>195</v>
      </c>
    </row>
    <row r="897" spans="1:26" s="8" customFormat="1" ht="53.25" customHeight="1" x14ac:dyDescent="0.15">
      <c r="A897" s="8">
        <v>20016</v>
      </c>
      <c r="B897" s="8" t="s">
        <v>158</v>
      </c>
      <c r="C897" s="8">
        <f t="shared" si="122"/>
        <v>5</v>
      </c>
      <c r="D897" s="8">
        <v>1</v>
      </c>
      <c r="F897" s="12">
        <v>0</v>
      </c>
      <c r="G897" s="14">
        <v>1</v>
      </c>
      <c r="H897" s="14">
        <v>0</v>
      </c>
      <c r="I897" s="14">
        <v>1</v>
      </c>
      <c r="J897" s="14">
        <v>0</v>
      </c>
      <c r="K897" s="14">
        <v>0</v>
      </c>
      <c r="L897" s="8">
        <v>1</v>
      </c>
      <c r="M897" s="8">
        <f t="shared" si="86"/>
        <v>34</v>
      </c>
      <c r="N897" s="14">
        <v>0</v>
      </c>
      <c r="O897" s="14">
        <v>1</v>
      </c>
      <c r="P897" s="14">
        <v>0</v>
      </c>
      <c r="Q897" s="14">
        <v>0</v>
      </c>
      <c r="R897" s="14">
        <v>0</v>
      </c>
      <c r="S897" s="14">
        <v>1</v>
      </c>
      <c r="T897" s="8">
        <v>1</v>
      </c>
      <c r="U897" s="8">
        <v>0</v>
      </c>
      <c r="V897" s="8">
        <v>1</v>
      </c>
      <c r="W897" s="8">
        <v>0</v>
      </c>
      <c r="X897" s="8">
        <v>0</v>
      </c>
      <c r="Y897" s="8">
        <v>0</v>
      </c>
      <c r="Z897" s="7" t="s">
        <v>159</v>
      </c>
    </row>
    <row r="898" spans="1:26" s="8" customFormat="1" ht="53.25" customHeight="1" x14ac:dyDescent="0.15">
      <c r="A898" s="8">
        <v>20017</v>
      </c>
      <c r="B898" s="8" t="s">
        <v>160</v>
      </c>
      <c r="C898" s="8">
        <f t="shared" si="122"/>
        <v>5</v>
      </c>
      <c r="D898" s="8">
        <v>1</v>
      </c>
      <c r="F898" s="12">
        <v>0</v>
      </c>
      <c r="G898" s="14">
        <v>1</v>
      </c>
      <c r="H898" s="14">
        <v>0</v>
      </c>
      <c r="I898" s="14">
        <v>1</v>
      </c>
      <c r="J898" s="14">
        <v>0</v>
      </c>
      <c r="K898" s="14">
        <v>0</v>
      </c>
      <c r="L898" s="8">
        <v>1</v>
      </c>
      <c r="M898" s="8">
        <f t="shared" si="86"/>
        <v>34</v>
      </c>
      <c r="N898" s="14">
        <v>0</v>
      </c>
      <c r="O898" s="14">
        <v>1</v>
      </c>
      <c r="P898" s="14">
        <v>0</v>
      </c>
      <c r="Q898" s="14">
        <v>0</v>
      </c>
      <c r="R898" s="14">
        <v>0</v>
      </c>
      <c r="S898" s="14">
        <v>1</v>
      </c>
      <c r="T898" s="8">
        <v>1</v>
      </c>
      <c r="U898" s="8">
        <v>0</v>
      </c>
      <c r="V898" s="8">
        <v>1</v>
      </c>
      <c r="W898" s="8">
        <v>0</v>
      </c>
      <c r="X898" s="8">
        <v>0</v>
      </c>
      <c r="Y898" s="8">
        <v>0</v>
      </c>
      <c r="Z898" s="7" t="s">
        <v>161</v>
      </c>
    </row>
    <row r="899" spans="1:26" s="8" customFormat="1" ht="53.25" customHeight="1" x14ac:dyDescent="0.15">
      <c r="A899" s="8">
        <v>20018</v>
      </c>
      <c r="B899" s="8" t="s">
        <v>162</v>
      </c>
      <c r="C899" s="8">
        <f t="shared" si="122"/>
        <v>5</v>
      </c>
      <c r="D899" s="8">
        <v>1</v>
      </c>
      <c r="F899" s="12">
        <v>0</v>
      </c>
      <c r="G899" s="14">
        <v>1</v>
      </c>
      <c r="H899" s="14">
        <v>0</v>
      </c>
      <c r="I899" s="14">
        <v>1</v>
      </c>
      <c r="J899" s="14">
        <v>0</v>
      </c>
      <c r="K899" s="14">
        <v>0</v>
      </c>
      <c r="L899" s="8">
        <v>1</v>
      </c>
      <c r="M899" s="8">
        <f t="shared" si="86"/>
        <v>34</v>
      </c>
      <c r="N899" s="14">
        <v>0</v>
      </c>
      <c r="O899" s="14">
        <v>1</v>
      </c>
      <c r="P899" s="14">
        <v>0</v>
      </c>
      <c r="Q899" s="14">
        <v>0</v>
      </c>
      <c r="R899" s="14">
        <v>0</v>
      </c>
      <c r="S899" s="14">
        <v>1</v>
      </c>
      <c r="T899" s="8">
        <v>1</v>
      </c>
      <c r="U899" s="8">
        <v>0</v>
      </c>
      <c r="V899" s="8">
        <v>1</v>
      </c>
      <c r="W899" s="8">
        <v>0</v>
      </c>
      <c r="X899" s="8">
        <v>0</v>
      </c>
      <c r="Y899" s="8">
        <v>0</v>
      </c>
      <c r="Z899" s="7" t="s">
        <v>163</v>
      </c>
    </row>
    <row r="900" spans="1:26" s="8" customFormat="1" ht="53.25" customHeight="1" x14ac:dyDescent="0.15">
      <c r="A900" s="8">
        <v>20019</v>
      </c>
      <c r="B900" s="8" t="s">
        <v>165</v>
      </c>
      <c r="C900" s="8">
        <f t="shared" si="122"/>
        <v>5</v>
      </c>
      <c r="D900" s="8">
        <v>1</v>
      </c>
      <c r="F900" s="12">
        <v>0</v>
      </c>
      <c r="G900" s="14">
        <v>1</v>
      </c>
      <c r="H900" s="14">
        <v>0</v>
      </c>
      <c r="I900" s="14">
        <v>1</v>
      </c>
      <c r="J900" s="14">
        <v>0</v>
      </c>
      <c r="K900" s="14">
        <v>0</v>
      </c>
      <c r="L900" s="8">
        <v>1</v>
      </c>
      <c r="M900" s="8">
        <f t="shared" si="86"/>
        <v>34</v>
      </c>
      <c r="N900" s="14">
        <v>0</v>
      </c>
      <c r="O900" s="14">
        <v>1</v>
      </c>
      <c r="P900" s="14">
        <v>0</v>
      </c>
      <c r="Q900" s="14">
        <v>0</v>
      </c>
      <c r="R900" s="14">
        <v>0</v>
      </c>
      <c r="S900" s="14">
        <v>1</v>
      </c>
      <c r="T900" s="8">
        <v>1</v>
      </c>
      <c r="U900" s="8">
        <v>0</v>
      </c>
      <c r="V900" s="8">
        <v>1</v>
      </c>
      <c r="W900" s="8">
        <v>0</v>
      </c>
      <c r="X900" s="8">
        <v>0</v>
      </c>
      <c r="Y900" s="8">
        <v>0</v>
      </c>
      <c r="Z900" s="7" t="s">
        <v>164</v>
      </c>
    </row>
    <row r="901" spans="1:26" s="8" customFormat="1" ht="53.25" customHeight="1" x14ac:dyDescent="0.15">
      <c r="A901" s="8">
        <v>20020</v>
      </c>
      <c r="B901" s="8" t="s">
        <v>166</v>
      </c>
      <c r="C901" s="8">
        <f t="shared" si="122"/>
        <v>5</v>
      </c>
      <c r="D901" s="8">
        <v>1</v>
      </c>
      <c r="F901" s="12">
        <v>0</v>
      </c>
      <c r="G901" s="14">
        <v>1</v>
      </c>
      <c r="H901" s="14">
        <v>0</v>
      </c>
      <c r="I901" s="14">
        <v>1</v>
      </c>
      <c r="J901" s="14">
        <v>0</v>
      </c>
      <c r="K901" s="14">
        <v>0</v>
      </c>
      <c r="L901" s="8">
        <v>1</v>
      </c>
      <c r="M901" s="8">
        <f t="shared" si="86"/>
        <v>34</v>
      </c>
      <c r="N901" s="14">
        <v>0</v>
      </c>
      <c r="O901" s="14">
        <v>1</v>
      </c>
      <c r="P901" s="14">
        <v>0</v>
      </c>
      <c r="Q901" s="14">
        <v>0</v>
      </c>
      <c r="R901" s="14">
        <v>0</v>
      </c>
      <c r="S901" s="14">
        <v>1</v>
      </c>
      <c r="T901" s="8">
        <v>1</v>
      </c>
      <c r="U901" s="8">
        <v>0</v>
      </c>
      <c r="V901" s="8">
        <v>1</v>
      </c>
      <c r="W901" s="8">
        <v>0</v>
      </c>
      <c r="X901" s="8">
        <v>0</v>
      </c>
      <c r="Y901" s="8">
        <v>0</v>
      </c>
      <c r="Z901" s="7" t="s">
        <v>553</v>
      </c>
    </row>
    <row r="902" spans="1:26" s="8" customFormat="1" ht="53.25" customHeight="1" x14ac:dyDescent="0.15">
      <c r="A902" s="8">
        <v>20021</v>
      </c>
      <c r="B902" s="8" t="s">
        <v>167</v>
      </c>
      <c r="C902" s="8">
        <f t="shared" si="122"/>
        <v>5</v>
      </c>
      <c r="D902" s="8">
        <v>1</v>
      </c>
      <c r="F902" s="12">
        <v>0</v>
      </c>
      <c r="G902" s="14">
        <v>1</v>
      </c>
      <c r="H902" s="14">
        <v>0</v>
      </c>
      <c r="I902" s="14">
        <v>1</v>
      </c>
      <c r="J902" s="14">
        <v>0</v>
      </c>
      <c r="K902" s="14">
        <v>0</v>
      </c>
      <c r="L902" s="8">
        <v>1</v>
      </c>
      <c r="M902" s="8">
        <f t="shared" si="86"/>
        <v>34</v>
      </c>
      <c r="N902" s="14">
        <v>0</v>
      </c>
      <c r="O902" s="14">
        <v>1</v>
      </c>
      <c r="P902" s="14">
        <v>0</v>
      </c>
      <c r="Q902" s="14">
        <v>0</v>
      </c>
      <c r="R902" s="14">
        <v>0</v>
      </c>
      <c r="S902" s="14">
        <v>1</v>
      </c>
      <c r="T902" s="8">
        <v>1</v>
      </c>
      <c r="U902" s="8">
        <v>0</v>
      </c>
      <c r="V902" s="8">
        <v>1</v>
      </c>
      <c r="W902" s="8">
        <v>0</v>
      </c>
      <c r="X902" s="8">
        <v>0</v>
      </c>
      <c r="Y902" s="8">
        <v>0</v>
      </c>
      <c r="Z902" s="7" t="s">
        <v>310</v>
      </c>
    </row>
    <row r="903" spans="1:26" s="8" customFormat="1" ht="53.25" customHeight="1" x14ac:dyDescent="0.15">
      <c r="A903" s="8">
        <v>20023</v>
      </c>
      <c r="B903" s="8" t="s">
        <v>168</v>
      </c>
      <c r="C903" s="8">
        <f t="shared" si="122"/>
        <v>5</v>
      </c>
      <c r="D903" s="8">
        <v>1</v>
      </c>
      <c r="F903" s="12">
        <v>0</v>
      </c>
      <c r="G903" s="14">
        <v>1</v>
      </c>
      <c r="H903" s="14">
        <v>0</v>
      </c>
      <c r="I903" s="14">
        <v>1</v>
      </c>
      <c r="J903" s="14">
        <v>0</v>
      </c>
      <c r="K903" s="14">
        <v>0</v>
      </c>
      <c r="L903" s="8">
        <v>1</v>
      </c>
      <c r="M903" s="8">
        <f t="shared" si="86"/>
        <v>34</v>
      </c>
      <c r="N903" s="14">
        <v>0</v>
      </c>
      <c r="O903" s="14">
        <v>1</v>
      </c>
      <c r="P903" s="14">
        <v>0</v>
      </c>
      <c r="Q903" s="14">
        <v>0</v>
      </c>
      <c r="R903" s="14">
        <v>0</v>
      </c>
      <c r="S903" s="14">
        <v>1</v>
      </c>
      <c r="T903" s="8">
        <v>1</v>
      </c>
      <c r="U903" s="8">
        <v>0</v>
      </c>
      <c r="V903" s="8">
        <v>1</v>
      </c>
      <c r="W903" s="8">
        <v>0</v>
      </c>
      <c r="X903" s="8">
        <v>0</v>
      </c>
      <c r="Y903" s="8">
        <v>0</v>
      </c>
      <c r="Z903" s="7" t="s">
        <v>311</v>
      </c>
    </row>
    <row r="904" spans="1:26" s="8" customFormat="1" ht="53.25" customHeight="1" x14ac:dyDescent="0.15">
      <c r="A904" s="8">
        <v>20024</v>
      </c>
      <c r="B904" s="8" t="s">
        <v>169</v>
      </c>
      <c r="C904" s="8">
        <f t="shared" si="122"/>
        <v>5</v>
      </c>
      <c r="D904" s="8">
        <v>1</v>
      </c>
      <c r="F904" s="12">
        <v>0</v>
      </c>
      <c r="G904" s="14">
        <v>1</v>
      </c>
      <c r="H904" s="14">
        <v>0</v>
      </c>
      <c r="I904" s="14">
        <v>1</v>
      </c>
      <c r="J904" s="14">
        <v>0</v>
      </c>
      <c r="K904" s="14">
        <v>0</v>
      </c>
      <c r="L904" s="8">
        <v>1</v>
      </c>
      <c r="M904" s="8">
        <f t="shared" si="86"/>
        <v>34</v>
      </c>
      <c r="N904" s="14">
        <v>0</v>
      </c>
      <c r="O904" s="14">
        <v>1</v>
      </c>
      <c r="P904" s="14">
        <v>0</v>
      </c>
      <c r="Q904" s="14">
        <v>0</v>
      </c>
      <c r="R904" s="14">
        <v>0</v>
      </c>
      <c r="S904" s="14">
        <v>1</v>
      </c>
      <c r="T904" s="8">
        <v>1</v>
      </c>
      <c r="U904" s="8">
        <v>0</v>
      </c>
      <c r="V904" s="8">
        <v>1</v>
      </c>
      <c r="W904" s="8">
        <v>0</v>
      </c>
      <c r="X904" s="8">
        <v>0</v>
      </c>
      <c r="Y904" s="8">
        <v>0</v>
      </c>
      <c r="Z904" s="7" t="s">
        <v>170</v>
      </c>
    </row>
    <row r="905" spans="1:26" s="8" customFormat="1" ht="53.25" customHeight="1" x14ac:dyDescent="0.15">
      <c r="A905" s="8">
        <v>20025</v>
      </c>
      <c r="B905" s="8" t="s">
        <v>171</v>
      </c>
      <c r="C905" s="8">
        <f t="shared" si="122"/>
        <v>5</v>
      </c>
      <c r="D905" s="8">
        <v>1</v>
      </c>
      <c r="F905" s="12">
        <v>0</v>
      </c>
      <c r="G905" s="14">
        <v>1</v>
      </c>
      <c r="H905" s="14">
        <v>0</v>
      </c>
      <c r="I905" s="14">
        <v>1</v>
      </c>
      <c r="J905" s="14">
        <v>0</v>
      </c>
      <c r="K905" s="14">
        <v>0</v>
      </c>
      <c r="L905" s="8">
        <v>1</v>
      </c>
      <c r="M905" s="8">
        <f t="shared" si="86"/>
        <v>34</v>
      </c>
      <c r="N905" s="14">
        <v>0</v>
      </c>
      <c r="O905" s="14">
        <v>1</v>
      </c>
      <c r="P905" s="14">
        <v>0</v>
      </c>
      <c r="Q905" s="14">
        <v>0</v>
      </c>
      <c r="R905" s="14">
        <v>0</v>
      </c>
      <c r="S905" s="14">
        <v>1</v>
      </c>
      <c r="T905" s="8">
        <v>1</v>
      </c>
      <c r="U905" s="8">
        <v>0</v>
      </c>
      <c r="V905" s="8">
        <v>1</v>
      </c>
      <c r="W905" s="8">
        <v>0</v>
      </c>
      <c r="X905" s="8">
        <v>0</v>
      </c>
      <c r="Y905" s="8">
        <v>0</v>
      </c>
      <c r="Z905" s="7" t="s">
        <v>172</v>
      </c>
    </row>
    <row r="906" spans="1:26" s="8" customFormat="1" ht="53.25" customHeight="1" x14ac:dyDescent="0.15">
      <c r="A906" s="8">
        <v>20026</v>
      </c>
      <c r="B906" s="8" t="s">
        <v>173</v>
      </c>
      <c r="C906" s="8">
        <f t="shared" si="122"/>
        <v>5</v>
      </c>
      <c r="D906" s="8">
        <v>1</v>
      </c>
      <c r="F906" s="12">
        <v>0</v>
      </c>
      <c r="G906" s="14">
        <v>1</v>
      </c>
      <c r="H906" s="14">
        <v>0</v>
      </c>
      <c r="I906" s="14">
        <v>1</v>
      </c>
      <c r="J906" s="14">
        <v>0</v>
      </c>
      <c r="K906" s="14">
        <v>0</v>
      </c>
      <c r="L906" s="8">
        <v>1</v>
      </c>
      <c r="M906" s="8">
        <f t="shared" ref="M906:M916" si="123">N906+O906*2+P906*4+Q906*8+R906*16+S906*32</f>
        <v>34</v>
      </c>
      <c r="N906" s="14">
        <v>0</v>
      </c>
      <c r="O906" s="14">
        <v>1</v>
      </c>
      <c r="P906" s="14">
        <v>0</v>
      </c>
      <c r="Q906" s="14">
        <v>0</v>
      </c>
      <c r="R906" s="14">
        <v>0</v>
      </c>
      <c r="S906" s="14">
        <v>1</v>
      </c>
      <c r="T906" s="8">
        <v>1</v>
      </c>
      <c r="U906" s="8">
        <v>0</v>
      </c>
      <c r="V906" s="8">
        <v>1</v>
      </c>
      <c r="W906" s="8">
        <v>0</v>
      </c>
      <c r="X906" s="8">
        <v>0</v>
      </c>
      <c r="Y906" s="8">
        <v>0</v>
      </c>
      <c r="Z906" s="7" t="s">
        <v>174</v>
      </c>
    </row>
    <row r="907" spans="1:26" s="8" customFormat="1" ht="53.25" customHeight="1" x14ac:dyDescent="0.15">
      <c r="A907" s="8">
        <v>20027</v>
      </c>
      <c r="B907" s="8" t="s">
        <v>175</v>
      </c>
      <c r="C907" s="8">
        <f t="shared" si="122"/>
        <v>5</v>
      </c>
      <c r="D907" s="8">
        <v>1</v>
      </c>
      <c r="F907" s="12">
        <v>0</v>
      </c>
      <c r="G907" s="14">
        <v>1</v>
      </c>
      <c r="H907" s="14">
        <v>0</v>
      </c>
      <c r="I907" s="14">
        <v>1</v>
      </c>
      <c r="J907" s="14">
        <v>0</v>
      </c>
      <c r="K907" s="14">
        <v>0</v>
      </c>
      <c r="L907" s="8">
        <v>1</v>
      </c>
      <c r="M907" s="8">
        <f t="shared" si="123"/>
        <v>34</v>
      </c>
      <c r="N907" s="14">
        <v>0</v>
      </c>
      <c r="O907" s="14">
        <v>1</v>
      </c>
      <c r="P907" s="14">
        <v>0</v>
      </c>
      <c r="Q907" s="14">
        <v>0</v>
      </c>
      <c r="R907" s="14">
        <v>0</v>
      </c>
      <c r="S907" s="14">
        <v>1</v>
      </c>
      <c r="T907" s="8">
        <v>1</v>
      </c>
      <c r="U907" s="8">
        <v>0</v>
      </c>
      <c r="V907" s="8">
        <v>1</v>
      </c>
      <c r="W907" s="8">
        <v>0</v>
      </c>
      <c r="X907" s="8">
        <v>0</v>
      </c>
      <c r="Y907" s="8">
        <v>0</v>
      </c>
      <c r="Z907" s="7" t="s">
        <v>176</v>
      </c>
    </row>
    <row r="908" spans="1:26" s="8" customFormat="1" ht="53.25" customHeight="1" x14ac:dyDescent="0.15">
      <c r="A908" s="8">
        <v>20028</v>
      </c>
      <c r="B908" s="8" t="s">
        <v>211</v>
      </c>
      <c r="C908" s="8">
        <f t="shared" si="122"/>
        <v>5</v>
      </c>
      <c r="D908" s="8">
        <v>1</v>
      </c>
      <c r="F908" s="12">
        <v>0</v>
      </c>
      <c r="G908" s="14">
        <v>1</v>
      </c>
      <c r="H908" s="14">
        <v>0</v>
      </c>
      <c r="I908" s="14">
        <v>1</v>
      </c>
      <c r="J908" s="14">
        <v>0</v>
      </c>
      <c r="K908" s="14">
        <v>0</v>
      </c>
      <c r="L908" s="8">
        <v>1</v>
      </c>
      <c r="M908" s="8">
        <f t="shared" si="123"/>
        <v>34</v>
      </c>
      <c r="N908" s="14">
        <v>0</v>
      </c>
      <c r="O908" s="14">
        <v>1</v>
      </c>
      <c r="P908" s="14">
        <v>0</v>
      </c>
      <c r="Q908" s="14">
        <v>0</v>
      </c>
      <c r="R908" s="14">
        <v>0</v>
      </c>
      <c r="S908" s="14">
        <v>1</v>
      </c>
      <c r="T908" s="8">
        <v>1</v>
      </c>
      <c r="U908" s="8">
        <v>0</v>
      </c>
      <c r="V908" s="8">
        <v>1</v>
      </c>
      <c r="W908" s="8">
        <v>0</v>
      </c>
      <c r="X908" s="8">
        <v>0</v>
      </c>
      <c r="Y908" s="8">
        <v>0</v>
      </c>
      <c r="Z908" s="7" t="s">
        <v>212</v>
      </c>
    </row>
    <row r="909" spans="1:26" s="8" customFormat="1" ht="53.25" customHeight="1" x14ac:dyDescent="0.15">
      <c r="A909" s="8">
        <v>20029</v>
      </c>
      <c r="B909" s="8" t="s">
        <v>178</v>
      </c>
      <c r="C909" s="8">
        <f t="shared" si="122"/>
        <v>5</v>
      </c>
      <c r="D909" s="8">
        <v>1</v>
      </c>
      <c r="F909" s="12">
        <v>0</v>
      </c>
      <c r="G909" s="14">
        <v>1</v>
      </c>
      <c r="H909" s="14">
        <v>0</v>
      </c>
      <c r="I909" s="14">
        <v>1</v>
      </c>
      <c r="J909" s="14">
        <v>0</v>
      </c>
      <c r="K909" s="14">
        <v>0</v>
      </c>
      <c r="L909" s="8">
        <v>1</v>
      </c>
      <c r="M909" s="8">
        <f t="shared" si="123"/>
        <v>34</v>
      </c>
      <c r="N909" s="14">
        <v>0</v>
      </c>
      <c r="O909" s="14">
        <v>1</v>
      </c>
      <c r="P909" s="14">
        <v>0</v>
      </c>
      <c r="Q909" s="14">
        <v>0</v>
      </c>
      <c r="R909" s="14">
        <v>0</v>
      </c>
      <c r="S909" s="14">
        <v>1</v>
      </c>
      <c r="T909" s="8">
        <v>1</v>
      </c>
      <c r="U909" s="8">
        <v>0</v>
      </c>
      <c r="V909" s="8">
        <v>1</v>
      </c>
      <c r="W909" s="8">
        <v>0</v>
      </c>
      <c r="X909" s="8">
        <v>0</v>
      </c>
      <c r="Y909" s="8">
        <v>0</v>
      </c>
      <c r="Z909" s="7" t="s">
        <v>177</v>
      </c>
    </row>
    <row r="910" spans="1:26" s="8" customFormat="1" ht="53.25" customHeight="1" x14ac:dyDescent="0.15">
      <c r="A910" s="8">
        <v>20030</v>
      </c>
      <c r="B910" s="8" t="s">
        <v>179</v>
      </c>
      <c r="C910" s="8">
        <f t="shared" si="122"/>
        <v>5</v>
      </c>
      <c r="D910" s="8">
        <v>1</v>
      </c>
      <c r="F910" s="12">
        <v>0</v>
      </c>
      <c r="G910" s="14">
        <v>1</v>
      </c>
      <c r="H910" s="14">
        <v>0</v>
      </c>
      <c r="I910" s="14">
        <v>1</v>
      </c>
      <c r="J910" s="14">
        <v>0</v>
      </c>
      <c r="K910" s="14">
        <v>0</v>
      </c>
      <c r="L910" s="8">
        <v>1</v>
      </c>
      <c r="M910" s="8">
        <f t="shared" si="123"/>
        <v>34</v>
      </c>
      <c r="N910" s="14">
        <v>0</v>
      </c>
      <c r="O910" s="14">
        <v>1</v>
      </c>
      <c r="P910" s="14">
        <v>0</v>
      </c>
      <c r="Q910" s="14">
        <v>0</v>
      </c>
      <c r="R910" s="14">
        <v>0</v>
      </c>
      <c r="S910" s="14">
        <v>1</v>
      </c>
      <c r="T910" s="8">
        <v>1</v>
      </c>
      <c r="U910" s="8">
        <v>0</v>
      </c>
      <c r="V910" s="8">
        <v>1</v>
      </c>
      <c r="W910" s="8">
        <v>0</v>
      </c>
      <c r="X910" s="8">
        <v>0</v>
      </c>
      <c r="Y910" s="8">
        <v>0</v>
      </c>
      <c r="Z910" s="7" t="s">
        <v>180</v>
      </c>
    </row>
    <row r="911" spans="1:26" s="8" customFormat="1" ht="53.25" customHeight="1" x14ac:dyDescent="0.15">
      <c r="A911" s="8">
        <v>20031</v>
      </c>
      <c r="B911" s="8" t="s">
        <v>205</v>
      </c>
      <c r="C911" s="8">
        <f t="shared" si="122"/>
        <v>5</v>
      </c>
      <c r="D911" s="8">
        <v>1</v>
      </c>
      <c r="F911" s="12">
        <v>0</v>
      </c>
      <c r="G911" s="14">
        <v>1</v>
      </c>
      <c r="H911" s="14">
        <v>0</v>
      </c>
      <c r="I911" s="14">
        <v>1</v>
      </c>
      <c r="J911" s="14">
        <v>0</v>
      </c>
      <c r="K911" s="14">
        <v>0</v>
      </c>
      <c r="L911" s="8">
        <v>1</v>
      </c>
      <c r="M911" s="8">
        <f t="shared" si="123"/>
        <v>34</v>
      </c>
      <c r="N911" s="14">
        <v>0</v>
      </c>
      <c r="O911" s="14">
        <v>1</v>
      </c>
      <c r="P911" s="14">
        <v>0</v>
      </c>
      <c r="Q911" s="14">
        <v>0</v>
      </c>
      <c r="R911" s="14">
        <v>0</v>
      </c>
      <c r="S911" s="14">
        <v>1</v>
      </c>
      <c r="T911" s="8">
        <v>1</v>
      </c>
      <c r="U911" s="8">
        <v>0</v>
      </c>
      <c r="V911" s="8">
        <v>1</v>
      </c>
      <c r="W911" s="8">
        <v>0</v>
      </c>
      <c r="X911" s="8">
        <v>0</v>
      </c>
      <c r="Y911" s="8">
        <v>0</v>
      </c>
      <c r="Z911" s="7" t="s">
        <v>362</v>
      </c>
    </row>
    <row r="912" spans="1:26" s="8" customFormat="1" ht="53.25" customHeight="1" x14ac:dyDescent="0.15">
      <c r="A912" s="8">
        <v>20032</v>
      </c>
      <c r="B912" s="8" t="s">
        <v>206</v>
      </c>
      <c r="C912" s="8">
        <f t="shared" si="122"/>
        <v>5</v>
      </c>
      <c r="D912" s="8">
        <v>1</v>
      </c>
      <c r="F912" s="12">
        <v>0</v>
      </c>
      <c r="G912" s="14">
        <v>1</v>
      </c>
      <c r="H912" s="14">
        <v>0</v>
      </c>
      <c r="I912" s="14">
        <v>1</v>
      </c>
      <c r="J912" s="14">
        <v>0</v>
      </c>
      <c r="K912" s="14">
        <v>0</v>
      </c>
      <c r="L912" s="8">
        <v>1</v>
      </c>
      <c r="M912" s="8">
        <f t="shared" si="123"/>
        <v>34</v>
      </c>
      <c r="N912" s="14">
        <v>0</v>
      </c>
      <c r="O912" s="14">
        <v>1</v>
      </c>
      <c r="P912" s="14">
        <v>0</v>
      </c>
      <c r="Q912" s="14">
        <v>0</v>
      </c>
      <c r="R912" s="14">
        <v>0</v>
      </c>
      <c r="S912" s="14">
        <v>1</v>
      </c>
      <c r="T912" s="8">
        <v>1</v>
      </c>
      <c r="U912" s="8">
        <v>0</v>
      </c>
      <c r="V912" s="8">
        <v>1</v>
      </c>
      <c r="W912" s="8">
        <v>0</v>
      </c>
      <c r="X912" s="8">
        <v>0</v>
      </c>
      <c r="Y912" s="8">
        <v>0</v>
      </c>
      <c r="Z912" s="7" t="s">
        <v>247</v>
      </c>
    </row>
    <row r="913" spans="1:26" s="8" customFormat="1" ht="53.25" customHeight="1" x14ac:dyDescent="0.15">
      <c r="A913" s="8">
        <v>20033</v>
      </c>
      <c r="B913" s="8" t="s">
        <v>207</v>
      </c>
      <c r="C913" s="8">
        <f t="shared" si="122"/>
        <v>5</v>
      </c>
      <c r="D913" s="8">
        <v>1</v>
      </c>
      <c r="F913" s="12">
        <v>0</v>
      </c>
      <c r="G913" s="14">
        <v>1</v>
      </c>
      <c r="H913" s="14">
        <v>0</v>
      </c>
      <c r="I913" s="14">
        <v>1</v>
      </c>
      <c r="J913" s="14">
        <v>0</v>
      </c>
      <c r="K913" s="14">
        <v>0</v>
      </c>
      <c r="L913" s="8">
        <v>1</v>
      </c>
      <c r="M913" s="8">
        <f t="shared" si="123"/>
        <v>34</v>
      </c>
      <c r="N913" s="14">
        <v>0</v>
      </c>
      <c r="O913" s="14">
        <v>1</v>
      </c>
      <c r="P913" s="14">
        <v>0</v>
      </c>
      <c r="Q913" s="14">
        <v>0</v>
      </c>
      <c r="R913" s="14">
        <v>0</v>
      </c>
      <c r="S913" s="14">
        <v>1</v>
      </c>
      <c r="T913" s="8">
        <v>1</v>
      </c>
      <c r="U913" s="8">
        <v>0</v>
      </c>
      <c r="V913" s="8">
        <v>1</v>
      </c>
      <c r="W913" s="8">
        <v>0</v>
      </c>
      <c r="X913" s="8">
        <v>0</v>
      </c>
      <c r="Y913" s="8">
        <v>0</v>
      </c>
      <c r="Z913" s="7" t="s">
        <v>248</v>
      </c>
    </row>
    <row r="914" spans="1:26" s="8" customFormat="1" ht="53.25" customHeight="1" x14ac:dyDescent="0.15">
      <c r="A914" s="8">
        <v>20034</v>
      </c>
      <c r="B914" s="8" t="s">
        <v>208</v>
      </c>
      <c r="C914" s="8">
        <f t="shared" si="122"/>
        <v>5</v>
      </c>
      <c r="D914" s="8">
        <v>1</v>
      </c>
      <c r="F914" s="12">
        <v>0</v>
      </c>
      <c r="G914" s="14">
        <v>1</v>
      </c>
      <c r="H914" s="14">
        <v>0</v>
      </c>
      <c r="I914" s="14">
        <v>1</v>
      </c>
      <c r="J914" s="14">
        <v>0</v>
      </c>
      <c r="K914" s="14">
        <v>0</v>
      </c>
      <c r="L914" s="8">
        <v>1</v>
      </c>
      <c r="M914" s="8">
        <f t="shared" si="123"/>
        <v>34</v>
      </c>
      <c r="N914" s="14">
        <v>0</v>
      </c>
      <c r="O914" s="14">
        <v>1</v>
      </c>
      <c r="P914" s="14">
        <v>0</v>
      </c>
      <c r="Q914" s="14">
        <v>0</v>
      </c>
      <c r="R914" s="14">
        <v>0</v>
      </c>
      <c r="S914" s="14">
        <v>1</v>
      </c>
      <c r="T914" s="8">
        <v>1</v>
      </c>
      <c r="U914" s="8">
        <v>0</v>
      </c>
      <c r="V914" s="8">
        <v>1</v>
      </c>
      <c r="W914" s="8">
        <v>0</v>
      </c>
      <c r="X914" s="8">
        <v>0</v>
      </c>
      <c r="Y914" s="8">
        <v>0</v>
      </c>
      <c r="Z914" s="7" t="s">
        <v>249</v>
      </c>
    </row>
    <row r="915" spans="1:26" s="8" customFormat="1" ht="53.25" customHeight="1" x14ac:dyDescent="0.15">
      <c r="A915" s="8">
        <v>20035</v>
      </c>
      <c r="B915" s="8" t="s">
        <v>209</v>
      </c>
      <c r="C915" s="8">
        <f t="shared" si="122"/>
        <v>5</v>
      </c>
      <c r="D915" s="8">
        <v>1</v>
      </c>
      <c r="F915" s="12">
        <v>0</v>
      </c>
      <c r="G915" s="14">
        <v>1</v>
      </c>
      <c r="H915" s="14">
        <v>0</v>
      </c>
      <c r="I915" s="14">
        <v>1</v>
      </c>
      <c r="J915" s="14">
        <v>0</v>
      </c>
      <c r="K915" s="14">
        <v>0</v>
      </c>
      <c r="L915" s="8">
        <v>1</v>
      </c>
      <c r="M915" s="8">
        <f t="shared" si="123"/>
        <v>34</v>
      </c>
      <c r="N915" s="14">
        <v>0</v>
      </c>
      <c r="O915" s="14">
        <v>1</v>
      </c>
      <c r="P915" s="14">
        <v>0</v>
      </c>
      <c r="Q915" s="14">
        <v>0</v>
      </c>
      <c r="R915" s="14">
        <v>0</v>
      </c>
      <c r="S915" s="14">
        <v>1</v>
      </c>
      <c r="T915" s="8">
        <v>1</v>
      </c>
      <c r="U915" s="8">
        <v>0</v>
      </c>
      <c r="V915" s="8">
        <v>1</v>
      </c>
      <c r="W915" s="8">
        <v>0</v>
      </c>
      <c r="X915" s="8">
        <v>0</v>
      </c>
      <c r="Y915" s="8">
        <v>0</v>
      </c>
      <c r="Z915" s="7" t="s">
        <v>250</v>
      </c>
    </row>
    <row r="916" spans="1:26" s="8" customFormat="1" ht="53.25" customHeight="1" x14ac:dyDescent="0.15">
      <c r="A916" s="8">
        <v>20036</v>
      </c>
      <c r="B916" s="8" t="s">
        <v>216</v>
      </c>
      <c r="C916" s="8">
        <f t="shared" si="122"/>
        <v>5</v>
      </c>
      <c r="D916" s="8">
        <v>1</v>
      </c>
      <c r="F916" s="12">
        <v>0</v>
      </c>
      <c r="G916" s="14">
        <v>1</v>
      </c>
      <c r="H916" s="14">
        <v>0</v>
      </c>
      <c r="I916" s="14">
        <v>1</v>
      </c>
      <c r="J916" s="14">
        <v>0</v>
      </c>
      <c r="K916" s="14">
        <v>0</v>
      </c>
      <c r="L916" s="8">
        <v>1</v>
      </c>
      <c r="M916" s="8">
        <f t="shared" si="123"/>
        <v>34</v>
      </c>
      <c r="N916" s="14">
        <v>0</v>
      </c>
      <c r="O916" s="14">
        <v>1</v>
      </c>
      <c r="P916" s="14">
        <v>0</v>
      </c>
      <c r="Q916" s="14">
        <v>0</v>
      </c>
      <c r="R916" s="14">
        <v>0</v>
      </c>
      <c r="S916" s="14">
        <v>1</v>
      </c>
      <c r="T916" s="8">
        <v>1</v>
      </c>
      <c r="U916" s="8">
        <v>0</v>
      </c>
      <c r="V916" s="8">
        <v>1</v>
      </c>
      <c r="W916" s="8">
        <v>0</v>
      </c>
      <c r="X916" s="8">
        <v>0</v>
      </c>
      <c r="Y916" s="8">
        <v>0</v>
      </c>
      <c r="Z916" s="7" t="s">
        <v>251</v>
      </c>
    </row>
    <row r="917" spans="1:26" s="8" customFormat="1" ht="53.25" customHeight="1" x14ac:dyDescent="0.15">
      <c r="A917" s="8">
        <v>20037</v>
      </c>
      <c r="B917" s="8" t="s">
        <v>281</v>
      </c>
      <c r="C917" s="8">
        <f t="shared" si="122"/>
        <v>5</v>
      </c>
      <c r="D917" s="8">
        <v>1</v>
      </c>
      <c r="F917" s="12">
        <v>0</v>
      </c>
      <c r="G917" s="14">
        <v>1</v>
      </c>
      <c r="H917" s="14">
        <v>0</v>
      </c>
      <c r="I917" s="14">
        <v>1</v>
      </c>
      <c r="J917" s="14">
        <v>0</v>
      </c>
      <c r="K917" s="14">
        <v>0</v>
      </c>
      <c r="L917" s="8">
        <v>1</v>
      </c>
      <c r="M917" s="8">
        <f t="shared" ref="M917:M933" si="124">N917+O917*2+P917*4+Q917*8+R917*16+S917*32</f>
        <v>34</v>
      </c>
      <c r="N917" s="14">
        <v>0</v>
      </c>
      <c r="O917" s="14">
        <v>1</v>
      </c>
      <c r="P917" s="14">
        <v>0</v>
      </c>
      <c r="Q917" s="14">
        <v>0</v>
      </c>
      <c r="R917" s="14">
        <v>0</v>
      </c>
      <c r="S917" s="14">
        <v>1</v>
      </c>
      <c r="T917" s="8">
        <v>1</v>
      </c>
      <c r="U917" s="8">
        <v>0</v>
      </c>
      <c r="V917" s="8">
        <v>1</v>
      </c>
      <c r="W917" s="8">
        <v>0</v>
      </c>
      <c r="X917" s="8">
        <v>0</v>
      </c>
      <c r="Y917" s="8">
        <v>0</v>
      </c>
      <c r="Z917" s="7" t="s">
        <v>345</v>
      </c>
    </row>
    <row r="918" spans="1:26" s="8" customFormat="1" ht="53.25" customHeight="1" x14ac:dyDescent="0.15">
      <c r="A918" s="8">
        <v>20038</v>
      </c>
      <c r="B918" s="8" t="s">
        <v>282</v>
      </c>
      <c r="C918" s="8">
        <f t="shared" si="122"/>
        <v>5</v>
      </c>
      <c r="D918" s="8">
        <v>1</v>
      </c>
      <c r="F918" s="12">
        <v>0</v>
      </c>
      <c r="G918" s="14">
        <v>1</v>
      </c>
      <c r="H918" s="14">
        <v>0</v>
      </c>
      <c r="I918" s="14">
        <v>1</v>
      </c>
      <c r="J918" s="14">
        <v>0</v>
      </c>
      <c r="K918" s="14">
        <v>0</v>
      </c>
      <c r="L918" s="8">
        <v>1</v>
      </c>
      <c r="M918" s="8">
        <f t="shared" si="124"/>
        <v>34</v>
      </c>
      <c r="N918" s="14">
        <v>0</v>
      </c>
      <c r="O918" s="14">
        <v>1</v>
      </c>
      <c r="P918" s="14">
        <v>0</v>
      </c>
      <c r="Q918" s="14">
        <v>0</v>
      </c>
      <c r="R918" s="14">
        <v>0</v>
      </c>
      <c r="S918" s="14">
        <v>1</v>
      </c>
      <c r="T918" s="8">
        <v>1</v>
      </c>
      <c r="U918" s="8">
        <v>0</v>
      </c>
      <c r="V918" s="8">
        <v>1</v>
      </c>
      <c r="W918" s="8">
        <v>0</v>
      </c>
      <c r="X918" s="8">
        <v>0</v>
      </c>
      <c r="Y918" s="8">
        <v>0</v>
      </c>
      <c r="Z918" s="7" t="s">
        <v>346</v>
      </c>
    </row>
    <row r="919" spans="1:26" s="8" customFormat="1" ht="53.25" customHeight="1" x14ac:dyDescent="0.15">
      <c r="A919" s="8">
        <v>20039</v>
      </c>
      <c r="B919" s="8" t="s">
        <v>283</v>
      </c>
      <c r="C919" s="8">
        <f t="shared" si="122"/>
        <v>5</v>
      </c>
      <c r="D919" s="8">
        <v>1</v>
      </c>
      <c r="F919" s="12">
        <v>0</v>
      </c>
      <c r="G919" s="14">
        <v>1</v>
      </c>
      <c r="H919" s="14">
        <v>0</v>
      </c>
      <c r="I919" s="14">
        <v>1</v>
      </c>
      <c r="J919" s="14">
        <v>0</v>
      </c>
      <c r="K919" s="14">
        <v>0</v>
      </c>
      <c r="L919" s="8">
        <v>1</v>
      </c>
      <c r="M919" s="8">
        <f t="shared" si="124"/>
        <v>34</v>
      </c>
      <c r="N919" s="14">
        <v>0</v>
      </c>
      <c r="O919" s="14">
        <v>1</v>
      </c>
      <c r="P919" s="14">
        <v>0</v>
      </c>
      <c r="Q919" s="14">
        <v>0</v>
      </c>
      <c r="R919" s="14">
        <v>0</v>
      </c>
      <c r="S919" s="14">
        <v>1</v>
      </c>
      <c r="T919" s="8">
        <v>1</v>
      </c>
      <c r="U919" s="8">
        <v>0</v>
      </c>
      <c r="V919" s="8">
        <v>1</v>
      </c>
      <c r="W919" s="8">
        <v>0</v>
      </c>
      <c r="X919" s="8">
        <v>0</v>
      </c>
      <c r="Y919" s="8">
        <v>0</v>
      </c>
      <c r="Z919" s="7" t="s">
        <v>347</v>
      </c>
    </row>
    <row r="920" spans="1:26" s="8" customFormat="1" ht="53.25" customHeight="1" x14ac:dyDescent="0.15">
      <c r="A920" s="8">
        <v>20040</v>
      </c>
      <c r="B920" s="8" t="s">
        <v>284</v>
      </c>
      <c r="C920" s="8">
        <f t="shared" si="122"/>
        <v>5</v>
      </c>
      <c r="D920" s="8">
        <v>1</v>
      </c>
      <c r="F920" s="12">
        <v>0</v>
      </c>
      <c r="G920" s="14">
        <v>1</v>
      </c>
      <c r="H920" s="14">
        <v>0</v>
      </c>
      <c r="I920" s="14">
        <v>1</v>
      </c>
      <c r="J920" s="14">
        <v>0</v>
      </c>
      <c r="K920" s="14">
        <v>0</v>
      </c>
      <c r="L920" s="8">
        <v>1</v>
      </c>
      <c r="M920" s="8">
        <f t="shared" si="124"/>
        <v>34</v>
      </c>
      <c r="N920" s="14">
        <v>0</v>
      </c>
      <c r="O920" s="14">
        <v>1</v>
      </c>
      <c r="P920" s="14">
        <v>0</v>
      </c>
      <c r="Q920" s="14">
        <v>0</v>
      </c>
      <c r="R920" s="14">
        <v>0</v>
      </c>
      <c r="S920" s="14">
        <v>1</v>
      </c>
      <c r="T920" s="8">
        <v>1</v>
      </c>
      <c r="U920" s="8">
        <v>0</v>
      </c>
      <c r="V920" s="8">
        <v>1</v>
      </c>
      <c r="W920" s="8">
        <v>0</v>
      </c>
      <c r="X920" s="8">
        <v>0</v>
      </c>
      <c r="Y920" s="8">
        <v>0</v>
      </c>
      <c r="Z920" s="7" t="s">
        <v>348</v>
      </c>
    </row>
    <row r="921" spans="1:26" s="8" customFormat="1" ht="53.25" customHeight="1" x14ac:dyDescent="0.15">
      <c r="A921" s="8">
        <v>20041</v>
      </c>
      <c r="B921" s="8" t="s">
        <v>285</v>
      </c>
      <c r="C921" s="8">
        <f t="shared" si="122"/>
        <v>5</v>
      </c>
      <c r="D921" s="8">
        <v>1</v>
      </c>
      <c r="F921" s="12">
        <v>0</v>
      </c>
      <c r="G921" s="14">
        <v>1</v>
      </c>
      <c r="H921" s="14">
        <v>0</v>
      </c>
      <c r="I921" s="14">
        <v>1</v>
      </c>
      <c r="J921" s="14">
        <v>0</v>
      </c>
      <c r="K921" s="14">
        <v>0</v>
      </c>
      <c r="L921" s="8">
        <v>1</v>
      </c>
      <c r="M921" s="8">
        <f t="shared" si="124"/>
        <v>34</v>
      </c>
      <c r="N921" s="14">
        <v>0</v>
      </c>
      <c r="O921" s="14">
        <v>1</v>
      </c>
      <c r="P921" s="14">
        <v>0</v>
      </c>
      <c r="Q921" s="14">
        <v>0</v>
      </c>
      <c r="R921" s="14">
        <v>0</v>
      </c>
      <c r="S921" s="14">
        <v>1</v>
      </c>
      <c r="T921" s="8">
        <v>1</v>
      </c>
      <c r="U921" s="8">
        <v>0</v>
      </c>
      <c r="V921" s="8">
        <v>1</v>
      </c>
      <c r="W921" s="8">
        <v>0</v>
      </c>
      <c r="X921" s="8">
        <v>0</v>
      </c>
      <c r="Y921" s="8">
        <v>0</v>
      </c>
      <c r="Z921" s="7" t="s">
        <v>349</v>
      </c>
    </row>
    <row r="922" spans="1:26" s="8" customFormat="1" ht="53.25" customHeight="1" x14ac:dyDescent="0.15">
      <c r="A922" s="8">
        <v>20042</v>
      </c>
      <c r="B922" s="8" t="s">
        <v>286</v>
      </c>
      <c r="C922" s="8">
        <f t="shared" si="122"/>
        <v>5</v>
      </c>
      <c r="D922" s="8">
        <v>1</v>
      </c>
      <c r="F922" s="12">
        <v>0</v>
      </c>
      <c r="G922" s="14">
        <v>1</v>
      </c>
      <c r="H922" s="14">
        <v>0</v>
      </c>
      <c r="I922" s="14">
        <v>1</v>
      </c>
      <c r="J922" s="14">
        <v>0</v>
      </c>
      <c r="K922" s="14">
        <v>0</v>
      </c>
      <c r="L922" s="8">
        <v>1</v>
      </c>
      <c r="M922" s="8">
        <f t="shared" si="124"/>
        <v>34</v>
      </c>
      <c r="N922" s="14">
        <v>0</v>
      </c>
      <c r="O922" s="14">
        <v>1</v>
      </c>
      <c r="P922" s="14">
        <v>0</v>
      </c>
      <c r="Q922" s="14">
        <v>0</v>
      </c>
      <c r="R922" s="14">
        <v>0</v>
      </c>
      <c r="S922" s="14">
        <v>1</v>
      </c>
      <c r="T922" s="8">
        <v>1</v>
      </c>
      <c r="U922" s="8">
        <v>0</v>
      </c>
      <c r="V922" s="8">
        <v>1</v>
      </c>
      <c r="W922" s="8">
        <v>0</v>
      </c>
      <c r="X922" s="8">
        <v>0</v>
      </c>
      <c r="Y922" s="8">
        <v>0</v>
      </c>
      <c r="Z922" s="7" t="s">
        <v>350</v>
      </c>
    </row>
    <row r="923" spans="1:26" s="8" customFormat="1" ht="53.25" customHeight="1" x14ac:dyDescent="0.15">
      <c r="A923" s="8">
        <v>20043</v>
      </c>
      <c r="B923" s="8" t="s">
        <v>287</v>
      </c>
      <c r="C923" s="8">
        <f t="shared" si="122"/>
        <v>5</v>
      </c>
      <c r="D923" s="8">
        <v>1</v>
      </c>
      <c r="F923" s="12">
        <v>0</v>
      </c>
      <c r="G923" s="14">
        <v>1</v>
      </c>
      <c r="H923" s="14">
        <v>0</v>
      </c>
      <c r="I923" s="14">
        <v>1</v>
      </c>
      <c r="J923" s="14">
        <v>0</v>
      </c>
      <c r="K923" s="14">
        <v>0</v>
      </c>
      <c r="L923" s="8">
        <v>1</v>
      </c>
      <c r="M923" s="8">
        <f t="shared" si="124"/>
        <v>34</v>
      </c>
      <c r="N923" s="14">
        <v>0</v>
      </c>
      <c r="O923" s="14">
        <v>1</v>
      </c>
      <c r="P923" s="14">
        <v>0</v>
      </c>
      <c r="Q923" s="14">
        <v>0</v>
      </c>
      <c r="R923" s="14">
        <v>0</v>
      </c>
      <c r="S923" s="14">
        <v>1</v>
      </c>
      <c r="T923" s="8">
        <v>1</v>
      </c>
      <c r="U923" s="8">
        <v>0</v>
      </c>
      <c r="V923" s="8">
        <v>1</v>
      </c>
      <c r="W923" s="8">
        <v>0</v>
      </c>
      <c r="X923" s="8">
        <v>0</v>
      </c>
      <c r="Y923" s="8">
        <v>0</v>
      </c>
      <c r="Z923" s="7" t="s">
        <v>351</v>
      </c>
    </row>
    <row r="924" spans="1:26" s="8" customFormat="1" ht="53.25" customHeight="1" x14ac:dyDescent="0.15">
      <c r="A924" s="8">
        <v>20044</v>
      </c>
      <c r="B924" s="8" t="s">
        <v>288</v>
      </c>
      <c r="C924" s="8">
        <f t="shared" si="122"/>
        <v>5</v>
      </c>
      <c r="D924" s="8">
        <v>1</v>
      </c>
      <c r="F924" s="12">
        <v>0</v>
      </c>
      <c r="G924" s="14">
        <v>1</v>
      </c>
      <c r="H924" s="14">
        <v>0</v>
      </c>
      <c r="I924" s="14">
        <v>1</v>
      </c>
      <c r="J924" s="14">
        <v>0</v>
      </c>
      <c r="K924" s="14">
        <v>0</v>
      </c>
      <c r="L924" s="8">
        <v>1</v>
      </c>
      <c r="M924" s="8">
        <f t="shared" si="124"/>
        <v>34</v>
      </c>
      <c r="N924" s="14">
        <v>0</v>
      </c>
      <c r="O924" s="14">
        <v>1</v>
      </c>
      <c r="P924" s="14">
        <v>0</v>
      </c>
      <c r="Q924" s="14">
        <v>0</v>
      </c>
      <c r="R924" s="14">
        <v>0</v>
      </c>
      <c r="S924" s="14">
        <v>1</v>
      </c>
      <c r="T924" s="8">
        <v>1</v>
      </c>
      <c r="U924" s="8">
        <v>0</v>
      </c>
      <c r="V924" s="8">
        <v>1</v>
      </c>
      <c r="W924" s="8">
        <v>0</v>
      </c>
      <c r="X924" s="8">
        <v>0</v>
      </c>
      <c r="Y924" s="8">
        <v>0</v>
      </c>
      <c r="Z924" s="7" t="s">
        <v>352</v>
      </c>
    </row>
    <row r="925" spans="1:26" s="8" customFormat="1" ht="53.25" customHeight="1" x14ac:dyDescent="0.15">
      <c r="A925" s="8">
        <v>20045</v>
      </c>
      <c r="B925" s="8" t="s">
        <v>289</v>
      </c>
      <c r="C925" s="8">
        <f t="shared" si="122"/>
        <v>5</v>
      </c>
      <c r="D925" s="8">
        <v>1</v>
      </c>
      <c r="F925" s="12">
        <v>0</v>
      </c>
      <c r="G925" s="14">
        <v>1</v>
      </c>
      <c r="H925" s="14">
        <v>0</v>
      </c>
      <c r="I925" s="14">
        <v>1</v>
      </c>
      <c r="J925" s="14">
        <v>0</v>
      </c>
      <c r="K925" s="14">
        <v>0</v>
      </c>
      <c r="L925" s="8">
        <v>1</v>
      </c>
      <c r="M925" s="8">
        <f t="shared" si="124"/>
        <v>34</v>
      </c>
      <c r="N925" s="14">
        <v>0</v>
      </c>
      <c r="O925" s="14">
        <v>1</v>
      </c>
      <c r="P925" s="14">
        <v>0</v>
      </c>
      <c r="Q925" s="14">
        <v>0</v>
      </c>
      <c r="R925" s="14">
        <v>0</v>
      </c>
      <c r="S925" s="14">
        <v>1</v>
      </c>
      <c r="T925" s="8">
        <v>1</v>
      </c>
      <c r="U925" s="8">
        <v>0</v>
      </c>
      <c r="V925" s="8">
        <v>1</v>
      </c>
      <c r="W925" s="8">
        <v>0</v>
      </c>
      <c r="X925" s="8">
        <v>0</v>
      </c>
      <c r="Y925" s="8">
        <v>0</v>
      </c>
      <c r="Z925" s="7" t="s">
        <v>353</v>
      </c>
    </row>
    <row r="926" spans="1:26" s="8" customFormat="1" ht="53.25" customHeight="1" x14ac:dyDescent="0.15">
      <c r="A926" s="8">
        <v>20046</v>
      </c>
      <c r="B926" s="8" t="s">
        <v>290</v>
      </c>
      <c r="C926" s="8">
        <f t="shared" si="122"/>
        <v>5</v>
      </c>
      <c r="D926" s="8">
        <v>1</v>
      </c>
      <c r="F926" s="12">
        <v>0</v>
      </c>
      <c r="G926" s="14">
        <v>1</v>
      </c>
      <c r="H926" s="14">
        <v>0</v>
      </c>
      <c r="I926" s="14">
        <v>1</v>
      </c>
      <c r="J926" s="14">
        <v>0</v>
      </c>
      <c r="K926" s="14">
        <v>0</v>
      </c>
      <c r="L926" s="8">
        <v>1</v>
      </c>
      <c r="M926" s="8">
        <f t="shared" si="124"/>
        <v>34</v>
      </c>
      <c r="N926" s="14">
        <v>0</v>
      </c>
      <c r="O926" s="14">
        <v>1</v>
      </c>
      <c r="P926" s="14">
        <v>0</v>
      </c>
      <c r="Q926" s="14">
        <v>0</v>
      </c>
      <c r="R926" s="14">
        <v>0</v>
      </c>
      <c r="S926" s="14">
        <v>1</v>
      </c>
      <c r="T926" s="8">
        <v>1</v>
      </c>
      <c r="U926" s="8">
        <v>0</v>
      </c>
      <c r="V926" s="8">
        <v>1</v>
      </c>
      <c r="W926" s="8">
        <v>0</v>
      </c>
      <c r="X926" s="8">
        <v>0</v>
      </c>
      <c r="Y926" s="8">
        <v>0</v>
      </c>
      <c r="Z926" s="7" t="s">
        <v>354</v>
      </c>
    </row>
    <row r="927" spans="1:26" s="8" customFormat="1" ht="53.25" customHeight="1" x14ac:dyDescent="0.15">
      <c r="A927" s="8">
        <v>20047</v>
      </c>
      <c r="B927" s="8" t="s">
        <v>291</v>
      </c>
      <c r="C927" s="8">
        <f t="shared" si="122"/>
        <v>5</v>
      </c>
      <c r="D927" s="8">
        <v>1</v>
      </c>
      <c r="F927" s="12">
        <v>0</v>
      </c>
      <c r="G927" s="14">
        <v>1</v>
      </c>
      <c r="H927" s="14">
        <v>0</v>
      </c>
      <c r="I927" s="14">
        <v>1</v>
      </c>
      <c r="J927" s="14">
        <v>0</v>
      </c>
      <c r="K927" s="14">
        <v>0</v>
      </c>
      <c r="L927" s="8">
        <v>1</v>
      </c>
      <c r="M927" s="8">
        <f t="shared" si="124"/>
        <v>34</v>
      </c>
      <c r="N927" s="14">
        <v>0</v>
      </c>
      <c r="O927" s="14">
        <v>1</v>
      </c>
      <c r="P927" s="14">
        <v>0</v>
      </c>
      <c r="Q927" s="14">
        <v>0</v>
      </c>
      <c r="R927" s="14">
        <v>0</v>
      </c>
      <c r="S927" s="14">
        <v>1</v>
      </c>
      <c r="T927" s="8">
        <v>1</v>
      </c>
      <c r="U927" s="8">
        <v>0</v>
      </c>
      <c r="V927" s="8">
        <v>1</v>
      </c>
      <c r="W927" s="8">
        <v>0</v>
      </c>
      <c r="X927" s="8">
        <v>0</v>
      </c>
      <c r="Y927" s="8">
        <v>0</v>
      </c>
      <c r="Z927" s="7" t="s">
        <v>355</v>
      </c>
    </row>
    <row r="928" spans="1:26" s="8" customFormat="1" ht="53.25" customHeight="1" x14ac:dyDescent="0.15">
      <c r="A928" s="8">
        <v>20048</v>
      </c>
      <c r="B928" s="8" t="s">
        <v>292</v>
      </c>
      <c r="C928" s="8">
        <f t="shared" si="122"/>
        <v>5</v>
      </c>
      <c r="D928" s="8">
        <v>1</v>
      </c>
      <c r="F928" s="12">
        <v>0</v>
      </c>
      <c r="G928" s="14">
        <v>1</v>
      </c>
      <c r="H928" s="14">
        <v>0</v>
      </c>
      <c r="I928" s="14">
        <v>1</v>
      </c>
      <c r="J928" s="14">
        <v>0</v>
      </c>
      <c r="K928" s="14">
        <v>0</v>
      </c>
      <c r="L928" s="8">
        <v>1</v>
      </c>
      <c r="M928" s="8">
        <f t="shared" si="124"/>
        <v>34</v>
      </c>
      <c r="N928" s="14">
        <v>0</v>
      </c>
      <c r="O928" s="14">
        <v>1</v>
      </c>
      <c r="P928" s="14">
        <v>0</v>
      </c>
      <c r="Q928" s="14">
        <v>0</v>
      </c>
      <c r="R928" s="14">
        <v>0</v>
      </c>
      <c r="S928" s="14">
        <v>1</v>
      </c>
      <c r="T928" s="8">
        <v>1</v>
      </c>
      <c r="U928" s="8">
        <v>0</v>
      </c>
      <c r="V928" s="8">
        <v>1</v>
      </c>
      <c r="W928" s="8">
        <v>0</v>
      </c>
      <c r="X928" s="8">
        <v>0</v>
      </c>
      <c r="Y928" s="8">
        <v>0</v>
      </c>
      <c r="Z928" s="7" t="s">
        <v>356</v>
      </c>
    </row>
    <row r="929" spans="1:26" s="8" customFormat="1" ht="53.25" customHeight="1" x14ac:dyDescent="0.15">
      <c r="A929" s="8">
        <v>20049</v>
      </c>
      <c r="B929" s="8" t="s">
        <v>293</v>
      </c>
      <c r="C929" s="8">
        <f t="shared" si="122"/>
        <v>5</v>
      </c>
      <c r="D929" s="8">
        <v>1</v>
      </c>
      <c r="F929" s="12">
        <v>0</v>
      </c>
      <c r="G929" s="14">
        <v>1</v>
      </c>
      <c r="H929" s="14">
        <v>0</v>
      </c>
      <c r="I929" s="14">
        <v>1</v>
      </c>
      <c r="J929" s="14">
        <v>0</v>
      </c>
      <c r="K929" s="14">
        <v>0</v>
      </c>
      <c r="L929" s="8">
        <v>1</v>
      </c>
      <c r="M929" s="8">
        <f t="shared" si="124"/>
        <v>34</v>
      </c>
      <c r="N929" s="14">
        <v>0</v>
      </c>
      <c r="O929" s="14">
        <v>1</v>
      </c>
      <c r="P929" s="14">
        <v>0</v>
      </c>
      <c r="Q929" s="14">
        <v>0</v>
      </c>
      <c r="R929" s="14">
        <v>0</v>
      </c>
      <c r="S929" s="14">
        <v>1</v>
      </c>
      <c r="T929" s="8">
        <v>1</v>
      </c>
      <c r="U929" s="8">
        <v>0</v>
      </c>
      <c r="V929" s="8">
        <v>1</v>
      </c>
      <c r="W929" s="8">
        <v>0</v>
      </c>
      <c r="X929" s="8">
        <v>0</v>
      </c>
      <c r="Y929" s="8">
        <v>0</v>
      </c>
      <c r="Z929" s="7" t="s">
        <v>357</v>
      </c>
    </row>
    <row r="930" spans="1:26" s="8" customFormat="1" ht="53.25" customHeight="1" x14ac:dyDescent="0.15">
      <c r="A930" s="8">
        <v>20050</v>
      </c>
      <c r="B930" s="8" t="s">
        <v>294</v>
      </c>
      <c r="C930" s="8">
        <f t="shared" si="122"/>
        <v>5</v>
      </c>
      <c r="D930" s="8">
        <v>1</v>
      </c>
      <c r="F930" s="12">
        <v>0</v>
      </c>
      <c r="G930" s="14">
        <v>1</v>
      </c>
      <c r="H930" s="14">
        <v>0</v>
      </c>
      <c r="I930" s="14">
        <v>1</v>
      </c>
      <c r="J930" s="14">
        <v>0</v>
      </c>
      <c r="K930" s="14">
        <v>0</v>
      </c>
      <c r="L930" s="8">
        <v>1</v>
      </c>
      <c r="M930" s="8">
        <f t="shared" si="124"/>
        <v>34</v>
      </c>
      <c r="N930" s="14">
        <v>0</v>
      </c>
      <c r="O930" s="14">
        <v>1</v>
      </c>
      <c r="P930" s="14">
        <v>0</v>
      </c>
      <c r="Q930" s="14">
        <v>0</v>
      </c>
      <c r="R930" s="14">
        <v>0</v>
      </c>
      <c r="S930" s="14">
        <v>1</v>
      </c>
      <c r="T930" s="8">
        <v>1</v>
      </c>
      <c r="U930" s="8">
        <v>0</v>
      </c>
      <c r="V930" s="8">
        <v>1</v>
      </c>
      <c r="W930" s="8">
        <v>0</v>
      </c>
      <c r="X930" s="8">
        <v>0</v>
      </c>
      <c r="Y930" s="8">
        <v>0</v>
      </c>
      <c r="Z930" s="7" t="s">
        <v>358</v>
      </c>
    </row>
    <row r="931" spans="1:26" s="8" customFormat="1" ht="53.25" customHeight="1" x14ac:dyDescent="0.15">
      <c r="A931" s="8">
        <v>20051</v>
      </c>
      <c r="B931" s="8" t="s">
        <v>295</v>
      </c>
      <c r="C931" s="8">
        <f t="shared" si="122"/>
        <v>5</v>
      </c>
      <c r="D931" s="8">
        <v>1</v>
      </c>
      <c r="F931" s="12">
        <v>0</v>
      </c>
      <c r="G931" s="14">
        <v>1</v>
      </c>
      <c r="H931" s="14">
        <v>0</v>
      </c>
      <c r="I931" s="14">
        <v>1</v>
      </c>
      <c r="J931" s="14">
        <v>0</v>
      </c>
      <c r="K931" s="14">
        <v>0</v>
      </c>
      <c r="L931" s="8">
        <v>1</v>
      </c>
      <c r="M931" s="8">
        <f t="shared" si="124"/>
        <v>34</v>
      </c>
      <c r="N931" s="14">
        <v>0</v>
      </c>
      <c r="O931" s="14">
        <v>1</v>
      </c>
      <c r="P931" s="14">
        <v>0</v>
      </c>
      <c r="Q931" s="14">
        <v>0</v>
      </c>
      <c r="R931" s="14">
        <v>0</v>
      </c>
      <c r="S931" s="14">
        <v>1</v>
      </c>
      <c r="T931" s="8">
        <v>1</v>
      </c>
      <c r="U931" s="8">
        <v>0</v>
      </c>
      <c r="V931" s="8">
        <v>1</v>
      </c>
      <c r="W931" s="8">
        <v>0</v>
      </c>
      <c r="X931" s="8">
        <v>0</v>
      </c>
      <c r="Y931" s="8">
        <v>0</v>
      </c>
      <c r="Z931" s="7" t="s">
        <v>359</v>
      </c>
    </row>
    <row r="932" spans="1:26" s="8" customFormat="1" ht="53.25" customHeight="1" x14ac:dyDescent="0.15">
      <c r="A932" s="8">
        <v>20052</v>
      </c>
      <c r="B932" s="8" t="s">
        <v>296</v>
      </c>
      <c r="C932" s="8">
        <f t="shared" si="122"/>
        <v>5</v>
      </c>
      <c r="D932" s="8">
        <v>1</v>
      </c>
      <c r="F932" s="12">
        <v>0</v>
      </c>
      <c r="G932" s="14">
        <v>1</v>
      </c>
      <c r="H932" s="14">
        <v>0</v>
      </c>
      <c r="I932" s="14">
        <v>1</v>
      </c>
      <c r="J932" s="14">
        <v>0</v>
      </c>
      <c r="K932" s="14">
        <v>0</v>
      </c>
      <c r="L932" s="8">
        <v>1</v>
      </c>
      <c r="M932" s="8">
        <f t="shared" si="124"/>
        <v>34</v>
      </c>
      <c r="N932" s="14">
        <v>0</v>
      </c>
      <c r="O932" s="14">
        <v>1</v>
      </c>
      <c r="P932" s="14">
        <v>0</v>
      </c>
      <c r="Q932" s="14">
        <v>0</v>
      </c>
      <c r="R932" s="14">
        <v>0</v>
      </c>
      <c r="S932" s="14">
        <v>1</v>
      </c>
      <c r="T932" s="8">
        <v>1</v>
      </c>
      <c r="U932" s="8">
        <v>0</v>
      </c>
      <c r="V932" s="8">
        <v>1</v>
      </c>
      <c r="W932" s="8">
        <v>0</v>
      </c>
      <c r="X932" s="8">
        <v>0</v>
      </c>
      <c r="Y932" s="8">
        <v>0</v>
      </c>
      <c r="Z932" s="7" t="s">
        <v>360</v>
      </c>
    </row>
    <row r="933" spans="1:26" s="8" customFormat="1" ht="53.25" customHeight="1" x14ac:dyDescent="0.15">
      <c r="A933" s="8">
        <v>20053</v>
      </c>
      <c r="B933" s="8" t="s">
        <v>297</v>
      </c>
      <c r="C933" s="8">
        <f t="shared" si="122"/>
        <v>5</v>
      </c>
      <c r="D933" s="8">
        <v>1</v>
      </c>
      <c r="F933" s="12">
        <v>0</v>
      </c>
      <c r="G933" s="14">
        <v>1</v>
      </c>
      <c r="H933" s="14">
        <v>0</v>
      </c>
      <c r="I933" s="14">
        <v>1</v>
      </c>
      <c r="J933" s="14">
        <v>0</v>
      </c>
      <c r="K933" s="14">
        <v>0</v>
      </c>
      <c r="L933" s="8">
        <v>1</v>
      </c>
      <c r="M933" s="8">
        <f t="shared" si="124"/>
        <v>34</v>
      </c>
      <c r="N933" s="14">
        <v>0</v>
      </c>
      <c r="O933" s="14">
        <v>1</v>
      </c>
      <c r="P933" s="14">
        <v>0</v>
      </c>
      <c r="Q933" s="14">
        <v>0</v>
      </c>
      <c r="R933" s="14">
        <v>0</v>
      </c>
      <c r="S933" s="14">
        <v>1</v>
      </c>
      <c r="T933" s="8">
        <v>1</v>
      </c>
      <c r="U933" s="8">
        <v>0</v>
      </c>
      <c r="V933" s="8">
        <v>1</v>
      </c>
      <c r="W933" s="8">
        <v>0</v>
      </c>
      <c r="X933" s="8">
        <v>0</v>
      </c>
      <c r="Y933" s="8">
        <v>0</v>
      </c>
      <c r="Z933" s="7" t="s">
        <v>361</v>
      </c>
    </row>
    <row r="934" spans="1:26" s="8" customFormat="1" ht="53.25" customHeight="1" x14ac:dyDescent="0.15">
      <c r="A934" s="8">
        <v>20054</v>
      </c>
      <c r="B934" s="8" t="s">
        <v>305</v>
      </c>
      <c r="C934" s="8">
        <f t="shared" si="122"/>
        <v>5</v>
      </c>
      <c r="D934" s="8">
        <v>1</v>
      </c>
      <c r="F934" s="12">
        <v>0</v>
      </c>
      <c r="G934" s="14">
        <v>1</v>
      </c>
      <c r="H934" s="14">
        <v>0</v>
      </c>
      <c r="I934" s="14">
        <v>1</v>
      </c>
      <c r="J934" s="14">
        <v>0</v>
      </c>
      <c r="K934" s="14">
        <v>0</v>
      </c>
      <c r="L934" s="8">
        <v>1</v>
      </c>
      <c r="M934" s="8">
        <f t="shared" ref="M934:M939" si="125">N934+O934*2+P934*4+Q934*8+R934*16+S934*32</f>
        <v>34</v>
      </c>
      <c r="N934" s="14">
        <v>0</v>
      </c>
      <c r="O934" s="14">
        <v>1</v>
      </c>
      <c r="P934" s="14">
        <v>0</v>
      </c>
      <c r="Q934" s="14">
        <v>0</v>
      </c>
      <c r="R934" s="14">
        <v>0</v>
      </c>
      <c r="S934" s="14">
        <v>1</v>
      </c>
      <c r="T934" s="8">
        <v>1</v>
      </c>
      <c r="U934" s="8">
        <v>0</v>
      </c>
      <c r="V934" s="8">
        <v>1</v>
      </c>
      <c r="W934" s="8">
        <v>0</v>
      </c>
      <c r="X934" s="8">
        <v>0</v>
      </c>
      <c r="Y934" s="8">
        <v>0</v>
      </c>
      <c r="Z934" s="7" t="s">
        <v>308</v>
      </c>
    </row>
    <row r="935" spans="1:26" s="8" customFormat="1" ht="53.25" customHeight="1" x14ac:dyDescent="0.15">
      <c r="A935" s="8">
        <v>20055</v>
      </c>
      <c r="B935" s="8" t="s">
        <v>306</v>
      </c>
      <c r="C935" s="8">
        <f t="shared" si="122"/>
        <v>5</v>
      </c>
      <c r="D935" s="8">
        <v>1</v>
      </c>
      <c r="F935" s="12">
        <v>0</v>
      </c>
      <c r="G935" s="14">
        <v>1</v>
      </c>
      <c r="H935" s="14">
        <v>0</v>
      </c>
      <c r="I935" s="14">
        <v>1</v>
      </c>
      <c r="J935" s="14">
        <v>0</v>
      </c>
      <c r="K935" s="14">
        <v>0</v>
      </c>
      <c r="L935" s="8">
        <v>1</v>
      </c>
      <c r="M935" s="8">
        <f t="shared" si="125"/>
        <v>34</v>
      </c>
      <c r="N935" s="14">
        <v>0</v>
      </c>
      <c r="O935" s="14">
        <v>1</v>
      </c>
      <c r="P935" s="14">
        <v>0</v>
      </c>
      <c r="Q935" s="14">
        <v>0</v>
      </c>
      <c r="R935" s="14">
        <v>0</v>
      </c>
      <c r="S935" s="14">
        <v>1</v>
      </c>
      <c r="T935" s="8">
        <v>1</v>
      </c>
      <c r="U935" s="8">
        <v>0</v>
      </c>
      <c r="V935" s="8">
        <v>1</v>
      </c>
      <c r="W935" s="8">
        <v>0</v>
      </c>
      <c r="X935" s="8">
        <v>0</v>
      </c>
      <c r="Y935" s="8">
        <v>0</v>
      </c>
      <c r="Z935" s="7" t="s">
        <v>309</v>
      </c>
    </row>
    <row r="936" spans="1:26" s="8" customFormat="1" ht="53.25" customHeight="1" x14ac:dyDescent="0.15">
      <c r="A936" s="8">
        <v>20056</v>
      </c>
      <c r="B936" s="8" t="s">
        <v>390</v>
      </c>
      <c r="C936" s="8">
        <f t="shared" ref="C936:C949" si="126">G936+H936*2+I936*4+J936*8+K936*16</f>
        <v>5</v>
      </c>
      <c r="D936" s="8">
        <v>1</v>
      </c>
      <c r="F936" s="12">
        <v>0</v>
      </c>
      <c r="G936" s="14">
        <v>1</v>
      </c>
      <c r="H936" s="14">
        <v>0</v>
      </c>
      <c r="I936" s="14">
        <v>1</v>
      </c>
      <c r="J936" s="14">
        <v>0</v>
      </c>
      <c r="K936" s="14">
        <v>0</v>
      </c>
      <c r="L936" s="8">
        <v>1</v>
      </c>
      <c r="M936" s="8">
        <f t="shared" si="125"/>
        <v>34</v>
      </c>
      <c r="N936" s="14">
        <v>0</v>
      </c>
      <c r="O936" s="14">
        <v>1</v>
      </c>
      <c r="P936" s="14">
        <v>0</v>
      </c>
      <c r="Q936" s="14">
        <v>0</v>
      </c>
      <c r="R936" s="14">
        <v>0</v>
      </c>
      <c r="S936" s="14">
        <v>1</v>
      </c>
      <c r="T936" s="8">
        <v>1</v>
      </c>
      <c r="U936" s="8">
        <v>0</v>
      </c>
      <c r="V936" s="8">
        <v>1</v>
      </c>
      <c r="W936" s="8">
        <v>0</v>
      </c>
      <c r="X936" s="8">
        <v>0</v>
      </c>
      <c r="Y936" s="8">
        <v>0</v>
      </c>
      <c r="Z936" s="7" t="s">
        <v>391</v>
      </c>
    </row>
    <row r="937" spans="1:26" s="8" customFormat="1" ht="53.25" customHeight="1" x14ac:dyDescent="0.15">
      <c r="A937" s="8">
        <v>20057</v>
      </c>
      <c r="B937" s="8" t="s">
        <v>392</v>
      </c>
      <c r="C937" s="8">
        <f t="shared" si="126"/>
        <v>5</v>
      </c>
      <c r="D937" s="8">
        <v>1</v>
      </c>
      <c r="F937" s="12">
        <v>0</v>
      </c>
      <c r="G937" s="14">
        <v>1</v>
      </c>
      <c r="H937" s="14">
        <v>0</v>
      </c>
      <c r="I937" s="14">
        <v>1</v>
      </c>
      <c r="J937" s="14">
        <v>0</v>
      </c>
      <c r="K937" s="14">
        <v>0</v>
      </c>
      <c r="L937" s="8">
        <v>1</v>
      </c>
      <c r="M937" s="8">
        <f t="shared" si="125"/>
        <v>34</v>
      </c>
      <c r="N937" s="14">
        <v>0</v>
      </c>
      <c r="O937" s="14">
        <v>1</v>
      </c>
      <c r="P937" s="14">
        <v>0</v>
      </c>
      <c r="Q937" s="14">
        <v>0</v>
      </c>
      <c r="R937" s="14">
        <v>0</v>
      </c>
      <c r="S937" s="14">
        <v>1</v>
      </c>
      <c r="T937" s="8">
        <v>1</v>
      </c>
      <c r="U937" s="8">
        <v>0</v>
      </c>
      <c r="V937" s="8">
        <v>1</v>
      </c>
      <c r="W937" s="8">
        <v>0</v>
      </c>
      <c r="X937" s="8">
        <v>0</v>
      </c>
      <c r="Y937" s="8">
        <v>0</v>
      </c>
      <c r="Z937" s="7" t="s">
        <v>394</v>
      </c>
    </row>
    <row r="938" spans="1:26" s="8" customFormat="1" ht="53.25" customHeight="1" x14ac:dyDescent="0.15">
      <c r="A938" s="8">
        <v>20058</v>
      </c>
      <c r="B938" s="8" t="s">
        <v>393</v>
      </c>
      <c r="C938" s="8">
        <f t="shared" si="126"/>
        <v>5</v>
      </c>
      <c r="D938" s="8">
        <v>1</v>
      </c>
      <c r="F938" s="12">
        <v>0</v>
      </c>
      <c r="G938" s="14">
        <v>1</v>
      </c>
      <c r="H938" s="14">
        <v>0</v>
      </c>
      <c r="I938" s="14">
        <v>1</v>
      </c>
      <c r="J938" s="14">
        <v>0</v>
      </c>
      <c r="K938" s="14">
        <v>0</v>
      </c>
      <c r="L938" s="8">
        <v>1</v>
      </c>
      <c r="M938" s="8">
        <f t="shared" si="125"/>
        <v>34</v>
      </c>
      <c r="N938" s="14">
        <v>0</v>
      </c>
      <c r="O938" s="14">
        <v>1</v>
      </c>
      <c r="P938" s="14">
        <v>0</v>
      </c>
      <c r="Q938" s="14">
        <v>0</v>
      </c>
      <c r="R938" s="14">
        <v>0</v>
      </c>
      <c r="S938" s="14">
        <v>1</v>
      </c>
      <c r="T938" s="8">
        <v>1</v>
      </c>
      <c r="U938" s="8">
        <v>0</v>
      </c>
      <c r="V938" s="8">
        <v>1</v>
      </c>
      <c r="W938" s="8">
        <v>0</v>
      </c>
      <c r="X938" s="8">
        <v>0</v>
      </c>
      <c r="Y938" s="8">
        <v>0</v>
      </c>
      <c r="Z938" s="7" t="s">
        <v>395</v>
      </c>
    </row>
    <row r="939" spans="1:26" s="8" customFormat="1" ht="53.25" customHeight="1" x14ac:dyDescent="0.15">
      <c r="A939" s="8">
        <v>20059</v>
      </c>
      <c r="B939" s="8" t="s">
        <v>396</v>
      </c>
      <c r="C939" s="8">
        <f t="shared" si="126"/>
        <v>5</v>
      </c>
      <c r="D939" s="8">
        <v>1</v>
      </c>
      <c r="F939" s="12">
        <v>0</v>
      </c>
      <c r="G939" s="14">
        <v>1</v>
      </c>
      <c r="H939" s="14">
        <v>0</v>
      </c>
      <c r="I939" s="14">
        <v>1</v>
      </c>
      <c r="J939" s="14">
        <v>0</v>
      </c>
      <c r="K939" s="14">
        <v>0</v>
      </c>
      <c r="L939" s="8">
        <v>1</v>
      </c>
      <c r="M939" s="8">
        <f t="shared" si="125"/>
        <v>34</v>
      </c>
      <c r="N939" s="14">
        <v>0</v>
      </c>
      <c r="O939" s="14">
        <v>1</v>
      </c>
      <c r="P939" s="14">
        <v>0</v>
      </c>
      <c r="Q939" s="14">
        <v>0</v>
      </c>
      <c r="R939" s="14">
        <v>0</v>
      </c>
      <c r="S939" s="14">
        <v>1</v>
      </c>
      <c r="T939" s="8">
        <v>1</v>
      </c>
      <c r="U939" s="8">
        <v>0</v>
      </c>
      <c r="V939" s="8">
        <v>1</v>
      </c>
      <c r="W939" s="8">
        <v>0</v>
      </c>
      <c r="X939" s="8">
        <v>0</v>
      </c>
      <c r="Y939" s="8">
        <v>0</v>
      </c>
      <c r="Z939" s="7" t="s">
        <v>397</v>
      </c>
    </row>
    <row r="940" spans="1:26" s="8" customFormat="1" ht="15" customHeight="1" x14ac:dyDescent="0.15">
      <c r="A940" s="8">
        <v>20060</v>
      </c>
      <c r="B940" s="8" t="s">
        <v>419</v>
      </c>
      <c r="C940" s="8">
        <f t="shared" si="126"/>
        <v>1</v>
      </c>
      <c r="D940" s="8">
        <v>1</v>
      </c>
      <c r="F940" s="12">
        <v>0</v>
      </c>
      <c r="G940" s="14">
        <v>1</v>
      </c>
      <c r="H940" s="14">
        <v>0</v>
      </c>
      <c r="I940" s="14">
        <v>0</v>
      </c>
      <c r="J940" s="14">
        <v>0</v>
      </c>
      <c r="K940" s="14">
        <v>0</v>
      </c>
      <c r="L940" s="8">
        <v>1</v>
      </c>
      <c r="M940" s="8">
        <f>N940+O940*2+P940*4+Q940*8+R940*16+S940*32</f>
        <v>0</v>
      </c>
      <c r="N940" s="14">
        <v>0</v>
      </c>
      <c r="O940" s="14">
        <v>0</v>
      </c>
      <c r="P940" s="14">
        <v>0</v>
      </c>
      <c r="Q940" s="14">
        <v>0</v>
      </c>
      <c r="R940" s="14">
        <v>0</v>
      </c>
      <c r="S940" s="14">
        <v>0</v>
      </c>
      <c r="T940" s="8">
        <v>1</v>
      </c>
      <c r="U940" s="8">
        <v>0</v>
      </c>
      <c r="V940" s="8">
        <v>1</v>
      </c>
      <c r="W940" s="8">
        <v>0</v>
      </c>
      <c r="X940" s="8">
        <v>0</v>
      </c>
      <c r="Y940" s="8">
        <v>0</v>
      </c>
      <c r="Z940" s="7" t="s">
        <v>1367</v>
      </c>
    </row>
    <row r="941" spans="1:26" s="8" customFormat="1" ht="15" customHeight="1" x14ac:dyDescent="0.15">
      <c r="A941" s="8">
        <v>20061</v>
      </c>
      <c r="B941" s="8" t="s">
        <v>441</v>
      </c>
      <c r="C941" s="8">
        <f t="shared" si="126"/>
        <v>0</v>
      </c>
      <c r="D941" s="8">
        <v>1</v>
      </c>
      <c r="F941" s="12">
        <v>0</v>
      </c>
      <c r="G941" s="14">
        <v>0</v>
      </c>
      <c r="H941" s="14">
        <v>0</v>
      </c>
      <c r="I941" s="14">
        <v>0</v>
      </c>
      <c r="J941" s="14">
        <v>0</v>
      </c>
      <c r="K941" s="14">
        <v>0</v>
      </c>
      <c r="L941" s="8">
        <v>1</v>
      </c>
      <c r="M941" s="8">
        <v>34</v>
      </c>
      <c r="N941" s="14">
        <v>0</v>
      </c>
      <c r="O941" s="14">
        <v>0</v>
      </c>
      <c r="P941" s="14">
        <v>0</v>
      </c>
      <c r="Q941" s="14">
        <v>0</v>
      </c>
      <c r="R941" s="14">
        <v>0</v>
      </c>
      <c r="S941" s="14">
        <v>0</v>
      </c>
      <c r="T941" s="8">
        <v>1</v>
      </c>
      <c r="U941" s="8">
        <v>0</v>
      </c>
      <c r="V941" s="8">
        <v>1</v>
      </c>
      <c r="W941" s="8">
        <v>0</v>
      </c>
      <c r="X941" s="8">
        <v>0</v>
      </c>
      <c r="Y941" s="8">
        <v>0</v>
      </c>
      <c r="Z941" s="7" t="s">
        <v>442</v>
      </c>
    </row>
    <row r="942" spans="1:26" s="8" customFormat="1" ht="15" customHeight="1" x14ac:dyDescent="0.15">
      <c r="A942" s="8">
        <v>20062</v>
      </c>
      <c r="B942" s="8" t="s">
        <v>469</v>
      </c>
      <c r="C942" s="8">
        <f t="shared" si="126"/>
        <v>5</v>
      </c>
      <c r="D942" s="8">
        <v>1</v>
      </c>
      <c r="F942" s="12">
        <v>0</v>
      </c>
      <c r="G942" s="14">
        <v>1</v>
      </c>
      <c r="H942" s="14">
        <v>0</v>
      </c>
      <c r="I942" s="14">
        <v>1</v>
      </c>
      <c r="J942" s="14">
        <v>0</v>
      </c>
      <c r="K942" s="14">
        <v>0</v>
      </c>
      <c r="L942" s="8">
        <v>1</v>
      </c>
      <c r="M942" s="8">
        <f t="shared" ref="M942:M947" si="127">N942+O942*2+P942*4+Q942*8+R942*16+S942*32</f>
        <v>34</v>
      </c>
      <c r="N942" s="14">
        <v>0</v>
      </c>
      <c r="O942" s="14">
        <v>1</v>
      </c>
      <c r="P942" s="14">
        <v>0</v>
      </c>
      <c r="Q942" s="14">
        <v>0</v>
      </c>
      <c r="R942" s="14">
        <v>0</v>
      </c>
      <c r="S942" s="14">
        <v>1</v>
      </c>
      <c r="T942" s="8">
        <v>1</v>
      </c>
      <c r="U942" s="8">
        <v>0</v>
      </c>
      <c r="V942" s="8">
        <v>1</v>
      </c>
      <c r="W942" s="8">
        <v>0</v>
      </c>
      <c r="X942" s="8">
        <v>0</v>
      </c>
      <c r="Y942" s="8">
        <v>0</v>
      </c>
      <c r="Z942" s="7" t="s">
        <v>468</v>
      </c>
    </row>
    <row r="943" spans="1:26" s="8" customFormat="1" ht="15" customHeight="1" x14ac:dyDescent="0.15">
      <c r="A943" s="8">
        <v>20063</v>
      </c>
      <c r="B943" s="8" t="s">
        <v>521</v>
      </c>
      <c r="C943" s="8">
        <f t="shared" si="126"/>
        <v>1</v>
      </c>
      <c r="D943" s="8">
        <v>1</v>
      </c>
      <c r="F943" s="12">
        <v>0</v>
      </c>
      <c r="G943" s="14">
        <v>1</v>
      </c>
      <c r="H943" s="14">
        <v>0</v>
      </c>
      <c r="I943" s="14">
        <v>0</v>
      </c>
      <c r="J943" s="14">
        <v>0</v>
      </c>
      <c r="K943" s="14">
        <v>0</v>
      </c>
      <c r="L943" s="8">
        <v>1</v>
      </c>
      <c r="M943" s="8">
        <f t="shared" si="127"/>
        <v>34</v>
      </c>
      <c r="N943" s="14">
        <v>0</v>
      </c>
      <c r="O943" s="14">
        <v>1</v>
      </c>
      <c r="P943" s="14">
        <v>0</v>
      </c>
      <c r="Q943" s="14">
        <v>0</v>
      </c>
      <c r="R943" s="14">
        <v>0</v>
      </c>
      <c r="S943" s="14">
        <v>1</v>
      </c>
      <c r="T943" s="8">
        <v>1</v>
      </c>
      <c r="U943" s="8">
        <v>0</v>
      </c>
      <c r="V943" s="8">
        <v>1</v>
      </c>
      <c r="W943" s="8">
        <v>0</v>
      </c>
      <c r="X943" s="8">
        <v>0</v>
      </c>
      <c r="Y943" s="8">
        <v>0</v>
      </c>
      <c r="Z943" s="7" t="s">
        <v>522</v>
      </c>
    </row>
    <row r="944" spans="1:26" s="8" customFormat="1" ht="15" customHeight="1" x14ac:dyDescent="0.15">
      <c r="A944" s="8">
        <v>20064</v>
      </c>
      <c r="B944" s="8" t="s">
        <v>38</v>
      </c>
      <c r="C944" s="8">
        <f t="shared" si="126"/>
        <v>5</v>
      </c>
      <c r="D944" s="8">
        <v>1</v>
      </c>
      <c r="F944" s="12">
        <v>0</v>
      </c>
      <c r="G944" s="14">
        <v>1</v>
      </c>
      <c r="H944" s="14">
        <v>0</v>
      </c>
      <c r="I944" s="14">
        <v>1</v>
      </c>
      <c r="J944" s="14">
        <v>0</v>
      </c>
      <c r="K944" s="14">
        <v>0</v>
      </c>
      <c r="L944" s="8">
        <v>1</v>
      </c>
      <c r="M944" s="8">
        <f t="shared" si="127"/>
        <v>34</v>
      </c>
      <c r="N944" s="14">
        <v>0</v>
      </c>
      <c r="O944" s="14">
        <v>1</v>
      </c>
      <c r="P944" s="14">
        <v>0</v>
      </c>
      <c r="Q944" s="14">
        <v>0</v>
      </c>
      <c r="R944" s="14">
        <v>0</v>
      </c>
      <c r="S944" s="14">
        <v>1</v>
      </c>
      <c r="T944" s="8">
        <v>1</v>
      </c>
      <c r="U944" s="8">
        <v>0</v>
      </c>
      <c r="V944" s="8">
        <v>1</v>
      </c>
      <c r="W944" s="8">
        <v>0</v>
      </c>
      <c r="X944" s="8">
        <v>0</v>
      </c>
      <c r="Y944" s="8">
        <v>0</v>
      </c>
      <c r="Z944" s="7" t="s">
        <v>543</v>
      </c>
    </row>
    <row r="945" spans="1:26" s="8" customFormat="1" ht="15" customHeight="1" x14ac:dyDescent="0.15">
      <c r="A945" s="8">
        <v>20065</v>
      </c>
      <c r="B945" s="8" t="s">
        <v>587</v>
      </c>
      <c r="C945" s="8">
        <f t="shared" si="126"/>
        <v>5</v>
      </c>
      <c r="D945" s="8">
        <v>1</v>
      </c>
      <c r="F945" s="12">
        <v>0</v>
      </c>
      <c r="G945" s="14">
        <v>1</v>
      </c>
      <c r="H945" s="14">
        <v>0</v>
      </c>
      <c r="I945" s="14">
        <v>1</v>
      </c>
      <c r="J945" s="14">
        <v>0</v>
      </c>
      <c r="K945" s="14">
        <v>0</v>
      </c>
      <c r="L945" s="8">
        <v>1</v>
      </c>
      <c r="M945" s="8">
        <f t="shared" si="127"/>
        <v>0</v>
      </c>
      <c r="N945" s="14">
        <v>0</v>
      </c>
      <c r="O945" s="14">
        <v>0</v>
      </c>
      <c r="P945" s="14">
        <v>0</v>
      </c>
      <c r="Q945" s="14">
        <v>0</v>
      </c>
      <c r="R945" s="14">
        <v>0</v>
      </c>
      <c r="S945" s="14">
        <v>0</v>
      </c>
      <c r="T945" s="8">
        <v>1</v>
      </c>
      <c r="U945" s="8">
        <v>0</v>
      </c>
      <c r="V945" s="8">
        <v>1</v>
      </c>
      <c r="W945" s="8">
        <v>0</v>
      </c>
      <c r="X945" s="8">
        <v>0</v>
      </c>
      <c r="Y945" s="8">
        <v>0</v>
      </c>
      <c r="Z945" s="7" t="s">
        <v>588</v>
      </c>
    </row>
    <row r="946" spans="1:26" s="8" customFormat="1" ht="15" customHeight="1" x14ac:dyDescent="0.15">
      <c r="A946" s="8">
        <v>20066</v>
      </c>
      <c r="B946" s="8" t="s">
        <v>589</v>
      </c>
      <c r="C946" s="8">
        <f t="shared" si="126"/>
        <v>5</v>
      </c>
      <c r="D946" s="8">
        <v>1</v>
      </c>
      <c r="F946" s="12">
        <v>0</v>
      </c>
      <c r="G946" s="14">
        <v>1</v>
      </c>
      <c r="H946" s="14">
        <v>0</v>
      </c>
      <c r="I946" s="14">
        <v>1</v>
      </c>
      <c r="J946" s="14">
        <v>0</v>
      </c>
      <c r="K946" s="14">
        <v>0</v>
      </c>
      <c r="L946" s="8">
        <v>1</v>
      </c>
      <c r="M946" s="8">
        <f t="shared" si="127"/>
        <v>0</v>
      </c>
      <c r="N946" s="14">
        <v>0</v>
      </c>
      <c r="O946" s="14">
        <v>0</v>
      </c>
      <c r="P946" s="14">
        <v>0</v>
      </c>
      <c r="Q946" s="14">
        <v>0</v>
      </c>
      <c r="R946" s="14">
        <v>0</v>
      </c>
      <c r="S946" s="14">
        <v>0</v>
      </c>
      <c r="T946" s="8">
        <v>1</v>
      </c>
      <c r="U946" s="8">
        <v>0</v>
      </c>
      <c r="V946" s="8">
        <v>1</v>
      </c>
      <c r="W946" s="8">
        <v>0</v>
      </c>
      <c r="X946" s="8">
        <v>0</v>
      </c>
      <c r="Y946" s="8">
        <v>0</v>
      </c>
      <c r="Z946" s="7" t="s">
        <v>590</v>
      </c>
    </row>
    <row r="947" spans="1:26" s="8" customFormat="1" ht="15" customHeight="1" x14ac:dyDescent="0.15">
      <c r="A947" s="8">
        <v>20067</v>
      </c>
      <c r="B947" s="8" t="s">
        <v>591</v>
      </c>
      <c r="C947" s="8">
        <f t="shared" si="126"/>
        <v>5</v>
      </c>
      <c r="D947" s="8">
        <v>1</v>
      </c>
      <c r="F947" s="12">
        <v>0</v>
      </c>
      <c r="G947" s="14">
        <v>1</v>
      </c>
      <c r="H947" s="14">
        <v>0</v>
      </c>
      <c r="I947" s="14">
        <v>1</v>
      </c>
      <c r="J947" s="14">
        <v>0</v>
      </c>
      <c r="K947" s="14">
        <v>0</v>
      </c>
      <c r="L947" s="8">
        <v>1</v>
      </c>
      <c r="M947" s="8">
        <f t="shared" si="127"/>
        <v>0</v>
      </c>
      <c r="N947" s="14">
        <v>0</v>
      </c>
      <c r="O947" s="14">
        <v>0</v>
      </c>
      <c r="P947" s="14">
        <v>0</v>
      </c>
      <c r="Q947" s="14">
        <v>0</v>
      </c>
      <c r="R947" s="14">
        <v>0</v>
      </c>
      <c r="S947" s="14">
        <v>0</v>
      </c>
      <c r="T947" s="8">
        <v>1</v>
      </c>
      <c r="U947" s="8">
        <v>0</v>
      </c>
      <c r="V947" s="8">
        <v>1</v>
      </c>
      <c r="W947" s="8">
        <v>0</v>
      </c>
      <c r="X947" s="8">
        <v>0</v>
      </c>
      <c r="Y947" s="8">
        <v>0</v>
      </c>
      <c r="Z947" s="7" t="s">
        <v>592</v>
      </c>
    </row>
    <row r="948" spans="1:26" s="8" customFormat="1" ht="15" customHeight="1" x14ac:dyDescent="0.15">
      <c r="A948" s="8">
        <v>20068</v>
      </c>
      <c r="B948" s="8" t="s">
        <v>628</v>
      </c>
      <c r="C948" s="8">
        <f t="shared" si="126"/>
        <v>5</v>
      </c>
      <c r="D948" s="8">
        <v>1</v>
      </c>
      <c r="F948" s="12">
        <v>0</v>
      </c>
      <c r="G948" s="14">
        <v>1</v>
      </c>
      <c r="H948" s="14">
        <v>0</v>
      </c>
      <c r="I948" s="14">
        <v>1</v>
      </c>
      <c r="J948" s="14">
        <v>0</v>
      </c>
      <c r="K948" s="14">
        <v>0</v>
      </c>
      <c r="L948" s="8">
        <v>1</v>
      </c>
      <c r="M948" s="8">
        <f t="shared" ref="M948:M960" si="128">N948+O948*2+P948*4+Q948*8+R948*16+S948*32</f>
        <v>0</v>
      </c>
      <c r="N948" s="14">
        <v>0</v>
      </c>
      <c r="O948" s="14">
        <v>0</v>
      </c>
      <c r="P948" s="14">
        <v>0</v>
      </c>
      <c r="Q948" s="14">
        <v>0</v>
      </c>
      <c r="R948" s="14">
        <v>0</v>
      </c>
      <c r="S948" s="14">
        <v>0</v>
      </c>
      <c r="T948" s="8">
        <v>1</v>
      </c>
      <c r="U948" s="8">
        <v>0</v>
      </c>
      <c r="V948" s="8">
        <v>1</v>
      </c>
      <c r="W948" s="8">
        <v>0</v>
      </c>
      <c r="X948" s="8">
        <v>0</v>
      </c>
      <c r="Y948" s="8">
        <v>0</v>
      </c>
      <c r="Z948" s="7" t="s">
        <v>629</v>
      </c>
    </row>
    <row r="949" spans="1:26" s="8" customFormat="1" ht="15" customHeight="1" x14ac:dyDescent="0.15">
      <c r="A949" s="8">
        <v>20069</v>
      </c>
      <c r="B949" s="8" t="s">
        <v>906</v>
      </c>
      <c r="C949" s="8">
        <f t="shared" si="126"/>
        <v>5</v>
      </c>
      <c r="D949" s="8">
        <v>1</v>
      </c>
      <c r="F949" s="12">
        <v>0</v>
      </c>
      <c r="G949" s="14">
        <v>1</v>
      </c>
      <c r="H949" s="14">
        <v>0</v>
      </c>
      <c r="I949" s="14">
        <v>1</v>
      </c>
      <c r="J949" s="14">
        <v>0</v>
      </c>
      <c r="K949" s="14">
        <v>0</v>
      </c>
      <c r="L949" s="8">
        <v>1</v>
      </c>
      <c r="M949" s="8">
        <f t="shared" si="128"/>
        <v>0</v>
      </c>
      <c r="N949" s="14">
        <v>0</v>
      </c>
      <c r="O949" s="14">
        <v>0</v>
      </c>
      <c r="P949" s="14">
        <v>0</v>
      </c>
      <c r="Q949" s="14">
        <v>0</v>
      </c>
      <c r="R949" s="14">
        <v>0</v>
      </c>
      <c r="S949" s="14">
        <v>0</v>
      </c>
      <c r="T949" s="8">
        <v>1</v>
      </c>
      <c r="U949" s="8">
        <v>1</v>
      </c>
      <c r="V949" s="8">
        <v>1</v>
      </c>
      <c r="W949" s="8">
        <v>0</v>
      </c>
      <c r="X949" s="8">
        <v>0</v>
      </c>
      <c r="Y949" s="8">
        <v>0</v>
      </c>
      <c r="Z949" s="8" t="s">
        <v>907</v>
      </c>
    </row>
    <row r="950" spans="1:26" s="8" customFormat="1" ht="15" customHeight="1" x14ac:dyDescent="0.15">
      <c r="A950" s="8">
        <v>20099</v>
      </c>
      <c r="B950" s="8" t="s">
        <v>540</v>
      </c>
      <c r="C950" s="8">
        <f>G950+H950*2+I950*4+J950*8+K950*16</f>
        <v>5</v>
      </c>
      <c r="D950" s="8">
        <v>1</v>
      </c>
      <c r="F950" s="12">
        <v>0</v>
      </c>
      <c r="G950" s="14">
        <v>1</v>
      </c>
      <c r="H950" s="14">
        <v>0</v>
      </c>
      <c r="I950" s="14">
        <v>1</v>
      </c>
      <c r="J950" s="14">
        <v>0</v>
      </c>
      <c r="K950" s="14">
        <v>0</v>
      </c>
      <c r="L950" s="8">
        <v>1</v>
      </c>
      <c r="M950" s="8">
        <f t="shared" si="128"/>
        <v>0</v>
      </c>
      <c r="N950" s="14">
        <v>0</v>
      </c>
      <c r="O950" s="14">
        <v>0</v>
      </c>
      <c r="P950" s="14">
        <v>0</v>
      </c>
      <c r="Q950" s="14">
        <v>0</v>
      </c>
      <c r="R950" s="14">
        <v>0</v>
      </c>
      <c r="S950" s="14">
        <v>0</v>
      </c>
      <c r="T950" s="8">
        <v>1</v>
      </c>
      <c r="U950" s="8">
        <v>0</v>
      </c>
      <c r="V950" s="8">
        <v>1</v>
      </c>
      <c r="W950" s="8">
        <v>0</v>
      </c>
      <c r="X950" s="8">
        <v>0</v>
      </c>
      <c r="Y950" s="8">
        <v>0</v>
      </c>
      <c r="Z950" s="7" t="s">
        <v>542</v>
      </c>
    </row>
    <row r="951" spans="1:26" s="8" customFormat="1" ht="15" customHeight="1" x14ac:dyDescent="0.15">
      <c r="A951" s="8">
        <v>20100</v>
      </c>
      <c r="B951" s="8" t="s">
        <v>541</v>
      </c>
      <c r="C951" s="8">
        <f>G951+H951*2+I951*4+J951*8+K951*16</f>
        <v>5</v>
      </c>
      <c r="D951" s="8">
        <v>1</v>
      </c>
      <c r="F951" s="12">
        <v>0</v>
      </c>
      <c r="G951" s="14">
        <v>1</v>
      </c>
      <c r="H951" s="14">
        <v>0</v>
      </c>
      <c r="I951" s="14">
        <v>1</v>
      </c>
      <c r="J951" s="14">
        <v>0</v>
      </c>
      <c r="K951" s="14">
        <v>0</v>
      </c>
      <c r="L951" s="8">
        <v>1</v>
      </c>
      <c r="M951" s="8">
        <f t="shared" si="128"/>
        <v>0</v>
      </c>
      <c r="N951" s="14">
        <v>0</v>
      </c>
      <c r="O951" s="14">
        <v>0</v>
      </c>
      <c r="P951" s="14">
        <v>0</v>
      </c>
      <c r="Q951" s="14">
        <v>0</v>
      </c>
      <c r="R951" s="14">
        <v>0</v>
      </c>
      <c r="S951" s="14">
        <v>0</v>
      </c>
      <c r="T951" s="8">
        <v>1</v>
      </c>
      <c r="U951" s="8">
        <v>0</v>
      </c>
      <c r="V951" s="8">
        <v>1</v>
      </c>
      <c r="W951" s="8">
        <v>0</v>
      </c>
      <c r="X951" s="8">
        <v>0</v>
      </c>
      <c r="Y951" s="8">
        <v>0</v>
      </c>
      <c r="Z951" s="7" t="s">
        <v>307</v>
      </c>
    </row>
    <row r="952" spans="1:26" s="21" customFormat="1" ht="15" customHeight="1" x14ac:dyDescent="0.15">
      <c r="A952" s="21">
        <v>20101</v>
      </c>
      <c r="B952" s="21" t="s">
        <v>459</v>
      </c>
      <c r="C952" s="21">
        <f>G952+H952*2+I952*4+J952*8+K952*16</f>
        <v>5</v>
      </c>
      <c r="D952" s="21">
        <v>1</v>
      </c>
      <c r="F952" s="12">
        <v>0</v>
      </c>
      <c r="G952" s="22">
        <v>1</v>
      </c>
      <c r="H952" s="22">
        <v>0</v>
      </c>
      <c r="I952" s="22">
        <v>1</v>
      </c>
      <c r="J952" s="22">
        <v>0</v>
      </c>
      <c r="K952" s="22">
        <v>0</v>
      </c>
      <c r="L952" s="21">
        <v>0</v>
      </c>
      <c r="M952" s="21">
        <f t="shared" si="128"/>
        <v>0</v>
      </c>
      <c r="N952" s="22">
        <v>0</v>
      </c>
      <c r="O952" s="22">
        <v>0</v>
      </c>
      <c r="P952" s="22">
        <v>0</v>
      </c>
      <c r="Q952" s="22">
        <v>0</v>
      </c>
      <c r="R952" s="22">
        <v>0</v>
      </c>
      <c r="S952" s="22">
        <v>0</v>
      </c>
      <c r="T952" s="21">
        <v>1</v>
      </c>
      <c r="U952" s="21">
        <v>0</v>
      </c>
      <c r="V952" s="21">
        <v>1</v>
      </c>
      <c r="W952" s="21">
        <v>0</v>
      </c>
      <c r="X952" s="21">
        <v>1</v>
      </c>
      <c r="Y952" s="21">
        <v>0</v>
      </c>
      <c r="Z952" s="4" t="s">
        <v>549</v>
      </c>
    </row>
    <row r="953" spans="1:26" s="21" customFormat="1" ht="15" customHeight="1" x14ac:dyDescent="0.15">
      <c r="A953" s="21">
        <v>20102</v>
      </c>
      <c r="B953" s="21" t="s">
        <v>82</v>
      </c>
      <c r="C953" s="21">
        <f>G953+H953*2+I953*4+J953*8+K953*16</f>
        <v>5</v>
      </c>
      <c r="D953" s="21">
        <v>1</v>
      </c>
      <c r="F953" s="12">
        <v>0</v>
      </c>
      <c r="G953" s="22">
        <v>1</v>
      </c>
      <c r="H953" s="22">
        <v>0</v>
      </c>
      <c r="I953" s="22">
        <v>1</v>
      </c>
      <c r="J953" s="22">
        <v>0</v>
      </c>
      <c r="K953" s="22">
        <v>0</v>
      </c>
      <c r="L953" s="21">
        <v>0</v>
      </c>
      <c r="M953" s="21">
        <f t="shared" si="128"/>
        <v>0</v>
      </c>
      <c r="N953" s="22">
        <v>0</v>
      </c>
      <c r="O953" s="22">
        <v>0</v>
      </c>
      <c r="P953" s="22">
        <v>0</v>
      </c>
      <c r="Q953" s="22">
        <v>0</v>
      </c>
      <c r="R953" s="22">
        <v>0</v>
      </c>
      <c r="S953" s="22">
        <v>0</v>
      </c>
      <c r="T953" s="21">
        <v>1</v>
      </c>
      <c r="U953" s="21">
        <v>0</v>
      </c>
      <c r="V953" s="21">
        <v>1</v>
      </c>
      <c r="W953" s="21">
        <v>0</v>
      </c>
      <c r="X953" s="21">
        <v>1</v>
      </c>
      <c r="Y953" s="21">
        <v>0</v>
      </c>
      <c r="Z953" s="4" t="s">
        <v>83</v>
      </c>
    </row>
    <row r="954" spans="1:26" s="21" customFormat="1" ht="15" customHeight="1" x14ac:dyDescent="0.15">
      <c r="A954" s="21">
        <v>20103</v>
      </c>
      <c r="B954" s="21" t="s">
        <v>466</v>
      </c>
      <c r="C954" s="21">
        <f>G954+H954*2+I954*4+J954*8+K954*16</f>
        <v>5</v>
      </c>
      <c r="D954" s="21">
        <v>1</v>
      </c>
      <c r="F954" s="12">
        <v>0</v>
      </c>
      <c r="G954" s="22">
        <v>1</v>
      </c>
      <c r="H954" s="22">
        <v>0</v>
      </c>
      <c r="I954" s="22">
        <v>1</v>
      </c>
      <c r="J954" s="22">
        <v>0</v>
      </c>
      <c r="K954" s="22">
        <v>0</v>
      </c>
      <c r="L954" s="21">
        <v>0</v>
      </c>
      <c r="M954" s="21">
        <f t="shared" si="128"/>
        <v>0</v>
      </c>
      <c r="N954" s="22">
        <v>0</v>
      </c>
      <c r="O954" s="22">
        <v>0</v>
      </c>
      <c r="P954" s="22">
        <v>0</v>
      </c>
      <c r="Q954" s="22">
        <v>0</v>
      </c>
      <c r="R954" s="22">
        <v>0</v>
      </c>
      <c r="S954" s="22">
        <v>0</v>
      </c>
      <c r="T954" s="21">
        <v>1</v>
      </c>
      <c r="U954" s="21">
        <v>0</v>
      </c>
      <c r="V954" s="21">
        <v>1</v>
      </c>
      <c r="W954" s="21">
        <v>0</v>
      </c>
      <c r="X954" s="21">
        <v>1</v>
      </c>
      <c r="Y954" s="21">
        <v>0</v>
      </c>
      <c r="Z954" s="4" t="s">
        <v>901</v>
      </c>
    </row>
    <row r="955" spans="1:26" s="21" customFormat="1" ht="15" customHeight="1" x14ac:dyDescent="0.15">
      <c r="A955" s="21">
        <v>20104</v>
      </c>
      <c r="B955" s="21" t="s">
        <v>340</v>
      </c>
      <c r="C955" s="21">
        <f t="shared" ref="C955:C965" si="129">G955+H955*2+I955*4+J955*8+K955*16</f>
        <v>5</v>
      </c>
      <c r="D955" s="21">
        <v>1</v>
      </c>
      <c r="F955" s="12">
        <v>0</v>
      </c>
      <c r="G955" s="22">
        <v>1</v>
      </c>
      <c r="H955" s="22">
        <v>0</v>
      </c>
      <c r="I955" s="22">
        <v>1</v>
      </c>
      <c r="J955" s="22">
        <v>0</v>
      </c>
      <c r="K955" s="22">
        <v>0</v>
      </c>
      <c r="L955" s="21">
        <v>0</v>
      </c>
      <c r="M955" s="21">
        <f t="shared" si="128"/>
        <v>0</v>
      </c>
      <c r="N955" s="22">
        <v>0</v>
      </c>
      <c r="O955" s="22">
        <v>0</v>
      </c>
      <c r="P955" s="22">
        <v>0</v>
      </c>
      <c r="Q955" s="22">
        <v>0</v>
      </c>
      <c r="R955" s="22">
        <v>0</v>
      </c>
      <c r="S955" s="22">
        <v>0</v>
      </c>
      <c r="T955" s="21">
        <v>1</v>
      </c>
      <c r="U955" s="21">
        <v>0</v>
      </c>
      <c r="V955" s="21">
        <v>1</v>
      </c>
      <c r="W955" s="21">
        <v>0</v>
      </c>
      <c r="X955" s="21">
        <v>1</v>
      </c>
      <c r="Y955" s="21">
        <v>0</v>
      </c>
      <c r="Z955" s="4" t="s">
        <v>1362</v>
      </c>
    </row>
    <row r="956" spans="1:26" s="21" customFormat="1" ht="15" customHeight="1" x14ac:dyDescent="0.15">
      <c r="A956" s="21">
        <v>20105</v>
      </c>
      <c r="B956" s="21" t="s">
        <v>339</v>
      </c>
      <c r="C956" s="21">
        <f t="shared" si="129"/>
        <v>5</v>
      </c>
      <c r="D956" s="21">
        <v>1</v>
      </c>
      <c r="F956" s="12">
        <v>0</v>
      </c>
      <c r="G956" s="22">
        <v>1</v>
      </c>
      <c r="H956" s="22">
        <v>0</v>
      </c>
      <c r="I956" s="22">
        <v>1</v>
      </c>
      <c r="J956" s="22">
        <v>0</v>
      </c>
      <c r="K956" s="22">
        <v>0</v>
      </c>
      <c r="L956" s="21">
        <v>0</v>
      </c>
      <c r="M956" s="21">
        <f t="shared" si="128"/>
        <v>0</v>
      </c>
      <c r="N956" s="22">
        <v>0</v>
      </c>
      <c r="O956" s="22">
        <v>0</v>
      </c>
      <c r="P956" s="22">
        <v>0</v>
      </c>
      <c r="Q956" s="22">
        <v>0</v>
      </c>
      <c r="R956" s="22">
        <v>0</v>
      </c>
      <c r="S956" s="22">
        <v>0</v>
      </c>
      <c r="T956" s="21">
        <v>1</v>
      </c>
      <c r="U956" s="21">
        <v>0</v>
      </c>
      <c r="V956" s="21">
        <v>1</v>
      </c>
      <c r="W956" s="21">
        <v>0</v>
      </c>
      <c r="X956" s="21">
        <v>1</v>
      </c>
      <c r="Y956" s="21">
        <v>0</v>
      </c>
      <c r="Z956" s="4" t="s">
        <v>1362</v>
      </c>
    </row>
    <row r="957" spans="1:26" s="21" customFormat="1" ht="15" customHeight="1" x14ac:dyDescent="0.15">
      <c r="A957" s="21">
        <v>20106</v>
      </c>
      <c r="B957" s="21" t="s">
        <v>339</v>
      </c>
      <c r="C957" s="21">
        <f t="shared" si="129"/>
        <v>5</v>
      </c>
      <c r="D957" s="21">
        <v>1</v>
      </c>
      <c r="F957" s="12">
        <v>0</v>
      </c>
      <c r="G957" s="22">
        <v>1</v>
      </c>
      <c r="H957" s="22">
        <v>0</v>
      </c>
      <c r="I957" s="22">
        <v>1</v>
      </c>
      <c r="J957" s="22">
        <v>0</v>
      </c>
      <c r="K957" s="22">
        <v>0</v>
      </c>
      <c r="L957" s="21">
        <v>0</v>
      </c>
      <c r="M957" s="21">
        <f t="shared" si="128"/>
        <v>0</v>
      </c>
      <c r="N957" s="22">
        <v>0</v>
      </c>
      <c r="O957" s="22">
        <v>0</v>
      </c>
      <c r="P957" s="22">
        <v>0</v>
      </c>
      <c r="Q957" s="22">
        <v>0</v>
      </c>
      <c r="R957" s="22">
        <v>0</v>
      </c>
      <c r="S957" s="22">
        <v>0</v>
      </c>
      <c r="T957" s="21">
        <v>1</v>
      </c>
      <c r="U957" s="21">
        <v>0</v>
      </c>
      <c r="V957" s="21">
        <v>1</v>
      </c>
      <c r="W957" s="21">
        <v>0</v>
      </c>
      <c r="X957" s="21">
        <v>1</v>
      </c>
      <c r="Y957" s="21">
        <v>0</v>
      </c>
      <c r="Z957" s="4" t="s">
        <v>1362</v>
      </c>
    </row>
    <row r="958" spans="1:26" s="21" customFormat="1" ht="15" customHeight="1" x14ac:dyDescent="0.15">
      <c r="A958" s="21">
        <v>20107</v>
      </c>
      <c r="B958" s="21" t="s">
        <v>1473</v>
      </c>
      <c r="C958" s="21">
        <f t="shared" si="129"/>
        <v>5</v>
      </c>
      <c r="D958" s="21">
        <v>1</v>
      </c>
      <c r="F958" s="12">
        <v>0</v>
      </c>
      <c r="G958" s="22">
        <v>1</v>
      </c>
      <c r="H958" s="22">
        <v>0</v>
      </c>
      <c r="I958" s="22">
        <v>1</v>
      </c>
      <c r="J958" s="22">
        <v>0</v>
      </c>
      <c r="K958" s="22">
        <v>0</v>
      </c>
      <c r="L958" s="21">
        <v>0</v>
      </c>
      <c r="M958" s="21">
        <f t="shared" si="128"/>
        <v>0</v>
      </c>
      <c r="N958" s="22">
        <v>0</v>
      </c>
      <c r="O958" s="22">
        <v>0</v>
      </c>
      <c r="P958" s="22">
        <v>0</v>
      </c>
      <c r="Q958" s="22">
        <v>0</v>
      </c>
      <c r="R958" s="22">
        <v>0</v>
      </c>
      <c r="S958" s="22">
        <v>0</v>
      </c>
      <c r="T958" s="21">
        <v>1</v>
      </c>
      <c r="U958" s="21">
        <v>0</v>
      </c>
      <c r="V958" s="21">
        <v>1</v>
      </c>
      <c r="W958" s="21">
        <v>0</v>
      </c>
      <c r="X958" s="21">
        <v>1</v>
      </c>
      <c r="Y958" s="21">
        <v>0</v>
      </c>
      <c r="Z958" s="4"/>
    </row>
    <row r="959" spans="1:26" s="21" customFormat="1" ht="15" customHeight="1" x14ac:dyDescent="0.15">
      <c r="A959" s="21">
        <v>20108</v>
      </c>
      <c r="B959" s="21" t="s">
        <v>224</v>
      </c>
      <c r="C959" s="21">
        <f t="shared" si="129"/>
        <v>1</v>
      </c>
      <c r="D959" s="21">
        <v>1</v>
      </c>
      <c r="F959" s="12">
        <v>0</v>
      </c>
      <c r="G959" s="22">
        <v>1</v>
      </c>
      <c r="H959" s="22">
        <v>0</v>
      </c>
      <c r="I959" s="22">
        <v>0</v>
      </c>
      <c r="J959" s="22">
        <v>0</v>
      </c>
      <c r="K959" s="22">
        <v>0</v>
      </c>
      <c r="L959" s="21">
        <v>0</v>
      </c>
      <c r="M959" s="21">
        <f t="shared" si="128"/>
        <v>0</v>
      </c>
      <c r="N959" s="22">
        <v>0</v>
      </c>
      <c r="O959" s="22">
        <v>0</v>
      </c>
      <c r="P959" s="22">
        <v>0</v>
      </c>
      <c r="Q959" s="22">
        <v>0</v>
      </c>
      <c r="R959" s="22">
        <v>0</v>
      </c>
      <c r="S959" s="22">
        <v>0</v>
      </c>
      <c r="T959" s="21">
        <v>0</v>
      </c>
      <c r="U959" s="21">
        <v>0</v>
      </c>
      <c r="V959" s="21">
        <v>0</v>
      </c>
      <c r="W959" s="21">
        <v>0</v>
      </c>
      <c r="X959" s="21">
        <v>1</v>
      </c>
      <c r="Y959" s="21">
        <v>0</v>
      </c>
      <c r="Z959" s="4" t="s">
        <v>1472</v>
      </c>
    </row>
    <row r="960" spans="1:26" s="28" customFormat="1" ht="15" customHeight="1" x14ac:dyDescent="0.15">
      <c r="A960" s="28">
        <v>20109</v>
      </c>
      <c r="B960" s="28" t="s">
        <v>695</v>
      </c>
      <c r="C960" s="28">
        <f>G960+H960*2+I960*4+J960*8+K960*16</f>
        <v>5</v>
      </c>
      <c r="D960" s="28">
        <v>1</v>
      </c>
      <c r="F960" s="12">
        <v>0</v>
      </c>
      <c r="G960" s="29">
        <v>1</v>
      </c>
      <c r="H960" s="29">
        <v>0</v>
      </c>
      <c r="I960" s="29">
        <v>1</v>
      </c>
      <c r="J960" s="29">
        <v>0</v>
      </c>
      <c r="K960" s="29">
        <v>0</v>
      </c>
      <c r="L960" s="28">
        <v>1</v>
      </c>
      <c r="M960" s="28">
        <f t="shared" si="128"/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8">
        <v>0</v>
      </c>
      <c r="U960" s="28">
        <v>0</v>
      </c>
      <c r="V960" s="28">
        <v>1</v>
      </c>
      <c r="W960" s="28">
        <v>0</v>
      </c>
      <c r="X960" s="28">
        <v>0</v>
      </c>
      <c r="Y960" s="28">
        <v>0</v>
      </c>
      <c r="Z960" s="30" t="s">
        <v>696</v>
      </c>
    </row>
    <row r="961" spans="1:26" s="28" customFormat="1" ht="15" customHeight="1" x14ac:dyDescent="0.15">
      <c r="A961" s="28">
        <v>20110</v>
      </c>
      <c r="B961" s="28" t="s">
        <v>682</v>
      </c>
      <c r="C961" s="28">
        <f t="shared" si="129"/>
        <v>5</v>
      </c>
      <c r="D961" s="28">
        <v>1</v>
      </c>
      <c r="F961" s="12">
        <v>0</v>
      </c>
      <c r="G961" s="29">
        <v>1</v>
      </c>
      <c r="H961" s="29">
        <v>0</v>
      </c>
      <c r="I961" s="29">
        <v>1</v>
      </c>
      <c r="J961" s="29">
        <v>0</v>
      </c>
      <c r="K961" s="29">
        <v>0</v>
      </c>
      <c r="L961" s="28">
        <v>1</v>
      </c>
      <c r="M961" s="28">
        <f t="shared" ref="M961:M970" si="130">N961+O961*2+P961*4+Q961*8+R961*16+S961*32</f>
        <v>0</v>
      </c>
      <c r="N961" s="29">
        <v>0</v>
      </c>
      <c r="O961" s="29">
        <v>0</v>
      </c>
      <c r="P961" s="29">
        <v>0</v>
      </c>
      <c r="Q961" s="29">
        <v>0</v>
      </c>
      <c r="R961" s="29">
        <v>0</v>
      </c>
      <c r="S961" s="29">
        <v>0</v>
      </c>
      <c r="T961" s="28">
        <v>0</v>
      </c>
      <c r="U961" s="28">
        <v>0</v>
      </c>
      <c r="V961" s="28">
        <v>1</v>
      </c>
      <c r="W961" s="28">
        <v>0</v>
      </c>
      <c r="X961" s="28">
        <v>0</v>
      </c>
      <c r="Y961" s="28">
        <v>0</v>
      </c>
      <c r="Z961" s="30" t="s">
        <v>707</v>
      </c>
    </row>
    <row r="962" spans="1:26" s="28" customFormat="1" ht="15" customHeight="1" x14ac:dyDescent="0.15">
      <c r="A962" s="28">
        <v>20111</v>
      </c>
      <c r="B962" s="28" t="s">
        <v>697</v>
      </c>
      <c r="C962" s="28">
        <f t="shared" si="129"/>
        <v>5</v>
      </c>
      <c r="D962" s="28">
        <v>1</v>
      </c>
      <c r="F962" s="12">
        <v>0</v>
      </c>
      <c r="G962" s="29">
        <v>1</v>
      </c>
      <c r="H962" s="29">
        <v>0</v>
      </c>
      <c r="I962" s="29">
        <v>1</v>
      </c>
      <c r="J962" s="29">
        <v>0</v>
      </c>
      <c r="K962" s="29">
        <v>0</v>
      </c>
      <c r="L962" s="28">
        <v>1</v>
      </c>
      <c r="M962" s="28">
        <f t="shared" si="130"/>
        <v>34</v>
      </c>
      <c r="N962" s="29">
        <v>0</v>
      </c>
      <c r="O962" s="29">
        <v>1</v>
      </c>
      <c r="P962" s="29">
        <v>0</v>
      </c>
      <c r="Q962" s="29">
        <v>0</v>
      </c>
      <c r="R962" s="29">
        <v>0</v>
      </c>
      <c r="S962" s="29">
        <v>1</v>
      </c>
      <c r="T962" s="28">
        <v>1</v>
      </c>
      <c r="U962" s="28">
        <v>0</v>
      </c>
      <c r="V962" s="28">
        <v>1</v>
      </c>
      <c r="W962" s="28">
        <v>0</v>
      </c>
      <c r="X962" s="28">
        <v>0</v>
      </c>
      <c r="Y962" s="28">
        <v>0</v>
      </c>
      <c r="Z962" s="30" t="s">
        <v>698</v>
      </c>
    </row>
    <row r="963" spans="1:26" s="28" customFormat="1" ht="15" customHeight="1" x14ac:dyDescent="0.15">
      <c r="A963" s="28">
        <v>20112</v>
      </c>
      <c r="B963" s="28" t="s">
        <v>683</v>
      </c>
      <c r="C963" s="28">
        <f t="shared" si="129"/>
        <v>5</v>
      </c>
      <c r="D963" s="28">
        <v>1</v>
      </c>
      <c r="F963" s="12">
        <v>0</v>
      </c>
      <c r="G963" s="29">
        <v>1</v>
      </c>
      <c r="H963" s="29">
        <v>0</v>
      </c>
      <c r="I963" s="29">
        <v>1</v>
      </c>
      <c r="J963" s="29">
        <v>0</v>
      </c>
      <c r="K963" s="29">
        <v>0</v>
      </c>
      <c r="L963" s="28">
        <v>1</v>
      </c>
      <c r="M963" s="28">
        <f t="shared" si="130"/>
        <v>0</v>
      </c>
      <c r="N963" s="29">
        <v>0</v>
      </c>
      <c r="O963" s="29">
        <v>0</v>
      </c>
      <c r="P963" s="29">
        <v>0</v>
      </c>
      <c r="Q963" s="29">
        <v>0</v>
      </c>
      <c r="R963" s="29">
        <v>0</v>
      </c>
      <c r="S963" s="29">
        <v>0</v>
      </c>
      <c r="T963" s="28">
        <v>1</v>
      </c>
      <c r="U963" s="28">
        <v>0</v>
      </c>
      <c r="V963" s="28">
        <v>1</v>
      </c>
      <c r="W963" s="28">
        <v>0</v>
      </c>
      <c r="X963" s="28">
        <v>0</v>
      </c>
      <c r="Y963" s="28">
        <v>0</v>
      </c>
      <c r="Z963" s="30" t="s">
        <v>699</v>
      </c>
    </row>
    <row r="964" spans="1:26" s="28" customFormat="1" ht="15" customHeight="1" x14ac:dyDescent="0.15">
      <c r="A964" s="28">
        <v>20113</v>
      </c>
      <c r="B964" s="28" t="s">
        <v>684</v>
      </c>
      <c r="C964" s="28">
        <f t="shared" si="129"/>
        <v>5</v>
      </c>
      <c r="D964" s="28">
        <v>1</v>
      </c>
      <c r="F964" s="12">
        <v>0</v>
      </c>
      <c r="G964" s="29">
        <v>1</v>
      </c>
      <c r="H964" s="29">
        <v>0</v>
      </c>
      <c r="I964" s="29">
        <v>1</v>
      </c>
      <c r="J964" s="29">
        <v>0</v>
      </c>
      <c r="K964" s="29">
        <v>0</v>
      </c>
      <c r="L964" s="28">
        <v>1</v>
      </c>
      <c r="M964" s="28">
        <f t="shared" si="130"/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8">
        <v>1</v>
      </c>
      <c r="U964" s="28">
        <v>0</v>
      </c>
      <c r="V964" s="28">
        <v>1</v>
      </c>
      <c r="W964" s="28">
        <v>0</v>
      </c>
      <c r="X964" s="28">
        <v>0</v>
      </c>
      <c r="Y964" s="28">
        <v>0</v>
      </c>
      <c r="Z964" s="30" t="s">
        <v>700</v>
      </c>
    </row>
    <row r="965" spans="1:26" s="30" customFormat="1" ht="15" customHeight="1" x14ac:dyDescent="0.15">
      <c r="A965" s="30">
        <v>20114</v>
      </c>
      <c r="B965" s="30" t="s">
        <v>685</v>
      </c>
      <c r="C965" s="30">
        <f t="shared" si="129"/>
        <v>5</v>
      </c>
      <c r="D965" s="30">
        <v>1</v>
      </c>
      <c r="F965" s="12">
        <v>0</v>
      </c>
      <c r="G965" s="30">
        <v>1</v>
      </c>
      <c r="H965" s="30">
        <v>0</v>
      </c>
      <c r="I965" s="30">
        <v>1</v>
      </c>
      <c r="J965" s="30">
        <v>0</v>
      </c>
      <c r="K965" s="30">
        <v>0</v>
      </c>
      <c r="L965" s="30">
        <v>1</v>
      </c>
      <c r="M965" s="30">
        <f t="shared" si="130"/>
        <v>0</v>
      </c>
      <c r="N965" s="30">
        <v>0</v>
      </c>
      <c r="O965" s="30">
        <v>0</v>
      </c>
      <c r="P965" s="30">
        <v>0</v>
      </c>
      <c r="Q965" s="30">
        <v>0</v>
      </c>
      <c r="R965" s="30">
        <v>0</v>
      </c>
      <c r="S965" s="30">
        <v>0</v>
      </c>
      <c r="T965" s="30">
        <v>0</v>
      </c>
      <c r="U965" s="30">
        <v>1</v>
      </c>
      <c r="V965" s="30">
        <v>0</v>
      </c>
      <c r="W965" s="30">
        <v>0</v>
      </c>
      <c r="X965" s="30">
        <v>0</v>
      </c>
      <c r="Y965" s="30">
        <v>0</v>
      </c>
      <c r="Z965" s="30" t="s">
        <v>690</v>
      </c>
    </row>
    <row r="966" spans="1:26" s="30" customFormat="1" ht="15" customHeight="1" x14ac:dyDescent="0.15">
      <c r="A966" s="30">
        <v>20115</v>
      </c>
      <c r="B966" s="30" t="s">
        <v>691</v>
      </c>
      <c r="C966" s="30">
        <f t="shared" ref="C966:C973" si="131">G966+H966*2+I966*4+J966*8+K966*16</f>
        <v>5</v>
      </c>
      <c r="D966" s="30">
        <v>1</v>
      </c>
      <c r="F966" s="12">
        <v>0</v>
      </c>
      <c r="G966" s="30">
        <v>1</v>
      </c>
      <c r="H966" s="30">
        <v>0</v>
      </c>
      <c r="I966" s="30">
        <v>1</v>
      </c>
      <c r="J966" s="30">
        <v>0</v>
      </c>
      <c r="K966" s="30">
        <v>0</v>
      </c>
      <c r="L966" s="30">
        <v>1</v>
      </c>
      <c r="M966" s="30">
        <f t="shared" si="130"/>
        <v>0</v>
      </c>
      <c r="N966" s="30">
        <v>0</v>
      </c>
      <c r="O966" s="30">
        <v>0</v>
      </c>
      <c r="P966" s="30">
        <v>0</v>
      </c>
      <c r="Q966" s="30">
        <v>0</v>
      </c>
      <c r="R966" s="30">
        <v>0</v>
      </c>
      <c r="S966" s="30">
        <v>0</v>
      </c>
      <c r="T966" s="30">
        <v>1</v>
      </c>
      <c r="U966" s="30">
        <v>1</v>
      </c>
      <c r="V966" s="30">
        <v>0</v>
      </c>
      <c r="W966" s="30">
        <v>0</v>
      </c>
      <c r="X966" s="30">
        <v>0</v>
      </c>
      <c r="Y966" s="30">
        <v>0</v>
      </c>
      <c r="Z966" s="30" t="s">
        <v>686</v>
      </c>
    </row>
    <row r="967" spans="1:26" s="30" customFormat="1" ht="15" customHeight="1" x14ac:dyDescent="0.15">
      <c r="A967" s="30">
        <v>20116</v>
      </c>
      <c r="B967" s="30" t="s">
        <v>692</v>
      </c>
      <c r="C967" s="30">
        <f t="shared" si="131"/>
        <v>5</v>
      </c>
      <c r="D967" s="30">
        <v>1</v>
      </c>
      <c r="F967" s="12">
        <v>0</v>
      </c>
      <c r="G967" s="30">
        <v>1</v>
      </c>
      <c r="H967" s="30">
        <v>0</v>
      </c>
      <c r="I967" s="30">
        <v>1</v>
      </c>
      <c r="J967" s="30">
        <v>0</v>
      </c>
      <c r="K967" s="30">
        <v>0</v>
      </c>
      <c r="L967" s="30">
        <v>1</v>
      </c>
      <c r="M967" s="30">
        <f t="shared" si="130"/>
        <v>0</v>
      </c>
      <c r="N967" s="30">
        <v>0</v>
      </c>
      <c r="O967" s="30">
        <v>0</v>
      </c>
      <c r="P967" s="30">
        <v>0</v>
      </c>
      <c r="Q967" s="30">
        <v>0</v>
      </c>
      <c r="R967" s="30">
        <v>0</v>
      </c>
      <c r="S967" s="30">
        <v>0</v>
      </c>
      <c r="T967" s="30">
        <v>1</v>
      </c>
      <c r="U967" s="30">
        <v>1</v>
      </c>
      <c r="V967" s="30">
        <v>0</v>
      </c>
      <c r="W967" s="30">
        <v>0</v>
      </c>
      <c r="X967" s="30">
        <v>0</v>
      </c>
      <c r="Y967" s="30">
        <v>0</v>
      </c>
      <c r="Z967" s="30" t="s">
        <v>687</v>
      </c>
    </row>
    <row r="968" spans="1:26" s="30" customFormat="1" ht="15" customHeight="1" x14ac:dyDescent="0.15">
      <c r="A968" s="30">
        <v>20117</v>
      </c>
      <c r="B968" s="30" t="s">
        <v>693</v>
      </c>
      <c r="C968" s="30">
        <f t="shared" si="131"/>
        <v>5</v>
      </c>
      <c r="D968" s="30">
        <v>1</v>
      </c>
      <c r="F968" s="12">
        <v>0</v>
      </c>
      <c r="G968" s="30">
        <v>1</v>
      </c>
      <c r="H968" s="30">
        <v>0</v>
      </c>
      <c r="I968" s="30">
        <v>1</v>
      </c>
      <c r="J968" s="30">
        <v>0</v>
      </c>
      <c r="K968" s="30">
        <v>0</v>
      </c>
      <c r="L968" s="30">
        <v>1</v>
      </c>
      <c r="M968" s="30">
        <f t="shared" si="130"/>
        <v>0</v>
      </c>
      <c r="N968" s="30">
        <v>0</v>
      </c>
      <c r="O968" s="30">
        <v>0</v>
      </c>
      <c r="P968" s="30">
        <v>0</v>
      </c>
      <c r="Q968" s="30">
        <v>0</v>
      </c>
      <c r="R968" s="30">
        <v>0</v>
      </c>
      <c r="S968" s="30">
        <v>0</v>
      </c>
      <c r="T968" s="30">
        <v>1</v>
      </c>
      <c r="U968" s="30">
        <v>1</v>
      </c>
      <c r="V968" s="30">
        <v>0</v>
      </c>
      <c r="W968" s="30">
        <v>0</v>
      </c>
      <c r="X968" s="30">
        <v>0</v>
      </c>
      <c r="Y968" s="30">
        <v>0</v>
      </c>
      <c r="Z968" s="30" t="s">
        <v>688</v>
      </c>
    </row>
    <row r="969" spans="1:26" s="30" customFormat="1" ht="15" customHeight="1" x14ac:dyDescent="0.15">
      <c r="A969" s="30">
        <v>20118</v>
      </c>
      <c r="B969" s="30" t="s">
        <v>694</v>
      </c>
      <c r="C969" s="30">
        <f t="shared" si="131"/>
        <v>5</v>
      </c>
      <c r="D969" s="30">
        <v>1</v>
      </c>
      <c r="F969" s="12">
        <v>0</v>
      </c>
      <c r="G969" s="30">
        <v>1</v>
      </c>
      <c r="H969" s="30">
        <v>0</v>
      </c>
      <c r="I969" s="30">
        <v>1</v>
      </c>
      <c r="J969" s="30">
        <v>0</v>
      </c>
      <c r="K969" s="30">
        <v>0</v>
      </c>
      <c r="L969" s="30">
        <v>1</v>
      </c>
      <c r="M969" s="30">
        <f t="shared" si="130"/>
        <v>0</v>
      </c>
      <c r="N969" s="30">
        <v>0</v>
      </c>
      <c r="O969" s="30">
        <v>0</v>
      </c>
      <c r="P969" s="30">
        <v>0</v>
      </c>
      <c r="Q969" s="30">
        <v>0</v>
      </c>
      <c r="R969" s="30">
        <v>0</v>
      </c>
      <c r="S969" s="30">
        <v>0</v>
      </c>
      <c r="T969" s="30">
        <v>1</v>
      </c>
      <c r="U969" s="30">
        <v>1</v>
      </c>
      <c r="V969" s="30">
        <v>0</v>
      </c>
      <c r="W969" s="30">
        <v>0</v>
      </c>
      <c r="X969" s="30">
        <v>0</v>
      </c>
      <c r="Y969" s="30">
        <v>0</v>
      </c>
      <c r="Z969" s="30" t="s">
        <v>689</v>
      </c>
    </row>
    <row r="970" spans="1:26" s="30" customFormat="1" ht="15" customHeight="1" x14ac:dyDescent="0.15">
      <c r="A970" s="30">
        <v>20119</v>
      </c>
      <c r="B970" s="30" t="s">
        <v>752</v>
      </c>
      <c r="C970" s="30">
        <f t="shared" si="131"/>
        <v>5</v>
      </c>
      <c r="D970" s="30">
        <v>1</v>
      </c>
      <c r="F970" s="12">
        <v>0</v>
      </c>
      <c r="G970" s="30">
        <v>1</v>
      </c>
      <c r="H970" s="30">
        <v>0</v>
      </c>
      <c r="I970" s="30">
        <v>1</v>
      </c>
      <c r="J970" s="30">
        <v>0</v>
      </c>
      <c r="K970" s="30">
        <v>0</v>
      </c>
      <c r="L970" s="30">
        <v>1</v>
      </c>
      <c r="M970" s="30">
        <f t="shared" si="130"/>
        <v>0</v>
      </c>
      <c r="N970" s="30">
        <v>0</v>
      </c>
      <c r="O970" s="30">
        <v>0</v>
      </c>
      <c r="P970" s="30">
        <v>0</v>
      </c>
      <c r="Q970" s="30">
        <v>0</v>
      </c>
      <c r="R970" s="30">
        <v>0</v>
      </c>
      <c r="S970" s="30">
        <v>0</v>
      </c>
      <c r="T970" s="30">
        <v>1</v>
      </c>
      <c r="U970" s="30">
        <v>1</v>
      </c>
      <c r="V970" s="30">
        <v>0</v>
      </c>
      <c r="W970" s="30">
        <v>0</v>
      </c>
      <c r="X970" s="30">
        <v>0</v>
      </c>
      <c r="Y970" s="30">
        <v>0</v>
      </c>
      <c r="Z970" s="30" t="s">
        <v>753</v>
      </c>
    </row>
    <row r="971" spans="1:26" s="30" customFormat="1" ht="15" customHeight="1" x14ac:dyDescent="0.15">
      <c r="A971" s="30">
        <v>20200</v>
      </c>
      <c r="B971" s="30" t="s">
        <v>736</v>
      </c>
      <c r="C971" s="30">
        <f>G971+H971*2+I971*4+J971*8+K971*16</f>
        <v>5</v>
      </c>
      <c r="D971" s="30">
        <v>1</v>
      </c>
      <c r="F971" s="12">
        <v>0</v>
      </c>
      <c r="G971" s="30">
        <v>1</v>
      </c>
      <c r="H971" s="30">
        <v>0</v>
      </c>
      <c r="I971" s="30">
        <v>1</v>
      </c>
      <c r="J971" s="30">
        <v>0</v>
      </c>
      <c r="K971" s="30">
        <v>0</v>
      </c>
      <c r="L971" s="30">
        <v>1</v>
      </c>
      <c r="M971" s="30">
        <f t="shared" ref="M971:M977" si="132">N971+O971*2+P971*4+Q971*8+R971*16+S971*32</f>
        <v>0</v>
      </c>
      <c r="N971" s="30">
        <v>0</v>
      </c>
      <c r="O971" s="30">
        <v>0</v>
      </c>
      <c r="P971" s="30">
        <v>0</v>
      </c>
      <c r="Q971" s="30">
        <v>0</v>
      </c>
      <c r="R971" s="30">
        <v>0</v>
      </c>
      <c r="S971" s="30">
        <v>0</v>
      </c>
      <c r="T971" s="30">
        <v>1</v>
      </c>
      <c r="U971" s="30">
        <v>1</v>
      </c>
      <c r="V971" s="30">
        <v>0</v>
      </c>
      <c r="W971" s="30">
        <v>0</v>
      </c>
      <c r="X971" s="30">
        <v>0</v>
      </c>
      <c r="Y971" s="30">
        <v>0</v>
      </c>
      <c r="Z971" s="30" t="s">
        <v>954</v>
      </c>
    </row>
    <row r="972" spans="1:26" s="30" customFormat="1" ht="15" customHeight="1" x14ac:dyDescent="0.15">
      <c r="A972" s="30">
        <v>20201</v>
      </c>
      <c r="B972" s="30" t="s">
        <v>735</v>
      </c>
      <c r="C972" s="30">
        <f>G972+H972*2+I972*4+J972*8+K972*16</f>
        <v>5</v>
      </c>
      <c r="D972" s="30">
        <v>1</v>
      </c>
      <c r="F972" s="12">
        <v>0</v>
      </c>
      <c r="G972" s="30">
        <v>1</v>
      </c>
      <c r="H972" s="30">
        <v>0</v>
      </c>
      <c r="I972" s="30">
        <v>1</v>
      </c>
      <c r="J972" s="30">
        <v>0</v>
      </c>
      <c r="K972" s="30">
        <v>0</v>
      </c>
      <c r="L972" s="30">
        <v>1</v>
      </c>
      <c r="M972" s="30">
        <f t="shared" si="132"/>
        <v>0</v>
      </c>
      <c r="N972" s="30">
        <v>0</v>
      </c>
      <c r="O972" s="30">
        <v>0</v>
      </c>
      <c r="P972" s="30">
        <v>0</v>
      </c>
      <c r="Q972" s="30">
        <v>0</v>
      </c>
      <c r="R972" s="30">
        <v>0</v>
      </c>
      <c r="S972" s="30">
        <v>0</v>
      </c>
      <c r="T972" s="30">
        <v>1</v>
      </c>
      <c r="U972" s="30">
        <v>1</v>
      </c>
      <c r="V972" s="30">
        <v>0</v>
      </c>
      <c r="W972" s="30">
        <v>0</v>
      </c>
      <c r="X972" s="30">
        <v>0</v>
      </c>
      <c r="Y972" s="30">
        <v>0</v>
      </c>
      <c r="Z972" s="30" t="s">
        <v>955</v>
      </c>
    </row>
    <row r="973" spans="1:26" s="30" customFormat="1" ht="15" customHeight="1" x14ac:dyDescent="0.15">
      <c r="A973" s="30">
        <v>20202</v>
      </c>
      <c r="B973" s="30" t="s">
        <v>712</v>
      </c>
      <c r="C973" s="30">
        <f t="shared" si="131"/>
        <v>5</v>
      </c>
      <c r="D973" s="30">
        <v>1</v>
      </c>
      <c r="F973" s="12">
        <v>0</v>
      </c>
      <c r="G973" s="30">
        <v>1</v>
      </c>
      <c r="H973" s="30">
        <v>0</v>
      </c>
      <c r="I973" s="30">
        <v>1</v>
      </c>
      <c r="J973" s="30">
        <v>0</v>
      </c>
      <c r="K973" s="30">
        <v>0</v>
      </c>
      <c r="L973" s="30">
        <v>1</v>
      </c>
      <c r="M973" s="30">
        <f t="shared" si="132"/>
        <v>0</v>
      </c>
      <c r="N973" s="30">
        <v>0</v>
      </c>
      <c r="O973" s="30">
        <v>0</v>
      </c>
      <c r="P973" s="30">
        <v>0</v>
      </c>
      <c r="Q973" s="30">
        <v>0</v>
      </c>
      <c r="R973" s="30">
        <v>0</v>
      </c>
      <c r="S973" s="30">
        <v>0</v>
      </c>
      <c r="T973" s="30">
        <v>1</v>
      </c>
      <c r="U973" s="30">
        <v>1</v>
      </c>
      <c r="V973" s="30">
        <v>0</v>
      </c>
      <c r="W973" s="30">
        <v>0</v>
      </c>
      <c r="X973" s="30">
        <v>0</v>
      </c>
      <c r="Y973" s="30">
        <v>0</v>
      </c>
      <c r="Z973" s="30" t="s">
        <v>722</v>
      </c>
    </row>
    <row r="974" spans="1:26" s="30" customFormat="1" ht="15" customHeight="1" x14ac:dyDescent="0.15">
      <c r="A974" s="30">
        <v>20203</v>
      </c>
      <c r="B974" s="31" t="s">
        <v>715</v>
      </c>
      <c r="C974" s="30">
        <f t="shared" ref="C974:C986" si="133">G974+H974*2+I974*4+J974*8+K974*16</f>
        <v>5</v>
      </c>
      <c r="D974" s="30">
        <v>1</v>
      </c>
      <c r="F974" s="12">
        <v>0</v>
      </c>
      <c r="G974" s="30">
        <v>1</v>
      </c>
      <c r="H974" s="30">
        <v>0</v>
      </c>
      <c r="I974" s="30">
        <v>1</v>
      </c>
      <c r="J974" s="30">
        <v>0</v>
      </c>
      <c r="K974" s="30">
        <v>0</v>
      </c>
      <c r="L974" s="30">
        <v>1</v>
      </c>
      <c r="M974" s="30">
        <f t="shared" si="132"/>
        <v>0</v>
      </c>
      <c r="N974" s="30">
        <v>0</v>
      </c>
      <c r="O974" s="30">
        <v>0</v>
      </c>
      <c r="P974" s="30">
        <v>0</v>
      </c>
      <c r="Q974" s="30">
        <v>0</v>
      </c>
      <c r="R974" s="30">
        <v>0</v>
      </c>
      <c r="S974" s="30">
        <v>0</v>
      </c>
      <c r="T974" s="30">
        <v>1</v>
      </c>
      <c r="U974" s="30">
        <v>1</v>
      </c>
      <c r="V974" s="30">
        <v>0</v>
      </c>
      <c r="W974" s="30">
        <v>0</v>
      </c>
      <c r="X974" s="30">
        <v>0</v>
      </c>
      <c r="Y974" s="30">
        <v>0</v>
      </c>
      <c r="Z974" s="31" t="s">
        <v>716</v>
      </c>
    </row>
    <row r="975" spans="1:26" s="30" customFormat="1" ht="15" customHeight="1" x14ac:dyDescent="0.15">
      <c r="A975" s="30">
        <v>20204</v>
      </c>
      <c r="B975" s="30" t="s">
        <v>713</v>
      </c>
      <c r="C975" s="30">
        <f t="shared" si="133"/>
        <v>5</v>
      </c>
      <c r="D975" s="30">
        <v>1</v>
      </c>
      <c r="F975" s="12">
        <v>0</v>
      </c>
      <c r="G975" s="30">
        <v>1</v>
      </c>
      <c r="H975" s="30">
        <v>0</v>
      </c>
      <c r="I975" s="30">
        <v>1</v>
      </c>
      <c r="J975" s="30">
        <v>0</v>
      </c>
      <c r="K975" s="30">
        <v>0</v>
      </c>
      <c r="L975" s="30">
        <v>1</v>
      </c>
      <c r="M975" s="30">
        <f t="shared" si="132"/>
        <v>0</v>
      </c>
      <c r="N975" s="30">
        <v>0</v>
      </c>
      <c r="O975" s="30">
        <v>0</v>
      </c>
      <c r="P975" s="30">
        <v>0</v>
      </c>
      <c r="Q975" s="30">
        <v>0</v>
      </c>
      <c r="R975" s="30">
        <v>0</v>
      </c>
      <c r="S975" s="30">
        <v>0</v>
      </c>
      <c r="T975" s="30">
        <v>1</v>
      </c>
      <c r="U975" s="30">
        <v>1</v>
      </c>
      <c r="V975" s="30">
        <v>0</v>
      </c>
      <c r="W975" s="30">
        <v>0</v>
      </c>
      <c r="X975" s="30">
        <v>0</v>
      </c>
      <c r="Y975" s="30">
        <v>0</v>
      </c>
      <c r="Z975" s="31" t="s">
        <v>717</v>
      </c>
    </row>
    <row r="976" spans="1:26" s="30" customFormat="1" ht="15" customHeight="1" x14ac:dyDescent="0.15">
      <c r="A976" s="30">
        <v>20205</v>
      </c>
      <c r="B976" s="30" t="s">
        <v>714</v>
      </c>
      <c r="C976" s="30">
        <f t="shared" si="133"/>
        <v>5</v>
      </c>
      <c r="D976" s="30">
        <v>1</v>
      </c>
      <c r="F976" s="12">
        <v>0</v>
      </c>
      <c r="G976" s="30">
        <v>1</v>
      </c>
      <c r="H976" s="30">
        <v>0</v>
      </c>
      <c r="I976" s="30">
        <v>1</v>
      </c>
      <c r="J976" s="30">
        <v>0</v>
      </c>
      <c r="K976" s="30">
        <v>0</v>
      </c>
      <c r="L976" s="30">
        <v>1</v>
      </c>
      <c r="M976" s="30">
        <f t="shared" si="132"/>
        <v>0</v>
      </c>
      <c r="N976" s="30">
        <v>0</v>
      </c>
      <c r="O976" s="30">
        <v>0</v>
      </c>
      <c r="P976" s="30">
        <v>0</v>
      </c>
      <c r="Q976" s="30">
        <v>0</v>
      </c>
      <c r="R976" s="30">
        <v>0</v>
      </c>
      <c r="S976" s="30">
        <v>0</v>
      </c>
      <c r="T976" s="30">
        <v>1</v>
      </c>
      <c r="U976" s="30">
        <v>1</v>
      </c>
      <c r="V976" s="30">
        <v>0</v>
      </c>
      <c r="W976" s="30">
        <v>0</v>
      </c>
      <c r="X976" s="30">
        <v>0</v>
      </c>
      <c r="Y976" s="30">
        <v>0</v>
      </c>
      <c r="Z976" s="31" t="s">
        <v>718</v>
      </c>
    </row>
    <row r="977" spans="1:26" s="8" customFormat="1" ht="53.25" customHeight="1" x14ac:dyDescent="0.15">
      <c r="A977" s="8">
        <v>20206</v>
      </c>
      <c r="B977" s="8" t="s">
        <v>723</v>
      </c>
      <c r="C977" s="8">
        <f t="shared" si="133"/>
        <v>5</v>
      </c>
      <c r="D977" s="8">
        <v>1</v>
      </c>
      <c r="F977" s="12">
        <v>0</v>
      </c>
      <c r="G977" s="14">
        <v>1</v>
      </c>
      <c r="H977" s="14">
        <v>0</v>
      </c>
      <c r="I977" s="14">
        <v>1</v>
      </c>
      <c r="J977" s="14">
        <v>0</v>
      </c>
      <c r="K977" s="14">
        <v>0</v>
      </c>
      <c r="L977" s="8">
        <v>1</v>
      </c>
      <c r="M977" s="8">
        <f t="shared" si="132"/>
        <v>34</v>
      </c>
      <c r="N977" s="14">
        <v>0</v>
      </c>
      <c r="O977" s="14">
        <v>1</v>
      </c>
      <c r="P977" s="14">
        <v>0</v>
      </c>
      <c r="Q977" s="14">
        <v>0</v>
      </c>
      <c r="R977" s="14">
        <v>0</v>
      </c>
      <c r="S977" s="14">
        <v>1</v>
      </c>
      <c r="T977" s="8">
        <v>1</v>
      </c>
      <c r="U977" s="8">
        <v>0</v>
      </c>
      <c r="V977" s="8">
        <v>1</v>
      </c>
      <c r="W977" s="8">
        <v>0</v>
      </c>
      <c r="X977" s="8">
        <v>0</v>
      </c>
      <c r="Y977" s="8">
        <v>0</v>
      </c>
      <c r="Z977" s="7" t="s">
        <v>754</v>
      </c>
    </row>
    <row r="978" spans="1:26" s="8" customFormat="1" ht="53.25" customHeight="1" x14ac:dyDescent="0.15">
      <c r="A978" s="8">
        <v>20207</v>
      </c>
      <c r="B978" s="8" t="s">
        <v>724</v>
      </c>
      <c r="C978" s="8">
        <f t="shared" si="133"/>
        <v>5</v>
      </c>
      <c r="D978" s="8">
        <v>1</v>
      </c>
      <c r="F978" s="12">
        <v>0</v>
      </c>
      <c r="G978" s="14">
        <v>1</v>
      </c>
      <c r="H978" s="14">
        <v>0</v>
      </c>
      <c r="I978" s="14">
        <v>1</v>
      </c>
      <c r="J978" s="14">
        <v>0</v>
      </c>
      <c r="K978" s="14">
        <v>0</v>
      </c>
      <c r="L978" s="8">
        <v>1</v>
      </c>
      <c r="M978" s="8">
        <f t="shared" ref="M978:M986" si="134">N978+O978*2+P978*4+Q978*8+R978*16+S978*32</f>
        <v>34</v>
      </c>
      <c r="N978" s="14">
        <v>0</v>
      </c>
      <c r="O978" s="14">
        <v>1</v>
      </c>
      <c r="P978" s="14">
        <v>0</v>
      </c>
      <c r="Q978" s="14">
        <v>0</v>
      </c>
      <c r="R978" s="14">
        <v>0</v>
      </c>
      <c r="S978" s="14">
        <v>1</v>
      </c>
      <c r="T978" s="8">
        <v>1</v>
      </c>
      <c r="U978" s="8">
        <v>0</v>
      </c>
      <c r="V978" s="8">
        <v>1</v>
      </c>
      <c r="W978" s="8">
        <v>0</v>
      </c>
      <c r="X978" s="8">
        <v>0</v>
      </c>
      <c r="Y978" s="8">
        <v>0</v>
      </c>
      <c r="Z978" s="7" t="s">
        <v>765</v>
      </c>
    </row>
    <row r="979" spans="1:26" s="8" customFormat="1" ht="53.25" customHeight="1" x14ac:dyDescent="0.15">
      <c r="A979" s="8">
        <v>20208</v>
      </c>
      <c r="B979" s="8" t="s">
        <v>725</v>
      </c>
      <c r="C979" s="8">
        <f t="shared" si="133"/>
        <v>5</v>
      </c>
      <c r="D979" s="8">
        <v>1</v>
      </c>
      <c r="F979" s="12">
        <v>0</v>
      </c>
      <c r="G979" s="14">
        <v>1</v>
      </c>
      <c r="H979" s="14">
        <v>0</v>
      </c>
      <c r="I979" s="14">
        <v>1</v>
      </c>
      <c r="J979" s="14">
        <v>0</v>
      </c>
      <c r="K979" s="14">
        <v>0</v>
      </c>
      <c r="L979" s="8">
        <v>1</v>
      </c>
      <c r="M979" s="8">
        <f t="shared" si="134"/>
        <v>34</v>
      </c>
      <c r="N979" s="14">
        <v>0</v>
      </c>
      <c r="O979" s="14">
        <v>1</v>
      </c>
      <c r="P979" s="14">
        <v>0</v>
      </c>
      <c r="Q979" s="14">
        <v>0</v>
      </c>
      <c r="R979" s="14">
        <v>0</v>
      </c>
      <c r="S979" s="14">
        <v>1</v>
      </c>
      <c r="T979" s="8">
        <v>1</v>
      </c>
      <c r="U979" s="8">
        <v>0</v>
      </c>
      <c r="V979" s="8">
        <v>1</v>
      </c>
      <c r="W979" s="8">
        <v>0</v>
      </c>
      <c r="X979" s="8">
        <v>0</v>
      </c>
      <c r="Y979" s="8">
        <v>0</v>
      </c>
      <c r="Z979" s="7" t="s">
        <v>755</v>
      </c>
    </row>
    <row r="980" spans="1:26" s="8" customFormat="1" ht="53.25" customHeight="1" x14ac:dyDescent="0.15">
      <c r="A980" s="8">
        <v>20209</v>
      </c>
      <c r="B980" s="8" t="s">
        <v>726</v>
      </c>
      <c r="C980" s="8">
        <f t="shared" si="133"/>
        <v>5</v>
      </c>
      <c r="D980" s="8">
        <v>1</v>
      </c>
      <c r="F980" s="12">
        <v>0</v>
      </c>
      <c r="G980" s="14">
        <v>1</v>
      </c>
      <c r="H980" s="14">
        <v>0</v>
      </c>
      <c r="I980" s="14">
        <v>1</v>
      </c>
      <c r="J980" s="14">
        <v>0</v>
      </c>
      <c r="K980" s="14">
        <v>0</v>
      </c>
      <c r="L980" s="8">
        <v>1</v>
      </c>
      <c r="M980" s="8">
        <f t="shared" si="134"/>
        <v>34</v>
      </c>
      <c r="N980" s="14">
        <v>0</v>
      </c>
      <c r="O980" s="14">
        <v>1</v>
      </c>
      <c r="P980" s="14">
        <v>0</v>
      </c>
      <c r="Q980" s="14">
        <v>0</v>
      </c>
      <c r="R980" s="14">
        <v>0</v>
      </c>
      <c r="S980" s="14">
        <v>1</v>
      </c>
      <c r="T980" s="8">
        <v>1</v>
      </c>
      <c r="U980" s="8">
        <v>0</v>
      </c>
      <c r="V980" s="8">
        <v>1</v>
      </c>
      <c r="W980" s="8">
        <v>0</v>
      </c>
      <c r="X980" s="8">
        <v>0</v>
      </c>
      <c r="Y980" s="8">
        <v>0</v>
      </c>
      <c r="Z980" s="7" t="s">
        <v>756</v>
      </c>
    </row>
    <row r="981" spans="1:26" s="8" customFormat="1" ht="53.25" customHeight="1" x14ac:dyDescent="0.15">
      <c r="A981" s="8">
        <v>20210</v>
      </c>
      <c r="B981" s="8" t="s">
        <v>727</v>
      </c>
      <c r="C981" s="8">
        <f t="shared" si="133"/>
        <v>5</v>
      </c>
      <c r="D981" s="8">
        <v>1</v>
      </c>
      <c r="F981" s="12">
        <v>0</v>
      </c>
      <c r="G981" s="14">
        <v>1</v>
      </c>
      <c r="H981" s="14">
        <v>0</v>
      </c>
      <c r="I981" s="14">
        <v>1</v>
      </c>
      <c r="J981" s="14">
        <v>0</v>
      </c>
      <c r="K981" s="14">
        <v>0</v>
      </c>
      <c r="L981" s="8">
        <v>1</v>
      </c>
      <c r="M981" s="8">
        <f t="shared" si="134"/>
        <v>34</v>
      </c>
      <c r="N981" s="14">
        <v>0</v>
      </c>
      <c r="O981" s="14">
        <v>1</v>
      </c>
      <c r="P981" s="14">
        <v>0</v>
      </c>
      <c r="Q981" s="14">
        <v>0</v>
      </c>
      <c r="R981" s="14">
        <v>0</v>
      </c>
      <c r="S981" s="14">
        <v>1</v>
      </c>
      <c r="T981" s="8">
        <v>1</v>
      </c>
      <c r="U981" s="8">
        <v>0</v>
      </c>
      <c r="V981" s="8">
        <v>1</v>
      </c>
      <c r="W981" s="8">
        <v>0</v>
      </c>
      <c r="X981" s="8">
        <v>0</v>
      </c>
      <c r="Y981" s="8">
        <v>0</v>
      </c>
      <c r="Z981" s="7" t="s">
        <v>758</v>
      </c>
    </row>
    <row r="982" spans="1:26" s="8" customFormat="1" ht="53.25" customHeight="1" x14ac:dyDescent="0.15">
      <c r="A982" s="8">
        <v>20211</v>
      </c>
      <c r="B982" s="8" t="s">
        <v>728</v>
      </c>
      <c r="C982" s="8">
        <f t="shared" si="133"/>
        <v>5</v>
      </c>
      <c r="D982" s="8">
        <v>1</v>
      </c>
      <c r="F982" s="12">
        <v>0</v>
      </c>
      <c r="G982" s="14">
        <v>1</v>
      </c>
      <c r="H982" s="14">
        <v>0</v>
      </c>
      <c r="I982" s="14">
        <v>1</v>
      </c>
      <c r="J982" s="14">
        <v>0</v>
      </c>
      <c r="K982" s="14">
        <v>0</v>
      </c>
      <c r="L982" s="8">
        <v>1</v>
      </c>
      <c r="M982" s="8">
        <f t="shared" si="134"/>
        <v>34</v>
      </c>
      <c r="N982" s="14">
        <v>0</v>
      </c>
      <c r="O982" s="14">
        <v>1</v>
      </c>
      <c r="P982" s="14">
        <v>0</v>
      </c>
      <c r="Q982" s="14">
        <v>0</v>
      </c>
      <c r="R982" s="14">
        <v>0</v>
      </c>
      <c r="S982" s="14">
        <v>1</v>
      </c>
      <c r="T982" s="8">
        <v>1</v>
      </c>
      <c r="U982" s="8">
        <v>0</v>
      </c>
      <c r="V982" s="8">
        <v>1</v>
      </c>
      <c r="W982" s="8">
        <v>0</v>
      </c>
      <c r="X982" s="8">
        <v>0</v>
      </c>
      <c r="Y982" s="8">
        <v>0</v>
      </c>
      <c r="Z982" s="7" t="s">
        <v>729</v>
      </c>
    </row>
    <row r="983" spans="1:26" s="8" customFormat="1" ht="53.25" customHeight="1" x14ac:dyDescent="0.15">
      <c r="A983" s="8">
        <v>20212</v>
      </c>
      <c r="B983" s="8" t="s">
        <v>730</v>
      </c>
      <c r="C983" s="8">
        <f t="shared" si="133"/>
        <v>5</v>
      </c>
      <c r="D983" s="8">
        <v>1</v>
      </c>
      <c r="F983" s="12">
        <v>0</v>
      </c>
      <c r="G983" s="14">
        <v>1</v>
      </c>
      <c r="H983" s="14">
        <v>0</v>
      </c>
      <c r="I983" s="14">
        <v>1</v>
      </c>
      <c r="J983" s="14">
        <v>0</v>
      </c>
      <c r="K983" s="14">
        <v>0</v>
      </c>
      <c r="L983" s="8">
        <v>1</v>
      </c>
      <c r="M983" s="8">
        <f t="shared" si="134"/>
        <v>34</v>
      </c>
      <c r="N983" s="14">
        <v>0</v>
      </c>
      <c r="O983" s="14">
        <v>1</v>
      </c>
      <c r="P983" s="14">
        <v>0</v>
      </c>
      <c r="Q983" s="14">
        <v>0</v>
      </c>
      <c r="R983" s="14">
        <v>0</v>
      </c>
      <c r="S983" s="14">
        <v>1</v>
      </c>
      <c r="T983" s="8">
        <v>1</v>
      </c>
      <c r="U983" s="8">
        <v>0</v>
      </c>
      <c r="V983" s="8">
        <v>1</v>
      </c>
      <c r="W983" s="8">
        <v>0</v>
      </c>
      <c r="X983" s="8">
        <v>0</v>
      </c>
      <c r="Y983" s="8">
        <v>0</v>
      </c>
      <c r="Z983" s="7" t="s">
        <v>759</v>
      </c>
    </row>
    <row r="984" spans="1:26" s="8" customFormat="1" ht="53.25" customHeight="1" x14ac:dyDescent="0.15">
      <c r="A984" s="8">
        <v>20213</v>
      </c>
      <c r="B984" s="8" t="s">
        <v>731</v>
      </c>
      <c r="C984" s="8">
        <f t="shared" si="133"/>
        <v>5</v>
      </c>
      <c r="D984" s="8">
        <v>1</v>
      </c>
      <c r="F984" s="12">
        <v>0</v>
      </c>
      <c r="G984" s="14">
        <v>1</v>
      </c>
      <c r="H984" s="14">
        <v>0</v>
      </c>
      <c r="I984" s="14">
        <v>1</v>
      </c>
      <c r="J984" s="14">
        <v>0</v>
      </c>
      <c r="K984" s="14">
        <v>0</v>
      </c>
      <c r="L984" s="8">
        <v>1</v>
      </c>
      <c r="M984" s="8">
        <f t="shared" si="134"/>
        <v>34</v>
      </c>
      <c r="N984" s="14">
        <v>0</v>
      </c>
      <c r="O984" s="14">
        <v>1</v>
      </c>
      <c r="P984" s="14">
        <v>0</v>
      </c>
      <c r="Q984" s="14">
        <v>0</v>
      </c>
      <c r="R984" s="14">
        <v>0</v>
      </c>
      <c r="S984" s="14">
        <v>1</v>
      </c>
      <c r="T984" s="8">
        <v>1</v>
      </c>
      <c r="U984" s="8">
        <v>0</v>
      </c>
      <c r="V984" s="8">
        <v>1</v>
      </c>
      <c r="W984" s="8">
        <v>0</v>
      </c>
      <c r="X984" s="8">
        <v>0</v>
      </c>
      <c r="Y984" s="8">
        <v>0</v>
      </c>
      <c r="Z984" s="7" t="s">
        <v>760</v>
      </c>
    </row>
    <row r="985" spans="1:26" s="8" customFormat="1" ht="53.25" customHeight="1" x14ac:dyDescent="0.15">
      <c r="A985" s="8">
        <v>20214</v>
      </c>
      <c r="B985" s="8" t="s">
        <v>732</v>
      </c>
      <c r="C985" s="8">
        <f>G985+H985*2+I985*4+J985*8+K985*16</f>
        <v>5</v>
      </c>
      <c r="D985" s="8">
        <v>1</v>
      </c>
      <c r="F985" s="12">
        <v>0</v>
      </c>
      <c r="G985" s="14">
        <v>1</v>
      </c>
      <c r="H985" s="14">
        <v>0</v>
      </c>
      <c r="I985" s="14">
        <v>1</v>
      </c>
      <c r="J985" s="14">
        <v>0</v>
      </c>
      <c r="K985" s="14">
        <v>0</v>
      </c>
      <c r="L985" s="8">
        <v>1</v>
      </c>
      <c r="M985" s="8">
        <f t="shared" si="134"/>
        <v>34</v>
      </c>
      <c r="N985" s="14">
        <v>0</v>
      </c>
      <c r="O985" s="14">
        <v>1</v>
      </c>
      <c r="P985" s="14">
        <v>0</v>
      </c>
      <c r="Q985" s="14">
        <v>0</v>
      </c>
      <c r="R985" s="14">
        <v>0</v>
      </c>
      <c r="S985" s="14">
        <v>1</v>
      </c>
      <c r="T985" s="8">
        <v>1</v>
      </c>
      <c r="U985" s="8">
        <v>0</v>
      </c>
      <c r="V985" s="8">
        <v>1</v>
      </c>
      <c r="W985" s="8">
        <v>0</v>
      </c>
      <c r="X985" s="8">
        <v>0</v>
      </c>
      <c r="Y985" s="8">
        <v>0</v>
      </c>
      <c r="Z985" s="7" t="s">
        <v>761</v>
      </c>
    </row>
    <row r="986" spans="1:26" s="8" customFormat="1" ht="53.25" customHeight="1" x14ac:dyDescent="0.15">
      <c r="A986" s="8">
        <v>20215</v>
      </c>
      <c r="B986" s="8" t="s">
        <v>733</v>
      </c>
      <c r="C986" s="8">
        <f t="shared" si="133"/>
        <v>5</v>
      </c>
      <c r="D986" s="8">
        <v>1</v>
      </c>
      <c r="F986" s="12">
        <v>0</v>
      </c>
      <c r="G986" s="14">
        <v>1</v>
      </c>
      <c r="H986" s="14">
        <v>0</v>
      </c>
      <c r="I986" s="14">
        <v>1</v>
      </c>
      <c r="J986" s="14">
        <v>0</v>
      </c>
      <c r="K986" s="14">
        <v>0</v>
      </c>
      <c r="L986" s="8">
        <v>1</v>
      </c>
      <c r="M986" s="8">
        <f t="shared" si="134"/>
        <v>34</v>
      </c>
      <c r="N986" s="14">
        <v>0</v>
      </c>
      <c r="O986" s="14">
        <v>1</v>
      </c>
      <c r="P986" s="14">
        <v>0</v>
      </c>
      <c r="Q986" s="14">
        <v>0</v>
      </c>
      <c r="R986" s="14">
        <v>0</v>
      </c>
      <c r="S986" s="14">
        <v>1</v>
      </c>
      <c r="T986" s="8">
        <v>1</v>
      </c>
      <c r="U986" s="8">
        <v>0</v>
      </c>
      <c r="V986" s="8">
        <v>1</v>
      </c>
      <c r="W986" s="8">
        <v>0</v>
      </c>
      <c r="X986" s="8">
        <v>1</v>
      </c>
      <c r="Y986" s="8">
        <v>0</v>
      </c>
      <c r="Z986" s="7" t="s">
        <v>734</v>
      </c>
    </row>
    <row r="987" spans="1:26" s="8" customFormat="1" ht="53.25" customHeight="1" x14ac:dyDescent="0.15">
      <c r="A987" s="8">
        <v>20216</v>
      </c>
      <c r="B987" s="32" t="s">
        <v>737</v>
      </c>
      <c r="C987" s="8">
        <f t="shared" ref="C987:C995" si="135">G987+H987*2+I987*4+J987*8+K987*16</f>
        <v>5</v>
      </c>
      <c r="D987" s="8">
        <v>1</v>
      </c>
      <c r="F987" s="12">
        <v>0</v>
      </c>
      <c r="G987" s="14">
        <v>1</v>
      </c>
      <c r="H987" s="14">
        <v>0</v>
      </c>
      <c r="I987" s="14">
        <v>1</v>
      </c>
      <c r="J987" s="14">
        <v>0</v>
      </c>
      <c r="K987" s="14">
        <v>0</v>
      </c>
      <c r="L987" s="8">
        <v>1</v>
      </c>
      <c r="M987" s="8">
        <f t="shared" ref="M987:M992" si="136">N987+O987*2+P987*4+Q987*8+R987*16+S987*32</f>
        <v>34</v>
      </c>
      <c r="N987" s="14">
        <v>0</v>
      </c>
      <c r="O987" s="14">
        <v>1</v>
      </c>
      <c r="P987" s="14">
        <v>0</v>
      </c>
      <c r="Q987" s="14">
        <v>0</v>
      </c>
      <c r="R987" s="14">
        <v>0</v>
      </c>
      <c r="S987" s="14">
        <v>1</v>
      </c>
      <c r="T987" s="8">
        <v>1</v>
      </c>
      <c r="U987" s="8">
        <v>0</v>
      </c>
      <c r="V987" s="8">
        <v>1</v>
      </c>
      <c r="W987" s="8">
        <v>0</v>
      </c>
      <c r="X987" s="8">
        <v>0</v>
      </c>
      <c r="Y987" s="8">
        <v>0</v>
      </c>
      <c r="Z987" s="7" t="s">
        <v>757</v>
      </c>
    </row>
    <row r="988" spans="1:26" s="30" customFormat="1" ht="15" customHeight="1" x14ac:dyDescent="0.15">
      <c r="A988" s="30">
        <v>20217</v>
      </c>
      <c r="B988" s="30" t="s">
        <v>866</v>
      </c>
      <c r="C988" s="30">
        <f t="shared" si="135"/>
        <v>5</v>
      </c>
      <c r="D988" s="30">
        <v>1</v>
      </c>
      <c r="F988" s="12">
        <v>0</v>
      </c>
      <c r="G988" s="30">
        <v>1</v>
      </c>
      <c r="H988" s="30">
        <v>0</v>
      </c>
      <c r="I988" s="30">
        <v>1</v>
      </c>
      <c r="J988" s="30">
        <v>0</v>
      </c>
      <c r="K988" s="30">
        <v>0</v>
      </c>
      <c r="L988" s="30">
        <v>1</v>
      </c>
      <c r="M988" s="30">
        <f t="shared" si="136"/>
        <v>0</v>
      </c>
      <c r="N988" s="30">
        <v>0</v>
      </c>
      <c r="O988" s="30">
        <v>0</v>
      </c>
      <c r="P988" s="30">
        <v>0</v>
      </c>
      <c r="Q988" s="30">
        <v>0</v>
      </c>
      <c r="R988" s="30">
        <v>0</v>
      </c>
      <c r="S988" s="30">
        <v>0</v>
      </c>
      <c r="T988" s="30">
        <v>1</v>
      </c>
      <c r="U988" s="30">
        <v>1</v>
      </c>
      <c r="V988" s="30">
        <v>0</v>
      </c>
      <c r="W988" s="30">
        <v>0</v>
      </c>
      <c r="X988" s="30">
        <v>0</v>
      </c>
      <c r="Y988" s="30">
        <v>0</v>
      </c>
      <c r="Z988" s="30" t="s">
        <v>956</v>
      </c>
    </row>
    <row r="989" spans="1:26" s="30" customFormat="1" ht="15" customHeight="1" x14ac:dyDescent="0.15">
      <c r="A989" s="30">
        <v>20218</v>
      </c>
      <c r="B989" s="30" t="s">
        <v>867</v>
      </c>
      <c r="C989" s="30">
        <f t="shared" si="135"/>
        <v>5</v>
      </c>
      <c r="D989" s="30">
        <v>1</v>
      </c>
      <c r="F989" s="12">
        <v>0</v>
      </c>
      <c r="G989" s="30">
        <v>1</v>
      </c>
      <c r="H989" s="30">
        <v>0</v>
      </c>
      <c r="I989" s="30">
        <v>1</v>
      </c>
      <c r="J989" s="30">
        <v>0</v>
      </c>
      <c r="K989" s="30">
        <v>0</v>
      </c>
      <c r="L989" s="30">
        <v>1</v>
      </c>
      <c r="M989" s="30">
        <f t="shared" si="136"/>
        <v>0</v>
      </c>
      <c r="N989" s="30">
        <v>0</v>
      </c>
      <c r="O989" s="30">
        <v>0</v>
      </c>
      <c r="P989" s="30">
        <v>0</v>
      </c>
      <c r="Q989" s="30">
        <v>0</v>
      </c>
      <c r="R989" s="30">
        <v>0</v>
      </c>
      <c r="S989" s="30">
        <v>0</v>
      </c>
      <c r="T989" s="30">
        <v>1</v>
      </c>
      <c r="U989" s="30">
        <v>1</v>
      </c>
      <c r="V989" s="30">
        <v>0</v>
      </c>
      <c r="W989" s="30">
        <v>0</v>
      </c>
      <c r="X989" s="30">
        <v>0</v>
      </c>
      <c r="Y989" s="30">
        <v>0</v>
      </c>
      <c r="Z989" s="30" t="s">
        <v>957</v>
      </c>
    </row>
    <row r="990" spans="1:26" s="30" customFormat="1" ht="15" customHeight="1" x14ac:dyDescent="0.15">
      <c r="A990" s="30">
        <v>20219</v>
      </c>
      <c r="B990" s="30" t="s">
        <v>735</v>
      </c>
      <c r="C990" s="30">
        <f t="shared" si="135"/>
        <v>5</v>
      </c>
      <c r="D990" s="30">
        <v>1</v>
      </c>
      <c r="F990" s="12">
        <v>0</v>
      </c>
      <c r="G990" s="30">
        <v>1</v>
      </c>
      <c r="H990" s="30">
        <v>0</v>
      </c>
      <c r="I990" s="30">
        <v>1</v>
      </c>
      <c r="J990" s="30">
        <v>0</v>
      </c>
      <c r="K990" s="30">
        <v>0</v>
      </c>
      <c r="L990" s="30">
        <v>1</v>
      </c>
      <c r="M990" s="30">
        <f t="shared" si="136"/>
        <v>0</v>
      </c>
      <c r="N990" s="30">
        <v>0</v>
      </c>
      <c r="O990" s="30">
        <v>0</v>
      </c>
      <c r="P990" s="30">
        <v>0</v>
      </c>
      <c r="Q990" s="30">
        <v>0</v>
      </c>
      <c r="R990" s="30">
        <v>0</v>
      </c>
      <c r="S990" s="30">
        <v>0</v>
      </c>
      <c r="T990" s="30">
        <v>1</v>
      </c>
      <c r="U990" s="30">
        <v>1</v>
      </c>
      <c r="V990" s="30">
        <v>0</v>
      </c>
      <c r="W990" s="30">
        <v>0</v>
      </c>
      <c r="X990" s="30">
        <v>0</v>
      </c>
      <c r="Y990" s="30">
        <v>0</v>
      </c>
      <c r="Z990" s="30" t="s">
        <v>955</v>
      </c>
    </row>
    <row r="991" spans="1:26" s="30" customFormat="1" ht="15" customHeight="1" x14ac:dyDescent="0.15">
      <c r="A991" s="30">
        <v>20220</v>
      </c>
      <c r="B991" s="30" t="s">
        <v>736</v>
      </c>
      <c r="C991" s="30">
        <f t="shared" si="135"/>
        <v>5</v>
      </c>
      <c r="D991" s="30">
        <v>1</v>
      </c>
      <c r="F991" s="12">
        <v>0</v>
      </c>
      <c r="G991" s="30">
        <v>1</v>
      </c>
      <c r="H991" s="30">
        <v>0</v>
      </c>
      <c r="I991" s="30">
        <v>1</v>
      </c>
      <c r="J991" s="30">
        <v>0</v>
      </c>
      <c r="K991" s="30">
        <v>0</v>
      </c>
      <c r="L991" s="30">
        <v>1</v>
      </c>
      <c r="M991" s="30">
        <f t="shared" si="136"/>
        <v>0</v>
      </c>
      <c r="N991" s="30">
        <v>0</v>
      </c>
      <c r="O991" s="30">
        <v>0</v>
      </c>
      <c r="P991" s="30">
        <v>0</v>
      </c>
      <c r="Q991" s="30">
        <v>0</v>
      </c>
      <c r="R991" s="30">
        <v>0</v>
      </c>
      <c r="S991" s="30">
        <v>0</v>
      </c>
      <c r="T991" s="30">
        <v>1</v>
      </c>
      <c r="U991" s="30">
        <v>1</v>
      </c>
      <c r="V991" s="30">
        <v>0</v>
      </c>
      <c r="W991" s="30">
        <v>0</v>
      </c>
      <c r="X991" s="30">
        <v>0</v>
      </c>
      <c r="Y991" s="30">
        <v>0</v>
      </c>
      <c r="Z991" s="30" t="s">
        <v>954</v>
      </c>
    </row>
    <row r="992" spans="1:26" s="30" customFormat="1" ht="15" customHeight="1" x14ac:dyDescent="0.15">
      <c r="A992" s="30">
        <v>20223</v>
      </c>
      <c r="B992" s="30" t="s">
        <v>868</v>
      </c>
      <c r="C992" s="30">
        <f t="shared" si="135"/>
        <v>0</v>
      </c>
      <c r="D992" s="30">
        <v>1</v>
      </c>
      <c r="F992" s="12">
        <v>0</v>
      </c>
      <c r="G992" s="30">
        <v>0</v>
      </c>
      <c r="H992" s="30">
        <v>0</v>
      </c>
      <c r="I992" s="30">
        <v>0</v>
      </c>
      <c r="J992" s="30">
        <v>0</v>
      </c>
      <c r="K992" s="30">
        <v>0</v>
      </c>
      <c r="L992" s="30">
        <v>0</v>
      </c>
      <c r="M992" s="30">
        <f t="shared" si="136"/>
        <v>0</v>
      </c>
      <c r="N992" s="30">
        <v>0</v>
      </c>
      <c r="O992" s="30">
        <v>0</v>
      </c>
      <c r="P992" s="30">
        <v>0</v>
      </c>
      <c r="Q992" s="30">
        <v>0</v>
      </c>
      <c r="R992" s="30">
        <v>0</v>
      </c>
      <c r="S992" s="30">
        <v>0</v>
      </c>
      <c r="T992" s="30">
        <v>0</v>
      </c>
      <c r="U992" s="30">
        <v>1</v>
      </c>
      <c r="V992" s="30">
        <v>1</v>
      </c>
      <c r="W992" s="30">
        <v>0</v>
      </c>
      <c r="X992" s="30">
        <v>0</v>
      </c>
      <c r="Y992" s="30">
        <v>0</v>
      </c>
      <c r="Z992" s="30" t="s">
        <v>884</v>
      </c>
    </row>
    <row r="993" spans="1:26" s="15" customFormat="1" ht="15" customHeight="1" x14ac:dyDescent="0.15">
      <c r="A993" s="30">
        <v>20224</v>
      </c>
      <c r="B993" s="15" t="s">
        <v>876</v>
      </c>
      <c r="C993" s="15">
        <f t="shared" si="135"/>
        <v>5</v>
      </c>
      <c r="D993" s="15">
        <v>1</v>
      </c>
      <c r="F993" s="12">
        <v>0</v>
      </c>
      <c r="G993" s="16">
        <v>1</v>
      </c>
      <c r="H993" s="16">
        <v>0</v>
      </c>
      <c r="I993" s="16">
        <v>1</v>
      </c>
      <c r="J993" s="16">
        <v>0</v>
      </c>
      <c r="K993" s="16">
        <v>0</v>
      </c>
      <c r="L993" s="15">
        <v>1</v>
      </c>
      <c r="M993" s="15">
        <f t="shared" ref="M993:M1002" si="137">N993+O993*2+P993*4+Q993*8+R993*16+S993*32</f>
        <v>0</v>
      </c>
      <c r="N993" s="16">
        <v>0</v>
      </c>
      <c r="O993" s="16">
        <v>0</v>
      </c>
      <c r="P993" s="16">
        <v>0</v>
      </c>
      <c r="Q993" s="16">
        <v>0</v>
      </c>
      <c r="R993" s="16">
        <v>0</v>
      </c>
      <c r="S993" s="16">
        <v>0</v>
      </c>
      <c r="T993" s="15">
        <v>1</v>
      </c>
      <c r="U993" s="15">
        <v>1</v>
      </c>
      <c r="V993" s="15">
        <v>1</v>
      </c>
      <c r="W993" s="15">
        <v>0</v>
      </c>
      <c r="X993" s="15">
        <v>0</v>
      </c>
      <c r="Y993" s="15">
        <v>0</v>
      </c>
      <c r="Z993" s="30" t="s">
        <v>869</v>
      </c>
    </row>
    <row r="994" spans="1:26" s="15" customFormat="1" ht="15" customHeight="1" x14ac:dyDescent="0.15">
      <c r="A994" s="30">
        <v>20225</v>
      </c>
      <c r="B994" s="15" t="s">
        <v>875</v>
      </c>
      <c r="C994" s="15">
        <f t="shared" si="135"/>
        <v>5</v>
      </c>
      <c r="D994" s="15">
        <v>1</v>
      </c>
      <c r="F994" s="12">
        <v>0</v>
      </c>
      <c r="G994" s="16">
        <v>1</v>
      </c>
      <c r="H994" s="16">
        <v>0</v>
      </c>
      <c r="I994" s="16">
        <v>1</v>
      </c>
      <c r="J994" s="16">
        <v>0</v>
      </c>
      <c r="K994" s="16">
        <v>0</v>
      </c>
      <c r="L994" s="15">
        <v>1</v>
      </c>
      <c r="M994" s="15">
        <f t="shared" si="137"/>
        <v>0</v>
      </c>
      <c r="N994" s="16">
        <v>0</v>
      </c>
      <c r="O994" s="16">
        <v>0</v>
      </c>
      <c r="P994" s="16">
        <v>0</v>
      </c>
      <c r="Q994" s="16">
        <v>0</v>
      </c>
      <c r="R994" s="16">
        <v>0</v>
      </c>
      <c r="S994" s="16">
        <v>0</v>
      </c>
      <c r="T994" s="15">
        <v>1</v>
      </c>
      <c r="U994" s="15">
        <v>1</v>
      </c>
      <c r="V994" s="15">
        <v>1</v>
      </c>
      <c r="W994" s="15">
        <v>0</v>
      </c>
      <c r="X994" s="15">
        <v>0</v>
      </c>
      <c r="Y994" s="15">
        <v>0</v>
      </c>
      <c r="Z994" s="30" t="s">
        <v>870</v>
      </c>
    </row>
    <row r="995" spans="1:26" s="15" customFormat="1" ht="15" customHeight="1" x14ac:dyDescent="0.15">
      <c r="A995" s="30">
        <v>20226</v>
      </c>
      <c r="B995" s="15" t="s">
        <v>1409</v>
      </c>
      <c r="C995" s="15">
        <f t="shared" si="135"/>
        <v>5</v>
      </c>
      <c r="D995" s="15">
        <v>1</v>
      </c>
      <c r="F995" s="12">
        <v>0</v>
      </c>
      <c r="G995" s="16">
        <v>1</v>
      </c>
      <c r="H995" s="16">
        <v>0</v>
      </c>
      <c r="I995" s="16">
        <v>1</v>
      </c>
      <c r="J995" s="16">
        <v>0</v>
      </c>
      <c r="K995" s="16">
        <v>0</v>
      </c>
      <c r="L995" s="15">
        <v>1</v>
      </c>
      <c r="M995" s="15">
        <f t="shared" si="137"/>
        <v>0</v>
      </c>
      <c r="N995" s="16">
        <v>0</v>
      </c>
      <c r="O995" s="16">
        <v>0</v>
      </c>
      <c r="P995" s="16">
        <v>0</v>
      </c>
      <c r="Q995" s="16">
        <v>0</v>
      </c>
      <c r="R995" s="16">
        <v>0</v>
      </c>
      <c r="S995" s="16">
        <v>0</v>
      </c>
      <c r="T995" s="15">
        <v>1</v>
      </c>
      <c r="U995" s="15">
        <v>1</v>
      </c>
      <c r="V995" s="15">
        <v>1</v>
      </c>
      <c r="W995" s="15">
        <v>0</v>
      </c>
      <c r="X995" s="15">
        <v>0</v>
      </c>
      <c r="Y995" s="15">
        <v>0</v>
      </c>
      <c r="Z995" s="30" t="s">
        <v>1410</v>
      </c>
    </row>
    <row r="996" spans="1:26" s="15" customFormat="1" ht="15" customHeight="1" x14ac:dyDescent="0.15">
      <c r="A996" s="30">
        <v>20227</v>
      </c>
      <c r="B996" s="15" t="s">
        <v>1411</v>
      </c>
      <c r="C996" s="15">
        <f t="shared" ref="C996:C1002" si="138">G996+H996*2+I996*4+J996*8+K996*16</f>
        <v>5</v>
      </c>
      <c r="D996" s="15">
        <v>1</v>
      </c>
      <c r="F996" s="12">
        <v>0</v>
      </c>
      <c r="G996" s="16">
        <v>1</v>
      </c>
      <c r="H996" s="16">
        <v>0</v>
      </c>
      <c r="I996" s="16">
        <v>1</v>
      </c>
      <c r="J996" s="16">
        <v>0</v>
      </c>
      <c r="K996" s="16">
        <v>0</v>
      </c>
      <c r="L996" s="15">
        <v>1</v>
      </c>
      <c r="M996" s="15">
        <f t="shared" si="137"/>
        <v>0</v>
      </c>
      <c r="N996" s="16">
        <v>0</v>
      </c>
      <c r="O996" s="16">
        <v>0</v>
      </c>
      <c r="P996" s="16">
        <v>0</v>
      </c>
      <c r="Q996" s="16">
        <v>0</v>
      </c>
      <c r="R996" s="16">
        <v>0</v>
      </c>
      <c r="S996" s="16">
        <v>0</v>
      </c>
      <c r="T996" s="15">
        <v>1</v>
      </c>
      <c r="U996" s="15">
        <v>1</v>
      </c>
      <c r="V996" s="15">
        <v>1</v>
      </c>
      <c r="W996" s="15">
        <v>0</v>
      </c>
      <c r="X996" s="15">
        <v>0</v>
      </c>
      <c r="Y996" s="15">
        <v>0</v>
      </c>
      <c r="Z996" s="30" t="s">
        <v>1412</v>
      </c>
    </row>
    <row r="997" spans="1:26" s="15" customFormat="1" ht="15" customHeight="1" x14ac:dyDescent="0.15">
      <c r="A997" s="30">
        <v>20228</v>
      </c>
      <c r="B997" s="15" t="s">
        <v>877</v>
      </c>
      <c r="C997" s="15">
        <f t="shared" si="138"/>
        <v>5</v>
      </c>
      <c r="D997" s="15">
        <v>1</v>
      </c>
      <c r="F997" s="12">
        <v>0</v>
      </c>
      <c r="G997" s="16">
        <v>1</v>
      </c>
      <c r="H997" s="16">
        <v>0</v>
      </c>
      <c r="I997" s="16">
        <v>1</v>
      </c>
      <c r="J997" s="16">
        <v>0</v>
      </c>
      <c r="K997" s="16">
        <v>0</v>
      </c>
      <c r="L997" s="15">
        <v>1</v>
      </c>
      <c r="M997" s="15">
        <f t="shared" si="137"/>
        <v>0</v>
      </c>
      <c r="N997" s="16">
        <v>0</v>
      </c>
      <c r="O997" s="16">
        <v>0</v>
      </c>
      <c r="P997" s="16">
        <v>0</v>
      </c>
      <c r="Q997" s="16">
        <v>0</v>
      </c>
      <c r="R997" s="16">
        <v>0</v>
      </c>
      <c r="S997" s="16">
        <v>0</v>
      </c>
      <c r="T997" s="15">
        <v>1</v>
      </c>
      <c r="U997" s="15">
        <v>1</v>
      </c>
      <c r="V997" s="15">
        <v>1</v>
      </c>
      <c r="W997" s="15">
        <v>0</v>
      </c>
      <c r="X997" s="15">
        <v>0</v>
      </c>
      <c r="Y997" s="15">
        <v>0</v>
      </c>
      <c r="Z997" s="30" t="s">
        <v>871</v>
      </c>
    </row>
    <row r="998" spans="1:26" s="15" customFormat="1" ht="15" customHeight="1" x14ac:dyDescent="0.15">
      <c r="A998" s="30">
        <v>20229</v>
      </c>
      <c r="B998" s="15" t="s">
        <v>878</v>
      </c>
      <c r="C998" s="15">
        <f t="shared" si="138"/>
        <v>5</v>
      </c>
      <c r="D998" s="15">
        <v>1</v>
      </c>
      <c r="F998" s="12">
        <v>0</v>
      </c>
      <c r="G998" s="16">
        <v>1</v>
      </c>
      <c r="H998" s="16">
        <v>0</v>
      </c>
      <c r="I998" s="16">
        <v>1</v>
      </c>
      <c r="J998" s="16">
        <v>0</v>
      </c>
      <c r="K998" s="16">
        <v>0</v>
      </c>
      <c r="L998" s="15">
        <v>1</v>
      </c>
      <c r="M998" s="15">
        <f t="shared" si="137"/>
        <v>0</v>
      </c>
      <c r="N998" s="16">
        <v>0</v>
      </c>
      <c r="O998" s="16">
        <v>0</v>
      </c>
      <c r="P998" s="16">
        <v>0</v>
      </c>
      <c r="Q998" s="16">
        <v>0</v>
      </c>
      <c r="R998" s="16">
        <v>0</v>
      </c>
      <c r="S998" s="16">
        <v>0</v>
      </c>
      <c r="T998" s="15">
        <v>1</v>
      </c>
      <c r="U998" s="15">
        <v>1</v>
      </c>
      <c r="V998" s="15">
        <v>1</v>
      </c>
      <c r="W998" s="15">
        <v>0</v>
      </c>
      <c r="X998" s="15">
        <v>0</v>
      </c>
      <c r="Y998" s="15">
        <v>0</v>
      </c>
      <c r="Z998" s="30" t="s">
        <v>872</v>
      </c>
    </row>
    <row r="999" spans="1:26" s="15" customFormat="1" ht="15" customHeight="1" x14ac:dyDescent="0.15">
      <c r="A999" s="30">
        <v>20230</v>
      </c>
      <c r="B999" s="15" t="s">
        <v>1459</v>
      </c>
      <c r="C999" s="15">
        <f t="shared" si="138"/>
        <v>5</v>
      </c>
      <c r="D999" s="15">
        <v>1</v>
      </c>
      <c r="F999" s="12">
        <v>0</v>
      </c>
      <c r="G999" s="16">
        <v>1</v>
      </c>
      <c r="H999" s="16">
        <v>0</v>
      </c>
      <c r="I999" s="16">
        <v>1</v>
      </c>
      <c r="J999" s="16">
        <v>0</v>
      </c>
      <c r="K999" s="16">
        <v>0</v>
      </c>
      <c r="L999" s="15">
        <v>1</v>
      </c>
      <c r="M999" s="15">
        <f t="shared" si="137"/>
        <v>0</v>
      </c>
      <c r="N999" s="16">
        <v>0</v>
      </c>
      <c r="O999" s="16">
        <v>0</v>
      </c>
      <c r="P999" s="16">
        <v>0</v>
      </c>
      <c r="Q999" s="16">
        <v>0</v>
      </c>
      <c r="R999" s="16">
        <v>0</v>
      </c>
      <c r="S999" s="16">
        <v>0</v>
      </c>
      <c r="T999" s="15">
        <v>1</v>
      </c>
      <c r="U999" s="15">
        <v>1</v>
      </c>
      <c r="V999" s="15">
        <v>1</v>
      </c>
      <c r="W999" s="15">
        <v>0</v>
      </c>
      <c r="X999" s="15">
        <v>0</v>
      </c>
      <c r="Y999" s="15">
        <v>0</v>
      </c>
      <c r="Z999" s="30" t="s">
        <v>1460</v>
      </c>
    </row>
    <row r="1000" spans="1:26" s="15" customFormat="1" ht="15" customHeight="1" x14ac:dyDescent="0.15">
      <c r="A1000" s="30">
        <v>20231</v>
      </c>
      <c r="B1000" s="15" t="s">
        <v>1461</v>
      </c>
      <c r="C1000" s="15">
        <f t="shared" si="138"/>
        <v>5</v>
      </c>
      <c r="D1000" s="15">
        <v>1</v>
      </c>
      <c r="F1000" s="12">
        <v>0</v>
      </c>
      <c r="G1000" s="16">
        <v>1</v>
      </c>
      <c r="H1000" s="16">
        <v>0</v>
      </c>
      <c r="I1000" s="16">
        <v>1</v>
      </c>
      <c r="J1000" s="16">
        <v>0</v>
      </c>
      <c r="K1000" s="16">
        <v>0</v>
      </c>
      <c r="L1000" s="15">
        <v>1</v>
      </c>
      <c r="M1000" s="15">
        <f t="shared" si="137"/>
        <v>0</v>
      </c>
      <c r="N1000" s="16">
        <v>0</v>
      </c>
      <c r="O1000" s="16">
        <v>0</v>
      </c>
      <c r="P1000" s="16">
        <v>0</v>
      </c>
      <c r="Q1000" s="16">
        <v>0</v>
      </c>
      <c r="R1000" s="16">
        <v>0</v>
      </c>
      <c r="S1000" s="16">
        <v>0</v>
      </c>
      <c r="T1000" s="15">
        <v>1</v>
      </c>
      <c r="U1000" s="15">
        <v>1</v>
      </c>
      <c r="V1000" s="15">
        <v>1</v>
      </c>
      <c r="W1000" s="15">
        <v>0</v>
      </c>
      <c r="X1000" s="15">
        <v>0</v>
      </c>
      <c r="Y1000" s="15">
        <v>0</v>
      </c>
      <c r="Z1000" s="30" t="s">
        <v>1462</v>
      </c>
    </row>
    <row r="1001" spans="1:26" s="15" customFormat="1" ht="15" customHeight="1" x14ac:dyDescent="0.15">
      <c r="A1001" s="30">
        <v>20232</v>
      </c>
      <c r="B1001" s="15" t="s">
        <v>879</v>
      </c>
      <c r="C1001" s="15">
        <f t="shared" si="138"/>
        <v>5</v>
      </c>
      <c r="D1001" s="15">
        <v>1</v>
      </c>
      <c r="F1001" s="12">
        <v>0</v>
      </c>
      <c r="G1001" s="16">
        <v>1</v>
      </c>
      <c r="H1001" s="16">
        <v>0</v>
      </c>
      <c r="I1001" s="16">
        <v>1</v>
      </c>
      <c r="J1001" s="16">
        <v>0</v>
      </c>
      <c r="K1001" s="16">
        <v>0</v>
      </c>
      <c r="L1001" s="15">
        <v>1</v>
      </c>
      <c r="M1001" s="15">
        <f t="shared" si="137"/>
        <v>0</v>
      </c>
      <c r="N1001" s="16">
        <v>0</v>
      </c>
      <c r="O1001" s="16">
        <v>0</v>
      </c>
      <c r="P1001" s="16">
        <v>0</v>
      </c>
      <c r="Q1001" s="16">
        <v>0</v>
      </c>
      <c r="R1001" s="16">
        <v>0</v>
      </c>
      <c r="S1001" s="16">
        <v>0</v>
      </c>
      <c r="T1001" s="15">
        <v>1</v>
      </c>
      <c r="U1001" s="15">
        <v>1</v>
      </c>
      <c r="V1001" s="15">
        <v>1</v>
      </c>
      <c r="W1001" s="15">
        <v>0</v>
      </c>
      <c r="X1001" s="15">
        <v>0</v>
      </c>
      <c r="Y1001" s="15">
        <v>0</v>
      </c>
      <c r="Z1001" s="30" t="s">
        <v>873</v>
      </c>
    </row>
    <row r="1002" spans="1:26" s="15" customFormat="1" ht="15" customHeight="1" x14ac:dyDescent="0.15">
      <c r="A1002" s="30">
        <v>20233</v>
      </c>
      <c r="B1002" s="15" t="s">
        <v>880</v>
      </c>
      <c r="C1002" s="15">
        <f t="shared" si="138"/>
        <v>5</v>
      </c>
      <c r="D1002" s="15">
        <v>1</v>
      </c>
      <c r="F1002" s="12">
        <v>0</v>
      </c>
      <c r="G1002" s="16">
        <v>1</v>
      </c>
      <c r="H1002" s="16">
        <v>0</v>
      </c>
      <c r="I1002" s="16">
        <v>1</v>
      </c>
      <c r="J1002" s="16">
        <v>0</v>
      </c>
      <c r="K1002" s="16">
        <v>0</v>
      </c>
      <c r="L1002" s="15">
        <v>1</v>
      </c>
      <c r="M1002" s="15">
        <f t="shared" si="137"/>
        <v>0</v>
      </c>
      <c r="N1002" s="16">
        <v>0</v>
      </c>
      <c r="O1002" s="16">
        <v>0</v>
      </c>
      <c r="P1002" s="16">
        <v>0</v>
      </c>
      <c r="Q1002" s="16">
        <v>0</v>
      </c>
      <c r="R1002" s="16">
        <v>0</v>
      </c>
      <c r="S1002" s="16">
        <v>0</v>
      </c>
      <c r="T1002" s="15">
        <v>1</v>
      </c>
      <c r="U1002" s="15">
        <v>1</v>
      </c>
      <c r="V1002" s="15">
        <v>1</v>
      </c>
      <c r="W1002" s="15">
        <v>0</v>
      </c>
      <c r="X1002" s="15">
        <v>0</v>
      </c>
      <c r="Y1002" s="15">
        <v>0</v>
      </c>
      <c r="Z1002" s="30" t="s">
        <v>874</v>
      </c>
    </row>
    <row r="1003" spans="1:26" s="38" customFormat="1" ht="15" customHeight="1" x14ac:dyDescent="0.15">
      <c r="A1003" s="41">
        <v>20234</v>
      </c>
      <c r="B1003" s="38" t="s">
        <v>900</v>
      </c>
      <c r="C1003" s="38">
        <f>G1003+H1003*2+I1003*4+J1003*8+K1003*16</f>
        <v>5</v>
      </c>
      <c r="D1003" s="38">
        <v>1</v>
      </c>
      <c r="F1003" s="12">
        <v>0</v>
      </c>
      <c r="G1003" s="40">
        <v>1</v>
      </c>
      <c r="H1003" s="40">
        <v>0</v>
      </c>
      <c r="I1003" s="40">
        <v>1</v>
      </c>
      <c r="J1003" s="40">
        <v>0</v>
      </c>
      <c r="K1003" s="40">
        <v>0</v>
      </c>
      <c r="L1003" s="38">
        <v>1</v>
      </c>
      <c r="M1003" s="38">
        <f t="shared" ref="M1003:M1054" si="139">N1003+O1003*2+P1003*4+Q1003*8+R1003*16+S1003*32</f>
        <v>0</v>
      </c>
      <c r="N1003" s="40">
        <v>0</v>
      </c>
      <c r="O1003" s="40">
        <v>0</v>
      </c>
      <c r="P1003" s="40">
        <v>0</v>
      </c>
      <c r="Q1003" s="40">
        <v>0</v>
      </c>
      <c r="R1003" s="40">
        <v>0</v>
      </c>
      <c r="S1003" s="40">
        <v>0</v>
      </c>
      <c r="T1003" s="38">
        <v>1</v>
      </c>
      <c r="U1003" s="38">
        <v>1</v>
      </c>
      <c r="V1003" s="38">
        <v>1</v>
      </c>
      <c r="W1003" s="38">
        <v>0</v>
      </c>
      <c r="X1003" s="38">
        <v>0</v>
      </c>
      <c r="Y1003" s="38">
        <v>0</v>
      </c>
      <c r="Z1003" s="41" t="s">
        <v>903</v>
      </c>
    </row>
    <row r="1004" spans="1:26" s="38" customFormat="1" ht="15" customHeight="1" x14ac:dyDescent="0.15">
      <c r="A1004" s="41">
        <v>20235</v>
      </c>
      <c r="B1004" s="38" t="s">
        <v>908</v>
      </c>
      <c r="C1004" s="38">
        <f>G1004+H1004*2+I1004*4+J1004*8+K1004*16</f>
        <v>5</v>
      </c>
      <c r="D1004" s="38">
        <v>1</v>
      </c>
      <c r="F1004" s="12">
        <v>0</v>
      </c>
      <c r="G1004" s="40">
        <v>1</v>
      </c>
      <c r="H1004" s="40">
        <v>0</v>
      </c>
      <c r="I1004" s="40">
        <v>1</v>
      </c>
      <c r="J1004" s="40">
        <v>0</v>
      </c>
      <c r="K1004" s="40">
        <v>0</v>
      </c>
      <c r="L1004" s="38">
        <v>1</v>
      </c>
      <c r="M1004" s="38">
        <f t="shared" si="139"/>
        <v>0</v>
      </c>
      <c r="N1004" s="40">
        <v>0</v>
      </c>
      <c r="O1004" s="40">
        <v>0</v>
      </c>
      <c r="P1004" s="40">
        <v>0</v>
      </c>
      <c r="Q1004" s="40">
        <v>0</v>
      </c>
      <c r="R1004" s="40">
        <v>0</v>
      </c>
      <c r="S1004" s="40">
        <v>0</v>
      </c>
      <c r="T1004" s="38">
        <v>1</v>
      </c>
      <c r="U1004" s="38">
        <v>1</v>
      </c>
      <c r="V1004" s="38">
        <v>1</v>
      </c>
      <c r="W1004" s="38">
        <v>0</v>
      </c>
      <c r="X1004" s="38">
        <v>0</v>
      </c>
      <c r="Y1004" s="38">
        <v>0</v>
      </c>
      <c r="Z1004" s="41" t="s">
        <v>909</v>
      </c>
    </row>
    <row r="1005" spans="1:26" s="9" customFormat="1" ht="15" customHeight="1" x14ac:dyDescent="0.15">
      <c r="A1005" s="41">
        <v>20236</v>
      </c>
      <c r="B1005" s="38" t="s">
        <v>910</v>
      </c>
      <c r="C1005" s="38">
        <f>G1005+H1005*2+I1005*4+J1005*8+K1005*16</f>
        <v>5</v>
      </c>
      <c r="D1005" s="38">
        <v>1</v>
      </c>
      <c r="E1005" s="38"/>
      <c r="F1005" s="12">
        <v>0</v>
      </c>
      <c r="G1005" s="38">
        <v>1</v>
      </c>
      <c r="H1005" s="38">
        <v>0</v>
      </c>
      <c r="I1005" s="38">
        <v>1</v>
      </c>
      <c r="J1005" s="38">
        <v>0</v>
      </c>
      <c r="K1005" s="38">
        <v>0</v>
      </c>
      <c r="L1005" s="38">
        <v>1</v>
      </c>
      <c r="M1005" s="38">
        <f t="shared" si="139"/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1</v>
      </c>
      <c r="U1005" s="38">
        <v>1</v>
      </c>
      <c r="V1005" s="38">
        <v>1</v>
      </c>
      <c r="W1005" s="38">
        <v>0</v>
      </c>
      <c r="X1005" s="38">
        <v>0</v>
      </c>
      <c r="Y1005" s="38">
        <v>0</v>
      </c>
      <c r="Z1005" s="38" t="s">
        <v>911</v>
      </c>
    </row>
    <row r="1006" spans="1:26" s="43" customFormat="1" ht="15" customHeight="1" x14ac:dyDescent="0.15">
      <c r="A1006" s="42">
        <v>20237</v>
      </c>
      <c r="B1006" s="43" t="s">
        <v>1363</v>
      </c>
      <c r="C1006" s="43">
        <f>G1006+H1006*2+I1006*4+J1006*8+K1006*16</f>
        <v>5</v>
      </c>
      <c r="D1006" s="43">
        <v>1</v>
      </c>
      <c r="F1006" s="12">
        <v>0</v>
      </c>
      <c r="G1006" s="44">
        <v>1</v>
      </c>
      <c r="H1006" s="44">
        <v>0</v>
      </c>
      <c r="I1006" s="44">
        <v>1</v>
      </c>
      <c r="J1006" s="44">
        <v>0</v>
      </c>
      <c r="K1006" s="44">
        <v>0</v>
      </c>
      <c r="L1006" s="43">
        <v>1</v>
      </c>
      <c r="M1006" s="43">
        <f t="shared" si="139"/>
        <v>0</v>
      </c>
      <c r="N1006" s="44">
        <v>0</v>
      </c>
      <c r="O1006" s="44">
        <v>0</v>
      </c>
      <c r="P1006" s="44">
        <v>0</v>
      </c>
      <c r="Q1006" s="44">
        <v>0</v>
      </c>
      <c r="R1006" s="44">
        <v>0</v>
      </c>
      <c r="S1006" s="44">
        <v>0</v>
      </c>
      <c r="T1006" s="43">
        <v>1</v>
      </c>
      <c r="U1006" s="43">
        <v>1</v>
      </c>
      <c r="V1006" s="43">
        <v>1</v>
      </c>
      <c r="W1006" s="43">
        <v>0</v>
      </c>
      <c r="X1006" s="43">
        <v>0</v>
      </c>
      <c r="Y1006" s="43">
        <v>0</v>
      </c>
      <c r="Z1006" s="42" t="s">
        <v>1360</v>
      </c>
    </row>
    <row r="1007" spans="1:26" s="43" customFormat="1" ht="15" customHeight="1" x14ac:dyDescent="0.15">
      <c r="A1007" s="42">
        <v>20238</v>
      </c>
      <c r="B1007" s="43" t="s">
        <v>928</v>
      </c>
      <c r="C1007" s="43">
        <f>G1007+H1007*2+I1007*4+J1007*8+K1007*16</f>
        <v>5</v>
      </c>
      <c r="D1007" s="43">
        <v>1</v>
      </c>
      <c r="F1007" s="12">
        <v>0</v>
      </c>
      <c r="G1007" s="44">
        <v>1</v>
      </c>
      <c r="H1007" s="44">
        <v>0</v>
      </c>
      <c r="I1007" s="44">
        <v>1</v>
      </c>
      <c r="J1007" s="44">
        <v>0</v>
      </c>
      <c r="K1007" s="44">
        <v>0</v>
      </c>
      <c r="L1007" s="43">
        <v>1</v>
      </c>
      <c r="M1007" s="43">
        <f t="shared" si="139"/>
        <v>0</v>
      </c>
      <c r="N1007" s="44">
        <v>0</v>
      </c>
      <c r="O1007" s="44">
        <v>0</v>
      </c>
      <c r="P1007" s="44">
        <v>0</v>
      </c>
      <c r="Q1007" s="44">
        <v>0</v>
      </c>
      <c r="R1007" s="44">
        <v>0</v>
      </c>
      <c r="S1007" s="44">
        <v>0</v>
      </c>
      <c r="T1007" s="43">
        <v>1</v>
      </c>
      <c r="U1007" s="43">
        <v>1</v>
      </c>
      <c r="V1007" s="43">
        <v>1</v>
      </c>
      <c r="W1007" s="43">
        <v>0</v>
      </c>
      <c r="X1007" s="43">
        <v>0</v>
      </c>
      <c r="Y1007" s="43">
        <v>0</v>
      </c>
      <c r="Z1007" s="42" t="s">
        <v>929</v>
      </c>
    </row>
    <row r="1008" spans="1:26" s="21" customFormat="1" ht="15" customHeight="1" x14ac:dyDescent="0.15">
      <c r="A1008" s="42">
        <v>20239</v>
      </c>
      <c r="B1008" s="21" t="s">
        <v>1269</v>
      </c>
      <c r="C1008" s="21">
        <f t="shared" ref="C1008:C1014" si="140">G1008+H1008*2+I1008*4+J1008*8+K1008*16</f>
        <v>5</v>
      </c>
      <c r="D1008" s="21">
        <v>1</v>
      </c>
      <c r="F1008" s="12">
        <v>0</v>
      </c>
      <c r="G1008" s="22">
        <v>1</v>
      </c>
      <c r="H1008" s="22">
        <v>0</v>
      </c>
      <c r="I1008" s="22">
        <v>1</v>
      </c>
      <c r="J1008" s="22">
        <v>0</v>
      </c>
      <c r="K1008" s="22">
        <v>0</v>
      </c>
      <c r="L1008" s="21">
        <v>0</v>
      </c>
      <c r="M1008" s="21">
        <f t="shared" si="139"/>
        <v>0</v>
      </c>
      <c r="N1008" s="22">
        <v>0</v>
      </c>
      <c r="O1008" s="22">
        <v>0</v>
      </c>
      <c r="P1008" s="22">
        <v>0</v>
      </c>
      <c r="Q1008" s="22">
        <v>0</v>
      </c>
      <c r="R1008" s="22">
        <v>0</v>
      </c>
      <c r="S1008" s="22">
        <v>0</v>
      </c>
      <c r="T1008" s="21">
        <v>1</v>
      </c>
      <c r="U1008" s="21">
        <v>1</v>
      </c>
      <c r="V1008" s="21">
        <v>1</v>
      </c>
      <c r="W1008" s="21">
        <v>0</v>
      </c>
      <c r="X1008" s="21">
        <v>0</v>
      </c>
      <c r="Y1008" s="21">
        <v>0</v>
      </c>
      <c r="Z1008" s="4" t="s">
        <v>1413</v>
      </c>
    </row>
    <row r="1009" spans="1:26" s="15" customFormat="1" ht="15" customHeight="1" x14ac:dyDescent="0.15">
      <c r="A1009" s="42">
        <v>20240</v>
      </c>
      <c r="B1009" s="15" t="s">
        <v>1270</v>
      </c>
      <c r="C1009" s="15">
        <f t="shared" si="140"/>
        <v>5</v>
      </c>
      <c r="D1009" s="15">
        <v>1</v>
      </c>
      <c r="F1009" s="12">
        <v>0</v>
      </c>
      <c r="G1009" s="16">
        <v>1</v>
      </c>
      <c r="H1009" s="16">
        <v>0</v>
      </c>
      <c r="I1009" s="16">
        <v>1</v>
      </c>
      <c r="J1009" s="16">
        <v>0</v>
      </c>
      <c r="K1009" s="16">
        <v>0</v>
      </c>
      <c r="L1009" s="15">
        <v>1</v>
      </c>
      <c r="M1009" s="15">
        <f t="shared" si="139"/>
        <v>0</v>
      </c>
      <c r="N1009" s="16">
        <v>0</v>
      </c>
      <c r="O1009" s="16">
        <v>0</v>
      </c>
      <c r="P1009" s="16">
        <v>0</v>
      </c>
      <c r="Q1009" s="16">
        <v>0</v>
      </c>
      <c r="R1009" s="16">
        <v>0</v>
      </c>
      <c r="S1009" s="16">
        <v>0</v>
      </c>
      <c r="T1009" s="15">
        <v>1</v>
      </c>
      <c r="U1009" s="15">
        <v>1</v>
      </c>
      <c r="V1009" s="15">
        <v>1</v>
      </c>
      <c r="W1009" s="15">
        <v>0</v>
      </c>
      <c r="X1009" s="15">
        <v>0</v>
      </c>
      <c r="Y1009" s="15">
        <v>0</v>
      </c>
      <c r="Z1009" s="30" t="s">
        <v>1414</v>
      </c>
    </row>
    <row r="1010" spans="1:26" s="15" customFormat="1" ht="15" customHeight="1" x14ac:dyDescent="0.15">
      <c r="A1010" s="42">
        <v>20241</v>
      </c>
      <c r="B1010" s="15" t="s">
        <v>1271</v>
      </c>
      <c r="C1010" s="15">
        <f t="shared" si="140"/>
        <v>5</v>
      </c>
      <c r="D1010" s="15">
        <v>1</v>
      </c>
      <c r="F1010" s="12">
        <v>0</v>
      </c>
      <c r="G1010" s="16">
        <v>1</v>
      </c>
      <c r="H1010" s="16">
        <v>0</v>
      </c>
      <c r="I1010" s="16">
        <v>1</v>
      </c>
      <c r="J1010" s="16">
        <v>0</v>
      </c>
      <c r="K1010" s="16">
        <v>0</v>
      </c>
      <c r="L1010" s="15">
        <v>1</v>
      </c>
      <c r="M1010" s="15">
        <f t="shared" si="139"/>
        <v>0</v>
      </c>
      <c r="N1010" s="16">
        <v>0</v>
      </c>
      <c r="O1010" s="16">
        <v>0</v>
      </c>
      <c r="P1010" s="16">
        <v>0</v>
      </c>
      <c r="Q1010" s="16">
        <v>0</v>
      </c>
      <c r="R1010" s="16">
        <v>0</v>
      </c>
      <c r="S1010" s="16">
        <v>0</v>
      </c>
      <c r="T1010" s="15">
        <v>1</v>
      </c>
      <c r="U1010" s="15">
        <v>1</v>
      </c>
      <c r="V1010" s="15">
        <v>1</v>
      </c>
      <c r="W1010" s="15">
        <v>0</v>
      </c>
      <c r="X1010" s="15">
        <v>0</v>
      </c>
      <c r="Y1010" s="15">
        <v>0</v>
      </c>
      <c r="Z1010" s="30" t="s">
        <v>1415</v>
      </c>
    </row>
    <row r="1011" spans="1:26" s="15" customFormat="1" ht="15" customHeight="1" x14ac:dyDescent="0.15">
      <c r="A1011" s="42">
        <v>20242</v>
      </c>
      <c r="B1011" s="15" t="s">
        <v>1272</v>
      </c>
      <c r="C1011" s="15">
        <f t="shared" si="140"/>
        <v>5</v>
      </c>
      <c r="D1011" s="15">
        <v>1</v>
      </c>
      <c r="F1011" s="12">
        <v>0</v>
      </c>
      <c r="G1011" s="16">
        <v>1</v>
      </c>
      <c r="H1011" s="16">
        <v>0</v>
      </c>
      <c r="I1011" s="16">
        <v>1</v>
      </c>
      <c r="J1011" s="16">
        <v>0</v>
      </c>
      <c r="K1011" s="16">
        <v>0</v>
      </c>
      <c r="L1011" s="15">
        <v>1</v>
      </c>
      <c r="M1011" s="15">
        <f t="shared" si="139"/>
        <v>0</v>
      </c>
      <c r="N1011" s="16">
        <v>0</v>
      </c>
      <c r="O1011" s="16">
        <v>0</v>
      </c>
      <c r="P1011" s="16">
        <v>0</v>
      </c>
      <c r="Q1011" s="16">
        <v>0</v>
      </c>
      <c r="R1011" s="16">
        <v>0</v>
      </c>
      <c r="S1011" s="16">
        <v>0</v>
      </c>
      <c r="T1011" s="15">
        <v>1</v>
      </c>
      <c r="U1011" s="15">
        <v>1</v>
      </c>
      <c r="V1011" s="15">
        <v>1</v>
      </c>
      <c r="W1011" s="15">
        <v>0</v>
      </c>
      <c r="X1011" s="15">
        <v>0</v>
      </c>
      <c r="Y1011" s="15">
        <v>0</v>
      </c>
      <c r="Z1011" s="30" t="s">
        <v>1463</v>
      </c>
    </row>
    <row r="1012" spans="1:26" s="15" customFormat="1" ht="15" customHeight="1" x14ac:dyDescent="0.15">
      <c r="A1012" s="42">
        <v>20243</v>
      </c>
      <c r="B1012" s="15" t="s">
        <v>1273</v>
      </c>
      <c r="C1012" s="15">
        <f t="shared" si="140"/>
        <v>5</v>
      </c>
      <c r="D1012" s="15">
        <v>1</v>
      </c>
      <c r="F1012" s="12">
        <v>0</v>
      </c>
      <c r="G1012" s="16">
        <v>1</v>
      </c>
      <c r="H1012" s="16">
        <v>0</v>
      </c>
      <c r="I1012" s="16">
        <v>1</v>
      </c>
      <c r="J1012" s="16">
        <v>0</v>
      </c>
      <c r="K1012" s="16">
        <v>0</v>
      </c>
      <c r="L1012" s="15">
        <v>1</v>
      </c>
      <c r="M1012" s="15">
        <f t="shared" si="139"/>
        <v>0</v>
      </c>
      <c r="N1012" s="16">
        <v>0</v>
      </c>
      <c r="O1012" s="16">
        <v>0</v>
      </c>
      <c r="P1012" s="16">
        <v>0</v>
      </c>
      <c r="Q1012" s="16">
        <v>0</v>
      </c>
      <c r="R1012" s="16">
        <v>0</v>
      </c>
      <c r="S1012" s="16">
        <v>0</v>
      </c>
      <c r="T1012" s="15">
        <v>1</v>
      </c>
      <c r="U1012" s="15">
        <v>1</v>
      </c>
      <c r="V1012" s="15">
        <v>1</v>
      </c>
      <c r="W1012" s="15">
        <v>0</v>
      </c>
      <c r="X1012" s="15">
        <v>0</v>
      </c>
      <c r="Y1012" s="15">
        <v>0</v>
      </c>
      <c r="Z1012" s="30" t="s">
        <v>1284</v>
      </c>
    </row>
    <row r="1013" spans="1:26" s="15" customFormat="1" ht="15" customHeight="1" x14ac:dyDescent="0.15">
      <c r="A1013" s="42">
        <v>20244</v>
      </c>
      <c r="B1013" s="15" t="s">
        <v>1274</v>
      </c>
      <c r="C1013" s="15">
        <f t="shared" si="140"/>
        <v>5</v>
      </c>
      <c r="D1013" s="15">
        <v>1</v>
      </c>
      <c r="F1013" s="12">
        <v>0</v>
      </c>
      <c r="G1013" s="16">
        <v>1</v>
      </c>
      <c r="H1013" s="16">
        <v>0</v>
      </c>
      <c r="I1013" s="16">
        <v>1</v>
      </c>
      <c r="J1013" s="16">
        <v>0</v>
      </c>
      <c r="K1013" s="16">
        <v>0</v>
      </c>
      <c r="L1013" s="15">
        <v>1</v>
      </c>
      <c r="M1013" s="15">
        <f t="shared" si="139"/>
        <v>0</v>
      </c>
      <c r="N1013" s="16">
        <v>0</v>
      </c>
      <c r="O1013" s="16">
        <v>0</v>
      </c>
      <c r="P1013" s="16">
        <v>0</v>
      </c>
      <c r="Q1013" s="16">
        <v>0</v>
      </c>
      <c r="R1013" s="16">
        <v>0</v>
      </c>
      <c r="S1013" s="16">
        <v>0</v>
      </c>
      <c r="T1013" s="15">
        <v>1</v>
      </c>
      <c r="U1013" s="15">
        <v>1</v>
      </c>
      <c r="V1013" s="15">
        <v>1</v>
      </c>
      <c r="W1013" s="15">
        <v>0</v>
      </c>
      <c r="X1013" s="15">
        <v>0</v>
      </c>
      <c r="Y1013" s="15">
        <v>0</v>
      </c>
      <c r="Z1013" s="30" t="s">
        <v>1285</v>
      </c>
    </row>
    <row r="1014" spans="1:26" s="15" customFormat="1" ht="15" customHeight="1" x14ac:dyDescent="0.15">
      <c r="A1014" s="42">
        <v>20245</v>
      </c>
      <c r="B1014" s="15" t="s">
        <v>1275</v>
      </c>
      <c r="C1014" s="15">
        <f t="shared" si="140"/>
        <v>5</v>
      </c>
      <c r="D1014" s="15">
        <v>1</v>
      </c>
      <c r="F1014" s="12">
        <v>0</v>
      </c>
      <c r="G1014" s="16">
        <v>1</v>
      </c>
      <c r="H1014" s="16">
        <v>0</v>
      </c>
      <c r="I1014" s="16">
        <v>1</v>
      </c>
      <c r="J1014" s="16">
        <v>0</v>
      </c>
      <c r="K1014" s="16">
        <v>0</v>
      </c>
      <c r="L1014" s="15">
        <v>1</v>
      </c>
      <c r="M1014" s="15">
        <f t="shared" si="139"/>
        <v>0</v>
      </c>
      <c r="N1014" s="16">
        <v>0</v>
      </c>
      <c r="O1014" s="16">
        <v>0</v>
      </c>
      <c r="P1014" s="16">
        <v>0</v>
      </c>
      <c r="Q1014" s="16">
        <v>0</v>
      </c>
      <c r="R1014" s="16">
        <v>0</v>
      </c>
      <c r="S1014" s="16">
        <v>0</v>
      </c>
      <c r="T1014" s="15">
        <v>1</v>
      </c>
      <c r="U1014" s="15">
        <v>1</v>
      </c>
      <c r="V1014" s="15">
        <v>1</v>
      </c>
      <c r="W1014" s="15">
        <v>0</v>
      </c>
      <c r="X1014" s="15">
        <v>0</v>
      </c>
      <c r="Y1014" s="15">
        <v>0</v>
      </c>
      <c r="Z1014" s="30" t="s">
        <v>1286</v>
      </c>
    </row>
    <row r="1015" spans="1:26" s="15" customFormat="1" ht="15" customHeight="1" x14ac:dyDescent="0.15">
      <c r="A1015" s="42">
        <v>20246</v>
      </c>
      <c r="B1015" s="15" t="s">
        <v>1276</v>
      </c>
      <c r="C1015" s="15">
        <f t="shared" ref="C1015" si="141">G1015+H1015*2+I1015*4+J1015*8+K1015*16</f>
        <v>5</v>
      </c>
      <c r="D1015" s="15">
        <v>1</v>
      </c>
      <c r="F1015" s="12">
        <v>0</v>
      </c>
      <c r="G1015" s="16">
        <v>1</v>
      </c>
      <c r="H1015" s="16">
        <v>0</v>
      </c>
      <c r="I1015" s="16">
        <v>1</v>
      </c>
      <c r="J1015" s="16">
        <v>0</v>
      </c>
      <c r="K1015" s="16">
        <v>0</v>
      </c>
      <c r="L1015" s="15">
        <v>1</v>
      </c>
      <c r="M1015" s="15">
        <v>64</v>
      </c>
      <c r="N1015" s="16">
        <v>0</v>
      </c>
      <c r="O1015" s="16">
        <v>0</v>
      </c>
      <c r="P1015" s="16">
        <v>0</v>
      </c>
      <c r="Q1015" s="16">
        <v>0</v>
      </c>
      <c r="R1015" s="16">
        <v>0</v>
      </c>
      <c r="S1015" s="16">
        <v>0</v>
      </c>
      <c r="T1015" s="15">
        <v>1</v>
      </c>
      <c r="U1015" s="15">
        <v>1</v>
      </c>
      <c r="V1015" s="15">
        <v>1</v>
      </c>
      <c r="W1015" s="15">
        <v>0</v>
      </c>
      <c r="X1015" s="15">
        <v>0</v>
      </c>
      <c r="Y1015" s="15">
        <v>0</v>
      </c>
      <c r="Z1015" s="30" t="s">
        <v>1280</v>
      </c>
    </row>
    <row r="1016" spans="1:26" s="15" customFormat="1" ht="15" customHeight="1" x14ac:dyDescent="0.15">
      <c r="A1016" s="42">
        <v>20247</v>
      </c>
      <c r="B1016" s="15" t="s">
        <v>1277</v>
      </c>
      <c r="C1016" s="15">
        <f t="shared" ref="C1016:C1032" si="142">G1016+H1016*2+I1016*4+J1016*8+K1016*16</f>
        <v>5</v>
      </c>
      <c r="D1016" s="15">
        <v>1</v>
      </c>
      <c r="F1016" s="12">
        <v>0</v>
      </c>
      <c r="G1016" s="16">
        <v>1</v>
      </c>
      <c r="H1016" s="16">
        <v>0</v>
      </c>
      <c r="I1016" s="16">
        <v>1</v>
      </c>
      <c r="J1016" s="16">
        <v>0</v>
      </c>
      <c r="K1016" s="16">
        <v>0</v>
      </c>
      <c r="L1016" s="15">
        <v>1</v>
      </c>
      <c r="M1016" s="15">
        <v>64</v>
      </c>
      <c r="N1016" s="16">
        <v>0</v>
      </c>
      <c r="O1016" s="16">
        <v>0</v>
      </c>
      <c r="P1016" s="16">
        <v>0</v>
      </c>
      <c r="Q1016" s="16">
        <v>0</v>
      </c>
      <c r="R1016" s="16">
        <v>0</v>
      </c>
      <c r="S1016" s="16">
        <v>0</v>
      </c>
      <c r="T1016" s="15">
        <v>1</v>
      </c>
      <c r="U1016" s="15">
        <v>1</v>
      </c>
      <c r="V1016" s="15">
        <v>1</v>
      </c>
      <c r="W1016" s="15">
        <v>0</v>
      </c>
      <c r="X1016" s="15">
        <v>0</v>
      </c>
      <c r="Y1016" s="15">
        <v>0</v>
      </c>
      <c r="Z1016" s="30" t="s">
        <v>1281</v>
      </c>
    </row>
    <row r="1017" spans="1:26" s="15" customFormat="1" ht="15" customHeight="1" x14ac:dyDescent="0.15">
      <c r="A1017" s="42">
        <v>20248</v>
      </c>
      <c r="B1017" s="15" t="s">
        <v>1278</v>
      </c>
      <c r="C1017" s="15">
        <f t="shared" si="142"/>
        <v>5</v>
      </c>
      <c r="D1017" s="15">
        <v>1</v>
      </c>
      <c r="F1017" s="12">
        <v>0</v>
      </c>
      <c r="G1017" s="16">
        <v>1</v>
      </c>
      <c r="H1017" s="16">
        <v>0</v>
      </c>
      <c r="I1017" s="16">
        <v>1</v>
      </c>
      <c r="J1017" s="16">
        <v>0</v>
      </c>
      <c r="K1017" s="16">
        <v>0</v>
      </c>
      <c r="L1017" s="15">
        <v>1</v>
      </c>
      <c r="M1017" s="15">
        <v>64</v>
      </c>
      <c r="N1017" s="16">
        <v>0</v>
      </c>
      <c r="O1017" s="16">
        <v>0</v>
      </c>
      <c r="P1017" s="16">
        <v>0</v>
      </c>
      <c r="Q1017" s="16">
        <v>0</v>
      </c>
      <c r="R1017" s="16">
        <v>0</v>
      </c>
      <c r="S1017" s="16">
        <v>0</v>
      </c>
      <c r="T1017" s="15">
        <v>1</v>
      </c>
      <c r="U1017" s="15">
        <v>1</v>
      </c>
      <c r="V1017" s="15">
        <v>1</v>
      </c>
      <c r="W1017" s="15">
        <v>0</v>
      </c>
      <c r="X1017" s="15">
        <v>0</v>
      </c>
      <c r="Y1017" s="15">
        <v>0</v>
      </c>
      <c r="Z1017" s="30" t="s">
        <v>1282</v>
      </c>
    </row>
    <row r="1018" spans="1:26" s="15" customFormat="1" ht="15" customHeight="1" x14ac:dyDescent="0.15">
      <c r="A1018" s="42">
        <v>20249</v>
      </c>
      <c r="B1018" s="15" t="s">
        <v>1279</v>
      </c>
      <c r="C1018" s="15">
        <f t="shared" si="142"/>
        <v>5</v>
      </c>
      <c r="D1018" s="15">
        <v>1</v>
      </c>
      <c r="F1018" s="12">
        <v>0</v>
      </c>
      <c r="G1018" s="16">
        <v>1</v>
      </c>
      <c r="H1018" s="16">
        <v>0</v>
      </c>
      <c r="I1018" s="16">
        <v>1</v>
      </c>
      <c r="J1018" s="16">
        <v>0</v>
      </c>
      <c r="K1018" s="16">
        <v>0</v>
      </c>
      <c r="L1018" s="15">
        <v>1</v>
      </c>
      <c r="M1018" s="15">
        <v>64</v>
      </c>
      <c r="N1018" s="16">
        <v>0</v>
      </c>
      <c r="O1018" s="16">
        <v>0</v>
      </c>
      <c r="P1018" s="16">
        <v>0</v>
      </c>
      <c r="Q1018" s="16">
        <v>0</v>
      </c>
      <c r="R1018" s="16">
        <v>0</v>
      </c>
      <c r="S1018" s="16">
        <v>0</v>
      </c>
      <c r="T1018" s="15">
        <v>1</v>
      </c>
      <c r="U1018" s="15">
        <v>1</v>
      </c>
      <c r="V1018" s="15">
        <v>1</v>
      </c>
      <c r="W1018" s="15">
        <v>0</v>
      </c>
      <c r="X1018" s="15">
        <v>0</v>
      </c>
      <c r="Y1018" s="15">
        <v>0</v>
      </c>
      <c r="Z1018" s="30" t="s">
        <v>1283</v>
      </c>
    </row>
    <row r="1019" spans="1:26" s="9" customFormat="1" ht="15" customHeight="1" x14ac:dyDescent="0.15">
      <c r="A1019" s="41">
        <v>20250</v>
      </c>
      <c r="B1019" s="38" t="s">
        <v>1622</v>
      </c>
      <c r="C1019" s="38">
        <f t="shared" si="142"/>
        <v>5</v>
      </c>
      <c r="D1019" s="38">
        <v>1</v>
      </c>
      <c r="E1019" s="38"/>
      <c r="F1019" s="12">
        <v>0</v>
      </c>
      <c r="G1019" s="38">
        <v>1</v>
      </c>
      <c r="H1019" s="38">
        <v>0</v>
      </c>
      <c r="I1019" s="38">
        <v>1</v>
      </c>
      <c r="J1019" s="38">
        <v>0</v>
      </c>
      <c r="K1019" s="38">
        <v>0</v>
      </c>
      <c r="L1019" s="38">
        <v>1</v>
      </c>
      <c r="M1019" s="38">
        <v>64</v>
      </c>
      <c r="N1019" s="38">
        <v>0</v>
      </c>
      <c r="O1019" s="38">
        <v>0</v>
      </c>
      <c r="P1019" s="38">
        <v>0</v>
      </c>
      <c r="Q1019" s="38">
        <v>0</v>
      </c>
      <c r="R1019" s="38">
        <v>0</v>
      </c>
      <c r="S1019" s="38">
        <v>0</v>
      </c>
      <c r="T1019" s="38">
        <v>1</v>
      </c>
      <c r="U1019" s="38">
        <v>1</v>
      </c>
      <c r="V1019" s="38">
        <v>1</v>
      </c>
      <c r="W1019" s="38">
        <v>0</v>
      </c>
      <c r="X1019" s="38">
        <v>0</v>
      </c>
      <c r="Y1019" s="38">
        <v>0</v>
      </c>
      <c r="Z1019" s="38" t="s">
        <v>1623</v>
      </c>
    </row>
    <row r="1020" spans="1:26" s="9" customFormat="1" ht="15" customHeight="1" x14ac:dyDescent="0.15">
      <c r="A1020" s="41">
        <v>20251</v>
      </c>
      <c r="B1020" s="38" t="s">
        <v>1624</v>
      </c>
      <c r="C1020" s="38">
        <f t="shared" si="142"/>
        <v>5</v>
      </c>
      <c r="D1020" s="38">
        <v>1</v>
      </c>
      <c r="E1020" s="38"/>
      <c r="F1020" s="12">
        <v>0</v>
      </c>
      <c r="G1020" s="38">
        <v>1</v>
      </c>
      <c r="H1020" s="38">
        <v>0</v>
      </c>
      <c r="I1020" s="38">
        <v>1</v>
      </c>
      <c r="J1020" s="38">
        <v>0</v>
      </c>
      <c r="K1020" s="38">
        <v>0</v>
      </c>
      <c r="L1020" s="38">
        <v>1</v>
      </c>
      <c r="M1020" s="38">
        <v>64</v>
      </c>
      <c r="N1020" s="38">
        <v>0</v>
      </c>
      <c r="O1020" s="38">
        <v>0</v>
      </c>
      <c r="P1020" s="38">
        <v>0</v>
      </c>
      <c r="Q1020" s="38">
        <v>0</v>
      </c>
      <c r="R1020" s="38">
        <v>0</v>
      </c>
      <c r="S1020" s="38">
        <v>0</v>
      </c>
      <c r="T1020" s="38">
        <v>1</v>
      </c>
      <c r="U1020" s="38">
        <v>1</v>
      </c>
      <c r="V1020" s="38">
        <v>1</v>
      </c>
      <c r="W1020" s="38">
        <v>0</v>
      </c>
      <c r="X1020" s="38">
        <v>0</v>
      </c>
      <c r="Y1020" s="38">
        <v>0</v>
      </c>
      <c r="Z1020" s="38" t="s">
        <v>1625</v>
      </c>
    </row>
    <row r="1021" spans="1:26" s="26" customFormat="1" ht="15" customHeight="1" x14ac:dyDescent="0.15">
      <c r="A1021" s="26">
        <v>20255</v>
      </c>
      <c r="B1021" s="26" t="s">
        <v>1334</v>
      </c>
      <c r="C1021" s="26">
        <f t="shared" si="142"/>
        <v>1</v>
      </c>
      <c r="D1021" s="26">
        <v>1</v>
      </c>
      <c r="E1021" s="55"/>
      <c r="F1021" s="12">
        <v>0</v>
      </c>
      <c r="G1021" s="27">
        <v>1</v>
      </c>
      <c r="H1021" s="27">
        <v>0</v>
      </c>
      <c r="I1021" s="27">
        <v>0</v>
      </c>
      <c r="J1021" s="27">
        <v>0</v>
      </c>
      <c r="K1021" s="27">
        <v>0</v>
      </c>
      <c r="L1021" s="26">
        <v>1</v>
      </c>
      <c r="M1021" s="26">
        <v>0</v>
      </c>
      <c r="N1021" s="27">
        <v>0</v>
      </c>
      <c r="O1021" s="27">
        <v>0</v>
      </c>
      <c r="P1021" s="27">
        <v>0</v>
      </c>
      <c r="Q1021" s="27">
        <v>0</v>
      </c>
      <c r="R1021" s="27">
        <v>0</v>
      </c>
      <c r="S1021" s="27">
        <v>0</v>
      </c>
      <c r="T1021" s="26">
        <v>1</v>
      </c>
      <c r="U1021" s="26">
        <v>1</v>
      </c>
      <c r="V1021" s="26">
        <v>1</v>
      </c>
      <c r="W1021" s="26">
        <v>0</v>
      </c>
      <c r="X1021" s="26">
        <v>0</v>
      </c>
      <c r="Y1021" s="26">
        <v>0</v>
      </c>
      <c r="Z1021" s="26" t="s">
        <v>751</v>
      </c>
    </row>
    <row r="1022" spans="1:26" s="26" customFormat="1" ht="15" customHeight="1" x14ac:dyDescent="0.15">
      <c r="A1022" s="26">
        <v>20256</v>
      </c>
      <c r="B1022" s="26" t="s">
        <v>1335</v>
      </c>
      <c r="C1022" s="26">
        <f t="shared" si="142"/>
        <v>1</v>
      </c>
      <c r="D1022" s="26">
        <v>1</v>
      </c>
      <c r="E1022" s="55"/>
      <c r="F1022" s="12">
        <v>0</v>
      </c>
      <c r="G1022" s="27">
        <v>1</v>
      </c>
      <c r="H1022" s="27">
        <v>0</v>
      </c>
      <c r="I1022" s="27">
        <v>0</v>
      </c>
      <c r="J1022" s="27">
        <v>0</v>
      </c>
      <c r="K1022" s="27">
        <v>0</v>
      </c>
      <c r="L1022" s="26">
        <v>1</v>
      </c>
      <c r="M1022" s="26">
        <v>0</v>
      </c>
      <c r="N1022" s="27">
        <v>0</v>
      </c>
      <c r="O1022" s="27">
        <v>0</v>
      </c>
      <c r="P1022" s="27">
        <v>0</v>
      </c>
      <c r="Q1022" s="27">
        <v>0</v>
      </c>
      <c r="R1022" s="27">
        <v>0</v>
      </c>
      <c r="S1022" s="27">
        <v>0</v>
      </c>
      <c r="T1022" s="26">
        <v>1</v>
      </c>
      <c r="U1022" s="26">
        <v>1</v>
      </c>
      <c r="V1022" s="26">
        <v>1</v>
      </c>
      <c r="W1022" s="26">
        <v>0</v>
      </c>
      <c r="X1022" s="26">
        <v>0</v>
      </c>
      <c r="Y1022" s="26">
        <v>0</v>
      </c>
      <c r="Z1022" s="26" t="s">
        <v>751</v>
      </c>
    </row>
    <row r="1023" spans="1:26" s="26" customFormat="1" ht="15" customHeight="1" x14ac:dyDescent="0.15">
      <c r="A1023" s="26">
        <v>20257</v>
      </c>
      <c r="B1023" s="26" t="s">
        <v>1336</v>
      </c>
      <c r="C1023" s="26">
        <f t="shared" si="142"/>
        <v>1</v>
      </c>
      <c r="D1023" s="26">
        <v>1</v>
      </c>
      <c r="E1023" s="55"/>
      <c r="F1023" s="12">
        <v>0</v>
      </c>
      <c r="G1023" s="27">
        <v>1</v>
      </c>
      <c r="H1023" s="27">
        <v>0</v>
      </c>
      <c r="I1023" s="27">
        <v>0</v>
      </c>
      <c r="J1023" s="27">
        <v>0</v>
      </c>
      <c r="K1023" s="27">
        <v>0</v>
      </c>
      <c r="L1023" s="26">
        <v>1</v>
      </c>
      <c r="M1023" s="26">
        <v>0</v>
      </c>
      <c r="N1023" s="27">
        <v>0</v>
      </c>
      <c r="O1023" s="27">
        <v>0</v>
      </c>
      <c r="P1023" s="27">
        <v>0</v>
      </c>
      <c r="Q1023" s="27">
        <v>0</v>
      </c>
      <c r="R1023" s="27">
        <v>0</v>
      </c>
      <c r="S1023" s="27">
        <v>0</v>
      </c>
      <c r="T1023" s="26">
        <v>1</v>
      </c>
      <c r="U1023" s="26">
        <v>1</v>
      </c>
      <c r="V1023" s="26">
        <v>1</v>
      </c>
      <c r="W1023" s="26">
        <v>0</v>
      </c>
      <c r="X1023" s="26">
        <v>0</v>
      </c>
      <c r="Y1023" s="26">
        <v>0</v>
      </c>
      <c r="Z1023" s="26" t="s">
        <v>751</v>
      </c>
    </row>
    <row r="1024" spans="1:26" s="26" customFormat="1" ht="15" customHeight="1" x14ac:dyDescent="0.15">
      <c r="A1024" s="26">
        <v>20258</v>
      </c>
      <c r="B1024" s="26" t="s">
        <v>1337</v>
      </c>
      <c r="C1024" s="26">
        <f t="shared" si="142"/>
        <v>1</v>
      </c>
      <c r="D1024" s="26">
        <v>1</v>
      </c>
      <c r="E1024" s="55"/>
      <c r="F1024" s="12">
        <v>0</v>
      </c>
      <c r="G1024" s="27">
        <v>1</v>
      </c>
      <c r="H1024" s="27">
        <v>0</v>
      </c>
      <c r="I1024" s="27">
        <v>0</v>
      </c>
      <c r="J1024" s="27">
        <v>0</v>
      </c>
      <c r="K1024" s="27">
        <v>0</v>
      </c>
      <c r="L1024" s="26">
        <v>1</v>
      </c>
      <c r="M1024" s="26">
        <v>0</v>
      </c>
      <c r="N1024" s="27">
        <v>0</v>
      </c>
      <c r="O1024" s="27">
        <v>0</v>
      </c>
      <c r="P1024" s="27">
        <v>0</v>
      </c>
      <c r="Q1024" s="27">
        <v>0</v>
      </c>
      <c r="R1024" s="27">
        <v>0</v>
      </c>
      <c r="S1024" s="27">
        <v>0</v>
      </c>
      <c r="T1024" s="26">
        <v>1</v>
      </c>
      <c r="U1024" s="26">
        <v>1</v>
      </c>
      <c r="V1024" s="26">
        <v>1</v>
      </c>
      <c r="W1024" s="26">
        <v>0</v>
      </c>
      <c r="X1024" s="26">
        <v>0</v>
      </c>
      <c r="Y1024" s="26">
        <v>0</v>
      </c>
      <c r="Z1024" s="26" t="s">
        <v>751</v>
      </c>
    </row>
    <row r="1025" spans="1:26" s="26" customFormat="1" ht="15" customHeight="1" x14ac:dyDescent="0.15">
      <c r="A1025" s="26">
        <v>20259</v>
      </c>
      <c r="B1025" s="26" t="s">
        <v>1338</v>
      </c>
      <c r="C1025" s="26">
        <f t="shared" si="142"/>
        <v>1</v>
      </c>
      <c r="D1025" s="26">
        <v>1</v>
      </c>
      <c r="E1025" s="55"/>
      <c r="F1025" s="12">
        <v>0</v>
      </c>
      <c r="G1025" s="27">
        <v>1</v>
      </c>
      <c r="H1025" s="27">
        <v>0</v>
      </c>
      <c r="I1025" s="27">
        <v>0</v>
      </c>
      <c r="J1025" s="27">
        <v>0</v>
      </c>
      <c r="K1025" s="27">
        <v>0</v>
      </c>
      <c r="L1025" s="26">
        <v>1</v>
      </c>
      <c r="M1025" s="26">
        <v>0</v>
      </c>
      <c r="N1025" s="27">
        <v>0</v>
      </c>
      <c r="O1025" s="27">
        <v>0</v>
      </c>
      <c r="P1025" s="27">
        <v>0</v>
      </c>
      <c r="Q1025" s="27">
        <v>0</v>
      </c>
      <c r="R1025" s="27">
        <v>0</v>
      </c>
      <c r="S1025" s="27">
        <v>0</v>
      </c>
      <c r="T1025" s="26">
        <v>1</v>
      </c>
      <c r="U1025" s="26">
        <v>1</v>
      </c>
      <c r="V1025" s="26">
        <v>1</v>
      </c>
      <c r="W1025" s="26">
        <v>1</v>
      </c>
      <c r="X1025" s="26">
        <v>0</v>
      </c>
      <c r="Y1025" s="26">
        <v>0</v>
      </c>
      <c r="Z1025" s="26" t="s">
        <v>751</v>
      </c>
    </row>
    <row r="1026" spans="1:26" s="26" customFormat="1" ht="15" customHeight="1" x14ac:dyDescent="0.15">
      <c r="A1026" s="26">
        <v>20260</v>
      </c>
      <c r="B1026" s="26" t="s">
        <v>1339</v>
      </c>
      <c r="C1026" s="26">
        <f t="shared" si="142"/>
        <v>0</v>
      </c>
      <c r="D1026" s="26">
        <v>1</v>
      </c>
      <c r="E1026" s="55">
        <v>34</v>
      </c>
      <c r="F1026" s="12">
        <v>0</v>
      </c>
      <c r="G1026" s="27">
        <v>0</v>
      </c>
      <c r="H1026" s="27">
        <v>0</v>
      </c>
      <c r="I1026" s="27">
        <v>0</v>
      </c>
      <c r="J1026" s="27">
        <v>0</v>
      </c>
      <c r="K1026" s="27">
        <v>0</v>
      </c>
      <c r="L1026" s="26">
        <v>0</v>
      </c>
      <c r="M1026" s="26">
        <v>64</v>
      </c>
      <c r="N1026" s="27">
        <v>0</v>
      </c>
      <c r="O1026" s="27">
        <v>0</v>
      </c>
      <c r="P1026" s="27">
        <v>0</v>
      </c>
      <c r="Q1026" s="27">
        <v>0</v>
      </c>
      <c r="R1026" s="27">
        <v>0</v>
      </c>
      <c r="S1026" s="27">
        <v>0</v>
      </c>
      <c r="T1026" s="26">
        <v>1</v>
      </c>
      <c r="U1026" s="26">
        <v>1</v>
      </c>
      <c r="V1026" s="26">
        <v>1</v>
      </c>
      <c r="W1026" s="26">
        <v>0</v>
      </c>
      <c r="X1026" s="26">
        <v>1</v>
      </c>
      <c r="Y1026" s="26">
        <v>0</v>
      </c>
      <c r="Z1026" s="56" t="s">
        <v>1340</v>
      </c>
    </row>
    <row r="1027" spans="1:26" s="26" customFormat="1" ht="15" customHeight="1" x14ac:dyDescent="0.15">
      <c r="A1027" s="26">
        <v>20261</v>
      </c>
      <c r="B1027" s="26" t="s">
        <v>1341</v>
      </c>
      <c r="C1027" s="26">
        <f t="shared" si="142"/>
        <v>0</v>
      </c>
      <c r="D1027" s="26">
        <v>1</v>
      </c>
      <c r="E1027" s="55">
        <v>28</v>
      </c>
      <c r="F1027" s="12">
        <v>0</v>
      </c>
      <c r="G1027" s="27">
        <v>0</v>
      </c>
      <c r="H1027" s="27">
        <v>0</v>
      </c>
      <c r="I1027" s="27">
        <v>0</v>
      </c>
      <c r="J1027" s="27">
        <v>0</v>
      </c>
      <c r="K1027" s="27">
        <v>0</v>
      </c>
      <c r="L1027" s="26">
        <v>0</v>
      </c>
      <c r="M1027" s="26">
        <v>64</v>
      </c>
      <c r="N1027" s="27">
        <v>0</v>
      </c>
      <c r="O1027" s="27">
        <v>0</v>
      </c>
      <c r="P1027" s="27">
        <v>0</v>
      </c>
      <c r="Q1027" s="27">
        <v>0</v>
      </c>
      <c r="R1027" s="27">
        <v>0</v>
      </c>
      <c r="S1027" s="27">
        <v>0</v>
      </c>
      <c r="T1027" s="26">
        <v>1</v>
      </c>
      <c r="U1027" s="26">
        <v>1</v>
      </c>
      <c r="V1027" s="26">
        <v>1</v>
      </c>
      <c r="W1027" s="26">
        <v>0</v>
      </c>
      <c r="X1027" s="26">
        <v>1</v>
      </c>
      <c r="Y1027" s="26">
        <v>0</v>
      </c>
      <c r="Z1027" s="56" t="s">
        <v>1342</v>
      </c>
    </row>
    <row r="1028" spans="1:26" s="26" customFormat="1" ht="15" customHeight="1" x14ac:dyDescent="0.15">
      <c r="A1028" s="26">
        <v>20262</v>
      </c>
      <c r="B1028" s="26" t="s">
        <v>1343</v>
      </c>
      <c r="C1028" s="26">
        <f t="shared" si="142"/>
        <v>0</v>
      </c>
      <c r="D1028" s="26">
        <v>1</v>
      </c>
      <c r="E1028" s="55">
        <v>30</v>
      </c>
      <c r="F1028" s="12">
        <v>0</v>
      </c>
      <c r="G1028" s="27">
        <v>0</v>
      </c>
      <c r="H1028" s="27">
        <v>0</v>
      </c>
      <c r="I1028" s="27">
        <v>0</v>
      </c>
      <c r="J1028" s="27">
        <v>0</v>
      </c>
      <c r="K1028" s="27">
        <v>0</v>
      </c>
      <c r="L1028" s="26">
        <v>0</v>
      </c>
      <c r="M1028" s="26">
        <v>64</v>
      </c>
      <c r="N1028" s="27">
        <v>0</v>
      </c>
      <c r="O1028" s="27">
        <v>0</v>
      </c>
      <c r="P1028" s="27">
        <v>0</v>
      </c>
      <c r="Q1028" s="27">
        <v>0</v>
      </c>
      <c r="R1028" s="27">
        <v>0</v>
      </c>
      <c r="S1028" s="27">
        <v>0</v>
      </c>
      <c r="T1028" s="26">
        <v>1</v>
      </c>
      <c r="U1028" s="26">
        <v>1</v>
      </c>
      <c r="V1028" s="26">
        <v>1</v>
      </c>
      <c r="W1028" s="26">
        <v>0</v>
      </c>
      <c r="X1028" s="26">
        <v>1</v>
      </c>
      <c r="Y1028" s="26">
        <v>0</v>
      </c>
      <c r="Z1028" s="56" t="s">
        <v>1344</v>
      </c>
    </row>
    <row r="1029" spans="1:26" s="26" customFormat="1" ht="15" customHeight="1" x14ac:dyDescent="0.15">
      <c r="A1029" s="26">
        <v>20263</v>
      </c>
      <c r="B1029" s="26" t="s">
        <v>1345</v>
      </c>
      <c r="C1029" s="26">
        <f t="shared" si="142"/>
        <v>0</v>
      </c>
      <c r="D1029" s="26">
        <v>1</v>
      </c>
      <c r="E1029" s="55">
        <v>33</v>
      </c>
      <c r="F1029" s="12">
        <v>0</v>
      </c>
      <c r="G1029" s="27">
        <v>0</v>
      </c>
      <c r="H1029" s="27">
        <v>0</v>
      </c>
      <c r="I1029" s="27">
        <v>0</v>
      </c>
      <c r="J1029" s="27">
        <v>0</v>
      </c>
      <c r="K1029" s="27">
        <v>0</v>
      </c>
      <c r="L1029" s="26">
        <v>0</v>
      </c>
      <c r="M1029" s="26">
        <v>64</v>
      </c>
      <c r="N1029" s="27">
        <v>0</v>
      </c>
      <c r="O1029" s="27">
        <v>0</v>
      </c>
      <c r="P1029" s="27">
        <v>0</v>
      </c>
      <c r="Q1029" s="27">
        <v>0</v>
      </c>
      <c r="R1029" s="27">
        <v>0</v>
      </c>
      <c r="S1029" s="27">
        <v>0</v>
      </c>
      <c r="T1029" s="26">
        <v>1</v>
      </c>
      <c r="U1029" s="26">
        <v>1</v>
      </c>
      <c r="V1029" s="26">
        <v>1</v>
      </c>
      <c r="W1029" s="26">
        <v>0</v>
      </c>
      <c r="X1029" s="26">
        <v>1</v>
      </c>
      <c r="Y1029" s="26">
        <v>0</v>
      </c>
      <c r="Z1029" s="56" t="s">
        <v>1340</v>
      </c>
    </row>
    <row r="1030" spans="1:26" s="26" customFormat="1" ht="15" customHeight="1" x14ac:dyDescent="0.15">
      <c r="A1030" s="26">
        <v>20264</v>
      </c>
      <c r="B1030" s="26" t="s">
        <v>1346</v>
      </c>
      <c r="C1030" s="26">
        <f t="shared" si="142"/>
        <v>0</v>
      </c>
      <c r="D1030" s="26">
        <v>1</v>
      </c>
      <c r="E1030" s="55">
        <v>32</v>
      </c>
      <c r="F1030" s="12">
        <v>0</v>
      </c>
      <c r="G1030" s="27">
        <v>0</v>
      </c>
      <c r="H1030" s="27">
        <v>0</v>
      </c>
      <c r="I1030" s="27">
        <v>0</v>
      </c>
      <c r="J1030" s="27">
        <v>0</v>
      </c>
      <c r="K1030" s="27">
        <v>0</v>
      </c>
      <c r="L1030" s="26">
        <v>0</v>
      </c>
      <c r="M1030" s="26">
        <v>64</v>
      </c>
      <c r="N1030" s="27">
        <v>0</v>
      </c>
      <c r="O1030" s="27">
        <v>0</v>
      </c>
      <c r="P1030" s="27">
        <v>0</v>
      </c>
      <c r="Q1030" s="27">
        <v>0</v>
      </c>
      <c r="R1030" s="27">
        <v>0</v>
      </c>
      <c r="S1030" s="27">
        <v>0</v>
      </c>
      <c r="T1030" s="26">
        <v>1</v>
      </c>
      <c r="U1030" s="26">
        <v>1</v>
      </c>
      <c r="V1030" s="26">
        <v>1</v>
      </c>
      <c r="W1030" s="26">
        <v>0</v>
      </c>
      <c r="X1030" s="26">
        <v>1</v>
      </c>
      <c r="Y1030" s="26">
        <v>0</v>
      </c>
      <c r="Z1030" s="56" t="s">
        <v>1342</v>
      </c>
    </row>
    <row r="1031" spans="1:26" s="26" customFormat="1" ht="15" customHeight="1" x14ac:dyDescent="0.15">
      <c r="A1031" s="26">
        <v>20265</v>
      </c>
      <c r="B1031" s="26" t="s">
        <v>1347</v>
      </c>
      <c r="C1031" s="26">
        <f t="shared" si="142"/>
        <v>0</v>
      </c>
      <c r="D1031" s="26">
        <v>1</v>
      </c>
      <c r="E1031" s="55">
        <v>31</v>
      </c>
      <c r="F1031" s="12">
        <v>0</v>
      </c>
      <c r="G1031" s="27">
        <v>0</v>
      </c>
      <c r="H1031" s="27">
        <v>0</v>
      </c>
      <c r="I1031" s="27">
        <v>0</v>
      </c>
      <c r="J1031" s="27">
        <v>0</v>
      </c>
      <c r="K1031" s="27">
        <v>0</v>
      </c>
      <c r="L1031" s="26">
        <v>0</v>
      </c>
      <c r="M1031" s="26">
        <v>64</v>
      </c>
      <c r="N1031" s="27">
        <v>0</v>
      </c>
      <c r="O1031" s="27">
        <v>0</v>
      </c>
      <c r="P1031" s="27">
        <v>0</v>
      </c>
      <c r="Q1031" s="27">
        <v>0</v>
      </c>
      <c r="R1031" s="27">
        <v>0</v>
      </c>
      <c r="S1031" s="27">
        <v>0</v>
      </c>
      <c r="T1031" s="26">
        <v>1</v>
      </c>
      <c r="U1031" s="26">
        <v>1</v>
      </c>
      <c r="V1031" s="26">
        <v>1</v>
      </c>
      <c r="W1031" s="26">
        <v>0</v>
      </c>
      <c r="X1031" s="26">
        <v>1</v>
      </c>
      <c r="Y1031" s="26">
        <v>0</v>
      </c>
      <c r="Z1031" s="56" t="s">
        <v>1344</v>
      </c>
    </row>
    <row r="1032" spans="1:26" s="26" customFormat="1" ht="15" customHeight="1" x14ac:dyDescent="0.15">
      <c r="A1032" s="26">
        <v>20266</v>
      </c>
      <c r="B1032" s="26" t="s">
        <v>1348</v>
      </c>
      <c r="C1032" s="26">
        <f t="shared" si="142"/>
        <v>0</v>
      </c>
      <c r="D1032" s="26">
        <v>1</v>
      </c>
      <c r="E1032" s="55">
        <v>29</v>
      </c>
      <c r="F1032" s="12">
        <v>0</v>
      </c>
      <c r="G1032" s="27">
        <v>0</v>
      </c>
      <c r="H1032" s="27">
        <v>0</v>
      </c>
      <c r="I1032" s="27">
        <v>0</v>
      </c>
      <c r="J1032" s="27">
        <v>0</v>
      </c>
      <c r="K1032" s="27">
        <v>0</v>
      </c>
      <c r="L1032" s="26">
        <v>0</v>
      </c>
      <c r="M1032" s="26">
        <v>64</v>
      </c>
      <c r="N1032" s="27">
        <v>0</v>
      </c>
      <c r="O1032" s="27">
        <v>0</v>
      </c>
      <c r="P1032" s="27">
        <v>0</v>
      </c>
      <c r="Q1032" s="27">
        <v>0</v>
      </c>
      <c r="R1032" s="27">
        <v>0</v>
      </c>
      <c r="S1032" s="27">
        <v>0</v>
      </c>
      <c r="T1032" s="26">
        <v>1</v>
      </c>
      <c r="U1032" s="26">
        <v>1</v>
      </c>
      <c r="V1032" s="26">
        <v>1</v>
      </c>
      <c r="W1032" s="26">
        <v>0</v>
      </c>
      <c r="X1032" s="26">
        <v>1</v>
      </c>
      <c r="Y1032" s="26">
        <v>0</v>
      </c>
      <c r="Z1032" s="56" t="s">
        <v>1349</v>
      </c>
    </row>
    <row r="1033" spans="1:26" s="26" customFormat="1" ht="15" customHeight="1" x14ac:dyDescent="0.15">
      <c r="A1033" s="26">
        <v>20267</v>
      </c>
      <c r="B1033" s="26" t="s">
        <v>1582</v>
      </c>
      <c r="C1033" s="26">
        <f t="shared" ref="C1033:C1042" si="143">G1033+H1033*2+I1033*4+J1033*8+K1033*16</f>
        <v>0</v>
      </c>
      <c r="D1033" s="26">
        <v>1</v>
      </c>
      <c r="E1033" s="55">
        <v>44</v>
      </c>
      <c r="F1033" s="12">
        <v>0</v>
      </c>
      <c r="G1033" s="27">
        <v>0</v>
      </c>
      <c r="H1033" s="27">
        <v>0</v>
      </c>
      <c r="I1033" s="27">
        <v>0</v>
      </c>
      <c r="J1033" s="27">
        <v>0</v>
      </c>
      <c r="K1033" s="27">
        <v>0</v>
      </c>
      <c r="L1033" s="26">
        <v>0</v>
      </c>
      <c r="M1033" s="26">
        <v>64</v>
      </c>
      <c r="N1033" s="27">
        <v>0</v>
      </c>
      <c r="O1033" s="27">
        <v>0</v>
      </c>
      <c r="P1033" s="27">
        <v>0</v>
      </c>
      <c r="Q1033" s="27">
        <v>0</v>
      </c>
      <c r="R1033" s="27">
        <v>0</v>
      </c>
      <c r="S1033" s="27">
        <v>0</v>
      </c>
      <c r="T1033" s="26">
        <v>1</v>
      </c>
      <c r="U1033" s="26">
        <v>1</v>
      </c>
      <c r="V1033" s="26">
        <v>1</v>
      </c>
      <c r="W1033" s="26">
        <v>0</v>
      </c>
      <c r="X1033" s="26">
        <v>1</v>
      </c>
      <c r="Y1033" s="26">
        <v>0</v>
      </c>
      <c r="Z1033" s="56" t="s">
        <v>1349</v>
      </c>
    </row>
    <row r="1034" spans="1:26" s="26" customFormat="1" ht="15" customHeight="1" x14ac:dyDescent="0.15">
      <c r="A1034" s="26">
        <v>20268</v>
      </c>
      <c r="B1034" s="26" t="s">
        <v>1583</v>
      </c>
      <c r="C1034" s="26">
        <f t="shared" si="143"/>
        <v>0</v>
      </c>
      <c r="D1034" s="26">
        <v>1</v>
      </c>
      <c r="E1034" s="55">
        <v>45</v>
      </c>
      <c r="F1034" s="12">
        <v>0</v>
      </c>
      <c r="G1034" s="27">
        <v>0</v>
      </c>
      <c r="H1034" s="27">
        <v>0</v>
      </c>
      <c r="I1034" s="27">
        <v>0</v>
      </c>
      <c r="J1034" s="27">
        <v>0</v>
      </c>
      <c r="K1034" s="27">
        <v>0</v>
      </c>
      <c r="L1034" s="26">
        <v>0</v>
      </c>
      <c r="M1034" s="26">
        <v>64</v>
      </c>
      <c r="N1034" s="27">
        <v>0</v>
      </c>
      <c r="O1034" s="27">
        <v>0</v>
      </c>
      <c r="P1034" s="27">
        <v>0</v>
      </c>
      <c r="Q1034" s="27">
        <v>0</v>
      </c>
      <c r="R1034" s="27">
        <v>0</v>
      </c>
      <c r="S1034" s="27">
        <v>0</v>
      </c>
      <c r="T1034" s="26">
        <v>1</v>
      </c>
      <c r="U1034" s="26">
        <v>1</v>
      </c>
      <c r="V1034" s="26">
        <v>1</v>
      </c>
      <c r="W1034" s="26">
        <v>0</v>
      </c>
      <c r="X1034" s="26">
        <v>1</v>
      </c>
      <c r="Y1034" s="26">
        <v>0</v>
      </c>
      <c r="Z1034" s="56" t="s">
        <v>1349</v>
      </c>
    </row>
    <row r="1035" spans="1:26" s="26" customFormat="1" ht="15" customHeight="1" x14ac:dyDescent="0.15">
      <c r="A1035" s="26">
        <v>20269</v>
      </c>
      <c r="B1035" s="26" t="s">
        <v>1584</v>
      </c>
      <c r="C1035" s="26">
        <f t="shared" si="143"/>
        <v>1</v>
      </c>
      <c r="D1035" s="26">
        <v>1</v>
      </c>
      <c r="E1035" s="55">
        <v>46</v>
      </c>
      <c r="F1035" s="12">
        <v>0</v>
      </c>
      <c r="G1035" s="27">
        <v>1</v>
      </c>
      <c r="H1035" s="27">
        <v>0</v>
      </c>
      <c r="I1035" s="27">
        <v>0</v>
      </c>
      <c r="J1035" s="27">
        <v>0</v>
      </c>
      <c r="K1035" s="27">
        <v>0</v>
      </c>
      <c r="L1035" s="26">
        <v>1</v>
      </c>
      <c r="M1035" s="26">
        <v>64</v>
      </c>
      <c r="N1035" s="27">
        <v>0</v>
      </c>
      <c r="O1035" s="27">
        <v>0</v>
      </c>
      <c r="P1035" s="27">
        <v>0</v>
      </c>
      <c r="Q1035" s="27">
        <v>0</v>
      </c>
      <c r="R1035" s="27">
        <v>0</v>
      </c>
      <c r="S1035" s="27">
        <v>0</v>
      </c>
      <c r="T1035" s="26">
        <v>1</v>
      </c>
      <c r="U1035" s="26">
        <v>1</v>
      </c>
      <c r="V1035" s="26">
        <v>1</v>
      </c>
      <c r="W1035" s="26">
        <v>0</v>
      </c>
      <c r="X1035" s="26">
        <v>0</v>
      </c>
      <c r="Y1035" s="26">
        <v>0</v>
      </c>
      <c r="Z1035" s="56" t="s">
        <v>1349</v>
      </c>
    </row>
    <row r="1036" spans="1:26" s="26" customFormat="1" ht="15" customHeight="1" x14ac:dyDescent="0.15">
      <c r="A1036" s="26">
        <v>20270</v>
      </c>
      <c r="B1036" s="26" t="s">
        <v>1585</v>
      </c>
      <c r="C1036" s="26">
        <f t="shared" si="143"/>
        <v>1</v>
      </c>
      <c r="D1036" s="26">
        <v>1</v>
      </c>
      <c r="E1036" s="55">
        <v>47</v>
      </c>
      <c r="F1036" s="12">
        <v>0</v>
      </c>
      <c r="G1036" s="27">
        <v>1</v>
      </c>
      <c r="H1036" s="27">
        <v>0</v>
      </c>
      <c r="I1036" s="27">
        <v>0</v>
      </c>
      <c r="J1036" s="27">
        <v>0</v>
      </c>
      <c r="K1036" s="27">
        <v>0</v>
      </c>
      <c r="L1036" s="26">
        <v>1</v>
      </c>
      <c r="M1036" s="26">
        <v>64</v>
      </c>
      <c r="N1036" s="27">
        <v>0</v>
      </c>
      <c r="O1036" s="27">
        <v>0</v>
      </c>
      <c r="P1036" s="27">
        <v>0</v>
      </c>
      <c r="Q1036" s="27">
        <v>0</v>
      </c>
      <c r="R1036" s="27">
        <v>0</v>
      </c>
      <c r="S1036" s="27">
        <v>0</v>
      </c>
      <c r="T1036" s="26">
        <v>1</v>
      </c>
      <c r="U1036" s="26">
        <v>1</v>
      </c>
      <c r="V1036" s="26">
        <v>1</v>
      </c>
      <c r="W1036" s="26">
        <v>0</v>
      </c>
      <c r="X1036" s="26">
        <v>0</v>
      </c>
      <c r="Y1036" s="26">
        <v>0</v>
      </c>
      <c r="Z1036" s="56" t="s">
        <v>1349</v>
      </c>
    </row>
    <row r="1037" spans="1:26" s="26" customFormat="1" ht="15" customHeight="1" x14ac:dyDescent="0.15">
      <c r="A1037" s="26">
        <v>20271</v>
      </c>
      <c r="B1037" s="26" t="s">
        <v>1591</v>
      </c>
      <c r="C1037" s="26">
        <f t="shared" si="143"/>
        <v>1</v>
      </c>
      <c r="D1037" s="26">
        <v>1</v>
      </c>
      <c r="E1037" s="55">
        <v>48</v>
      </c>
      <c r="F1037" s="12">
        <v>0</v>
      </c>
      <c r="G1037" s="27">
        <v>1</v>
      </c>
      <c r="H1037" s="27">
        <v>0</v>
      </c>
      <c r="I1037" s="27">
        <v>0</v>
      </c>
      <c r="J1037" s="27">
        <v>0</v>
      </c>
      <c r="K1037" s="27">
        <v>0</v>
      </c>
      <c r="L1037" s="26">
        <v>1</v>
      </c>
      <c r="M1037" s="26">
        <v>64</v>
      </c>
      <c r="N1037" s="27">
        <v>0</v>
      </c>
      <c r="O1037" s="27">
        <v>0</v>
      </c>
      <c r="P1037" s="27">
        <v>0</v>
      </c>
      <c r="Q1037" s="27">
        <v>0</v>
      </c>
      <c r="R1037" s="27">
        <v>0</v>
      </c>
      <c r="S1037" s="27">
        <v>0</v>
      </c>
      <c r="T1037" s="26">
        <v>1</v>
      </c>
      <c r="U1037" s="26">
        <v>1</v>
      </c>
      <c r="V1037" s="26">
        <v>1</v>
      </c>
      <c r="W1037" s="26">
        <v>0</v>
      </c>
      <c r="X1037" s="26">
        <v>0</v>
      </c>
      <c r="Y1037" s="26">
        <v>0</v>
      </c>
      <c r="Z1037" s="56" t="s">
        <v>1349</v>
      </c>
    </row>
    <row r="1038" spans="1:26" s="26" customFormat="1" ht="15" customHeight="1" x14ac:dyDescent="0.15">
      <c r="A1038" s="26">
        <v>20272</v>
      </c>
      <c r="B1038" s="26" t="s">
        <v>1586</v>
      </c>
      <c r="C1038" s="26">
        <f t="shared" si="143"/>
        <v>1</v>
      </c>
      <c r="D1038" s="26">
        <v>1</v>
      </c>
      <c r="E1038" s="55">
        <v>49</v>
      </c>
      <c r="F1038" s="12">
        <v>0</v>
      </c>
      <c r="G1038" s="27">
        <v>1</v>
      </c>
      <c r="H1038" s="27">
        <v>0</v>
      </c>
      <c r="I1038" s="27">
        <v>0</v>
      </c>
      <c r="J1038" s="27">
        <v>0</v>
      </c>
      <c r="K1038" s="27">
        <v>0</v>
      </c>
      <c r="L1038" s="26">
        <v>1</v>
      </c>
      <c r="M1038" s="26">
        <v>64</v>
      </c>
      <c r="N1038" s="27">
        <v>0</v>
      </c>
      <c r="O1038" s="27">
        <v>0</v>
      </c>
      <c r="P1038" s="27">
        <v>0</v>
      </c>
      <c r="Q1038" s="27">
        <v>0</v>
      </c>
      <c r="R1038" s="27">
        <v>0</v>
      </c>
      <c r="S1038" s="27">
        <v>0</v>
      </c>
      <c r="T1038" s="26">
        <v>1</v>
      </c>
      <c r="U1038" s="26">
        <v>1</v>
      </c>
      <c r="V1038" s="26">
        <v>1</v>
      </c>
      <c r="W1038" s="26">
        <v>0</v>
      </c>
      <c r="X1038" s="26">
        <v>0</v>
      </c>
      <c r="Y1038" s="26">
        <v>0</v>
      </c>
      <c r="Z1038" s="56" t="s">
        <v>1349</v>
      </c>
    </row>
    <row r="1039" spans="1:26" s="26" customFormat="1" ht="15" customHeight="1" x14ac:dyDescent="0.15">
      <c r="A1039" s="26">
        <v>20273</v>
      </c>
      <c r="B1039" s="26" t="s">
        <v>1587</v>
      </c>
      <c r="C1039" s="26">
        <f t="shared" si="143"/>
        <v>1</v>
      </c>
      <c r="D1039" s="26">
        <v>1</v>
      </c>
      <c r="E1039" s="55">
        <v>50</v>
      </c>
      <c r="F1039" s="12">
        <v>0</v>
      </c>
      <c r="G1039" s="27">
        <v>1</v>
      </c>
      <c r="H1039" s="27">
        <v>0</v>
      </c>
      <c r="I1039" s="27">
        <v>0</v>
      </c>
      <c r="J1039" s="27">
        <v>0</v>
      </c>
      <c r="K1039" s="27">
        <v>0</v>
      </c>
      <c r="L1039" s="26">
        <v>1</v>
      </c>
      <c r="M1039" s="26">
        <v>64</v>
      </c>
      <c r="N1039" s="27">
        <v>0</v>
      </c>
      <c r="O1039" s="27">
        <v>0</v>
      </c>
      <c r="P1039" s="27">
        <v>0</v>
      </c>
      <c r="Q1039" s="27">
        <v>0</v>
      </c>
      <c r="R1039" s="27">
        <v>0</v>
      </c>
      <c r="S1039" s="27">
        <v>0</v>
      </c>
      <c r="T1039" s="26">
        <v>1</v>
      </c>
      <c r="U1039" s="26">
        <v>1</v>
      </c>
      <c r="V1039" s="26">
        <v>1</v>
      </c>
      <c r="W1039" s="26">
        <v>0</v>
      </c>
      <c r="X1039" s="26">
        <v>0</v>
      </c>
      <c r="Y1039" s="26">
        <v>0</v>
      </c>
      <c r="Z1039" s="56" t="s">
        <v>1349</v>
      </c>
    </row>
    <row r="1040" spans="1:26" s="26" customFormat="1" ht="15" customHeight="1" x14ac:dyDescent="0.15">
      <c r="A1040" s="26">
        <v>20274</v>
      </c>
      <c r="B1040" s="26" t="s">
        <v>1588</v>
      </c>
      <c r="C1040" s="26">
        <f t="shared" si="143"/>
        <v>1</v>
      </c>
      <c r="D1040" s="26">
        <v>1</v>
      </c>
      <c r="E1040" s="55">
        <v>51</v>
      </c>
      <c r="F1040" s="12">
        <v>0</v>
      </c>
      <c r="G1040" s="27">
        <v>1</v>
      </c>
      <c r="H1040" s="27">
        <v>0</v>
      </c>
      <c r="I1040" s="27">
        <v>0</v>
      </c>
      <c r="J1040" s="27">
        <v>0</v>
      </c>
      <c r="K1040" s="27">
        <v>0</v>
      </c>
      <c r="L1040" s="26">
        <v>1</v>
      </c>
      <c r="M1040" s="26">
        <v>64</v>
      </c>
      <c r="N1040" s="27">
        <v>0</v>
      </c>
      <c r="O1040" s="27">
        <v>0</v>
      </c>
      <c r="P1040" s="27">
        <v>0</v>
      </c>
      <c r="Q1040" s="27">
        <v>0</v>
      </c>
      <c r="R1040" s="27">
        <v>0</v>
      </c>
      <c r="S1040" s="27">
        <v>0</v>
      </c>
      <c r="T1040" s="26">
        <v>1</v>
      </c>
      <c r="U1040" s="26">
        <v>1</v>
      </c>
      <c r="V1040" s="26">
        <v>1</v>
      </c>
      <c r="W1040" s="26">
        <v>0</v>
      </c>
      <c r="X1040" s="26">
        <v>0</v>
      </c>
      <c r="Y1040" s="26">
        <v>0</v>
      </c>
      <c r="Z1040" s="56" t="s">
        <v>1349</v>
      </c>
    </row>
    <row r="1041" spans="1:26" s="26" customFormat="1" ht="15" customHeight="1" x14ac:dyDescent="0.15">
      <c r="A1041" s="26">
        <v>20275</v>
      </c>
      <c r="B1041" s="26" t="s">
        <v>1589</v>
      </c>
      <c r="C1041" s="26">
        <f t="shared" si="143"/>
        <v>1</v>
      </c>
      <c r="D1041" s="26">
        <v>1</v>
      </c>
      <c r="E1041" s="55">
        <v>52</v>
      </c>
      <c r="F1041" s="12">
        <v>0</v>
      </c>
      <c r="G1041" s="27">
        <v>1</v>
      </c>
      <c r="H1041" s="27">
        <v>0</v>
      </c>
      <c r="I1041" s="27">
        <v>0</v>
      </c>
      <c r="J1041" s="27">
        <v>0</v>
      </c>
      <c r="K1041" s="27">
        <v>0</v>
      </c>
      <c r="L1041" s="26">
        <v>1</v>
      </c>
      <c r="M1041" s="26">
        <v>64</v>
      </c>
      <c r="N1041" s="27">
        <v>0</v>
      </c>
      <c r="O1041" s="27">
        <v>0</v>
      </c>
      <c r="P1041" s="27">
        <v>0</v>
      </c>
      <c r="Q1041" s="27">
        <v>0</v>
      </c>
      <c r="R1041" s="27">
        <v>0</v>
      </c>
      <c r="S1041" s="27">
        <v>0</v>
      </c>
      <c r="T1041" s="26">
        <v>1</v>
      </c>
      <c r="U1041" s="26">
        <v>1</v>
      </c>
      <c r="V1041" s="26">
        <v>1</v>
      </c>
      <c r="W1041" s="26">
        <v>0</v>
      </c>
      <c r="X1041" s="26">
        <v>0</v>
      </c>
      <c r="Y1041" s="26">
        <v>0</v>
      </c>
      <c r="Z1041" s="56" t="s">
        <v>1349</v>
      </c>
    </row>
    <row r="1042" spans="1:26" s="26" customFormat="1" ht="15" customHeight="1" x14ac:dyDescent="0.15">
      <c r="A1042" s="26">
        <v>20276</v>
      </c>
      <c r="B1042" s="26" t="s">
        <v>1590</v>
      </c>
      <c r="C1042" s="26">
        <f t="shared" si="143"/>
        <v>1</v>
      </c>
      <c r="D1042" s="26">
        <v>1</v>
      </c>
      <c r="E1042" s="55">
        <v>53</v>
      </c>
      <c r="F1042" s="12">
        <v>0</v>
      </c>
      <c r="G1042" s="27">
        <v>1</v>
      </c>
      <c r="H1042" s="27">
        <v>0</v>
      </c>
      <c r="I1042" s="27">
        <v>0</v>
      </c>
      <c r="J1042" s="27">
        <v>0</v>
      </c>
      <c r="K1042" s="27">
        <v>0</v>
      </c>
      <c r="L1042" s="26">
        <v>1</v>
      </c>
      <c r="M1042" s="26">
        <v>64</v>
      </c>
      <c r="N1042" s="27">
        <v>0</v>
      </c>
      <c r="O1042" s="27">
        <v>0</v>
      </c>
      <c r="P1042" s="27">
        <v>0</v>
      </c>
      <c r="Q1042" s="27">
        <v>0</v>
      </c>
      <c r="R1042" s="27">
        <v>0</v>
      </c>
      <c r="S1042" s="27">
        <v>0</v>
      </c>
      <c r="T1042" s="26">
        <v>1</v>
      </c>
      <c r="U1042" s="26">
        <v>1</v>
      </c>
      <c r="V1042" s="26">
        <v>1</v>
      </c>
      <c r="W1042" s="26">
        <v>0</v>
      </c>
      <c r="X1042" s="26">
        <v>0</v>
      </c>
      <c r="Y1042" s="26">
        <v>0</v>
      </c>
      <c r="Z1042" s="56" t="s">
        <v>1349</v>
      </c>
    </row>
    <row r="1043" spans="1:26" s="26" customFormat="1" ht="15" customHeight="1" x14ac:dyDescent="0.15">
      <c r="A1043" s="26">
        <v>20286</v>
      </c>
      <c r="B1043" s="61" t="s">
        <v>1626</v>
      </c>
      <c r="C1043" s="26">
        <f>G1043+H1043*2+I1043*4+J1043*8+K1043*16</f>
        <v>1</v>
      </c>
      <c r="D1043" s="26">
        <v>1</v>
      </c>
      <c r="E1043" s="55">
        <v>21</v>
      </c>
      <c r="F1043" s="12">
        <v>0</v>
      </c>
      <c r="G1043" s="27">
        <v>1</v>
      </c>
      <c r="H1043" s="27">
        <v>0</v>
      </c>
      <c r="I1043" s="27">
        <v>0</v>
      </c>
      <c r="J1043" s="27">
        <v>0</v>
      </c>
      <c r="K1043" s="27">
        <v>0</v>
      </c>
      <c r="L1043" s="26">
        <v>1</v>
      </c>
      <c r="M1043" s="26">
        <v>64</v>
      </c>
      <c r="N1043" s="27">
        <v>0</v>
      </c>
      <c r="O1043" s="27">
        <v>0</v>
      </c>
      <c r="P1043" s="27">
        <v>0</v>
      </c>
      <c r="Q1043" s="27">
        <v>0</v>
      </c>
      <c r="R1043" s="27">
        <v>0</v>
      </c>
      <c r="S1043" s="27">
        <v>0</v>
      </c>
      <c r="T1043" s="26">
        <v>1</v>
      </c>
      <c r="U1043" s="26">
        <v>1</v>
      </c>
      <c r="V1043" s="26">
        <v>1</v>
      </c>
      <c r="W1043" s="26">
        <v>0</v>
      </c>
      <c r="X1043" s="26">
        <v>0</v>
      </c>
      <c r="Y1043" s="26">
        <v>0</v>
      </c>
      <c r="Z1043" s="56" t="s">
        <v>1627</v>
      </c>
    </row>
    <row r="1044" spans="1:26" s="26" customFormat="1" ht="15" customHeight="1" x14ac:dyDescent="0.15">
      <c r="A1044" s="26">
        <v>20287</v>
      </c>
      <c r="B1044" s="61" t="s">
        <v>1628</v>
      </c>
      <c r="C1044" s="26">
        <f>G1044+H1044*2+I1044*4+J1044*8+K1044*16</f>
        <v>1</v>
      </c>
      <c r="D1044" s="26">
        <v>1</v>
      </c>
      <c r="E1044" s="55">
        <v>12</v>
      </c>
      <c r="F1044" s="12">
        <v>0</v>
      </c>
      <c r="G1044" s="27">
        <v>1</v>
      </c>
      <c r="H1044" s="27">
        <v>0</v>
      </c>
      <c r="I1044" s="27">
        <v>0</v>
      </c>
      <c r="J1044" s="27">
        <v>0</v>
      </c>
      <c r="K1044" s="27">
        <v>0</v>
      </c>
      <c r="L1044" s="26">
        <v>1</v>
      </c>
      <c r="M1044" s="26">
        <v>64</v>
      </c>
      <c r="N1044" s="27">
        <v>0</v>
      </c>
      <c r="O1044" s="27">
        <v>0</v>
      </c>
      <c r="P1044" s="27">
        <v>0</v>
      </c>
      <c r="Q1044" s="27">
        <v>0</v>
      </c>
      <c r="R1044" s="27">
        <v>0</v>
      </c>
      <c r="S1044" s="27">
        <v>0</v>
      </c>
      <c r="T1044" s="26">
        <v>1</v>
      </c>
      <c r="U1044" s="26">
        <v>1</v>
      </c>
      <c r="V1044" s="26">
        <v>1</v>
      </c>
      <c r="W1044" s="26">
        <v>0</v>
      </c>
      <c r="X1044" s="26">
        <v>0</v>
      </c>
      <c r="Y1044" s="26">
        <v>0</v>
      </c>
      <c r="Z1044" s="56" t="s">
        <v>1629</v>
      </c>
    </row>
    <row r="1045" spans="1:26" s="26" customFormat="1" ht="15" customHeight="1" x14ac:dyDescent="0.15">
      <c r="A1045" s="26">
        <v>20288</v>
      </c>
      <c r="B1045" s="61" t="s">
        <v>1630</v>
      </c>
      <c r="C1045" s="26">
        <f>G1045+H1045*2+I1045*4+J1045*8+K1045*16</f>
        <v>1</v>
      </c>
      <c r="D1045" s="26">
        <v>1</v>
      </c>
      <c r="E1045" s="55">
        <v>14</v>
      </c>
      <c r="F1045" s="12">
        <v>0</v>
      </c>
      <c r="G1045" s="27">
        <v>1</v>
      </c>
      <c r="H1045" s="27">
        <v>0</v>
      </c>
      <c r="I1045" s="27">
        <v>0</v>
      </c>
      <c r="J1045" s="27">
        <v>0</v>
      </c>
      <c r="K1045" s="27">
        <v>0</v>
      </c>
      <c r="L1045" s="26">
        <v>1</v>
      </c>
      <c r="M1045" s="26">
        <v>64</v>
      </c>
      <c r="N1045" s="27">
        <v>0</v>
      </c>
      <c r="O1045" s="27">
        <v>0</v>
      </c>
      <c r="P1045" s="27">
        <v>0</v>
      </c>
      <c r="Q1045" s="27">
        <v>0</v>
      </c>
      <c r="R1045" s="27">
        <v>0</v>
      </c>
      <c r="S1045" s="27">
        <v>0</v>
      </c>
      <c r="T1045" s="26">
        <v>1</v>
      </c>
      <c r="U1045" s="26">
        <v>1</v>
      </c>
      <c r="V1045" s="26">
        <v>1</v>
      </c>
      <c r="W1045" s="26">
        <v>0</v>
      </c>
      <c r="X1045" s="26">
        <v>0</v>
      </c>
      <c r="Y1045" s="26">
        <v>0</v>
      </c>
      <c r="Z1045" s="56" t="s">
        <v>1631</v>
      </c>
    </row>
    <row r="1046" spans="1:26" s="26" customFormat="1" ht="15" customHeight="1" x14ac:dyDescent="0.15">
      <c r="A1046" s="26">
        <v>20289</v>
      </c>
      <c r="B1046" s="61" t="s">
        <v>1632</v>
      </c>
      <c r="C1046" s="26">
        <f>G1046+H1046*2+I1046*4+J1046*8+K1046*16</f>
        <v>1</v>
      </c>
      <c r="D1046" s="26">
        <v>1</v>
      </c>
      <c r="E1046" s="55">
        <v>13</v>
      </c>
      <c r="F1046" s="12">
        <v>0</v>
      </c>
      <c r="G1046" s="27">
        <v>1</v>
      </c>
      <c r="H1046" s="27">
        <v>0</v>
      </c>
      <c r="I1046" s="27">
        <v>0</v>
      </c>
      <c r="J1046" s="27">
        <v>0</v>
      </c>
      <c r="K1046" s="27">
        <v>0</v>
      </c>
      <c r="L1046" s="26">
        <v>1</v>
      </c>
      <c r="M1046" s="26">
        <v>64</v>
      </c>
      <c r="N1046" s="27">
        <v>0</v>
      </c>
      <c r="O1046" s="27">
        <v>0</v>
      </c>
      <c r="P1046" s="27">
        <v>0</v>
      </c>
      <c r="Q1046" s="27">
        <v>0</v>
      </c>
      <c r="R1046" s="27">
        <v>0</v>
      </c>
      <c r="S1046" s="27">
        <v>0</v>
      </c>
      <c r="T1046" s="26">
        <v>1</v>
      </c>
      <c r="U1046" s="26">
        <v>1</v>
      </c>
      <c r="V1046" s="26">
        <v>1</v>
      </c>
      <c r="W1046" s="26">
        <v>0</v>
      </c>
      <c r="X1046" s="26">
        <v>0</v>
      </c>
      <c r="Y1046" s="26">
        <v>0</v>
      </c>
      <c r="Z1046" s="56" t="s">
        <v>1633</v>
      </c>
    </row>
    <row r="1047" spans="1:26" s="8" customFormat="1" ht="18" customHeight="1" x14ac:dyDescent="0.15">
      <c r="A1047" s="8">
        <v>20300</v>
      </c>
      <c r="B1047" s="8" t="s">
        <v>738</v>
      </c>
      <c r="C1047" s="8">
        <f t="shared" ref="C1047:C1054" si="144">G1047+H1047*2+I1047*4+J1047*8+K1047*16</f>
        <v>5</v>
      </c>
      <c r="D1047" s="8">
        <v>1</v>
      </c>
      <c r="F1047" s="12">
        <v>0</v>
      </c>
      <c r="G1047" s="14">
        <v>1</v>
      </c>
      <c r="H1047" s="14">
        <v>0</v>
      </c>
      <c r="I1047" s="14">
        <v>1</v>
      </c>
      <c r="J1047" s="14">
        <v>0</v>
      </c>
      <c r="K1047" s="14">
        <v>0</v>
      </c>
      <c r="L1047" s="8">
        <v>1</v>
      </c>
      <c r="M1047" s="8">
        <f t="shared" si="139"/>
        <v>0</v>
      </c>
      <c r="N1047" s="14">
        <v>0</v>
      </c>
      <c r="O1047" s="14">
        <v>0</v>
      </c>
      <c r="P1047" s="14">
        <v>0</v>
      </c>
      <c r="Q1047" s="14">
        <v>0</v>
      </c>
      <c r="R1047" s="14">
        <v>0</v>
      </c>
      <c r="S1047" s="14">
        <v>0</v>
      </c>
      <c r="T1047" s="8">
        <v>1</v>
      </c>
      <c r="U1047" s="8">
        <v>0</v>
      </c>
      <c r="V1047" s="8">
        <v>1</v>
      </c>
      <c r="W1047" s="8">
        <v>1</v>
      </c>
      <c r="X1047" s="8">
        <v>0</v>
      </c>
      <c r="Y1047" s="8">
        <v>0</v>
      </c>
      <c r="Z1047" s="7" t="s">
        <v>808</v>
      </c>
    </row>
    <row r="1048" spans="1:26" s="8" customFormat="1" ht="18" customHeight="1" x14ac:dyDescent="0.15">
      <c r="A1048" s="8">
        <v>20301</v>
      </c>
      <c r="B1048" s="8" t="s">
        <v>739</v>
      </c>
      <c r="C1048" s="8">
        <f t="shared" si="144"/>
        <v>5</v>
      </c>
      <c r="D1048" s="8">
        <v>1</v>
      </c>
      <c r="F1048" s="12">
        <v>0</v>
      </c>
      <c r="G1048" s="14">
        <v>1</v>
      </c>
      <c r="H1048" s="14">
        <v>0</v>
      </c>
      <c r="I1048" s="14">
        <v>1</v>
      </c>
      <c r="J1048" s="14">
        <v>0</v>
      </c>
      <c r="K1048" s="14">
        <v>0</v>
      </c>
      <c r="L1048" s="8">
        <v>1</v>
      </c>
      <c r="M1048" s="8">
        <f t="shared" si="139"/>
        <v>0</v>
      </c>
      <c r="N1048" s="14">
        <v>0</v>
      </c>
      <c r="O1048" s="14">
        <v>0</v>
      </c>
      <c r="P1048" s="14">
        <v>0</v>
      </c>
      <c r="Q1048" s="14">
        <v>0</v>
      </c>
      <c r="R1048" s="14">
        <v>0</v>
      </c>
      <c r="S1048" s="14">
        <v>0</v>
      </c>
      <c r="T1048" s="8">
        <v>1</v>
      </c>
      <c r="U1048" s="8">
        <v>0</v>
      </c>
      <c r="V1048" s="8">
        <v>1</v>
      </c>
      <c r="W1048" s="8">
        <v>1</v>
      </c>
      <c r="X1048" s="8">
        <v>0</v>
      </c>
      <c r="Y1048" s="8">
        <v>0</v>
      </c>
      <c r="Z1048" s="7" t="s">
        <v>809</v>
      </c>
    </row>
    <row r="1049" spans="1:26" s="8" customFormat="1" ht="18" customHeight="1" x14ac:dyDescent="0.15">
      <c r="A1049" s="8">
        <v>20302</v>
      </c>
      <c r="B1049" s="8" t="s">
        <v>740</v>
      </c>
      <c r="C1049" s="8">
        <f t="shared" si="144"/>
        <v>5</v>
      </c>
      <c r="D1049" s="8">
        <v>1</v>
      </c>
      <c r="F1049" s="12">
        <v>0</v>
      </c>
      <c r="G1049" s="14">
        <v>1</v>
      </c>
      <c r="H1049" s="14">
        <v>0</v>
      </c>
      <c r="I1049" s="14">
        <v>1</v>
      </c>
      <c r="J1049" s="14">
        <v>0</v>
      </c>
      <c r="K1049" s="14">
        <v>0</v>
      </c>
      <c r="L1049" s="8">
        <v>1</v>
      </c>
      <c r="M1049" s="8">
        <f t="shared" si="139"/>
        <v>0</v>
      </c>
      <c r="N1049" s="14">
        <v>0</v>
      </c>
      <c r="O1049" s="14">
        <v>0</v>
      </c>
      <c r="P1049" s="14">
        <v>0</v>
      </c>
      <c r="Q1049" s="14">
        <v>0</v>
      </c>
      <c r="R1049" s="14">
        <v>0</v>
      </c>
      <c r="S1049" s="14">
        <v>0</v>
      </c>
      <c r="T1049" s="8">
        <v>1</v>
      </c>
      <c r="U1049" s="8">
        <v>0</v>
      </c>
      <c r="V1049" s="8">
        <v>1</v>
      </c>
      <c r="W1049" s="8">
        <v>1</v>
      </c>
      <c r="X1049" s="8">
        <v>0</v>
      </c>
      <c r="Y1049" s="8">
        <v>0</v>
      </c>
      <c r="Z1049" s="7" t="s">
        <v>741</v>
      </c>
    </row>
    <row r="1050" spans="1:26" s="8" customFormat="1" ht="18" customHeight="1" x14ac:dyDescent="0.15">
      <c r="A1050" s="8">
        <v>20303</v>
      </c>
      <c r="B1050" s="8" t="s">
        <v>1416</v>
      </c>
      <c r="C1050" s="8">
        <f t="shared" si="144"/>
        <v>5</v>
      </c>
      <c r="D1050" s="8">
        <v>1</v>
      </c>
      <c r="F1050" s="12">
        <v>0</v>
      </c>
      <c r="G1050" s="14">
        <v>1</v>
      </c>
      <c r="H1050" s="14">
        <v>0</v>
      </c>
      <c r="I1050" s="14">
        <v>1</v>
      </c>
      <c r="J1050" s="14">
        <v>0</v>
      </c>
      <c r="K1050" s="14">
        <v>0</v>
      </c>
      <c r="L1050" s="8">
        <v>1</v>
      </c>
      <c r="M1050" s="8">
        <f t="shared" si="139"/>
        <v>0</v>
      </c>
      <c r="N1050" s="14">
        <v>0</v>
      </c>
      <c r="O1050" s="14">
        <v>0</v>
      </c>
      <c r="P1050" s="14">
        <v>0</v>
      </c>
      <c r="Q1050" s="14">
        <v>0</v>
      </c>
      <c r="R1050" s="14">
        <v>0</v>
      </c>
      <c r="S1050" s="14">
        <v>0</v>
      </c>
      <c r="T1050" s="8">
        <v>1</v>
      </c>
      <c r="U1050" s="8">
        <v>0</v>
      </c>
      <c r="V1050" s="8">
        <v>1</v>
      </c>
      <c r="W1050" s="8">
        <v>1</v>
      </c>
      <c r="X1050" s="8">
        <v>0</v>
      </c>
      <c r="Y1050" s="8">
        <v>0</v>
      </c>
      <c r="Z1050" s="7" t="s">
        <v>1417</v>
      </c>
    </row>
    <row r="1051" spans="1:26" s="8" customFormat="1" ht="18" customHeight="1" x14ac:dyDescent="0.15">
      <c r="A1051" s="8">
        <v>20304</v>
      </c>
      <c r="B1051" s="8" t="s">
        <v>742</v>
      </c>
      <c r="C1051" s="8">
        <f t="shared" si="144"/>
        <v>5</v>
      </c>
      <c r="D1051" s="8">
        <v>1</v>
      </c>
      <c r="F1051" s="12">
        <v>0</v>
      </c>
      <c r="G1051" s="14">
        <v>1</v>
      </c>
      <c r="H1051" s="14">
        <v>0</v>
      </c>
      <c r="I1051" s="14">
        <v>1</v>
      </c>
      <c r="J1051" s="14">
        <v>0</v>
      </c>
      <c r="K1051" s="14">
        <v>0</v>
      </c>
      <c r="L1051" s="8">
        <v>1</v>
      </c>
      <c r="M1051" s="8">
        <f t="shared" si="139"/>
        <v>0</v>
      </c>
      <c r="N1051" s="14">
        <v>0</v>
      </c>
      <c r="O1051" s="14">
        <v>0</v>
      </c>
      <c r="P1051" s="14">
        <v>0</v>
      </c>
      <c r="Q1051" s="14">
        <v>0</v>
      </c>
      <c r="R1051" s="14">
        <v>0</v>
      </c>
      <c r="S1051" s="14">
        <v>0</v>
      </c>
      <c r="T1051" s="8">
        <v>1</v>
      </c>
      <c r="U1051" s="8">
        <v>0</v>
      </c>
      <c r="V1051" s="8">
        <v>1</v>
      </c>
      <c r="W1051" s="8">
        <v>1</v>
      </c>
      <c r="X1051" s="8">
        <v>0</v>
      </c>
      <c r="Y1051" s="8">
        <v>0</v>
      </c>
      <c r="Z1051" s="7" t="s">
        <v>743</v>
      </c>
    </row>
    <row r="1052" spans="1:26" s="8" customFormat="1" ht="18" customHeight="1" x14ac:dyDescent="0.15">
      <c r="A1052" s="8">
        <v>20305</v>
      </c>
      <c r="B1052" s="8" t="s">
        <v>1464</v>
      </c>
      <c r="C1052" s="8">
        <f t="shared" si="144"/>
        <v>5</v>
      </c>
      <c r="D1052" s="8">
        <v>1</v>
      </c>
      <c r="F1052" s="12">
        <v>0</v>
      </c>
      <c r="G1052" s="14">
        <v>1</v>
      </c>
      <c r="H1052" s="14">
        <v>0</v>
      </c>
      <c r="I1052" s="14">
        <v>1</v>
      </c>
      <c r="J1052" s="14">
        <v>0</v>
      </c>
      <c r="K1052" s="14">
        <v>0</v>
      </c>
      <c r="L1052" s="8">
        <v>1</v>
      </c>
      <c r="M1052" s="8">
        <f t="shared" si="139"/>
        <v>0</v>
      </c>
      <c r="N1052" s="14">
        <v>0</v>
      </c>
      <c r="O1052" s="14">
        <v>0</v>
      </c>
      <c r="P1052" s="14">
        <v>0</v>
      </c>
      <c r="Q1052" s="14">
        <v>0</v>
      </c>
      <c r="R1052" s="14">
        <v>0</v>
      </c>
      <c r="S1052" s="14">
        <v>0</v>
      </c>
      <c r="T1052" s="8">
        <v>1</v>
      </c>
      <c r="U1052" s="8">
        <v>0</v>
      </c>
      <c r="V1052" s="8">
        <v>1</v>
      </c>
      <c r="W1052" s="8">
        <v>1</v>
      </c>
      <c r="X1052" s="8">
        <v>0</v>
      </c>
      <c r="Y1052" s="8">
        <v>0</v>
      </c>
      <c r="Z1052" s="7" t="s">
        <v>1465</v>
      </c>
    </row>
    <row r="1053" spans="1:26" s="8" customFormat="1" ht="18" customHeight="1" x14ac:dyDescent="0.15">
      <c r="A1053" s="8">
        <v>20306</v>
      </c>
      <c r="B1053" s="8" t="s">
        <v>744</v>
      </c>
      <c r="C1053" s="8">
        <f t="shared" si="144"/>
        <v>5</v>
      </c>
      <c r="D1053" s="8">
        <v>1</v>
      </c>
      <c r="F1053" s="12">
        <v>0</v>
      </c>
      <c r="G1053" s="14">
        <v>1</v>
      </c>
      <c r="H1053" s="14">
        <v>0</v>
      </c>
      <c r="I1053" s="14">
        <v>1</v>
      </c>
      <c r="J1053" s="14">
        <v>0</v>
      </c>
      <c r="K1053" s="14">
        <v>0</v>
      </c>
      <c r="L1053" s="8">
        <v>1</v>
      </c>
      <c r="M1053" s="8">
        <f t="shared" si="139"/>
        <v>0</v>
      </c>
      <c r="N1053" s="14">
        <v>0</v>
      </c>
      <c r="O1053" s="14">
        <v>0</v>
      </c>
      <c r="P1053" s="14">
        <v>0</v>
      </c>
      <c r="Q1053" s="14">
        <v>0</v>
      </c>
      <c r="R1053" s="14">
        <v>0</v>
      </c>
      <c r="S1053" s="14">
        <v>0</v>
      </c>
      <c r="T1053" s="8">
        <v>1</v>
      </c>
      <c r="U1053" s="8">
        <v>0</v>
      </c>
      <c r="V1053" s="8">
        <v>1</v>
      </c>
      <c r="W1053" s="8">
        <v>1</v>
      </c>
      <c r="X1053" s="8">
        <v>0</v>
      </c>
      <c r="Y1053" s="8">
        <v>0</v>
      </c>
      <c r="Z1053" s="7" t="s">
        <v>745</v>
      </c>
    </row>
    <row r="1054" spans="1:26" s="8" customFormat="1" ht="18" customHeight="1" x14ac:dyDescent="0.15">
      <c r="A1054" s="8">
        <v>20307</v>
      </c>
      <c r="B1054" s="8" t="s">
        <v>746</v>
      </c>
      <c r="C1054" s="8">
        <f t="shared" si="144"/>
        <v>5</v>
      </c>
      <c r="D1054" s="8">
        <v>1</v>
      </c>
      <c r="F1054" s="12">
        <v>0</v>
      </c>
      <c r="G1054" s="14">
        <v>1</v>
      </c>
      <c r="H1054" s="14">
        <v>0</v>
      </c>
      <c r="I1054" s="14">
        <v>1</v>
      </c>
      <c r="J1054" s="14">
        <v>0</v>
      </c>
      <c r="K1054" s="14">
        <v>0</v>
      </c>
      <c r="L1054" s="8">
        <v>1</v>
      </c>
      <c r="M1054" s="8">
        <f t="shared" si="139"/>
        <v>0</v>
      </c>
      <c r="N1054" s="14">
        <v>0</v>
      </c>
      <c r="O1054" s="14">
        <v>0</v>
      </c>
      <c r="P1054" s="14">
        <v>0</v>
      </c>
      <c r="Q1054" s="14">
        <v>0</v>
      </c>
      <c r="R1054" s="14">
        <v>0</v>
      </c>
      <c r="S1054" s="14">
        <v>0</v>
      </c>
      <c r="T1054" s="8">
        <v>1</v>
      </c>
      <c r="U1054" s="8">
        <v>0</v>
      </c>
      <c r="V1054" s="8">
        <v>1</v>
      </c>
      <c r="W1054" s="8">
        <v>1</v>
      </c>
      <c r="X1054" s="8">
        <v>0</v>
      </c>
      <c r="Y1054" s="8">
        <v>0</v>
      </c>
      <c r="Z1054" s="7" t="s">
        <v>774</v>
      </c>
    </row>
    <row r="1055" spans="1:26" s="8" customFormat="1" ht="18" customHeight="1" x14ac:dyDescent="0.15">
      <c r="A1055" s="8">
        <v>20308</v>
      </c>
      <c r="B1055" s="8" t="s">
        <v>769</v>
      </c>
      <c r="C1055" s="8">
        <f t="shared" ref="C1055:C1060" si="145">G1055+H1055*2+I1055*4+J1055*8+K1055*16</f>
        <v>24</v>
      </c>
      <c r="D1055" s="8">
        <v>1</v>
      </c>
      <c r="F1055" s="12">
        <v>0</v>
      </c>
      <c r="G1055" s="14">
        <v>0</v>
      </c>
      <c r="H1055" s="14">
        <v>0</v>
      </c>
      <c r="I1055" s="14">
        <v>0</v>
      </c>
      <c r="J1055" s="14">
        <v>1</v>
      </c>
      <c r="K1055" s="14">
        <v>1</v>
      </c>
      <c r="L1055" s="8">
        <v>0</v>
      </c>
      <c r="M1055" s="8">
        <f t="shared" ref="M1055:M1145" si="146">N1055+O1055*2+P1055*4+Q1055*8+R1055*16+S1055*32</f>
        <v>0</v>
      </c>
      <c r="N1055" s="14">
        <v>0</v>
      </c>
      <c r="O1055" s="14">
        <v>0</v>
      </c>
      <c r="P1055" s="14">
        <v>0</v>
      </c>
      <c r="Q1055" s="14">
        <v>0</v>
      </c>
      <c r="R1055" s="14">
        <v>0</v>
      </c>
      <c r="S1055" s="14">
        <v>0</v>
      </c>
      <c r="T1055" s="8">
        <v>1</v>
      </c>
      <c r="U1055" s="8">
        <v>0</v>
      </c>
      <c r="V1055" s="8">
        <v>1</v>
      </c>
      <c r="W1055" s="8">
        <v>0</v>
      </c>
      <c r="X1055" s="8">
        <v>0</v>
      </c>
      <c r="Y1055" s="8">
        <v>0</v>
      </c>
      <c r="Z1055" s="7"/>
    </row>
    <row r="1056" spans="1:26" s="8" customFormat="1" ht="18" customHeight="1" x14ac:dyDescent="0.15">
      <c r="A1056" s="8">
        <v>20309</v>
      </c>
      <c r="B1056" s="8" t="s">
        <v>770</v>
      </c>
      <c r="C1056" s="8">
        <f t="shared" si="145"/>
        <v>24</v>
      </c>
      <c r="D1056" s="8">
        <v>1</v>
      </c>
      <c r="F1056" s="12">
        <v>0</v>
      </c>
      <c r="G1056" s="14">
        <v>0</v>
      </c>
      <c r="H1056" s="14">
        <v>0</v>
      </c>
      <c r="I1056" s="14">
        <v>0</v>
      </c>
      <c r="J1056" s="14">
        <v>1</v>
      </c>
      <c r="K1056" s="14">
        <v>1</v>
      </c>
      <c r="L1056" s="8">
        <v>0</v>
      </c>
      <c r="M1056" s="8">
        <f t="shared" si="146"/>
        <v>0</v>
      </c>
      <c r="N1056" s="14">
        <v>0</v>
      </c>
      <c r="O1056" s="14">
        <v>0</v>
      </c>
      <c r="P1056" s="14">
        <v>0</v>
      </c>
      <c r="Q1056" s="14">
        <v>0</v>
      </c>
      <c r="R1056" s="14">
        <v>0</v>
      </c>
      <c r="S1056" s="14">
        <v>0</v>
      </c>
      <c r="T1056" s="8">
        <v>1</v>
      </c>
      <c r="U1056" s="8">
        <v>0</v>
      </c>
      <c r="V1056" s="8">
        <v>1</v>
      </c>
      <c r="W1056" s="8">
        <v>0</v>
      </c>
      <c r="X1056" s="8">
        <v>0</v>
      </c>
      <c r="Y1056" s="8">
        <v>0</v>
      </c>
      <c r="Z1056" s="7"/>
    </row>
    <row r="1057" spans="1:26" s="8" customFormat="1" ht="18" customHeight="1" x14ac:dyDescent="0.15">
      <c r="A1057" s="8">
        <v>20310</v>
      </c>
      <c r="B1057" s="8" t="s">
        <v>771</v>
      </c>
      <c r="C1057" s="8">
        <f t="shared" si="145"/>
        <v>24</v>
      </c>
      <c r="D1057" s="8">
        <v>1</v>
      </c>
      <c r="F1057" s="12">
        <v>0</v>
      </c>
      <c r="G1057" s="14">
        <v>0</v>
      </c>
      <c r="H1057" s="14">
        <v>0</v>
      </c>
      <c r="I1057" s="14">
        <v>0</v>
      </c>
      <c r="J1057" s="14">
        <v>1</v>
      </c>
      <c r="K1057" s="14">
        <v>1</v>
      </c>
      <c r="L1057" s="8">
        <v>0</v>
      </c>
      <c r="M1057" s="8">
        <f t="shared" si="146"/>
        <v>0</v>
      </c>
      <c r="N1057" s="14">
        <v>0</v>
      </c>
      <c r="O1057" s="14">
        <v>0</v>
      </c>
      <c r="P1057" s="14">
        <v>0</v>
      </c>
      <c r="Q1057" s="14">
        <v>0</v>
      </c>
      <c r="R1057" s="14">
        <v>0</v>
      </c>
      <c r="S1057" s="14">
        <v>0</v>
      </c>
      <c r="T1057" s="8">
        <v>1</v>
      </c>
      <c r="U1057" s="8">
        <v>0</v>
      </c>
      <c r="V1057" s="8">
        <v>1</v>
      </c>
      <c r="W1057" s="8">
        <v>0</v>
      </c>
      <c r="X1057" s="8">
        <v>0</v>
      </c>
      <c r="Y1057" s="8">
        <v>0</v>
      </c>
      <c r="Z1057" s="7"/>
    </row>
    <row r="1058" spans="1:26" s="8" customFormat="1" ht="53.25" customHeight="1" x14ac:dyDescent="0.15">
      <c r="A1058" s="8">
        <v>20350</v>
      </c>
      <c r="B1058" s="8" t="s">
        <v>912</v>
      </c>
      <c r="C1058" s="8">
        <f t="shared" si="145"/>
        <v>5</v>
      </c>
      <c r="D1058" s="8">
        <v>1</v>
      </c>
      <c r="F1058" s="12">
        <v>0</v>
      </c>
      <c r="G1058" s="14">
        <v>1</v>
      </c>
      <c r="H1058" s="14">
        <v>0</v>
      </c>
      <c r="I1058" s="14">
        <v>1</v>
      </c>
      <c r="J1058" s="14">
        <v>0</v>
      </c>
      <c r="K1058" s="14">
        <v>0</v>
      </c>
      <c r="L1058" s="8">
        <v>1</v>
      </c>
      <c r="M1058" s="8">
        <f t="shared" si="146"/>
        <v>32</v>
      </c>
      <c r="N1058" s="14">
        <v>0</v>
      </c>
      <c r="O1058" s="14">
        <v>0</v>
      </c>
      <c r="P1058" s="14">
        <v>0</v>
      </c>
      <c r="Q1058" s="14">
        <v>0</v>
      </c>
      <c r="R1058" s="14">
        <v>0</v>
      </c>
      <c r="S1058" s="14">
        <v>1</v>
      </c>
      <c r="T1058" s="8">
        <v>1</v>
      </c>
      <c r="U1058" s="8">
        <v>0</v>
      </c>
      <c r="V1058" s="8">
        <v>1</v>
      </c>
      <c r="W1058" s="8">
        <v>0</v>
      </c>
      <c r="X1058" s="8">
        <v>1</v>
      </c>
      <c r="Y1058" s="8">
        <v>0</v>
      </c>
      <c r="Z1058" s="7" t="s">
        <v>855</v>
      </c>
    </row>
    <row r="1059" spans="1:26" s="8" customFormat="1" ht="18" customHeight="1" x14ac:dyDescent="0.15">
      <c r="A1059" s="8">
        <v>20351</v>
      </c>
      <c r="B1059" s="8" t="s">
        <v>916</v>
      </c>
      <c r="C1059" s="8">
        <f t="shared" si="145"/>
        <v>5</v>
      </c>
      <c r="D1059" s="8">
        <v>1</v>
      </c>
      <c r="F1059" s="12">
        <v>0</v>
      </c>
      <c r="G1059" s="14">
        <v>1</v>
      </c>
      <c r="H1059" s="14">
        <v>0</v>
      </c>
      <c r="I1059" s="14">
        <v>1</v>
      </c>
      <c r="J1059" s="14">
        <v>0</v>
      </c>
      <c r="K1059" s="14">
        <v>0</v>
      </c>
      <c r="L1059" s="8">
        <v>1</v>
      </c>
      <c r="M1059" s="8">
        <f t="shared" si="146"/>
        <v>0</v>
      </c>
      <c r="N1059" s="14">
        <v>0</v>
      </c>
      <c r="O1059" s="14">
        <v>0</v>
      </c>
      <c r="P1059" s="14">
        <v>0</v>
      </c>
      <c r="Q1059" s="14">
        <v>0</v>
      </c>
      <c r="R1059" s="14">
        <v>0</v>
      </c>
      <c r="S1059" s="14">
        <v>0</v>
      </c>
      <c r="T1059" s="8">
        <v>1</v>
      </c>
      <c r="U1059" s="8">
        <v>0</v>
      </c>
      <c r="V1059" s="8">
        <v>1</v>
      </c>
      <c r="W1059" s="8">
        <v>0</v>
      </c>
      <c r="X1059" s="8">
        <v>0</v>
      </c>
      <c r="Y1059" s="8">
        <v>0</v>
      </c>
      <c r="Z1059" s="7" t="s">
        <v>918</v>
      </c>
    </row>
    <row r="1060" spans="1:26" s="8" customFormat="1" ht="18" customHeight="1" x14ac:dyDescent="0.15">
      <c r="A1060" s="8">
        <v>20352</v>
      </c>
      <c r="B1060" s="8" t="s">
        <v>917</v>
      </c>
      <c r="C1060" s="8">
        <f t="shared" si="145"/>
        <v>5</v>
      </c>
      <c r="D1060" s="8">
        <v>1</v>
      </c>
      <c r="F1060" s="12">
        <v>0</v>
      </c>
      <c r="G1060" s="14">
        <v>1</v>
      </c>
      <c r="H1060" s="14">
        <v>0</v>
      </c>
      <c r="I1060" s="14">
        <v>1</v>
      </c>
      <c r="J1060" s="14">
        <v>0</v>
      </c>
      <c r="K1060" s="14">
        <v>0</v>
      </c>
      <c r="L1060" s="8">
        <v>1</v>
      </c>
      <c r="M1060" s="8">
        <f t="shared" si="146"/>
        <v>0</v>
      </c>
      <c r="N1060" s="14">
        <v>0</v>
      </c>
      <c r="O1060" s="14">
        <v>0</v>
      </c>
      <c r="P1060" s="14">
        <v>0</v>
      </c>
      <c r="Q1060" s="14">
        <v>0</v>
      </c>
      <c r="R1060" s="14">
        <v>0</v>
      </c>
      <c r="S1060" s="14">
        <v>0</v>
      </c>
      <c r="T1060" s="8">
        <v>1</v>
      </c>
      <c r="U1060" s="8">
        <v>0</v>
      </c>
      <c r="V1060" s="8">
        <v>1</v>
      </c>
      <c r="W1060" s="8">
        <v>0</v>
      </c>
      <c r="X1060" s="8">
        <v>0</v>
      </c>
      <c r="Y1060" s="8">
        <v>0</v>
      </c>
      <c r="Z1060" s="7" t="s">
        <v>918</v>
      </c>
    </row>
    <row r="1061" spans="1:26" s="8" customFormat="1" ht="18" customHeight="1" x14ac:dyDescent="0.15">
      <c r="A1061" s="8">
        <v>20353</v>
      </c>
      <c r="B1061" s="8" t="s">
        <v>919</v>
      </c>
      <c r="C1061" s="8">
        <f>G1061+H1061*2+I1061*4+J1061*8+K1061*16</f>
        <v>5</v>
      </c>
      <c r="D1061" s="8">
        <v>1</v>
      </c>
      <c r="F1061" s="12">
        <v>0</v>
      </c>
      <c r="G1061" s="14">
        <v>1</v>
      </c>
      <c r="H1061" s="14">
        <v>0</v>
      </c>
      <c r="I1061" s="14">
        <v>1</v>
      </c>
      <c r="J1061" s="14">
        <v>0</v>
      </c>
      <c r="K1061" s="14">
        <v>0</v>
      </c>
      <c r="L1061" s="8">
        <v>1</v>
      </c>
      <c r="M1061" s="8">
        <f>N1061+O1061*2+P1061*4+Q1061*8+R1061*16+S1061*32</f>
        <v>0</v>
      </c>
      <c r="N1061" s="14">
        <v>0</v>
      </c>
      <c r="O1061" s="14">
        <v>0</v>
      </c>
      <c r="P1061" s="14">
        <v>0</v>
      </c>
      <c r="Q1061" s="14">
        <v>0</v>
      </c>
      <c r="R1061" s="14">
        <v>0</v>
      </c>
      <c r="S1061" s="14">
        <v>0</v>
      </c>
      <c r="T1061" s="8">
        <v>1</v>
      </c>
      <c r="U1061" s="8">
        <v>1</v>
      </c>
      <c r="V1061" s="8">
        <v>1</v>
      </c>
      <c r="W1061" s="8">
        <v>0</v>
      </c>
      <c r="X1061" s="8">
        <v>0</v>
      </c>
      <c r="Y1061" s="8">
        <v>0</v>
      </c>
      <c r="Z1061" s="7" t="s">
        <v>920</v>
      </c>
    </row>
    <row r="1062" spans="1:26" s="8" customFormat="1" ht="53.25" customHeight="1" x14ac:dyDescent="0.15">
      <c r="A1062" s="8">
        <v>20354</v>
      </c>
      <c r="B1062" s="8" t="s">
        <v>938</v>
      </c>
      <c r="C1062" s="8">
        <f>G1062+H1062*2+I1062*4+J1062*8+K1062*16</f>
        <v>5</v>
      </c>
      <c r="D1062" s="8">
        <v>1</v>
      </c>
      <c r="F1062" s="12">
        <v>0</v>
      </c>
      <c r="G1062" s="14">
        <v>1</v>
      </c>
      <c r="H1062" s="14">
        <v>0</v>
      </c>
      <c r="I1062" s="14">
        <v>1</v>
      </c>
      <c r="J1062" s="14">
        <v>0</v>
      </c>
      <c r="K1062" s="14">
        <v>0</v>
      </c>
      <c r="L1062" s="8">
        <v>1</v>
      </c>
      <c r="M1062" s="8">
        <f>N1062+O1062*2+P1062*4+Q1062*8+R1062*16+S1062*32</f>
        <v>34</v>
      </c>
      <c r="N1062" s="14">
        <v>0</v>
      </c>
      <c r="O1062" s="14">
        <v>1</v>
      </c>
      <c r="P1062" s="14">
        <v>0</v>
      </c>
      <c r="Q1062" s="14">
        <v>0</v>
      </c>
      <c r="R1062" s="14">
        <v>0</v>
      </c>
      <c r="S1062" s="14">
        <v>1</v>
      </c>
      <c r="T1062" s="8">
        <v>1</v>
      </c>
      <c r="U1062" s="8">
        <v>0</v>
      </c>
      <c r="V1062" s="8">
        <v>1</v>
      </c>
      <c r="W1062" s="8">
        <v>0</v>
      </c>
      <c r="X1062" s="8">
        <v>0</v>
      </c>
      <c r="Y1062" s="8">
        <v>0</v>
      </c>
      <c r="Z1062" s="7" t="s">
        <v>939</v>
      </c>
    </row>
    <row r="1063" spans="1:26" s="8" customFormat="1" ht="53.25" customHeight="1" x14ac:dyDescent="0.15">
      <c r="A1063" s="8">
        <v>20355</v>
      </c>
      <c r="B1063" s="8" t="s">
        <v>940</v>
      </c>
      <c r="C1063" s="8">
        <f t="shared" ref="C1063" si="147">G1063+H1063*2+I1063*4+J1063*8+K1063*16</f>
        <v>5</v>
      </c>
      <c r="D1063" s="8">
        <v>1</v>
      </c>
      <c r="F1063" s="12">
        <v>0</v>
      </c>
      <c r="G1063" s="14">
        <v>1</v>
      </c>
      <c r="H1063" s="14">
        <v>0</v>
      </c>
      <c r="I1063" s="14">
        <v>1</v>
      </c>
      <c r="J1063" s="14">
        <v>0</v>
      </c>
      <c r="K1063" s="14">
        <v>0</v>
      </c>
      <c r="L1063" s="8">
        <v>1</v>
      </c>
      <c r="M1063" s="8">
        <f t="shared" ref="M1063" si="148">N1063+O1063*2+P1063*4+Q1063*8+R1063*16+S1063*32</f>
        <v>34</v>
      </c>
      <c r="N1063" s="14">
        <v>0</v>
      </c>
      <c r="O1063" s="14">
        <v>1</v>
      </c>
      <c r="P1063" s="14">
        <v>0</v>
      </c>
      <c r="Q1063" s="14">
        <v>0</v>
      </c>
      <c r="R1063" s="14">
        <v>0</v>
      </c>
      <c r="S1063" s="14">
        <v>1</v>
      </c>
      <c r="T1063" s="8">
        <v>1</v>
      </c>
      <c r="U1063" s="8">
        <v>0</v>
      </c>
      <c r="V1063" s="8">
        <v>1</v>
      </c>
      <c r="W1063" s="8">
        <v>0</v>
      </c>
      <c r="X1063" s="8">
        <v>0</v>
      </c>
      <c r="Y1063" s="8">
        <v>0</v>
      </c>
      <c r="Z1063" s="7" t="s">
        <v>941</v>
      </c>
    </row>
    <row r="1064" spans="1:26" s="8" customFormat="1" ht="53.25" customHeight="1" x14ac:dyDescent="0.15">
      <c r="A1064" s="8">
        <v>20356</v>
      </c>
      <c r="B1064" s="8" t="s">
        <v>1231</v>
      </c>
      <c r="C1064" s="8">
        <f>G1064+H1064*2+I1064*4+J1064*8+K1064*16</f>
        <v>5</v>
      </c>
      <c r="D1064" s="8">
        <v>1</v>
      </c>
      <c r="F1064" s="12">
        <v>0</v>
      </c>
      <c r="G1064" s="14">
        <v>1</v>
      </c>
      <c r="H1064" s="14">
        <v>0</v>
      </c>
      <c r="I1064" s="14">
        <v>1</v>
      </c>
      <c r="J1064" s="14">
        <v>0</v>
      </c>
      <c r="K1064" s="14">
        <v>0</v>
      </c>
      <c r="L1064" s="8">
        <v>1</v>
      </c>
      <c r="M1064" s="8">
        <f>N1064+O1064*2+P1064*4+Q1064*8+R1064*16+S1064*32</f>
        <v>34</v>
      </c>
      <c r="N1064" s="14">
        <v>0</v>
      </c>
      <c r="O1064" s="14">
        <v>1</v>
      </c>
      <c r="P1064" s="14">
        <v>0</v>
      </c>
      <c r="Q1064" s="14">
        <v>0</v>
      </c>
      <c r="R1064" s="14">
        <v>0</v>
      </c>
      <c r="S1064" s="14">
        <v>1</v>
      </c>
      <c r="T1064" s="8">
        <v>1</v>
      </c>
      <c r="U1064" s="8">
        <v>0</v>
      </c>
      <c r="V1064" s="8">
        <v>1</v>
      </c>
      <c r="W1064" s="8">
        <v>0</v>
      </c>
      <c r="X1064" s="8">
        <v>1</v>
      </c>
      <c r="Y1064" s="8">
        <v>0</v>
      </c>
      <c r="Z1064" s="7" t="s">
        <v>1244</v>
      </c>
    </row>
    <row r="1065" spans="1:26" s="8" customFormat="1" ht="53.25" customHeight="1" x14ac:dyDescent="0.15">
      <c r="A1065" s="8">
        <v>20357</v>
      </c>
      <c r="B1065" s="8" t="s">
        <v>1232</v>
      </c>
      <c r="C1065" s="8">
        <f>G1065+H1065*2+I1065*4+J1065*8+K1065*16</f>
        <v>5</v>
      </c>
      <c r="D1065" s="8">
        <v>1</v>
      </c>
      <c r="F1065" s="12">
        <v>0</v>
      </c>
      <c r="G1065" s="14">
        <v>1</v>
      </c>
      <c r="H1065" s="14">
        <v>0</v>
      </c>
      <c r="I1065" s="14">
        <v>1</v>
      </c>
      <c r="J1065" s="14">
        <v>0</v>
      </c>
      <c r="K1065" s="14">
        <v>0</v>
      </c>
      <c r="L1065" s="8">
        <v>1</v>
      </c>
      <c r="M1065" s="8">
        <f>N1065+O1065*2+P1065*4+Q1065*8+R1065*16+S1065*32</f>
        <v>34</v>
      </c>
      <c r="N1065" s="14">
        <v>0</v>
      </c>
      <c r="O1065" s="14">
        <v>1</v>
      </c>
      <c r="P1065" s="14">
        <v>0</v>
      </c>
      <c r="Q1065" s="14">
        <v>0</v>
      </c>
      <c r="R1065" s="14">
        <v>0</v>
      </c>
      <c r="S1065" s="14">
        <v>1</v>
      </c>
      <c r="T1065" s="8">
        <v>1</v>
      </c>
      <c r="U1065" s="8">
        <v>0</v>
      </c>
      <c r="V1065" s="8">
        <v>1</v>
      </c>
      <c r="W1065" s="8">
        <v>0</v>
      </c>
      <c r="X1065" s="8">
        <v>1</v>
      </c>
      <c r="Y1065" s="8">
        <v>0</v>
      </c>
      <c r="Z1065" s="7" t="s">
        <v>1245</v>
      </c>
    </row>
    <row r="1066" spans="1:26" s="8" customFormat="1" ht="53.25" customHeight="1" x14ac:dyDescent="0.15">
      <c r="A1066" s="8">
        <v>20358</v>
      </c>
      <c r="B1066" s="8" t="s">
        <v>1233</v>
      </c>
      <c r="C1066" s="8">
        <f>G1066+H1066*2+I1066*4+J1066*8+K1066*16</f>
        <v>5</v>
      </c>
      <c r="D1066" s="8">
        <v>1</v>
      </c>
      <c r="F1066" s="12">
        <v>0</v>
      </c>
      <c r="G1066" s="14">
        <v>1</v>
      </c>
      <c r="H1066" s="14">
        <v>0</v>
      </c>
      <c r="I1066" s="14">
        <v>1</v>
      </c>
      <c r="J1066" s="14">
        <v>0</v>
      </c>
      <c r="K1066" s="14">
        <v>0</v>
      </c>
      <c r="L1066" s="8">
        <v>1</v>
      </c>
      <c r="M1066" s="8">
        <f>N1066+O1066*2+P1066*4+Q1066*8+R1066*16+S1066*32</f>
        <v>34</v>
      </c>
      <c r="N1066" s="14">
        <v>0</v>
      </c>
      <c r="O1066" s="14">
        <v>1</v>
      </c>
      <c r="P1066" s="14">
        <v>0</v>
      </c>
      <c r="Q1066" s="14">
        <v>0</v>
      </c>
      <c r="R1066" s="14">
        <v>0</v>
      </c>
      <c r="S1066" s="14">
        <v>1</v>
      </c>
      <c r="T1066" s="8">
        <v>1</v>
      </c>
      <c r="U1066" s="8">
        <v>0</v>
      </c>
      <c r="V1066" s="8">
        <v>1</v>
      </c>
      <c r="W1066" s="8">
        <v>0</v>
      </c>
      <c r="X1066" s="8">
        <v>1</v>
      </c>
      <c r="Y1066" s="8">
        <v>0</v>
      </c>
      <c r="Z1066" s="7" t="s">
        <v>1246</v>
      </c>
    </row>
    <row r="1067" spans="1:26" s="8" customFormat="1" ht="53.25" customHeight="1" x14ac:dyDescent="0.15">
      <c r="A1067" s="8">
        <v>20359</v>
      </c>
      <c r="B1067" s="8" t="s">
        <v>1234</v>
      </c>
      <c r="C1067" s="8">
        <f t="shared" ref="C1067" si="149">G1067+H1067*2+I1067*4+J1067*8+K1067*16</f>
        <v>5</v>
      </c>
      <c r="D1067" s="8">
        <v>1</v>
      </c>
      <c r="F1067" s="12">
        <v>0</v>
      </c>
      <c r="G1067" s="14">
        <v>1</v>
      </c>
      <c r="H1067" s="14">
        <v>0</v>
      </c>
      <c r="I1067" s="14">
        <v>1</v>
      </c>
      <c r="J1067" s="14">
        <v>0</v>
      </c>
      <c r="K1067" s="14">
        <v>0</v>
      </c>
      <c r="L1067" s="8">
        <v>1</v>
      </c>
      <c r="M1067" s="8">
        <f t="shared" ref="M1067" si="150">N1067+O1067*2+P1067*4+Q1067*8+R1067*16+S1067*32</f>
        <v>34</v>
      </c>
      <c r="N1067" s="14">
        <v>0</v>
      </c>
      <c r="O1067" s="14">
        <v>1</v>
      </c>
      <c r="P1067" s="14">
        <v>0</v>
      </c>
      <c r="Q1067" s="14">
        <v>0</v>
      </c>
      <c r="R1067" s="14">
        <v>0</v>
      </c>
      <c r="S1067" s="14">
        <v>1</v>
      </c>
      <c r="T1067" s="8">
        <v>1</v>
      </c>
      <c r="U1067" s="8">
        <v>0</v>
      </c>
      <c r="V1067" s="8">
        <v>1</v>
      </c>
      <c r="W1067" s="8">
        <v>0</v>
      </c>
      <c r="X1067" s="8">
        <v>0</v>
      </c>
      <c r="Y1067" s="8">
        <v>0</v>
      </c>
      <c r="Z1067" s="7" t="s">
        <v>1235</v>
      </c>
    </row>
    <row r="1068" spans="1:26" s="8" customFormat="1" ht="53.25" customHeight="1" x14ac:dyDescent="0.15">
      <c r="A1068" s="8">
        <v>20360</v>
      </c>
      <c r="B1068" s="8" t="s">
        <v>1236</v>
      </c>
      <c r="C1068" s="8">
        <f>G1068+H1068*2+I1068*4+J1068*8+K1068*16</f>
        <v>5</v>
      </c>
      <c r="D1068" s="8">
        <v>1</v>
      </c>
      <c r="F1068" s="12">
        <v>0</v>
      </c>
      <c r="G1068" s="14">
        <v>1</v>
      </c>
      <c r="H1068" s="14">
        <v>0</v>
      </c>
      <c r="I1068" s="14">
        <v>1</v>
      </c>
      <c r="J1068" s="14">
        <v>0</v>
      </c>
      <c r="K1068" s="14">
        <v>0</v>
      </c>
      <c r="L1068" s="8">
        <v>1</v>
      </c>
      <c r="M1068" s="8">
        <f>N1068+O1068*2+P1068*4+Q1068*8+R1068*16+S1068*32</f>
        <v>34</v>
      </c>
      <c r="N1068" s="14">
        <v>0</v>
      </c>
      <c r="O1068" s="14">
        <v>1</v>
      </c>
      <c r="P1068" s="14">
        <v>0</v>
      </c>
      <c r="Q1068" s="14">
        <v>0</v>
      </c>
      <c r="R1068" s="14">
        <v>0</v>
      </c>
      <c r="S1068" s="14">
        <v>1</v>
      </c>
      <c r="T1068" s="8">
        <v>1</v>
      </c>
      <c r="U1068" s="8">
        <v>0</v>
      </c>
      <c r="V1068" s="8">
        <v>1</v>
      </c>
      <c r="W1068" s="8">
        <v>0</v>
      </c>
      <c r="X1068" s="8">
        <v>0</v>
      </c>
      <c r="Y1068" s="8">
        <v>0</v>
      </c>
      <c r="Z1068" s="7" t="s">
        <v>1237</v>
      </c>
    </row>
    <row r="1069" spans="1:26" s="46" customFormat="1" ht="18" customHeight="1" x14ac:dyDescent="0.15">
      <c r="A1069" s="46">
        <v>20361</v>
      </c>
      <c r="B1069" s="46" t="s">
        <v>1251</v>
      </c>
      <c r="C1069" s="46">
        <f t="shared" ref="C1069:C1072" si="151">G1069+H1069*2+I1069*4+J1069*8+K1069*16</f>
        <v>5</v>
      </c>
      <c r="D1069" s="46">
        <v>1</v>
      </c>
      <c r="F1069" s="46">
        <v>0</v>
      </c>
      <c r="G1069" s="47">
        <v>1</v>
      </c>
      <c r="H1069" s="47">
        <v>0</v>
      </c>
      <c r="I1069" s="47">
        <v>1</v>
      </c>
      <c r="J1069" s="47">
        <v>0</v>
      </c>
      <c r="K1069" s="47">
        <v>0</v>
      </c>
      <c r="L1069" s="46">
        <v>1</v>
      </c>
      <c r="M1069" s="8">
        <f>N1069+O1069*2+P1069*4+Q1069*8+R1069*16+S1069*32</f>
        <v>34</v>
      </c>
      <c r="N1069" s="47">
        <v>0</v>
      </c>
      <c r="O1069" s="47">
        <v>1</v>
      </c>
      <c r="P1069" s="47">
        <v>0</v>
      </c>
      <c r="Q1069" s="47">
        <v>0</v>
      </c>
      <c r="R1069" s="47">
        <v>0</v>
      </c>
      <c r="S1069" s="47">
        <v>1</v>
      </c>
      <c r="T1069" s="46">
        <v>1</v>
      </c>
      <c r="U1069" s="46">
        <v>0</v>
      </c>
      <c r="V1069" s="46">
        <v>1</v>
      </c>
      <c r="W1069" s="46">
        <v>0</v>
      </c>
      <c r="X1069" s="46">
        <v>0</v>
      </c>
      <c r="Y1069" s="46">
        <v>0</v>
      </c>
      <c r="Z1069" s="48" t="s">
        <v>1252</v>
      </c>
    </row>
    <row r="1070" spans="1:26" s="8" customFormat="1" ht="53.25" customHeight="1" x14ac:dyDescent="0.15">
      <c r="A1070" s="8">
        <v>20362</v>
      </c>
      <c r="B1070" s="8" t="s">
        <v>1253</v>
      </c>
      <c r="C1070" s="8">
        <f t="shared" si="151"/>
        <v>5</v>
      </c>
      <c r="D1070" s="8">
        <v>1</v>
      </c>
      <c r="F1070" s="12">
        <v>0</v>
      </c>
      <c r="G1070" s="14">
        <v>1</v>
      </c>
      <c r="H1070" s="14">
        <v>0</v>
      </c>
      <c r="I1070" s="14">
        <v>1</v>
      </c>
      <c r="J1070" s="14">
        <v>0</v>
      </c>
      <c r="K1070" s="14">
        <v>0</v>
      </c>
      <c r="L1070" s="8">
        <v>1</v>
      </c>
      <c r="M1070" s="8">
        <f t="shared" ref="M1070:M1072" si="152">N1070+O1070*2+P1070*4+Q1070*8+R1070*16+S1070*32</f>
        <v>34</v>
      </c>
      <c r="N1070" s="14">
        <v>0</v>
      </c>
      <c r="O1070" s="14">
        <v>1</v>
      </c>
      <c r="P1070" s="14">
        <v>0</v>
      </c>
      <c r="Q1070" s="14">
        <v>0</v>
      </c>
      <c r="R1070" s="14">
        <v>0</v>
      </c>
      <c r="S1070" s="14">
        <v>1</v>
      </c>
      <c r="T1070" s="8">
        <v>1</v>
      </c>
      <c r="U1070" s="8">
        <v>0</v>
      </c>
      <c r="V1070" s="8">
        <v>1</v>
      </c>
      <c r="W1070" s="8">
        <v>0</v>
      </c>
      <c r="X1070" s="8">
        <v>0</v>
      </c>
      <c r="Y1070" s="8">
        <v>0</v>
      </c>
      <c r="Z1070" s="7" t="s">
        <v>1254</v>
      </c>
    </row>
    <row r="1071" spans="1:26" s="8" customFormat="1" ht="18" customHeight="1" x14ac:dyDescent="0.15">
      <c r="A1071" s="46">
        <v>20363</v>
      </c>
      <c r="B1071" s="8" t="s">
        <v>1255</v>
      </c>
      <c r="C1071" s="8">
        <f t="shared" si="151"/>
        <v>24</v>
      </c>
      <c r="D1071" s="8">
        <v>1</v>
      </c>
      <c r="F1071" s="12">
        <v>0</v>
      </c>
      <c r="G1071" s="14">
        <v>0</v>
      </c>
      <c r="H1071" s="14">
        <v>0</v>
      </c>
      <c r="I1071" s="14">
        <v>0</v>
      </c>
      <c r="J1071" s="14">
        <v>1</v>
      </c>
      <c r="K1071" s="14">
        <v>1</v>
      </c>
      <c r="L1071" s="8">
        <v>0</v>
      </c>
      <c r="M1071" s="8">
        <f t="shared" si="152"/>
        <v>0</v>
      </c>
      <c r="N1071" s="14">
        <v>0</v>
      </c>
      <c r="O1071" s="14">
        <v>0</v>
      </c>
      <c r="P1071" s="14">
        <v>0</v>
      </c>
      <c r="Q1071" s="14">
        <v>0</v>
      </c>
      <c r="R1071" s="14">
        <v>0</v>
      </c>
      <c r="S1071" s="14">
        <v>0</v>
      </c>
      <c r="T1071" s="8">
        <v>1</v>
      </c>
      <c r="U1071" s="8">
        <v>0</v>
      </c>
      <c r="V1071" s="8">
        <v>1</v>
      </c>
      <c r="W1071" s="8">
        <v>0</v>
      </c>
      <c r="X1071" s="8">
        <v>0</v>
      </c>
      <c r="Y1071" s="8">
        <v>0</v>
      </c>
      <c r="Z1071" s="7"/>
    </row>
    <row r="1072" spans="1:26" s="8" customFormat="1" ht="18" customHeight="1" x14ac:dyDescent="0.15">
      <c r="A1072" s="8">
        <v>20364</v>
      </c>
      <c r="B1072" s="8" t="s">
        <v>1256</v>
      </c>
      <c r="C1072" s="8">
        <f t="shared" si="151"/>
        <v>24</v>
      </c>
      <c r="D1072" s="8">
        <v>1</v>
      </c>
      <c r="F1072" s="12">
        <v>0</v>
      </c>
      <c r="G1072" s="14">
        <v>0</v>
      </c>
      <c r="H1072" s="14">
        <v>0</v>
      </c>
      <c r="I1072" s="14">
        <v>0</v>
      </c>
      <c r="J1072" s="14">
        <v>1</v>
      </c>
      <c r="K1072" s="14">
        <v>1</v>
      </c>
      <c r="L1072" s="8">
        <v>0</v>
      </c>
      <c r="M1072" s="8">
        <f t="shared" si="152"/>
        <v>0</v>
      </c>
      <c r="N1072" s="14">
        <v>0</v>
      </c>
      <c r="O1072" s="14">
        <v>0</v>
      </c>
      <c r="P1072" s="14">
        <v>0</v>
      </c>
      <c r="Q1072" s="14">
        <v>0</v>
      </c>
      <c r="R1072" s="14">
        <v>0</v>
      </c>
      <c r="S1072" s="14">
        <v>0</v>
      </c>
      <c r="T1072" s="8">
        <v>1</v>
      </c>
      <c r="U1072" s="8">
        <v>0</v>
      </c>
      <c r="V1072" s="8">
        <v>1</v>
      </c>
      <c r="W1072" s="8">
        <v>0</v>
      </c>
      <c r="X1072" s="8">
        <v>0</v>
      </c>
      <c r="Y1072" s="8">
        <v>0</v>
      </c>
      <c r="Z1072" s="7"/>
    </row>
    <row r="1073" spans="1:29" s="8" customFormat="1" ht="18" customHeight="1" x14ac:dyDescent="0.15">
      <c r="A1073" s="46">
        <v>20365</v>
      </c>
      <c r="B1073" s="8" t="s">
        <v>1257</v>
      </c>
      <c r="C1073" s="8">
        <f t="shared" ref="C1073:C1080" si="153">G1073+H1073*2+I1073*4+J1073*8+K1073*16</f>
        <v>24</v>
      </c>
      <c r="D1073" s="8">
        <v>1</v>
      </c>
      <c r="F1073" s="12">
        <v>0</v>
      </c>
      <c r="G1073" s="14">
        <v>0</v>
      </c>
      <c r="H1073" s="14">
        <v>0</v>
      </c>
      <c r="I1073" s="14">
        <v>0</v>
      </c>
      <c r="J1073" s="14">
        <v>1</v>
      </c>
      <c r="K1073" s="14">
        <v>1</v>
      </c>
      <c r="L1073" s="8">
        <v>0</v>
      </c>
      <c r="M1073" s="8">
        <f t="shared" ref="M1073:M1080" si="154">N1073+O1073*2+P1073*4+Q1073*8+R1073*16+S1073*32</f>
        <v>0</v>
      </c>
      <c r="N1073" s="14">
        <v>0</v>
      </c>
      <c r="O1073" s="14">
        <v>0</v>
      </c>
      <c r="P1073" s="14">
        <v>0</v>
      </c>
      <c r="Q1073" s="14">
        <v>0</v>
      </c>
      <c r="R1073" s="14">
        <v>0</v>
      </c>
      <c r="S1073" s="14">
        <v>0</v>
      </c>
      <c r="T1073" s="8">
        <v>1</v>
      </c>
      <c r="U1073" s="8">
        <v>0</v>
      </c>
      <c r="V1073" s="8">
        <v>1</v>
      </c>
      <c r="W1073" s="8">
        <v>0</v>
      </c>
      <c r="X1073" s="8">
        <v>0</v>
      </c>
      <c r="Y1073" s="8">
        <v>0</v>
      </c>
      <c r="Z1073" s="7"/>
    </row>
    <row r="1074" spans="1:29" s="26" customFormat="1" ht="15" customHeight="1" x14ac:dyDescent="0.15">
      <c r="A1074" s="62">
        <v>20369</v>
      </c>
      <c r="B1074" s="62" t="s">
        <v>1639</v>
      </c>
      <c r="C1074" s="26">
        <f t="shared" si="153"/>
        <v>1</v>
      </c>
      <c r="D1074" s="26">
        <v>1</v>
      </c>
      <c r="E1074" s="55"/>
      <c r="F1074" s="12">
        <v>0</v>
      </c>
      <c r="G1074" s="27">
        <v>1</v>
      </c>
      <c r="H1074" s="27">
        <v>0</v>
      </c>
      <c r="I1074" s="27">
        <v>0</v>
      </c>
      <c r="J1074" s="27">
        <v>0</v>
      </c>
      <c r="K1074" s="27">
        <v>0</v>
      </c>
      <c r="L1074" s="26">
        <v>1</v>
      </c>
      <c r="M1074" s="26">
        <v>64</v>
      </c>
      <c r="N1074" s="27">
        <v>0</v>
      </c>
      <c r="O1074" s="27">
        <v>0</v>
      </c>
      <c r="P1074" s="27">
        <v>0</v>
      </c>
      <c r="Q1074" s="27">
        <v>0</v>
      </c>
      <c r="R1074" s="27">
        <v>0</v>
      </c>
      <c r="S1074" s="27">
        <v>0</v>
      </c>
      <c r="T1074" s="26">
        <v>1</v>
      </c>
      <c r="U1074" s="26">
        <v>0</v>
      </c>
      <c r="V1074" s="26">
        <v>1</v>
      </c>
      <c r="W1074" s="26">
        <v>0</v>
      </c>
      <c r="X1074" s="26">
        <v>0</v>
      </c>
      <c r="Y1074" s="26">
        <v>0</v>
      </c>
      <c r="Z1074" s="63" t="s">
        <v>1640</v>
      </c>
    </row>
    <row r="1075" spans="1:29" s="26" customFormat="1" ht="15" customHeight="1" x14ac:dyDescent="0.15">
      <c r="A1075" s="62">
        <v>20370</v>
      </c>
      <c r="B1075" s="62" t="s">
        <v>1639</v>
      </c>
      <c r="C1075" s="26">
        <f t="shared" si="153"/>
        <v>1</v>
      </c>
      <c r="D1075" s="26">
        <v>1</v>
      </c>
      <c r="E1075" s="55"/>
      <c r="F1075" s="12">
        <v>0</v>
      </c>
      <c r="G1075" s="27">
        <v>1</v>
      </c>
      <c r="H1075" s="27">
        <v>0</v>
      </c>
      <c r="I1075" s="27">
        <v>0</v>
      </c>
      <c r="J1075" s="27">
        <v>0</v>
      </c>
      <c r="K1075" s="27">
        <v>0</v>
      </c>
      <c r="L1075" s="26">
        <v>1</v>
      </c>
      <c r="M1075" s="26">
        <v>64</v>
      </c>
      <c r="N1075" s="27">
        <v>0</v>
      </c>
      <c r="O1075" s="27">
        <v>0</v>
      </c>
      <c r="P1075" s="27">
        <v>0</v>
      </c>
      <c r="Q1075" s="27">
        <v>0</v>
      </c>
      <c r="R1075" s="27">
        <v>0</v>
      </c>
      <c r="S1075" s="27">
        <v>0</v>
      </c>
      <c r="T1075" s="26">
        <v>1</v>
      </c>
      <c r="U1075" s="26">
        <v>0</v>
      </c>
      <c r="V1075" s="26">
        <v>1</v>
      </c>
      <c r="W1075" s="26">
        <v>0</v>
      </c>
      <c r="X1075" s="26">
        <v>0</v>
      </c>
      <c r="Y1075" s="26">
        <v>0</v>
      </c>
      <c r="Z1075" s="63" t="s">
        <v>1641</v>
      </c>
    </row>
    <row r="1076" spans="1:29" s="26" customFormat="1" ht="15" customHeight="1" x14ac:dyDescent="0.15">
      <c r="A1076" s="62">
        <v>20371</v>
      </c>
      <c r="B1076" s="62" t="s">
        <v>1642</v>
      </c>
      <c r="C1076" s="26">
        <f t="shared" si="153"/>
        <v>1</v>
      </c>
      <c r="D1076" s="26">
        <v>1</v>
      </c>
      <c r="E1076" s="55"/>
      <c r="F1076" s="12">
        <v>0</v>
      </c>
      <c r="G1076" s="27">
        <v>1</v>
      </c>
      <c r="H1076" s="27">
        <v>0</v>
      </c>
      <c r="I1076" s="27">
        <v>0</v>
      </c>
      <c r="J1076" s="27">
        <v>0</v>
      </c>
      <c r="K1076" s="27">
        <v>0</v>
      </c>
      <c r="L1076" s="26">
        <v>1</v>
      </c>
      <c r="M1076" s="26">
        <v>64</v>
      </c>
      <c r="N1076" s="27">
        <v>0</v>
      </c>
      <c r="O1076" s="27">
        <v>0</v>
      </c>
      <c r="P1076" s="27">
        <v>0</v>
      </c>
      <c r="Q1076" s="27">
        <v>0</v>
      </c>
      <c r="R1076" s="27">
        <v>0</v>
      </c>
      <c r="S1076" s="27">
        <v>0</v>
      </c>
      <c r="T1076" s="26">
        <v>1</v>
      </c>
      <c r="U1076" s="26">
        <v>0</v>
      </c>
      <c r="V1076" s="26">
        <v>1</v>
      </c>
      <c r="W1076" s="26">
        <v>0</v>
      </c>
      <c r="X1076" s="26">
        <v>0</v>
      </c>
      <c r="Y1076" s="26">
        <v>0</v>
      </c>
      <c r="Z1076" s="63" t="s">
        <v>1643</v>
      </c>
    </row>
    <row r="1077" spans="1:29" s="26" customFormat="1" ht="15" customHeight="1" x14ac:dyDescent="0.15">
      <c r="A1077" s="62">
        <v>20372</v>
      </c>
      <c r="B1077" s="62" t="s">
        <v>1642</v>
      </c>
      <c r="C1077" s="26">
        <f t="shared" si="153"/>
        <v>1</v>
      </c>
      <c r="D1077" s="26">
        <v>1</v>
      </c>
      <c r="E1077" s="55"/>
      <c r="F1077" s="12">
        <v>0</v>
      </c>
      <c r="G1077" s="27">
        <v>1</v>
      </c>
      <c r="H1077" s="27">
        <v>0</v>
      </c>
      <c r="I1077" s="27">
        <v>0</v>
      </c>
      <c r="J1077" s="27">
        <v>0</v>
      </c>
      <c r="K1077" s="27">
        <v>0</v>
      </c>
      <c r="L1077" s="26">
        <v>1</v>
      </c>
      <c r="M1077" s="26">
        <v>64</v>
      </c>
      <c r="N1077" s="27">
        <v>0</v>
      </c>
      <c r="O1077" s="27">
        <v>0</v>
      </c>
      <c r="P1077" s="27">
        <v>0</v>
      </c>
      <c r="Q1077" s="27">
        <v>0</v>
      </c>
      <c r="R1077" s="27">
        <v>0</v>
      </c>
      <c r="S1077" s="27">
        <v>0</v>
      </c>
      <c r="T1077" s="26">
        <v>1</v>
      </c>
      <c r="U1077" s="26">
        <v>0</v>
      </c>
      <c r="V1077" s="26">
        <v>1</v>
      </c>
      <c r="W1077" s="26">
        <v>0</v>
      </c>
      <c r="X1077" s="26">
        <v>0</v>
      </c>
      <c r="Y1077" s="26">
        <v>0</v>
      </c>
      <c r="Z1077" s="63" t="s">
        <v>1644</v>
      </c>
    </row>
    <row r="1078" spans="1:29" s="26" customFormat="1" ht="15" customHeight="1" x14ac:dyDescent="0.15">
      <c r="A1078" s="62">
        <v>20373</v>
      </c>
      <c r="B1078" s="62" t="s">
        <v>1642</v>
      </c>
      <c r="C1078" s="26">
        <f t="shared" si="153"/>
        <v>1</v>
      </c>
      <c r="D1078" s="26">
        <v>1</v>
      </c>
      <c r="E1078" s="55"/>
      <c r="F1078" s="12">
        <v>0</v>
      </c>
      <c r="G1078" s="27">
        <v>1</v>
      </c>
      <c r="H1078" s="27">
        <v>0</v>
      </c>
      <c r="I1078" s="27">
        <v>0</v>
      </c>
      <c r="J1078" s="27">
        <v>0</v>
      </c>
      <c r="K1078" s="27">
        <v>0</v>
      </c>
      <c r="L1078" s="26">
        <v>1</v>
      </c>
      <c r="M1078" s="26">
        <v>64</v>
      </c>
      <c r="N1078" s="27">
        <v>0</v>
      </c>
      <c r="O1078" s="27">
        <v>0</v>
      </c>
      <c r="P1078" s="27">
        <v>0</v>
      </c>
      <c r="Q1078" s="27">
        <v>0</v>
      </c>
      <c r="R1078" s="27">
        <v>0</v>
      </c>
      <c r="S1078" s="27">
        <v>0</v>
      </c>
      <c r="T1078" s="26">
        <v>1</v>
      </c>
      <c r="U1078" s="26">
        <v>0</v>
      </c>
      <c r="V1078" s="26">
        <v>1</v>
      </c>
      <c r="W1078" s="26">
        <v>0</v>
      </c>
      <c r="X1078" s="26">
        <v>0</v>
      </c>
      <c r="Y1078" s="26">
        <v>0</v>
      </c>
      <c r="Z1078" s="63" t="s">
        <v>1645</v>
      </c>
    </row>
    <row r="1079" spans="1:29" s="50" customFormat="1" ht="15" customHeight="1" x14ac:dyDescent="0.15">
      <c r="A1079" s="50">
        <v>20500</v>
      </c>
      <c r="B1079" s="50" t="s">
        <v>128</v>
      </c>
      <c r="C1079" s="50">
        <f t="shared" si="153"/>
        <v>5</v>
      </c>
      <c r="D1079" s="50">
        <v>1</v>
      </c>
      <c r="F1079" s="50">
        <v>0</v>
      </c>
      <c r="G1079" s="51">
        <v>1</v>
      </c>
      <c r="H1079" s="51">
        <v>0</v>
      </c>
      <c r="I1079" s="51">
        <v>1</v>
      </c>
      <c r="J1079" s="51">
        <v>0</v>
      </c>
      <c r="K1079" s="51">
        <v>0</v>
      </c>
      <c r="L1079" s="50">
        <v>1</v>
      </c>
      <c r="M1079" s="50">
        <f t="shared" si="154"/>
        <v>0</v>
      </c>
      <c r="N1079" s="51">
        <v>0</v>
      </c>
      <c r="O1079" s="51">
        <v>0</v>
      </c>
      <c r="P1079" s="51">
        <v>0</v>
      </c>
      <c r="Q1079" s="51">
        <v>0</v>
      </c>
      <c r="R1079" s="51">
        <v>0</v>
      </c>
      <c r="S1079" s="51">
        <v>0</v>
      </c>
      <c r="T1079" s="50">
        <v>1</v>
      </c>
      <c r="U1079" s="50">
        <v>1</v>
      </c>
      <c r="V1079" s="50">
        <v>1</v>
      </c>
      <c r="W1079" s="50">
        <v>0</v>
      </c>
      <c r="X1079" s="50">
        <v>0</v>
      </c>
      <c r="Y1079" s="50">
        <v>0</v>
      </c>
      <c r="Z1079" s="50" t="s">
        <v>1293</v>
      </c>
      <c r="AC1079" s="52"/>
    </row>
    <row r="1080" spans="1:29" s="50" customFormat="1" ht="15" customHeight="1" x14ac:dyDescent="0.15">
      <c r="A1080" s="50">
        <v>20501</v>
      </c>
      <c r="B1080" s="50" t="s">
        <v>1295</v>
      </c>
      <c r="C1080" s="50">
        <f t="shared" si="153"/>
        <v>5</v>
      </c>
      <c r="D1080" s="50">
        <v>1</v>
      </c>
      <c r="F1080" s="50">
        <v>0</v>
      </c>
      <c r="G1080" s="51">
        <v>1</v>
      </c>
      <c r="H1080" s="51">
        <v>0</v>
      </c>
      <c r="I1080" s="51">
        <v>1</v>
      </c>
      <c r="J1080" s="51">
        <v>0</v>
      </c>
      <c r="K1080" s="51">
        <v>0</v>
      </c>
      <c r="L1080" s="50">
        <v>1</v>
      </c>
      <c r="M1080" s="50">
        <f t="shared" si="154"/>
        <v>0</v>
      </c>
      <c r="N1080" s="51">
        <v>0</v>
      </c>
      <c r="O1080" s="51">
        <v>0</v>
      </c>
      <c r="P1080" s="51">
        <v>0</v>
      </c>
      <c r="Q1080" s="51">
        <v>0</v>
      </c>
      <c r="R1080" s="51">
        <v>0</v>
      </c>
      <c r="S1080" s="51">
        <v>0</v>
      </c>
      <c r="T1080" s="50">
        <v>1</v>
      </c>
      <c r="U1080" s="50">
        <v>1</v>
      </c>
      <c r="V1080" s="50">
        <v>1</v>
      </c>
      <c r="W1080" s="50">
        <v>0</v>
      </c>
      <c r="X1080" s="50">
        <v>0</v>
      </c>
      <c r="Y1080" s="50">
        <v>0</v>
      </c>
      <c r="Z1080" s="50" t="s">
        <v>1294</v>
      </c>
      <c r="AC1080" s="52"/>
    </row>
    <row r="1081" spans="1:29" s="50" customFormat="1" ht="15" customHeight="1" x14ac:dyDescent="0.15">
      <c r="A1081" s="50">
        <v>20502</v>
      </c>
      <c r="B1081" s="50" t="s">
        <v>1287</v>
      </c>
      <c r="C1081" s="50">
        <f t="shared" ref="C1081:C1082" si="155">G1081+H1081*2+I1081*4+J1081*8+K1081*16</f>
        <v>5</v>
      </c>
      <c r="D1081" s="50">
        <v>1</v>
      </c>
      <c r="F1081" s="50">
        <v>0</v>
      </c>
      <c r="G1081" s="51">
        <v>1</v>
      </c>
      <c r="H1081" s="51">
        <v>0</v>
      </c>
      <c r="I1081" s="51">
        <v>1</v>
      </c>
      <c r="J1081" s="51">
        <v>0</v>
      </c>
      <c r="K1081" s="51">
        <v>0</v>
      </c>
      <c r="L1081" s="50">
        <v>1</v>
      </c>
      <c r="M1081" s="50">
        <f t="shared" ref="M1081:M1082" si="156">N1081+O1081*2+P1081*4+Q1081*8+R1081*16+S1081*32</f>
        <v>0</v>
      </c>
      <c r="N1081" s="51">
        <v>0</v>
      </c>
      <c r="O1081" s="51">
        <v>0</v>
      </c>
      <c r="P1081" s="51">
        <v>0</v>
      </c>
      <c r="Q1081" s="51">
        <v>0</v>
      </c>
      <c r="R1081" s="51">
        <v>0</v>
      </c>
      <c r="S1081" s="51">
        <v>0</v>
      </c>
      <c r="T1081" s="50">
        <v>1</v>
      </c>
      <c r="U1081" s="50">
        <v>1</v>
      </c>
      <c r="V1081" s="50">
        <v>1</v>
      </c>
      <c r="W1081" s="50">
        <v>0</v>
      </c>
      <c r="X1081" s="50">
        <v>0</v>
      </c>
      <c r="Y1081" s="50">
        <v>0</v>
      </c>
      <c r="Z1081" s="50" t="s">
        <v>1288</v>
      </c>
      <c r="AC1081" s="52"/>
    </row>
    <row r="1082" spans="1:29" s="50" customFormat="1" ht="15" customHeight="1" x14ac:dyDescent="0.15">
      <c r="A1082" s="50">
        <v>20503</v>
      </c>
      <c r="B1082" s="50" t="s">
        <v>1289</v>
      </c>
      <c r="C1082" s="50">
        <f t="shared" si="155"/>
        <v>5</v>
      </c>
      <c r="D1082" s="50">
        <v>1</v>
      </c>
      <c r="F1082" s="50">
        <v>0</v>
      </c>
      <c r="G1082" s="51">
        <v>1</v>
      </c>
      <c r="H1082" s="51">
        <v>0</v>
      </c>
      <c r="I1082" s="51">
        <v>1</v>
      </c>
      <c r="J1082" s="51">
        <v>0</v>
      </c>
      <c r="K1082" s="51">
        <v>0</v>
      </c>
      <c r="L1082" s="50">
        <v>1</v>
      </c>
      <c r="M1082" s="50">
        <f t="shared" si="156"/>
        <v>0</v>
      </c>
      <c r="N1082" s="51">
        <v>0</v>
      </c>
      <c r="O1082" s="51">
        <v>0</v>
      </c>
      <c r="P1082" s="51">
        <v>0</v>
      </c>
      <c r="Q1082" s="51">
        <v>0</v>
      </c>
      <c r="R1082" s="51">
        <v>0</v>
      </c>
      <c r="S1082" s="51">
        <v>0</v>
      </c>
      <c r="T1082" s="50">
        <v>1</v>
      </c>
      <c r="U1082" s="50">
        <v>1</v>
      </c>
      <c r="V1082" s="50">
        <v>1</v>
      </c>
      <c r="W1082" s="50">
        <v>0</v>
      </c>
      <c r="X1082" s="50">
        <v>0</v>
      </c>
      <c r="Y1082" s="50">
        <v>0</v>
      </c>
      <c r="Z1082" s="50" t="s">
        <v>1291</v>
      </c>
      <c r="AC1082" s="52"/>
    </row>
    <row r="1083" spans="1:29" s="50" customFormat="1" ht="15" customHeight="1" x14ac:dyDescent="0.15">
      <c r="A1083" s="50">
        <v>20504</v>
      </c>
      <c r="B1083" s="50" t="s">
        <v>1290</v>
      </c>
      <c r="C1083" s="50">
        <f t="shared" ref="C1083:C1100" si="157">G1083+H1083*2+I1083*4+J1083*8+K1083*16</f>
        <v>5</v>
      </c>
      <c r="D1083" s="50">
        <v>1</v>
      </c>
      <c r="F1083" s="50">
        <v>0</v>
      </c>
      <c r="G1083" s="51">
        <v>1</v>
      </c>
      <c r="H1083" s="51">
        <v>0</v>
      </c>
      <c r="I1083" s="51">
        <v>1</v>
      </c>
      <c r="J1083" s="51">
        <v>0</v>
      </c>
      <c r="K1083" s="51">
        <v>0</v>
      </c>
      <c r="L1083" s="50">
        <v>1</v>
      </c>
      <c r="M1083" s="50">
        <f t="shared" ref="M1083:M1100" si="158">N1083+O1083*2+P1083*4+Q1083*8+R1083*16+S1083*32</f>
        <v>0</v>
      </c>
      <c r="N1083" s="51">
        <v>0</v>
      </c>
      <c r="O1083" s="51">
        <v>0</v>
      </c>
      <c r="P1083" s="51">
        <v>0</v>
      </c>
      <c r="Q1083" s="51">
        <v>0</v>
      </c>
      <c r="R1083" s="51">
        <v>0</v>
      </c>
      <c r="S1083" s="51">
        <v>0</v>
      </c>
      <c r="T1083" s="50">
        <v>1</v>
      </c>
      <c r="U1083" s="50">
        <v>1</v>
      </c>
      <c r="V1083" s="50">
        <v>1</v>
      </c>
      <c r="W1083" s="50">
        <v>0</v>
      </c>
      <c r="X1083" s="50">
        <v>0</v>
      </c>
      <c r="Y1083" s="50">
        <v>0</v>
      </c>
      <c r="Z1083" s="50" t="s">
        <v>1292</v>
      </c>
      <c r="AC1083" s="52"/>
    </row>
    <row r="1084" spans="1:29" s="8" customFormat="1" ht="18" customHeight="1" x14ac:dyDescent="0.15">
      <c r="A1084" s="50">
        <v>20505</v>
      </c>
      <c r="B1084" s="8" t="s">
        <v>1594</v>
      </c>
      <c r="C1084" s="8">
        <f t="shared" si="157"/>
        <v>24</v>
      </c>
      <c r="D1084" s="8">
        <v>1</v>
      </c>
      <c r="F1084" s="12">
        <v>0</v>
      </c>
      <c r="G1084" s="14">
        <v>0</v>
      </c>
      <c r="H1084" s="14">
        <v>0</v>
      </c>
      <c r="I1084" s="14">
        <v>0</v>
      </c>
      <c r="J1084" s="14">
        <v>1</v>
      </c>
      <c r="K1084" s="14">
        <v>1</v>
      </c>
      <c r="L1084" s="8">
        <v>0</v>
      </c>
      <c r="M1084" s="8">
        <f t="shared" si="158"/>
        <v>0</v>
      </c>
      <c r="N1084" s="14">
        <v>0</v>
      </c>
      <c r="O1084" s="14">
        <v>0</v>
      </c>
      <c r="P1084" s="14">
        <v>0</v>
      </c>
      <c r="Q1084" s="14">
        <v>0</v>
      </c>
      <c r="R1084" s="14">
        <v>0</v>
      </c>
      <c r="S1084" s="14">
        <v>0</v>
      </c>
      <c r="T1084" s="8">
        <v>1</v>
      </c>
      <c r="U1084" s="8">
        <v>0</v>
      </c>
      <c r="V1084" s="8">
        <v>1</v>
      </c>
      <c r="W1084" s="8">
        <v>0</v>
      </c>
      <c r="X1084" s="8">
        <v>0</v>
      </c>
      <c r="Y1084" s="8">
        <v>0</v>
      </c>
      <c r="Z1084" s="7"/>
    </row>
    <row r="1085" spans="1:29" s="8" customFormat="1" ht="18" customHeight="1" x14ac:dyDescent="0.15">
      <c r="A1085" s="50">
        <v>20506</v>
      </c>
      <c r="B1085" s="8" t="s">
        <v>1595</v>
      </c>
      <c r="C1085" s="8">
        <f t="shared" si="157"/>
        <v>24</v>
      </c>
      <c r="D1085" s="8">
        <v>1</v>
      </c>
      <c r="F1085" s="12">
        <v>0</v>
      </c>
      <c r="G1085" s="14">
        <v>0</v>
      </c>
      <c r="H1085" s="14">
        <v>0</v>
      </c>
      <c r="I1085" s="14">
        <v>0</v>
      </c>
      <c r="J1085" s="14">
        <v>1</v>
      </c>
      <c r="K1085" s="14">
        <v>1</v>
      </c>
      <c r="L1085" s="8">
        <v>0</v>
      </c>
      <c r="M1085" s="8">
        <f t="shared" si="158"/>
        <v>0</v>
      </c>
      <c r="N1085" s="14">
        <v>0</v>
      </c>
      <c r="O1085" s="14">
        <v>0</v>
      </c>
      <c r="P1085" s="14">
        <v>0</v>
      </c>
      <c r="Q1085" s="14">
        <v>0</v>
      </c>
      <c r="R1085" s="14">
        <v>0</v>
      </c>
      <c r="S1085" s="14">
        <v>0</v>
      </c>
      <c r="T1085" s="8">
        <v>1</v>
      </c>
      <c r="U1085" s="8">
        <v>0</v>
      </c>
      <c r="V1085" s="8">
        <v>1</v>
      </c>
      <c r="W1085" s="8">
        <v>0</v>
      </c>
      <c r="X1085" s="8">
        <v>0</v>
      </c>
      <c r="Y1085" s="8">
        <v>0</v>
      </c>
      <c r="Z1085" s="7"/>
    </row>
    <row r="1086" spans="1:29" s="8" customFormat="1" ht="18" customHeight="1" x14ac:dyDescent="0.15">
      <c r="A1086" s="50">
        <v>21001</v>
      </c>
      <c r="B1086" s="8" t="s">
        <v>1800</v>
      </c>
      <c r="C1086" s="9">
        <f t="shared" si="157"/>
        <v>1</v>
      </c>
      <c r="D1086" s="9">
        <v>1</v>
      </c>
      <c r="E1086" s="9"/>
      <c r="F1086" s="12">
        <v>0</v>
      </c>
      <c r="G1086" s="10">
        <v>1</v>
      </c>
      <c r="H1086" s="10">
        <v>0</v>
      </c>
      <c r="I1086" s="10">
        <v>0</v>
      </c>
      <c r="J1086" s="10">
        <v>0</v>
      </c>
      <c r="K1086" s="10">
        <v>0</v>
      </c>
      <c r="L1086" s="9">
        <v>1</v>
      </c>
      <c r="M1086" s="9">
        <f t="shared" si="158"/>
        <v>17</v>
      </c>
      <c r="N1086" s="10">
        <v>1</v>
      </c>
      <c r="O1086" s="10">
        <v>0</v>
      </c>
      <c r="P1086" s="10">
        <v>0</v>
      </c>
      <c r="Q1086" s="10">
        <v>0</v>
      </c>
      <c r="R1086" s="10">
        <v>1</v>
      </c>
      <c r="S1086" s="10">
        <v>0</v>
      </c>
      <c r="T1086" s="9">
        <v>1</v>
      </c>
      <c r="U1086" s="9">
        <v>1</v>
      </c>
      <c r="V1086" s="9">
        <v>1</v>
      </c>
      <c r="W1086" s="9">
        <v>1</v>
      </c>
      <c r="X1086" s="9">
        <v>0</v>
      </c>
      <c r="Y1086" s="9">
        <v>0</v>
      </c>
      <c r="Z1086" s="11" t="str">
        <f>"提升"&amp;AA1086&amp;"点重击"</f>
        <v>提升51点重击</v>
      </c>
      <c r="AA1086" s="64">
        <f>VLOOKUP(AB1086,[1]法师技能!$A$4:$I$153,3,FALSE)</f>
        <v>51</v>
      </c>
      <c r="AB1086" s="70">
        <v>60</v>
      </c>
    </row>
    <row r="1087" spans="1:29" s="8" customFormat="1" ht="18" customHeight="1" x14ac:dyDescent="0.15">
      <c r="A1087" s="50">
        <v>21002</v>
      </c>
      <c r="B1087" s="8" t="s">
        <v>1801</v>
      </c>
      <c r="C1087" s="9">
        <f t="shared" si="157"/>
        <v>1</v>
      </c>
      <c r="D1087" s="9">
        <v>1</v>
      </c>
      <c r="E1087" s="9"/>
      <c r="F1087" s="12">
        <v>0</v>
      </c>
      <c r="G1087" s="10">
        <v>1</v>
      </c>
      <c r="H1087" s="10">
        <v>0</v>
      </c>
      <c r="I1087" s="10">
        <v>0</v>
      </c>
      <c r="J1087" s="10">
        <v>0</v>
      </c>
      <c r="K1087" s="10">
        <v>0</v>
      </c>
      <c r="L1087" s="9">
        <v>1</v>
      </c>
      <c r="M1087" s="9">
        <f t="shared" si="158"/>
        <v>17</v>
      </c>
      <c r="N1087" s="10">
        <v>1</v>
      </c>
      <c r="O1087" s="10">
        <v>0</v>
      </c>
      <c r="P1087" s="10">
        <v>0</v>
      </c>
      <c r="Q1087" s="10">
        <v>0</v>
      </c>
      <c r="R1087" s="10">
        <v>1</v>
      </c>
      <c r="S1087" s="10">
        <v>0</v>
      </c>
      <c r="T1087" s="9">
        <v>1</v>
      </c>
      <c r="U1087" s="9">
        <v>1</v>
      </c>
      <c r="V1087" s="9">
        <v>1</v>
      </c>
      <c r="W1087" s="9">
        <v>1</v>
      </c>
      <c r="X1087" s="9">
        <v>0</v>
      </c>
      <c r="Y1087" s="9">
        <v>0</v>
      </c>
      <c r="Z1087" s="11" t="str">
        <f t="shared" ref="Z1087:Z1140" si="159">"提升"&amp;AA1087&amp;"点重击"</f>
        <v>提升53点重击</v>
      </c>
      <c r="AA1087" s="64">
        <f>VLOOKUP(AB1087,[1]法师技能!$A$4:$I$153,3,FALSE)</f>
        <v>53</v>
      </c>
      <c r="AB1087" s="70">
        <v>61</v>
      </c>
    </row>
    <row r="1088" spans="1:29" s="8" customFormat="1" ht="18" customHeight="1" x14ac:dyDescent="0.15">
      <c r="A1088" s="50">
        <v>21003</v>
      </c>
      <c r="B1088" s="8" t="s">
        <v>1802</v>
      </c>
      <c r="C1088" s="9">
        <f t="shared" si="157"/>
        <v>1</v>
      </c>
      <c r="D1088" s="9">
        <v>1</v>
      </c>
      <c r="E1088" s="9"/>
      <c r="F1088" s="12">
        <v>0</v>
      </c>
      <c r="G1088" s="10">
        <v>1</v>
      </c>
      <c r="H1088" s="10">
        <v>0</v>
      </c>
      <c r="I1088" s="10">
        <v>0</v>
      </c>
      <c r="J1088" s="10">
        <v>0</v>
      </c>
      <c r="K1088" s="10">
        <v>0</v>
      </c>
      <c r="L1088" s="9">
        <v>1</v>
      </c>
      <c r="M1088" s="9">
        <f t="shared" si="158"/>
        <v>17</v>
      </c>
      <c r="N1088" s="10">
        <v>1</v>
      </c>
      <c r="O1088" s="10">
        <v>0</v>
      </c>
      <c r="P1088" s="10">
        <v>0</v>
      </c>
      <c r="Q1088" s="10">
        <v>0</v>
      </c>
      <c r="R1088" s="10">
        <v>1</v>
      </c>
      <c r="S1088" s="10">
        <v>0</v>
      </c>
      <c r="T1088" s="9">
        <v>1</v>
      </c>
      <c r="U1088" s="9">
        <v>1</v>
      </c>
      <c r="V1088" s="9">
        <v>1</v>
      </c>
      <c r="W1088" s="9">
        <v>1</v>
      </c>
      <c r="X1088" s="9">
        <v>0</v>
      </c>
      <c r="Y1088" s="9">
        <v>0</v>
      </c>
      <c r="Z1088" s="11" t="str">
        <f t="shared" si="159"/>
        <v>提升55点重击</v>
      </c>
      <c r="AA1088" s="64">
        <f>VLOOKUP(AB1088,[1]法师技能!$A$4:$I$153,3,FALSE)</f>
        <v>55</v>
      </c>
      <c r="AB1088" s="70">
        <v>62</v>
      </c>
    </row>
    <row r="1089" spans="1:28" s="8" customFormat="1" ht="18" customHeight="1" x14ac:dyDescent="0.15">
      <c r="A1089" s="50">
        <v>21004</v>
      </c>
      <c r="B1089" s="8" t="s">
        <v>1803</v>
      </c>
      <c r="C1089" s="9">
        <f t="shared" si="157"/>
        <v>1</v>
      </c>
      <c r="D1089" s="9">
        <v>1</v>
      </c>
      <c r="E1089" s="9"/>
      <c r="F1089" s="12">
        <v>0</v>
      </c>
      <c r="G1089" s="10">
        <v>1</v>
      </c>
      <c r="H1089" s="10">
        <v>0</v>
      </c>
      <c r="I1089" s="10">
        <v>0</v>
      </c>
      <c r="J1089" s="10">
        <v>0</v>
      </c>
      <c r="K1089" s="10">
        <v>0</v>
      </c>
      <c r="L1089" s="9">
        <v>1</v>
      </c>
      <c r="M1089" s="9">
        <f t="shared" si="158"/>
        <v>17</v>
      </c>
      <c r="N1089" s="10">
        <v>1</v>
      </c>
      <c r="O1089" s="10">
        <v>0</v>
      </c>
      <c r="P1089" s="10">
        <v>0</v>
      </c>
      <c r="Q1089" s="10">
        <v>0</v>
      </c>
      <c r="R1089" s="10">
        <v>1</v>
      </c>
      <c r="S1089" s="10">
        <v>0</v>
      </c>
      <c r="T1089" s="9">
        <v>1</v>
      </c>
      <c r="U1089" s="9">
        <v>1</v>
      </c>
      <c r="V1089" s="9">
        <v>1</v>
      </c>
      <c r="W1089" s="9">
        <v>1</v>
      </c>
      <c r="X1089" s="9">
        <v>0</v>
      </c>
      <c r="Y1089" s="9">
        <v>0</v>
      </c>
      <c r="Z1089" s="11" t="str">
        <f t="shared" si="159"/>
        <v>提升57点重击</v>
      </c>
      <c r="AA1089" s="64">
        <f>VLOOKUP(AB1089,[1]法师技能!$A$4:$I$153,3,FALSE)</f>
        <v>57</v>
      </c>
      <c r="AB1089" s="70">
        <v>63</v>
      </c>
    </row>
    <row r="1090" spans="1:28" s="8" customFormat="1" ht="18" customHeight="1" x14ac:dyDescent="0.15">
      <c r="A1090" s="50">
        <v>21005</v>
      </c>
      <c r="B1090" s="8" t="s">
        <v>1804</v>
      </c>
      <c r="C1090" s="9">
        <f t="shared" si="157"/>
        <v>1</v>
      </c>
      <c r="D1090" s="9">
        <v>1</v>
      </c>
      <c r="E1090" s="9"/>
      <c r="F1090" s="12">
        <v>0</v>
      </c>
      <c r="G1090" s="10">
        <v>1</v>
      </c>
      <c r="H1090" s="10">
        <v>0</v>
      </c>
      <c r="I1090" s="10">
        <v>0</v>
      </c>
      <c r="J1090" s="10">
        <v>0</v>
      </c>
      <c r="K1090" s="10">
        <v>0</v>
      </c>
      <c r="L1090" s="9">
        <v>1</v>
      </c>
      <c r="M1090" s="9">
        <f t="shared" si="158"/>
        <v>17</v>
      </c>
      <c r="N1090" s="10">
        <v>1</v>
      </c>
      <c r="O1090" s="10">
        <v>0</v>
      </c>
      <c r="P1090" s="10">
        <v>0</v>
      </c>
      <c r="Q1090" s="10">
        <v>0</v>
      </c>
      <c r="R1090" s="10">
        <v>1</v>
      </c>
      <c r="S1090" s="10">
        <v>0</v>
      </c>
      <c r="T1090" s="9">
        <v>1</v>
      </c>
      <c r="U1090" s="9">
        <v>1</v>
      </c>
      <c r="V1090" s="9">
        <v>1</v>
      </c>
      <c r="W1090" s="9">
        <v>1</v>
      </c>
      <c r="X1090" s="9">
        <v>0</v>
      </c>
      <c r="Y1090" s="9">
        <v>0</v>
      </c>
      <c r="Z1090" s="11" t="str">
        <f t="shared" si="159"/>
        <v>提升58点重击</v>
      </c>
      <c r="AA1090" s="64">
        <f>VLOOKUP(AB1090,[1]法师技能!$A$4:$I$153,3,FALSE)</f>
        <v>58</v>
      </c>
      <c r="AB1090" s="70">
        <v>64</v>
      </c>
    </row>
    <row r="1091" spans="1:28" s="8" customFormat="1" ht="18" customHeight="1" x14ac:dyDescent="0.15">
      <c r="A1091" s="50">
        <v>21006</v>
      </c>
      <c r="B1091" s="8" t="s">
        <v>1805</v>
      </c>
      <c r="C1091" s="9">
        <f t="shared" si="157"/>
        <v>1</v>
      </c>
      <c r="D1091" s="9">
        <v>1</v>
      </c>
      <c r="E1091" s="9"/>
      <c r="F1091" s="12">
        <v>0</v>
      </c>
      <c r="G1091" s="10">
        <v>1</v>
      </c>
      <c r="H1091" s="10">
        <v>0</v>
      </c>
      <c r="I1091" s="10">
        <v>0</v>
      </c>
      <c r="J1091" s="10">
        <v>0</v>
      </c>
      <c r="K1091" s="10">
        <v>0</v>
      </c>
      <c r="L1091" s="9">
        <v>1</v>
      </c>
      <c r="M1091" s="9">
        <f t="shared" si="158"/>
        <v>17</v>
      </c>
      <c r="N1091" s="10">
        <v>1</v>
      </c>
      <c r="O1091" s="10">
        <v>0</v>
      </c>
      <c r="P1091" s="10">
        <v>0</v>
      </c>
      <c r="Q1091" s="10">
        <v>0</v>
      </c>
      <c r="R1091" s="10">
        <v>1</v>
      </c>
      <c r="S1091" s="10">
        <v>0</v>
      </c>
      <c r="T1091" s="9">
        <v>1</v>
      </c>
      <c r="U1091" s="9">
        <v>1</v>
      </c>
      <c r="V1091" s="9">
        <v>1</v>
      </c>
      <c r="W1091" s="9">
        <v>1</v>
      </c>
      <c r="X1091" s="9">
        <v>0</v>
      </c>
      <c r="Y1091" s="9">
        <v>0</v>
      </c>
      <c r="Z1091" s="11" t="str">
        <f t="shared" si="159"/>
        <v>提升60点重击</v>
      </c>
      <c r="AA1091" s="64">
        <f>VLOOKUP(AB1091,[1]法师技能!$A$4:$I$153,3,FALSE)</f>
        <v>60</v>
      </c>
      <c r="AB1091" s="70">
        <v>65</v>
      </c>
    </row>
    <row r="1092" spans="1:28" s="8" customFormat="1" ht="18" customHeight="1" x14ac:dyDescent="0.15">
      <c r="A1092" s="50">
        <v>21007</v>
      </c>
      <c r="B1092" s="8" t="s">
        <v>1806</v>
      </c>
      <c r="C1092" s="9">
        <f t="shared" si="157"/>
        <v>1</v>
      </c>
      <c r="D1092" s="9">
        <v>1</v>
      </c>
      <c r="E1092" s="9"/>
      <c r="F1092" s="12">
        <v>0</v>
      </c>
      <c r="G1092" s="10">
        <v>1</v>
      </c>
      <c r="H1092" s="10">
        <v>0</v>
      </c>
      <c r="I1092" s="10">
        <v>0</v>
      </c>
      <c r="J1092" s="10">
        <v>0</v>
      </c>
      <c r="K1092" s="10">
        <v>0</v>
      </c>
      <c r="L1092" s="9">
        <v>1</v>
      </c>
      <c r="M1092" s="9">
        <f t="shared" si="158"/>
        <v>17</v>
      </c>
      <c r="N1092" s="10">
        <v>1</v>
      </c>
      <c r="O1092" s="10">
        <v>0</v>
      </c>
      <c r="P1092" s="10">
        <v>0</v>
      </c>
      <c r="Q1092" s="10">
        <v>0</v>
      </c>
      <c r="R1092" s="10">
        <v>1</v>
      </c>
      <c r="S1092" s="10">
        <v>0</v>
      </c>
      <c r="T1092" s="9">
        <v>1</v>
      </c>
      <c r="U1092" s="9">
        <v>1</v>
      </c>
      <c r="V1092" s="9">
        <v>1</v>
      </c>
      <c r="W1092" s="9">
        <v>1</v>
      </c>
      <c r="X1092" s="9">
        <v>0</v>
      </c>
      <c r="Y1092" s="9">
        <v>0</v>
      </c>
      <c r="Z1092" s="11" t="str">
        <f t="shared" si="159"/>
        <v>提升63点重击</v>
      </c>
      <c r="AA1092" s="64">
        <f>VLOOKUP(AB1092,[1]法师技能!$A$4:$I$153,3,FALSE)</f>
        <v>63</v>
      </c>
      <c r="AB1092" s="70">
        <v>66</v>
      </c>
    </row>
    <row r="1093" spans="1:28" s="8" customFormat="1" ht="18" customHeight="1" x14ac:dyDescent="0.15">
      <c r="A1093" s="50">
        <v>21008</v>
      </c>
      <c r="B1093" s="8" t="s">
        <v>1807</v>
      </c>
      <c r="C1093" s="9">
        <f t="shared" si="157"/>
        <v>1</v>
      </c>
      <c r="D1093" s="9">
        <v>1</v>
      </c>
      <c r="E1093" s="9"/>
      <c r="F1093" s="12">
        <v>0</v>
      </c>
      <c r="G1093" s="10">
        <v>1</v>
      </c>
      <c r="H1093" s="10">
        <v>0</v>
      </c>
      <c r="I1093" s="10">
        <v>0</v>
      </c>
      <c r="J1093" s="10">
        <v>0</v>
      </c>
      <c r="K1093" s="10">
        <v>0</v>
      </c>
      <c r="L1093" s="9">
        <v>1</v>
      </c>
      <c r="M1093" s="9">
        <f t="shared" si="158"/>
        <v>17</v>
      </c>
      <c r="N1093" s="10">
        <v>1</v>
      </c>
      <c r="O1093" s="10">
        <v>0</v>
      </c>
      <c r="P1093" s="10">
        <v>0</v>
      </c>
      <c r="Q1093" s="10">
        <v>0</v>
      </c>
      <c r="R1093" s="10">
        <v>1</v>
      </c>
      <c r="S1093" s="10">
        <v>0</v>
      </c>
      <c r="T1093" s="9">
        <v>1</v>
      </c>
      <c r="U1093" s="9">
        <v>1</v>
      </c>
      <c r="V1093" s="9">
        <v>1</v>
      </c>
      <c r="W1093" s="9">
        <v>1</v>
      </c>
      <c r="X1093" s="9">
        <v>0</v>
      </c>
      <c r="Y1093" s="9">
        <v>0</v>
      </c>
      <c r="Z1093" s="11" t="str">
        <f t="shared" si="159"/>
        <v>提升65点重击</v>
      </c>
      <c r="AA1093" s="64">
        <f>VLOOKUP(AB1093,[1]法师技能!$A$4:$I$153,3,FALSE)</f>
        <v>65</v>
      </c>
      <c r="AB1093" s="70">
        <v>67</v>
      </c>
    </row>
    <row r="1094" spans="1:28" s="8" customFormat="1" ht="18" customHeight="1" x14ac:dyDescent="0.15">
      <c r="A1094" s="50">
        <v>21009</v>
      </c>
      <c r="B1094" s="8" t="s">
        <v>1808</v>
      </c>
      <c r="C1094" s="9">
        <f t="shared" si="157"/>
        <v>1</v>
      </c>
      <c r="D1094" s="9">
        <v>1</v>
      </c>
      <c r="E1094" s="9"/>
      <c r="F1094" s="12">
        <v>0</v>
      </c>
      <c r="G1094" s="10">
        <v>1</v>
      </c>
      <c r="H1094" s="10">
        <v>0</v>
      </c>
      <c r="I1094" s="10">
        <v>0</v>
      </c>
      <c r="J1094" s="10">
        <v>0</v>
      </c>
      <c r="K1094" s="10">
        <v>0</v>
      </c>
      <c r="L1094" s="9">
        <v>1</v>
      </c>
      <c r="M1094" s="9">
        <f t="shared" si="158"/>
        <v>17</v>
      </c>
      <c r="N1094" s="10">
        <v>1</v>
      </c>
      <c r="O1094" s="10">
        <v>0</v>
      </c>
      <c r="P1094" s="10">
        <v>0</v>
      </c>
      <c r="Q1094" s="10">
        <v>0</v>
      </c>
      <c r="R1094" s="10">
        <v>1</v>
      </c>
      <c r="S1094" s="10">
        <v>0</v>
      </c>
      <c r="T1094" s="9">
        <v>1</v>
      </c>
      <c r="U1094" s="9">
        <v>1</v>
      </c>
      <c r="V1094" s="9">
        <v>1</v>
      </c>
      <c r="W1094" s="9">
        <v>1</v>
      </c>
      <c r="X1094" s="9">
        <v>0</v>
      </c>
      <c r="Y1094" s="9">
        <v>0</v>
      </c>
      <c r="Z1094" s="11" t="str">
        <f t="shared" si="159"/>
        <v>提升67点重击</v>
      </c>
      <c r="AA1094" s="64">
        <f>VLOOKUP(AB1094,[1]法师技能!$A$4:$I$153,3,FALSE)</f>
        <v>67</v>
      </c>
      <c r="AB1094" s="70">
        <v>68</v>
      </c>
    </row>
    <row r="1095" spans="1:28" s="8" customFormat="1" ht="18" customHeight="1" x14ac:dyDescent="0.15">
      <c r="A1095" s="50">
        <v>21010</v>
      </c>
      <c r="B1095" s="8" t="s">
        <v>1809</v>
      </c>
      <c r="C1095" s="9">
        <f t="shared" si="157"/>
        <v>1</v>
      </c>
      <c r="D1095" s="9">
        <v>1</v>
      </c>
      <c r="E1095" s="9"/>
      <c r="F1095" s="12">
        <v>0</v>
      </c>
      <c r="G1095" s="10">
        <v>1</v>
      </c>
      <c r="H1095" s="10">
        <v>0</v>
      </c>
      <c r="I1095" s="10">
        <v>0</v>
      </c>
      <c r="J1095" s="10">
        <v>0</v>
      </c>
      <c r="K1095" s="10">
        <v>0</v>
      </c>
      <c r="L1095" s="9">
        <v>1</v>
      </c>
      <c r="M1095" s="9">
        <f t="shared" si="158"/>
        <v>17</v>
      </c>
      <c r="N1095" s="10">
        <v>1</v>
      </c>
      <c r="O1095" s="10">
        <v>0</v>
      </c>
      <c r="P1095" s="10">
        <v>0</v>
      </c>
      <c r="Q1095" s="10">
        <v>0</v>
      </c>
      <c r="R1095" s="10">
        <v>1</v>
      </c>
      <c r="S1095" s="10">
        <v>0</v>
      </c>
      <c r="T1095" s="9">
        <v>1</v>
      </c>
      <c r="U1095" s="9">
        <v>1</v>
      </c>
      <c r="V1095" s="9">
        <v>1</v>
      </c>
      <c r="W1095" s="9">
        <v>1</v>
      </c>
      <c r="X1095" s="9">
        <v>0</v>
      </c>
      <c r="Y1095" s="9">
        <v>0</v>
      </c>
      <c r="Z1095" s="11" t="str">
        <f t="shared" si="159"/>
        <v>提升69点重击</v>
      </c>
      <c r="AA1095" s="64">
        <f>VLOOKUP(AB1095,[1]法师技能!$A$4:$I$153,3,FALSE)</f>
        <v>69</v>
      </c>
      <c r="AB1095" s="70">
        <v>69</v>
      </c>
    </row>
    <row r="1096" spans="1:28" s="8" customFormat="1" ht="18" customHeight="1" x14ac:dyDescent="0.15">
      <c r="A1096" s="50">
        <v>21011</v>
      </c>
      <c r="B1096" s="8" t="s">
        <v>1810</v>
      </c>
      <c r="C1096" s="9">
        <f t="shared" si="157"/>
        <v>1</v>
      </c>
      <c r="D1096" s="9">
        <v>1</v>
      </c>
      <c r="E1096" s="9"/>
      <c r="F1096" s="12">
        <v>0</v>
      </c>
      <c r="G1096" s="10">
        <v>1</v>
      </c>
      <c r="H1096" s="10">
        <v>0</v>
      </c>
      <c r="I1096" s="10">
        <v>0</v>
      </c>
      <c r="J1096" s="10">
        <v>0</v>
      </c>
      <c r="K1096" s="10">
        <v>0</v>
      </c>
      <c r="L1096" s="9">
        <v>1</v>
      </c>
      <c r="M1096" s="9">
        <f t="shared" si="158"/>
        <v>17</v>
      </c>
      <c r="N1096" s="10">
        <v>1</v>
      </c>
      <c r="O1096" s="10">
        <v>0</v>
      </c>
      <c r="P1096" s="10">
        <v>0</v>
      </c>
      <c r="Q1096" s="10">
        <v>0</v>
      </c>
      <c r="R1096" s="10">
        <v>1</v>
      </c>
      <c r="S1096" s="10">
        <v>0</v>
      </c>
      <c r="T1096" s="9">
        <v>1</v>
      </c>
      <c r="U1096" s="9">
        <v>1</v>
      </c>
      <c r="V1096" s="9">
        <v>1</v>
      </c>
      <c r="W1096" s="9">
        <v>1</v>
      </c>
      <c r="X1096" s="9">
        <v>0</v>
      </c>
      <c r="Y1096" s="9">
        <v>0</v>
      </c>
      <c r="Z1096" s="11" t="str">
        <f t="shared" si="159"/>
        <v>提升72点重击</v>
      </c>
      <c r="AA1096" s="64">
        <f>VLOOKUP(AB1096,[1]法师技能!$A$4:$I$153,3,FALSE)</f>
        <v>72</v>
      </c>
      <c r="AB1096" s="70">
        <v>70</v>
      </c>
    </row>
    <row r="1097" spans="1:28" s="8" customFormat="1" ht="18" customHeight="1" x14ac:dyDescent="0.15">
      <c r="A1097" s="50">
        <v>21012</v>
      </c>
      <c r="B1097" s="8" t="s">
        <v>1811</v>
      </c>
      <c r="C1097" s="9">
        <f t="shared" si="157"/>
        <v>1</v>
      </c>
      <c r="D1097" s="9">
        <v>1</v>
      </c>
      <c r="E1097" s="9"/>
      <c r="F1097" s="12">
        <v>0</v>
      </c>
      <c r="G1097" s="10">
        <v>1</v>
      </c>
      <c r="H1097" s="10">
        <v>0</v>
      </c>
      <c r="I1097" s="10">
        <v>0</v>
      </c>
      <c r="J1097" s="10">
        <v>0</v>
      </c>
      <c r="K1097" s="10">
        <v>0</v>
      </c>
      <c r="L1097" s="9">
        <v>1</v>
      </c>
      <c r="M1097" s="9">
        <f t="shared" si="158"/>
        <v>17</v>
      </c>
      <c r="N1097" s="10">
        <v>1</v>
      </c>
      <c r="O1097" s="10">
        <v>0</v>
      </c>
      <c r="P1097" s="10">
        <v>0</v>
      </c>
      <c r="Q1097" s="10">
        <v>0</v>
      </c>
      <c r="R1097" s="10">
        <v>1</v>
      </c>
      <c r="S1097" s="10">
        <v>0</v>
      </c>
      <c r="T1097" s="9">
        <v>1</v>
      </c>
      <c r="U1097" s="9">
        <v>1</v>
      </c>
      <c r="V1097" s="9">
        <v>1</v>
      </c>
      <c r="W1097" s="9">
        <v>1</v>
      </c>
      <c r="X1097" s="9">
        <v>0</v>
      </c>
      <c r="Y1097" s="9">
        <v>0</v>
      </c>
      <c r="Z1097" s="11" t="str">
        <f t="shared" si="159"/>
        <v>提升74点重击</v>
      </c>
      <c r="AA1097" s="64">
        <f>VLOOKUP(AB1097,[1]法师技能!$A$4:$I$153,3,FALSE)</f>
        <v>74</v>
      </c>
      <c r="AB1097" s="70">
        <v>71</v>
      </c>
    </row>
    <row r="1098" spans="1:28" s="8" customFormat="1" ht="18" customHeight="1" x14ac:dyDescent="0.15">
      <c r="A1098" s="50">
        <v>21013</v>
      </c>
      <c r="B1098" s="8" t="s">
        <v>1812</v>
      </c>
      <c r="C1098" s="9">
        <f t="shared" si="157"/>
        <v>1</v>
      </c>
      <c r="D1098" s="9">
        <v>1</v>
      </c>
      <c r="E1098" s="9"/>
      <c r="F1098" s="12">
        <v>0</v>
      </c>
      <c r="G1098" s="10">
        <v>1</v>
      </c>
      <c r="H1098" s="10">
        <v>0</v>
      </c>
      <c r="I1098" s="10">
        <v>0</v>
      </c>
      <c r="J1098" s="10">
        <v>0</v>
      </c>
      <c r="K1098" s="10">
        <v>0</v>
      </c>
      <c r="L1098" s="9">
        <v>1</v>
      </c>
      <c r="M1098" s="9">
        <f t="shared" si="158"/>
        <v>17</v>
      </c>
      <c r="N1098" s="10">
        <v>1</v>
      </c>
      <c r="O1098" s="10">
        <v>0</v>
      </c>
      <c r="P1098" s="10">
        <v>0</v>
      </c>
      <c r="Q1098" s="10">
        <v>0</v>
      </c>
      <c r="R1098" s="10">
        <v>1</v>
      </c>
      <c r="S1098" s="10">
        <v>0</v>
      </c>
      <c r="T1098" s="9">
        <v>1</v>
      </c>
      <c r="U1098" s="9">
        <v>1</v>
      </c>
      <c r="V1098" s="9">
        <v>1</v>
      </c>
      <c r="W1098" s="9">
        <v>1</v>
      </c>
      <c r="X1098" s="9">
        <v>0</v>
      </c>
      <c r="Y1098" s="9">
        <v>0</v>
      </c>
      <c r="Z1098" s="11" t="str">
        <f t="shared" si="159"/>
        <v>提升76点重击</v>
      </c>
      <c r="AA1098" s="64">
        <f>VLOOKUP(AB1098,[1]法师技能!$A$4:$I$153,3,FALSE)</f>
        <v>76</v>
      </c>
      <c r="AB1098" s="70">
        <v>72</v>
      </c>
    </row>
    <row r="1099" spans="1:28" s="8" customFormat="1" ht="18" customHeight="1" x14ac:dyDescent="0.15">
      <c r="A1099" s="50">
        <v>21014</v>
      </c>
      <c r="B1099" s="8" t="s">
        <v>1813</v>
      </c>
      <c r="C1099" s="9">
        <f t="shared" si="157"/>
        <v>1</v>
      </c>
      <c r="D1099" s="9">
        <v>1</v>
      </c>
      <c r="E1099" s="9"/>
      <c r="F1099" s="12">
        <v>0</v>
      </c>
      <c r="G1099" s="10">
        <v>1</v>
      </c>
      <c r="H1099" s="10">
        <v>0</v>
      </c>
      <c r="I1099" s="10">
        <v>0</v>
      </c>
      <c r="J1099" s="10">
        <v>0</v>
      </c>
      <c r="K1099" s="10">
        <v>0</v>
      </c>
      <c r="L1099" s="9">
        <v>1</v>
      </c>
      <c r="M1099" s="9">
        <f t="shared" si="158"/>
        <v>17</v>
      </c>
      <c r="N1099" s="10">
        <v>1</v>
      </c>
      <c r="O1099" s="10">
        <v>0</v>
      </c>
      <c r="P1099" s="10">
        <v>0</v>
      </c>
      <c r="Q1099" s="10">
        <v>0</v>
      </c>
      <c r="R1099" s="10">
        <v>1</v>
      </c>
      <c r="S1099" s="10">
        <v>0</v>
      </c>
      <c r="T1099" s="9">
        <v>1</v>
      </c>
      <c r="U1099" s="9">
        <v>1</v>
      </c>
      <c r="V1099" s="9">
        <v>1</v>
      </c>
      <c r="W1099" s="9">
        <v>1</v>
      </c>
      <c r="X1099" s="9">
        <v>0</v>
      </c>
      <c r="Y1099" s="9">
        <v>0</v>
      </c>
      <c r="Z1099" s="11" t="str">
        <f t="shared" si="159"/>
        <v>提升79点重击</v>
      </c>
      <c r="AA1099" s="64">
        <f>VLOOKUP(AB1099,[1]法师技能!$A$4:$I$153,3,FALSE)</f>
        <v>79</v>
      </c>
      <c r="AB1099" s="70">
        <v>73</v>
      </c>
    </row>
    <row r="1100" spans="1:28" s="8" customFormat="1" ht="18" customHeight="1" x14ac:dyDescent="0.15">
      <c r="A1100" s="50">
        <v>21015</v>
      </c>
      <c r="B1100" s="8" t="s">
        <v>1814</v>
      </c>
      <c r="C1100" s="9">
        <f t="shared" si="157"/>
        <v>1</v>
      </c>
      <c r="D1100" s="9">
        <v>1</v>
      </c>
      <c r="E1100" s="9"/>
      <c r="F1100" s="12">
        <v>0</v>
      </c>
      <c r="G1100" s="10">
        <v>1</v>
      </c>
      <c r="H1100" s="10">
        <v>0</v>
      </c>
      <c r="I1100" s="10">
        <v>0</v>
      </c>
      <c r="J1100" s="10">
        <v>0</v>
      </c>
      <c r="K1100" s="10">
        <v>0</v>
      </c>
      <c r="L1100" s="9">
        <v>1</v>
      </c>
      <c r="M1100" s="9">
        <f t="shared" si="158"/>
        <v>17</v>
      </c>
      <c r="N1100" s="10">
        <v>1</v>
      </c>
      <c r="O1100" s="10">
        <v>0</v>
      </c>
      <c r="P1100" s="10">
        <v>0</v>
      </c>
      <c r="Q1100" s="10">
        <v>0</v>
      </c>
      <c r="R1100" s="10">
        <v>1</v>
      </c>
      <c r="S1100" s="10">
        <v>0</v>
      </c>
      <c r="T1100" s="9">
        <v>1</v>
      </c>
      <c r="U1100" s="9">
        <v>1</v>
      </c>
      <c r="V1100" s="9">
        <v>1</v>
      </c>
      <c r="W1100" s="9">
        <v>1</v>
      </c>
      <c r="X1100" s="9">
        <v>0</v>
      </c>
      <c r="Y1100" s="9">
        <v>0</v>
      </c>
      <c r="Z1100" s="11" t="str">
        <f t="shared" si="159"/>
        <v>提升82点重击</v>
      </c>
      <c r="AA1100" s="64">
        <f>VLOOKUP(AB1100,[1]法师技能!$A$4:$I$153,3,FALSE)</f>
        <v>82</v>
      </c>
      <c r="AB1100" s="70">
        <v>74</v>
      </c>
    </row>
    <row r="1101" spans="1:28" s="8" customFormat="1" ht="18" customHeight="1" x14ac:dyDescent="0.15">
      <c r="A1101" s="50">
        <v>21016</v>
      </c>
      <c r="B1101" s="8" t="s">
        <v>1815</v>
      </c>
      <c r="C1101" s="9">
        <f t="shared" ref="C1101:C1110" si="160">G1101+H1101*2+I1101*4+J1101*8+K1101*16</f>
        <v>1</v>
      </c>
      <c r="D1101" s="9">
        <v>1</v>
      </c>
      <c r="E1101" s="9"/>
      <c r="F1101" s="12">
        <v>0</v>
      </c>
      <c r="G1101" s="10">
        <v>1</v>
      </c>
      <c r="H1101" s="10">
        <v>0</v>
      </c>
      <c r="I1101" s="10">
        <v>0</v>
      </c>
      <c r="J1101" s="10">
        <v>0</v>
      </c>
      <c r="K1101" s="10">
        <v>0</v>
      </c>
      <c r="L1101" s="9">
        <v>1</v>
      </c>
      <c r="M1101" s="9">
        <f t="shared" ref="M1101:M1110" si="161">N1101+O1101*2+P1101*4+Q1101*8+R1101*16+S1101*32</f>
        <v>17</v>
      </c>
      <c r="N1101" s="10">
        <v>1</v>
      </c>
      <c r="O1101" s="10">
        <v>0</v>
      </c>
      <c r="P1101" s="10">
        <v>0</v>
      </c>
      <c r="Q1101" s="10">
        <v>0</v>
      </c>
      <c r="R1101" s="10">
        <v>1</v>
      </c>
      <c r="S1101" s="10">
        <v>0</v>
      </c>
      <c r="T1101" s="9">
        <v>1</v>
      </c>
      <c r="U1101" s="9">
        <v>1</v>
      </c>
      <c r="V1101" s="9">
        <v>1</v>
      </c>
      <c r="W1101" s="9">
        <v>1</v>
      </c>
      <c r="X1101" s="9">
        <v>0</v>
      </c>
      <c r="Y1101" s="9">
        <v>0</v>
      </c>
      <c r="Z1101" s="11" t="str">
        <f t="shared" si="159"/>
        <v>提升85点重击</v>
      </c>
      <c r="AA1101" s="64">
        <f>VLOOKUP(AB1101,[1]法师技能!$A$4:$I$153,3,FALSE)</f>
        <v>85</v>
      </c>
      <c r="AB1101" s="70">
        <v>75</v>
      </c>
    </row>
    <row r="1102" spans="1:28" s="8" customFormat="1" ht="18" customHeight="1" x14ac:dyDescent="0.15">
      <c r="A1102" s="50">
        <v>21017</v>
      </c>
      <c r="B1102" s="8" t="s">
        <v>1816</v>
      </c>
      <c r="C1102" s="9">
        <f t="shared" si="160"/>
        <v>1</v>
      </c>
      <c r="D1102" s="9">
        <v>1</v>
      </c>
      <c r="E1102" s="9"/>
      <c r="F1102" s="12">
        <v>0</v>
      </c>
      <c r="G1102" s="10">
        <v>1</v>
      </c>
      <c r="H1102" s="10">
        <v>0</v>
      </c>
      <c r="I1102" s="10">
        <v>0</v>
      </c>
      <c r="J1102" s="10">
        <v>0</v>
      </c>
      <c r="K1102" s="10">
        <v>0</v>
      </c>
      <c r="L1102" s="9">
        <v>1</v>
      </c>
      <c r="M1102" s="9">
        <f t="shared" si="161"/>
        <v>17</v>
      </c>
      <c r="N1102" s="10">
        <v>1</v>
      </c>
      <c r="O1102" s="10">
        <v>0</v>
      </c>
      <c r="P1102" s="10">
        <v>0</v>
      </c>
      <c r="Q1102" s="10">
        <v>0</v>
      </c>
      <c r="R1102" s="10">
        <v>1</v>
      </c>
      <c r="S1102" s="10">
        <v>0</v>
      </c>
      <c r="T1102" s="9">
        <v>1</v>
      </c>
      <c r="U1102" s="9">
        <v>1</v>
      </c>
      <c r="V1102" s="9">
        <v>1</v>
      </c>
      <c r="W1102" s="9">
        <v>1</v>
      </c>
      <c r="X1102" s="9">
        <v>0</v>
      </c>
      <c r="Y1102" s="9">
        <v>0</v>
      </c>
      <c r="Z1102" s="11" t="str">
        <f t="shared" si="159"/>
        <v>提升87点重击</v>
      </c>
      <c r="AA1102" s="64">
        <f>VLOOKUP(AB1102,[1]法师技能!$A$4:$I$153,3,FALSE)</f>
        <v>87</v>
      </c>
      <c r="AB1102" s="70">
        <v>76</v>
      </c>
    </row>
    <row r="1103" spans="1:28" s="8" customFormat="1" ht="18" customHeight="1" x14ac:dyDescent="0.15">
      <c r="A1103" s="50">
        <v>21018</v>
      </c>
      <c r="B1103" s="8" t="s">
        <v>1817</v>
      </c>
      <c r="C1103" s="9">
        <f t="shared" si="160"/>
        <v>1</v>
      </c>
      <c r="D1103" s="9">
        <v>1</v>
      </c>
      <c r="E1103" s="9"/>
      <c r="F1103" s="12">
        <v>0</v>
      </c>
      <c r="G1103" s="10">
        <v>1</v>
      </c>
      <c r="H1103" s="10">
        <v>0</v>
      </c>
      <c r="I1103" s="10">
        <v>0</v>
      </c>
      <c r="J1103" s="10">
        <v>0</v>
      </c>
      <c r="K1103" s="10">
        <v>0</v>
      </c>
      <c r="L1103" s="9">
        <v>1</v>
      </c>
      <c r="M1103" s="9">
        <f t="shared" si="161"/>
        <v>17</v>
      </c>
      <c r="N1103" s="10">
        <v>1</v>
      </c>
      <c r="O1103" s="10">
        <v>0</v>
      </c>
      <c r="P1103" s="10">
        <v>0</v>
      </c>
      <c r="Q1103" s="10">
        <v>0</v>
      </c>
      <c r="R1103" s="10">
        <v>1</v>
      </c>
      <c r="S1103" s="10">
        <v>0</v>
      </c>
      <c r="T1103" s="9">
        <v>1</v>
      </c>
      <c r="U1103" s="9">
        <v>1</v>
      </c>
      <c r="V1103" s="9">
        <v>1</v>
      </c>
      <c r="W1103" s="9">
        <v>1</v>
      </c>
      <c r="X1103" s="9">
        <v>0</v>
      </c>
      <c r="Y1103" s="9">
        <v>0</v>
      </c>
      <c r="Z1103" s="11" t="str">
        <f t="shared" si="159"/>
        <v>提升90点重击</v>
      </c>
      <c r="AA1103" s="64">
        <f>VLOOKUP(AB1103,[1]法师技能!$A$4:$I$153,3,FALSE)</f>
        <v>90</v>
      </c>
      <c r="AB1103" s="70">
        <v>77</v>
      </c>
    </row>
    <row r="1104" spans="1:28" s="8" customFormat="1" ht="18" customHeight="1" x14ac:dyDescent="0.15">
      <c r="A1104" s="50">
        <v>21019</v>
      </c>
      <c r="B1104" s="8" t="s">
        <v>1818</v>
      </c>
      <c r="C1104" s="9">
        <f t="shared" si="160"/>
        <v>1</v>
      </c>
      <c r="D1104" s="9">
        <v>1</v>
      </c>
      <c r="E1104" s="9"/>
      <c r="F1104" s="12">
        <v>0</v>
      </c>
      <c r="G1104" s="10">
        <v>1</v>
      </c>
      <c r="H1104" s="10">
        <v>0</v>
      </c>
      <c r="I1104" s="10">
        <v>0</v>
      </c>
      <c r="J1104" s="10">
        <v>0</v>
      </c>
      <c r="K1104" s="10">
        <v>0</v>
      </c>
      <c r="L1104" s="9">
        <v>1</v>
      </c>
      <c r="M1104" s="9">
        <f t="shared" si="161"/>
        <v>17</v>
      </c>
      <c r="N1104" s="10">
        <v>1</v>
      </c>
      <c r="O1104" s="10">
        <v>0</v>
      </c>
      <c r="P1104" s="10">
        <v>0</v>
      </c>
      <c r="Q1104" s="10">
        <v>0</v>
      </c>
      <c r="R1104" s="10">
        <v>1</v>
      </c>
      <c r="S1104" s="10">
        <v>0</v>
      </c>
      <c r="T1104" s="9">
        <v>1</v>
      </c>
      <c r="U1104" s="9">
        <v>1</v>
      </c>
      <c r="V1104" s="9">
        <v>1</v>
      </c>
      <c r="W1104" s="9">
        <v>1</v>
      </c>
      <c r="X1104" s="9">
        <v>0</v>
      </c>
      <c r="Y1104" s="9">
        <v>0</v>
      </c>
      <c r="Z1104" s="11" t="str">
        <f t="shared" si="159"/>
        <v>提升94点重击</v>
      </c>
      <c r="AA1104" s="64">
        <f>VLOOKUP(AB1104,[1]法师技能!$A$4:$I$153,3,FALSE)</f>
        <v>94</v>
      </c>
      <c r="AB1104" s="70">
        <v>78</v>
      </c>
    </row>
    <row r="1105" spans="1:28" s="8" customFormat="1" ht="18" customHeight="1" x14ac:dyDescent="0.15">
      <c r="A1105" s="50">
        <v>21020</v>
      </c>
      <c r="B1105" s="8" t="s">
        <v>1819</v>
      </c>
      <c r="C1105" s="9">
        <f t="shared" si="160"/>
        <v>1</v>
      </c>
      <c r="D1105" s="9">
        <v>1</v>
      </c>
      <c r="E1105" s="9"/>
      <c r="F1105" s="12">
        <v>0</v>
      </c>
      <c r="G1105" s="10">
        <v>1</v>
      </c>
      <c r="H1105" s="10">
        <v>0</v>
      </c>
      <c r="I1105" s="10">
        <v>0</v>
      </c>
      <c r="J1105" s="10">
        <v>0</v>
      </c>
      <c r="K1105" s="10">
        <v>0</v>
      </c>
      <c r="L1105" s="9">
        <v>1</v>
      </c>
      <c r="M1105" s="9">
        <f t="shared" si="161"/>
        <v>17</v>
      </c>
      <c r="N1105" s="10">
        <v>1</v>
      </c>
      <c r="O1105" s="10">
        <v>0</v>
      </c>
      <c r="P1105" s="10">
        <v>0</v>
      </c>
      <c r="Q1105" s="10">
        <v>0</v>
      </c>
      <c r="R1105" s="10">
        <v>1</v>
      </c>
      <c r="S1105" s="10">
        <v>0</v>
      </c>
      <c r="T1105" s="9">
        <v>1</v>
      </c>
      <c r="U1105" s="9">
        <v>1</v>
      </c>
      <c r="V1105" s="9">
        <v>1</v>
      </c>
      <c r="W1105" s="9">
        <v>1</v>
      </c>
      <c r="X1105" s="9">
        <v>0</v>
      </c>
      <c r="Y1105" s="9">
        <v>0</v>
      </c>
      <c r="Z1105" s="11" t="str">
        <f t="shared" si="159"/>
        <v>提升97点重击</v>
      </c>
      <c r="AA1105" s="64">
        <f>VLOOKUP(AB1105,[1]法师技能!$A$4:$I$153,3,FALSE)</f>
        <v>97</v>
      </c>
      <c r="AB1105" s="70">
        <v>79</v>
      </c>
    </row>
    <row r="1106" spans="1:28" s="8" customFormat="1" ht="18" customHeight="1" x14ac:dyDescent="0.15">
      <c r="A1106" s="50">
        <v>21021</v>
      </c>
      <c r="B1106" s="8" t="s">
        <v>1820</v>
      </c>
      <c r="C1106" s="9">
        <f t="shared" si="160"/>
        <v>1</v>
      </c>
      <c r="D1106" s="9">
        <v>1</v>
      </c>
      <c r="E1106" s="9"/>
      <c r="F1106" s="12">
        <v>0</v>
      </c>
      <c r="G1106" s="10">
        <v>1</v>
      </c>
      <c r="H1106" s="10">
        <v>0</v>
      </c>
      <c r="I1106" s="10">
        <v>0</v>
      </c>
      <c r="J1106" s="10">
        <v>0</v>
      </c>
      <c r="K1106" s="10">
        <v>0</v>
      </c>
      <c r="L1106" s="9">
        <v>1</v>
      </c>
      <c r="M1106" s="9">
        <f t="shared" si="161"/>
        <v>17</v>
      </c>
      <c r="N1106" s="10">
        <v>1</v>
      </c>
      <c r="O1106" s="10">
        <v>0</v>
      </c>
      <c r="P1106" s="10">
        <v>0</v>
      </c>
      <c r="Q1106" s="10">
        <v>0</v>
      </c>
      <c r="R1106" s="10">
        <v>1</v>
      </c>
      <c r="S1106" s="10">
        <v>0</v>
      </c>
      <c r="T1106" s="9">
        <v>1</v>
      </c>
      <c r="U1106" s="9">
        <v>1</v>
      </c>
      <c r="V1106" s="9">
        <v>1</v>
      </c>
      <c r="W1106" s="9">
        <v>1</v>
      </c>
      <c r="X1106" s="9">
        <v>0</v>
      </c>
      <c r="Y1106" s="9">
        <v>0</v>
      </c>
      <c r="Z1106" s="11" t="str">
        <f t="shared" si="159"/>
        <v>提升100点重击</v>
      </c>
      <c r="AA1106" s="64">
        <f>VLOOKUP(AB1106,[1]法师技能!$A$4:$I$153,3,FALSE)</f>
        <v>100</v>
      </c>
      <c r="AB1106" s="70">
        <v>80</v>
      </c>
    </row>
    <row r="1107" spans="1:28" s="8" customFormat="1" ht="18" customHeight="1" x14ac:dyDescent="0.15">
      <c r="A1107" s="50">
        <v>21022</v>
      </c>
      <c r="B1107" s="8" t="s">
        <v>1821</v>
      </c>
      <c r="C1107" s="9">
        <f t="shared" si="160"/>
        <v>1</v>
      </c>
      <c r="D1107" s="9">
        <v>1</v>
      </c>
      <c r="E1107" s="9"/>
      <c r="F1107" s="12">
        <v>0</v>
      </c>
      <c r="G1107" s="10">
        <v>1</v>
      </c>
      <c r="H1107" s="10">
        <v>0</v>
      </c>
      <c r="I1107" s="10">
        <v>0</v>
      </c>
      <c r="J1107" s="10">
        <v>0</v>
      </c>
      <c r="K1107" s="10">
        <v>0</v>
      </c>
      <c r="L1107" s="9">
        <v>1</v>
      </c>
      <c r="M1107" s="9">
        <f t="shared" si="161"/>
        <v>17</v>
      </c>
      <c r="N1107" s="10">
        <v>1</v>
      </c>
      <c r="O1107" s="10">
        <v>0</v>
      </c>
      <c r="P1107" s="10">
        <v>0</v>
      </c>
      <c r="Q1107" s="10">
        <v>0</v>
      </c>
      <c r="R1107" s="10">
        <v>1</v>
      </c>
      <c r="S1107" s="10">
        <v>0</v>
      </c>
      <c r="T1107" s="9">
        <v>1</v>
      </c>
      <c r="U1107" s="9">
        <v>1</v>
      </c>
      <c r="V1107" s="9">
        <v>1</v>
      </c>
      <c r="W1107" s="9">
        <v>1</v>
      </c>
      <c r="X1107" s="9">
        <v>0</v>
      </c>
      <c r="Y1107" s="9">
        <v>0</v>
      </c>
      <c r="Z1107" s="11" t="str">
        <f t="shared" si="159"/>
        <v>提升103点重击</v>
      </c>
      <c r="AA1107" s="64">
        <f>VLOOKUP(AB1107,[1]法师技能!$A$4:$I$153,3,FALSE)</f>
        <v>103</v>
      </c>
      <c r="AB1107" s="70">
        <v>81</v>
      </c>
    </row>
    <row r="1108" spans="1:28" s="8" customFormat="1" ht="18" customHeight="1" x14ac:dyDescent="0.15">
      <c r="A1108" s="50">
        <v>21023</v>
      </c>
      <c r="B1108" s="8" t="s">
        <v>1822</v>
      </c>
      <c r="C1108" s="9">
        <f t="shared" si="160"/>
        <v>1</v>
      </c>
      <c r="D1108" s="9">
        <v>1</v>
      </c>
      <c r="E1108" s="9"/>
      <c r="F1108" s="12">
        <v>0</v>
      </c>
      <c r="G1108" s="10">
        <v>1</v>
      </c>
      <c r="H1108" s="10">
        <v>0</v>
      </c>
      <c r="I1108" s="10">
        <v>0</v>
      </c>
      <c r="J1108" s="10">
        <v>0</v>
      </c>
      <c r="K1108" s="10">
        <v>0</v>
      </c>
      <c r="L1108" s="9">
        <v>1</v>
      </c>
      <c r="M1108" s="9">
        <f t="shared" si="161"/>
        <v>17</v>
      </c>
      <c r="N1108" s="10">
        <v>1</v>
      </c>
      <c r="O1108" s="10">
        <v>0</v>
      </c>
      <c r="P1108" s="10">
        <v>0</v>
      </c>
      <c r="Q1108" s="10">
        <v>0</v>
      </c>
      <c r="R1108" s="10">
        <v>1</v>
      </c>
      <c r="S1108" s="10">
        <v>0</v>
      </c>
      <c r="T1108" s="9">
        <v>1</v>
      </c>
      <c r="U1108" s="9">
        <v>1</v>
      </c>
      <c r="V1108" s="9">
        <v>1</v>
      </c>
      <c r="W1108" s="9">
        <v>1</v>
      </c>
      <c r="X1108" s="9">
        <v>0</v>
      </c>
      <c r="Y1108" s="9">
        <v>0</v>
      </c>
      <c r="Z1108" s="11" t="str">
        <f t="shared" si="159"/>
        <v>提升107点重击</v>
      </c>
      <c r="AA1108" s="64">
        <f>VLOOKUP(AB1108,[1]法师技能!$A$4:$I$153,3,FALSE)</f>
        <v>107</v>
      </c>
      <c r="AB1108" s="70">
        <v>82</v>
      </c>
    </row>
    <row r="1109" spans="1:28" s="8" customFormat="1" ht="18" customHeight="1" x14ac:dyDescent="0.15">
      <c r="A1109" s="50">
        <v>21024</v>
      </c>
      <c r="B1109" s="8" t="s">
        <v>1823</v>
      </c>
      <c r="C1109" s="9">
        <f t="shared" si="160"/>
        <v>1</v>
      </c>
      <c r="D1109" s="9">
        <v>1</v>
      </c>
      <c r="E1109" s="9"/>
      <c r="F1109" s="12">
        <v>0</v>
      </c>
      <c r="G1109" s="10">
        <v>1</v>
      </c>
      <c r="H1109" s="10">
        <v>0</v>
      </c>
      <c r="I1109" s="10">
        <v>0</v>
      </c>
      <c r="J1109" s="10">
        <v>0</v>
      </c>
      <c r="K1109" s="10">
        <v>0</v>
      </c>
      <c r="L1109" s="9">
        <v>1</v>
      </c>
      <c r="M1109" s="9">
        <f t="shared" si="161"/>
        <v>17</v>
      </c>
      <c r="N1109" s="10">
        <v>1</v>
      </c>
      <c r="O1109" s="10">
        <v>0</v>
      </c>
      <c r="P1109" s="10">
        <v>0</v>
      </c>
      <c r="Q1109" s="10">
        <v>0</v>
      </c>
      <c r="R1109" s="10">
        <v>1</v>
      </c>
      <c r="S1109" s="10">
        <v>0</v>
      </c>
      <c r="T1109" s="9">
        <v>1</v>
      </c>
      <c r="U1109" s="9">
        <v>1</v>
      </c>
      <c r="V1109" s="9">
        <v>1</v>
      </c>
      <c r="W1109" s="9">
        <v>1</v>
      </c>
      <c r="X1109" s="9">
        <v>0</v>
      </c>
      <c r="Y1109" s="9">
        <v>0</v>
      </c>
      <c r="Z1109" s="11" t="str">
        <f t="shared" si="159"/>
        <v>提升111点重击</v>
      </c>
      <c r="AA1109" s="64">
        <f>VLOOKUP(AB1109,[1]法师技能!$A$4:$I$153,3,FALSE)</f>
        <v>111</v>
      </c>
      <c r="AB1109" s="70">
        <v>83</v>
      </c>
    </row>
    <row r="1110" spans="1:28" s="8" customFormat="1" ht="18" customHeight="1" x14ac:dyDescent="0.15">
      <c r="A1110" s="50">
        <v>21025</v>
      </c>
      <c r="B1110" s="8" t="s">
        <v>1824</v>
      </c>
      <c r="C1110" s="9">
        <f t="shared" si="160"/>
        <v>1</v>
      </c>
      <c r="D1110" s="9">
        <v>1</v>
      </c>
      <c r="E1110" s="9"/>
      <c r="F1110" s="12">
        <v>0</v>
      </c>
      <c r="G1110" s="10">
        <v>1</v>
      </c>
      <c r="H1110" s="10">
        <v>0</v>
      </c>
      <c r="I1110" s="10">
        <v>0</v>
      </c>
      <c r="J1110" s="10">
        <v>0</v>
      </c>
      <c r="K1110" s="10">
        <v>0</v>
      </c>
      <c r="L1110" s="9">
        <v>1</v>
      </c>
      <c r="M1110" s="9">
        <f t="shared" si="161"/>
        <v>17</v>
      </c>
      <c r="N1110" s="10">
        <v>1</v>
      </c>
      <c r="O1110" s="10">
        <v>0</v>
      </c>
      <c r="P1110" s="10">
        <v>0</v>
      </c>
      <c r="Q1110" s="10">
        <v>0</v>
      </c>
      <c r="R1110" s="10">
        <v>1</v>
      </c>
      <c r="S1110" s="10">
        <v>0</v>
      </c>
      <c r="T1110" s="9">
        <v>1</v>
      </c>
      <c r="U1110" s="9">
        <v>1</v>
      </c>
      <c r="V1110" s="9">
        <v>1</v>
      </c>
      <c r="W1110" s="9">
        <v>1</v>
      </c>
      <c r="X1110" s="9">
        <v>0</v>
      </c>
      <c r="Y1110" s="9">
        <v>0</v>
      </c>
      <c r="Z1110" s="11" t="str">
        <f t="shared" si="159"/>
        <v>提升114点重击</v>
      </c>
      <c r="AA1110" s="64">
        <f>VLOOKUP(AB1110,[1]法师技能!$A$4:$I$153,3,FALSE)</f>
        <v>114</v>
      </c>
      <c r="AB1110" s="70">
        <v>84</v>
      </c>
    </row>
    <row r="1111" spans="1:28" s="8" customFormat="1" ht="18" customHeight="1" x14ac:dyDescent="0.15">
      <c r="A1111" s="50">
        <v>22001</v>
      </c>
      <c r="B1111" s="8" t="s">
        <v>1825</v>
      </c>
      <c r="C1111" s="9">
        <f t="shared" ref="C1111:C1140" si="162">G1111+H1111*2+I1111*4+J1111*8+K1111*16</f>
        <v>1</v>
      </c>
      <c r="D1111" s="9">
        <v>1</v>
      </c>
      <c r="E1111" s="9"/>
      <c r="F1111" s="12">
        <v>0</v>
      </c>
      <c r="G1111" s="10">
        <v>1</v>
      </c>
      <c r="H1111" s="10">
        <v>0</v>
      </c>
      <c r="I1111" s="10">
        <v>0</v>
      </c>
      <c r="J1111" s="10">
        <v>0</v>
      </c>
      <c r="K1111" s="10">
        <v>0</v>
      </c>
      <c r="L1111" s="9">
        <v>1</v>
      </c>
      <c r="M1111" s="9">
        <f t="shared" ref="M1111:M1141" si="163">N1111+O1111*2+P1111*4+Q1111*8+R1111*16+S1111*32</f>
        <v>17</v>
      </c>
      <c r="N1111" s="10">
        <v>1</v>
      </c>
      <c r="O1111" s="10">
        <v>0</v>
      </c>
      <c r="P1111" s="10">
        <v>0</v>
      </c>
      <c r="Q1111" s="10">
        <v>0</v>
      </c>
      <c r="R1111" s="10">
        <v>1</v>
      </c>
      <c r="S1111" s="10">
        <v>0</v>
      </c>
      <c r="T1111" s="9">
        <v>1</v>
      </c>
      <c r="U1111" s="9">
        <v>1</v>
      </c>
      <c r="V1111" s="9">
        <v>1</v>
      </c>
      <c r="W1111" s="9">
        <v>1</v>
      </c>
      <c r="X1111" s="9">
        <v>0</v>
      </c>
      <c r="Y1111" s="9">
        <v>0</v>
      </c>
      <c r="Z1111" s="11" t="str">
        <f t="shared" si="159"/>
        <v>提升145点重击</v>
      </c>
      <c r="AA1111" s="64">
        <f>VLOOKUP(AB1111,[1]法师技能!$A$4:$I$153,3,FALSE)</f>
        <v>145</v>
      </c>
      <c r="AB1111" s="71">
        <v>91</v>
      </c>
    </row>
    <row r="1112" spans="1:28" s="8" customFormat="1" ht="18" customHeight="1" x14ac:dyDescent="0.15">
      <c r="A1112" s="50">
        <v>22002</v>
      </c>
      <c r="B1112" s="8" t="s">
        <v>1826</v>
      </c>
      <c r="C1112" s="9">
        <f t="shared" si="162"/>
        <v>1</v>
      </c>
      <c r="D1112" s="9">
        <v>1</v>
      </c>
      <c r="E1112" s="9"/>
      <c r="F1112" s="12">
        <v>0</v>
      </c>
      <c r="G1112" s="10">
        <v>1</v>
      </c>
      <c r="H1112" s="10">
        <v>0</v>
      </c>
      <c r="I1112" s="10">
        <v>0</v>
      </c>
      <c r="J1112" s="10">
        <v>0</v>
      </c>
      <c r="K1112" s="10">
        <v>0</v>
      </c>
      <c r="L1112" s="9">
        <v>1</v>
      </c>
      <c r="M1112" s="9">
        <f t="shared" si="163"/>
        <v>17</v>
      </c>
      <c r="N1112" s="10">
        <v>1</v>
      </c>
      <c r="O1112" s="10">
        <v>0</v>
      </c>
      <c r="P1112" s="10">
        <v>0</v>
      </c>
      <c r="Q1112" s="10">
        <v>0</v>
      </c>
      <c r="R1112" s="10">
        <v>1</v>
      </c>
      <c r="S1112" s="10">
        <v>0</v>
      </c>
      <c r="T1112" s="9">
        <v>1</v>
      </c>
      <c r="U1112" s="9">
        <v>1</v>
      </c>
      <c r="V1112" s="9">
        <v>1</v>
      </c>
      <c r="W1112" s="9">
        <v>1</v>
      </c>
      <c r="X1112" s="9">
        <v>0</v>
      </c>
      <c r="Y1112" s="9">
        <v>0</v>
      </c>
      <c r="Z1112" s="11" t="str">
        <f t="shared" si="159"/>
        <v>提升150点重击</v>
      </c>
      <c r="AA1112" s="64">
        <f>VLOOKUP(AB1112,[1]法师技能!$A$4:$I$153,3,FALSE)</f>
        <v>150</v>
      </c>
      <c r="AB1112" s="71">
        <v>92</v>
      </c>
    </row>
    <row r="1113" spans="1:28" s="8" customFormat="1" ht="18" customHeight="1" x14ac:dyDescent="0.15">
      <c r="A1113" s="50">
        <v>22003</v>
      </c>
      <c r="B1113" s="8" t="s">
        <v>1827</v>
      </c>
      <c r="C1113" s="9">
        <f t="shared" si="162"/>
        <v>1</v>
      </c>
      <c r="D1113" s="9">
        <v>1</v>
      </c>
      <c r="E1113" s="9"/>
      <c r="F1113" s="12">
        <v>0</v>
      </c>
      <c r="G1113" s="10">
        <v>1</v>
      </c>
      <c r="H1113" s="10">
        <v>0</v>
      </c>
      <c r="I1113" s="10">
        <v>0</v>
      </c>
      <c r="J1113" s="10">
        <v>0</v>
      </c>
      <c r="K1113" s="10">
        <v>0</v>
      </c>
      <c r="L1113" s="9">
        <v>1</v>
      </c>
      <c r="M1113" s="9">
        <f t="shared" si="163"/>
        <v>17</v>
      </c>
      <c r="N1113" s="10">
        <v>1</v>
      </c>
      <c r="O1113" s="10">
        <v>0</v>
      </c>
      <c r="P1113" s="10">
        <v>0</v>
      </c>
      <c r="Q1113" s="10">
        <v>0</v>
      </c>
      <c r="R1113" s="10">
        <v>1</v>
      </c>
      <c r="S1113" s="10">
        <v>0</v>
      </c>
      <c r="T1113" s="9">
        <v>1</v>
      </c>
      <c r="U1113" s="9">
        <v>1</v>
      </c>
      <c r="V1113" s="9">
        <v>1</v>
      </c>
      <c r="W1113" s="9">
        <v>1</v>
      </c>
      <c r="X1113" s="9">
        <v>0</v>
      </c>
      <c r="Y1113" s="9">
        <v>0</v>
      </c>
      <c r="Z1113" s="11" t="str">
        <f t="shared" si="159"/>
        <v>提升155点重击</v>
      </c>
      <c r="AA1113" s="64">
        <f>VLOOKUP(AB1113,[1]法师技能!$A$4:$I$153,3,FALSE)</f>
        <v>155</v>
      </c>
      <c r="AB1113" s="71">
        <v>93</v>
      </c>
    </row>
    <row r="1114" spans="1:28" s="8" customFormat="1" ht="18" customHeight="1" x14ac:dyDescent="0.15">
      <c r="A1114" s="50">
        <v>22004</v>
      </c>
      <c r="B1114" s="8" t="s">
        <v>1828</v>
      </c>
      <c r="C1114" s="9">
        <f t="shared" si="162"/>
        <v>1</v>
      </c>
      <c r="D1114" s="9">
        <v>1</v>
      </c>
      <c r="E1114" s="9"/>
      <c r="F1114" s="12">
        <v>0</v>
      </c>
      <c r="G1114" s="10">
        <v>1</v>
      </c>
      <c r="H1114" s="10">
        <v>0</v>
      </c>
      <c r="I1114" s="10">
        <v>0</v>
      </c>
      <c r="J1114" s="10">
        <v>0</v>
      </c>
      <c r="K1114" s="10">
        <v>0</v>
      </c>
      <c r="L1114" s="9">
        <v>1</v>
      </c>
      <c r="M1114" s="9">
        <f t="shared" si="163"/>
        <v>17</v>
      </c>
      <c r="N1114" s="10">
        <v>1</v>
      </c>
      <c r="O1114" s="10">
        <v>0</v>
      </c>
      <c r="P1114" s="10">
        <v>0</v>
      </c>
      <c r="Q1114" s="10">
        <v>0</v>
      </c>
      <c r="R1114" s="10">
        <v>1</v>
      </c>
      <c r="S1114" s="10">
        <v>0</v>
      </c>
      <c r="T1114" s="9">
        <v>1</v>
      </c>
      <c r="U1114" s="9">
        <v>1</v>
      </c>
      <c r="V1114" s="9">
        <v>1</v>
      </c>
      <c r="W1114" s="9">
        <v>1</v>
      </c>
      <c r="X1114" s="9">
        <v>0</v>
      </c>
      <c r="Y1114" s="9">
        <v>0</v>
      </c>
      <c r="Z1114" s="11" t="str">
        <f t="shared" si="159"/>
        <v>提升160点重击</v>
      </c>
      <c r="AA1114" s="64">
        <f>VLOOKUP(AB1114,[1]法师技能!$A$4:$I$153,3,FALSE)</f>
        <v>160</v>
      </c>
      <c r="AB1114" s="71">
        <v>94</v>
      </c>
    </row>
    <row r="1115" spans="1:28" s="8" customFormat="1" ht="18" customHeight="1" x14ac:dyDescent="0.15">
      <c r="A1115" s="50">
        <v>22005</v>
      </c>
      <c r="B1115" s="8" t="s">
        <v>1829</v>
      </c>
      <c r="C1115" s="9">
        <f t="shared" si="162"/>
        <v>1</v>
      </c>
      <c r="D1115" s="9">
        <v>1</v>
      </c>
      <c r="E1115" s="9"/>
      <c r="F1115" s="12">
        <v>0</v>
      </c>
      <c r="G1115" s="10">
        <v>1</v>
      </c>
      <c r="H1115" s="10">
        <v>0</v>
      </c>
      <c r="I1115" s="10">
        <v>0</v>
      </c>
      <c r="J1115" s="10">
        <v>0</v>
      </c>
      <c r="K1115" s="10">
        <v>0</v>
      </c>
      <c r="L1115" s="9">
        <v>1</v>
      </c>
      <c r="M1115" s="9">
        <f t="shared" si="163"/>
        <v>17</v>
      </c>
      <c r="N1115" s="10">
        <v>1</v>
      </c>
      <c r="O1115" s="10">
        <v>0</v>
      </c>
      <c r="P1115" s="10">
        <v>0</v>
      </c>
      <c r="Q1115" s="10">
        <v>0</v>
      </c>
      <c r="R1115" s="10">
        <v>1</v>
      </c>
      <c r="S1115" s="10">
        <v>0</v>
      </c>
      <c r="T1115" s="9">
        <v>1</v>
      </c>
      <c r="U1115" s="9">
        <v>1</v>
      </c>
      <c r="V1115" s="9">
        <v>1</v>
      </c>
      <c r="W1115" s="9">
        <v>1</v>
      </c>
      <c r="X1115" s="9">
        <v>0</v>
      </c>
      <c r="Y1115" s="9">
        <v>0</v>
      </c>
      <c r="Z1115" s="11" t="str">
        <f t="shared" si="159"/>
        <v>提升165点重击</v>
      </c>
      <c r="AA1115" s="64">
        <f>VLOOKUP(AB1115,[1]法师技能!$A$4:$I$153,3,FALSE)</f>
        <v>165</v>
      </c>
      <c r="AB1115" s="71">
        <v>95</v>
      </c>
    </row>
    <row r="1116" spans="1:28" s="8" customFormat="1" ht="18" customHeight="1" x14ac:dyDescent="0.15">
      <c r="A1116" s="50">
        <v>22006</v>
      </c>
      <c r="B1116" s="8" t="s">
        <v>1830</v>
      </c>
      <c r="C1116" s="9">
        <f t="shared" si="162"/>
        <v>1</v>
      </c>
      <c r="D1116" s="9">
        <v>1</v>
      </c>
      <c r="E1116" s="9"/>
      <c r="F1116" s="12">
        <v>0</v>
      </c>
      <c r="G1116" s="10">
        <v>1</v>
      </c>
      <c r="H1116" s="10">
        <v>0</v>
      </c>
      <c r="I1116" s="10">
        <v>0</v>
      </c>
      <c r="J1116" s="10">
        <v>0</v>
      </c>
      <c r="K1116" s="10">
        <v>0</v>
      </c>
      <c r="L1116" s="9">
        <v>1</v>
      </c>
      <c r="M1116" s="9">
        <f t="shared" si="163"/>
        <v>17</v>
      </c>
      <c r="N1116" s="10">
        <v>1</v>
      </c>
      <c r="O1116" s="10">
        <v>0</v>
      </c>
      <c r="P1116" s="10">
        <v>0</v>
      </c>
      <c r="Q1116" s="10">
        <v>0</v>
      </c>
      <c r="R1116" s="10">
        <v>1</v>
      </c>
      <c r="S1116" s="10">
        <v>0</v>
      </c>
      <c r="T1116" s="9">
        <v>1</v>
      </c>
      <c r="U1116" s="9">
        <v>1</v>
      </c>
      <c r="V1116" s="9">
        <v>1</v>
      </c>
      <c r="W1116" s="9">
        <v>1</v>
      </c>
      <c r="X1116" s="9">
        <v>0</v>
      </c>
      <c r="Y1116" s="9">
        <v>0</v>
      </c>
      <c r="Z1116" s="11" t="str">
        <f t="shared" si="159"/>
        <v>提升171点重击</v>
      </c>
      <c r="AA1116" s="64">
        <f>VLOOKUP(AB1116,[1]法师技能!$A$4:$I$153,3,FALSE)</f>
        <v>171</v>
      </c>
      <c r="AB1116" s="71">
        <v>96</v>
      </c>
    </row>
    <row r="1117" spans="1:28" s="8" customFormat="1" ht="18" customHeight="1" x14ac:dyDescent="0.15">
      <c r="A1117" s="50">
        <v>22007</v>
      </c>
      <c r="B1117" s="8" t="s">
        <v>1831</v>
      </c>
      <c r="C1117" s="9">
        <f t="shared" si="162"/>
        <v>1</v>
      </c>
      <c r="D1117" s="9">
        <v>1</v>
      </c>
      <c r="E1117" s="9"/>
      <c r="F1117" s="12">
        <v>0</v>
      </c>
      <c r="G1117" s="10">
        <v>1</v>
      </c>
      <c r="H1117" s="10">
        <v>0</v>
      </c>
      <c r="I1117" s="10">
        <v>0</v>
      </c>
      <c r="J1117" s="10">
        <v>0</v>
      </c>
      <c r="K1117" s="10">
        <v>0</v>
      </c>
      <c r="L1117" s="9">
        <v>1</v>
      </c>
      <c r="M1117" s="9">
        <f t="shared" si="163"/>
        <v>17</v>
      </c>
      <c r="N1117" s="10">
        <v>1</v>
      </c>
      <c r="O1117" s="10">
        <v>0</v>
      </c>
      <c r="P1117" s="10">
        <v>0</v>
      </c>
      <c r="Q1117" s="10">
        <v>0</v>
      </c>
      <c r="R1117" s="10">
        <v>1</v>
      </c>
      <c r="S1117" s="10">
        <v>0</v>
      </c>
      <c r="T1117" s="9">
        <v>1</v>
      </c>
      <c r="U1117" s="9">
        <v>1</v>
      </c>
      <c r="V1117" s="9">
        <v>1</v>
      </c>
      <c r="W1117" s="9">
        <v>1</v>
      </c>
      <c r="X1117" s="9">
        <v>0</v>
      </c>
      <c r="Y1117" s="9">
        <v>0</v>
      </c>
      <c r="Z1117" s="11" t="str">
        <f t="shared" si="159"/>
        <v>提升177点重击</v>
      </c>
      <c r="AA1117" s="64">
        <f>VLOOKUP(AB1117,[1]法师技能!$A$4:$I$153,3,FALSE)</f>
        <v>177</v>
      </c>
      <c r="AB1117" s="71">
        <v>97</v>
      </c>
    </row>
    <row r="1118" spans="1:28" s="8" customFormat="1" ht="18" customHeight="1" x14ac:dyDescent="0.15">
      <c r="A1118" s="50">
        <v>22008</v>
      </c>
      <c r="B1118" s="8" t="s">
        <v>1832</v>
      </c>
      <c r="C1118" s="9">
        <f t="shared" si="162"/>
        <v>1</v>
      </c>
      <c r="D1118" s="9">
        <v>1</v>
      </c>
      <c r="E1118" s="9"/>
      <c r="F1118" s="12">
        <v>0</v>
      </c>
      <c r="G1118" s="10">
        <v>1</v>
      </c>
      <c r="H1118" s="10">
        <v>0</v>
      </c>
      <c r="I1118" s="10">
        <v>0</v>
      </c>
      <c r="J1118" s="10">
        <v>0</v>
      </c>
      <c r="K1118" s="10">
        <v>0</v>
      </c>
      <c r="L1118" s="9">
        <v>1</v>
      </c>
      <c r="M1118" s="9">
        <f t="shared" si="163"/>
        <v>17</v>
      </c>
      <c r="N1118" s="10">
        <v>1</v>
      </c>
      <c r="O1118" s="10">
        <v>0</v>
      </c>
      <c r="P1118" s="10">
        <v>0</v>
      </c>
      <c r="Q1118" s="10">
        <v>0</v>
      </c>
      <c r="R1118" s="10">
        <v>1</v>
      </c>
      <c r="S1118" s="10">
        <v>0</v>
      </c>
      <c r="T1118" s="9">
        <v>1</v>
      </c>
      <c r="U1118" s="9">
        <v>1</v>
      </c>
      <c r="V1118" s="9">
        <v>1</v>
      </c>
      <c r="W1118" s="9">
        <v>1</v>
      </c>
      <c r="X1118" s="9">
        <v>0</v>
      </c>
      <c r="Y1118" s="9">
        <v>0</v>
      </c>
      <c r="Z1118" s="11" t="str">
        <f t="shared" si="159"/>
        <v>提升183点重击</v>
      </c>
      <c r="AA1118" s="64">
        <f>VLOOKUP(AB1118,[1]法师技能!$A$4:$I$153,3,FALSE)</f>
        <v>183</v>
      </c>
      <c r="AB1118" s="71">
        <v>98</v>
      </c>
    </row>
    <row r="1119" spans="1:28" s="8" customFormat="1" ht="18" customHeight="1" x14ac:dyDescent="0.15">
      <c r="A1119" s="50">
        <v>22009</v>
      </c>
      <c r="B1119" s="8" t="s">
        <v>1833</v>
      </c>
      <c r="C1119" s="9">
        <f t="shared" si="162"/>
        <v>1</v>
      </c>
      <c r="D1119" s="9">
        <v>1</v>
      </c>
      <c r="E1119" s="9"/>
      <c r="F1119" s="12">
        <v>0</v>
      </c>
      <c r="G1119" s="10">
        <v>1</v>
      </c>
      <c r="H1119" s="10">
        <v>0</v>
      </c>
      <c r="I1119" s="10">
        <v>0</v>
      </c>
      <c r="J1119" s="10">
        <v>0</v>
      </c>
      <c r="K1119" s="10">
        <v>0</v>
      </c>
      <c r="L1119" s="9">
        <v>1</v>
      </c>
      <c r="M1119" s="9">
        <f t="shared" si="163"/>
        <v>17</v>
      </c>
      <c r="N1119" s="10">
        <v>1</v>
      </c>
      <c r="O1119" s="10">
        <v>0</v>
      </c>
      <c r="P1119" s="10">
        <v>0</v>
      </c>
      <c r="Q1119" s="10">
        <v>0</v>
      </c>
      <c r="R1119" s="10">
        <v>1</v>
      </c>
      <c r="S1119" s="10">
        <v>0</v>
      </c>
      <c r="T1119" s="9">
        <v>1</v>
      </c>
      <c r="U1119" s="9">
        <v>1</v>
      </c>
      <c r="V1119" s="9">
        <v>1</v>
      </c>
      <c r="W1119" s="9">
        <v>1</v>
      </c>
      <c r="X1119" s="9">
        <v>0</v>
      </c>
      <c r="Y1119" s="9">
        <v>0</v>
      </c>
      <c r="Z1119" s="11" t="str">
        <f t="shared" si="159"/>
        <v>提升189点重击</v>
      </c>
      <c r="AA1119" s="64">
        <f>VLOOKUP(AB1119,[1]法师技能!$A$4:$I$153,3,FALSE)</f>
        <v>189</v>
      </c>
      <c r="AB1119" s="71">
        <v>99</v>
      </c>
    </row>
    <row r="1120" spans="1:28" s="8" customFormat="1" ht="18" customHeight="1" x14ac:dyDescent="0.15">
      <c r="A1120" s="50">
        <v>22010</v>
      </c>
      <c r="B1120" s="8" t="s">
        <v>1834</v>
      </c>
      <c r="C1120" s="9">
        <f t="shared" si="162"/>
        <v>1</v>
      </c>
      <c r="D1120" s="9">
        <v>1</v>
      </c>
      <c r="E1120" s="9"/>
      <c r="F1120" s="12">
        <v>0</v>
      </c>
      <c r="G1120" s="10">
        <v>1</v>
      </c>
      <c r="H1120" s="10">
        <v>0</v>
      </c>
      <c r="I1120" s="10">
        <v>0</v>
      </c>
      <c r="J1120" s="10">
        <v>0</v>
      </c>
      <c r="K1120" s="10">
        <v>0</v>
      </c>
      <c r="L1120" s="9">
        <v>1</v>
      </c>
      <c r="M1120" s="9">
        <f t="shared" si="163"/>
        <v>17</v>
      </c>
      <c r="N1120" s="10">
        <v>1</v>
      </c>
      <c r="O1120" s="10">
        <v>0</v>
      </c>
      <c r="P1120" s="10">
        <v>0</v>
      </c>
      <c r="Q1120" s="10">
        <v>0</v>
      </c>
      <c r="R1120" s="10">
        <v>1</v>
      </c>
      <c r="S1120" s="10">
        <v>0</v>
      </c>
      <c r="T1120" s="9">
        <v>1</v>
      </c>
      <c r="U1120" s="9">
        <v>1</v>
      </c>
      <c r="V1120" s="9">
        <v>1</v>
      </c>
      <c r="W1120" s="9">
        <v>1</v>
      </c>
      <c r="X1120" s="9">
        <v>0</v>
      </c>
      <c r="Y1120" s="9">
        <v>0</v>
      </c>
      <c r="Z1120" s="11" t="str">
        <f t="shared" si="159"/>
        <v>提升196点重击</v>
      </c>
      <c r="AA1120" s="64">
        <f>VLOOKUP(AB1120,[1]法师技能!$A$4:$I$153,3,FALSE)</f>
        <v>196</v>
      </c>
      <c r="AB1120" s="71">
        <v>100</v>
      </c>
    </row>
    <row r="1121" spans="1:28" s="8" customFormat="1" ht="18" customHeight="1" x14ac:dyDescent="0.15">
      <c r="A1121" s="50">
        <v>22011</v>
      </c>
      <c r="B1121" s="8" t="s">
        <v>1835</v>
      </c>
      <c r="C1121" s="9">
        <f t="shared" si="162"/>
        <v>1</v>
      </c>
      <c r="D1121" s="9">
        <v>1</v>
      </c>
      <c r="E1121" s="9"/>
      <c r="F1121" s="12">
        <v>0</v>
      </c>
      <c r="G1121" s="10">
        <v>1</v>
      </c>
      <c r="H1121" s="10">
        <v>0</v>
      </c>
      <c r="I1121" s="10">
        <v>0</v>
      </c>
      <c r="J1121" s="10">
        <v>0</v>
      </c>
      <c r="K1121" s="10">
        <v>0</v>
      </c>
      <c r="L1121" s="9">
        <v>1</v>
      </c>
      <c r="M1121" s="9">
        <f t="shared" si="163"/>
        <v>17</v>
      </c>
      <c r="N1121" s="10">
        <v>1</v>
      </c>
      <c r="O1121" s="10">
        <v>0</v>
      </c>
      <c r="P1121" s="10">
        <v>0</v>
      </c>
      <c r="Q1121" s="10">
        <v>0</v>
      </c>
      <c r="R1121" s="10">
        <v>1</v>
      </c>
      <c r="S1121" s="10">
        <v>0</v>
      </c>
      <c r="T1121" s="9">
        <v>1</v>
      </c>
      <c r="U1121" s="9">
        <v>1</v>
      </c>
      <c r="V1121" s="9">
        <v>1</v>
      </c>
      <c r="W1121" s="9">
        <v>1</v>
      </c>
      <c r="X1121" s="9">
        <v>0</v>
      </c>
      <c r="Y1121" s="9">
        <v>0</v>
      </c>
      <c r="Z1121" s="11" t="str">
        <f t="shared" si="159"/>
        <v>提升202点重击</v>
      </c>
      <c r="AA1121" s="64">
        <f>VLOOKUP(AB1121,[1]法师技能!$A$4:$I$153,3,FALSE)</f>
        <v>202</v>
      </c>
      <c r="AB1121" s="71">
        <v>101</v>
      </c>
    </row>
    <row r="1122" spans="1:28" s="8" customFormat="1" ht="18" customHeight="1" x14ac:dyDescent="0.15">
      <c r="A1122" s="50">
        <v>22012</v>
      </c>
      <c r="B1122" s="8" t="s">
        <v>1836</v>
      </c>
      <c r="C1122" s="9">
        <f t="shared" si="162"/>
        <v>1</v>
      </c>
      <c r="D1122" s="9">
        <v>1</v>
      </c>
      <c r="E1122" s="9"/>
      <c r="F1122" s="12">
        <v>0</v>
      </c>
      <c r="G1122" s="10">
        <v>1</v>
      </c>
      <c r="H1122" s="10">
        <v>0</v>
      </c>
      <c r="I1122" s="10">
        <v>0</v>
      </c>
      <c r="J1122" s="10">
        <v>0</v>
      </c>
      <c r="K1122" s="10">
        <v>0</v>
      </c>
      <c r="L1122" s="9">
        <v>1</v>
      </c>
      <c r="M1122" s="9">
        <f t="shared" si="163"/>
        <v>17</v>
      </c>
      <c r="N1122" s="10">
        <v>1</v>
      </c>
      <c r="O1122" s="10">
        <v>0</v>
      </c>
      <c r="P1122" s="10">
        <v>0</v>
      </c>
      <c r="Q1122" s="10">
        <v>0</v>
      </c>
      <c r="R1122" s="10">
        <v>1</v>
      </c>
      <c r="S1122" s="10">
        <v>0</v>
      </c>
      <c r="T1122" s="9">
        <v>1</v>
      </c>
      <c r="U1122" s="9">
        <v>1</v>
      </c>
      <c r="V1122" s="9">
        <v>1</v>
      </c>
      <c r="W1122" s="9">
        <v>1</v>
      </c>
      <c r="X1122" s="9">
        <v>0</v>
      </c>
      <c r="Y1122" s="9">
        <v>0</v>
      </c>
      <c r="Z1122" s="11" t="str">
        <f t="shared" si="159"/>
        <v>提升209点重击</v>
      </c>
      <c r="AA1122" s="64">
        <f>VLOOKUP(AB1122,[1]法师技能!$A$4:$I$153,3,FALSE)</f>
        <v>209</v>
      </c>
      <c r="AB1122" s="71">
        <v>102</v>
      </c>
    </row>
    <row r="1123" spans="1:28" s="8" customFormat="1" ht="18" customHeight="1" x14ac:dyDescent="0.15">
      <c r="A1123" s="50">
        <v>22013</v>
      </c>
      <c r="B1123" s="8" t="s">
        <v>1837</v>
      </c>
      <c r="C1123" s="9">
        <f t="shared" si="162"/>
        <v>1</v>
      </c>
      <c r="D1123" s="9">
        <v>1</v>
      </c>
      <c r="E1123" s="9"/>
      <c r="F1123" s="12">
        <v>0</v>
      </c>
      <c r="G1123" s="10">
        <v>1</v>
      </c>
      <c r="H1123" s="10">
        <v>0</v>
      </c>
      <c r="I1123" s="10">
        <v>0</v>
      </c>
      <c r="J1123" s="10">
        <v>0</v>
      </c>
      <c r="K1123" s="10">
        <v>0</v>
      </c>
      <c r="L1123" s="9">
        <v>1</v>
      </c>
      <c r="M1123" s="9">
        <f t="shared" si="163"/>
        <v>17</v>
      </c>
      <c r="N1123" s="10">
        <v>1</v>
      </c>
      <c r="O1123" s="10">
        <v>0</v>
      </c>
      <c r="P1123" s="10">
        <v>0</v>
      </c>
      <c r="Q1123" s="10">
        <v>0</v>
      </c>
      <c r="R1123" s="10">
        <v>1</v>
      </c>
      <c r="S1123" s="10">
        <v>0</v>
      </c>
      <c r="T1123" s="9">
        <v>1</v>
      </c>
      <c r="U1123" s="9">
        <v>1</v>
      </c>
      <c r="V1123" s="9">
        <v>1</v>
      </c>
      <c r="W1123" s="9">
        <v>1</v>
      </c>
      <c r="X1123" s="9">
        <v>0</v>
      </c>
      <c r="Y1123" s="9">
        <v>0</v>
      </c>
      <c r="Z1123" s="11" t="str">
        <f t="shared" si="159"/>
        <v>提升216点重击</v>
      </c>
      <c r="AA1123" s="64">
        <f>VLOOKUP(AB1123,[1]法师技能!$A$4:$I$153,3,FALSE)</f>
        <v>216</v>
      </c>
      <c r="AB1123" s="71">
        <v>103</v>
      </c>
    </row>
    <row r="1124" spans="1:28" s="8" customFormat="1" ht="18" customHeight="1" x14ac:dyDescent="0.15">
      <c r="A1124" s="50">
        <v>22014</v>
      </c>
      <c r="B1124" s="8" t="s">
        <v>1838</v>
      </c>
      <c r="C1124" s="9">
        <f t="shared" si="162"/>
        <v>1</v>
      </c>
      <c r="D1124" s="9">
        <v>1</v>
      </c>
      <c r="E1124" s="9"/>
      <c r="F1124" s="12">
        <v>0</v>
      </c>
      <c r="G1124" s="10">
        <v>1</v>
      </c>
      <c r="H1124" s="10">
        <v>0</v>
      </c>
      <c r="I1124" s="10">
        <v>0</v>
      </c>
      <c r="J1124" s="10">
        <v>0</v>
      </c>
      <c r="K1124" s="10">
        <v>0</v>
      </c>
      <c r="L1124" s="9">
        <v>1</v>
      </c>
      <c r="M1124" s="9">
        <f t="shared" si="163"/>
        <v>17</v>
      </c>
      <c r="N1124" s="10">
        <v>1</v>
      </c>
      <c r="O1124" s="10">
        <v>0</v>
      </c>
      <c r="P1124" s="10">
        <v>0</v>
      </c>
      <c r="Q1124" s="10">
        <v>0</v>
      </c>
      <c r="R1124" s="10">
        <v>1</v>
      </c>
      <c r="S1124" s="10">
        <v>0</v>
      </c>
      <c r="T1124" s="9">
        <v>1</v>
      </c>
      <c r="U1124" s="9">
        <v>1</v>
      </c>
      <c r="V1124" s="9">
        <v>1</v>
      </c>
      <c r="W1124" s="9">
        <v>1</v>
      </c>
      <c r="X1124" s="9">
        <v>0</v>
      </c>
      <c r="Y1124" s="9">
        <v>0</v>
      </c>
      <c r="Z1124" s="11" t="str">
        <f t="shared" si="159"/>
        <v>提升224点重击</v>
      </c>
      <c r="AA1124" s="64">
        <f>VLOOKUP(AB1124,[1]法师技能!$A$4:$I$153,3,FALSE)</f>
        <v>224</v>
      </c>
      <c r="AB1124" s="71">
        <v>104</v>
      </c>
    </row>
    <row r="1125" spans="1:28" s="8" customFormat="1" ht="18" customHeight="1" x14ac:dyDescent="0.15">
      <c r="A1125" s="50">
        <v>22015</v>
      </c>
      <c r="B1125" s="8" t="s">
        <v>1839</v>
      </c>
      <c r="C1125" s="9">
        <f t="shared" si="162"/>
        <v>1</v>
      </c>
      <c r="D1125" s="9">
        <v>1</v>
      </c>
      <c r="E1125" s="9"/>
      <c r="F1125" s="12">
        <v>0</v>
      </c>
      <c r="G1125" s="10">
        <v>1</v>
      </c>
      <c r="H1125" s="10">
        <v>0</v>
      </c>
      <c r="I1125" s="10">
        <v>0</v>
      </c>
      <c r="J1125" s="10">
        <v>0</v>
      </c>
      <c r="K1125" s="10">
        <v>0</v>
      </c>
      <c r="L1125" s="9">
        <v>1</v>
      </c>
      <c r="M1125" s="9">
        <f t="shared" si="163"/>
        <v>17</v>
      </c>
      <c r="N1125" s="10">
        <v>1</v>
      </c>
      <c r="O1125" s="10">
        <v>0</v>
      </c>
      <c r="P1125" s="10">
        <v>0</v>
      </c>
      <c r="Q1125" s="10">
        <v>0</v>
      </c>
      <c r="R1125" s="10">
        <v>1</v>
      </c>
      <c r="S1125" s="10">
        <v>0</v>
      </c>
      <c r="T1125" s="9">
        <v>1</v>
      </c>
      <c r="U1125" s="9">
        <v>1</v>
      </c>
      <c r="V1125" s="9">
        <v>1</v>
      </c>
      <c r="W1125" s="9">
        <v>1</v>
      </c>
      <c r="X1125" s="9">
        <v>0</v>
      </c>
      <c r="Y1125" s="9">
        <v>0</v>
      </c>
      <c r="Z1125" s="11" t="str">
        <f t="shared" si="159"/>
        <v>提升231点重击</v>
      </c>
      <c r="AA1125" s="64">
        <f>VLOOKUP(AB1125,[1]法师技能!$A$4:$I$153,3,FALSE)</f>
        <v>231</v>
      </c>
      <c r="AB1125" s="71">
        <v>105</v>
      </c>
    </row>
    <row r="1126" spans="1:28" s="8" customFormat="1" ht="18" customHeight="1" x14ac:dyDescent="0.15">
      <c r="A1126" s="50">
        <v>22016</v>
      </c>
      <c r="B1126" s="8" t="s">
        <v>1840</v>
      </c>
      <c r="C1126" s="9">
        <f t="shared" si="162"/>
        <v>1</v>
      </c>
      <c r="D1126" s="9">
        <v>1</v>
      </c>
      <c r="E1126" s="9"/>
      <c r="F1126" s="12">
        <v>0</v>
      </c>
      <c r="G1126" s="10">
        <v>1</v>
      </c>
      <c r="H1126" s="10">
        <v>0</v>
      </c>
      <c r="I1126" s="10">
        <v>0</v>
      </c>
      <c r="J1126" s="10">
        <v>0</v>
      </c>
      <c r="K1126" s="10">
        <v>0</v>
      </c>
      <c r="L1126" s="9">
        <v>1</v>
      </c>
      <c r="M1126" s="9">
        <f t="shared" si="163"/>
        <v>17</v>
      </c>
      <c r="N1126" s="10">
        <v>1</v>
      </c>
      <c r="O1126" s="10">
        <v>0</v>
      </c>
      <c r="P1126" s="10">
        <v>0</v>
      </c>
      <c r="Q1126" s="10">
        <v>0</v>
      </c>
      <c r="R1126" s="10">
        <v>1</v>
      </c>
      <c r="S1126" s="10">
        <v>0</v>
      </c>
      <c r="T1126" s="9">
        <v>1</v>
      </c>
      <c r="U1126" s="9">
        <v>1</v>
      </c>
      <c r="V1126" s="9">
        <v>1</v>
      </c>
      <c r="W1126" s="9">
        <v>1</v>
      </c>
      <c r="X1126" s="9">
        <v>0</v>
      </c>
      <c r="Y1126" s="9">
        <v>0</v>
      </c>
      <c r="Z1126" s="11" t="str">
        <f t="shared" si="159"/>
        <v>提升239点重击</v>
      </c>
      <c r="AA1126" s="64">
        <f>VLOOKUP(AB1126,[1]法师技能!$A$4:$I$153,3,FALSE)</f>
        <v>239</v>
      </c>
      <c r="AB1126" s="71">
        <v>106</v>
      </c>
    </row>
    <row r="1127" spans="1:28" s="8" customFormat="1" ht="18" customHeight="1" x14ac:dyDescent="0.15">
      <c r="A1127" s="50">
        <v>22017</v>
      </c>
      <c r="B1127" s="8" t="s">
        <v>1841</v>
      </c>
      <c r="C1127" s="9">
        <f t="shared" si="162"/>
        <v>1</v>
      </c>
      <c r="D1127" s="9">
        <v>1</v>
      </c>
      <c r="E1127" s="9"/>
      <c r="F1127" s="12">
        <v>0</v>
      </c>
      <c r="G1127" s="10">
        <v>1</v>
      </c>
      <c r="H1127" s="10">
        <v>0</v>
      </c>
      <c r="I1127" s="10">
        <v>0</v>
      </c>
      <c r="J1127" s="10">
        <v>0</v>
      </c>
      <c r="K1127" s="10">
        <v>0</v>
      </c>
      <c r="L1127" s="9">
        <v>1</v>
      </c>
      <c r="M1127" s="9">
        <f t="shared" si="163"/>
        <v>17</v>
      </c>
      <c r="N1127" s="10">
        <v>1</v>
      </c>
      <c r="O1127" s="10">
        <v>0</v>
      </c>
      <c r="P1127" s="10">
        <v>0</v>
      </c>
      <c r="Q1127" s="10">
        <v>0</v>
      </c>
      <c r="R1127" s="10">
        <v>1</v>
      </c>
      <c r="S1127" s="10">
        <v>0</v>
      </c>
      <c r="T1127" s="9">
        <v>1</v>
      </c>
      <c r="U1127" s="9">
        <v>1</v>
      </c>
      <c r="V1127" s="9">
        <v>1</v>
      </c>
      <c r="W1127" s="9">
        <v>1</v>
      </c>
      <c r="X1127" s="9">
        <v>0</v>
      </c>
      <c r="Y1127" s="9">
        <v>0</v>
      </c>
      <c r="Z1127" s="11" t="str">
        <f t="shared" si="159"/>
        <v>提升248点重击</v>
      </c>
      <c r="AA1127" s="64">
        <f>VLOOKUP(AB1127,[1]法师技能!$A$4:$I$153,3,FALSE)</f>
        <v>248</v>
      </c>
      <c r="AB1127" s="71">
        <v>107</v>
      </c>
    </row>
    <row r="1128" spans="1:28" s="8" customFormat="1" ht="18" customHeight="1" x14ac:dyDescent="0.15">
      <c r="A1128" s="50">
        <v>22018</v>
      </c>
      <c r="B1128" s="8" t="s">
        <v>1842</v>
      </c>
      <c r="C1128" s="9">
        <f t="shared" si="162"/>
        <v>1</v>
      </c>
      <c r="D1128" s="9">
        <v>1</v>
      </c>
      <c r="E1128" s="9"/>
      <c r="F1128" s="12">
        <v>0</v>
      </c>
      <c r="G1128" s="10">
        <v>1</v>
      </c>
      <c r="H1128" s="10">
        <v>0</v>
      </c>
      <c r="I1128" s="10">
        <v>0</v>
      </c>
      <c r="J1128" s="10">
        <v>0</v>
      </c>
      <c r="K1128" s="10">
        <v>0</v>
      </c>
      <c r="L1128" s="9">
        <v>1</v>
      </c>
      <c r="M1128" s="9">
        <f t="shared" si="163"/>
        <v>17</v>
      </c>
      <c r="N1128" s="10">
        <v>1</v>
      </c>
      <c r="O1128" s="10">
        <v>0</v>
      </c>
      <c r="P1128" s="10">
        <v>0</v>
      </c>
      <c r="Q1128" s="10">
        <v>0</v>
      </c>
      <c r="R1128" s="10">
        <v>1</v>
      </c>
      <c r="S1128" s="10">
        <v>0</v>
      </c>
      <c r="T1128" s="9">
        <v>1</v>
      </c>
      <c r="U1128" s="9">
        <v>1</v>
      </c>
      <c r="V1128" s="9">
        <v>1</v>
      </c>
      <c r="W1128" s="9">
        <v>1</v>
      </c>
      <c r="X1128" s="9">
        <v>0</v>
      </c>
      <c r="Y1128" s="9">
        <v>0</v>
      </c>
      <c r="Z1128" s="11" t="str">
        <f t="shared" si="159"/>
        <v>提升256点重击</v>
      </c>
      <c r="AA1128" s="64">
        <f>VLOOKUP(AB1128,[1]法师技能!$A$4:$I$153,3,FALSE)</f>
        <v>256</v>
      </c>
      <c r="AB1128" s="71">
        <v>108</v>
      </c>
    </row>
    <row r="1129" spans="1:28" s="8" customFormat="1" ht="18" customHeight="1" x14ac:dyDescent="0.15">
      <c r="A1129" s="50">
        <v>22019</v>
      </c>
      <c r="B1129" s="8" t="s">
        <v>1843</v>
      </c>
      <c r="C1129" s="9">
        <f t="shared" si="162"/>
        <v>1</v>
      </c>
      <c r="D1129" s="9">
        <v>1</v>
      </c>
      <c r="E1129" s="9"/>
      <c r="F1129" s="12">
        <v>0</v>
      </c>
      <c r="G1129" s="10">
        <v>1</v>
      </c>
      <c r="H1129" s="10">
        <v>0</v>
      </c>
      <c r="I1129" s="10">
        <v>0</v>
      </c>
      <c r="J1129" s="10">
        <v>0</v>
      </c>
      <c r="K1129" s="10">
        <v>0</v>
      </c>
      <c r="L1129" s="9">
        <v>1</v>
      </c>
      <c r="M1129" s="9">
        <f t="shared" si="163"/>
        <v>17</v>
      </c>
      <c r="N1129" s="10">
        <v>1</v>
      </c>
      <c r="O1129" s="10">
        <v>0</v>
      </c>
      <c r="P1129" s="10">
        <v>0</v>
      </c>
      <c r="Q1129" s="10">
        <v>0</v>
      </c>
      <c r="R1129" s="10">
        <v>1</v>
      </c>
      <c r="S1129" s="10">
        <v>0</v>
      </c>
      <c r="T1129" s="9">
        <v>1</v>
      </c>
      <c r="U1129" s="9">
        <v>1</v>
      </c>
      <c r="V1129" s="9">
        <v>1</v>
      </c>
      <c r="W1129" s="9">
        <v>1</v>
      </c>
      <c r="X1129" s="9">
        <v>0</v>
      </c>
      <c r="Y1129" s="9">
        <v>0</v>
      </c>
      <c r="Z1129" s="11" t="str">
        <f t="shared" si="159"/>
        <v>提升265点重击</v>
      </c>
      <c r="AA1129" s="64">
        <f>VLOOKUP(AB1129,[1]法师技能!$A$4:$I$153,3,FALSE)</f>
        <v>265</v>
      </c>
      <c r="AB1129" s="71">
        <v>109</v>
      </c>
    </row>
    <row r="1130" spans="1:28" s="8" customFormat="1" ht="18" customHeight="1" x14ac:dyDescent="0.15">
      <c r="A1130" s="50">
        <v>22020</v>
      </c>
      <c r="B1130" s="8" t="s">
        <v>1844</v>
      </c>
      <c r="C1130" s="9">
        <f t="shared" si="162"/>
        <v>1</v>
      </c>
      <c r="D1130" s="9">
        <v>1</v>
      </c>
      <c r="E1130" s="9"/>
      <c r="F1130" s="12">
        <v>0</v>
      </c>
      <c r="G1130" s="10">
        <v>1</v>
      </c>
      <c r="H1130" s="10">
        <v>0</v>
      </c>
      <c r="I1130" s="10">
        <v>0</v>
      </c>
      <c r="J1130" s="10">
        <v>0</v>
      </c>
      <c r="K1130" s="10">
        <v>0</v>
      </c>
      <c r="L1130" s="9">
        <v>1</v>
      </c>
      <c r="M1130" s="9">
        <f t="shared" si="163"/>
        <v>17</v>
      </c>
      <c r="N1130" s="10">
        <v>1</v>
      </c>
      <c r="O1130" s="10">
        <v>0</v>
      </c>
      <c r="P1130" s="10">
        <v>0</v>
      </c>
      <c r="Q1130" s="10">
        <v>0</v>
      </c>
      <c r="R1130" s="10">
        <v>1</v>
      </c>
      <c r="S1130" s="10">
        <v>0</v>
      </c>
      <c r="T1130" s="9">
        <v>1</v>
      </c>
      <c r="U1130" s="9">
        <v>1</v>
      </c>
      <c r="V1130" s="9">
        <v>1</v>
      </c>
      <c r="W1130" s="9">
        <v>1</v>
      </c>
      <c r="X1130" s="9">
        <v>0</v>
      </c>
      <c r="Y1130" s="9">
        <v>0</v>
      </c>
      <c r="Z1130" s="11" t="str">
        <f t="shared" si="159"/>
        <v>提升274点重击</v>
      </c>
      <c r="AA1130" s="64">
        <f>VLOOKUP(AB1130,[1]法师技能!$A$4:$I$153,3,FALSE)</f>
        <v>274</v>
      </c>
      <c r="AB1130" s="71">
        <v>110</v>
      </c>
    </row>
    <row r="1131" spans="1:28" s="8" customFormat="1" ht="18" customHeight="1" x14ac:dyDescent="0.15">
      <c r="A1131" s="50">
        <v>22021</v>
      </c>
      <c r="B1131" s="8" t="s">
        <v>1845</v>
      </c>
      <c r="C1131" s="9">
        <f t="shared" si="162"/>
        <v>1</v>
      </c>
      <c r="D1131" s="9">
        <v>1</v>
      </c>
      <c r="E1131" s="9"/>
      <c r="F1131" s="12">
        <v>0</v>
      </c>
      <c r="G1131" s="10">
        <v>1</v>
      </c>
      <c r="H1131" s="10">
        <v>0</v>
      </c>
      <c r="I1131" s="10">
        <v>0</v>
      </c>
      <c r="J1131" s="10">
        <v>0</v>
      </c>
      <c r="K1131" s="10">
        <v>0</v>
      </c>
      <c r="L1131" s="9">
        <v>1</v>
      </c>
      <c r="M1131" s="9">
        <f t="shared" si="163"/>
        <v>17</v>
      </c>
      <c r="N1131" s="10">
        <v>1</v>
      </c>
      <c r="O1131" s="10">
        <v>0</v>
      </c>
      <c r="P1131" s="10">
        <v>0</v>
      </c>
      <c r="Q1131" s="10">
        <v>0</v>
      </c>
      <c r="R1131" s="10">
        <v>1</v>
      </c>
      <c r="S1131" s="10">
        <v>0</v>
      </c>
      <c r="T1131" s="9">
        <v>1</v>
      </c>
      <c r="U1131" s="9">
        <v>1</v>
      </c>
      <c r="V1131" s="9">
        <v>1</v>
      </c>
      <c r="W1131" s="9">
        <v>1</v>
      </c>
      <c r="X1131" s="9">
        <v>0</v>
      </c>
      <c r="Y1131" s="9">
        <v>0</v>
      </c>
      <c r="Z1131" s="11" t="str">
        <f t="shared" si="159"/>
        <v>提升283点重击</v>
      </c>
      <c r="AA1131" s="64">
        <f>VLOOKUP(AB1131,[1]法师技能!$A$4:$I$153,3,FALSE)</f>
        <v>283</v>
      </c>
      <c r="AB1131" s="71">
        <v>111</v>
      </c>
    </row>
    <row r="1132" spans="1:28" s="8" customFormat="1" ht="18" customHeight="1" x14ac:dyDescent="0.15">
      <c r="A1132" s="50">
        <v>22022</v>
      </c>
      <c r="B1132" s="8" t="s">
        <v>1846</v>
      </c>
      <c r="C1132" s="9">
        <f t="shared" si="162"/>
        <v>1</v>
      </c>
      <c r="D1132" s="9">
        <v>1</v>
      </c>
      <c r="E1132" s="9"/>
      <c r="F1132" s="12">
        <v>0</v>
      </c>
      <c r="G1132" s="10">
        <v>1</v>
      </c>
      <c r="H1132" s="10">
        <v>0</v>
      </c>
      <c r="I1132" s="10">
        <v>0</v>
      </c>
      <c r="J1132" s="10">
        <v>0</v>
      </c>
      <c r="K1132" s="10">
        <v>0</v>
      </c>
      <c r="L1132" s="9">
        <v>1</v>
      </c>
      <c r="M1132" s="9">
        <f t="shared" si="163"/>
        <v>17</v>
      </c>
      <c r="N1132" s="10">
        <v>1</v>
      </c>
      <c r="O1132" s="10">
        <v>0</v>
      </c>
      <c r="P1132" s="10">
        <v>0</v>
      </c>
      <c r="Q1132" s="10">
        <v>0</v>
      </c>
      <c r="R1132" s="10">
        <v>1</v>
      </c>
      <c r="S1132" s="10">
        <v>0</v>
      </c>
      <c r="T1132" s="9">
        <v>1</v>
      </c>
      <c r="U1132" s="9">
        <v>1</v>
      </c>
      <c r="V1132" s="9">
        <v>1</v>
      </c>
      <c r="W1132" s="9">
        <v>1</v>
      </c>
      <c r="X1132" s="9">
        <v>0</v>
      </c>
      <c r="Y1132" s="9">
        <v>0</v>
      </c>
      <c r="Z1132" s="11" t="str">
        <f t="shared" si="159"/>
        <v>提升293点重击</v>
      </c>
      <c r="AA1132" s="64">
        <f>VLOOKUP(AB1132,[1]法师技能!$A$4:$I$153,3,FALSE)</f>
        <v>293</v>
      </c>
      <c r="AB1132" s="71">
        <v>112</v>
      </c>
    </row>
    <row r="1133" spans="1:28" s="8" customFormat="1" ht="18" customHeight="1" x14ac:dyDescent="0.15">
      <c r="A1133" s="50">
        <v>22023</v>
      </c>
      <c r="B1133" s="8" t="s">
        <v>1847</v>
      </c>
      <c r="C1133" s="9">
        <f t="shared" si="162"/>
        <v>1</v>
      </c>
      <c r="D1133" s="9">
        <v>1</v>
      </c>
      <c r="E1133" s="9"/>
      <c r="F1133" s="12">
        <v>0</v>
      </c>
      <c r="G1133" s="10">
        <v>1</v>
      </c>
      <c r="H1133" s="10">
        <v>0</v>
      </c>
      <c r="I1133" s="10">
        <v>0</v>
      </c>
      <c r="J1133" s="10">
        <v>0</v>
      </c>
      <c r="K1133" s="10">
        <v>0</v>
      </c>
      <c r="L1133" s="9">
        <v>1</v>
      </c>
      <c r="M1133" s="9">
        <f t="shared" si="163"/>
        <v>17</v>
      </c>
      <c r="N1133" s="10">
        <v>1</v>
      </c>
      <c r="O1133" s="10">
        <v>0</v>
      </c>
      <c r="P1133" s="10">
        <v>0</v>
      </c>
      <c r="Q1133" s="10">
        <v>0</v>
      </c>
      <c r="R1133" s="10">
        <v>1</v>
      </c>
      <c r="S1133" s="10">
        <v>0</v>
      </c>
      <c r="T1133" s="9">
        <v>1</v>
      </c>
      <c r="U1133" s="9">
        <v>1</v>
      </c>
      <c r="V1133" s="9">
        <v>1</v>
      </c>
      <c r="W1133" s="9">
        <v>1</v>
      </c>
      <c r="X1133" s="9">
        <v>0</v>
      </c>
      <c r="Y1133" s="9">
        <v>0</v>
      </c>
      <c r="Z1133" s="11" t="str">
        <f t="shared" si="159"/>
        <v>提升303点重击</v>
      </c>
      <c r="AA1133" s="64">
        <f>VLOOKUP(AB1133,[1]法师技能!$A$4:$I$153,3,FALSE)</f>
        <v>303</v>
      </c>
      <c r="AB1133" s="71">
        <v>113</v>
      </c>
    </row>
    <row r="1134" spans="1:28" s="8" customFormat="1" ht="18" customHeight="1" x14ac:dyDescent="0.15">
      <c r="A1134" s="50">
        <v>22024</v>
      </c>
      <c r="B1134" s="8" t="s">
        <v>1848</v>
      </c>
      <c r="C1134" s="9">
        <f t="shared" si="162"/>
        <v>1</v>
      </c>
      <c r="D1134" s="9">
        <v>1</v>
      </c>
      <c r="E1134" s="9"/>
      <c r="F1134" s="12">
        <v>0</v>
      </c>
      <c r="G1134" s="10">
        <v>1</v>
      </c>
      <c r="H1134" s="10">
        <v>0</v>
      </c>
      <c r="I1134" s="10">
        <v>0</v>
      </c>
      <c r="J1134" s="10">
        <v>0</v>
      </c>
      <c r="K1134" s="10">
        <v>0</v>
      </c>
      <c r="L1134" s="9">
        <v>1</v>
      </c>
      <c r="M1134" s="9">
        <f t="shared" si="163"/>
        <v>17</v>
      </c>
      <c r="N1134" s="10">
        <v>1</v>
      </c>
      <c r="O1134" s="10">
        <v>0</v>
      </c>
      <c r="P1134" s="10">
        <v>0</v>
      </c>
      <c r="Q1134" s="10">
        <v>0</v>
      </c>
      <c r="R1134" s="10">
        <v>1</v>
      </c>
      <c r="S1134" s="10">
        <v>0</v>
      </c>
      <c r="T1134" s="9">
        <v>1</v>
      </c>
      <c r="U1134" s="9">
        <v>1</v>
      </c>
      <c r="V1134" s="9">
        <v>1</v>
      </c>
      <c r="W1134" s="9">
        <v>1</v>
      </c>
      <c r="X1134" s="9">
        <v>0</v>
      </c>
      <c r="Y1134" s="9">
        <v>0</v>
      </c>
      <c r="Z1134" s="11" t="str">
        <f t="shared" si="159"/>
        <v>提升313点重击</v>
      </c>
      <c r="AA1134" s="64">
        <f>VLOOKUP(AB1134,[1]法师技能!$A$4:$I$153,3,FALSE)</f>
        <v>313</v>
      </c>
      <c r="AB1134" s="71">
        <v>114</v>
      </c>
    </row>
    <row r="1135" spans="1:28" s="8" customFormat="1" ht="18" customHeight="1" x14ac:dyDescent="0.15">
      <c r="A1135" s="50">
        <v>22025</v>
      </c>
      <c r="B1135" s="8" t="s">
        <v>1849</v>
      </c>
      <c r="C1135" s="9">
        <f t="shared" si="162"/>
        <v>1</v>
      </c>
      <c r="D1135" s="9">
        <v>1</v>
      </c>
      <c r="E1135" s="9"/>
      <c r="F1135" s="12">
        <v>0</v>
      </c>
      <c r="G1135" s="10">
        <v>1</v>
      </c>
      <c r="H1135" s="10">
        <v>0</v>
      </c>
      <c r="I1135" s="10">
        <v>0</v>
      </c>
      <c r="J1135" s="10">
        <v>0</v>
      </c>
      <c r="K1135" s="10">
        <v>0</v>
      </c>
      <c r="L1135" s="9">
        <v>1</v>
      </c>
      <c r="M1135" s="9">
        <f t="shared" si="163"/>
        <v>17</v>
      </c>
      <c r="N1135" s="10">
        <v>1</v>
      </c>
      <c r="O1135" s="10">
        <v>0</v>
      </c>
      <c r="P1135" s="10">
        <v>0</v>
      </c>
      <c r="Q1135" s="10">
        <v>0</v>
      </c>
      <c r="R1135" s="10">
        <v>1</v>
      </c>
      <c r="S1135" s="10">
        <v>0</v>
      </c>
      <c r="T1135" s="9">
        <v>1</v>
      </c>
      <c r="U1135" s="9">
        <v>1</v>
      </c>
      <c r="V1135" s="9">
        <v>1</v>
      </c>
      <c r="W1135" s="9">
        <v>1</v>
      </c>
      <c r="X1135" s="9">
        <v>0</v>
      </c>
      <c r="Y1135" s="9">
        <v>0</v>
      </c>
      <c r="Z1135" s="11" t="str">
        <f t="shared" si="159"/>
        <v>提升324点重击</v>
      </c>
      <c r="AA1135" s="64">
        <f>VLOOKUP(AB1135,[1]法师技能!$A$4:$I$153,3,FALSE)</f>
        <v>324</v>
      </c>
      <c r="AB1135" s="71">
        <v>115</v>
      </c>
    </row>
    <row r="1136" spans="1:28" s="8" customFormat="1" ht="18" customHeight="1" x14ac:dyDescent="0.15">
      <c r="A1136" s="50">
        <v>22026</v>
      </c>
      <c r="B1136" s="8" t="s">
        <v>1850</v>
      </c>
      <c r="C1136" s="9">
        <f t="shared" si="162"/>
        <v>1</v>
      </c>
      <c r="D1136" s="9">
        <v>1</v>
      </c>
      <c r="E1136" s="9"/>
      <c r="F1136" s="12">
        <v>0</v>
      </c>
      <c r="G1136" s="10">
        <v>1</v>
      </c>
      <c r="H1136" s="10">
        <v>0</v>
      </c>
      <c r="I1136" s="10">
        <v>0</v>
      </c>
      <c r="J1136" s="10">
        <v>0</v>
      </c>
      <c r="K1136" s="10">
        <v>0</v>
      </c>
      <c r="L1136" s="9">
        <v>1</v>
      </c>
      <c r="M1136" s="9">
        <f t="shared" si="163"/>
        <v>17</v>
      </c>
      <c r="N1136" s="10">
        <v>1</v>
      </c>
      <c r="O1136" s="10">
        <v>0</v>
      </c>
      <c r="P1136" s="10">
        <v>0</v>
      </c>
      <c r="Q1136" s="10">
        <v>0</v>
      </c>
      <c r="R1136" s="10">
        <v>1</v>
      </c>
      <c r="S1136" s="10">
        <v>0</v>
      </c>
      <c r="T1136" s="9">
        <v>1</v>
      </c>
      <c r="U1136" s="9">
        <v>1</v>
      </c>
      <c r="V1136" s="9">
        <v>1</v>
      </c>
      <c r="W1136" s="9">
        <v>1</v>
      </c>
      <c r="X1136" s="9">
        <v>0</v>
      </c>
      <c r="Y1136" s="9">
        <v>0</v>
      </c>
      <c r="Z1136" s="11" t="str">
        <f t="shared" si="159"/>
        <v>提升335点重击</v>
      </c>
      <c r="AA1136" s="64">
        <f>VLOOKUP(AB1136,[1]法师技能!$A$4:$I$153,3,FALSE)</f>
        <v>335</v>
      </c>
      <c r="AB1136" s="71">
        <v>116</v>
      </c>
    </row>
    <row r="1137" spans="1:28" s="8" customFormat="1" ht="18" customHeight="1" x14ac:dyDescent="0.15">
      <c r="A1137" s="50">
        <v>22027</v>
      </c>
      <c r="B1137" s="8" t="s">
        <v>1851</v>
      </c>
      <c r="C1137" s="9">
        <f t="shared" si="162"/>
        <v>1</v>
      </c>
      <c r="D1137" s="9">
        <v>1</v>
      </c>
      <c r="E1137" s="9"/>
      <c r="F1137" s="12">
        <v>0</v>
      </c>
      <c r="G1137" s="10">
        <v>1</v>
      </c>
      <c r="H1137" s="10">
        <v>0</v>
      </c>
      <c r="I1137" s="10">
        <v>0</v>
      </c>
      <c r="J1137" s="10">
        <v>0</v>
      </c>
      <c r="K1137" s="10">
        <v>0</v>
      </c>
      <c r="L1137" s="9">
        <v>1</v>
      </c>
      <c r="M1137" s="9">
        <f t="shared" si="163"/>
        <v>17</v>
      </c>
      <c r="N1137" s="10">
        <v>1</v>
      </c>
      <c r="O1137" s="10">
        <v>0</v>
      </c>
      <c r="P1137" s="10">
        <v>0</v>
      </c>
      <c r="Q1137" s="10">
        <v>0</v>
      </c>
      <c r="R1137" s="10">
        <v>1</v>
      </c>
      <c r="S1137" s="10">
        <v>0</v>
      </c>
      <c r="T1137" s="9">
        <v>1</v>
      </c>
      <c r="U1137" s="9">
        <v>1</v>
      </c>
      <c r="V1137" s="9">
        <v>1</v>
      </c>
      <c r="W1137" s="9">
        <v>1</v>
      </c>
      <c r="X1137" s="9">
        <v>0</v>
      </c>
      <c r="Y1137" s="9">
        <v>0</v>
      </c>
      <c r="Z1137" s="11" t="str">
        <f t="shared" si="159"/>
        <v>提升346点重击</v>
      </c>
      <c r="AA1137" s="64">
        <f>VLOOKUP(AB1137,[1]法师技能!$A$4:$I$153,3,FALSE)</f>
        <v>346</v>
      </c>
      <c r="AB1137" s="71">
        <v>117</v>
      </c>
    </row>
    <row r="1138" spans="1:28" s="8" customFormat="1" ht="18" customHeight="1" x14ac:dyDescent="0.15">
      <c r="A1138" s="50">
        <v>22028</v>
      </c>
      <c r="B1138" s="8" t="s">
        <v>1852</v>
      </c>
      <c r="C1138" s="9">
        <f t="shared" si="162"/>
        <v>1</v>
      </c>
      <c r="D1138" s="9">
        <v>1</v>
      </c>
      <c r="E1138" s="9"/>
      <c r="F1138" s="12">
        <v>0</v>
      </c>
      <c r="G1138" s="10">
        <v>1</v>
      </c>
      <c r="H1138" s="10">
        <v>0</v>
      </c>
      <c r="I1138" s="10">
        <v>0</v>
      </c>
      <c r="J1138" s="10">
        <v>0</v>
      </c>
      <c r="K1138" s="10">
        <v>0</v>
      </c>
      <c r="L1138" s="9">
        <v>1</v>
      </c>
      <c r="M1138" s="9">
        <f t="shared" si="163"/>
        <v>17</v>
      </c>
      <c r="N1138" s="10">
        <v>1</v>
      </c>
      <c r="O1138" s="10">
        <v>0</v>
      </c>
      <c r="P1138" s="10">
        <v>0</v>
      </c>
      <c r="Q1138" s="10">
        <v>0</v>
      </c>
      <c r="R1138" s="10">
        <v>1</v>
      </c>
      <c r="S1138" s="10">
        <v>0</v>
      </c>
      <c r="T1138" s="9">
        <v>1</v>
      </c>
      <c r="U1138" s="9">
        <v>1</v>
      </c>
      <c r="V1138" s="9">
        <v>1</v>
      </c>
      <c r="W1138" s="9">
        <v>1</v>
      </c>
      <c r="X1138" s="9">
        <v>0</v>
      </c>
      <c r="Y1138" s="9">
        <v>0</v>
      </c>
      <c r="Z1138" s="11" t="str">
        <f t="shared" si="159"/>
        <v>提升358点重击</v>
      </c>
      <c r="AA1138" s="64">
        <f>VLOOKUP(AB1138,[1]法师技能!$A$4:$I$153,3,FALSE)</f>
        <v>358</v>
      </c>
      <c r="AB1138" s="71">
        <v>118</v>
      </c>
    </row>
    <row r="1139" spans="1:28" s="8" customFormat="1" ht="18" customHeight="1" x14ac:dyDescent="0.15">
      <c r="A1139" s="50">
        <v>22029</v>
      </c>
      <c r="B1139" s="8" t="s">
        <v>1853</v>
      </c>
      <c r="C1139" s="9">
        <f t="shared" si="162"/>
        <v>1</v>
      </c>
      <c r="D1139" s="9">
        <v>1</v>
      </c>
      <c r="E1139" s="9"/>
      <c r="F1139" s="12">
        <v>0</v>
      </c>
      <c r="G1139" s="10">
        <v>1</v>
      </c>
      <c r="H1139" s="10">
        <v>0</v>
      </c>
      <c r="I1139" s="10">
        <v>0</v>
      </c>
      <c r="J1139" s="10">
        <v>0</v>
      </c>
      <c r="K1139" s="10">
        <v>0</v>
      </c>
      <c r="L1139" s="9">
        <v>1</v>
      </c>
      <c r="M1139" s="9">
        <f t="shared" si="163"/>
        <v>17</v>
      </c>
      <c r="N1139" s="10">
        <v>1</v>
      </c>
      <c r="O1139" s="10">
        <v>0</v>
      </c>
      <c r="P1139" s="10">
        <v>0</v>
      </c>
      <c r="Q1139" s="10">
        <v>0</v>
      </c>
      <c r="R1139" s="10">
        <v>1</v>
      </c>
      <c r="S1139" s="10">
        <v>0</v>
      </c>
      <c r="T1139" s="9">
        <v>1</v>
      </c>
      <c r="U1139" s="9">
        <v>1</v>
      </c>
      <c r="V1139" s="9">
        <v>1</v>
      </c>
      <c r="W1139" s="9">
        <v>1</v>
      </c>
      <c r="X1139" s="9">
        <v>0</v>
      </c>
      <c r="Y1139" s="9">
        <v>0</v>
      </c>
      <c r="Z1139" s="11" t="str">
        <f t="shared" si="159"/>
        <v>提升370点重击</v>
      </c>
      <c r="AA1139" s="64">
        <f>VLOOKUP(AB1139,[1]法师技能!$A$4:$I$153,3,FALSE)</f>
        <v>370</v>
      </c>
      <c r="AB1139" s="71">
        <v>119</v>
      </c>
    </row>
    <row r="1140" spans="1:28" s="8" customFormat="1" ht="18" customHeight="1" x14ac:dyDescent="0.15">
      <c r="A1140" s="50">
        <v>22030</v>
      </c>
      <c r="B1140" s="8" t="s">
        <v>1854</v>
      </c>
      <c r="C1140" s="9">
        <f t="shared" si="162"/>
        <v>1</v>
      </c>
      <c r="D1140" s="9">
        <v>1</v>
      </c>
      <c r="E1140" s="9"/>
      <c r="F1140" s="12">
        <v>0</v>
      </c>
      <c r="G1140" s="10">
        <v>1</v>
      </c>
      <c r="H1140" s="10">
        <v>0</v>
      </c>
      <c r="I1140" s="10">
        <v>0</v>
      </c>
      <c r="J1140" s="10">
        <v>0</v>
      </c>
      <c r="K1140" s="10">
        <v>0</v>
      </c>
      <c r="L1140" s="9">
        <v>1</v>
      </c>
      <c r="M1140" s="9">
        <f t="shared" si="163"/>
        <v>17</v>
      </c>
      <c r="N1140" s="10">
        <v>1</v>
      </c>
      <c r="O1140" s="10">
        <v>0</v>
      </c>
      <c r="P1140" s="10">
        <v>0</v>
      </c>
      <c r="Q1140" s="10">
        <v>0</v>
      </c>
      <c r="R1140" s="10">
        <v>1</v>
      </c>
      <c r="S1140" s="10">
        <v>0</v>
      </c>
      <c r="T1140" s="9">
        <v>1</v>
      </c>
      <c r="U1140" s="9">
        <v>1</v>
      </c>
      <c r="V1140" s="9">
        <v>1</v>
      </c>
      <c r="W1140" s="9">
        <v>1</v>
      </c>
      <c r="X1140" s="9">
        <v>0</v>
      </c>
      <c r="Y1140" s="9">
        <v>0</v>
      </c>
      <c r="Z1140" s="11" t="str">
        <f t="shared" si="159"/>
        <v>提升383点重击</v>
      </c>
      <c r="AA1140" s="64">
        <f>VLOOKUP(AB1140,[1]法师技能!$A$4:$I$153,3,FALSE)</f>
        <v>383</v>
      </c>
      <c r="AB1140" s="71">
        <v>120</v>
      </c>
    </row>
    <row r="1141" spans="1:28" s="8" customFormat="1" ht="18" customHeight="1" x14ac:dyDescent="0.15">
      <c r="A1141" s="50">
        <v>28001</v>
      </c>
      <c r="B1141" s="8" t="s">
        <v>1723</v>
      </c>
      <c r="C1141" s="12">
        <v>1</v>
      </c>
      <c r="D1141" s="12">
        <v>1</v>
      </c>
      <c r="E1141" s="12"/>
      <c r="F1141" s="12">
        <v>0</v>
      </c>
      <c r="G1141" s="13">
        <v>1</v>
      </c>
      <c r="H1141" s="13">
        <v>0</v>
      </c>
      <c r="I1141" s="13">
        <v>1</v>
      </c>
      <c r="J1141" s="13">
        <v>0</v>
      </c>
      <c r="K1141" s="13">
        <v>0</v>
      </c>
      <c r="L1141" s="12">
        <v>1</v>
      </c>
      <c r="M1141" s="12">
        <f t="shared" si="163"/>
        <v>0</v>
      </c>
      <c r="N1141" s="13">
        <v>0</v>
      </c>
      <c r="O1141" s="13">
        <v>0</v>
      </c>
      <c r="P1141" s="13">
        <v>0</v>
      </c>
      <c r="Q1141" s="13">
        <v>0</v>
      </c>
      <c r="R1141" s="13">
        <v>0</v>
      </c>
      <c r="S1141" s="13">
        <v>0</v>
      </c>
      <c r="T1141" s="12">
        <v>0</v>
      </c>
      <c r="U1141" s="12">
        <v>0</v>
      </c>
      <c r="V1141" s="12">
        <v>1</v>
      </c>
      <c r="W1141" s="12">
        <v>0</v>
      </c>
      <c r="X1141" s="12">
        <v>0</v>
      </c>
      <c r="Y1141" s="12">
        <v>0</v>
      </c>
      <c r="Z1141" s="12" t="s">
        <v>1724</v>
      </c>
      <c r="AA1141" s="64"/>
      <c r="AB1141" s="71"/>
    </row>
    <row r="1142" spans="1:28" s="18" customFormat="1" ht="15" customHeight="1" x14ac:dyDescent="0.15">
      <c r="A1142" s="18">
        <v>30001</v>
      </c>
      <c r="B1142" s="18" t="s">
        <v>126</v>
      </c>
      <c r="C1142" s="18">
        <f>G1142+H1142*2+I1142*4+J1142*8+K1142*16</f>
        <v>5</v>
      </c>
      <c r="D1142" s="18">
        <v>1</v>
      </c>
      <c r="F1142" s="12">
        <v>0</v>
      </c>
      <c r="G1142" s="19">
        <v>1</v>
      </c>
      <c r="H1142" s="19">
        <v>0</v>
      </c>
      <c r="I1142" s="19">
        <v>1</v>
      </c>
      <c r="J1142" s="19">
        <v>0</v>
      </c>
      <c r="K1142" s="19">
        <v>0</v>
      </c>
      <c r="L1142" s="18">
        <v>1</v>
      </c>
      <c r="M1142" s="18">
        <f t="shared" si="146"/>
        <v>0</v>
      </c>
      <c r="N1142" s="19">
        <v>0</v>
      </c>
      <c r="O1142" s="19">
        <v>0</v>
      </c>
      <c r="P1142" s="19">
        <v>0</v>
      </c>
      <c r="Q1142" s="19">
        <v>0</v>
      </c>
      <c r="R1142" s="19">
        <v>0</v>
      </c>
      <c r="S1142" s="19">
        <v>0</v>
      </c>
      <c r="T1142" s="18">
        <v>1</v>
      </c>
      <c r="U1142" s="18">
        <v>0</v>
      </c>
      <c r="V1142" s="18">
        <v>1</v>
      </c>
      <c r="W1142" s="18">
        <v>0</v>
      </c>
      <c r="X1142" s="18">
        <v>0</v>
      </c>
      <c r="Y1142" s="18">
        <v>0</v>
      </c>
    </row>
    <row r="1143" spans="1:28" s="18" customFormat="1" ht="15" customHeight="1" x14ac:dyDescent="0.15">
      <c r="A1143" s="18">
        <v>30002</v>
      </c>
      <c r="B1143" s="18" t="s">
        <v>554</v>
      </c>
      <c r="C1143" s="18">
        <f>G1143+H1143*2+I1143*4+J1143*8+K1143*16</f>
        <v>5</v>
      </c>
      <c r="D1143" s="18">
        <v>1</v>
      </c>
      <c r="F1143" s="12">
        <v>0</v>
      </c>
      <c r="G1143" s="19">
        <v>1</v>
      </c>
      <c r="H1143" s="19">
        <v>0</v>
      </c>
      <c r="I1143" s="19">
        <v>1</v>
      </c>
      <c r="J1143" s="19">
        <v>0</v>
      </c>
      <c r="K1143" s="19">
        <v>0</v>
      </c>
      <c r="L1143" s="18">
        <v>1</v>
      </c>
      <c r="M1143" s="18">
        <f t="shared" si="146"/>
        <v>0</v>
      </c>
      <c r="N1143" s="19">
        <v>0</v>
      </c>
      <c r="O1143" s="19">
        <v>0</v>
      </c>
      <c r="P1143" s="19">
        <v>0</v>
      </c>
      <c r="Q1143" s="19">
        <v>0</v>
      </c>
      <c r="R1143" s="19">
        <v>0</v>
      </c>
      <c r="S1143" s="19">
        <v>0</v>
      </c>
      <c r="T1143" s="18">
        <v>1</v>
      </c>
      <c r="U1143" s="18">
        <v>0</v>
      </c>
      <c r="V1143" s="18">
        <v>1</v>
      </c>
      <c r="W1143" s="18">
        <v>0</v>
      </c>
      <c r="X1143" s="18">
        <v>0</v>
      </c>
      <c r="Y1143" s="18">
        <v>0</v>
      </c>
    </row>
    <row r="1144" spans="1:28" s="18" customFormat="1" ht="15" customHeight="1" x14ac:dyDescent="0.15">
      <c r="A1144" s="18">
        <v>30005</v>
      </c>
      <c r="B1144" s="18" t="s">
        <v>197</v>
      </c>
      <c r="C1144" s="18">
        <f>G1144+H1144*2+I1144*4+J1144*8+K1144*16</f>
        <v>5</v>
      </c>
      <c r="D1144" s="18">
        <v>1</v>
      </c>
      <c r="F1144" s="12">
        <v>0</v>
      </c>
      <c r="G1144" s="19">
        <v>1</v>
      </c>
      <c r="H1144" s="19">
        <v>0</v>
      </c>
      <c r="I1144" s="19">
        <v>1</v>
      </c>
      <c r="J1144" s="19">
        <v>0</v>
      </c>
      <c r="K1144" s="19">
        <v>0</v>
      </c>
      <c r="L1144" s="18">
        <v>1</v>
      </c>
      <c r="M1144" s="18">
        <f t="shared" si="146"/>
        <v>0</v>
      </c>
      <c r="N1144" s="19">
        <v>0</v>
      </c>
      <c r="O1144" s="19">
        <v>0</v>
      </c>
      <c r="P1144" s="19">
        <v>0</v>
      </c>
      <c r="Q1144" s="19">
        <v>0</v>
      </c>
      <c r="R1144" s="19">
        <v>0</v>
      </c>
      <c r="S1144" s="19">
        <v>0</v>
      </c>
      <c r="T1144" s="18">
        <v>0</v>
      </c>
      <c r="U1144" s="18">
        <v>0</v>
      </c>
      <c r="V1144" s="18">
        <v>1</v>
      </c>
      <c r="W1144" s="18">
        <v>0</v>
      </c>
      <c r="X1144" s="18">
        <v>1</v>
      </c>
      <c r="Y1144" s="18">
        <v>0</v>
      </c>
      <c r="Z1144" s="18" t="s">
        <v>196</v>
      </c>
    </row>
    <row r="1145" spans="1:28" s="18" customFormat="1" ht="15" customHeight="1" x14ac:dyDescent="0.15">
      <c r="A1145" s="18">
        <v>30006</v>
      </c>
      <c r="B1145" s="18" t="s">
        <v>198</v>
      </c>
      <c r="C1145" s="18">
        <f>G1145+H1145*2+I1145*4+J1145*8+K1145*16</f>
        <v>5</v>
      </c>
      <c r="D1145" s="18">
        <v>1</v>
      </c>
      <c r="F1145" s="12">
        <v>0</v>
      </c>
      <c r="G1145" s="19">
        <v>1</v>
      </c>
      <c r="H1145" s="19">
        <v>0</v>
      </c>
      <c r="I1145" s="19">
        <v>1</v>
      </c>
      <c r="J1145" s="19">
        <v>0</v>
      </c>
      <c r="K1145" s="19">
        <v>0</v>
      </c>
      <c r="L1145" s="18">
        <v>0</v>
      </c>
      <c r="M1145" s="18">
        <f t="shared" si="146"/>
        <v>0</v>
      </c>
      <c r="N1145" s="19">
        <v>0</v>
      </c>
      <c r="O1145" s="19">
        <v>0</v>
      </c>
      <c r="P1145" s="19">
        <v>0</v>
      </c>
      <c r="Q1145" s="19">
        <v>0</v>
      </c>
      <c r="R1145" s="19">
        <v>0</v>
      </c>
      <c r="S1145" s="19">
        <v>0</v>
      </c>
      <c r="T1145" s="18">
        <v>1</v>
      </c>
      <c r="U1145" s="18">
        <v>0</v>
      </c>
      <c r="V1145" s="18">
        <v>1</v>
      </c>
      <c r="W1145" s="18">
        <v>0</v>
      </c>
      <c r="X1145" s="18">
        <v>1</v>
      </c>
      <c r="Y1145" s="18">
        <v>0</v>
      </c>
      <c r="Z1145" s="18" t="s">
        <v>1717</v>
      </c>
    </row>
    <row r="1146" spans="1:28" s="18" customFormat="1" ht="15" customHeight="1" x14ac:dyDescent="0.15">
      <c r="A1146" s="18">
        <v>30007</v>
      </c>
      <c r="B1146" s="18" t="s">
        <v>423</v>
      </c>
      <c r="C1146" s="18">
        <f t="shared" ref="C1146:C1152" si="164">G1146+H1146*2+I1146*4+J1146*8+K1146*16</f>
        <v>5</v>
      </c>
      <c r="D1146" s="18">
        <v>1</v>
      </c>
      <c r="F1146" s="12">
        <v>0</v>
      </c>
      <c r="G1146" s="19">
        <v>1</v>
      </c>
      <c r="H1146" s="19">
        <v>0</v>
      </c>
      <c r="I1146" s="19">
        <v>1</v>
      </c>
      <c r="J1146" s="19">
        <v>0</v>
      </c>
      <c r="K1146" s="19">
        <v>0</v>
      </c>
      <c r="L1146" s="18">
        <v>0</v>
      </c>
      <c r="M1146" s="18">
        <f t="shared" ref="M1146:M1152" si="165">N1146+O1146*2+P1146*4+Q1146*8+R1146*16+S1146*32</f>
        <v>0</v>
      </c>
      <c r="N1146" s="19">
        <v>0</v>
      </c>
      <c r="O1146" s="19">
        <v>0</v>
      </c>
      <c r="P1146" s="19">
        <v>0</v>
      </c>
      <c r="Q1146" s="19">
        <v>0</v>
      </c>
      <c r="R1146" s="19">
        <v>0</v>
      </c>
      <c r="S1146" s="19">
        <v>0</v>
      </c>
      <c r="T1146" s="18">
        <v>0</v>
      </c>
      <c r="U1146" s="18">
        <v>0</v>
      </c>
      <c r="V1146" s="18">
        <v>1</v>
      </c>
      <c r="W1146" s="18">
        <v>0</v>
      </c>
      <c r="X1146" s="18">
        <v>0</v>
      </c>
      <c r="Y1146" s="18">
        <v>0</v>
      </c>
      <c r="Z1146" s="18" t="s">
        <v>430</v>
      </c>
    </row>
    <row r="1147" spans="1:28" s="18" customFormat="1" ht="15" customHeight="1" x14ac:dyDescent="0.15">
      <c r="A1147" s="18">
        <v>30008</v>
      </c>
      <c r="B1147" s="18" t="s">
        <v>424</v>
      </c>
      <c r="C1147" s="18">
        <f t="shared" si="164"/>
        <v>5</v>
      </c>
      <c r="D1147" s="18">
        <v>1</v>
      </c>
      <c r="F1147" s="12">
        <v>0</v>
      </c>
      <c r="G1147" s="19">
        <v>1</v>
      </c>
      <c r="H1147" s="19">
        <v>0</v>
      </c>
      <c r="I1147" s="19">
        <v>1</v>
      </c>
      <c r="J1147" s="19">
        <v>0</v>
      </c>
      <c r="K1147" s="19">
        <v>0</v>
      </c>
      <c r="L1147" s="18">
        <v>0</v>
      </c>
      <c r="M1147" s="18">
        <f t="shared" si="165"/>
        <v>0</v>
      </c>
      <c r="N1147" s="19">
        <v>0</v>
      </c>
      <c r="O1147" s="19">
        <v>0</v>
      </c>
      <c r="P1147" s="19">
        <v>0</v>
      </c>
      <c r="Q1147" s="19">
        <v>0</v>
      </c>
      <c r="R1147" s="19">
        <v>0</v>
      </c>
      <c r="S1147" s="19">
        <v>0</v>
      </c>
      <c r="T1147" s="18">
        <v>0</v>
      </c>
      <c r="U1147" s="18">
        <v>0</v>
      </c>
      <c r="V1147" s="18">
        <v>1</v>
      </c>
      <c r="W1147" s="18">
        <v>0</v>
      </c>
      <c r="X1147" s="18">
        <v>0</v>
      </c>
      <c r="Y1147" s="18">
        <v>0</v>
      </c>
      <c r="Z1147" s="18" t="s">
        <v>431</v>
      </c>
    </row>
    <row r="1148" spans="1:28" s="18" customFormat="1" ht="15" customHeight="1" x14ac:dyDescent="0.15">
      <c r="A1148" s="18">
        <v>30009</v>
      </c>
      <c r="B1148" s="18" t="s">
        <v>425</v>
      </c>
      <c r="C1148" s="18">
        <f t="shared" si="164"/>
        <v>5</v>
      </c>
      <c r="D1148" s="18">
        <v>1</v>
      </c>
      <c r="F1148" s="12">
        <v>0</v>
      </c>
      <c r="G1148" s="19">
        <v>1</v>
      </c>
      <c r="H1148" s="19">
        <v>0</v>
      </c>
      <c r="I1148" s="19">
        <v>1</v>
      </c>
      <c r="J1148" s="19">
        <v>0</v>
      </c>
      <c r="K1148" s="19">
        <v>0</v>
      </c>
      <c r="L1148" s="18">
        <v>0</v>
      </c>
      <c r="M1148" s="18">
        <f t="shared" si="165"/>
        <v>0</v>
      </c>
      <c r="N1148" s="19">
        <v>0</v>
      </c>
      <c r="O1148" s="19">
        <v>0</v>
      </c>
      <c r="P1148" s="19">
        <v>0</v>
      </c>
      <c r="Q1148" s="19">
        <v>0</v>
      </c>
      <c r="R1148" s="19">
        <v>0</v>
      </c>
      <c r="S1148" s="19">
        <v>0</v>
      </c>
      <c r="T1148" s="18">
        <v>0</v>
      </c>
      <c r="U1148" s="18">
        <v>0</v>
      </c>
      <c r="V1148" s="18">
        <v>1</v>
      </c>
      <c r="W1148" s="18">
        <v>0</v>
      </c>
      <c r="X1148" s="18">
        <v>0</v>
      </c>
      <c r="Y1148" s="18">
        <v>0</v>
      </c>
      <c r="Z1148" s="18" t="s">
        <v>432</v>
      </c>
    </row>
    <row r="1149" spans="1:28" s="18" customFormat="1" ht="15" customHeight="1" x14ac:dyDescent="0.15">
      <c r="A1149" s="18">
        <v>30010</v>
      </c>
      <c r="B1149" s="18" t="s">
        <v>426</v>
      </c>
      <c r="C1149" s="18">
        <f t="shared" si="164"/>
        <v>5</v>
      </c>
      <c r="D1149" s="18">
        <v>1</v>
      </c>
      <c r="F1149" s="12">
        <v>0</v>
      </c>
      <c r="G1149" s="19">
        <v>1</v>
      </c>
      <c r="H1149" s="19">
        <v>0</v>
      </c>
      <c r="I1149" s="19">
        <v>1</v>
      </c>
      <c r="J1149" s="19">
        <v>0</v>
      </c>
      <c r="K1149" s="19">
        <v>0</v>
      </c>
      <c r="L1149" s="18">
        <v>0</v>
      </c>
      <c r="M1149" s="18">
        <f t="shared" si="165"/>
        <v>0</v>
      </c>
      <c r="N1149" s="19">
        <v>0</v>
      </c>
      <c r="O1149" s="19">
        <v>0</v>
      </c>
      <c r="P1149" s="19">
        <v>0</v>
      </c>
      <c r="Q1149" s="19">
        <v>0</v>
      </c>
      <c r="R1149" s="19">
        <v>0</v>
      </c>
      <c r="S1149" s="19">
        <v>0</v>
      </c>
      <c r="T1149" s="18">
        <v>0</v>
      </c>
      <c r="U1149" s="18">
        <v>0</v>
      </c>
      <c r="V1149" s="18">
        <v>1</v>
      </c>
      <c r="W1149" s="18">
        <v>0</v>
      </c>
      <c r="X1149" s="18">
        <v>0</v>
      </c>
      <c r="Y1149" s="18">
        <v>0</v>
      </c>
      <c r="Z1149" s="18" t="s">
        <v>433</v>
      </c>
    </row>
    <row r="1150" spans="1:28" s="18" customFormat="1" ht="15" customHeight="1" x14ac:dyDescent="0.15">
      <c r="A1150" s="18">
        <v>30011</v>
      </c>
      <c r="B1150" s="18" t="s">
        <v>427</v>
      </c>
      <c r="C1150" s="18">
        <f t="shared" si="164"/>
        <v>5</v>
      </c>
      <c r="D1150" s="18">
        <v>1</v>
      </c>
      <c r="F1150" s="12">
        <v>0</v>
      </c>
      <c r="G1150" s="19">
        <v>1</v>
      </c>
      <c r="H1150" s="19">
        <v>0</v>
      </c>
      <c r="I1150" s="19">
        <v>1</v>
      </c>
      <c r="J1150" s="19">
        <v>0</v>
      </c>
      <c r="K1150" s="19">
        <v>0</v>
      </c>
      <c r="L1150" s="18">
        <v>0</v>
      </c>
      <c r="M1150" s="18">
        <f t="shared" si="165"/>
        <v>0</v>
      </c>
      <c r="N1150" s="19">
        <v>0</v>
      </c>
      <c r="O1150" s="19">
        <v>0</v>
      </c>
      <c r="P1150" s="19">
        <v>0</v>
      </c>
      <c r="Q1150" s="19">
        <v>0</v>
      </c>
      <c r="R1150" s="19">
        <v>0</v>
      </c>
      <c r="S1150" s="19">
        <v>0</v>
      </c>
      <c r="T1150" s="18">
        <v>0</v>
      </c>
      <c r="U1150" s="18">
        <v>0</v>
      </c>
      <c r="V1150" s="18">
        <v>1</v>
      </c>
      <c r="W1150" s="18">
        <v>0</v>
      </c>
      <c r="X1150" s="18">
        <v>0</v>
      </c>
      <c r="Y1150" s="18">
        <v>0</v>
      </c>
      <c r="Z1150" s="18" t="s">
        <v>434</v>
      </c>
    </row>
    <row r="1151" spans="1:28" s="18" customFormat="1" ht="15" customHeight="1" x14ac:dyDescent="0.15">
      <c r="A1151" s="18">
        <v>30012</v>
      </c>
      <c r="B1151" s="18" t="s">
        <v>428</v>
      </c>
      <c r="C1151" s="18">
        <f t="shared" si="164"/>
        <v>5</v>
      </c>
      <c r="D1151" s="18">
        <v>1</v>
      </c>
      <c r="F1151" s="12">
        <v>0</v>
      </c>
      <c r="G1151" s="19">
        <v>1</v>
      </c>
      <c r="H1151" s="19">
        <v>0</v>
      </c>
      <c r="I1151" s="19">
        <v>1</v>
      </c>
      <c r="J1151" s="19">
        <v>0</v>
      </c>
      <c r="K1151" s="19">
        <v>0</v>
      </c>
      <c r="L1151" s="18">
        <v>0</v>
      </c>
      <c r="M1151" s="18">
        <f t="shared" si="165"/>
        <v>0</v>
      </c>
      <c r="N1151" s="19">
        <v>0</v>
      </c>
      <c r="O1151" s="19">
        <v>0</v>
      </c>
      <c r="P1151" s="19">
        <v>0</v>
      </c>
      <c r="Q1151" s="19">
        <v>0</v>
      </c>
      <c r="R1151" s="19">
        <v>0</v>
      </c>
      <c r="S1151" s="19">
        <v>0</v>
      </c>
      <c r="T1151" s="18">
        <v>0</v>
      </c>
      <c r="U1151" s="18">
        <v>0</v>
      </c>
      <c r="V1151" s="18">
        <v>1</v>
      </c>
      <c r="W1151" s="18">
        <v>0</v>
      </c>
      <c r="X1151" s="18">
        <v>0</v>
      </c>
      <c r="Y1151" s="18">
        <v>0</v>
      </c>
      <c r="Z1151" s="18" t="s">
        <v>435</v>
      </c>
    </row>
    <row r="1152" spans="1:28" s="18" customFormat="1" ht="15" customHeight="1" x14ac:dyDescent="0.15">
      <c r="A1152" s="18">
        <v>30013</v>
      </c>
      <c r="B1152" s="18" t="s">
        <v>429</v>
      </c>
      <c r="C1152" s="18">
        <f t="shared" si="164"/>
        <v>5</v>
      </c>
      <c r="D1152" s="18">
        <v>1</v>
      </c>
      <c r="F1152" s="12">
        <v>0</v>
      </c>
      <c r="G1152" s="19">
        <v>1</v>
      </c>
      <c r="H1152" s="19">
        <v>0</v>
      </c>
      <c r="I1152" s="19">
        <v>1</v>
      </c>
      <c r="J1152" s="19">
        <v>0</v>
      </c>
      <c r="K1152" s="19">
        <v>0</v>
      </c>
      <c r="L1152" s="18">
        <v>0</v>
      </c>
      <c r="M1152" s="18">
        <f t="shared" si="165"/>
        <v>0</v>
      </c>
      <c r="N1152" s="19">
        <v>0</v>
      </c>
      <c r="O1152" s="19">
        <v>0</v>
      </c>
      <c r="P1152" s="19">
        <v>0</v>
      </c>
      <c r="Q1152" s="19">
        <v>0</v>
      </c>
      <c r="R1152" s="19">
        <v>0</v>
      </c>
      <c r="S1152" s="19">
        <v>0</v>
      </c>
      <c r="T1152" s="18">
        <v>0</v>
      </c>
      <c r="U1152" s="18">
        <v>0</v>
      </c>
      <c r="V1152" s="18">
        <v>1</v>
      </c>
      <c r="W1152" s="18">
        <v>0</v>
      </c>
      <c r="X1152" s="18">
        <v>0</v>
      </c>
      <c r="Y1152" s="18">
        <v>0</v>
      </c>
      <c r="Z1152" s="18" t="s">
        <v>436</v>
      </c>
    </row>
    <row r="1153" spans="1:29" s="18" customFormat="1" ht="15" customHeight="1" x14ac:dyDescent="0.15">
      <c r="A1153" s="18">
        <v>30014</v>
      </c>
      <c r="B1153" s="18" t="s">
        <v>437</v>
      </c>
      <c r="C1153" s="18">
        <f>G1153+H1153*2+I1153*4+J1153*8+K1153*16</f>
        <v>5</v>
      </c>
      <c r="D1153" s="18">
        <v>1</v>
      </c>
      <c r="F1153" s="12">
        <v>0</v>
      </c>
      <c r="G1153" s="19">
        <v>1</v>
      </c>
      <c r="H1153" s="19">
        <v>0</v>
      </c>
      <c r="I1153" s="19">
        <v>1</v>
      </c>
      <c r="J1153" s="19">
        <v>0</v>
      </c>
      <c r="K1153" s="19">
        <v>0</v>
      </c>
      <c r="L1153" s="18">
        <v>0</v>
      </c>
      <c r="M1153" s="18">
        <f>N1153+O1153*2+P1153*4+Q1153*8+R1153*16+S1153*32</f>
        <v>0</v>
      </c>
      <c r="N1153" s="19">
        <v>0</v>
      </c>
      <c r="O1153" s="19">
        <v>0</v>
      </c>
      <c r="P1153" s="19">
        <v>0</v>
      </c>
      <c r="Q1153" s="19">
        <v>0</v>
      </c>
      <c r="R1153" s="19">
        <v>0</v>
      </c>
      <c r="S1153" s="19">
        <v>0</v>
      </c>
      <c r="T1153" s="18">
        <v>0</v>
      </c>
      <c r="U1153" s="18">
        <v>0</v>
      </c>
      <c r="V1153" s="18">
        <v>1</v>
      </c>
      <c r="W1153" s="18">
        <v>0</v>
      </c>
      <c r="X1153" s="18">
        <v>1</v>
      </c>
      <c r="Y1153" s="18">
        <v>0</v>
      </c>
      <c r="Z1153" s="18" t="s">
        <v>438</v>
      </c>
    </row>
    <row r="1154" spans="1:29" s="18" customFormat="1" ht="15" customHeight="1" x14ac:dyDescent="0.15">
      <c r="A1154" s="18">
        <v>30105</v>
      </c>
      <c r="B1154" s="18" t="s">
        <v>127</v>
      </c>
      <c r="C1154" s="18">
        <f>G1154+H1154*2+I1154*4+J1154*8+K1154*16</f>
        <v>5</v>
      </c>
      <c r="D1154" s="18">
        <v>1</v>
      </c>
      <c r="F1154" s="12">
        <v>0</v>
      </c>
      <c r="G1154" s="19">
        <v>1</v>
      </c>
      <c r="H1154" s="19">
        <v>0</v>
      </c>
      <c r="I1154" s="19">
        <v>1</v>
      </c>
      <c r="J1154" s="19">
        <v>0</v>
      </c>
      <c r="K1154" s="19">
        <v>0</v>
      </c>
      <c r="L1154" s="18">
        <v>1</v>
      </c>
      <c r="M1154" s="18">
        <f>N1154+O1154*2+P1154*4+Q1154*8+R1154*16+S1154*32</f>
        <v>0</v>
      </c>
      <c r="N1154" s="19">
        <v>0</v>
      </c>
      <c r="O1154" s="19">
        <v>0</v>
      </c>
      <c r="P1154" s="19">
        <v>0</v>
      </c>
      <c r="Q1154" s="19">
        <v>0</v>
      </c>
      <c r="R1154" s="19">
        <v>0</v>
      </c>
      <c r="S1154" s="19">
        <v>0</v>
      </c>
      <c r="T1154" s="18">
        <v>1</v>
      </c>
      <c r="U1154" s="18">
        <v>0</v>
      </c>
      <c r="V1154" s="18">
        <v>1</v>
      </c>
      <c r="W1154" s="18">
        <v>1</v>
      </c>
      <c r="X1154" s="18">
        <v>0</v>
      </c>
      <c r="Y1154" s="18">
        <v>0</v>
      </c>
      <c r="Z1154" s="18" t="s">
        <v>123</v>
      </c>
    </row>
    <row r="1155" spans="1:29" s="18" customFormat="1" ht="15" customHeight="1" x14ac:dyDescent="0.15">
      <c r="A1155" s="18">
        <v>30106</v>
      </c>
      <c r="B1155" s="18" t="s">
        <v>127</v>
      </c>
      <c r="C1155" s="18">
        <f>G1155+H1155*2+I1155*4+J1155*8+K1155*16</f>
        <v>5</v>
      </c>
      <c r="D1155" s="18">
        <v>1</v>
      </c>
      <c r="F1155" s="12">
        <v>0</v>
      </c>
      <c r="G1155" s="19">
        <v>1</v>
      </c>
      <c r="H1155" s="19">
        <v>0</v>
      </c>
      <c r="I1155" s="19">
        <v>1</v>
      </c>
      <c r="J1155" s="19">
        <v>0</v>
      </c>
      <c r="K1155" s="19">
        <v>0</v>
      </c>
      <c r="L1155" s="18">
        <v>1</v>
      </c>
      <c r="M1155" s="18">
        <f>N1155+O1155*2+P1155*4+Q1155*8+R1155*16+S1155*32</f>
        <v>0</v>
      </c>
      <c r="N1155" s="19">
        <v>0</v>
      </c>
      <c r="O1155" s="19">
        <v>0</v>
      </c>
      <c r="P1155" s="19">
        <v>0</v>
      </c>
      <c r="Q1155" s="19">
        <v>0</v>
      </c>
      <c r="R1155" s="19">
        <v>0</v>
      </c>
      <c r="S1155" s="19">
        <v>0</v>
      </c>
      <c r="T1155" s="18">
        <v>1</v>
      </c>
      <c r="U1155" s="18">
        <v>0</v>
      </c>
      <c r="V1155" s="18">
        <v>1</v>
      </c>
      <c r="W1155" s="18">
        <v>1</v>
      </c>
      <c r="X1155" s="18">
        <v>0</v>
      </c>
      <c r="Y1155" s="18">
        <v>0</v>
      </c>
      <c r="Z1155" s="18" t="s">
        <v>1479</v>
      </c>
    </row>
    <row r="1156" spans="1:29" s="18" customFormat="1" ht="15" customHeight="1" x14ac:dyDescent="0.15">
      <c r="A1156" s="18">
        <v>30107</v>
      </c>
      <c r="B1156" s="18" t="s">
        <v>449</v>
      </c>
      <c r="C1156" s="18">
        <f t="shared" ref="C1156:C1163" si="166">G1156+H1156*2+I1156*4+J1156*8+K1156*16</f>
        <v>5</v>
      </c>
      <c r="D1156" s="18">
        <v>1</v>
      </c>
      <c r="F1156" s="12">
        <v>0</v>
      </c>
      <c r="G1156" s="19">
        <v>1</v>
      </c>
      <c r="H1156" s="19">
        <v>0</v>
      </c>
      <c r="I1156" s="19">
        <v>1</v>
      </c>
      <c r="J1156" s="19">
        <v>0</v>
      </c>
      <c r="K1156" s="19">
        <v>0</v>
      </c>
      <c r="L1156" s="18">
        <v>1</v>
      </c>
      <c r="M1156" s="18">
        <f t="shared" ref="M1156:M1163" si="167">N1156+O1156*2+P1156*4+Q1156*8+R1156*16+S1156*32</f>
        <v>0</v>
      </c>
      <c r="N1156" s="19">
        <v>0</v>
      </c>
      <c r="O1156" s="19">
        <v>0</v>
      </c>
      <c r="P1156" s="19">
        <v>0</v>
      </c>
      <c r="Q1156" s="19">
        <v>0</v>
      </c>
      <c r="R1156" s="19">
        <v>0</v>
      </c>
      <c r="S1156" s="19">
        <v>0</v>
      </c>
      <c r="T1156" s="18">
        <v>1</v>
      </c>
      <c r="U1156" s="18">
        <v>0</v>
      </c>
      <c r="V1156" s="18">
        <v>1</v>
      </c>
      <c r="W1156" s="18">
        <v>1</v>
      </c>
      <c r="X1156" s="18">
        <v>0</v>
      </c>
      <c r="Y1156" s="18">
        <v>0</v>
      </c>
      <c r="Z1156" s="18" t="s">
        <v>450</v>
      </c>
    </row>
    <row r="1157" spans="1:29" s="18" customFormat="1" ht="15" customHeight="1" x14ac:dyDescent="0.15">
      <c r="A1157" s="18">
        <v>30108</v>
      </c>
      <c r="B1157" s="18" t="s">
        <v>451</v>
      </c>
      <c r="C1157" s="18">
        <f t="shared" si="166"/>
        <v>5</v>
      </c>
      <c r="D1157" s="18">
        <v>1</v>
      </c>
      <c r="F1157" s="12">
        <v>0</v>
      </c>
      <c r="G1157" s="19">
        <v>1</v>
      </c>
      <c r="H1157" s="19">
        <v>0</v>
      </c>
      <c r="I1157" s="19">
        <v>1</v>
      </c>
      <c r="J1157" s="19">
        <v>0</v>
      </c>
      <c r="K1157" s="19">
        <v>0</v>
      </c>
      <c r="L1157" s="18">
        <v>1</v>
      </c>
      <c r="M1157" s="18">
        <f t="shared" si="167"/>
        <v>0</v>
      </c>
      <c r="N1157" s="19">
        <v>0</v>
      </c>
      <c r="O1157" s="19">
        <v>0</v>
      </c>
      <c r="P1157" s="19">
        <v>0</v>
      </c>
      <c r="Q1157" s="19">
        <v>0</v>
      </c>
      <c r="R1157" s="19">
        <v>0</v>
      </c>
      <c r="S1157" s="19">
        <v>0</v>
      </c>
      <c r="T1157" s="18">
        <v>1</v>
      </c>
      <c r="U1157" s="18">
        <v>0</v>
      </c>
      <c r="V1157" s="18">
        <v>1</v>
      </c>
      <c r="W1157" s="18">
        <v>1</v>
      </c>
      <c r="X1157" s="18">
        <v>0</v>
      </c>
      <c r="Y1157" s="18">
        <v>0</v>
      </c>
      <c r="Z1157" s="18" t="s">
        <v>452</v>
      </c>
    </row>
    <row r="1158" spans="1:29" s="18" customFormat="1" ht="15" customHeight="1" x14ac:dyDescent="0.15">
      <c r="A1158" s="18">
        <v>30109</v>
      </c>
      <c r="B1158" s="18" t="s">
        <v>460</v>
      </c>
      <c r="C1158" s="18">
        <f t="shared" si="166"/>
        <v>5</v>
      </c>
      <c r="D1158" s="18">
        <v>1</v>
      </c>
      <c r="F1158" s="12">
        <v>0</v>
      </c>
      <c r="G1158" s="19">
        <v>1</v>
      </c>
      <c r="H1158" s="19">
        <v>0</v>
      </c>
      <c r="I1158" s="19">
        <v>1</v>
      </c>
      <c r="J1158" s="19">
        <v>0</v>
      </c>
      <c r="K1158" s="19">
        <v>0</v>
      </c>
      <c r="L1158" s="18">
        <v>1</v>
      </c>
      <c r="M1158" s="18">
        <f t="shared" si="167"/>
        <v>0</v>
      </c>
      <c r="N1158" s="19">
        <v>0</v>
      </c>
      <c r="O1158" s="19">
        <v>0</v>
      </c>
      <c r="P1158" s="19">
        <v>0</v>
      </c>
      <c r="Q1158" s="19">
        <v>0</v>
      </c>
      <c r="R1158" s="19">
        <v>0</v>
      </c>
      <c r="S1158" s="19">
        <v>0</v>
      </c>
      <c r="T1158" s="18">
        <v>1</v>
      </c>
      <c r="U1158" s="18">
        <v>0</v>
      </c>
      <c r="V1158" s="18">
        <v>1</v>
      </c>
      <c r="W1158" s="18">
        <v>1</v>
      </c>
      <c r="X1158" s="18">
        <v>0</v>
      </c>
      <c r="Y1158" s="18">
        <v>0</v>
      </c>
      <c r="Z1158" s="18" t="s">
        <v>450</v>
      </c>
    </row>
    <row r="1159" spans="1:29" s="18" customFormat="1" ht="15" customHeight="1" x14ac:dyDescent="0.15">
      <c r="A1159" s="18">
        <v>30110</v>
      </c>
      <c r="B1159" s="18" t="s">
        <v>461</v>
      </c>
      <c r="C1159" s="18">
        <f t="shared" si="166"/>
        <v>5</v>
      </c>
      <c r="D1159" s="18">
        <v>1</v>
      </c>
      <c r="F1159" s="12">
        <v>0</v>
      </c>
      <c r="G1159" s="19">
        <v>1</v>
      </c>
      <c r="H1159" s="19">
        <v>0</v>
      </c>
      <c r="I1159" s="19">
        <v>1</v>
      </c>
      <c r="J1159" s="19">
        <v>0</v>
      </c>
      <c r="K1159" s="19">
        <v>0</v>
      </c>
      <c r="L1159" s="18">
        <v>1</v>
      </c>
      <c r="M1159" s="18">
        <f t="shared" si="167"/>
        <v>0</v>
      </c>
      <c r="N1159" s="19">
        <v>0</v>
      </c>
      <c r="O1159" s="19">
        <v>0</v>
      </c>
      <c r="P1159" s="19">
        <v>0</v>
      </c>
      <c r="Q1159" s="19">
        <v>0</v>
      </c>
      <c r="R1159" s="19">
        <v>0</v>
      </c>
      <c r="S1159" s="19">
        <v>0</v>
      </c>
      <c r="T1159" s="18">
        <v>1</v>
      </c>
      <c r="U1159" s="18">
        <v>0</v>
      </c>
      <c r="V1159" s="18">
        <v>1</v>
      </c>
      <c r="W1159" s="18">
        <v>1</v>
      </c>
      <c r="X1159" s="18">
        <v>0</v>
      </c>
      <c r="Y1159" s="18">
        <v>0</v>
      </c>
      <c r="Z1159" s="18" t="s">
        <v>450</v>
      </c>
    </row>
    <row r="1160" spans="1:29" s="18" customFormat="1" ht="15" customHeight="1" x14ac:dyDescent="0.15">
      <c r="A1160" s="18">
        <v>30111</v>
      </c>
      <c r="B1160" s="18" t="s">
        <v>462</v>
      </c>
      <c r="C1160" s="18">
        <f t="shared" si="166"/>
        <v>5</v>
      </c>
      <c r="D1160" s="18">
        <v>1</v>
      </c>
      <c r="F1160" s="12">
        <v>0</v>
      </c>
      <c r="G1160" s="19">
        <v>1</v>
      </c>
      <c r="H1160" s="19">
        <v>0</v>
      </c>
      <c r="I1160" s="19">
        <v>1</v>
      </c>
      <c r="J1160" s="19">
        <v>0</v>
      </c>
      <c r="K1160" s="19">
        <v>0</v>
      </c>
      <c r="L1160" s="18">
        <v>1</v>
      </c>
      <c r="M1160" s="18">
        <f t="shared" si="167"/>
        <v>0</v>
      </c>
      <c r="N1160" s="19">
        <v>0</v>
      </c>
      <c r="O1160" s="19">
        <v>0</v>
      </c>
      <c r="P1160" s="19">
        <v>0</v>
      </c>
      <c r="Q1160" s="19">
        <v>0</v>
      </c>
      <c r="R1160" s="19">
        <v>0</v>
      </c>
      <c r="S1160" s="19">
        <v>0</v>
      </c>
      <c r="T1160" s="18">
        <v>1</v>
      </c>
      <c r="U1160" s="18">
        <v>0</v>
      </c>
      <c r="V1160" s="18">
        <v>1</v>
      </c>
      <c r="W1160" s="18">
        <v>1</v>
      </c>
      <c r="X1160" s="18">
        <v>0</v>
      </c>
      <c r="Y1160" s="18">
        <v>0</v>
      </c>
      <c r="Z1160" s="18" t="s">
        <v>450</v>
      </c>
    </row>
    <row r="1161" spans="1:29" s="18" customFormat="1" ht="15" customHeight="1" x14ac:dyDescent="0.15">
      <c r="A1161" s="18">
        <v>30112</v>
      </c>
      <c r="B1161" s="18" t="s">
        <v>464</v>
      </c>
      <c r="C1161" s="18">
        <f t="shared" si="166"/>
        <v>5</v>
      </c>
      <c r="D1161" s="18">
        <v>1</v>
      </c>
      <c r="F1161" s="12">
        <v>0</v>
      </c>
      <c r="G1161" s="19">
        <v>1</v>
      </c>
      <c r="H1161" s="19">
        <v>0</v>
      </c>
      <c r="I1161" s="19">
        <v>1</v>
      </c>
      <c r="J1161" s="19">
        <v>0</v>
      </c>
      <c r="K1161" s="19">
        <v>0</v>
      </c>
      <c r="L1161" s="18">
        <v>1</v>
      </c>
      <c r="M1161" s="18">
        <f t="shared" si="167"/>
        <v>0</v>
      </c>
      <c r="N1161" s="19">
        <v>0</v>
      </c>
      <c r="O1161" s="19">
        <v>0</v>
      </c>
      <c r="P1161" s="19">
        <v>0</v>
      </c>
      <c r="Q1161" s="19">
        <v>0</v>
      </c>
      <c r="R1161" s="19">
        <v>0</v>
      </c>
      <c r="S1161" s="19">
        <v>0</v>
      </c>
      <c r="T1161" s="18">
        <v>1</v>
      </c>
      <c r="U1161" s="18">
        <v>0</v>
      </c>
      <c r="V1161" s="18">
        <v>1</v>
      </c>
      <c r="W1161" s="18">
        <v>1</v>
      </c>
      <c r="X1161" s="18">
        <v>0</v>
      </c>
      <c r="Y1161" s="18">
        <v>0</v>
      </c>
      <c r="Z1161" s="18" t="s">
        <v>450</v>
      </c>
    </row>
    <row r="1162" spans="1:29" s="18" customFormat="1" ht="15.75" customHeight="1" x14ac:dyDescent="0.15">
      <c r="A1162" s="18">
        <v>30113</v>
      </c>
      <c r="B1162" s="18" t="s">
        <v>463</v>
      </c>
      <c r="C1162" s="18">
        <f t="shared" si="166"/>
        <v>5</v>
      </c>
      <c r="D1162" s="18">
        <v>1</v>
      </c>
      <c r="F1162" s="12">
        <v>0</v>
      </c>
      <c r="G1162" s="19">
        <v>1</v>
      </c>
      <c r="H1162" s="19">
        <v>0</v>
      </c>
      <c r="I1162" s="19">
        <v>1</v>
      </c>
      <c r="J1162" s="19">
        <v>0</v>
      </c>
      <c r="K1162" s="19">
        <v>0</v>
      </c>
      <c r="L1162" s="18">
        <v>1</v>
      </c>
      <c r="M1162" s="18">
        <f t="shared" si="167"/>
        <v>0</v>
      </c>
      <c r="N1162" s="19">
        <v>0</v>
      </c>
      <c r="O1162" s="19">
        <v>0</v>
      </c>
      <c r="P1162" s="19">
        <v>0</v>
      </c>
      <c r="Q1162" s="19">
        <v>0</v>
      </c>
      <c r="R1162" s="19">
        <v>0</v>
      </c>
      <c r="S1162" s="19">
        <v>0</v>
      </c>
      <c r="T1162" s="18">
        <v>1</v>
      </c>
      <c r="U1162" s="18">
        <v>0</v>
      </c>
      <c r="V1162" s="18">
        <v>1</v>
      </c>
      <c r="W1162" s="18">
        <v>1</v>
      </c>
      <c r="X1162" s="18">
        <v>0</v>
      </c>
      <c r="Y1162" s="18">
        <v>0</v>
      </c>
      <c r="Z1162" s="18" t="s">
        <v>450</v>
      </c>
    </row>
    <row r="1163" spans="1:29" s="18" customFormat="1" ht="15" customHeight="1" x14ac:dyDescent="0.15">
      <c r="A1163" s="18">
        <v>30114</v>
      </c>
      <c r="B1163" s="18" t="s">
        <v>517</v>
      </c>
      <c r="C1163" s="18">
        <f t="shared" si="166"/>
        <v>5</v>
      </c>
      <c r="D1163" s="18">
        <v>1</v>
      </c>
      <c r="F1163" s="12">
        <v>0</v>
      </c>
      <c r="G1163" s="19">
        <v>1</v>
      </c>
      <c r="H1163" s="19">
        <v>0</v>
      </c>
      <c r="I1163" s="19">
        <v>1</v>
      </c>
      <c r="J1163" s="19">
        <v>0</v>
      </c>
      <c r="K1163" s="19">
        <v>0</v>
      </c>
      <c r="L1163" s="18">
        <v>1</v>
      </c>
      <c r="M1163" s="18">
        <f t="shared" si="167"/>
        <v>0</v>
      </c>
      <c r="N1163" s="19">
        <v>0</v>
      </c>
      <c r="O1163" s="19">
        <v>0</v>
      </c>
      <c r="P1163" s="19">
        <v>0</v>
      </c>
      <c r="Q1163" s="19">
        <v>0</v>
      </c>
      <c r="R1163" s="19">
        <v>0</v>
      </c>
      <c r="S1163" s="19">
        <v>0</v>
      </c>
      <c r="T1163" s="18">
        <v>1</v>
      </c>
      <c r="U1163" s="18">
        <v>0</v>
      </c>
      <c r="V1163" s="18">
        <v>1</v>
      </c>
      <c r="W1163" s="18">
        <v>1</v>
      </c>
      <c r="X1163" s="18">
        <v>0</v>
      </c>
      <c r="Y1163" s="18">
        <v>0</v>
      </c>
      <c r="Z1163" s="18" t="s">
        <v>518</v>
      </c>
    </row>
    <row r="1164" spans="1:29" s="18" customFormat="1" ht="15" customHeight="1" x14ac:dyDescent="0.15">
      <c r="A1164" s="18">
        <v>31001</v>
      </c>
      <c r="B1164" s="18" t="s">
        <v>128</v>
      </c>
      <c r="C1164" s="18">
        <f t="shared" ref="C1164:C1172" si="168">G1164+H1164*2+I1164*4+J1164*8+K1164*16</f>
        <v>5</v>
      </c>
      <c r="D1164" s="18">
        <v>1</v>
      </c>
      <c r="F1164" s="12">
        <v>0</v>
      </c>
      <c r="G1164" s="19">
        <v>1</v>
      </c>
      <c r="H1164" s="19">
        <v>0</v>
      </c>
      <c r="I1164" s="19">
        <v>1</v>
      </c>
      <c r="J1164" s="19">
        <v>0</v>
      </c>
      <c r="K1164" s="19">
        <v>0</v>
      </c>
      <c r="L1164" s="18">
        <v>1</v>
      </c>
      <c r="M1164" s="18">
        <f t="shared" ref="M1164:M1197" si="169">N1164+O1164*2+P1164*4+Q1164*8+R1164*16+S1164*32</f>
        <v>0</v>
      </c>
      <c r="N1164" s="19">
        <v>0</v>
      </c>
      <c r="O1164" s="19">
        <v>0</v>
      </c>
      <c r="P1164" s="19">
        <v>0</v>
      </c>
      <c r="Q1164" s="19">
        <v>0</v>
      </c>
      <c r="R1164" s="19">
        <v>0</v>
      </c>
      <c r="S1164" s="19">
        <v>0</v>
      </c>
      <c r="T1164" s="18">
        <v>1</v>
      </c>
      <c r="U1164" s="18">
        <v>1</v>
      </c>
      <c r="V1164" s="18">
        <v>1</v>
      </c>
      <c r="W1164" s="18">
        <v>0</v>
      </c>
      <c r="X1164" s="18">
        <v>0</v>
      </c>
      <c r="Y1164" s="18">
        <v>0</v>
      </c>
      <c r="Z1164" s="18" t="s">
        <v>635</v>
      </c>
      <c r="AC1164" s="20"/>
    </row>
    <row r="1165" spans="1:29" s="18" customFormat="1" ht="15" customHeight="1" x14ac:dyDescent="0.15">
      <c r="A1165" s="18">
        <v>31002</v>
      </c>
      <c r="B1165" s="18" t="s">
        <v>128</v>
      </c>
      <c r="C1165" s="18">
        <f t="shared" si="168"/>
        <v>5</v>
      </c>
      <c r="D1165" s="18">
        <v>1</v>
      </c>
      <c r="F1165" s="12">
        <v>0</v>
      </c>
      <c r="G1165" s="19">
        <v>1</v>
      </c>
      <c r="H1165" s="19">
        <v>0</v>
      </c>
      <c r="I1165" s="19">
        <v>1</v>
      </c>
      <c r="J1165" s="19">
        <v>0</v>
      </c>
      <c r="K1165" s="19">
        <v>0</v>
      </c>
      <c r="L1165" s="18">
        <v>1</v>
      </c>
      <c r="M1165" s="18">
        <f t="shared" si="169"/>
        <v>0</v>
      </c>
      <c r="N1165" s="19">
        <v>0</v>
      </c>
      <c r="O1165" s="19">
        <v>0</v>
      </c>
      <c r="P1165" s="19">
        <v>0</v>
      </c>
      <c r="Q1165" s="19">
        <v>0</v>
      </c>
      <c r="R1165" s="19">
        <v>0</v>
      </c>
      <c r="S1165" s="19">
        <v>0</v>
      </c>
      <c r="T1165" s="18">
        <v>1</v>
      </c>
      <c r="U1165" s="18">
        <v>1</v>
      </c>
      <c r="V1165" s="18">
        <v>1</v>
      </c>
      <c r="W1165" s="18">
        <v>0</v>
      </c>
      <c r="X1165" s="18">
        <v>0</v>
      </c>
      <c r="Y1165" s="18">
        <v>0</v>
      </c>
      <c r="Z1165" s="18" t="s">
        <v>636</v>
      </c>
      <c r="AC1165" s="20"/>
    </row>
    <row r="1166" spans="1:29" s="18" customFormat="1" ht="15" customHeight="1" x14ac:dyDescent="0.15">
      <c r="A1166" s="18">
        <v>31003</v>
      </c>
      <c r="B1166" s="18" t="s">
        <v>128</v>
      </c>
      <c r="C1166" s="18">
        <f t="shared" si="168"/>
        <v>5</v>
      </c>
      <c r="D1166" s="18">
        <v>1</v>
      </c>
      <c r="F1166" s="12">
        <v>0</v>
      </c>
      <c r="G1166" s="19">
        <v>1</v>
      </c>
      <c r="H1166" s="19">
        <v>0</v>
      </c>
      <c r="I1166" s="19">
        <v>1</v>
      </c>
      <c r="J1166" s="19">
        <v>0</v>
      </c>
      <c r="K1166" s="19">
        <v>0</v>
      </c>
      <c r="L1166" s="18">
        <v>1</v>
      </c>
      <c r="M1166" s="18">
        <f t="shared" si="169"/>
        <v>0</v>
      </c>
      <c r="N1166" s="19">
        <v>0</v>
      </c>
      <c r="O1166" s="19">
        <v>0</v>
      </c>
      <c r="P1166" s="19">
        <v>0</v>
      </c>
      <c r="Q1166" s="19">
        <v>0</v>
      </c>
      <c r="R1166" s="19">
        <v>0</v>
      </c>
      <c r="S1166" s="19">
        <v>0</v>
      </c>
      <c r="T1166" s="18">
        <v>1</v>
      </c>
      <c r="U1166" s="18">
        <v>1</v>
      </c>
      <c r="V1166" s="18">
        <v>1</v>
      </c>
      <c r="W1166" s="18">
        <v>0</v>
      </c>
      <c r="X1166" s="18">
        <v>0</v>
      </c>
      <c r="Y1166" s="18">
        <v>0</v>
      </c>
      <c r="Z1166" s="18" t="s">
        <v>637</v>
      </c>
      <c r="AC1166" s="20"/>
    </row>
    <row r="1167" spans="1:29" s="18" customFormat="1" ht="15" customHeight="1" x14ac:dyDescent="0.15">
      <c r="A1167" s="18">
        <v>31004</v>
      </c>
      <c r="B1167" s="18" t="s">
        <v>128</v>
      </c>
      <c r="C1167" s="18">
        <f t="shared" si="168"/>
        <v>5</v>
      </c>
      <c r="D1167" s="18">
        <v>1</v>
      </c>
      <c r="F1167" s="12">
        <v>0</v>
      </c>
      <c r="G1167" s="19">
        <v>1</v>
      </c>
      <c r="H1167" s="19">
        <v>0</v>
      </c>
      <c r="I1167" s="19">
        <v>1</v>
      </c>
      <c r="J1167" s="19">
        <v>0</v>
      </c>
      <c r="K1167" s="19">
        <v>0</v>
      </c>
      <c r="L1167" s="18">
        <v>1</v>
      </c>
      <c r="M1167" s="18">
        <f t="shared" si="169"/>
        <v>0</v>
      </c>
      <c r="N1167" s="19">
        <v>0</v>
      </c>
      <c r="O1167" s="19">
        <v>0</v>
      </c>
      <c r="P1167" s="19">
        <v>0</v>
      </c>
      <c r="Q1167" s="19">
        <v>0</v>
      </c>
      <c r="R1167" s="19">
        <v>0</v>
      </c>
      <c r="S1167" s="19">
        <v>0</v>
      </c>
      <c r="T1167" s="18">
        <v>1</v>
      </c>
      <c r="U1167" s="18">
        <v>1</v>
      </c>
      <c r="V1167" s="18">
        <v>1</v>
      </c>
      <c r="W1167" s="18">
        <v>0</v>
      </c>
      <c r="X1167" s="18">
        <v>0</v>
      </c>
      <c r="Y1167" s="18">
        <v>0</v>
      </c>
      <c r="Z1167" s="18" t="s">
        <v>638</v>
      </c>
      <c r="AC1167" s="20"/>
    </row>
    <row r="1168" spans="1:29" s="18" customFormat="1" ht="15" customHeight="1" x14ac:dyDescent="0.15">
      <c r="A1168" s="18">
        <v>31005</v>
      </c>
      <c r="B1168" s="18" t="s">
        <v>128</v>
      </c>
      <c r="C1168" s="18">
        <f t="shared" si="168"/>
        <v>5</v>
      </c>
      <c r="D1168" s="18">
        <v>1</v>
      </c>
      <c r="F1168" s="12">
        <v>0</v>
      </c>
      <c r="G1168" s="19">
        <v>1</v>
      </c>
      <c r="H1168" s="19">
        <v>0</v>
      </c>
      <c r="I1168" s="19">
        <v>1</v>
      </c>
      <c r="J1168" s="19">
        <v>0</v>
      </c>
      <c r="K1168" s="19">
        <v>0</v>
      </c>
      <c r="L1168" s="18">
        <v>1</v>
      </c>
      <c r="M1168" s="18">
        <f t="shared" si="169"/>
        <v>0</v>
      </c>
      <c r="N1168" s="19">
        <v>0</v>
      </c>
      <c r="O1168" s="19">
        <v>0</v>
      </c>
      <c r="P1168" s="19">
        <v>0</v>
      </c>
      <c r="Q1168" s="19">
        <v>0</v>
      </c>
      <c r="R1168" s="19">
        <v>0</v>
      </c>
      <c r="S1168" s="19">
        <v>0</v>
      </c>
      <c r="T1168" s="18">
        <v>1</v>
      </c>
      <c r="U1168" s="18">
        <v>1</v>
      </c>
      <c r="V1168" s="18">
        <v>1</v>
      </c>
      <c r="W1168" s="18">
        <v>0</v>
      </c>
      <c r="X1168" s="18">
        <v>0</v>
      </c>
      <c r="Y1168" s="18">
        <v>0</v>
      </c>
      <c r="Z1168" s="18" t="s">
        <v>639</v>
      </c>
      <c r="AC1168" s="20"/>
    </row>
    <row r="1169" spans="1:29" s="18" customFormat="1" ht="15" customHeight="1" x14ac:dyDescent="0.15">
      <c r="A1169" s="18">
        <v>31006</v>
      </c>
      <c r="B1169" s="18" t="s">
        <v>128</v>
      </c>
      <c r="C1169" s="18">
        <f t="shared" si="168"/>
        <v>5</v>
      </c>
      <c r="D1169" s="18">
        <v>1</v>
      </c>
      <c r="F1169" s="12">
        <v>0</v>
      </c>
      <c r="G1169" s="19">
        <v>1</v>
      </c>
      <c r="H1169" s="19">
        <v>0</v>
      </c>
      <c r="I1169" s="19">
        <v>1</v>
      </c>
      <c r="J1169" s="19">
        <v>0</v>
      </c>
      <c r="K1169" s="19">
        <v>0</v>
      </c>
      <c r="L1169" s="18">
        <v>1</v>
      </c>
      <c r="M1169" s="18">
        <f t="shared" si="169"/>
        <v>0</v>
      </c>
      <c r="N1169" s="19">
        <v>0</v>
      </c>
      <c r="O1169" s="19">
        <v>0</v>
      </c>
      <c r="P1169" s="19">
        <v>0</v>
      </c>
      <c r="Q1169" s="19">
        <v>0</v>
      </c>
      <c r="R1169" s="19">
        <v>0</v>
      </c>
      <c r="S1169" s="19">
        <v>0</v>
      </c>
      <c r="T1169" s="18">
        <v>1</v>
      </c>
      <c r="U1169" s="18">
        <v>1</v>
      </c>
      <c r="V1169" s="18">
        <v>1</v>
      </c>
      <c r="W1169" s="18">
        <v>0</v>
      </c>
      <c r="X1169" s="18">
        <v>0</v>
      </c>
      <c r="Y1169" s="18">
        <v>0</v>
      </c>
      <c r="Z1169" s="18" t="s">
        <v>640</v>
      </c>
      <c r="AC1169" s="20"/>
    </row>
    <row r="1170" spans="1:29" s="18" customFormat="1" ht="15" customHeight="1" x14ac:dyDescent="0.15">
      <c r="A1170" s="18">
        <v>31007</v>
      </c>
      <c r="B1170" s="18" t="s">
        <v>128</v>
      </c>
      <c r="C1170" s="18">
        <f t="shared" si="168"/>
        <v>5</v>
      </c>
      <c r="D1170" s="18">
        <v>1</v>
      </c>
      <c r="F1170" s="12">
        <v>0</v>
      </c>
      <c r="G1170" s="19">
        <v>1</v>
      </c>
      <c r="H1170" s="19">
        <v>0</v>
      </c>
      <c r="I1170" s="19">
        <v>1</v>
      </c>
      <c r="J1170" s="19">
        <v>0</v>
      </c>
      <c r="K1170" s="19">
        <v>0</v>
      </c>
      <c r="L1170" s="18">
        <v>1</v>
      </c>
      <c r="M1170" s="18">
        <f t="shared" si="169"/>
        <v>0</v>
      </c>
      <c r="N1170" s="19">
        <v>0</v>
      </c>
      <c r="O1170" s="19">
        <v>0</v>
      </c>
      <c r="P1170" s="19">
        <v>0</v>
      </c>
      <c r="Q1170" s="19">
        <v>0</v>
      </c>
      <c r="R1170" s="19">
        <v>0</v>
      </c>
      <c r="S1170" s="19">
        <v>0</v>
      </c>
      <c r="T1170" s="18">
        <v>1</v>
      </c>
      <c r="U1170" s="18">
        <v>1</v>
      </c>
      <c r="V1170" s="18">
        <v>1</v>
      </c>
      <c r="W1170" s="18">
        <v>0</v>
      </c>
      <c r="X1170" s="18">
        <v>0</v>
      </c>
      <c r="Y1170" s="18">
        <v>0</v>
      </c>
      <c r="Z1170" s="18" t="s">
        <v>641</v>
      </c>
      <c r="AC1170" s="20"/>
    </row>
    <row r="1171" spans="1:29" s="18" customFormat="1" ht="15" customHeight="1" x14ac:dyDescent="0.15">
      <c r="A1171" s="18">
        <v>31008</v>
      </c>
      <c r="B1171" s="18" t="s">
        <v>128</v>
      </c>
      <c r="C1171" s="18">
        <f t="shared" si="168"/>
        <v>5</v>
      </c>
      <c r="D1171" s="18">
        <v>1</v>
      </c>
      <c r="F1171" s="12">
        <v>0</v>
      </c>
      <c r="G1171" s="19">
        <v>1</v>
      </c>
      <c r="H1171" s="19">
        <v>0</v>
      </c>
      <c r="I1171" s="19">
        <v>1</v>
      </c>
      <c r="J1171" s="19">
        <v>0</v>
      </c>
      <c r="K1171" s="19">
        <v>0</v>
      </c>
      <c r="L1171" s="18">
        <v>1</v>
      </c>
      <c r="M1171" s="18">
        <f t="shared" si="169"/>
        <v>0</v>
      </c>
      <c r="N1171" s="19">
        <v>0</v>
      </c>
      <c r="O1171" s="19">
        <v>0</v>
      </c>
      <c r="P1171" s="19">
        <v>0</v>
      </c>
      <c r="Q1171" s="19">
        <v>0</v>
      </c>
      <c r="R1171" s="19">
        <v>0</v>
      </c>
      <c r="S1171" s="19">
        <v>0</v>
      </c>
      <c r="T1171" s="18">
        <v>1</v>
      </c>
      <c r="U1171" s="18">
        <v>1</v>
      </c>
      <c r="V1171" s="18">
        <v>1</v>
      </c>
      <c r="W1171" s="18">
        <v>0</v>
      </c>
      <c r="X1171" s="18">
        <v>0</v>
      </c>
      <c r="Y1171" s="18">
        <v>0</v>
      </c>
      <c r="Z1171" s="18" t="s">
        <v>642</v>
      </c>
      <c r="AC1171" s="20"/>
    </row>
    <row r="1172" spans="1:29" s="18" customFormat="1" ht="15" customHeight="1" x14ac:dyDescent="0.15">
      <c r="A1172" s="18">
        <v>31011</v>
      </c>
      <c r="B1172" s="18" t="s">
        <v>129</v>
      </c>
      <c r="C1172" s="18">
        <f t="shared" si="168"/>
        <v>5</v>
      </c>
      <c r="D1172" s="18">
        <v>1</v>
      </c>
      <c r="F1172" s="12">
        <v>0</v>
      </c>
      <c r="G1172" s="19">
        <v>1</v>
      </c>
      <c r="H1172" s="19">
        <v>0</v>
      </c>
      <c r="I1172" s="19">
        <v>1</v>
      </c>
      <c r="J1172" s="19">
        <v>0</v>
      </c>
      <c r="K1172" s="19">
        <v>0</v>
      </c>
      <c r="L1172" s="18">
        <v>1</v>
      </c>
      <c r="M1172" s="18">
        <f t="shared" si="169"/>
        <v>0</v>
      </c>
      <c r="N1172" s="19">
        <v>0</v>
      </c>
      <c r="O1172" s="19">
        <v>0</v>
      </c>
      <c r="P1172" s="19">
        <v>0</v>
      </c>
      <c r="Q1172" s="19">
        <v>0</v>
      </c>
      <c r="R1172" s="19">
        <v>0</v>
      </c>
      <c r="S1172" s="19">
        <v>0</v>
      </c>
      <c r="T1172" s="18">
        <v>1</v>
      </c>
      <c r="U1172" s="18">
        <v>1</v>
      </c>
      <c r="V1172" s="18">
        <v>1</v>
      </c>
      <c r="W1172" s="18">
        <v>0</v>
      </c>
      <c r="X1172" s="18">
        <v>0</v>
      </c>
      <c r="Y1172" s="18">
        <v>0</v>
      </c>
      <c r="Z1172" s="18" t="s">
        <v>643</v>
      </c>
      <c r="AC1172" s="20"/>
    </row>
    <row r="1173" spans="1:29" s="18" customFormat="1" ht="15" customHeight="1" x14ac:dyDescent="0.15">
      <c r="A1173" s="18">
        <v>31012</v>
      </c>
      <c r="B1173" s="18" t="s">
        <v>129</v>
      </c>
      <c r="C1173" s="18">
        <f t="shared" ref="C1173:C1293" si="170">G1173+H1173*2+I1173*4+J1173*8+K1173*16</f>
        <v>5</v>
      </c>
      <c r="D1173" s="18">
        <v>1</v>
      </c>
      <c r="F1173" s="12">
        <v>0</v>
      </c>
      <c r="G1173" s="19">
        <v>1</v>
      </c>
      <c r="H1173" s="19">
        <v>0</v>
      </c>
      <c r="I1173" s="19">
        <v>1</v>
      </c>
      <c r="J1173" s="19">
        <v>0</v>
      </c>
      <c r="K1173" s="19">
        <v>0</v>
      </c>
      <c r="L1173" s="18">
        <v>1</v>
      </c>
      <c r="M1173" s="18">
        <f t="shared" si="169"/>
        <v>0</v>
      </c>
      <c r="N1173" s="19">
        <v>0</v>
      </c>
      <c r="O1173" s="19">
        <v>0</v>
      </c>
      <c r="P1173" s="19">
        <v>0</v>
      </c>
      <c r="Q1173" s="19">
        <v>0</v>
      </c>
      <c r="R1173" s="19">
        <v>0</v>
      </c>
      <c r="S1173" s="19">
        <v>0</v>
      </c>
      <c r="T1173" s="18">
        <v>1</v>
      </c>
      <c r="U1173" s="18">
        <v>1</v>
      </c>
      <c r="V1173" s="18">
        <v>1</v>
      </c>
      <c r="W1173" s="18">
        <v>0</v>
      </c>
      <c r="X1173" s="18">
        <v>0</v>
      </c>
      <c r="Y1173" s="18">
        <v>0</v>
      </c>
      <c r="Z1173" s="18" t="s">
        <v>644</v>
      </c>
      <c r="AC1173" s="20"/>
    </row>
    <row r="1174" spans="1:29" s="18" customFormat="1" ht="15" customHeight="1" x14ac:dyDescent="0.15">
      <c r="A1174" s="18">
        <v>31013</v>
      </c>
      <c r="B1174" s="18" t="s">
        <v>129</v>
      </c>
      <c r="C1174" s="18">
        <f t="shared" si="170"/>
        <v>5</v>
      </c>
      <c r="D1174" s="18">
        <v>1</v>
      </c>
      <c r="F1174" s="12">
        <v>0</v>
      </c>
      <c r="G1174" s="19">
        <v>1</v>
      </c>
      <c r="H1174" s="19">
        <v>0</v>
      </c>
      <c r="I1174" s="19">
        <v>1</v>
      </c>
      <c r="J1174" s="19">
        <v>0</v>
      </c>
      <c r="K1174" s="19">
        <v>0</v>
      </c>
      <c r="L1174" s="18">
        <v>1</v>
      </c>
      <c r="M1174" s="18">
        <f t="shared" si="169"/>
        <v>0</v>
      </c>
      <c r="N1174" s="19">
        <v>0</v>
      </c>
      <c r="O1174" s="19">
        <v>0</v>
      </c>
      <c r="P1174" s="19">
        <v>0</v>
      </c>
      <c r="Q1174" s="19">
        <v>0</v>
      </c>
      <c r="R1174" s="19">
        <v>0</v>
      </c>
      <c r="S1174" s="19">
        <v>0</v>
      </c>
      <c r="T1174" s="18">
        <v>1</v>
      </c>
      <c r="U1174" s="18">
        <v>1</v>
      </c>
      <c r="V1174" s="18">
        <v>1</v>
      </c>
      <c r="W1174" s="18">
        <v>0</v>
      </c>
      <c r="X1174" s="18">
        <v>0</v>
      </c>
      <c r="Y1174" s="18">
        <v>0</v>
      </c>
      <c r="Z1174" s="18" t="s">
        <v>645</v>
      </c>
      <c r="AC1174" s="20"/>
    </row>
    <row r="1175" spans="1:29" s="18" customFormat="1" ht="15" customHeight="1" x14ac:dyDescent="0.15">
      <c r="A1175" s="18">
        <v>31014</v>
      </c>
      <c r="B1175" s="18" t="s">
        <v>129</v>
      </c>
      <c r="C1175" s="18">
        <f t="shared" si="170"/>
        <v>5</v>
      </c>
      <c r="D1175" s="18">
        <v>1</v>
      </c>
      <c r="F1175" s="12">
        <v>0</v>
      </c>
      <c r="G1175" s="19">
        <v>1</v>
      </c>
      <c r="H1175" s="19">
        <v>0</v>
      </c>
      <c r="I1175" s="19">
        <v>1</v>
      </c>
      <c r="J1175" s="19">
        <v>0</v>
      </c>
      <c r="K1175" s="19">
        <v>0</v>
      </c>
      <c r="L1175" s="18">
        <v>1</v>
      </c>
      <c r="M1175" s="18">
        <f t="shared" si="169"/>
        <v>0</v>
      </c>
      <c r="N1175" s="19">
        <v>0</v>
      </c>
      <c r="O1175" s="19">
        <v>0</v>
      </c>
      <c r="P1175" s="19">
        <v>0</v>
      </c>
      <c r="Q1175" s="19">
        <v>0</v>
      </c>
      <c r="R1175" s="19">
        <v>0</v>
      </c>
      <c r="S1175" s="19">
        <v>0</v>
      </c>
      <c r="T1175" s="18">
        <v>1</v>
      </c>
      <c r="U1175" s="18">
        <v>1</v>
      </c>
      <c r="V1175" s="18">
        <v>1</v>
      </c>
      <c r="W1175" s="18">
        <v>0</v>
      </c>
      <c r="X1175" s="18">
        <v>0</v>
      </c>
      <c r="Y1175" s="18">
        <v>0</v>
      </c>
      <c r="Z1175" s="18" t="s">
        <v>646</v>
      </c>
      <c r="AC1175" s="20"/>
    </row>
    <row r="1176" spans="1:29" s="18" customFormat="1" ht="15" customHeight="1" x14ac:dyDescent="0.15">
      <c r="A1176" s="18">
        <v>31015</v>
      </c>
      <c r="B1176" s="18" t="s">
        <v>129</v>
      </c>
      <c r="C1176" s="18">
        <f t="shared" si="170"/>
        <v>5</v>
      </c>
      <c r="D1176" s="18">
        <v>1</v>
      </c>
      <c r="F1176" s="12">
        <v>0</v>
      </c>
      <c r="G1176" s="19">
        <v>1</v>
      </c>
      <c r="H1176" s="19">
        <v>0</v>
      </c>
      <c r="I1176" s="19">
        <v>1</v>
      </c>
      <c r="J1176" s="19">
        <v>0</v>
      </c>
      <c r="K1176" s="19">
        <v>0</v>
      </c>
      <c r="L1176" s="18">
        <v>1</v>
      </c>
      <c r="M1176" s="18">
        <f t="shared" si="169"/>
        <v>0</v>
      </c>
      <c r="N1176" s="19">
        <v>0</v>
      </c>
      <c r="O1176" s="19">
        <v>0</v>
      </c>
      <c r="P1176" s="19">
        <v>0</v>
      </c>
      <c r="Q1176" s="19">
        <v>0</v>
      </c>
      <c r="R1176" s="19">
        <v>0</v>
      </c>
      <c r="S1176" s="19">
        <v>0</v>
      </c>
      <c r="T1176" s="18">
        <v>1</v>
      </c>
      <c r="U1176" s="18">
        <v>1</v>
      </c>
      <c r="V1176" s="18">
        <v>1</v>
      </c>
      <c r="W1176" s="18">
        <v>0</v>
      </c>
      <c r="X1176" s="18">
        <v>0</v>
      </c>
      <c r="Y1176" s="18">
        <v>0</v>
      </c>
      <c r="Z1176" s="18" t="s">
        <v>647</v>
      </c>
      <c r="AC1176" s="20"/>
    </row>
    <row r="1177" spans="1:29" s="18" customFormat="1" ht="15" customHeight="1" x14ac:dyDescent="0.15">
      <c r="A1177" s="18">
        <v>31016</v>
      </c>
      <c r="B1177" s="18" t="s">
        <v>129</v>
      </c>
      <c r="C1177" s="18">
        <f t="shared" si="170"/>
        <v>5</v>
      </c>
      <c r="D1177" s="18">
        <v>1</v>
      </c>
      <c r="F1177" s="12">
        <v>0</v>
      </c>
      <c r="G1177" s="19">
        <v>1</v>
      </c>
      <c r="H1177" s="19">
        <v>0</v>
      </c>
      <c r="I1177" s="19">
        <v>1</v>
      </c>
      <c r="J1177" s="19">
        <v>0</v>
      </c>
      <c r="K1177" s="19">
        <v>0</v>
      </c>
      <c r="L1177" s="18">
        <v>1</v>
      </c>
      <c r="M1177" s="18">
        <f t="shared" si="169"/>
        <v>0</v>
      </c>
      <c r="N1177" s="19">
        <v>0</v>
      </c>
      <c r="O1177" s="19">
        <v>0</v>
      </c>
      <c r="P1177" s="19">
        <v>0</v>
      </c>
      <c r="Q1177" s="19">
        <v>0</v>
      </c>
      <c r="R1177" s="19">
        <v>0</v>
      </c>
      <c r="S1177" s="19">
        <v>0</v>
      </c>
      <c r="T1177" s="18">
        <v>1</v>
      </c>
      <c r="U1177" s="18">
        <v>1</v>
      </c>
      <c r="V1177" s="18">
        <v>1</v>
      </c>
      <c r="W1177" s="18">
        <v>0</v>
      </c>
      <c r="X1177" s="18">
        <v>0</v>
      </c>
      <c r="Y1177" s="18">
        <v>0</v>
      </c>
      <c r="Z1177" s="18" t="s">
        <v>648</v>
      </c>
      <c r="AC1177" s="20"/>
    </row>
    <row r="1178" spans="1:29" s="18" customFormat="1" ht="15" customHeight="1" x14ac:dyDescent="0.15">
      <c r="A1178" s="18">
        <v>31017</v>
      </c>
      <c r="B1178" s="18" t="s">
        <v>129</v>
      </c>
      <c r="C1178" s="18">
        <f t="shared" si="170"/>
        <v>5</v>
      </c>
      <c r="D1178" s="18">
        <v>1</v>
      </c>
      <c r="F1178" s="12">
        <v>0</v>
      </c>
      <c r="G1178" s="19">
        <v>1</v>
      </c>
      <c r="H1178" s="19">
        <v>0</v>
      </c>
      <c r="I1178" s="19">
        <v>1</v>
      </c>
      <c r="J1178" s="19">
        <v>0</v>
      </c>
      <c r="K1178" s="19">
        <v>0</v>
      </c>
      <c r="L1178" s="18">
        <v>1</v>
      </c>
      <c r="M1178" s="18">
        <f t="shared" si="169"/>
        <v>0</v>
      </c>
      <c r="N1178" s="19">
        <v>0</v>
      </c>
      <c r="O1178" s="19">
        <v>0</v>
      </c>
      <c r="P1178" s="19">
        <v>0</v>
      </c>
      <c r="Q1178" s="19">
        <v>0</v>
      </c>
      <c r="R1178" s="19">
        <v>0</v>
      </c>
      <c r="S1178" s="19">
        <v>0</v>
      </c>
      <c r="T1178" s="18">
        <v>1</v>
      </c>
      <c r="U1178" s="18">
        <v>1</v>
      </c>
      <c r="V1178" s="18">
        <v>1</v>
      </c>
      <c r="W1178" s="18">
        <v>0</v>
      </c>
      <c r="X1178" s="18">
        <v>0</v>
      </c>
      <c r="Y1178" s="18">
        <v>0</v>
      </c>
      <c r="Z1178" s="18" t="s">
        <v>649</v>
      </c>
      <c r="AC1178" s="20"/>
    </row>
    <row r="1179" spans="1:29" s="18" customFormat="1" ht="15" customHeight="1" x14ac:dyDescent="0.15">
      <c r="A1179" s="18">
        <v>31018</v>
      </c>
      <c r="B1179" s="18" t="s">
        <v>129</v>
      </c>
      <c r="C1179" s="18">
        <f t="shared" si="170"/>
        <v>5</v>
      </c>
      <c r="D1179" s="18">
        <v>1</v>
      </c>
      <c r="F1179" s="12">
        <v>0</v>
      </c>
      <c r="G1179" s="19">
        <v>1</v>
      </c>
      <c r="H1179" s="19">
        <v>0</v>
      </c>
      <c r="I1179" s="19">
        <v>1</v>
      </c>
      <c r="J1179" s="19">
        <v>0</v>
      </c>
      <c r="K1179" s="19">
        <v>0</v>
      </c>
      <c r="L1179" s="18">
        <v>1</v>
      </c>
      <c r="M1179" s="18">
        <f t="shared" si="169"/>
        <v>0</v>
      </c>
      <c r="N1179" s="19">
        <v>0</v>
      </c>
      <c r="O1179" s="19">
        <v>0</v>
      </c>
      <c r="P1179" s="19">
        <v>0</v>
      </c>
      <c r="Q1179" s="19">
        <v>0</v>
      </c>
      <c r="R1179" s="19">
        <v>0</v>
      </c>
      <c r="S1179" s="19">
        <v>0</v>
      </c>
      <c r="T1179" s="18">
        <v>1</v>
      </c>
      <c r="U1179" s="18">
        <v>1</v>
      </c>
      <c r="V1179" s="18">
        <v>1</v>
      </c>
      <c r="W1179" s="18">
        <v>0</v>
      </c>
      <c r="X1179" s="18">
        <v>0</v>
      </c>
      <c r="Y1179" s="18">
        <v>0</v>
      </c>
      <c r="Z1179" s="18" t="s">
        <v>650</v>
      </c>
      <c r="AC1179" s="20"/>
    </row>
    <row r="1180" spans="1:29" s="18" customFormat="1" ht="15" customHeight="1" x14ac:dyDescent="0.15">
      <c r="A1180" s="18">
        <v>31021</v>
      </c>
      <c r="B1180" s="18" t="s">
        <v>130</v>
      </c>
      <c r="C1180" s="18">
        <f t="shared" si="170"/>
        <v>5</v>
      </c>
      <c r="D1180" s="18">
        <v>1</v>
      </c>
      <c r="F1180" s="12">
        <v>0</v>
      </c>
      <c r="G1180" s="19">
        <v>1</v>
      </c>
      <c r="H1180" s="19">
        <v>0</v>
      </c>
      <c r="I1180" s="19">
        <v>1</v>
      </c>
      <c r="J1180" s="19">
        <v>0</v>
      </c>
      <c r="K1180" s="19">
        <v>0</v>
      </c>
      <c r="L1180" s="18">
        <v>1</v>
      </c>
      <c r="M1180" s="18">
        <f t="shared" si="169"/>
        <v>0</v>
      </c>
      <c r="N1180" s="19">
        <v>0</v>
      </c>
      <c r="O1180" s="19">
        <v>0</v>
      </c>
      <c r="P1180" s="19">
        <v>0</v>
      </c>
      <c r="Q1180" s="19">
        <v>0</v>
      </c>
      <c r="R1180" s="19">
        <v>0</v>
      </c>
      <c r="S1180" s="19">
        <v>0</v>
      </c>
      <c r="T1180" s="18">
        <v>1</v>
      </c>
      <c r="U1180" s="18">
        <v>1</v>
      </c>
      <c r="V1180" s="18">
        <v>1</v>
      </c>
      <c r="W1180" s="18">
        <v>0</v>
      </c>
      <c r="X1180" s="18">
        <v>0</v>
      </c>
      <c r="Y1180" s="18">
        <v>0</v>
      </c>
      <c r="Z1180" s="18" t="s">
        <v>651</v>
      </c>
      <c r="AC1180" s="20"/>
    </row>
    <row r="1181" spans="1:29" s="18" customFormat="1" ht="15" customHeight="1" x14ac:dyDescent="0.15">
      <c r="A1181" s="18">
        <v>31022</v>
      </c>
      <c r="B1181" s="18" t="s">
        <v>130</v>
      </c>
      <c r="C1181" s="18">
        <f t="shared" si="170"/>
        <v>5</v>
      </c>
      <c r="D1181" s="18">
        <v>1</v>
      </c>
      <c r="F1181" s="12">
        <v>0</v>
      </c>
      <c r="G1181" s="19">
        <v>1</v>
      </c>
      <c r="H1181" s="19">
        <v>0</v>
      </c>
      <c r="I1181" s="19">
        <v>1</v>
      </c>
      <c r="J1181" s="19">
        <v>0</v>
      </c>
      <c r="K1181" s="19">
        <v>0</v>
      </c>
      <c r="L1181" s="18">
        <v>1</v>
      </c>
      <c r="M1181" s="18">
        <f t="shared" si="169"/>
        <v>0</v>
      </c>
      <c r="N1181" s="19">
        <v>0</v>
      </c>
      <c r="O1181" s="19">
        <v>0</v>
      </c>
      <c r="P1181" s="19">
        <v>0</v>
      </c>
      <c r="Q1181" s="19">
        <v>0</v>
      </c>
      <c r="R1181" s="19">
        <v>0</v>
      </c>
      <c r="S1181" s="19">
        <v>0</v>
      </c>
      <c r="T1181" s="18">
        <v>1</v>
      </c>
      <c r="U1181" s="18">
        <v>1</v>
      </c>
      <c r="V1181" s="18">
        <v>1</v>
      </c>
      <c r="W1181" s="18">
        <v>0</v>
      </c>
      <c r="X1181" s="18">
        <v>0</v>
      </c>
      <c r="Y1181" s="18">
        <v>0</v>
      </c>
      <c r="Z1181" s="18" t="s">
        <v>652</v>
      </c>
      <c r="AC1181" s="20"/>
    </row>
    <row r="1182" spans="1:29" s="18" customFormat="1" ht="15" customHeight="1" x14ac:dyDescent="0.15">
      <c r="A1182" s="18">
        <v>31023</v>
      </c>
      <c r="B1182" s="18" t="s">
        <v>130</v>
      </c>
      <c r="C1182" s="18">
        <f t="shared" si="170"/>
        <v>5</v>
      </c>
      <c r="D1182" s="18">
        <v>1</v>
      </c>
      <c r="F1182" s="12">
        <v>0</v>
      </c>
      <c r="G1182" s="19">
        <v>1</v>
      </c>
      <c r="H1182" s="19">
        <v>0</v>
      </c>
      <c r="I1182" s="19">
        <v>1</v>
      </c>
      <c r="J1182" s="19">
        <v>0</v>
      </c>
      <c r="K1182" s="19">
        <v>0</v>
      </c>
      <c r="L1182" s="18">
        <v>1</v>
      </c>
      <c r="M1182" s="18">
        <f t="shared" si="169"/>
        <v>0</v>
      </c>
      <c r="N1182" s="19">
        <v>0</v>
      </c>
      <c r="O1182" s="19">
        <v>0</v>
      </c>
      <c r="P1182" s="19">
        <v>0</v>
      </c>
      <c r="Q1182" s="19">
        <v>0</v>
      </c>
      <c r="R1182" s="19">
        <v>0</v>
      </c>
      <c r="S1182" s="19">
        <v>0</v>
      </c>
      <c r="T1182" s="18">
        <v>1</v>
      </c>
      <c r="U1182" s="18">
        <v>1</v>
      </c>
      <c r="V1182" s="18">
        <v>1</v>
      </c>
      <c r="W1182" s="18">
        <v>0</v>
      </c>
      <c r="X1182" s="18">
        <v>0</v>
      </c>
      <c r="Y1182" s="18">
        <v>0</v>
      </c>
      <c r="Z1182" s="18" t="s">
        <v>653</v>
      </c>
      <c r="AC1182" s="20"/>
    </row>
    <row r="1183" spans="1:29" s="18" customFormat="1" ht="15" customHeight="1" x14ac:dyDescent="0.15">
      <c r="A1183" s="18">
        <v>31024</v>
      </c>
      <c r="B1183" s="18" t="s">
        <v>130</v>
      </c>
      <c r="C1183" s="18">
        <f t="shared" si="170"/>
        <v>5</v>
      </c>
      <c r="D1183" s="18">
        <v>1</v>
      </c>
      <c r="F1183" s="12">
        <v>0</v>
      </c>
      <c r="G1183" s="19">
        <v>1</v>
      </c>
      <c r="H1183" s="19">
        <v>0</v>
      </c>
      <c r="I1183" s="19">
        <v>1</v>
      </c>
      <c r="J1183" s="19">
        <v>0</v>
      </c>
      <c r="K1183" s="19">
        <v>0</v>
      </c>
      <c r="L1183" s="18">
        <v>1</v>
      </c>
      <c r="M1183" s="18">
        <f t="shared" si="169"/>
        <v>0</v>
      </c>
      <c r="N1183" s="19">
        <v>0</v>
      </c>
      <c r="O1183" s="19">
        <v>0</v>
      </c>
      <c r="P1183" s="19">
        <v>0</v>
      </c>
      <c r="Q1183" s="19">
        <v>0</v>
      </c>
      <c r="R1183" s="19">
        <v>0</v>
      </c>
      <c r="S1183" s="19">
        <v>0</v>
      </c>
      <c r="T1183" s="18">
        <v>1</v>
      </c>
      <c r="U1183" s="18">
        <v>1</v>
      </c>
      <c r="V1183" s="18">
        <v>1</v>
      </c>
      <c r="W1183" s="18">
        <v>0</v>
      </c>
      <c r="X1183" s="18">
        <v>0</v>
      </c>
      <c r="Y1183" s="18">
        <v>0</v>
      </c>
      <c r="Z1183" s="18" t="s">
        <v>654</v>
      </c>
      <c r="AC1183" s="20"/>
    </row>
    <row r="1184" spans="1:29" s="18" customFormat="1" ht="15" customHeight="1" x14ac:dyDescent="0.15">
      <c r="A1184" s="18">
        <v>31025</v>
      </c>
      <c r="B1184" s="18" t="s">
        <v>130</v>
      </c>
      <c r="C1184" s="18">
        <f t="shared" si="170"/>
        <v>5</v>
      </c>
      <c r="D1184" s="18">
        <v>1</v>
      </c>
      <c r="F1184" s="12">
        <v>0</v>
      </c>
      <c r="G1184" s="19">
        <v>1</v>
      </c>
      <c r="H1184" s="19">
        <v>0</v>
      </c>
      <c r="I1184" s="19">
        <v>1</v>
      </c>
      <c r="J1184" s="19">
        <v>0</v>
      </c>
      <c r="K1184" s="19">
        <v>0</v>
      </c>
      <c r="L1184" s="18">
        <v>1</v>
      </c>
      <c r="M1184" s="18">
        <f t="shared" si="169"/>
        <v>0</v>
      </c>
      <c r="N1184" s="19">
        <v>0</v>
      </c>
      <c r="O1184" s="19">
        <v>0</v>
      </c>
      <c r="P1184" s="19">
        <v>0</v>
      </c>
      <c r="Q1184" s="19">
        <v>0</v>
      </c>
      <c r="R1184" s="19">
        <v>0</v>
      </c>
      <c r="S1184" s="19">
        <v>0</v>
      </c>
      <c r="T1184" s="18">
        <v>1</v>
      </c>
      <c r="U1184" s="18">
        <v>1</v>
      </c>
      <c r="V1184" s="18">
        <v>1</v>
      </c>
      <c r="W1184" s="18">
        <v>0</v>
      </c>
      <c r="X1184" s="18">
        <v>0</v>
      </c>
      <c r="Y1184" s="18">
        <v>0</v>
      </c>
      <c r="Z1184" s="18" t="s">
        <v>655</v>
      </c>
      <c r="AC1184" s="20"/>
    </row>
    <row r="1185" spans="1:29" s="18" customFormat="1" ht="15" customHeight="1" x14ac:dyDescent="0.15">
      <c r="A1185" s="18">
        <v>31026</v>
      </c>
      <c r="B1185" s="18" t="s">
        <v>130</v>
      </c>
      <c r="C1185" s="18">
        <f t="shared" si="170"/>
        <v>5</v>
      </c>
      <c r="D1185" s="18">
        <v>1</v>
      </c>
      <c r="F1185" s="12">
        <v>0</v>
      </c>
      <c r="G1185" s="19">
        <v>1</v>
      </c>
      <c r="H1185" s="19">
        <v>0</v>
      </c>
      <c r="I1185" s="19">
        <v>1</v>
      </c>
      <c r="J1185" s="19">
        <v>0</v>
      </c>
      <c r="K1185" s="19">
        <v>0</v>
      </c>
      <c r="L1185" s="18">
        <v>1</v>
      </c>
      <c r="M1185" s="18">
        <f t="shared" si="169"/>
        <v>0</v>
      </c>
      <c r="N1185" s="19">
        <v>0</v>
      </c>
      <c r="O1185" s="19">
        <v>0</v>
      </c>
      <c r="P1185" s="19">
        <v>0</v>
      </c>
      <c r="Q1185" s="19">
        <v>0</v>
      </c>
      <c r="R1185" s="19">
        <v>0</v>
      </c>
      <c r="S1185" s="19">
        <v>0</v>
      </c>
      <c r="T1185" s="18">
        <v>1</v>
      </c>
      <c r="U1185" s="18">
        <v>1</v>
      </c>
      <c r="V1185" s="18">
        <v>1</v>
      </c>
      <c r="W1185" s="18">
        <v>0</v>
      </c>
      <c r="X1185" s="18">
        <v>0</v>
      </c>
      <c r="Y1185" s="18">
        <v>0</v>
      </c>
      <c r="Z1185" s="18" t="s">
        <v>656</v>
      </c>
      <c r="AC1185" s="20"/>
    </row>
    <row r="1186" spans="1:29" s="18" customFormat="1" ht="15" customHeight="1" x14ac:dyDescent="0.15">
      <c r="A1186" s="18">
        <v>31027</v>
      </c>
      <c r="B1186" s="18" t="s">
        <v>130</v>
      </c>
      <c r="C1186" s="18">
        <f t="shared" si="170"/>
        <v>5</v>
      </c>
      <c r="D1186" s="18">
        <v>1</v>
      </c>
      <c r="F1186" s="12">
        <v>0</v>
      </c>
      <c r="G1186" s="19">
        <v>1</v>
      </c>
      <c r="H1186" s="19">
        <v>0</v>
      </c>
      <c r="I1186" s="19">
        <v>1</v>
      </c>
      <c r="J1186" s="19">
        <v>0</v>
      </c>
      <c r="K1186" s="19">
        <v>0</v>
      </c>
      <c r="L1186" s="18">
        <v>1</v>
      </c>
      <c r="M1186" s="18">
        <f t="shared" si="169"/>
        <v>0</v>
      </c>
      <c r="N1186" s="19">
        <v>0</v>
      </c>
      <c r="O1186" s="19">
        <v>0</v>
      </c>
      <c r="P1186" s="19">
        <v>0</v>
      </c>
      <c r="Q1186" s="19">
        <v>0</v>
      </c>
      <c r="R1186" s="19">
        <v>0</v>
      </c>
      <c r="S1186" s="19">
        <v>0</v>
      </c>
      <c r="T1186" s="18">
        <v>1</v>
      </c>
      <c r="U1186" s="18">
        <v>1</v>
      </c>
      <c r="V1186" s="18">
        <v>1</v>
      </c>
      <c r="W1186" s="18">
        <v>0</v>
      </c>
      <c r="X1186" s="18">
        <v>0</v>
      </c>
      <c r="Y1186" s="18">
        <v>0</v>
      </c>
      <c r="Z1186" s="18" t="s">
        <v>657</v>
      </c>
      <c r="AC1186" s="20"/>
    </row>
    <row r="1187" spans="1:29" s="18" customFormat="1" ht="15" customHeight="1" x14ac:dyDescent="0.15">
      <c r="A1187" s="18">
        <v>31028</v>
      </c>
      <c r="B1187" s="18" t="s">
        <v>130</v>
      </c>
      <c r="C1187" s="18">
        <f t="shared" si="170"/>
        <v>5</v>
      </c>
      <c r="D1187" s="18">
        <v>1</v>
      </c>
      <c r="F1187" s="12">
        <v>0</v>
      </c>
      <c r="G1187" s="19">
        <v>1</v>
      </c>
      <c r="H1187" s="19">
        <v>0</v>
      </c>
      <c r="I1187" s="19">
        <v>1</v>
      </c>
      <c r="J1187" s="19">
        <v>0</v>
      </c>
      <c r="K1187" s="19">
        <v>0</v>
      </c>
      <c r="L1187" s="18">
        <v>1</v>
      </c>
      <c r="M1187" s="18">
        <f t="shared" si="169"/>
        <v>0</v>
      </c>
      <c r="N1187" s="19">
        <v>0</v>
      </c>
      <c r="O1187" s="19">
        <v>0</v>
      </c>
      <c r="P1187" s="19">
        <v>0</v>
      </c>
      <c r="Q1187" s="19">
        <v>0</v>
      </c>
      <c r="R1187" s="19">
        <v>0</v>
      </c>
      <c r="S1187" s="19">
        <v>0</v>
      </c>
      <c r="T1187" s="18">
        <v>1</v>
      </c>
      <c r="U1187" s="18">
        <v>1</v>
      </c>
      <c r="V1187" s="18">
        <v>1</v>
      </c>
      <c r="W1187" s="18">
        <v>0</v>
      </c>
      <c r="X1187" s="18">
        <v>0</v>
      </c>
      <c r="Y1187" s="18">
        <v>0</v>
      </c>
      <c r="Z1187" s="18" t="s">
        <v>658</v>
      </c>
      <c r="AC1187" s="20"/>
    </row>
    <row r="1188" spans="1:29" s="18" customFormat="1" ht="15" customHeight="1" x14ac:dyDescent="0.15">
      <c r="A1188" s="18">
        <v>31030</v>
      </c>
      <c r="B1188" s="18" t="s">
        <v>398</v>
      </c>
      <c r="C1188" s="18">
        <f>G1188+H1188*2+I1188*4+J1188*8+K1188*16</f>
        <v>5</v>
      </c>
      <c r="D1188" s="18">
        <v>1</v>
      </c>
      <c r="F1188" s="12">
        <v>0</v>
      </c>
      <c r="G1188" s="19">
        <v>1</v>
      </c>
      <c r="H1188" s="19">
        <v>0</v>
      </c>
      <c r="I1188" s="19">
        <v>1</v>
      </c>
      <c r="J1188" s="19">
        <v>0</v>
      </c>
      <c r="K1188" s="19">
        <v>0</v>
      </c>
      <c r="L1188" s="18">
        <v>1</v>
      </c>
      <c r="M1188" s="18">
        <f t="shared" si="169"/>
        <v>0</v>
      </c>
      <c r="N1188" s="19">
        <v>0</v>
      </c>
      <c r="O1188" s="19">
        <v>0</v>
      </c>
      <c r="P1188" s="19">
        <v>0</v>
      </c>
      <c r="Q1188" s="19">
        <v>0</v>
      </c>
      <c r="R1188" s="19">
        <v>0</v>
      </c>
      <c r="S1188" s="19">
        <v>0</v>
      </c>
      <c r="T1188" s="18">
        <v>1</v>
      </c>
      <c r="U1188" s="18">
        <v>0</v>
      </c>
      <c r="V1188" s="18">
        <v>1</v>
      </c>
      <c r="W1188" s="18">
        <v>0</v>
      </c>
      <c r="X1188" s="18">
        <v>0</v>
      </c>
      <c r="Y1188" s="18">
        <v>0</v>
      </c>
      <c r="Z1188" s="18" t="s">
        <v>399</v>
      </c>
      <c r="AC1188" s="20"/>
    </row>
    <row r="1189" spans="1:29" s="18" customFormat="1" ht="15" customHeight="1" x14ac:dyDescent="0.15">
      <c r="A1189" s="18">
        <v>31031</v>
      </c>
      <c r="B1189" s="18" t="s">
        <v>659</v>
      </c>
      <c r="C1189" s="18">
        <f t="shared" si="170"/>
        <v>5</v>
      </c>
      <c r="D1189" s="18">
        <v>1</v>
      </c>
      <c r="F1189" s="12">
        <v>0</v>
      </c>
      <c r="G1189" s="19">
        <v>1</v>
      </c>
      <c r="H1189" s="19">
        <v>0</v>
      </c>
      <c r="I1189" s="19">
        <v>1</v>
      </c>
      <c r="J1189" s="19">
        <v>0</v>
      </c>
      <c r="K1189" s="19">
        <v>0</v>
      </c>
      <c r="L1189" s="18">
        <v>1</v>
      </c>
      <c r="M1189" s="18">
        <f t="shared" si="169"/>
        <v>0</v>
      </c>
      <c r="N1189" s="19">
        <v>0</v>
      </c>
      <c r="O1189" s="19">
        <v>0</v>
      </c>
      <c r="P1189" s="19">
        <v>0</v>
      </c>
      <c r="Q1189" s="19">
        <v>0</v>
      </c>
      <c r="R1189" s="19">
        <v>0</v>
      </c>
      <c r="S1189" s="19">
        <v>0</v>
      </c>
      <c r="T1189" s="18">
        <v>1</v>
      </c>
      <c r="U1189" s="18">
        <v>1</v>
      </c>
      <c r="V1189" s="18">
        <v>1</v>
      </c>
      <c r="W1189" s="18">
        <v>0</v>
      </c>
      <c r="X1189" s="18">
        <v>0</v>
      </c>
      <c r="Y1189" s="18">
        <v>0</v>
      </c>
    </row>
    <row r="1190" spans="1:29" s="18" customFormat="1" ht="15" customHeight="1" x14ac:dyDescent="0.15">
      <c r="A1190" s="18">
        <v>31032</v>
      </c>
      <c r="B1190" s="18" t="s">
        <v>660</v>
      </c>
      <c r="C1190" s="18">
        <f t="shared" si="170"/>
        <v>5</v>
      </c>
      <c r="D1190" s="18">
        <v>1</v>
      </c>
      <c r="F1190" s="12">
        <v>0</v>
      </c>
      <c r="G1190" s="19">
        <v>1</v>
      </c>
      <c r="H1190" s="19">
        <v>0</v>
      </c>
      <c r="I1190" s="19">
        <v>1</v>
      </c>
      <c r="J1190" s="19">
        <v>0</v>
      </c>
      <c r="K1190" s="19">
        <v>0</v>
      </c>
      <c r="L1190" s="18">
        <v>1</v>
      </c>
      <c r="M1190" s="18">
        <f t="shared" si="169"/>
        <v>0</v>
      </c>
      <c r="N1190" s="19">
        <v>0</v>
      </c>
      <c r="O1190" s="19">
        <v>0</v>
      </c>
      <c r="P1190" s="19">
        <v>0</v>
      </c>
      <c r="Q1190" s="19">
        <v>0</v>
      </c>
      <c r="R1190" s="19">
        <v>0</v>
      </c>
      <c r="S1190" s="19">
        <v>0</v>
      </c>
      <c r="T1190" s="18">
        <v>1</v>
      </c>
      <c r="U1190" s="18">
        <v>1</v>
      </c>
      <c r="V1190" s="18">
        <v>1</v>
      </c>
      <c r="W1190" s="18">
        <v>0</v>
      </c>
      <c r="X1190" s="18">
        <v>0</v>
      </c>
      <c r="Y1190" s="18">
        <v>0</v>
      </c>
    </row>
    <row r="1191" spans="1:29" s="18" customFormat="1" ht="15" customHeight="1" x14ac:dyDescent="0.15">
      <c r="A1191" s="18">
        <v>31033</v>
      </c>
      <c r="B1191" s="18" t="s">
        <v>661</v>
      </c>
      <c r="C1191" s="18">
        <f t="shared" si="170"/>
        <v>5</v>
      </c>
      <c r="D1191" s="18">
        <v>1</v>
      </c>
      <c r="F1191" s="12">
        <v>0</v>
      </c>
      <c r="G1191" s="19">
        <v>1</v>
      </c>
      <c r="H1191" s="19">
        <v>0</v>
      </c>
      <c r="I1191" s="19">
        <v>1</v>
      </c>
      <c r="J1191" s="19">
        <v>0</v>
      </c>
      <c r="K1191" s="19">
        <v>0</v>
      </c>
      <c r="L1191" s="18">
        <v>1</v>
      </c>
      <c r="M1191" s="18">
        <f t="shared" si="169"/>
        <v>0</v>
      </c>
      <c r="N1191" s="19">
        <v>0</v>
      </c>
      <c r="O1191" s="19">
        <v>0</v>
      </c>
      <c r="P1191" s="19">
        <v>0</v>
      </c>
      <c r="Q1191" s="19">
        <v>0</v>
      </c>
      <c r="R1191" s="19">
        <v>0</v>
      </c>
      <c r="S1191" s="19">
        <v>0</v>
      </c>
      <c r="T1191" s="18">
        <v>1</v>
      </c>
      <c r="U1191" s="18">
        <v>1</v>
      </c>
      <c r="V1191" s="18">
        <v>1</v>
      </c>
      <c r="W1191" s="18">
        <v>0</v>
      </c>
      <c r="X1191" s="18">
        <v>0</v>
      </c>
      <c r="Y1191" s="18">
        <v>0</v>
      </c>
    </row>
    <row r="1192" spans="1:29" s="18" customFormat="1" ht="15" customHeight="1" x14ac:dyDescent="0.15">
      <c r="A1192" s="18">
        <v>31034</v>
      </c>
      <c r="B1192" s="18" t="s">
        <v>107</v>
      </c>
      <c r="C1192" s="18">
        <f t="shared" si="170"/>
        <v>5</v>
      </c>
      <c r="D1192" s="18">
        <v>1</v>
      </c>
      <c r="F1192" s="12">
        <v>0</v>
      </c>
      <c r="G1192" s="19">
        <v>1</v>
      </c>
      <c r="H1192" s="19">
        <v>0</v>
      </c>
      <c r="I1192" s="19">
        <v>1</v>
      </c>
      <c r="J1192" s="19">
        <v>0</v>
      </c>
      <c r="K1192" s="19">
        <v>0</v>
      </c>
      <c r="L1192" s="18">
        <v>1</v>
      </c>
      <c r="M1192" s="18">
        <f t="shared" si="169"/>
        <v>0</v>
      </c>
      <c r="N1192" s="19">
        <v>0</v>
      </c>
      <c r="O1192" s="19">
        <v>0</v>
      </c>
      <c r="P1192" s="19">
        <v>0</v>
      </c>
      <c r="Q1192" s="19">
        <v>0</v>
      </c>
      <c r="R1192" s="19">
        <v>0</v>
      </c>
      <c r="S1192" s="19">
        <v>0</v>
      </c>
      <c r="T1192" s="18">
        <v>1</v>
      </c>
      <c r="U1192" s="18">
        <v>1</v>
      </c>
      <c r="V1192" s="18">
        <v>1</v>
      </c>
      <c r="W1192" s="18">
        <v>0</v>
      </c>
      <c r="X1192" s="18">
        <v>0</v>
      </c>
      <c r="Y1192" s="18">
        <v>0</v>
      </c>
      <c r="Z1192" s="18" t="s">
        <v>109</v>
      </c>
    </row>
    <row r="1193" spans="1:29" s="18" customFormat="1" ht="15" customHeight="1" x14ac:dyDescent="0.15">
      <c r="A1193" s="18">
        <v>31035</v>
      </c>
      <c r="B1193" s="18" t="s">
        <v>108</v>
      </c>
      <c r="C1193" s="18">
        <f t="shared" si="170"/>
        <v>5</v>
      </c>
      <c r="D1193" s="18">
        <v>1</v>
      </c>
      <c r="F1193" s="12">
        <v>0</v>
      </c>
      <c r="G1193" s="19">
        <v>1</v>
      </c>
      <c r="H1193" s="19">
        <v>0</v>
      </c>
      <c r="I1193" s="19">
        <v>1</v>
      </c>
      <c r="J1193" s="19">
        <v>0</v>
      </c>
      <c r="K1193" s="19">
        <v>0</v>
      </c>
      <c r="L1193" s="18">
        <v>1</v>
      </c>
      <c r="M1193" s="18">
        <f t="shared" si="169"/>
        <v>0</v>
      </c>
      <c r="N1193" s="19">
        <v>0</v>
      </c>
      <c r="O1193" s="19">
        <v>0</v>
      </c>
      <c r="P1193" s="19">
        <v>0</v>
      </c>
      <c r="Q1193" s="19">
        <v>0</v>
      </c>
      <c r="R1193" s="19">
        <v>0</v>
      </c>
      <c r="S1193" s="19">
        <v>0</v>
      </c>
      <c r="T1193" s="18">
        <v>1</v>
      </c>
      <c r="U1193" s="18">
        <v>1</v>
      </c>
      <c r="V1193" s="18">
        <v>1</v>
      </c>
      <c r="W1193" s="18">
        <v>0</v>
      </c>
      <c r="X1193" s="18">
        <v>0</v>
      </c>
      <c r="Y1193" s="18">
        <v>0</v>
      </c>
      <c r="Z1193" s="18" t="s">
        <v>110</v>
      </c>
    </row>
    <row r="1194" spans="1:29" s="18" customFormat="1" ht="15" customHeight="1" x14ac:dyDescent="0.15">
      <c r="A1194" s="18">
        <v>31036</v>
      </c>
      <c r="B1194" s="18" t="s">
        <v>512</v>
      </c>
      <c r="C1194" s="18">
        <f t="shared" si="170"/>
        <v>5</v>
      </c>
      <c r="D1194" s="18">
        <v>1</v>
      </c>
      <c r="F1194" s="12">
        <v>0</v>
      </c>
      <c r="G1194" s="19">
        <v>1</v>
      </c>
      <c r="H1194" s="19">
        <v>0</v>
      </c>
      <c r="I1194" s="19">
        <v>1</v>
      </c>
      <c r="J1194" s="19">
        <v>0</v>
      </c>
      <c r="K1194" s="19">
        <v>0</v>
      </c>
      <c r="L1194" s="18">
        <v>1</v>
      </c>
      <c r="M1194" s="18">
        <f t="shared" si="169"/>
        <v>0</v>
      </c>
      <c r="N1194" s="19">
        <v>0</v>
      </c>
      <c r="O1194" s="19">
        <v>0</v>
      </c>
      <c r="P1194" s="19">
        <v>0</v>
      </c>
      <c r="Q1194" s="19">
        <v>0</v>
      </c>
      <c r="R1194" s="19">
        <v>0</v>
      </c>
      <c r="S1194" s="19">
        <v>0</v>
      </c>
      <c r="T1194" s="18">
        <v>1</v>
      </c>
      <c r="U1194" s="18">
        <v>1</v>
      </c>
      <c r="V1194" s="18">
        <v>1</v>
      </c>
      <c r="W1194" s="18">
        <v>0</v>
      </c>
      <c r="X1194" s="18">
        <v>0</v>
      </c>
      <c r="Y1194" s="18">
        <v>0</v>
      </c>
      <c r="Z1194" s="18" t="s">
        <v>513</v>
      </c>
    </row>
    <row r="1195" spans="1:29" s="18" customFormat="1" ht="15" customHeight="1" x14ac:dyDescent="0.15">
      <c r="A1195" s="18">
        <v>31037</v>
      </c>
      <c r="B1195" s="18" t="s">
        <v>767</v>
      </c>
      <c r="C1195" s="18">
        <f>G1195+H1195*2+I1195*4+J1195*8+K1195*16</f>
        <v>5</v>
      </c>
      <c r="D1195" s="18">
        <v>1</v>
      </c>
      <c r="F1195" s="12">
        <v>0</v>
      </c>
      <c r="G1195" s="19">
        <v>1</v>
      </c>
      <c r="H1195" s="19">
        <v>0</v>
      </c>
      <c r="I1195" s="19">
        <v>1</v>
      </c>
      <c r="J1195" s="19">
        <v>0</v>
      </c>
      <c r="K1195" s="19">
        <v>0</v>
      </c>
      <c r="L1195" s="18">
        <v>1</v>
      </c>
      <c r="M1195" s="18">
        <f>N1195+O1195*2+P1195*4+Q1195*8+R1195*16+S1195*32</f>
        <v>0</v>
      </c>
      <c r="N1195" s="19">
        <v>0</v>
      </c>
      <c r="O1195" s="19">
        <v>0</v>
      </c>
      <c r="P1195" s="19">
        <v>0</v>
      </c>
      <c r="Q1195" s="19">
        <v>0</v>
      </c>
      <c r="R1195" s="19">
        <v>0</v>
      </c>
      <c r="S1195" s="19">
        <v>0</v>
      </c>
      <c r="T1195" s="18">
        <v>1</v>
      </c>
      <c r="U1195" s="18">
        <v>1</v>
      </c>
      <c r="V1195" s="18">
        <v>1</v>
      </c>
      <c r="W1195" s="18">
        <v>0</v>
      </c>
      <c r="X1195" s="18">
        <v>0</v>
      </c>
      <c r="Y1195" s="18">
        <v>0</v>
      </c>
      <c r="Z1195" s="18" t="s">
        <v>768</v>
      </c>
    </row>
    <row r="1196" spans="1:29" s="18" customFormat="1" ht="15" customHeight="1" x14ac:dyDescent="0.15">
      <c r="A1196" s="18">
        <v>31040</v>
      </c>
      <c r="B1196" s="18" t="s">
        <v>213</v>
      </c>
      <c r="C1196" s="18">
        <f t="shared" si="170"/>
        <v>5</v>
      </c>
      <c r="D1196" s="18">
        <v>1</v>
      </c>
      <c r="F1196" s="12">
        <v>0</v>
      </c>
      <c r="G1196" s="19">
        <v>1</v>
      </c>
      <c r="H1196" s="19">
        <v>0</v>
      </c>
      <c r="I1196" s="19">
        <v>1</v>
      </c>
      <c r="J1196" s="19">
        <v>0</v>
      </c>
      <c r="K1196" s="19">
        <v>0</v>
      </c>
      <c r="L1196" s="18">
        <v>1</v>
      </c>
      <c r="M1196" s="18">
        <f t="shared" si="169"/>
        <v>0</v>
      </c>
      <c r="N1196" s="19">
        <v>0</v>
      </c>
      <c r="O1196" s="19">
        <v>0</v>
      </c>
      <c r="P1196" s="19">
        <v>0</v>
      </c>
      <c r="Q1196" s="19">
        <v>0</v>
      </c>
      <c r="R1196" s="19">
        <v>0</v>
      </c>
      <c r="S1196" s="19">
        <v>0</v>
      </c>
      <c r="T1196" s="18">
        <v>1</v>
      </c>
      <c r="U1196" s="18">
        <v>1</v>
      </c>
      <c r="V1196" s="18">
        <v>1</v>
      </c>
      <c r="W1196" s="18">
        <v>0</v>
      </c>
      <c r="X1196" s="18">
        <v>0</v>
      </c>
      <c r="Y1196" s="18">
        <v>0</v>
      </c>
      <c r="Z1196" s="18" t="s">
        <v>214</v>
      </c>
      <c r="AC1196" s="20"/>
    </row>
    <row r="1197" spans="1:29" s="18" customFormat="1" ht="15" customHeight="1" x14ac:dyDescent="0.15">
      <c r="A1197" s="18">
        <v>31041</v>
      </c>
      <c r="B1197" s="18" t="s">
        <v>586</v>
      </c>
      <c r="C1197" s="18">
        <f t="shared" si="170"/>
        <v>1</v>
      </c>
      <c r="D1197" s="18">
        <v>1</v>
      </c>
      <c r="F1197" s="12">
        <v>0</v>
      </c>
      <c r="G1197" s="19">
        <v>1</v>
      </c>
      <c r="H1197" s="19">
        <v>0</v>
      </c>
      <c r="I1197" s="19">
        <v>0</v>
      </c>
      <c r="J1197" s="19">
        <v>0</v>
      </c>
      <c r="K1197" s="19">
        <v>0</v>
      </c>
      <c r="L1197" s="18">
        <v>0</v>
      </c>
      <c r="M1197" s="18">
        <f t="shared" si="169"/>
        <v>0</v>
      </c>
      <c r="N1197" s="19">
        <v>0</v>
      </c>
      <c r="O1197" s="19">
        <v>0</v>
      </c>
      <c r="P1197" s="19">
        <v>0</v>
      </c>
      <c r="Q1197" s="19">
        <v>0</v>
      </c>
      <c r="R1197" s="19">
        <v>0</v>
      </c>
      <c r="S1197" s="19">
        <v>0</v>
      </c>
      <c r="T1197" s="18">
        <v>0</v>
      </c>
      <c r="U1197" s="18">
        <v>1</v>
      </c>
      <c r="V1197" s="18">
        <v>0</v>
      </c>
      <c r="W1197" s="18">
        <v>0</v>
      </c>
      <c r="X1197" s="18">
        <v>1</v>
      </c>
      <c r="Y1197" s="18">
        <v>0</v>
      </c>
      <c r="Z1197" s="18" t="s">
        <v>598</v>
      </c>
      <c r="AC1197" s="20"/>
    </row>
    <row r="1198" spans="1:29" s="18" customFormat="1" ht="15" customHeight="1" x14ac:dyDescent="0.15">
      <c r="A1198" s="18">
        <v>31042</v>
      </c>
      <c r="B1198" s="18" t="s">
        <v>828</v>
      </c>
      <c r="C1198" s="18">
        <f>G1198+H1198*2+I1198*4+J1198*8+K1198*16</f>
        <v>5</v>
      </c>
      <c r="D1198" s="18">
        <v>1</v>
      </c>
      <c r="F1198" s="12">
        <v>0</v>
      </c>
      <c r="G1198" s="19">
        <v>1</v>
      </c>
      <c r="H1198" s="19">
        <v>0</v>
      </c>
      <c r="I1198" s="19">
        <v>1</v>
      </c>
      <c r="J1198" s="19">
        <v>0</v>
      </c>
      <c r="K1198" s="19">
        <v>0</v>
      </c>
      <c r="L1198" s="18">
        <v>1</v>
      </c>
      <c r="M1198" s="18">
        <f t="shared" ref="M1198:M1204" si="171">N1198+O1198*2+P1198*4+Q1198*8+R1198*16+S1198*32</f>
        <v>0</v>
      </c>
      <c r="N1198" s="19">
        <v>0</v>
      </c>
      <c r="O1198" s="19">
        <v>0</v>
      </c>
      <c r="P1198" s="19">
        <v>0</v>
      </c>
      <c r="Q1198" s="19">
        <v>0</v>
      </c>
      <c r="R1198" s="19">
        <v>0</v>
      </c>
      <c r="S1198" s="19">
        <v>0</v>
      </c>
      <c r="T1198" s="18">
        <v>1</v>
      </c>
      <c r="U1198" s="18">
        <v>1</v>
      </c>
      <c r="V1198" s="18">
        <v>1</v>
      </c>
      <c r="W1198" s="18">
        <v>0</v>
      </c>
      <c r="X1198" s="18">
        <v>0</v>
      </c>
      <c r="Y1198" s="18">
        <v>0</v>
      </c>
      <c r="Z1198" s="18" t="s">
        <v>531</v>
      </c>
    </row>
    <row r="1199" spans="1:29" s="18" customFormat="1" ht="15" customHeight="1" x14ac:dyDescent="0.15">
      <c r="A1199" s="18">
        <v>31043</v>
      </c>
      <c r="B1199" s="18" t="s">
        <v>829</v>
      </c>
      <c r="C1199" s="18">
        <f>G1199+H1199*2+I1199*4+J1199*8+K1199*16</f>
        <v>5</v>
      </c>
      <c r="D1199" s="18">
        <v>1</v>
      </c>
      <c r="F1199" s="12">
        <v>0</v>
      </c>
      <c r="G1199" s="19">
        <v>1</v>
      </c>
      <c r="H1199" s="19">
        <v>0</v>
      </c>
      <c r="I1199" s="19">
        <v>1</v>
      </c>
      <c r="J1199" s="19">
        <v>0</v>
      </c>
      <c r="K1199" s="19">
        <v>0</v>
      </c>
      <c r="L1199" s="18">
        <v>1</v>
      </c>
      <c r="M1199" s="18">
        <f t="shared" si="171"/>
        <v>0</v>
      </c>
      <c r="N1199" s="19">
        <v>0</v>
      </c>
      <c r="O1199" s="19">
        <v>0</v>
      </c>
      <c r="P1199" s="19">
        <v>0</v>
      </c>
      <c r="Q1199" s="19">
        <v>0</v>
      </c>
      <c r="R1199" s="19">
        <v>0</v>
      </c>
      <c r="S1199" s="19">
        <v>0</v>
      </c>
      <c r="T1199" s="18">
        <v>1</v>
      </c>
      <c r="U1199" s="18">
        <v>1</v>
      </c>
      <c r="V1199" s="18">
        <v>1</v>
      </c>
      <c r="W1199" s="18">
        <v>0</v>
      </c>
      <c r="X1199" s="18">
        <v>0</v>
      </c>
      <c r="Y1199" s="18">
        <v>0</v>
      </c>
      <c r="Z1199" s="18" t="s">
        <v>532</v>
      </c>
    </row>
    <row r="1200" spans="1:29" s="18" customFormat="1" ht="15" customHeight="1" x14ac:dyDescent="0.15">
      <c r="A1200" s="18">
        <v>31044</v>
      </c>
      <c r="B1200" s="18" t="s">
        <v>830</v>
      </c>
      <c r="C1200" s="18">
        <f>G1200+H1200*2+I1200*4+J1200*8+K1200*16</f>
        <v>5</v>
      </c>
      <c r="D1200" s="18">
        <v>1</v>
      </c>
      <c r="F1200" s="12">
        <v>0</v>
      </c>
      <c r="G1200" s="19">
        <v>1</v>
      </c>
      <c r="H1200" s="19">
        <v>0</v>
      </c>
      <c r="I1200" s="19">
        <v>1</v>
      </c>
      <c r="J1200" s="19">
        <v>0</v>
      </c>
      <c r="K1200" s="19">
        <v>0</v>
      </c>
      <c r="L1200" s="18">
        <v>1</v>
      </c>
      <c r="M1200" s="18">
        <f t="shared" si="171"/>
        <v>0</v>
      </c>
      <c r="N1200" s="19">
        <v>0</v>
      </c>
      <c r="O1200" s="19">
        <v>0</v>
      </c>
      <c r="P1200" s="19">
        <v>0</v>
      </c>
      <c r="Q1200" s="19">
        <v>0</v>
      </c>
      <c r="R1200" s="19">
        <v>0</v>
      </c>
      <c r="S1200" s="19">
        <v>0</v>
      </c>
      <c r="T1200" s="18">
        <v>1</v>
      </c>
      <c r="U1200" s="18">
        <v>1</v>
      </c>
      <c r="V1200" s="18">
        <v>1</v>
      </c>
      <c r="W1200" s="18">
        <v>0</v>
      </c>
      <c r="X1200" s="18">
        <v>0</v>
      </c>
      <c r="Y1200" s="18">
        <v>0</v>
      </c>
      <c r="Z1200" s="18" t="s">
        <v>533</v>
      </c>
    </row>
    <row r="1201" spans="1:29" s="18" customFormat="1" ht="15" customHeight="1" x14ac:dyDescent="0.15">
      <c r="A1201" s="18">
        <v>31045</v>
      </c>
      <c r="B1201" s="18" t="s">
        <v>831</v>
      </c>
      <c r="C1201" s="18">
        <f>G1201+H1201*2+I1201*4+J1201*8+K1201*16</f>
        <v>5</v>
      </c>
      <c r="D1201" s="18">
        <v>1</v>
      </c>
      <c r="F1201" s="12">
        <v>0</v>
      </c>
      <c r="G1201" s="19">
        <v>1</v>
      </c>
      <c r="H1201" s="19">
        <v>0</v>
      </c>
      <c r="I1201" s="19">
        <v>1</v>
      </c>
      <c r="J1201" s="19">
        <v>0</v>
      </c>
      <c r="K1201" s="19">
        <v>0</v>
      </c>
      <c r="L1201" s="18">
        <v>1</v>
      </c>
      <c r="M1201" s="18">
        <f t="shared" si="171"/>
        <v>0</v>
      </c>
      <c r="N1201" s="19">
        <v>0</v>
      </c>
      <c r="O1201" s="19">
        <v>0</v>
      </c>
      <c r="P1201" s="19">
        <v>0</v>
      </c>
      <c r="Q1201" s="19">
        <v>0</v>
      </c>
      <c r="R1201" s="19">
        <v>0</v>
      </c>
      <c r="S1201" s="19">
        <v>0</v>
      </c>
      <c r="T1201" s="18">
        <v>1</v>
      </c>
      <c r="U1201" s="18">
        <v>1</v>
      </c>
      <c r="V1201" s="18">
        <v>1</v>
      </c>
      <c r="W1201" s="18">
        <v>0</v>
      </c>
      <c r="X1201" s="18">
        <v>0</v>
      </c>
      <c r="Y1201" s="18">
        <v>0</v>
      </c>
      <c r="Z1201" s="18" t="s">
        <v>534</v>
      </c>
      <c r="AC1201" s="20"/>
    </row>
    <row r="1202" spans="1:29" s="18" customFormat="1" ht="15" customHeight="1" x14ac:dyDescent="0.15">
      <c r="A1202" s="18">
        <v>31046</v>
      </c>
      <c r="B1202" s="18" t="s">
        <v>471</v>
      </c>
      <c r="C1202" s="18">
        <v>0</v>
      </c>
      <c r="D1202" s="18">
        <v>1</v>
      </c>
      <c r="F1202" s="12">
        <v>0</v>
      </c>
      <c r="G1202" s="19">
        <v>1</v>
      </c>
      <c r="H1202" s="19">
        <v>0</v>
      </c>
      <c r="I1202" s="19">
        <v>1</v>
      </c>
      <c r="J1202" s="19">
        <v>0</v>
      </c>
      <c r="K1202" s="19">
        <v>0</v>
      </c>
      <c r="L1202" s="18">
        <v>1</v>
      </c>
      <c r="M1202" s="18">
        <f t="shared" si="171"/>
        <v>0</v>
      </c>
      <c r="N1202" s="19">
        <v>0</v>
      </c>
      <c r="O1202" s="19">
        <v>0</v>
      </c>
      <c r="P1202" s="19">
        <v>0</v>
      </c>
      <c r="Q1202" s="19">
        <v>0</v>
      </c>
      <c r="R1202" s="19">
        <v>0</v>
      </c>
      <c r="S1202" s="19">
        <v>0</v>
      </c>
      <c r="T1202" s="18">
        <v>1</v>
      </c>
      <c r="U1202" s="18">
        <v>1</v>
      </c>
      <c r="V1202" s="18">
        <v>1</v>
      </c>
      <c r="W1202" s="18">
        <v>0</v>
      </c>
      <c r="X1202" s="18">
        <v>0</v>
      </c>
      <c r="Y1202" s="18">
        <v>0</v>
      </c>
      <c r="Z1202" s="18" t="s">
        <v>1358</v>
      </c>
      <c r="AC1202" s="20"/>
    </row>
    <row r="1203" spans="1:29" s="18" customFormat="1" ht="15" customHeight="1" x14ac:dyDescent="0.15">
      <c r="A1203" s="18">
        <v>31047</v>
      </c>
      <c r="B1203" s="18" t="s">
        <v>475</v>
      </c>
      <c r="C1203" s="18">
        <v>0</v>
      </c>
      <c r="D1203" s="18">
        <v>1</v>
      </c>
      <c r="F1203" s="12">
        <v>0</v>
      </c>
      <c r="G1203" s="19">
        <v>1</v>
      </c>
      <c r="H1203" s="19">
        <v>0</v>
      </c>
      <c r="I1203" s="19">
        <v>1</v>
      </c>
      <c r="J1203" s="19">
        <v>0</v>
      </c>
      <c r="K1203" s="19">
        <v>0</v>
      </c>
      <c r="L1203" s="18">
        <v>1</v>
      </c>
      <c r="M1203" s="18">
        <f t="shared" si="171"/>
        <v>0</v>
      </c>
      <c r="N1203" s="19">
        <v>0</v>
      </c>
      <c r="O1203" s="19">
        <v>0</v>
      </c>
      <c r="P1203" s="19">
        <v>0</v>
      </c>
      <c r="Q1203" s="19">
        <v>0</v>
      </c>
      <c r="R1203" s="19">
        <v>0</v>
      </c>
      <c r="S1203" s="19">
        <v>0</v>
      </c>
      <c r="T1203" s="18">
        <v>1</v>
      </c>
      <c r="U1203" s="18">
        <v>1</v>
      </c>
      <c r="V1203" s="18">
        <v>1</v>
      </c>
      <c r="W1203" s="18">
        <v>0</v>
      </c>
      <c r="X1203" s="18">
        <v>0</v>
      </c>
      <c r="Y1203" s="18">
        <v>0</v>
      </c>
      <c r="Z1203" s="18" t="s">
        <v>1359</v>
      </c>
      <c r="AC1203" s="20"/>
    </row>
    <row r="1204" spans="1:29" s="18" customFormat="1" ht="15" customHeight="1" x14ac:dyDescent="0.15">
      <c r="A1204" s="18">
        <v>31048</v>
      </c>
      <c r="B1204" s="18" t="s">
        <v>498</v>
      </c>
      <c r="C1204" s="18">
        <v>0</v>
      </c>
      <c r="D1204" s="18">
        <v>1</v>
      </c>
      <c r="F1204" s="12">
        <v>0</v>
      </c>
      <c r="G1204" s="19">
        <v>0</v>
      </c>
      <c r="H1204" s="19">
        <v>0</v>
      </c>
      <c r="I1204" s="19">
        <v>0</v>
      </c>
      <c r="J1204" s="19">
        <v>0</v>
      </c>
      <c r="K1204" s="19">
        <v>0</v>
      </c>
      <c r="L1204" s="18">
        <v>0</v>
      </c>
      <c r="M1204" s="18">
        <f t="shared" si="171"/>
        <v>0</v>
      </c>
      <c r="N1204" s="19">
        <v>0</v>
      </c>
      <c r="O1204" s="19">
        <v>0</v>
      </c>
      <c r="P1204" s="19">
        <v>0</v>
      </c>
      <c r="Q1204" s="19">
        <v>0</v>
      </c>
      <c r="R1204" s="19">
        <v>0</v>
      </c>
      <c r="S1204" s="19">
        <v>0</v>
      </c>
      <c r="T1204" s="18">
        <v>0</v>
      </c>
      <c r="U1204" s="18">
        <v>1</v>
      </c>
      <c r="V1204" s="18">
        <v>0</v>
      </c>
      <c r="W1204" s="18">
        <v>0</v>
      </c>
      <c r="X1204" s="18">
        <v>0</v>
      </c>
      <c r="Y1204" s="18">
        <v>0</v>
      </c>
      <c r="Z1204" s="18" t="s">
        <v>499</v>
      </c>
      <c r="AC1204" s="20"/>
    </row>
    <row r="1205" spans="1:29" s="18" customFormat="1" ht="15" customHeight="1" x14ac:dyDescent="0.15">
      <c r="A1205" s="18">
        <v>31049</v>
      </c>
      <c r="B1205" s="18" t="s">
        <v>535</v>
      </c>
      <c r="C1205" s="18">
        <f>G1205+H1205*2+I1205*4+J1205*8+K1205*16</f>
        <v>5</v>
      </c>
      <c r="D1205" s="18">
        <v>1</v>
      </c>
      <c r="F1205" s="12">
        <v>0</v>
      </c>
      <c r="G1205" s="19">
        <v>1</v>
      </c>
      <c r="H1205" s="19">
        <v>0</v>
      </c>
      <c r="I1205" s="19">
        <v>1</v>
      </c>
      <c r="J1205" s="19">
        <v>0</v>
      </c>
      <c r="K1205" s="19">
        <v>0</v>
      </c>
      <c r="L1205" s="18">
        <v>1</v>
      </c>
      <c r="M1205" s="18">
        <v>1</v>
      </c>
      <c r="N1205" s="19">
        <v>1</v>
      </c>
      <c r="O1205" s="19">
        <v>0</v>
      </c>
      <c r="P1205" s="19">
        <v>0</v>
      </c>
      <c r="Q1205" s="19">
        <v>0</v>
      </c>
      <c r="R1205" s="19">
        <v>0</v>
      </c>
      <c r="S1205" s="19">
        <v>0</v>
      </c>
      <c r="T1205" s="18">
        <v>1</v>
      </c>
      <c r="U1205" s="18">
        <v>1</v>
      </c>
      <c r="V1205" s="18">
        <v>1</v>
      </c>
      <c r="W1205" s="18">
        <v>0</v>
      </c>
      <c r="X1205" s="18">
        <v>0</v>
      </c>
      <c r="Y1205" s="18">
        <v>0</v>
      </c>
      <c r="Z1205" s="18" t="s">
        <v>536</v>
      </c>
    </row>
    <row r="1206" spans="1:29" s="18" customFormat="1" ht="15" customHeight="1" x14ac:dyDescent="0.15">
      <c r="A1206" s="18">
        <v>31051</v>
      </c>
      <c r="B1206" s="18" t="s">
        <v>563</v>
      </c>
      <c r="C1206" s="18">
        <v>5</v>
      </c>
      <c r="D1206" s="18">
        <v>1</v>
      </c>
      <c r="F1206" s="12">
        <v>0</v>
      </c>
      <c r="G1206" s="19">
        <v>1</v>
      </c>
      <c r="H1206" s="19">
        <v>0</v>
      </c>
      <c r="I1206" s="19">
        <v>1</v>
      </c>
      <c r="J1206" s="19">
        <v>0</v>
      </c>
      <c r="K1206" s="19">
        <v>0</v>
      </c>
      <c r="L1206" s="18">
        <v>1</v>
      </c>
      <c r="M1206" s="18">
        <v>0</v>
      </c>
      <c r="N1206" s="19">
        <v>0</v>
      </c>
      <c r="O1206" s="19">
        <v>0</v>
      </c>
      <c r="P1206" s="19">
        <v>0</v>
      </c>
      <c r="Q1206" s="19">
        <v>0</v>
      </c>
      <c r="R1206" s="19">
        <v>0</v>
      </c>
      <c r="S1206" s="19">
        <v>0</v>
      </c>
      <c r="T1206" s="18">
        <v>1</v>
      </c>
      <c r="U1206" s="18">
        <v>1</v>
      </c>
      <c r="V1206" s="18">
        <v>1</v>
      </c>
      <c r="W1206" s="18">
        <v>0</v>
      </c>
      <c r="X1206" s="18">
        <v>0</v>
      </c>
      <c r="Y1206" s="18">
        <v>0</v>
      </c>
      <c r="Z1206" s="18" t="s">
        <v>568</v>
      </c>
      <c r="AC1206" s="20"/>
    </row>
    <row r="1207" spans="1:29" s="18" customFormat="1" ht="15" customHeight="1" x14ac:dyDescent="0.15">
      <c r="A1207" s="18">
        <v>31052</v>
      </c>
      <c r="B1207" s="18" t="s">
        <v>564</v>
      </c>
      <c r="C1207" s="18">
        <v>5</v>
      </c>
      <c r="D1207" s="18">
        <v>1</v>
      </c>
      <c r="F1207" s="12">
        <v>0</v>
      </c>
      <c r="G1207" s="19">
        <v>1</v>
      </c>
      <c r="H1207" s="19">
        <v>0</v>
      </c>
      <c r="I1207" s="19">
        <v>1</v>
      </c>
      <c r="J1207" s="19">
        <v>0</v>
      </c>
      <c r="K1207" s="19">
        <v>0</v>
      </c>
      <c r="L1207" s="18">
        <v>1</v>
      </c>
      <c r="M1207" s="18">
        <v>0</v>
      </c>
      <c r="N1207" s="19">
        <v>0</v>
      </c>
      <c r="O1207" s="19">
        <v>0</v>
      </c>
      <c r="P1207" s="19">
        <v>0</v>
      </c>
      <c r="Q1207" s="19">
        <v>0</v>
      </c>
      <c r="R1207" s="19">
        <v>0</v>
      </c>
      <c r="S1207" s="19">
        <v>0</v>
      </c>
      <c r="T1207" s="18">
        <v>1</v>
      </c>
      <c r="U1207" s="18">
        <v>1</v>
      </c>
      <c r="V1207" s="18">
        <v>1</v>
      </c>
      <c r="W1207" s="18">
        <v>0</v>
      </c>
      <c r="X1207" s="18">
        <v>0</v>
      </c>
      <c r="Y1207" s="18">
        <v>0</v>
      </c>
      <c r="Z1207" s="18" t="s">
        <v>569</v>
      </c>
      <c r="AC1207" s="20"/>
    </row>
    <row r="1208" spans="1:29" s="18" customFormat="1" ht="15" customHeight="1" x14ac:dyDescent="0.15">
      <c r="A1208" s="18">
        <v>31053</v>
      </c>
      <c r="B1208" s="18" t="s">
        <v>565</v>
      </c>
      <c r="C1208" s="18">
        <v>5</v>
      </c>
      <c r="D1208" s="18">
        <v>1</v>
      </c>
      <c r="F1208" s="12">
        <v>0</v>
      </c>
      <c r="G1208" s="19">
        <v>1</v>
      </c>
      <c r="H1208" s="19">
        <v>0</v>
      </c>
      <c r="I1208" s="19">
        <v>1</v>
      </c>
      <c r="J1208" s="19">
        <v>0</v>
      </c>
      <c r="K1208" s="19">
        <v>0</v>
      </c>
      <c r="L1208" s="18">
        <v>1</v>
      </c>
      <c r="M1208" s="18">
        <v>0</v>
      </c>
      <c r="N1208" s="19">
        <v>0</v>
      </c>
      <c r="O1208" s="19">
        <v>0</v>
      </c>
      <c r="P1208" s="19">
        <v>0</v>
      </c>
      <c r="Q1208" s="19">
        <v>0</v>
      </c>
      <c r="R1208" s="19">
        <v>0</v>
      </c>
      <c r="S1208" s="19">
        <v>0</v>
      </c>
      <c r="T1208" s="18">
        <v>1</v>
      </c>
      <c r="U1208" s="18">
        <v>1</v>
      </c>
      <c r="V1208" s="18">
        <v>1</v>
      </c>
      <c r="W1208" s="18">
        <v>0</v>
      </c>
      <c r="X1208" s="18">
        <v>0</v>
      </c>
      <c r="Y1208" s="18">
        <v>0</v>
      </c>
      <c r="Z1208" s="18" t="s">
        <v>570</v>
      </c>
      <c r="AC1208" s="20"/>
    </row>
    <row r="1209" spans="1:29" s="18" customFormat="1" ht="15" customHeight="1" x14ac:dyDescent="0.15">
      <c r="A1209" s="18">
        <v>31054</v>
      </c>
      <c r="B1209" s="18" t="s">
        <v>566</v>
      </c>
      <c r="C1209" s="18">
        <v>5</v>
      </c>
      <c r="D1209" s="18">
        <v>1</v>
      </c>
      <c r="F1209" s="12">
        <v>0</v>
      </c>
      <c r="G1209" s="19">
        <v>1</v>
      </c>
      <c r="H1209" s="19">
        <v>0</v>
      </c>
      <c r="I1209" s="19">
        <v>1</v>
      </c>
      <c r="J1209" s="19">
        <v>0</v>
      </c>
      <c r="K1209" s="19">
        <v>0</v>
      </c>
      <c r="L1209" s="18">
        <v>1</v>
      </c>
      <c r="M1209" s="18">
        <v>0</v>
      </c>
      <c r="N1209" s="19">
        <v>0</v>
      </c>
      <c r="O1209" s="19">
        <v>0</v>
      </c>
      <c r="P1209" s="19">
        <v>0</v>
      </c>
      <c r="Q1209" s="19">
        <v>0</v>
      </c>
      <c r="R1209" s="19">
        <v>0</v>
      </c>
      <c r="S1209" s="19">
        <v>0</v>
      </c>
      <c r="T1209" s="18">
        <v>1</v>
      </c>
      <c r="U1209" s="18">
        <v>1</v>
      </c>
      <c r="V1209" s="18">
        <v>1</v>
      </c>
      <c r="W1209" s="18">
        <v>0</v>
      </c>
      <c r="X1209" s="18">
        <v>0</v>
      </c>
      <c r="Y1209" s="18">
        <v>0</v>
      </c>
      <c r="Z1209" s="18" t="s">
        <v>571</v>
      </c>
      <c r="AC1209" s="20"/>
    </row>
    <row r="1210" spans="1:29" s="18" customFormat="1" ht="15" customHeight="1" x14ac:dyDescent="0.15">
      <c r="A1210" s="18">
        <v>31055</v>
      </c>
      <c r="B1210" s="18" t="s">
        <v>567</v>
      </c>
      <c r="C1210" s="18">
        <v>5</v>
      </c>
      <c r="D1210" s="18">
        <v>1</v>
      </c>
      <c r="F1210" s="12">
        <v>0</v>
      </c>
      <c r="G1210" s="19">
        <v>1</v>
      </c>
      <c r="H1210" s="19">
        <v>0</v>
      </c>
      <c r="I1210" s="19">
        <v>1</v>
      </c>
      <c r="J1210" s="19">
        <v>0</v>
      </c>
      <c r="K1210" s="19">
        <v>0</v>
      </c>
      <c r="L1210" s="18">
        <v>1</v>
      </c>
      <c r="M1210" s="18">
        <v>0</v>
      </c>
      <c r="N1210" s="19">
        <v>0</v>
      </c>
      <c r="O1210" s="19">
        <v>0</v>
      </c>
      <c r="P1210" s="19">
        <v>0</v>
      </c>
      <c r="Q1210" s="19">
        <v>0</v>
      </c>
      <c r="R1210" s="19">
        <v>0</v>
      </c>
      <c r="S1210" s="19">
        <v>0</v>
      </c>
      <c r="T1210" s="18">
        <v>1</v>
      </c>
      <c r="U1210" s="18">
        <v>1</v>
      </c>
      <c r="V1210" s="18">
        <v>1</v>
      </c>
      <c r="W1210" s="18">
        <v>0</v>
      </c>
      <c r="X1210" s="18">
        <v>0</v>
      </c>
      <c r="Y1210" s="18">
        <v>0</v>
      </c>
      <c r="Z1210" s="18" t="s">
        <v>572</v>
      </c>
    </row>
    <row r="1211" spans="1:29" s="18" customFormat="1" ht="15" customHeight="1" x14ac:dyDescent="0.15">
      <c r="A1211" s="18">
        <v>31056</v>
      </c>
      <c r="B1211" s="18" t="s">
        <v>634</v>
      </c>
      <c r="C1211" s="18">
        <v>5</v>
      </c>
      <c r="D1211" s="18">
        <v>1</v>
      </c>
      <c r="F1211" s="12">
        <v>0</v>
      </c>
      <c r="G1211" s="19">
        <v>1</v>
      </c>
      <c r="H1211" s="19">
        <v>0</v>
      </c>
      <c r="I1211" s="19">
        <v>1</v>
      </c>
      <c r="J1211" s="19">
        <v>0</v>
      </c>
      <c r="K1211" s="19">
        <v>0</v>
      </c>
      <c r="L1211" s="18">
        <v>1</v>
      </c>
      <c r="M1211" s="18">
        <v>0</v>
      </c>
      <c r="N1211" s="19">
        <v>0</v>
      </c>
      <c r="O1211" s="19">
        <v>0</v>
      </c>
      <c r="P1211" s="19">
        <v>0</v>
      </c>
      <c r="Q1211" s="19">
        <v>0</v>
      </c>
      <c r="R1211" s="19">
        <v>0</v>
      </c>
      <c r="S1211" s="19">
        <v>0</v>
      </c>
      <c r="T1211" s="18">
        <v>1</v>
      </c>
      <c r="U1211" s="18">
        <v>1</v>
      </c>
      <c r="V1211" s="18">
        <v>1</v>
      </c>
      <c r="W1211" s="18">
        <v>0</v>
      </c>
      <c r="X1211" s="18">
        <v>0</v>
      </c>
      <c r="Y1211" s="18">
        <v>0</v>
      </c>
      <c r="Z1211" s="18" t="s">
        <v>664</v>
      </c>
    </row>
    <row r="1212" spans="1:29" s="18" customFormat="1" ht="15" customHeight="1" x14ac:dyDescent="0.15">
      <c r="A1212" s="18">
        <v>31057</v>
      </c>
      <c r="B1212" s="18" t="s">
        <v>665</v>
      </c>
      <c r="C1212" s="18">
        <f t="shared" ref="C1212:C1218" si="172">G1212+H1212*2+I1212*4+J1212*8+K1212*16</f>
        <v>5</v>
      </c>
      <c r="D1212" s="18">
        <v>1</v>
      </c>
      <c r="F1212" s="12">
        <v>0</v>
      </c>
      <c r="G1212" s="19">
        <v>1</v>
      </c>
      <c r="H1212" s="19">
        <v>0</v>
      </c>
      <c r="I1212" s="19">
        <v>1</v>
      </c>
      <c r="J1212" s="19">
        <v>0</v>
      </c>
      <c r="K1212" s="19">
        <v>0</v>
      </c>
      <c r="L1212" s="18">
        <v>1</v>
      </c>
      <c r="M1212" s="18">
        <f t="shared" ref="M1212:M1294" si="173">N1212+O1212*2+P1212*4+Q1212*8+R1212*16+S1212*32</f>
        <v>0</v>
      </c>
      <c r="N1212" s="19">
        <v>0</v>
      </c>
      <c r="O1212" s="19">
        <v>0</v>
      </c>
      <c r="P1212" s="19">
        <v>0</v>
      </c>
      <c r="Q1212" s="19">
        <v>0</v>
      </c>
      <c r="R1212" s="19">
        <v>0</v>
      </c>
      <c r="S1212" s="19">
        <v>0</v>
      </c>
      <c r="T1212" s="18">
        <v>1</v>
      </c>
      <c r="U1212" s="18">
        <v>1</v>
      </c>
      <c r="V1212" s="18">
        <v>1</v>
      </c>
      <c r="W1212" s="18">
        <v>0</v>
      </c>
      <c r="X1212" s="18">
        <v>0</v>
      </c>
      <c r="Y1212" s="18">
        <v>0</v>
      </c>
      <c r="Z1212" s="25" t="s">
        <v>669</v>
      </c>
      <c r="AC1212" s="20"/>
    </row>
    <row r="1213" spans="1:29" s="18" customFormat="1" ht="15" customHeight="1" x14ac:dyDescent="0.15">
      <c r="A1213" s="18">
        <v>31058</v>
      </c>
      <c r="B1213" s="18" t="s">
        <v>666</v>
      </c>
      <c r="C1213" s="18">
        <f t="shared" si="172"/>
        <v>5</v>
      </c>
      <c r="D1213" s="18">
        <v>1</v>
      </c>
      <c r="F1213" s="12">
        <v>0</v>
      </c>
      <c r="G1213" s="19">
        <v>1</v>
      </c>
      <c r="H1213" s="19">
        <v>0</v>
      </c>
      <c r="I1213" s="19">
        <v>1</v>
      </c>
      <c r="J1213" s="19">
        <v>0</v>
      </c>
      <c r="K1213" s="19">
        <v>0</v>
      </c>
      <c r="L1213" s="18">
        <v>1</v>
      </c>
      <c r="M1213" s="18">
        <f t="shared" si="173"/>
        <v>0</v>
      </c>
      <c r="N1213" s="19">
        <v>0</v>
      </c>
      <c r="O1213" s="19">
        <v>0</v>
      </c>
      <c r="P1213" s="19">
        <v>0</v>
      </c>
      <c r="Q1213" s="19">
        <v>0</v>
      </c>
      <c r="R1213" s="19">
        <v>0</v>
      </c>
      <c r="S1213" s="19">
        <v>0</v>
      </c>
      <c r="T1213" s="18">
        <v>1</v>
      </c>
      <c r="U1213" s="18">
        <v>1</v>
      </c>
      <c r="V1213" s="18">
        <v>1</v>
      </c>
      <c r="W1213" s="18">
        <v>0</v>
      </c>
      <c r="X1213" s="18">
        <v>0</v>
      </c>
      <c r="Y1213" s="18">
        <v>0</v>
      </c>
      <c r="Z1213" s="25" t="s">
        <v>670</v>
      </c>
      <c r="AC1213" s="20"/>
    </row>
    <row r="1214" spans="1:29" s="18" customFormat="1" ht="15" customHeight="1" x14ac:dyDescent="0.15">
      <c r="A1214" s="18">
        <v>31059</v>
      </c>
      <c r="B1214" s="18" t="s">
        <v>667</v>
      </c>
      <c r="C1214" s="18">
        <f t="shared" si="172"/>
        <v>5</v>
      </c>
      <c r="D1214" s="18">
        <v>1</v>
      </c>
      <c r="F1214" s="12">
        <v>0</v>
      </c>
      <c r="G1214" s="19">
        <v>1</v>
      </c>
      <c r="H1214" s="19">
        <v>0</v>
      </c>
      <c r="I1214" s="19">
        <v>1</v>
      </c>
      <c r="J1214" s="19">
        <v>0</v>
      </c>
      <c r="K1214" s="19">
        <v>0</v>
      </c>
      <c r="L1214" s="18">
        <v>1</v>
      </c>
      <c r="M1214" s="18">
        <f t="shared" si="173"/>
        <v>0</v>
      </c>
      <c r="N1214" s="19">
        <v>0</v>
      </c>
      <c r="O1214" s="19">
        <v>0</v>
      </c>
      <c r="P1214" s="19">
        <v>0</v>
      </c>
      <c r="Q1214" s="19">
        <v>0</v>
      </c>
      <c r="R1214" s="19">
        <v>0</v>
      </c>
      <c r="S1214" s="19">
        <v>0</v>
      </c>
      <c r="T1214" s="18">
        <v>1</v>
      </c>
      <c r="U1214" s="18">
        <v>1</v>
      </c>
      <c r="V1214" s="18">
        <v>1</v>
      </c>
      <c r="W1214" s="18">
        <v>0</v>
      </c>
      <c r="X1214" s="18">
        <v>0</v>
      </c>
      <c r="Y1214" s="18">
        <v>0</v>
      </c>
      <c r="Z1214" s="25" t="s">
        <v>671</v>
      </c>
      <c r="AC1214" s="20"/>
    </row>
    <row r="1215" spans="1:29" s="18" customFormat="1" ht="15" customHeight="1" x14ac:dyDescent="0.15">
      <c r="A1215" s="18">
        <v>31060</v>
      </c>
      <c r="B1215" s="18" t="s">
        <v>668</v>
      </c>
      <c r="C1215" s="18">
        <f t="shared" si="172"/>
        <v>5</v>
      </c>
      <c r="D1215" s="18">
        <v>1</v>
      </c>
      <c r="F1215" s="12">
        <v>0</v>
      </c>
      <c r="G1215" s="19">
        <v>1</v>
      </c>
      <c r="H1215" s="19">
        <v>0</v>
      </c>
      <c r="I1215" s="19">
        <v>1</v>
      </c>
      <c r="J1215" s="19">
        <v>0</v>
      </c>
      <c r="K1215" s="19">
        <v>0</v>
      </c>
      <c r="L1215" s="18">
        <v>1</v>
      </c>
      <c r="M1215" s="18">
        <f t="shared" si="173"/>
        <v>0</v>
      </c>
      <c r="N1215" s="19">
        <v>0</v>
      </c>
      <c r="O1215" s="19">
        <v>0</v>
      </c>
      <c r="P1215" s="19">
        <v>0</v>
      </c>
      <c r="Q1215" s="19">
        <v>0</v>
      </c>
      <c r="R1215" s="19">
        <v>0</v>
      </c>
      <c r="S1215" s="19">
        <v>0</v>
      </c>
      <c r="T1215" s="18">
        <v>1</v>
      </c>
      <c r="U1215" s="18">
        <v>1</v>
      </c>
      <c r="V1215" s="18">
        <v>1</v>
      </c>
      <c r="W1215" s="18">
        <v>0</v>
      </c>
      <c r="X1215" s="18">
        <v>0</v>
      </c>
      <c r="Y1215" s="18">
        <v>0</v>
      </c>
      <c r="Z1215" s="25" t="s">
        <v>672</v>
      </c>
      <c r="AC1215" s="20"/>
    </row>
    <row r="1216" spans="1:29" s="18" customFormat="1" ht="15" customHeight="1" x14ac:dyDescent="0.15">
      <c r="A1216" s="18">
        <v>31061</v>
      </c>
      <c r="B1216" s="18" t="s">
        <v>1350</v>
      </c>
      <c r="C1216" s="18">
        <f t="shared" si="172"/>
        <v>5</v>
      </c>
      <c r="D1216" s="18">
        <v>1</v>
      </c>
      <c r="F1216" s="12">
        <v>0</v>
      </c>
      <c r="G1216" s="19">
        <v>1</v>
      </c>
      <c r="H1216" s="19">
        <v>0</v>
      </c>
      <c r="I1216" s="19">
        <v>1</v>
      </c>
      <c r="J1216" s="19">
        <v>0</v>
      </c>
      <c r="K1216" s="19">
        <v>0</v>
      </c>
      <c r="L1216" s="18">
        <v>1</v>
      </c>
      <c r="M1216" s="18">
        <f>N1216+O1216*2+P1216*4+Q1216*8+R1216*16+S1216*32</f>
        <v>0</v>
      </c>
      <c r="N1216" s="19">
        <v>0</v>
      </c>
      <c r="O1216" s="19">
        <v>0</v>
      </c>
      <c r="P1216" s="19">
        <v>0</v>
      </c>
      <c r="Q1216" s="19">
        <v>0</v>
      </c>
      <c r="R1216" s="19">
        <v>0</v>
      </c>
      <c r="S1216" s="19">
        <v>0</v>
      </c>
      <c r="T1216" s="18">
        <v>1</v>
      </c>
      <c r="U1216" s="18">
        <v>1</v>
      </c>
      <c r="V1216" s="18">
        <v>1</v>
      </c>
      <c r="W1216" s="18">
        <v>0</v>
      </c>
      <c r="X1216" s="18">
        <v>0</v>
      </c>
      <c r="Y1216" s="18">
        <v>0</v>
      </c>
      <c r="Z1216" s="18" t="s">
        <v>1418</v>
      </c>
      <c r="AC1216" s="20"/>
    </row>
    <row r="1217" spans="1:29" s="18" customFormat="1" ht="15" customHeight="1" x14ac:dyDescent="0.15">
      <c r="A1217" s="18">
        <v>31062</v>
      </c>
      <c r="B1217" s="18" t="s">
        <v>1351</v>
      </c>
      <c r="C1217" s="18">
        <f t="shared" si="172"/>
        <v>5</v>
      </c>
      <c r="D1217" s="18">
        <v>1</v>
      </c>
      <c r="F1217" s="12">
        <v>0</v>
      </c>
      <c r="G1217" s="19">
        <v>1</v>
      </c>
      <c r="H1217" s="19">
        <v>0</v>
      </c>
      <c r="I1217" s="19">
        <v>1</v>
      </c>
      <c r="J1217" s="19">
        <v>0</v>
      </c>
      <c r="K1217" s="19">
        <v>0</v>
      </c>
      <c r="L1217" s="18">
        <v>1</v>
      </c>
      <c r="M1217" s="18">
        <f>N1217+O1217*2+P1217*4+Q1217*8+R1217*16+S1217*32</f>
        <v>0</v>
      </c>
      <c r="N1217" s="19">
        <v>0</v>
      </c>
      <c r="O1217" s="19">
        <v>0</v>
      </c>
      <c r="P1217" s="19">
        <v>0</v>
      </c>
      <c r="Q1217" s="19">
        <v>0</v>
      </c>
      <c r="R1217" s="19">
        <v>0</v>
      </c>
      <c r="S1217" s="19">
        <v>0</v>
      </c>
      <c r="T1217" s="18">
        <v>1</v>
      </c>
      <c r="U1217" s="18">
        <v>1</v>
      </c>
      <c r="V1217" s="18">
        <v>1</v>
      </c>
      <c r="W1217" s="18">
        <v>0</v>
      </c>
      <c r="X1217" s="18">
        <v>0</v>
      </c>
      <c r="Y1217" s="18">
        <v>0</v>
      </c>
      <c r="Z1217" s="18" t="s">
        <v>1466</v>
      </c>
      <c r="AC1217" s="20"/>
    </row>
    <row r="1218" spans="1:29" s="18" customFormat="1" ht="15" customHeight="1" x14ac:dyDescent="0.15">
      <c r="A1218" s="18">
        <v>31063</v>
      </c>
      <c r="B1218" s="18" t="s">
        <v>1352</v>
      </c>
      <c r="C1218" s="18">
        <f t="shared" si="172"/>
        <v>5</v>
      </c>
      <c r="D1218" s="18">
        <v>1</v>
      </c>
      <c r="F1218" s="12">
        <v>0</v>
      </c>
      <c r="G1218" s="19">
        <v>1</v>
      </c>
      <c r="H1218" s="19">
        <v>0</v>
      </c>
      <c r="I1218" s="19">
        <v>1</v>
      </c>
      <c r="J1218" s="19">
        <v>0</v>
      </c>
      <c r="K1218" s="19">
        <v>0</v>
      </c>
      <c r="L1218" s="18">
        <v>1</v>
      </c>
      <c r="M1218" s="18">
        <f>N1218+O1218*2+P1218*4+Q1218*8+R1218*16+S1218*32</f>
        <v>0</v>
      </c>
      <c r="N1218" s="19">
        <v>0</v>
      </c>
      <c r="O1218" s="19">
        <v>0</v>
      </c>
      <c r="P1218" s="19">
        <v>0</v>
      </c>
      <c r="Q1218" s="19">
        <v>0</v>
      </c>
      <c r="R1218" s="19">
        <v>0</v>
      </c>
      <c r="S1218" s="19">
        <v>0</v>
      </c>
      <c r="T1218" s="18">
        <v>1</v>
      </c>
      <c r="U1218" s="18">
        <v>1</v>
      </c>
      <c r="V1218" s="18">
        <v>1</v>
      </c>
      <c r="W1218" s="18">
        <v>0</v>
      </c>
      <c r="X1218" s="18">
        <v>0</v>
      </c>
      <c r="Y1218" s="18">
        <v>0</v>
      </c>
      <c r="Z1218" s="18" t="s">
        <v>763</v>
      </c>
      <c r="AC1218" s="20"/>
    </row>
    <row r="1219" spans="1:29" s="35" customFormat="1" ht="18" customHeight="1" x14ac:dyDescent="0.15">
      <c r="A1219" s="35">
        <v>31064</v>
      </c>
      <c r="B1219" s="35" t="s">
        <v>851</v>
      </c>
      <c r="C1219" s="35">
        <f t="shared" ref="C1219:C1228" si="174">G1219+H1219*2+I1219*4+J1219*8+K1219*16</f>
        <v>5</v>
      </c>
      <c r="D1219" s="35">
        <v>1</v>
      </c>
      <c r="F1219" s="12">
        <v>0</v>
      </c>
      <c r="G1219" s="36">
        <v>1</v>
      </c>
      <c r="H1219" s="36">
        <v>0</v>
      </c>
      <c r="I1219" s="36">
        <v>1</v>
      </c>
      <c r="J1219" s="36">
        <v>0</v>
      </c>
      <c r="K1219" s="36">
        <v>0</v>
      </c>
      <c r="L1219" s="35">
        <v>1</v>
      </c>
      <c r="M1219" s="35">
        <v>64</v>
      </c>
      <c r="N1219" s="36">
        <v>0</v>
      </c>
      <c r="O1219" s="36">
        <v>0</v>
      </c>
      <c r="P1219" s="36">
        <v>0</v>
      </c>
      <c r="Q1219" s="36">
        <v>0</v>
      </c>
      <c r="R1219" s="36">
        <v>0</v>
      </c>
      <c r="S1219" s="36">
        <v>0</v>
      </c>
      <c r="T1219" s="35">
        <v>1</v>
      </c>
      <c r="U1219" s="35">
        <v>1</v>
      </c>
      <c r="V1219" s="35">
        <v>1</v>
      </c>
      <c r="W1219" s="35">
        <v>0</v>
      </c>
      <c r="X1219" s="35">
        <v>0</v>
      </c>
      <c r="Y1219" s="35">
        <v>0</v>
      </c>
      <c r="Z1219" s="37" t="s">
        <v>853</v>
      </c>
    </row>
    <row r="1220" spans="1:29" s="35" customFormat="1" ht="18" customHeight="1" x14ac:dyDescent="0.15">
      <c r="A1220" s="35">
        <v>31065</v>
      </c>
      <c r="B1220" s="35" t="s">
        <v>852</v>
      </c>
      <c r="C1220" s="35">
        <f t="shared" si="174"/>
        <v>5</v>
      </c>
      <c r="D1220" s="35">
        <v>1</v>
      </c>
      <c r="F1220" s="12">
        <v>0</v>
      </c>
      <c r="G1220" s="36">
        <v>1</v>
      </c>
      <c r="H1220" s="36">
        <v>0</v>
      </c>
      <c r="I1220" s="36">
        <v>1</v>
      </c>
      <c r="J1220" s="36">
        <v>0</v>
      </c>
      <c r="K1220" s="36">
        <v>0</v>
      </c>
      <c r="L1220" s="35">
        <v>1</v>
      </c>
      <c r="M1220" s="35">
        <v>64</v>
      </c>
      <c r="N1220" s="36">
        <v>0</v>
      </c>
      <c r="O1220" s="36">
        <v>0</v>
      </c>
      <c r="P1220" s="36">
        <v>0</v>
      </c>
      <c r="Q1220" s="36">
        <v>0</v>
      </c>
      <c r="R1220" s="36">
        <v>0</v>
      </c>
      <c r="S1220" s="36">
        <v>0</v>
      </c>
      <c r="T1220" s="35">
        <v>1</v>
      </c>
      <c r="U1220" s="35">
        <v>1</v>
      </c>
      <c r="V1220" s="35">
        <v>1</v>
      </c>
      <c r="W1220" s="35">
        <v>0</v>
      </c>
      <c r="X1220" s="35">
        <v>0</v>
      </c>
      <c r="Y1220" s="35">
        <v>0</v>
      </c>
      <c r="Z1220" s="37" t="s">
        <v>854</v>
      </c>
    </row>
    <row r="1221" spans="1:29" s="35" customFormat="1" ht="18" customHeight="1" x14ac:dyDescent="0.15">
      <c r="A1221" s="35">
        <v>31066</v>
      </c>
      <c r="B1221" s="35" t="s">
        <v>1592</v>
      </c>
      <c r="C1221" s="35">
        <f t="shared" si="174"/>
        <v>5</v>
      </c>
      <c r="D1221" s="35">
        <v>1</v>
      </c>
      <c r="F1221" s="12">
        <v>0</v>
      </c>
      <c r="G1221" s="36">
        <v>1</v>
      </c>
      <c r="H1221" s="36">
        <v>0</v>
      </c>
      <c r="I1221" s="36">
        <v>1</v>
      </c>
      <c r="J1221" s="36">
        <v>0</v>
      </c>
      <c r="K1221" s="36">
        <v>0</v>
      </c>
      <c r="L1221" s="35">
        <v>1</v>
      </c>
      <c r="M1221" s="35">
        <v>64</v>
      </c>
      <c r="N1221" s="36">
        <v>0</v>
      </c>
      <c r="O1221" s="36">
        <v>0</v>
      </c>
      <c r="P1221" s="36">
        <v>0</v>
      </c>
      <c r="Q1221" s="36">
        <v>0</v>
      </c>
      <c r="R1221" s="36">
        <v>0</v>
      </c>
      <c r="S1221" s="36">
        <v>0</v>
      </c>
      <c r="T1221" s="35">
        <v>1</v>
      </c>
      <c r="U1221" s="35">
        <v>1</v>
      </c>
      <c r="V1221" s="35">
        <v>1</v>
      </c>
      <c r="W1221" s="35">
        <v>0</v>
      </c>
      <c r="X1221" s="35">
        <v>0</v>
      </c>
      <c r="Y1221" s="35">
        <v>0</v>
      </c>
      <c r="Z1221" s="37" t="s">
        <v>1593</v>
      </c>
    </row>
    <row r="1222" spans="1:29" s="35" customFormat="1" ht="18" customHeight="1" x14ac:dyDescent="0.15">
      <c r="A1222" s="35">
        <v>31067</v>
      </c>
      <c r="B1222" s="35" t="s">
        <v>963</v>
      </c>
      <c r="C1222" s="35">
        <f t="shared" si="174"/>
        <v>5</v>
      </c>
      <c r="D1222" s="35">
        <v>1</v>
      </c>
      <c r="F1222" s="12">
        <v>0</v>
      </c>
      <c r="G1222" s="36">
        <v>1</v>
      </c>
      <c r="H1222" s="36">
        <v>0</v>
      </c>
      <c r="I1222" s="36">
        <v>1</v>
      </c>
      <c r="J1222" s="36">
        <v>0</v>
      </c>
      <c r="K1222" s="36">
        <v>0</v>
      </c>
      <c r="L1222" s="35">
        <v>1</v>
      </c>
      <c r="M1222" s="18">
        <f t="shared" ref="M1222:M1223" si="175">N1222+O1222*2+P1222*4+Q1222*8+R1222*16+S1222*32</f>
        <v>0</v>
      </c>
      <c r="N1222" s="36">
        <v>0</v>
      </c>
      <c r="O1222" s="36">
        <v>0</v>
      </c>
      <c r="P1222" s="36">
        <v>0</v>
      </c>
      <c r="Q1222" s="36">
        <v>0</v>
      </c>
      <c r="R1222" s="36">
        <v>0</v>
      </c>
      <c r="S1222" s="36">
        <v>0</v>
      </c>
      <c r="T1222" s="35">
        <v>1</v>
      </c>
      <c r="U1222" s="35">
        <v>1</v>
      </c>
      <c r="V1222" s="35">
        <v>1</v>
      </c>
      <c r="W1222" s="35">
        <v>0</v>
      </c>
      <c r="X1222" s="35">
        <v>0</v>
      </c>
      <c r="Y1222" s="35">
        <v>0</v>
      </c>
      <c r="Z1222" s="37" t="s">
        <v>965</v>
      </c>
    </row>
    <row r="1223" spans="1:29" s="35" customFormat="1" ht="18" customHeight="1" x14ac:dyDescent="0.15">
      <c r="A1223" s="35">
        <v>31068</v>
      </c>
      <c r="B1223" s="35" t="s">
        <v>964</v>
      </c>
      <c r="C1223" s="35">
        <f t="shared" si="174"/>
        <v>5</v>
      </c>
      <c r="D1223" s="35">
        <v>1</v>
      </c>
      <c r="F1223" s="12">
        <v>0</v>
      </c>
      <c r="G1223" s="36">
        <v>1</v>
      </c>
      <c r="H1223" s="36">
        <v>0</v>
      </c>
      <c r="I1223" s="36">
        <v>1</v>
      </c>
      <c r="J1223" s="36">
        <v>0</v>
      </c>
      <c r="K1223" s="36">
        <v>0</v>
      </c>
      <c r="L1223" s="35">
        <v>1</v>
      </c>
      <c r="M1223" s="18">
        <f t="shared" si="175"/>
        <v>0</v>
      </c>
      <c r="N1223" s="36">
        <v>0</v>
      </c>
      <c r="O1223" s="36">
        <v>0</v>
      </c>
      <c r="P1223" s="36">
        <v>0</v>
      </c>
      <c r="Q1223" s="36">
        <v>0</v>
      </c>
      <c r="R1223" s="36">
        <v>0</v>
      </c>
      <c r="S1223" s="36">
        <v>0</v>
      </c>
      <c r="T1223" s="35">
        <v>1</v>
      </c>
      <c r="U1223" s="35">
        <v>1</v>
      </c>
      <c r="V1223" s="35">
        <v>1</v>
      </c>
      <c r="W1223" s="35">
        <v>0</v>
      </c>
      <c r="X1223" s="35">
        <v>0</v>
      </c>
      <c r="Y1223" s="35">
        <v>0</v>
      </c>
      <c r="Z1223" s="37" t="s">
        <v>966</v>
      </c>
    </row>
    <row r="1224" spans="1:29" s="35" customFormat="1" ht="18" customHeight="1" x14ac:dyDescent="0.15">
      <c r="A1224" s="35">
        <v>31069</v>
      </c>
      <c r="B1224" s="35" t="s">
        <v>973</v>
      </c>
      <c r="C1224" s="35">
        <f t="shared" si="174"/>
        <v>5</v>
      </c>
      <c r="D1224" s="35">
        <v>1</v>
      </c>
      <c r="F1224" s="12">
        <v>0</v>
      </c>
      <c r="G1224" s="36">
        <v>1</v>
      </c>
      <c r="H1224" s="36">
        <v>0</v>
      </c>
      <c r="I1224" s="36">
        <v>1</v>
      </c>
      <c r="J1224" s="36">
        <v>0</v>
      </c>
      <c r="K1224" s="36">
        <v>0</v>
      </c>
      <c r="L1224" s="35">
        <v>1</v>
      </c>
      <c r="M1224" s="18">
        <f t="shared" ref="M1224:M1228" si="176">N1224+O1224*2+P1224*4+Q1224*8+R1224*16+S1224*32</f>
        <v>0</v>
      </c>
      <c r="N1224" s="36">
        <v>0</v>
      </c>
      <c r="O1224" s="36">
        <v>0</v>
      </c>
      <c r="P1224" s="36">
        <v>0</v>
      </c>
      <c r="Q1224" s="36">
        <v>0</v>
      </c>
      <c r="R1224" s="36">
        <v>0</v>
      </c>
      <c r="S1224" s="36">
        <v>0</v>
      </c>
      <c r="T1224" s="35">
        <v>1</v>
      </c>
      <c r="U1224" s="35">
        <v>1</v>
      </c>
      <c r="V1224" s="35">
        <v>1</v>
      </c>
      <c r="W1224" s="35">
        <v>0</v>
      </c>
      <c r="X1224" s="35">
        <v>0</v>
      </c>
      <c r="Y1224" s="35">
        <v>0</v>
      </c>
      <c r="Z1224" s="37" t="s">
        <v>1480</v>
      </c>
    </row>
    <row r="1225" spans="1:29" s="18" customFormat="1" ht="15" customHeight="1" x14ac:dyDescent="0.15">
      <c r="A1225" s="35">
        <v>31070</v>
      </c>
      <c r="B1225" s="18" t="s">
        <v>1634</v>
      </c>
      <c r="C1225" s="18">
        <f t="shared" si="174"/>
        <v>5</v>
      </c>
      <c r="D1225" s="18">
        <v>1</v>
      </c>
      <c r="F1225" s="12">
        <v>0</v>
      </c>
      <c r="G1225" s="19">
        <v>1</v>
      </c>
      <c r="H1225" s="19">
        <v>0</v>
      </c>
      <c r="I1225" s="19">
        <v>1</v>
      </c>
      <c r="J1225" s="19">
        <v>0</v>
      </c>
      <c r="K1225" s="19">
        <v>0</v>
      </c>
      <c r="L1225" s="18">
        <v>1</v>
      </c>
      <c r="M1225" s="18">
        <f t="shared" si="176"/>
        <v>0</v>
      </c>
      <c r="N1225" s="19">
        <v>0</v>
      </c>
      <c r="O1225" s="19">
        <v>0</v>
      </c>
      <c r="P1225" s="19">
        <v>0</v>
      </c>
      <c r="Q1225" s="19">
        <v>0</v>
      </c>
      <c r="R1225" s="19">
        <v>0</v>
      </c>
      <c r="S1225" s="19">
        <v>0</v>
      </c>
      <c r="T1225" s="18">
        <v>1</v>
      </c>
      <c r="U1225" s="18">
        <v>1</v>
      </c>
      <c r="V1225" s="18">
        <v>1</v>
      </c>
      <c r="W1225" s="18">
        <v>0</v>
      </c>
      <c r="X1225" s="18">
        <v>0</v>
      </c>
      <c r="Y1225" s="18">
        <v>0</v>
      </c>
    </row>
    <row r="1226" spans="1:29" s="18" customFormat="1" ht="15" customHeight="1" x14ac:dyDescent="0.15">
      <c r="A1226" s="35">
        <v>31071</v>
      </c>
      <c r="B1226" s="18" t="s">
        <v>1635</v>
      </c>
      <c r="C1226" s="18">
        <f t="shared" si="174"/>
        <v>5</v>
      </c>
      <c r="D1226" s="18">
        <v>1</v>
      </c>
      <c r="F1226" s="12">
        <v>0</v>
      </c>
      <c r="G1226" s="19">
        <v>1</v>
      </c>
      <c r="H1226" s="19">
        <v>0</v>
      </c>
      <c r="I1226" s="19">
        <v>1</v>
      </c>
      <c r="J1226" s="19">
        <v>0</v>
      </c>
      <c r="K1226" s="19">
        <v>0</v>
      </c>
      <c r="L1226" s="18">
        <v>1</v>
      </c>
      <c r="M1226" s="18">
        <f t="shared" si="176"/>
        <v>0</v>
      </c>
      <c r="N1226" s="19">
        <v>0</v>
      </c>
      <c r="O1226" s="19">
        <v>0</v>
      </c>
      <c r="P1226" s="19">
        <v>0</v>
      </c>
      <c r="Q1226" s="19">
        <v>0</v>
      </c>
      <c r="R1226" s="19">
        <v>0</v>
      </c>
      <c r="S1226" s="19">
        <v>0</v>
      </c>
      <c r="T1226" s="18">
        <v>1</v>
      </c>
      <c r="U1226" s="18">
        <v>1</v>
      </c>
      <c r="V1226" s="18">
        <v>1</v>
      </c>
      <c r="W1226" s="18">
        <v>0</v>
      </c>
      <c r="X1226" s="18">
        <v>0</v>
      </c>
      <c r="Y1226" s="18">
        <v>0</v>
      </c>
    </row>
    <row r="1227" spans="1:29" s="18" customFormat="1" ht="15" customHeight="1" x14ac:dyDescent="0.15">
      <c r="A1227" s="35">
        <v>31072</v>
      </c>
      <c r="B1227" s="18" t="s">
        <v>1636</v>
      </c>
      <c r="C1227" s="18">
        <f t="shared" si="174"/>
        <v>5</v>
      </c>
      <c r="D1227" s="18">
        <v>1</v>
      </c>
      <c r="F1227" s="12">
        <v>0</v>
      </c>
      <c r="G1227" s="19">
        <v>1</v>
      </c>
      <c r="H1227" s="19">
        <v>0</v>
      </c>
      <c r="I1227" s="19">
        <v>1</v>
      </c>
      <c r="J1227" s="19">
        <v>0</v>
      </c>
      <c r="K1227" s="19">
        <v>0</v>
      </c>
      <c r="L1227" s="18">
        <v>1</v>
      </c>
      <c r="M1227" s="18">
        <f t="shared" si="176"/>
        <v>0</v>
      </c>
      <c r="N1227" s="19">
        <v>0</v>
      </c>
      <c r="O1227" s="19">
        <v>0</v>
      </c>
      <c r="P1227" s="19">
        <v>0</v>
      </c>
      <c r="Q1227" s="19">
        <v>0</v>
      </c>
      <c r="R1227" s="19">
        <v>0</v>
      </c>
      <c r="S1227" s="19">
        <v>0</v>
      </c>
      <c r="T1227" s="18">
        <v>1</v>
      </c>
      <c r="U1227" s="18">
        <v>1</v>
      </c>
      <c r="V1227" s="18">
        <v>1</v>
      </c>
      <c r="W1227" s="18">
        <v>0</v>
      </c>
      <c r="X1227" s="18">
        <v>0</v>
      </c>
      <c r="Y1227" s="18">
        <v>0</v>
      </c>
    </row>
    <row r="1228" spans="1:29" s="18" customFormat="1" ht="15" customHeight="1" x14ac:dyDescent="0.15">
      <c r="A1228" s="35">
        <v>32001</v>
      </c>
      <c r="B1228" s="18" t="s">
        <v>1855</v>
      </c>
      <c r="C1228" s="9">
        <f t="shared" si="174"/>
        <v>1</v>
      </c>
      <c r="D1228" s="9">
        <v>1</v>
      </c>
      <c r="E1228" s="9"/>
      <c r="F1228" s="12">
        <v>0</v>
      </c>
      <c r="G1228" s="10">
        <v>1</v>
      </c>
      <c r="H1228" s="10">
        <v>0</v>
      </c>
      <c r="I1228" s="10">
        <v>0</v>
      </c>
      <c r="J1228" s="10">
        <v>0</v>
      </c>
      <c r="K1228" s="10">
        <v>0</v>
      </c>
      <c r="L1228" s="9">
        <v>1</v>
      </c>
      <c r="M1228" s="9">
        <f t="shared" si="176"/>
        <v>33</v>
      </c>
      <c r="N1228" s="10">
        <v>1</v>
      </c>
      <c r="O1228" s="10">
        <v>0</v>
      </c>
      <c r="P1228" s="10">
        <v>0</v>
      </c>
      <c r="Q1228" s="10">
        <v>0</v>
      </c>
      <c r="R1228" s="10">
        <v>0</v>
      </c>
      <c r="S1228" s="10">
        <v>1</v>
      </c>
      <c r="T1228" s="9">
        <v>1</v>
      </c>
      <c r="U1228" s="9">
        <v>1</v>
      </c>
      <c r="V1228" s="9">
        <v>1</v>
      </c>
      <c r="W1228" s="9">
        <v>1</v>
      </c>
      <c r="X1228" s="9">
        <v>0</v>
      </c>
      <c r="Y1228" s="9">
        <v>0</v>
      </c>
      <c r="Z1228" s="9" t="str">
        <f>"每2秒流血"&amp;INT(AA1228/5)&amp;"点，持续10秒"</f>
        <v>每2秒流血69点，持续10秒</v>
      </c>
      <c r="AA1228" s="18">
        <v>349</v>
      </c>
    </row>
    <row r="1229" spans="1:29" s="18" customFormat="1" ht="15" customHeight="1" x14ac:dyDescent="0.15">
      <c r="A1229" s="35">
        <v>32002</v>
      </c>
      <c r="B1229" s="18" t="s">
        <v>1856</v>
      </c>
      <c r="C1229" s="9">
        <f t="shared" ref="C1229:C1252" si="177">G1229+H1229*2+I1229*4+J1229*8+K1229*16</f>
        <v>1</v>
      </c>
      <c r="D1229" s="9">
        <v>1</v>
      </c>
      <c r="E1229" s="9"/>
      <c r="F1229" s="12">
        <v>0</v>
      </c>
      <c r="G1229" s="10">
        <v>1</v>
      </c>
      <c r="H1229" s="10">
        <v>0</v>
      </c>
      <c r="I1229" s="10">
        <v>0</v>
      </c>
      <c r="J1229" s="10">
        <v>0</v>
      </c>
      <c r="K1229" s="10">
        <v>0</v>
      </c>
      <c r="L1229" s="9">
        <v>1</v>
      </c>
      <c r="M1229" s="9">
        <f t="shared" ref="M1229:M1252" si="178">N1229+O1229*2+P1229*4+Q1229*8+R1229*16+S1229*32</f>
        <v>33</v>
      </c>
      <c r="N1229" s="10">
        <v>1</v>
      </c>
      <c r="O1229" s="10">
        <v>0</v>
      </c>
      <c r="P1229" s="10">
        <v>0</v>
      </c>
      <c r="Q1229" s="10">
        <v>0</v>
      </c>
      <c r="R1229" s="10">
        <v>0</v>
      </c>
      <c r="S1229" s="10">
        <v>1</v>
      </c>
      <c r="T1229" s="9">
        <v>1</v>
      </c>
      <c r="U1229" s="9">
        <v>1</v>
      </c>
      <c r="V1229" s="9">
        <v>1</v>
      </c>
      <c r="W1229" s="9">
        <v>1</v>
      </c>
      <c r="X1229" s="9">
        <v>0</v>
      </c>
      <c r="Y1229" s="9">
        <v>0</v>
      </c>
      <c r="Z1229" s="9" t="str">
        <f t="shared" ref="Z1229:Z1287" si="179">"每2秒流血"&amp;INT(AA1229/5)&amp;"点，持续10秒"</f>
        <v>每2秒流血72点，持续10秒</v>
      </c>
      <c r="AA1229" s="18">
        <v>361</v>
      </c>
    </row>
    <row r="1230" spans="1:29" s="18" customFormat="1" ht="15" customHeight="1" x14ac:dyDescent="0.15">
      <c r="A1230" s="35">
        <v>32003</v>
      </c>
      <c r="B1230" s="18" t="s">
        <v>1857</v>
      </c>
      <c r="C1230" s="9">
        <f t="shared" si="177"/>
        <v>1</v>
      </c>
      <c r="D1230" s="9">
        <v>1</v>
      </c>
      <c r="E1230" s="9"/>
      <c r="F1230" s="12">
        <v>0</v>
      </c>
      <c r="G1230" s="10">
        <v>1</v>
      </c>
      <c r="H1230" s="10">
        <v>0</v>
      </c>
      <c r="I1230" s="10">
        <v>0</v>
      </c>
      <c r="J1230" s="10">
        <v>0</v>
      </c>
      <c r="K1230" s="10">
        <v>0</v>
      </c>
      <c r="L1230" s="9">
        <v>1</v>
      </c>
      <c r="M1230" s="9">
        <f t="shared" si="178"/>
        <v>33</v>
      </c>
      <c r="N1230" s="10">
        <v>1</v>
      </c>
      <c r="O1230" s="10">
        <v>0</v>
      </c>
      <c r="P1230" s="10">
        <v>0</v>
      </c>
      <c r="Q1230" s="10">
        <v>0</v>
      </c>
      <c r="R1230" s="10">
        <v>0</v>
      </c>
      <c r="S1230" s="10">
        <v>1</v>
      </c>
      <c r="T1230" s="9">
        <v>1</v>
      </c>
      <c r="U1230" s="9">
        <v>1</v>
      </c>
      <c r="V1230" s="9">
        <v>1</v>
      </c>
      <c r="W1230" s="9">
        <v>1</v>
      </c>
      <c r="X1230" s="9">
        <v>0</v>
      </c>
      <c r="Y1230" s="9">
        <v>0</v>
      </c>
      <c r="Z1230" s="9" t="str">
        <f t="shared" si="179"/>
        <v>每2秒流血74点，持续10秒</v>
      </c>
      <c r="AA1230" s="18">
        <v>373</v>
      </c>
    </row>
    <row r="1231" spans="1:29" s="18" customFormat="1" ht="15" customHeight="1" x14ac:dyDescent="0.15">
      <c r="A1231" s="35">
        <v>32004</v>
      </c>
      <c r="B1231" s="18" t="s">
        <v>1858</v>
      </c>
      <c r="C1231" s="9">
        <f t="shared" si="177"/>
        <v>1</v>
      </c>
      <c r="D1231" s="9">
        <v>1</v>
      </c>
      <c r="E1231" s="9"/>
      <c r="F1231" s="12">
        <v>0</v>
      </c>
      <c r="G1231" s="10">
        <v>1</v>
      </c>
      <c r="H1231" s="10">
        <v>0</v>
      </c>
      <c r="I1231" s="10">
        <v>0</v>
      </c>
      <c r="J1231" s="10">
        <v>0</v>
      </c>
      <c r="K1231" s="10">
        <v>0</v>
      </c>
      <c r="L1231" s="9">
        <v>1</v>
      </c>
      <c r="M1231" s="9">
        <f t="shared" si="178"/>
        <v>33</v>
      </c>
      <c r="N1231" s="10">
        <v>1</v>
      </c>
      <c r="O1231" s="10">
        <v>0</v>
      </c>
      <c r="P1231" s="10">
        <v>0</v>
      </c>
      <c r="Q1231" s="10">
        <v>0</v>
      </c>
      <c r="R1231" s="10">
        <v>0</v>
      </c>
      <c r="S1231" s="10">
        <v>1</v>
      </c>
      <c r="T1231" s="9">
        <v>1</v>
      </c>
      <c r="U1231" s="9">
        <v>1</v>
      </c>
      <c r="V1231" s="9">
        <v>1</v>
      </c>
      <c r="W1231" s="9">
        <v>1</v>
      </c>
      <c r="X1231" s="9">
        <v>0</v>
      </c>
      <c r="Y1231" s="9">
        <v>0</v>
      </c>
      <c r="Z1231" s="9" t="str">
        <f t="shared" si="179"/>
        <v>每2秒流血77点，持续10秒</v>
      </c>
      <c r="AA1231" s="18">
        <v>386</v>
      </c>
    </row>
    <row r="1232" spans="1:29" s="18" customFormat="1" ht="15" customHeight="1" x14ac:dyDescent="0.15">
      <c r="A1232" s="35">
        <v>32005</v>
      </c>
      <c r="B1232" s="18" t="s">
        <v>1859</v>
      </c>
      <c r="C1232" s="9">
        <f t="shared" si="177"/>
        <v>1</v>
      </c>
      <c r="D1232" s="9">
        <v>1</v>
      </c>
      <c r="E1232" s="9"/>
      <c r="F1232" s="12">
        <v>0</v>
      </c>
      <c r="G1232" s="10">
        <v>1</v>
      </c>
      <c r="H1232" s="10">
        <v>0</v>
      </c>
      <c r="I1232" s="10">
        <v>0</v>
      </c>
      <c r="J1232" s="10">
        <v>0</v>
      </c>
      <c r="K1232" s="10">
        <v>0</v>
      </c>
      <c r="L1232" s="9">
        <v>1</v>
      </c>
      <c r="M1232" s="9">
        <f t="shared" si="178"/>
        <v>33</v>
      </c>
      <c r="N1232" s="10">
        <v>1</v>
      </c>
      <c r="O1232" s="10">
        <v>0</v>
      </c>
      <c r="P1232" s="10">
        <v>0</v>
      </c>
      <c r="Q1232" s="10">
        <v>0</v>
      </c>
      <c r="R1232" s="10">
        <v>0</v>
      </c>
      <c r="S1232" s="10">
        <v>1</v>
      </c>
      <c r="T1232" s="9">
        <v>1</v>
      </c>
      <c r="U1232" s="9">
        <v>1</v>
      </c>
      <c r="V1232" s="9">
        <v>1</v>
      </c>
      <c r="W1232" s="9">
        <v>1</v>
      </c>
      <c r="X1232" s="9">
        <v>0</v>
      </c>
      <c r="Y1232" s="9">
        <v>0</v>
      </c>
      <c r="Z1232" s="9" t="str">
        <f t="shared" si="179"/>
        <v>每2秒流血79点，持续10秒</v>
      </c>
      <c r="AA1232" s="18">
        <v>399</v>
      </c>
    </row>
    <row r="1233" spans="1:27" s="18" customFormat="1" ht="15" customHeight="1" x14ac:dyDescent="0.15">
      <c r="A1233" s="35">
        <v>32006</v>
      </c>
      <c r="B1233" s="18" t="s">
        <v>1860</v>
      </c>
      <c r="C1233" s="9">
        <f t="shared" si="177"/>
        <v>1</v>
      </c>
      <c r="D1233" s="9">
        <v>1</v>
      </c>
      <c r="E1233" s="9"/>
      <c r="F1233" s="12">
        <v>0</v>
      </c>
      <c r="G1233" s="10">
        <v>1</v>
      </c>
      <c r="H1233" s="10">
        <v>0</v>
      </c>
      <c r="I1233" s="10">
        <v>0</v>
      </c>
      <c r="J1233" s="10">
        <v>0</v>
      </c>
      <c r="K1233" s="10">
        <v>0</v>
      </c>
      <c r="L1233" s="9">
        <v>1</v>
      </c>
      <c r="M1233" s="9">
        <f t="shared" si="178"/>
        <v>33</v>
      </c>
      <c r="N1233" s="10">
        <v>1</v>
      </c>
      <c r="O1233" s="10">
        <v>0</v>
      </c>
      <c r="P1233" s="10">
        <v>0</v>
      </c>
      <c r="Q1233" s="10">
        <v>0</v>
      </c>
      <c r="R1233" s="10">
        <v>0</v>
      </c>
      <c r="S1233" s="10">
        <v>1</v>
      </c>
      <c r="T1233" s="9">
        <v>1</v>
      </c>
      <c r="U1233" s="9">
        <v>1</v>
      </c>
      <c r="V1233" s="9">
        <v>1</v>
      </c>
      <c r="W1233" s="9">
        <v>1</v>
      </c>
      <c r="X1233" s="9">
        <v>0</v>
      </c>
      <c r="Y1233" s="9">
        <v>0</v>
      </c>
      <c r="Z1233" s="9" t="str">
        <f t="shared" si="179"/>
        <v>每2秒流血82点，持续10秒</v>
      </c>
      <c r="AA1233" s="18">
        <v>413</v>
      </c>
    </row>
    <row r="1234" spans="1:27" s="18" customFormat="1" ht="15" customHeight="1" x14ac:dyDescent="0.15">
      <c r="A1234" s="35">
        <v>32007</v>
      </c>
      <c r="B1234" s="18" t="s">
        <v>1861</v>
      </c>
      <c r="C1234" s="9">
        <f t="shared" si="177"/>
        <v>1</v>
      </c>
      <c r="D1234" s="9">
        <v>1</v>
      </c>
      <c r="E1234" s="9"/>
      <c r="F1234" s="12">
        <v>0</v>
      </c>
      <c r="G1234" s="10">
        <v>1</v>
      </c>
      <c r="H1234" s="10">
        <v>0</v>
      </c>
      <c r="I1234" s="10">
        <v>0</v>
      </c>
      <c r="J1234" s="10">
        <v>0</v>
      </c>
      <c r="K1234" s="10">
        <v>0</v>
      </c>
      <c r="L1234" s="9">
        <v>1</v>
      </c>
      <c r="M1234" s="9">
        <f t="shared" si="178"/>
        <v>33</v>
      </c>
      <c r="N1234" s="10">
        <v>1</v>
      </c>
      <c r="O1234" s="10">
        <v>0</v>
      </c>
      <c r="P1234" s="10">
        <v>0</v>
      </c>
      <c r="Q1234" s="10">
        <v>0</v>
      </c>
      <c r="R1234" s="10">
        <v>0</v>
      </c>
      <c r="S1234" s="10">
        <v>1</v>
      </c>
      <c r="T1234" s="9">
        <v>1</v>
      </c>
      <c r="U1234" s="9">
        <v>1</v>
      </c>
      <c r="V1234" s="9">
        <v>1</v>
      </c>
      <c r="W1234" s="9">
        <v>1</v>
      </c>
      <c r="X1234" s="9">
        <v>0</v>
      </c>
      <c r="Y1234" s="9">
        <v>0</v>
      </c>
      <c r="Z1234" s="9" t="str">
        <f t="shared" si="179"/>
        <v>每2秒流血85点，持续10秒</v>
      </c>
      <c r="AA1234" s="18">
        <v>427</v>
      </c>
    </row>
    <row r="1235" spans="1:27" s="18" customFormat="1" ht="15" customHeight="1" x14ac:dyDescent="0.15">
      <c r="A1235" s="35">
        <v>32008</v>
      </c>
      <c r="B1235" s="18" t="s">
        <v>1862</v>
      </c>
      <c r="C1235" s="9">
        <f t="shared" si="177"/>
        <v>1</v>
      </c>
      <c r="D1235" s="9">
        <v>1</v>
      </c>
      <c r="E1235" s="9"/>
      <c r="F1235" s="12">
        <v>0</v>
      </c>
      <c r="G1235" s="10">
        <v>1</v>
      </c>
      <c r="H1235" s="10">
        <v>0</v>
      </c>
      <c r="I1235" s="10">
        <v>0</v>
      </c>
      <c r="J1235" s="10">
        <v>0</v>
      </c>
      <c r="K1235" s="10">
        <v>0</v>
      </c>
      <c r="L1235" s="9">
        <v>1</v>
      </c>
      <c r="M1235" s="9">
        <f t="shared" si="178"/>
        <v>33</v>
      </c>
      <c r="N1235" s="10">
        <v>1</v>
      </c>
      <c r="O1235" s="10">
        <v>0</v>
      </c>
      <c r="P1235" s="10">
        <v>0</v>
      </c>
      <c r="Q1235" s="10">
        <v>0</v>
      </c>
      <c r="R1235" s="10">
        <v>0</v>
      </c>
      <c r="S1235" s="10">
        <v>1</v>
      </c>
      <c r="T1235" s="9">
        <v>1</v>
      </c>
      <c r="U1235" s="9">
        <v>1</v>
      </c>
      <c r="V1235" s="9">
        <v>1</v>
      </c>
      <c r="W1235" s="9">
        <v>1</v>
      </c>
      <c r="X1235" s="9">
        <v>0</v>
      </c>
      <c r="Y1235" s="9">
        <v>0</v>
      </c>
      <c r="Z1235" s="9" t="str">
        <f t="shared" si="179"/>
        <v>每2秒流血88点，持续10秒</v>
      </c>
      <c r="AA1235" s="18">
        <v>442</v>
      </c>
    </row>
    <row r="1236" spans="1:27" s="18" customFormat="1" ht="15" customHeight="1" x14ac:dyDescent="0.15">
      <c r="A1236" s="35">
        <v>32009</v>
      </c>
      <c r="B1236" s="18" t="s">
        <v>1863</v>
      </c>
      <c r="C1236" s="9">
        <f t="shared" si="177"/>
        <v>1</v>
      </c>
      <c r="D1236" s="9">
        <v>1</v>
      </c>
      <c r="E1236" s="9"/>
      <c r="F1236" s="12">
        <v>0</v>
      </c>
      <c r="G1236" s="10">
        <v>1</v>
      </c>
      <c r="H1236" s="10">
        <v>0</v>
      </c>
      <c r="I1236" s="10">
        <v>0</v>
      </c>
      <c r="J1236" s="10">
        <v>0</v>
      </c>
      <c r="K1236" s="10">
        <v>0</v>
      </c>
      <c r="L1236" s="9">
        <v>1</v>
      </c>
      <c r="M1236" s="9">
        <f t="shared" si="178"/>
        <v>33</v>
      </c>
      <c r="N1236" s="10">
        <v>1</v>
      </c>
      <c r="O1236" s="10">
        <v>0</v>
      </c>
      <c r="P1236" s="10">
        <v>0</v>
      </c>
      <c r="Q1236" s="10">
        <v>0</v>
      </c>
      <c r="R1236" s="10">
        <v>0</v>
      </c>
      <c r="S1236" s="10">
        <v>1</v>
      </c>
      <c r="T1236" s="9">
        <v>1</v>
      </c>
      <c r="U1236" s="9">
        <v>1</v>
      </c>
      <c r="V1236" s="9">
        <v>1</v>
      </c>
      <c r="W1236" s="9">
        <v>1</v>
      </c>
      <c r="X1236" s="9">
        <v>0</v>
      </c>
      <c r="Y1236" s="9">
        <v>0</v>
      </c>
      <c r="Z1236" s="9" t="str">
        <f t="shared" si="179"/>
        <v>每2秒流血91点，持续10秒</v>
      </c>
      <c r="AA1236" s="18">
        <v>457</v>
      </c>
    </row>
    <row r="1237" spans="1:27" s="18" customFormat="1" ht="15" customHeight="1" x14ac:dyDescent="0.15">
      <c r="A1237" s="35">
        <v>32010</v>
      </c>
      <c r="B1237" s="18" t="s">
        <v>1864</v>
      </c>
      <c r="C1237" s="9">
        <f t="shared" si="177"/>
        <v>1</v>
      </c>
      <c r="D1237" s="9">
        <v>1</v>
      </c>
      <c r="E1237" s="9"/>
      <c r="F1237" s="12">
        <v>0</v>
      </c>
      <c r="G1237" s="10">
        <v>1</v>
      </c>
      <c r="H1237" s="10">
        <v>0</v>
      </c>
      <c r="I1237" s="10">
        <v>0</v>
      </c>
      <c r="J1237" s="10">
        <v>0</v>
      </c>
      <c r="K1237" s="10">
        <v>0</v>
      </c>
      <c r="L1237" s="9">
        <v>1</v>
      </c>
      <c r="M1237" s="9">
        <f t="shared" si="178"/>
        <v>33</v>
      </c>
      <c r="N1237" s="10">
        <v>1</v>
      </c>
      <c r="O1237" s="10">
        <v>0</v>
      </c>
      <c r="P1237" s="10">
        <v>0</v>
      </c>
      <c r="Q1237" s="10">
        <v>0</v>
      </c>
      <c r="R1237" s="10">
        <v>0</v>
      </c>
      <c r="S1237" s="10">
        <v>1</v>
      </c>
      <c r="T1237" s="9">
        <v>1</v>
      </c>
      <c r="U1237" s="9">
        <v>1</v>
      </c>
      <c r="V1237" s="9">
        <v>1</v>
      </c>
      <c r="W1237" s="9">
        <v>1</v>
      </c>
      <c r="X1237" s="9">
        <v>0</v>
      </c>
      <c r="Y1237" s="9">
        <v>0</v>
      </c>
      <c r="Z1237" s="9" t="str">
        <f t="shared" si="179"/>
        <v>每2秒流血94点，持续10秒</v>
      </c>
      <c r="AA1237" s="18">
        <v>473</v>
      </c>
    </row>
    <row r="1238" spans="1:27" s="18" customFormat="1" ht="15" customHeight="1" x14ac:dyDescent="0.15">
      <c r="A1238" s="35">
        <v>32011</v>
      </c>
      <c r="B1238" s="18" t="s">
        <v>1865</v>
      </c>
      <c r="C1238" s="9">
        <f t="shared" si="177"/>
        <v>1</v>
      </c>
      <c r="D1238" s="9">
        <v>1</v>
      </c>
      <c r="E1238" s="9"/>
      <c r="F1238" s="12">
        <v>0</v>
      </c>
      <c r="G1238" s="10">
        <v>1</v>
      </c>
      <c r="H1238" s="10">
        <v>0</v>
      </c>
      <c r="I1238" s="10">
        <v>0</v>
      </c>
      <c r="J1238" s="10">
        <v>0</v>
      </c>
      <c r="K1238" s="10">
        <v>0</v>
      </c>
      <c r="L1238" s="9">
        <v>1</v>
      </c>
      <c r="M1238" s="9">
        <f t="shared" si="178"/>
        <v>33</v>
      </c>
      <c r="N1238" s="10">
        <v>1</v>
      </c>
      <c r="O1238" s="10">
        <v>0</v>
      </c>
      <c r="P1238" s="10">
        <v>0</v>
      </c>
      <c r="Q1238" s="10">
        <v>0</v>
      </c>
      <c r="R1238" s="10">
        <v>0</v>
      </c>
      <c r="S1238" s="10">
        <v>1</v>
      </c>
      <c r="T1238" s="9">
        <v>1</v>
      </c>
      <c r="U1238" s="9">
        <v>1</v>
      </c>
      <c r="V1238" s="9">
        <v>1</v>
      </c>
      <c r="W1238" s="9">
        <v>1</v>
      </c>
      <c r="X1238" s="9">
        <v>0</v>
      </c>
      <c r="Y1238" s="9">
        <v>0</v>
      </c>
      <c r="Z1238" s="9" t="str">
        <f t="shared" si="179"/>
        <v>每2秒流血97点，持续10秒</v>
      </c>
      <c r="AA1238" s="18">
        <v>489</v>
      </c>
    </row>
    <row r="1239" spans="1:27" s="18" customFormat="1" ht="15" customHeight="1" x14ac:dyDescent="0.15">
      <c r="A1239" s="35">
        <v>32012</v>
      </c>
      <c r="B1239" s="18" t="s">
        <v>1866</v>
      </c>
      <c r="C1239" s="9">
        <f t="shared" si="177"/>
        <v>1</v>
      </c>
      <c r="D1239" s="9">
        <v>1</v>
      </c>
      <c r="E1239" s="9"/>
      <c r="F1239" s="12">
        <v>0</v>
      </c>
      <c r="G1239" s="10">
        <v>1</v>
      </c>
      <c r="H1239" s="10">
        <v>0</v>
      </c>
      <c r="I1239" s="10">
        <v>0</v>
      </c>
      <c r="J1239" s="10">
        <v>0</v>
      </c>
      <c r="K1239" s="10">
        <v>0</v>
      </c>
      <c r="L1239" s="9">
        <v>1</v>
      </c>
      <c r="M1239" s="9">
        <f t="shared" si="178"/>
        <v>33</v>
      </c>
      <c r="N1239" s="10">
        <v>1</v>
      </c>
      <c r="O1239" s="10">
        <v>0</v>
      </c>
      <c r="P1239" s="10">
        <v>0</v>
      </c>
      <c r="Q1239" s="10">
        <v>0</v>
      </c>
      <c r="R1239" s="10">
        <v>0</v>
      </c>
      <c r="S1239" s="10">
        <v>1</v>
      </c>
      <c r="T1239" s="9">
        <v>1</v>
      </c>
      <c r="U1239" s="9">
        <v>1</v>
      </c>
      <c r="V1239" s="9">
        <v>1</v>
      </c>
      <c r="W1239" s="9">
        <v>1</v>
      </c>
      <c r="X1239" s="9">
        <v>0</v>
      </c>
      <c r="Y1239" s="9">
        <v>0</v>
      </c>
      <c r="Z1239" s="9" t="str">
        <f t="shared" si="179"/>
        <v>每2秒流血101点，持续10秒</v>
      </c>
      <c r="AA1239" s="18">
        <v>505</v>
      </c>
    </row>
    <row r="1240" spans="1:27" s="18" customFormat="1" ht="15" customHeight="1" x14ac:dyDescent="0.15">
      <c r="A1240" s="35">
        <v>32013</v>
      </c>
      <c r="B1240" s="18" t="s">
        <v>1867</v>
      </c>
      <c r="C1240" s="9">
        <f t="shared" si="177"/>
        <v>1</v>
      </c>
      <c r="D1240" s="9">
        <v>1</v>
      </c>
      <c r="E1240" s="9"/>
      <c r="F1240" s="12">
        <v>0</v>
      </c>
      <c r="G1240" s="10">
        <v>1</v>
      </c>
      <c r="H1240" s="10">
        <v>0</v>
      </c>
      <c r="I1240" s="10">
        <v>0</v>
      </c>
      <c r="J1240" s="10">
        <v>0</v>
      </c>
      <c r="K1240" s="10">
        <v>0</v>
      </c>
      <c r="L1240" s="9">
        <v>1</v>
      </c>
      <c r="M1240" s="9">
        <f t="shared" si="178"/>
        <v>33</v>
      </c>
      <c r="N1240" s="10">
        <v>1</v>
      </c>
      <c r="O1240" s="10">
        <v>0</v>
      </c>
      <c r="P1240" s="10">
        <v>0</v>
      </c>
      <c r="Q1240" s="10">
        <v>0</v>
      </c>
      <c r="R1240" s="10">
        <v>0</v>
      </c>
      <c r="S1240" s="10">
        <v>1</v>
      </c>
      <c r="T1240" s="9">
        <v>1</v>
      </c>
      <c r="U1240" s="9">
        <v>1</v>
      </c>
      <c r="V1240" s="9">
        <v>1</v>
      </c>
      <c r="W1240" s="9">
        <v>1</v>
      </c>
      <c r="X1240" s="9">
        <v>0</v>
      </c>
      <c r="Y1240" s="9">
        <v>0</v>
      </c>
      <c r="Z1240" s="9" t="str">
        <f t="shared" si="179"/>
        <v>每2秒流血104点，持续10秒</v>
      </c>
      <c r="AA1240" s="18">
        <v>523</v>
      </c>
    </row>
    <row r="1241" spans="1:27" s="18" customFormat="1" ht="15" customHeight="1" x14ac:dyDescent="0.15">
      <c r="A1241" s="35">
        <v>32014</v>
      </c>
      <c r="B1241" s="18" t="s">
        <v>1868</v>
      </c>
      <c r="C1241" s="9">
        <f t="shared" si="177"/>
        <v>1</v>
      </c>
      <c r="D1241" s="9">
        <v>1</v>
      </c>
      <c r="E1241" s="9"/>
      <c r="F1241" s="12">
        <v>0</v>
      </c>
      <c r="G1241" s="10">
        <v>1</v>
      </c>
      <c r="H1241" s="10">
        <v>0</v>
      </c>
      <c r="I1241" s="10">
        <v>0</v>
      </c>
      <c r="J1241" s="10">
        <v>0</v>
      </c>
      <c r="K1241" s="10">
        <v>0</v>
      </c>
      <c r="L1241" s="9">
        <v>1</v>
      </c>
      <c r="M1241" s="9">
        <f t="shared" si="178"/>
        <v>33</v>
      </c>
      <c r="N1241" s="10">
        <v>1</v>
      </c>
      <c r="O1241" s="10">
        <v>0</v>
      </c>
      <c r="P1241" s="10">
        <v>0</v>
      </c>
      <c r="Q1241" s="10">
        <v>0</v>
      </c>
      <c r="R1241" s="10">
        <v>0</v>
      </c>
      <c r="S1241" s="10">
        <v>1</v>
      </c>
      <c r="T1241" s="9">
        <v>1</v>
      </c>
      <c r="U1241" s="9">
        <v>1</v>
      </c>
      <c r="V1241" s="9">
        <v>1</v>
      </c>
      <c r="W1241" s="9">
        <v>1</v>
      </c>
      <c r="X1241" s="9">
        <v>0</v>
      </c>
      <c r="Y1241" s="9">
        <v>0</v>
      </c>
      <c r="Z1241" s="9" t="str">
        <f t="shared" si="179"/>
        <v>每2秒流血108点，持续10秒</v>
      </c>
      <c r="AA1241" s="18">
        <v>541</v>
      </c>
    </row>
    <row r="1242" spans="1:27" s="18" customFormat="1" ht="15" customHeight="1" x14ac:dyDescent="0.15">
      <c r="A1242" s="35">
        <v>32015</v>
      </c>
      <c r="B1242" s="18" t="s">
        <v>1869</v>
      </c>
      <c r="C1242" s="9">
        <f t="shared" si="177"/>
        <v>1</v>
      </c>
      <c r="D1242" s="9">
        <v>1</v>
      </c>
      <c r="E1242" s="9"/>
      <c r="F1242" s="12">
        <v>0</v>
      </c>
      <c r="G1242" s="10">
        <v>1</v>
      </c>
      <c r="H1242" s="10">
        <v>0</v>
      </c>
      <c r="I1242" s="10">
        <v>0</v>
      </c>
      <c r="J1242" s="10">
        <v>0</v>
      </c>
      <c r="K1242" s="10">
        <v>0</v>
      </c>
      <c r="L1242" s="9">
        <v>1</v>
      </c>
      <c r="M1242" s="9">
        <f t="shared" si="178"/>
        <v>33</v>
      </c>
      <c r="N1242" s="10">
        <v>1</v>
      </c>
      <c r="O1242" s="10">
        <v>0</v>
      </c>
      <c r="P1242" s="10">
        <v>0</v>
      </c>
      <c r="Q1242" s="10">
        <v>0</v>
      </c>
      <c r="R1242" s="10">
        <v>0</v>
      </c>
      <c r="S1242" s="10">
        <v>1</v>
      </c>
      <c r="T1242" s="9">
        <v>1</v>
      </c>
      <c r="U1242" s="9">
        <v>1</v>
      </c>
      <c r="V1242" s="9">
        <v>1</v>
      </c>
      <c r="W1242" s="9">
        <v>1</v>
      </c>
      <c r="X1242" s="9">
        <v>0</v>
      </c>
      <c r="Y1242" s="9">
        <v>0</v>
      </c>
      <c r="Z1242" s="9" t="str">
        <f t="shared" si="179"/>
        <v>每2秒流血111点，持续10秒</v>
      </c>
      <c r="AA1242" s="18">
        <v>559</v>
      </c>
    </row>
    <row r="1243" spans="1:27" s="18" customFormat="1" ht="15" customHeight="1" x14ac:dyDescent="0.15">
      <c r="A1243" s="35">
        <v>32016</v>
      </c>
      <c r="B1243" s="18" t="s">
        <v>1870</v>
      </c>
      <c r="C1243" s="9">
        <f t="shared" si="177"/>
        <v>1</v>
      </c>
      <c r="D1243" s="9">
        <v>1</v>
      </c>
      <c r="E1243" s="9"/>
      <c r="F1243" s="12">
        <v>0</v>
      </c>
      <c r="G1243" s="10">
        <v>1</v>
      </c>
      <c r="H1243" s="10">
        <v>0</v>
      </c>
      <c r="I1243" s="10">
        <v>0</v>
      </c>
      <c r="J1243" s="10">
        <v>0</v>
      </c>
      <c r="K1243" s="10">
        <v>0</v>
      </c>
      <c r="L1243" s="9">
        <v>1</v>
      </c>
      <c r="M1243" s="9">
        <f t="shared" si="178"/>
        <v>33</v>
      </c>
      <c r="N1243" s="10">
        <v>1</v>
      </c>
      <c r="O1243" s="10">
        <v>0</v>
      </c>
      <c r="P1243" s="10">
        <v>0</v>
      </c>
      <c r="Q1243" s="10">
        <v>0</v>
      </c>
      <c r="R1243" s="10">
        <v>0</v>
      </c>
      <c r="S1243" s="10">
        <v>1</v>
      </c>
      <c r="T1243" s="9">
        <v>1</v>
      </c>
      <c r="U1243" s="9">
        <v>1</v>
      </c>
      <c r="V1243" s="9">
        <v>1</v>
      </c>
      <c r="W1243" s="9">
        <v>1</v>
      </c>
      <c r="X1243" s="9">
        <v>0</v>
      </c>
      <c r="Y1243" s="9">
        <v>0</v>
      </c>
      <c r="Z1243" s="9" t="str">
        <f t="shared" si="179"/>
        <v>每2秒流血115点，持续10秒</v>
      </c>
      <c r="AA1243" s="18">
        <v>578</v>
      </c>
    </row>
    <row r="1244" spans="1:27" s="18" customFormat="1" ht="15" customHeight="1" x14ac:dyDescent="0.15">
      <c r="A1244" s="35">
        <v>32017</v>
      </c>
      <c r="B1244" s="18" t="s">
        <v>1871</v>
      </c>
      <c r="C1244" s="9">
        <f t="shared" si="177"/>
        <v>1</v>
      </c>
      <c r="D1244" s="9">
        <v>1</v>
      </c>
      <c r="E1244" s="9"/>
      <c r="F1244" s="12">
        <v>0</v>
      </c>
      <c r="G1244" s="10">
        <v>1</v>
      </c>
      <c r="H1244" s="10">
        <v>0</v>
      </c>
      <c r="I1244" s="10">
        <v>0</v>
      </c>
      <c r="J1244" s="10">
        <v>0</v>
      </c>
      <c r="K1244" s="10">
        <v>0</v>
      </c>
      <c r="L1244" s="9">
        <v>1</v>
      </c>
      <c r="M1244" s="9">
        <f t="shared" si="178"/>
        <v>33</v>
      </c>
      <c r="N1244" s="10">
        <v>1</v>
      </c>
      <c r="O1244" s="10">
        <v>0</v>
      </c>
      <c r="P1244" s="10">
        <v>0</v>
      </c>
      <c r="Q1244" s="10">
        <v>0</v>
      </c>
      <c r="R1244" s="10">
        <v>0</v>
      </c>
      <c r="S1244" s="10">
        <v>1</v>
      </c>
      <c r="T1244" s="9">
        <v>1</v>
      </c>
      <c r="U1244" s="9">
        <v>1</v>
      </c>
      <c r="V1244" s="9">
        <v>1</v>
      </c>
      <c r="W1244" s="9">
        <v>1</v>
      </c>
      <c r="X1244" s="9">
        <v>0</v>
      </c>
      <c r="Y1244" s="9">
        <v>0</v>
      </c>
      <c r="Z1244" s="9" t="str">
        <f t="shared" si="179"/>
        <v>每2秒流血119点，持续10秒</v>
      </c>
      <c r="AA1244" s="18">
        <v>598</v>
      </c>
    </row>
    <row r="1245" spans="1:27" s="18" customFormat="1" ht="15" customHeight="1" x14ac:dyDescent="0.15">
      <c r="A1245" s="35">
        <v>32018</v>
      </c>
      <c r="B1245" s="18" t="s">
        <v>1872</v>
      </c>
      <c r="C1245" s="9">
        <f t="shared" si="177"/>
        <v>1</v>
      </c>
      <c r="D1245" s="9">
        <v>1</v>
      </c>
      <c r="E1245" s="9"/>
      <c r="F1245" s="12">
        <v>0</v>
      </c>
      <c r="G1245" s="10">
        <v>1</v>
      </c>
      <c r="H1245" s="10">
        <v>0</v>
      </c>
      <c r="I1245" s="10">
        <v>0</v>
      </c>
      <c r="J1245" s="10">
        <v>0</v>
      </c>
      <c r="K1245" s="10">
        <v>0</v>
      </c>
      <c r="L1245" s="9">
        <v>1</v>
      </c>
      <c r="M1245" s="9">
        <f t="shared" si="178"/>
        <v>33</v>
      </c>
      <c r="N1245" s="10">
        <v>1</v>
      </c>
      <c r="O1245" s="10">
        <v>0</v>
      </c>
      <c r="P1245" s="10">
        <v>0</v>
      </c>
      <c r="Q1245" s="10">
        <v>0</v>
      </c>
      <c r="R1245" s="10">
        <v>0</v>
      </c>
      <c r="S1245" s="10">
        <v>1</v>
      </c>
      <c r="T1245" s="9">
        <v>1</v>
      </c>
      <c r="U1245" s="9">
        <v>1</v>
      </c>
      <c r="V1245" s="9">
        <v>1</v>
      </c>
      <c r="W1245" s="9">
        <v>1</v>
      </c>
      <c r="X1245" s="9">
        <v>0</v>
      </c>
      <c r="Y1245" s="9">
        <v>0</v>
      </c>
      <c r="Z1245" s="9" t="str">
        <f t="shared" si="179"/>
        <v>每2秒流血123点，持续10秒</v>
      </c>
      <c r="AA1245" s="18">
        <v>618</v>
      </c>
    </row>
    <row r="1246" spans="1:27" s="18" customFormat="1" ht="15" customHeight="1" x14ac:dyDescent="0.15">
      <c r="A1246" s="35">
        <v>32019</v>
      </c>
      <c r="B1246" s="18" t="s">
        <v>1873</v>
      </c>
      <c r="C1246" s="9">
        <f t="shared" si="177"/>
        <v>1</v>
      </c>
      <c r="D1246" s="9">
        <v>1</v>
      </c>
      <c r="E1246" s="9"/>
      <c r="F1246" s="12">
        <v>0</v>
      </c>
      <c r="G1246" s="10">
        <v>1</v>
      </c>
      <c r="H1246" s="10">
        <v>0</v>
      </c>
      <c r="I1246" s="10">
        <v>0</v>
      </c>
      <c r="J1246" s="10">
        <v>0</v>
      </c>
      <c r="K1246" s="10">
        <v>0</v>
      </c>
      <c r="L1246" s="9">
        <v>1</v>
      </c>
      <c r="M1246" s="9">
        <f t="shared" si="178"/>
        <v>33</v>
      </c>
      <c r="N1246" s="10">
        <v>1</v>
      </c>
      <c r="O1246" s="10">
        <v>0</v>
      </c>
      <c r="P1246" s="10">
        <v>0</v>
      </c>
      <c r="Q1246" s="10">
        <v>0</v>
      </c>
      <c r="R1246" s="10">
        <v>0</v>
      </c>
      <c r="S1246" s="10">
        <v>1</v>
      </c>
      <c r="T1246" s="9">
        <v>1</v>
      </c>
      <c r="U1246" s="9">
        <v>1</v>
      </c>
      <c r="V1246" s="9">
        <v>1</v>
      </c>
      <c r="W1246" s="9">
        <v>1</v>
      </c>
      <c r="X1246" s="9">
        <v>0</v>
      </c>
      <c r="Y1246" s="9">
        <v>0</v>
      </c>
      <c r="Z1246" s="9" t="str">
        <f t="shared" si="179"/>
        <v>每2秒流血127点，持续10秒</v>
      </c>
      <c r="AA1246" s="18">
        <v>639</v>
      </c>
    </row>
    <row r="1247" spans="1:27" s="18" customFormat="1" ht="15" customHeight="1" x14ac:dyDescent="0.15">
      <c r="A1247" s="35">
        <v>32020</v>
      </c>
      <c r="B1247" s="18" t="s">
        <v>1874</v>
      </c>
      <c r="C1247" s="9">
        <f t="shared" si="177"/>
        <v>1</v>
      </c>
      <c r="D1247" s="9">
        <v>1</v>
      </c>
      <c r="E1247" s="9"/>
      <c r="F1247" s="12">
        <v>0</v>
      </c>
      <c r="G1247" s="10">
        <v>1</v>
      </c>
      <c r="H1247" s="10">
        <v>0</v>
      </c>
      <c r="I1247" s="10">
        <v>0</v>
      </c>
      <c r="J1247" s="10">
        <v>0</v>
      </c>
      <c r="K1247" s="10">
        <v>0</v>
      </c>
      <c r="L1247" s="9">
        <v>1</v>
      </c>
      <c r="M1247" s="9">
        <f t="shared" si="178"/>
        <v>33</v>
      </c>
      <c r="N1247" s="10">
        <v>1</v>
      </c>
      <c r="O1247" s="10">
        <v>0</v>
      </c>
      <c r="P1247" s="10">
        <v>0</v>
      </c>
      <c r="Q1247" s="10">
        <v>0</v>
      </c>
      <c r="R1247" s="10">
        <v>0</v>
      </c>
      <c r="S1247" s="10">
        <v>1</v>
      </c>
      <c r="T1247" s="9">
        <v>1</v>
      </c>
      <c r="U1247" s="9">
        <v>1</v>
      </c>
      <c r="V1247" s="9">
        <v>1</v>
      </c>
      <c r="W1247" s="9">
        <v>1</v>
      </c>
      <c r="X1247" s="9">
        <v>0</v>
      </c>
      <c r="Y1247" s="9">
        <v>0</v>
      </c>
      <c r="Z1247" s="9" t="str">
        <f t="shared" si="179"/>
        <v>每2秒流血132点，持续10秒</v>
      </c>
      <c r="AA1247" s="18">
        <v>661</v>
      </c>
    </row>
    <row r="1248" spans="1:27" s="18" customFormat="1" ht="15" customHeight="1" x14ac:dyDescent="0.15">
      <c r="A1248" s="35">
        <v>32021</v>
      </c>
      <c r="B1248" s="18" t="s">
        <v>1875</v>
      </c>
      <c r="C1248" s="9">
        <f t="shared" si="177"/>
        <v>1</v>
      </c>
      <c r="D1248" s="9">
        <v>1</v>
      </c>
      <c r="E1248" s="9"/>
      <c r="F1248" s="12">
        <v>0</v>
      </c>
      <c r="G1248" s="10">
        <v>1</v>
      </c>
      <c r="H1248" s="10">
        <v>0</v>
      </c>
      <c r="I1248" s="10">
        <v>0</v>
      </c>
      <c r="J1248" s="10">
        <v>0</v>
      </c>
      <c r="K1248" s="10">
        <v>0</v>
      </c>
      <c r="L1248" s="9">
        <v>1</v>
      </c>
      <c r="M1248" s="9">
        <f t="shared" si="178"/>
        <v>33</v>
      </c>
      <c r="N1248" s="10">
        <v>1</v>
      </c>
      <c r="O1248" s="10">
        <v>0</v>
      </c>
      <c r="P1248" s="10">
        <v>0</v>
      </c>
      <c r="Q1248" s="10">
        <v>0</v>
      </c>
      <c r="R1248" s="10">
        <v>0</v>
      </c>
      <c r="S1248" s="10">
        <v>1</v>
      </c>
      <c r="T1248" s="9">
        <v>1</v>
      </c>
      <c r="U1248" s="9">
        <v>1</v>
      </c>
      <c r="V1248" s="9">
        <v>1</v>
      </c>
      <c r="W1248" s="9">
        <v>1</v>
      </c>
      <c r="X1248" s="9">
        <v>0</v>
      </c>
      <c r="Y1248" s="9">
        <v>0</v>
      </c>
      <c r="Z1248" s="9" t="str">
        <f t="shared" si="179"/>
        <v>每2秒流血136点，持续10秒</v>
      </c>
      <c r="AA1248" s="18">
        <v>684</v>
      </c>
    </row>
    <row r="1249" spans="1:27" s="18" customFormat="1" ht="15" customHeight="1" x14ac:dyDescent="0.15">
      <c r="A1249" s="35">
        <v>32022</v>
      </c>
      <c r="B1249" s="18" t="s">
        <v>1876</v>
      </c>
      <c r="C1249" s="9">
        <f t="shared" si="177"/>
        <v>1</v>
      </c>
      <c r="D1249" s="9">
        <v>1</v>
      </c>
      <c r="E1249" s="9"/>
      <c r="F1249" s="12">
        <v>0</v>
      </c>
      <c r="G1249" s="10">
        <v>1</v>
      </c>
      <c r="H1249" s="10">
        <v>0</v>
      </c>
      <c r="I1249" s="10">
        <v>0</v>
      </c>
      <c r="J1249" s="10">
        <v>0</v>
      </c>
      <c r="K1249" s="10">
        <v>0</v>
      </c>
      <c r="L1249" s="9">
        <v>1</v>
      </c>
      <c r="M1249" s="9">
        <f t="shared" si="178"/>
        <v>33</v>
      </c>
      <c r="N1249" s="10">
        <v>1</v>
      </c>
      <c r="O1249" s="10">
        <v>0</v>
      </c>
      <c r="P1249" s="10">
        <v>0</v>
      </c>
      <c r="Q1249" s="10">
        <v>0</v>
      </c>
      <c r="R1249" s="10">
        <v>0</v>
      </c>
      <c r="S1249" s="10">
        <v>1</v>
      </c>
      <c r="T1249" s="9">
        <v>1</v>
      </c>
      <c r="U1249" s="9">
        <v>1</v>
      </c>
      <c r="V1249" s="9">
        <v>1</v>
      </c>
      <c r="W1249" s="9">
        <v>1</v>
      </c>
      <c r="X1249" s="9">
        <v>0</v>
      </c>
      <c r="Y1249" s="9">
        <v>0</v>
      </c>
      <c r="Z1249" s="9" t="str">
        <f t="shared" si="179"/>
        <v>每2秒流血141点，持续10秒</v>
      </c>
      <c r="AA1249" s="18">
        <v>707</v>
      </c>
    </row>
    <row r="1250" spans="1:27" s="18" customFormat="1" ht="15" customHeight="1" x14ac:dyDescent="0.15">
      <c r="A1250" s="35">
        <v>32023</v>
      </c>
      <c r="B1250" s="18" t="s">
        <v>1877</v>
      </c>
      <c r="C1250" s="9">
        <f t="shared" si="177"/>
        <v>1</v>
      </c>
      <c r="D1250" s="9">
        <v>1</v>
      </c>
      <c r="E1250" s="9"/>
      <c r="F1250" s="12">
        <v>0</v>
      </c>
      <c r="G1250" s="10">
        <v>1</v>
      </c>
      <c r="H1250" s="10">
        <v>0</v>
      </c>
      <c r="I1250" s="10">
        <v>0</v>
      </c>
      <c r="J1250" s="10">
        <v>0</v>
      </c>
      <c r="K1250" s="10">
        <v>0</v>
      </c>
      <c r="L1250" s="9">
        <v>1</v>
      </c>
      <c r="M1250" s="9">
        <f t="shared" si="178"/>
        <v>33</v>
      </c>
      <c r="N1250" s="10">
        <v>1</v>
      </c>
      <c r="O1250" s="10">
        <v>0</v>
      </c>
      <c r="P1250" s="10">
        <v>0</v>
      </c>
      <c r="Q1250" s="10">
        <v>0</v>
      </c>
      <c r="R1250" s="10">
        <v>0</v>
      </c>
      <c r="S1250" s="10">
        <v>1</v>
      </c>
      <c r="T1250" s="9">
        <v>1</v>
      </c>
      <c r="U1250" s="9">
        <v>1</v>
      </c>
      <c r="V1250" s="9">
        <v>1</v>
      </c>
      <c r="W1250" s="9">
        <v>1</v>
      </c>
      <c r="X1250" s="9">
        <v>0</v>
      </c>
      <c r="Y1250" s="9">
        <v>0</v>
      </c>
      <c r="Z1250" s="9" t="str">
        <f t="shared" si="179"/>
        <v>每2秒流血146点，持续10秒</v>
      </c>
      <c r="AA1250" s="18">
        <v>732</v>
      </c>
    </row>
    <row r="1251" spans="1:27" s="18" customFormat="1" ht="15" customHeight="1" x14ac:dyDescent="0.15">
      <c r="A1251" s="35">
        <v>32024</v>
      </c>
      <c r="B1251" s="18" t="s">
        <v>1878</v>
      </c>
      <c r="C1251" s="9">
        <f t="shared" si="177"/>
        <v>1</v>
      </c>
      <c r="D1251" s="9">
        <v>1</v>
      </c>
      <c r="E1251" s="9"/>
      <c r="F1251" s="12">
        <v>0</v>
      </c>
      <c r="G1251" s="10">
        <v>1</v>
      </c>
      <c r="H1251" s="10">
        <v>0</v>
      </c>
      <c r="I1251" s="10">
        <v>0</v>
      </c>
      <c r="J1251" s="10">
        <v>0</v>
      </c>
      <c r="K1251" s="10">
        <v>0</v>
      </c>
      <c r="L1251" s="9">
        <v>1</v>
      </c>
      <c r="M1251" s="9">
        <f t="shared" si="178"/>
        <v>33</v>
      </c>
      <c r="N1251" s="10">
        <v>1</v>
      </c>
      <c r="O1251" s="10">
        <v>0</v>
      </c>
      <c r="P1251" s="10">
        <v>0</v>
      </c>
      <c r="Q1251" s="10">
        <v>0</v>
      </c>
      <c r="R1251" s="10">
        <v>0</v>
      </c>
      <c r="S1251" s="10">
        <v>1</v>
      </c>
      <c r="T1251" s="9">
        <v>1</v>
      </c>
      <c r="U1251" s="9">
        <v>1</v>
      </c>
      <c r="V1251" s="9">
        <v>1</v>
      </c>
      <c r="W1251" s="9">
        <v>1</v>
      </c>
      <c r="X1251" s="9">
        <v>0</v>
      </c>
      <c r="Y1251" s="9">
        <v>0</v>
      </c>
      <c r="Z1251" s="9" t="str">
        <f t="shared" si="179"/>
        <v>每2秒流血151点，持续10秒</v>
      </c>
      <c r="AA1251" s="18">
        <v>757</v>
      </c>
    </row>
    <row r="1252" spans="1:27" s="18" customFormat="1" ht="15" customHeight="1" x14ac:dyDescent="0.15">
      <c r="A1252" s="35">
        <v>32025</v>
      </c>
      <c r="B1252" s="18" t="s">
        <v>1879</v>
      </c>
      <c r="C1252" s="9">
        <f t="shared" si="177"/>
        <v>1</v>
      </c>
      <c r="D1252" s="9">
        <v>1</v>
      </c>
      <c r="E1252" s="9"/>
      <c r="F1252" s="12">
        <v>0</v>
      </c>
      <c r="G1252" s="10">
        <v>1</v>
      </c>
      <c r="H1252" s="10">
        <v>0</v>
      </c>
      <c r="I1252" s="10">
        <v>0</v>
      </c>
      <c r="J1252" s="10">
        <v>0</v>
      </c>
      <c r="K1252" s="10">
        <v>0</v>
      </c>
      <c r="L1252" s="9">
        <v>1</v>
      </c>
      <c r="M1252" s="9">
        <f t="shared" si="178"/>
        <v>33</v>
      </c>
      <c r="N1252" s="10">
        <v>1</v>
      </c>
      <c r="O1252" s="10">
        <v>0</v>
      </c>
      <c r="P1252" s="10">
        <v>0</v>
      </c>
      <c r="Q1252" s="10">
        <v>0</v>
      </c>
      <c r="R1252" s="10">
        <v>0</v>
      </c>
      <c r="S1252" s="10">
        <v>1</v>
      </c>
      <c r="T1252" s="9">
        <v>1</v>
      </c>
      <c r="U1252" s="9">
        <v>1</v>
      </c>
      <c r="V1252" s="9">
        <v>1</v>
      </c>
      <c r="W1252" s="9">
        <v>1</v>
      </c>
      <c r="X1252" s="9">
        <v>0</v>
      </c>
      <c r="Y1252" s="9">
        <v>0</v>
      </c>
      <c r="Z1252" s="9" t="str">
        <f t="shared" si="179"/>
        <v>每2秒流血156点，持续10秒</v>
      </c>
      <c r="AA1252" s="18">
        <v>782</v>
      </c>
    </row>
    <row r="1253" spans="1:27" s="18" customFormat="1" ht="15" customHeight="1" x14ac:dyDescent="0.15">
      <c r="A1253" s="35">
        <v>33001</v>
      </c>
      <c r="B1253" s="18" t="s">
        <v>1880</v>
      </c>
      <c r="C1253" s="9">
        <f t="shared" ref="C1253:C1282" si="180">G1253+H1253*2+I1253*4+J1253*8+K1253*16</f>
        <v>1</v>
      </c>
      <c r="D1253" s="9">
        <v>1</v>
      </c>
      <c r="E1253" s="9"/>
      <c r="F1253" s="12">
        <v>0</v>
      </c>
      <c r="G1253" s="10">
        <v>1</v>
      </c>
      <c r="H1253" s="10">
        <v>0</v>
      </c>
      <c r="I1253" s="10">
        <v>0</v>
      </c>
      <c r="J1253" s="10">
        <v>0</v>
      </c>
      <c r="K1253" s="10">
        <v>0</v>
      </c>
      <c r="L1253" s="9">
        <v>1</v>
      </c>
      <c r="M1253" s="9">
        <f t="shared" ref="M1253:M1282" si="181">N1253+O1253*2+P1253*4+Q1253*8+R1253*16+S1253*32</f>
        <v>33</v>
      </c>
      <c r="N1253" s="10">
        <v>1</v>
      </c>
      <c r="O1253" s="10">
        <v>0</v>
      </c>
      <c r="P1253" s="10">
        <v>0</v>
      </c>
      <c r="Q1253" s="10">
        <v>0</v>
      </c>
      <c r="R1253" s="10">
        <v>0</v>
      </c>
      <c r="S1253" s="10">
        <v>1</v>
      </c>
      <c r="T1253" s="9">
        <v>1</v>
      </c>
      <c r="U1253" s="9">
        <v>1</v>
      </c>
      <c r="V1253" s="9">
        <v>1</v>
      </c>
      <c r="W1253" s="9">
        <v>1</v>
      </c>
      <c r="X1253" s="9">
        <v>0</v>
      </c>
      <c r="Y1253" s="9">
        <v>0</v>
      </c>
      <c r="Z1253" s="9" t="str">
        <f t="shared" si="179"/>
        <v>每2秒流血198点，持续10秒</v>
      </c>
      <c r="AA1253" s="18">
        <v>990</v>
      </c>
    </row>
    <row r="1254" spans="1:27" s="18" customFormat="1" ht="15" customHeight="1" x14ac:dyDescent="0.15">
      <c r="A1254" s="35">
        <v>33002</v>
      </c>
      <c r="B1254" s="18" t="s">
        <v>1881</v>
      </c>
      <c r="C1254" s="9">
        <f t="shared" si="180"/>
        <v>1</v>
      </c>
      <c r="D1254" s="9">
        <v>1</v>
      </c>
      <c r="E1254" s="9"/>
      <c r="F1254" s="12">
        <v>0</v>
      </c>
      <c r="G1254" s="10">
        <v>1</v>
      </c>
      <c r="H1254" s="10">
        <v>0</v>
      </c>
      <c r="I1254" s="10">
        <v>0</v>
      </c>
      <c r="J1254" s="10">
        <v>0</v>
      </c>
      <c r="K1254" s="10">
        <v>0</v>
      </c>
      <c r="L1254" s="9">
        <v>1</v>
      </c>
      <c r="M1254" s="9">
        <f t="shared" si="181"/>
        <v>33</v>
      </c>
      <c r="N1254" s="10">
        <v>1</v>
      </c>
      <c r="O1254" s="10">
        <v>0</v>
      </c>
      <c r="P1254" s="10">
        <v>0</v>
      </c>
      <c r="Q1254" s="10">
        <v>0</v>
      </c>
      <c r="R1254" s="10">
        <v>0</v>
      </c>
      <c r="S1254" s="10">
        <v>1</v>
      </c>
      <c r="T1254" s="9">
        <v>1</v>
      </c>
      <c r="U1254" s="9">
        <v>1</v>
      </c>
      <c r="V1254" s="9">
        <v>1</v>
      </c>
      <c r="W1254" s="9">
        <v>1</v>
      </c>
      <c r="X1254" s="9">
        <v>0</v>
      </c>
      <c r="Y1254" s="9">
        <v>0</v>
      </c>
      <c r="Z1254" s="9" t="str">
        <f t="shared" si="179"/>
        <v>每2秒流血204点，持续10秒</v>
      </c>
      <c r="AA1254" s="18">
        <v>1024</v>
      </c>
    </row>
    <row r="1255" spans="1:27" s="18" customFormat="1" ht="15" customHeight="1" x14ac:dyDescent="0.15">
      <c r="A1255" s="35">
        <v>33003</v>
      </c>
      <c r="B1255" s="18" t="s">
        <v>1882</v>
      </c>
      <c r="C1255" s="9">
        <f t="shared" si="180"/>
        <v>1</v>
      </c>
      <c r="D1255" s="9">
        <v>1</v>
      </c>
      <c r="E1255" s="9"/>
      <c r="F1255" s="12">
        <v>0</v>
      </c>
      <c r="G1255" s="10">
        <v>1</v>
      </c>
      <c r="H1255" s="10">
        <v>0</v>
      </c>
      <c r="I1255" s="10">
        <v>0</v>
      </c>
      <c r="J1255" s="10">
        <v>0</v>
      </c>
      <c r="K1255" s="10">
        <v>0</v>
      </c>
      <c r="L1255" s="9">
        <v>1</v>
      </c>
      <c r="M1255" s="9">
        <f t="shared" si="181"/>
        <v>33</v>
      </c>
      <c r="N1255" s="10">
        <v>1</v>
      </c>
      <c r="O1255" s="10">
        <v>0</v>
      </c>
      <c r="P1255" s="10">
        <v>0</v>
      </c>
      <c r="Q1255" s="10">
        <v>0</v>
      </c>
      <c r="R1255" s="10">
        <v>0</v>
      </c>
      <c r="S1255" s="10">
        <v>1</v>
      </c>
      <c r="T1255" s="9">
        <v>1</v>
      </c>
      <c r="U1255" s="9">
        <v>1</v>
      </c>
      <c r="V1255" s="9">
        <v>1</v>
      </c>
      <c r="W1255" s="9">
        <v>1</v>
      </c>
      <c r="X1255" s="9">
        <v>0</v>
      </c>
      <c r="Y1255" s="9">
        <v>0</v>
      </c>
      <c r="Z1255" s="9" t="str">
        <f t="shared" si="179"/>
        <v>每2秒流血211点，持续10秒</v>
      </c>
      <c r="AA1255" s="18">
        <v>1059</v>
      </c>
    </row>
    <row r="1256" spans="1:27" s="18" customFormat="1" ht="15" customHeight="1" x14ac:dyDescent="0.15">
      <c r="A1256" s="35">
        <v>33004</v>
      </c>
      <c r="B1256" s="18" t="s">
        <v>1883</v>
      </c>
      <c r="C1256" s="9">
        <f t="shared" si="180"/>
        <v>1</v>
      </c>
      <c r="D1256" s="9">
        <v>1</v>
      </c>
      <c r="E1256" s="9"/>
      <c r="F1256" s="12">
        <v>0</v>
      </c>
      <c r="G1256" s="10">
        <v>1</v>
      </c>
      <c r="H1256" s="10">
        <v>0</v>
      </c>
      <c r="I1256" s="10">
        <v>0</v>
      </c>
      <c r="J1256" s="10">
        <v>0</v>
      </c>
      <c r="K1256" s="10">
        <v>0</v>
      </c>
      <c r="L1256" s="9">
        <v>1</v>
      </c>
      <c r="M1256" s="9">
        <f t="shared" si="181"/>
        <v>33</v>
      </c>
      <c r="N1256" s="10">
        <v>1</v>
      </c>
      <c r="O1256" s="10">
        <v>0</v>
      </c>
      <c r="P1256" s="10">
        <v>0</v>
      </c>
      <c r="Q1256" s="10">
        <v>0</v>
      </c>
      <c r="R1256" s="10">
        <v>0</v>
      </c>
      <c r="S1256" s="10">
        <v>1</v>
      </c>
      <c r="T1256" s="9">
        <v>1</v>
      </c>
      <c r="U1256" s="9">
        <v>1</v>
      </c>
      <c r="V1256" s="9">
        <v>1</v>
      </c>
      <c r="W1256" s="9">
        <v>1</v>
      </c>
      <c r="X1256" s="9">
        <v>0</v>
      </c>
      <c r="Y1256" s="9">
        <v>0</v>
      </c>
      <c r="Z1256" s="9" t="str">
        <f t="shared" si="179"/>
        <v>每2秒流血219点，持续10秒</v>
      </c>
      <c r="AA1256" s="18">
        <v>1095</v>
      </c>
    </row>
    <row r="1257" spans="1:27" s="18" customFormat="1" ht="15" customHeight="1" x14ac:dyDescent="0.15">
      <c r="A1257" s="35">
        <v>33005</v>
      </c>
      <c r="B1257" s="18" t="s">
        <v>1884</v>
      </c>
      <c r="C1257" s="9">
        <f t="shared" si="180"/>
        <v>1</v>
      </c>
      <c r="D1257" s="9">
        <v>1</v>
      </c>
      <c r="E1257" s="9"/>
      <c r="F1257" s="12">
        <v>0</v>
      </c>
      <c r="G1257" s="10">
        <v>1</v>
      </c>
      <c r="H1257" s="10">
        <v>0</v>
      </c>
      <c r="I1257" s="10">
        <v>0</v>
      </c>
      <c r="J1257" s="10">
        <v>0</v>
      </c>
      <c r="K1257" s="10">
        <v>0</v>
      </c>
      <c r="L1257" s="9">
        <v>1</v>
      </c>
      <c r="M1257" s="9">
        <f t="shared" si="181"/>
        <v>33</v>
      </c>
      <c r="N1257" s="10">
        <v>1</v>
      </c>
      <c r="O1257" s="10">
        <v>0</v>
      </c>
      <c r="P1257" s="10">
        <v>0</v>
      </c>
      <c r="Q1257" s="10">
        <v>0</v>
      </c>
      <c r="R1257" s="10">
        <v>0</v>
      </c>
      <c r="S1257" s="10">
        <v>1</v>
      </c>
      <c r="T1257" s="9">
        <v>1</v>
      </c>
      <c r="U1257" s="9">
        <v>1</v>
      </c>
      <c r="V1257" s="9">
        <v>1</v>
      </c>
      <c r="W1257" s="9">
        <v>1</v>
      </c>
      <c r="X1257" s="9">
        <v>0</v>
      </c>
      <c r="Y1257" s="9">
        <v>0</v>
      </c>
      <c r="Z1257" s="9" t="str">
        <f t="shared" si="179"/>
        <v>每2秒流血226点，持续10秒</v>
      </c>
      <c r="AA1257" s="18">
        <v>1133</v>
      </c>
    </row>
    <row r="1258" spans="1:27" s="18" customFormat="1" ht="15" customHeight="1" x14ac:dyDescent="0.15">
      <c r="A1258" s="35">
        <v>33006</v>
      </c>
      <c r="B1258" s="18" t="s">
        <v>1885</v>
      </c>
      <c r="C1258" s="9">
        <f t="shared" si="180"/>
        <v>1</v>
      </c>
      <c r="D1258" s="9">
        <v>1</v>
      </c>
      <c r="E1258" s="9"/>
      <c r="F1258" s="12">
        <v>0</v>
      </c>
      <c r="G1258" s="10">
        <v>1</v>
      </c>
      <c r="H1258" s="10">
        <v>0</v>
      </c>
      <c r="I1258" s="10">
        <v>0</v>
      </c>
      <c r="J1258" s="10">
        <v>0</v>
      </c>
      <c r="K1258" s="10">
        <v>0</v>
      </c>
      <c r="L1258" s="9">
        <v>1</v>
      </c>
      <c r="M1258" s="9">
        <f t="shared" si="181"/>
        <v>33</v>
      </c>
      <c r="N1258" s="10">
        <v>1</v>
      </c>
      <c r="O1258" s="10">
        <v>0</v>
      </c>
      <c r="P1258" s="10">
        <v>0</v>
      </c>
      <c r="Q1258" s="10">
        <v>0</v>
      </c>
      <c r="R1258" s="10">
        <v>0</v>
      </c>
      <c r="S1258" s="10">
        <v>1</v>
      </c>
      <c r="T1258" s="9">
        <v>1</v>
      </c>
      <c r="U1258" s="9">
        <v>1</v>
      </c>
      <c r="V1258" s="9">
        <v>1</v>
      </c>
      <c r="W1258" s="9">
        <v>1</v>
      </c>
      <c r="X1258" s="9">
        <v>0</v>
      </c>
      <c r="Y1258" s="9">
        <v>0</v>
      </c>
      <c r="Z1258" s="9" t="str">
        <f t="shared" si="179"/>
        <v>每2秒流血234点，持续10秒</v>
      </c>
      <c r="AA1258" s="18">
        <v>1171</v>
      </c>
    </row>
    <row r="1259" spans="1:27" s="18" customFormat="1" ht="15" customHeight="1" x14ac:dyDescent="0.15">
      <c r="A1259" s="35">
        <v>33007</v>
      </c>
      <c r="B1259" s="18" t="s">
        <v>1886</v>
      </c>
      <c r="C1259" s="9">
        <f t="shared" si="180"/>
        <v>1</v>
      </c>
      <c r="D1259" s="9">
        <v>1</v>
      </c>
      <c r="E1259" s="9"/>
      <c r="F1259" s="12">
        <v>0</v>
      </c>
      <c r="G1259" s="10">
        <v>1</v>
      </c>
      <c r="H1259" s="10">
        <v>0</v>
      </c>
      <c r="I1259" s="10">
        <v>0</v>
      </c>
      <c r="J1259" s="10">
        <v>0</v>
      </c>
      <c r="K1259" s="10">
        <v>0</v>
      </c>
      <c r="L1259" s="9">
        <v>1</v>
      </c>
      <c r="M1259" s="9">
        <f t="shared" si="181"/>
        <v>33</v>
      </c>
      <c r="N1259" s="10">
        <v>1</v>
      </c>
      <c r="O1259" s="10">
        <v>0</v>
      </c>
      <c r="P1259" s="10">
        <v>0</v>
      </c>
      <c r="Q1259" s="10">
        <v>0</v>
      </c>
      <c r="R1259" s="10">
        <v>0</v>
      </c>
      <c r="S1259" s="10">
        <v>1</v>
      </c>
      <c r="T1259" s="9">
        <v>1</v>
      </c>
      <c r="U1259" s="9">
        <v>1</v>
      </c>
      <c r="V1259" s="9">
        <v>1</v>
      </c>
      <c r="W1259" s="9">
        <v>1</v>
      </c>
      <c r="X1259" s="9">
        <v>0</v>
      </c>
      <c r="Y1259" s="9">
        <v>0</v>
      </c>
      <c r="Z1259" s="9" t="str">
        <f t="shared" si="179"/>
        <v>每2秒流血242点，持续10秒</v>
      </c>
      <c r="AA1259" s="18">
        <v>1211</v>
      </c>
    </row>
    <row r="1260" spans="1:27" s="18" customFormat="1" ht="15" customHeight="1" x14ac:dyDescent="0.15">
      <c r="A1260" s="35">
        <v>33008</v>
      </c>
      <c r="B1260" s="18" t="s">
        <v>1887</v>
      </c>
      <c r="C1260" s="9">
        <f t="shared" si="180"/>
        <v>1</v>
      </c>
      <c r="D1260" s="9">
        <v>1</v>
      </c>
      <c r="E1260" s="9"/>
      <c r="F1260" s="12">
        <v>0</v>
      </c>
      <c r="G1260" s="10">
        <v>1</v>
      </c>
      <c r="H1260" s="10">
        <v>0</v>
      </c>
      <c r="I1260" s="10">
        <v>0</v>
      </c>
      <c r="J1260" s="10">
        <v>0</v>
      </c>
      <c r="K1260" s="10">
        <v>0</v>
      </c>
      <c r="L1260" s="9">
        <v>1</v>
      </c>
      <c r="M1260" s="9">
        <f t="shared" si="181"/>
        <v>33</v>
      </c>
      <c r="N1260" s="10">
        <v>1</v>
      </c>
      <c r="O1260" s="10">
        <v>0</v>
      </c>
      <c r="P1260" s="10">
        <v>0</v>
      </c>
      <c r="Q1260" s="10">
        <v>0</v>
      </c>
      <c r="R1260" s="10">
        <v>0</v>
      </c>
      <c r="S1260" s="10">
        <v>1</v>
      </c>
      <c r="T1260" s="9">
        <v>1</v>
      </c>
      <c r="U1260" s="9">
        <v>1</v>
      </c>
      <c r="V1260" s="9">
        <v>1</v>
      </c>
      <c r="W1260" s="9">
        <v>1</v>
      </c>
      <c r="X1260" s="9">
        <v>0</v>
      </c>
      <c r="Y1260" s="9">
        <v>0</v>
      </c>
      <c r="Z1260" s="9" t="str">
        <f t="shared" si="179"/>
        <v>每2秒流血250点，持续10秒</v>
      </c>
      <c r="AA1260" s="18">
        <v>1253</v>
      </c>
    </row>
    <row r="1261" spans="1:27" s="18" customFormat="1" ht="15" customHeight="1" x14ac:dyDescent="0.15">
      <c r="A1261" s="35">
        <v>33009</v>
      </c>
      <c r="B1261" s="18" t="s">
        <v>1888</v>
      </c>
      <c r="C1261" s="9">
        <f t="shared" si="180"/>
        <v>1</v>
      </c>
      <c r="D1261" s="9">
        <v>1</v>
      </c>
      <c r="E1261" s="9"/>
      <c r="F1261" s="12">
        <v>0</v>
      </c>
      <c r="G1261" s="10">
        <v>1</v>
      </c>
      <c r="H1261" s="10">
        <v>0</v>
      </c>
      <c r="I1261" s="10">
        <v>0</v>
      </c>
      <c r="J1261" s="10">
        <v>0</v>
      </c>
      <c r="K1261" s="10">
        <v>0</v>
      </c>
      <c r="L1261" s="9">
        <v>1</v>
      </c>
      <c r="M1261" s="9">
        <f t="shared" si="181"/>
        <v>33</v>
      </c>
      <c r="N1261" s="10">
        <v>1</v>
      </c>
      <c r="O1261" s="10">
        <v>0</v>
      </c>
      <c r="P1261" s="10">
        <v>0</v>
      </c>
      <c r="Q1261" s="10">
        <v>0</v>
      </c>
      <c r="R1261" s="10">
        <v>0</v>
      </c>
      <c r="S1261" s="10">
        <v>1</v>
      </c>
      <c r="T1261" s="9">
        <v>1</v>
      </c>
      <c r="U1261" s="9">
        <v>1</v>
      </c>
      <c r="V1261" s="9">
        <v>1</v>
      </c>
      <c r="W1261" s="9">
        <v>1</v>
      </c>
      <c r="X1261" s="9">
        <v>0</v>
      </c>
      <c r="Y1261" s="9">
        <v>0</v>
      </c>
      <c r="Z1261" s="9" t="str">
        <f t="shared" si="179"/>
        <v>每2秒流血259点，持续10秒</v>
      </c>
      <c r="AA1261" s="18">
        <v>1296</v>
      </c>
    </row>
    <row r="1262" spans="1:27" s="18" customFormat="1" ht="15" customHeight="1" x14ac:dyDescent="0.15">
      <c r="A1262" s="35">
        <v>33010</v>
      </c>
      <c r="B1262" s="18" t="s">
        <v>1889</v>
      </c>
      <c r="C1262" s="9">
        <f t="shared" si="180"/>
        <v>1</v>
      </c>
      <c r="D1262" s="9">
        <v>1</v>
      </c>
      <c r="E1262" s="9"/>
      <c r="F1262" s="12">
        <v>0</v>
      </c>
      <c r="G1262" s="10">
        <v>1</v>
      </c>
      <c r="H1262" s="10">
        <v>0</v>
      </c>
      <c r="I1262" s="10">
        <v>0</v>
      </c>
      <c r="J1262" s="10">
        <v>0</v>
      </c>
      <c r="K1262" s="10">
        <v>0</v>
      </c>
      <c r="L1262" s="9">
        <v>1</v>
      </c>
      <c r="M1262" s="9">
        <f t="shared" si="181"/>
        <v>33</v>
      </c>
      <c r="N1262" s="10">
        <v>1</v>
      </c>
      <c r="O1262" s="10">
        <v>0</v>
      </c>
      <c r="P1262" s="10">
        <v>0</v>
      </c>
      <c r="Q1262" s="10">
        <v>0</v>
      </c>
      <c r="R1262" s="10">
        <v>0</v>
      </c>
      <c r="S1262" s="10">
        <v>1</v>
      </c>
      <c r="T1262" s="9">
        <v>1</v>
      </c>
      <c r="U1262" s="9">
        <v>1</v>
      </c>
      <c r="V1262" s="9">
        <v>1</v>
      </c>
      <c r="W1262" s="9">
        <v>1</v>
      </c>
      <c r="X1262" s="9">
        <v>0</v>
      </c>
      <c r="Y1262" s="9">
        <v>0</v>
      </c>
      <c r="Z1262" s="9" t="str">
        <f t="shared" si="179"/>
        <v>每2秒流血268点，持续10秒</v>
      </c>
      <c r="AA1262" s="18">
        <v>1340</v>
      </c>
    </row>
    <row r="1263" spans="1:27" s="18" customFormat="1" ht="15" customHeight="1" x14ac:dyDescent="0.15">
      <c r="A1263" s="35">
        <v>33011</v>
      </c>
      <c r="B1263" s="18" t="s">
        <v>1890</v>
      </c>
      <c r="C1263" s="9">
        <f t="shared" si="180"/>
        <v>1</v>
      </c>
      <c r="D1263" s="9">
        <v>1</v>
      </c>
      <c r="E1263" s="9"/>
      <c r="F1263" s="12">
        <v>0</v>
      </c>
      <c r="G1263" s="10">
        <v>1</v>
      </c>
      <c r="H1263" s="10">
        <v>0</v>
      </c>
      <c r="I1263" s="10">
        <v>0</v>
      </c>
      <c r="J1263" s="10">
        <v>0</v>
      </c>
      <c r="K1263" s="10">
        <v>0</v>
      </c>
      <c r="L1263" s="9">
        <v>1</v>
      </c>
      <c r="M1263" s="9">
        <f t="shared" si="181"/>
        <v>33</v>
      </c>
      <c r="N1263" s="10">
        <v>1</v>
      </c>
      <c r="O1263" s="10">
        <v>0</v>
      </c>
      <c r="P1263" s="10">
        <v>0</v>
      </c>
      <c r="Q1263" s="10">
        <v>0</v>
      </c>
      <c r="R1263" s="10">
        <v>0</v>
      </c>
      <c r="S1263" s="10">
        <v>1</v>
      </c>
      <c r="T1263" s="9">
        <v>1</v>
      </c>
      <c r="U1263" s="9">
        <v>1</v>
      </c>
      <c r="V1263" s="9">
        <v>1</v>
      </c>
      <c r="W1263" s="9">
        <v>1</v>
      </c>
      <c r="X1263" s="9">
        <v>0</v>
      </c>
      <c r="Y1263" s="9">
        <v>0</v>
      </c>
      <c r="Z1263" s="9" t="str">
        <f t="shared" si="179"/>
        <v>每2秒流血277点，持续10秒</v>
      </c>
      <c r="AA1263" s="18">
        <v>1386</v>
      </c>
    </row>
    <row r="1264" spans="1:27" s="18" customFormat="1" ht="15" customHeight="1" x14ac:dyDescent="0.15">
      <c r="A1264" s="35">
        <v>33012</v>
      </c>
      <c r="B1264" s="18" t="s">
        <v>1891</v>
      </c>
      <c r="C1264" s="9">
        <f t="shared" si="180"/>
        <v>1</v>
      </c>
      <c r="D1264" s="9">
        <v>1</v>
      </c>
      <c r="E1264" s="9"/>
      <c r="F1264" s="12">
        <v>0</v>
      </c>
      <c r="G1264" s="10">
        <v>1</v>
      </c>
      <c r="H1264" s="10">
        <v>0</v>
      </c>
      <c r="I1264" s="10">
        <v>0</v>
      </c>
      <c r="J1264" s="10">
        <v>0</v>
      </c>
      <c r="K1264" s="10">
        <v>0</v>
      </c>
      <c r="L1264" s="9">
        <v>1</v>
      </c>
      <c r="M1264" s="9">
        <f t="shared" si="181"/>
        <v>33</v>
      </c>
      <c r="N1264" s="10">
        <v>1</v>
      </c>
      <c r="O1264" s="10">
        <v>0</v>
      </c>
      <c r="P1264" s="10">
        <v>0</v>
      </c>
      <c r="Q1264" s="10">
        <v>0</v>
      </c>
      <c r="R1264" s="10">
        <v>0</v>
      </c>
      <c r="S1264" s="10">
        <v>1</v>
      </c>
      <c r="T1264" s="9">
        <v>1</v>
      </c>
      <c r="U1264" s="9">
        <v>1</v>
      </c>
      <c r="V1264" s="9">
        <v>1</v>
      </c>
      <c r="W1264" s="9">
        <v>1</v>
      </c>
      <c r="X1264" s="9">
        <v>0</v>
      </c>
      <c r="Y1264" s="9">
        <v>0</v>
      </c>
      <c r="Z1264" s="9" t="str">
        <f t="shared" si="179"/>
        <v>每2秒流血286点，持续10秒</v>
      </c>
      <c r="AA1264" s="18">
        <v>1433</v>
      </c>
    </row>
    <row r="1265" spans="1:27" s="18" customFormat="1" ht="15" customHeight="1" x14ac:dyDescent="0.15">
      <c r="A1265" s="35">
        <v>33013</v>
      </c>
      <c r="B1265" s="18" t="s">
        <v>1892</v>
      </c>
      <c r="C1265" s="9">
        <f t="shared" si="180"/>
        <v>1</v>
      </c>
      <c r="D1265" s="9">
        <v>1</v>
      </c>
      <c r="E1265" s="9"/>
      <c r="F1265" s="12">
        <v>0</v>
      </c>
      <c r="G1265" s="10">
        <v>1</v>
      </c>
      <c r="H1265" s="10">
        <v>0</v>
      </c>
      <c r="I1265" s="10">
        <v>0</v>
      </c>
      <c r="J1265" s="10">
        <v>0</v>
      </c>
      <c r="K1265" s="10">
        <v>0</v>
      </c>
      <c r="L1265" s="9">
        <v>1</v>
      </c>
      <c r="M1265" s="9">
        <f t="shared" si="181"/>
        <v>33</v>
      </c>
      <c r="N1265" s="10">
        <v>1</v>
      </c>
      <c r="O1265" s="10">
        <v>0</v>
      </c>
      <c r="P1265" s="10">
        <v>0</v>
      </c>
      <c r="Q1265" s="10">
        <v>0</v>
      </c>
      <c r="R1265" s="10">
        <v>0</v>
      </c>
      <c r="S1265" s="10">
        <v>1</v>
      </c>
      <c r="T1265" s="9">
        <v>1</v>
      </c>
      <c r="U1265" s="9">
        <v>1</v>
      </c>
      <c r="V1265" s="9">
        <v>1</v>
      </c>
      <c r="W1265" s="9">
        <v>1</v>
      </c>
      <c r="X1265" s="9">
        <v>0</v>
      </c>
      <c r="Y1265" s="9">
        <v>0</v>
      </c>
      <c r="Z1265" s="9" t="str">
        <f t="shared" si="179"/>
        <v>每2秒流血296点，持续10秒</v>
      </c>
      <c r="AA1265" s="18">
        <v>1482</v>
      </c>
    </row>
    <row r="1266" spans="1:27" s="18" customFormat="1" ht="15" customHeight="1" x14ac:dyDescent="0.15">
      <c r="A1266" s="35">
        <v>33014</v>
      </c>
      <c r="B1266" s="18" t="s">
        <v>1893</v>
      </c>
      <c r="C1266" s="9">
        <f t="shared" si="180"/>
        <v>1</v>
      </c>
      <c r="D1266" s="9">
        <v>1</v>
      </c>
      <c r="E1266" s="9"/>
      <c r="F1266" s="12">
        <v>0</v>
      </c>
      <c r="G1266" s="10">
        <v>1</v>
      </c>
      <c r="H1266" s="10">
        <v>0</v>
      </c>
      <c r="I1266" s="10">
        <v>0</v>
      </c>
      <c r="J1266" s="10">
        <v>0</v>
      </c>
      <c r="K1266" s="10">
        <v>0</v>
      </c>
      <c r="L1266" s="9">
        <v>1</v>
      </c>
      <c r="M1266" s="9">
        <f t="shared" si="181"/>
        <v>33</v>
      </c>
      <c r="N1266" s="10">
        <v>1</v>
      </c>
      <c r="O1266" s="10">
        <v>0</v>
      </c>
      <c r="P1266" s="10">
        <v>0</v>
      </c>
      <c r="Q1266" s="10">
        <v>0</v>
      </c>
      <c r="R1266" s="10">
        <v>0</v>
      </c>
      <c r="S1266" s="10">
        <v>1</v>
      </c>
      <c r="T1266" s="9">
        <v>1</v>
      </c>
      <c r="U1266" s="9">
        <v>1</v>
      </c>
      <c r="V1266" s="9">
        <v>1</v>
      </c>
      <c r="W1266" s="9">
        <v>1</v>
      </c>
      <c r="X1266" s="9">
        <v>0</v>
      </c>
      <c r="Y1266" s="9">
        <v>0</v>
      </c>
      <c r="Z1266" s="9" t="str">
        <f t="shared" si="179"/>
        <v>每2秒流血306点，持续10秒</v>
      </c>
      <c r="AA1266" s="18">
        <v>1533</v>
      </c>
    </row>
    <row r="1267" spans="1:27" s="18" customFormat="1" ht="15" customHeight="1" x14ac:dyDescent="0.15">
      <c r="A1267" s="35">
        <v>33015</v>
      </c>
      <c r="B1267" s="18" t="s">
        <v>1894</v>
      </c>
      <c r="C1267" s="9">
        <f t="shared" si="180"/>
        <v>1</v>
      </c>
      <c r="D1267" s="9">
        <v>1</v>
      </c>
      <c r="E1267" s="9"/>
      <c r="F1267" s="12">
        <v>0</v>
      </c>
      <c r="G1267" s="10">
        <v>1</v>
      </c>
      <c r="H1267" s="10">
        <v>0</v>
      </c>
      <c r="I1267" s="10">
        <v>0</v>
      </c>
      <c r="J1267" s="10">
        <v>0</v>
      </c>
      <c r="K1267" s="10">
        <v>0</v>
      </c>
      <c r="L1267" s="9">
        <v>1</v>
      </c>
      <c r="M1267" s="9">
        <f t="shared" si="181"/>
        <v>33</v>
      </c>
      <c r="N1267" s="10">
        <v>1</v>
      </c>
      <c r="O1267" s="10">
        <v>0</v>
      </c>
      <c r="P1267" s="10">
        <v>0</v>
      </c>
      <c r="Q1267" s="10">
        <v>0</v>
      </c>
      <c r="R1267" s="10">
        <v>0</v>
      </c>
      <c r="S1267" s="10">
        <v>1</v>
      </c>
      <c r="T1267" s="9">
        <v>1</v>
      </c>
      <c r="U1267" s="9">
        <v>1</v>
      </c>
      <c r="V1267" s="9">
        <v>1</v>
      </c>
      <c r="W1267" s="9">
        <v>1</v>
      </c>
      <c r="X1267" s="9">
        <v>0</v>
      </c>
      <c r="Y1267" s="9">
        <v>0</v>
      </c>
      <c r="Z1267" s="9" t="str">
        <f t="shared" si="179"/>
        <v>每2秒流血317点，持续10秒</v>
      </c>
      <c r="AA1267" s="18">
        <v>1585</v>
      </c>
    </row>
    <row r="1268" spans="1:27" s="18" customFormat="1" ht="15" customHeight="1" x14ac:dyDescent="0.15">
      <c r="A1268" s="35">
        <v>33016</v>
      </c>
      <c r="B1268" s="18" t="s">
        <v>1895</v>
      </c>
      <c r="C1268" s="9">
        <f t="shared" si="180"/>
        <v>1</v>
      </c>
      <c r="D1268" s="9">
        <v>1</v>
      </c>
      <c r="E1268" s="9"/>
      <c r="F1268" s="12">
        <v>0</v>
      </c>
      <c r="G1268" s="10">
        <v>1</v>
      </c>
      <c r="H1268" s="10">
        <v>0</v>
      </c>
      <c r="I1268" s="10">
        <v>0</v>
      </c>
      <c r="J1268" s="10">
        <v>0</v>
      </c>
      <c r="K1268" s="10">
        <v>0</v>
      </c>
      <c r="L1268" s="9">
        <v>1</v>
      </c>
      <c r="M1268" s="9">
        <f t="shared" si="181"/>
        <v>33</v>
      </c>
      <c r="N1268" s="10">
        <v>1</v>
      </c>
      <c r="O1268" s="10">
        <v>0</v>
      </c>
      <c r="P1268" s="10">
        <v>0</v>
      </c>
      <c r="Q1268" s="10">
        <v>0</v>
      </c>
      <c r="R1268" s="10">
        <v>0</v>
      </c>
      <c r="S1268" s="10">
        <v>1</v>
      </c>
      <c r="T1268" s="9">
        <v>1</v>
      </c>
      <c r="U1268" s="9">
        <v>1</v>
      </c>
      <c r="V1268" s="9">
        <v>1</v>
      </c>
      <c r="W1268" s="9">
        <v>1</v>
      </c>
      <c r="X1268" s="9">
        <v>0</v>
      </c>
      <c r="Y1268" s="9">
        <v>0</v>
      </c>
      <c r="Z1268" s="9" t="str">
        <f t="shared" si="179"/>
        <v>每2秒流血328点，持续10秒</v>
      </c>
      <c r="AA1268" s="18">
        <v>1640</v>
      </c>
    </row>
    <row r="1269" spans="1:27" s="18" customFormat="1" ht="15" customHeight="1" x14ac:dyDescent="0.15">
      <c r="A1269" s="35">
        <v>33017</v>
      </c>
      <c r="B1269" s="18" t="s">
        <v>1896</v>
      </c>
      <c r="C1269" s="9">
        <f t="shared" si="180"/>
        <v>1</v>
      </c>
      <c r="D1269" s="9">
        <v>1</v>
      </c>
      <c r="E1269" s="9"/>
      <c r="F1269" s="12">
        <v>0</v>
      </c>
      <c r="G1269" s="10">
        <v>1</v>
      </c>
      <c r="H1269" s="10">
        <v>0</v>
      </c>
      <c r="I1269" s="10">
        <v>0</v>
      </c>
      <c r="J1269" s="10">
        <v>0</v>
      </c>
      <c r="K1269" s="10">
        <v>0</v>
      </c>
      <c r="L1269" s="9">
        <v>1</v>
      </c>
      <c r="M1269" s="9">
        <f t="shared" si="181"/>
        <v>33</v>
      </c>
      <c r="N1269" s="10">
        <v>1</v>
      </c>
      <c r="O1269" s="10">
        <v>0</v>
      </c>
      <c r="P1269" s="10">
        <v>0</v>
      </c>
      <c r="Q1269" s="10">
        <v>0</v>
      </c>
      <c r="R1269" s="10">
        <v>0</v>
      </c>
      <c r="S1269" s="10">
        <v>1</v>
      </c>
      <c r="T1269" s="9">
        <v>1</v>
      </c>
      <c r="U1269" s="9">
        <v>1</v>
      </c>
      <c r="V1269" s="9">
        <v>1</v>
      </c>
      <c r="W1269" s="9">
        <v>1</v>
      </c>
      <c r="X1269" s="9">
        <v>0</v>
      </c>
      <c r="Y1269" s="9">
        <v>0</v>
      </c>
      <c r="Z1269" s="9" t="str">
        <f t="shared" si="179"/>
        <v>每2秒流血339点，持续10秒</v>
      </c>
      <c r="AA1269" s="18">
        <v>1696</v>
      </c>
    </row>
    <row r="1270" spans="1:27" s="18" customFormat="1" ht="15" customHeight="1" x14ac:dyDescent="0.15">
      <c r="A1270" s="35">
        <v>33018</v>
      </c>
      <c r="B1270" s="18" t="s">
        <v>1897</v>
      </c>
      <c r="C1270" s="9">
        <f t="shared" si="180"/>
        <v>1</v>
      </c>
      <c r="D1270" s="9">
        <v>1</v>
      </c>
      <c r="E1270" s="9"/>
      <c r="F1270" s="12">
        <v>0</v>
      </c>
      <c r="G1270" s="10">
        <v>1</v>
      </c>
      <c r="H1270" s="10">
        <v>0</v>
      </c>
      <c r="I1270" s="10">
        <v>0</v>
      </c>
      <c r="J1270" s="10">
        <v>0</v>
      </c>
      <c r="K1270" s="10">
        <v>0</v>
      </c>
      <c r="L1270" s="9">
        <v>1</v>
      </c>
      <c r="M1270" s="9">
        <f t="shared" si="181"/>
        <v>33</v>
      </c>
      <c r="N1270" s="10">
        <v>1</v>
      </c>
      <c r="O1270" s="10">
        <v>0</v>
      </c>
      <c r="P1270" s="10">
        <v>0</v>
      </c>
      <c r="Q1270" s="10">
        <v>0</v>
      </c>
      <c r="R1270" s="10">
        <v>0</v>
      </c>
      <c r="S1270" s="10">
        <v>1</v>
      </c>
      <c r="T1270" s="9">
        <v>1</v>
      </c>
      <c r="U1270" s="9">
        <v>1</v>
      </c>
      <c r="V1270" s="9">
        <v>1</v>
      </c>
      <c r="W1270" s="9">
        <v>1</v>
      </c>
      <c r="X1270" s="9">
        <v>0</v>
      </c>
      <c r="Y1270" s="9">
        <v>0</v>
      </c>
      <c r="Z1270" s="9" t="str">
        <f t="shared" si="179"/>
        <v>每2秒流血350点，持续10秒</v>
      </c>
      <c r="AA1270" s="18">
        <v>1754</v>
      </c>
    </row>
    <row r="1271" spans="1:27" s="18" customFormat="1" ht="15" customHeight="1" x14ac:dyDescent="0.15">
      <c r="A1271" s="35">
        <v>33019</v>
      </c>
      <c r="B1271" s="18" t="s">
        <v>1898</v>
      </c>
      <c r="C1271" s="9">
        <f t="shared" si="180"/>
        <v>1</v>
      </c>
      <c r="D1271" s="9">
        <v>1</v>
      </c>
      <c r="E1271" s="9"/>
      <c r="F1271" s="12">
        <v>0</v>
      </c>
      <c r="G1271" s="10">
        <v>1</v>
      </c>
      <c r="H1271" s="10">
        <v>0</v>
      </c>
      <c r="I1271" s="10">
        <v>0</v>
      </c>
      <c r="J1271" s="10">
        <v>0</v>
      </c>
      <c r="K1271" s="10">
        <v>0</v>
      </c>
      <c r="L1271" s="9">
        <v>1</v>
      </c>
      <c r="M1271" s="9">
        <f t="shared" si="181"/>
        <v>33</v>
      </c>
      <c r="N1271" s="10">
        <v>1</v>
      </c>
      <c r="O1271" s="10">
        <v>0</v>
      </c>
      <c r="P1271" s="10">
        <v>0</v>
      </c>
      <c r="Q1271" s="10">
        <v>0</v>
      </c>
      <c r="R1271" s="10">
        <v>0</v>
      </c>
      <c r="S1271" s="10">
        <v>1</v>
      </c>
      <c r="T1271" s="9">
        <v>1</v>
      </c>
      <c r="U1271" s="9">
        <v>1</v>
      </c>
      <c r="V1271" s="9">
        <v>1</v>
      </c>
      <c r="W1271" s="9">
        <v>1</v>
      </c>
      <c r="X1271" s="9">
        <v>0</v>
      </c>
      <c r="Y1271" s="9">
        <v>0</v>
      </c>
      <c r="Z1271" s="9" t="str">
        <f t="shared" si="179"/>
        <v>每2秒流血362点，持续10秒</v>
      </c>
      <c r="AA1271" s="18">
        <v>1814</v>
      </c>
    </row>
    <row r="1272" spans="1:27" s="18" customFormat="1" ht="15" customHeight="1" x14ac:dyDescent="0.15">
      <c r="A1272" s="35">
        <v>33020</v>
      </c>
      <c r="B1272" s="18" t="s">
        <v>1899</v>
      </c>
      <c r="C1272" s="9">
        <f t="shared" si="180"/>
        <v>1</v>
      </c>
      <c r="D1272" s="9">
        <v>1</v>
      </c>
      <c r="E1272" s="9"/>
      <c r="F1272" s="12">
        <v>0</v>
      </c>
      <c r="G1272" s="10">
        <v>1</v>
      </c>
      <c r="H1272" s="10">
        <v>0</v>
      </c>
      <c r="I1272" s="10">
        <v>0</v>
      </c>
      <c r="J1272" s="10">
        <v>0</v>
      </c>
      <c r="K1272" s="10">
        <v>0</v>
      </c>
      <c r="L1272" s="9">
        <v>1</v>
      </c>
      <c r="M1272" s="9">
        <f t="shared" si="181"/>
        <v>33</v>
      </c>
      <c r="N1272" s="10">
        <v>1</v>
      </c>
      <c r="O1272" s="10">
        <v>0</v>
      </c>
      <c r="P1272" s="10">
        <v>0</v>
      </c>
      <c r="Q1272" s="10">
        <v>0</v>
      </c>
      <c r="R1272" s="10">
        <v>0</v>
      </c>
      <c r="S1272" s="10">
        <v>1</v>
      </c>
      <c r="T1272" s="9">
        <v>1</v>
      </c>
      <c r="U1272" s="9">
        <v>1</v>
      </c>
      <c r="V1272" s="9">
        <v>1</v>
      </c>
      <c r="W1272" s="9">
        <v>1</v>
      </c>
      <c r="X1272" s="9">
        <v>0</v>
      </c>
      <c r="Y1272" s="9">
        <v>0</v>
      </c>
      <c r="Z1272" s="9" t="str">
        <f t="shared" si="179"/>
        <v>每2秒流血375点，持续10秒</v>
      </c>
      <c r="AA1272" s="18">
        <v>1876</v>
      </c>
    </row>
    <row r="1273" spans="1:27" s="18" customFormat="1" ht="15" customHeight="1" x14ac:dyDescent="0.15">
      <c r="A1273" s="35">
        <v>33021</v>
      </c>
      <c r="B1273" s="18" t="s">
        <v>1900</v>
      </c>
      <c r="C1273" s="9">
        <f t="shared" si="180"/>
        <v>1</v>
      </c>
      <c r="D1273" s="9">
        <v>1</v>
      </c>
      <c r="E1273" s="9"/>
      <c r="F1273" s="12">
        <v>0</v>
      </c>
      <c r="G1273" s="10">
        <v>1</v>
      </c>
      <c r="H1273" s="10">
        <v>0</v>
      </c>
      <c r="I1273" s="10">
        <v>0</v>
      </c>
      <c r="J1273" s="10">
        <v>0</v>
      </c>
      <c r="K1273" s="10">
        <v>0</v>
      </c>
      <c r="L1273" s="9">
        <v>1</v>
      </c>
      <c r="M1273" s="9">
        <f t="shared" si="181"/>
        <v>33</v>
      </c>
      <c r="N1273" s="10">
        <v>1</v>
      </c>
      <c r="O1273" s="10">
        <v>0</v>
      </c>
      <c r="P1273" s="10">
        <v>0</v>
      </c>
      <c r="Q1273" s="10">
        <v>0</v>
      </c>
      <c r="R1273" s="10">
        <v>0</v>
      </c>
      <c r="S1273" s="10">
        <v>1</v>
      </c>
      <c r="T1273" s="9">
        <v>1</v>
      </c>
      <c r="U1273" s="9">
        <v>1</v>
      </c>
      <c r="V1273" s="9">
        <v>1</v>
      </c>
      <c r="W1273" s="9">
        <v>1</v>
      </c>
      <c r="X1273" s="9">
        <v>0</v>
      </c>
      <c r="Y1273" s="9">
        <v>0</v>
      </c>
      <c r="Z1273" s="9" t="str">
        <f t="shared" si="179"/>
        <v>每2秒流血388点，持续10秒</v>
      </c>
      <c r="AA1273" s="18">
        <v>1940</v>
      </c>
    </row>
    <row r="1274" spans="1:27" s="18" customFormat="1" ht="15" customHeight="1" x14ac:dyDescent="0.15">
      <c r="A1274" s="35">
        <v>33022</v>
      </c>
      <c r="B1274" s="18" t="s">
        <v>1901</v>
      </c>
      <c r="C1274" s="9">
        <f t="shared" si="180"/>
        <v>1</v>
      </c>
      <c r="D1274" s="9">
        <v>1</v>
      </c>
      <c r="E1274" s="9"/>
      <c r="F1274" s="12">
        <v>0</v>
      </c>
      <c r="G1274" s="10">
        <v>1</v>
      </c>
      <c r="H1274" s="10">
        <v>0</v>
      </c>
      <c r="I1274" s="10">
        <v>0</v>
      </c>
      <c r="J1274" s="10">
        <v>0</v>
      </c>
      <c r="K1274" s="10">
        <v>0</v>
      </c>
      <c r="L1274" s="9">
        <v>1</v>
      </c>
      <c r="M1274" s="9">
        <f t="shared" si="181"/>
        <v>33</v>
      </c>
      <c r="N1274" s="10">
        <v>1</v>
      </c>
      <c r="O1274" s="10">
        <v>0</v>
      </c>
      <c r="P1274" s="10">
        <v>0</v>
      </c>
      <c r="Q1274" s="10">
        <v>0</v>
      </c>
      <c r="R1274" s="10">
        <v>0</v>
      </c>
      <c r="S1274" s="10">
        <v>1</v>
      </c>
      <c r="T1274" s="9">
        <v>1</v>
      </c>
      <c r="U1274" s="9">
        <v>1</v>
      </c>
      <c r="V1274" s="9">
        <v>1</v>
      </c>
      <c r="W1274" s="9">
        <v>1</v>
      </c>
      <c r="X1274" s="9">
        <v>0</v>
      </c>
      <c r="Y1274" s="9">
        <v>0</v>
      </c>
      <c r="Z1274" s="9" t="str">
        <f t="shared" si="179"/>
        <v>每2秒流血401点，持续10秒</v>
      </c>
      <c r="AA1274" s="18">
        <v>2006</v>
      </c>
    </row>
    <row r="1275" spans="1:27" s="18" customFormat="1" ht="15" customHeight="1" x14ac:dyDescent="0.15">
      <c r="A1275" s="35">
        <v>33023</v>
      </c>
      <c r="B1275" s="18" t="s">
        <v>1902</v>
      </c>
      <c r="C1275" s="9">
        <f t="shared" si="180"/>
        <v>1</v>
      </c>
      <c r="D1275" s="9">
        <v>1</v>
      </c>
      <c r="E1275" s="9"/>
      <c r="F1275" s="12">
        <v>0</v>
      </c>
      <c r="G1275" s="10">
        <v>1</v>
      </c>
      <c r="H1275" s="10">
        <v>0</v>
      </c>
      <c r="I1275" s="10">
        <v>0</v>
      </c>
      <c r="J1275" s="10">
        <v>0</v>
      </c>
      <c r="K1275" s="10">
        <v>0</v>
      </c>
      <c r="L1275" s="9">
        <v>1</v>
      </c>
      <c r="M1275" s="9">
        <f t="shared" si="181"/>
        <v>33</v>
      </c>
      <c r="N1275" s="10">
        <v>1</v>
      </c>
      <c r="O1275" s="10">
        <v>0</v>
      </c>
      <c r="P1275" s="10">
        <v>0</v>
      </c>
      <c r="Q1275" s="10">
        <v>0</v>
      </c>
      <c r="R1275" s="10">
        <v>0</v>
      </c>
      <c r="S1275" s="10">
        <v>1</v>
      </c>
      <c r="T1275" s="9">
        <v>1</v>
      </c>
      <c r="U1275" s="9">
        <v>1</v>
      </c>
      <c r="V1275" s="9">
        <v>1</v>
      </c>
      <c r="W1275" s="9">
        <v>1</v>
      </c>
      <c r="X1275" s="9">
        <v>0</v>
      </c>
      <c r="Y1275" s="9">
        <v>0</v>
      </c>
      <c r="Z1275" s="9" t="str">
        <f t="shared" si="179"/>
        <v>每2秒流血415点，持续10秒</v>
      </c>
      <c r="AA1275" s="18">
        <v>2075</v>
      </c>
    </row>
    <row r="1276" spans="1:27" s="18" customFormat="1" ht="15" customHeight="1" x14ac:dyDescent="0.15">
      <c r="A1276" s="35">
        <v>33024</v>
      </c>
      <c r="B1276" s="18" t="s">
        <v>1903</v>
      </c>
      <c r="C1276" s="9">
        <f t="shared" si="180"/>
        <v>1</v>
      </c>
      <c r="D1276" s="9">
        <v>1</v>
      </c>
      <c r="E1276" s="9"/>
      <c r="F1276" s="12">
        <v>0</v>
      </c>
      <c r="G1276" s="10">
        <v>1</v>
      </c>
      <c r="H1276" s="10">
        <v>0</v>
      </c>
      <c r="I1276" s="10">
        <v>0</v>
      </c>
      <c r="J1276" s="10">
        <v>0</v>
      </c>
      <c r="K1276" s="10">
        <v>0</v>
      </c>
      <c r="L1276" s="9">
        <v>1</v>
      </c>
      <c r="M1276" s="9">
        <f t="shared" si="181"/>
        <v>33</v>
      </c>
      <c r="N1276" s="10">
        <v>1</v>
      </c>
      <c r="O1276" s="10">
        <v>0</v>
      </c>
      <c r="P1276" s="10">
        <v>0</v>
      </c>
      <c r="Q1276" s="10">
        <v>0</v>
      </c>
      <c r="R1276" s="10">
        <v>0</v>
      </c>
      <c r="S1276" s="10">
        <v>1</v>
      </c>
      <c r="T1276" s="9">
        <v>1</v>
      </c>
      <c r="U1276" s="9">
        <v>1</v>
      </c>
      <c r="V1276" s="9">
        <v>1</v>
      </c>
      <c r="W1276" s="9">
        <v>1</v>
      </c>
      <c r="X1276" s="9">
        <v>0</v>
      </c>
      <c r="Y1276" s="9">
        <v>0</v>
      </c>
      <c r="Z1276" s="9" t="str">
        <f t="shared" si="179"/>
        <v>每2秒流血429点，持续10秒</v>
      </c>
      <c r="AA1276" s="18">
        <v>2146</v>
      </c>
    </row>
    <row r="1277" spans="1:27" s="18" customFormat="1" ht="15" customHeight="1" x14ac:dyDescent="0.15">
      <c r="A1277" s="35">
        <v>33025</v>
      </c>
      <c r="B1277" s="18" t="s">
        <v>1904</v>
      </c>
      <c r="C1277" s="9">
        <f t="shared" si="180"/>
        <v>1</v>
      </c>
      <c r="D1277" s="9">
        <v>1</v>
      </c>
      <c r="E1277" s="9"/>
      <c r="F1277" s="12">
        <v>0</v>
      </c>
      <c r="G1277" s="10">
        <v>1</v>
      </c>
      <c r="H1277" s="10">
        <v>0</v>
      </c>
      <c r="I1277" s="10">
        <v>0</v>
      </c>
      <c r="J1277" s="10">
        <v>0</v>
      </c>
      <c r="K1277" s="10">
        <v>0</v>
      </c>
      <c r="L1277" s="9">
        <v>1</v>
      </c>
      <c r="M1277" s="9">
        <f t="shared" si="181"/>
        <v>33</v>
      </c>
      <c r="N1277" s="10">
        <v>1</v>
      </c>
      <c r="O1277" s="10">
        <v>0</v>
      </c>
      <c r="P1277" s="10">
        <v>0</v>
      </c>
      <c r="Q1277" s="10">
        <v>0</v>
      </c>
      <c r="R1277" s="10">
        <v>0</v>
      </c>
      <c r="S1277" s="10">
        <v>1</v>
      </c>
      <c r="T1277" s="9">
        <v>1</v>
      </c>
      <c r="U1277" s="9">
        <v>1</v>
      </c>
      <c r="V1277" s="9">
        <v>1</v>
      </c>
      <c r="W1277" s="9">
        <v>1</v>
      </c>
      <c r="X1277" s="9">
        <v>0</v>
      </c>
      <c r="Y1277" s="9">
        <v>0</v>
      </c>
      <c r="Z1277" s="9" t="str">
        <f t="shared" si="179"/>
        <v>每2秒流血443点，持续10秒</v>
      </c>
      <c r="AA1277" s="18">
        <v>2219</v>
      </c>
    </row>
    <row r="1278" spans="1:27" s="18" customFormat="1" ht="15" customHeight="1" x14ac:dyDescent="0.15">
      <c r="A1278" s="35">
        <v>33026</v>
      </c>
      <c r="B1278" s="18" t="s">
        <v>1905</v>
      </c>
      <c r="C1278" s="9">
        <f t="shared" si="180"/>
        <v>1</v>
      </c>
      <c r="D1278" s="9">
        <v>1</v>
      </c>
      <c r="E1278" s="9"/>
      <c r="F1278" s="12">
        <v>0</v>
      </c>
      <c r="G1278" s="10">
        <v>1</v>
      </c>
      <c r="H1278" s="10">
        <v>0</v>
      </c>
      <c r="I1278" s="10">
        <v>0</v>
      </c>
      <c r="J1278" s="10">
        <v>0</v>
      </c>
      <c r="K1278" s="10">
        <v>0</v>
      </c>
      <c r="L1278" s="9">
        <v>1</v>
      </c>
      <c r="M1278" s="9">
        <f t="shared" si="181"/>
        <v>33</v>
      </c>
      <c r="N1278" s="10">
        <v>1</v>
      </c>
      <c r="O1278" s="10">
        <v>0</v>
      </c>
      <c r="P1278" s="10">
        <v>0</v>
      </c>
      <c r="Q1278" s="10">
        <v>0</v>
      </c>
      <c r="R1278" s="10">
        <v>0</v>
      </c>
      <c r="S1278" s="10">
        <v>1</v>
      </c>
      <c r="T1278" s="9">
        <v>1</v>
      </c>
      <c r="U1278" s="9">
        <v>1</v>
      </c>
      <c r="V1278" s="9">
        <v>1</v>
      </c>
      <c r="W1278" s="9">
        <v>1</v>
      </c>
      <c r="X1278" s="9">
        <v>0</v>
      </c>
      <c r="Y1278" s="9">
        <v>0</v>
      </c>
      <c r="Z1278" s="9" t="str">
        <f t="shared" si="179"/>
        <v>每2秒流血459点，持续10秒</v>
      </c>
      <c r="AA1278" s="18">
        <v>2295</v>
      </c>
    </row>
    <row r="1279" spans="1:27" s="18" customFormat="1" ht="15" customHeight="1" x14ac:dyDescent="0.15">
      <c r="A1279" s="35">
        <v>33027</v>
      </c>
      <c r="B1279" s="18" t="s">
        <v>1906</v>
      </c>
      <c r="C1279" s="9">
        <f t="shared" si="180"/>
        <v>1</v>
      </c>
      <c r="D1279" s="9">
        <v>1</v>
      </c>
      <c r="E1279" s="9"/>
      <c r="F1279" s="12">
        <v>0</v>
      </c>
      <c r="G1279" s="10">
        <v>1</v>
      </c>
      <c r="H1279" s="10">
        <v>0</v>
      </c>
      <c r="I1279" s="10">
        <v>0</v>
      </c>
      <c r="J1279" s="10">
        <v>0</v>
      </c>
      <c r="K1279" s="10">
        <v>0</v>
      </c>
      <c r="L1279" s="9">
        <v>1</v>
      </c>
      <c r="M1279" s="9">
        <f t="shared" si="181"/>
        <v>33</v>
      </c>
      <c r="N1279" s="10">
        <v>1</v>
      </c>
      <c r="O1279" s="10">
        <v>0</v>
      </c>
      <c r="P1279" s="10">
        <v>0</v>
      </c>
      <c r="Q1279" s="10">
        <v>0</v>
      </c>
      <c r="R1279" s="10">
        <v>0</v>
      </c>
      <c r="S1279" s="10">
        <v>1</v>
      </c>
      <c r="T1279" s="9">
        <v>1</v>
      </c>
      <c r="U1279" s="9">
        <v>1</v>
      </c>
      <c r="V1279" s="9">
        <v>1</v>
      </c>
      <c r="W1279" s="9">
        <v>1</v>
      </c>
      <c r="X1279" s="9">
        <v>0</v>
      </c>
      <c r="Y1279" s="9">
        <v>0</v>
      </c>
      <c r="Z1279" s="9" t="str">
        <f t="shared" si="179"/>
        <v>每2秒流血474点，持续10秒</v>
      </c>
      <c r="AA1279" s="18">
        <v>2373</v>
      </c>
    </row>
    <row r="1280" spans="1:27" s="18" customFormat="1" ht="15" customHeight="1" x14ac:dyDescent="0.15">
      <c r="A1280" s="35">
        <v>33028</v>
      </c>
      <c r="B1280" s="18" t="s">
        <v>1907</v>
      </c>
      <c r="C1280" s="9">
        <f t="shared" si="180"/>
        <v>1</v>
      </c>
      <c r="D1280" s="9">
        <v>1</v>
      </c>
      <c r="E1280" s="9"/>
      <c r="F1280" s="12">
        <v>0</v>
      </c>
      <c r="G1280" s="10">
        <v>1</v>
      </c>
      <c r="H1280" s="10">
        <v>0</v>
      </c>
      <c r="I1280" s="10">
        <v>0</v>
      </c>
      <c r="J1280" s="10">
        <v>0</v>
      </c>
      <c r="K1280" s="10">
        <v>0</v>
      </c>
      <c r="L1280" s="9">
        <v>1</v>
      </c>
      <c r="M1280" s="9">
        <f t="shared" si="181"/>
        <v>33</v>
      </c>
      <c r="N1280" s="10">
        <v>1</v>
      </c>
      <c r="O1280" s="10">
        <v>0</v>
      </c>
      <c r="P1280" s="10">
        <v>0</v>
      </c>
      <c r="Q1280" s="10">
        <v>0</v>
      </c>
      <c r="R1280" s="10">
        <v>0</v>
      </c>
      <c r="S1280" s="10">
        <v>1</v>
      </c>
      <c r="T1280" s="9">
        <v>1</v>
      </c>
      <c r="U1280" s="9">
        <v>1</v>
      </c>
      <c r="V1280" s="9">
        <v>1</v>
      </c>
      <c r="W1280" s="9">
        <v>1</v>
      </c>
      <c r="X1280" s="9">
        <v>0</v>
      </c>
      <c r="Y1280" s="9">
        <v>0</v>
      </c>
      <c r="Z1280" s="9" t="str">
        <f t="shared" si="179"/>
        <v>每2秒流血491点，持续10秒</v>
      </c>
      <c r="AA1280" s="18">
        <v>2455</v>
      </c>
    </row>
    <row r="1281" spans="1:28" s="18" customFormat="1" ht="15" customHeight="1" x14ac:dyDescent="0.15">
      <c r="A1281" s="35">
        <v>33029</v>
      </c>
      <c r="B1281" s="18" t="s">
        <v>1908</v>
      </c>
      <c r="C1281" s="9">
        <f t="shared" si="180"/>
        <v>1</v>
      </c>
      <c r="D1281" s="9">
        <v>1</v>
      </c>
      <c r="E1281" s="9"/>
      <c r="F1281" s="12">
        <v>0</v>
      </c>
      <c r="G1281" s="10">
        <v>1</v>
      </c>
      <c r="H1281" s="10">
        <v>0</v>
      </c>
      <c r="I1281" s="10">
        <v>0</v>
      </c>
      <c r="J1281" s="10">
        <v>0</v>
      </c>
      <c r="K1281" s="10">
        <v>0</v>
      </c>
      <c r="L1281" s="9">
        <v>1</v>
      </c>
      <c r="M1281" s="9">
        <f t="shared" si="181"/>
        <v>33</v>
      </c>
      <c r="N1281" s="10">
        <v>1</v>
      </c>
      <c r="O1281" s="10">
        <v>0</v>
      </c>
      <c r="P1281" s="10">
        <v>0</v>
      </c>
      <c r="Q1281" s="10">
        <v>0</v>
      </c>
      <c r="R1281" s="10">
        <v>0</v>
      </c>
      <c r="S1281" s="10">
        <v>1</v>
      </c>
      <c r="T1281" s="9">
        <v>1</v>
      </c>
      <c r="U1281" s="9">
        <v>1</v>
      </c>
      <c r="V1281" s="9">
        <v>1</v>
      </c>
      <c r="W1281" s="9">
        <v>1</v>
      </c>
      <c r="X1281" s="9">
        <v>0</v>
      </c>
      <c r="Y1281" s="9">
        <v>0</v>
      </c>
      <c r="Z1281" s="9" t="str">
        <f t="shared" si="179"/>
        <v>每2秒流血507点，持续10秒</v>
      </c>
      <c r="AA1281" s="18">
        <v>2539</v>
      </c>
    </row>
    <row r="1282" spans="1:28" s="18" customFormat="1" ht="15" customHeight="1" x14ac:dyDescent="0.15">
      <c r="A1282" s="35">
        <v>33030</v>
      </c>
      <c r="B1282" s="18" t="s">
        <v>1909</v>
      </c>
      <c r="C1282" s="9">
        <f t="shared" si="180"/>
        <v>1</v>
      </c>
      <c r="D1282" s="9">
        <v>1</v>
      </c>
      <c r="E1282" s="9"/>
      <c r="F1282" s="12">
        <v>0</v>
      </c>
      <c r="G1282" s="10">
        <v>1</v>
      </c>
      <c r="H1282" s="10">
        <v>0</v>
      </c>
      <c r="I1282" s="10">
        <v>0</v>
      </c>
      <c r="J1282" s="10">
        <v>0</v>
      </c>
      <c r="K1282" s="10">
        <v>0</v>
      </c>
      <c r="L1282" s="9">
        <v>1</v>
      </c>
      <c r="M1282" s="9">
        <f t="shared" si="181"/>
        <v>33</v>
      </c>
      <c r="N1282" s="10">
        <v>1</v>
      </c>
      <c r="O1282" s="10">
        <v>0</v>
      </c>
      <c r="P1282" s="10">
        <v>0</v>
      </c>
      <c r="Q1282" s="10">
        <v>0</v>
      </c>
      <c r="R1282" s="10">
        <v>0</v>
      </c>
      <c r="S1282" s="10">
        <v>1</v>
      </c>
      <c r="T1282" s="9">
        <v>1</v>
      </c>
      <c r="U1282" s="9">
        <v>1</v>
      </c>
      <c r="V1282" s="9">
        <v>1</v>
      </c>
      <c r="W1282" s="9">
        <v>1</v>
      </c>
      <c r="X1282" s="9">
        <v>0</v>
      </c>
      <c r="Y1282" s="9">
        <v>0</v>
      </c>
      <c r="Z1282" s="9" t="str">
        <f t="shared" si="179"/>
        <v>每2秒流血525点，持续10秒</v>
      </c>
      <c r="AA1282" s="18">
        <v>2625</v>
      </c>
    </row>
    <row r="1283" spans="1:28" s="76" customFormat="1" ht="15" customHeight="1" x14ac:dyDescent="0.15">
      <c r="A1283" s="76">
        <v>34001</v>
      </c>
      <c r="B1283" s="76" t="s">
        <v>1855</v>
      </c>
      <c r="C1283" s="76">
        <f t="shared" ref="C1283:C1287" si="182">G1283+H1283*2+I1283*4+J1283*8+K1283*16</f>
        <v>1</v>
      </c>
      <c r="D1283" s="76">
        <v>1</v>
      </c>
      <c r="F1283" s="76">
        <v>0</v>
      </c>
      <c r="G1283" s="77">
        <v>1</v>
      </c>
      <c r="H1283" s="77">
        <v>0</v>
      </c>
      <c r="I1283" s="77">
        <v>0</v>
      </c>
      <c r="J1283" s="77">
        <v>0</v>
      </c>
      <c r="K1283" s="77">
        <v>0</v>
      </c>
      <c r="L1283" s="76">
        <v>1</v>
      </c>
      <c r="M1283" s="76">
        <f t="shared" ref="M1283:M1287" si="183">N1283+O1283*2+P1283*4+Q1283*8+R1283*16+S1283*32</f>
        <v>33</v>
      </c>
      <c r="N1283" s="77">
        <v>1</v>
      </c>
      <c r="O1283" s="77">
        <v>0</v>
      </c>
      <c r="P1283" s="77">
        <v>0</v>
      </c>
      <c r="Q1283" s="77">
        <v>0</v>
      </c>
      <c r="R1283" s="77">
        <v>0</v>
      </c>
      <c r="S1283" s="77">
        <v>1</v>
      </c>
      <c r="T1283" s="76">
        <v>1</v>
      </c>
      <c r="U1283" s="76">
        <v>1</v>
      </c>
      <c r="V1283" s="76">
        <v>1</v>
      </c>
      <c r="W1283" s="76">
        <v>1</v>
      </c>
      <c r="X1283" s="76">
        <v>0</v>
      </c>
      <c r="Y1283" s="76">
        <v>0</v>
      </c>
      <c r="Z1283" s="76" t="s">
        <v>1728</v>
      </c>
      <c r="AA1283" s="15">
        <f>VLOOKUP(AB1283,[1]道士技能!$A$4:$I$153,7,FALSE)</f>
        <v>748</v>
      </c>
      <c r="AB1283" s="78">
        <v>50</v>
      </c>
    </row>
    <row r="1284" spans="1:28" s="76" customFormat="1" ht="15" customHeight="1" x14ac:dyDescent="0.15">
      <c r="A1284" s="76">
        <v>34002</v>
      </c>
      <c r="B1284" s="76" t="s">
        <v>1856</v>
      </c>
      <c r="C1284" s="76">
        <f t="shared" si="182"/>
        <v>1</v>
      </c>
      <c r="D1284" s="76">
        <v>1</v>
      </c>
      <c r="F1284" s="76">
        <v>0</v>
      </c>
      <c r="G1284" s="77">
        <v>1</v>
      </c>
      <c r="H1284" s="77">
        <v>0</v>
      </c>
      <c r="I1284" s="77">
        <v>0</v>
      </c>
      <c r="J1284" s="77">
        <v>0</v>
      </c>
      <c r="K1284" s="77">
        <v>0</v>
      </c>
      <c r="L1284" s="76">
        <v>1</v>
      </c>
      <c r="M1284" s="76">
        <f t="shared" si="183"/>
        <v>33</v>
      </c>
      <c r="N1284" s="77">
        <v>1</v>
      </c>
      <c r="O1284" s="77">
        <v>0</v>
      </c>
      <c r="P1284" s="77">
        <v>0</v>
      </c>
      <c r="Q1284" s="77">
        <v>0</v>
      </c>
      <c r="R1284" s="77">
        <v>0</v>
      </c>
      <c r="S1284" s="77">
        <v>1</v>
      </c>
      <c r="T1284" s="76">
        <v>1</v>
      </c>
      <c r="U1284" s="76">
        <v>1</v>
      </c>
      <c r="V1284" s="76">
        <v>1</v>
      </c>
      <c r="W1284" s="76">
        <v>1</v>
      </c>
      <c r="X1284" s="76">
        <v>0</v>
      </c>
      <c r="Y1284" s="76">
        <v>0</v>
      </c>
      <c r="Z1284" s="76" t="str">
        <f t="shared" si="179"/>
        <v>每2秒流血293点，持续10秒</v>
      </c>
      <c r="AA1284" s="15">
        <f>VLOOKUP(AB1284,[1]道士技能!$A$4:$I$153,7,FALSE)</f>
        <v>1466</v>
      </c>
      <c r="AB1284" s="78">
        <v>70</v>
      </c>
    </row>
    <row r="1285" spans="1:28" s="76" customFormat="1" ht="15" customHeight="1" x14ac:dyDescent="0.15">
      <c r="A1285" s="76">
        <v>34003</v>
      </c>
      <c r="B1285" s="76" t="s">
        <v>1857</v>
      </c>
      <c r="C1285" s="76">
        <f t="shared" si="182"/>
        <v>1</v>
      </c>
      <c r="D1285" s="76">
        <v>1</v>
      </c>
      <c r="F1285" s="76">
        <v>0</v>
      </c>
      <c r="G1285" s="77">
        <v>1</v>
      </c>
      <c r="H1285" s="77">
        <v>0</v>
      </c>
      <c r="I1285" s="77">
        <v>0</v>
      </c>
      <c r="J1285" s="77">
        <v>0</v>
      </c>
      <c r="K1285" s="77">
        <v>0</v>
      </c>
      <c r="L1285" s="76">
        <v>1</v>
      </c>
      <c r="M1285" s="76">
        <f t="shared" si="183"/>
        <v>33</v>
      </c>
      <c r="N1285" s="77">
        <v>1</v>
      </c>
      <c r="O1285" s="77">
        <v>0</v>
      </c>
      <c r="P1285" s="77">
        <v>0</v>
      </c>
      <c r="Q1285" s="77">
        <v>0</v>
      </c>
      <c r="R1285" s="77">
        <v>0</v>
      </c>
      <c r="S1285" s="77">
        <v>1</v>
      </c>
      <c r="T1285" s="76">
        <v>1</v>
      </c>
      <c r="U1285" s="76">
        <v>1</v>
      </c>
      <c r="V1285" s="76">
        <v>1</v>
      </c>
      <c r="W1285" s="76">
        <v>1</v>
      </c>
      <c r="X1285" s="76">
        <v>0</v>
      </c>
      <c r="Y1285" s="76">
        <v>0</v>
      </c>
      <c r="Z1285" s="76" t="str">
        <f t="shared" si="179"/>
        <v>每2秒流血574点，持续10秒</v>
      </c>
      <c r="AA1285" s="15">
        <f>VLOOKUP(AB1285,[1]道士技能!$A$4:$I$153,7,FALSE)</f>
        <v>2872</v>
      </c>
      <c r="AB1285" s="78">
        <v>90</v>
      </c>
    </row>
    <row r="1286" spans="1:28" s="76" customFormat="1" ht="15" customHeight="1" x14ac:dyDescent="0.15">
      <c r="A1286" s="76">
        <v>34004</v>
      </c>
      <c r="B1286" s="76" t="s">
        <v>1858</v>
      </c>
      <c r="C1286" s="76">
        <f t="shared" si="182"/>
        <v>1</v>
      </c>
      <c r="D1286" s="76">
        <v>1</v>
      </c>
      <c r="F1286" s="76">
        <v>0</v>
      </c>
      <c r="G1286" s="77">
        <v>1</v>
      </c>
      <c r="H1286" s="77">
        <v>0</v>
      </c>
      <c r="I1286" s="77">
        <v>0</v>
      </c>
      <c r="J1286" s="77">
        <v>0</v>
      </c>
      <c r="K1286" s="77">
        <v>0</v>
      </c>
      <c r="L1286" s="76">
        <v>1</v>
      </c>
      <c r="M1286" s="76">
        <f t="shared" si="183"/>
        <v>33</v>
      </c>
      <c r="N1286" s="77">
        <v>1</v>
      </c>
      <c r="O1286" s="77">
        <v>0</v>
      </c>
      <c r="P1286" s="77">
        <v>0</v>
      </c>
      <c r="Q1286" s="77">
        <v>0</v>
      </c>
      <c r="R1286" s="77">
        <v>0</v>
      </c>
      <c r="S1286" s="77">
        <v>1</v>
      </c>
      <c r="T1286" s="76">
        <v>1</v>
      </c>
      <c r="U1286" s="76">
        <v>1</v>
      </c>
      <c r="V1286" s="76">
        <v>1</v>
      </c>
      <c r="W1286" s="76">
        <v>1</v>
      </c>
      <c r="X1286" s="76">
        <v>0</v>
      </c>
      <c r="Y1286" s="76">
        <v>0</v>
      </c>
      <c r="Z1286" s="76" t="str">
        <f t="shared" si="179"/>
        <v>每2秒流血1125点，持续10秒</v>
      </c>
      <c r="AA1286" s="15">
        <f>VLOOKUP(AB1286,[1]道士技能!$A$4:$I$153,7,FALSE)</f>
        <v>5627</v>
      </c>
      <c r="AB1286" s="78">
        <v>110</v>
      </c>
    </row>
    <row r="1287" spans="1:28" s="76" customFormat="1" ht="15" customHeight="1" x14ac:dyDescent="0.15">
      <c r="A1287" s="76">
        <v>34005</v>
      </c>
      <c r="B1287" s="76" t="s">
        <v>1859</v>
      </c>
      <c r="C1287" s="76">
        <f t="shared" si="182"/>
        <v>1</v>
      </c>
      <c r="D1287" s="76">
        <v>1</v>
      </c>
      <c r="F1287" s="76">
        <v>0</v>
      </c>
      <c r="G1287" s="77">
        <v>1</v>
      </c>
      <c r="H1287" s="77">
        <v>0</v>
      </c>
      <c r="I1287" s="77">
        <v>0</v>
      </c>
      <c r="J1287" s="77">
        <v>0</v>
      </c>
      <c r="K1287" s="77">
        <v>0</v>
      </c>
      <c r="L1287" s="76">
        <v>1</v>
      </c>
      <c r="M1287" s="76">
        <f t="shared" si="183"/>
        <v>33</v>
      </c>
      <c r="N1287" s="77">
        <v>1</v>
      </c>
      <c r="O1287" s="77">
        <v>0</v>
      </c>
      <c r="P1287" s="77">
        <v>0</v>
      </c>
      <c r="Q1287" s="77">
        <v>0</v>
      </c>
      <c r="R1287" s="77">
        <v>0</v>
      </c>
      <c r="S1287" s="77">
        <v>1</v>
      </c>
      <c r="T1287" s="76">
        <v>1</v>
      </c>
      <c r="U1287" s="76">
        <v>1</v>
      </c>
      <c r="V1287" s="76">
        <v>1</v>
      </c>
      <c r="W1287" s="76">
        <v>1</v>
      </c>
      <c r="X1287" s="76">
        <v>0</v>
      </c>
      <c r="Y1287" s="76">
        <v>0</v>
      </c>
      <c r="Z1287" s="76" t="str">
        <f t="shared" si="179"/>
        <v>每2秒流血2205点，持续10秒</v>
      </c>
      <c r="AA1287" s="15">
        <f>VLOOKUP(AB1287,[1]道士技能!$A$4:$I$153,7,FALSE)</f>
        <v>11025</v>
      </c>
      <c r="AB1287" s="78">
        <v>130</v>
      </c>
    </row>
    <row r="1288" spans="1:28" s="76" customFormat="1" ht="15" customHeight="1" x14ac:dyDescent="0.15">
      <c r="A1288" s="76">
        <v>35001</v>
      </c>
      <c r="B1288" s="76" t="s">
        <v>1860</v>
      </c>
      <c r="C1288" s="76">
        <f t="shared" ref="C1288" si="184">G1288+H1288*2+I1288*4+J1288*8+K1288*16</f>
        <v>1</v>
      </c>
      <c r="D1288" s="76">
        <v>1</v>
      </c>
      <c r="F1288" s="76">
        <v>0</v>
      </c>
      <c r="G1288" s="77">
        <v>1</v>
      </c>
      <c r="H1288" s="77">
        <v>0</v>
      </c>
      <c r="I1288" s="77">
        <v>0</v>
      </c>
      <c r="J1288" s="77">
        <v>0</v>
      </c>
      <c r="K1288" s="77">
        <v>0</v>
      </c>
      <c r="L1288" s="76">
        <v>1</v>
      </c>
      <c r="M1288" s="76">
        <f t="shared" ref="M1288" si="185">N1288+O1288*2+P1288*4+Q1288*8+R1288*16+S1288*32</f>
        <v>33</v>
      </c>
      <c r="N1288" s="77">
        <v>1</v>
      </c>
      <c r="O1288" s="77">
        <v>0</v>
      </c>
      <c r="P1288" s="77">
        <v>0</v>
      </c>
      <c r="Q1288" s="77">
        <v>0</v>
      </c>
      <c r="R1288" s="77">
        <v>0</v>
      </c>
      <c r="S1288" s="77">
        <v>1</v>
      </c>
      <c r="T1288" s="76">
        <v>1</v>
      </c>
      <c r="U1288" s="76">
        <v>1</v>
      </c>
      <c r="V1288" s="76">
        <v>1</v>
      </c>
      <c r="W1288" s="76">
        <v>1</v>
      </c>
      <c r="X1288" s="76">
        <v>0</v>
      </c>
      <c r="Y1288" s="76">
        <v>0</v>
      </c>
      <c r="Z1288" s="76" t="s">
        <v>1729</v>
      </c>
      <c r="AA1288" s="15"/>
      <c r="AB1288" s="78"/>
    </row>
    <row r="1289" spans="1:28" s="15" customFormat="1" ht="15" customHeight="1" x14ac:dyDescent="0.15">
      <c r="A1289" s="15">
        <v>41111</v>
      </c>
      <c r="B1289" s="15" t="s">
        <v>181</v>
      </c>
      <c r="C1289" s="15">
        <f t="shared" si="170"/>
        <v>16</v>
      </c>
      <c r="D1289" s="15">
        <v>1</v>
      </c>
      <c r="F1289" s="12">
        <v>0</v>
      </c>
      <c r="G1289" s="16">
        <v>0</v>
      </c>
      <c r="H1289" s="16">
        <v>0</v>
      </c>
      <c r="I1289" s="16">
        <v>0</v>
      </c>
      <c r="J1289" s="16">
        <v>0</v>
      </c>
      <c r="K1289" s="16">
        <v>1</v>
      </c>
      <c r="L1289" s="15">
        <v>0</v>
      </c>
      <c r="M1289" s="15">
        <f t="shared" si="173"/>
        <v>0</v>
      </c>
      <c r="N1289" s="16">
        <v>0</v>
      </c>
      <c r="O1289" s="16">
        <v>0</v>
      </c>
      <c r="P1289" s="16">
        <v>0</v>
      </c>
      <c r="Q1289" s="16">
        <v>0</v>
      </c>
      <c r="R1289" s="16">
        <v>0</v>
      </c>
      <c r="S1289" s="16">
        <v>0</v>
      </c>
      <c r="T1289" s="15">
        <v>1</v>
      </c>
      <c r="U1289" s="15">
        <v>0</v>
      </c>
      <c r="V1289" s="15">
        <v>0</v>
      </c>
      <c r="W1289" s="15">
        <v>0</v>
      </c>
      <c r="X1289" s="15">
        <v>1</v>
      </c>
      <c r="Y1289" s="15">
        <v>0</v>
      </c>
      <c r="Z1289" s="15" t="s">
        <v>186</v>
      </c>
    </row>
    <row r="1290" spans="1:28" s="15" customFormat="1" ht="15" customHeight="1" x14ac:dyDescent="0.15">
      <c r="A1290" s="15">
        <v>41112</v>
      </c>
      <c r="B1290" s="15" t="s">
        <v>182</v>
      </c>
      <c r="C1290" s="15">
        <f t="shared" si="170"/>
        <v>16</v>
      </c>
      <c r="D1290" s="15">
        <v>1</v>
      </c>
      <c r="F1290" s="12">
        <v>0</v>
      </c>
      <c r="G1290" s="16">
        <v>0</v>
      </c>
      <c r="H1290" s="16">
        <v>0</v>
      </c>
      <c r="I1290" s="16">
        <v>0</v>
      </c>
      <c r="J1290" s="16">
        <v>0</v>
      </c>
      <c r="K1290" s="16">
        <v>1</v>
      </c>
      <c r="L1290" s="15">
        <v>0</v>
      </c>
      <c r="M1290" s="15">
        <f t="shared" si="173"/>
        <v>0</v>
      </c>
      <c r="N1290" s="16">
        <v>0</v>
      </c>
      <c r="O1290" s="16">
        <v>0</v>
      </c>
      <c r="P1290" s="16">
        <v>0</v>
      </c>
      <c r="Q1290" s="16">
        <v>0</v>
      </c>
      <c r="R1290" s="16">
        <v>0</v>
      </c>
      <c r="S1290" s="16">
        <v>0</v>
      </c>
      <c r="T1290" s="15">
        <v>1</v>
      </c>
      <c r="U1290" s="15">
        <v>0</v>
      </c>
      <c r="V1290" s="15">
        <v>0</v>
      </c>
      <c r="W1290" s="15">
        <v>0</v>
      </c>
      <c r="X1290" s="15">
        <v>1</v>
      </c>
      <c r="Y1290" s="15">
        <v>0</v>
      </c>
      <c r="Z1290" s="15" t="s">
        <v>187</v>
      </c>
    </row>
    <row r="1291" spans="1:28" s="15" customFormat="1" ht="15" customHeight="1" x14ac:dyDescent="0.15">
      <c r="A1291" s="15">
        <v>41113</v>
      </c>
      <c r="B1291" s="15" t="s">
        <v>183</v>
      </c>
      <c r="C1291" s="15">
        <f t="shared" si="170"/>
        <v>16</v>
      </c>
      <c r="D1291" s="15">
        <v>1</v>
      </c>
      <c r="F1291" s="12">
        <v>0</v>
      </c>
      <c r="G1291" s="16">
        <v>0</v>
      </c>
      <c r="H1291" s="16">
        <v>0</v>
      </c>
      <c r="I1291" s="16">
        <v>0</v>
      </c>
      <c r="J1291" s="16">
        <v>0</v>
      </c>
      <c r="K1291" s="16">
        <v>1</v>
      </c>
      <c r="L1291" s="15">
        <v>0</v>
      </c>
      <c r="M1291" s="15">
        <f t="shared" si="173"/>
        <v>0</v>
      </c>
      <c r="N1291" s="16">
        <v>0</v>
      </c>
      <c r="O1291" s="16">
        <v>0</v>
      </c>
      <c r="P1291" s="16">
        <v>0</v>
      </c>
      <c r="Q1291" s="16">
        <v>0</v>
      </c>
      <c r="R1291" s="16">
        <v>0</v>
      </c>
      <c r="S1291" s="16">
        <v>0</v>
      </c>
      <c r="T1291" s="15">
        <v>1</v>
      </c>
      <c r="U1291" s="15">
        <v>0</v>
      </c>
      <c r="V1291" s="15">
        <v>0</v>
      </c>
      <c r="W1291" s="15">
        <v>0</v>
      </c>
      <c r="X1291" s="15">
        <v>1</v>
      </c>
      <c r="Y1291" s="15">
        <v>0</v>
      </c>
      <c r="Z1291" s="15" t="s">
        <v>188</v>
      </c>
    </row>
    <row r="1292" spans="1:28" s="15" customFormat="1" ht="15" customHeight="1" x14ac:dyDescent="0.15">
      <c r="A1292" s="15">
        <v>41114</v>
      </c>
      <c r="B1292" s="15" t="s">
        <v>184</v>
      </c>
      <c r="C1292" s="15">
        <f t="shared" si="170"/>
        <v>16</v>
      </c>
      <c r="D1292" s="15">
        <v>1</v>
      </c>
      <c r="F1292" s="12">
        <v>0</v>
      </c>
      <c r="G1292" s="16">
        <v>0</v>
      </c>
      <c r="H1292" s="16">
        <v>0</v>
      </c>
      <c r="I1292" s="16">
        <v>0</v>
      </c>
      <c r="J1292" s="16">
        <v>0</v>
      </c>
      <c r="K1292" s="16">
        <v>1</v>
      </c>
      <c r="L1292" s="15">
        <v>0</v>
      </c>
      <c r="M1292" s="15">
        <f t="shared" si="173"/>
        <v>0</v>
      </c>
      <c r="N1292" s="16">
        <v>0</v>
      </c>
      <c r="O1292" s="16">
        <v>0</v>
      </c>
      <c r="P1292" s="16">
        <v>0</v>
      </c>
      <c r="Q1292" s="16">
        <v>0</v>
      </c>
      <c r="R1292" s="16">
        <v>0</v>
      </c>
      <c r="S1292" s="16">
        <v>0</v>
      </c>
      <c r="T1292" s="15">
        <v>1</v>
      </c>
      <c r="U1292" s="15">
        <v>0</v>
      </c>
      <c r="V1292" s="15">
        <v>0</v>
      </c>
      <c r="W1292" s="15">
        <v>0</v>
      </c>
      <c r="X1292" s="15">
        <v>1</v>
      </c>
      <c r="Y1292" s="15">
        <v>0</v>
      </c>
      <c r="Z1292" s="15" t="s">
        <v>189</v>
      </c>
    </row>
    <row r="1293" spans="1:28" s="15" customFormat="1" ht="15" customHeight="1" x14ac:dyDescent="0.15">
      <c r="A1293" s="15">
        <v>41115</v>
      </c>
      <c r="B1293" s="15" t="s">
        <v>185</v>
      </c>
      <c r="C1293" s="15">
        <f t="shared" si="170"/>
        <v>16</v>
      </c>
      <c r="D1293" s="15">
        <v>1</v>
      </c>
      <c r="F1293" s="12">
        <v>0</v>
      </c>
      <c r="G1293" s="16">
        <v>0</v>
      </c>
      <c r="H1293" s="16">
        <v>0</v>
      </c>
      <c r="I1293" s="16">
        <v>0</v>
      </c>
      <c r="J1293" s="16">
        <v>0</v>
      </c>
      <c r="K1293" s="16">
        <v>1</v>
      </c>
      <c r="L1293" s="15">
        <v>0</v>
      </c>
      <c r="M1293" s="15">
        <f t="shared" si="173"/>
        <v>0</v>
      </c>
      <c r="N1293" s="16">
        <v>0</v>
      </c>
      <c r="O1293" s="16">
        <v>0</v>
      </c>
      <c r="P1293" s="16">
        <v>0</v>
      </c>
      <c r="Q1293" s="16">
        <v>0</v>
      </c>
      <c r="R1293" s="16">
        <v>0</v>
      </c>
      <c r="S1293" s="16">
        <v>0</v>
      </c>
      <c r="T1293" s="15">
        <v>1</v>
      </c>
      <c r="U1293" s="15">
        <v>0</v>
      </c>
      <c r="V1293" s="15">
        <v>0</v>
      </c>
      <c r="W1293" s="15">
        <v>0</v>
      </c>
      <c r="X1293" s="15">
        <v>1</v>
      </c>
      <c r="Y1293" s="15">
        <v>0</v>
      </c>
      <c r="Z1293" s="15" t="s">
        <v>190</v>
      </c>
    </row>
    <row r="1294" spans="1:28" s="12" customFormat="1" ht="15" customHeight="1" x14ac:dyDescent="0.15">
      <c r="A1294" s="12">
        <v>42001</v>
      </c>
      <c r="B1294" s="12" t="s">
        <v>1674</v>
      </c>
      <c r="C1294" s="12">
        <v>5</v>
      </c>
      <c r="D1294" s="13">
        <v>1</v>
      </c>
      <c r="E1294" s="13"/>
      <c r="F1294" s="12">
        <v>0</v>
      </c>
      <c r="G1294" s="13">
        <v>0</v>
      </c>
      <c r="H1294" s="13">
        <v>0</v>
      </c>
      <c r="I1294" s="13">
        <v>0</v>
      </c>
      <c r="J1294" s="13">
        <v>0</v>
      </c>
      <c r="K1294" s="13">
        <v>0</v>
      </c>
      <c r="L1294" s="12">
        <v>0</v>
      </c>
      <c r="M1294" s="18">
        <f t="shared" si="173"/>
        <v>0</v>
      </c>
      <c r="N1294" s="13">
        <v>0</v>
      </c>
      <c r="O1294" s="13">
        <v>0</v>
      </c>
      <c r="P1294" s="13">
        <v>0</v>
      </c>
      <c r="Q1294" s="13">
        <v>0</v>
      </c>
      <c r="R1294" s="13">
        <v>0</v>
      </c>
      <c r="S1294" s="13">
        <v>0</v>
      </c>
      <c r="T1294" s="12">
        <v>0</v>
      </c>
      <c r="U1294" s="12">
        <v>0</v>
      </c>
      <c r="V1294" s="12">
        <v>0</v>
      </c>
      <c r="W1294" s="12">
        <v>0</v>
      </c>
      <c r="X1294" s="12">
        <v>0</v>
      </c>
      <c r="Y1294" s="12">
        <v>0</v>
      </c>
      <c r="Z1294" s="12" t="s">
        <v>1675</v>
      </c>
    </row>
    <row r="1295" spans="1:28" s="18" customFormat="1" ht="15" customHeight="1" x14ac:dyDescent="0.15">
      <c r="A1295" s="18">
        <v>42002</v>
      </c>
      <c r="B1295" s="18" t="s">
        <v>1720</v>
      </c>
      <c r="C1295" s="18">
        <f>G1295+H1295*2+I1295*4+J1295*8+K1295*16</f>
        <v>5</v>
      </c>
      <c r="D1295" s="18">
        <v>1</v>
      </c>
      <c r="F1295" s="12">
        <v>0</v>
      </c>
      <c r="G1295" s="19">
        <v>1</v>
      </c>
      <c r="H1295" s="19">
        <v>0</v>
      </c>
      <c r="I1295" s="19">
        <v>1</v>
      </c>
      <c r="J1295" s="19">
        <v>0</v>
      </c>
      <c r="K1295" s="19">
        <v>0</v>
      </c>
      <c r="L1295" s="18">
        <v>1</v>
      </c>
      <c r="M1295" s="18">
        <f>N1295+O1295*2+P1295*4+Q1295*8+R1295*16+S1295*32</f>
        <v>0</v>
      </c>
      <c r="N1295" s="19">
        <v>0</v>
      </c>
      <c r="O1295" s="19">
        <v>0</v>
      </c>
      <c r="P1295" s="19">
        <v>0</v>
      </c>
      <c r="Q1295" s="19">
        <v>0</v>
      </c>
      <c r="R1295" s="19">
        <v>0</v>
      </c>
      <c r="S1295" s="19">
        <v>0</v>
      </c>
      <c r="T1295" s="18">
        <v>1</v>
      </c>
      <c r="U1295" s="18">
        <v>1</v>
      </c>
      <c r="V1295" s="18">
        <v>1</v>
      </c>
      <c r="W1295" s="18">
        <v>0</v>
      </c>
      <c r="X1295" s="18">
        <v>1</v>
      </c>
      <c r="Y1295" s="18">
        <v>0</v>
      </c>
      <c r="Z1295" s="18" t="s">
        <v>1721</v>
      </c>
    </row>
    <row r="1296" spans="1:28" s="12" customFormat="1" ht="15" customHeight="1" x14ac:dyDescent="0.15">
      <c r="A1296" s="2">
        <v>60005</v>
      </c>
      <c r="B1296" s="2" t="s">
        <v>1689</v>
      </c>
      <c r="C1296" s="18">
        <f t="shared" ref="C1296:C1297" si="186">G1296+H1296*2+I1296*4+J1296*8+K1296*16</f>
        <v>0</v>
      </c>
      <c r="D1296" s="13">
        <v>1</v>
      </c>
      <c r="E1296" s="13"/>
      <c r="F1296" s="12">
        <v>0</v>
      </c>
      <c r="G1296" s="13">
        <v>0</v>
      </c>
      <c r="H1296" s="13">
        <v>0</v>
      </c>
      <c r="I1296" s="13">
        <v>0</v>
      </c>
      <c r="J1296" s="13">
        <v>0</v>
      </c>
      <c r="K1296" s="13">
        <v>0</v>
      </c>
      <c r="L1296" s="12">
        <v>0</v>
      </c>
      <c r="M1296" s="18">
        <f t="shared" ref="M1296" si="187">N1296+O1296*2+P1296*4+Q1296*8+R1296*16+S1296*32</f>
        <v>0</v>
      </c>
      <c r="N1296" s="13">
        <v>0</v>
      </c>
      <c r="O1296" s="13">
        <v>0</v>
      </c>
      <c r="P1296" s="13">
        <v>0</v>
      </c>
      <c r="Q1296" s="13">
        <v>0</v>
      </c>
      <c r="R1296" s="13">
        <v>0</v>
      </c>
      <c r="S1296" s="13">
        <v>0</v>
      </c>
      <c r="T1296" s="12">
        <v>0</v>
      </c>
      <c r="U1296" s="12">
        <v>0</v>
      </c>
      <c r="V1296" s="12">
        <v>0</v>
      </c>
      <c r="W1296" s="12">
        <v>0</v>
      </c>
      <c r="X1296" s="12">
        <v>0</v>
      </c>
      <c r="Y1296" s="12">
        <v>0</v>
      </c>
    </row>
    <row r="1297" spans="1:25" s="12" customFormat="1" ht="15" customHeight="1" x14ac:dyDescent="0.15">
      <c r="A1297" s="2">
        <v>60006</v>
      </c>
      <c r="B1297" s="2" t="s">
        <v>1690</v>
      </c>
      <c r="C1297" s="18">
        <f t="shared" si="186"/>
        <v>0</v>
      </c>
      <c r="D1297" s="13">
        <v>1</v>
      </c>
      <c r="E1297" s="13"/>
      <c r="F1297" s="12">
        <v>0</v>
      </c>
      <c r="G1297" s="13">
        <v>0</v>
      </c>
      <c r="H1297" s="13">
        <v>0</v>
      </c>
      <c r="I1297" s="13">
        <v>0</v>
      </c>
      <c r="J1297" s="13">
        <v>0</v>
      </c>
      <c r="K1297" s="13">
        <v>0</v>
      </c>
      <c r="L1297" s="12">
        <v>0</v>
      </c>
      <c r="M1297" s="18">
        <f t="shared" ref="M1297" si="188">N1297+O1297*2+P1297*4+Q1297*8+R1297*16+S1297*32</f>
        <v>0</v>
      </c>
      <c r="N1297" s="13">
        <v>0</v>
      </c>
      <c r="O1297" s="13">
        <v>0</v>
      </c>
      <c r="P1297" s="13">
        <v>0</v>
      </c>
      <c r="Q1297" s="13">
        <v>0</v>
      </c>
      <c r="R1297" s="13">
        <v>0</v>
      </c>
      <c r="S1297" s="13">
        <v>0</v>
      </c>
      <c r="T1297" s="12">
        <v>0</v>
      </c>
      <c r="U1297" s="12">
        <v>0</v>
      </c>
      <c r="V1297" s="12">
        <v>0</v>
      </c>
      <c r="W1297" s="12">
        <v>0</v>
      </c>
      <c r="X1297" s="12">
        <v>0</v>
      </c>
      <c r="Y1297" s="12">
        <v>0</v>
      </c>
    </row>
  </sheetData>
  <autoFilter ref="U1:U1293"/>
  <phoneticPr fontId="1" type="noConversion"/>
  <conditionalFormatting sqref="A1298:A66229 A1289:A1293 A1142:A1219 A950:A987 A1:A123 A638:A654 A1047:A1057 A125 A127 A129 A131 A133 A135 A685:A701 A667:A674 A656:A665 A676:A683 A137:A145 A319:A540 A571:A588 A703:A734 A783:A799 A802:A948">
    <cfRule type="duplicateValues" dxfId="516" priority="1074" stopIfTrue="1"/>
  </conditionalFormatting>
  <conditionalFormatting sqref="A1220">
    <cfRule type="duplicateValues" dxfId="515" priority="1073" stopIfTrue="1"/>
  </conditionalFormatting>
  <conditionalFormatting sqref="A1058:A1060">
    <cfRule type="duplicateValues" dxfId="514" priority="1070" stopIfTrue="1"/>
  </conditionalFormatting>
  <conditionalFormatting sqref="A589 A591 A593 A595 A597 A599 A601 A603">
    <cfRule type="duplicateValues" dxfId="513" priority="1069" stopIfTrue="1"/>
  </conditionalFormatting>
  <conditionalFormatting sqref="A590 A592 A594 A596 A598 A600">
    <cfRule type="duplicateValues" dxfId="512" priority="1068" stopIfTrue="1"/>
  </conditionalFormatting>
  <conditionalFormatting sqref="A1059:A1060">
    <cfRule type="duplicateValues" dxfId="511" priority="1065" stopIfTrue="1"/>
  </conditionalFormatting>
  <conditionalFormatting sqref="A988:A989">
    <cfRule type="duplicateValues" dxfId="510" priority="1063" stopIfTrue="1"/>
  </conditionalFormatting>
  <conditionalFormatting sqref="A606 A608 A610 A612 A614 A616 A618:A619 A621 A623 A625 A627">
    <cfRule type="duplicateValues" dxfId="509" priority="1052" stopIfTrue="1"/>
  </conditionalFormatting>
  <conditionalFormatting sqref="A602 A604">
    <cfRule type="duplicateValues" dxfId="508" priority="1094" stopIfTrue="1"/>
  </conditionalFormatting>
  <conditionalFormatting sqref="A605 A607 A609 A611 A613 A615 A617 A620 A622 A624 A626">
    <cfRule type="duplicateValues" dxfId="507" priority="1104" stopIfTrue="1"/>
  </conditionalFormatting>
  <conditionalFormatting sqref="A990:A1002">
    <cfRule type="duplicateValues" dxfId="506" priority="1109" stopIfTrue="1"/>
  </conditionalFormatting>
  <conditionalFormatting sqref="A949">
    <cfRule type="duplicateValues" dxfId="505" priority="1048" stopIfTrue="1"/>
  </conditionalFormatting>
  <conditionalFormatting sqref="A1298:A66229 A1142:A1220 A1:A123 A1005 A125 A127 A129 A1007 A131 A1289:A1293 A133 A135 A685:A701 A667:A674 A656:A665 A676:A683 A137:A145 A319:A540 A1009 A1047:A1060 A1011 A1013 A1015 A1017 A571:A627 A703:A734 A783:A799 A638:A654 A802:A1003">
    <cfRule type="duplicateValues" dxfId="504" priority="1044" stopIfTrue="1"/>
    <cfRule type="duplicateValues" dxfId="503" priority="1047" stopIfTrue="1"/>
  </conditionalFormatting>
  <conditionalFormatting sqref="A124 A126 A128 A130 A134 A136">
    <cfRule type="duplicateValues" dxfId="502" priority="1043" stopIfTrue="1"/>
  </conditionalFormatting>
  <conditionalFormatting sqref="A124 A126 A128 A130 A134 A136">
    <cfRule type="duplicateValues" dxfId="501" priority="1041" stopIfTrue="1"/>
    <cfRule type="duplicateValues" dxfId="500" priority="1042" stopIfTrue="1"/>
  </conditionalFormatting>
  <conditionalFormatting sqref="A1061">
    <cfRule type="duplicateValues" dxfId="499" priority="1031" stopIfTrue="1"/>
  </conditionalFormatting>
  <conditionalFormatting sqref="A1061">
    <cfRule type="duplicateValues" dxfId="498" priority="1030" stopIfTrue="1"/>
  </conditionalFormatting>
  <conditionalFormatting sqref="A1061">
    <cfRule type="duplicateValues" dxfId="497" priority="1028" stopIfTrue="1"/>
    <cfRule type="duplicateValues" dxfId="496" priority="1029" stopIfTrue="1"/>
  </conditionalFormatting>
  <conditionalFormatting sqref="A1062">
    <cfRule type="duplicateValues" dxfId="495" priority="1018" stopIfTrue="1"/>
  </conditionalFormatting>
  <conditionalFormatting sqref="A1062">
    <cfRule type="duplicateValues" dxfId="494" priority="1016" stopIfTrue="1"/>
    <cfRule type="duplicateValues" dxfId="493" priority="1017" stopIfTrue="1"/>
  </conditionalFormatting>
  <conditionalFormatting sqref="A1063">
    <cfRule type="duplicateValues" dxfId="492" priority="1015" stopIfTrue="1"/>
  </conditionalFormatting>
  <conditionalFormatting sqref="A1063">
    <cfRule type="duplicateValues" dxfId="491" priority="1013" stopIfTrue="1"/>
    <cfRule type="duplicateValues" dxfId="490" priority="1014" stopIfTrue="1"/>
  </conditionalFormatting>
  <conditionalFormatting sqref="A1298:A1048576 A1289:A1293 A1:A131 A685:A701 A667:A674 A656:A665 A676:A683 A1142:A1220 A133:A145 A319:A540 A571:A627 A1047:A1063 A703:A734 A783:A799 A638:A654 A802:A1018">
    <cfRule type="duplicateValues" dxfId="489" priority="1012"/>
  </conditionalFormatting>
  <conditionalFormatting sqref="A1221">
    <cfRule type="duplicateValues" dxfId="488" priority="1011" stopIfTrue="1"/>
  </conditionalFormatting>
  <conditionalFormatting sqref="A1221">
    <cfRule type="duplicateValues" dxfId="487" priority="1009" stopIfTrue="1"/>
    <cfRule type="duplicateValues" dxfId="486" priority="1010" stopIfTrue="1"/>
  </conditionalFormatting>
  <conditionalFormatting sqref="A1221">
    <cfRule type="duplicateValues" dxfId="485" priority="1008"/>
  </conditionalFormatting>
  <conditionalFormatting sqref="A132">
    <cfRule type="duplicateValues" dxfId="484" priority="1007" stopIfTrue="1"/>
  </conditionalFormatting>
  <conditionalFormatting sqref="A132">
    <cfRule type="duplicateValues" dxfId="483" priority="1005" stopIfTrue="1"/>
    <cfRule type="duplicateValues" dxfId="482" priority="1006" stopIfTrue="1"/>
  </conditionalFormatting>
  <conditionalFormatting sqref="A132">
    <cfRule type="duplicateValues" dxfId="481" priority="1004"/>
  </conditionalFormatting>
  <conditionalFormatting sqref="A1222">
    <cfRule type="duplicateValues" dxfId="480" priority="982" stopIfTrue="1"/>
  </conditionalFormatting>
  <conditionalFormatting sqref="A1222">
    <cfRule type="duplicateValues" dxfId="479" priority="980" stopIfTrue="1"/>
    <cfRule type="duplicateValues" dxfId="478" priority="981" stopIfTrue="1"/>
  </conditionalFormatting>
  <conditionalFormatting sqref="A1222">
    <cfRule type="duplicateValues" dxfId="477" priority="979"/>
  </conditionalFormatting>
  <conditionalFormatting sqref="A1223">
    <cfRule type="duplicateValues" dxfId="476" priority="978" stopIfTrue="1"/>
  </conditionalFormatting>
  <conditionalFormatting sqref="A1223">
    <cfRule type="duplicateValues" dxfId="475" priority="976" stopIfTrue="1"/>
    <cfRule type="duplicateValues" dxfId="474" priority="977" stopIfTrue="1"/>
  </conditionalFormatting>
  <conditionalFormatting sqref="A1223">
    <cfRule type="duplicateValues" dxfId="473" priority="975"/>
  </conditionalFormatting>
  <conditionalFormatting sqref="A1224">
    <cfRule type="duplicateValues" dxfId="472" priority="966" stopIfTrue="1"/>
  </conditionalFormatting>
  <conditionalFormatting sqref="A1224">
    <cfRule type="duplicateValues" dxfId="471" priority="964" stopIfTrue="1"/>
    <cfRule type="duplicateValues" dxfId="470" priority="965" stopIfTrue="1"/>
  </conditionalFormatting>
  <conditionalFormatting sqref="A1224">
    <cfRule type="duplicateValues" dxfId="469" priority="963"/>
  </conditionalFormatting>
  <conditionalFormatting sqref="A1298:A1048576 A1142:A1224 A685:A701 A667:A674 A656:A665 A676:A683 A1:A145 A319:A540 A571:A627 A1047:A1063 A703:A734 A783:A799 A1289:A1293 A638:A654 A802:A1018">
    <cfRule type="duplicateValues" dxfId="468" priority="962"/>
  </conditionalFormatting>
  <conditionalFormatting sqref="A684">
    <cfRule type="duplicateValues" dxfId="467" priority="961" stopIfTrue="1"/>
  </conditionalFormatting>
  <conditionalFormatting sqref="A684">
    <cfRule type="duplicateValues" dxfId="466" priority="959" stopIfTrue="1"/>
    <cfRule type="duplicateValues" dxfId="465" priority="960" stopIfTrue="1"/>
  </conditionalFormatting>
  <conditionalFormatting sqref="A684">
    <cfRule type="duplicateValues" dxfId="464" priority="958"/>
  </conditionalFormatting>
  <conditionalFormatting sqref="A684">
    <cfRule type="duplicateValues" dxfId="463" priority="957"/>
  </conditionalFormatting>
  <conditionalFormatting sqref="A666">
    <cfRule type="duplicateValues" dxfId="462" priority="936" stopIfTrue="1"/>
  </conditionalFormatting>
  <conditionalFormatting sqref="A666">
    <cfRule type="duplicateValues" dxfId="461" priority="934" stopIfTrue="1"/>
    <cfRule type="duplicateValues" dxfId="460" priority="935" stopIfTrue="1"/>
  </conditionalFormatting>
  <conditionalFormatting sqref="A666">
    <cfRule type="duplicateValues" dxfId="459" priority="933"/>
  </conditionalFormatting>
  <conditionalFormatting sqref="A666">
    <cfRule type="duplicateValues" dxfId="458" priority="932"/>
  </conditionalFormatting>
  <conditionalFormatting sqref="A655">
    <cfRule type="duplicateValues" dxfId="457" priority="931" stopIfTrue="1"/>
  </conditionalFormatting>
  <conditionalFormatting sqref="A655">
    <cfRule type="duplicateValues" dxfId="456" priority="929" stopIfTrue="1"/>
    <cfRule type="duplicateValues" dxfId="455" priority="930" stopIfTrue="1"/>
  </conditionalFormatting>
  <conditionalFormatting sqref="A655">
    <cfRule type="duplicateValues" dxfId="454" priority="928"/>
  </conditionalFormatting>
  <conditionalFormatting sqref="A655">
    <cfRule type="duplicateValues" dxfId="453" priority="927"/>
  </conditionalFormatting>
  <conditionalFormatting sqref="A702">
    <cfRule type="duplicateValues" dxfId="452" priority="876" stopIfTrue="1"/>
  </conditionalFormatting>
  <conditionalFormatting sqref="A702">
    <cfRule type="duplicateValues" dxfId="451" priority="874" stopIfTrue="1"/>
    <cfRule type="duplicateValues" dxfId="450" priority="875" stopIfTrue="1"/>
  </conditionalFormatting>
  <conditionalFormatting sqref="A702">
    <cfRule type="duplicateValues" dxfId="449" priority="873"/>
  </conditionalFormatting>
  <conditionalFormatting sqref="A702">
    <cfRule type="duplicateValues" dxfId="448" priority="872"/>
  </conditionalFormatting>
  <conditionalFormatting sqref="A675">
    <cfRule type="duplicateValues" dxfId="447" priority="871" stopIfTrue="1"/>
  </conditionalFormatting>
  <conditionalFormatting sqref="A675">
    <cfRule type="duplicateValues" dxfId="446" priority="869" stopIfTrue="1"/>
    <cfRule type="duplicateValues" dxfId="445" priority="870" stopIfTrue="1"/>
  </conditionalFormatting>
  <conditionalFormatting sqref="A675">
    <cfRule type="duplicateValues" dxfId="444" priority="868"/>
  </conditionalFormatting>
  <conditionalFormatting sqref="A675">
    <cfRule type="duplicateValues" dxfId="443" priority="867"/>
  </conditionalFormatting>
  <conditionalFormatting sqref="A1064">
    <cfRule type="duplicateValues" dxfId="442" priority="866" stopIfTrue="1"/>
  </conditionalFormatting>
  <conditionalFormatting sqref="A1064">
    <cfRule type="duplicateValues" dxfId="441" priority="864" stopIfTrue="1"/>
    <cfRule type="duplicateValues" dxfId="440" priority="865" stopIfTrue="1"/>
  </conditionalFormatting>
  <conditionalFormatting sqref="A1064">
    <cfRule type="duplicateValues" dxfId="439" priority="863"/>
  </conditionalFormatting>
  <conditionalFormatting sqref="A1064">
    <cfRule type="duplicateValues" dxfId="438" priority="862"/>
  </conditionalFormatting>
  <conditionalFormatting sqref="A1298:A1048576 A1142:A1224 A1:A145 A319:A540 A1047:A1064 A571:A627 A783:A799 A1289:A1293 A638:A734 A802:A1018">
    <cfRule type="duplicateValues" dxfId="437" priority="861"/>
  </conditionalFormatting>
  <conditionalFormatting sqref="A1065">
    <cfRule type="duplicateValues" dxfId="436" priority="860" stopIfTrue="1"/>
  </conditionalFormatting>
  <conditionalFormatting sqref="A1065">
    <cfRule type="duplicateValues" dxfId="435" priority="858" stopIfTrue="1"/>
    <cfRule type="duplicateValues" dxfId="434" priority="859" stopIfTrue="1"/>
  </conditionalFormatting>
  <conditionalFormatting sqref="A1065">
    <cfRule type="duplicateValues" dxfId="433" priority="857"/>
  </conditionalFormatting>
  <conditionalFormatting sqref="A1065">
    <cfRule type="duplicateValues" dxfId="432" priority="856"/>
  </conditionalFormatting>
  <conditionalFormatting sqref="A1065">
    <cfRule type="duplicateValues" dxfId="431" priority="855"/>
  </conditionalFormatting>
  <conditionalFormatting sqref="A1066">
    <cfRule type="duplicateValues" dxfId="430" priority="854" stopIfTrue="1"/>
  </conditionalFormatting>
  <conditionalFormatting sqref="A1066">
    <cfRule type="duplicateValues" dxfId="429" priority="852" stopIfTrue="1"/>
    <cfRule type="duplicateValues" dxfId="428" priority="853" stopIfTrue="1"/>
  </conditionalFormatting>
  <conditionalFormatting sqref="A1066">
    <cfRule type="duplicateValues" dxfId="427" priority="851"/>
  </conditionalFormatting>
  <conditionalFormatting sqref="A1066">
    <cfRule type="duplicateValues" dxfId="426" priority="850"/>
  </conditionalFormatting>
  <conditionalFormatting sqref="A1066">
    <cfRule type="duplicateValues" dxfId="425" priority="849"/>
  </conditionalFormatting>
  <conditionalFormatting sqref="A1067">
    <cfRule type="duplicateValues" dxfId="424" priority="848" stopIfTrue="1"/>
  </conditionalFormatting>
  <conditionalFormatting sqref="A1067">
    <cfRule type="duplicateValues" dxfId="423" priority="846" stopIfTrue="1"/>
    <cfRule type="duplicateValues" dxfId="422" priority="847" stopIfTrue="1"/>
  </conditionalFormatting>
  <conditionalFormatting sqref="A1067">
    <cfRule type="duplicateValues" dxfId="421" priority="845"/>
  </conditionalFormatting>
  <conditionalFormatting sqref="A1067">
    <cfRule type="duplicateValues" dxfId="420" priority="844"/>
  </conditionalFormatting>
  <conditionalFormatting sqref="A1067">
    <cfRule type="duplicateValues" dxfId="419" priority="843"/>
  </conditionalFormatting>
  <conditionalFormatting sqref="A1068">
    <cfRule type="duplicateValues" dxfId="418" priority="842" stopIfTrue="1"/>
  </conditionalFormatting>
  <conditionalFormatting sqref="A1068">
    <cfRule type="duplicateValues" dxfId="417" priority="840" stopIfTrue="1"/>
    <cfRule type="duplicateValues" dxfId="416" priority="841" stopIfTrue="1"/>
  </conditionalFormatting>
  <conditionalFormatting sqref="A1068">
    <cfRule type="duplicateValues" dxfId="415" priority="839"/>
  </conditionalFormatting>
  <conditionalFormatting sqref="A1068">
    <cfRule type="duplicateValues" dxfId="414" priority="838"/>
  </conditionalFormatting>
  <conditionalFormatting sqref="A1068">
    <cfRule type="duplicateValues" dxfId="413" priority="837"/>
  </conditionalFormatting>
  <conditionalFormatting sqref="A1069 A1071 A1073">
    <cfRule type="duplicateValues" dxfId="412" priority="827" stopIfTrue="1"/>
  </conditionalFormatting>
  <conditionalFormatting sqref="A1069 A1071 A1073">
    <cfRule type="duplicateValues" dxfId="411" priority="825" stopIfTrue="1"/>
    <cfRule type="duplicateValues" dxfId="410" priority="826" stopIfTrue="1"/>
  </conditionalFormatting>
  <conditionalFormatting sqref="A1069">
    <cfRule type="duplicateValues" dxfId="409" priority="824"/>
  </conditionalFormatting>
  <conditionalFormatting sqref="A1069">
    <cfRule type="duplicateValues" dxfId="408" priority="823"/>
  </conditionalFormatting>
  <conditionalFormatting sqref="A1069">
    <cfRule type="duplicateValues" dxfId="407" priority="822"/>
  </conditionalFormatting>
  <conditionalFormatting sqref="A146">
    <cfRule type="duplicateValues" dxfId="406" priority="821" stopIfTrue="1"/>
  </conditionalFormatting>
  <conditionalFormatting sqref="A146">
    <cfRule type="duplicateValues" dxfId="405" priority="819" stopIfTrue="1"/>
    <cfRule type="duplicateValues" dxfId="404" priority="820" stopIfTrue="1"/>
  </conditionalFormatting>
  <conditionalFormatting sqref="A146">
    <cfRule type="duplicateValues" dxfId="403" priority="818"/>
  </conditionalFormatting>
  <conditionalFormatting sqref="A146">
    <cfRule type="duplicateValues" dxfId="402" priority="817"/>
  </conditionalFormatting>
  <conditionalFormatting sqref="A146">
    <cfRule type="duplicateValues" dxfId="401" priority="816"/>
  </conditionalFormatting>
  <conditionalFormatting sqref="A1070 A1072">
    <cfRule type="duplicateValues" dxfId="400" priority="815" stopIfTrue="1"/>
  </conditionalFormatting>
  <conditionalFormatting sqref="A1070 A1072">
    <cfRule type="duplicateValues" dxfId="399" priority="813" stopIfTrue="1"/>
    <cfRule type="duplicateValues" dxfId="398" priority="814" stopIfTrue="1"/>
  </conditionalFormatting>
  <conditionalFormatting sqref="A1070">
    <cfRule type="duplicateValues" dxfId="397" priority="812"/>
  </conditionalFormatting>
  <conditionalFormatting sqref="A1070">
    <cfRule type="duplicateValues" dxfId="396" priority="811"/>
  </conditionalFormatting>
  <conditionalFormatting sqref="A1070">
    <cfRule type="duplicateValues" dxfId="395" priority="810"/>
  </conditionalFormatting>
  <conditionalFormatting sqref="A800">
    <cfRule type="duplicateValues" dxfId="394" priority="797" stopIfTrue="1"/>
  </conditionalFormatting>
  <conditionalFormatting sqref="A800">
    <cfRule type="duplicateValues" dxfId="393" priority="795" stopIfTrue="1"/>
    <cfRule type="duplicateValues" dxfId="392" priority="796" stopIfTrue="1"/>
  </conditionalFormatting>
  <conditionalFormatting sqref="A800">
    <cfRule type="duplicateValues" dxfId="391" priority="794"/>
  </conditionalFormatting>
  <conditionalFormatting sqref="A800">
    <cfRule type="duplicateValues" dxfId="390" priority="793"/>
  </conditionalFormatting>
  <conditionalFormatting sqref="A800">
    <cfRule type="duplicateValues" dxfId="389" priority="792"/>
  </conditionalFormatting>
  <conditionalFormatting sqref="A801">
    <cfRule type="duplicateValues" dxfId="388" priority="791" stopIfTrue="1"/>
  </conditionalFormatting>
  <conditionalFormatting sqref="A801">
    <cfRule type="duplicateValues" dxfId="387" priority="789" stopIfTrue="1"/>
    <cfRule type="duplicateValues" dxfId="386" priority="790" stopIfTrue="1"/>
  </conditionalFormatting>
  <conditionalFormatting sqref="A801">
    <cfRule type="duplicateValues" dxfId="385" priority="788"/>
  </conditionalFormatting>
  <conditionalFormatting sqref="A801">
    <cfRule type="duplicateValues" dxfId="384" priority="787"/>
  </conditionalFormatting>
  <conditionalFormatting sqref="A801">
    <cfRule type="duplicateValues" dxfId="383" priority="786"/>
  </conditionalFormatting>
  <conditionalFormatting sqref="A147">
    <cfRule type="duplicateValues" dxfId="382" priority="785" stopIfTrue="1"/>
  </conditionalFormatting>
  <conditionalFormatting sqref="A147">
    <cfRule type="duplicateValues" dxfId="381" priority="783" stopIfTrue="1"/>
    <cfRule type="duplicateValues" dxfId="380" priority="784" stopIfTrue="1"/>
  </conditionalFormatting>
  <conditionalFormatting sqref="A147">
    <cfRule type="duplicateValues" dxfId="379" priority="782"/>
  </conditionalFormatting>
  <conditionalFormatting sqref="A147">
    <cfRule type="duplicateValues" dxfId="378" priority="781"/>
  </conditionalFormatting>
  <conditionalFormatting sqref="A147">
    <cfRule type="duplicateValues" dxfId="377" priority="780"/>
  </conditionalFormatting>
  <conditionalFormatting sqref="A1003 A1005 A1007 A1009 A1011 A1013 A1015 A1017">
    <cfRule type="duplicateValues" dxfId="376" priority="1129" stopIfTrue="1"/>
  </conditionalFormatting>
  <conditionalFormatting sqref="A1079">
    <cfRule type="duplicateValues" dxfId="375" priority="664" stopIfTrue="1"/>
  </conditionalFormatting>
  <conditionalFormatting sqref="A1079">
    <cfRule type="duplicateValues" dxfId="374" priority="662" stopIfTrue="1"/>
    <cfRule type="duplicateValues" dxfId="373" priority="663" stopIfTrue="1"/>
  </conditionalFormatting>
  <conditionalFormatting sqref="A1079">
    <cfRule type="duplicateValues" dxfId="372" priority="661"/>
  </conditionalFormatting>
  <conditionalFormatting sqref="A1079">
    <cfRule type="duplicateValues" dxfId="371" priority="660"/>
  </conditionalFormatting>
  <conditionalFormatting sqref="A1079">
    <cfRule type="duplicateValues" dxfId="370" priority="659"/>
  </conditionalFormatting>
  <conditionalFormatting sqref="A1080">
    <cfRule type="duplicateValues" dxfId="369" priority="658" stopIfTrue="1"/>
  </conditionalFormatting>
  <conditionalFormatting sqref="A1080">
    <cfRule type="duplicateValues" dxfId="368" priority="656" stopIfTrue="1"/>
    <cfRule type="duplicateValues" dxfId="367" priority="657" stopIfTrue="1"/>
  </conditionalFormatting>
  <conditionalFormatting sqref="A1080">
    <cfRule type="duplicateValues" dxfId="366" priority="655"/>
  </conditionalFormatting>
  <conditionalFormatting sqref="A1080">
    <cfRule type="duplicateValues" dxfId="365" priority="654"/>
  </conditionalFormatting>
  <conditionalFormatting sqref="A1080">
    <cfRule type="duplicateValues" dxfId="364" priority="653"/>
  </conditionalFormatting>
  <conditionalFormatting sqref="A1298:A1048576 A1142:A1224 A1:A147 A319:A540 A1047:A1073 A571:A627 A1289:A1293 A1079:A1080 A638:A734 A783:A1018">
    <cfRule type="duplicateValues" dxfId="363" priority="652"/>
  </conditionalFormatting>
  <conditionalFormatting sqref="A1081">
    <cfRule type="duplicateValues" dxfId="362" priority="651" stopIfTrue="1"/>
  </conditionalFormatting>
  <conditionalFormatting sqref="A1081">
    <cfRule type="duplicateValues" dxfId="361" priority="649" stopIfTrue="1"/>
    <cfRule type="duplicateValues" dxfId="360" priority="650" stopIfTrue="1"/>
  </conditionalFormatting>
  <conditionalFormatting sqref="A1081">
    <cfRule type="duplicateValues" dxfId="359" priority="648"/>
  </conditionalFormatting>
  <conditionalFormatting sqref="A1081">
    <cfRule type="duplicateValues" dxfId="358" priority="647"/>
  </conditionalFormatting>
  <conditionalFormatting sqref="A1081">
    <cfRule type="duplicateValues" dxfId="357" priority="646"/>
  </conditionalFormatting>
  <conditionalFormatting sqref="A1081">
    <cfRule type="duplicateValues" dxfId="356" priority="645"/>
  </conditionalFormatting>
  <conditionalFormatting sqref="A1082 A1084">
    <cfRule type="duplicateValues" dxfId="355" priority="644" stopIfTrue="1"/>
  </conditionalFormatting>
  <conditionalFormatting sqref="A1082 A1084">
    <cfRule type="duplicateValues" dxfId="354" priority="642" stopIfTrue="1"/>
    <cfRule type="duplicateValues" dxfId="353" priority="643" stopIfTrue="1"/>
  </conditionalFormatting>
  <conditionalFormatting sqref="A1082">
    <cfRule type="duplicateValues" dxfId="352" priority="641"/>
  </conditionalFormatting>
  <conditionalFormatting sqref="A1082">
    <cfRule type="duplicateValues" dxfId="351" priority="640"/>
  </conditionalFormatting>
  <conditionalFormatting sqref="A1082">
    <cfRule type="duplicateValues" dxfId="350" priority="639"/>
  </conditionalFormatting>
  <conditionalFormatting sqref="A1082">
    <cfRule type="duplicateValues" dxfId="349" priority="638"/>
  </conditionalFormatting>
  <conditionalFormatting sqref="A1083 A1085:A1141">
    <cfRule type="duplicateValues" dxfId="348" priority="637" stopIfTrue="1"/>
  </conditionalFormatting>
  <conditionalFormatting sqref="A1083 A1085:A1141">
    <cfRule type="duplicateValues" dxfId="347" priority="635" stopIfTrue="1"/>
    <cfRule type="duplicateValues" dxfId="346" priority="636" stopIfTrue="1"/>
  </conditionalFormatting>
  <conditionalFormatting sqref="A1083">
    <cfRule type="duplicateValues" dxfId="345" priority="634"/>
  </conditionalFormatting>
  <conditionalFormatting sqref="A1083">
    <cfRule type="duplicateValues" dxfId="344" priority="633"/>
  </conditionalFormatting>
  <conditionalFormatting sqref="A1083">
    <cfRule type="duplicateValues" dxfId="343" priority="632"/>
  </conditionalFormatting>
  <conditionalFormatting sqref="A1083">
    <cfRule type="duplicateValues" dxfId="342" priority="631"/>
  </conditionalFormatting>
  <conditionalFormatting sqref="A148">
    <cfRule type="duplicateValues" dxfId="341" priority="630" stopIfTrue="1"/>
  </conditionalFormatting>
  <conditionalFormatting sqref="A148">
    <cfRule type="duplicateValues" dxfId="340" priority="628" stopIfTrue="1"/>
    <cfRule type="duplicateValues" dxfId="339" priority="629" stopIfTrue="1"/>
  </conditionalFormatting>
  <conditionalFormatting sqref="A148">
    <cfRule type="duplicateValues" dxfId="338" priority="627"/>
  </conditionalFormatting>
  <conditionalFormatting sqref="A148">
    <cfRule type="duplicateValues" dxfId="337" priority="626"/>
  </conditionalFormatting>
  <conditionalFormatting sqref="A148">
    <cfRule type="duplicateValues" dxfId="336" priority="625"/>
  </conditionalFormatting>
  <conditionalFormatting sqref="A148">
    <cfRule type="duplicateValues" dxfId="335" priority="624"/>
  </conditionalFormatting>
  <conditionalFormatting sqref="A149">
    <cfRule type="duplicateValues" dxfId="334" priority="623" stopIfTrue="1"/>
  </conditionalFormatting>
  <conditionalFormatting sqref="A149">
    <cfRule type="duplicateValues" dxfId="333" priority="621" stopIfTrue="1"/>
    <cfRule type="duplicateValues" dxfId="332" priority="622" stopIfTrue="1"/>
  </conditionalFormatting>
  <conditionalFormatting sqref="A149">
    <cfRule type="duplicateValues" dxfId="331" priority="620"/>
  </conditionalFormatting>
  <conditionalFormatting sqref="A149">
    <cfRule type="duplicateValues" dxfId="330" priority="619"/>
  </conditionalFormatting>
  <conditionalFormatting sqref="A149">
    <cfRule type="duplicateValues" dxfId="329" priority="618"/>
  </conditionalFormatting>
  <conditionalFormatting sqref="A149">
    <cfRule type="duplicateValues" dxfId="328" priority="617"/>
  </conditionalFormatting>
  <conditionalFormatting sqref="A150:A163 A165">
    <cfRule type="duplicateValues" dxfId="327" priority="613" stopIfTrue="1"/>
  </conditionalFormatting>
  <conditionalFormatting sqref="A150:A163 A165">
    <cfRule type="duplicateValues" dxfId="326" priority="614" stopIfTrue="1"/>
    <cfRule type="duplicateValues" dxfId="325" priority="615" stopIfTrue="1"/>
  </conditionalFormatting>
  <conditionalFormatting sqref="A150:A163 A165">
    <cfRule type="duplicateValues" dxfId="324" priority="616"/>
  </conditionalFormatting>
  <conditionalFormatting sqref="A164 A166">
    <cfRule type="duplicateValues" dxfId="323" priority="612" stopIfTrue="1"/>
  </conditionalFormatting>
  <conditionalFormatting sqref="A164 A166">
    <cfRule type="duplicateValues" dxfId="322" priority="610" stopIfTrue="1"/>
    <cfRule type="duplicateValues" dxfId="321" priority="611" stopIfTrue="1"/>
  </conditionalFormatting>
  <conditionalFormatting sqref="A164 A166">
    <cfRule type="duplicateValues" dxfId="320" priority="609"/>
  </conditionalFormatting>
  <conditionalFormatting sqref="A164">
    <cfRule type="duplicateValues" dxfId="319" priority="608"/>
  </conditionalFormatting>
  <conditionalFormatting sqref="A164">
    <cfRule type="duplicateValues" dxfId="318" priority="607"/>
  </conditionalFormatting>
  <conditionalFormatting sqref="A164">
    <cfRule type="duplicateValues" dxfId="317" priority="606"/>
  </conditionalFormatting>
  <conditionalFormatting sqref="A541">
    <cfRule type="duplicateValues" dxfId="316" priority="605" stopIfTrue="1"/>
  </conditionalFormatting>
  <conditionalFormatting sqref="A541">
    <cfRule type="duplicateValues" dxfId="315" priority="603" stopIfTrue="1"/>
    <cfRule type="duplicateValues" dxfId="314" priority="604" stopIfTrue="1"/>
  </conditionalFormatting>
  <conditionalFormatting sqref="A541">
    <cfRule type="duplicateValues" dxfId="313" priority="602"/>
  </conditionalFormatting>
  <conditionalFormatting sqref="A541">
    <cfRule type="duplicateValues" dxfId="312" priority="601"/>
  </conditionalFormatting>
  <conditionalFormatting sqref="A541">
    <cfRule type="duplicateValues" dxfId="311" priority="600"/>
  </conditionalFormatting>
  <conditionalFormatting sqref="A541">
    <cfRule type="duplicateValues" dxfId="310" priority="599"/>
  </conditionalFormatting>
  <conditionalFormatting sqref="A542:A544 A546 A548 A550 A552 A554 A556 A558 A560">
    <cfRule type="duplicateValues" dxfId="309" priority="598" stopIfTrue="1"/>
  </conditionalFormatting>
  <conditionalFormatting sqref="A542:A544 A546 A548 A550 A552 A554 A556 A558 A560">
    <cfRule type="duplicateValues" dxfId="308" priority="596" stopIfTrue="1"/>
    <cfRule type="duplicateValues" dxfId="307" priority="597" stopIfTrue="1"/>
  </conditionalFormatting>
  <conditionalFormatting sqref="A542:A544">
    <cfRule type="duplicateValues" dxfId="306" priority="595"/>
  </conditionalFormatting>
  <conditionalFormatting sqref="A542:A544">
    <cfRule type="duplicateValues" dxfId="305" priority="594"/>
  </conditionalFormatting>
  <conditionalFormatting sqref="A542:A544">
    <cfRule type="duplicateValues" dxfId="304" priority="593"/>
  </conditionalFormatting>
  <conditionalFormatting sqref="A542:A544">
    <cfRule type="duplicateValues" dxfId="303" priority="592"/>
  </conditionalFormatting>
  <conditionalFormatting sqref="A545 A547 A549 A551 A553 A555 A557 A559 A561">
    <cfRule type="duplicateValues" dxfId="302" priority="591" stopIfTrue="1"/>
  </conditionalFormatting>
  <conditionalFormatting sqref="A545 A547 A549 A551 A553 A555 A557 A559 A561">
    <cfRule type="duplicateValues" dxfId="301" priority="589" stopIfTrue="1"/>
    <cfRule type="duplicateValues" dxfId="300" priority="590" stopIfTrue="1"/>
  </conditionalFormatting>
  <conditionalFormatting sqref="A545">
    <cfRule type="duplicateValues" dxfId="299" priority="588"/>
  </conditionalFormatting>
  <conditionalFormatting sqref="A545">
    <cfRule type="duplicateValues" dxfId="298" priority="587"/>
  </conditionalFormatting>
  <conditionalFormatting sqref="A545">
    <cfRule type="duplicateValues" dxfId="297" priority="586"/>
  </conditionalFormatting>
  <conditionalFormatting sqref="A545">
    <cfRule type="duplicateValues" dxfId="296" priority="585"/>
  </conditionalFormatting>
  <conditionalFormatting sqref="A1021 A1023 A1026 A1029 A1032 A1038 A1035 A1041">
    <cfRule type="duplicateValues" dxfId="295" priority="563" stopIfTrue="1"/>
  </conditionalFormatting>
  <conditionalFormatting sqref="A1021 A1023 A1026 A1029 A1032 A1038 A1035 A1041">
    <cfRule type="duplicateValues" dxfId="294" priority="561" stopIfTrue="1"/>
    <cfRule type="duplicateValues" dxfId="293" priority="562" stopIfTrue="1"/>
  </conditionalFormatting>
  <conditionalFormatting sqref="A1021">
    <cfRule type="duplicateValues" dxfId="292" priority="560"/>
  </conditionalFormatting>
  <conditionalFormatting sqref="A1021">
    <cfRule type="duplicateValues" dxfId="291" priority="559"/>
  </conditionalFormatting>
  <conditionalFormatting sqref="A1021">
    <cfRule type="duplicateValues" dxfId="290" priority="558"/>
  </conditionalFormatting>
  <conditionalFormatting sqref="A1021">
    <cfRule type="duplicateValues" dxfId="289" priority="557"/>
  </conditionalFormatting>
  <conditionalFormatting sqref="A1022 A1024 A1027 A1030 A1033 A1039 A1036 A1042">
    <cfRule type="duplicateValues" dxfId="288" priority="556" stopIfTrue="1"/>
  </conditionalFormatting>
  <conditionalFormatting sqref="A1022 A1024 A1027 A1030 A1033 A1039 A1036 A1042">
    <cfRule type="duplicateValues" dxfId="287" priority="554" stopIfTrue="1"/>
    <cfRule type="duplicateValues" dxfId="286" priority="555" stopIfTrue="1"/>
  </conditionalFormatting>
  <conditionalFormatting sqref="A1022">
    <cfRule type="duplicateValues" dxfId="285" priority="553"/>
  </conditionalFormatting>
  <conditionalFormatting sqref="A1022">
    <cfRule type="duplicateValues" dxfId="284" priority="552"/>
  </conditionalFormatting>
  <conditionalFormatting sqref="A1022">
    <cfRule type="duplicateValues" dxfId="283" priority="551"/>
  </conditionalFormatting>
  <conditionalFormatting sqref="A1022">
    <cfRule type="duplicateValues" dxfId="282" priority="550"/>
  </conditionalFormatting>
  <conditionalFormatting sqref="A1025 A1028 A1031 A1034 A1040 A1037">
    <cfRule type="duplicateValues" dxfId="281" priority="549" stopIfTrue="1"/>
  </conditionalFormatting>
  <conditionalFormatting sqref="A1025 A1028 A1031 A1034 A1040 A1037">
    <cfRule type="duplicateValues" dxfId="280" priority="547" stopIfTrue="1"/>
    <cfRule type="duplicateValues" dxfId="279" priority="548" stopIfTrue="1"/>
  </conditionalFormatting>
  <conditionalFormatting sqref="A1025">
    <cfRule type="duplicateValues" dxfId="278" priority="546"/>
  </conditionalFormatting>
  <conditionalFormatting sqref="A1025">
    <cfRule type="duplicateValues" dxfId="277" priority="545"/>
  </conditionalFormatting>
  <conditionalFormatting sqref="A1025">
    <cfRule type="duplicateValues" dxfId="276" priority="544"/>
  </conditionalFormatting>
  <conditionalFormatting sqref="A1025">
    <cfRule type="duplicateValues" dxfId="275" priority="543"/>
  </conditionalFormatting>
  <conditionalFormatting sqref="A1004 A1006 A1008 A1010 A1012 A1014 A1016 A1018">
    <cfRule type="duplicateValues" dxfId="274" priority="1200" stopIfTrue="1"/>
  </conditionalFormatting>
  <conditionalFormatting sqref="A1004 A1006 A1008 A1010 A1012 A1014 A1016 A1018">
    <cfRule type="duplicateValues" dxfId="273" priority="1208" stopIfTrue="1"/>
    <cfRule type="duplicateValues" dxfId="272" priority="1209" stopIfTrue="1"/>
  </conditionalFormatting>
  <conditionalFormatting sqref="A735:A782">
    <cfRule type="duplicateValues" dxfId="271" priority="535" stopIfTrue="1"/>
  </conditionalFormatting>
  <conditionalFormatting sqref="A735:A782">
    <cfRule type="duplicateValues" dxfId="270" priority="533" stopIfTrue="1"/>
    <cfRule type="duplicateValues" dxfId="269" priority="534" stopIfTrue="1"/>
  </conditionalFormatting>
  <conditionalFormatting sqref="A735:A782">
    <cfRule type="duplicateValues" dxfId="268" priority="532"/>
  </conditionalFormatting>
  <conditionalFormatting sqref="A735:A782">
    <cfRule type="duplicateValues" dxfId="267" priority="531"/>
  </conditionalFormatting>
  <conditionalFormatting sqref="A735:A782">
    <cfRule type="duplicateValues" dxfId="266" priority="530"/>
  </conditionalFormatting>
  <conditionalFormatting sqref="A735:A782">
    <cfRule type="duplicateValues" dxfId="265" priority="529"/>
  </conditionalFormatting>
  <conditionalFormatting sqref="A1298:A1048576 A1289:A1293 A319:A561 A1:A166 A571:A627 A1021:A1042 A1047:A1073 A638:A1018 A1079:A1224">
    <cfRule type="duplicateValues" dxfId="264" priority="441"/>
    <cfRule type="duplicateValues" dxfId="263" priority="507"/>
  </conditionalFormatting>
  <conditionalFormatting sqref="A168">
    <cfRule type="duplicateValues" dxfId="262" priority="440" stopIfTrue="1"/>
  </conditionalFormatting>
  <conditionalFormatting sqref="A168">
    <cfRule type="duplicateValues" dxfId="261" priority="438" stopIfTrue="1"/>
    <cfRule type="duplicateValues" dxfId="260" priority="439" stopIfTrue="1"/>
  </conditionalFormatting>
  <conditionalFormatting sqref="A168">
    <cfRule type="duplicateValues" dxfId="259" priority="437"/>
  </conditionalFormatting>
  <conditionalFormatting sqref="A168">
    <cfRule type="duplicateValues" dxfId="258" priority="436"/>
  </conditionalFormatting>
  <conditionalFormatting sqref="A168">
    <cfRule type="duplicateValues" dxfId="257" priority="435"/>
  </conditionalFormatting>
  <conditionalFormatting sqref="A168">
    <cfRule type="duplicateValues" dxfId="256" priority="434"/>
  </conditionalFormatting>
  <conditionalFormatting sqref="A168">
    <cfRule type="duplicateValues" dxfId="255" priority="433"/>
  </conditionalFormatting>
  <conditionalFormatting sqref="A167 A169 A171 A173 A175">
    <cfRule type="duplicateValues" dxfId="254" priority="432" stopIfTrue="1"/>
  </conditionalFormatting>
  <conditionalFormatting sqref="A167 A169 A171 A173 A175">
    <cfRule type="duplicateValues" dxfId="253" priority="430" stopIfTrue="1"/>
    <cfRule type="duplicateValues" dxfId="252" priority="431" stopIfTrue="1"/>
  </conditionalFormatting>
  <conditionalFormatting sqref="A167 A169 A171 A173 A175">
    <cfRule type="duplicateValues" dxfId="251" priority="429"/>
  </conditionalFormatting>
  <conditionalFormatting sqref="A167">
    <cfRule type="duplicateValues" dxfId="250" priority="428"/>
  </conditionalFormatting>
  <conditionalFormatting sqref="A167">
    <cfRule type="duplicateValues" dxfId="249" priority="427"/>
  </conditionalFormatting>
  <conditionalFormatting sqref="A167">
    <cfRule type="duplicateValues" dxfId="248" priority="426"/>
  </conditionalFormatting>
  <conditionalFormatting sqref="A167">
    <cfRule type="duplicateValues" dxfId="247" priority="425"/>
  </conditionalFormatting>
  <conditionalFormatting sqref="A562 A564">
    <cfRule type="duplicateValues" dxfId="246" priority="415" stopIfTrue="1"/>
  </conditionalFormatting>
  <conditionalFormatting sqref="A562 A564">
    <cfRule type="duplicateValues" dxfId="245" priority="413" stopIfTrue="1"/>
    <cfRule type="duplicateValues" dxfId="244" priority="414" stopIfTrue="1"/>
  </conditionalFormatting>
  <conditionalFormatting sqref="A562">
    <cfRule type="duplicateValues" dxfId="243" priority="412"/>
  </conditionalFormatting>
  <conditionalFormatting sqref="A563">
    <cfRule type="duplicateValues" dxfId="242" priority="411" stopIfTrue="1"/>
  </conditionalFormatting>
  <conditionalFormatting sqref="A563">
    <cfRule type="duplicateValues" dxfId="241" priority="409" stopIfTrue="1"/>
    <cfRule type="duplicateValues" dxfId="240" priority="410" stopIfTrue="1"/>
  </conditionalFormatting>
  <conditionalFormatting sqref="A563">
    <cfRule type="duplicateValues" dxfId="239" priority="408"/>
  </conditionalFormatting>
  <conditionalFormatting sqref="A562:A564">
    <cfRule type="duplicateValues" dxfId="238" priority="407"/>
  </conditionalFormatting>
  <conditionalFormatting sqref="A566 A568 A570">
    <cfRule type="duplicateValues" dxfId="237" priority="406" stopIfTrue="1"/>
  </conditionalFormatting>
  <conditionalFormatting sqref="A566 A568 A570">
    <cfRule type="duplicateValues" dxfId="236" priority="404" stopIfTrue="1"/>
    <cfRule type="duplicateValues" dxfId="235" priority="405" stopIfTrue="1"/>
  </conditionalFormatting>
  <conditionalFormatting sqref="A566">
    <cfRule type="duplicateValues" dxfId="234" priority="403"/>
  </conditionalFormatting>
  <conditionalFormatting sqref="A565:A570">
    <cfRule type="duplicateValues" dxfId="233" priority="402" stopIfTrue="1"/>
  </conditionalFormatting>
  <conditionalFormatting sqref="A565:A570">
    <cfRule type="duplicateValues" dxfId="232" priority="400" stopIfTrue="1"/>
    <cfRule type="duplicateValues" dxfId="231" priority="401" stopIfTrue="1"/>
  </conditionalFormatting>
  <conditionalFormatting sqref="A565:A570">
    <cfRule type="duplicateValues" dxfId="230" priority="399"/>
  </conditionalFormatting>
  <conditionalFormatting sqref="A565:A570">
    <cfRule type="duplicateValues" dxfId="229" priority="398"/>
  </conditionalFormatting>
  <conditionalFormatting sqref="A1019:A1020">
    <cfRule type="duplicateValues" dxfId="228" priority="395" stopIfTrue="1"/>
    <cfRule type="duplicateValues" dxfId="227" priority="396" stopIfTrue="1"/>
  </conditionalFormatting>
  <conditionalFormatting sqref="A1019:A1020">
    <cfRule type="duplicateValues" dxfId="226" priority="394"/>
  </conditionalFormatting>
  <conditionalFormatting sqref="A1019:A1020">
    <cfRule type="duplicateValues" dxfId="225" priority="393"/>
  </conditionalFormatting>
  <conditionalFormatting sqref="A1019:A1020">
    <cfRule type="duplicateValues" dxfId="224" priority="392"/>
  </conditionalFormatting>
  <conditionalFormatting sqref="A1019:A1020">
    <cfRule type="duplicateValues" dxfId="223" priority="397" stopIfTrue="1"/>
  </conditionalFormatting>
  <conditionalFormatting sqref="A1019:A1020">
    <cfRule type="duplicateValues" dxfId="222" priority="391"/>
  </conditionalFormatting>
  <conditionalFormatting sqref="A1019:A1020">
    <cfRule type="duplicateValues" dxfId="221" priority="390"/>
  </conditionalFormatting>
  <conditionalFormatting sqref="A1043:A1046">
    <cfRule type="duplicateValues" dxfId="220" priority="381"/>
  </conditionalFormatting>
  <conditionalFormatting sqref="A1044 A1046">
    <cfRule type="duplicateValues" dxfId="219" priority="382" stopIfTrue="1"/>
  </conditionalFormatting>
  <conditionalFormatting sqref="A1044 A1046">
    <cfRule type="duplicateValues" dxfId="218" priority="383" stopIfTrue="1"/>
    <cfRule type="duplicateValues" dxfId="217" priority="384" stopIfTrue="1"/>
  </conditionalFormatting>
  <conditionalFormatting sqref="A1044">
    <cfRule type="duplicateValues" dxfId="216" priority="385"/>
  </conditionalFormatting>
  <conditionalFormatting sqref="A1043:A1046">
    <cfRule type="duplicateValues" dxfId="215" priority="386" stopIfTrue="1"/>
  </conditionalFormatting>
  <conditionalFormatting sqref="A1043:A1046">
    <cfRule type="duplicateValues" dxfId="214" priority="387" stopIfTrue="1"/>
    <cfRule type="duplicateValues" dxfId="213" priority="388" stopIfTrue="1"/>
  </conditionalFormatting>
  <conditionalFormatting sqref="A1043:A1046">
    <cfRule type="duplicateValues" dxfId="212" priority="389"/>
  </conditionalFormatting>
  <conditionalFormatting sqref="A1043:A1046">
    <cfRule type="duplicateValues" dxfId="211" priority="380"/>
  </conditionalFormatting>
  <conditionalFormatting sqref="A1225 A1227:A1288">
    <cfRule type="duplicateValues" dxfId="210" priority="379" stopIfTrue="1"/>
  </conditionalFormatting>
  <conditionalFormatting sqref="A1225 A1227:A1288">
    <cfRule type="duplicateValues" dxfId="209" priority="377" stopIfTrue="1"/>
    <cfRule type="duplicateValues" dxfId="208" priority="378" stopIfTrue="1"/>
  </conditionalFormatting>
  <conditionalFormatting sqref="A1225">
    <cfRule type="duplicateValues" dxfId="207" priority="376"/>
  </conditionalFormatting>
  <conditionalFormatting sqref="A1226">
    <cfRule type="duplicateValues" dxfId="206" priority="375" stopIfTrue="1"/>
  </conditionalFormatting>
  <conditionalFormatting sqref="A1226">
    <cfRule type="duplicateValues" dxfId="205" priority="373" stopIfTrue="1"/>
    <cfRule type="duplicateValues" dxfId="204" priority="374" stopIfTrue="1"/>
  </conditionalFormatting>
  <conditionalFormatting sqref="A1226">
    <cfRule type="duplicateValues" dxfId="203" priority="372"/>
  </conditionalFormatting>
  <conditionalFormatting sqref="A1225:A1288">
    <cfRule type="duplicateValues" dxfId="202" priority="371"/>
  </conditionalFormatting>
  <conditionalFormatting sqref="A1225:A1288">
    <cfRule type="duplicateValues" dxfId="201" priority="370"/>
  </conditionalFormatting>
  <conditionalFormatting sqref="A1225:A1288">
    <cfRule type="duplicateValues" dxfId="200" priority="369"/>
  </conditionalFormatting>
  <conditionalFormatting sqref="A1225:A1288">
    <cfRule type="duplicateValues" dxfId="199" priority="368"/>
  </conditionalFormatting>
  <conditionalFormatting sqref="A1074:A1078">
    <cfRule type="duplicateValues" dxfId="198" priority="355" stopIfTrue="1"/>
  </conditionalFormatting>
  <conditionalFormatting sqref="A1074:A1078">
    <cfRule type="duplicateValues" dxfId="197" priority="356" stopIfTrue="1"/>
    <cfRule type="duplicateValues" dxfId="196" priority="357" stopIfTrue="1"/>
  </conditionalFormatting>
  <conditionalFormatting sqref="A1074:A1078">
    <cfRule type="duplicateValues" dxfId="195" priority="358"/>
  </conditionalFormatting>
  <conditionalFormatting sqref="A1074:A1078">
    <cfRule type="duplicateValues" dxfId="194" priority="354"/>
  </conditionalFormatting>
  <conditionalFormatting sqref="A1074:A1078">
    <cfRule type="duplicateValues" dxfId="193" priority="353"/>
  </conditionalFormatting>
  <conditionalFormatting sqref="A228">
    <cfRule type="duplicateValues" dxfId="192" priority="352" stopIfTrue="1"/>
  </conditionalFormatting>
  <conditionalFormatting sqref="A228">
    <cfRule type="duplicateValues" dxfId="191" priority="350" stopIfTrue="1"/>
    <cfRule type="duplicateValues" dxfId="190" priority="351" stopIfTrue="1"/>
  </conditionalFormatting>
  <conditionalFormatting sqref="A228">
    <cfRule type="duplicateValues" dxfId="189" priority="349"/>
  </conditionalFormatting>
  <conditionalFormatting sqref="A228">
    <cfRule type="duplicateValues" dxfId="188" priority="348"/>
  </conditionalFormatting>
  <conditionalFormatting sqref="A228">
    <cfRule type="duplicateValues" dxfId="187" priority="347"/>
  </conditionalFormatting>
  <conditionalFormatting sqref="A228">
    <cfRule type="duplicateValues" dxfId="186" priority="346"/>
  </conditionalFormatting>
  <conditionalFormatting sqref="A228">
    <cfRule type="duplicateValues" dxfId="185" priority="344"/>
    <cfRule type="duplicateValues" dxfId="184" priority="345"/>
  </conditionalFormatting>
  <conditionalFormatting sqref="A227">
    <cfRule type="duplicateValues" dxfId="183" priority="1575" stopIfTrue="1"/>
  </conditionalFormatting>
  <conditionalFormatting sqref="A227">
    <cfRule type="duplicateValues" dxfId="182" priority="1576" stopIfTrue="1"/>
    <cfRule type="duplicateValues" dxfId="181" priority="1577" stopIfTrue="1"/>
  </conditionalFormatting>
  <conditionalFormatting sqref="A227">
    <cfRule type="duplicateValues" dxfId="180" priority="1578"/>
  </conditionalFormatting>
  <conditionalFormatting sqref="A227">
    <cfRule type="duplicateValues" dxfId="179" priority="1582"/>
    <cfRule type="duplicateValues" dxfId="178" priority="1583"/>
  </conditionalFormatting>
  <conditionalFormatting sqref="A229">
    <cfRule type="duplicateValues" dxfId="177" priority="343" stopIfTrue="1"/>
  </conditionalFormatting>
  <conditionalFormatting sqref="A229">
    <cfRule type="duplicateValues" dxfId="176" priority="341" stopIfTrue="1"/>
    <cfRule type="duplicateValues" dxfId="175" priority="342" stopIfTrue="1"/>
  </conditionalFormatting>
  <conditionalFormatting sqref="A229">
    <cfRule type="duplicateValues" dxfId="174" priority="340"/>
  </conditionalFormatting>
  <conditionalFormatting sqref="A229">
    <cfRule type="duplicateValues" dxfId="173" priority="339"/>
  </conditionalFormatting>
  <conditionalFormatting sqref="A229">
    <cfRule type="duplicateValues" dxfId="172" priority="338"/>
  </conditionalFormatting>
  <conditionalFormatting sqref="A229">
    <cfRule type="duplicateValues" dxfId="171" priority="337"/>
  </conditionalFormatting>
  <conditionalFormatting sqref="A229">
    <cfRule type="duplicateValues" dxfId="170" priority="335"/>
    <cfRule type="duplicateValues" dxfId="169" priority="336"/>
  </conditionalFormatting>
  <conditionalFormatting sqref="A230:A233">
    <cfRule type="duplicateValues" dxfId="168" priority="334" stopIfTrue="1"/>
  </conditionalFormatting>
  <conditionalFormatting sqref="A230:A233">
    <cfRule type="duplicateValues" dxfId="167" priority="332" stopIfTrue="1"/>
    <cfRule type="duplicateValues" dxfId="166" priority="333" stopIfTrue="1"/>
  </conditionalFormatting>
  <conditionalFormatting sqref="A230:A233">
    <cfRule type="duplicateValues" dxfId="165" priority="331"/>
  </conditionalFormatting>
  <conditionalFormatting sqref="A230:A233">
    <cfRule type="duplicateValues" dxfId="164" priority="330"/>
  </conditionalFormatting>
  <conditionalFormatting sqref="A230:A233">
    <cfRule type="duplicateValues" dxfId="163" priority="329"/>
  </conditionalFormatting>
  <conditionalFormatting sqref="A230:A233">
    <cfRule type="duplicateValues" dxfId="162" priority="328"/>
  </conditionalFormatting>
  <conditionalFormatting sqref="A230:A233">
    <cfRule type="duplicateValues" dxfId="161" priority="326"/>
    <cfRule type="duplicateValues" dxfId="160" priority="327"/>
  </conditionalFormatting>
  <conditionalFormatting sqref="A629 A631 A633:A634 A636">
    <cfRule type="duplicateValues" dxfId="159" priority="325" stopIfTrue="1"/>
  </conditionalFormatting>
  <conditionalFormatting sqref="A629 A631 A633:A634 A636">
    <cfRule type="duplicateValues" dxfId="158" priority="323" stopIfTrue="1"/>
    <cfRule type="duplicateValues" dxfId="157" priority="324" stopIfTrue="1"/>
  </conditionalFormatting>
  <conditionalFormatting sqref="A629">
    <cfRule type="duplicateValues" dxfId="156" priority="322"/>
  </conditionalFormatting>
  <conditionalFormatting sqref="A628:A636">
    <cfRule type="duplicateValues" dxfId="155" priority="321" stopIfTrue="1"/>
  </conditionalFormatting>
  <conditionalFormatting sqref="A628:A636">
    <cfRule type="duplicateValues" dxfId="154" priority="319" stopIfTrue="1"/>
    <cfRule type="duplicateValues" dxfId="153" priority="320" stopIfTrue="1"/>
  </conditionalFormatting>
  <conditionalFormatting sqref="A628:A636">
    <cfRule type="duplicateValues" dxfId="152" priority="318"/>
  </conditionalFormatting>
  <conditionalFormatting sqref="A628:A636">
    <cfRule type="duplicateValues" dxfId="151" priority="317"/>
  </conditionalFormatting>
  <conditionalFormatting sqref="A245">
    <cfRule type="duplicateValues" dxfId="150" priority="289" stopIfTrue="1"/>
  </conditionalFormatting>
  <conditionalFormatting sqref="A245">
    <cfRule type="duplicateValues" dxfId="149" priority="287" stopIfTrue="1"/>
    <cfRule type="duplicateValues" dxfId="148" priority="288" stopIfTrue="1"/>
  </conditionalFormatting>
  <conditionalFormatting sqref="A245">
    <cfRule type="duplicateValues" dxfId="147" priority="286"/>
  </conditionalFormatting>
  <conditionalFormatting sqref="A245">
    <cfRule type="duplicateValues" dxfId="146" priority="285"/>
  </conditionalFormatting>
  <conditionalFormatting sqref="A245">
    <cfRule type="duplicateValues" dxfId="145" priority="284"/>
  </conditionalFormatting>
  <conditionalFormatting sqref="A245">
    <cfRule type="duplicateValues" dxfId="144" priority="283"/>
  </conditionalFormatting>
  <conditionalFormatting sqref="A245">
    <cfRule type="duplicateValues" dxfId="143" priority="281"/>
    <cfRule type="duplicateValues" dxfId="142" priority="282"/>
  </conditionalFormatting>
  <conditionalFormatting sqref="A246">
    <cfRule type="duplicateValues" dxfId="141" priority="280" stopIfTrue="1"/>
  </conditionalFormatting>
  <conditionalFormatting sqref="A246">
    <cfRule type="duplicateValues" dxfId="140" priority="278" stopIfTrue="1"/>
    <cfRule type="duplicateValues" dxfId="139" priority="279" stopIfTrue="1"/>
  </conditionalFormatting>
  <conditionalFormatting sqref="A246">
    <cfRule type="duplicateValues" dxfId="138" priority="277"/>
  </conditionalFormatting>
  <conditionalFormatting sqref="A246">
    <cfRule type="duplicateValues" dxfId="137" priority="276"/>
  </conditionalFormatting>
  <conditionalFormatting sqref="A246">
    <cfRule type="duplicateValues" dxfId="136" priority="275"/>
  </conditionalFormatting>
  <conditionalFormatting sqref="A246">
    <cfRule type="duplicateValues" dxfId="135" priority="274"/>
  </conditionalFormatting>
  <conditionalFormatting sqref="A246">
    <cfRule type="duplicateValues" dxfId="134" priority="272"/>
    <cfRule type="duplicateValues" dxfId="133" priority="273"/>
  </conditionalFormatting>
  <conditionalFormatting sqref="A247 A249 A251 A253 A257">
    <cfRule type="duplicateValues" dxfId="132" priority="271" stopIfTrue="1"/>
  </conditionalFormatting>
  <conditionalFormatting sqref="A247 A249 A251 A253 A257">
    <cfRule type="duplicateValues" dxfId="131" priority="269" stopIfTrue="1"/>
    <cfRule type="duplicateValues" dxfId="130" priority="270" stopIfTrue="1"/>
  </conditionalFormatting>
  <conditionalFormatting sqref="A247 A249 A251 A253 A257">
    <cfRule type="duplicateValues" dxfId="129" priority="268"/>
  </conditionalFormatting>
  <conditionalFormatting sqref="A247">
    <cfRule type="duplicateValues" dxfId="128" priority="267"/>
  </conditionalFormatting>
  <conditionalFormatting sqref="A247">
    <cfRule type="duplicateValues" dxfId="127" priority="266"/>
  </conditionalFormatting>
  <conditionalFormatting sqref="A247">
    <cfRule type="duplicateValues" dxfId="126" priority="265"/>
  </conditionalFormatting>
  <conditionalFormatting sqref="A247 A249 A251 A253 A257">
    <cfRule type="duplicateValues" dxfId="125" priority="263"/>
    <cfRule type="duplicateValues" dxfId="124" priority="264"/>
  </conditionalFormatting>
  <conditionalFormatting sqref="A248 A250 A252 A254 A256 A258:A318">
    <cfRule type="duplicateValues" dxfId="123" priority="262" stopIfTrue="1"/>
  </conditionalFormatting>
  <conditionalFormatting sqref="A248 A250 A252 A254 A256 A258:A318">
    <cfRule type="duplicateValues" dxfId="122" priority="260" stopIfTrue="1"/>
    <cfRule type="duplicateValues" dxfId="121" priority="261" stopIfTrue="1"/>
  </conditionalFormatting>
  <conditionalFormatting sqref="A248 A250 A252 A254 A256 A258:A318">
    <cfRule type="duplicateValues" dxfId="120" priority="259"/>
  </conditionalFormatting>
  <conditionalFormatting sqref="A248">
    <cfRule type="duplicateValues" dxfId="119" priority="258"/>
  </conditionalFormatting>
  <conditionalFormatting sqref="A248">
    <cfRule type="duplicateValues" dxfId="118" priority="257"/>
  </conditionalFormatting>
  <conditionalFormatting sqref="A248">
    <cfRule type="duplicateValues" dxfId="117" priority="256"/>
  </conditionalFormatting>
  <conditionalFormatting sqref="A248 A250 A252 A254 A256 A258:A318">
    <cfRule type="duplicateValues" dxfId="116" priority="254"/>
    <cfRule type="duplicateValues" dxfId="115" priority="255"/>
  </conditionalFormatting>
  <conditionalFormatting sqref="A1294">
    <cfRule type="duplicateValues" dxfId="114" priority="190" stopIfTrue="1"/>
  </conditionalFormatting>
  <conditionalFormatting sqref="A1294">
    <cfRule type="duplicateValues" dxfId="113" priority="188" stopIfTrue="1"/>
    <cfRule type="duplicateValues" dxfId="112" priority="189" stopIfTrue="1"/>
  </conditionalFormatting>
  <conditionalFormatting sqref="A1294">
    <cfRule type="duplicateValues" dxfId="111" priority="187"/>
  </conditionalFormatting>
  <conditionalFormatting sqref="A1294">
    <cfRule type="duplicateValues" dxfId="110" priority="186"/>
  </conditionalFormatting>
  <conditionalFormatting sqref="A1294">
    <cfRule type="duplicateValues" dxfId="109" priority="185"/>
  </conditionalFormatting>
  <conditionalFormatting sqref="A1294">
    <cfRule type="duplicateValues" dxfId="108" priority="184"/>
  </conditionalFormatting>
  <conditionalFormatting sqref="A1294">
    <cfRule type="duplicateValues" dxfId="107" priority="182"/>
    <cfRule type="duplicateValues" dxfId="106" priority="183"/>
  </conditionalFormatting>
  <conditionalFormatting sqref="A255">
    <cfRule type="duplicateValues" dxfId="105" priority="181" stopIfTrue="1"/>
  </conditionalFormatting>
  <conditionalFormatting sqref="A255">
    <cfRule type="duplicateValues" dxfId="104" priority="179" stopIfTrue="1"/>
    <cfRule type="duplicateValues" dxfId="103" priority="180" stopIfTrue="1"/>
  </conditionalFormatting>
  <conditionalFormatting sqref="A255">
    <cfRule type="duplicateValues" dxfId="102" priority="178"/>
  </conditionalFormatting>
  <conditionalFormatting sqref="A255">
    <cfRule type="duplicateValues" dxfId="101" priority="177"/>
  </conditionalFormatting>
  <conditionalFormatting sqref="A255">
    <cfRule type="duplicateValues" dxfId="100" priority="176"/>
  </conditionalFormatting>
  <conditionalFormatting sqref="A255">
    <cfRule type="duplicateValues" dxfId="99" priority="175"/>
  </conditionalFormatting>
  <conditionalFormatting sqref="A255">
    <cfRule type="duplicateValues" dxfId="98" priority="173"/>
    <cfRule type="duplicateValues" dxfId="97" priority="174"/>
  </conditionalFormatting>
  <conditionalFormatting sqref="A170 A172 A174">
    <cfRule type="duplicateValues" dxfId="96" priority="1946" stopIfTrue="1"/>
  </conditionalFormatting>
  <conditionalFormatting sqref="A170 A172 A174">
    <cfRule type="duplicateValues" dxfId="95" priority="1949" stopIfTrue="1"/>
    <cfRule type="duplicateValues" dxfId="94" priority="1950" stopIfTrue="1"/>
  </conditionalFormatting>
  <conditionalFormatting sqref="A170 A172 A174">
    <cfRule type="duplicateValues" dxfId="93" priority="1955"/>
  </conditionalFormatting>
  <conditionalFormatting sqref="A1296">
    <cfRule type="duplicateValues" dxfId="92" priority="154" stopIfTrue="1"/>
  </conditionalFormatting>
  <conditionalFormatting sqref="A1296">
    <cfRule type="duplicateValues" dxfId="91" priority="153"/>
  </conditionalFormatting>
  <conditionalFormatting sqref="A1296">
    <cfRule type="duplicateValues" dxfId="90" priority="152"/>
  </conditionalFormatting>
  <conditionalFormatting sqref="A1296">
    <cfRule type="duplicateValues" dxfId="89" priority="151"/>
  </conditionalFormatting>
  <conditionalFormatting sqref="A1296">
    <cfRule type="duplicateValues" dxfId="88" priority="150"/>
  </conditionalFormatting>
  <conditionalFormatting sqref="A1296">
    <cfRule type="duplicateValues" dxfId="87" priority="149"/>
  </conditionalFormatting>
  <conditionalFormatting sqref="A1296">
    <cfRule type="duplicateValues" dxfId="86" priority="148"/>
  </conditionalFormatting>
  <conditionalFormatting sqref="A1296">
    <cfRule type="duplicateValues" dxfId="85" priority="147"/>
  </conditionalFormatting>
  <conditionalFormatting sqref="A1297">
    <cfRule type="duplicateValues" dxfId="84" priority="146" stopIfTrue="1"/>
  </conditionalFormatting>
  <conditionalFormatting sqref="A1297">
    <cfRule type="duplicateValues" dxfId="83" priority="145"/>
  </conditionalFormatting>
  <conditionalFormatting sqref="A1297">
    <cfRule type="duplicateValues" dxfId="82" priority="144"/>
  </conditionalFormatting>
  <conditionalFormatting sqref="A1297">
    <cfRule type="duplicateValues" dxfId="81" priority="143"/>
  </conditionalFormatting>
  <conditionalFormatting sqref="A1297">
    <cfRule type="duplicateValues" dxfId="80" priority="142"/>
  </conditionalFormatting>
  <conditionalFormatting sqref="A1297">
    <cfRule type="duplicateValues" dxfId="79" priority="141"/>
  </conditionalFormatting>
  <conditionalFormatting sqref="A1297">
    <cfRule type="duplicateValues" dxfId="78" priority="140"/>
  </conditionalFormatting>
  <conditionalFormatting sqref="A1297">
    <cfRule type="duplicateValues" dxfId="77" priority="139"/>
  </conditionalFormatting>
  <conditionalFormatting sqref="A1295">
    <cfRule type="duplicateValues" dxfId="76" priority="76" stopIfTrue="1"/>
  </conditionalFormatting>
  <conditionalFormatting sqref="A1295">
    <cfRule type="duplicateValues" dxfId="75" priority="74" stopIfTrue="1"/>
    <cfRule type="duplicateValues" dxfId="74" priority="75" stopIfTrue="1"/>
  </conditionalFormatting>
  <conditionalFormatting sqref="A1295">
    <cfRule type="duplicateValues" dxfId="73" priority="73"/>
  </conditionalFormatting>
  <conditionalFormatting sqref="A1295">
    <cfRule type="duplicateValues" dxfId="72" priority="72"/>
  </conditionalFormatting>
  <conditionalFormatting sqref="A1295">
    <cfRule type="duplicateValues" dxfId="71" priority="71"/>
  </conditionalFormatting>
  <conditionalFormatting sqref="A1295">
    <cfRule type="duplicateValues" dxfId="70" priority="70"/>
  </conditionalFormatting>
  <conditionalFormatting sqref="A1295">
    <cfRule type="duplicateValues" dxfId="69" priority="68"/>
    <cfRule type="duplicateValues" dxfId="68" priority="69"/>
  </conditionalFormatting>
  <conditionalFormatting sqref="A234">
    <cfRule type="duplicateValues" dxfId="67" priority="67" stopIfTrue="1"/>
  </conditionalFormatting>
  <conditionalFormatting sqref="A234">
    <cfRule type="duplicateValues" dxfId="66" priority="65" stopIfTrue="1"/>
    <cfRule type="duplicateValues" dxfId="65" priority="66" stopIfTrue="1"/>
  </conditionalFormatting>
  <conditionalFormatting sqref="A234">
    <cfRule type="duplicateValues" dxfId="64" priority="64"/>
  </conditionalFormatting>
  <conditionalFormatting sqref="A234">
    <cfRule type="duplicateValues" dxfId="63" priority="63"/>
  </conditionalFormatting>
  <conditionalFormatting sqref="A234">
    <cfRule type="duplicateValues" dxfId="62" priority="62"/>
  </conditionalFormatting>
  <conditionalFormatting sqref="A234">
    <cfRule type="duplicateValues" dxfId="61" priority="61"/>
  </conditionalFormatting>
  <conditionalFormatting sqref="A234">
    <cfRule type="duplicateValues" dxfId="60" priority="59"/>
    <cfRule type="duplicateValues" dxfId="59" priority="60"/>
  </conditionalFormatting>
  <conditionalFormatting sqref="A235">
    <cfRule type="duplicateValues" dxfId="58" priority="58" stopIfTrue="1"/>
  </conditionalFormatting>
  <conditionalFormatting sqref="A235">
    <cfRule type="duplicateValues" dxfId="57" priority="56" stopIfTrue="1"/>
    <cfRule type="duplicateValues" dxfId="56" priority="57" stopIfTrue="1"/>
  </conditionalFormatting>
  <conditionalFormatting sqref="A235">
    <cfRule type="duplicateValues" dxfId="55" priority="55"/>
  </conditionalFormatting>
  <conditionalFormatting sqref="A235">
    <cfRule type="duplicateValues" dxfId="54" priority="54"/>
  </conditionalFormatting>
  <conditionalFormatting sqref="A235">
    <cfRule type="duplicateValues" dxfId="53" priority="53"/>
  </conditionalFormatting>
  <conditionalFormatting sqref="A235">
    <cfRule type="duplicateValues" dxfId="52" priority="52"/>
  </conditionalFormatting>
  <conditionalFormatting sqref="A235">
    <cfRule type="duplicateValues" dxfId="51" priority="50"/>
    <cfRule type="duplicateValues" dxfId="50" priority="51"/>
  </conditionalFormatting>
  <conditionalFormatting sqref="A236">
    <cfRule type="duplicateValues" dxfId="49" priority="49" stopIfTrue="1"/>
  </conditionalFormatting>
  <conditionalFormatting sqref="A236">
    <cfRule type="duplicateValues" dxfId="48" priority="47" stopIfTrue="1"/>
    <cfRule type="duplicateValues" dxfId="47" priority="48" stopIfTrue="1"/>
  </conditionalFormatting>
  <conditionalFormatting sqref="A236">
    <cfRule type="duplicateValues" dxfId="46" priority="46"/>
  </conditionalFormatting>
  <conditionalFormatting sqref="A236">
    <cfRule type="duplicateValues" dxfId="45" priority="45"/>
  </conditionalFormatting>
  <conditionalFormatting sqref="A236">
    <cfRule type="duplicateValues" dxfId="44" priority="44"/>
  </conditionalFormatting>
  <conditionalFormatting sqref="A236">
    <cfRule type="duplicateValues" dxfId="43" priority="43"/>
  </conditionalFormatting>
  <conditionalFormatting sqref="A236">
    <cfRule type="duplicateValues" dxfId="42" priority="41"/>
    <cfRule type="duplicateValues" dxfId="41" priority="42"/>
  </conditionalFormatting>
  <conditionalFormatting sqref="A638:A1048576 A245:A636 A1:A236">
    <cfRule type="duplicateValues" dxfId="40" priority="40"/>
  </conditionalFormatting>
  <conditionalFormatting sqref="A237:A239">
    <cfRule type="duplicateValues" dxfId="39" priority="39" stopIfTrue="1"/>
  </conditionalFormatting>
  <conditionalFormatting sqref="A237:A239">
    <cfRule type="duplicateValues" dxfId="38" priority="37" stopIfTrue="1"/>
    <cfRule type="duplicateValues" dxfId="37" priority="38" stopIfTrue="1"/>
  </conditionalFormatting>
  <conditionalFormatting sqref="A237:A239">
    <cfRule type="duplicateValues" dxfId="36" priority="36"/>
  </conditionalFormatting>
  <conditionalFormatting sqref="A237:A239">
    <cfRule type="duplicateValues" dxfId="35" priority="35"/>
  </conditionalFormatting>
  <conditionalFormatting sqref="A237:A239">
    <cfRule type="duplicateValues" dxfId="34" priority="34"/>
  </conditionalFormatting>
  <conditionalFormatting sqref="A237:A239">
    <cfRule type="duplicateValues" dxfId="33" priority="33"/>
  </conditionalFormatting>
  <conditionalFormatting sqref="A237:A239">
    <cfRule type="duplicateValues" dxfId="32" priority="31"/>
    <cfRule type="duplicateValues" dxfId="31" priority="32"/>
  </conditionalFormatting>
  <conditionalFormatting sqref="A237:A239">
    <cfRule type="duplicateValues" dxfId="30" priority="30"/>
  </conditionalFormatting>
  <conditionalFormatting sqref="A637">
    <cfRule type="duplicateValues" dxfId="29" priority="29" stopIfTrue="1"/>
  </conditionalFormatting>
  <conditionalFormatting sqref="A637">
    <cfRule type="duplicateValues" dxfId="28" priority="27" stopIfTrue="1"/>
    <cfRule type="duplicateValues" dxfId="27" priority="28" stopIfTrue="1"/>
  </conditionalFormatting>
  <conditionalFormatting sqref="A637">
    <cfRule type="duplicateValues" dxfId="26" priority="26" stopIfTrue="1"/>
  </conditionalFormatting>
  <conditionalFormatting sqref="A637">
    <cfRule type="duplicateValues" dxfId="25" priority="24" stopIfTrue="1"/>
    <cfRule type="duplicateValues" dxfId="24" priority="25" stopIfTrue="1"/>
  </conditionalFormatting>
  <conditionalFormatting sqref="A637">
    <cfRule type="duplicateValues" dxfId="23" priority="23"/>
  </conditionalFormatting>
  <conditionalFormatting sqref="A637">
    <cfRule type="duplicateValues" dxfId="22" priority="22"/>
  </conditionalFormatting>
  <conditionalFormatting sqref="A637">
    <cfRule type="duplicateValues" dxfId="21" priority="21"/>
  </conditionalFormatting>
  <conditionalFormatting sqref="A240:A242">
    <cfRule type="duplicateValues" dxfId="20" priority="20" stopIfTrue="1"/>
  </conditionalFormatting>
  <conditionalFormatting sqref="A240:A242">
    <cfRule type="duplicateValues" dxfId="19" priority="18" stopIfTrue="1"/>
    <cfRule type="duplicateValues" dxfId="18" priority="19" stopIfTrue="1"/>
  </conditionalFormatting>
  <conditionalFormatting sqref="A240:A242">
    <cfRule type="duplicateValues" dxfId="17" priority="17"/>
  </conditionalFormatting>
  <conditionalFormatting sqref="A240:A242">
    <cfRule type="duplicateValues" dxfId="16" priority="16"/>
  </conditionalFormatting>
  <conditionalFormatting sqref="A240:A242">
    <cfRule type="duplicateValues" dxfId="15" priority="15"/>
  </conditionalFormatting>
  <conditionalFormatting sqref="A240:A242">
    <cfRule type="duplicateValues" dxfId="14" priority="14"/>
  </conditionalFormatting>
  <conditionalFormatting sqref="A240:A242">
    <cfRule type="duplicateValues" dxfId="13" priority="12"/>
    <cfRule type="duplicateValues" dxfId="12" priority="13"/>
  </conditionalFormatting>
  <conditionalFormatting sqref="A240:A242">
    <cfRule type="duplicateValues" dxfId="11" priority="11"/>
  </conditionalFormatting>
  <conditionalFormatting sqref="A243:A244">
    <cfRule type="duplicateValues" dxfId="10" priority="2744" stopIfTrue="1"/>
  </conditionalFormatting>
  <conditionalFormatting sqref="A243:A244">
    <cfRule type="duplicateValues" dxfId="9" priority="2745" stopIfTrue="1"/>
    <cfRule type="duplicateValues" dxfId="8" priority="2746" stopIfTrue="1"/>
  </conditionalFormatting>
  <conditionalFormatting sqref="A243:A244">
    <cfRule type="duplicateValues" dxfId="7" priority="2747"/>
  </conditionalFormatting>
  <conditionalFormatting sqref="A243:A244">
    <cfRule type="duplicateValues" dxfId="6" priority="2751"/>
    <cfRule type="duplicateValues" dxfId="5" priority="2752"/>
  </conditionalFormatting>
  <conditionalFormatting sqref="A243:A244">
    <cfRule type="duplicateValues" dxfId="4" priority="2753"/>
  </conditionalFormatting>
  <conditionalFormatting sqref="A176:A226">
    <cfRule type="duplicateValues" dxfId="3" priority="3154" stopIfTrue="1"/>
  </conditionalFormatting>
  <conditionalFormatting sqref="A176:A226">
    <cfRule type="duplicateValues" dxfId="2" priority="3155" stopIfTrue="1"/>
    <cfRule type="duplicateValues" dxfId="1" priority="3156" stopIfTrue="1"/>
  </conditionalFormatting>
  <conditionalFormatting sqref="A176:A226">
    <cfRule type="duplicateValues" dxfId="0" priority="3157"/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5"/>
  <sheetViews>
    <sheetView workbookViewId="0">
      <selection activeCell="C31" sqref="C31"/>
    </sheetView>
  </sheetViews>
  <sheetFormatPr defaultRowHeight="14.25" x14ac:dyDescent="0.15"/>
  <cols>
    <col min="1" max="1" width="4.75" customWidth="1"/>
    <col min="3" max="3" width="34.875" customWidth="1"/>
    <col min="4" max="4" width="8.125" style="49" customWidth="1"/>
    <col min="5" max="5" width="36" customWidth="1"/>
    <col min="7" max="7" width="25.125" customWidth="1"/>
    <col min="8" max="8" width="18.375" customWidth="1"/>
  </cols>
  <sheetData>
    <row r="1" spans="1:6" x14ac:dyDescent="0.15">
      <c r="A1" t="s">
        <v>6</v>
      </c>
      <c r="B1" t="s">
        <v>7</v>
      </c>
      <c r="C1" t="s">
        <v>8</v>
      </c>
      <c r="D1" s="49" t="s">
        <v>1</v>
      </c>
      <c r="E1" t="s">
        <v>2</v>
      </c>
    </row>
    <row r="2" spans="1:6" x14ac:dyDescent="0.15">
      <c r="A2">
        <v>1</v>
      </c>
      <c r="B2" t="s">
        <v>6</v>
      </c>
      <c r="C2" t="s">
        <v>3</v>
      </c>
      <c r="E2" t="s">
        <v>5</v>
      </c>
    </row>
    <row r="3" spans="1:6" x14ac:dyDescent="0.15">
      <c r="A3">
        <v>2</v>
      </c>
      <c r="B3" t="s">
        <v>7</v>
      </c>
      <c r="C3" t="s">
        <v>4</v>
      </c>
      <c r="E3" t="s">
        <v>0</v>
      </c>
    </row>
    <row r="4" spans="1:6" x14ac:dyDescent="0.15">
      <c r="A4">
        <v>3</v>
      </c>
      <c r="B4" t="s">
        <v>15</v>
      </c>
      <c r="C4" s="1" t="s">
        <v>933</v>
      </c>
      <c r="D4" s="49" t="s">
        <v>334</v>
      </c>
      <c r="E4" t="s">
        <v>326</v>
      </c>
    </row>
    <row r="5" spans="1:6" x14ac:dyDescent="0.15">
      <c r="C5" t="s">
        <v>17</v>
      </c>
      <c r="D5" s="49" t="s">
        <v>18</v>
      </c>
      <c r="E5" t="s">
        <v>327</v>
      </c>
    </row>
    <row r="6" spans="1:6" x14ac:dyDescent="0.15">
      <c r="C6" t="s">
        <v>328</v>
      </c>
      <c r="D6" s="49" t="s">
        <v>19</v>
      </c>
      <c r="E6" t="s">
        <v>329</v>
      </c>
      <c r="F6" s="34" t="s">
        <v>832</v>
      </c>
    </row>
    <row r="7" spans="1:6" x14ac:dyDescent="0.15">
      <c r="C7" t="s">
        <v>20</v>
      </c>
      <c r="D7" s="49" t="s">
        <v>21</v>
      </c>
      <c r="E7" t="s">
        <v>950</v>
      </c>
    </row>
    <row r="8" spans="1:6" x14ac:dyDescent="0.15">
      <c r="C8" t="s">
        <v>330</v>
      </c>
      <c r="D8" s="49" t="s">
        <v>59</v>
      </c>
      <c r="E8" t="s">
        <v>331</v>
      </c>
    </row>
    <row r="9" spans="1:6" ht="15.75" customHeight="1" x14ac:dyDescent="0.15">
      <c r="C9" s="5" t="s">
        <v>332</v>
      </c>
      <c r="D9" s="49" t="s">
        <v>51</v>
      </c>
      <c r="E9" t="s">
        <v>333</v>
      </c>
    </row>
    <row r="10" spans="1:6" ht="16.5" customHeight="1" x14ac:dyDescent="0.15">
      <c r="A10">
        <v>4</v>
      </c>
      <c r="B10" t="s">
        <v>35</v>
      </c>
      <c r="C10" s="1"/>
      <c r="D10" s="49" t="s">
        <v>36</v>
      </c>
    </row>
    <row r="11" spans="1:6" x14ac:dyDescent="0.15">
      <c r="A11">
        <v>5</v>
      </c>
      <c r="B11" t="s">
        <v>22</v>
      </c>
      <c r="C11" t="s">
        <v>271</v>
      </c>
    </row>
    <row r="12" spans="1:6" x14ac:dyDescent="0.15">
      <c r="C12" t="s">
        <v>272</v>
      </c>
    </row>
    <row r="13" spans="1:6" x14ac:dyDescent="0.15">
      <c r="C13" t="s">
        <v>273</v>
      </c>
    </row>
    <row r="14" spans="1:6" x14ac:dyDescent="0.15">
      <c r="C14" t="s">
        <v>274</v>
      </c>
    </row>
    <row r="15" spans="1:6" x14ac:dyDescent="0.15">
      <c r="C15" t="s">
        <v>275</v>
      </c>
    </row>
    <row r="16" spans="1:6" x14ac:dyDescent="0.15">
      <c r="C16" t="s">
        <v>276</v>
      </c>
    </row>
    <row r="17" spans="1:3" x14ac:dyDescent="0.15">
      <c r="C17" t="s">
        <v>706</v>
      </c>
    </row>
    <row r="18" spans="1:3" x14ac:dyDescent="0.15">
      <c r="A18">
        <v>6</v>
      </c>
      <c r="B18" t="s">
        <v>42</v>
      </c>
      <c r="C18" t="s">
        <v>44</v>
      </c>
    </row>
    <row r="19" spans="1:3" x14ac:dyDescent="0.15">
      <c r="A19">
        <v>7</v>
      </c>
      <c r="B19" t="s">
        <v>54</v>
      </c>
      <c r="C19" t="s">
        <v>57</v>
      </c>
    </row>
    <row r="20" spans="1:3" x14ac:dyDescent="0.15">
      <c r="A20">
        <v>8</v>
      </c>
      <c r="B20" t="s">
        <v>55</v>
      </c>
      <c r="C20" t="s">
        <v>260</v>
      </c>
    </row>
    <row r="21" spans="1:3" x14ac:dyDescent="0.15">
      <c r="A21">
        <v>9</v>
      </c>
      <c r="B21" t="s">
        <v>56</v>
      </c>
      <c r="C21" t="s">
        <v>58</v>
      </c>
    </row>
    <row r="22" spans="1:3" x14ac:dyDescent="0.15">
      <c r="A22">
        <v>10</v>
      </c>
      <c r="B22" t="s">
        <v>115</v>
      </c>
      <c r="C22" t="s">
        <v>116</v>
      </c>
    </row>
    <row r="24" spans="1:3" x14ac:dyDescent="0.15">
      <c r="B24" t="s">
        <v>405</v>
      </c>
    </row>
    <row r="25" spans="1:3" x14ac:dyDescent="0.15">
      <c r="B25" t="s">
        <v>406</v>
      </c>
    </row>
    <row r="26" spans="1:3" x14ac:dyDescent="0.15">
      <c r="B26" t="s">
        <v>407</v>
      </c>
    </row>
    <row r="27" spans="1:3" x14ac:dyDescent="0.15">
      <c r="B27" t="s">
        <v>408</v>
      </c>
    </row>
    <row r="28" spans="1:3" x14ac:dyDescent="0.15">
      <c r="B28" t="s">
        <v>409</v>
      </c>
    </row>
    <row r="29" spans="1:3" x14ac:dyDescent="0.15">
      <c r="B29" t="s">
        <v>410</v>
      </c>
    </row>
    <row r="30" spans="1:3" x14ac:dyDescent="0.15">
      <c r="B30" t="s">
        <v>411</v>
      </c>
    </row>
    <row r="31" spans="1:3" x14ac:dyDescent="0.15">
      <c r="B31" t="s">
        <v>412</v>
      </c>
    </row>
    <row r="32" spans="1:3" x14ac:dyDescent="0.15">
      <c r="B32" t="s">
        <v>413</v>
      </c>
    </row>
    <row r="33" spans="1:4" x14ac:dyDescent="0.15">
      <c r="B33" t="s">
        <v>414</v>
      </c>
    </row>
    <row r="34" spans="1:4" x14ac:dyDescent="0.15">
      <c r="B34" t="s">
        <v>415</v>
      </c>
    </row>
    <row r="35" spans="1:4" x14ac:dyDescent="0.15">
      <c r="B35" t="s">
        <v>416</v>
      </c>
    </row>
    <row r="36" spans="1:4" x14ac:dyDescent="0.15">
      <c r="B36" t="s">
        <v>417</v>
      </c>
    </row>
    <row r="37" spans="1:4" ht="28.5" x14ac:dyDescent="0.15">
      <c r="A37">
        <v>11</v>
      </c>
      <c r="B37" s="1" t="s">
        <v>561</v>
      </c>
      <c r="C37" s="24" t="s">
        <v>562</v>
      </c>
    </row>
    <row r="39" spans="1:4" x14ac:dyDescent="0.15">
      <c r="A39" t="s">
        <v>937</v>
      </c>
    </row>
    <row r="40" spans="1:4" x14ac:dyDescent="0.15">
      <c r="B40" t="s">
        <v>935</v>
      </c>
    </row>
    <row r="41" spans="1:4" x14ac:dyDescent="0.15">
      <c r="B41" t="s">
        <v>934</v>
      </c>
      <c r="D41" s="49" t="s">
        <v>936</v>
      </c>
    </row>
    <row r="43" spans="1:4" x14ac:dyDescent="0.15">
      <c r="A43">
        <v>12</v>
      </c>
      <c r="B43" t="s">
        <v>1661</v>
      </c>
    </row>
    <row r="44" spans="1:4" x14ac:dyDescent="0.15">
      <c r="B44" t="s">
        <v>1662</v>
      </c>
    </row>
    <row r="45" spans="1:4" x14ac:dyDescent="0.15">
      <c r="B45" t="s">
        <v>1663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0"/>
  <sheetViews>
    <sheetView workbookViewId="0">
      <selection activeCell="G1" sqref="G1:G60"/>
    </sheetView>
  </sheetViews>
  <sheetFormatPr defaultRowHeight="14.25" x14ac:dyDescent="0.15"/>
  <cols>
    <col min="1" max="1" width="15" customWidth="1"/>
    <col min="2" max="2" width="6.5" customWidth="1"/>
  </cols>
  <sheetData>
    <row r="1" spans="1:7" x14ac:dyDescent="0.15">
      <c r="A1" t="s">
        <v>65</v>
      </c>
      <c r="B1" t="s">
        <v>66</v>
      </c>
      <c r="G1">
        <v>1</v>
      </c>
    </row>
    <row r="2" spans="1:7" x14ac:dyDescent="0.15">
      <c r="A2" t="s">
        <v>69</v>
      </c>
      <c r="B2" t="s">
        <v>67</v>
      </c>
      <c r="G2">
        <v>2</v>
      </c>
    </row>
    <row r="3" spans="1:7" x14ac:dyDescent="0.15">
      <c r="A3" t="s">
        <v>68</v>
      </c>
      <c r="B3" t="s">
        <v>94</v>
      </c>
      <c r="G3">
        <v>3</v>
      </c>
    </row>
    <row r="4" spans="1:7" x14ac:dyDescent="0.15">
      <c r="A4" t="s">
        <v>70</v>
      </c>
      <c r="B4" t="s">
        <v>71</v>
      </c>
      <c r="G4">
        <v>4</v>
      </c>
    </row>
    <row r="5" spans="1:7" x14ac:dyDescent="0.15">
      <c r="A5" t="s">
        <v>72</v>
      </c>
      <c r="B5" t="s">
        <v>73</v>
      </c>
      <c r="G5">
        <v>5</v>
      </c>
    </row>
    <row r="6" spans="1:7" x14ac:dyDescent="0.15">
      <c r="A6" t="s">
        <v>74</v>
      </c>
      <c r="B6" t="s">
        <v>75</v>
      </c>
      <c r="G6">
        <v>6</v>
      </c>
    </row>
    <row r="7" spans="1:7" x14ac:dyDescent="0.15">
      <c r="A7" t="s">
        <v>76</v>
      </c>
      <c r="B7" t="s">
        <v>77</v>
      </c>
      <c r="G7">
        <v>7</v>
      </c>
    </row>
    <row r="8" spans="1:7" x14ac:dyDescent="0.15">
      <c r="G8">
        <v>8</v>
      </c>
    </row>
    <row r="9" spans="1:7" x14ac:dyDescent="0.15">
      <c r="G9">
        <v>9</v>
      </c>
    </row>
    <row r="10" spans="1:7" x14ac:dyDescent="0.15">
      <c r="A10" t="s">
        <v>95</v>
      </c>
      <c r="G10">
        <v>10</v>
      </c>
    </row>
    <row r="11" spans="1:7" x14ac:dyDescent="0.15">
      <c r="A11" t="s">
        <v>96</v>
      </c>
      <c r="B11">
        <v>10104</v>
      </c>
      <c r="G11">
        <v>11</v>
      </c>
    </row>
    <row r="12" spans="1:7" x14ac:dyDescent="0.15">
      <c r="A12" t="s">
        <v>97</v>
      </c>
      <c r="B12">
        <v>10201</v>
      </c>
      <c r="G12">
        <v>12</v>
      </c>
    </row>
    <row r="13" spans="1:7" x14ac:dyDescent="0.15">
      <c r="A13" t="s">
        <v>26</v>
      </c>
      <c r="B13">
        <v>10304</v>
      </c>
      <c r="G13">
        <v>13</v>
      </c>
    </row>
    <row r="14" spans="1:7" x14ac:dyDescent="0.15">
      <c r="A14" t="s">
        <v>27</v>
      </c>
      <c r="B14">
        <v>10305</v>
      </c>
      <c r="G14">
        <v>14</v>
      </c>
    </row>
    <row r="15" spans="1:7" x14ac:dyDescent="0.15">
      <c r="A15" t="s">
        <v>28</v>
      </c>
      <c r="B15">
        <v>10309</v>
      </c>
      <c r="G15">
        <v>15</v>
      </c>
    </row>
    <row r="16" spans="1:7" x14ac:dyDescent="0.15">
      <c r="A16" t="s">
        <v>29</v>
      </c>
      <c r="B16">
        <v>10404</v>
      </c>
      <c r="G16">
        <v>16</v>
      </c>
    </row>
    <row r="17" spans="1:7" x14ac:dyDescent="0.15">
      <c r="A17" t="s">
        <v>98</v>
      </c>
      <c r="B17">
        <v>10412</v>
      </c>
      <c r="G17">
        <v>17</v>
      </c>
    </row>
    <row r="18" spans="1:7" x14ac:dyDescent="0.15">
      <c r="A18" t="s">
        <v>99</v>
      </c>
      <c r="B18">
        <v>10501</v>
      </c>
      <c r="G18">
        <v>18</v>
      </c>
    </row>
    <row r="19" spans="1:7" x14ac:dyDescent="0.15">
      <c r="A19" t="s">
        <v>100</v>
      </c>
      <c r="B19">
        <v>10504</v>
      </c>
      <c r="G19">
        <v>19</v>
      </c>
    </row>
    <row r="20" spans="1:7" x14ac:dyDescent="0.15">
      <c r="A20" t="s">
        <v>101</v>
      </c>
      <c r="B20">
        <v>10505</v>
      </c>
      <c r="G20">
        <v>20</v>
      </c>
    </row>
    <row r="21" spans="1:7" x14ac:dyDescent="0.15">
      <c r="A21" t="s">
        <v>102</v>
      </c>
      <c r="B21">
        <v>10507</v>
      </c>
      <c r="G21">
        <v>21</v>
      </c>
    </row>
    <row r="22" spans="1:7" x14ac:dyDescent="0.15">
      <c r="A22" t="s">
        <v>103</v>
      </c>
      <c r="B22">
        <v>10509</v>
      </c>
      <c r="G22">
        <v>22</v>
      </c>
    </row>
    <row r="23" spans="1:7" x14ac:dyDescent="0.15">
      <c r="A23" t="s">
        <v>41</v>
      </c>
      <c r="B23">
        <v>10608</v>
      </c>
      <c r="G23">
        <v>23</v>
      </c>
    </row>
    <row r="24" spans="1:7" x14ac:dyDescent="0.15">
      <c r="A24" t="s">
        <v>104</v>
      </c>
      <c r="B24">
        <v>10609</v>
      </c>
      <c r="G24">
        <v>24</v>
      </c>
    </row>
    <row r="25" spans="1:7" x14ac:dyDescent="0.15">
      <c r="A25" t="s">
        <v>105</v>
      </c>
      <c r="B25">
        <v>10711</v>
      </c>
      <c r="G25">
        <v>25</v>
      </c>
    </row>
    <row r="26" spans="1:7" x14ac:dyDescent="0.15">
      <c r="A26" t="s">
        <v>106</v>
      </c>
      <c r="B26">
        <v>10107</v>
      </c>
      <c r="G26">
        <v>26</v>
      </c>
    </row>
    <row r="27" spans="1:7" x14ac:dyDescent="0.15">
      <c r="G27">
        <v>27</v>
      </c>
    </row>
    <row r="28" spans="1:7" x14ac:dyDescent="0.15">
      <c r="G28">
        <v>28</v>
      </c>
    </row>
    <row r="29" spans="1:7" x14ac:dyDescent="0.15">
      <c r="G29">
        <v>29</v>
      </c>
    </row>
    <row r="30" spans="1:7" x14ac:dyDescent="0.15">
      <c r="G30">
        <v>30</v>
      </c>
    </row>
    <row r="31" spans="1:7" x14ac:dyDescent="0.15">
      <c r="G31">
        <v>31</v>
      </c>
    </row>
    <row r="32" spans="1:7" x14ac:dyDescent="0.15">
      <c r="G32">
        <v>32</v>
      </c>
    </row>
    <row r="33" spans="7:7" x14ac:dyDescent="0.15">
      <c r="G33">
        <v>33</v>
      </c>
    </row>
    <row r="34" spans="7:7" x14ac:dyDescent="0.15">
      <c r="G34">
        <v>34</v>
      </c>
    </row>
    <row r="35" spans="7:7" x14ac:dyDescent="0.15">
      <c r="G35">
        <v>35</v>
      </c>
    </row>
    <row r="36" spans="7:7" x14ac:dyDescent="0.15">
      <c r="G36">
        <v>36</v>
      </c>
    </row>
    <row r="37" spans="7:7" x14ac:dyDescent="0.15">
      <c r="G37">
        <v>37</v>
      </c>
    </row>
    <row r="38" spans="7:7" x14ac:dyDescent="0.15">
      <c r="G38">
        <v>38</v>
      </c>
    </row>
    <row r="39" spans="7:7" x14ac:dyDescent="0.15">
      <c r="G39">
        <v>39</v>
      </c>
    </row>
    <row r="40" spans="7:7" x14ac:dyDescent="0.15">
      <c r="G40">
        <v>40</v>
      </c>
    </row>
    <row r="41" spans="7:7" x14ac:dyDescent="0.15">
      <c r="G41">
        <v>41</v>
      </c>
    </row>
    <row r="42" spans="7:7" x14ac:dyDescent="0.15">
      <c r="G42">
        <v>42</v>
      </c>
    </row>
    <row r="43" spans="7:7" x14ac:dyDescent="0.15">
      <c r="G43">
        <v>43</v>
      </c>
    </row>
    <row r="44" spans="7:7" x14ac:dyDescent="0.15">
      <c r="G44">
        <v>44</v>
      </c>
    </row>
    <row r="45" spans="7:7" x14ac:dyDescent="0.15">
      <c r="G45">
        <v>45</v>
      </c>
    </row>
    <row r="46" spans="7:7" x14ac:dyDescent="0.15">
      <c r="G46">
        <v>46</v>
      </c>
    </row>
    <row r="47" spans="7:7" x14ac:dyDescent="0.15">
      <c r="G47">
        <v>47</v>
      </c>
    </row>
    <row r="48" spans="7:7" x14ac:dyDescent="0.15">
      <c r="G48">
        <v>48</v>
      </c>
    </row>
    <row r="49" spans="7:7" x14ac:dyDescent="0.15">
      <c r="G49">
        <v>49</v>
      </c>
    </row>
    <row r="50" spans="7:7" x14ac:dyDescent="0.15">
      <c r="G50">
        <v>50</v>
      </c>
    </row>
    <row r="51" spans="7:7" x14ac:dyDescent="0.15">
      <c r="G51">
        <v>51</v>
      </c>
    </row>
    <row r="52" spans="7:7" x14ac:dyDescent="0.15">
      <c r="G52">
        <v>52</v>
      </c>
    </row>
    <row r="53" spans="7:7" x14ac:dyDescent="0.15">
      <c r="G53">
        <v>53</v>
      </c>
    </row>
    <row r="54" spans="7:7" x14ac:dyDescent="0.15">
      <c r="G54">
        <v>54</v>
      </c>
    </row>
    <row r="55" spans="7:7" x14ac:dyDescent="0.15">
      <c r="G55">
        <v>55</v>
      </c>
    </row>
    <row r="56" spans="7:7" x14ac:dyDescent="0.15">
      <c r="G56">
        <v>56</v>
      </c>
    </row>
    <row r="57" spans="7:7" x14ac:dyDescent="0.15">
      <c r="G57">
        <v>57</v>
      </c>
    </row>
    <row r="58" spans="7:7" x14ac:dyDescent="0.15">
      <c r="G58">
        <v>58</v>
      </c>
    </row>
    <row r="59" spans="7:7" x14ac:dyDescent="0.15">
      <c r="G59">
        <v>59</v>
      </c>
    </row>
    <row r="60" spans="7:7" x14ac:dyDescent="0.15">
      <c r="G60">
        <v>60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字段说明</vt:lpstr>
      <vt:lpstr>ID段划分备注</vt:lpstr>
      <vt:lpstr>ID段划分备注!不可叠加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蒋波娜</cp:lastModifiedBy>
  <dcterms:created xsi:type="dcterms:W3CDTF">2006-11-01T06:28:03Z</dcterms:created>
  <dcterms:modified xsi:type="dcterms:W3CDTF">2014-02-18T08:27:58Z</dcterms:modified>
</cp:coreProperties>
</file>
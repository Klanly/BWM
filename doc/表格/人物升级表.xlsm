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9110" yWindow="-105" windowWidth="18150" windowHeight="11490"/>
  </bookViews>
  <sheets>
    <sheet name="Sheet1" sheetId="1" r:id="rId1"/>
    <sheet name="字段说明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L152" i="1" l="1"/>
  <c r="J3" i="1" l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2" i="1"/>
  <c r="G3" i="1" l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2" i="1"/>
  <c r="H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2" i="1"/>
</calcChain>
</file>

<file path=xl/sharedStrings.xml><?xml version="1.0" encoding="utf-8"?>
<sst xmlns="http://schemas.openxmlformats.org/spreadsheetml/2006/main" count="205" uniqueCount="52">
  <si>
    <t>人物等级</t>
    <phoneticPr fontId="1" type="noConversion"/>
  </si>
  <si>
    <t>活力</t>
    <phoneticPr fontId="1" type="noConversion"/>
  </si>
  <si>
    <t>精神</t>
  </si>
  <si>
    <t>技巧</t>
    <phoneticPr fontId="1" type="noConversion"/>
  </si>
  <si>
    <t>知识</t>
    <phoneticPr fontId="1" type="noConversion"/>
  </si>
  <si>
    <t>技能点数</t>
    <phoneticPr fontId="1" type="noConversion"/>
  </si>
  <si>
    <t>属性点数</t>
    <phoneticPr fontId="1" type="noConversion"/>
  </si>
  <si>
    <t>升级经验</t>
    <phoneticPr fontId="1" type="noConversion"/>
  </si>
  <si>
    <t>人物从该级别升到下一级所需的经验值</t>
    <phoneticPr fontId="1" type="noConversion"/>
  </si>
  <si>
    <t>最大生命值</t>
    <phoneticPr fontId="1" type="noConversion"/>
  </si>
  <si>
    <t>最大精力值</t>
    <phoneticPr fontId="1" type="noConversion"/>
  </si>
  <si>
    <t>人物从该级别成功升到下一级时增加的最大生命值</t>
    <phoneticPr fontId="1" type="noConversion"/>
  </si>
  <si>
    <t>人物从该级别成功升到下一级时增加的最大精力值</t>
    <phoneticPr fontId="1" type="noConversion"/>
  </si>
  <si>
    <t>体质</t>
    <phoneticPr fontId="1" type="noConversion"/>
  </si>
  <si>
    <t>人物从该级别成功升到下一级时增加的自由分配点数</t>
    <phoneticPr fontId="1" type="noConversion"/>
  </si>
  <si>
    <t>特抗</t>
    <phoneticPr fontId="1" type="noConversion"/>
  </si>
  <si>
    <t>重击</t>
    <phoneticPr fontId="1" type="noConversion"/>
  </si>
  <si>
    <t>属性点数</t>
    <phoneticPr fontId="1" type="noConversion"/>
  </si>
  <si>
    <t>技能点数</t>
    <phoneticPr fontId="1" type="noConversion"/>
  </si>
  <si>
    <t>人物从该级别成功升到下一级时增加的可分配的技能点数</t>
    <phoneticPr fontId="1" type="noConversion"/>
  </si>
  <si>
    <t>人物初始值</t>
    <phoneticPr fontId="1" type="noConversion"/>
  </si>
  <si>
    <t>物攻</t>
    <phoneticPr fontId="1" type="noConversion"/>
  </si>
  <si>
    <t>物命中</t>
    <phoneticPr fontId="1" type="noConversion"/>
  </si>
  <si>
    <t>物防</t>
    <phoneticPr fontId="1" type="noConversion"/>
  </si>
  <si>
    <t>物躲避</t>
    <phoneticPr fontId="1" type="noConversion"/>
  </si>
  <si>
    <t>负重</t>
    <phoneticPr fontId="1" type="noConversion"/>
  </si>
  <si>
    <t>化攻</t>
    <phoneticPr fontId="1" type="noConversion"/>
  </si>
  <si>
    <t>化命中</t>
    <phoneticPr fontId="1" type="noConversion"/>
  </si>
  <si>
    <t>化防</t>
    <phoneticPr fontId="1" type="noConversion"/>
  </si>
  <si>
    <t>化躲避</t>
    <phoneticPr fontId="1" type="noConversion"/>
  </si>
  <si>
    <t>体力恢复/5秒</t>
    <phoneticPr fontId="1" type="noConversion"/>
  </si>
  <si>
    <t>特攻</t>
    <phoneticPr fontId="1" type="noConversion"/>
  </si>
  <si>
    <t>1点技巧分配</t>
    <phoneticPr fontId="1" type="noConversion"/>
  </si>
  <si>
    <t>1点体质分配</t>
    <phoneticPr fontId="1" type="noConversion"/>
  </si>
  <si>
    <t>1点知识分配</t>
    <phoneticPr fontId="1" type="noConversion"/>
  </si>
  <si>
    <t>1点活力分配</t>
    <phoneticPr fontId="1" type="noConversion"/>
  </si>
  <si>
    <t>1点精神分配</t>
    <phoneticPr fontId="1" type="noConversion"/>
  </si>
  <si>
    <t>最大体力值</t>
    <phoneticPr fontId="1" type="noConversion"/>
  </si>
  <si>
    <t>升级特效</t>
    <phoneticPr fontId="1" type="noConversion"/>
  </si>
  <si>
    <t>最大生命</t>
    <phoneticPr fontId="1" type="noConversion"/>
  </si>
  <si>
    <t>最大精力</t>
    <phoneticPr fontId="1" type="noConversion"/>
  </si>
  <si>
    <t>最大体力</t>
    <phoneticPr fontId="1" type="noConversion"/>
  </si>
  <si>
    <t>升级经验</t>
    <phoneticPr fontId="1" type="noConversion"/>
  </si>
  <si>
    <t>银币上限</t>
    <phoneticPr fontId="1" type="noConversion"/>
  </si>
  <si>
    <t>引导ID</t>
    <phoneticPr fontId="1" type="noConversion"/>
  </si>
  <si>
    <t>铜币上限</t>
    <phoneticPr fontId="1" type="noConversion"/>
  </si>
  <si>
    <t>shengji_sz.sfx</t>
  </si>
  <si>
    <t>物攻增加</t>
    <phoneticPr fontId="1" type="noConversion"/>
  </si>
  <si>
    <t>化攻增加</t>
    <phoneticPr fontId="1" type="noConversion"/>
  </si>
  <si>
    <t>物防增加</t>
    <phoneticPr fontId="1" type="noConversion"/>
  </si>
  <si>
    <t>化防增加</t>
    <phoneticPr fontId="1" type="noConversion"/>
  </si>
  <si>
    <t>真气增加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</si>
</sst>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宋体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5" xfId="0" applyBorder="1">
      <alignment vertical="center"/>
    </xf>
    <xf numFmtId="0" fontId="0" fillId="0" borderId="1" xfId="0" applyFill="1" applyBorder="1">
      <alignment vertical="center"/>
    </xf>
    <xf numFmtId="0" fontId="0" fillId="0" borderId="3" xfId="0" applyFill="1" applyBorder="1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2"/>
  <sheetViews>
    <sheetView tabSelected="1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N78" sqref="N78:N152"/>
    </sheetView>
  </sheetViews>
  <sheetFormatPr defaultRowHeight="16.5"/>
  <cols>
    <col min="1" max="1" width="8" style="9" bestFit="1" customWidth="1"/>
    <col min="2" max="2" width="11.625" style="9" bestFit="1" customWidth="1"/>
    <col min="3" max="3" width="11.875" style="9" bestFit="1" customWidth="1"/>
    <col min="4" max="12" width="8" style="9" bestFit="1" customWidth="1"/>
    <col min="13" max="14" width="9.5" style="9" bestFit="1" customWidth="1"/>
    <col min="15" max="15" width="6.5" style="9" bestFit="1" customWidth="1"/>
    <col min="16" max="16384" width="9" style="9"/>
  </cols>
  <sheetData>
    <row r="1" spans="1:15">
      <c r="A1" s="9" t="s">
        <v>0</v>
      </c>
      <c r="B1" s="9" t="s">
        <v>42</v>
      </c>
      <c r="C1" s="9" t="s">
        <v>38</v>
      </c>
      <c r="D1" s="9" t="s">
        <v>39</v>
      </c>
      <c r="E1" s="9" t="s">
        <v>47</v>
      </c>
      <c r="F1" s="9" t="s">
        <v>48</v>
      </c>
      <c r="G1" s="9" t="s">
        <v>49</v>
      </c>
      <c r="H1" s="9" t="s">
        <v>50</v>
      </c>
      <c r="I1" s="9" t="s">
        <v>40</v>
      </c>
      <c r="J1" s="9" t="s">
        <v>41</v>
      </c>
      <c r="K1" s="9" t="s">
        <v>17</v>
      </c>
      <c r="L1" s="9" t="s">
        <v>51</v>
      </c>
      <c r="M1" s="9" t="s">
        <v>43</v>
      </c>
      <c r="N1" s="9" t="s">
        <v>45</v>
      </c>
      <c r="O1" s="9" t="s">
        <v>44</v>
      </c>
    </row>
    <row r="2" spans="1:15">
      <c r="A2" s="9">
        <v>1</v>
      </c>
      <c r="B2" s="9">
        <v>500</v>
      </c>
      <c r="C2" s="9" t="s">
        <v>46</v>
      </c>
      <c r="D2" s="9">
        <v>72</v>
      </c>
      <c r="E2" s="9">
        <f>INT(D2/6)</f>
        <v>12</v>
      </c>
      <c r="F2" s="9">
        <f>E2</f>
        <v>12</v>
      </c>
      <c r="G2" s="9">
        <f>ROUND(E2*0.7,0)</f>
        <v>8</v>
      </c>
      <c r="H2" s="9">
        <f>G2</f>
        <v>8</v>
      </c>
      <c r="I2" s="9">
        <v>100</v>
      </c>
      <c r="J2" s="9">
        <v>54</v>
      </c>
      <c r="K2" s="9">
        <v>0</v>
      </c>
      <c r="L2" s="9">
        <v>400</v>
      </c>
      <c r="M2" s="9">
        <v>60000000</v>
      </c>
      <c r="N2" s="9">
        <v>3000000</v>
      </c>
      <c r="O2" s="9">
        <v>0</v>
      </c>
    </row>
    <row r="3" spans="1:15">
      <c r="A3" s="9">
        <v>2</v>
      </c>
      <c r="B3" s="9">
        <v>590</v>
      </c>
      <c r="C3" s="9" t="s">
        <v>46</v>
      </c>
      <c r="D3" s="9">
        <v>144</v>
      </c>
      <c r="E3" s="9">
        <f t="shared" ref="E3:E66" si="0">INT(D3/6)</f>
        <v>24</v>
      </c>
      <c r="F3" s="9">
        <f t="shared" ref="F3:F66" si="1">E3</f>
        <v>24</v>
      </c>
      <c r="G3" s="9">
        <f t="shared" ref="G3:G66" si="2">ROUND(E3*0.7,0)</f>
        <v>17</v>
      </c>
      <c r="H3" s="9">
        <f t="shared" ref="H3:H66" si="3">G3</f>
        <v>17</v>
      </c>
      <c r="I3" s="9">
        <v>105</v>
      </c>
      <c r="J3" s="9">
        <f>J2+54</f>
        <v>108</v>
      </c>
      <c r="K3" s="9">
        <v>0</v>
      </c>
      <c r="L3" s="9">
        <v>400</v>
      </c>
      <c r="M3" s="9">
        <v>60000000</v>
      </c>
      <c r="N3" s="9">
        <v>3000000</v>
      </c>
      <c r="O3" s="9">
        <v>0</v>
      </c>
    </row>
    <row r="4" spans="1:15">
      <c r="A4" s="9">
        <v>3</v>
      </c>
      <c r="B4" s="9">
        <v>690</v>
      </c>
      <c r="C4" s="9" t="s">
        <v>46</v>
      </c>
      <c r="D4" s="9">
        <v>216</v>
      </c>
      <c r="E4" s="9">
        <f t="shared" si="0"/>
        <v>36</v>
      </c>
      <c r="F4" s="9">
        <f t="shared" si="1"/>
        <v>36</v>
      </c>
      <c r="G4" s="9">
        <f t="shared" si="2"/>
        <v>25</v>
      </c>
      <c r="H4" s="9">
        <f t="shared" si="3"/>
        <v>25</v>
      </c>
      <c r="I4" s="9">
        <v>110</v>
      </c>
      <c r="J4" s="9">
        <f t="shared" ref="J4:J67" si="4">J3+54</f>
        <v>162</v>
      </c>
      <c r="K4" s="9">
        <v>0</v>
      </c>
      <c r="L4" s="9">
        <v>400</v>
      </c>
      <c r="M4" s="9">
        <v>60000000</v>
      </c>
      <c r="N4" s="9">
        <v>3000000</v>
      </c>
      <c r="O4" s="9">
        <v>0</v>
      </c>
    </row>
    <row r="5" spans="1:15">
      <c r="A5" s="9">
        <v>4</v>
      </c>
      <c r="B5" s="9">
        <v>820</v>
      </c>
      <c r="C5" s="9" t="s">
        <v>46</v>
      </c>
      <c r="D5" s="9">
        <v>288</v>
      </c>
      <c r="E5" s="9">
        <f t="shared" si="0"/>
        <v>48</v>
      </c>
      <c r="F5" s="9">
        <f t="shared" si="1"/>
        <v>48</v>
      </c>
      <c r="G5" s="9">
        <f t="shared" si="2"/>
        <v>34</v>
      </c>
      <c r="H5" s="9">
        <f t="shared" si="3"/>
        <v>34</v>
      </c>
      <c r="I5" s="9">
        <v>115</v>
      </c>
      <c r="J5" s="9">
        <f t="shared" si="4"/>
        <v>216</v>
      </c>
      <c r="K5" s="9">
        <v>0</v>
      </c>
      <c r="L5" s="9">
        <v>220</v>
      </c>
      <c r="M5" s="9">
        <v>60000000</v>
      </c>
      <c r="N5" s="9">
        <v>3000000</v>
      </c>
      <c r="O5" s="9">
        <v>0</v>
      </c>
    </row>
    <row r="6" spans="1:15">
      <c r="A6" s="9">
        <v>5</v>
      </c>
      <c r="B6" s="9">
        <v>960</v>
      </c>
      <c r="C6" s="9" t="s">
        <v>46</v>
      </c>
      <c r="D6" s="9">
        <v>360</v>
      </c>
      <c r="E6" s="9">
        <f t="shared" si="0"/>
        <v>60</v>
      </c>
      <c r="F6" s="9">
        <f t="shared" si="1"/>
        <v>60</v>
      </c>
      <c r="G6" s="9">
        <f t="shared" si="2"/>
        <v>42</v>
      </c>
      <c r="H6" s="9">
        <f t="shared" si="3"/>
        <v>42</v>
      </c>
      <c r="I6" s="9">
        <v>120</v>
      </c>
      <c r="J6" s="9">
        <f t="shared" si="4"/>
        <v>270</v>
      </c>
      <c r="K6" s="9">
        <v>0</v>
      </c>
      <c r="L6" s="9">
        <v>220</v>
      </c>
      <c r="M6" s="9">
        <v>60000000</v>
      </c>
      <c r="N6" s="9">
        <v>3000000</v>
      </c>
      <c r="O6" s="9">
        <v>0</v>
      </c>
    </row>
    <row r="7" spans="1:15">
      <c r="A7" s="9">
        <v>6</v>
      </c>
      <c r="B7" s="9">
        <v>1140</v>
      </c>
      <c r="C7" s="9" t="s">
        <v>46</v>
      </c>
      <c r="D7" s="9">
        <v>432</v>
      </c>
      <c r="E7" s="9">
        <f t="shared" si="0"/>
        <v>72</v>
      </c>
      <c r="F7" s="9">
        <f t="shared" si="1"/>
        <v>72</v>
      </c>
      <c r="G7" s="9">
        <f t="shared" si="2"/>
        <v>50</v>
      </c>
      <c r="H7" s="9">
        <f t="shared" si="3"/>
        <v>50</v>
      </c>
      <c r="I7" s="9">
        <v>125</v>
      </c>
      <c r="J7" s="9">
        <f t="shared" si="4"/>
        <v>324</v>
      </c>
      <c r="K7" s="9">
        <v>0</v>
      </c>
      <c r="L7" s="9">
        <v>207</v>
      </c>
      <c r="M7" s="9">
        <v>60000000</v>
      </c>
      <c r="N7" s="9">
        <v>3000000</v>
      </c>
      <c r="O7" s="9">
        <v>0</v>
      </c>
    </row>
    <row r="8" spans="1:15">
      <c r="A8" s="9">
        <v>7</v>
      </c>
      <c r="B8" s="9">
        <v>1340</v>
      </c>
      <c r="C8" s="9" t="s">
        <v>46</v>
      </c>
      <c r="D8" s="9">
        <v>504</v>
      </c>
      <c r="E8" s="9">
        <f t="shared" si="0"/>
        <v>84</v>
      </c>
      <c r="F8" s="9">
        <f t="shared" si="1"/>
        <v>84</v>
      </c>
      <c r="G8" s="9">
        <f t="shared" si="2"/>
        <v>59</v>
      </c>
      <c r="H8" s="9">
        <f t="shared" si="3"/>
        <v>59</v>
      </c>
      <c r="I8" s="9">
        <v>130</v>
      </c>
      <c r="J8" s="9">
        <f t="shared" si="4"/>
        <v>378</v>
      </c>
      <c r="K8" s="9">
        <v>0</v>
      </c>
      <c r="L8" s="9">
        <v>215</v>
      </c>
      <c r="M8" s="9">
        <v>60000000</v>
      </c>
      <c r="N8" s="9">
        <v>3000000</v>
      </c>
      <c r="O8" s="9">
        <v>0</v>
      </c>
    </row>
    <row r="9" spans="1:15">
      <c r="A9" s="9">
        <v>8</v>
      </c>
      <c r="B9" s="9">
        <v>1590</v>
      </c>
      <c r="C9" s="9" t="s">
        <v>46</v>
      </c>
      <c r="D9" s="9">
        <v>576</v>
      </c>
      <c r="E9" s="9">
        <f t="shared" si="0"/>
        <v>96</v>
      </c>
      <c r="F9" s="9">
        <f t="shared" si="1"/>
        <v>96</v>
      </c>
      <c r="G9" s="9">
        <f t="shared" si="2"/>
        <v>67</v>
      </c>
      <c r="H9" s="9">
        <f t="shared" si="3"/>
        <v>67</v>
      </c>
      <c r="I9" s="9">
        <v>135</v>
      </c>
      <c r="J9" s="9">
        <f t="shared" si="4"/>
        <v>432</v>
      </c>
      <c r="K9" s="9">
        <v>0</v>
      </c>
      <c r="L9" s="9">
        <v>224</v>
      </c>
      <c r="M9" s="9">
        <v>60000000</v>
      </c>
      <c r="N9" s="9">
        <v>3000000</v>
      </c>
      <c r="O9" s="9">
        <v>0</v>
      </c>
    </row>
    <row r="10" spans="1:15">
      <c r="A10" s="9">
        <v>9</v>
      </c>
      <c r="B10" s="9">
        <v>1870</v>
      </c>
      <c r="C10" s="9" t="s">
        <v>46</v>
      </c>
      <c r="D10" s="9">
        <v>648</v>
      </c>
      <c r="E10" s="9">
        <f t="shared" si="0"/>
        <v>108</v>
      </c>
      <c r="F10" s="9">
        <f t="shared" si="1"/>
        <v>108</v>
      </c>
      <c r="G10" s="9">
        <f t="shared" si="2"/>
        <v>76</v>
      </c>
      <c r="H10" s="9">
        <f t="shared" si="3"/>
        <v>76</v>
      </c>
      <c r="I10" s="9">
        <v>140</v>
      </c>
      <c r="J10" s="9">
        <f t="shared" si="4"/>
        <v>486</v>
      </c>
      <c r="K10" s="9">
        <v>0</v>
      </c>
      <c r="L10" s="9">
        <v>233</v>
      </c>
      <c r="M10" s="9">
        <v>60000000</v>
      </c>
      <c r="N10" s="9">
        <v>3000000</v>
      </c>
      <c r="O10" s="9">
        <v>0</v>
      </c>
    </row>
    <row r="11" spans="1:15">
      <c r="A11" s="9">
        <v>10</v>
      </c>
      <c r="B11" s="9">
        <v>2210</v>
      </c>
      <c r="C11" s="9" t="s">
        <v>46</v>
      </c>
      <c r="D11" s="9">
        <v>720</v>
      </c>
      <c r="E11" s="9">
        <f t="shared" si="0"/>
        <v>120</v>
      </c>
      <c r="F11" s="9">
        <f t="shared" si="1"/>
        <v>120</v>
      </c>
      <c r="G11" s="9">
        <f t="shared" si="2"/>
        <v>84</v>
      </c>
      <c r="H11" s="9">
        <f t="shared" si="3"/>
        <v>84</v>
      </c>
      <c r="I11" s="9">
        <v>145</v>
      </c>
      <c r="J11" s="9">
        <f t="shared" si="4"/>
        <v>540</v>
      </c>
      <c r="K11" s="9">
        <v>0</v>
      </c>
      <c r="L11" s="9">
        <v>242</v>
      </c>
      <c r="M11" s="9">
        <v>60000000</v>
      </c>
      <c r="N11" s="9">
        <v>3000000</v>
      </c>
      <c r="O11" s="9">
        <v>0</v>
      </c>
    </row>
    <row r="12" spans="1:15">
      <c r="A12" s="9">
        <v>11</v>
      </c>
      <c r="B12" s="9">
        <v>2610</v>
      </c>
      <c r="C12" s="9" t="s">
        <v>46</v>
      </c>
      <c r="D12" s="9">
        <v>792</v>
      </c>
      <c r="E12" s="9">
        <f t="shared" si="0"/>
        <v>132</v>
      </c>
      <c r="F12" s="9">
        <f t="shared" si="1"/>
        <v>132</v>
      </c>
      <c r="G12" s="9">
        <f t="shared" si="2"/>
        <v>92</v>
      </c>
      <c r="H12" s="9">
        <f t="shared" si="3"/>
        <v>92</v>
      </c>
      <c r="I12" s="9">
        <v>150</v>
      </c>
      <c r="J12" s="9">
        <f t="shared" si="4"/>
        <v>594</v>
      </c>
      <c r="K12" s="9">
        <v>0</v>
      </c>
      <c r="L12" s="9">
        <v>252</v>
      </c>
      <c r="M12" s="9">
        <v>60000000</v>
      </c>
      <c r="N12" s="9">
        <v>3000000</v>
      </c>
      <c r="O12" s="9">
        <v>0</v>
      </c>
    </row>
    <row r="13" spans="1:15">
      <c r="A13" s="9">
        <v>12</v>
      </c>
      <c r="B13" s="9">
        <v>3080</v>
      </c>
      <c r="C13" s="9" t="s">
        <v>46</v>
      </c>
      <c r="D13" s="9">
        <v>864</v>
      </c>
      <c r="E13" s="9">
        <f t="shared" si="0"/>
        <v>144</v>
      </c>
      <c r="F13" s="9">
        <f t="shared" si="1"/>
        <v>144</v>
      </c>
      <c r="G13" s="9">
        <f t="shared" si="2"/>
        <v>101</v>
      </c>
      <c r="H13" s="9">
        <f t="shared" si="3"/>
        <v>101</v>
      </c>
      <c r="I13" s="9">
        <v>155</v>
      </c>
      <c r="J13" s="9">
        <f t="shared" si="4"/>
        <v>648</v>
      </c>
      <c r="K13" s="9">
        <v>0</v>
      </c>
      <c r="L13" s="9">
        <v>262</v>
      </c>
      <c r="M13" s="9">
        <v>60000000</v>
      </c>
      <c r="N13" s="9">
        <v>3000000</v>
      </c>
      <c r="O13" s="9">
        <v>0</v>
      </c>
    </row>
    <row r="14" spans="1:15" s="10" customFormat="1">
      <c r="A14" s="10">
        <v>13</v>
      </c>
      <c r="B14" s="10">
        <v>3640</v>
      </c>
      <c r="C14" s="9" t="s">
        <v>46</v>
      </c>
      <c r="D14" s="10">
        <v>936</v>
      </c>
      <c r="E14" s="9">
        <f t="shared" si="0"/>
        <v>156</v>
      </c>
      <c r="F14" s="9">
        <f t="shared" si="1"/>
        <v>156</v>
      </c>
      <c r="G14" s="9">
        <f t="shared" si="2"/>
        <v>109</v>
      </c>
      <c r="H14" s="9">
        <f t="shared" si="3"/>
        <v>109</v>
      </c>
      <c r="I14" s="10">
        <v>160</v>
      </c>
      <c r="J14" s="9">
        <f t="shared" si="4"/>
        <v>702</v>
      </c>
      <c r="K14" s="9">
        <v>0</v>
      </c>
      <c r="L14" s="9">
        <v>272</v>
      </c>
      <c r="M14" s="9">
        <v>60000000</v>
      </c>
      <c r="N14" s="9">
        <v>3000000</v>
      </c>
      <c r="O14" s="9">
        <v>0</v>
      </c>
    </row>
    <row r="15" spans="1:15" s="10" customFormat="1">
      <c r="A15" s="10">
        <v>14</v>
      </c>
      <c r="B15" s="10">
        <v>4290</v>
      </c>
      <c r="C15" s="9" t="s">
        <v>46</v>
      </c>
      <c r="D15" s="10">
        <v>1008</v>
      </c>
      <c r="E15" s="9">
        <f t="shared" si="0"/>
        <v>168</v>
      </c>
      <c r="F15" s="9">
        <f t="shared" si="1"/>
        <v>168</v>
      </c>
      <c r="G15" s="9">
        <f t="shared" si="2"/>
        <v>118</v>
      </c>
      <c r="H15" s="9">
        <f t="shared" si="3"/>
        <v>118</v>
      </c>
      <c r="I15" s="10">
        <v>165</v>
      </c>
      <c r="J15" s="9">
        <f t="shared" si="4"/>
        <v>756</v>
      </c>
      <c r="K15" s="9">
        <v>0</v>
      </c>
      <c r="L15" s="9">
        <v>283</v>
      </c>
      <c r="M15" s="9">
        <v>60000000</v>
      </c>
      <c r="N15" s="9">
        <v>3000000</v>
      </c>
      <c r="O15" s="9">
        <v>0</v>
      </c>
    </row>
    <row r="16" spans="1:15" s="10" customFormat="1">
      <c r="A16" s="10">
        <v>15</v>
      </c>
      <c r="B16" s="10">
        <v>5070</v>
      </c>
      <c r="C16" s="9" t="s">
        <v>46</v>
      </c>
      <c r="D16" s="10">
        <v>1080</v>
      </c>
      <c r="E16" s="9">
        <f t="shared" si="0"/>
        <v>180</v>
      </c>
      <c r="F16" s="9">
        <f t="shared" si="1"/>
        <v>180</v>
      </c>
      <c r="G16" s="9">
        <f t="shared" si="2"/>
        <v>126</v>
      </c>
      <c r="H16" s="9">
        <f t="shared" si="3"/>
        <v>126</v>
      </c>
      <c r="I16" s="10">
        <v>170</v>
      </c>
      <c r="J16" s="9">
        <f t="shared" si="4"/>
        <v>810</v>
      </c>
      <c r="K16" s="9">
        <v>0</v>
      </c>
      <c r="L16" s="9">
        <v>294</v>
      </c>
      <c r="M16" s="9">
        <v>60000000</v>
      </c>
      <c r="N16" s="9">
        <v>3000000</v>
      </c>
      <c r="O16" s="9">
        <v>0</v>
      </c>
    </row>
    <row r="17" spans="1:15">
      <c r="A17" s="9">
        <v>16</v>
      </c>
      <c r="B17" s="9">
        <v>5980</v>
      </c>
      <c r="C17" s="9" t="s">
        <v>46</v>
      </c>
      <c r="D17" s="9">
        <v>1152</v>
      </c>
      <c r="E17" s="9">
        <f t="shared" si="0"/>
        <v>192</v>
      </c>
      <c r="F17" s="9">
        <f t="shared" si="1"/>
        <v>192</v>
      </c>
      <c r="G17" s="9">
        <f t="shared" si="2"/>
        <v>134</v>
      </c>
      <c r="H17" s="9">
        <f t="shared" si="3"/>
        <v>134</v>
      </c>
      <c r="I17" s="9">
        <v>175</v>
      </c>
      <c r="J17" s="9">
        <f t="shared" si="4"/>
        <v>864</v>
      </c>
      <c r="K17" s="9">
        <v>0</v>
      </c>
      <c r="L17" s="9">
        <v>306</v>
      </c>
      <c r="M17" s="9">
        <v>60000000</v>
      </c>
      <c r="N17" s="9">
        <v>3000000</v>
      </c>
      <c r="O17" s="9">
        <v>0</v>
      </c>
    </row>
    <row r="18" spans="1:15">
      <c r="A18" s="9">
        <v>17</v>
      </c>
      <c r="B18" s="9">
        <v>7060</v>
      </c>
      <c r="C18" s="9" t="s">
        <v>46</v>
      </c>
      <c r="D18" s="9">
        <v>1224</v>
      </c>
      <c r="E18" s="9">
        <f t="shared" si="0"/>
        <v>204</v>
      </c>
      <c r="F18" s="9">
        <f t="shared" si="1"/>
        <v>204</v>
      </c>
      <c r="G18" s="9">
        <f t="shared" si="2"/>
        <v>143</v>
      </c>
      <c r="H18" s="9">
        <f t="shared" si="3"/>
        <v>143</v>
      </c>
      <c r="I18" s="9">
        <v>180</v>
      </c>
      <c r="J18" s="9">
        <f t="shared" si="4"/>
        <v>918</v>
      </c>
      <c r="K18" s="9">
        <v>0</v>
      </c>
      <c r="L18" s="9">
        <v>318</v>
      </c>
      <c r="M18" s="9">
        <v>60000000</v>
      </c>
      <c r="N18" s="9">
        <v>3000000</v>
      </c>
      <c r="O18" s="9">
        <v>0</v>
      </c>
    </row>
    <row r="19" spans="1:15">
      <c r="A19" s="9">
        <v>18</v>
      </c>
      <c r="B19" s="9">
        <v>8330</v>
      </c>
      <c r="C19" s="9" t="s">
        <v>46</v>
      </c>
      <c r="D19" s="9">
        <v>1296</v>
      </c>
      <c r="E19" s="9">
        <f t="shared" si="0"/>
        <v>216</v>
      </c>
      <c r="F19" s="9">
        <f t="shared" si="1"/>
        <v>216</v>
      </c>
      <c r="G19" s="9">
        <f t="shared" si="2"/>
        <v>151</v>
      </c>
      <c r="H19" s="9">
        <f t="shared" si="3"/>
        <v>151</v>
      </c>
      <c r="I19" s="9">
        <v>185</v>
      </c>
      <c r="J19" s="9">
        <f t="shared" si="4"/>
        <v>972</v>
      </c>
      <c r="K19" s="9">
        <v>0</v>
      </c>
      <c r="L19" s="9">
        <v>331</v>
      </c>
      <c r="M19" s="9">
        <v>60000000</v>
      </c>
      <c r="N19" s="9">
        <v>3000000</v>
      </c>
      <c r="O19" s="9">
        <v>0</v>
      </c>
    </row>
    <row r="20" spans="1:15">
      <c r="A20" s="9">
        <v>19</v>
      </c>
      <c r="B20" s="9">
        <v>9830</v>
      </c>
      <c r="C20" s="9" t="s">
        <v>46</v>
      </c>
      <c r="D20" s="9">
        <v>1368</v>
      </c>
      <c r="E20" s="9">
        <f t="shared" si="0"/>
        <v>228</v>
      </c>
      <c r="F20" s="9">
        <f t="shared" si="1"/>
        <v>228</v>
      </c>
      <c r="G20" s="9">
        <f t="shared" si="2"/>
        <v>160</v>
      </c>
      <c r="H20" s="9">
        <f t="shared" si="3"/>
        <v>160</v>
      </c>
      <c r="I20" s="9">
        <v>190</v>
      </c>
      <c r="J20" s="9">
        <f t="shared" si="4"/>
        <v>1026</v>
      </c>
      <c r="K20" s="9">
        <v>0</v>
      </c>
      <c r="L20" s="9">
        <v>344</v>
      </c>
      <c r="M20" s="9">
        <v>60000000</v>
      </c>
      <c r="N20" s="9">
        <v>3000000</v>
      </c>
      <c r="O20" s="9">
        <v>0</v>
      </c>
    </row>
    <row r="21" spans="1:15">
      <c r="A21" s="9">
        <v>20</v>
      </c>
      <c r="B21" s="9">
        <v>11600</v>
      </c>
      <c r="C21" s="9" t="s">
        <v>46</v>
      </c>
      <c r="D21" s="9">
        <v>1440</v>
      </c>
      <c r="E21" s="9">
        <f t="shared" si="0"/>
        <v>240</v>
      </c>
      <c r="F21" s="9">
        <f t="shared" si="1"/>
        <v>240</v>
      </c>
      <c r="G21" s="9">
        <f t="shared" si="2"/>
        <v>168</v>
      </c>
      <c r="H21" s="9">
        <f t="shared" si="3"/>
        <v>168</v>
      </c>
      <c r="I21" s="9">
        <v>195</v>
      </c>
      <c r="J21" s="9">
        <f t="shared" si="4"/>
        <v>1080</v>
      </c>
      <c r="K21" s="9">
        <v>0</v>
      </c>
      <c r="L21" s="9">
        <v>358</v>
      </c>
      <c r="M21" s="9">
        <v>60000000</v>
      </c>
      <c r="N21" s="9">
        <v>3000000</v>
      </c>
      <c r="O21" s="9">
        <v>0</v>
      </c>
    </row>
    <row r="22" spans="1:15">
      <c r="A22" s="9">
        <v>21</v>
      </c>
      <c r="B22" s="9">
        <v>13690</v>
      </c>
      <c r="C22" s="9" t="s">
        <v>46</v>
      </c>
      <c r="D22" s="9">
        <v>1512</v>
      </c>
      <c r="E22" s="9">
        <f t="shared" si="0"/>
        <v>252</v>
      </c>
      <c r="F22" s="9">
        <f t="shared" si="1"/>
        <v>252</v>
      </c>
      <c r="G22" s="9">
        <f t="shared" si="2"/>
        <v>176</v>
      </c>
      <c r="H22" s="9">
        <f t="shared" si="3"/>
        <v>176</v>
      </c>
      <c r="I22" s="9">
        <v>200</v>
      </c>
      <c r="J22" s="9">
        <f t="shared" si="4"/>
        <v>1134</v>
      </c>
      <c r="K22" s="9">
        <v>0</v>
      </c>
      <c r="L22" s="9">
        <v>372</v>
      </c>
      <c r="M22" s="9">
        <v>60000000</v>
      </c>
      <c r="N22" s="9">
        <v>3000000</v>
      </c>
      <c r="O22" s="9">
        <v>0</v>
      </c>
    </row>
    <row r="23" spans="1:15">
      <c r="A23" s="9">
        <v>22</v>
      </c>
      <c r="B23" s="9">
        <v>16160</v>
      </c>
      <c r="C23" s="9" t="s">
        <v>46</v>
      </c>
      <c r="D23" s="9">
        <v>1584</v>
      </c>
      <c r="E23" s="9">
        <f t="shared" si="0"/>
        <v>264</v>
      </c>
      <c r="F23" s="9">
        <f t="shared" si="1"/>
        <v>264</v>
      </c>
      <c r="G23" s="9">
        <f t="shared" si="2"/>
        <v>185</v>
      </c>
      <c r="H23" s="9">
        <f t="shared" si="3"/>
        <v>185</v>
      </c>
      <c r="I23" s="9">
        <v>205</v>
      </c>
      <c r="J23" s="9">
        <f t="shared" si="4"/>
        <v>1188</v>
      </c>
      <c r="K23" s="9">
        <v>0</v>
      </c>
      <c r="L23" s="9">
        <v>387</v>
      </c>
      <c r="M23" s="9">
        <v>60000000</v>
      </c>
      <c r="N23" s="9">
        <v>3000000</v>
      </c>
      <c r="O23" s="9">
        <v>0</v>
      </c>
    </row>
    <row r="24" spans="1:15">
      <c r="A24" s="9">
        <v>23</v>
      </c>
      <c r="B24" s="9">
        <v>19070</v>
      </c>
      <c r="C24" s="9" t="s">
        <v>46</v>
      </c>
      <c r="D24" s="9">
        <v>1656</v>
      </c>
      <c r="E24" s="9">
        <f t="shared" si="0"/>
        <v>276</v>
      </c>
      <c r="F24" s="9">
        <f t="shared" si="1"/>
        <v>276</v>
      </c>
      <c r="G24" s="9">
        <f t="shared" si="2"/>
        <v>193</v>
      </c>
      <c r="H24" s="9">
        <f t="shared" si="3"/>
        <v>193</v>
      </c>
      <c r="I24" s="9">
        <v>210</v>
      </c>
      <c r="J24" s="9">
        <f t="shared" si="4"/>
        <v>1242</v>
      </c>
      <c r="K24" s="9">
        <v>0</v>
      </c>
      <c r="L24" s="9">
        <v>403</v>
      </c>
      <c r="M24" s="9">
        <v>60000000</v>
      </c>
      <c r="N24" s="9">
        <v>3000000</v>
      </c>
      <c r="O24" s="9">
        <v>0</v>
      </c>
    </row>
    <row r="25" spans="1:15">
      <c r="A25" s="9">
        <v>24</v>
      </c>
      <c r="B25" s="9">
        <v>22500</v>
      </c>
      <c r="C25" s="9" t="s">
        <v>46</v>
      </c>
      <c r="D25" s="9">
        <v>1728</v>
      </c>
      <c r="E25" s="9">
        <f t="shared" si="0"/>
        <v>288</v>
      </c>
      <c r="F25" s="9">
        <f t="shared" si="1"/>
        <v>288</v>
      </c>
      <c r="G25" s="9">
        <f t="shared" si="2"/>
        <v>202</v>
      </c>
      <c r="H25" s="9">
        <f t="shared" si="3"/>
        <v>202</v>
      </c>
      <c r="I25" s="9">
        <v>215</v>
      </c>
      <c r="J25" s="9">
        <f t="shared" si="4"/>
        <v>1296</v>
      </c>
      <c r="K25" s="9">
        <v>0</v>
      </c>
      <c r="L25" s="9">
        <v>419</v>
      </c>
      <c r="M25" s="9">
        <v>60000000</v>
      </c>
      <c r="N25" s="9">
        <v>3000000</v>
      </c>
      <c r="O25" s="9">
        <v>0</v>
      </c>
    </row>
    <row r="26" spans="1:15">
      <c r="A26" s="9">
        <v>25</v>
      </c>
      <c r="B26" s="9">
        <v>26550</v>
      </c>
      <c r="C26" s="9" t="s">
        <v>46</v>
      </c>
      <c r="D26" s="9">
        <v>1800</v>
      </c>
      <c r="E26" s="9">
        <f t="shared" si="0"/>
        <v>300</v>
      </c>
      <c r="F26" s="9">
        <f t="shared" si="1"/>
        <v>300</v>
      </c>
      <c r="G26" s="9">
        <f t="shared" si="2"/>
        <v>210</v>
      </c>
      <c r="H26" s="9">
        <f t="shared" si="3"/>
        <v>210</v>
      </c>
      <c r="I26" s="9">
        <v>220</v>
      </c>
      <c r="J26" s="9">
        <f t="shared" si="4"/>
        <v>1350</v>
      </c>
      <c r="K26" s="9">
        <v>0</v>
      </c>
      <c r="L26" s="9">
        <v>436</v>
      </c>
      <c r="M26" s="9">
        <v>60000000</v>
      </c>
      <c r="N26" s="9">
        <v>3000000</v>
      </c>
      <c r="O26" s="9">
        <v>0</v>
      </c>
    </row>
    <row r="27" spans="1:15">
      <c r="A27" s="9">
        <v>26</v>
      </c>
      <c r="B27" s="9">
        <v>31330</v>
      </c>
      <c r="C27" s="9" t="s">
        <v>46</v>
      </c>
      <c r="D27" s="9">
        <v>1872</v>
      </c>
      <c r="E27" s="9">
        <f t="shared" si="0"/>
        <v>312</v>
      </c>
      <c r="F27" s="9">
        <f t="shared" si="1"/>
        <v>312</v>
      </c>
      <c r="G27" s="9">
        <f t="shared" si="2"/>
        <v>218</v>
      </c>
      <c r="H27" s="9">
        <f t="shared" si="3"/>
        <v>218</v>
      </c>
      <c r="I27" s="9">
        <v>225</v>
      </c>
      <c r="J27" s="9">
        <f t="shared" si="4"/>
        <v>1404</v>
      </c>
      <c r="K27" s="9">
        <v>0</v>
      </c>
      <c r="L27" s="9">
        <v>453</v>
      </c>
      <c r="M27" s="9">
        <v>60000000</v>
      </c>
      <c r="N27" s="9">
        <v>3000000</v>
      </c>
      <c r="O27" s="9">
        <v>0</v>
      </c>
    </row>
    <row r="28" spans="1:15">
      <c r="A28" s="9">
        <v>27</v>
      </c>
      <c r="B28" s="9">
        <v>36970</v>
      </c>
      <c r="C28" s="9" t="s">
        <v>46</v>
      </c>
      <c r="D28" s="9">
        <v>1944</v>
      </c>
      <c r="E28" s="9">
        <f t="shared" si="0"/>
        <v>324</v>
      </c>
      <c r="F28" s="9">
        <f t="shared" si="1"/>
        <v>324</v>
      </c>
      <c r="G28" s="9">
        <f t="shared" si="2"/>
        <v>227</v>
      </c>
      <c r="H28" s="9">
        <f t="shared" si="3"/>
        <v>227</v>
      </c>
      <c r="I28" s="9">
        <v>230</v>
      </c>
      <c r="J28" s="9">
        <f t="shared" si="4"/>
        <v>1458</v>
      </c>
      <c r="K28" s="9">
        <v>0</v>
      </c>
      <c r="L28" s="9">
        <v>471</v>
      </c>
      <c r="M28" s="9">
        <v>60000000</v>
      </c>
      <c r="N28" s="9">
        <v>3000000</v>
      </c>
      <c r="O28" s="9">
        <v>0</v>
      </c>
    </row>
    <row r="29" spans="1:15">
      <c r="A29" s="9">
        <v>28</v>
      </c>
      <c r="B29" s="9">
        <v>43620</v>
      </c>
      <c r="C29" s="9" t="s">
        <v>46</v>
      </c>
      <c r="D29" s="9">
        <v>2016</v>
      </c>
      <c r="E29" s="9">
        <f t="shared" si="0"/>
        <v>336</v>
      </c>
      <c r="F29" s="9">
        <f t="shared" si="1"/>
        <v>336</v>
      </c>
      <c r="G29" s="9">
        <f t="shared" si="2"/>
        <v>235</v>
      </c>
      <c r="H29" s="9">
        <f t="shared" si="3"/>
        <v>235</v>
      </c>
      <c r="I29" s="9">
        <v>235</v>
      </c>
      <c r="J29" s="9">
        <f t="shared" si="4"/>
        <v>1512</v>
      </c>
      <c r="K29" s="9">
        <v>0</v>
      </c>
      <c r="L29" s="9">
        <v>490</v>
      </c>
      <c r="M29" s="9">
        <v>60000000</v>
      </c>
      <c r="N29" s="9">
        <v>3000000</v>
      </c>
      <c r="O29" s="9">
        <v>0</v>
      </c>
    </row>
    <row r="30" spans="1:15">
      <c r="A30" s="9">
        <v>29</v>
      </c>
      <c r="B30" s="9">
        <v>51480</v>
      </c>
      <c r="C30" s="9" t="s">
        <v>46</v>
      </c>
      <c r="D30" s="9">
        <v>2088</v>
      </c>
      <c r="E30" s="9">
        <f t="shared" si="0"/>
        <v>348</v>
      </c>
      <c r="F30" s="9">
        <f t="shared" si="1"/>
        <v>348</v>
      </c>
      <c r="G30" s="9">
        <f t="shared" si="2"/>
        <v>244</v>
      </c>
      <c r="H30" s="9">
        <f t="shared" si="3"/>
        <v>244</v>
      </c>
      <c r="I30" s="9">
        <v>240</v>
      </c>
      <c r="J30" s="9">
        <f t="shared" si="4"/>
        <v>1566</v>
      </c>
      <c r="K30" s="9">
        <v>0</v>
      </c>
      <c r="L30" s="9">
        <v>510</v>
      </c>
      <c r="M30" s="9">
        <v>60000000</v>
      </c>
      <c r="N30" s="9">
        <v>3000000</v>
      </c>
      <c r="O30" s="9">
        <v>0</v>
      </c>
    </row>
    <row r="31" spans="1:15">
      <c r="A31" s="9">
        <v>30</v>
      </c>
      <c r="B31" s="9">
        <v>60750</v>
      </c>
      <c r="C31" s="9" t="s">
        <v>46</v>
      </c>
      <c r="D31" s="9">
        <v>2160</v>
      </c>
      <c r="E31" s="9">
        <f t="shared" si="0"/>
        <v>360</v>
      </c>
      <c r="F31" s="9">
        <f t="shared" si="1"/>
        <v>360</v>
      </c>
      <c r="G31" s="9">
        <f t="shared" si="2"/>
        <v>252</v>
      </c>
      <c r="H31" s="9">
        <f t="shared" si="3"/>
        <v>252</v>
      </c>
      <c r="I31" s="9">
        <v>245</v>
      </c>
      <c r="J31" s="9">
        <f t="shared" si="4"/>
        <v>1620</v>
      </c>
      <c r="K31" s="9">
        <v>0</v>
      </c>
      <c r="L31" s="9">
        <v>530</v>
      </c>
      <c r="M31" s="9">
        <v>60000000</v>
      </c>
      <c r="N31" s="9">
        <v>3000000</v>
      </c>
      <c r="O31" s="9">
        <v>0</v>
      </c>
    </row>
    <row r="32" spans="1:15">
      <c r="A32" s="9">
        <v>31</v>
      </c>
      <c r="B32" s="9">
        <v>71680</v>
      </c>
      <c r="C32" s="9" t="s">
        <v>46</v>
      </c>
      <c r="D32" s="9">
        <v>2232</v>
      </c>
      <c r="E32" s="9">
        <f t="shared" si="0"/>
        <v>372</v>
      </c>
      <c r="F32" s="9">
        <f t="shared" si="1"/>
        <v>372</v>
      </c>
      <c r="G32" s="9">
        <f t="shared" si="2"/>
        <v>260</v>
      </c>
      <c r="H32" s="9">
        <f t="shared" si="3"/>
        <v>260</v>
      </c>
      <c r="I32" s="9">
        <v>250</v>
      </c>
      <c r="J32" s="9">
        <f t="shared" si="4"/>
        <v>1674</v>
      </c>
      <c r="K32" s="9">
        <v>0</v>
      </c>
      <c r="L32" s="9">
        <v>551</v>
      </c>
      <c r="M32" s="9">
        <v>60000000</v>
      </c>
      <c r="N32" s="9">
        <v>3000000</v>
      </c>
      <c r="O32" s="9">
        <v>0</v>
      </c>
    </row>
    <row r="33" spans="1:15">
      <c r="A33" s="9">
        <v>32</v>
      </c>
      <c r="B33" s="9">
        <v>84580</v>
      </c>
      <c r="C33" s="9" t="s">
        <v>46</v>
      </c>
      <c r="D33" s="9">
        <v>2304</v>
      </c>
      <c r="E33" s="9">
        <f t="shared" si="0"/>
        <v>384</v>
      </c>
      <c r="F33" s="9">
        <f t="shared" si="1"/>
        <v>384</v>
      </c>
      <c r="G33" s="9">
        <f t="shared" si="2"/>
        <v>269</v>
      </c>
      <c r="H33" s="9">
        <f t="shared" si="3"/>
        <v>269</v>
      </c>
      <c r="I33" s="9">
        <v>255</v>
      </c>
      <c r="J33" s="9">
        <f t="shared" si="4"/>
        <v>1728</v>
      </c>
      <c r="K33" s="9">
        <v>0</v>
      </c>
      <c r="L33" s="9">
        <v>573</v>
      </c>
      <c r="M33" s="9">
        <v>60000000</v>
      </c>
      <c r="N33" s="9">
        <v>3000000</v>
      </c>
      <c r="O33" s="9">
        <v>0</v>
      </c>
    </row>
    <row r="34" spans="1:15">
      <c r="A34" s="9">
        <v>33</v>
      </c>
      <c r="B34" s="9">
        <v>99810</v>
      </c>
      <c r="C34" s="9" t="s">
        <v>46</v>
      </c>
      <c r="D34" s="9">
        <v>2376</v>
      </c>
      <c r="E34" s="9">
        <f t="shared" si="0"/>
        <v>396</v>
      </c>
      <c r="F34" s="9">
        <f t="shared" si="1"/>
        <v>396</v>
      </c>
      <c r="G34" s="9">
        <f t="shared" si="2"/>
        <v>277</v>
      </c>
      <c r="H34" s="9">
        <f t="shared" si="3"/>
        <v>277</v>
      </c>
      <c r="I34" s="9">
        <v>260</v>
      </c>
      <c r="J34" s="9">
        <f t="shared" si="4"/>
        <v>1782</v>
      </c>
      <c r="K34" s="9">
        <v>0</v>
      </c>
      <c r="L34" s="9">
        <v>596</v>
      </c>
      <c r="M34" s="9">
        <v>60000000</v>
      </c>
      <c r="N34" s="9">
        <v>3000000</v>
      </c>
      <c r="O34" s="9">
        <v>0</v>
      </c>
    </row>
    <row r="35" spans="1:15">
      <c r="A35" s="9">
        <v>34</v>
      </c>
      <c r="B35" s="9">
        <v>117780</v>
      </c>
      <c r="C35" s="9" t="s">
        <v>46</v>
      </c>
      <c r="D35" s="9">
        <v>2448</v>
      </c>
      <c r="E35" s="9">
        <f t="shared" si="0"/>
        <v>408</v>
      </c>
      <c r="F35" s="9">
        <f t="shared" si="1"/>
        <v>408</v>
      </c>
      <c r="G35" s="9">
        <f t="shared" si="2"/>
        <v>286</v>
      </c>
      <c r="H35" s="9">
        <f t="shared" si="3"/>
        <v>286</v>
      </c>
      <c r="I35" s="9">
        <v>265</v>
      </c>
      <c r="J35" s="9">
        <f t="shared" si="4"/>
        <v>1836</v>
      </c>
      <c r="K35" s="9">
        <v>0</v>
      </c>
      <c r="L35" s="9">
        <v>620</v>
      </c>
      <c r="M35" s="9">
        <v>60000000</v>
      </c>
      <c r="N35" s="9">
        <v>3000000</v>
      </c>
      <c r="O35" s="9">
        <v>0</v>
      </c>
    </row>
    <row r="36" spans="1:15">
      <c r="A36" s="9">
        <v>35</v>
      </c>
      <c r="B36" s="9">
        <v>138980</v>
      </c>
      <c r="C36" s="9" t="s">
        <v>46</v>
      </c>
      <c r="D36" s="9">
        <v>2520</v>
      </c>
      <c r="E36" s="9">
        <f t="shared" si="0"/>
        <v>420</v>
      </c>
      <c r="F36" s="9">
        <f t="shared" si="1"/>
        <v>420</v>
      </c>
      <c r="G36" s="9">
        <f t="shared" si="2"/>
        <v>294</v>
      </c>
      <c r="H36" s="9">
        <f t="shared" si="3"/>
        <v>294</v>
      </c>
      <c r="I36" s="9">
        <v>270</v>
      </c>
      <c r="J36" s="9">
        <f t="shared" si="4"/>
        <v>1890</v>
      </c>
      <c r="K36" s="9">
        <v>0</v>
      </c>
      <c r="L36" s="9">
        <v>645</v>
      </c>
      <c r="M36" s="9">
        <v>60000000</v>
      </c>
      <c r="N36" s="9">
        <v>3000000</v>
      </c>
      <c r="O36" s="9">
        <v>0</v>
      </c>
    </row>
    <row r="37" spans="1:15">
      <c r="A37" s="9">
        <v>36</v>
      </c>
      <c r="B37" s="9">
        <v>163990</v>
      </c>
      <c r="C37" s="9" t="s">
        <v>46</v>
      </c>
      <c r="D37" s="9">
        <v>2592</v>
      </c>
      <c r="E37" s="9">
        <f t="shared" si="0"/>
        <v>432</v>
      </c>
      <c r="F37" s="9">
        <f t="shared" si="1"/>
        <v>432</v>
      </c>
      <c r="G37" s="9">
        <f t="shared" si="2"/>
        <v>302</v>
      </c>
      <c r="H37" s="9">
        <f t="shared" si="3"/>
        <v>302</v>
      </c>
      <c r="I37" s="9">
        <v>275</v>
      </c>
      <c r="J37" s="9">
        <f t="shared" si="4"/>
        <v>1944</v>
      </c>
      <c r="K37" s="9">
        <v>0</v>
      </c>
      <c r="L37" s="9">
        <v>671</v>
      </c>
      <c r="M37" s="9">
        <v>60000000</v>
      </c>
      <c r="N37" s="9">
        <v>3000000</v>
      </c>
      <c r="O37" s="9">
        <v>0</v>
      </c>
    </row>
    <row r="38" spans="1:15">
      <c r="A38" s="9">
        <v>37</v>
      </c>
      <c r="B38" s="9">
        <v>193510</v>
      </c>
      <c r="C38" s="9" t="s">
        <v>46</v>
      </c>
      <c r="D38" s="9">
        <v>2664</v>
      </c>
      <c r="E38" s="9">
        <f t="shared" si="0"/>
        <v>444</v>
      </c>
      <c r="F38" s="9">
        <f t="shared" si="1"/>
        <v>444</v>
      </c>
      <c r="G38" s="9">
        <f t="shared" si="2"/>
        <v>311</v>
      </c>
      <c r="H38" s="9">
        <f t="shared" si="3"/>
        <v>311</v>
      </c>
      <c r="I38" s="9">
        <v>280</v>
      </c>
      <c r="J38" s="9">
        <f t="shared" si="4"/>
        <v>1998</v>
      </c>
      <c r="K38" s="9">
        <v>0</v>
      </c>
      <c r="L38" s="9">
        <v>698</v>
      </c>
      <c r="M38" s="9">
        <v>60000000</v>
      </c>
      <c r="N38" s="9">
        <v>3000000</v>
      </c>
      <c r="O38" s="9">
        <v>0</v>
      </c>
    </row>
    <row r="39" spans="1:15">
      <c r="A39" s="9">
        <v>38</v>
      </c>
      <c r="B39" s="9">
        <v>228350</v>
      </c>
      <c r="C39" s="9" t="s">
        <v>46</v>
      </c>
      <c r="D39" s="9">
        <v>2736</v>
      </c>
      <c r="E39" s="9">
        <f t="shared" si="0"/>
        <v>456</v>
      </c>
      <c r="F39" s="9">
        <f t="shared" si="1"/>
        <v>456</v>
      </c>
      <c r="G39" s="9">
        <f t="shared" si="2"/>
        <v>319</v>
      </c>
      <c r="H39" s="9">
        <f t="shared" si="3"/>
        <v>319</v>
      </c>
      <c r="I39" s="9">
        <v>285</v>
      </c>
      <c r="J39" s="9">
        <f t="shared" si="4"/>
        <v>2052</v>
      </c>
      <c r="K39" s="9">
        <v>0</v>
      </c>
      <c r="L39" s="9">
        <v>726</v>
      </c>
      <c r="M39" s="9">
        <v>60000000</v>
      </c>
      <c r="N39" s="9">
        <v>3000000</v>
      </c>
      <c r="O39" s="9">
        <v>0</v>
      </c>
    </row>
    <row r="40" spans="1:15">
      <c r="A40" s="9">
        <v>39</v>
      </c>
      <c r="B40" s="9">
        <v>269450</v>
      </c>
      <c r="C40" s="9" t="s">
        <v>46</v>
      </c>
      <c r="D40" s="9">
        <v>2808</v>
      </c>
      <c r="E40" s="9">
        <f t="shared" si="0"/>
        <v>468</v>
      </c>
      <c r="F40" s="9">
        <f t="shared" si="1"/>
        <v>468</v>
      </c>
      <c r="G40" s="9">
        <f t="shared" si="2"/>
        <v>328</v>
      </c>
      <c r="H40" s="9">
        <f t="shared" si="3"/>
        <v>328</v>
      </c>
      <c r="I40" s="9">
        <v>290</v>
      </c>
      <c r="J40" s="9">
        <f t="shared" si="4"/>
        <v>2106</v>
      </c>
      <c r="K40" s="9">
        <v>0</v>
      </c>
      <c r="L40" s="9">
        <v>755</v>
      </c>
      <c r="M40" s="9">
        <v>60000000</v>
      </c>
      <c r="N40" s="9">
        <v>3000000</v>
      </c>
      <c r="O40" s="9">
        <v>0</v>
      </c>
    </row>
    <row r="41" spans="1:15">
      <c r="A41" s="9">
        <v>40</v>
      </c>
      <c r="B41" s="9">
        <v>317950</v>
      </c>
      <c r="C41" s="9" t="s">
        <v>46</v>
      </c>
      <c r="D41" s="9">
        <v>2880</v>
      </c>
      <c r="E41" s="9">
        <f t="shared" si="0"/>
        <v>480</v>
      </c>
      <c r="F41" s="9">
        <f t="shared" si="1"/>
        <v>480</v>
      </c>
      <c r="G41" s="9">
        <f t="shared" si="2"/>
        <v>336</v>
      </c>
      <c r="H41" s="9">
        <f t="shared" si="3"/>
        <v>336</v>
      </c>
      <c r="I41" s="9">
        <v>295</v>
      </c>
      <c r="J41" s="9">
        <f t="shared" si="4"/>
        <v>2160</v>
      </c>
      <c r="K41" s="9">
        <v>0</v>
      </c>
      <c r="L41" s="9">
        <v>785</v>
      </c>
      <c r="M41" s="9">
        <v>60000000</v>
      </c>
      <c r="N41" s="9">
        <v>3000000</v>
      </c>
      <c r="O41" s="9">
        <v>0</v>
      </c>
    </row>
    <row r="42" spans="1:15">
      <c r="A42" s="9">
        <v>41</v>
      </c>
      <c r="B42" s="9">
        <v>375180</v>
      </c>
      <c r="C42" s="9" t="s">
        <v>46</v>
      </c>
      <c r="D42" s="9">
        <v>2952</v>
      </c>
      <c r="E42" s="9">
        <f t="shared" si="0"/>
        <v>492</v>
      </c>
      <c r="F42" s="9">
        <f t="shared" si="1"/>
        <v>492</v>
      </c>
      <c r="G42" s="9">
        <f t="shared" si="2"/>
        <v>344</v>
      </c>
      <c r="H42" s="9">
        <f t="shared" si="3"/>
        <v>344</v>
      </c>
      <c r="I42" s="9">
        <v>300</v>
      </c>
      <c r="J42" s="9">
        <f t="shared" si="4"/>
        <v>2214</v>
      </c>
      <c r="K42" s="9">
        <v>0</v>
      </c>
      <c r="L42" s="9">
        <v>816</v>
      </c>
      <c r="M42" s="9">
        <v>60000000</v>
      </c>
      <c r="N42" s="9">
        <v>3000000</v>
      </c>
      <c r="O42" s="9">
        <v>0</v>
      </c>
    </row>
    <row r="43" spans="1:15">
      <c r="A43" s="9">
        <v>42</v>
      </c>
      <c r="B43" s="9">
        <v>442720</v>
      </c>
      <c r="C43" s="9" t="s">
        <v>46</v>
      </c>
      <c r="D43" s="9">
        <v>3024</v>
      </c>
      <c r="E43" s="9">
        <f t="shared" si="0"/>
        <v>504</v>
      </c>
      <c r="F43" s="9">
        <f t="shared" si="1"/>
        <v>504</v>
      </c>
      <c r="G43" s="9">
        <f t="shared" si="2"/>
        <v>353</v>
      </c>
      <c r="H43" s="9">
        <f t="shared" si="3"/>
        <v>353</v>
      </c>
      <c r="I43" s="9">
        <v>305</v>
      </c>
      <c r="J43" s="9">
        <f t="shared" si="4"/>
        <v>2268</v>
      </c>
      <c r="K43" s="9">
        <v>0</v>
      </c>
      <c r="L43" s="9">
        <v>849</v>
      </c>
      <c r="M43" s="9">
        <v>60000000</v>
      </c>
      <c r="N43" s="9">
        <v>3000000</v>
      </c>
      <c r="O43" s="9">
        <v>0</v>
      </c>
    </row>
    <row r="44" spans="1:15">
      <c r="A44" s="9">
        <v>43</v>
      </c>
      <c r="B44" s="9">
        <v>522410</v>
      </c>
      <c r="C44" s="9" t="s">
        <v>46</v>
      </c>
      <c r="D44" s="9">
        <v>3096</v>
      </c>
      <c r="E44" s="9">
        <f t="shared" si="0"/>
        <v>516</v>
      </c>
      <c r="F44" s="9">
        <f t="shared" si="1"/>
        <v>516</v>
      </c>
      <c r="G44" s="9">
        <f t="shared" si="2"/>
        <v>361</v>
      </c>
      <c r="H44" s="9">
        <f t="shared" si="3"/>
        <v>361</v>
      </c>
      <c r="I44" s="9">
        <v>310</v>
      </c>
      <c r="J44" s="9">
        <f t="shared" si="4"/>
        <v>2322</v>
      </c>
      <c r="K44" s="9">
        <v>0</v>
      </c>
      <c r="L44" s="9">
        <v>883</v>
      </c>
      <c r="M44" s="9">
        <v>60000000</v>
      </c>
      <c r="N44" s="9">
        <v>3000000</v>
      </c>
      <c r="O44" s="9">
        <v>0</v>
      </c>
    </row>
    <row r="45" spans="1:15">
      <c r="A45" s="9">
        <v>44</v>
      </c>
      <c r="B45" s="9">
        <v>616440</v>
      </c>
      <c r="C45" s="9" t="s">
        <v>46</v>
      </c>
      <c r="D45" s="9">
        <v>3168</v>
      </c>
      <c r="E45" s="9">
        <f t="shared" si="0"/>
        <v>528</v>
      </c>
      <c r="F45" s="9">
        <f t="shared" si="1"/>
        <v>528</v>
      </c>
      <c r="G45" s="9">
        <f t="shared" si="2"/>
        <v>370</v>
      </c>
      <c r="H45" s="9">
        <f t="shared" si="3"/>
        <v>370</v>
      </c>
      <c r="I45" s="9">
        <v>315</v>
      </c>
      <c r="J45" s="9">
        <f t="shared" si="4"/>
        <v>2376</v>
      </c>
      <c r="K45" s="9">
        <v>0</v>
      </c>
      <c r="L45" s="9">
        <v>918</v>
      </c>
      <c r="M45" s="9">
        <v>60000000</v>
      </c>
      <c r="N45" s="9">
        <v>3000000</v>
      </c>
      <c r="O45" s="9">
        <v>0</v>
      </c>
    </row>
    <row r="46" spans="1:15">
      <c r="A46" s="9">
        <v>45</v>
      </c>
      <c r="B46" s="9">
        <v>727400</v>
      </c>
      <c r="C46" s="9" t="s">
        <v>46</v>
      </c>
      <c r="D46" s="9">
        <v>3240</v>
      </c>
      <c r="E46" s="9">
        <f t="shared" si="0"/>
        <v>540</v>
      </c>
      <c r="F46" s="9">
        <f t="shared" si="1"/>
        <v>540</v>
      </c>
      <c r="G46" s="9">
        <f t="shared" si="2"/>
        <v>378</v>
      </c>
      <c r="H46" s="9">
        <f t="shared" si="3"/>
        <v>378</v>
      </c>
      <c r="I46" s="9">
        <v>320</v>
      </c>
      <c r="J46" s="9">
        <f t="shared" si="4"/>
        <v>2430</v>
      </c>
      <c r="K46" s="9">
        <v>0</v>
      </c>
      <c r="L46" s="9">
        <v>955</v>
      </c>
      <c r="M46" s="9">
        <v>60000000</v>
      </c>
      <c r="N46" s="9">
        <v>3000000</v>
      </c>
      <c r="O46" s="9">
        <v>0</v>
      </c>
    </row>
    <row r="47" spans="1:15">
      <c r="A47" s="9">
        <v>46</v>
      </c>
      <c r="B47" s="9">
        <v>843784</v>
      </c>
      <c r="C47" s="9" t="s">
        <v>46</v>
      </c>
      <c r="D47" s="9">
        <v>3312</v>
      </c>
      <c r="E47" s="9">
        <f t="shared" si="0"/>
        <v>552</v>
      </c>
      <c r="F47" s="9">
        <f t="shared" si="1"/>
        <v>552</v>
      </c>
      <c r="G47" s="9">
        <f t="shared" si="2"/>
        <v>386</v>
      </c>
      <c r="H47" s="9">
        <f t="shared" si="3"/>
        <v>386</v>
      </c>
      <c r="I47" s="9">
        <v>325</v>
      </c>
      <c r="J47" s="9">
        <f t="shared" si="4"/>
        <v>2484</v>
      </c>
      <c r="K47" s="9">
        <v>0</v>
      </c>
      <c r="L47" s="9">
        <v>993</v>
      </c>
      <c r="M47" s="9">
        <v>60000000</v>
      </c>
      <c r="N47" s="9">
        <v>3000000</v>
      </c>
      <c r="O47" s="9">
        <v>0</v>
      </c>
    </row>
    <row r="48" spans="1:15">
      <c r="A48" s="9">
        <v>47</v>
      </c>
      <c r="B48" s="9">
        <v>978789</v>
      </c>
      <c r="C48" s="9" t="s">
        <v>46</v>
      </c>
      <c r="D48" s="9">
        <v>3384</v>
      </c>
      <c r="E48" s="9">
        <f t="shared" si="0"/>
        <v>564</v>
      </c>
      <c r="F48" s="9">
        <f t="shared" si="1"/>
        <v>564</v>
      </c>
      <c r="G48" s="9">
        <f t="shared" si="2"/>
        <v>395</v>
      </c>
      <c r="H48" s="9">
        <f t="shared" si="3"/>
        <v>395</v>
      </c>
      <c r="I48" s="9">
        <v>330</v>
      </c>
      <c r="J48" s="9">
        <f t="shared" si="4"/>
        <v>2538</v>
      </c>
      <c r="K48" s="9">
        <v>0</v>
      </c>
      <c r="L48" s="9">
        <v>1033</v>
      </c>
      <c r="M48" s="9">
        <v>60000000</v>
      </c>
      <c r="N48" s="9">
        <v>3000000</v>
      </c>
      <c r="O48" s="9">
        <v>0</v>
      </c>
    </row>
    <row r="49" spans="1:15">
      <c r="A49" s="9">
        <v>48</v>
      </c>
      <c r="B49" s="9">
        <v>1135395</v>
      </c>
      <c r="C49" s="9" t="s">
        <v>46</v>
      </c>
      <c r="D49" s="9">
        <v>3456</v>
      </c>
      <c r="E49" s="9">
        <f t="shared" si="0"/>
        <v>576</v>
      </c>
      <c r="F49" s="9">
        <f t="shared" si="1"/>
        <v>576</v>
      </c>
      <c r="G49" s="9">
        <f t="shared" si="2"/>
        <v>403</v>
      </c>
      <c r="H49" s="9">
        <f t="shared" si="3"/>
        <v>403</v>
      </c>
      <c r="I49" s="9">
        <v>335</v>
      </c>
      <c r="J49" s="9">
        <f t="shared" si="4"/>
        <v>2592</v>
      </c>
      <c r="K49" s="9">
        <v>0</v>
      </c>
      <c r="L49" s="9">
        <v>1074</v>
      </c>
      <c r="M49" s="9">
        <v>60000000</v>
      </c>
      <c r="N49" s="9">
        <v>3000000</v>
      </c>
      <c r="O49" s="9">
        <v>0</v>
      </c>
    </row>
    <row r="50" spans="1:15">
      <c r="A50" s="9">
        <v>49</v>
      </c>
      <c r="B50" s="9">
        <v>1317058</v>
      </c>
      <c r="C50" s="9" t="s">
        <v>46</v>
      </c>
      <c r="D50" s="9">
        <v>3528</v>
      </c>
      <c r="E50" s="9">
        <f t="shared" si="0"/>
        <v>588</v>
      </c>
      <c r="F50" s="9">
        <f t="shared" si="1"/>
        <v>588</v>
      </c>
      <c r="G50" s="9">
        <f t="shared" si="2"/>
        <v>412</v>
      </c>
      <c r="H50" s="9">
        <f t="shared" si="3"/>
        <v>412</v>
      </c>
      <c r="I50" s="9">
        <v>340</v>
      </c>
      <c r="J50" s="9">
        <f t="shared" si="4"/>
        <v>2646</v>
      </c>
      <c r="K50" s="9">
        <v>0</v>
      </c>
      <c r="L50" s="9">
        <v>1117</v>
      </c>
      <c r="M50" s="9">
        <v>60000000</v>
      </c>
      <c r="N50" s="9">
        <v>3000000</v>
      </c>
      <c r="O50" s="9">
        <v>0</v>
      </c>
    </row>
    <row r="51" spans="1:15">
      <c r="A51" s="9">
        <v>50</v>
      </c>
      <c r="B51" s="9">
        <v>1527787</v>
      </c>
      <c r="C51" s="9" t="s">
        <v>46</v>
      </c>
      <c r="D51" s="9">
        <v>3600</v>
      </c>
      <c r="E51" s="9">
        <f t="shared" si="0"/>
        <v>600</v>
      </c>
      <c r="F51" s="9">
        <f t="shared" si="1"/>
        <v>600</v>
      </c>
      <c r="G51" s="9">
        <f t="shared" si="2"/>
        <v>420</v>
      </c>
      <c r="H51" s="9">
        <f t="shared" si="3"/>
        <v>420</v>
      </c>
      <c r="I51" s="9">
        <v>345</v>
      </c>
      <c r="J51" s="9">
        <f t="shared" si="4"/>
        <v>2700</v>
      </c>
      <c r="K51" s="9">
        <v>0</v>
      </c>
      <c r="L51" s="9">
        <v>1162</v>
      </c>
      <c r="M51" s="9">
        <v>60000000</v>
      </c>
      <c r="N51" s="9">
        <v>3000000</v>
      </c>
      <c r="O51" s="9">
        <v>0</v>
      </c>
    </row>
    <row r="52" spans="1:15">
      <c r="A52" s="9">
        <v>51</v>
      </c>
      <c r="B52" s="9">
        <v>1772232</v>
      </c>
      <c r="C52" s="9" t="s">
        <v>46</v>
      </c>
      <c r="D52" s="9">
        <v>3672</v>
      </c>
      <c r="E52" s="9">
        <f t="shared" si="0"/>
        <v>612</v>
      </c>
      <c r="F52" s="9">
        <f t="shared" si="1"/>
        <v>612</v>
      </c>
      <c r="G52" s="9">
        <f t="shared" si="2"/>
        <v>428</v>
      </c>
      <c r="H52" s="9">
        <f t="shared" si="3"/>
        <v>428</v>
      </c>
      <c r="I52" s="9">
        <v>350</v>
      </c>
      <c r="J52" s="9">
        <f t="shared" si="4"/>
        <v>2754</v>
      </c>
      <c r="K52" s="9">
        <v>0</v>
      </c>
      <c r="L52" s="9">
        <v>1208</v>
      </c>
      <c r="M52" s="9">
        <v>60000000</v>
      </c>
      <c r="N52" s="9">
        <v>3000000</v>
      </c>
      <c r="O52" s="9">
        <v>0</v>
      </c>
    </row>
    <row r="53" spans="1:15">
      <c r="A53" s="9">
        <v>52</v>
      </c>
      <c r="B53" s="9">
        <v>2055789</v>
      </c>
      <c r="C53" s="9" t="s">
        <v>46</v>
      </c>
      <c r="D53" s="9">
        <v>3744</v>
      </c>
      <c r="E53" s="9">
        <f t="shared" si="0"/>
        <v>624</v>
      </c>
      <c r="F53" s="9">
        <f t="shared" si="1"/>
        <v>624</v>
      </c>
      <c r="G53" s="9">
        <f t="shared" si="2"/>
        <v>437</v>
      </c>
      <c r="H53" s="9">
        <f t="shared" si="3"/>
        <v>437</v>
      </c>
      <c r="I53" s="9">
        <v>355</v>
      </c>
      <c r="J53" s="9">
        <f t="shared" si="4"/>
        <v>2808</v>
      </c>
      <c r="K53" s="9">
        <v>0</v>
      </c>
      <c r="L53" s="9">
        <v>1256</v>
      </c>
      <c r="M53" s="9">
        <v>60000000</v>
      </c>
      <c r="N53" s="9">
        <v>3000000</v>
      </c>
      <c r="O53" s="9">
        <v>0</v>
      </c>
    </row>
    <row r="54" spans="1:15">
      <c r="A54" s="9">
        <v>53</v>
      </c>
      <c r="B54" s="9">
        <v>2384715</v>
      </c>
      <c r="C54" s="9" t="s">
        <v>46</v>
      </c>
      <c r="D54" s="9">
        <v>3816</v>
      </c>
      <c r="E54" s="9">
        <f t="shared" si="0"/>
        <v>636</v>
      </c>
      <c r="F54" s="9">
        <f t="shared" si="1"/>
        <v>636</v>
      </c>
      <c r="G54" s="9">
        <f t="shared" si="2"/>
        <v>445</v>
      </c>
      <c r="H54" s="9">
        <f t="shared" si="3"/>
        <v>445</v>
      </c>
      <c r="I54" s="9">
        <v>360</v>
      </c>
      <c r="J54" s="9">
        <f t="shared" si="4"/>
        <v>2862</v>
      </c>
      <c r="K54" s="9">
        <v>0</v>
      </c>
      <c r="L54" s="9">
        <v>1307</v>
      </c>
      <c r="M54" s="9">
        <v>60000000</v>
      </c>
      <c r="N54" s="9">
        <v>3000000</v>
      </c>
      <c r="O54" s="9">
        <v>0</v>
      </c>
    </row>
    <row r="55" spans="1:15">
      <c r="A55" s="9">
        <v>54</v>
      </c>
      <c r="B55" s="9">
        <v>2766269</v>
      </c>
      <c r="C55" s="9" t="s">
        <v>46</v>
      </c>
      <c r="D55" s="9">
        <v>3888</v>
      </c>
      <c r="E55" s="9">
        <f t="shared" si="0"/>
        <v>648</v>
      </c>
      <c r="F55" s="9">
        <f t="shared" si="1"/>
        <v>648</v>
      </c>
      <c r="G55" s="9">
        <f t="shared" si="2"/>
        <v>454</v>
      </c>
      <c r="H55" s="9">
        <f t="shared" si="3"/>
        <v>454</v>
      </c>
      <c r="I55" s="9">
        <v>365</v>
      </c>
      <c r="J55" s="9">
        <f t="shared" si="4"/>
        <v>2916</v>
      </c>
      <c r="K55" s="9">
        <v>0</v>
      </c>
      <c r="L55" s="9">
        <v>1359</v>
      </c>
      <c r="M55" s="9">
        <v>60000000</v>
      </c>
      <c r="N55" s="9">
        <v>3000000</v>
      </c>
      <c r="O55" s="9">
        <v>0</v>
      </c>
    </row>
    <row r="56" spans="1:15">
      <c r="A56" s="9">
        <v>55</v>
      </c>
      <c r="B56" s="9">
        <v>3208872</v>
      </c>
      <c r="C56" s="9" t="s">
        <v>46</v>
      </c>
      <c r="D56" s="9">
        <v>3960</v>
      </c>
      <c r="E56" s="9">
        <f t="shared" si="0"/>
        <v>660</v>
      </c>
      <c r="F56" s="9">
        <f t="shared" si="1"/>
        <v>660</v>
      </c>
      <c r="G56" s="9">
        <f t="shared" si="2"/>
        <v>462</v>
      </c>
      <c r="H56" s="9">
        <f t="shared" si="3"/>
        <v>462</v>
      </c>
      <c r="I56" s="9">
        <v>370</v>
      </c>
      <c r="J56" s="9">
        <f t="shared" si="4"/>
        <v>2970</v>
      </c>
      <c r="K56" s="9">
        <v>0</v>
      </c>
      <c r="L56" s="9">
        <v>1413</v>
      </c>
      <c r="M56" s="9">
        <v>60000000</v>
      </c>
      <c r="N56" s="9">
        <v>3000000</v>
      </c>
      <c r="O56" s="9">
        <v>0</v>
      </c>
    </row>
    <row r="57" spans="1:15">
      <c r="A57" s="9">
        <v>56</v>
      </c>
      <c r="B57" s="9">
        <v>3722291</v>
      </c>
      <c r="C57" s="9" t="s">
        <v>46</v>
      </c>
      <c r="D57" s="9">
        <v>4032</v>
      </c>
      <c r="E57" s="9">
        <f t="shared" si="0"/>
        <v>672</v>
      </c>
      <c r="F57" s="9">
        <f t="shared" si="1"/>
        <v>672</v>
      </c>
      <c r="G57" s="9">
        <f t="shared" si="2"/>
        <v>470</v>
      </c>
      <c r="H57" s="9">
        <f t="shared" si="3"/>
        <v>470</v>
      </c>
      <c r="I57" s="9">
        <v>375</v>
      </c>
      <c r="J57" s="9">
        <f t="shared" si="4"/>
        <v>3024</v>
      </c>
      <c r="K57" s="9">
        <v>0</v>
      </c>
      <c r="L57" s="9">
        <v>1470</v>
      </c>
      <c r="M57" s="9">
        <v>60000000</v>
      </c>
      <c r="N57" s="9">
        <v>3000000</v>
      </c>
      <c r="O57" s="9">
        <v>0</v>
      </c>
    </row>
    <row r="58" spans="1:15">
      <c r="A58" s="9">
        <v>57</v>
      </c>
      <c r="B58" s="9">
        <v>4317857</v>
      </c>
      <c r="C58" s="9" t="s">
        <v>46</v>
      </c>
      <c r="D58" s="9">
        <v>4104</v>
      </c>
      <c r="E58" s="9">
        <f t="shared" si="0"/>
        <v>684</v>
      </c>
      <c r="F58" s="9">
        <f t="shared" si="1"/>
        <v>684</v>
      </c>
      <c r="G58" s="9">
        <f t="shared" si="2"/>
        <v>479</v>
      </c>
      <c r="H58" s="9">
        <f t="shared" si="3"/>
        <v>479</v>
      </c>
      <c r="I58" s="9">
        <v>380</v>
      </c>
      <c r="J58" s="9">
        <f t="shared" si="4"/>
        <v>3078</v>
      </c>
      <c r="K58" s="9">
        <v>0</v>
      </c>
      <c r="L58" s="9">
        <v>1529</v>
      </c>
      <c r="M58" s="9">
        <v>60000000</v>
      </c>
      <c r="N58" s="9">
        <v>3000000</v>
      </c>
      <c r="O58" s="9">
        <v>0</v>
      </c>
    </row>
    <row r="59" spans="1:15">
      <c r="A59" s="9">
        <v>58</v>
      </c>
      <c r="B59" s="9">
        <v>5008714</v>
      </c>
      <c r="C59" s="9" t="s">
        <v>46</v>
      </c>
      <c r="D59" s="9">
        <v>4176</v>
      </c>
      <c r="E59" s="9">
        <f t="shared" si="0"/>
        <v>696</v>
      </c>
      <c r="F59" s="9">
        <f t="shared" si="1"/>
        <v>696</v>
      </c>
      <c r="G59" s="9">
        <f t="shared" si="2"/>
        <v>487</v>
      </c>
      <c r="H59" s="9">
        <f t="shared" si="3"/>
        <v>487</v>
      </c>
      <c r="I59" s="9">
        <v>385</v>
      </c>
      <c r="J59" s="9">
        <f t="shared" si="4"/>
        <v>3132</v>
      </c>
      <c r="K59" s="9">
        <v>0</v>
      </c>
      <c r="L59" s="9">
        <v>1590</v>
      </c>
      <c r="M59" s="9">
        <v>60000000</v>
      </c>
      <c r="N59" s="9">
        <v>3000000</v>
      </c>
      <c r="O59" s="9">
        <v>0</v>
      </c>
    </row>
    <row r="60" spans="1:15">
      <c r="A60" s="9">
        <v>59</v>
      </c>
      <c r="B60" s="9">
        <v>5810108</v>
      </c>
      <c r="C60" s="9" t="s">
        <v>46</v>
      </c>
      <c r="D60" s="9">
        <v>4248</v>
      </c>
      <c r="E60" s="9">
        <f t="shared" si="0"/>
        <v>708</v>
      </c>
      <c r="F60" s="9">
        <f t="shared" si="1"/>
        <v>708</v>
      </c>
      <c r="G60" s="9">
        <f t="shared" si="2"/>
        <v>496</v>
      </c>
      <c r="H60" s="9">
        <f t="shared" si="3"/>
        <v>496</v>
      </c>
      <c r="I60" s="9">
        <v>390</v>
      </c>
      <c r="J60" s="9">
        <f t="shared" si="4"/>
        <v>3186</v>
      </c>
      <c r="K60" s="9">
        <v>0</v>
      </c>
      <c r="L60" s="9">
        <v>1653</v>
      </c>
      <c r="M60" s="9">
        <v>60000000</v>
      </c>
      <c r="N60" s="9">
        <v>3000000</v>
      </c>
      <c r="O60" s="9">
        <v>0</v>
      </c>
    </row>
    <row r="61" spans="1:15">
      <c r="A61" s="9">
        <v>60</v>
      </c>
      <c r="B61" s="9">
        <v>6739725</v>
      </c>
      <c r="C61" s="9" t="s">
        <v>46</v>
      </c>
      <c r="D61" s="9">
        <v>4320</v>
      </c>
      <c r="E61" s="9">
        <f t="shared" si="0"/>
        <v>720</v>
      </c>
      <c r="F61" s="9">
        <f t="shared" si="1"/>
        <v>720</v>
      </c>
      <c r="G61" s="9">
        <f t="shared" si="2"/>
        <v>504</v>
      </c>
      <c r="H61" s="9">
        <f t="shared" si="3"/>
        <v>504</v>
      </c>
      <c r="I61" s="9">
        <v>395</v>
      </c>
      <c r="J61" s="9">
        <f t="shared" si="4"/>
        <v>3240</v>
      </c>
      <c r="K61" s="9">
        <v>0</v>
      </c>
      <c r="L61" s="9">
        <v>1720</v>
      </c>
      <c r="M61" s="9">
        <v>60000000</v>
      </c>
      <c r="N61" s="9">
        <v>3000000</v>
      </c>
      <c r="O61" s="9">
        <v>0</v>
      </c>
    </row>
    <row r="62" spans="1:15">
      <c r="A62" s="9">
        <v>61</v>
      </c>
      <c r="B62" s="9">
        <v>12123270</v>
      </c>
      <c r="C62" s="9" t="s">
        <v>46</v>
      </c>
      <c r="D62" s="9">
        <v>4392</v>
      </c>
      <c r="E62" s="9">
        <f t="shared" si="0"/>
        <v>732</v>
      </c>
      <c r="F62" s="9">
        <f t="shared" si="1"/>
        <v>732</v>
      </c>
      <c r="G62" s="9">
        <f t="shared" si="2"/>
        <v>512</v>
      </c>
      <c r="H62" s="9">
        <f t="shared" si="3"/>
        <v>512</v>
      </c>
      <c r="I62" s="9">
        <v>400</v>
      </c>
      <c r="J62" s="9">
        <f t="shared" si="4"/>
        <v>3294</v>
      </c>
      <c r="K62" s="9">
        <v>0</v>
      </c>
      <c r="L62" s="9">
        <v>1788</v>
      </c>
      <c r="M62" s="9">
        <v>60000000</v>
      </c>
      <c r="N62" s="9">
        <v>4000000</v>
      </c>
      <c r="O62" s="9">
        <v>0</v>
      </c>
    </row>
    <row r="63" spans="1:15">
      <c r="A63" s="9">
        <v>62</v>
      </c>
      <c r="B63" s="9">
        <v>12158560</v>
      </c>
      <c r="C63" s="9" t="s">
        <v>46</v>
      </c>
      <c r="D63" s="9">
        <v>4464</v>
      </c>
      <c r="E63" s="9">
        <f t="shared" si="0"/>
        <v>744</v>
      </c>
      <c r="F63" s="9">
        <f t="shared" si="1"/>
        <v>744</v>
      </c>
      <c r="G63" s="9">
        <f t="shared" si="2"/>
        <v>521</v>
      </c>
      <c r="H63" s="9">
        <f t="shared" si="3"/>
        <v>521</v>
      </c>
      <c r="I63" s="9">
        <v>405</v>
      </c>
      <c r="J63" s="9">
        <f t="shared" si="4"/>
        <v>3348</v>
      </c>
      <c r="K63" s="9">
        <v>0</v>
      </c>
      <c r="L63" s="9">
        <v>1860</v>
      </c>
      <c r="M63" s="9">
        <v>60000000</v>
      </c>
      <c r="N63" s="9">
        <v>5000000</v>
      </c>
      <c r="O63" s="9">
        <v>0</v>
      </c>
    </row>
    <row r="64" spans="1:15">
      <c r="A64" s="9">
        <v>63</v>
      </c>
      <c r="B64" s="9">
        <v>12701010</v>
      </c>
      <c r="C64" s="9" t="s">
        <v>46</v>
      </c>
      <c r="D64" s="9">
        <v>4536</v>
      </c>
      <c r="E64" s="9">
        <f t="shared" si="0"/>
        <v>756</v>
      </c>
      <c r="F64" s="9">
        <f t="shared" si="1"/>
        <v>756</v>
      </c>
      <c r="G64" s="9">
        <f t="shared" si="2"/>
        <v>529</v>
      </c>
      <c r="H64" s="9">
        <f t="shared" si="3"/>
        <v>529</v>
      </c>
      <c r="I64" s="9">
        <v>410</v>
      </c>
      <c r="J64" s="9">
        <f t="shared" si="4"/>
        <v>3402</v>
      </c>
      <c r="K64" s="9">
        <v>0</v>
      </c>
      <c r="L64" s="9">
        <v>1934</v>
      </c>
      <c r="M64" s="9">
        <v>60000000</v>
      </c>
      <c r="N64" s="9">
        <v>6000000</v>
      </c>
      <c r="O64" s="9">
        <v>0</v>
      </c>
    </row>
    <row r="65" spans="1:15">
      <c r="A65" s="9">
        <v>64</v>
      </c>
      <c r="B65" s="9">
        <v>12736870</v>
      </c>
      <c r="C65" s="9" t="s">
        <v>46</v>
      </c>
      <c r="D65" s="9">
        <v>4608</v>
      </c>
      <c r="E65" s="9">
        <f t="shared" si="0"/>
        <v>768</v>
      </c>
      <c r="F65" s="9">
        <f t="shared" si="1"/>
        <v>768</v>
      </c>
      <c r="G65" s="9">
        <f t="shared" si="2"/>
        <v>538</v>
      </c>
      <c r="H65" s="9">
        <f t="shared" si="3"/>
        <v>538</v>
      </c>
      <c r="I65" s="9">
        <v>415</v>
      </c>
      <c r="J65" s="9">
        <f t="shared" si="4"/>
        <v>3456</v>
      </c>
      <c r="K65" s="9">
        <v>0</v>
      </c>
      <c r="L65" s="9">
        <v>2012</v>
      </c>
      <c r="M65" s="9">
        <v>60000000</v>
      </c>
      <c r="N65" s="9">
        <v>7000000</v>
      </c>
      <c r="O65" s="9">
        <v>0</v>
      </c>
    </row>
    <row r="66" spans="1:15">
      <c r="A66" s="9">
        <v>65</v>
      </c>
      <c r="B66" s="9">
        <v>13287990</v>
      </c>
      <c r="C66" s="9" t="s">
        <v>46</v>
      </c>
      <c r="D66" s="9">
        <v>4680</v>
      </c>
      <c r="E66" s="9">
        <f t="shared" si="0"/>
        <v>780</v>
      </c>
      <c r="F66" s="9">
        <f t="shared" si="1"/>
        <v>780</v>
      </c>
      <c r="G66" s="9">
        <f t="shared" si="2"/>
        <v>546</v>
      </c>
      <c r="H66" s="9">
        <f t="shared" si="3"/>
        <v>546</v>
      </c>
      <c r="I66" s="9">
        <v>420</v>
      </c>
      <c r="J66" s="9">
        <f t="shared" si="4"/>
        <v>3510</v>
      </c>
      <c r="K66" s="9">
        <v>0</v>
      </c>
      <c r="L66" s="9">
        <v>2092</v>
      </c>
      <c r="M66" s="9">
        <v>60000000</v>
      </c>
      <c r="N66" s="9">
        <v>8000000</v>
      </c>
      <c r="O66" s="9">
        <v>0</v>
      </c>
    </row>
    <row r="67" spans="1:15">
      <c r="A67" s="9">
        <v>66</v>
      </c>
      <c r="B67" s="9">
        <v>13324410</v>
      </c>
      <c r="C67" s="9" t="s">
        <v>46</v>
      </c>
      <c r="D67" s="9">
        <v>4752</v>
      </c>
      <c r="E67" s="9">
        <f t="shared" ref="E67:E130" si="5">INT(D67/6)</f>
        <v>792</v>
      </c>
      <c r="F67" s="9">
        <f t="shared" ref="F67:F130" si="6">E67</f>
        <v>792</v>
      </c>
      <c r="G67" s="9">
        <f t="shared" ref="G67:G130" si="7">ROUND(E67*0.7,0)</f>
        <v>554</v>
      </c>
      <c r="H67" s="9">
        <f t="shared" ref="H67:H130" si="8">G67</f>
        <v>554</v>
      </c>
      <c r="I67" s="9">
        <v>425</v>
      </c>
      <c r="J67" s="9">
        <f t="shared" si="4"/>
        <v>3564</v>
      </c>
      <c r="K67" s="9">
        <v>0</v>
      </c>
      <c r="L67" s="9">
        <v>2176</v>
      </c>
      <c r="M67" s="9">
        <v>60000000</v>
      </c>
      <c r="N67" s="9">
        <v>9000000</v>
      </c>
      <c r="O67" s="9">
        <v>0</v>
      </c>
    </row>
    <row r="68" spans="1:15">
      <c r="A68" s="9">
        <v>67</v>
      </c>
      <c r="B68" s="9">
        <v>13884080</v>
      </c>
      <c r="C68" s="9" t="s">
        <v>46</v>
      </c>
      <c r="D68" s="9">
        <v>4824</v>
      </c>
      <c r="E68" s="9">
        <f t="shared" si="5"/>
        <v>804</v>
      </c>
      <c r="F68" s="9">
        <f t="shared" si="6"/>
        <v>804</v>
      </c>
      <c r="G68" s="9">
        <f t="shared" si="7"/>
        <v>563</v>
      </c>
      <c r="H68" s="9">
        <f t="shared" si="8"/>
        <v>563</v>
      </c>
      <c r="I68" s="9">
        <v>430</v>
      </c>
      <c r="J68" s="9">
        <f t="shared" ref="J68:J131" si="9">J67+54</f>
        <v>3618</v>
      </c>
      <c r="K68" s="9">
        <v>0</v>
      </c>
      <c r="L68" s="9">
        <v>2263</v>
      </c>
      <c r="M68" s="9">
        <v>60000000</v>
      </c>
      <c r="N68" s="9">
        <v>10000000</v>
      </c>
      <c r="O68" s="9">
        <v>0</v>
      </c>
    </row>
    <row r="69" spans="1:15">
      <c r="A69" s="9">
        <v>68</v>
      </c>
      <c r="B69" s="9">
        <v>13921050</v>
      </c>
      <c r="C69" s="9" t="s">
        <v>46</v>
      </c>
      <c r="D69" s="9">
        <v>4896</v>
      </c>
      <c r="E69" s="9">
        <f t="shared" si="5"/>
        <v>816</v>
      </c>
      <c r="F69" s="9">
        <f t="shared" si="6"/>
        <v>816</v>
      </c>
      <c r="G69" s="9">
        <f t="shared" si="7"/>
        <v>571</v>
      </c>
      <c r="H69" s="9">
        <f t="shared" si="8"/>
        <v>571</v>
      </c>
      <c r="I69" s="9">
        <v>435</v>
      </c>
      <c r="J69" s="9">
        <f t="shared" si="9"/>
        <v>3672</v>
      </c>
      <c r="K69" s="9">
        <v>0</v>
      </c>
      <c r="L69" s="9">
        <v>2353</v>
      </c>
      <c r="M69" s="9">
        <v>60000000</v>
      </c>
      <c r="N69" s="9">
        <v>11000000</v>
      </c>
      <c r="O69" s="9">
        <v>0</v>
      </c>
    </row>
    <row r="70" spans="1:15">
      <c r="A70" s="9">
        <v>69</v>
      </c>
      <c r="B70" s="9">
        <v>14489130</v>
      </c>
      <c r="C70" s="9" t="s">
        <v>46</v>
      </c>
      <c r="D70" s="9">
        <v>4968</v>
      </c>
      <c r="E70" s="9">
        <f t="shared" si="5"/>
        <v>828</v>
      </c>
      <c r="F70" s="9">
        <f t="shared" si="6"/>
        <v>828</v>
      </c>
      <c r="G70" s="9">
        <f t="shared" si="7"/>
        <v>580</v>
      </c>
      <c r="H70" s="9">
        <f t="shared" si="8"/>
        <v>580</v>
      </c>
      <c r="I70" s="9">
        <v>440</v>
      </c>
      <c r="J70" s="9">
        <f t="shared" si="9"/>
        <v>3726</v>
      </c>
      <c r="K70" s="9">
        <v>0</v>
      </c>
      <c r="L70" s="9">
        <v>2447</v>
      </c>
      <c r="M70" s="9">
        <v>60000000</v>
      </c>
      <c r="N70" s="9">
        <v>12000000</v>
      </c>
      <c r="O70" s="9">
        <v>0</v>
      </c>
    </row>
    <row r="71" spans="1:15">
      <c r="A71" s="9">
        <v>70</v>
      </c>
      <c r="B71" s="9">
        <v>14526650</v>
      </c>
      <c r="C71" s="9" t="s">
        <v>46</v>
      </c>
      <c r="D71" s="9">
        <v>5040</v>
      </c>
      <c r="E71" s="9">
        <f t="shared" si="5"/>
        <v>840</v>
      </c>
      <c r="F71" s="9">
        <f t="shared" si="6"/>
        <v>840</v>
      </c>
      <c r="G71" s="9">
        <f t="shared" si="7"/>
        <v>588</v>
      </c>
      <c r="H71" s="9">
        <f t="shared" si="8"/>
        <v>588</v>
      </c>
      <c r="I71" s="9">
        <v>445</v>
      </c>
      <c r="J71" s="9">
        <f t="shared" si="9"/>
        <v>3780</v>
      </c>
      <c r="K71" s="9">
        <v>0</v>
      </c>
      <c r="L71" s="9">
        <v>2545</v>
      </c>
      <c r="M71" s="9">
        <v>60000000</v>
      </c>
      <c r="N71" s="9">
        <v>13000000</v>
      </c>
      <c r="O71" s="9">
        <v>0</v>
      </c>
    </row>
    <row r="72" spans="1:15">
      <c r="A72" s="9">
        <v>71</v>
      </c>
      <c r="B72" s="9">
        <v>17431980</v>
      </c>
      <c r="C72" s="9" t="s">
        <v>46</v>
      </c>
      <c r="D72" s="9">
        <v>5112</v>
      </c>
      <c r="E72" s="9">
        <f t="shared" si="5"/>
        <v>852</v>
      </c>
      <c r="F72" s="9">
        <f t="shared" si="6"/>
        <v>852</v>
      </c>
      <c r="G72" s="9">
        <f t="shared" si="7"/>
        <v>596</v>
      </c>
      <c r="H72" s="9">
        <f t="shared" si="8"/>
        <v>596</v>
      </c>
      <c r="I72" s="9">
        <v>450</v>
      </c>
      <c r="J72" s="9">
        <f t="shared" si="9"/>
        <v>3834</v>
      </c>
      <c r="K72" s="9">
        <v>0</v>
      </c>
      <c r="L72" s="9">
        <v>2647</v>
      </c>
      <c r="M72" s="9">
        <v>60000000</v>
      </c>
      <c r="N72" s="9">
        <v>14000000</v>
      </c>
      <c r="O72" s="9">
        <v>0</v>
      </c>
    </row>
    <row r="73" spans="1:15">
      <c r="A73" s="9">
        <v>72</v>
      </c>
      <c r="B73" s="9">
        <v>20918376</v>
      </c>
      <c r="C73" s="9" t="s">
        <v>46</v>
      </c>
      <c r="D73" s="9">
        <v>5184</v>
      </c>
      <c r="E73" s="9">
        <f t="shared" si="5"/>
        <v>864</v>
      </c>
      <c r="F73" s="9">
        <f t="shared" si="6"/>
        <v>864</v>
      </c>
      <c r="G73" s="9">
        <f t="shared" si="7"/>
        <v>605</v>
      </c>
      <c r="H73" s="9">
        <f t="shared" si="8"/>
        <v>605</v>
      </c>
      <c r="I73" s="9">
        <v>455</v>
      </c>
      <c r="J73" s="9">
        <f t="shared" si="9"/>
        <v>3888</v>
      </c>
      <c r="K73" s="9">
        <v>0</v>
      </c>
      <c r="L73" s="9">
        <v>2753</v>
      </c>
      <c r="M73" s="9">
        <v>60000000</v>
      </c>
      <c r="N73" s="9">
        <v>15000000</v>
      </c>
      <c r="O73" s="9">
        <v>0</v>
      </c>
    </row>
    <row r="74" spans="1:15">
      <c r="A74" s="9">
        <v>73</v>
      </c>
      <c r="B74" s="9">
        <v>25102051</v>
      </c>
      <c r="C74" s="9" t="s">
        <v>46</v>
      </c>
      <c r="D74" s="9">
        <v>5256</v>
      </c>
      <c r="E74" s="9">
        <f t="shared" si="5"/>
        <v>876</v>
      </c>
      <c r="F74" s="9">
        <f t="shared" si="6"/>
        <v>876</v>
      </c>
      <c r="G74" s="9">
        <f t="shared" si="7"/>
        <v>613</v>
      </c>
      <c r="H74" s="9">
        <f t="shared" si="8"/>
        <v>613</v>
      </c>
      <c r="I74" s="9">
        <v>460</v>
      </c>
      <c r="J74" s="9">
        <f t="shared" si="9"/>
        <v>3942</v>
      </c>
      <c r="K74" s="9">
        <v>0</v>
      </c>
      <c r="L74" s="9">
        <v>2863</v>
      </c>
      <c r="M74" s="9">
        <v>60000000</v>
      </c>
      <c r="N74" s="9">
        <v>16000000</v>
      </c>
      <c r="O74" s="9">
        <v>0</v>
      </c>
    </row>
    <row r="75" spans="1:15">
      <c r="A75" s="9">
        <v>74</v>
      </c>
      <c r="B75" s="9">
        <v>30122461</v>
      </c>
      <c r="C75" s="9" t="s">
        <v>46</v>
      </c>
      <c r="D75" s="9">
        <v>5328</v>
      </c>
      <c r="E75" s="9">
        <f t="shared" si="5"/>
        <v>888</v>
      </c>
      <c r="F75" s="9">
        <f t="shared" si="6"/>
        <v>888</v>
      </c>
      <c r="G75" s="9">
        <f t="shared" si="7"/>
        <v>622</v>
      </c>
      <c r="H75" s="9">
        <f t="shared" si="8"/>
        <v>622</v>
      </c>
      <c r="I75" s="9">
        <v>465</v>
      </c>
      <c r="J75" s="9">
        <f t="shared" si="9"/>
        <v>3996</v>
      </c>
      <c r="K75" s="9">
        <v>0</v>
      </c>
      <c r="L75" s="9">
        <v>2978</v>
      </c>
      <c r="M75" s="9">
        <v>60000000</v>
      </c>
      <c r="N75" s="9">
        <v>17000000</v>
      </c>
      <c r="O75" s="9">
        <v>0</v>
      </c>
    </row>
    <row r="76" spans="1:15">
      <c r="A76" s="9">
        <v>75</v>
      </c>
      <c r="B76" s="9">
        <v>31585910</v>
      </c>
      <c r="C76" s="9" t="s">
        <v>46</v>
      </c>
      <c r="D76" s="9">
        <v>5400</v>
      </c>
      <c r="E76" s="9">
        <f t="shared" si="5"/>
        <v>900</v>
      </c>
      <c r="F76" s="9">
        <f t="shared" si="6"/>
        <v>900</v>
      </c>
      <c r="G76" s="9">
        <f t="shared" si="7"/>
        <v>630</v>
      </c>
      <c r="H76" s="9">
        <f t="shared" si="8"/>
        <v>630</v>
      </c>
      <c r="I76" s="9">
        <v>470</v>
      </c>
      <c r="J76" s="9">
        <f t="shared" si="9"/>
        <v>4050</v>
      </c>
      <c r="K76" s="9">
        <v>0</v>
      </c>
      <c r="L76" s="9">
        <v>3097</v>
      </c>
      <c r="M76" s="9">
        <v>60000000</v>
      </c>
      <c r="N76" s="9">
        <v>18000000</v>
      </c>
      <c r="O76" s="9">
        <v>0</v>
      </c>
    </row>
    <row r="77" spans="1:15">
      <c r="A77" s="9">
        <v>76</v>
      </c>
      <c r="B77" s="9">
        <v>32197400</v>
      </c>
      <c r="C77" s="9" t="s">
        <v>46</v>
      </c>
      <c r="D77" s="9">
        <v>5472</v>
      </c>
      <c r="E77" s="9">
        <f t="shared" si="5"/>
        <v>912</v>
      </c>
      <c r="F77" s="9">
        <f t="shared" si="6"/>
        <v>912</v>
      </c>
      <c r="G77" s="9">
        <f t="shared" si="7"/>
        <v>638</v>
      </c>
      <c r="H77" s="9">
        <f t="shared" si="8"/>
        <v>638</v>
      </c>
      <c r="I77" s="9">
        <v>475</v>
      </c>
      <c r="J77" s="9">
        <f t="shared" si="9"/>
        <v>4104</v>
      </c>
      <c r="K77" s="9">
        <v>0</v>
      </c>
      <c r="L77" s="9">
        <v>3221</v>
      </c>
      <c r="M77" s="9">
        <v>60000000</v>
      </c>
      <c r="N77" s="9">
        <v>19000000</v>
      </c>
      <c r="O77" s="9">
        <v>0</v>
      </c>
    </row>
    <row r="78" spans="1:15">
      <c r="A78" s="9">
        <v>77</v>
      </c>
      <c r="B78" s="9">
        <v>32812920</v>
      </c>
      <c r="C78" s="9" t="s">
        <v>46</v>
      </c>
      <c r="D78" s="9">
        <v>5544</v>
      </c>
      <c r="E78" s="9">
        <f t="shared" si="5"/>
        <v>924</v>
      </c>
      <c r="F78" s="9">
        <f t="shared" si="6"/>
        <v>924</v>
      </c>
      <c r="G78" s="9">
        <f t="shared" si="7"/>
        <v>647</v>
      </c>
      <c r="H78" s="9">
        <f t="shared" si="8"/>
        <v>647</v>
      </c>
      <c r="I78" s="9">
        <v>480</v>
      </c>
      <c r="J78" s="9">
        <f t="shared" si="9"/>
        <v>4158</v>
      </c>
      <c r="K78" s="9">
        <v>0</v>
      </c>
      <c r="L78" s="9">
        <v>3350</v>
      </c>
      <c r="M78" s="9">
        <v>60000000</v>
      </c>
      <c r="N78" s="9">
        <v>20000000</v>
      </c>
      <c r="O78" s="9">
        <v>0</v>
      </c>
    </row>
    <row r="79" spans="1:15">
      <c r="A79" s="9">
        <v>78</v>
      </c>
      <c r="B79" s="9">
        <v>33432450</v>
      </c>
      <c r="C79" s="9" t="s">
        <v>46</v>
      </c>
      <c r="D79" s="9">
        <v>5616</v>
      </c>
      <c r="E79" s="9">
        <f t="shared" si="5"/>
        <v>936</v>
      </c>
      <c r="F79" s="9">
        <f t="shared" si="6"/>
        <v>936</v>
      </c>
      <c r="G79" s="9">
        <f t="shared" si="7"/>
        <v>655</v>
      </c>
      <c r="H79" s="9">
        <f t="shared" si="8"/>
        <v>655</v>
      </c>
      <c r="I79" s="9">
        <v>485</v>
      </c>
      <c r="J79" s="9">
        <f t="shared" si="9"/>
        <v>4212</v>
      </c>
      <c r="K79" s="9">
        <v>0</v>
      </c>
      <c r="L79" s="9">
        <v>3484</v>
      </c>
      <c r="M79" s="9">
        <v>60000000</v>
      </c>
      <c r="N79" s="9">
        <v>20000000</v>
      </c>
      <c r="O79" s="9">
        <v>0</v>
      </c>
    </row>
    <row r="80" spans="1:15">
      <c r="A80" s="9">
        <v>79</v>
      </c>
      <c r="B80" s="9">
        <v>34055960</v>
      </c>
      <c r="C80" s="9" t="s">
        <v>46</v>
      </c>
      <c r="D80" s="9">
        <v>5688</v>
      </c>
      <c r="E80" s="9">
        <f t="shared" si="5"/>
        <v>948</v>
      </c>
      <c r="F80" s="9">
        <f t="shared" si="6"/>
        <v>948</v>
      </c>
      <c r="G80" s="9">
        <f t="shared" si="7"/>
        <v>664</v>
      </c>
      <c r="H80" s="9">
        <f t="shared" si="8"/>
        <v>664</v>
      </c>
      <c r="I80" s="9">
        <v>490</v>
      </c>
      <c r="J80" s="9">
        <f t="shared" si="9"/>
        <v>4266</v>
      </c>
      <c r="K80" s="9">
        <v>0</v>
      </c>
      <c r="L80" s="9">
        <v>3623</v>
      </c>
      <c r="M80" s="9">
        <v>60000000</v>
      </c>
      <c r="N80" s="9">
        <v>20000000</v>
      </c>
      <c r="O80" s="9">
        <v>0</v>
      </c>
    </row>
    <row r="81" spans="1:15">
      <c r="A81" s="9">
        <v>80</v>
      </c>
      <c r="B81" s="9">
        <v>34878250</v>
      </c>
      <c r="C81" s="9" t="s">
        <v>46</v>
      </c>
      <c r="D81" s="9">
        <v>5760</v>
      </c>
      <c r="E81" s="9">
        <f t="shared" si="5"/>
        <v>960</v>
      </c>
      <c r="F81" s="9">
        <f t="shared" si="6"/>
        <v>960</v>
      </c>
      <c r="G81" s="9">
        <f t="shared" si="7"/>
        <v>672</v>
      </c>
      <c r="H81" s="9">
        <f t="shared" si="8"/>
        <v>672</v>
      </c>
      <c r="I81" s="9">
        <v>495</v>
      </c>
      <c r="J81" s="9">
        <f t="shared" si="9"/>
        <v>4320</v>
      </c>
      <c r="K81" s="9">
        <v>0</v>
      </c>
      <c r="L81" s="9">
        <v>3768</v>
      </c>
      <c r="M81" s="9">
        <v>60000000</v>
      </c>
      <c r="N81" s="9">
        <v>20000000</v>
      </c>
      <c r="O81" s="9">
        <v>0</v>
      </c>
    </row>
    <row r="82" spans="1:15">
      <c r="A82" s="9">
        <v>81</v>
      </c>
      <c r="B82" s="9">
        <v>37212540</v>
      </c>
      <c r="C82" s="9" t="s">
        <v>46</v>
      </c>
      <c r="D82" s="9">
        <v>5832</v>
      </c>
      <c r="E82" s="9">
        <f t="shared" si="5"/>
        <v>972</v>
      </c>
      <c r="F82" s="9">
        <f t="shared" si="6"/>
        <v>972</v>
      </c>
      <c r="G82" s="9">
        <f t="shared" si="7"/>
        <v>680</v>
      </c>
      <c r="H82" s="9">
        <f t="shared" si="8"/>
        <v>680</v>
      </c>
      <c r="I82" s="9">
        <v>500</v>
      </c>
      <c r="J82" s="9">
        <f t="shared" si="9"/>
        <v>4374</v>
      </c>
      <c r="K82" s="9">
        <v>0</v>
      </c>
      <c r="L82" s="9">
        <v>3918</v>
      </c>
      <c r="M82" s="9">
        <v>60000000</v>
      </c>
      <c r="N82" s="9">
        <v>20000000</v>
      </c>
      <c r="O82" s="9">
        <v>0</v>
      </c>
    </row>
    <row r="83" spans="1:15">
      <c r="A83" s="9">
        <v>82</v>
      </c>
      <c r="B83" s="9">
        <v>37879270</v>
      </c>
      <c r="C83" s="9" t="s">
        <v>46</v>
      </c>
      <c r="D83" s="9">
        <v>5904</v>
      </c>
      <c r="E83" s="9">
        <f t="shared" si="5"/>
        <v>984</v>
      </c>
      <c r="F83" s="9">
        <f t="shared" si="6"/>
        <v>984</v>
      </c>
      <c r="G83" s="9">
        <f t="shared" si="7"/>
        <v>689</v>
      </c>
      <c r="H83" s="9">
        <f t="shared" si="8"/>
        <v>689</v>
      </c>
      <c r="I83" s="9">
        <v>505</v>
      </c>
      <c r="J83" s="9">
        <f t="shared" si="9"/>
        <v>4428</v>
      </c>
      <c r="K83" s="9">
        <v>0</v>
      </c>
      <c r="L83" s="9">
        <v>4075</v>
      </c>
      <c r="M83" s="9">
        <v>60000000</v>
      </c>
      <c r="N83" s="9">
        <v>20000000</v>
      </c>
      <c r="O83" s="9">
        <v>0</v>
      </c>
    </row>
    <row r="84" spans="1:15">
      <c r="A84" s="9">
        <v>83</v>
      </c>
      <c r="B84" s="9">
        <v>38550090</v>
      </c>
      <c r="C84" s="9" t="s">
        <v>46</v>
      </c>
      <c r="D84" s="9">
        <v>5976</v>
      </c>
      <c r="E84" s="9">
        <f t="shared" si="5"/>
        <v>996</v>
      </c>
      <c r="F84" s="9">
        <f t="shared" si="6"/>
        <v>996</v>
      </c>
      <c r="G84" s="9">
        <f t="shared" si="7"/>
        <v>697</v>
      </c>
      <c r="H84" s="9">
        <f t="shared" si="8"/>
        <v>697</v>
      </c>
      <c r="I84" s="9">
        <v>510</v>
      </c>
      <c r="J84" s="9">
        <f t="shared" si="9"/>
        <v>4482</v>
      </c>
      <c r="K84" s="9">
        <v>0</v>
      </c>
      <c r="L84" s="9">
        <v>4238</v>
      </c>
      <c r="M84" s="9">
        <v>60000000</v>
      </c>
      <c r="N84" s="9">
        <v>20000000</v>
      </c>
      <c r="O84" s="9">
        <v>0</v>
      </c>
    </row>
    <row r="85" spans="1:15">
      <c r="A85" s="9">
        <v>84</v>
      </c>
      <c r="B85" s="9">
        <v>39224950</v>
      </c>
      <c r="C85" s="9" t="s">
        <v>46</v>
      </c>
      <c r="D85" s="9">
        <v>6048</v>
      </c>
      <c r="E85" s="9">
        <f t="shared" si="5"/>
        <v>1008</v>
      </c>
      <c r="F85" s="9">
        <f t="shared" si="6"/>
        <v>1008</v>
      </c>
      <c r="G85" s="9">
        <f t="shared" si="7"/>
        <v>706</v>
      </c>
      <c r="H85" s="9">
        <f t="shared" si="8"/>
        <v>706</v>
      </c>
      <c r="I85" s="9">
        <v>515</v>
      </c>
      <c r="J85" s="9">
        <f t="shared" si="9"/>
        <v>4536</v>
      </c>
      <c r="K85" s="9">
        <v>0</v>
      </c>
      <c r="L85" s="9">
        <v>4408</v>
      </c>
      <c r="M85" s="9">
        <v>60000000</v>
      </c>
      <c r="N85" s="9">
        <v>20000000</v>
      </c>
      <c r="O85" s="9">
        <v>0</v>
      </c>
    </row>
    <row r="86" spans="1:15">
      <c r="A86" s="9">
        <v>85</v>
      </c>
      <c r="B86" s="9">
        <v>39903840</v>
      </c>
      <c r="C86" s="9" t="s">
        <v>46</v>
      </c>
      <c r="D86" s="9">
        <v>6120</v>
      </c>
      <c r="E86" s="9">
        <f t="shared" si="5"/>
        <v>1020</v>
      </c>
      <c r="F86" s="9">
        <f t="shared" si="6"/>
        <v>1020</v>
      </c>
      <c r="G86" s="9">
        <f t="shared" si="7"/>
        <v>714</v>
      </c>
      <c r="H86" s="9">
        <f t="shared" si="8"/>
        <v>714</v>
      </c>
      <c r="I86" s="9">
        <v>520</v>
      </c>
      <c r="J86" s="9">
        <f t="shared" si="9"/>
        <v>4590</v>
      </c>
      <c r="K86" s="9">
        <v>0</v>
      </c>
      <c r="L86" s="9">
        <v>4584</v>
      </c>
      <c r="M86" s="9">
        <v>60000000</v>
      </c>
      <c r="N86" s="9">
        <v>20000000</v>
      </c>
      <c r="O86" s="9">
        <v>0</v>
      </c>
    </row>
    <row r="87" spans="1:15">
      <c r="A87" s="9">
        <v>86</v>
      </c>
      <c r="B87" s="9">
        <v>40586740</v>
      </c>
      <c r="C87" s="9" t="s">
        <v>46</v>
      </c>
      <c r="D87" s="9">
        <v>6192</v>
      </c>
      <c r="E87" s="9">
        <f t="shared" si="5"/>
        <v>1032</v>
      </c>
      <c r="F87" s="9">
        <f t="shared" si="6"/>
        <v>1032</v>
      </c>
      <c r="G87" s="9">
        <f t="shared" si="7"/>
        <v>722</v>
      </c>
      <c r="H87" s="9">
        <f t="shared" si="8"/>
        <v>722</v>
      </c>
      <c r="I87" s="9">
        <v>525</v>
      </c>
      <c r="J87" s="9">
        <f t="shared" si="9"/>
        <v>4644</v>
      </c>
      <c r="K87" s="9">
        <v>0</v>
      </c>
      <c r="L87" s="9">
        <v>4767</v>
      </c>
      <c r="M87" s="9">
        <v>60000000</v>
      </c>
      <c r="N87" s="9">
        <v>20000000</v>
      </c>
      <c r="O87" s="9">
        <v>0</v>
      </c>
    </row>
    <row r="88" spans="1:15">
      <c r="A88" s="9">
        <v>87</v>
      </c>
      <c r="B88" s="9">
        <v>41273620</v>
      </c>
      <c r="C88" s="9" t="s">
        <v>46</v>
      </c>
      <c r="D88" s="9">
        <v>6264</v>
      </c>
      <c r="E88" s="9">
        <f t="shared" si="5"/>
        <v>1044</v>
      </c>
      <c r="F88" s="9">
        <f t="shared" si="6"/>
        <v>1044</v>
      </c>
      <c r="G88" s="9">
        <f t="shared" si="7"/>
        <v>731</v>
      </c>
      <c r="H88" s="9">
        <f t="shared" si="8"/>
        <v>731</v>
      </c>
      <c r="I88" s="9">
        <v>530</v>
      </c>
      <c r="J88" s="9">
        <f t="shared" si="9"/>
        <v>4698</v>
      </c>
      <c r="K88" s="9">
        <v>0</v>
      </c>
      <c r="L88" s="9">
        <v>4958</v>
      </c>
      <c r="M88" s="9">
        <v>60000000</v>
      </c>
      <c r="N88" s="9">
        <v>20000000</v>
      </c>
      <c r="O88" s="9">
        <v>0</v>
      </c>
    </row>
    <row r="89" spans="1:15">
      <c r="A89" s="9">
        <v>88</v>
      </c>
      <c r="B89" s="9">
        <v>41964460</v>
      </c>
      <c r="C89" s="9" t="s">
        <v>46</v>
      </c>
      <c r="D89" s="9">
        <v>6336</v>
      </c>
      <c r="E89" s="9">
        <f t="shared" si="5"/>
        <v>1056</v>
      </c>
      <c r="F89" s="9">
        <f t="shared" si="6"/>
        <v>1056</v>
      </c>
      <c r="G89" s="9">
        <f t="shared" si="7"/>
        <v>739</v>
      </c>
      <c r="H89" s="9">
        <f t="shared" si="8"/>
        <v>739</v>
      </c>
      <c r="I89" s="9">
        <v>535</v>
      </c>
      <c r="J89" s="9">
        <f t="shared" si="9"/>
        <v>4752</v>
      </c>
      <c r="K89" s="9">
        <v>0</v>
      </c>
      <c r="L89" s="9">
        <v>5156</v>
      </c>
      <c r="M89" s="9">
        <v>60000000</v>
      </c>
      <c r="N89" s="9">
        <v>20000000</v>
      </c>
      <c r="O89" s="9">
        <v>0</v>
      </c>
    </row>
    <row r="90" spans="1:15">
      <c r="A90" s="9">
        <v>89</v>
      </c>
      <c r="B90" s="9">
        <v>42659240</v>
      </c>
      <c r="C90" s="9" t="s">
        <v>46</v>
      </c>
      <c r="D90" s="9">
        <v>6408</v>
      </c>
      <c r="E90" s="9">
        <f t="shared" si="5"/>
        <v>1068</v>
      </c>
      <c r="F90" s="9">
        <f t="shared" si="6"/>
        <v>1068</v>
      </c>
      <c r="G90" s="9">
        <f t="shared" si="7"/>
        <v>748</v>
      </c>
      <c r="H90" s="9">
        <f t="shared" si="8"/>
        <v>748</v>
      </c>
      <c r="I90" s="9">
        <v>540</v>
      </c>
      <c r="J90" s="9">
        <f t="shared" si="9"/>
        <v>4806</v>
      </c>
      <c r="K90" s="9">
        <v>0</v>
      </c>
      <c r="L90" s="9">
        <v>5363</v>
      </c>
      <c r="M90" s="9">
        <v>60000000</v>
      </c>
      <c r="N90" s="9">
        <v>20000000</v>
      </c>
      <c r="O90" s="9">
        <v>0</v>
      </c>
    </row>
    <row r="91" spans="1:15">
      <c r="A91" s="9">
        <v>90</v>
      </c>
      <c r="B91" s="9">
        <v>43565340</v>
      </c>
      <c r="C91" s="9" t="s">
        <v>46</v>
      </c>
      <c r="D91" s="9">
        <v>6480</v>
      </c>
      <c r="E91" s="9">
        <f t="shared" si="5"/>
        <v>1080</v>
      </c>
      <c r="F91" s="9">
        <f t="shared" si="6"/>
        <v>1080</v>
      </c>
      <c r="G91" s="9">
        <f t="shared" si="7"/>
        <v>756</v>
      </c>
      <c r="H91" s="9">
        <f t="shared" si="8"/>
        <v>756</v>
      </c>
      <c r="I91" s="9">
        <v>545</v>
      </c>
      <c r="J91" s="9">
        <f t="shared" si="9"/>
        <v>4860</v>
      </c>
      <c r="K91" s="9">
        <v>0</v>
      </c>
      <c r="L91" s="9">
        <v>5577</v>
      </c>
      <c r="M91" s="9">
        <v>60000000</v>
      </c>
      <c r="N91" s="9">
        <v>20000000</v>
      </c>
      <c r="O91" s="9">
        <v>0</v>
      </c>
    </row>
    <row r="92" spans="1:15">
      <c r="A92" s="9">
        <v>91</v>
      </c>
      <c r="B92" s="9">
        <v>52278408</v>
      </c>
      <c r="C92" s="9" t="s">
        <v>46</v>
      </c>
      <c r="D92" s="9">
        <v>6552</v>
      </c>
      <c r="E92" s="9">
        <f t="shared" si="5"/>
        <v>1092</v>
      </c>
      <c r="F92" s="9">
        <f t="shared" si="6"/>
        <v>1092</v>
      </c>
      <c r="G92" s="9">
        <f t="shared" si="7"/>
        <v>764</v>
      </c>
      <c r="H92" s="9">
        <f t="shared" si="8"/>
        <v>764</v>
      </c>
      <c r="I92" s="9">
        <v>550</v>
      </c>
      <c r="J92" s="9">
        <f t="shared" si="9"/>
        <v>4914</v>
      </c>
      <c r="K92" s="9">
        <v>0</v>
      </c>
      <c r="L92" s="9">
        <v>5800</v>
      </c>
      <c r="M92" s="9">
        <v>60000000</v>
      </c>
      <c r="N92" s="9">
        <v>20000000</v>
      </c>
      <c r="O92" s="9">
        <v>0</v>
      </c>
    </row>
    <row r="93" spans="1:15">
      <c r="A93" s="9">
        <v>92</v>
      </c>
      <c r="B93" s="9">
        <v>62734089</v>
      </c>
      <c r="C93" s="9" t="s">
        <v>46</v>
      </c>
      <c r="D93" s="9">
        <v>6624</v>
      </c>
      <c r="E93" s="9">
        <f t="shared" si="5"/>
        <v>1104</v>
      </c>
      <c r="F93" s="9">
        <f t="shared" si="6"/>
        <v>1104</v>
      </c>
      <c r="G93" s="9">
        <f t="shared" si="7"/>
        <v>773</v>
      </c>
      <c r="H93" s="9">
        <f t="shared" si="8"/>
        <v>773</v>
      </c>
      <c r="I93" s="9">
        <v>555</v>
      </c>
      <c r="J93" s="9">
        <f t="shared" si="9"/>
        <v>4968</v>
      </c>
      <c r="K93" s="9">
        <v>0</v>
      </c>
      <c r="L93" s="9">
        <v>6032</v>
      </c>
      <c r="M93" s="9">
        <v>60000000</v>
      </c>
      <c r="N93" s="9">
        <v>20000000</v>
      </c>
      <c r="O93" s="9">
        <v>0</v>
      </c>
    </row>
    <row r="94" spans="1:15">
      <c r="A94" s="9">
        <v>93</v>
      </c>
      <c r="B94" s="9">
        <v>75280906</v>
      </c>
      <c r="C94" s="9" t="s">
        <v>46</v>
      </c>
      <c r="D94" s="9">
        <v>6696</v>
      </c>
      <c r="E94" s="9">
        <f t="shared" si="5"/>
        <v>1116</v>
      </c>
      <c r="F94" s="9">
        <f t="shared" si="6"/>
        <v>1116</v>
      </c>
      <c r="G94" s="9">
        <f t="shared" si="7"/>
        <v>781</v>
      </c>
      <c r="H94" s="9">
        <f t="shared" si="8"/>
        <v>781</v>
      </c>
      <c r="I94" s="9">
        <v>560</v>
      </c>
      <c r="J94" s="9">
        <f t="shared" si="9"/>
        <v>5022</v>
      </c>
      <c r="K94" s="9">
        <v>0</v>
      </c>
      <c r="L94" s="9">
        <v>6274</v>
      </c>
      <c r="M94" s="9">
        <v>60000000</v>
      </c>
      <c r="N94" s="9">
        <v>20000000</v>
      </c>
      <c r="O94" s="9">
        <v>0</v>
      </c>
    </row>
    <row r="95" spans="1:15">
      <c r="A95" s="9">
        <v>94</v>
      </c>
      <c r="B95" s="9">
        <v>90337087</v>
      </c>
      <c r="C95" s="9" t="s">
        <v>46</v>
      </c>
      <c r="D95" s="9">
        <v>6768</v>
      </c>
      <c r="E95" s="9">
        <f t="shared" si="5"/>
        <v>1128</v>
      </c>
      <c r="F95" s="9">
        <f t="shared" si="6"/>
        <v>1128</v>
      </c>
      <c r="G95" s="9">
        <f t="shared" si="7"/>
        <v>790</v>
      </c>
      <c r="H95" s="9">
        <f t="shared" si="8"/>
        <v>790</v>
      </c>
      <c r="I95" s="9">
        <v>565</v>
      </c>
      <c r="J95" s="9">
        <f t="shared" si="9"/>
        <v>5076</v>
      </c>
      <c r="K95" s="9">
        <v>0</v>
      </c>
      <c r="L95" s="9">
        <v>6525</v>
      </c>
      <c r="M95" s="9">
        <v>60000000</v>
      </c>
      <c r="N95" s="9">
        <v>20000000</v>
      </c>
      <c r="O95" s="9">
        <v>0</v>
      </c>
    </row>
    <row r="96" spans="1:15">
      <c r="A96" s="9">
        <v>95</v>
      </c>
      <c r="B96" s="9">
        <v>95536850</v>
      </c>
      <c r="C96" s="9" t="s">
        <v>46</v>
      </c>
      <c r="D96" s="9">
        <v>6840</v>
      </c>
      <c r="E96" s="9">
        <f t="shared" si="5"/>
        <v>1140</v>
      </c>
      <c r="F96" s="9">
        <f t="shared" si="6"/>
        <v>1140</v>
      </c>
      <c r="G96" s="9">
        <f t="shared" si="7"/>
        <v>798</v>
      </c>
      <c r="H96" s="9">
        <f t="shared" si="8"/>
        <v>798</v>
      </c>
      <c r="I96" s="9">
        <v>570</v>
      </c>
      <c r="J96" s="9">
        <f t="shared" si="9"/>
        <v>5130</v>
      </c>
      <c r="K96" s="9">
        <v>0</v>
      </c>
      <c r="L96" s="9">
        <v>6786</v>
      </c>
      <c r="M96" s="9">
        <v>60000000</v>
      </c>
      <c r="N96" s="9">
        <v>20000000</v>
      </c>
      <c r="O96" s="9">
        <v>0</v>
      </c>
    </row>
    <row r="97" spans="1:15">
      <c r="A97" s="9">
        <v>96</v>
      </c>
      <c r="B97" s="9">
        <v>97000830</v>
      </c>
      <c r="C97" s="9" t="s">
        <v>46</v>
      </c>
      <c r="D97" s="9">
        <v>6912</v>
      </c>
      <c r="E97" s="9">
        <f t="shared" si="5"/>
        <v>1152</v>
      </c>
      <c r="F97" s="9">
        <f t="shared" si="6"/>
        <v>1152</v>
      </c>
      <c r="G97" s="9">
        <f t="shared" si="7"/>
        <v>806</v>
      </c>
      <c r="H97" s="9">
        <f t="shared" si="8"/>
        <v>806</v>
      </c>
      <c r="I97" s="9">
        <v>575</v>
      </c>
      <c r="J97" s="9">
        <f t="shared" si="9"/>
        <v>5184</v>
      </c>
      <c r="K97" s="9">
        <v>0</v>
      </c>
      <c r="L97" s="9">
        <v>7057</v>
      </c>
      <c r="M97" s="9">
        <v>60000000</v>
      </c>
      <c r="N97" s="9">
        <v>20000000</v>
      </c>
      <c r="O97" s="9">
        <v>0</v>
      </c>
    </row>
    <row r="98" spans="1:15">
      <c r="A98" s="9">
        <v>97</v>
      </c>
      <c r="B98" s="9">
        <v>98472460</v>
      </c>
      <c r="C98" s="9" t="s">
        <v>46</v>
      </c>
      <c r="D98" s="9">
        <v>6984</v>
      </c>
      <c r="E98" s="9">
        <f t="shared" si="5"/>
        <v>1164</v>
      </c>
      <c r="F98" s="9">
        <f t="shared" si="6"/>
        <v>1164</v>
      </c>
      <c r="G98" s="9">
        <f t="shared" si="7"/>
        <v>815</v>
      </c>
      <c r="H98" s="9">
        <f t="shared" si="8"/>
        <v>815</v>
      </c>
      <c r="I98" s="9">
        <v>580</v>
      </c>
      <c r="J98" s="9">
        <f t="shared" si="9"/>
        <v>5238</v>
      </c>
      <c r="K98" s="9">
        <v>0</v>
      </c>
      <c r="L98" s="9">
        <v>7339</v>
      </c>
      <c r="M98" s="9">
        <v>60000000</v>
      </c>
      <c r="N98" s="9">
        <v>20000000</v>
      </c>
      <c r="O98" s="9">
        <v>0</v>
      </c>
    </row>
    <row r="99" spans="1:15">
      <c r="A99" s="9">
        <v>98</v>
      </c>
      <c r="B99" s="9">
        <v>99951690</v>
      </c>
      <c r="C99" s="9" t="s">
        <v>46</v>
      </c>
      <c r="D99" s="9">
        <v>7056</v>
      </c>
      <c r="E99" s="9">
        <f t="shared" si="5"/>
        <v>1176</v>
      </c>
      <c r="F99" s="9">
        <f t="shared" si="6"/>
        <v>1176</v>
      </c>
      <c r="G99" s="9">
        <f t="shared" si="7"/>
        <v>823</v>
      </c>
      <c r="H99" s="9">
        <f t="shared" si="8"/>
        <v>823</v>
      </c>
      <c r="I99" s="9">
        <v>585</v>
      </c>
      <c r="J99" s="9">
        <f t="shared" si="9"/>
        <v>5292</v>
      </c>
      <c r="K99" s="9">
        <v>0</v>
      </c>
      <c r="L99" s="9">
        <v>7633</v>
      </c>
      <c r="M99" s="9">
        <v>60000000</v>
      </c>
      <c r="N99" s="9">
        <v>20000000</v>
      </c>
      <c r="O99" s="9">
        <v>0</v>
      </c>
    </row>
    <row r="100" spans="1:15">
      <c r="A100" s="9">
        <v>99</v>
      </c>
      <c r="B100" s="9">
        <v>101438490</v>
      </c>
      <c r="C100" s="9" t="s">
        <v>46</v>
      </c>
      <c r="D100" s="9">
        <v>7128</v>
      </c>
      <c r="E100" s="9">
        <f t="shared" si="5"/>
        <v>1188</v>
      </c>
      <c r="F100" s="9">
        <f t="shared" si="6"/>
        <v>1188</v>
      </c>
      <c r="G100" s="9">
        <f t="shared" si="7"/>
        <v>832</v>
      </c>
      <c r="H100" s="9">
        <f t="shared" si="8"/>
        <v>832</v>
      </c>
      <c r="I100" s="9">
        <v>590</v>
      </c>
      <c r="J100" s="9">
        <f t="shared" si="9"/>
        <v>5346</v>
      </c>
      <c r="K100" s="9">
        <v>0</v>
      </c>
      <c r="L100" s="9">
        <v>7938</v>
      </c>
      <c r="M100" s="9">
        <v>60000000</v>
      </c>
      <c r="N100" s="9">
        <v>20000000</v>
      </c>
      <c r="O100" s="9">
        <v>0</v>
      </c>
    </row>
    <row r="101" spans="1:15">
      <c r="A101" s="9">
        <v>100</v>
      </c>
      <c r="B101" s="9">
        <v>103371380</v>
      </c>
      <c r="C101" s="9" t="s">
        <v>46</v>
      </c>
      <c r="D101" s="9">
        <v>7200</v>
      </c>
      <c r="E101" s="9">
        <f t="shared" si="5"/>
        <v>1200</v>
      </c>
      <c r="F101" s="9">
        <f t="shared" si="6"/>
        <v>1200</v>
      </c>
      <c r="G101" s="9">
        <f t="shared" si="7"/>
        <v>840</v>
      </c>
      <c r="H101" s="9">
        <f t="shared" si="8"/>
        <v>840</v>
      </c>
      <c r="I101" s="9">
        <v>595</v>
      </c>
      <c r="J101" s="9">
        <f t="shared" si="9"/>
        <v>5400</v>
      </c>
      <c r="K101" s="9">
        <v>0</v>
      </c>
      <c r="L101" s="9">
        <v>8256</v>
      </c>
      <c r="M101" s="9">
        <v>60000000</v>
      </c>
      <c r="N101" s="9">
        <v>20000000</v>
      </c>
      <c r="O101" s="9">
        <v>0</v>
      </c>
    </row>
    <row r="102" spans="1:15">
      <c r="A102" s="9">
        <v>101</v>
      </c>
      <c r="B102" s="9">
        <v>106913270</v>
      </c>
      <c r="C102" s="9" t="s">
        <v>46</v>
      </c>
      <c r="D102" s="9">
        <v>7272</v>
      </c>
      <c r="E102" s="9">
        <f t="shared" si="5"/>
        <v>1212</v>
      </c>
      <c r="F102" s="9">
        <f t="shared" si="6"/>
        <v>1212</v>
      </c>
      <c r="G102" s="9">
        <f t="shared" si="7"/>
        <v>848</v>
      </c>
      <c r="H102" s="9">
        <f t="shared" si="8"/>
        <v>848</v>
      </c>
      <c r="I102" s="9">
        <v>600</v>
      </c>
      <c r="J102" s="9">
        <f t="shared" si="9"/>
        <v>5454</v>
      </c>
      <c r="K102" s="9">
        <v>0</v>
      </c>
      <c r="L102" s="9">
        <v>8586</v>
      </c>
      <c r="M102" s="9">
        <v>60000000</v>
      </c>
      <c r="N102" s="9">
        <v>20000000</v>
      </c>
      <c r="O102" s="9">
        <v>0</v>
      </c>
    </row>
    <row r="103" spans="1:15">
      <c r="A103" s="9">
        <v>102</v>
      </c>
      <c r="B103" s="9">
        <v>108452770</v>
      </c>
      <c r="C103" s="9" t="s">
        <v>46</v>
      </c>
      <c r="D103" s="9">
        <v>7344</v>
      </c>
      <c r="E103" s="9">
        <f t="shared" si="5"/>
        <v>1224</v>
      </c>
      <c r="F103" s="9">
        <f t="shared" si="6"/>
        <v>1224</v>
      </c>
      <c r="G103" s="9">
        <f t="shared" si="7"/>
        <v>857</v>
      </c>
      <c r="H103" s="9">
        <f t="shared" si="8"/>
        <v>857</v>
      </c>
      <c r="I103" s="9">
        <v>605</v>
      </c>
      <c r="J103" s="9">
        <f t="shared" si="9"/>
        <v>5508</v>
      </c>
      <c r="K103" s="9">
        <v>0</v>
      </c>
      <c r="L103" s="9">
        <v>8929</v>
      </c>
      <c r="M103" s="9">
        <v>60000000</v>
      </c>
      <c r="N103" s="9">
        <v>20000000</v>
      </c>
      <c r="O103" s="9">
        <v>0</v>
      </c>
    </row>
    <row r="104" spans="1:15">
      <c r="A104" s="9">
        <v>103</v>
      </c>
      <c r="B104" s="9">
        <v>109999830</v>
      </c>
      <c r="C104" s="9" t="s">
        <v>46</v>
      </c>
      <c r="D104" s="9">
        <v>7416</v>
      </c>
      <c r="E104" s="9">
        <f t="shared" si="5"/>
        <v>1236</v>
      </c>
      <c r="F104" s="9">
        <f t="shared" si="6"/>
        <v>1236</v>
      </c>
      <c r="G104" s="9">
        <f t="shared" si="7"/>
        <v>865</v>
      </c>
      <c r="H104" s="9">
        <f t="shared" si="8"/>
        <v>865</v>
      </c>
      <c r="I104" s="9">
        <v>610</v>
      </c>
      <c r="J104" s="9">
        <f t="shared" si="9"/>
        <v>5562</v>
      </c>
      <c r="K104" s="9">
        <v>0</v>
      </c>
      <c r="L104" s="9">
        <v>9286</v>
      </c>
      <c r="M104" s="9">
        <v>60000000</v>
      </c>
      <c r="N104" s="9">
        <v>20000000</v>
      </c>
      <c r="O104" s="9">
        <v>0</v>
      </c>
    </row>
    <row r="105" spans="1:15">
      <c r="A105" s="9">
        <v>104</v>
      </c>
      <c r="B105" s="9">
        <v>111554420</v>
      </c>
      <c r="C105" s="9" t="s">
        <v>46</v>
      </c>
      <c r="D105" s="9">
        <v>7488</v>
      </c>
      <c r="E105" s="9">
        <f t="shared" si="5"/>
        <v>1248</v>
      </c>
      <c r="F105" s="9">
        <f t="shared" si="6"/>
        <v>1248</v>
      </c>
      <c r="G105" s="9">
        <f t="shared" si="7"/>
        <v>874</v>
      </c>
      <c r="H105" s="9">
        <f t="shared" si="8"/>
        <v>874</v>
      </c>
      <c r="I105" s="9">
        <v>615</v>
      </c>
      <c r="J105" s="9">
        <f t="shared" si="9"/>
        <v>5616</v>
      </c>
      <c r="K105" s="9">
        <v>0</v>
      </c>
      <c r="L105" s="9">
        <v>9658</v>
      </c>
      <c r="M105" s="9">
        <v>60000000</v>
      </c>
      <c r="N105" s="9">
        <v>20000000</v>
      </c>
      <c r="O105" s="9">
        <v>0</v>
      </c>
    </row>
    <row r="106" spans="1:15">
      <c r="A106" s="9">
        <v>105</v>
      </c>
      <c r="B106" s="9">
        <v>113116500</v>
      </c>
      <c r="C106" s="9" t="s">
        <v>46</v>
      </c>
      <c r="D106" s="9">
        <v>7560</v>
      </c>
      <c r="E106" s="9">
        <f t="shared" si="5"/>
        <v>1260</v>
      </c>
      <c r="F106" s="9">
        <f t="shared" si="6"/>
        <v>1260</v>
      </c>
      <c r="G106" s="9">
        <f t="shared" si="7"/>
        <v>882</v>
      </c>
      <c r="H106" s="9">
        <f t="shared" si="8"/>
        <v>882</v>
      </c>
      <c r="I106" s="9">
        <v>620</v>
      </c>
      <c r="J106" s="9">
        <f t="shared" si="9"/>
        <v>5670</v>
      </c>
      <c r="K106" s="9">
        <v>0</v>
      </c>
      <c r="L106" s="9">
        <v>10044</v>
      </c>
      <c r="M106" s="9">
        <v>60000000</v>
      </c>
      <c r="N106" s="9">
        <v>20000000</v>
      </c>
      <c r="O106" s="9">
        <v>0</v>
      </c>
    </row>
    <row r="107" spans="1:15">
      <c r="A107" s="9">
        <v>106</v>
      </c>
      <c r="B107" s="9">
        <v>114686040</v>
      </c>
      <c r="C107" s="9" t="s">
        <v>46</v>
      </c>
      <c r="D107" s="9">
        <v>7632</v>
      </c>
      <c r="E107" s="9">
        <f t="shared" si="5"/>
        <v>1272</v>
      </c>
      <c r="F107" s="9">
        <f t="shared" si="6"/>
        <v>1272</v>
      </c>
      <c r="G107" s="9">
        <f t="shared" si="7"/>
        <v>890</v>
      </c>
      <c r="H107" s="9">
        <f t="shared" si="8"/>
        <v>890</v>
      </c>
      <c r="I107" s="9">
        <v>625</v>
      </c>
      <c r="J107" s="9">
        <f t="shared" si="9"/>
        <v>5724</v>
      </c>
      <c r="K107" s="9">
        <v>0</v>
      </c>
      <c r="L107" s="9">
        <v>10446</v>
      </c>
      <c r="M107" s="9">
        <v>60000000</v>
      </c>
      <c r="N107" s="9">
        <v>20000000</v>
      </c>
      <c r="O107" s="9">
        <v>0</v>
      </c>
    </row>
    <row r="108" spans="1:15">
      <c r="A108" s="9">
        <v>107</v>
      </c>
      <c r="B108" s="9">
        <v>116263000</v>
      </c>
      <c r="C108" s="9" t="s">
        <v>46</v>
      </c>
      <c r="D108" s="9">
        <v>7704</v>
      </c>
      <c r="E108" s="9">
        <f t="shared" si="5"/>
        <v>1284</v>
      </c>
      <c r="F108" s="9">
        <f t="shared" si="6"/>
        <v>1284</v>
      </c>
      <c r="G108" s="9">
        <f t="shared" si="7"/>
        <v>899</v>
      </c>
      <c r="H108" s="9">
        <f t="shared" si="8"/>
        <v>899</v>
      </c>
      <c r="I108" s="9">
        <v>630</v>
      </c>
      <c r="J108" s="9">
        <f t="shared" si="9"/>
        <v>5778</v>
      </c>
      <c r="K108" s="9">
        <v>0</v>
      </c>
      <c r="L108" s="9">
        <v>10864</v>
      </c>
      <c r="M108" s="9">
        <v>60000000</v>
      </c>
      <c r="N108" s="9">
        <v>20000000</v>
      </c>
      <c r="O108" s="9">
        <v>0</v>
      </c>
    </row>
    <row r="109" spans="1:15">
      <c r="A109" s="9">
        <v>108</v>
      </c>
      <c r="B109" s="9">
        <v>117847340</v>
      </c>
      <c r="C109" s="9" t="s">
        <v>46</v>
      </c>
      <c r="D109" s="9">
        <v>7776</v>
      </c>
      <c r="E109" s="9">
        <f t="shared" si="5"/>
        <v>1296</v>
      </c>
      <c r="F109" s="9">
        <f t="shared" si="6"/>
        <v>1296</v>
      </c>
      <c r="G109" s="9">
        <f t="shared" si="7"/>
        <v>907</v>
      </c>
      <c r="H109" s="9">
        <f t="shared" si="8"/>
        <v>907</v>
      </c>
      <c r="I109" s="9">
        <v>635</v>
      </c>
      <c r="J109" s="9">
        <f t="shared" si="9"/>
        <v>5832</v>
      </c>
      <c r="K109" s="9">
        <v>0</v>
      </c>
      <c r="L109" s="9">
        <v>11298</v>
      </c>
      <c r="M109" s="9">
        <v>60000000</v>
      </c>
      <c r="N109" s="9">
        <v>20000000</v>
      </c>
      <c r="O109" s="9">
        <v>0</v>
      </c>
    </row>
    <row r="110" spans="1:15">
      <c r="A110" s="9">
        <v>109</v>
      </c>
      <c r="B110" s="9">
        <v>119439040</v>
      </c>
      <c r="C110" s="9" t="s">
        <v>46</v>
      </c>
      <c r="D110" s="9">
        <v>7848</v>
      </c>
      <c r="E110" s="9">
        <f t="shared" si="5"/>
        <v>1308</v>
      </c>
      <c r="F110" s="9">
        <f t="shared" si="6"/>
        <v>1308</v>
      </c>
      <c r="G110" s="9">
        <f t="shared" si="7"/>
        <v>916</v>
      </c>
      <c r="H110" s="9">
        <f t="shared" si="8"/>
        <v>916</v>
      </c>
      <c r="I110" s="9">
        <v>640</v>
      </c>
      <c r="J110" s="9">
        <f t="shared" si="9"/>
        <v>5886</v>
      </c>
      <c r="K110" s="9">
        <v>0</v>
      </c>
      <c r="L110" s="9">
        <v>11750</v>
      </c>
      <c r="M110" s="9">
        <v>60000000</v>
      </c>
      <c r="N110" s="9">
        <v>20000000</v>
      </c>
      <c r="O110" s="9">
        <v>0</v>
      </c>
    </row>
    <row r="111" spans="1:15">
      <c r="A111" s="9">
        <v>110</v>
      </c>
      <c r="B111" s="9">
        <v>121499120</v>
      </c>
      <c r="C111" s="9" t="s">
        <v>46</v>
      </c>
      <c r="D111" s="9">
        <v>7920</v>
      </c>
      <c r="E111" s="9">
        <f t="shared" si="5"/>
        <v>1320</v>
      </c>
      <c r="F111" s="9">
        <f t="shared" si="6"/>
        <v>1320</v>
      </c>
      <c r="G111" s="9">
        <f t="shared" si="7"/>
        <v>924</v>
      </c>
      <c r="H111" s="9">
        <f t="shared" si="8"/>
        <v>924</v>
      </c>
      <c r="I111" s="9">
        <v>645</v>
      </c>
      <c r="J111" s="9">
        <f t="shared" si="9"/>
        <v>5940</v>
      </c>
      <c r="K111" s="9">
        <v>0</v>
      </c>
      <c r="L111" s="9">
        <v>12220</v>
      </c>
      <c r="M111" s="9">
        <v>60000000</v>
      </c>
      <c r="N111" s="9">
        <v>20000000</v>
      </c>
      <c r="O111" s="9">
        <v>0</v>
      </c>
    </row>
    <row r="112" spans="1:15">
      <c r="A112" s="9">
        <v>111</v>
      </c>
      <c r="B112" s="9">
        <v>128273040</v>
      </c>
      <c r="C112" s="9" t="s">
        <v>46</v>
      </c>
      <c r="D112" s="9">
        <v>7992</v>
      </c>
      <c r="E112" s="9">
        <f t="shared" si="5"/>
        <v>1332</v>
      </c>
      <c r="F112" s="9">
        <f t="shared" si="6"/>
        <v>1332</v>
      </c>
      <c r="G112" s="9">
        <f t="shared" si="7"/>
        <v>932</v>
      </c>
      <c r="H112" s="9">
        <f t="shared" si="8"/>
        <v>932</v>
      </c>
      <c r="I112" s="9">
        <v>650</v>
      </c>
      <c r="J112" s="9">
        <f t="shared" si="9"/>
        <v>5994</v>
      </c>
      <c r="K112" s="9">
        <v>0</v>
      </c>
      <c r="L112" s="9">
        <v>12709</v>
      </c>
      <c r="M112" s="9">
        <v>60000000</v>
      </c>
      <c r="N112" s="9">
        <v>20000000</v>
      </c>
      <c r="O112" s="9">
        <v>0</v>
      </c>
    </row>
    <row r="113" spans="1:15">
      <c r="A113" s="9">
        <v>112</v>
      </c>
      <c r="B113" s="9">
        <v>129956280</v>
      </c>
      <c r="C113" s="9" t="s">
        <v>46</v>
      </c>
      <c r="D113" s="9">
        <v>8064</v>
      </c>
      <c r="E113" s="9">
        <f t="shared" si="5"/>
        <v>1344</v>
      </c>
      <c r="F113" s="9">
        <f t="shared" si="6"/>
        <v>1344</v>
      </c>
      <c r="G113" s="9">
        <f t="shared" si="7"/>
        <v>941</v>
      </c>
      <c r="H113" s="9">
        <f t="shared" si="8"/>
        <v>941</v>
      </c>
      <c r="I113" s="9">
        <v>655</v>
      </c>
      <c r="J113" s="9">
        <f t="shared" si="9"/>
        <v>6048</v>
      </c>
      <c r="K113" s="9">
        <v>0</v>
      </c>
      <c r="L113" s="9">
        <v>13218</v>
      </c>
      <c r="M113" s="9">
        <v>60000000</v>
      </c>
      <c r="N113" s="9">
        <v>20000000</v>
      </c>
      <c r="O113" s="9">
        <v>0</v>
      </c>
    </row>
    <row r="114" spans="1:15">
      <c r="A114" s="9">
        <v>113</v>
      </c>
      <c r="B114" s="9">
        <v>131647060</v>
      </c>
      <c r="C114" s="9" t="s">
        <v>46</v>
      </c>
      <c r="D114" s="9">
        <v>8136</v>
      </c>
      <c r="E114" s="9">
        <f t="shared" si="5"/>
        <v>1356</v>
      </c>
      <c r="F114" s="9">
        <f t="shared" si="6"/>
        <v>1356</v>
      </c>
      <c r="G114" s="9">
        <f t="shared" si="7"/>
        <v>949</v>
      </c>
      <c r="H114" s="9">
        <f t="shared" si="8"/>
        <v>949</v>
      </c>
      <c r="I114" s="9">
        <v>660</v>
      </c>
      <c r="J114" s="9">
        <f t="shared" si="9"/>
        <v>6102</v>
      </c>
      <c r="K114" s="9">
        <v>0</v>
      </c>
      <c r="L114" s="9">
        <v>13746</v>
      </c>
      <c r="M114" s="9">
        <v>60000000</v>
      </c>
      <c r="N114" s="9">
        <v>20000000</v>
      </c>
      <c r="O114" s="9">
        <v>0</v>
      </c>
    </row>
    <row r="115" spans="1:15">
      <c r="A115" s="9">
        <v>114</v>
      </c>
      <c r="B115" s="9">
        <v>133345330</v>
      </c>
      <c r="C115" s="9" t="s">
        <v>46</v>
      </c>
      <c r="D115" s="9">
        <v>8208</v>
      </c>
      <c r="E115" s="9">
        <f t="shared" si="5"/>
        <v>1368</v>
      </c>
      <c r="F115" s="9">
        <f t="shared" si="6"/>
        <v>1368</v>
      </c>
      <c r="G115" s="9">
        <f t="shared" si="7"/>
        <v>958</v>
      </c>
      <c r="H115" s="9">
        <f t="shared" si="8"/>
        <v>958</v>
      </c>
      <c r="I115" s="9">
        <v>665</v>
      </c>
      <c r="J115" s="9">
        <f t="shared" si="9"/>
        <v>6156</v>
      </c>
      <c r="K115" s="9">
        <v>0</v>
      </c>
      <c r="L115" s="9">
        <v>14296</v>
      </c>
      <c r="M115" s="9">
        <v>60000000</v>
      </c>
      <c r="N115" s="9">
        <v>20000000</v>
      </c>
      <c r="O115" s="9">
        <v>0</v>
      </c>
    </row>
    <row r="116" spans="1:15">
      <c r="A116" s="9">
        <v>115</v>
      </c>
      <c r="B116" s="9">
        <v>135051070</v>
      </c>
      <c r="C116" s="9" t="s">
        <v>46</v>
      </c>
      <c r="D116" s="9">
        <v>8280</v>
      </c>
      <c r="E116" s="9">
        <f t="shared" si="5"/>
        <v>1380</v>
      </c>
      <c r="F116" s="9">
        <f t="shared" si="6"/>
        <v>1380</v>
      </c>
      <c r="G116" s="9">
        <f t="shared" si="7"/>
        <v>966</v>
      </c>
      <c r="H116" s="9">
        <f t="shared" si="8"/>
        <v>966</v>
      </c>
      <c r="I116" s="9">
        <v>670</v>
      </c>
      <c r="J116" s="9">
        <f t="shared" si="9"/>
        <v>6210</v>
      </c>
      <c r="K116" s="9">
        <v>0</v>
      </c>
      <c r="L116" s="9">
        <v>14868</v>
      </c>
      <c r="M116" s="9">
        <v>60000000</v>
      </c>
      <c r="N116" s="9">
        <v>20000000</v>
      </c>
      <c r="O116" s="9">
        <v>0</v>
      </c>
    </row>
    <row r="117" spans="1:15">
      <c r="A117" s="9">
        <v>116</v>
      </c>
      <c r="B117" s="9">
        <v>136764240</v>
      </c>
      <c r="C117" s="9" t="s">
        <v>46</v>
      </c>
      <c r="D117" s="9">
        <v>8352</v>
      </c>
      <c r="E117" s="9">
        <f t="shared" si="5"/>
        <v>1392</v>
      </c>
      <c r="F117" s="9">
        <f t="shared" si="6"/>
        <v>1392</v>
      </c>
      <c r="G117" s="9">
        <f t="shared" si="7"/>
        <v>974</v>
      </c>
      <c r="H117" s="9">
        <f t="shared" si="8"/>
        <v>974</v>
      </c>
      <c r="I117" s="9">
        <v>675</v>
      </c>
      <c r="J117" s="9">
        <f t="shared" si="9"/>
        <v>6264</v>
      </c>
      <c r="K117" s="9">
        <v>0</v>
      </c>
      <c r="L117" s="9">
        <v>15463</v>
      </c>
      <c r="M117" s="9">
        <v>60000000</v>
      </c>
      <c r="N117" s="9">
        <v>20000000</v>
      </c>
      <c r="O117" s="9">
        <v>0</v>
      </c>
    </row>
    <row r="118" spans="1:15">
      <c r="A118" s="9">
        <v>117</v>
      </c>
      <c r="B118" s="9">
        <v>138484810</v>
      </c>
      <c r="C118" s="9" t="s">
        <v>46</v>
      </c>
      <c r="D118" s="9">
        <v>8424</v>
      </c>
      <c r="E118" s="9">
        <f t="shared" si="5"/>
        <v>1404</v>
      </c>
      <c r="F118" s="9">
        <f t="shared" si="6"/>
        <v>1404</v>
      </c>
      <c r="G118" s="9">
        <f t="shared" si="7"/>
        <v>983</v>
      </c>
      <c r="H118" s="9">
        <f t="shared" si="8"/>
        <v>983</v>
      </c>
      <c r="I118" s="9">
        <v>680</v>
      </c>
      <c r="J118" s="9">
        <f t="shared" si="9"/>
        <v>6318</v>
      </c>
      <c r="K118" s="9">
        <v>0</v>
      </c>
      <c r="L118" s="9">
        <v>16081</v>
      </c>
      <c r="M118" s="9">
        <v>60000000</v>
      </c>
      <c r="N118" s="9">
        <v>20000000</v>
      </c>
      <c r="O118" s="9">
        <v>0</v>
      </c>
    </row>
    <row r="119" spans="1:15">
      <c r="A119" s="9">
        <v>118</v>
      </c>
      <c r="B119" s="9">
        <v>140212750</v>
      </c>
      <c r="C119" s="9" t="s">
        <v>46</v>
      </c>
      <c r="D119" s="9">
        <v>8496</v>
      </c>
      <c r="E119" s="9">
        <f t="shared" si="5"/>
        <v>1416</v>
      </c>
      <c r="F119" s="9">
        <f t="shared" si="6"/>
        <v>1416</v>
      </c>
      <c r="G119" s="9">
        <f t="shared" si="7"/>
        <v>991</v>
      </c>
      <c r="H119" s="9">
        <f t="shared" si="8"/>
        <v>991</v>
      </c>
      <c r="I119" s="9">
        <v>685</v>
      </c>
      <c r="J119" s="9">
        <f t="shared" si="9"/>
        <v>6372</v>
      </c>
      <c r="K119" s="9">
        <v>0</v>
      </c>
      <c r="L119" s="9">
        <v>16724</v>
      </c>
      <c r="M119" s="9">
        <v>60000000</v>
      </c>
      <c r="N119" s="9">
        <v>20000000</v>
      </c>
      <c r="O119" s="9">
        <v>0</v>
      </c>
    </row>
    <row r="120" spans="1:15">
      <c r="A120" s="9">
        <v>119</v>
      </c>
      <c r="B120" s="9">
        <v>141948030</v>
      </c>
      <c r="C120" s="9" t="s">
        <v>46</v>
      </c>
      <c r="D120" s="9">
        <v>8568</v>
      </c>
      <c r="E120" s="9">
        <f t="shared" si="5"/>
        <v>1428</v>
      </c>
      <c r="F120" s="9">
        <f t="shared" si="6"/>
        <v>1428</v>
      </c>
      <c r="G120" s="9">
        <f t="shared" si="7"/>
        <v>1000</v>
      </c>
      <c r="H120" s="9">
        <f t="shared" si="8"/>
        <v>1000</v>
      </c>
      <c r="I120" s="9">
        <v>690</v>
      </c>
      <c r="J120" s="9">
        <f t="shared" si="9"/>
        <v>6426</v>
      </c>
      <c r="K120" s="9">
        <v>0</v>
      </c>
      <c r="L120" s="9">
        <v>17393</v>
      </c>
      <c r="M120" s="9">
        <v>60000000</v>
      </c>
      <c r="N120" s="9">
        <v>20000000</v>
      </c>
      <c r="O120" s="9">
        <v>0</v>
      </c>
    </row>
    <row r="121" spans="1:15">
      <c r="A121" s="9">
        <v>120</v>
      </c>
      <c r="B121" s="9">
        <v>144173150</v>
      </c>
      <c r="C121" s="9" t="s">
        <v>46</v>
      </c>
      <c r="D121" s="9">
        <v>8640</v>
      </c>
      <c r="E121" s="9">
        <f t="shared" si="5"/>
        <v>1440</v>
      </c>
      <c r="F121" s="9">
        <f t="shared" si="6"/>
        <v>1440</v>
      </c>
      <c r="G121" s="9">
        <f t="shared" si="7"/>
        <v>1008</v>
      </c>
      <c r="H121" s="9">
        <f t="shared" si="8"/>
        <v>1008</v>
      </c>
      <c r="I121" s="9">
        <v>695</v>
      </c>
      <c r="J121" s="9">
        <f t="shared" si="9"/>
        <v>6480</v>
      </c>
      <c r="K121" s="9">
        <v>0</v>
      </c>
      <c r="L121" s="9">
        <v>18089</v>
      </c>
      <c r="M121" s="9">
        <v>60000000</v>
      </c>
      <c r="N121" s="9">
        <v>20000000</v>
      </c>
      <c r="O121" s="9">
        <v>0</v>
      </c>
    </row>
    <row r="122" spans="1:15">
      <c r="A122" s="9">
        <v>121</v>
      </c>
      <c r="B122" s="9">
        <v>173007780</v>
      </c>
      <c r="C122" s="9" t="s">
        <v>46</v>
      </c>
      <c r="D122" s="9">
        <v>8712</v>
      </c>
      <c r="E122" s="9">
        <f t="shared" si="5"/>
        <v>1452</v>
      </c>
      <c r="F122" s="9">
        <f t="shared" si="6"/>
        <v>1452</v>
      </c>
      <c r="G122" s="9">
        <f t="shared" si="7"/>
        <v>1016</v>
      </c>
      <c r="H122" s="9">
        <f t="shared" si="8"/>
        <v>1016</v>
      </c>
      <c r="I122" s="9">
        <v>700</v>
      </c>
      <c r="J122" s="9">
        <f t="shared" si="9"/>
        <v>6534</v>
      </c>
      <c r="K122" s="9">
        <v>0</v>
      </c>
      <c r="L122" s="9">
        <v>18813</v>
      </c>
      <c r="M122" s="9">
        <v>60000000</v>
      </c>
      <c r="N122" s="9">
        <v>20000000</v>
      </c>
      <c r="O122" s="9">
        <v>0</v>
      </c>
    </row>
    <row r="123" spans="1:15">
      <c r="A123" s="9">
        <v>122</v>
      </c>
      <c r="B123" s="9">
        <v>207609336</v>
      </c>
      <c r="C123" s="9" t="s">
        <v>46</v>
      </c>
      <c r="D123" s="9">
        <v>8784</v>
      </c>
      <c r="E123" s="9">
        <f t="shared" si="5"/>
        <v>1464</v>
      </c>
      <c r="F123" s="9">
        <f t="shared" si="6"/>
        <v>1464</v>
      </c>
      <c r="G123" s="9">
        <f t="shared" si="7"/>
        <v>1025</v>
      </c>
      <c r="H123" s="9">
        <f t="shared" si="8"/>
        <v>1025</v>
      </c>
      <c r="I123" s="9">
        <v>705</v>
      </c>
      <c r="J123" s="9">
        <f t="shared" si="9"/>
        <v>6588</v>
      </c>
      <c r="K123" s="9">
        <v>0</v>
      </c>
      <c r="L123" s="9">
        <v>19565</v>
      </c>
      <c r="M123" s="9">
        <v>60000000</v>
      </c>
      <c r="N123" s="9">
        <v>20000000</v>
      </c>
      <c r="O123" s="9">
        <v>0</v>
      </c>
    </row>
    <row r="124" spans="1:15">
      <c r="A124" s="9">
        <v>123</v>
      </c>
      <c r="B124" s="9">
        <v>226220360</v>
      </c>
      <c r="C124" s="9" t="s">
        <v>46</v>
      </c>
      <c r="D124" s="9">
        <v>8856</v>
      </c>
      <c r="E124" s="9">
        <f t="shared" si="5"/>
        <v>1476</v>
      </c>
      <c r="F124" s="9">
        <f t="shared" si="6"/>
        <v>1476</v>
      </c>
      <c r="G124" s="9">
        <f t="shared" si="7"/>
        <v>1033</v>
      </c>
      <c r="H124" s="9">
        <f t="shared" si="8"/>
        <v>1033</v>
      </c>
      <c r="I124" s="9">
        <v>710</v>
      </c>
      <c r="J124" s="9">
        <f t="shared" si="9"/>
        <v>6642</v>
      </c>
      <c r="K124" s="9">
        <v>0</v>
      </c>
      <c r="L124" s="9">
        <v>20348</v>
      </c>
      <c r="M124" s="9">
        <v>60000000</v>
      </c>
      <c r="N124" s="9">
        <v>20000000</v>
      </c>
      <c r="O124" s="9">
        <v>0</v>
      </c>
    </row>
    <row r="125" spans="1:15">
      <c r="A125" s="9">
        <v>124</v>
      </c>
      <c r="B125" s="9">
        <v>228902630</v>
      </c>
      <c r="C125" s="9" t="s">
        <v>46</v>
      </c>
      <c r="D125" s="9">
        <v>8928</v>
      </c>
      <c r="E125" s="9">
        <f t="shared" si="5"/>
        <v>1488</v>
      </c>
      <c r="F125" s="9">
        <f t="shared" si="6"/>
        <v>1488</v>
      </c>
      <c r="G125" s="9">
        <f t="shared" si="7"/>
        <v>1042</v>
      </c>
      <c r="H125" s="9">
        <f t="shared" si="8"/>
        <v>1042</v>
      </c>
      <c r="I125" s="9">
        <v>715</v>
      </c>
      <c r="J125" s="9">
        <f t="shared" si="9"/>
        <v>6696</v>
      </c>
      <c r="K125" s="9">
        <v>0</v>
      </c>
      <c r="L125" s="9">
        <v>21162</v>
      </c>
      <c r="M125" s="9">
        <v>60000000</v>
      </c>
      <c r="N125" s="9">
        <v>20000000</v>
      </c>
      <c r="O125" s="9">
        <v>0</v>
      </c>
    </row>
    <row r="126" spans="1:15">
      <c r="A126" s="9">
        <v>125</v>
      </c>
      <c r="B126" s="9">
        <v>231595730</v>
      </c>
      <c r="C126" s="9" t="s">
        <v>46</v>
      </c>
      <c r="D126" s="9">
        <v>9000</v>
      </c>
      <c r="E126" s="9">
        <f t="shared" si="5"/>
        <v>1500</v>
      </c>
      <c r="F126" s="9">
        <f t="shared" si="6"/>
        <v>1500</v>
      </c>
      <c r="G126" s="9">
        <f t="shared" si="7"/>
        <v>1050</v>
      </c>
      <c r="H126" s="9">
        <f t="shared" si="8"/>
        <v>1050</v>
      </c>
      <c r="I126" s="9">
        <v>720</v>
      </c>
      <c r="J126" s="9">
        <f t="shared" si="9"/>
        <v>6750</v>
      </c>
      <c r="K126" s="9">
        <v>0</v>
      </c>
      <c r="L126" s="9">
        <v>22008</v>
      </c>
      <c r="M126" s="9">
        <v>60000000</v>
      </c>
      <c r="N126" s="9">
        <v>20000000</v>
      </c>
      <c r="O126" s="9">
        <v>0</v>
      </c>
    </row>
    <row r="127" spans="1:15">
      <c r="A127" s="9">
        <v>126</v>
      </c>
      <c r="B127" s="9">
        <v>234299630</v>
      </c>
      <c r="C127" s="9" t="s">
        <v>46</v>
      </c>
      <c r="D127" s="9">
        <v>9072</v>
      </c>
      <c r="E127" s="9">
        <f t="shared" si="5"/>
        <v>1512</v>
      </c>
      <c r="F127" s="9">
        <f t="shared" si="6"/>
        <v>1512</v>
      </c>
      <c r="G127" s="9">
        <f t="shared" si="7"/>
        <v>1058</v>
      </c>
      <c r="H127" s="9">
        <f t="shared" si="8"/>
        <v>1058</v>
      </c>
      <c r="I127" s="9">
        <v>725</v>
      </c>
      <c r="J127" s="9">
        <f t="shared" si="9"/>
        <v>6804</v>
      </c>
      <c r="K127" s="9">
        <v>0</v>
      </c>
      <c r="L127" s="9">
        <v>22888</v>
      </c>
      <c r="M127" s="9">
        <v>60000000</v>
      </c>
      <c r="N127" s="9">
        <v>20000000</v>
      </c>
      <c r="O127" s="9">
        <v>0</v>
      </c>
    </row>
    <row r="128" spans="1:15">
      <c r="A128" s="9">
        <v>127</v>
      </c>
      <c r="B128" s="9">
        <v>237014280</v>
      </c>
      <c r="C128" s="9" t="s">
        <v>46</v>
      </c>
      <c r="D128" s="9">
        <v>9144</v>
      </c>
      <c r="E128" s="9">
        <f t="shared" si="5"/>
        <v>1524</v>
      </c>
      <c r="F128" s="9">
        <f t="shared" si="6"/>
        <v>1524</v>
      </c>
      <c r="G128" s="9">
        <f t="shared" si="7"/>
        <v>1067</v>
      </c>
      <c r="H128" s="9">
        <f t="shared" si="8"/>
        <v>1067</v>
      </c>
      <c r="I128" s="9">
        <v>730</v>
      </c>
      <c r="J128" s="9">
        <f t="shared" si="9"/>
        <v>6858</v>
      </c>
      <c r="K128" s="9">
        <v>0</v>
      </c>
      <c r="L128" s="9">
        <v>23804</v>
      </c>
      <c r="M128" s="9">
        <v>60000000</v>
      </c>
      <c r="N128" s="9">
        <v>20000000</v>
      </c>
      <c r="O128" s="9">
        <v>0</v>
      </c>
    </row>
    <row r="129" spans="1:15">
      <c r="A129" s="9">
        <v>128</v>
      </c>
      <c r="B129" s="9">
        <v>239739640</v>
      </c>
      <c r="C129" s="9" t="s">
        <v>46</v>
      </c>
      <c r="D129" s="9">
        <v>9216</v>
      </c>
      <c r="E129" s="9">
        <f t="shared" si="5"/>
        <v>1536</v>
      </c>
      <c r="F129" s="9">
        <f t="shared" si="6"/>
        <v>1536</v>
      </c>
      <c r="G129" s="9">
        <f t="shared" si="7"/>
        <v>1075</v>
      </c>
      <c r="H129" s="9">
        <f t="shared" si="8"/>
        <v>1075</v>
      </c>
      <c r="I129" s="9">
        <v>735</v>
      </c>
      <c r="J129" s="9">
        <f t="shared" si="9"/>
        <v>6912</v>
      </c>
      <c r="K129" s="9">
        <v>0</v>
      </c>
      <c r="L129" s="9">
        <v>24756</v>
      </c>
      <c r="M129" s="9">
        <v>60000000</v>
      </c>
      <c r="N129" s="9">
        <v>20000000</v>
      </c>
      <c r="O129" s="9">
        <v>0</v>
      </c>
    </row>
    <row r="130" spans="1:15">
      <c r="A130" s="9">
        <v>129</v>
      </c>
      <c r="B130" s="9">
        <v>242475670</v>
      </c>
      <c r="C130" s="9" t="s">
        <v>46</v>
      </c>
      <c r="D130" s="9">
        <v>9288</v>
      </c>
      <c r="E130" s="9">
        <f t="shared" si="5"/>
        <v>1548</v>
      </c>
      <c r="F130" s="9">
        <f t="shared" si="6"/>
        <v>1548</v>
      </c>
      <c r="G130" s="9">
        <f t="shared" si="7"/>
        <v>1084</v>
      </c>
      <c r="H130" s="9">
        <f t="shared" si="8"/>
        <v>1084</v>
      </c>
      <c r="I130" s="9">
        <v>740</v>
      </c>
      <c r="J130" s="9">
        <f t="shared" si="9"/>
        <v>6966</v>
      </c>
      <c r="K130" s="9">
        <v>0</v>
      </c>
      <c r="L130" s="9">
        <v>25746</v>
      </c>
      <c r="M130" s="9">
        <v>60000000</v>
      </c>
      <c r="N130" s="9">
        <v>20000000</v>
      </c>
      <c r="O130" s="9">
        <v>0</v>
      </c>
    </row>
    <row r="131" spans="1:15">
      <c r="A131" s="9">
        <v>130</v>
      </c>
      <c r="B131" s="9">
        <v>245976940</v>
      </c>
      <c r="C131" s="9" t="s">
        <v>46</v>
      </c>
      <c r="D131" s="9">
        <v>9360</v>
      </c>
      <c r="E131" s="9">
        <f t="shared" ref="E131:E152" si="10">INT(D131/6)</f>
        <v>1560</v>
      </c>
      <c r="F131" s="9">
        <f t="shared" ref="F131:F152" si="11">E131</f>
        <v>1560</v>
      </c>
      <c r="G131" s="9">
        <f t="shared" ref="G131:G152" si="12">ROUND(E131*0.7,0)</f>
        <v>1092</v>
      </c>
      <c r="H131" s="9">
        <f t="shared" ref="H131:H152" si="13">G131</f>
        <v>1092</v>
      </c>
      <c r="I131" s="9">
        <v>745</v>
      </c>
      <c r="J131" s="9">
        <f t="shared" si="9"/>
        <v>7020</v>
      </c>
      <c r="K131" s="9">
        <v>0</v>
      </c>
      <c r="L131" s="9">
        <v>26776</v>
      </c>
      <c r="M131" s="9">
        <v>60000000</v>
      </c>
      <c r="N131" s="9">
        <v>20000000</v>
      </c>
      <c r="O131" s="9">
        <v>0</v>
      </c>
    </row>
    <row r="132" spans="1:15">
      <c r="A132" s="9">
        <v>131</v>
      </c>
      <c r="B132" s="9">
        <v>254149890</v>
      </c>
      <c r="C132" s="9" t="s">
        <v>46</v>
      </c>
      <c r="D132" s="9">
        <v>9432</v>
      </c>
      <c r="E132" s="9">
        <f t="shared" si="10"/>
        <v>1572</v>
      </c>
      <c r="F132" s="9">
        <f t="shared" si="11"/>
        <v>1572</v>
      </c>
      <c r="G132" s="9">
        <f t="shared" si="12"/>
        <v>1100</v>
      </c>
      <c r="H132" s="9">
        <f t="shared" si="13"/>
        <v>1100</v>
      </c>
      <c r="I132" s="9">
        <v>750</v>
      </c>
      <c r="J132" s="9">
        <f t="shared" ref="J132:J151" si="14">J131+54</f>
        <v>7074</v>
      </c>
      <c r="K132" s="9">
        <v>0</v>
      </c>
      <c r="L132" s="9">
        <v>27847</v>
      </c>
      <c r="M132" s="9">
        <v>60000000</v>
      </c>
      <c r="N132" s="9">
        <v>20000000</v>
      </c>
      <c r="O132" s="9">
        <v>0</v>
      </c>
    </row>
    <row r="133" spans="1:15">
      <c r="A133" s="9">
        <v>132</v>
      </c>
      <c r="B133" s="9">
        <v>256979590</v>
      </c>
      <c r="C133" s="9" t="s">
        <v>46</v>
      </c>
      <c r="D133" s="9">
        <v>9504</v>
      </c>
      <c r="E133" s="9">
        <f t="shared" si="10"/>
        <v>1584</v>
      </c>
      <c r="F133" s="9">
        <f t="shared" si="11"/>
        <v>1584</v>
      </c>
      <c r="G133" s="9">
        <f t="shared" si="12"/>
        <v>1109</v>
      </c>
      <c r="H133" s="9">
        <f t="shared" si="13"/>
        <v>1109</v>
      </c>
      <c r="I133" s="9">
        <v>755</v>
      </c>
      <c r="J133" s="9">
        <f t="shared" si="14"/>
        <v>7128</v>
      </c>
      <c r="K133" s="9">
        <v>0</v>
      </c>
      <c r="L133" s="9">
        <v>28961</v>
      </c>
      <c r="M133" s="9">
        <v>60000000</v>
      </c>
      <c r="N133" s="9">
        <v>20000000</v>
      </c>
      <c r="O133" s="9">
        <v>0</v>
      </c>
    </row>
    <row r="134" spans="1:15">
      <c r="A134" s="9">
        <v>133</v>
      </c>
      <c r="B134" s="9">
        <v>259820030</v>
      </c>
      <c r="C134" s="9" t="s">
        <v>46</v>
      </c>
      <c r="D134" s="9">
        <v>9576</v>
      </c>
      <c r="E134" s="9">
        <f t="shared" si="10"/>
        <v>1596</v>
      </c>
      <c r="F134" s="9">
        <f t="shared" si="11"/>
        <v>1596</v>
      </c>
      <c r="G134" s="9">
        <f t="shared" si="12"/>
        <v>1117</v>
      </c>
      <c r="H134" s="9">
        <f t="shared" si="13"/>
        <v>1117</v>
      </c>
      <c r="I134" s="9">
        <v>760</v>
      </c>
      <c r="J134" s="9">
        <f t="shared" si="14"/>
        <v>7182</v>
      </c>
      <c r="K134" s="9">
        <v>0</v>
      </c>
      <c r="L134" s="9">
        <v>30120</v>
      </c>
      <c r="M134" s="9">
        <v>60000000</v>
      </c>
      <c r="N134" s="9">
        <v>20000000</v>
      </c>
      <c r="O134" s="9">
        <v>0</v>
      </c>
    </row>
    <row r="135" spans="1:15">
      <c r="A135" s="9">
        <v>134</v>
      </c>
      <c r="B135" s="9">
        <v>262671170</v>
      </c>
      <c r="C135" s="9" t="s">
        <v>46</v>
      </c>
      <c r="D135" s="9">
        <v>9648</v>
      </c>
      <c r="E135" s="9">
        <f t="shared" si="10"/>
        <v>1608</v>
      </c>
      <c r="F135" s="9">
        <f t="shared" si="11"/>
        <v>1608</v>
      </c>
      <c r="G135" s="9">
        <f t="shared" si="12"/>
        <v>1126</v>
      </c>
      <c r="H135" s="9">
        <f t="shared" si="13"/>
        <v>1126</v>
      </c>
      <c r="I135" s="9">
        <v>765</v>
      </c>
      <c r="J135" s="9">
        <f t="shared" si="14"/>
        <v>7236</v>
      </c>
      <c r="K135" s="9">
        <v>0</v>
      </c>
      <c r="L135" s="9">
        <v>31324</v>
      </c>
      <c r="M135" s="9">
        <v>60000000</v>
      </c>
      <c r="N135" s="9">
        <v>20000000</v>
      </c>
      <c r="O135" s="9">
        <v>0</v>
      </c>
    </row>
    <row r="136" spans="1:15">
      <c r="A136" s="9">
        <v>135</v>
      </c>
      <c r="B136" s="9">
        <v>265532970</v>
      </c>
      <c r="C136" s="9" t="s">
        <v>46</v>
      </c>
      <c r="D136" s="9">
        <v>9720</v>
      </c>
      <c r="E136" s="9">
        <f t="shared" si="10"/>
        <v>1620</v>
      </c>
      <c r="F136" s="9">
        <f t="shared" si="11"/>
        <v>1620</v>
      </c>
      <c r="G136" s="9">
        <f t="shared" si="12"/>
        <v>1134</v>
      </c>
      <c r="H136" s="9">
        <f t="shared" si="13"/>
        <v>1134</v>
      </c>
      <c r="I136" s="9">
        <v>770</v>
      </c>
      <c r="J136" s="9">
        <f t="shared" si="14"/>
        <v>7290</v>
      </c>
      <c r="K136" s="9">
        <v>0</v>
      </c>
      <c r="L136" s="9">
        <v>32577</v>
      </c>
      <c r="M136" s="9">
        <v>60000000</v>
      </c>
      <c r="N136" s="9">
        <v>20000000</v>
      </c>
      <c r="O136" s="9">
        <v>0</v>
      </c>
    </row>
    <row r="137" spans="1:15">
      <c r="A137" s="9">
        <v>136</v>
      </c>
      <c r="B137" s="9">
        <v>268405390</v>
      </c>
      <c r="C137" s="9" t="s">
        <v>46</v>
      </c>
      <c r="D137" s="9">
        <v>9792</v>
      </c>
      <c r="E137" s="9">
        <f t="shared" si="10"/>
        <v>1632</v>
      </c>
      <c r="F137" s="9">
        <f t="shared" si="11"/>
        <v>1632</v>
      </c>
      <c r="G137" s="9">
        <f t="shared" si="12"/>
        <v>1142</v>
      </c>
      <c r="H137" s="9">
        <f t="shared" si="13"/>
        <v>1142</v>
      </c>
      <c r="I137" s="9">
        <v>775</v>
      </c>
      <c r="J137" s="9">
        <f t="shared" si="14"/>
        <v>7344</v>
      </c>
      <c r="K137" s="9">
        <v>0</v>
      </c>
      <c r="L137" s="9">
        <v>33880</v>
      </c>
      <c r="M137" s="9">
        <v>60000000</v>
      </c>
      <c r="N137" s="9">
        <v>20000000</v>
      </c>
      <c r="O137" s="9">
        <v>0</v>
      </c>
    </row>
    <row r="138" spans="1:15">
      <c r="A138" s="9">
        <v>137</v>
      </c>
      <c r="B138" s="9">
        <v>271288390</v>
      </c>
      <c r="C138" s="9" t="s">
        <v>46</v>
      </c>
      <c r="D138" s="9">
        <v>9864</v>
      </c>
      <c r="E138" s="9">
        <f t="shared" si="10"/>
        <v>1644</v>
      </c>
      <c r="F138" s="9">
        <f t="shared" si="11"/>
        <v>1644</v>
      </c>
      <c r="G138" s="9">
        <f t="shared" si="12"/>
        <v>1151</v>
      </c>
      <c r="H138" s="9">
        <f t="shared" si="13"/>
        <v>1151</v>
      </c>
      <c r="I138" s="9">
        <v>780</v>
      </c>
      <c r="J138" s="9">
        <f t="shared" si="14"/>
        <v>7398</v>
      </c>
      <c r="K138" s="9">
        <v>0</v>
      </c>
      <c r="L138" s="9">
        <v>35236</v>
      </c>
      <c r="M138" s="9">
        <v>60000000</v>
      </c>
      <c r="N138" s="9">
        <v>20000000</v>
      </c>
      <c r="O138" s="9">
        <v>0</v>
      </c>
    </row>
    <row r="139" spans="1:15">
      <c r="A139" s="9">
        <v>138</v>
      </c>
      <c r="B139" s="9">
        <v>274181930</v>
      </c>
      <c r="C139" s="9" t="s">
        <v>46</v>
      </c>
      <c r="D139" s="9">
        <v>9936</v>
      </c>
      <c r="E139" s="9">
        <f t="shared" si="10"/>
        <v>1656</v>
      </c>
      <c r="F139" s="9">
        <f t="shared" si="11"/>
        <v>1656</v>
      </c>
      <c r="G139" s="9">
        <f t="shared" si="12"/>
        <v>1159</v>
      </c>
      <c r="H139" s="9">
        <f t="shared" si="13"/>
        <v>1159</v>
      </c>
      <c r="I139" s="9">
        <v>785</v>
      </c>
      <c r="J139" s="9">
        <f t="shared" si="14"/>
        <v>7452</v>
      </c>
      <c r="K139" s="9">
        <v>0</v>
      </c>
      <c r="L139" s="9">
        <v>36645</v>
      </c>
      <c r="M139" s="9">
        <v>60000000</v>
      </c>
      <c r="N139" s="9">
        <v>20000000</v>
      </c>
      <c r="O139" s="9">
        <v>0</v>
      </c>
    </row>
    <row r="140" spans="1:15">
      <c r="A140" s="9">
        <v>139</v>
      </c>
      <c r="B140" s="9">
        <v>277085970</v>
      </c>
      <c r="C140" s="9" t="s">
        <v>46</v>
      </c>
      <c r="D140" s="9">
        <v>10008</v>
      </c>
      <c r="E140" s="9">
        <f t="shared" si="10"/>
        <v>1668</v>
      </c>
      <c r="F140" s="9">
        <f t="shared" si="11"/>
        <v>1668</v>
      </c>
      <c r="G140" s="9">
        <f t="shared" si="12"/>
        <v>1168</v>
      </c>
      <c r="H140" s="9">
        <f t="shared" si="13"/>
        <v>1168</v>
      </c>
      <c r="I140" s="9">
        <v>790</v>
      </c>
      <c r="J140" s="9">
        <f t="shared" si="14"/>
        <v>7506</v>
      </c>
      <c r="K140" s="9">
        <v>0</v>
      </c>
      <c r="L140" s="9">
        <v>38111</v>
      </c>
      <c r="M140" s="9">
        <v>60000000</v>
      </c>
      <c r="N140" s="9">
        <v>20000000</v>
      </c>
      <c r="O140" s="9">
        <v>0</v>
      </c>
    </row>
    <row r="141" spans="1:15">
      <c r="A141" s="9">
        <v>140</v>
      </c>
      <c r="B141" s="9">
        <v>280784710</v>
      </c>
      <c r="C141" s="9" t="s">
        <v>46</v>
      </c>
      <c r="D141" s="9">
        <v>10080</v>
      </c>
      <c r="E141" s="9">
        <f t="shared" si="10"/>
        <v>1680</v>
      </c>
      <c r="F141" s="9">
        <f t="shared" si="11"/>
        <v>1680</v>
      </c>
      <c r="G141" s="9">
        <f t="shared" si="12"/>
        <v>1176</v>
      </c>
      <c r="H141" s="9">
        <f t="shared" si="13"/>
        <v>1176</v>
      </c>
      <c r="I141" s="9">
        <v>795</v>
      </c>
      <c r="J141" s="9">
        <f t="shared" si="14"/>
        <v>7560</v>
      </c>
      <c r="K141" s="9">
        <v>0</v>
      </c>
      <c r="L141" s="9">
        <v>39635</v>
      </c>
      <c r="M141" s="9">
        <v>60000000</v>
      </c>
      <c r="N141" s="9">
        <v>20000000</v>
      </c>
      <c r="O141" s="9">
        <v>0</v>
      </c>
    </row>
    <row r="142" spans="1:15">
      <c r="A142" s="9">
        <v>141</v>
      </c>
      <c r="B142" s="9">
        <v>283709650</v>
      </c>
      <c r="C142" s="9" t="s">
        <v>46</v>
      </c>
      <c r="D142" s="9">
        <v>10152</v>
      </c>
      <c r="E142" s="9">
        <f t="shared" si="10"/>
        <v>1692</v>
      </c>
      <c r="F142" s="9">
        <f t="shared" si="11"/>
        <v>1692</v>
      </c>
      <c r="G142" s="9">
        <f t="shared" si="12"/>
        <v>1184</v>
      </c>
      <c r="H142" s="9">
        <f t="shared" si="13"/>
        <v>1184</v>
      </c>
      <c r="I142" s="9">
        <v>800</v>
      </c>
      <c r="J142" s="9">
        <f t="shared" si="14"/>
        <v>7614</v>
      </c>
      <c r="K142" s="9">
        <v>0</v>
      </c>
      <c r="L142" s="9">
        <v>41221</v>
      </c>
      <c r="M142" s="9">
        <v>60000000</v>
      </c>
      <c r="N142" s="9">
        <v>20000000</v>
      </c>
      <c r="O142" s="9">
        <v>0</v>
      </c>
    </row>
    <row r="143" spans="1:15">
      <c r="A143" s="9">
        <v>142</v>
      </c>
      <c r="B143" s="9">
        <v>286644970</v>
      </c>
      <c r="C143" s="9" t="s">
        <v>46</v>
      </c>
      <c r="D143" s="9">
        <v>10224</v>
      </c>
      <c r="E143" s="9">
        <f t="shared" si="10"/>
        <v>1704</v>
      </c>
      <c r="F143" s="9">
        <f t="shared" si="11"/>
        <v>1704</v>
      </c>
      <c r="G143" s="9">
        <f t="shared" si="12"/>
        <v>1193</v>
      </c>
      <c r="H143" s="9">
        <f t="shared" si="13"/>
        <v>1193</v>
      </c>
      <c r="I143" s="9">
        <v>805</v>
      </c>
      <c r="J143" s="9">
        <f t="shared" si="14"/>
        <v>7668</v>
      </c>
      <c r="K143" s="9">
        <v>0</v>
      </c>
      <c r="L143" s="9">
        <v>42870</v>
      </c>
      <c r="M143" s="9">
        <v>60000000</v>
      </c>
      <c r="N143" s="9">
        <v>20000000</v>
      </c>
      <c r="O143" s="9">
        <v>0</v>
      </c>
    </row>
    <row r="144" spans="1:15">
      <c r="A144" s="9">
        <v>143</v>
      </c>
      <c r="B144" s="9">
        <v>289590650</v>
      </c>
      <c r="C144" s="9" t="s">
        <v>46</v>
      </c>
      <c r="D144" s="9">
        <v>10296</v>
      </c>
      <c r="E144" s="9">
        <f t="shared" si="10"/>
        <v>1716</v>
      </c>
      <c r="F144" s="9">
        <f t="shared" si="11"/>
        <v>1716</v>
      </c>
      <c r="G144" s="9">
        <f t="shared" si="12"/>
        <v>1201</v>
      </c>
      <c r="H144" s="9">
        <f t="shared" si="13"/>
        <v>1201</v>
      </c>
      <c r="I144" s="9">
        <v>810</v>
      </c>
      <c r="J144" s="9">
        <f t="shared" si="14"/>
        <v>7722</v>
      </c>
      <c r="K144" s="9">
        <v>0</v>
      </c>
      <c r="L144" s="9">
        <v>44584</v>
      </c>
      <c r="M144" s="9">
        <v>60000000</v>
      </c>
      <c r="N144" s="9">
        <v>20000000</v>
      </c>
      <c r="O144" s="9">
        <v>0</v>
      </c>
    </row>
    <row r="145" spans="1:15">
      <c r="A145" s="9">
        <v>144</v>
      </c>
      <c r="B145" s="9">
        <v>292546650</v>
      </c>
      <c r="C145" s="9" t="s">
        <v>46</v>
      </c>
      <c r="D145" s="9">
        <v>10368</v>
      </c>
      <c r="E145" s="9">
        <f t="shared" si="10"/>
        <v>1728</v>
      </c>
      <c r="F145" s="9">
        <f t="shared" si="11"/>
        <v>1728</v>
      </c>
      <c r="G145" s="9">
        <f t="shared" si="12"/>
        <v>1210</v>
      </c>
      <c r="H145" s="9">
        <f t="shared" si="13"/>
        <v>1210</v>
      </c>
      <c r="I145" s="9">
        <v>815</v>
      </c>
      <c r="J145" s="9">
        <f t="shared" si="14"/>
        <v>7776</v>
      </c>
      <c r="K145" s="9">
        <v>0</v>
      </c>
      <c r="L145" s="9">
        <v>46368</v>
      </c>
      <c r="M145" s="9">
        <v>60000000</v>
      </c>
      <c r="N145" s="9">
        <v>20000000</v>
      </c>
      <c r="O145" s="9">
        <v>0</v>
      </c>
    </row>
    <row r="146" spans="1:15">
      <c r="A146" s="9">
        <v>145</v>
      </c>
      <c r="B146" s="9">
        <v>295512930</v>
      </c>
      <c r="C146" s="9" t="s">
        <v>46</v>
      </c>
      <c r="D146" s="9">
        <v>10440</v>
      </c>
      <c r="E146" s="9">
        <f t="shared" si="10"/>
        <v>1740</v>
      </c>
      <c r="F146" s="9">
        <f t="shared" si="11"/>
        <v>1740</v>
      </c>
      <c r="G146" s="9">
        <f t="shared" si="12"/>
        <v>1218</v>
      </c>
      <c r="H146" s="9">
        <f t="shared" si="13"/>
        <v>1218</v>
      </c>
      <c r="I146" s="9">
        <v>820</v>
      </c>
      <c r="J146" s="9">
        <f t="shared" si="14"/>
        <v>7830</v>
      </c>
      <c r="K146" s="9">
        <v>0</v>
      </c>
      <c r="L146" s="9">
        <v>48223</v>
      </c>
      <c r="M146" s="9">
        <v>60000000</v>
      </c>
      <c r="N146" s="9">
        <v>20000000</v>
      </c>
      <c r="O146" s="9">
        <v>0</v>
      </c>
    </row>
    <row r="147" spans="1:15">
      <c r="A147" s="9">
        <v>146</v>
      </c>
      <c r="B147" s="9">
        <v>298489450</v>
      </c>
      <c r="C147" s="9" t="s">
        <v>46</v>
      </c>
      <c r="D147" s="9">
        <v>10512</v>
      </c>
      <c r="E147" s="9">
        <f t="shared" si="10"/>
        <v>1752</v>
      </c>
      <c r="F147" s="9">
        <f t="shared" si="11"/>
        <v>1752</v>
      </c>
      <c r="G147" s="9">
        <f t="shared" si="12"/>
        <v>1226</v>
      </c>
      <c r="H147" s="9">
        <f t="shared" si="13"/>
        <v>1226</v>
      </c>
      <c r="I147" s="9">
        <v>825</v>
      </c>
      <c r="J147" s="9">
        <f t="shared" si="14"/>
        <v>7884</v>
      </c>
      <c r="K147" s="9">
        <v>0</v>
      </c>
      <c r="L147" s="9">
        <v>50151</v>
      </c>
      <c r="M147" s="9">
        <v>60000000</v>
      </c>
      <c r="N147" s="9">
        <v>20000000</v>
      </c>
      <c r="O147" s="9">
        <v>0</v>
      </c>
    </row>
    <row r="148" spans="1:15">
      <c r="A148" s="9">
        <v>147</v>
      </c>
      <c r="B148" s="9">
        <v>301476190</v>
      </c>
      <c r="C148" s="9" t="s">
        <v>46</v>
      </c>
      <c r="D148" s="9">
        <v>10584</v>
      </c>
      <c r="E148" s="9">
        <f t="shared" si="10"/>
        <v>1764</v>
      </c>
      <c r="F148" s="9">
        <f t="shared" si="11"/>
        <v>1764</v>
      </c>
      <c r="G148" s="9">
        <f t="shared" si="12"/>
        <v>1235</v>
      </c>
      <c r="H148" s="9">
        <f t="shared" si="13"/>
        <v>1235</v>
      </c>
      <c r="I148" s="9">
        <v>830</v>
      </c>
      <c r="J148" s="9">
        <f t="shared" si="14"/>
        <v>7938</v>
      </c>
      <c r="K148" s="9">
        <v>0</v>
      </c>
      <c r="L148" s="9">
        <v>52157</v>
      </c>
      <c r="M148" s="9">
        <v>60000000</v>
      </c>
      <c r="N148" s="9">
        <v>20000000</v>
      </c>
      <c r="O148" s="9">
        <v>0</v>
      </c>
    </row>
    <row r="149" spans="1:15">
      <c r="A149" s="9">
        <v>148</v>
      </c>
      <c r="B149" s="9">
        <v>304473100</v>
      </c>
      <c r="C149" s="9" t="s">
        <v>46</v>
      </c>
      <c r="D149" s="9">
        <v>10656</v>
      </c>
      <c r="E149" s="9">
        <f t="shared" si="10"/>
        <v>1776</v>
      </c>
      <c r="F149" s="9">
        <f t="shared" si="11"/>
        <v>1776</v>
      </c>
      <c r="G149" s="9">
        <f t="shared" si="12"/>
        <v>1243</v>
      </c>
      <c r="H149" s="9">
        <f t="shared" si="13"/>
        <v>1243</v>
      </c>
      <c r="I149" s="9">
        <v>835</v>
      </c>
      <c r="J149" s="9">
        <f t="shared" si="14"/>
        <v>7992</v>
      </c>
      <c r="K149" s="9">
        <v>0</v>
      </c>
      <c r="L149" s="9">
        <v>54244</v>
      </c>
      <c r="M149" s="9">
        <v>60000000</v>
      </c>
      <c r="N149" s="9">
        <v>20000000</v>
      </c>
      <c r="O149" s="9">
        <v>0</v>
      </c>
    </row>
    <row r="150" spans="1:15">
      <c r="A150" s="9">
        <v>149</v>
      </c>
      <c r="B150" s="9">
        <v>307480160</v>
      </c>
      <c r="C150" s="9" t="s">
        <v>46</v>
      </c>
      <c r="D150" s="9">
        <v>10728</v>
      </c>
      <c r="E150" s="9">
        <f t="shared" si="10"/>
        <v>1788</v>
      </c>
      <c r="F150" s="9">
        <f t="shared" si="11"/>
        <v>1788</v>
      </c>
      <c r="G150" s="9">
        <f t="shared" si="12"/>
        <v>1252</v>
      </c>
      <c r="H150" s="9">
        <f t="shared" si="13"/>
        <v>1252</v>
      </c>
      <c r="I150" s="9">
        <v>840</v>
      </c>
      <c r="J150" s="9">
        <f t="shared" si="14"/>
        <v>8046</v>
      </c>
      <c r="K150" s="9">
        <v>0</v>
      </c>
      <c r="L150" s="9">
        <v>56414</v>
      </c>
      <c r="M150" s="9">
        <v>60000000</v>
      </c>
      <c r="N150" s="9">
        <v>20000000</v>
      </c>
      <c r="O150" s="9">
        <v>0</v>
      </c>
    </row>
    <row r="151" spans="1:15">
      <c r="A151" s="9">
        <v>150</v>
      </c>
      <c r="B151" s="9">
        <v>311310090</v>
      </c>
      <c r="C151" s="9" t="s">
        <v>46</v>
      </c>
      <c r="D151" s="9">
        <v>10800</v>
      </c>
      <c r="E151" s="9">
        <f t="shared" si="10"/>
        <v>1800</v>
      </c>
      <c r="F151" s="9">
        <f t="shared" si="11"/>
        <v>1800</v>
      </c>
      <c r="G151" s="9">
        <f t="shared" si="12"/>
        <v>1260</v>
      </c>
      <c r="H151" s="9">
        <f t="shared" si="13"/>
        <v>1260</v>
      </c>
      <c r="I151" s="9">
        <v>845</v>
      </c>
      <c r="J151" s="9">
        <f t="shared" si="14"/>
        <v>8100</v>
      </c>
      <c r="K151" s="9">
        <v>0</v>
      </c>
      <c r="L151" s="9">
        <v>58670</v>
      </c>
      <c r="M151" s="9">
        <v>60000000</v>
      </c>
      <c r="N151" s="9">
        <v>20000000</v>
      </c>
      <c r="O151" s="9">
        <v>0</v>
      </c>
    </row>
    <row r="152" spans="1:15">
      <c r="A152" s="9">
        <v>151</v>
      </c>
      <c r="B152" s="9">
        <v>3370000000</v>
      </c>
      <c r="C152" s="9" t="s">
        <v>46</v>
      </c>
      <c r="D152" s="9">
        <v>20000</v>
      </c>
      <c r="E152" s="9">
        <f t="shared" si="10"/>
        <v>3333</v>
      </c>
      <c r="F152" s="9">
        <f t="shared" si="11"/>
        <v>3333</v>
      </c>
      <c r="G152" s="9">
        <f t="shared" si="12"/>
        <v>2333</v>
      </c>
      <c r="H152" s="9">
        <f t="shared" si="13"/>
        <v>2333</v>
      </c>
      <c r="I152" s="9">
        <v>845</v>
      </c>
      <c r="J152" s="9">
        <v>597</v>
      </c>
      <c r="K152" s="9">
        <v>0</v>
      </c>
      <c r="L152" s="9">
        <f>SUM(Sheet3!B$2:B152)</f>
        <v>1527750</v>
      </c>
      <c r="M152" s="9">
        <v>60000000</v>
      </c>
      <c r="N152" s="9">
        <v>20000000</v>
      </c>
      <c r="O152" s="9">
        <v>0</v>
      </c>
    </row>
  </sheetData>
  <phoneticPr fontId="1" type="noConversion"/>
  <pageMargins left="0.75" right="0.75" top="1" bottom="1" header="0.5" footer="0.5"/>
  <pageSetup paperSize="9" orientation="portrait" horizontalDpi="200" verticalDpi="200" r:id="rId1"/>
  <headerFooter alignWithMargins="0"/>
  <ignoredErrors>
    <ignoredError sqref="G2:G15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D16" sqref="D16"/>
    </sheetView>
  </sheetViews>
  <sheetFormatPr defaultRowHeight="14.25"/>
  <cols>
    <col min="1" max="1" width="12.125" customWidth="1"/>
    <col min="2" max="2" width="13.5" customWidth="1"/>
  </cols>
  <sheetData>
    <row r="1" spans="1:7">
      <c r="A1" t="s">
        <v>7</v>
      </c>
      <c r="B1" s="11" t="s">
        <v>8</v>
      </c>
      <c r="C1" s="11"/>
      <c r="D1" s="11"/>
      <c r="E1" s="11"/>
      <c r="F1" s="11"/>
      <c r="G1" s="11"/>
    </row>
    <row r="2" spans="1:7">
      <c r="A2" t="s">
        <v>9</v>
      </c>
      <c r="B2" s="11" t="s">
        <v>11</v>
      </c>
      <c r="C2" s="11"/>
      <c r="D2" s="11"/>
      <c r="E2" s="11"/>
      <c r="F2" s="11"/>
      <c r="G2" s="11"/>
    </row>
    <row r="3" spans="1:7">
      <c r="A3" t="s">
        <v>10</v>
      </c>
      <c r="B3" s="11" t="s">
        <v>12</v>
      </c>
      <c r="C3" s="11"/>
      <c r="D3" s="11"/>
      <c r="E3" s="11"/>
      <c r="F3" s="11"/>
      <c r="G3" s="11"/>
    </row>
    <row r="4" spans="1:7">
      <c r="A4" t="s">
        <v>17</v>
      </c>
      <c r="B4" s="11" t="s">
        <v>14</v>
      </c>
      <c r="C4" s="11"/>
      <c r="D4" s="11"/>
      <c r="E4" s="11"/>
      <c r="F4" s="11"/>
      <c r="G4" s="11"/>
    </row>
    <row r="5" spans="1:7">
      <c r="A5" t="s">
        <v>18</v>
      </c>
      <c r="B5" s="11" t="s">
        <v>19</v>
      </c>
      <c r="C5" s="11"/>
      <c r="D5" s="11"/>
      <c r="E5" s="11"/>
      <c r="F5" s="11"/>
      <c r="G5" s="11"/>
    </row>
    <row r="6" spans="1:7">
      <c r="A6" s="11" t="s">
        <v>20</v>
      </c>
      <c r="B6" s="11"/>
    </row>
    <row r="7" spans="1:7">
      <c r="A7" t="s">
        <v>9</v>
      </c>
      <c r="B7">
        <v>100</v>
      </c>
    </row>
    <row r="8" spans="1:7">
      <c r="A8" t="s">
        <v>10</v>
      </c>
      <c r="B8">
        <v>30</v>
      </c>
    </row>
    <row r="9" spans="1:7">
      <c r="A9" t="s">
        <v>13</v>
      </c>
      <c r="B9">
        <v>3</v>
      </c>
    </row>
    <row r="10" spans="1:7">
      <c r="A10" t="s">
        <v>1</v>
      </c>
      <c r="B10">
        <v>3</v>
      </c>
    </row>
    <row r="11" spans="1:7">
      <c r="A11" t="s">
        <v>2</v>
      </c>
      <c r="B11">
        <v>3</v>
      </c>
    </row>
    <row r="12" spans="1:7">
      <c r="A12" t="s">
        <v>3</v>
      </c>
      <c r="B12">
        <v>3</v>
      </c>
    </row>
    <row r="13" spans="1:7">
      <c r="A13" t="s">
        <v>4</v>
      </c>
      <c r="B13">
        <v>3</v>
      </c>
    </row>
    <row r="14" spans="1:7">
      <c r="A14" t="s">
        <v>6</v>
      </c>
      <c r="B14">
        <v>0</v>
      </c>
    </row>
    <row r="15" spans="1:7">
      <c r="A15" t="s">
        <v>5</v>
      </c>
      <c r="B15">
        <v>1</v>
      </c>
    </row>
    <row r="16" spans="1:7">
      <c r="A16" t="s">
        <v>15</v>
      </c>
      <c r="B16">
        <v>5</v>
      </c>
    </row>
    <row r="17" spans="1:3">
      <c r="A17" t="s">
        <v>16</v>
      </c>
      <c r="B17">
        <v>5</v>
      </c>
    </row>
    <row r="18" spans="1:3" ht="15" thickBot="1"/>
    <row r="19" spans="1:3">
      <c r="A19" s="12" t="s">
        <v>32</v>
      </c>
      <c r="B19" s="1" t="s">
        <v>21</v>
      </c>
      <c r="C19" s="2">
        <v>1</v>
      </c>
    </row>
    <row r="20" spans="1:3" ht="15" thickBot="1">
      <c r="A20" s="13"/>
      <c r="B20" s="3" t="s">
        <v>22</v>
      </c>
      <c r="C20" s="4">
        <v>0.5</v>
      </c>
    </row>
    <row r="21" spans="1:3">
      <c r="A21" s="12" t="s">
        <v>33</v>
      </c>
      <c r="B21" s="1" t="s">
        <v>23</v>
      </c>
      <c r="C21" s="2">
        <v>1</v>
      </c>
    </row>
    <row r="22" spans="1:3">
      <c r="A22" s="14"/>
      <c r="B22" s="5" t="s">
        <v>24</v>
      </c>
      <c r="C22" s="6">
        <v>0.5</v>
      </c>
    </row>
    <row r="23" spans="1:3" ht="15" thickBot="1">
      <c r="A23" s="13"/>
      <c r="B23" s="3" t="s">
        <v>25</v>
      </c>
      <c r="C23" s="4">
        <v>8</v>
      </c>
    </row>
    <row r="24" spans="1:3">
      <c r="A24" s="12" t="s">
        <v>34</v>
      </c>
      <c r="B24" s="1" t="s">
        <v>26</v>
      </c>
      <c r="C24" s="2">
        <v>1</v>
      </c>
    </row>
    <row r="25" spans="1:3" ht="15" thickBot="1">
      <c r="A25" s="13"/>
      <c r="B25" s="3" t="s">
        <v>27</v>
      </c>
      <c r="C25" s="4">
        <v>0.5</v>
      </c>
    </row>
    <row r="26" spans="1:3">
      <c r="A26" s="12" t="s">
        <v>35</v>
      </c>
      <c r="B26" s="7" t="s">
        <v>28</v>
      </c>
      <c r="C26" s="2">
        <v>1</v>
      </c>
    </row>
    <row r="27" spans="1:3">
      <c r="A27" s="14"/>
      <c r="B27" s="5" t="s">
        <v>29</v>
      </c>
      <c r="C27" s="6">
        <v>0.5</v>
      </c>
    </row>
    <row r="28" spans="1:3" ht="15" thickBot="1">
      <c r="A28" s="13"/>
      <c r="B28" s="8" t="s">
        <v>37</v>
      </c>
      <c r="C28" s="4">
        <v>10</v>
      </c>
    </row>
    <row r="29" spans="1:3">
      <c r="A29" s="12" t="s">
        <v>36</v>
      </c>
      <c r="B29" s="7" t="s">
        <v>30</v>
      </c>
      <c r="C29" s="2">
        <v>1</v>
      </c>
    </row>
    <row r="30" spans="1:3" ht="15" thickBot="1">
      <c r="A30" s="13"/>
      <c r="B30" s="3" t="s">
        <v>31</v>
      </c>
      <c r="C30" s="4">
        <v>0.2</v>
      </c>
    </row>
  </sheetData>
  <mergeCells count="11">
    <mergeCell ref="B3:G3"/>
    <mergeCell ref="B1:G1"/>
    <mergeCell ref="B2:G2"/>
    <mergeCell ref="B4:G4"/>
    <mergeCell ref="A29:A30"/>
    <mergeCell ref="A21:A23"/>
    <mergeCell ref="A24:A25"/>
    <mergeCell ref="B5:G5"/>
    <mergeCell ref="A19:A20"/>
    <mergeCell ref="A6:B6"/>
    <mergeCell ref="A26:A28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151"/>
  <sheetViews>
    <sheetView topLeftCell="A126" workbookViewId="0">
      <selection activeCell="B2" sqref="B2:B151"/>
    </sheetView>
  </sheetViews>
  <sheetFormatPr defaultRowHeight="14.25"/>
  <sheetData>
    <row r="2" spans="2:2">
      <c r="B2">
        <v>500</v>
      </c>
    </row>
    <row r="3" spans="2:2">
      <c r="B3">
        <v>630</v>
      </c>
    </row>
    <row r="4" spans="2:2">
      <c r="B4">
        <v>760</v>
      </c>
    </row>
    <row r="5" spans="2:2">
      <c r="B5">
        <v>890</v>
      </c>
    </row>
    <row r="6" spans="2:2">
      <c r="B6">
        <v>1020</v>
      </c>
    </row>
    <row r="7" spans="2:2">
      <c r="B7">
        <v>1150</v>
      </c>
    </row>
    <row r="8" spans="2:2">
      <c r="B8">
        <v>1280</v>
      </c>
    </row>
    <row r="9" spans="2:2">
      <c r="B9">
        <v>1410</v>
      </c>
    </row>
    <row r="10" spans="2:2">
      <c r="B10">
        <v>1540</v>
      </c>
    </row>
    <row r="11" spans="2:2">
      <c r="B11">
        <v>1670</v>
      </c>
    </row>
    <row r="12" spans="2:2">
      <c r="B12">
        <v>1800</v>
      </c>
    </row>
    <row r="13" spans="2:2">
      <c r="B13">
        <v>1930</v>
      </c>
    </row>
    <row r="14" spans="2:2">
      <c r="B14">
        <v>2060</v>
      </c>
    </row>
    <row r="15" spans="2:2">
      <c r="B15">
        <v>2190</v>
      </c>
    </row>
    <row r="16" spans="2:2">
      <c r="B16">
        <v>2320</v>
      </c>
    </row>
    <row r="17" spans="2:2">
      <c r="B17">
        <v>2450</v>
      </c>
    </row>
    <row r="18" spans="2:2">
      <c r="B18">
        <v>2580</v>
      </c>
    </row>
    <row r="19" spans="2:2">
      <c r="B19">
        <v>2710</v>
      </c>
    </row>
    <row r="20" spans="2:2">
      <c r="B20">
        <v>2840</v>
      </c>
    </row>
    <row r="21" spans="2:2">
      <c r="B21">
        <v>2970</v>
      </c>
    </row>
    <row r="22" spans="2:2">
      <c r="B22">
        <v>3100</v>
      </c>
    </row>
    <row r="23" spans="2:2">
      <c r="B23">
        <v>3230</v>
      </c>
    </row>
    <row r="24" spans="2:2">
      <c r="B24">
        <v>3360</v>
      </c>
    </row>
    <row r="25" spans="2:2">
      <c r="B25">
        <v>3490</v>
      </c>
    </row>
    <row r="26" spans="2:2">
      <c r="B26">
        <v>3620</v>
      </c>
    </row>
    <row r="27" spans="2:2">
      <c r="B27">
        <v>3750</v>
      </c>
    </row>
    <row r="28" spans="2:2">
      <c r="B28">
        <v>3880</v>
      </c>
    </row>
    <row r="29" spans="2:2">
      <c r="B29">
        <v>4010</v>
      </c>
    </row>
    <row r="30" spans="2:2">
      <c r="B30">
        <v>4140</v>
      </c>
    </row>
    <row r="31" spans="2:2">
      <c r="B31">
        <v>4270</v>
      </c>
    </row>
    <row r="32" spans="2:2">
      <c r="B32">
        <v>4400</v>
      </c>
    </row>
    <row r="33" spans="2:2">
      <c r="B33">
        <v>4530</v>
      </c>
    </row>
    <row r="34" spans="2:2">
      <c r="B34">
        <v>4660</v>
      </c>
    </row>
    <row r="35" spans="2:2">
      <c r="B35">
        <v>4790</v>
      </c>
    </row>
    <row r="36" spans="2:2">
      <c r="B36">
        <v>4920</v>
      </c>
    </row>
    <row r="37" spans="2:2">
      <c r="B37">
        <v>5050</v>
      </c>
    </row>
    <row r="38" spans="2:2">
      <c r="B38">
        <v>5180</v>
      </c>
    </row>
    <row r="39" spans="2:2">
      <c r="B39">
        <v>5310</v>
      </c>
    </row>
    <row r="40" spans="2:2">
      <c r="B40">
        <v>5440</v>
      </c>
    </row>
    <row r="41" spans="2:2">
      <c r="B41">
        <v>5570</v>
      </c>
    </row>
    <row r="42" spans="2:2">
      <c r="B42">
        <v>5700</v>
      </c>
    </row>
    <row r="43" spans="2:2">
      <c r="B43">
        <v>5830</v>
      </c>
    </row>
    <row r="44" spans="2:2">
      <c r="B44">
        <v>5960</v>
      </c>
    </row>
    <row r="45" spans="2:2">
      <c r="B45">
        <v>6090</v>
      </c>
    </row>
    <row r="46" spans="2:2">
      <c r="B46">
        <v>6220</v>
      </c>
    </row>
    <row r="47" spans="2:2">
      <c r="B47">
        <v>6350</v>
      </c>
    </row>
    <row r="48" spans="2:2">
      <c r="B48">
        <v>6480</v>
      </c>
    </row>
    <row r="49" spans="2:2">
      <c r="B49">
        <v>6610</v>
      </c>
    </row>
    <row r="50" spans="2:2">
      <c r="B50">
        <v>6740</v>
      </c>
    </row>
    <row r="51" spans="2:2">
      <c r="B51">
        <v>6870</v>
      </c>
    </row>
    <row r="52" spans="2:2">
      <c r="B52">
        <v>7000</v>
      </c>
    </row>
    <row r="53" spans="2:2">
      <c r="B53">
        <v>7130</v>
      </c>
    </row>
    <row r="54" spans="2:2">
      <c r="B54">
        <v>7260</v>
      </c>
    </row>
    <row r="55" spans="2:2">
      <c r="B55">
        <v>7390</v>
      </c>
    </row>
    <row r="56" spans="2:2">
      <c r="B56">
        <v>7520</v>
      </c>
    </row>
    <row r="57" spans="2:2">
      <c r="B57">
        <v>7650</v>
      </c>
    </row>
    <row r="58" spans="2:2">
      <c r="B58">
        <v>7780</v>
      </c>
    </row>
    <row r="59" spans="2:2">
      <c r="B59">
        <v>7910</v>
      </c>
    </row>
    <row r="60" spans="2:2">
      <c r="B60">
        <v>8040</v>
      </c>
    </row>
    <row r="61" spans="2:2">
      <c r="B61">
        <v>8170</v>
      </c>
    </row>
    <row r="62" spans="2:2">
      <c r="B62">
        <v>8300</v>
      </c>
    </row>
    <row r="63" spans="2:2">
      <c r="B63">
        <v>8430</v>
      </c>
    </row>
    <row r="64" spans="2:2">
      <c r="B64">
        <v>8560</v>
      </c>
    </row>
    <row r="65" spans="2:2">
      <c r="B65">
        <v>8690</v>
      </c>
    </row>
    <row r="66" spans="2:2">
      <c r="B66">
        <v>8820</v>
      </c>
    </row>
    <row r="67" spans="2:2">
      <c r="B67">
        <v>8950</v>
      </c>
    </row>
    <row r="68" spans="2:2">
      <c r="B68">
        <v>9080</v>
      </c>
    </row>
    <row r="69" spans="2:2">
      <c r="B69">
        <v>9210</v>
      </c>
    </row>
    <row r="70" spans="2:2">
      <c r="B70">
        <v>9340</v>
      </c>
    </row>
    <row r="71" spans="2:2">
      <c r="B71">
        <v>9470</v>
      </c>
    </row>
    <row r="72" spans="2:2">
      <c r="B72">
        <v>9600</v>
      </c>
    </row>
    <row r="73" spans="2:2">
      <c r="B73">
        <v>9730</v>
      </c>
    </row>
    <row r="74" spans="2:2">
      <c r="B74">
        <v>9860</v>
      </c>
    </row>
    <row r="75" spans="2:2">
      <c r="B75">
        <v>9990</v>
      </c>
    </row>
    <row r="76" spans="2:2">
      <c r="B76">
        <v>10120</v>
      </c>
    </row>
    <row r="77" spans="2:2">
      <c r="B77">
        <v>10250</v>
      </c>
    </row>
    <row r="78" spans="2:2">
      <c r="B78">
        <v>10380</v>
      </c>
    </row>
    <row r="79" spans="2:2">
      <c r="B79">
        <v>10510</v>
      </c>
    </row>
    <row r="80" spans="2:2">
      <c r="B80">
        <v>10640</v>
      </c>
    </row>
    <row r="81" spans="2:2">
      <c r="B81">
        <v>10770</v>
      </c>
    </row>
    <row r="82" spans="2:2">
      <c r="B82">
        <v>10900</v>
      </c>
    </row>
    <row r="83" spans="2:2">
      <c r="B83">
        <v>11030</v>
      </c>
    </row>
    <row r="84" spans="2:2">
      <c r="B84">
        <v>11160</v>
      </c>
    </row>
    <row r="85" spans="2:2">
      <c r="B85">
        <v>11290</v>
      </c>
    </row>
    <row r="86" spans="2:2">
      <c r="B86">
        <v>11420</v>
      </c>
    </row>
    <row r="87" spans="2:2">
      <c r="B87">
        <v>11550</v>
      </c>
    </row>
    <row r="88" spans="2:2">
      <c r="B88">
        <v>11680</v>
      </c>
    </row>
    <row r="89" spans="2:2">
      <c r="B89">
        <v>11810</v>
      </c>
    </row>
    <row r="90" spans="2:2">
      <c r="B90">
        <v>11940</v>
      </c>
    </row>
    <row r="91" spans="2:2">
      <c r="B91">
        <v>12070</v>
      </c>
    </row>
    <row r="92" spans="2:2">
      <c r="B92">
        <v>12200</v>
      </c>
    </row>
    <row r="93" spans="2:2">
      <c r="B93">
        <v>12330</v>
      </c>
    </row>
    <row r="94" spans="2:2">
      <c r="B94">
        <v>12460</v>
      </c>
    </row>
    <row r="95" spans="2:2">
      <c r="B95">
        <v>12590</v>
      </c>
    </row>
    <row r="96" spans="2:2">
      <c r="B96">
        <v>12720</v>
      </c>
    </row>
    <row r="97" spans="2:2">
      <c r="B97">
        <v>12850</v>
      </c>
    </row>
    <row r="98" spans="2:2">
      <c r="B98">
        <v>12980</v>
      </c>
    </row>
    <row r="99" spans="2:2">
      <c r="B99">
        <v>13110</v>
      </c>
    </row>
    <row r="100" spans="2:2">
      <c r="B100">
        <v>13240</v>
      </c>
    </row>
    <row r="101" spans="2:2">
      <c r="B101">
        <v>13370</v>
      </c>
    </row>
    <row r="102" spans="2:2">
      <c r="B102">
        <v>13500</v>
      </c>
    </row>
    <row r="103" spans="2:2">
      <c r="B103">
        <v>13630</v>
      </c>
    </row>
    <row r="104" spans="2:2">
      <c r="B104">
        <v>13760</v>
      </c>
    </row>
    <row r="105" spans="2:2">
      <c r="B105">
        <v>13890</v>
      </c>
    </row>
    <row r="106" spans="2:2">
      <c r="B106">
        <v>14020</v>
      </c>
    </row>
    <row r="107" spans="2:2">
      <c r="B107">
        <v>14150</v>
      </c>
    </row>
    <row r="108" spans="2:2">
      <c r="B108">
        <v>14280</v>
      </c>
    </row>
    <row r="109" spans="2:2">
      <c r="B109">
        <v>14410</v>
      </c>
    </row>
    <row r="110" spans="2:2">
      <c r="B110">
        <v>14540</v>
      </c>
    </row>
    <row r="111" spans="2:2">
      <c r="B111">
        <v>14670</v>
      </c>
    </row>
    <row r="112" spans="2:2">
      <c r="B112">
        <v>14800</v>
      </c>
    </row>
    <row r="113" spans="2:2">
      <c r="B113">
        <v>14930</v>
      </c>
    </row>
    <row r="114" spans="2:2">
      <c r="B114">
        <v>15060</v>
      </c>
    </row>
    <row r="115" spans="2:2">
      <c r="B115">
        <v>15190</v>
      </c>
    </row>
    <row r="116" spans="2:2">
      <c r="B116">
        <v>15320</v>
      </c>
    </row>
    <row r="117" spans="2:2">
      <c r="B117">
        <v>15450</v>
      </c>
    </row>
    <row r="118" spans="2:2">
      <c r="B118">
        <v>15580</v>
      </c>
    </row>
    <row r="119" spans="2:2">
      <c r="B119">
        <v>15710</v>
      </c>
    </row>
    <row r="120" spans="2:2">
      <c r="B120">
        <v>15840</v>
      </c>
    </row>
    <row r="121" spans="2:2">
      <c r="B121">
        <v>15970</v>
      </c>
    </row>
    <row r="122" spans="2:2">
      <c r="B122">
        <v>16100</v>
      </c>
    </row>
    <row r="123" spans="2:2">
      <c r="B123">
        <v>16230</v>
      </c>
    </row>
    <row r="124" spans="2:2">
      <c r="B124">
        <v>16360</v>
      </c>
    </row>
    <row r="125" spans="2:2">
      <c r="B125">
        <v>16490</v>
      </c>
    </row>
    <row r="126" spans="2:2">
      <c r="B126">
        <v>16620</v>
      </c>
    </row>
    <row r="127" spans="2:2">
      <c r="B127">
        <v>16750</v>
      </c>
    </row>
    <row r="128" spans="2:2">
      <c r="B128">
        <v>16880</v>
      </c>
    </row>
    <row r="129" spans="2:2">
      <c r="B129">
        <v>17010</v>
      </c>
    </row>
    <row r="130" spans="2:2">
      <c r="B130">
        <v>17140</v>
      </c>
    </row>
    <row r="131" spans="2:2">
      <c r="B131">
        <v>17270</v>
      </c>
    </row>
    <row r="132" spans="2:2">
      <c r="B132">
        <v>17400</v>
      </c>
    </row>
    <row r="133" spans="2:2">
      <c r="B133">
        <v>17530</v>
      </c>
    </row>
    <row r="134" spans="2:2">
      <c r="B134">
        <v>17660</v>
      </c>
    </row>
    <row r="135" spans="2:2">
      <c r="B135">
        <v>17790</v>
      </c>
    </row>
    <row r="136" spans="2:2">
      <c r="B136">
        <v>17920</v>
      </c>
    </row>
    <row r="137" spans="2:2">
      <c r="B137">
        <v>18050</v>
      </c>
    </row>
    <row r="138" spans="2:2">
      <c r="B138">
        <v>18180</v>
      </c>
    </row>
    <row r="139" spans="2:2">
      <c r="B139">
        <v>18310</v>
      </c>
    </row>
    <row r="140" spans="2:2">
      <c r="B140">
        <v>18440</v>
      </c>
    </row>
    <row r="141" spans="2:2">
      <c r="B141">
        <v>18570</v>
      </c>
    </row>
    <row r="142" spans="2:2">
      <c r="B142">
        <v>18700</v>
      </c>
    </row>
    <row r="143" spans="2:2">
      <c r="B143">
        <v>18830</v>
      </c>
    </row>
    <row r="144" spans="2:2">
      <c r="B144">
        <v>18960</v>
      </c>
    </row>
    <row r="145" spans="2:2">
      <c r="B145">
        <v>19090</v>
      </c>
    </row>
    <row r="146" spans="2:2">
      <c r="B146">
        <v>19220</v>
      </c>
    </row>
    <row r="147" spans="2:2">
      <c r="B147">
        <v>19350</v>
      </c>
    </row>
    <row r="148" spans="2:2">
      <c r="B148">
        <v>19480</v>
      </c>
    </row>
    <row r="149" spans="2:2">
      <c r="B149">
        <v>19610</v>
      </c>
    </row>
    <row r="150" spans="2:2">
      <c r="B150">
        <v>19740</v>
      </c>
    </row>
    <row r="151" spans="2:2">
      <c r="B151">
        <v>19870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Administrators</dc:creator>
  <cp:lastModifiedBy>yoonho</cp:lastModifiedBy>
  <dcterms:created xsi:type="dcterms:W3CDTF">2006-09-02T08:58:41Z</dcterms:created>
  <dcterms:modified xsi:type="dcterms:W3CDTF">2014-01-06T05:40:11Z</dcterms:modified>
</cp:coreProperties>
</file>
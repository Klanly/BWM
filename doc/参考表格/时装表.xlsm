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filterPrivacy="1" defaultThemeVersion="124226"/>
  <bookViews>
    <workbookView xWindow="240" yWindow="375" windowWidth="14805" windowHeight="7740"/>
  </bookViews>
  <sheets>
    <sheet name="Sheet1" sheetId="1" r:id="rId1"/>
    <sheet name="说明" sheetId="2" r:id="rId2"/>
    <sheet name="Sheet3" sheetId="3" r:id="rId3"/>
  </sheets>
  <calcPr calcId="145621"/>
</workbook>
</file>

<file path=xl/calcChain.xml><?xml version="1.0" encoding="utf-8"?>
<calcChain xmlns="http://schemas.openxmlformats.org/spreadsheetml/2006/main">
  <c r="F3" i="3" l="1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40" i="3"/>
  <c r="D41" i="3"/>
  <c r="D42" i="3"/>
  <c r="D43" i="3"/>
  <c r="D44" i="3"/>
  <c r="D45" i="3"/>
  <c r="D46" i="3"/>
  <c r="D47" i="3"/>
  <c r="D48" i="3"/>
  <c r="D49" i="3"/>
  <c r="D50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B3" i="3"/>
  <c r="G3" i="3" s="1"/>
  <c r="H3" i="3" s="1"/>
  <c r="I3" i="3" s="1"/>
  <c r="B4" i="3"/>
  <c r="G4" i="3" s="1"/>
  <c r="H4" i="3" s="1"/>
  <c r="I4" i="3" s="1"/>
  <c r="B5" i="3"/>
  <c r="G5" i="3" s="1"/>
  <c r="H5" i="3" s="1"/>
  <c r="I5" i="3" s="1"/>
  <c r="B6" i="3"/>
  <c r="G6" i="3" s="1"/>
  <c r="H6" i="3" s="1"/>
  <c r="I6" i="3" s="1"/>
  <c r="B7" i="3"/>
  <c r="G7" i="3" s="1"/>
  <c r="H7" i="3" s="1"/>
  <c r="I7" i="3" s="1"/>
  <c r="B8" i="3"/>
  <c r="G8" i="3" s="1"/>
  <c r="H8" i="3" s="1"/>
  <c r="I8" i="3" s="1"/>
  <c r="B9" i="3"/>
  <c r="G9" i="3" s="1"/>
  <c r="H9" i="3" s="1"/>
  <c r="I9" i="3" s="1"/>
  <c r="B10" i="3"/>
  <c r="G10" i="3" s="1"/>
  <c r="H10" i="3" s="1"/>
  <c r="I10" i="3" s="1"/>
  <c r="B11" i="3"/>
  <c r="G11" i="3" s="1"/>
  <c r="H11" i="3" s="1"/>
  <c r="I11" i="3" s="1"/>
  <c r="B12" i="3"/>
  <c r="G12" i="3" s="1"/>
  <c r="H12" i="3" s="1"/>
  <c r="I12" i="3" s="1"/>
  <c r="B13" i="3"/>
  <c r="G13" i="3" s="1"/>
  <c r="H13" i="3" s="1"/>
  <c r="I13" i="3" s="1"/>
  <c r="B14" i="3"/>
  <c r="G14" i="3" s="1"/>
  <c r="H14" i="3" s="1"/>
  <c r="I14" i="3" s="1"/>
  <c r="B15" i="3"/>
  <c r="G15" i="3" s="1"/>
  <c r="H15" i="3" s="1"/>
  <c r="I15" i="3" s="1"/>
  <c r="B16" i="3"/>
  <c r="G16" i="3" s="1"/>
  <c r="H16" i="3" s="1"/>
  <c r="I16" i="3" s="1"/>
  <c r="B17" i="3"/>
  <c r="G17" i="3" s="1"/>
  <c r="H17" i="3" s="1"/>
  <c r="I17" i="3" s="1"/>
  <c r="B18" i="3"/>
  <c r="G18" i="3" s="1"/>
  <c r="H18" i="3" s="1"/>
  <c r="I18" i="3" s="1"/>
  <c r="B19" i="3"/>
  <c r="G19" i="3" s="1"/>
  <c r="H19" i="3" s="1"/>
  <c r="I19" i="3" s="1"/>
  <c r="B20" i="3"/>
  <c r="G20" i="3" s="1"/>
  <c r="H20" i="3" s="1"/>
  <c r="I20" i="3" s="1"/>
  <c r="B21" i="3"/>
  <c r="G21" i="3" s="1"/>
  <c r="H21" i="3" s="1"/>
  <c r="I21" i="3" s="1"/>
  <c r="B22" i="3"/>
  <c r="G22" i="3" s="1"/>
  <c r="H22" i="3" s="1"/>
  <c r="I22" i="3" s="1"/>
  <c r="B23" i="3"/>
  <c r="G23" i="3" s="1"/>
  <c r="H23" i="3" s="1"/>
  <c r="I23" i="3" s="1"/>
  <c r="B24" i="3"/>
  <c r="G24" i="3" s="1"/>
  <c r="H24" i="3" s="1"/>
  <c r="I24" i="3" s="1"/>
  <c r="B25" i="3"/>
  <c r="G25" i="3" s="1"/>
  <c r="H25" i="3" s="1"/>
  <c r="I25" i="3" s="1"/>
  <c r="B26" i="3"/>
  <c r="G26" i="3" s="1"/>
  <c r="H26" i="3" s="1"/>
  <c r="I26" i="3" s="1"/>
  <c r="B27" i="3"/>
  <c r="G27" i="3" s="1"/>
  <c r="H27" i="3" s="1"/>
  <c r="I27" i="3" s="1"/>
  <c r="B28" i="3"/>
  <c r="G28" i="3" s="1"/>
  <c r="H28" i="3" s="1"/>
  <c r="I28" i="3" s="1"/>
  <c r="B29" i="3"/>
  <c r="G29" i="3" s="1"/>
  <c r="H29" i="3" s="1"/>
  <c r="I29" i="3" s="1"/>
  <c r="B30" i="3"/>
  <c r="G30" i="3" s="1"/>
  <c r="H30" i="3" s="1"/>
  <c r="I30" i="3" s="1"/>
  <c r="B31" i="3"/>
  <c r="G31" i="3" s="1"/>
  <c r="H31" i="3" s="1"/>
  <c r="I31" i="3" s="1"/>
  <c r="B32" i="3"/>
  <c r="G32" i="3" s="1"/>
  <c r="H32" i="3" s="1"/>
  <c r="I32" i="3" s="1"/>
  <c r="B33" i="3"/>
  <c r="G33" i="3" s="1"/>
  <c r="H33" i="3" s="1"/>
  <c r="I33" i="3" s="1"/>
  <c r="B34" i="3"/>
  <c r="B35" i="3"/>
  <c r="B36" i="3"/>
  <c r="B37" i="3"/>
  <c r="B38" i="3"/>
  <c r="B39" i="3"/>
  <c r="B40" i="3"/>
  <c r="G40" i="3" s="1"/>
  <c r="H40" i="3" s="1"/>
  <c r="I40" i="3" s="1"/>
  <c r="B41" i="3"/>
  <c r="G41" i="3" s="1"/>
  <c r="H41" i="3" s="1"/>
  <c r="I41" i="3" s="1"/>
  <c r="B42" i="3"/>
  <c r="G42" i="3" s="1"/>
  <c r="H42" i="3" s="1"/>
  <c r="I42" i="3" s="1"/>
  <c r="B43" i="3"/>
  <c r="G43" i="3" s="1"/>
  <c r="H43" i="3" s="1"/>
  <c r="I43" i="3" s="1"/>
  <c r="B44" i="3"/>
  <c r="G44" i="3" s="1"/>
  <c r="H44" i="3" s="1"/>
  <c r="I44" i="3" s="1"/>
  <c r="B45" i="3"/>
  <c r="G45" i="3" s="1"/>
  <c r="H45" i="3" s="1"/>
  <c r="I45" i="3" s="1"/>
  <c r="B46" i="3"/>
  <c r="G46" i="3" s="1"/>
  <c r="H46" i="3" s="1"/>
  <c r="I46" i="3" s="1"/>
  <c r="B47" i="3"/>
  <c r="G47" i="3" s="1"/>
  <c r="H47" i="3" s="1"/>
  <c r="I47" i="3" s="1"/>
  <c r="B48" i="3"/>
  <c r="G48" i="3" s="1"/>
  <c r="H48" i="3" s="1"/>
  <c r="I48" i="3" s="1"/>
  <c r="B49" i="3"/>
  <c r="G49" i="3" s="1"/>
  <c r="H49" i="3" s="1"/>
  <c r="I49" i="3" s="1"/>
  <c r="B50" i="3"/>
  <c r="G50" i="3" s="1"/>
  <c r="H50" i="3" s="1"/>
  <c r="I50" i="3" s="1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G39" i="3" l="1"/>
  <c r="H39" i="3" s="1"/>
  <c r="I39" i="3" s="1"/>
  <c r="J39" i="1"/>
  <c r="H39" i="1"/>
  <c r="D39" i="3" s="1"/>
  <c r="J38" i="1"/>
  <c r="H38" i="1"/>
  <c r="D38" i="3" s="1"/>
  <c r="G38" i="3" s="1"/>
  <c r="H38" i="3" s="1"/>
  <c r="I38" i="3" s="1"/>
  <c r="J37" i="1"/>
  <c r="H37" i="1"/>
  <c r="D37" i="3" s="1"/>
  <c r="G37" i="3" s="1"/>
  <c r="H37" i="3" s="1"/>
  <c r="I37" i="3" s="1"/>
  <c r="J36" i="1"/>
  <c r="H36" i="1"/>
  <c r="D36" i="3" s="1"/>
  <c r="G36" i="3" s="1"/>
  <c r="H36" i="3" s="1"/>
  <c r="I36" i="3" s="1"/>
  <c r="J35" i="1"/>
  <c r="H35" i="1"/>
  <c r="D35" i="3" s="1"/>
  <c r="G35" i="3" s="1"/>
  <c r="H35" i="3" s="1"/>
  <c r="I35" i="3" s="1"/>
  <c r="J34" i="1"/>
  <c r="H34" i="1"/>
  <c r="D34" i="3" s="1"/>
  <c r="G34" i="3" s="1"/>
  <c r="H34" i="3" s="1"/>
  <c r="I34" i="3" s="1"/>
  <c r="J49" i="1" l="1"/>
  <c r="J48" i="1"/>
  <c r="D39" i="1" l="1"/>
  <c r="G31" i="1"/>
  <c r="G30" i="1"/>
  <c r="J16" i="1"/>
  <c r="J17" i="1"/>
  <c r="J3" i="1"/>
  <c r="J4" i="1"/>
  <c r="J5" i="1"/>
  <c r="J6" i="1"/>
  <c r="J7" i="1"/>
  <c r="J8" i="1"/>
  <c r="J9" i="1"/>
  <c r="J2" i="1"/>
  <c r="G32" i="1" l="1"/>
  <c r="G33" i="1"/>
  <c r="H32" i="1"/>
  <c r="H31" i="1"/>
  <c r="H30" i="1"/>
  <c r="G15" i="1"/>
  <c r="H15" i="1"/>
  <c r="I15" i="1"/>
  <c r="F15" i="1"/>
  <c r="I11" i="1"/>
  <c r="I12" i="1"/>
  <c r="I14" i="1"/>
  <c r="I10" i="1"/>
  <c r="F11" i="1"/>
  <c r="F12" i="1"/>
  <c r="F14" i="1"/>
  <c r="F10" i="1"/>
  <c r="F13" i="1"/>
  <c r="J15" i="1" l="1"/>
  <c r="H33" i="1"/>
  <c r="I13" i="1"/>
  <c r="J33" i="1" l="1"/>
  <c r="J32" i="1"/>
  <c r="J31" i="1"/>
  <c r="J30" i="1"/>
  <c r="J29" i="1"/>
  <c r="H29" i="1"/>
  <c r="J28" i="1"/>
  <c r="H28" i="1"/>
  <c r="J10" i="1" l="1"/>
  <c r="J11" i="1"/>
  <c r="J12" i="1"/>
  <c r="J13" i="1"/>
  <c r="J14" i="1"/>
  <c r="J20" i="1"/>
  <c r="J21" i="1"/>
  <c r="J22" i="1"/>
  <c r="J23" i="1"/>
  <c r="J24" i="1"/>
  <c r="J25" i="1"/>
  <c r="J26" i="1"/>
  <c r="J27" i="1"/>
  <c r="J40" i="1"/>
  <c r="D40" i="1" s="1"/>
  <c r="J41" i="1"/>
  <c r="D41" i="1" s="1"/>
  <c r="J42" i="1"/>
  <c r="J43" i="1"/>
  <c r="D43" i="1" s="1"/>
  <c r="J44" i="1"/>
  <c r="D44" i="1" s="1"/>
  <c r="J45" i="1"/>
  <c r="D45" i="1" s="1"/>
  <c r="J46" i="1"/>
  <c r="D46" i="1" s="1"/>
  <c r="J47" i="1"/>
  <c r="D47" i="1" s="1"/>
  <c r="J50" i="1"/>
  <c r="A2" i="3" l="1"/>
  <c r="F2" i="3" l="1"/>
  <c r="E2" i="3"/>
  <c r="O4" i="3" s="1"/>
  <c r="D2" i="3"/>
  <c r="C2" i="3"/>
  <c r="O3" i="3" s="1"/>
  <c r="B2" i="3"/>
  <c r="O2" i="3" s="1"/>
  <c r="D6" i="1" l="1"/>
  <c r="D30" i="1"/>
  <c r="D34" i="1"/>
  <c r="D10" i="1"/>
  <c r="D22" i="1"/>
  <c r="D26" i="1"/>
  <c r="D14" i="1"/>
  <c r="D7" i="1"/>
  <c r="D23" i="1"/>
  <c r="D4" i="1"/>
  <c r="D5" i="1"/>
  <c r="D21" i="1"/>
  <c r="D11" i="1"/>
  <c r="D8" i="1"/>
  <c r="D24" i="1"/>
  <c r="D25" i="1"/>
  <c r="D31" i="1"/>
  <c r="D12" i="1"/>
  <c r="D13" i="1"/>
  <c r="D29" i="1"/>
  <c r="D3" i="1"/>
  <c r="D35" i="1"/>
  <c r="D32" i="1"/>
  <c r="D33" i="1"/>
  <c r="G2" i="3"/>
  <c r="H2" i="3" s="1"/>
  <c r="I2" i="3" s="1"/>
  <c r="D2" i="1" s="1"/>
  <c r="D37" i="1" l="1"/>
  <c r="D36" i="1"/>
  <c r="D38" i="1"/>
  <c r="D27" i="1"/>
  <c r="D28" i="1"/>
  <c r="D20" i="1"/>
</calcChain>
</file>

<file path=xl/sharedStrings.xml><?xml version="1.0" encoding="utf-8"?>
<sst xmlns="http://schemas.openxmlformats.org/spreadsheetml/2006/main" count="82" uniqueCount="74">
  <si>
    <t>编号</t>
    <phoneticPr fontId="6" type="noConversion"/>
  </si>
  <si>
    <t>名称</t>
    <phoneticPr fontId="6" type="noConversion"/>
  </si>
  <si>
    <t>类型</t>
    <phoneticPr fontId="6" type="noConversion"/>
  </si>
  <si>
    <t>生命</t>
    <phoneticPr fontId="5" type="noConversion"/>
  </si>
  <si>
    <t>物攻</t>
    <phoneticPr fontId="5" type="noConversion"/>
  </si>
  <si>
    <t>法攻</t>
    <phoneticPr fontId="5" type="noConversion"/>
  </si>
  <si>
    <t>物防</t>
    <phoneticPr fontId="5" type="noConversion"/>
  </si>
  <si>
    <t>法防</t>
    <phoneticPr fontId="5" type="noConversion"/>
  </si>
  <si>
    <t>说明</t>
    <phoneticPr fontId="5" type="noConversion"/>
  </si>
  <si>
    <t>编号</t>
    <phoneticPr fontId="5" type="noConversion"/>
  </si>
  <si>
    <t>时装编号</t>
    <phoneticPr fontId="5" type="noConversion"/>
  </si>
  <si>
    <t>名称</t>
    <phoneticPr fontId="5" type="noConversion"/>
  </si>
  <si>
    <t>时装名称</t>
    <phoneticPr fontId="5" type="noConversion"/>
  </si>
  <si>
    <t>类型</t>
    <phoneticPr fontId="5" type="noConversion"/>
  </si>
  <si>
    <t>模型</t>
    <phoneticPr fontId="5" type="noConversion"/>
  </si>
  <si>
    <t>调用模型</t>
    <phoneticPr fontId="5" type="noConversion"/>
  </si>
  <si>
    <t>时装说明</t>
    <phoneticPr fontId="5" type="noConversion"/>
  </si>
  <si>
    <t>价格</t>
    <phoneticPr fontId="5" type="noConversion"/>
  </si>
  <si>
    <t>使用要求</t>
    <phoneticPr fontId="5" type="noConversion"/>
  </si>
  <si>
    <t>如果是衣服，则0无性别，1男性，2女性，如果是武器，则1是战士，2是法师，3是道士</t>
    <phoneticPr fontId="5" type="noConversion"/>
  </si>
  <si>
    <t>0衣服、1羽翼、2武器、3坐骑</t>
    <phoneticPr fontId="5" type="noConversion"/>
  </si>
  <si>
    <t>盛世红颜衫</t>
    <phoneticPr fontId="6" type="noConversion"/>
  </si>
  <si>
    <t>白色翅膀</t>
    <phoneticPr fontId="6" type="noConversion"/>
  </si>
  <si>
    <t>青狐灵时装</t>
    <phoneticPr fontId="6" type="noConversion"/>
  </si>
  <si>
    <t>熊猫时装</t>
    <phoneticPr fontId="6" type="noConversion"/>
  </si>
  <si>
    <t>兔子坐骑1</t>
    <phoneticPr fontId="6" type="noConversion"/>
  </si>
  <si>
    <t>兔子坐骑2</t>
    <phoneticPr fontId="6" type="noConversion"/>
  </si>
  <si>
    <t>马傻啦~弟(蓝)</t>
    <phoneticPr fontId="6" type="noConversion"/>
  </si>
  <si>
    <t>马傻啦~弟(青)</t>
    <phoneticPr fontId="6" type="noConversion"/>
  </si>
  <si>
    <t>火焰战骑时装</t>
    <phoneticPr fontId="6" type="noConversion"/>
  </si>
  <si>
    <t>乱世枭雄铠</t>
    <phoneticPr fontId="6" type="noConversion"/>
  </si>
  <si>
    <t>黑色翅膀</t>
    <phoneticPr fontId="6" type="noConversion"/>
  </si>
  <si>
    <t>白狐灵时装</t>
    <phoneticPr fontId="6" type="noConversion"/>
  </si>
  <si>
    <t>青花瓷</t>
    <phoneticPr fontId="6" type="noConversion"/>
  </si>
  <si>
    <t>黑色鬼魅</t>
    <phoneticPr fontId="6" type="noConversion"/>
  </si>
  <si>
    <t>火凤燎原</t>
    <phoneticPr fontId="6" type="noConversion"/>
  </si>
  <si>
    <t>帝皇</t>
    <phoneticPr fontId="6" type="noConversion"/>
  </si>
  <si>
    <t>人面桃花</t>
    <phoneticPr fontId="6" type="noConversion"/>
  </si>
  <si>
    <t>鬼魅妖姬</t>
    <phoneticPr fontId="6" type="noConversion"/>
  </si>
  <si>
    <t>帝后</t>
    <phoneticPr fontId="6" type="noConversion"/>
  </si>
  <si>
    <t>圣洁之羽</t>
    <phoneticPr fontId="6" type="noConversion"/>
  </si>
  <si>
    <t>佳期如梦（幻）</t>
    <phoneticPr fontId="6" type="noConversion"/>
  </si>
  <si>
    <t>柔情似水（幻）</t>
    <phoneticPr fontId="6" type="noConversion"/>
  </si>
  <si>
    <t>银烛秋光（幻）</t>
    <phoneticPr fontId="6" type="noConversion"/>
  </si>
  <si>
    <t>火箭熊羽翼</t>
    <phoneticPr fontId="6" type="noConversion"/>
  </si>
  <si>
    <t>虚空凤凰</t>
    <phoneticPr fontId="6" type="noConversion"/>
  </si>
  <si>
    <t>优雅的淡兰色</t>
    <phoneticPr fontId="6" type="noConversion"/>
  </si>
  <si>
    <t>红鞭炮</t>
    <phoneticPr fontId="6" type="noConversion"/>
  </si>
  <si>
    <t>糖葫芦</t>
    <phoneticPr fontId="6" type="noConversion"/>
  </si>
  <si>
    <t>一枝花</t>
    <phoneticPr fontId="6" type="noConversion"/>
  </si>
  <si>
    <t>仙鹤</t>
    <phoneticPr fontId="6" type="noConversion"/>
  </si>
  <si>
    <t>金鱼</t>
    <phoneticPr fontId="6" type="noConversion"/>
  </si>
  <si>
    <t>生命之恋</t>
    <phoneticPr fontId="6" type="noConversion"/>
  </si>
  <si>
    <t>新娘</t>
    <phoneticPr fontId="6" type="noConversion"/>
  </si>
  <si>
    <t>新郎</t>
    <phoneticPr fontId="6" type="noConversion"/>
  </si>
  <si>
    <t>青龙法袍</t>
    <phoneticPr fontId="6" type="noConversion"/>
  </si>
  <si>
    <t>睚眦战袍</t>
    <phoneticPr fontId="6" type="noConversion"/>
  </si>
  <si>
    <t>鲛人泪</t>
    <phoneticPr fontId="6" type="noConversion"/>
  </si>
  <si>
    <t>空谷幽兰</t>
    <phoneticPr fontId="6" type="noConversion"/>
  </si>
  <si>
    <t>天龙法袍</t>
    <phoneticPr fontId="6" type="noConversion"/>
  </si>
  <si>
    <t>天龙铠甲</t>
    <phoneticPr fontId="6" type="noConversion"/>
  </si>
  <si>
    <t>白马</t>
    <phoneticPr fontId="6" type="noConversion"/>
  </si>
  <si>
    <t>藤条</t>
    <phoneticPr fontId="6" type="noConversion"/>
  </si>
  <si>
    <t>棒棒糖</t>
    <phoneticPr fontId="6" type="noConversion"/>
  </si>
  <si>
    <t>大葱</t>
    <phoneticPr fontId="6" type="noConversion"/>
  </si>
  <si>
    <t>红伞</t>
    <phoneticPr fontId="6" type="noConversion"/>
  </si>
  <si>
    <t>胡萝卜</t>
    <phoneticPr fontId="6" type="noConversion"/>
  </si>
  <si>
    <t>风筝</t>
    <phoneticPr fontId="6" type="noConversion"/>
  </si>
  <si>
    <t>花轿</t>
    <phoneticPr fontId="6" type="noConversion"/>
  </si>
  <si>
    <t>生命</t>
    <phoneticPr fontId="5" type="noConversion"/>
  </si>
  <si>
    <t>攻击</t>
    <phoneticPr fontId="5" type="noConversion"/>
  </si>
  <si>
    <t>防御</t>
    <phoneticPr fontId="5" type="noConversion"/>
  </si>
  <si>
    <t>参考值</t>
    <phoneticPr fontId="5" type="noConversion"/>
  </si>
  <si>
    <t>实际值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</si>
</sst>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>
    <font>
      <sz val="11"/>
      <color theme="1"/>
      <name val="宋体"/>
      <family val="2"/>
      <scheme val="minor"/>
    </font>
    <font>
      <sz val="10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sz val="10"/>
      <name val="微软雅黑"/>
      <family val="2"/>
      <charset val="134"/>
    </font>
    <font>
      <sz val="9"/>
      <name val="宋体"/>
      <family val="3"/>
      <charset val="134"/>
      <scheme val="minor"/>
    </font>
    <font>
      <sz val="9"/>
      <name val="宋体"/>
      <family val="3"/>
      <charset val="134"/>
    </font>
    <font>
      <sz val="12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7" fillId="0" borderId="0">
      <alignment vertical="center"/>
    </xf>
    <xf numFmtId="0" fontId="7" fillId="0" borderId="0">
      <alignment vertical="center"/>
    </xf>
  </cellStyleXfs>
  <cellXfs count="13">
    <xf numFmtId="0" fontId="0" fillId="0" borderId="0" xfId="0"/>
    <xf numFmtId="0" fontId="4" fillId="0" borderId="0" xfId="0" applyFont="1" applyFill="1" applyBorder="1" applyAlignment="1">
      <alignment horizontal="center"/>
    </xf>
    <xf numFmtId="0" fontId="7" fillId="0" borderId="0" xfId="0" applyFont="1"/>
    <xf numFmtId="0" fontId="4" fillId="0" borderId="0" xfId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4" fillId="2" borderId="0" xfId="0" applyFont="1" applyFill="1" applyBorder="1" applyAlignment="1">
      <alignment horizontal="center" vertical="center"/>
    </xf>
    <xf numFmtId="0" fontId="2" fillId="0" borderId="0" xfId="0" applyFont="1" applyBorder="1" applyAlignment="1">
      <alignment horizontal="center"/>
    </xf>
    <xf numFmtId="0" fontId="2" fillId="0" borderId="0" xfId="0" applyFont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4" fillId="3" borderId="0" xfId="1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/>
    </xf>
  </cellXfs>
  <cellStyles count="3">
    <cellStyle name="常规" xfId="0" builtinId="0"/>
    <cellStyle name="常规 2" xfId="1"/>
    <cellStyle name="常规 2 77" xfId="2"/>
  </cellStyles>
  <dxfs count="148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50"/>
  <sheetViews>
    <sheetView tabSelected="1" workbookViewId="0">
      <pane ySplit="1" topLeftCell="A14" activePane="bottomLeft" state="frozen"/>
      <selection pane="bottomLeft" activeCell="G38" sqref="G38:G39"/>
    </sheetView>
  </sheetViews>
  <sheetFormatPr defaultRowHeight="16.5"/>
  <cols>
    <col min="1" max="1" width="9" style="7"/>
    <col min="2" max="2" width="13.125" style="7" bestFit="1" customWidth="1"/>
    <col min="3" max="16384" width="9" style="7"/>
  </cols>
  <sheetData>
    <row r="1" spans="1:12">
      <c r="A1" s="1" t="s">
        <v>0</v>
      </c>
      <c r="B1" s="1" t="s">
        <v>1</v>
      </c>
      <c r="C1" s="1" t="s">
        <v>2</v>
      </c>
      <c r="D1" s="1" t="s">
        <v>17</v>
      </c>
      <c r="E1" s="1" t="s">
        <v>18</v>
      </c>
      <c r="F1" s="1" t="s">
        <v>3</v>
      </c>
      <c r="G1" s="1" t="s">
        <v>4</v>
      </c>
      <c r="H1" s="1" t="s">
        <v>5</v>
      </c>
      <c r="I1" s="1" t="s">
        <v>6</v>
      </c>
      <c r="J1" s="1" t="s">
        <v>7</v>
      </c>
      <c r="K1" s="1"/>
      <c r="L1" s="1"/>
    </row>
    <row r="2" spans="1:12">
      <c r="A2" s="3">
        <v>20294</v>
      </c>
      <c r="B2" s="3" t="s">
        <v>30</v>
      </c>
      <c r="C2" s="8">
        <v>0</v>
      </c>
      <c r="D2" s="8">
        <f>Sheet3!I2</f>
        <v>1100</v>
      </c>
      <c r="E2" s="8">
        <v>1</v>
      </c>
      <c r="F2" s="8">
        <v>150</v>
      </c>
      <c r="G2" s="8">
        <v>0</v>
      </c>
      <c r="H2" s="8">
        <v>0</v>
      </c>
      <c r="I2" s="8">
        <v>20</v>
      </c>
      <c r="J2" s="8">
        <f>I2</f>
        <v>20</v>
      </c>
    </row>
    <row r="3" spans="1:12">
      <c r="A3" s="3">
        <v>20295</v>
      </c>
      <c r="B3" s="3" t="s">
        <v>21</v>
      </c>
      <c r="C3" s="8">
        <v>0</v>
      </c>
      <c r="D3" s="8">
        <f>Sheet3!I3</f>
        <v>2100</v>
      </c>
      <c r="E3" s="8">
        <v>2</v>
      </c>
      <c r="F3" s="8">
        <v>250</v>
      </c>
      <c r="G3" s="8">
        <v>0</v>
      </c>
      <c r="H3" s="8">
        <v>0</v>
      </c>
      <c r="I3" s="8">
        <v>40</v>
      </c>
      <c r="J3" s="8">
        <f>I3</f>
        <v>40</v>
      </c>
    </row>
    <row r="4" spans="1:12">
      <c r="A4" s="3">
        <v>20515</v>
      </c>
      <c r="B4" s="3" t="s">
        <v>56</v>
      </c>
      <c r="C4" s="8">
        <v>0</v>
      </c>
      <c r="D4" s="8">
        <f>Sheet3!I4</f>
        <v>3100</v>
      </c>
      <c r="E4" s="8">
        <v>1</v>
      </c>
      <c r="F4" s="8">
        <v>350</v>
      </c>
      <c r="G4" s="8">
        <v>0</v>
      </c>
      <c r="H4" s="8">
        <v>0</v>
      </c>
      <c r="I4" s="8">
        <v>60</v>
      </c>
      <c r="J4" s="8">
        <f>I4</f>
        <v>60</v>
      </c>
    </row>
    <row r="5" spans="1:12">
      <c r="A5" s="3">
        <v>20516</v>
      </c>
      <c r="B5" s="3" t="s">
        <v>33</v>
      </c>
      <c r="C5" s="8">
        <v>0</v>
      </c>
      <c r="D5" s="8">
        <f>Sheet3!I5</f>
        <v>4100</v>
      </c>
      <c r="E5" s="8">
        <v>1</v>
      </c>
      <c r="F5" s="8">
        <v>450</v>
      </c>
      <c r="G5" s="8">
        <v>0</v>
      </c>
      <c r="H5" s="8">
        <v>0</v>
      </c>
      <c r="I5" s="8">
        <v>80</v>
      </c>
      <c r="J5" s="8">
        <f>I5</f>
        <v>80</v>
      </c>
    </row>
    <row r="6" spans="1:12">
      <c r="A6" s="3">
        <v>20517</v>
      </c>
      <c r="B6" s="3" t="s">
        <v>34</v>
      </c>
      <c r="C6" s="8">
        <v>0</v>
      </c>
      <c r="D6" s="8">
        <f>Sheet3!I6</f>
        <v>5100</v>
      </c>
      <c r="E6" s="8">
        <v>1</v>
      </c>
      <c r="F6" s="8">
        <v>550</v>
      </c>
      <c r="G6" s="8">
        <v>0</v>
      </c>
      <c r="H6" s="8">
        <v>0</v>
      </c>
      <c r="I6" s="8">
        <v>100</v>
      </c>
      <c r="J6" s="8">
        <f>I6</f>
        <v>100</v>
      </c>
    </row>
    <row r="7" spans="1:12">
      <c r="A7" s="3">
        <v>20518</v>
      </c>
      <c r="B7" s="3" t="s">
        <v>55</v>
      </c>
      <c r="C7" s="8">
        <v>0</v>
      </c>
      <c r="D7" s="8">
        <f>Sheet3!I7</f>
        <v>6100</v>
      </c>
      <c r="E7" s="8">
        <v>1</v>
      </c>
      <c r="F7" s="8">
        <v>650</v>
      </c>
      <c r="G7" s="8">
        <v>0</v>
      </c>
      <c r="H7" s="8">
        <v>0</v>
      </c>
      <c r="I7" s="8">
        <v>120</v>
      </c>
      <c r="J7" s="8">
        <f>I7</f>
        <v>120</v>
      </c>
    </row>
    <row r="8" spans="1:12">
      <c r="A8" s="3">
        <v>20519</v>
      </c>
      <c r="B8" s="3" t="s">
        <v>35</v>
      </c>
      <c r="C8" s="8">
        <v>0</v>
      </c>
      <c r="D8" s="8">
        <f>Sheet3!I8</f>
        <v>7100</v>
      </c>
      <c r="E8" s="8">
        <v>1</v>
      </c>
      <c r="F8" s="8">
        <v>750</v>
      </c>
      <c r="G8" s="8">
        <v>0</v>
      </c>
      <c r="H8" s="8">
        <v>0</v>
      </c>
      <c r="I8" s="8">
        <v>140</v>
      </c>
      <c r="J8" s="8">
        <f>I8</f>
        <v>140</v>
      </c>
    </row>
    <row r="9" spans="1:12">
      <c r="A9" s="3">
        <v>20520</v>
      </c>
      <c r="B9" s="3" t="s">
        <v>36</v>
      </c>
      <c r="C9" s="8">
        <v>0</v>
      </c>
      <c r="D9" s="8">
        <v>0</v>
      </c>
      <c r="E9" s="8">
        <v>1</v>
      </c>
      <c r="F9" s="8">
        <v>850</v>
      </c>
      <c r="G9" s="8">
        <v>0</v>
      </c>
      <c r="H9" s="8">
        <v>0</v>
      </c>
      <c r="I9" s="8">
        <v>160</v>
      </c>
      <c r="J9" s="8">
        <f>I9</f>
        <v>160</v>
      </c>
    </row>
    <row r="10" spans="1:12">
      <c r="A10" s="3">
        <v>20521</v>
      </c>
      <c r="B10" s="3" t="s">
        <v>37</v>
      </c>
      <c r="C10" s="8">
        <v>0</v>
      </c>
      <c r="D10" s="8">
        <f>Sheet3!I10</f>
        <v>1100</v>
      </c>
      <c r="E10" s="8">
        <v>2</v>
      </c>
      <c r="F10" s="8">
        <f>F2</f>
        <v>150</v>
      </c>
      <c r="G10" s="8">
        <v>0</v>
      </c>
      <c r="H10" s="8">
        <v>0</v>
      </c>
      <c r="I10" s="8">
        <f>I2</f>
        <v>20</v>
      </c>
      <c r="J10" s="8">
        <f>I10</f>
        <v>20</v>
      </c>
    </row>
    <row r="11" spans="1:12">
      <c r="A11" s="3">
        <v>20522</v>
      </c>
      <c r="B11" s="3" t="s">
        <v>56</v>
      </c>
      <c r="C11" s="8">
        <v>0</v>
      </c>
      <c r="D11" s="8">
        <f>Sheet3!I11</f>
        <v>2100</v>
      </c>
      <c r="E11" s="8">
        <v>2</v>
      </c>
      <c r="F11" s="8">
        <f>F3</f>
        <v>250</v>
      </c>
      <c r="G11" s="8">
        <v>0</v>
      </c>
      <c r="H11" s="8">
        <v>0</v>
      </c>
      <c r="I11" s="8">
        <f>I3</f>
        <v>40</v>
      </c>
      <c r="J11" s="8">
        <f>I11</f>
        <v>40</v>
      </c>
    </row>
    <row r="12" spans="1:12">
      <c r="A12" s="3">
        <v>20523</v>
      </c>
      <c r="B12" s="3" t="s">
        <v>58</v>
      </c>
      <c r="C12" s="8">
        <v>0</v>
      </c>
      <c r="D12" s="8">
        <f>Sheet3!I12</f>
        <v>3100</v>
      </c>
      <c r="E12" s="8">
        <v>2</v>
      </c>
      <c r="F12" s="8">
        <f>F4</f>
        <v>350</v>
      </c>
      <c r="G12" s="8">
        <v>0</v>
      </c>
      <c r="H12" s="8">
        <v>0</v>
      </c>
      <c r="I12" s="8">
        <f>I4</f>
        <v>60</v>
      </c>
      <c r="J12" s="8">
        <f>I12</f>
        <v>60</v>
      </c>
    </row>
    <row r="13" spans="1:12">
      <c r="A13" s="3">
        <v>20524</v>
      </c>
      <c r="B13" s="3" t="s">
        <v>38</v>
      </c>
      <c r="C13" s="8">
        <v>0</v>
      </c>
      <c r="D13" s="8">
        <f>Sheet3!I13</f>
        <v>4100</v>
      </c>
      <c r="E13" s="8">
        <v>2</v>
      </c>
      <c r="F13" s="8">
        <f>F5</f>
        <v>450</v>
      </c>
      <c r="G13" s="8">
        <v>0</v>
      </c>
      <c r="H13" s="8">
        <v>0</v>
      </c>
      <c r="I13" s="8">
        <f>I5</f>
        <v>80</v>
      </c>
      <c r="J13" s="8">
        <f>I13</f>
        <v>80</v>
      </c>
    </row>
    <row r="14" spans="1:12">
      <c r="A14" s="3">
        <v>20525</v>
      </c>
      <c r="B14" s="3" t="s">
        <v>57</v>
      </c>
      <c r="C14" s="8">
        <v>0</v>
      </c>
      <c r="D14" s="8">
        <f>Sheet3!I14</f>
        <v>5100</v>
      </c>
      <c r="E14" s="8">
        <v>2</v>
      </c>
      <c r="F14" s="8">
        <f>F6</f>
        <v>550</v>
      </c>
      <c r="G14" s="8">
        <v>0</v>
      </c>
      <c r="H14" s="8">
        <v>0</v>
      </c>
      <c r="I14" s="8">
        <f>I6</f>
        <v>100</v>
      </c>
      <c r="J14" s="8">
        <f>I14</f>
        <v>100</v>
      </c>
    </row>
    <row r="15" spans="1:12">
      <c r="A15" s="3">
        <v>20526</v>
      </c>
      <c r="B15" s="3" t="s">
        <v>39</v>
      </c>
      <c r="C15" s="8">
        <v>0</v>
      </c>
      <c r="D15" s="8">
        <v>0</v>
      </c>
      <c r="E15" s="8">
        <v>2</v>
      </c>
      <c r="F15" s="8">
        <f>F9</f>
        <v>850</v>
      </c>
      <c r="G15" s="8">
        <f>G9</f>
        <v>0</v>
      </c>
      <c r="H15" s="8">
        <f>H9</f>
        <v>0</v>
      </c>
      <c r="I15" s="8">
        <f>I9</f>
        <v>160</v>
      </c>
      <c r="J15" s="8">
        <f>I15</f>
        <v>160</v>
      </c>
    </row>
    <row r="16" spans="1:12">
      <c r="A16" s="3">
        <v>20529</v>
      </c>
      <c r="B16" s="3" t="s">
        <v>53</v>
      </c>
      <c r="C16" s="8">
        <v>0</v>
      </c>
      <c r="D16" s="8">
        <v>0</v>
      </c>
      <c r="E16" s="8">
        <v>2</v>
      </c>
      <c r="F16" s="8">
        <v>950</v>
      </c>
      <c r="G16" s="8">
        <v>0</v>
      </c>
      <c r="H16" s="8">
        <v>0</v>
      </c>
      <c r="I16" s="8">
        <v>180</v>
      </c>
      <c r="J16" s="8">
        <f>I16</f>
        <v>180</v>
      </c>
    </row>
    <row r="17" spans="1:10">
      <c r="A17" s="3">
        <v>20530</v>
      </c>
      <c r="B17" s="3" t="s">
        <v>54</v>
      </c>
      <c r="C17" s="8">
        <v>0</v>
      </c>
      <c r="D17" s="8">
        <v>0</v>
      </c>
      <c r="E17" s="8">
        <v>1</v>
      </c>
      <c r="F17" s="8">
        <v>950</v>
      </c>
      <c r="G17" s="8">
        <v>0</v>
      </c>
      <c r="H17" s="8">
        <v>0</v>
      </c>
      <c r="I17" s="8">
        <v>180</v>
      </c>
      <c r="J17" s="8">
        <f>I17</f>
        <v>180</v>
      </c>
    </row>
    <row r="18" spans="1:10">
      <c r="A18" s="3">
        <v>20500</v>
      </c>
      <c r="B18" s="3" t="s">
        <v>59</v>
      </c>
      <c r="C18" s="8">
        <v>0</v>
      </c>
      <c r="D18" s="8">
        <v>0</v>
      </c>
      <c r="E18" s="8">
        <v>2</v>
      </c>
      <c r="F18" s="8">
        <v>300</v>
      </c>
      <c r="G18" s="8">
        <v>0</v>
      </c>
      <c r="H18" s="8">
        <v>0</v>
      </c>
      <c r="I18" s="8">
        <v>35</v>
      </c>
      <c r="J18" s="8">
        <v>35</v>
      </c>
    </row>
    <row r="19" spans="1:10">
      <c r="A19" s="3">
        <v>20506</v>
      </c>
      <c r="B19" s="3" t="s">
        <v>60</v>
      </c>
      <c r="C19" s="8">
        <v>0</v>
      </c>
      <c r="D19" s="8">
        <v>0</v>
      </c>
      <c r="E19" s="8">
        <v>1</v>
      </c>
      <c r="F19" s="8">
        <v>300</v>
      </c>
      <c r="G19" s="8">
        <v>0</v>
      </c>
      <c r="H19" s="8">
        <v>0</v>
      </c>
      <c r="I19" s="8">
        <v>35</v>
      </c>
      <c r="J19" s="8">
        <v>35</v>
      </c>
    </row>
    <row r="20" spans="1:10">
      <c r="A20" s="6">
        <v>20631</v>
      </c>
      <c r="B20" s="6" t="s">
        <v>31</v>
      </c>
      <c r="C20" s="9">
        <v>1</v>
      </c>
      <c r="D20" s="8">
        <f>Sheet3!I20</f>
        <v>2800</v>
      </c>
      <c r="E20" s="9">
        <v>0</v>
      </c>
      <c r="F20" s="9">
        <v>0</v>
      </c>
      <c r="G20" s="9">
        <v>0</v>
      </c>
      <c r="H20" s="9">
        <v>0</v>
      </c>
      <c r="I20" s="9">
        <v>70</v>
      </c>
      <c r="J20" s="9">
        <f>I20</f>
        <v>70</v>
      </c>
    </row>
    <row r="21" spans="1:10">
      <c r="A21" s="6">
        <v>20632</v>
      </c>
      <c r="B21" s="6" t="s">
        <v>22</v>
      </c>
      <c r="C21" s="9">
        <v>1</v>
      </c>
      <c r="D21" s="8">
        <f>Sheet3!I21</f>
        <v>4400</v>
      </c>
      <c r="E21" s="9">
        <v>0</v>
      </c>
      <c r="F21" s="9">
        <v>0</v>
      </c>
      <c r="G21" s="9">
        <v>0</v>
      </c>
      <c r="H21" s="9">
        <v>0</v>
      </c>
      <c r="I21" s="9">
        <v>110</v>
      </c>
      <c r="J21" s="9">
        <f>I21</f>
        <v>110</v>
      </c>
    </row>
    <row r="22" spans="1:10">
      <c r="A22" s="6">
        <v>20634</v>
      </c>
      <c r="B22" s="6" t="s">
        <v>40</v>
      </c>
      <c r="C22" s="9">
        <v>1</v>
      </c>
      <c r="D22" s="8">
        <f>Sheet3!I22</f>
        <v>6000</v>
      </c>
      <c r="E22" s="9">
        <v>0</v>
      </c>
      <c r="F22" s="9">
        <v>0</v>
      </c>
      <c r="G22" s="9">
        <v>0</v>
      </c>
      <c r="H22" s="9">
        <v>0</v>
      </c>
      <c r="I22" s="9">
        <v>150</v>
      </c>
      <c r="J22" s="9">
        <f>I22</f>
        <v>150</v>
      </c>
    </row>
    <row r="23" spans="1:10">
      <c r="A23" s="6">
        <v>20682</v>
      </c>
      <c r="B23" s="6" t="s">
        <v>41</v>
      </c>
      <c r="C23" s="9">
        <v>1</v>
      </c>
      <c r="D23" s="8">
        <f>Sheet3!I23</f>
        <v>7600</v>
      </c>
      <c r="E23" s="9">
        <v>0</v>
      </c>
      <c r="F23" s="9">
        <v>0</v>
      </c>
      <c r="G23" s="9">
        <v>0</v>
      </c>
      <c r="H23" s="9">
        <v>0</v>
      </c>
      <c r="I23" s="9">
        <v>190</v>
      </c>
      <c r="J23" s="9">
        <f>I23</f>
        <v>190</v>
      </c>
    </row>
    <row r="24" spans="1:10">
      <c r="A24" s="6">
        <v>20684</v>
      </c>
      <c r="B24" s="6" t="s">
        <v>46</v>
      </c>
      <c r="C24" s="9">
        <v>1</v>
      </c>
      <c r="D24" s="8">
        <f>Sheet3!I24</f>
        <v>9200</v>
      </c>
      <c r="E24" s="9">
        <v>0</v>
      </c>
      <c r="F24" s="9">
        <v>0</v>
      </c>
      <c r="G24" s="9">
        <v>0</v>
      </c>
      <c r="H24" s="9">
        <v>0</v>
      </c>
      <c r="I24" s="9">
        <v>230</v>
      </c>
      <c r="J24" s="9">
        <f>I24</f>
        <v>230</v>
      </c>
    </row>
    <row r="25" spans="1:10">
      <c r="A25" s="6">
        <v>20685</v>
      </c>
      <c r="B25" s="6" t="s">
        <v>42</v>
      </c>
      <c r="C25" s="9">
        <v>1</v>
      </c>
      <c r="D25" s="8">
        <f>Sheet3!I25</f>
        <v>10800</v>
      </c>
      <c r="E25" s="9">
        <v>0</v>
      </c>
      <c r="F25" s="9">
        <v>0</v>
      </c>
      <c r="G25" s="9">
        <v>0</v>
      </c>
      <c r="H25" s="9">
        <v>0</v>
      </c>
      <c r="I25" s="9">
        <v>270</v>
      </c>
      <c r="J25" s="9">
        <f>I25</f>
        <v>270</v>
      </c>
    </row>
    <row r="26" spans="1:10">
      <c r="A26" s="6">
        <v>20686</v>
      </c>
      <c r="B26" s="6" t="s">
        <v>43</v>
      </c>
      <c r="C26" s="9">
        <v>1</v>
      </c>
      <c r="D26" s="8">
        <f>Sheet3!I26</f>
        <v>12400</v>
      </c>
      <c r="E26" s="9">
        <v>0</v>
      </c>
      <c r="F26" s="9">
        <v>0</v>
      </c>
      <c r="G26" s="9">
        <v>0</v>
      </c>
      <c r="H26" s="9">
        <v>0</v>
      </c>
      <c r="I26" s="9">
        <v>310</v>
      </c>
      <c r="J26" s="9">
        <f>I26</f>
        <v>310</v>
      </c>
    </row>
    <row r="27" spans="1:10">
      <c r="A27" s="6">
        <v>20689</v>
      </c>
      <c r="B27" s="6" t="s">
        <v>44</v>
      </c>
      <c r="C27" s="9">
        <v>1</v>
      </c>
      <c r="D27" s="8">
        <f>Sheet3!I27</f>
        <v>14000</v>
      </c>
      <c r="E27" s="9">
        <v>0</v>
      </c>
      <c r="F27" s="9">
        <v>0</v>
      </c>
      <c r="G27" s="9">
        <v>0</v>
      </c>
      <c r="H27" s="9">
        <v>0</v>
      </c>
      <c r="I27" s="9">
        <v>350</v>
      </c>
      <c r="J27" s="9">
        <f>I27</f>
        <v>350</v>
      </c>
    </row>
    <row r="28" spans="1:10">
      <c r="A28" s="4">
        <v>1108</v>
      </c>
      <c r="B28" s="1" t="s">
        <v>47</v>
      </c>
      <c r="C28" s="7">
        <v>2</v>
      </c>
      <c r="D28" s="8">
        <f>Sheet3!I28</f>
        <v>6000</v>
      </c>
      <c r="E28" s="7">
        <v>1</v>
      </c>
      <c r="F28" s="8">
        <v>0</v>
      </c>
      <c r="G28" s="8">
        <v>150</v>
      </c>
      <c r="H28" s="8">
        <f>G28</f>
        <v>150</v>
      </c>
      <c r="I28" s="8">
        <v>0</v>
      </c>
      <c r="J28" s="8">
        <f>I28</f>
        <v>0</v>
      </c>
    </row>
    <row r="29" spans="1:10">
      <c r="A29" s="4">
        <v>1109</v>
      </c>
      <c r="B29" s="1" t="s">
        <v>52</v>
      </c>
      <c r="C29" s="7">
        <v>2</v>
      </c>
      <c r="D29" s="8">
        <f>Sheet3!I29</f>
        <v>9200</v>
      </c>
      <c r="E29" s="7">
        <v>1</v>
      </c>
      <c r="F29" s="8">
        <v>0</v>
      </c>
      <c r="G29" s="8">
        <v>230</v>
      </c>
      <c r="H29" s="8">
        <f>G29</f>
        <v>230</v>
      </c>
      <c r="I29" s="8">
        <v>0</v>
      </c>
      <c r="J29" s="8">
        <f>I29</f>
        <v>0</v>
      </c>
    </row>
    <row r="30" spans="1:10">
      <c r="A30" s="4">
        <v>2108</v>
      </c>
      <c r="B30" s="1" t="s">
        <v>48</v>
      </c>
      <c r="C30" s="7">
        <v>2</v>
      </c>
      <c r="D30" s="8">
        <f>Sheet3!I30</f>
        <v>6000</v>
      </c>
      <c r="E30" s="7">
        <v>2</v>
      </c>
      <c r="F30" s="8">
        <v>0</v>
      </c>
      <c r="G30" s="8">
        <f>G28</f>
        <v>150</v>
      </c>
      <c r="H30" s="8">
        <f>G30</f>
        <v>150</v>
      </c>
      <c r="I30" s="8">
        <v>0</v>
      </c>
      <c r="J30" s="8">
        <f>I30</f>
        <v>0</v>
      </c>
    </row>
    <row r="31" spans="1:10">
      <c r="A31" s="4">
        <v>2109</v>
      </c>
      <c r="B31" s="1" t="s">
        <v>49</v>
      </c>
      <c r="C31" s="7">
        <v>2</v>
      </c>
      <c r="D31" s="8">
        <f>Sheet3!I31</f>
        <v>9200</v>
      </c>
      <c r="E31" s="7">
        <v>2</v>
      </c>
      <c r="F31" s="8">
        <v>0</v>
      </c>
      <c r="G31" s="8">
        <f>G29</f>
        <v>230</v>
      </c>
      <c r="H31" s="8">
        <f>G31</f>
        <v>230</v>
      </c>
      <c r="I31" s="8">
        <v>0</v>
      </c>
      <c r="J31" s="8">
        <f>I31</f>
        <v>0</v>
      </c>
    </row>
    <row r="32" spans="1:10">
      <c r="A32" s="4">
        <v>3108</v>
      </c>
      <c r="B32" s="1" t="s">
        <v>50</v>
      </c>
      <c r="C32" s="7">
        <v>2</v>
      </c>
      <c r="D32" s="8">
        <f>Sheet3!I32</f>
        <v>6000</v>
      </c>
      <c r="E32" s="7">
        <v>3</v>
      </c>
      <c r="F32" s="8">
        <v>0</v>
      </c>
      <c r="G32" s="8">
        <f>G30</f>
        <v>150</v>
      </c>
      <c r="H32" s="8">
        <f>G32</f>
        <v>150</v>
      </c>
      <c r="I32" s="8">
        <v>0</v>
      </c>
      <c r="J32" s="8">
        <f>I32</f>
        <v>0</v>
      </c>
    </row>
    <row r="33" spans="1:11">
      <c r="A33" s="4">
        <v>3109</v>
      </c>
      <c r="B33" s="1" t="s">
        <v>51</v>
      </c>
      <c r="C33" s="7">
        <v>2</v>
      </c>
      <c r="D33" s="8">
        <f>Sheet3!I33</f>
        <v>9200</v>
      </c>
      <c r="E33" s="7">
        <v>3</v>
      </c>
      <c r="F33" s="8">
        <v>0</v>
      </c>
      <c r="G33" s="8">
        <f>G31</f>
        <v>230</v>
      </c>
      <c r="H33" s="8">
        <f>G33</f>
        <v>230</v>
      </c>
      <c r="I33" s="8">
        <v>0</v>
      </c>
      <c r="J33" s="8">
        <f>I33</f>
        <v>0</v>
      </c>
    </row>
    <row r="34" spans="1:11">
      <c r="A34" s="8">
        <v>1110</v>
      </c>
      <c r="B34" s="8" t="s">
        <v>62</v>
      </c>
      <c r="C34" s="7">
        <v>2</v>
      </c>
      <c r="D34" s="8">
        <f>Sheet3!I34</f>
        <v>12400</v>
      </c>
      <c r="E34" s="7">
        <v>1</v>
      </c>
      <c r="F34" s="8">
        <v>0</v>
      </c>
      <c r="G34" s="8">
        <v>310</v>
      </c>
      <c r="H34" s="8">
        <f>G34</f>
        <v>310</v>
      </c>
      <c r="I34" s="8">
        <v>0</v>
      </c>
      <c r="J34" s="8">
        <f>I34</f>
        <v>0</v>
      </c>
    </row>
    <row r="35" spans="1:11">
      <c r="A35" s="8">
        <v>1111</v>
      </c>
      <c r="B35" s="8" t="s">
        <v>63</v>
      </c>
      <c r="C35" s="7">
        <v>2</v>
      </c>
      <c r="D35" s="8">
        <f>Sheet3!I35</f>
        <v>15600</v>
      </c>
      <c r="E35" s="7">
        <v>1</v>
      </c>
      <c r="F35" s="8">
        <v>0</v>
      </c>
      <c r="G35" s="8">
        <v>390</v>
      </c>
      <c r="H35" s="8">
        <f>G35</f>
        <v>390</v>
      </c>
      <c r="I35" s="8">
        <v>0</v>
      </c>
      <c r="J35" s="8">
        <f>I35</f>
        <v>0</v>
      </c>
    </row>
    <row r="36" spans="1:11">
      <c r="A36" s="8">
        <v>2110</v>
      </c>
      <c r="B36" s="8" t="s">
        <v>64</v>
      </c>
      <c r="C36" s="7">
        <v>2</v>
      </c>
      <c r="D36" s="8">
        <f>Sheet3!I36</f>
        <v>12400</v>
      </c>
      <c r="E36" s="7">
        <v>2</v>
      </c>
      <c r="F36" s="8">
        <v>0</v>
      </c>
      <c r="G36" s="8">
        <v>310</v>
      </c>
      <c r="H36" s="8">
        <f>G36</f>
        <v>310</v>
      </c>
      <c r="I36" s="8">
        <v>0</v>
      </c>
      <c r="J36" s="8">
        <f>I36</f>
        <v>0</v>
      </c>
    </row>
    <row r="37" spans="1:11">
      <c r="A37" s="8">
        <v>2111</v>
      </c>
      <c r="B37" s="8" t="s">
        <v>65</v>
      </c>
      <c r="C37" s="7">
        <v>2</v>
      </c>
      <c r="D37" s="8">
        <f>Sheet3!I37</f>
        <v>15600</v>
      </c>
      <c r="E37" s="7">
        <v>2</v>
      </c>
      <c r="F37" s="8">
        <v>0</v>
      </c>
      <c r="G37" s="8">
        <v>390</v>
      </c>
      <c r="H37" s="8">
        <f>G37</f>
        <v>390</v>
      </c>
      <c r="I37" s="8">
        <v>0</v>
      </c>
      <c r="J37" s="8">
        <f>I37</f>
        <v>0</v>
      </c>
    </row>
    <row r="38" spans="1:11">
      <c r="A38" s="8">
        <v>3110</v>
      </c>
      <c r="B38" s="8" t="s">
        <v>66</v>
      </c>
      <c r="C38" s="7">
        <v>2</v>
      </c>
      <c r="D38" s="8">
        <f>Sheet3!I38</f>
        <v>12400</v>
      </c>
      <c r="E38" s="7">
        <v>3</v>
      </c>
      <c r="F38" s="8">
        <v>0</v>
      </c>
      <c r="G38" s="8">
        <v>310</v>
      </c>
      <c r="H38" s="8">
        <f>G38</f>
        <v>310</v>
      </c>
      <c r="I38" s="8">
        <v>0</v>
      </c>
      <c r="J38" s="8">
        <f>I38</f>
        <v>0</v>
      </c>
    </row>
    <row r="39" spans="1:11">
      <c r="A39" s="8">
        <v>3111</v>
      </c>
      <c r="B39" s="8" t="s">
        <v>67</v>
      </c>
      <c r="C39" s="7">
        <v>2</v>
      </c>
      <c r="D39" s="8">
        <f>Sheet3!I39</f>
        <v>15600</v>
      </c>
      <c r="E39" s="7">
        <v>3</v>
      </c>
      <c r="F39" s="8">
        <v>0</v>
      </c>
      <c r="G39" s="8">
        <v>390</v>
      </c>
      <c r="H39" s="8">
        <f>G39</f>
        <v>390</v>
      </c>
      <c r="I39" s="8">
        <v>0</v>
      </c>
      <c r="J39" s="8">
        <f>I39</f>
        <v>0</v>
      </c>
    </row>
    <row r="40" spans="1:11">
      <c r="A40" s="4">
        <v>52023</v>
      </c>
      <c r="B40" s="4" t="s">
        <v>32</v>
      </c>
      <c r="C40" s="8">
        <v>3</v>
      </c>
      <c r="D40" s="8">
        <f>Sheet3!I40</f>
        <v>1700</v>
      </c>
      <c r="E40" s="8">
        <v>0</v>
      </c>
      <c r="F40" s="8">
        <v>850</v>
      </c>
      <c r="G40" s="8">
        <v>0</v>
      </c>
      <c r="H40" s="8">
        <v>0</v>
      </c>
      <c r="I40" s="8">
        <v>0</v>
      </c>
      <c r="J40" s="8">
        <f>I40</f>
        <v>0</v>
      </c>
    </row>
    <row r="41" spans="1:11">
      <c r="A41" s="4">
        <v>52024</v>
      </c>
      <c r="B41" s="4" t="s">
        <v>23</v>
      </c>
      <c r="C41" s="8">
        <v>3</v>
      </c>
      <c r="D41" s="8">
        <f>Sheet3!I41</f>
        <v>2400</v>
      </c>
      <c r="E41" s="8">
        <v>0</v>
      </c>
      <c r="F41" s="8">
        <v>1200</v>
      </c>
      <c r="G41" s="8">
        <v>0</v>
      </c>
      <c r="H41" s="8">
        <v>0</v>
      </c>
      <c r="I41" s="8">
        <v>0</v>
      </c>
      <c r="J41" s="8">
        <f>I41</f>
        <v>0</v>
      </c>
    </row>
    <row r="42" spans="1:11">
      <c r="A42" s="4">
        <v>52028</v>
      </c>
      <c r="B42" s="4" t="s">
        <v>24</v>
      </c>
      <c r="C42" s="8">
        <v>3</v>
      </c>
      <c r="D42" s="8">
        <v>0</v>
      </c>
      <c r="E42" s="8">
        <v>0</v>
      </c>
      <c r="F42" s="8">
        <v>1550</v>
      </c>
      <c r="G42" s="8">
        <v>0</v>
      </c>
      <c r="H42" s="8">
        <v>0</v>
      </c>
      <c r="I42" s="8">
        <v>0</v>
      </c>
      <c r="J42" s="8">
        <f>I42</f>
        <v>0</v>
      </c>
    </row>
    <row r="43" spans="1:11">
      <c r="A43" s="4">
        <v>52029</v>
      </c>
      <c r="B43" s="4" t="s">
        <v>25</v>
      </c>
      <c r="C43" s="8">
        <v>3</v>
      </c>
      <c r="D43" s="8">
        <f>Sheet3!I43</f>
        <v>3800</v>
      </c>
      <c r="E43" s="8">
        <v>0</v>
      </c>
      <c r="F43" s="8">
        <v>1900</v>
      </c>
      <c r="G43" s="8">
        <v>0</v>
      </c>
      <c r="H43" s="8">
        <v>0</v>
      </c>
      <c r="I43" s="8">
        <v>0</v>
      </c>
      <c r="J43" s="8">
        <f>I43</f>
        <v>0</v>
      </c>
    </row>
    <row r="44" spans="1:11">
      <c r="A44" s="4">
        <v>52030</v>
      </c>
      <c r="B44" s="4" t="s">
        <v>26</v>
      </c>
      <c r="C44" s="8">
        <v>3</v>
      </c>
      <c r="D44" s="8">
        <f>Sheet3!I44</f>
        <v>4500</v>
      </c>
      <c r="E44" s="8">
        <v>0</v>
      </c>
      <c r="F44" s="8">
        <v>2250</v>
      </c>
      <c r="G44" s="8">
        <v>0</v>
      </c>
      <c r="H44" s="8">
        <v>0</v>
      </c>
      <c r="I44" s="8">
        <v>0</v>
      </c>
      <c r="J44" s="8">
        <f>I44</f>
        <v>0</v>
      </c>
      <c r="K44" s="5"/>
    </row>
    <row r="45" spans="1:11">
      <c r="A45" s="4">
        <v>52031</v>
      </c>
      <c r="B45" s="4" t="s">
        <v>27</v>
      </c>
      <c r="C45" s="8">
        <v>3</v>
      </c>
      <c r="D45" s="8">
        <f>Sheet3!I45</f>
        <v>5200</v>
      </c>
      <c r="E45" s="8">
        <v>0</v>
      </c>
      <c r="F45" s="8">
        <v>2600</v>
      </c>
      <c r="G45" s="8">
        <v>0</v>
      </c>
      <c r="H45" s="8">
        <v>0</v>
      </c>
      <c r="I45" s="8">
        <v>0</v>
      </c>
      <c r="J45" s="8">
        <f>I45</f>
        <v>0</v>
      </c>
    </row>
    <row r="46" spans="1:11">
      <c r="A46" s="4">
        <v>52032</v>
      </c>
      <c r="B46" s="4" t="s">
        <v>28</v>
      </c>
      <c r="C46" s="8">
        <v>3</v>
      </c>
      <c r="D46" s="8">
        <f>Sheet3!I46</f>
        <v>5900</v>
      </c>
      <c r="E46" s="8">
        <v>0</v>
      </c>
      <c r="F46" s="8">
        <v>2950</v>
      </c>
      <c r="G46" s="8">
        <v>0</v>
      </c>
      <c r="H46" s="8">
        <v>0</v>
      </c>
      <c r="I46" s="8">
        <v>0</v>
      </c>
      <c r="J46" s="8">
        <f>I46</f>
        <v>0</v>
      </c>
    </row>
    <row r="47" spans="1:11">
      <c r="A47" s="4">
        <v>52037</v>
      </c>
      <c r="B47" s="4" t="s">
        <v>29</v>
      </c>
      <c r="C47" s="8">
        <v>3</v>
      </c>
      <c r="D47" s="8">
        <f>Sheet3!I47</f>
        <v>6600</v>
      </c>
      <c r="E47" s="8">
        <v>0</v>
      </c>
      <c r="F47" s="8">
        <v>3300</v>
      </c>
      <c r="G47" s="8">
        <v>0</v>
      </c>
      <c r="H47" s="8">
        <v>0</v>
      </c>
      <c r="I47" s="8">
        <v>0</v>
      </c>
      <c r="J47" s="8">
        <f>I47</f>
        <v>0</v>
      </c>
    </row>
    <row r="48" spans="1:11">
      <c r="A48" s="4">
        <v>62015</v>
      </c>
      <c r="B48" s="4" t="s">
        <v>68</v>
      </c>
      <c r="C48" s="8">
        <v>3</v>
      </c>
      <c r="D48" s="8">
        <v>0</v>
      </c>
      <c r="E48" s="8">
        <v>0</v>
      </c>
      <c r="F48" s="8">
        <v>1550</v>
      </c>
      <c r="G48" s="8">
        <v>0</v>
      </c>
      <c r="H48" s="8">
        <v>0</v>
      </c>
      <c r="I48" s="8">
        <v>0</v>
      </c>
      <c r="J48" s="8">
        <f>I48</f>
        <v>0</v>
      </c>
    </row>
    <row r="49" spans="1:10">
      <c r="A49" s="4">
        <v>62016</v>
      </c>
      <c r="B49" s="4" t="s">
        <v>61</v>
      </c>
      <c r="C49" s="8">
        <v>3</v>
      </c>
      <c r="D49" s="8">
        <v>0</v>
      </c>
      <c r="E49" s="8">
        <v>0</v>
      </c>
      <c r="F49" s="8">
        <v>1550</v>
      </c>
      <c r="G49" s="8">
        <v>0</v>
      </c>
      <c r="H49" s="8">
        <v>0</v>
      </c>
      <c r="I49" s="8">
        <v>0</v>
      </c>
      <c r="J49" s="8">
        <f>I49</f>
        <v>0</v>
      </c>
    </row>
    <row r="50" spans="1:10">
      <c r="A50" s="4">
        <v>52115</v>
      </c>
      <c r="B50" s="4" t="s">
        <v>45</v>
      </c>
      <c r="C50" s="8">
        <v>3</v>
      </c>
      <c r="D50" s="8">
        <v>0</v>
      </c>
      <c r="E50" s="8">
        <v>0</v>
      </c>
      <c r="F50" s="8">
        <v>20000</v>
      </c>
      <c r="G50" s="8">
        <v>0</v>
      </c>
      <c r="H50" s="8">
        <v>0</v>
      </c>
      <c r="I50" s="8">
        <v>0</v>
      </c>
      <c r="J50" s="8">
        <f>I50</f>
        <v>0</v>
      </c>
    </row>
  </sheetData>
  <sortState ref="A2:J50">
    <sortCondition ref="C1"/>
  </sortState>
  <phoneticPr fontId="6" type="noConversion"/>
  <conditionalFormatting sqref="A1">
    <cfRule type="duplicateValues" dxfId="1245" priority="1871" stopIfTrue="1"/>
    <cfRule type="duplicateValues" dxfId="1244" priority="1872" stopIfTrue="1"/>
  </conditionalFormatting>
  <conditionalFormatting sqref="B36">
    <cfRule type="duplicateValues" dxfId="1243" priority="1822" stopIfTrue="1"/>
  </conditionalFormatting>
  <conditionalFormatting sqref="A18:A19">
    <cfRule type="duplicateValues" dxfId="1242" priority="1689" stopIfTrue="1"/>
  </conditionalFormatting>
  <conditionalFormatting sqref="A18:A19">
    <cfRule type="duplicateValues" dxfId="1241" priority="1688" stopIfTrue="1"/>
  </conditionalFormatting>
  <conditionalFormatting sqref="A18:A19">
    <cfRule type="duplicateValues" dxfId="1240" priority="1687" stopIfTrue="1"/>
  </conditionalFormatting>
  <conditionalFormatting sqref="A18:A19">
    <cfRule type="duplicateValues" dxfId="1239" priority="1686" stopIfTrue="1"/>
  </conditionalFormatting>
  <conditionalFormatting sqref="A18:A19">
    <cfRule type="duplicateValues" dxfId="1238" priority="1685" stopIfTrue="1"/>
  </conditionalFormatting>
  <conditionalFormatting sqref="A18:A19">
    <cfRule type="duplicateValues" dxfId="1237" priority="1684" stopIfTrue="1"/>
  </conditionalFormatting>
  <conditionalFormatting sqref="A18:A19">
    <cfRule type="duplicateValues" dxfId="1236" priority="1681" stopIfTrue="1"/>
    <cfRule type="duplicateValues" dxfId="1235" priority="1682" stopIfTrue="1"/>
    <cfRule type="duplicateValues" dxfId="1234" priority="1683" stopIfTrue="1"/>
  </conditionalFormatting>
  <conditionalFormatting sqref="A18:A19">
    <cfRule type="duplicateValues" dxfId="1233" priority="1680" stopIfTrue="1"/>
  </conditionalFormatting>
  <conditionalFormatting sqref="A18:A19">
    <cfRule type="duplicateValues" dxfId="1232" priority="1679" stopIfTrue="1"/>
  </conditionalFormatting>
  <conditionalFormatting sqref="A18:A19">
    <cfRule type="duplicateValues" dxfId="1231" priority="1677" stopIfTrue="1"/>
    <cfRule type="duplicateValues" dxfId="1230" priority="1678" stopIfTrue="1"/>
  </conditionalFormatting>
  <conditionalFormatting sqref="A18:A19">
    <cfRule type="duplicateValues" dxfId="1229" priority="1674" stopIfTrue="1"/>
    <cfRule type="duplicateValues" dxfId="1228" priority="1675" stopIfTrue="1"/>
    <cfRule type="cellIs" dxfId="1227" priority="1676" stopIfTrue="1" operator="equal">
      <formula>25504</formula>
    </cfRule>
  </conditionalFormatting>
  <conditionalFormatting sqref="A18:A19">
    <cfRule type="duplicateValues" dxfId="1226" priority="1673" stopIfTrue="1"/>
  </conditionalFormatting>
  <conditionalFormatting sqref="A18:A19">
    <cfRule type="duplicateValues" dxfId="1225" priority="1671" stopIfTrue="1"/>
    <cfRule type="duplicateValues" dxfId="1224" priority="1672" stopIfTrue="1"/>
  </conditionalFormatting>
  <conditionalFormatting sqref="A18:A19">
    <cfRule type="duplicateValues" dxfId="1223" priority="1670" stopIfTrue="1"/>
  </conditionalFormatting>
  <conditionalFormatting sqref="A18:A19">
    <cfRule type="duplicateValues" dxfId="1222" priority="1669" stopIfTrue="1"/>
  </conditionalFormatting>
  <conditionalFormatting sqref="A18:A19">
    <cfRule type="duplicateValues" dxfId="1221" priority="1668" stopIfTrue="1"/>
  </conditionalFormatting>
  <conditionalFormatting sqref="A18:A19">
    <cfRule type="duplicateValues" dxfId="1220" priority="1667"/>
  </conditionalFormatting>
  <conditionalFormatting sqref="A18:A19">
    <cfRule type="duplicateValues" dxfId="1219" priority="1666"/>
  </conditionalFormatting>
  <conditionalFormatting sqref="A18:A19">
    <cfRule type="duplicateValues" dxfId="1218" priority="1664"/>
    <cfRule type="duplicateValues" dxfId="1217" priority="1665"/>
  </conditionalFormatting>
  <conditionalFormatting sqref="A18:A19">
    <cfRule type="duplicateValues" dxfId="1216" priority="1663"/>
  </conditionalFormatting>
  <conditionalFormatting sqref="A18:A19">
    <cfRule type="duplicateValues" dxfId="1215" priority="1662" stopIfTrue="1"/>
  </conditionalFormatting>
  <conditionalFormatting sqref="A18:A19">
    <cfRule type="duplicateValues" dxfId="1214" priority="1659" stopIfTrue="1"/>
    <cfRule type="duplicateValues" dxfId="1213" priority="1660" stopIfTrue="1"/>
    <cfRule type="duplicateValues" dxfId="1212" priority="1661" stopIfTrue="1"/>
  </conditionalFormatting>
  <conditionalFormatting sqref="A18:A19">
    <cfRule type="duplicateValues" dxfId="1211" priority="1658" stopIfTrue="1"/>
  </conditionalFormatting>
  <conditionalFormatting sqref="A18:A19">
    <cfRule type="duplicateValues" dxfId="1210" priority="1657" stopIfTrue="1"/>
  </conditionalFormatting>
  <conditionalFormatting sqref="A18:A19">
    <cfRule type="duplicateValues" dxfId="1209" priority="1656" stopIfTrue="1"/>
  </conditionalFormatting>
  <conditionalFormatting sqref="A18:A19">
    <cfRule type="duplicateValues" dxfId="1208" priority="1655" stopIfTrue="1"/>
  </conditionalFormatting>
  <conditionalFormatting sqref="A18:A19">
    <cfRule type="duplicateValues" dxfId="1207" priority="1653" stopIfTrue="1"/>
    <cfRule type="duplicateValues" dxfId="1206" priority="1654" stopIfTrue="1"/>
  </conditionalFormatting>
  <conditionalFormatting sqref="A18:A19">
    <cfRule type="duplicateValues" dxfId="1205" priority="1652" stopIfTrue="1"/>
  </conditionalFormatting>
  <conditionalFormatting sqref="A18:A19">
    <cfRule type="duplicateValues" dxfId="1204" priority="1651" stopIfTrue="1"/>
  </conditionalFormatting>
  <conditionalFormatting sqref="A18:A19">
    <cfRule type="duplicateValues" dxfId="1203" priority="1650" stopIfTrue="1"/>
  </conditionalFormatting>
  <conditionalFormatting sqref="A18:A19">
    <cfRule type="duplicateValues" dxfId="1202" priority="1647" stopIfTrue="1"/>
    <cfRule type="duplicateValues" dxfId="1201" priority="1648" stopIfTrue="1"/>
    <cfRule type="duplicateValues" dxfId="1200" priority="1649" stopIfTrue="1"/>
  </conditionalFormatting>
  <conditionalFormatting sqref="A18:A19">
    <cfRule type="duplicateValues" dxfId="1199" priority="1646" stopIfTrue="1"/>
  </conditionalFormatting>
  <conditionalFormatting sqref="A18:A19">
    <cfRule type="duplicateValues" dxfId="1198" priority="1644" stopIfTrue="1"/>
    <cfRule type="duplicateValues" dxfId="1197" priority="1645" stopIfTrue="1"/>
  </conditionalFormatting>
  <conditionalFormatting sqref="A18:A19">
    <cfRule type="duplicateValues" dxfId="1196" priority="1643" stopIfTrue="1"/>
  </conditionalFormatting>
  <conditionalFormatting sqref="A18:A19">
    <cfRule type="duplicateValues" dxfId="1195" priority="1642" stopIfTrue="1"/>
  </conditionalFormatting>
  <conditionalFormatting sqref="A18:A19">
    <cfRule type="duplicateValues" dxfId="1194" priority="1641" stopIfTrue="1"/>
  </conditionalFormatting>
  <conditionalFormatting sqref="A18:A19">
    <cfRule type="duplicateValues" dxfId="1193" priority="1640"/>
  </conditionalFormatting>
  <conditionalFormatting sqref="A18:A19">
    <cfRule type="duplicateValues" dxfId="1192" priority="1639"/>
  </conditionalFormatting>
  <conditionalFormatting sqref="A18:A19">
    <cfRule type="duplicateValues" dxfId="1191" priority="1637"/>
    <cfRule type="duplicateValues" dxfId="1190" priority="1638"/>
  </conditionalFormatting>
  <conditionalFormatting sqref="A18:A19">
    <cfRule type="duplicateValues" dxfId="1189" priority="1636"/>
  </conditionalFormatting>
  <conditionalFormatting sqref="A18:A19">
    <cfRule type="duplicateValues" dxfId="1188" priority="1635"/>
  </conditionalFormatting>
  <conditionalFormatting sqref="A18:A19">
    <cfRule type="duplicateValues" dxfId="1187" priority="1633"/>
    <cfRule type="duplicateValues" dxfId="1186" priority="1634"/>
  </conditionalFormatting>
  <conditionalFormatting sqref="A18:A19">
    <cfRule type="duplicateValues" dxfId="1185" priority="1632"/>
  </conditionalFormatting>
  <conditionalFormatting sqref="A18:A19">
    <cfRule type="duplicateValues" dxfId="1184" priority="1631"/>
  </conditionalFormatting>
  <conditionalFormatting sqref="A18:A19">
    <cfRule type="duplicateValues" dxfId="1183" priority="1630"/>
  </conditionalFormatting>
  <conditionalFormatting sqref="A18:A19">
    <cfRule type="duplicateValues" dxfId="1182" priority="1629"/>
  </conditionalFormatting>
  <conditionalFormatting sqref="A18:A19">
    <cfRule type="duplicateValues" dxfId="1181" priority="1627"/>
    <cfRule type="duplicateValues" dxfId="1180" priority="1628"/>
  </conditionalFormatting>
  <conditionalFormatting sqref="A18:A19">
    <cfRule type="duplicateValues" dxfId="1179" priority="1626"/>
  </conditionalFormatting>
  <conditionalFormatting sqref="A18:A19">
    <cfRule type="duplicateValues" dxfId="1178" priority="1623"/>
    <cfRule type="duplicateValues" dxfId="1177" priority="1624"/>
    <cfRule type="duplicateValues" dxfId="1176" priority="1625"/>
  </conditionalFormatting>
  <conditionalFormatting sqref="A18:A19">
    <cfRule type="duplicateValues" dxfId="1175" priority="1622"/>
  </conditionalFormatting>
  <conditionalFormatting sqref="A18:A19">
    <cfRule type="duplicateValues" dxfId="1174" priority="1621"/>
  </conditionalFormatting>
  <conditionalFormatting sqref="A18:A19">
    <cfRule type="duplicateValues" dxfId="1173" priority="1620"/>
  </conditionalFormatting>
  <conditionalFormatting sqref="A18:A19">
    <cfRule type="duplicateValues" dxfId="1172" priority="1619"/>
  </conditionalFormatting>
  <conditionalFormatting sqref="A18:A19">
    <cfRule type="duplicateValues" dxfId="1171" priority="1618"/>
  </conditionalFormatting>
  <conditionalFormatting sqref="A18:A19">
    <cfRule type="duplicateValues" dxfId="1170" priority="1617"/>
  </conditionalFormatting>
  <conditionalFormatting sqref="A18:A19">
    <cfRule type="duplicateValues" dxfId="1169" priority="1616"/>
  </conditionalFormatting>
  <conditionalFormatting sqref="A18:A19">
    <cfRule type="duplicateValues" dxfId="1168" priority="1615"/>
  </conditionalFormatting>
  <conditionalFormatting sqref="A18:A19">
    <cfRule type="duplicateValues" dxfId="1167" priority="1614"/>
  </conditionalFormatting>
  <conditionalFormatting sqref="A18:A19">
    <cfRule type="duplicateValues" dxfId="1166" priority="1613"/>
  </conditionalFormatting>
  <conditionalFormatting sqref="A18:A19">
    <cfRule type="duplicateValues" dxfId="1165" priority="1612"/>
  </conditionalFormatting>
  <conditionalFormatting sqref="A18:A19">
    <cfRule type="duplicateValues" dxfId="1164" priority="1610"/>
    <cfRule type="duplicateValues" dxfId="1163" priority="1611"/>
  </conditionalFormatting>
  <conditionalFormatting sqref="A18:A19">
    <cfRule type="duplicateValues" dxfId="1162" priority="1609"/>
  </conditionalFormatting>
  <conditionalFormatting sqref="A18:A19">
    <cfRule type="duplicateValues" dxfId="1161" priority="1608"/>
  </conditionalFormatting>
  <conditionalFormatting sqref="A18:A19">
    <cfRule type="duplicateValues" dxfId="1160" priority="1607"/>
  </conditionalFormatting>
  <conditionalFormatting sqref="A18:A19">
    <cfRule type="duplicateValues" dxfId="1159" priority="1606"/>
  </conditionalFormatting>
  <conditionalFormatting sqref="A18:A19">
    <cfRule type="duplicateValues" dxfId="1158" priority="1605"/>
  </conditionalFormatting>
  <conditionalFormatting sqref="A18:A19">
    <cfRule type="duplicateValues" dxfId="1157" priority="1604"/>
  </conditionalFormatting>
  <conditionalFormatting sqref="A18:A19">
    <cfRule type="duplicateValues" dxfId="1156" priority="1603"/>
  </conditionalFormatting>
  <conditionalFormatting sqref="A36">
    <cfRule type="duplicateValues" dxfId="1155" priority="1549" stopIfTrue="1"/>
  </conditionalFormatting>
  <conditionalFormatting sqref="A36">
    <cfRule type="duplicateValues" dxfId="1154" priority="1548" stopIfTrue="1"/>
  </conditionalFormatting>
  <conditionalFormatting sqref="A36">
    <cfRule type="duplicateValues" dxfId="1153" priority="1545" stopIfTrue="1"/>
    <cfRule type="duplicateValues" dxfId="1152" priority="1546" stopIfTrue="1"/>
    <cfRule type="duplicateValues" dxfId="1151" priority="1547" stopIfTrue="1"/>
  </conditionalFormatting>
  <conditionalFormatting sqref="A36">
    <cfRule type="duplicateValues" dxfId="1150" priority="1543" stopIfTrue="1"/>
    <cfRule type="duplicateValues" dxfId="1149" priority="1544" stopIfTrue="1"/>
  </conditionalFormatting>
  <conditionalFormatting sqref="A36">
    <cfRule type="duplicateValues" dxfId="1148" priority="1540" stopIfTrue="1"/>
    <cfRule type="duplicateValues" dxfId="1147" priority="1541" stopIfTrue="1"/>
    <cfRule type="cellIs" dxfId="1146" priority="1542" stopIfTrue="1" operator="equal">
      <formula>25504</formula>
    </cfRule>
  </conditionalFormatting>
  <conditionalFormatting sqref="A36">
    <cfRule type="duplicateValues" dxfId="1145" priority="1538" stopIfTrue="1"/>
    <cfRule type="duplicateValues" dxfId="1144" priority="1539" stopIfTrue="1"/>
  </conditionalFormatting>
  <conditionalFormatting sqref="A36">
    <cfRule type="duplicateValues" dxfId="1143" priority="1537" stopIfTrue="1"/>
  </conditionalFormatting>
  <conditionalFormatting sqref="A36">
    <cfRule type="duplicateValues" dxfId="1142" priority="1536" stopIfTrue="1"/>
  </conditionalFormatting>
  <conditionalFormatting sqref="A36">
    <cfRule type="duplicateValues" dxfId="1141" priority="1535" stopIfTrue="1"/>
  </conditionalFormatting>
  <conditionalFormatting sqref="A36">
    <cfRule type="duplicateValues" dxfId="1140" priority="1534"/>
  </conditionalFormatting>
  <conditionalFormatting sqref="A36">
    <cfRule type="duplicateValues" dxfId="1139" priority="1533"/>
  </conditionalFormatting>
  <conditionalFormatting sqref="A36">
    <cfRule type="duplicateValues" dxfId="1138" priority="1531"/>
    <cfRule type="duplicateValues" dxfId="1137" priority="1532"/>
  </conditionalFormatting>
  <conditionalFormatting sqref="A36">
    <cfRule type="duplicateValues" dxfId="1136" priority="1530"/>
  </conditionalFormatting>
  <conditionalFormatting sqref="A36">
    <cfRule type="duplicateValues" dxfId="1135" priority="1529" stopIfTrue="1"/>
  </conditionalFormatting>
  <conditionalFormatting sqref="A36">
    <cfRule type="duplicateValues" dxfId="1134" priority="1528" stopIfTrue="1"/>
  </conditionalFormatting>
  <conditionalFormatting sqref="A36">
    <cfRule type="duplicateValues" dxfId="1133" priority="1525" stopIfTrue="1"/>
    <cfRule type="duplicateValues" dxfId="1132" priority="1526" stopIfTrue="1"/>
    <cfRule type="duplicateValues" dxfId="1131" priority="1527" stopIfTrue="1"/>
  </conditionalFormatting>
  <conditionalFormatting sqref="A36">
    <cfRule type="duplicateValues" dxfId="1130" priority="1524" stopIfTrue="1"/>
  </conditionalFormatting>
  <conditionalFormatting sqref="A36">
    <cfRule type="duplicateValues" dxfId="1129" priority="1522" stopIfTrue="1"/>
    <cfRule type="duplicateValues" dxfId="1128" priority="1523" stopIfTrue="1"/>
  </conditionalFormatting>
  <conditionalFormatting sqref="A36">
    <cfRule type="duplicateValues" dxfId="1127" priority="1521" stopIfTrue="1"/>
  </conditionalFormatting>
  <conditionalFormatting sqref="A36">
    <cfRule type="duplicateValues" dxfId="1126" priority="1520" stopIfTrue="1"/>
  </conditionalFormatting>
  <conditionalFormatting sqref="A36">
    <cfRule type="duplicateValues" dxfId="1125" priority="1519" stopIfTrue="1"/>
  </conditionalFormatting>
  <conditionalFormatting sqref="A36">
    <cfRule type="duplicateValues" dxfId="1124" priority="1518"/>
  </conditionalFormatting>
  <conditionalFormatting sqref="A36">
    <cfRule type="duplicateValues" dxfId="1123" priority="1517"/>
  </conditionalFormatting>
  <conditionalFormatting sqref="A39">
    <cfRule type="duplicateValues" dxfId="1122" priority="1167" stopIfTrue="1"/>
  </conditionalFormatting>
  <conditionalFormatting sqref="A39">
    <cfRule type="duplicateValues" dxfId="1121" priority="1166" stopIfTrue="1"/>
  </conditionalFormatting>
  <conditionalFormatting sqref="A39">
    <cfRule type="duplicateValues" dxfId="1120" priority="1165" stopIfTrue="1"/>
  </conditionalFormatting>
  <conditionalFormatting sqref="A39">
    <cfRule type="duplicateValues" dxfId="1119" priority="1164" stopIfTrue="1"/>
  </conditionalFormatting>
  <conditionalFormatting sqref="A39">
    <cfRule type="duplicateValues" dxfId="1118" priority="1163" stopIfTrue="1"/>
  </conditionalFormatting>
  <conditionalFormatting sqref="A39">
    <cfRule type="duplicateValues" dxfId="1117" priority="1162" stopIfTrue="1"/>
  </conditionalFormatting>
  <conditionalFormatting sqref="A39">
    <cfRule type="duplicateValues" dxfId="1116" priority="1159" stopIfTrue="1"/>
    <cfRule type="duplicateValues" dxfId="1115" priority="1160" stopIfTrue="1"/>
    <cfRule type="duplicateValues" dxfId="1114" priority="1161" stopIfTrue="1"/>
  </conditionalFormatting>
  <conditionalFormatting sqref="A39">
    <cfRule type="duplicateValues" dxfId="1113" priority="1158" stopIfTrue="1"/>
  </conditionalFormatting>
  <conditionalFormatting sqref="A39">
    <cfRule type="duplicateValues" dxfId="1112" priority="1157" stopIfTrue="1"/>
  </conditionalFormatting>
  <conditionalFormatting sqref="A39">
    <cfRule type="duplicateValues" dxfId="1111" priority="1155" stopIfTrue="1"/>
    <cfRule type="duplicateValues" dxfId="1110" priority="1156" stopIfTrue="1"/>
  </conditionalFormatting>
  <conditionalFormatting sqref="A39">
    <cfRule type="duplicateValues" dxfId="1109" priority="1152" stopIfTrue="1"/>
    <cfRule type="duplicateValues" dxfId="1108" priority="1153" stopIfTrue="1"/>
    <cfRule type="cellIs" dxfId="1107" priority="1154" stopIfTrue="1" operator="equal">
      <formula>25504</formula>
    </cfRule>
  </conditionalFormatting>
  <conditionalFormatting sqref="A39">
    <cfRule type="duplicateValues" dxfId="1106" priority="1151" stopIfTrue="1"/>
  </conditionalFormatting>
  <conditionalFormatting sqref="A39">
    <cfRule type="duplicateValues" dxfId="1105" priority="1149" stopIfTrue="1"/>
    <cfRule type="duplicateValues" dxfId="1104" priority="1150" stopIfTrue="1"/>
  </conditionalFormatting>
  <conditionalFormatting sqref="A39">
    <cfRule type="duplicateValues" dxfId="1103" priority="1148" stopIfTrue="1"/>
  </conditionalFormatting>
  <conditionalFormatting sqref="A39">
    <cfRule type="duplicateValues" dxfId="1102" priority="1147" stopIfTrue="1"/>
  </conditionalFormatting>
  <conditionalFormatting sqref="A39">
    <cfRule type="duplicateValues" dxfId="1101" priority="1146" stopIfTrue="1"/>
  </conditionalFormatting>
  <conditionalFormatting sqref="A39">
    <cfRule type="duplicateValues" dxfId="1100" priority="1145"/>
  </conditionalFormatting>
  <conditionalFormatting sqref="A39">
    <cfRule type="duplicateValues" dxfId="1099" priority="1144"/>
  </conditionalFormatting>
  <conditionalFormatting sqref="A39">
    <cfRule type="duplicateValues" dxfId="1098" priority="1142"/>
    <cfRule type="duplicateValues" dxfId="1097" priority="1143"/>
  </conditionalFormatting>
  <conditionalFormatting sqref="A39">
    <cfRule type="duplicateValues" dxfId="1096" priority="1141"/>
  </conditionalFormatting>
  <conditionalFormatting sqref="A39">
    <cfRule type="duplicateValues" dxfId="1095" priority="1140" stopIfTrue="1"/>
  </conditionalFormatting>
  <conditionalFormatting sqref="A39">
    <cfRule type="duplicateValues" dxfId="1094" priority="1137" stopIfTrue="1"/>
    <cfRule type="duplicateValues" dxfId="1093" priority="1138" stopIfTrue="1"/>
    <cfRule type="duplicateValues" dxfId="1092" priority="1139" stopIfTrue="1"/>
  </conditionalFormatting>
  <conditionalFormatting sqref="A39">
    <cfRule type="duplicateValues" dxfId="1091" priority="1136" stopIfTrue="1"/>
  </conditionalFormatting>
  <conditionalFormatting sqref="A39">
    <cfRule type="duplicateValues" dxfId="1090" priority="1135" stopIfTrue="1"/>
  </conditionalFormatting>
  <conditionalFormatting sqref="A39">
    <cfRule type="duplicateValues" dxfId="1089" priority="1134" stopIfTrue="1"/>
  </conditionalFormatting>
  <conditionalFormatting sqref="A39">
    <cfRule type="duplicateValues" dxfId="1088" priority="1133" stopIfTrue="1"/>
  </conditionalFormatting>
  <conditionalFormatting sqref="A39">
    <cfRule type="duplicateValues" dxfId="1087" priority="1131" stopIfTrue="1"/>
    <cfRule type="duplicateValues" dxfId="1086" priority="1132" stopIfTrue="1"/>
  </conditionalFormatting>
  <conditionalFormatting sqref="A39">
    <cfRule type="duplicateValues" dxfId="1085" priority="1130" stopIfTrue="1"/>
  </conditionalFormatting>
  <conditionalFormatting sqref="A39">
    <cfRule type="duplicateValues" dxfId="1084" priority="1129" stopIfTrue="1"/>
  </conditionalFormatting>
  <conditionalFormatting sqref="A39">
    <cfRule type="duplicateValues" dxfId="1083" priority="1128" stopIfTrue="1"/>
  </conditionalFormatting>
  <conditionalFormatting sqref="A39">
    <cfRule type="duplicateValues" dxfId="1082" priority="1125" stopIfTrue="1"/>
    <cfRule type="duplicateValues" dxfId="1081" priority="1126" stopIfTrue="1"/>
    <cfRule type="duplicateValues" dxfId="1080" priority="1127" stopIfTrue="1"/>
  </conditionalFormatting>
  <conditionalFormatting sqref="A39">
    <cfRule type="duplicateValues" dxfId="1079" priority="1124" stopIfTrue="1"/>
  </conditionalFormatting>
  <conditionalFormatting sqref="A39">
    <cfRule type="duplicateValues" dxfId="1078" priority="1122" stopIfTrue="1"/>
    <cfRule type="duplicateValues" dxfId="1077" priority="1123" stopIfTrue="1"/>
  </conditionalFormatting>
  <conditionalFormatting sqref="A39">
    <cfRule type="duplicateValues" dxfId="1076" priority="1121" stopIfTrue="1"/>
  </conditionalFormatting>
  <conditionalFormatting sqref="A39">
    <cfRule type="duplicateValues" dxfId="1075" priority="1120" stopIfTrue="1"/>
  </conditionalFormatting>
  <conditionalFormatting sqref="A39">
    <cfRule type="duplicateValues" dxfId="1074" priority="1119" stopIfTrue="1"/>
  </conditionalFormatting>
  <conditionalFormatting sqref="A39">
    <cfRule type="duplicateValues" dxfId="1073" priority="1118"/>
  </conditionalFormatting>
  <conditionalFormatting sqref="A39">
    <cfRule type="duplicateValues" dxfId="1072" priority="1117"/>
  </conditionalFormatting>
  <conditionalFormatting sqref="A39">
    <cfRule type="duplicateValues" dxfId="1071" priority="1115"/>
    <cfRule type="duplicateValues" dxfId="1070" priority="1116"/>
  </conditionalFormatting>
  <conditionalFormatting sqref="A39">
    <cfRule type="duplicateValues" dxfId="1069" priority="1114"/>
  </conditionalFormatting>
  <conditionalFormatting sqref="A39">
    <cfRule type="duplicateValues" dxfId="1068" priority="1113"/>
  </conditionalFormatting>
  <conditionalFormatting sqref="A39">
    <cfRule type="duplicateValues" dxfId="1067" priority="1111"/>
    <cfRule type="duplicateValues" dxfId="1066" priority="1112"/>
  </conditionalFormatting>
  <conditionalFormatting sqref="A39">
    <cfRule type="duplicateValues" dxfId="1065" priority="1110"/>
  </conditionalFormatting>
  <conditionalFormatting sqref="A39">
    <cfRule type="duplicateValues" dxfId="1064" priority="1109"/>
  </conditionalFormatting>
  <conditionalFormatting sqref="A39">
    <cfRule type="duplicateValues" dxfId="1063" priority="1108"/>
  </conditionalFormatting>
  <conditionalFormatting sqref="A39">
    <cfRule type="duplicateValues" dxfId="1062" priority="1107"/>
  </conditionalFormatting>
  <conditionalFormatting sqref="A39">
    <cfRule type="duplicateValues" dxfId="1061" priority="1105"/>
    <cfRule type="duplicateValues" dxfId="1060" priority="1106"/>
  </conditionalFormatting>
  <conditionalFormatting sqref="A39">
    <cfRule type="duplicateValues" dxfId="1059" priority="1104"/>
  </conditionalFormatting>
  <conditionalFormatting sqref="A39">
    <cfRule type="duplicateValues" dxfId="1058" priority="1101"/>
    <cfRule type="duplicateValues" dxfId="1057" priority="1102"/>
    <cfRule type="duplicateValues" dxfId="1056" priority="1103"/>
  </conditionalFormatting>
  <conditionalFormatting sqref="A39">
    <cfRule type="duplicateValues" dxfId="1055" priority="1100"/>
  </conditionalFormatting>
  <conditionalFormatting sqref="A39">
    <cfRule type="duplicateValues" dxfId="1054" priority="1099"/>
  </conditionalFormatting>
  <conditionalFormatting sqref="A39">
    <cfRule type="duplicateValues" dxfId="1053" priority="1098"/>
  </conditionalFormatting>
  <conditionalFormatting sqref="A39">
    <cfRule type="duplicateValues" dxfId="1052" priority="1097"/>
  </conditionalFormatting>
  <conditionalFormatting sqref="A39">
    <cfRule type="duplicateValues" dxfId="1051" priority="1096"/>
  </conditionalFormatting>
  <conditionalFormatting sqref="A39">
    <cfRule type="duplicateValues" dxfId="1050" priority="1095"/>
  </conditionalFormatting>
  <conditionalFormatting sqref="A39">
    <cfRule type="duplicateValues" dxfId="1049" priority="1094"/>
  </conditionalFormatting>
  <conditionalFormatting sqref="A39">
    <cfRule type="duplicateValues" dxfId="1048" priority="1093"/>
  </conditionalFormatting>
  <conditionalFormatting sqref="A39">
    <cfRule type="duplicateValues" dxfId="1047" priority="1092"/>
  </conditionalFormatting>
  <conditionalFormatting sqref="A39">
    <cfRule type="duplicateValues" dxfId="1046" priority="1091"/>
  </conditionalFormatting>
  <conditionalFormatting sqref="A39">
    <cfRule type="duplicateValues" dxfId="1045" priority="1090"/>
  </conditionalFormatting>
  <conditionalFormatting sqref="A39">
    <cfRule type="duplicateValues" dxfId="1044" priority="1088"/>
    <cfRule type="duplicateValues" dxfId="1043" priority="1089"/>
  </conditionalFormatting>
  <conditionalFormatting sqref="A39">
    <cfRule type="duplicateValues" dxfId="1042" priority="1087"/>
  </conditionalFormatting>
  <conditionalFormatting sqref="A39">
    <cfRule type="duplicateValues" dxfId="1041" priority="1086"/>
  </conditionalFormatting>
  <conditionalFormatting sqref="A39">
    <cfRule type="duplicateValues" dxfId="1040" priority="1085"/>
  </conditionalFormatting>
  <conditionalFormatting sqref="A39">
    <cfRule type="duplicateValues" dxfId="1039" priority="1084"/>
  </conditionalFormatting>
  <conditionalFormatting sqref="A39">
    <cfRule type="duplicateValues" dxfId="1038" priority="1083"/>
  </conditionalFormatting>
  <conditionalFormatting sqref="A39">
    <cfRule type="duplicateValues" dxfId="1037" priority="1082"/>
  </conditionalFormatting>
  <conditionalFormatting sqref="A39">
    <cfRule type="duplicateValues" dxfId="1036" priority="1081"/>
  </conditionalFormatting>
  <conditionalFormatting sqref="A42">
    <cfRule type="duplicateValues" dxfId="1035" priority="1080" stopIfTrue="1"/>
  </conditionalFormatting>
  <conditionalFormatting sqref="A42">
    <cfRule type="duplicateValues" dxfId="1034" priority="1079" stopIfTrue="1"/>
  </conditionalFormatting>
  <conditionalFormatting sqref="A42">
    <cfRule type="duplicateValues" dxfId="1033" priority="1078" stopIfTrue="1"/>
  </conditionalFormatting>
  <conditionalFormatting sqref="A42">
    <cfRule type="duplicateValues" dxfId="1032" priority="1077" stopIfTrue="1"/>
  </conditionalFormatting>
  <conditionalFormatting sqref="A42">
    <cfRule type="duplicateValues" dxfId="1031" priority="1076" stopIfTrue="1"/>
  </conditionalFormatting>
  <conditionalFormatting sqref="A42">
    <cfRule type="duplicateValues" dxfId="1030" priority="1075" stopIfTrue="1"/>
  </conditionalFormatting>
  <conditionalFormatting sqref="A42">
    <cfRule type="duplicateValues" dxfId="1029" priority="1072" stopIfTrue="1"/>
    <cfRule type="duplicateValues" dxfId="1028" priority="1073" stopIfTrue="1"/>
    <cfRule type="duplicateValues" dxfId="1027" priority="1074" stopIfTrue="1"/>
  </conditionalFormatting>
  <conditionalFormatting sqref="A42">
    <cfRule type="duplicateValues" dxfId="1026" priority="1071" stopIfTrue="1"/>
  </conditionalFormatting>
  <conditionalFormatting sqref="A42">
    <cfRule type="duplicateValues" dxfId="1025" priority="1070" stopIfTrue="1"/>
  </conditionalFormatting>
  <conditionalFormatting sqref="A42">
    <cfRule type="duplicateValues" dxfId="1024" priority="1068" stopIfTrue="1"/>
    <cfRule type="duplicateValues" dxfId="1023" priority="1069" stopIfTrue="1"/>
  </conditionalFormatting>
  <conditionalFormatting sqref="A42">
    <cfRule type="duplicateValues" dxfId="1022" priority="1065" stopIfTrue="1"/>
    <cfRule type="duplicateValues" dxfId="1021" priority="1066" stopIfTrue="1"/>
    <cfRule type="cellIs" dxfId="1020" priority="1067" stopIfTrue="1" operator="equal">
      <formula>25504</formula>
    </cfRule>
  </conditionalFormatting>
  <conditionalFormatting sqref="A42">
    <cfRule type="duplicateValues" dxfId="1019" priority="1064" stopIfTrue="1"/>
  </conditionalFormatting>
  <conditionalFormatting sqref="A42">
    <cfRule type="duplicateValues" dxfId="1018" priority="1062" stopIfTrue="1"/>
    <cfRule type="duplicateValues" dxfId="1017" priority="1063" stopIfTrue="1"/>
  </conditionalFormatting>
  <conditionalFormatting sqref="A42">
    <cfRule type="duplicateValues" dxfId="1016" priority="1061" stopIfTrue="1"/>
  </conditionalFormatting>
  <conditionalFormatting sqref="A42">
    <cfRule type="duplicateValues" dxfId="1015" priority="1060" stopIfTrue="1"/>
  </conditionalFormatting>
  <conditionalFormatting sqref="A42">
    <cfRule type="duplicateValues" dxfId="1014" priority="1059" stopIfTrue="1"/>
  </conditionalFormatting>
  <conditionalFormatting sqref="A42">
    <cfRule type="duplicateValues" dxfId="1013" priority="1058"/>
  </conditionalFormatting>
  <conditionalFormatting sqref="A42">
    <cfRule type="duplicateValues" dxfId="1012" priority="1057"/>
  </conditionalFormatting>
  <conditionalFormatting sqref="A42">
    <cfRule type="duplicateValues" dxfId="1011" priority="1055"/>
    <cfRule type="duplicateValues" dxfId="1010" priority="1056"/>
  </conditionalFormatting>
  <conditionalFormatting sqref="A42">
    <cfRule type="duplicateValues" dxfId="1009" priority="1054"/>
  </conditionalFormatting>
  <conditionalFormatting sqref="A42">
    <cfRule type="duplicateValues" dxfId="1008" priority="1053" stopIfTrue="1"/>
  </conditionalFormatting>
  <conditionalFormatting sqref="A42">
    <cfRule type="duplicateValues" dxfId="1007" priority="1050" stopIfTrue="1"/>
    <cfRule type="duplicateValues" dxfId="1006" priority="1051" stopIfTrue="1"/>
    <cfRule type="duplicateValues" dxfId="1005" priority="1052" stopIfTrue="1"/>
  </conditionalFormatting>
  <conditionalFormatting sqref="A42">
    <cfRule type="duplicateValues" dxfId="1004" priority="1049" stopIfTrue="1"/>
  </conditionalFormatting>
  <conditionalFormatting sqref="A42">
    <cfRule type="duplicateValues" dxfId="1003" priority="1048" stopIfTrue="1"/>
  </conditionalFormatting>
  <conditionalFormatting sqref="A42">
    <cfRule type="duplicateValues" dxfId="1002" priority="1047" stopIfTrue="1"/>
  </conditionalFormatting>
  <conditionalFormatting sqref="A42">
    <cfRule type="duplicateValues" dxfId="1001" priority="1046" stopIfTrue="1"/>
  </conditionalFormatting>
  <conditionalFormatting sqref="A42">
    <cfRule type="duplicateValues" dxfId="1000" priority="1044" stopIfTrue="1"/>
    <cfRule type="duplicateValues" dxfId="999" priority="1045" stopIfTrue="1"/>
  </conditionalFormatting>
  <conditionalFormatting sqref="A42">
    <cfRule type="duplicateValues" dxfId="998" priority="1043" stopIfTrue="1"/>
  </conditionalFormatting>
  <conditionalFormatting sqref="A42">
    <cfRule type="duplicateValues" dxfId="997" priority="1042" stopIfTrue="1"/>
  </conditionalFormatting>
  <conditionalFormatting sqref="A42">
    <cfRule type="duplicateValues" dxfId="996" priority="1041" stopIfTrue="1"/>
  </conditionalFormatting>
  <conditionalFormatting sqref="A42">
    <cfRule type="duplicateValues" dxfId="995" priority="1038" stopIfTrue="1"/>
    <cfRule type="duplicateValues" dxfId="994" priority="1039" stopIfTrue="1"/>
    <cfRule type="duplicateValues" dxfId="993" priority="1040" stopIfTrue="1"/>
  </conditionalFormatting>
  <conditionalFormatting sqref="A42">
    <cfRule type="duplicateValues" dxfId="992" priority="1037" stopIfTrue="1"/>
  </conditionalFormatting>
  <conditionalFormatting sqref="A42">
    <cfRule type="duplicateValues" dxfId="991" priority="1035" stopIfTrue="1"/>
    <cfRule type="duplicateValues" dxfId="990" priority="1036" stopIfTrue="1"/>
  </conditionalFormatting>
  <conditionalFormatting sqref="A42">
    <cfRule type="duplicateValues" dxfId="989" priority="1034" stopIfTrue="1"/>
  </conditionalFormatting>
  <conditionalFormatting sqref="A42">
    <cfRule type="duplicateValues" dxfId="988" priority="1033" stopIfTrue="1"/>
  </conditionalFormatting>
  <conditionalFormatting sqref="A42">
    <cfRule type="duplicateValues" dxfId="987" priority="1032" stopIfTrue="1"/>
  </conditionalFormatting>
  <conditionalFormatting sqref="A42">
    <cfRule type="duplicateValues" dxfId="986" priority="1031"/>
  </conditionalFormatting>
  <conditionalFormatting sqref="A42">
    <cfRule type="duplicateValues" dxfId="985" priority="1030"/>
  </conditionalFormatting>
  <conditionalFormatting sqref="A42">
    <cfRule type="duplicateValues" dxfId="984" priority="1028"/>
    <cfRule type="duplicateValues" dxfId="983" priority="1029"/>
  </conditionalFormatting>
  <conditionalFormatting sqref="A42">
    <cfRule type="duplicateValues" dxfId="982" priority="1027"/>
  </conditionalFormatting>
  <conditionalFormatting sqref="A42">
    <cfRule type="duplicateValues" dxfId="981" priority="1026"/>
  </conditionalFormatting>
  <conditionalFormatting sqref="A42">
    <cfRule type="duplicateValues" dxfId="980" priority="1024"/>
    <cfRule type="duplicateValues" dxfId="979" priority="1025"/>
  </conditionalFormatting>
  <conditionalFormatting sqref="A42">
    <cfRule type="duplicateValues" dxfId="978" priority="1023"/>
  </conditionalFormatting>
  <conditionalFormatting sqref="A42">
    <cfRule type="duplicateValues" dxfId="977" priority="1022"/>
  </conditionalFormatting>
  <conditionalFormatting sqref="A42">
    <cfRule type="duplicateValues" dxfId="976" priority="1021"/>
  </conditionalFormatting>
  <conditionalFormatting sqref="A42">
    <cfRule type="duplicateValues" dxfId="975" priority="1020"/>
  </conditionalFormatting>
  <conditionalFormatting sqref="A42">
    <cfRule type="duplicateValues" dxfId="974" priority="1018"/>
    <cfRule type="duplicateValues" dxfId="973" priority="1019"/>
  </conditionalFormatting>
  <conditionalFormatting sqref="A42">
    <cfRule type="duplicateValues" dxfId="972" priority="1017"/>
  </conditionalFormatting>
  <conditionalFormatting sqref="A42">
    <cfRule type="duplicateValues" dxfId="971" priority="1014"/>
    <cfRule type="duplicateValues" dxfId="970" priority="1015"/>
    <cfRule type="duplicateValues" dxfId="969" priority="1016"/>
  </conditionalFormatting>
  <conditionalFormatting sqref="A42">
    <cfRule type="duplicateValues" dxfId="968" priority="1013"/>
  </conditionalFormatting>
  <conditionalFormatting sqref="A42">
    <cfRule type="duplicateValues" dxfId="967" priority="1012"/>
  </conditionalFormatting>
  <conditionalFormatting sqref="A42">
    <cfRule type="duplicateValues" dxfId="966" priority="1011"/>
  </conditionalFormatting>
  <conditionalFormatting sqref="A42">
    <cfRule type="duplicateValues" dxfId="965" priority="1010"/>
  </conditionalFormatting>
  <conditionalFormatting sqref="A42">
    <cfRule type="duplicateValues" dxfId="964" priority="1009"/>
  </conditionalFormatting>
  <conditionalFormatting sqref="A42">
    <cfRule type="duplicateValues" dxfId="963" priority="1008"/>
  </conditionalFormatting>
  <conditionalFormatting sqref="A42">
    <cfRule type="duplicateValues" dxfId="962" priority="1007"/>
  </conditionalFormatting>
  <conditionalFormatting sqref="A42">
    <cfRule type="duplicateValues" dxfId="961" priority="1006"/>
  </conditionalFormatting>
  <conditionalFormatting sqref="A42">
    <cfRule type="duplicateValues" dxfId="960" priority="1005"/>
  </conditionalFormatting>
  <conditionalFormatting sqref="A42">
    <cfRule type="duplicateValues" dxfId="959" priority="1004"/>
  </conditionalFormatting>
  <conditionalFormatting sqref="A42">
    <cfRule type="duplicateValues" dxfId="958" priority="1003"/>
  </conditionalFormatting>
  <conditionalFormatting sqref="A42">
    <cfRule type="duplicateValues" dxfId="957" priority="1001"/>
    <cfRule type="duplicateValues" dxfId="956" priority="1002"/>
  </conditionalFormatting>
  <conditionalFormatting sqref="A42">
    <cfRule type="duplicateValues" dxfId="955" priority="1000"/>
  </conditionalFormatting>
  <conditionalFormatting sqref="A42">
    <cfRule type="duplicateValues" dxfId="954" priority="999"/>
  </conditionalFormatting>
  <conditionalFormatting sqref="A42">
    <cfRule type="duplicateValues" dxfId="953" priority="998"/>
  </conditionalFormatting>
  <conditionalFormatting sqref="A42">
    <cfRule type="duplicateValues" dxfId="952" priority="997"/>
  </conditionalFormatting>
  <conditionalFormatting sqref="A42">
    <cfRule type="duplicateValues" dxfId="951" priority="996"/>
  </conditionalFormatting>
  <conditionalFormatting sqref="A42">
    <cfRule type="duplicateValues" dxfId="950" priority="995"/>
  </conditionalFormatting>
  <conditionalFormatting sqref="A42">
    <cfRule type="duplicateValues" dxfId="949" priority="994"/>
  </conditionalFormatting>
  <conditionalFormatting sqref="A38">
    <cfRule type="duplicateValues" dxfId="948" priority="993" stopIfTrue="1"/>
  </conditionalFormatting>
  <conditionalFormatting sqref="A38">
    <cfRule type="duplicateValues" dxfId="947" priority="992" stopIfTrue="1"/>
  </conditionalFormatting>
  <conditionalFormatting sqref="A38">
    <cfRule type="duplicateValues" dxfId="946" priority="991" stopIfTrue="1"/>
  </conditionalFormatting>
  <conditionalFormatting sqref="A38">
    <cfRule type="duplicateValues" dxfId="945" priority="990" stopIfTrue="1"/>
  </conditionalFormatting>
  <conditionalFormatting sqref="A38">
    <cfRule type="duplicateValues" dxfId="944" priority="989" stopIfTrue="1"/>
  </conditionalFormatting>
  <conditionalFormatting sqref="A38">
    <cfRule type="duplicateValues" dxfId="943" priority="988" stopIfTrue="1"/>
  </conditionalFormatting>
  <conditionalFormatting sqref="A38">
    <cfRule type="duplicateValues" dxfId="942" priority="985" stopIfTrue="1"/>
    <cfRule type="duplicateValues" dxfId="941" priority="986" stopIfTrue="1"/>
    <cfRule type="duplicateValues" dxfId="940" priority="987" stopIfTrue="1"/>
  </conditionalFormatting>
  <conditionalFormatting sqref="A38">
    <cfRule type="duplicateValues" dxfId="939" priority="984" stopIfTrue="1"/>
  </conditionalFormatting>
  <conditionalFormatting sqref="A38">
    <cfRule type="duplicateValues" dxfId="938" priority="983" stopIfTrue="1"/>
  </conditionalFormatting>
  <conditionalFormatting sqref="A38">
    <cfRule type="duplicateValues" dxfId="937" priority="981" stopIfTrue="1"/>
    <cfRule type="duplicateValues" dxfId="936" priority="982" stopIfTrue="1"/>
  </conditionalFormatting>
  <conditionalFormatting sqref="A38">
    <cfRule type="duplicateValues" dxfId="935" priority="978" stopIfTrue="1"/>
    <cfRule type="duplicateValues" dxfId="934" priority="979" stopIfTrue="1"/>
    <cfRule type="cellIs" dxfId="933" priority="980" stopIfTrue="1" operator="equal">
      <formula>25504</formula>
    </cfRule>
  </conditionalFormatting>
  <conditionalFormatting sqref="A38">
    <cfRule type="duplicateValues" dxfId="932" priority="977" stopIfTrue="1"/>
  </conditionalFormatting>
  <conditionalFormatting sqref="A38">
    <cfRule type="duplicateValues" dxfId="931" priority="975" stopIfTrue="1"/>
    <cfRule type="duplicateValues" dxfId="930" priority="976" stopIfTrue="1"/>
  </conditionalFormatting>
  <conditionalFormatting sqref="A38">
    <cfRule type="duplicateValues" dxfId="929" priority="974" stopIfTrue="1"/>
  </conditionalFormatting>
  <conditionalFormatting sqref="A38">
    <cfRule type="duplicateValues" dxfId="928" priority="973" stopIfTrue="1"/>
  </conditionalFormatting>
  <conditionalFormatting sqref="A38">
    <cfRule type="duplicateValues" dxfId="927" priority="972" stopIfTrue="1"/>
  </conditionalFormatting>
  <conditionalFormatting sqref="A38">
    <cfRule type="duplicateValues" dxfId="926" priority="971"/>
  </conditionalFormatting>
  <conditionalFormatting sqref="A38">
    <cfRule type="duplicateValues" dxfId="925" priority="970"/>
  </conditionalFormatting>
  <conditionalFormatting sqref="A38">
    <cfRule type="duplicateValues" dxfId="924" priority="968"/>
    <cfRule type="duplicateValues" dxfId="923" priority="969"/>
  </conditionalFormatting>
  <conditionalFormatting sqref="A38">
    <cfRule type="duplicateValues" dxfId="922" priority="967"/>
  </conditionalFormatting>
  <conditionalFormatting sqref="A38">
    <cfRule type="duplicateValues" dxfId="921" priority="966" stopIfTrue="1"/>
  </conditionalFormatting>
  <conditionalFormatting sqref="A38">
    <cfRule type="duplicateValues" dxfId="920" priority="963" stopIfTrue="1"/>
    <cfRule type="duplicateValues" dxfId="919" priority="964" stopIfTrue="1"/>
    <cfRule type="duplicateValues" dxfId="918" priority="965" stopIfTrue="1"/>
  </conditionalFormatting>
  <conditionalFormatting sqref="A38">
    <cfRule type="duplicateValues" dxfId="917" priority="962" stopIfTrue="1"/>
  </conditionalFormatting>
  <conditionalFormatting sqref="A38">
    <cfRule type="duplicateValues" dxfId="916" priority="961" stopIfTrue="1"/>
  </conditionalFormatting>
  <conditionalFormatting sqref="A38">
    <cfRule type="duplicateValues" dxfId="915" priority="960" stopIfTrue="1"/>
  </conditionalFormatting>
  <conditionalFormatting sqref="A38">
    <cfRule type="duplicateValues" dxfId="914" priority="959" stopIfTrue="1"/>
  </conditionalFormatting>
  <conditionalFormatting sqref="A38">
    <cfRule type="duplicateValues" dxfId="913" priority="957" stopIfTrue="1"/>
    <cfRule type="duplicateValues" dxfId="912" priority="958" stopIfTrue="1"/>
  </conditionalFormatting>
  <conditionalFormatting sqref="A38">
    <cfRule type="duplicateValues" dxfId="911" priority="956" stopIfTrue="1"/>
  </conditionalFormatting>
  <conditionalFormatting sqref="A38">
    <cfRule type="duplicateValues" dxfId="910" priority="955" stopIfTrue="1"/>
  </conditionalFormatting>
  <conditionalFormatting sqref="A38">
    <cfRule type="duplicateValues" dxfId="909" priority="954" stopIfTrue="1"/>
  </conditionalFormatting>
  <conditionalFormatting sqref="A38">
    <cfRule type="duplicateValues" dxfId="908" priority="951" stopIfTrue="1"/>
    <cfRule type="duplicateValues" dxfId="907" priority="952" stopIfTrue="1"/>
    <cfRule type="duplicateValues" dxfId="906" priority="953" stopIfTrue="1"/>
  </conditionalFormatting>
  <conditionalFormatting sqref="A38">
    <cfRule type="duplicateValues" dxfId="905" priority="950" stopIfTrue="1"/>
  </conditionalFormatting>
  <conditionalFormatting sqref="A38">
    <cfRule type="duplicateValues" dxfId="904" priority="948" stopIfTrue="1"/>
    <cfRule type="duplicateValues" dxfId="903" priority="949" stopIfTrue="1"/>
  </conditionalFormatting>
  <conditionalFormatting sqref="A38">
    <cfRule type="duplicateValues" dxfId="902" priority="947" stopIfTrue="1"/>
  </conditionalFormatting>
  <conditionalFormatting sqref="A38">
    <cfRule type="duplicateValues" dxfId="901" priority="946" stopIfTrue="1"/>
  </conditionalFormatting>
  <conditionalFormatting sqref="A38">
    <cfRule type="duplicateValues" dxfId="900" priority="945" stopIfTrue="1"/>
  </conditionalFormatting>
  <conditionalFormatting sqref="A38">
    <cfRule type="duplicateValues" dxfId="899" priority="944"/>
  </conditionalFormatting>
  <conditionalFormatting sqref="A38">
    <cfRule type="duplicateValues" dxfId="898" priority="943"/>
  </conditionalFormatting>
  <conditionalFormatting sqref="A38">
    <cfRule type="duplicateValues" dxfId="897" priority="941"/>
    <cfRule type="duplicateValues" dxfId="896" priority="942"/>
  </conditionalFormatting>
  <conditionalFormatting sqref="A38">
    <cfRule type="duplicateValues" dxfId="895" priority="940"/>
  </conditionalFormatting>
  <conditionalFormatting sqref="A38">
    <cfRule type="duplicateValues" dxfId="894" priority="939"/>
  </conditionalFormatting>
  <conditionalFormatting sqref="A38">
    <cfRule type="duplicateValues" dxfId="893" priority="937"/>
    <cfRule type="duplicateValues" dxfId="892" priority="938"/>
  </conditionalFormatting>
  <conditionalFormatting sqref="A38">
    <cfRule type="duplicateValues" dxfId="891" priority="936"/>
  </conditionalFormatting>
  <conditionalFormatting sqref="A38">
    <cfRule type="duplicateValues" dxfId="890" priority="935"/>
  </conditionalFormatting>
  <conditionalFormatting sqref="A38">
    <cfRule type="duplicateValues" dxfId="889" priority="934"/>
  </conditionalFormatting>
  <conditionalFormatting sqref="A38">
    <cfRule type="duplicateValues" dxfId="888" priority="933"/>
  </conditionalFormatting>
  <conditionalFormatting sqref="A38">
    <cfRule type="duplicateValues" dxfId="887" priority="931"/>
    <cfRule type="duplicateValues" dxfId="886" priority="932"/>
  </conditionalFormatting>
  <conditionalFormatting sqref="A38">
    <cfRule type="duplicateValues" dxfId="885" priority="930"/>
  </conditionalFormatting>
  <conditionalFormatting sqref="A38">
    <cfRule type="duplicateValues" dxfId="884" priority="927"/>
    <cfRule type="duplicateValues" dxfId="883" priority="928"/>
    <cfRule type="duplicateValues" dxfId="882" priority="929"/>
  </conditionalFormatting>
  <conditionalFormatting sqref="A38">
    <cfRule type="duplicateValues" dxfId="881" priority="926"/>
  </conditionalFormatting>
  <conditionalFormatting sqref="A38">
    <cfRule type="duplicateValues" dxfId="880" priority="925"/>
  </conditionalFormatting>
  <conditionalFormatting sqref="A38">
    <cfRule type="duplicateValues" dxfId="879" priority="924"/>
  </conditionalFormatting>
  <conditionalFormatting sqref="A38">
    <cfRule type="duplicateValues" dxfId="878" priority="923"/>
  </conditionalFormatting>
  <conditionalFormatting sqref="A38">
    <cfRule type="duplicateValues" dxfId="877" priority="922"/>
  </conditionalFormatting>
  <conditionalFormatting sqref="A38">
    <cfRule type="duplicateValues" dxfId="876" priority="921"/>
  </conditionalFormatting>
  <conditionalFormatting sqref="A38">
    <cfRule type="duplicateValues" dxfId="875" priority="920"/>
  </conditionalFormatting>
  <conditionalFormatting sqref="A38">
    <cfRule type="duplicateValues" dxfId="874" priority="919"/>
  </conditionalFormatting>
  <conditionalFormatting sqref="A38">
    <cfRule type="duplicateValues" dxfId="873" priority="918"/>
  </conditionalFormatting>
  <conditionalFormatting sqref="A38">
    <cfRule type="duplicateValues" dxfId="872" priority="917"/>
  </conditionalFormatting>
  <conditionalFormatting sqref="A38">
    <cfRule type="duplicateValues" dxfId="871" priority="916"/>
  </conditionalFormatting>
  <conditionalFormatting sqref="A38">
    <cfRule type="duplicateValues" dxfId="870" priority="914"/>
    <cfRule type="duplicateValues" dxfId="869" priority="915"/>
  </conditionalFormatting>
  <conditionalFormatting sqref="A38">
    <cfRule type="duplicateValues" dxfId="868" priority="913"/>
  </conditionalFormatting>
  <conditionalFormatting sqref="A38">
    <cfRule type="duplicateValues" dxfId="867" priority="912"/>
  </conditionalFormatting>
  <conditionalFormatting sqref="A38">
    <cfRule type="duplicateValues" dxfId="866" priority="911"/>
  </conditionalFormatting>
  <conditionalFormatting sqref="A38">
    <cfRule type="duplicateValues" dxfId="865" priority="910"/>
  </conditionalFormatting>
  <conditionalFormatting sqref="A38">
    <cfRule type="duplicateValues" dxfId="864" priority="909"/>
  </conditionalFormatting>
  <conditionalFormatting sqref="A38">
    <cfRule type="duplicateValues" dxfId="863" priority="908"/>
  </conditionalFormatting>
  <conditionalFormatting sqref="A38">
    <cfRule type="duplicateValues" dxfId="862" priority="907"/>
  </conditionalFormatting>
  <conditionalFormatting sqref="A5:A15">
    <cfRule type="duplicateValues" dxfId="861" priority="905" stopIfTrue="1"/>
    <cfRule type="duplicateValues" dxfId="860" priority="906" stopIfTrue="1"/>
  </conditionalFormatting>
  <conditionalFormatting sqref="A5:A15">
    <cfRule type="duplicateValues" dxfId="859" priority="904" stopIfTrue="1"/>
  </conditionalFormatting>
  <conditionalFormatting sqref="A5:A15">
    <cfRule type="duplicateValues" dxfId="858" priority="903"/>
  </conditionalFormatting>
  <conditionalFormatting sqref="A5:A15">
    <cfRule type="duplicateValues" dxfId="857" priority="901"/>
    <cfRule type="duplicateValues" dxfId="856" priority="902"/>
  </conditionalFormatting>
  <conditionalFormatting sqref="A5:A15">
    <cfRule type="duplicateValues" dxfId="855" priority="900" stopIfTrue="1"/>
  </conditionalFormatting>
  <conditionalFormatting sqref="A5:A15">
    <cfRule type="duplicateValues" dxfId="854" priority="897" stopIfTrue="1"/>
    <cfRule type="duplicateValues" dxfId="853" priority="898" stopIfTrue="1"/>
    <cfRule type="duplicateValues" dxfId="852" priority="899" stopIfTrue="1"/>
  </conditionalFormatting>
  <conditionalFormatting sqref="A5:A15">
    <cfRule type="duplicateValues" dxfId="851" priority="894" stopIfTrue="1"/>
    <cfRule type="duplicateValues" dxfId="850" priority="895" stopIfTrue="1"/>
    <cfRule type="cellIs" dxfId="849" priority="896" stopIfTrue="1" operator="equal">
      <formula>25504</formula>
    </cfRule>
  </conditionalFormatting>
  <conditionalFormatting sqref="A5:A15">
    <cfRule type="duplicateValues" dxfId="848" priority="891"/>
    <cfRule type="duplicateValues" dxfId="847" priority="892"/>
    <cfRule type="duplicateValues" dxfId="846" priority="893"/>
  </conditionalFormatting>
  <conditionalFormatting sqref="A5:A15">
    <cfRule type="duplicateValues" dxfId="845" priority="890"/>
  </conditionalFormatting>
  <conditionalFormatting sqref="A5:A15">
    <cfRule type="duplicateValues" dxfId="844" priority="889"/>
  </conditionalFormatting>
  <conditionalFormatting sqref="A2:A3">
    <cfRule type="duplicateValues" dxfId="843" priority="1873" stopIfTrue="1"/>
    <cfRule type="duplicateValues" dxfId="842" priority="1874" stopIfTrue="1"/>
  </conditionalFormatting>
  <conditionalFormatting sqref="A2:A3">
    <cfRule type="duplicateValues" dxfId="841" priority="1875" stopIfTrue="1"/>
  </conditionalFormatting>
  <conditionalFormatting sqref="A2:A3">
    <cfRule type="duplicateValues" dxfId="840" priority="1876"/>
  </conditionalFormatting>
  <conditionalFormatting sqref="A2:A3">
    <cfRule type="duplicateValues" dxfId="839" priority="1877"/>
    <cfRule type="duplicateValues" dxfId="838" priority="1878"/>
  </conditionalFormatting>
  <conditionalFormatting sqref="A2:A3">
    <cfRule type="duplicateValues" dxfId="837" priority="1879" stopIfTrue="1"/>
  </conditionalFormatting>
  <conditionalFormatting sqref="A2:A3">
    <cfRule type="duplicateValues" dxfId="836" priority="1880" stopIfTrue="1"/>
    <cfRule type="duplicateValues" dxfId="835" priority="1881" stopIfTrue="1"/>
    <cfRule type="duplicateValues" dxfId="834" priority="1882" stopIfTrue="1"/>
  </conditionalFormatting>
  <conditionalFormatting sqref="A2:A3">
    <cfRule type="duplicateValues" dxfId="833" priority="1883" stopIfTrue="1"/>
    <cfRule type="duplicateValues" dxfId="832" priority="1884" stopIfTrue="1"/>
    <cfRule type="cellIs" dxfId="831" priority="1885" stopIfTrue="1" operator="equal">
      <formula>25504</formula>
    </cfRule>
  </conditionalFormatting>
  <conditionalFormatting sqref="A2:A3">
    <cfRule type="duplicateValues" dxfId="830" priority="1895"/>
    <cfRule type="duplicateValues" dxfId="829" priority="1896"/>
    <cfRule type="duplicateValues" dxfId="828" priority="1897"/>
  </conditionalFormatting>
  <conditionalFormatting sqref="A4">
    <cfRule type="duplicateValues" dxfId="827" priority="869" stopIfTrue="1"/>
    <cfRule type="duplicateValues" dxfId="826" priority="870" stopIfTrue="1"/>
  </conditionalFormatting>
  <conditionalFormatting sqref="A4">
    <cfRule type="duplicateValues" dxfId="825" priority="868" stopIfTrue="1"/>
  </conditionalFormatting>
  <conditionalFormatting sqref="A4">
    <cfRule type="duplicateValues" dxfId="824" priority="867"/>
  </conditionalFormatting>
  <conditionalFormatting sqref="A4">
    <cfRule type="duplicateValues" dxfId="823" priority="865"/>
    <cfRule type="duplicateValues" dxfId="822" priority="866"/>
  </conditionalFormatting>
  <conditionalFormatting sqref="A4">
    <cfRule type="duplicateValues" dxfId="821" priority="864" stopIfTrue="1"/>
  </conditionalFormatting>
  <conditionalFormatting sqref="A4">
    <cfRule type="duplicateValues" dxfId="820" priority="861" stopIfTrue="1"/>
    <cfRule type="duplicateValues" dxfId="819" priority="862" stopIfTrue="1"/>
    <cfRule type="duplicateValues" dxfId="818" priority="863" stopIfTrue="1"/>
  </conditionalFormatting>
  <conditionalFormatting sqref="A4">
    <cfRule type="duplicateValues" dxfId="817" priority="858" stopIfTrue="1"/>
    <cfRule type="duplicateValues" dxfId="816" priority="859" stopIfTrue="1"/>
    <cfRule type="cellIs" dxfId="815" priority="860" stopIfTrue="1" operator="equal">
      <formula>25504</formula>
    </cfRule>
  </conditionalFormatting>
  <conditionalFormatting sqref="A4">
    <cfRule type="duplicateValues" dxfId="814" priority="855"/>
    <cfRule type="duplicateValues" dxfId="813" priority="856"/>
    <cfRule type="duplicateValues" dxfId="812" priority="857"/>
  </conditionalFormatting>
  <conditionalFormatting sqref="A4">
    <cfRule type="duplicateValues" dxfId="811" priority="854"/>
  </conditionalFormatting>
  <conditionalFormatting sqref="A4">
    <cfRule type="duplicateValues" dxfId="810" priority="853"/>
  </conditionalFormatting>
  <conditionalFormatting sqref="A21">
    <cfRule type="duplicateValues" dxfId="809" priority="749" stopIfTrue="1"/>
    <cfRule type="duplicateValues" dxfId="808" priority="750" stopIfTrue="1"/>
    <cfRule type="cellIs" dxfId="807" priority="751" stopIfTrue="1" operator="equal">
      <formula>25504</formula>
    </cfRule>
  </conditionalFormatting>
  <conditionalFormatting sqref="A21">
    <cfRule type="duplicateValues" dxfId="806" priority="748" stopIfTrue="1"/>
  </conditionalFormatting>
  <conditionalFormatting sqref="A21">
    <cfRule type="duplicateValues" dxfId="805" priority="746" stopIfTrue="1"/>
    <cfRule type="duplicateValues" dxfId="804" priority="747" stopIfTrue="1"/>
  </conditionalFormatting>
  <conditionalFormatting sqref="A21">
    <cfRule type="duplicateValues" dxfId="803" priority="745" stopIfTrue="1"/>
  </conditionalFormatting>
  <conditionalFormatting sqref="A21">
    <cfRule type="duplicateValues" dxfId="802" priority="744" stopIfTrue="1"/>
  </conditionalFormatting>
  <conditionalFormatting sqref="A21">
    <cfRule type="duplicateValues" dxfId="801" priority="743" stopIfTrue="1"/>
  </conditionalFormatting>
  <conditionalFormatting sqref="A21">
    <cfRule type="duplicateValues" dxfId="800" priority="742" stopIfTrue="1"/>
  </conditionalFormatting>
  <conditionalFormatting sqref="A21">
    <cfRule type="duplicateValues" dxfId="799" priority="741" stopIfTrue="1"/>
  </conditionalFormatting>
  <conditionalFormatting sqref="A21">
    <cfRule type="duplicateValues" dxfId="798" priority="738" stopIfTrue="1"/>
    <cfRule type="duplicateValues" dxfId="797" priority="739" stopIfTrue="1"/>
    <cfRule type="duplicateValues" dxfId="796" priority="740" stopIfTrue="1"/>
  </conditionalFormatting>
  <conditionalFormatting sqref="A21">
    <cfRule type="duplicateValues" dxfId="795" priority="736" stopIfTrue="1"/>
    <cfRule type="duplicateValues" dxfId="794" priority="737" stopIfTrue="1"/>
  </conditionalFormatting>
  <conditionalFormatting sqref="A21">
    <cfRule type="duplicateValues" dxfId="793" priority="735"/>
  </conditionalFormatting>
  <conditionalFormatting sqref="A21">
    <cfRule type="duplicateValues" dxfId="792" priority="734"/>
  </conditionalFormatting>
  <conditionalFormatting sqref="A21">
    <cfRule type="duplicateValues" dxfId="791" priority="732"/>
    <cfRule type="duplicateValues" dxfId="790" priority="733"/>
  </conditionalFormatting>
  <conditionalFormatting sqref="A21">
    <cfRule type="duplicateValues" dxfId="789" priority="731"/>
  </conditionalFormatting>
  <conditionalFormatting sqref="A21">
    <cfRule type="duplicateValues" dxfId="788" priority="730" stopIfTrue="1"/>
  </conditionalFormatting>
  <conditionalFormatting sqref="A21">
    <cfRule type="duplicateValues" dxfId="787" priority="727" stopIfTrue="1"/>
    <cfRule type="duplicateValues" dxfId="786" priority="728" stopIfTrue="1"/>
    <cfRule type="duplicateValues" dxfId="785" priority="729" stopIfTrue="1"/>
  </conditionalFormatting>
  <conditionalFormatting sqref="A21">
    <cfRule type="duplicateValues" dxfId="784" priority="726" stopIfTrue="1"/>
  </conditionalFormatting>
  <conditionalFormatting sqref="A21">
    <cfRule type="duplicateValues" dxfId="783" priority="725" stopIfTrue="1"/>
  </conditionalFormatting>
  <conditionalFormatting sqref="A21">
    <cfRule type="duplicateValues" dxfId="782" priority="724" stopIfTrue="1"/>
  </conditionalFormatting>
  <conditionalFormatting sqref="A21">
    <cfRule type="duplicateValues" dxfId="781" priority="723" stopIfTrue="1"/>
  </conditionalFormatting>
  <conditionalFormatting sqref="A21">
    <cfRule type="duplicateValues" dxfId="780" priority="721" stopIfTrue="1"/>
    <cfRule type="duplicateValues" dxfId="779" priority="722" stopIfTrue="1"/>
  </conditionalFormatting>
  <conditionalFormatting sqref="A21">
    <cfRule type="duplicateValues" dxfId="778" priority="720" stopIfTrue="1"/>
  </conditionalFormatting>
  <conditionalFormatting sqref="A21">
    <cfRule type="duplicateValues" dxfId="777" priority="719" stopIfTrue="1"/>
  </conditionalFormatting>
  <conditionalFormatting sqref="A21">
    <cfRule type="duplicateValues" dxfId="776" priority="718" stopIfTrue="1"/>
  </conditionalFormatting>
  <conditionalFormatting sqref="A21">
    <cfRule type="duplicateValues" dxfId="775" priority="715" stopIfTrue="1"/>
    <cfRule type="duplicateValues" dxfId="774" priority="716" stopIfTrue="1"/>
    <cfRule type="duplicateValues" dxfId="773" priority="717" stopIfTrue="1"/>
  </conditionalFormatting>
  <conditionalFormatting sqref="A21">
    <cfRule type="duplicateValues" dxfId="772" priority="714" stopIfTrue="1"/>
  </conditionalFormatting>
  <conditionalFormatting sqref="A21">
    <cfRule type="duplicateValues" dxfId="771" priority="712" stopIfTrue="1"/>
    <cfRule type="duplicateValues" dxfId="770" priority="713" stopIfTrue="1"/>
  </conditionalFormatting>
  <conditionalFormatting sqref="A21">
    <cfRule type="duplicateValues" dxfId="769" priority="711" stopIfTrue="1"/>
  </conditionalFormatting>
  <conditionalFormatting sqref="A21">
    <cfRule type="duplicateValues" dxfId="768" priority="710" stopIfTrue="1"/>
  </conditionalFormatting>
  <conditionalFormatting sqref="A21">
    <cfRule type="duplicateValues" dxfId="767" priority="709" stopIfTrue="1"/>
  </conditionalFormatting>
  <conditionalFormatting sqref="A21">
    <cfRule type="duplicateValues" dxfId="766" priority="708"/>
  </conditionalFormatting>
  <conditionalFormatting sqref="A21">
    <cfRule type="duplicateValues" dxfId="765" priority="707"/>
  </conditionalFormatting>
  <conditionalFormatting sqref="A21">
    <cfRule type="duplicateValues" dxfId="764" priority="705"/>
    <cfRule type="duplicateValues" dxfId="763" priority="706"/>
  </conditionalFormatting>
  <conditionalFormatting sqref="A21">
    <cfRule type="duplicateValues" dxfId="762" priority="704"/>
  </conditionalFormatting>
  <conditionalFormatting sqref="A23">
    <cfRule type="duplicateValues" dxfId="761" priority="698" stopIfTrue="1"/>
    <cfRule type="duplicateValues" dxfId="760" priority="699" stopIfTrue="1"/>
    <cfRule type="cellIs" dxfId="759" priority="700" stopIfTrue="1" operator="equal">
      <formula>25504</formula>
    </cfRule>
  </conditionalFormatting>
  <conditionalFormatting sqref="A23">
    <cfRule type="duplicateValues" dxfId="758" priority="697" stopIfTrue="1"/>
  </conditionalFormatting>
  <conditionalFormatting sqref="A23">
    <cfRule type="duplicateValues" dxfId="757" priority="695" stopIfTrue="1"/>
    <cfRule type="duplicateValues" dxfId="756" priority="696" stopIfTrue="1"/>
  </conditionalFormatting>
  <conditionalFormatting sqref="A23">
    <cfRule type="duplicateValues" dxfId="755" priority="694" stopIfTrue="1"/>
  </conditionalFormatting>
  <conditionalFormatting sqref="A23">
    <cfRule type="duplicateValues" dxfId="754" priority="693" stopIfTrue="1"/>
  </conditionalFormatting>
  <conditionalFormatting sqref="A23">
    <cfRule type="duplicateValues" dxfId="753" priority="692" stopIfTrue="1"/>
  </conditionalFormatting>
  <conditionalFormatting sqref="A23">
    <cfRule type="duplicateValues" dxfId="752" priority="691" stopIfTrue="1"/>
  </conditionalFormatting>
  <conditionalFormatting sqref="A23">
    <cfRule type="duplicateValues" dxfId="751" priority="690" stopIfTrue="1"/>
  </conditionalFormatting>
  <conditionalFormatting sqref="A23">
    <cfRule type="duplicateValues" dxfId="750" priority="687" stopIfTrue="1"/>
    <cfRule type="duplicateValues" dxfId="749" priority="688" stopIfTrue="1"/>
    <cfRule type="duplicateValues" dxfId="748" priority="689" stopIfTrue="1"/>
  </conditionalFormatting>
  <conditionalFormatting sqref="A23">
    <cfRule type="duplicateValues" dxfId="747" priority="685" stopIfTrue="1"/>
    <cfRule type="duplicateValues" dxfId="746" priority="686" stopIfTrue="1"/>
  </conditionalFormatting>
  <conditionalFormatting sqref="A23">
    <cfRule type="duplicateValues" dxfId="745" priority="684"/>
  </conditionalFormatting>
  <conditionalFormatting sqref="A23">
    <cfRule type="duplicateValues" dxfId="744" priority="683"/>
  </conditionalFormatting>
  <conditionalFormatting sqref="A23">
    <cfRule type="duplicateValues" dxfId="743" priority="681"/>
    <cfRule type="duplicateValues" dxfId="742" priority="682"/>
  </conditionalFormatting>
  <conditionalFormatting sqref="A23">
    <cfRule type="duplicateValues" dxfId="741" priority="680"/>
  </conditionalFormatting>
  <conditionalFormatting sqref="A23">
    <cfRule type="duplicateValues" dxfId="740" priority="679" stopIfTrue="1"/>
  </conditionalFormatting>
  <conditionalFormatting sqref="A23">
    <cfRule type="duplicateValues" dxfId="739" priority="676" stopIfTrue="1"/>
    <cfRule type="duplicateValues" dxfId="738" priority="677" stopIfTrue="1"/>
    <cfRule type="duplicateValues" dxfId="737" priority="678" stopIfTrue="1"/>
  </conditionalFormatting>
  <conditionalFormatting sqref="A23">
    <cfRule type="duplicateValues" dxfId="736" priority="675" stopIfTrue="1"/>
  </conditionalFormatting>
  <conditionalFormatting sqref="A23">
    <cfRule type="duplicateValues" dxfId="735" priority="674" stopIfTrue="1"/>
  </conditionalFormatting>
  <conditionalFormatting sqref="A23">
    <cfRule type="duplicateValues" dxfId="734" priority="673" stopIfTrue="1"/>
  </conditionalFormatting>
  <conditionalFormatting sqref="A23">
    <cfRule type="duplicateValues" dxfId="733" priority="672" stopIfTrue="1"/>
  </conditionalFormatting>
  <conditionalFormatting sqref="A23">
    <cfRule type="duplicateValues" dxfId="732" priority="670" stopIfTrue="1"/>
    <cfRule type="duplicateValues" dxfId="731" priority="671" stopIfTrue="1"/>
  </conditionalFormatting>
  <conditionalFormatting sqref="A23">
    <cfRule type="duplicateValues" dxfId="730" priority="669" stopIfTrue="1"/>
  </conditionalFormatting>
  <conditionalFormatting sqref="A23">
    <cfRule type="duplicateValues" dxfId="729" priority="668" stopIfTrue="1"/>
  </conditionalFormatting>
  <conditionalFormatting sqref="A23">
    <cfRule type="duplicateValues" dxfId="728" priority="667" stopIfTrue="1"/>
  </conditionalFormatting>
  <conditionalFormatting sqref="A23">
    <cfRule type="duplicateValues" dxfId="727" priority="664" stopIfTrue="1"/>
    <cfRule type="duplicateValues" dxfId="726" priority="665" stopIfTrue="1"/>
    <cfRule type="duplicateValues" dxfId="725" priority="666" stopIfTrue="1"/>
  </conditionalFormatting>
  <conditionalFormatting sqref="A23">
    <cfRule type="duplicateValues" dxfId="724" priority="663" stopIfTrue="1"/>
  </conditionalFormatting>
  <conditionalFormatting sqref="A23">
    <cfRule type="duplicateValues" dxfId="723" priority="661" stopIfTrue="1"/>
    <cfRule type="duplicateValues" dxfId="722" priority="662" stopIfTrue="1"/>
  </conditionalFormatting>
  <conditionalFormatting sqref="A23">
    <cfRule type="duplicateValues" dxfId="721" priority="660" stopIfTrue="1"/>
  </conditionalFormatting>
  <conditionalFormatting sqref="A23">
    <cfRule type="duplicateValues" dxfId="720" priority="659" stopIfTrue="1"/>
  </conditionalFormatting>
  <conditionalFormatting sqref="A23">
    <cfRule type="duplicateValues" dxfId="719" priority="658" stopIfTrue="1"/>
  </conditionalFormatting>
  <conditionalFormatting sqref="A23">
    <cfRule type="duplicateValues" dxfId="718" priority="657"/>
  </conditionalFormatting>
  <conditionalFormatting sqref="A23">
    <cfRule type="duplicateValues" dxfId="717" priority="656"/>
  </conditionalFormatting>
  <conditionalFormatting sqref="A23">
    <cfRule type="duplicateValues" dxfId="716" priority="654"/>
    <cfRule type="duplicateValues" dxfId="715" priority="655"/>
  </conditionalFormatting>
  <conditionalFormatting sqref="A23">
    <cfRule type="duplicateValues" dxfId="714" priority="653"/>
  </conditionalFormatting>
  <conditionalFormatting sqref="A23">
    <cfRule type="duplicateValues" dxfId="713" priority="652"/>
  </conditionalFormatting>
  <conditionalFormatting sqref="A23">
    <cfRule type="duplicateValues" dxfId="712" priority="650"/>
    <cfRule type="duplicateValues" dxfId="711" priority="651"/>
  </conditionalFormatting>
  <conditionalFormatting sqref="A24">
    <cfRule type="duplicateValues" dxfId="710" priority="647" stopIfTrue="1"/>
    <cfRule type="duplicateValues" dxfId="709" priority="648" stopIfTrue="1"/>
    <cfRule type="cellIs" dxfId="708" priority="649" stopIfTrue="1" operator="equal">
      <formula>25504</formula>
    </cfRule>
  </conditionalFormatting>
  <conditionalFormatting sqref="A24">
    <cfRule type="duplicateValues" dxfId="707" priority="646" stopIfTrue="1"/>
  </conditionalFormatting>
  <conditionalFormatting sqref="A24">
    <cfRule type="duplicateValues" dxfId="706" priority="644" stopIfTrue="1"/>
    <cfRule type="duplicateValues" dxfId="705" priority="645" stopIfTrue="1"/>
  </conditionalFormatting>
  <conditionalFormatting sqref="A24">
    <cfRule type="duplicateValues" dxfId="704" priority="643" stopIfTrue="1"/>
  </conditionalFormatting>
  <conditionalFormatting sqref="A24">
    <cfRule type="duplicateValues" dxfId="703" priority="642" stopIfTrue="1"/>
  </conditionalFormatting>
  <conditionalFormatting sqref="A24">
    <cfRule type="duplicateValues" dxfId="702" priority="641" stopIfTrue="1"/>
  </conditionalFormatting>
  <conditionalFormatting sqref="A24">
    <cfRule type="duplicateValues" dxfId="701" priority="640" stopIfTrue="1"/>
  </conditionalFormatting>
  <conditionalFormatting sqref="A24">
    <cfRule type="duplicateValues" dxfId="700" priority="639" stopIfTrue="1"/>
  </conditionalFormatting>
  <conditionalFormatting sqref="A24">
    <cfRule type="duplicateValues" dxfId="699" priority="636" stopIfTrue="1"/>
    <cfRule type="duplicateValues" dxfId="698" priority="637" stopIfTrue="1"/>
    <cfRule type="duplicateValues" dxfId="697" priority="638" stopIfTrue="1"/>
  </conditionalFormatting>
  <conditionalFormatting sqref="A24">
    <cfRule type="duplicateValues" dxfId="696" priority="634" stopIfTrue="1"/>
    <cfRule type="duplicateValues" dxfId="695" priority="635" stopIfTrue="1"/>
  </conditionalFormatting>
  <conditionalFormatting sqref="A24">
    <cfRule type="duplicateValues" dxfId="694" priority="633"/>
  </conditionalFormatting>
  <conditionalFormatting sqref="A24">
    <cfRule type="duplicateValues" dxfId="693" priority="632"/>
  </conditionalFormatting>
  <conditionalFormatting sqref="A24">
    <cfRule type="duplicateValues" dxfId="692" priority="630"/>
    <cfRule type="duplicateValues" dxfId="691" priority="631"/>
  </conditionalFormatting>
  <conditionalFormatting sqref="A24">
    <cfRule type="duplicateValues" dxfId="690" priority="629"/>
  </conditionalFormatting>
  <conditionalFormatting sqref="A24">
    <cfRule type="duplicateValues" dxfId="689" priority="628" stopIfTrue="1"/>
  </conditionalFormatting>
  <conditionalFormatting sqref="A24">
    <cfRule type="duplicateValues" dxfId="688" priority="625" stopIfTrue="1"/>
    <cfRule type="duplicateValues" dxfId="687" priority="626" stopIfTrue="1"/>
    <cfRule type="duplicateValues" dxfId="686" priority="627" stopIfTrue="1"/>
  </conditionalFormatting>
  <conditionalFormatting sqref="A24">
    <cfRule type="duplicateValues" dxfId="685" priority="624" stopIfTrue="1"/>
  </conditionalFormatting>
  <conditionalFormatting sqref="A24">
    <cfRule type="duplicateValues" dxfId="684" priority="623" stopIfTrue="1"/>
  </conditionalFormatting>
  <conditionalFormatting sqref="A24">
    <cfRule type="duplicateValues" dxfId="683" priority="622" stopIfTrue="1"/>
  </conditionalFormatting>
  <conditionalFormatting sqref="A24">
    <cfRule type="duplicateValues" dxfId="682" priority="621" stopIfTrue="1"/>
  </conditionalFormatting>
  <conditionalFormatting sqref="A24">
    <cfRule type="duplicateValues" dxfId="681" priority="619" stopIfTrue="1"/>
    <cfRule type="duplicateValues" dxfId="680" priority="620" stopIfTrue="1"/>
  </conditionalFormatting>
  <conditionalFormatting sqref="A24">
    <cfRule type="duplicateValues" dxfId="679" priority="618" stopIfTrue="1"/>
  </conditionalFormatting>
  <conditionalFormatting sqref="A24">
    <cfRule type="duplicateValues" dxfId="678" priority="617" stopIfTrue="1"/>
  </conditionalFormatting>
  <conditionalFormatting sqref="A24">
    <cfRule type="duplicateValues" dxfId="677" priority="616" stopIfTrue="1"/>
  </conditionalFormatting>
  <conditionalFormatting sqref="A24">
    <cfRule type="duplicateValues" dxfId="676" priority="613" stopIfTrue="1"/>
    <cfRule type="duplicateValues" dxfId="675" priority="614" stopIfTrue="1"/>
    <cfRule type="duplicateValues" dxfId="674" priority="615" stopIfTrue="1"/>
  </conditionalFormatting>
  <conditionalFormatting sqref="A24">
    <cfRule type="duplicateValues" dxfId="673" priority="612" stopIfTrue="1"/>
  </conditionalFormatting>
  <conditionalFormatting sqref="A24">
    <cfRule type="duplicateValues" dxfId="672" priority="610" stopIfTrue="1"/>
    <cfRule type="duplicateValues" dxfId="671" priority="611" stopIfTrue="1"/>
  </conditionalFormatting>
  <conditionalFormatting sqref="A24">
    <cfRule type="duplicateValues" dxfId="670" priority="609" stopIfTrue="1"/>
  </conditionalFormatting>
  <conditionalFormatting sqref="A24">
    <cfRule type="duplicateValues" dxfId="669" priority="608" stopIfTrue="1"/>
  </conditionalFormatting>
  <conditionalFormatting sqref="A24">
    <cfRule type="duplicateValues" dxfId="668" priority="607" stopIfTrue="1"/>
  </conditionalFormatting>
  <conditionalFormatting sqref="A24">
    <cfRule type="duplicateValues" dxfId="667" priority="606"/>
  </conditionalFormatting>
  <conditionalFormatting sqref="A24">
    <cfRule type="duplicateValues" dxfId="666" priority="605"/>
  </conditionalFormatting>
  <conditionalFormatting sqref="A24">
    <cfRule type="duplicateValues" dxfId="665" priority="603"/>
    <cfRule type="duplicateValues" dxfId="664" priority="604"/>
  </conditionalFormatting>
  <conditionalFormatting sqref="A24">
    <cfRule type="duplicateValues" dxfId="663" priority="602"/>
  </conditionalFormatting>
  <conditionalFormatting sqref="A24">
    <cfRule type="duplicateValues" dxfId="662" priority="601"/>
  </conditionalFormatting>
  <conditionalFormatting sqref="A24">
    <cfRule type="duplicateValues" dxfId="661" priority="599"/>
    <cfRule type="duplicateValues" dxfId="660" priority="600"/>
  </conditionalFormatting>
  <conditionalFormatting sqref="A25">
    <cfRule type="duplicateValues" dxfId="659" priority="562"/>
  </conditionalFormatting>
  <conditionalFormatting sqref="A25">
    <cfRule type="duplicateValues" dxfId="658" priority="560"/>
    <cfRule type="duplicateValues" dxfId="657" priority="561"/>
  </conditionalFormatting>
  <conditionalFormatting sqref="A25">
    <cfRule type="duplicateValues" dxfId="656" priority="545"/>
    <cfRule type="duplicateValues" dxfId="655" priority="546"/>
    <cfRule type="duplicateValues" dxfId="654" priority="547"/>
  </conditionalFormatting>
  <conditionalFormatting sqref="A25">
    <cfRule type="duplicateValues" dxfId="653" priority="533" stopIfTrue="1"/>
    <cfRule type="duplicateValues" dxfId="652" priority="534" stopIfTrue="1"/>
    <cfRule type="cellIs" dxfId="651" priority="535" stopIfTrue="1" operator="equal">
      <formula>25504</formula>
    </cfRule>
  </conditionalFormatting>
  <conditionalFormatting sqref="A25">
    <cfRule type="duplicateValues" dxfId="650" priority="532" stopIfTrue="1"/>
  </conditionalFormatting>
  <conditionalFormatting sqref="A25">
    <cfRule type="duplicateValues" dxfId="649" priority="530" stopIfTrue="1"/>
    <cfRule type="duplicateValues" dxfId="648" priority="531" stopIfTrue="1"/>
  </conditionalFormatting>
  <conditionalFormatting sqref="A25">
    <cfRule type="duplicateValues" dxfId="647" priority="529" stopIfTrue="1"/>
  </conditionalFormatting>
  <conditionalFormatting sqref="A25">
    <cfRule type="duplicateValues" dxfId="646" priority="526" stopIfTrue="1"/>
    <cfRule type="duplicateValues" dxfId="645" priority="527" stopIfTrue="1"/>
    <cfRule type="duplicateValues" dxfId="644" priority="528" stopIfTrue="1"/>
  </conditionalFormatting>
  <conditionalFormatting sqref="A25">
    <cfRule type="duplicateValues" dxfId="643" priority="525"/>
  </conditionalFormatting>
  <conditionalFormatting sqref="A25">
    <cfRule type="duplicateValues" dxfId="642" priority="523"/>
    <cfRule type="duplicateValues" dxfId="641" priority="524"/>
  </conditionalFormatting>
  <conditionalFormatting sqref="A25">
    <cfRule type="duplicateValues" dxfId="640" priority="522"/>
  </conditionalFormatting>
  <conditionalFormatting sqref="A25">
    <cfRule type="duplicateValues" dxfId="639" priority="520"/>
    <cfRule type="duplicateValues" dxfId="638" priority="521"/>
  </conditionalFormatting>
  <conditionalFormatting sqref="A25">
    <cfRule type="duplicateValues" dxfId="637" priority="519"/>
  </conditionalFormatting>
  <conditionalFormatting sqref="A25">
    <cfRule type="duplicateValues" dxfId="636" priority="518"/>
  </conditionalFormatting>
  <conditionalFormatting sqref="A25">
    <cfRule type="duplicateValues" dxfId="635" priority="517"/>
  </conditionalFormatting>
  <conditionalFormatting sqref="A25">
    <cfRule type="duplicateValues" dxfId="634" priority="516"/>
  </conditionalFormatting>
  <conditionalFormatting sqref="A25">
    <cfRule type="duplicateValues" dxfId="633" priority="514"/>
    <cfRule type="duplicateValues" dxfId="632" priority="515"/>
  </conditionalFormatting>
  <conditionalFormatting sqref="A25">
    <cfRule type="duplicateValues" dxfId="631" priority="513"/>
  </conditionalFormatting>
  <conditionalFormatting sqref="A25">
    <cfRule type="duplicateValues" dxfId="630" priority="512"/>
  </conditionalFormatting>
  <conditionalFormatting sqref="A25">
    <cfRule type="duplicateValues" dxfId="629" priority="511"/>
  </conditionalFormatting>
  <conditionalFormatting sqref="A25">
    <cfRule type="duplicateValues" dxfId="628" priority="508"/>
    <cfRule type="duplicateValues" dxfId="627" priority="509"/>
    <cfRule type="duplicateValues" dxfId="626" priority="510"/>
  </conditionalFormatting>
  <conditionalFormatting sqref="A25">
    <cfRule type="duplicateValues" dxfId="625" priority="507"/>
  </conditionalFormatting>
  <conditionalFormatting sqref="A25">
    <cfRule type="duplicateValues" dxfId="624" priority="506"/>
  </conditionalFormatting>
  <conditionalFormatting sqref="A25">
    <cfRule type="duplicateValues" dxfId="623" priority="505"/>
  </conditionalFormatting>
  <conditionalFormatting sqref="A25">
    <cfRule type="duplicateValues" dxfId="622" priority="504"/>
  </conditionalFormatting>
  <conditionalFormatting sqref="A25">
    <cfRule type="duplicateValues" dxfId="621" priority="502"/>
    <cfRule type="duplicateValues" dxfId="620" priority="503"/>
  </conditionalFormatting>
  <conditionalFormatting sqref="A25">
    <cfRule type="duplicateValues" dxfId="619" priority="501"/>
  </conditionalFormatting>
  <conditionalFormatting sqref="A25">
    <cfRule type="duplicateValues" dxfId="618" priority="500"/>
  </conditionalFormatting>
  <conditionalFormatting sqref="A25">
    <cfRule type="duplicateValues" dxfId="617" priority="499"/>
  </conditionalFormatting>
  <conditionalFormatting sqref="B32:B35">
    <cfRule type="duplicateValues" dxfId="616" priority="1914" stopIfTrue="1"/>
  </conditionalFormatting>
  <conditionalFormatting sqref="A33 A26:A31 A35">
    <cfRule type="duplicateValues" dxfId="615" priority="1915" stopIfTrue="1"/>
  </conditionalFormatting>
  <conditionalFormatting sqref="A33 A26:A31 A35">
    <cfRule type="duplicateValues" dxfId="614" priority="1920" stopIfTrue="1"/>
  </conditionalFormatting>
  <conditionalFormatting sqref="A33 A26:A31 A35">
    <cfRule type="duplicateValues" dxfId="613" priority="1925" stopIfTrue="1"/>
    <cfRule type="duplicateValues" dxfId="612" priority="1926" stopIfTrue="1"/>
    <cfRule type="duplicateValues" dxfId="611" priority="1927" stopIfTrue="1"/>
  </conditionalFormatting>
  <conditionalFormatting sqref="A33 A26:A31 A35">
    <cfRule type="duplicateValues" dxfId="610" priority="1940" stopIfTrue="1"/>
    <cfRule type="duplicateValues" dxfId="609" priority="1941" stopIfTrue="1"/>
  </conditionalFormatting>
  <conditionalFormatting sqref="A33 A26:A31 A35">
    <cfRule type="duplicateValues" dxfId="608" priority="1950" stopIfTrue="1"/>
    <cfRule type="duplicateValues" dxfId="607" priority="1951" stopIfTrue="1"/>
    <cfRule type="cellIs" dxfId="606" priority="1952" stopIfTrue="1" operator="equal">
      <formula>25504</formula>
    </cfRule>
  </conditionalFormatting>
  <conditionalFormatting sqref="A32 A34">
    <cfRule type="duplicateValues" dxfId="605" priority="1970" stopIfTrue="1"/>
  </conditionalFormatting>
  <conditionalFormatting sqref="A32 A34">
    <cfRule type="duplicateValues" dxfId="604" priority="1974" stopIfTrue="1"/>
  </conditionalFormatting>
  <conditionalFormatting sqref="A32 A34">
    <cfRule type="duplicateValues" dxfId="603" priority="1978" stopIfTrue="1"/>
    <cfRule type="duplicateValues" dxfId="602" priority="1979" stopIfTrue="1"/>
    <cfRule type="duplicateValues" dxfId="601" priority="1980" stopIfTrue="1"/>
  </conditionalFormatting>
  <conditionalFormatting sqref="A32 A34">
    <cfRule type="duplicateValues" dxfId="600" priority="1990" stopIfTrue="1"/>
    <cfRule type="duplicateValues" dxfId="599" priority="1991" stopIfTrue="1"/>
  </conditionalFormatting>
  <conditionalFormatting sqref="A32 A34">
    <cfRule type="duplicateValues" dxfId="598" priority="1998" stopIfTrue="1"/>
    <cfRule type="duplicateValues" dxfId="597" priority="1999" stopIfTrue="1"/>
    <cfRule type="cellIs" dxfId="596" priority="2000" stopIfTrue="1" operator="equal">
      <formula>25504</formula>
    </cfRule>
  </conditionalFormatting>
  <conditionalFormatting sqref="A37">
    <cfRule type="duplicateValues" dxfId="595" priority="491"/>
  </conditionalFormatting>
  <conditionalFormatting sqref="A37">
    <cfRule type="duplicateValues" dxfId="594" priority="492" stopIfTrue="1"/>
  </conditionalFormatting>
  <conditionalFormatting sqref="A37">
    <cfRule type="duplicateValues" dxfId="593" priority="493"/>
    <cfRule type="duplicateValues" dxfId="592" priority="494"/>
  </conditionalFormatting>
  <conditionalFormatting sqref="A37">
    <cfRule type="duplicateValues" dxfId="591" priority="495"/>
    <cfRule type="duplicateValues" dxfId="590" priority="496"/>
    <cfRule type="duplicateValues" dxfId="589" priority="497"/>
    <cfRule type="duplicateValues" dxfId="588" priority="498"/>
  </conditionalFormatting>
  <conditionalFormatting sqref="A37">
    <cfRule type="duplicateValues" dxfId="587" priority="490"/>
  </conditionalFormatting>
  <conditionalFormatting sqref="A37">
    <cfRule type="duplicateValues" dxfId="586" priority="489"/>
  </conditionalFormatting>
  <conditionalFormatting sqref="A22">
    <cfRule type="duplicateValues" dxfId="585" priority="2138" stopIfTrue="1"/>
    <cfRule type="duplicateValues" dxfId="584" priority="2139" stopIfTrue="1"/>
    <cfRule type="cellIs" dxfId="583" priority="2140" stopIfTrue="1" operator="equal">
      <formula>25504</formula>
    </cfRule>
  </conditionalFormatting>
  <conditionalFormatting sqref="A22">
    <cfRule type="duplicateValues" dxfId="582" priority="2141" stopIfTrue="1"/>
  </conditionalFormatting>
  <conditionalFormatting sqref="A22">
    <cfRule type="duplicateValues" dxfId="581" priority="2142" stopIfTrue="1"/>
    <cfRule type="duplicateValues" dxfId="580" priority="2143" stopIfTrue="1"/>
  </conditionalFormatting>
  <conditionalFormatting sqref="A22">
    <cfRule type="duplicateValues" dxfId="579" priority="2144" stopIfTrue="1"/>
  </conditionalFormatting>
  <conditionalFormatting sqref="A22">
    <cfRule type="duplicateValues" dxfId="578" priority="2145" stopIfTrue="1"/>
    <cfRule type="duplicateValues" dxfId="577" priority="2146" stopIfTrue="1"/>
    <cfRule type="duplicateValues" dxfId="576" priority="2147" stopIfTrue="1"/>
  </conditionalFormatting>
  <conditionalFormatting sqref="A22">
    <cfRule type="duplicateValues" dxfId="575" priority="2148"/>
  </conditionalFormatting>
  <conditionalFormatting sqref="A22">
    <cfRule type="duplicateValues" dxfId="574" priority="2149"/>
    <cfRule type="duplicateValues" dxfId="573" priority="2150"/>
  </conditionalFormatting>
  <conditionalFormatting sqref="A21:A22">
    <cfRule type="duplicateValues" dxfId="572" priority="2151"/>
  </conditionalFormatting>
  <conditionalFormatting sqref="A21:A22">
    <cfRule type="duplicateValues" dxfId="571" priority="2153"/>
    <cfRule type="duplicateValues" dxfId="570" priority="2154"/>
  </conditionalFormatting>
  <conditionalFormatting sqref="A21:A24">
    <cfRule type="duplicateValues" dxfId="569" priority="2157"/>
  </conditionalFormatting>
  <conditionalFormatting sqref="A21:A24">
    <cfRule type="duplicateValues" dxfId="568" priority="2165"/>
    <cfRule type="duplicateValues" dxfId="567" priority="2166"/>
  </conditionalFormatting>
  <conditionalFormatting sqref="A21:A24">
    <cfRule type="duplicateValues" dxfId="566" priority="2171"/>
    <cfRule type="duplicateValues" dxfId="565" priority="2172"/>
    <cfRule type="duplicateValues" dxfId="564" priority="2173"/>
  </conditionalFormatting>
  <conditionalFormatting sqref="A21:A25">
    <cfRule type="duplicateValues" dxfId="563" priority="2266"/>
  </conditionalFormatting>
  <conditionalFormatting sqref="A20">
    <cfRule type="duplicateValues" dxfId="562" priority="2267" stopIfTrue="1"/>
    <cfRule type="duplicateValues" dxfId="561" priority="2268" stopIfTrue="1"/>
    <cfRule type="cellIs" dxfId="560" priority="2269" stopIfTrue="1" operator="equal">
      <formula>25504</formula>
    </cfRule>
  </conditionalFormatting>
  <conditionalFormatting sqref="A20">
    <cfRule type="duplicateValues" dxfId="559" priority="2270" stopIfTrue="1"/>
  </conditionalFormatting>
  <conditionalFormatting sqref="A20">
    <cfRule type="duplicateValues" dxfId="558" priority="2271" stopIfTrue="1"/>
    <cfRule type="duplicateValues" dxfId="557" priority="2272" stopIfTrue="1"/>
  </conditionalFormatting>
  <conditionalFormatting sqref="A20">
    <cfRule type="duplicateValues" dxfId="556" priority="2276" stopIfTrue="1"/>
  </conditionalFormatting>
  <conditionalFormatting sqref="A20">
    <cfRule type="duplicateValues" dxfId="555" priority="2278" stopIfTrue="1"/>
    <cfRule type="duplicateValues" dxfId="554" priority="2279" stopIfTrue="1"/>
    <cfRule type="duplicateValues" dxfId="553" priority="2280" stopIfTrue="1"/>
  </conditionalFormatting>
  <conditionalFormatting sqref="A20">
    <cfRule type="duplicateValues" dxfId="552" priority="2283"/>
  </conditionalFormatting>
  <conditionalFormatting sqref="A20">
    <cfRule type="duplicateValues" dxfId="551" priority="2285"/>
    <cfRule type="duplicateValues" dxfId="550" priority="2286"/>
  </conditionalFormatting>
  <conditionalFormatting sqref="A20">
    <cfRule type="duplicateValues" dxfId="549" priority="2325"/>
    <cfRule type="duplicateValues" dxfId="548" priority="2326"/>
    <cfRule type="duplicateValues" dxfId="547" priority="2327"/>
  </conditionalFormatting>
  <conditionalFormatting sqref="A26:A36">
    <cfRule type="duplicateValues" dxfId="546" priority="2432"/>
  </conditionalFormatting>
  <conditionalFormatting sqref="A26:A36">
    <cfRule type="duplicateValues" dxfId="545" priority="2433"/>
    <cfRule type="duplicateValues" dxfId="544" priority="2434"/>
  </conditionalFormatting>
  <conditionalFormatting sqref="B26:B31">
    <cfRule type="duplicateValues" dxfId="543" priority="2435" stopIfTrue="1"/>
  </conditionalFormatting>
  <conditionalFormatting sqref="A26:A35">
    <cfRule type="duplicateValues" dxfId="542" priority="2436"/>
  </conditionalFormatting>
  <conditionalFormatting sqref="A26:A35">
    <cfRule type="duplicateValues" dxfId="541" priority="2437"/>
    <cfRule type="duplicateValues" dxfId="540" priority="2438"/>
  </conditionalFormatting>
  <conditionalFormatting sqref="A26:A35">
    <cfRule type="duplicateValues" dxfId="539" priority="2439" stopIfTrue="1"/>
  </conditionalFormatting>
  <conditionalFormatting sqref="A26:A35">
    <cfRule type="duplicateValues" dxfId="538" priority="2440" stopIfTrue="1"/>
    <cfRule type="duplicateValues" dxfId="537" priority="2441" stopIfTrue="1"/>
  </conditionalFormatting>
  <conditionalFormatting sqref="A26:A36">
    <cfRule type="duplicateValues" dxfId="536" priority="2442"/>
    <cfRule type="duplicateValues" dxfId="535" priority="2443"/>
    <cfRule type="duplicateValues" dxfId="534" priority="2444"/>
  </conditionalFormatting>
  <conditionalFormatting sqref="A1:A39 A42:A44 A51:A1048576">
    <cfRule type="duplicateValues" dxfId="533" priority="468"/>
  </conditionalFormatting>
  <conditionalFormatting sqref="A43:A44 A16:A17">
    <cfRule type="duplicateValues" dxfId="532" priority="2445" stopIfTrue="1"/>
    <cfRule type="duplicateValues" dxfId="531" priority="2446" stopIfTrue="1"/>
  </conditionalFormatting>
  <conditionalFormatting sqref="A43:A44 A16:A17">
    <cfRule type="duplicateValues" dxfId="530" priority="2449" stopIfTrue="1"/>
  </conditionalFormatting>
  <conditionalFormatting sqref="A43:A44 A16:A17">
    <cfRule type="duplicateValues" dxfId="529" priority="2451"/>
  </conditionalFormatting>
  <conditionalFormatting sqref="A43:A44 A16:A17">
    <cfRule type="duplicateValues" dxfId="528" priority="2453"/>
    <cfRule type="duplicateValues" dxfId="527" priority="2454"/>
  </conditionalFormatting>
  <conditionalFormatting sqref="A43:A44 A16:A17">
    <cfRule type="duplicateValues" dxfId="526" priority="2457" stopIfTrue="1"/>
  </conditionalFormatting>
  <conditionalFormatting sqref="A43:A44 A16:A17">
    <cfRule type="duplicateValues" dxfId="525" priority="2459" stopIfTrue="1"/>
    <cfRule type="duplicateValues" dxfId="524" priority="2460" stopIfTrue="1"/>
    <cfRule type="duplicateValues" dxfId="523" priority="2461" stopIfTrue="1"/>
  </conditionalFormatting>
  <conditionalFormatting sqref="A43:A44 A16:A17">
    <cfRule type="duplicateValues" dxfId="522" priority="2465" stopIfTrue="1"/>
    <cfRule type="duplicateValues" dxfId="521" priority="2466" stopIfTrue="1"/>
    <cfRule type="cellIs" dxfId="520" priority="2467" stopIfTrue="1" operator="equal">
      <formula>25504</formula>
    </cfRule>
  </conditionalFormatting>
  <conditionalFormatting sqref="A43:A44 A16:A17">
    <cfRule type="duplicateValues" dxfId="519" priority="2471"/>
    <cfRule type="duplicateValues" dxfId="518" priority="2472"/>
    <cfRule type="duplicateValues" dxfId="517" priority="2473"/>
  </conditionalFormatting>
  <conditionalFormatting sqref="A41">
    <cfRule type="duplicateValues" dxfId="224" priority="175" stopIfTrue="1"/>
  </conditionalFormatting>
  <conditionalFormatting sqref="A41">
    <cfRule type="duplicateValues" dxfId="223" priority="174" stopIfTrue="1"/>
  </conditionalFormatting>
  <conditionalFormatting sqref="A41">
    <cfRule type="duplicateValues" dxfId="222" priority="173" stopIfTrue="1"/>
  </conditionalFormatting>
  <conditionalFormatting sqref="A41">
    <cfRule type="duplicateValues" dxfId="221" priority="172" stopIfTrue="1"/>
  </conditionalFormatting>
  <conditionalFormatting sqref="A41">
    <cfRule type="duplicateValues" dxfId="220" priority="171" stopIfTrue="1"/>
  </conditionalFormatting>
  <conditionalFormatting sqref="A41">
    <cfRule type="duplicateValues" dxfId="219" priority="170" stopIfTrue="1"/>
  </conditionalFormatting>
  <conditionalFormatting sqref="A41">
    <cfRule type="duplicateValues" dxfId="218" priority="167" stopIfTrue="1"/>
    <cfRule type="duplicateValues" dxfId="217" priority="168" stopIfTrue="1"/>
    <cfRule type="duplicateValues" dxfId="216" priority="169" stopIfTrue="1"/>
  </conditionalFormatting>
  <conditionalFormatting sqref="A41">
    <cfRule type="duplicateValues" dxfId="215" priority="166" stopIfTrue="1"/>
  </conditionalFormatting>
  <conditionalFormatting sqref="A41">
    <cfRule type="duplicateValues" dxfId="214" priority="165" stopIfTrue="1"/>
  </conditionalFormatting>
  <conditionalFormatting sqref="A41">
    <cfRule type="duplicateValues" dxfId="213" priority="163" stopIfTrue="1"/>
    <cfRule type="duplicateValues" dxfId="212" priority="164" stopIfTrue="1"/>
  </conditionalFormatting>
  <conditionalFormatting sqref="A41">
    <cfRule type="duplicateValues" dxfId="211" priority="160" stopIfTrue="1"/>
    <cfRule type="duplicateValues" dxfId="210" priority="161" stopIfTrue="1"/>
    <cfRule type="cellIs" dxfId="209" priority="162" stopIfTrue="1" operator="equal">
      <formula>25504</formula>
    </cfRule>
  </conditionalFormatting>
  <conditionalFormatting sqref="A41">
    <cfRule type="duplicateValues" dxfId="208" priority="159" stopIfTrue="1"/>
  </conditionalFormatting>
  <conditionalFormatting sqref="A41">
    <cfRule type="duplicateValues" dxfId="207" priority="157" stopIfTrue="1"/>
    <cfRule type="duplicateValues" dxfId="206" priority="158" stopIfTrue="1"/>
  </conditionalFormatting>
  <conditionalFormatting sqref="A41">
    <cfRule type="duplicateValues" dxfId="205" priority="156" stopIfTrue="1"/>
  </conditionalFormatting>
  <conditionalFormatting sqref="A41">
    <cfRule type="duplicateValues" dxfId="204" priority="155" stopIfTrue="1"/>
  </conditionalFormatting>
  <conditionalFormatting sqref="A41">
    <cfRule type="duplicateValues" dxfId="203" priority="154" stopIfTrue="1"/>
  </conditionalFormatting>
  <conditionalFormatting sqref="A41">
    <cfRule type="duplicateValues" dxfId="202" priority="153"/>
  </conditionalFormatting>
  <conditionalFormatting sqref="A41">
    <cfRule type="duplicateValues" dxfId="201" priority="152"/>
  </conditionalFormatting>
  <conditionalFormatting sqref="A41">
    <cfRule type="duplicateValues" dxfId="200" priority="150"/>
    <cfRule type="duplicateValues" dxfId="199" priority="151"/>
  </conditionalFormatting>
  <conditionalFormatting sqref="A41">
    <cfRule type="duplicateValues" dxfId="198" priority="149"/>
  </conditionalFormatting>
  <conditionalFormatting sqref="A41">
    <cfRule type="duplicateValues" dxfId="197" priority="148" stopIfTrue="1"/>
  </conditionalFormatting>
  <conditionalFormatting sqref="A41">
    <cfRule type="duplicateValues" dxfId="196" priority="145" stopIfTrue="1"/>
    <cfRule type="duplicateValues" dxfId="195" priority="146" stopIfTrue="1"/>
    <cfRule type="duplicateValues" dxfId="194" priority="147" stopIfTrue="1"/>
  </conditionalFormatting>
  <conditionalFormatting sqref="A41">
    <cfRule type="duplicateValues" dxfId="193" priority="144" stopIfTrue="1"/>
  </conditionalFormatting>
  <conditionalFormatting sqref="A41">
    <cfRule type="duplicateValues" dxfId="192" priority="143" stopIfTrue="1"/>
  </conditionalFormatting>
  <conditionalFormatting sqref="A41">
    <cfRule type="duplicateValues" dxfId="191" priority="142" stopIfTrue="1"/>
  </conditionalFormatting>
  <conditionalFormatting sqref="A41">
    <cfRule type="duplicateValues" dxfId="190" priority="141" stopIfTrue="1"/>
  </conditionalFormatting>
  <conditionalFormatting sqref="A41">
    <cfRule type="duplicateValues" dxfId="189" priority="139" stopIfTrue="1"/>
    <cfRule type="duplicateValues" dxfId="188" priority="140" stopIfTrue="1"/>
  </conditionalFormatting>
  <conditionalFormatting sqref="A41">
    <cfRule type="duplicateValues" dxfId="187" priority="138" stopIfTrue="1"/>
  </conditionalFormatting>
  <conditionalFormatting sqref="A41">
    <cfRule type="duplicateValues" dxfId="186" priority="137" stopIfTrue="1"/>
  </conditionalFormatting>
  <conditionalFormatting sqref="A41">
    <cfRule type="duplicateValues" dxfId="185" priority="136" stopIfTrue="1"/>
  </conditionalFormatting>
  <conditionalFormatting sqref="A41">
    <cfRule type="duplicateValues" dxfId="184" priority="133" stopIfTrue="1"/>
    <cfRule type="duplicateValues" dxfId="183" priority="134" stopIfTrue="1"/>
    <cfRule type="duplicateValues" dxfId="182" priority="135" stopIfTrue="1"/>
  </conditionalFormatting>
  <conditionalFormatting sqref="A41">
    <cfRule type="duplicateValues" dxfId="181" priority="132" stopIfTrue="1"/>
  </conditionalFormatting>
  <conditionalFormatting sqref="A41">
    <cfRule type="duplicateValues" dxfId="180" priority="130" stopIfTrue="1"/>
    <cfRule type="duplicateValues" dxfId="179" priority="131" stopIfTrue="1"/>
  </conditionalFormatting>
  <conditionalFormatting sqref="A41">
    <cfRule type="duplicateValues" dxfId="178" priority="129" stopIfTrue="1"/>
  </conditionalFormatting>
  <conditionalFormatting sqref="A41">
    <cfRule type="duplicateValues" dxfId="177" priority="128" stopIfTrue="1"/>
  </conditionalFormatting>
  <conditionalFormatting sqref="A41">
    <cfRule type="duplicateValues" dxfId="176" priority="127" stopIfTrue="1"/>
  </conditionalFormatting>
  <conditionalFormatting sqref="A41">
    <cfRule type="duplicateValues" dxfId="175" priority="126"/>
  </conditionalFormatting>
  <conditionalFormatting sqref="A41">
    <cfRule type="duplicateValues" dxfId="174" priority="125"/>
  </conditionalFormatting>
  <conditionalFormatting sqref="A41">
    <cfRule type="duplicateValues" dxfId="173" priority="123"/>
    <cfRule type="duplicateValues" dxfId="172" priority="124"/>
  </conditionalFormatting>
  <conditionalFormatting sqref="A41">
    <cfRule type="duplicateValues" dxfId="171" priority="122"/>
  </conditionalFormatting>
  <conditionalFormatting sqref="A41">
    <cfRule type="duplicateValues" dxfId="170" priority="121"/>
  </conditionalFormatting>
  <conditionalFormatting sqref="A41">
    <cfRule type="duplicateValues" dxfId="169" priority="119"/>
    <cfRule type="duplicateValues" dxfId="168" priority="120"/>
  </conditionalFormatting>
  <conditionalFormatting sqref="A41">
    <cfRule type="duplicateValues" dxfId="167" priority="118"/>
  </conditionalFormatting>
  <conditionalFormatting sqref="A41">
    <cfRule type="duplicateValues" dxfId="166" priority="117"/>
  </conditionalFormatting>
  <conditionalFormatting sqref="A41">
    <cfRule type="duplicateValues" dxfId="165" priority="116"/>
  </conditionalFormatting>
  <conditionalFormatting sqref="A41">
    <cfRule type="duplicateValues" dxfId="164" priority="115"/>
  </conditionalFormatting>
  <conditionalFormatting sqref="A41">
    <cfRule type="duplicateValues" dxfId="163" priority="113"/>
    <cfRule type="duplicateValues" dxfId="162" priority="114"/>
  </conditionalFormatting>
  <conditionalFormatting sqref="A41">
    <cfRule type="duplicateValues" dxfId="161" priority="112"/>
  </conditionalFormatting>
  <conditionalFormatting sqref="A41">
    <cfRule type="duplicateValues" dxfId="160" priority="109"/>
    <cfRule type="duplicateValues" dxfId="159" priority="110"/>
    <cfRule type="duplicateValues" dxfId="158" priority="111"/>
  </conditionalFormatting>
  <conditionalFormatting sqref="A41">
    <cfRule type="duplicateValues" dxfId="157" priority="108"/>
  </conditionalFormatting>
  <conditionalFormatting sqref="A41">
    <cfRule type="duplicateValues" dxfId="156" priority="107"/>
  </conditionalFormatting>
  <conditionalFormatting sqref="A41">
    <cfRule type="duplicateValues" dxfId="155" priority="106"/>
  </conditionalFormatting>
  <conditionalFormatting sqref="A41">
    <cfRule type="duplicateValues" dxfId="154" priority="105"/>
  </conditionalFormatting>
  <conditionalFormatting sqref="A41">
    <cfRule type="duplicateValues" dxfId="153" priority="104"/>
  </conditionalFormatting>
  <conditionalFormatting sqref="A41">
    <cfRule type="duplicateValues" dxfId="152" priority="103"/>
  </conditionalFormatting>
  <conditionalFormatting sqref="A41">
    <cfRule type="duplicateValues" dxfId="151" priority="102"/>
  </conditionalFormatting>
  <conditionalFormatting sqref="A41">
    <cfRule type="duplicateValues" dxfId="150" priority="101"/>
  </conditionalFormatting>
  <conditionalFormatting sqref="A41">
    <cfRule type="duplicateValues" dxfId="149" priority="100"/>
  </conditionalFormatting>
  <conditionalFormatting sqref="A41">
    <cfRule type="duplicateValues" dxfId="148" priority="99"/>
  </conditionalFormatting>
  <conditionalFormatting sqref="A41">
    <cfRule type="duplicateValues" dxfId="147" priority="98"/>
  </conditionalFormatting>
  <conditionalFormatting sqref="A41">
    <cfRule type="duplicateValues" dxfId="146" priority="96"/>
    <cfRule type="duplicateValues" dxfId="145" priority="97"/>
  </conditionalFormatting>
  <conditionalFormatting sqref="A41">
    <cfRule type="duplicateValues" dxfId="144" priority="95"/>
  </conditionalFormatting>
  <conditionalFormatting sqref="A41">
    <cfRule type="duplicateValues" dxfId="143" priority="94"/>
  </conditionalFormatting>
  <conditionalFormatting sqref="A41">
    <cfRule type="duplicateValues" dxfId="142" priority="93"/>
  </conditionalFormatting>
  <conditionalFormatting sqref="A41">
    <cfRule type="duplicateValues" dxfId="141" priority="92"/>
  </conditionalFormatting>
  <conditionalFormatting sqref="A41">
    <cfRule type="duplicateValues" dxfId="140" priority="91"/>
  </conditionalFormatting>
  <conditionalFormatting sqref="A41">
    <cfRule type="duplicateValues" dxfId="139" priority="90"/>
  </conditionalFormatting>
  <conditionalFormatting sqref="A41">
    <cfRule type="duplicateValues" dxfId="138" priority="89"/>
  </conditionalFormatting>
  <conditionalFormatting sqref="A40">
    <cfRule type="duplicateValues" dxfId="137" priority="88" stopIfTrue="1"/>
  </conditionalFormatting>
  <conditionalFormatting sqref="A40">
    <cfRule type="duplicateValues" dxfId="136" priority="87" stopIfTrue="1"/>
  </conditionalFormatting>
  <conditionalFormatting sqref="A40">
    <cfRule type="duplicateValues" dxfId="135" priority="86" stopIfTrue="1"/>
  </conditionalFormatting>
  <conditionalFormatting sqref="A40">
    <cfRule type="duplicateValues" dxfId="134" priority="85" stopIfTrue="1"/>
  </conditionalFormatting>
  <conditionalFormatting sqref="A40">
    <cfRule type="duplicateValues" dxfId="133" priority="84" stopIfTrue="1"/>
  </conditionalFormatting>
  <conditionalFormatting sqref="A40">
    <cfRule type="duplicateValues" dxfId="132" priority="83" stopIfTrue="1"/>
  </conditionalFormatting>
  <conditionalFormatting sqref="A40">
    <cfRule type="duplicateValues" dxfId="131" priority="80" stopIfTrue="1"/>
    <cfRule type="duplicateValues" dxfId="130" priority="81" stopIfTrue="1"/>
    <cfRule type="duplicateValues" dxfId="129" priority="82" stopIfTrue="1"/>
  </conditionalFormatting>
  <conditionalFormatting sqref="A40">
    <cfRule type="duplicateValues" dxfId="128" priority="79" stopIfTrue="1"/>
  </conditionalFormatting>
  <conditionalFormatting sqref="A40">
    <cfRule type="duplicateValues" dxfId="127" priority="78" stopIfTrue="1"/>
  </conditionalFormatting>
  <conditionalFormatting sqref="A40">
    <cfRule type="duplicateValues" dxfId="126" priority="76" stopIfTrue="1"/>
    <cfRule type="duplicateValues" dxfId="125" priority="77" stopIfTrue="1"/>
  </conditionalFormatting>
  <conditionalFormatting sqref="A40">
    <cfRule type="duplicateValues" dxfId="124" priority="73" stopIfTrue="1"/>
    <cfRule type="duplicateValues" dxfId="123" priority="74" stopIfTrue="1"/>
    <cfRule type="cellIs" dxfId="122" priority="75" stopIfTrue="1" operator="equal">
      <formula>25504</formula>
    </cfRule>
  </conditionalFormatting>
  <conditionalFormatting sqref="A40">
    <cfRule type="duplicateValues" dxfId="121" priority="72" stopIfTrue="1"/>
  </conditionalFormatting>
  <conditionalFormatting sqref="A40">
    <cfRule type="duplicateValues" dxfId="120" priority="70" stopIfTrue="1"/>
    <cfRule type="duplicateValues" dxfId="119" priority="71" stopIfTrue="1"/>
  </conditionalFormatting>
  <conditionalFormatting sqref="A40">
    <cfRule type="duplicateValues" dxfId="118" priority="69" stopIfTrue="1"/>
  </conditionalFormatting>
  <conditionalFormatting sqref="A40">
    <cfRule type="duplicateValues" dxfId="117" priority="68" stopIfTrue="1"/>
  </conditionalFormatting>
  <conditionalFormatting sqref="A40">
    <cfRule type="duplicateValues" dxfId="116" priority="67" stopIfTrue="1"/>
  </conditionalFormatting>
  <conditionalFormatting sqref="A40">
    <cfRule type="duplicateValues" dxfId="115" priority="66"/>
  </conditionalFormatting>
  <conditionalFormatting sqref="A40">
    <cfRule type="duplicateValues" dxfId="114" priority="65"/>
  </conditionalFormatting>
  <conditionalFormatting sqref="A40">
    <cfRule type="duplicateValues" dxfId="113" priority="63"/>
    <cfRule type="duplicateValues" dxfId="112" priority="64"/>
  </conditionalFormatting>
  <conditionalFormatting sqref="A40">
    <cfRule type="duplicateValues" dxfId="111" priority="62"/>
  </conditionalFormatting>
  <conditionalFormatting sqref="A40">
    <cfRule type="duplicateValues" dxfId="110" priority="61" stopIfTrue="1"/>
  </conditionalFormatting>
  <conditionalFormatting sqref="A40">
    <cfRule type="duplicateValues" dxfId="109" priority="58" stopIfTrue="1"/>
    <cfRule type="duplicateValues" dxfId="108" priority="59" stopIfTrue="1"/>
    <cfRule type="duplicateValues" dxfId="107" priority="60" stopIfTrue="1"/>
  </conditionalFormatting>
  <conditionalFormatting sqref="A40">
    <cfRule type="duplicateValues" dxfId="106" priority="57" stopIfTrue="1"/>
  </conditionalFormatting>
  <conditionalFormatting sqref="A40">
    <cfRule type="duplicateValues" dxfId="105" priority="56" stopIfTrue="1"/>
  </conditionalFormatting>
  <conditionalFormatting sqref="A40">
    <cfRule type="duplicateValues" dxfId="104" priority="55" stopIfTrue="1"/>
  </conditionalFormatting>
  <conditionalFormatting sqref="A40">
    <cfRule type="duplicateValues" dxfId="103" priority="54" stopIfTrue="1"/>
  </conditionalFormatting>
  <conditionalFormatting sqref="A40">
    <cfRule type="duplicateValues" dxfId="102" priority="52" stopIfTrue="1"/>
    <cfRule type="duplicateValues" dxfId="101" priority="53" stopIfTrue="1"/>
  </conditionalFormatting>
  <conditionalFormatting sqref="A40">
    <cfRule type="duplicateValues" dxfId="100" priority="51" stopIfTrue="1"/>
  </conditionalFormatting>
  <conditionalFormatting sqref="A40">
    <cfRule type="duplicateValues" dxfId="99" priority="50" stopIfTrue="1"/>
  </conditionalFormatting>
  <conditionalFormatting sqref="A40">
    <cfRule type="duplicateValues" dxfId="98" priority="49" stopIfTrue="1"/>
  </conditionalFormatting>
  <conditionalFormatting sqref="A40">
    <cfRule type="duplicateValues" dxfId="97" priority="46" stopIfTrue="1"/>
    <cfRule type="duplicateValues" dxfId="96" priority="47" stopIfTrue="1"/>
    <cfRule type="duplicateValues" dxfId="95" priority="48" stopIfTrue="1"/>
  </conditionalFormatting>
  <conditionalFormatting sqref="A40">
    <cfRule type="duplicateValues" dxfId="94" priority="45" stopIfTrue="1"/>
  </conditionalFormatting>
  <conditionalFormatting sqref="A40">
    <cfRule type="duplicateValues" dxfId="93" priority="43" stopIfTrue="1"/>
    <cfRule type="duplicateValues" dxfId="92" priority="44" stopIfTrue="1"/>
  </conditionalFormatting>
  <conditionalFormatting sqref="A40">
    <cfRule type="duplicateValues" dxfId="91" priority="42" stopIfTrue="1"/>
  </conditionalFormatting>
  <conditionalFormatting sqref="A40">
    <cfRule type="duplicateValues" dxfId="90" priority="41" stopIfTrue="1"/>
  </conditionalFormatting>
  <conditionalFormatting sqref="A40">
    <cfRule type="duplicateValues" dxfId="89" priority="40" stopIfTrue="1"/>
  </conditionalFormatting>
  <conditionalFormatting sqref="A40">
    <cfRule type="duplicateValues" dxfId="88" priority="39"/>
  </conditionalFormatting>
  <conditionalFormatting sqref="A40">
    <cfRule type="duplicateValues" dxfId="87" priority="38"/>
  </conditionalFormatting>
  <conditionalFormatting sqref="A40">
    <cfRule type="duplicateValues" dxfId="86" priority="36"/>
    <cfRule type="duplicateValues" dxfId="85" priority="37"/>
  </conditionalFormatting>
  <conditionalFormatting sqref="A40">
    <cfRule type="duplicateValues" dxfId="84" priority="35"/>
  </conditionalFormatting>
  <conditionalFormatting sqref="A40">
    <cfRule type="duplicateValues" dxfId="83" priority="34"/>
  </conditionalFormatting>
  <conditionalFormatting sqref="A40">
    <cfRule type="duplicateValues" dxfId="82" priority="32"/>
    <cfRule type="duplicateValues" dxfId="81" priority="33"/>
  </conditionalFormatting>
  <conditionalFormatting sqref="A40">
    <cfRule type="duplicateValues" dxfId="80" priority="31"/>
  </conditionalFormatting>
  <conditionalFormatting sqref="A40">
    <cfRule type="duplicateValues" dxfId="79" priority="30"/>
  </conditionalFormatting>
  <conditionalFormatting sqref="A40">
    <cfRule type="duplicateValues" dxfId="78" priority="29"/>
  </conditionalFormatting>
  <conditionalFormatting sqref="A40">
    <cfRule type="duplicateValues" dxfId="77" priority="28"/>
  </conditionalFormatting>
  <conditionalFormatting sqref="A40">
    <cfRule type="duplicateValues" dxfId="76" priority="26"/>
    <cfRule type="duplicateValues" dxfId="75" priority="27"/>
  </conditionalFormatting>
  <conditionalFormatting sqref="A40">
    <cfRule type="duplicateValues" dxfId="74" priority="25"/>
  </conditionalFormatting>
  <conditionalFormatting sqref="A40">
    <cfRule type="duplicateValues" dxfId="73" priority="22"/>
    <cfRule type="duplicateValues" dxfId="72" priority="23"/>
    <cfRule type="duplicateValues" dxfId="71" priority="24"/>
  </conditionalFormatting>
  <conditionalFormatting sqref="A40">
    <cfRule type="duplicateValues" dxfId="70" priority="21"/>
  </conditionalFormatting>
  <conditionalFormatting sqref="A40">
    <cfRule type="duplicateValues" dxfId="69" priority="20"/>
  </conditionalFormatting>
  <conditionalFormatting sqref="A40">
    <cfRule type="duplicateValues" dxfId="68" priority="19"/>
  </conditionalFormatting>
  <conditionalFormatting sqref="A40">
    <cfRule type="duplicateValues" dxfId="67" priority="18"/>
  </conditionalFormatting>
  <conditionalFormatting sqref="A40">
    <cfRule type="duplicateValues" dxfId="66" priority="17"/>
  </conditionalFormatting>
  <conditionalFormatting sqref="A40">
    <cfRule type="duplicateValues" dxfId="65" priority="16"/>
  </conditionalFormatting>
  <conditionalFormatting sqref="A40">
    <cfRule type="duplicateValues" dxfId="64" priority="15"/>
  </conditionalFormatting>
  <conditionalFormatting sqref="A40">
    <cfRule type="duplicateValues" dxfId="63" priority="14"/>
  </conditionalFormatting>
  <conditionalFormatting sqref="A40">
    <cfRule type="duplicateValues" dxfId="62" priority="13"/>
  </conditionalFormatting>
  <conditionalFormatting sqref="A40">
    <cfRule type="duplicateValues" dxfId="61" priority="12"/>
  </conditionalFormatting>
  <conditionalFormatting sqref="A40">
    <cfRule type="duplicateValues" dxfId="60" priority="11"/>
  </conditionalFormatting>
  <conditionalFormatting sqref="A40">
    <cfRule type="duplicateValues" dxfId="59" priority="9"/>
    <cfRule type="duplicateValues" dxfId="58" priority="10"/>
  </conditionalFormatting>
  <conditionalFormatting sqref="A40">
    <cfRule type="duplicateValues" dxfId="57" priority="8"/>
  </conditionalFormatting>
  <conditionalFormatting sqref="A40">
    <cfRule type="duplicateValues" dxfId="56" priority="7"/>
  </conditionalFormatting>
  <conditionalFormatting sqref="A40">
    <cfRule type="duplicateValues" dxfId="55" priority="6"/>
  </conditionalFormatting>
  <conditionalFormatting sqref="A40">
    <cfRule type="duplicateValues" dxfId="54" priority="5"/>
  </conditionalFormatting>
  <conditionalFormatting sqref="A40">
    <cfRule type="duplicateValues" dxfId="53" priority="4"/>
  </conditionalFormatting>
  <conditionalFormatting sqref="A40">
    <cfRule type="duplicateValues" dxfId="52" priority="3"/>
  </conditionalFormatting>
  <conditionalFormatting sqref="A40">
    <cfRule type="duplicateValues" dxfId="51" priority="2"/>
  </conditionalFormatting>
  <conditionalFormatting sqref="A40:A41">
    <cfRule type="duplicateValues" dxfId="50" priority="1"/>
  </conditionalFormatting>
  <dataValidations count="1">
    <dataValidation type="whole" operator="lessThan" allowBlank="1" showInputMessage="1" showErrorMessage="1" sqref="A2:A50">
      <formula1>65535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6"/>
  <sheetViews>
    <sheetView workbookViewId="0">
      <selection activeCell="B4" sqref="B4"/>
    </sheetView>
  </sheetViews>
  <sheetFormatPr defaultRowHeight="13.5"/>
  <sheetData>
    <row r="1" spans="1:3" ht="14.25">
      <c r="A1" t="s">
        <v>9</v>
      </c>
      <c r="B1" s="2" t="s">
        <v>10</v>
      </c>
      <c r="C1" s="2"/>
    </row>
    <row r="2" spans="1:3">
      <c r="A2" t="s">
        <v>11</v>
      </c>
      <c r="B2" t="s">
        <v>12</v>
      </c>
    </row>
    <row r="3" spans="1:3" ht="14.25">
      <c r="A3" s="2" t="s">
        <v>13</v>
      </c>
      <c r="B3" s="2" t="s">
        <v>20</v>
      </c>
      <c r="C3" s="2"/>
    </row>
    <row r="4" spans="1:3" ht="14.25">
      <c r="A4" s="2" t="s">
        <v>18</v>
      </c>
      <c r="B4" s="2" t="s">
        <v>19</v>
      </c>
      <c r="C4" s="2"/>
    </row>
    <row r="5" spans="1:3" ht="14.25">
      <c r="A5" s="2" t="s">
        <v>14</v>
      </c>
      <c r="B5" s="2" t="s">
        <v>15</v>
      </c>
      <c r="C5" s="2"/>
    </row>
    <row r="6" spans="1:3" ht="14.25">
      <c r="A6" s="2" t="s">
        <v>8</v>
      </c>
      <c r="B6" s="2" t="s">
        <v>16</v>
      </c>
      <c r="C6" s="2"/>
    </row>
  </sheetData>
  <phoneticPr fontId="5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5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33" sqref="C33"/>
    </sheetView>
  </sheetViews>
  <sheetFormatPr defaultRowHeight="16.5"/>
  <cols>
    <col min="1" max="16384" width="9" style="5"/>
  </cols>
  <sheetData>
    <row r="1" spans="1:15">
      <c r="A1" s="1" t="s">
        <v>0</v>
      </c>
      <c r="B1" s="1" t="s">
        <v>3</v>
      </c>
      <c r="C1" s="1" t="s">
        <v>4</v>
      </c>
      <c r="D1" s="1" t="s">
        <v>5</v>
      </c>
      <c r="E1" s="1" t="s">
        <v>6</v>
      </c>
      <c r="F1" s="1" t="s">
        <v>7</v>
      </c>
      <c r="H1" s="5">
        <v>200</v>
      </c>
      <c r="N1" s="10" t="s">
        <v>72</v>
      </c>
      <c r="O1" s="10" t="s">
        <v>73</v>
      </c>
    </row>
    <row r="2" spans="1:15">
      <c r="A2" s="3">
        <f>Sheet1!A2</f>
        <v>20294</v>
      </c>
      <c r="B2" s="5">
        <f>VLOOKUP($A2,Sheet1!$A$2:$J$120,6,FALSE)</f>
        <v>150</v>
      </c>
      <c r="C2" s="5">
        <f>VLOOKUP($A2,Sheet1!$A$2:$J$120,7,FALSE)</f>
        <v>0</v>
      </c>
      <c r="D2" s="5">
        <f>VLOOKUP($A2,Sheet1!$A$2:$J$120,8,FALSE)</f>
        <v>0</v>
      </c>
      <c r="E2" s="5">
        <f>VLOOKUP($A2,Sheet1!$A$2:$J$120,9,FALSE)</f>
        <v>20</v>
      </c>
      <c r="F2" s="5">
        <f>VLOOKUP($A2,Sheet1!$A$2:$J$120,10,FALSE)</f>
        <v>20</v>
      </c>
      <c r="G2" s="5">
        <f>B2/10+SUM(C2:F2)</f>
        <v>55</v>
      </c>
      <c r="H2" s="5">
        <f>G2*H$1</f>
        <v>11000</v>
      </c>
      <c r="I2" s="5">
        <f>H2*0.1</f>
        <v>1100</v>
      </c>
      <c r="M2" s="10" t="s">
        <v>69</v>
      </c>
      <c r="N2" s="5">
        <v>61200</v>
      </c>
      <c r="O2" s="5">
        <f>SUM(B2:B500)</f>
        <v>48800</v>
      </c>
    </row>
    <row r="3" spans="1:15">
      <c r="A3" s="3">
        <f>Sheet1!A3</f>
        <v>20295</v>
      </c>
      <c r="B3" s="5">
        <f>VLOOKUP($A3,Sheet1!$A$2:$J$120,6,FALSE)</f>
        <v>250</v>
      </c>
      <c r="C3" s="5">
        <f>VLOOKUP($A3,Sheet1!$A$2:$J$120,7,FALSE)</f>
        <v>0</v>
      </c>
      <c r="D3" s="5">
        <f>VLOOKUP($A3,Sheet1!$A$2:$J$120,8,FALSE)</f>
        <v>0</v>
      </c>
      <c r="E3" s="5">
        <f>VLOOKUP($A3,Sheet1!$A$2:$J$120,9,FALSE)</f>
        <v>40</v>
      </c>
      <c r="F3" s="5">
        <f>VLOOKUP($A3,Sheet1!$A$2:$J$120,10,FALSE)</f>
        <v>40</v>
      </c>
      <c r="G3" s="5">
        <f t="shared" ref="G3:G50" si="0">B3/10+SUM(C3:F3)</f>
        <v>105</v>
      </c>
      <c r="H3" s="5">
        <f t="shared" ref="H3:H50" si="1">G3*H$1</f>
        <v>21000</v>
      </c>
      <c r="I3" s="5">
        <f t="shared" ref="I3:I50" si="2">H3*0.1</f>
        <v>2100</v>
      </c>
      <c r="M3" s="10" t="s">
        <v>70</v>
      </c>
      <c r="N3" s="5">
        <v>10200</v>
      </c>
      <c r="O3" s="5">
        <f>SUM(C2:C500)</f>
        <v>3240</v>
      </c>
    </row>
    <row r="4" spans="1:15">
      <c r="A4" s="3">
        <f>Sheet1!A4</f>
        <v>20515</v>
      </c>
      <c r="B4" s="5">
        <f>VLOOKUP($A4,Sheet1!$A$2:$J$120,6,FALSE)</f>
        <v>350</v>
      </c>
      <c r="C4" s="5">
        <f>VLOOKUP($A4,Sheet1!$A$2:$J$120,7,FALSE)</f>
        <v>0</v>
      </c>
      <c r="D4" s="5">
        <f>VLOOKUP($A4,Sheet1!$A$2:$J$120,8,FALSE)</f>
        <v>0</v>
      </c>
      <c r="E4" s="5">
        <f>VLOOKUP($A4,Sheet1!$A$2:$J$120,9,FALSE)</f>
        <v>60</v>
      </c>
      <c r="F4" s="5">
        <f>VLOOKUP($A4,Sheet1!$A$2:$J$120,10,FALSE)</f>
        <v>60</v>
      </c>
      <c r="G4" s="5">
        <f t="shared" si="0"/>
        <v>155</v>
      </c>
      <c r="H4" s="5">
        <f t="shared" si="1"/>
        <v>31000</v>
      </c>
      <c r="I4" s="5">
        <f t="shared" si="2"/>
        <v>3100</v>
      </c>
      <c r="M4" s="10" t="s">
        <v>71</v>
      </c>
      <c r="N4" s="5">
        <v>7140</v>
      </c>
      <c r="O4" s="5">
        <f>SUM(E2:E500)</f>
        <v>3290</v>
      </c>
    </row>
    <row r="5" spans="1:15">
      <c r="A5" s="3">
        <f>Sheet1!A5</f>
        <v>20516</v>
      </c>
      <c r="B5" s="5">
        <f>VLOOKUP($A5,Sheet1!$A$2:$J$120,6,FALSE)</f>
        <v>450</v>
      </c>
      <c r="C5" s="5">
        <f>VLOOKUP($A5,Sheet1!$A$2:$J$120,7,FALSE)</f>
        <v>0</v>
      </c>
      <c r="D5" s="5">
        <f>VLOOKUP($A5,Sheet1!$A$2:$J$120,8,FALSE)</f>
        <v>0</v>
      </c>
      <c r="E5" s="5">
        <f>VLOOKUP($A5,Sheet1!$A$2:$J$120,9,FALSE)</f>
        <v>80</v>
      </c>
      <c r="F5" s="5">
        <f>VLOOKUP($A5,Sheet1!$A$2:$J$120,10,FALSE)</f>
        <v>80</v>
      </c>
      <c r="G5" s="5">
        <f t="shared" si="0"/>
        <v>205</v>
      </c>
      <c r="H5" s="5">
        <f t="shared" si="1"/>
        <v>41000</v>
      </c>
      <c r="I5" s="5">
        <f t="shared" si="2"/>
        <v>4100</v>
      </c>
    </row>
    <row r="6" spans="1:15">
      <c r="A6" s="3">
        <f>Sheet1!A6</f>
        <v>20517</v>
      </c>
      <c r="B6" s="5">
        <f>VLOOKUP($A6,Sheet1!$A$2:$J$120,6,FALSE)</f>
        <v>550</v>
      </c>
      <c r="C6" s="5">
        <f>VLOOKUP($A6,Sheet1!$A$2:$J$120,7,FALSE)</f>
        <v>0</v>
      </c>
      <c r="D6" s="5">
        <f>VLOOKUP($A6,Sheet1!$A$2:$J$120,8,FALSE)</f>
        <v>0</v>
      </c>
      <c r="E6" s="5">
        <f>VLOOKUP($A6,Sheet1!$A$2:$J$120,9,FALSE)</f>
        <v>100</v>
      </c>
      <c r="F6" s="5">
        <f>VLOOKUP($A6,Sheet1!$A$2:$J$120,10,FALSE)</f>
        <v>100</v>
      </c>
      <c r="G6" s="5">
        <f t="shared" si="0"/>
        <v>255</v>
      </c>
      <c r="H6" s="5">
        <f t="shared" si="1"/>
        <v>51000</v>
      </c>
      <c r="I6" s="5">
        <f t="shared" si="2"/>
        <v>5100</v>
      </c>
    </row>
    <row r="7" spans="1:15">
      <c r="A7" s="3">
        <f>Sheet1!A7</f>
        <v>20518</v>
      </c>
      <c r="B7" s="5">
        <f>VLOOKUP($A7,Sheet1!$A$2:$J$120,6,FALSE)</f>
        <v>650</v>
      </c>
      <c r="C7" s="5">
        <f>VLOOKUP($A7,Sheet1!$A$2:$J$120,7,FALSE)</f>
        <v>0</v>
      </c>
      <c r="D7" s="5">
        <f>VLOOKUP($A7,Sheet1!$A$2:$J$120,8,FALSE)</f>
        <v>0</v>
      </c>
      <c r="E7" s="5">
        <f>VLOOKUP($A7,Sheet1!$A$2:$J$120,9,FALSE)</f>
        <v>120</v>
      </c>
      <c r="F7" s="5">
        <f>VLOOKUP($A7,Sheet1!$A$2:$J$120,10,FALSE)</f>
        <v>120</v>
      </c>
      <c r="G7" s="5">
        <f t="shared" si="0"/>
        <v>305</v>
      </c>
      <c r="H7" s="5">
        <f t="shared" si="1"/>
        <v>61000</v>
      </c>
      <c r="I7" s="5">
        <f t="shared" si="2"/>
        <v>6100</v>
      </c>
    </row>
    <row r="8" spans="1:15">
      <c r="A8" s="3">
        <f>Sheet1!A8</f>
        <v>20519</v>
      </c>
      <c r="B8" s="5">
        <f>VLOOKUP($A8,Sheet1!$A$2:$J$120,6,FALSE)</f>
        <v>750</v>
      </c>
      <c r="C8" s="5">
        <f>VLOOKUP($A8,Sheet1!$A$2:$J$120,7,FALSE)</f>
        <v>0</v>
      </c>
      <c r="D8" s="5">
        <f>VLOOKUP($A8,Sheet1!$A$2:$J$120,8,FALSE)</f>
        <v>0</v>
      </c>
      <c r="E8" s="5">
        <f>VLOOKUP($A8,Sheet1!$A$2:$J$120,9,FALSE)</f>
        <v>140</v>
      </c>
      <c r="F8" s="5">
        <f>VLOOKUP($A8,Sheet1!$A$2:$J$120,10,FALSE)</f>
        <v>140</v>
      </c>
      <c r="G8" s="5">
        <f t="shared" si="0"/>
        <v>355</v>
      </c>
      <c r="H8" s="5">
        <f t="shared" si="1"/>
        <v>71000</v>
      </c>
      <c r="I8" s="5">
        <f t="shared" si="2"/>
        <v>7100</v>
      </c>
    </row>
    <row r="9" spans="1:15">
      <c r="A9" s="3">
        <f>Sheet1!A9</f>
        <v>20520</v>
      </c>
      <c r="B9" s="5">
        <f>VLOOKUP($A9,Sheet1!$A$2:$J$120,6,FALSE)</f>
        <v>850</v>
      </c>
      <c r="C9" s="5">
        <f>VLOOKUP($A9,Sheet1!$A$2:$J$120,7,FALSE)</f>
        <v>0</v>
      </c>
      <c r="D9" s="5">
        <f>VLOOKUP($A9,Sheet1!$A$2:$J$120,8,FALSE)</f>
        <v>0</v>
      </c>
      <c r="E9" s="5">
        <f>VLOOKUP($A9,Sheet1!$A$2:$J$120,9,FALSE)</f>
        <v>160</v>
      </c>
      <c r="F9" s="5">
        <f>VLOOKUP($A9,Sheet1!$A$2:$J$120,10,FALSE)</f>
        <v>160</v>
      </c>
      <c r="G9" s="5">
        <f t="shared" si="0"/>
        <v>405</v>
      </c>
      <c r="H9" s="5">
        <f t="shared" si="1"/>
        <v>81000</v>
      </c>
      <c r="I9" s="5">
        <f t="shared" si="2"/>
        <v>8100</v>
      </c>
    </row>
    <row r="10" spans="1:15">
      <c r="A10" s="3">
        <f>Sheet1!A10</f>
        <v>20521</v>
      </c>
      <c r="B10" s="5">
        <f>VLOOKUP($A10,Sheet1!$A$2:$J$120,6,FALSE)</f>
        <v>150</v>
      </c>
      <c r="C10" s="5">
        <f>VLOOKUP($A10,Sheet1!$A$2:$J$120,7,FALSE)</f>
        <v>0</v>
      </c>
      <c r="D10" s="5">
        <f>VLOOKUP($A10,Sheet1!$A$2:$J$120,8,FALSE)</f>
        <v>0</v>
      </c>
      <c r="E10" s="5">
        <f>VLOOKUP($A10,Sheet1!$A$2:$J$120,9,FALSE)</f>
        <v>20</v>
      </c>
      <c r="F10" s="5">
        <f>VLOOKUP($A10,Sheet1!$A$2:$J$120,10,FALSE)</f>
        <v>20</v>
      </c>
      <c r="G10" s="5">
        <f t="shared" si="0"/>
        <v>55</v>
      </c>
      <c r="H10" s="5">
        <f t="shared" si="1"/>
        <v>11000</v>
      </c>
      <c r="I10" s="5">
        <f t="shared" si="2"/>
        <v>1100</v>
      </c>
    </row>
    <row r="11" spans="1:15">
      <c r="A11" s="3">
        <f>Sheet1!A11</f>
        <v>20522</v>
      </c>
      <c r="B11" s="5">
        <f>VLOOKUP($A11,Sheet1!$A$2:$J$120,6,FALSE)</f>
        <v>250</v>
      </c>
      <c r="C11" s="5">
        <f>VLOOKUP($A11,Sheet1!$A$2:$J$120,7,FALSE)</f>
        <v>0</v>
      </c>
      <c r="D11" s="5">
        <f>VLOOKUP($A11,Sheet1!$A$2:$J$120,8,FALSE)</f>
        <v>0</v>
      </c>
      <c r="E11" s="5">
        <f>VLOOKUP($A11,Sheet1!$A$2:$J$120,9,FALSE)</f>
        <v>40</v>
      </c>
      <c r="F11" s="5">
        <f>VLOOKUP($A11,Sheet1!$A$2:$J$120,10,FALSE)</f>
        <v>40</v>
      </c>
      <c r="G11" s="5">
        <f t="shared" si="0"/>
        <v>105</v>
      </c>
      <c r="H11" s="5">
        <f t="shared" si="1"/>
        <v>21000</v>
      </c>
      <c r="I11" s="5">
        <f t="shared" si="2"/>
        <v>2100</v>
      </c>
    </row>
    <row r="12" spans="1:15">
      <c r="A12" s="3">
        <f>Sheet1!A12</f>
        <v>20523</v>
      </c>
      <c r="B12" s="5">
        <f>VLOOKUP($A12,Sheet1!$A$2:$J$120,6,FALSE)</f>
        <v>350</v>
      </c>
      <c r="C12" s="5">
        <f>VLOOKUP($A12,Sheet1!$A$2:$J$120,7,FALSE)</f>
        <v>0</v>
      </c>
      <c r="D12" s="5">
        <f>VLOOKUP($A12,Sheet1!$A$2:$J$120,8,FALSE)</f>
        <v>0</v>
      </c>
      <c r="E12" s="5">
        <f>VLOOKUP($A12,Sheet1!$A$2:$J$120,9,FALSE)</f>
        <v>60</v>
      </c>
      <c r="F12" s="5">
        <f>VLOOKUP($A12,Sheet1!$A$2:$J$120,10,FALSE)</f>
        <v>60</v>
      </c>
      <c r="G12" s="5">
        <f t="shared" si="0"/>
        <v>155</v>
      </c>
      <c r="H12" s="5">
        <f t="shared" si="1"/>
        <v>31000</v>
      </c>
      <c r="I12" s="5">
        <f t="shared" si="2"/>
        <v>3100</v>
      </c>
    </row>
    <row r="13" spans="1:15">
      <c r="A13" s="3">
        <f>Sheet1!A13</f>
        <v>20524</v>
      </c>
      <c r="B13" s="5">
        <f>VLOOKUP($A13,Sheet1!$A$2:$J$120,6,FALSE)</f>
        <v>450</v>
      </c>
      <c r="C13" s="5">
        <f>VLOOKUP($A13,Sheet1!$A$2:$J$120,7,FALSE)</f>
        <v>0</v>
      </c>
      <c r="D13" s="5">
        <f>VLOOKUP($A13,Sheet1!$A$2:$J$120,8,FALSE)</f>
        <v>0</v>
      </c>
      <c r="E13" s="5">
        <f>VLOOKUP($A13,Sheet1!$A$2:$J$120,9,FALSE)</f>
        <v>80</v>
      </c>
      <c r="F13" s="5">
        <f>VLOOKUP($A13,Sheet1!$A$2:$J$120,10,FALSE)</f>
        <v>80</v>
      </c>
      <c r="G13" s="5">
        <f t="shared" si="0"/>
        <v>205</v>
      </c>
      <c r="H13" s="5">
        <f t="shared" si="1"/>
        <v>41000</v>
      </c>
      <c r="I13" s="5">
        <f t="shared" si="2"/>
        <v>4100</v>
      </c>
    </row>
    <row r="14" spans="1:15">
      <c r="A14" s="3">
        <f>Sheet1!A14</f>
        <v>20525</v>
      </c>
      <c r="B14" s="5">
        <f>VLOOKUP($A14,Sheet1!$A$2:$J$120,6,FALSE)</f>
        <v>550</v>
      </c>
      <c r="C14" s="5">
        <f>VLOOKUP($A14,Sheet1!$A$2:$J$120,7,FALSE)</f>
        <v>0</v>
      </c>
      <c r="D14" s="5">
        <f>VLOOKUP($A14,Sheet1!$A$2:$J$120,8,FALSE)</f>
        <v>0</v>
      </c>
      <c r="E14" s="5">
        <f>VLOOKUP($A14,Sheet1!$A$2:$J$120,9,FALSE)</f>
        <v>100</v>
      </c>
      <c r="F14" s="5">
        <f>VLOOKUP($A14,Sheet1!$A$2:$J$120,10,FALSE)</f>
        <v>100</v>
      </c>
      <c r="G14" s="5">
        <f t="shared" si="0"/>
        <v>255</v>
      </c>
      <c r="H14" s="5">
        <f t="shared" si="1"/>
        <v>51000</v>
      </c>
      <c r="I14" s="5">
        <f t="shared" si="2"/>
        <v>5100</v>
      </c>
    </row>
    <row r="15" spans="1:15">
      <c r="A15" s="3">
        <f>Sheet1!A15</f>
        <v>20526</v>
      </c>
      <c r="B15" s="5">
        <f>VLOOKUP($A15,Sheet1!$A$2:$J$120,6,FALSE)</f>
        <v>850</v>
      </c>
      <c r="C15" s="5">
        <f>VLOOKUP($A15,Sheet1!$A$2:$J$120,7,FALSE)</f>
        <v>0</v>
      </c>
      <c r="D15" s="5">
        <f>VLOOKUP($A15,Sheet1!$A$2:$J$120,8,FALSE)</f>
        <v>0</v>
      </c>
      <c r="E15" s="5">
        <f>VLOOKUP($A15,Sheet1!$A$2:$J$120,9,FALSE)</f>
        <v>160</v>
      </c>
      <c r="F15" s="5">
        <f>VLOOKUP($A15,Sheet1!$A$2:$J$120,10,FALSE)</f>
        <v>160</v>
      </c>
      <c r="G15" s="5">
        <f t="shared" si="0"/>
        <v>405</v>
      </c>
      <c r="H15" s="5">
        <f t="shared" si="1"/>
        <v>81000</v>
      </c>
      <c r="I15" s="5">
        <f t="shared" si="2"/>
        <v>8100</v>
      </c>
    </row>
    <row r="16" spans="1:15">
      <c r="A16" s="3">
        <f>Sheet1!A16</f>
        <v>20529</v>
      </c>
      <c r="B16" s="5">
        <f>VLOOKUP($A16,Sheet1!$A$2:$J$120,6,FALSE)</f>
        <v>950</v>
      </c>
      <c r="C16" s="5">
        <f>VLOOKUP($A16,Sheet1!$A$2:$J$120,7,FALSE)</f>
        <v>0</v>
      </c>
      <c r="D16" s="5">
        <f>VLOOKUP($A16,Sheet1!$A$2:$J$120,8,FALSE)</f>
        <v>0</v>
      </c>
      <c r="E16" s="5">
        <f>VLOOKUP($A16,Sheet1!$A$2:$J$120,9,FALSE)</f>
        <v>180</v>
      </c>
      <c r="F16" s="5">
        <f>VLOOKUP($A16,Sheet1!$A$2:$J$120,10,FALSE)</f>
        <v>180</v>
      </c>
      <c r="G16" s="5">
        <f t="shared" si="0"/>
        <v>455</v>
      </c>
      <c r="H16" s="5">
        <f t="shared" si="1"/>
        <v>91000</v>
      </c>
      <c r="I16" s="5">
        <f t="shared" si="2"/>
        <v>9100</v>
      </c>
    </row>
    <row r="17" spans="1:9">
      <c r="A17" s="3">
        <f>Sheet1!A17</f>
        <v>20530</v>
      </c>
      <c r="B17" s="5">
        <f>VLOOKUP($A17,Sheet1!$A$2:$J$120,6,FALSE)</f>
        <v>950</v>
      </c>
      <c r="C17" s="5">
        <f>VLOOKUP($A17,Sheet1!$A$2:$J$120,7,FALSE)</f>
        <v>0</v>
      </c>
      <c r="D17" s="5">
        <f>VLOOKUP($A17,Sheet1!$A$2:$J$120,8,FALSE)</f>
        <v>0</v>
      </c>
      <c r="E17" s="5">
        <f>VLOOKUP($A17,Sheet1!$A$2:$J$120,9,FALSE)</f>
        <v>180</v>
      </c>
      <c r="F17" s="5">
        <f>VLOOKUP($A17,Sheet1!$A$2:$J$120,10,FALSE)</f>
        <v>180</v>
      </c>
      <c r="G17" s="5">
        <f t="shared" si="0"/>
        <v>455</v>
      </c>
      <c r="H17" s="5">
        <f t="shared" si="1"/>
        <v>91000</v>
      </c>
      <c r="I17" s="5">
        <f t="shared" si="2"/>
        <v>9100</v>
      </c>
    </row>
    <row r="18" spans="1:9">
      <c r="A18" s="3">
        <f>Sheet1!A18</f>
        <v>20500</v>
      </c>
      <c r="B18" s="5">
        <f>VLOOKUP($A18,Sheet1!$A$2:$J$120,6,FALSE)</f>
        <v>300</v>
      </c>
      <c r="C18" s="5">
        <f>VLOOKUP($A18,Sheet1!$A$2:$J$120,7,FALSE)</f>
        <v>0</v>
      </c>
      <c r="D18" s="5">
        <f>VLOOKUP($A18,Sheet1!$A$2:$J$120,8,FALSE)</f>
        <v>0</v>
      </c>
      <c r="E18" s="5">
        <f>VLOOKUP($A18,Sheet1!$A$2:$J$120,9,FALSE)</f>
        <v>35</v>
      </c>
      <c r="F18" s="5">
        <f>VLOOKUP($A18,Sheet1!$A$2:$J$120,10,FALSE)</f>
        <v>35</v>
      </c>
      <c r="G18" s="5">
        <f t="shared" si="0"/>
        <v>100</v>
      </c>
      <c r="H18" s="5">
        <f t="shared" si="1"/>
        <v>20000</v>
      </c>
      <c r="I18" s="5">
        <f t="shared" si="2"/>
        <v>2000</v>
      </c>
    </row>
    <row r="19" spans="1:9">
      <c r="A19" s="3">
        <f>Sheet1!A19</f>
        <v>20506</v>
      </c>
      <c r="B19" s="5">
        <f>VLOOKUP($A19,Sheet1!$A$2:$J$120,6,FALSE)</f>
        <v>300</v>
      </c>
      <c r="C19" s="5">
        <f>VLOOKUP($A19,Sheet1!$A$2:$J$120,7,FALSE)</f>
        <v>0</v>
      </c>
      <c r="D19" s="5">
        <f>VLOOKUP($A19,Sheet1!$A$2:$J$120,8,FALSE)</f>
        <v>0</v>
      </c>
      <c r="E19" s="5">
        <f>VLOOKUP($A19,Sheet1!$A$2:$J$120,9,FALSE)</f>
        <v>35</v>
      </c>
      <c r="F19" s="5">
        <f>VLOOKUP($A19,Sheet1!$A$2:$J$120,10,FALSE)</f>
        <v>35</v>
      </c>
      <c r="G19" s="5">
        <f t="shared" si="0"/>
        <v>100</v>
      </c>
      <c r="H19" s="5">
        <f t="shared" si="1"/>
        <v>20000</v>
      </c>
      <c r="I19" s="5">
        <f t="shared" si="2"/>
        <v>2000</v>
      </c>
    </row>
    <row r="20" spans="1:9">
      <c r="A20" s="3">
        <f>Sheet1!A20</f>
        <v>20631</v>
      </c>
      <c r="B20" s="5">
        <f>VLOOKUP($A20,Sheet1!$A$2:$J$120,6,FALSE)</f>
        <v>0</v>
      </c>
      <c r="C20" s="5">
        <f>VLOOKUP($A20,Sheet1!$A$2:$J$120,7,FALSE)</f>
        <v>0</v>
      </c>
      <c r="D20" s="5">
        <f>VLOOKUP($A20,Sheet1!$A$2:$J$120,8,FALSE)</f>
        <v>0</v>
      </c>
      <c r="E20" s="5">
        <f>VLOOKUP($A20,Sheet1!$A$2:$J$120,9,FALSE)</f>
        <v>70</v>
      </c>
      <c r="F20" s="5">
        <f>VLOOKUP($A20,Sheet1!$A$2:$J$120,10,FALSE)</f>
        <v>70</v>
      </c>
      <c r="G20" s="5">
        <f t="shared" si="0"/>
        <v>140</v>
      </c>
      <c r="H20" s="5">
        <f t="shared" si="1"/>
        <v>28000</v>
      </c>
      <c r="I20" s="5">
        <f t="shared" si="2"/>
        <v>2800</v>
      </c>
    </row>
    <row r="21" spans="1:9">
      <c r="A21" s="3">
        <f>Sheet1!A21</f>
        <v>20632</v>
      </c>
      <c r="B21" s="5">
        <f>VLOOKUP($A21,Sheet1!$A$2:$J$120,6,FALSE)</f>
        <v>0</v>
      </c>
      <c r="C21" s="5">
        <f>VLOOKUP($A21,Sheet1!$A$2:$J$120,7,FALSE)</f>
        <v>0</v>
      </c>
      <c r="D21" s="5">
        <f>VLOOKUP($A21,Sheet1!$A$2:$J$120,8,FALSE)</f>
        <v>0</v>
      </c>
      <c r="E21" s="5">
        <f>VLOOKUP($A21,Sheet1!$A$2:$J$120,9,FALSE)</f>
        <v>110</v>
      </c>
      <c r="F21" s="5">
        <f>VLOOKUP($A21,Sheet1!$A$2:$J$120,10,FALSE)</f>
        <v>110</v>
      </c>
      <c r="G21" s="5">
        <f t="shared" si="0"/>
        <v>220</v>
      </c>
      <c r="H21" s="5">
        <f t="shared" si="1"/>
        <v>44000</v>
      </c>
      <c r="I21" s="5">
        <f t="shared" si="2"/>
        <v>4400</v>
      </c>
    </row>
    <row r="22" spans="1:9">
      <c r="A22" s="3">
        <f>Sheet1!A22</f>
        <v>20634</v>
      </c>
      <c r="B22" s="5">
        <f>VLOOKUP($A22,Sheet1!$A$2:$J$120,6,FALSE)</f>
        <v>0</v>
      </c>
      <c r="C22" s="5">
        <f>VLOOKUP($A22,Sheet1!$A$2:$J$120,7,FALSE)</f>
        <v>0</v>
      </c>
      <c r="D22" s="5">
        <f>VLOOKUP($A22,Sheet1!$A$2:$J$120,8,FALSE)</f>
        <v>0</v>
      </c>
      <c r="E22" s="5">
        <f>VLOOKUP($A22,Sheet1!$A$2:$J$120,9,FALSE)</f>
        <v>150</v>
      </c>
      <c r="F22" s="5">
        <f>VLOOKUP($A22,Sheet1!$A$2:$J$120,10,FALSE)</f>
        <v>150</v>
      </c>
      <c r="G22" s="5">
        <f t="shared" si="0"/>
        <v>300</v>
      </c>
      <c r="H22" s="5">
        <f t="shared" si="1"/>
        <v>60000</v>
      </c>
      <c r="I22" s="5">
        <f t="shared" si="2"/>
        <v>6000</v>
      </c>
    </row>
    <row r="23" spans="1:9">
      <c r="A23" s="3">
        <f>Sheet1!A23</f>
        <v>20682</v>
      </c>
      <c r="B23" s="5">
        <f>VLOOKUP($A23,Sheet1!$A$2:$J$120,6,FALSE)</f>
        <v>0</v>
      </c>
      <c r="C23" s="5">
        <f>VLOOKUP($A23,Sheet1!$A$2:$J$120,7,FALSE)</f>
        <v>0</v>
      </c>
      <c r="D23" s="5">
        <f>VLOOKUP($A23,Sheet1!$A$2:$J$120,8,FALSE)</f>
        <v>0</v>
      </c>
      <c r="E23" s="5">
        <f>VLOOKUP($A23,Sheet1!$A$2:$J$120,9,FALSE)</f>
        <v>190</v>
      </c>
      <c r="F23" s="5">
        <f>VLOOKUP($A23,Sheet1!$A$2:$J$120,10,FALSE)</f>
        <v>190</v>
      </c>
      <c r="G23" s="5">
        <f t="shared" si="0"/>
        <v>380</v>
      </c>
      <c r="H23" s="5">
        <f t="shared" si="1"/>
        <v>76000</v>
      </c>
      <c r="I23" s="5">
        <f t="shared" si="2"/>
        <v>7600</v>
      </c>
    </row>
    <row r="24" spans="1:9">
      <c r="A24" s="3">
        <f>Sheet1!A24</f>
        <v>20684</v>
      </c>
      <c r="B24" s="5">
        <f>VLOOKUP($A24,Sheet1!$A$2:$J$120,6,FALSE)</f>
        <v>0</v>
      </c>
      <c r="C24" s="5">
        <f>VLOOKUP($A24,Sheet1!$A$2:$J$120,7,FALSE)</f>
        <v>0</v>
      </c>
      <c r="D24" s="5">
        <f>VLOOKUP($A24,Sheet1!$A$2:$J$120,8,FALSE)</f>
        <v>0</v>
      </c>
      <c r="E24" s="5">
        <f>VLOOKUP($A24,Sheet1!$A$2:$J$120,9,FALSE)</f>
        <v>230</v>
      </c>
      <c r="F24" s="5">
        <f>VLOOKUP($A24,Sheet1!$A$2:$J$120,10,FALSE)</f>
        <v>230</v>
      </c>
      <c r="G24" s="5">
        <f t="shared" si="0"/>
        <v>460</v>
      </c>
      <c r="H24" s="5">
        <f t="shared" si="1"/>
        <v>92000</v>
      </c>
      <c r="I24" s="5">
        <f t="shared" si="2"/>
        <v>9200</v>
      </c>
    </row>
    <row r="25" spans="1:9">
      <c r="A25" s="3">
        <f>Sheet1!A25</f>
        <v>20685</v>
      </c>
      <c r="B25" s="5">
        <f>VLOOKUP($A25,Sheet1!$A$2:$J$120,6,FALSE)</f>
        <v>0</v>
      </c>
      <c r="C25" s="5">
        <f>VLOOKUP($A25,Sheet1!$A$2:$J$120,7,FALSE)</f>
        <v>0</v>
      </c>
      <c r="D25" s="5">
        <f>VLOOKUP($A25,Sheet1!$A$2:$J$120,8,FALSE)</f>
        <v>0</v>
      </c>
      <c r="E25" s="5">
        <f>VLOOKUP($A25,Sheet1!$A$2:$J$120,9,FALSE)</f>
        <v>270</v>
      </c>
      <c r="F25" s="5">
        <f>VLOOKUP($A25,Sheet1!$A$2:$J$120,10,FALSE)</f>
        <v>270</v>
      </c>
      <c r="G25" s="5">
        <f t="shared" si="0"/>
        <v>540</v>
      </c>
      <c r="H25" s="5">
        <f t="shared" si="1"/>
        <v>108000</v>
      </c>
      <c r="I25" s="5">
        <f t="shared" si="2"/>
        <v>10800</v>
      </c>
    </row>
    <row r="26" spans="1:9">
      <c r="A26" s="3">
        <f>Sheet1!A26</f>
        <v>20686</v>
      </c>
      <c r="B26" s="5">
        <f>VLOOKUP($A26,Sheet1!$A$2:$J$120,6,FALSE)</f>
        <v>0</v>
      </c>
      <c r="C26" s="5">
        <f>VLOOKUP($A26,Sheet1!$A$2:$J$120,7,FALSE)</f>
        <v>0</v>
      </c>
      <c r="D26" s="5">
        <f>VLOOKUP($A26,Sheet1!$A$2:$J$120,8,FALSE)</f>
        <v>0</v>
      </c>
      <c r="E26" s="5">
        <f>VLOOKUP($A26,Sheet1!$A$2:$J$120,9,FALSE)</f>
        <v>310</v>
      </c>
      <c r="F26" s="5">
        <f>VLOOKUP($A26,Sheet1!$A$2:$J$120,10,FALSE)</f>
        <v>310</v>
      </c>
      <c r="G26" s="5">
        <f t="shared" si="0"/>
        <v>620</v>
      </c>
      <c r="H26" s="5">
        <f t="shared" si="1"/>
        <v>124000</v>
      </c>
      <c r="I26" s="5">
        <f t="shared" si="2"/>
        <v>12400</v>
      </c>
    </row>
    <row r="27" spans="1:9">
      <c r="A27" s="3">
        <f>Sheet1!A27</f>
        <v>20689</v>
      </c>
      <c r="B27" s="5">
        <f>VLOOKUP($A27,Sheet1!$A$2:$J$120,6,FALSE)</f>
        <v>0</v>
      </c>
      <c r="C27" s="5">
        <f>VLOOKUP($A27,Sheet1!$A$2:$J$120,7,FALSE)</f>
        <v>0</v>
      </c>
      <c r="D27" s="5">
        <f>VLOOKUP($A27,Sheet1!$A$2:$J$120,8,FALSE)</f>
        <v>0</v>
      </c>
      <c r="E27" s="5">
        <f>VLOOKUP($A27,Sheet1!$A$2:$J$120,9,FALSE)</f>
        <v>350</v>
      </c>
      <c r="F27" s="5">
        <f>VLOOKUP($A27,Sheet1!$A$2:$J$120,10,FALSE)</f>
        <v>350</v>
      </c>
      <c r="G27" s="5">
        <f t="shared" si="0"/>
        <v>700</v>
      </c>
      <c r="H27" s="5">
        <f t="shared" si="1"/>
        <v>140000</v>
      </c>
      <c r="I27" s="5">
        <f t="shared" si="2"/>
        <v>14000</v>
      </c>
    </row>
    <row r="28" spans="1:9">
      <c r="A28" s="11">
        <f>Sheet1!A28</f>
        <v>1108</v>
      </c>
      <c r="B28" s="12">
        <f>VLOOKUP($A28,Sheet1!$A$2:$J$120,6,FALSE)</f>
        <v>0</v>
      </c>
      <c r="C28" s="12">
        <f>VLOOKUP($A28,Sheet1!$A$2:$J$120,7,FALSE)</f>
        <v>150</v>
      </c>
      <c r="D28" s="12">
        <f>VLOOKUP($A28,Sheet1!$A$2:$J$120,8,FALSE)</f>
        <v>150</v>
      </c>
      <c r="E28" s="12">
        <f>VLOOKUP($A28,Sheet1!$A$2:$J$120,9,FALSE)</f>
        <v>0</v>
      </c>
      <c r="F28" s="12">
        <f>VLOOKUP($A28,Sheet1!$A$2:$J$120,10,FALSE)</f>
        <v>0</v>
      </c>
      <c r="G28" s="12">
        <f t="shared" si="0"/>
        <v>300</v>
      </c>
      <c r="H28" s="12">
        <f t="shared" si="1"/>
        <v>60000</v>
      </c>
      <c r="I28" s="12">
        <f t="shared" si="2"/>
        <v>6000</v>
      </c>
    </row>
    <row r="29" spans="1:9">
      <c r="A29" s="11">
        <f>Sheet1!A29</f>
        <v>1109</v>
      </c>
      <c r="B29" s="12">
        <f>VLOOKUP($A29,Sheet1!$A$2:$J$120,6,FALSE)</f>
        <v>0</v>
      </c>
      <c r="C29" s="12">
        <f>VLOOKUP($A29,Sheet1!$A$2:$J$120,7,FALSE)</f>
        <v>230</v>
      </c>
      <c r="D29" s="12">
        <f>VLOOKUP($A29,Sheet1!$A$2:$J$120,8,FALSE)</f>
        <v>230</v>
      </c>
      <c r="E29" s="12">
        <f>VLOOKUP($A29,Sheet1!$A$2:$J$120,9,FALSE)</f>
        <v>0</v>
      </c>
      <c r="F29" s="12">
        <f>VLOOKUP($A29,Sheet1!$A$2:$J$120,10,FALSE)</f>
        <v>0</v>
      </c>
      <c r="G29" s="12">
        <f t="shared" si="0"/>
        <v>460</v>
      </c>
      <c r="H29" s="12">
        <f t="shared" si="1"/>
        <v>92000</v>
      </c>
      <c r="I29" s="12">
        <f t="shared" si="2"/>
        <v>9200</v>
      </c>
    </row>
    <row r="30" spans="1:9">
      <c r="A30" s="11">
        <f>Sheet1!A30</f>
        <v>2108</v>
      </c>
      <c r="B30" s="12">
        <f>VLOOKUP($A30,Sheet1!$A$2:$J$120,6,FALSE)</f>
        <v>0</v>
      </c>
      <c r="C30" s="12">
        <f>VLOOKUP($A30,Sheet1!$A$2:$J$120,7,FALSE)</f>
        <v>150</v>
      </c>
      <c r="D30" s="12">
        <f>VLOOKUP($A30,Sheet1!$A$2:$J$120,8,FALSE)</f>
        <v>150</v>
      </c>
      <c r="E30" s="12">
        <f>VLOOKUP($A30,Sheet1!$A$2:$J$120,9,FALSE)</f>
        <v>0</v>
      </c>
      <c r="F30" s="12">
        <f>VLOOKUP($A30,Sheet1!$A$2:$J$120,10,FALSE)</f>
        <v>0</v>
      </c>
      <c r="G30" s="12">
        <f t="shared" si="0"/>
        <v>300</v>
      </c>
      <c r="H30" s="12">
        <f t="shared" si="1"/>
        <v>60000</v>
      </c>
      <c r="I30" s="12">
        <f t="shared" si="2"/>
        <v>6000</v>
      </c>
    </row>
    <row r="31" spans="1:9">
      <c r="A31" s="11">
        <f>Sheet1!A31</f>
        <v>2109</v>
      </c>
      <c r="B31" s="12">
        <f>VLOOKUP($A31,Sheet1!$A$2:$J$120,6,FALSE)</f>
        <v>0</v>
      </c>
      <c r="C31" s="12">
        <f>VLOOKUP($A31,Sheet1!$A$2:$J$120,7,FALSE)</f>
        <v>230</v>
      </c>
      <c r="D31" s="12">
        <f>VLOOKUP($A31,Sheet1!$A$2:$J$120,8,FALSE)</f>
        <v>230</v>
      </c>
      <c r="E31" s="12">
        <f>VLOOKUP($A31,Sheet1!$A$2:$J$120,9,FALSE)</f>
        <v>0</v>
      </c>
      <c r="F31" s="12">
        <f>VLOOKUP($A31,Sheet1!$A$2:$J$120,10,FALSE)</f>
        <v>0</v>
      </c>
      <c r="G31" s="12">
        <f t="shared" si="0"/>
        <v>460</v>
      </c>
      <c r="H31" s="12">
        <f t="shared" si="1"/>
        <v>92000</v>
      </c>
      <c r="I31" s="12">
        <f t="shared" si="2"/>
        <v>9200</v>
      </c>
    </row>
    <row r="32" spans="1:9">
      <c r="A32" s="11">
        <f>Sheet1!A32</f>
        <v>3108</v>
      </c>
      <c r="B32" s="12">
        <f>VLOOKUP($A32,Sheet1!$A$2:$J$120,6,FALSE)</f>
        <v>0</v>
      </c>
      <c r="C32" s="12">
        <f>VLOOKUP($A32,Sheet1!$A$2:$J$120,7,FALSE)</f>
        <v>150</v>
      </c>
      <c r="D32" s="12">
        <f>VLOOKUP($A32,Sheet1!$A$2:$J$120,8,FALSE)</f>
        <v>150</v>
      </c>
      <c r="E32" s="12">
        <f>VLOOKUP($A32,Sheet1!$A$2:$J$120,9,FALSE)</f>
        <v>0</v>
      </c>
      <c r="F32" s="12">
        <f>VLOOKUP($A32,Sheet1!$A$2:$J$120,10,FALSE)</f>
        <v>0</v>
      </c>
      <c r="G32" s="12">
        <f t="shared" si="0"/>
        <v>300</v>
      </c>
      <c r="H32" s="12">
        <f t="shared" si="1"/>
        <v>60000</v>
      </c>
      <c r="I32" s="12">
        <f t="shared" si="2"/>
        <v>6000</v>
      </c>
    </row>
    <row r="33" spans="1:9">
      <c r="A33" s="11">
        <f>Sheet1!A33</f>
        <v>3109</v>
      </c>
      <c r="B33" s="12">
        <f>VLOOKUP($A33,Sheet1!$A$2:$J$120,6,FALSE)</f>
        <v>0</v>
      </c>
      <c r="C33" s="12">
        <f>VLOOKUP($A33,Sheet1!$A$2:$J$120,7,FALSE)</f>
        <v>230</v>
      </c>
      <c r="D33" s="12">
        <f>VLOOKUP($A33,Sheet1!$A$2:$J$120,8,FALSE)</f>
        <v>230</v>
      </c>
      <c r="E33" s="12">
        <f>VLOOKUP($A33,Sheet1!$A$2:$J$120,9,FALSE)</f>
        <v>0</v>
      </c>
      <c r="F33" s="12">
        <f>VLOOKUP($A33,Sheet1!$A$2:$J$120,10,FALSE)</f>
        <v>0</v>
      </c>
      <c r="G33" s="12">
        <f t="shared" si="0"/>
        <v>460</v>
      </c>
      <c r="H33" s="12">
        <f t="shared" si="1"/>
        <v>92000</v>
      </c>
      <c r="I33" s="12">
        <f t="shared" si="2"/>
        <v>9200</v>
      </c>
    </row>
    <row r="34" spans="1:9">
      <c r="A34" s="11">
        <f>Sheet1!A34</f>
        <v>1110</v>
      </c>
      <c r="B34" s="12">
        <f>VLOOKUP($A34,Sheet1!$A$2:$J$120,6,FALSE)</f>
        <v>0</v>
      </c>
      <c r="C34" s="12">
        <f>VLOOKUP($A34,Sheet1!$A$2:$J$120,7,FALSE)</f>
        <v>310</v>
      </c>
      <c r="D34" s="12">
        <f>VLOOKUP($A34,Sheet1!$A$2:$J$120,8,FALSE)</f>
        <v>310</v>
      </c>
      <c r="E34" s="12">
        <f>VLOOKUP($A34,Sheet1!$A$2:$J$120,9,FALSE)</f>
        <v>0</v>
      </c>
      <c r="F34" s="12">
        <f>VLOOKUP($A34,Sheet1!$A$2:$J$120,10,FALSE)</f>
        <v>0</v>
      </c>
      <c r="G34" s="12">
        <f t="shared" si="0"/>
        <v>620</v>
      </c>
      <c r="H34" s="12">
        <f t="shared" si="1"/>
        <v>124000</v>
      </c>
      <c r="I34" s="12">
        <f t="shared" si="2"/>
        <v>12400</v>
      </c>
    </row>
    <row r="35" spans="1:9">
      <c r="A35" s="11">
        <f>Sheet1!A35</f>
        <v>1111</v>
      </c>
      <c r="B35" s="12">
        <f>VLOOKUP($A35,Sheet1!$A$2:$J$120,6,FALSE)</f>
        <v>0</v>
      </c>
      <c r="C35" s="12">
        <f>VLOOKUP($A35,Sheet1!$A$2:$J$120,7,FALSE)</f>
        <v>390</v>
      </c>
      <c r="D35" s="12">
        <f>VLOOKUP($A35,Sheet1!$A$2:$J$120,8,FALSE)</f>
        <v>390</v>
      </c>
      <c r="E35" s="12">
        <f>VLOOKUP($A35,Sheet1!$A$2:$J$120,9,FALSE)</f>
        <v>0</v>
      </c>
      <c r="F35" s="12">
        <f>VLOOKUP($A35,Sheet1!$A$2:$J$120,10,FALSE)</f>
        <v>0</v>
      </c>
      <c r="G35" s="12">
        <f t="shared" si="0"/>
        <v>780</v>
      </c>
      <c r="H35" s="12">
        <f t="shared" si="1"/>
        <v>156000</v>
      </c>
      <c r="I35" s="12">
        <f t="shared" si="2"/>
        <v>15600</v>
      </c>
    </row>
    <row r="36" spans="1:9">
      <c r="A36" s="11">
        <f>Sheet1!A36</f>
        <v>2110</v>
      </c>
      <c r="B36" s="12">
        <f>VLOOKUP($A36,Sheet1!$A$2:$J$120,6,FALSE)</f>
        <v>0</v>
      </c>
      <c r="C36" s="12">
        <f>VLOOKUP($A36,Sheet1!$A$2:$J$120,7,FALSE)</f>
        <v>310</v>
      </c>
      <c r="D36" s="12">
        <f>VLOOKUP($A36,Sheet1!$A$2:$J$120,8,FALSE)</f>
        <v>310</v>
      </c>
      <c r="E36" s="12">
        <f>VLOOKUP($A36,Sheet1!$A$2:$J$120,9,FALSE)</f>
        <v>0</v>
      </c>
      <c r="F36" s="12">
        <f>VLOOKUP($A36,Sheet1!$A$2:$J$120,10,FALSE)</f>
        <v>0</v>
      </c>
      <c r="G36" s="12">
        <f t="shared" si="0"/>
        <v>620</v>
      </c>
      <c r="H36" s="12">
        <f t="shared" si="1"/>
        <v>124000</v>
      </c>
      <c r="I36" s="12">
        <f t="shared" si="2"/>
        <v>12400</v>
      </c>
    </row>
    <row r="37" spans="1:9">
      <c r="A37" s="11">
        <f>Sheet1!A37</f>
        <v>2111</v>
      </c>
      <c r="B37" s="12">
        <f>VLOOKUP($A37,Sheet1!$A$2:$J$120,6,FALSE)</f>
        <v>0</v>
      </c>
      <c r="C37" s="12">
        <f>VLOOKUP($A37,Sheet1!$A$2:$J$120,7,FALSE)</f>
        <v>390</v>
      </c>
      <c r="D37" s="12">
        <f>VLOOKUP($A37,Sheet1!$A$2:$J$120,8,FALSE)</f>
        <v>390</v>
      </c>
      <c r="E37" s="12">
        <f>VLOOKUP($A37,Sheet1!$A$2:$J$120,9,FALSE)</f>
        <v>0</v>
      </c>
      <c r="F37" s="12">
        <f>VLOOKUP($A37,Sheet1!$A$2:$J$120,10,FALSE)</f>
        <v>0</v>
      </c>
      <c r="G37" s="12">
        <f t="shared" si="0"/>
        <v>780</v>
      </c>
      <c r="H37" s="12">
        <f t="shared" si="1"/>
        <v>156000</v>
      </c>
      <c r="I37" s="12">
        <f t="shared" si="2"/>
        <v>15600</v>
      </c>
    </row>
    <row r="38" spans="1:9">
      <c r="A38" s="11">
        <f>Sheet1!A38</f>
        <v>3110</v>
      </c>
      <c r="B38" s="12">
        <f>VLOOKUP($A38,Sheet1!$A$2:$J$120,6,FALSE)</f>
        <v>0</v>
      </c>
      <c r="C38" s="12">
        <f>VLOOKUP($A38,Sheet1!$A$2:$J$120,7,FALSE)</f>
        <v>310</v>
      </c>
      <c r="D38" s="12">
        <f>VLOOKUP($A38,Sheet1!$A$2:$J$120,8,FALSE)</f>
        <v>310</v>
      </c>
      <c r="E38" s="12">
        <f>VLOOKUP($A38,Sheet1!$A$2:$J$120,9,FALSE)</f>
        <v>0</v>
      </c>
      <c r="F38" s="12">
        <f>VLOOKUP($A38,Sheet1!$A$2:$J$120,10,FALSE)</f>
        <v>0</v>
      </c>
      <c r="G38" s="12">
        <f t="shared" si="0"/>
        <v>620</v>
      </c>
      <c r="H38" s="12">
        <f t="shared" si="1"/>
        <v>124000</v>
      </c>
      <c r="I38" s="12">
        <f t="shared" si="2"/>
        <v>12400</v>
      </c>
    </row>
    <row r="39" spans="1:9">
      <c r="A39" s="11">
        <f>Sheet1!A39</f>
        <v>3111</v>
      </c>
      <c r="B39" s="12">
        <f>VLOOKUP($A39,Sheet1!$A$2:$J$120,6,FALSE)</f>
        <v>0</v>
      </c>
      <c r="C39" s="12">
        <f>VLOOKUP($A39,Sheet1!$A$2:$J$120,7,FALSE)</f>
        <v>390</v>
      </c>
      <c r="D39" s="12">
        <f>VLOOKUP($A39,Sheet1!$A$2:$J$120,8,FALSE)</f>
        <v>390</v>
      </c>
      <c r="E39" s="12">
        <f>VLOOKUP($A39,Sheet1!$A$2:$J$120,9,FALSE)</f>
        <v>0</v>
      </c>
      <c r="F39" s="12">
        <f>VLOOKUP($A39,Sheet1!$A$2:$J$120,10,FALSE)</f>
        <v>0</v>
      </c>
      <c r="G39" s="12">
        <f t="shared" si="0"/>
        <v>780</v>
      </c>
      <c r="H39" s="12">
        <f t="shared" si="1"/>
        <v>156000</v>
      </c>
      <c r="I39" s="12">
        <f t="shared" si="2"/>
        <v>15600</v>
      </c>
    </row>
    <row r="40" spans="1:9">
      <c r="A40" s="3">
        <f>Sheet1!A40</f>
        <v>52023</v>
      </c>
      <c r="B40" s="5">
        <f>VLOOKUP($A40,Sheet1!$A$2:$J$120,6,FALSE)</f>
        <v>850</v>
      </c>
      <c r="C40" s="5">
        <f>VLOOKUP($A40,Sheet1!$A$2:$J$120,7,FALSE)</f>
        <v>0</v>
      </c>
      <c r="D40" s="5">
        <f>VLOOKUP($A40,Sheet1!$A$2:$J$120,8,FALSE)</f>
        <v>0</v>
      </c>
      <c r="E40" s="5">
        <f>VLOOKUP($A40,Sheet1!$A$2:$J$120,9,FALSE)</f>
        <v>0</v>
      </c>
      <c r="F40" s="5">
        <f>VLOOKUP($A40,Sheet1!$A$2:$J$120,10,FALSE)</f>
        <v>0</v>
      </c>
      <c r="G40" s="5">
        <f t="shared" si="0"/>
        <v>85</v>
      </c>
      <c r="H40" s="5">
        <f t="shared" si="1"/>
        <v>17000</v>
      </c>
      <c r="I40" s="5">
        <f t="shared" si="2"/>
        <v>1700</v>
      </c>
    </row>
    <row r="41" spans="1:9">
      <c r="A41" s="3">
        <f>Sheet1!A41</f>
        <v>52024</v>
      </c>
      <c r="B41" s="5">
        <f>VLOOKUP($A41,Sheet1!$A$2:$J$120,6,FALSE)</f>
        <v>1200</v>
      </c>
      <c r="C41" s="5">
        <f>VLOOKUP($A41,Sheet1!$A$2:$J$120,7,FALSE)</f>
        <v>0</v>
      </c>
      <c r="D41" s="5">
        <f>VLOOKUP($A41,Sheet1!$A$2:$J$120,8,FALSE)</f>
        <v>0</v>
      </c>
      <c r="E41" s="5">
        <f>VLOOKUP($A41,Sheet1!$A$2:$J$120,9,FALSE)</f>
        <v>0</v>
      </c>
      <c r="F41" s="5">
        <f>VLOOKUP($A41,Sheet1!$A$2:$J$120,10,FALSE)</f>
        <v>0</v>
      </c>
      <c r="G41" s="5">
        <f t="shared" si="0"/>
        <v>120</v>
      </c>
      <c r="H41" s="5">
        <f t="shared" si="1"/>
        <v>24000</v>
      </c>
      <c r="I41" s="5">
        <f t="shared" si="2"/>
        <v>2400</v>
      </c>
    </row>
    <row r="42" spans="1:9">
      <c r="A42" s="3">
        <f>Sheet1!A42</f>
        <v>52028</v>
      </c>
      <c r="B42" s="5">
        <f>VLOOKUP($A42,Sheet1!$A$2:$J$120,6,FALSE)</f>
        <v>1550</v>
      </c>
      <c r="C42" s="5">
        <f>VLOOKUP($A42,Sheet1!$A$2:$J$120,7,FALSE)</f>
        <v>0</v>
      </c>
      <c r="D42" s="5">
        <f>VLOOKUP($A42,Sheet1!$A$2:$J$120,8,FALSE)</f>
        <v>0</v>
      </c>
      <c r="E42" s="5">
        <f>VLOOKUP($A42,Sheet1!$A$2:$J$120,9,FALSE)</f>
        <v>0</v>
      </c>
      <c r="F42" s="5">
        <f>VLOOKUP($A42,Sheet1!$A$2:$J$120,10,FALSE)</f>
        <v>0</v>
      </c>
      <c r="G42" s="5">
        <f t="shared" si="0"/>
        <v>155</v>
      </c>
      <c r="H42" s="5">
        <f t="shared" si="1"/>
        <v>31000</v>
      </c>
      <c r="I42" s="5">
        <f t="shared" si="2"/>
        <v>3100</v>
      </c>
    </row>
    <row r="43" spans="1:9">
      <c r="A43" s="3">
        <f>Sheet1!A43</f>
        <v>52029</v>
      </c>
      <c r="B43" s="5">
        <f>VLOOKUP($A43,Sheet1!$A$2:$J$120,6,FALSE)</f>
        <v>1900</v>
      </c>
      <c r="C43" s="5">
        <f>VLOOKUP($A43,Sheet1!$A$2:$J$120,7,FALSE)</f>
        <v>0</v>
      </c>
      <c r="D43" s="5">
        <f>VLOOKUP($A43,Sheet1!$A$2:$J$120,8,FALSE)</f>
        <v>0</v>
      </c>
      <c r="E43" s="5">
        <f>VLOOKUP($A43,Sheet1!$A$2:$J$120,9,FALSE)</f>
        <v>0</v>
      </c>
      <c r="F43" s="5">
        <f>VLOOKUP($A43,Sheet1!$A$2:$J$120,10,FALSE)</f>
        <v>0</v>
      </c>
      <c r="G43" s="5">
        <f t="shared" si="0"/>
        <v>190</v>
      </c>
      <c r="H43" s="5">
        <f t="shared" si="1"/>
        <v>38000</v>
      </c>
      <c r="I43" s="5">
        <f t="shared" si="2"/>
        <v>3800</v>
      </c>
    </row>
    <row r="44" spans="1:9">
      <c r="A44" s="3">
        <f>Sheet1!A44</f>
        <v>52030</v>
      </c>
      <c r="B44" s="5">
        <f>VLOOKUP($A44,Sheet1!$A$2:$J$120,6,FALSE)</f>
        <v>2250</v>
      </c>
      <c r="C44" s="5">
        <f>VLOOKUP($A44,Sheet1!$A$2:$J$120,7,FALSE)</f>
        <v>0</v>
      </c>
      <c r="D44" s="5">
        <f>VLOOKUP($A44,Sheet1!$A$2:$J$120,8,FALSE)</f>
        <v>0</v>
      </c>
      <c r="E44" s="5">
        <f>VLOOKUP($A44,Sheet1!$A$2:$J$120,9,FALSE)</f>
        <v>0</v>
      </c>
      <c r="F44" s="5">
        <f>VLOOKUP($A44,Sheet1!$A$2:$J$120,10,FALSE)</f>
        <v>0</v>
      </c>
      <c r="G44" s="5">
        <f t="shared" si="0"/>
        <v>225</v>
      </c>
      <c r="H44" s="5">
        <f t="shared" si="1"/>
        <v>45000</v>
      </c>
      <c r="I44" s="5">
        <f t="shared" si="2"/>
        <v>4500</v>
      </c>
    </row>
    <row r="45" spans="1:9">
      <c r="A45" s="3">
        <f>Sheet1!A45</f>
        <v>52031</v>
      </c>
      <c r="B45" s="5">
        <f>VLOOKUP($A45,Sheet1!$A$2:$J$120,6,FALSE)</f>
        <v>2600</v>
      </c>
      <c r="C45" s="5">
        <f>VLOOKUP($A45,Sheet1!$A$2:$J$120,7,FALSE)</f>
        <v>0</v>
      </c>
      <c r="D45" s="5">
        <f>VLOOKUP($A45,Sheet1!$A$2:$J$120,8,FALSE)</f>
        <v>0</v>
      </c>
      <c r="E45" s="5">
        <f>VLOOKUP($A45,Sheet1!$A$2:$J$120,9,FALSE)</f>
        <v>0</v>
      </c>
      <c r="F45" s="5">
        <f>VLOOKUP($A45,Sheet1!$A$2:$J$120,10,FALSE)</f>
        <v>0</v>
      </c>
      <c r="G45" s="5">
        <f t="shared" si="0"/>
        <v>260</v>
      </c>
      <c r="H45" s="5">
        <f t="shared" si="1"/>
        <v>52000</v>
      </c>
      <c r="I45" s="5">
        <f t="shared" si="2"/>
        <v>5200</v>
      </c>
    </row>
    <row r="46" spans="1:9">
      <c r="A46" s="3">
        <f>Sheet1!A46</f>
        <v>52032</v>
      </c>
      <c r="B46" s="5">
        <f>VLOOKUP($A46,Sheet1!$A$2:$J$120,6,FALSE)</f>
        <v>2950</v>
      </c>
      <c r="C46" s="5">
        <f>VLOOKUP($A46,Sheet1!$A$2:$J$120,7,FALSE)</f>
        <v>0</v>
      </c>
      <c r="D46" s="5">
        <f>VLOOKUP($A46,Sheet1!$A$2:$J$120,8,FALSE)</f>
        <v>0</v>
      </c>
      <c r="E46" s="5">
        <f>VLOOKUP($A46,Sheet1!$A$2:$J$120,9,FALSE)</f>
        <v>0</v>
      </c>
      <c r="F46" s="5">
        <f>VLOOKUP($A46,Sheet1!$A$2:$J$120,10,FALSE)</f>
        <v>0</v>
      </c>
      <c r="G46" s="5">
        <f t="shared" si="0"/>
        <v>295</v>
      </c>
      <c r="H46" s="5">
        <f t="shared" si="1"/>
        <v>59000</v>
      </c>
      <c r="I46" s="5">
        <f t="shared" si="2"/>
        <v>5900</v>
      </c>
    </row>
    <row r="47" spans="1:9">
      <c r="A47" s="3">
        <f>Sheet1!A47</f>
        <v>52037</v>
      </c>
      <c r="B47" s="5">
        <f>VLOOKUP($A47,Sheet1!$A$2:$J$120,6,FALSE)</f>
        <v>3300</v>
      </c>
      <c r="C47" s="5">
        <f>VLOOKUP($A47,Sheet1!$A$2:$J$120,7,FALSE)</f>
        <v>0</v>
      </c>
      <c r="D47" s="5">
        <f>VLOOKUP($A47,Sheet1!$A$2:$J$120,8,FALSE)</f>
        <v>0</v>
      </c>
      <c r="E47" s="5">
        <f>VLOOKUP($A47,Sheet1!$A$2:$J$120,9,FALSE)</f>
        <v>0</v>
      </c>
      <c r="F47" s="5">
        <f>VLOOKUP($A47,Sheet1!$A$2:$J$120,10,FALSE)</f>
        <v>0</v>
      </c>
      <c r="G47" s="5">
        <f t="shared" si="0"/>
        <v>330</v>
      </c>
      <c r="H47" s="5">
        <f t="shared" si="1"/>
        <v>66000</v>
      </c>
      <c r="I47" s="5">
        <f t="shared" si="2"/>
        <v>6600</v>
      </c>
    </row>
    <row r="48" spans="1:9">
      <c r="A48" s="3">
        <f>Sheet1!A48</f>
        <v>62015</v>
      </c>
      <c r="B48" s="5">
        <f>VLOOKUP($A48,Sheet1!$A$2:$J$120,6,FALSE)</f>
        <v>1550</v>
      </c>
      <c r="C48" s="5">
        <f>VLOOKUP($A48,Sheet1!$A$2:$J$120,7,FALSE)</f>
        <v>0</v>
      </c>
      <c r="D48" s="5">
        <f>VLOOKUP($A48,Sheet1!$A$2:$J$120,8,FALSE)</f>
        <v>0</v>
      </c>
      <c r="E48" s="5">
        <f>VLOOKUP($A48,Sheet1!$A$2:$J$120,9,FALSE)</f>
        <v>0</v>
      </c>
      <c r="F48" s="5">
        <f>VLOOKUP($A48,Sheet1!$A$2:$J$120,10,FALSE)</f>
        <v>0</v>
      </c>
      <c r="G48" s="5">
        <f t="shared" si="0"/>
        <v>155</v>
      </c>
      <c r="H48" s="5">
        <f t="shared" si="1"/>
        <v>31000</v>
      </c>
      <c r="I48" s="5">
        <f t="shared" si="2"/>
        <v>3100</v>
      </c>
    </row>
    <row r="49" spans="1:9">
      <c r="A49" s="3">
        <f>Sheet1!A49</f>
        <v>62016</v>
      </c>
      <c r="B49" s="5">
        <f>VLOOKUP($A49,Sheet1!$A$2:$J$120,6,FALSE)</f>
        <v>1550</v>
      </c>
      <c r="C49" s="5">
        <f>VLOOKUP($A49,Sheet1!$A$2:$J$120,7,FALSE)</f>
        <v>0</v>
      </c>
      <c r="D49" s="5">
        <f>VLOOKUP($A49,Sheet1!$A$2:$J$120,8,FALSE)</f>
        <v>0</v>
      </c>
      <c r="E49" s="5">
        <f>VLOOKUP($A49,Sheet1!$A$2:$J$120,9,FALSE)</f>
        <v>0</v>
      </c>
      <c r="F49" s="5">
        <f>VLOOKUP($A49,Sheet1!$A$2:$J$120,10,FALSE)</f>
        <v>0</v>
      </c>
      <c r="G49" s="5">
        <f t="shared" si="0"/>
        <v>155</v>
      </c>
      <c r="H49" s="5">
        <f t="shared" si="1"/>
        <v>31000</v>
      </c>
      <c r="I49" s="5">
        <f t="shared" si="2"/>
        <v>3100</v>
      </c>
    </row>
    <row r="50" spans="1:9">
      <c r="A50" s="3">
        <f>Sheet1!A50</f>
        <v>52115</v>
      </c>
      <c r="B50" s="5">
        <f>VLOOKUP($A50,Sheet1!$A$2:$J$120,6,FALSE)</f>
        <v>20000</v>
      </c>
      <c r="C50" s="5">
        <f>VLOOKUP($A50,Sheet1!$A$2:$J$120,7,FALSE)</f>
        <v>0</v>
      </c>
      <c r="D50" s="5">
        <f>VLOOKUP($A50,Sheet1!$A$2:$J$120,8,FALSE)</f>
        <v>0</v>
      </c>
      <c r="E50" s="5">
        <f>VLOOKUP($A50,Sheet1!$A$2:$J$120,9,FALSE)</f>
        <v>0</v>
      </c>
      <c r="F50" s="5">
        <f>VLOOKUP($A50,Sheet1!$A$2:$J$120,10,FALSE)</f>
        <v>0</v>
      </c>
      <c r="G50" s="5">
        <f t="shared" si="0"/>
        <v>2000</v>
      </c>
      <c r="H50" s="5">
        <f t="shared" si="1"/>
        <v>400000</v>
      </c>
      <c r="I50" s="5">
        <f t="shared" si="2"/>
        <v>40000</v>
      </c>
    </row>
  </sheetData>
  <phoneticPr fontId="5" type="noConversion"/>
  <conditionalFormatting sqref="A1">
    <cfRule type="duplicateValues" dxfId="49" priority="524" stopIfTrue="1"/>
    <cfRule type="duplicateValues" dxfId="48" priority="525" stopIfTrue="1"/>
  </conditionalFormatting>
  <conditionalFormatting sqref="A2:A50">
    <cfRule type="duplicateValues" dxfId="47" priority="1651" stopIfTrue="1"/>
    <cfRule type="duplicateValues" dxfId="46" priority="1652" stopIfTrue="1"/>
  </conditionalFormatting>
  <conditionalFormatting sqref="A2:A50">
    <cfRule type="duplicateValues" dxfId="45" priority="1653" stopIfTrue="1"/>
  </conditionalFormatting>
  <conditionalFormatting sqref="A2:A50">
    <cfRule type="duplicateValues" dxfId="44" priority="1654"/>
  </conditionalFormatting>
  <conditionalFormatting sqref="A2:A50">
    <cfRule type="duplicateValues" dxfId="43" priority="1655"/>
    <cfRule type="duplicateValues" dxfId="42" priority="1656"/>
  </conditionalFormatting>
  <conditionalFormatting sqref="A2:A50">
    <cfRule type="duplicateValues" dxfId="41" priority="1657" stopIfTrue="1"/>
  </conditionalFormatting>
  <conditionalFormatting sqref="A2:A50">
    <cfRule type="duplicateValues" dxfId="40" priority="1658" stopIfTrue="1"/>
    <cfRule type="duplicateValues" dxfId="39" priority="1659" stopIfTrue="1"/>
    <cfRule type="duplicateValues" dxfId="38" priority="1660" stopIfTrue="1"/>
  </conditionalFormatting>
  <conditionalFormatting sqref="A2:A50">
    <cfRule type="duplicateValues" dxfId="37" priority="1661" stopIfTrue="1"/>
    <cfRule type="duplicateValues" dxfId="36" priority="1662" stopIfTrue="1"/>
    <cfRule type="cellIs" dxfId="35" priority="1663" stopIfTrue="1" operator="equal">
      <formula>25504</formula>
    </cfRule>
  </conditionalFormatting>
  <conditionalFormatting sqref="A2:A50">
    <cfRule type="duplicateValues" dxfId="34" priority="1664"/>
    <cfRule type="duplicateValues" dxfId="33" priority="1665"/>
    <cfRule type="duplicateValues" dxfId="32" priority="1666"/>
  </conditionalFormatting>
  <dataValidations count="1">
    <dataValidation type="whole" operator="lessThan" allowBlank="1" showInputMessage="1" showErrorMessage="1" sqref="A2:A50">
      <formula1>65535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说明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2014-01-16T08:35:46Z</dcterms:modified>
</cp:coreProperties>
</file>